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Queue Exceptions" sheetId="2" r:id="rId2"/>
    <sheet name="Billing Reconciliations" sheetId="3" r:id="rId3"/>
    <sheet name="Aging Report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<sst xmlns="http://schemas.openxmlformats.org/spreadsheetml/2006/main" count="5843" uniqueCount="2111">
  <si>
    <t>Rate Class</t>
  </si>
  <si>
    <t>Rate</t>
  </si>
  <si>
    <t>Covered</t>
  </si>
  <si>
    <t>Open</t>
  </si>
  <si>
    <t>Type</t>
  </si>
  <si>
    <t>ID</t>
  </si>
  <si>
    <t>Applicant ID</t>
  </si>
  <si>
    <t>Priority</t>
  </si>
  <si>
    <t>Reason</t>
  </si>
  <si>
    <t>Skip</t>
  </si>
  <si>
    <t>SKP-2023-0095</t>
  </si>
  <si>
    <t>WL-03099</t>
  </si>
  <si>
    <t>Priority 1</t>
  </si>
  <si>
    <t>No supporting record</t>
  </si>
  <si>
    <t>SKP-2023-0096</t>
  </si>
  <si>
    <t>WL-02685</t>
  </si>
  <si>
    <t>SKP-2023-0097</t>
  </si>
  <si>
    <t>WL-01298</t>
  </si>
  <si>
    <t>SKP-2023-0098</t>
  </si>
  <si>
    <t>WL-01959</t>
  </si>
  <si>
    <t>SKP-2023-0099</t>
  </si>
  <si>
    <t>WL-01695</t>
  </si>
  <si>
    <t>SKP-2023-0100</t>
  </si>
  <si>
    <t>WL-02565</t>
  </si>
  <si>
    <t>SKP-2023-0101</t>
  </si>
  <si>
    <t>WL-02664</t>
  </si>
  <si>
    <t>SKP-2023-0102</t>
  </si>
  <si>
    <t>WL-03582</t>
  </si>
  <si>
    <t>SKP-2023-0103</t>
  </si>
  <si>
    <t>WL-02918</t>
  </si>
  <si>
    <t>SKP-2023-0104</t>
  </si>
  <si>
    <t>WL-03523</t>
  </si>
  <si>
    <t>SKP-2023-0105</t>
  </si>
  <si>
    <t>WL-02366</t>
  </si>
  <si>
    <t>SKP-2023-0106</t>
  </si>
  <si>
    <t>WL-01388</t>
  </si>
  <si>
    <t>SKP-2023-0107</t>
  </si>
  <si>
    <t>WL-01984</t>
  </si>
  <si>
    <t>SKP-2023-0108</t>
  </si>
  <si>
    <t>WL-01649</t>
  </si>
  <si>
    <t>SKP-2023-0109</t>
  </si>
  <si>
    <t>WL-03535</t>
  </si>
  <si>
    <t>SKP-2023-0110</t>
  </si>
  <si>
    <t>WL-01473</t>
  </si>
  <si>
    <t>SKP-2023-0111</t>
  </si>
  <si>
    <t>WL-02941</t>
  </si>
  <si>
    <t>SKP-2023-0112</t>
  </si>
  <si>
    <t>WL-03014</t>
  </si>
  <si>
    <t>SKP-2023-0113</t>
  </si>
  <si>
    <t>WL-01886</t>
  </si>
  <si>
    <t>SKP-2023-0114</t>
  </si>
  <si>
    <t>WL-02074</t>
  </si>
  <si>
    <t>SKP-2023-0115</t>
  </si>
  <si>
    <t>WL-01145</t>
  </si>
  <si>
    <t>SKP-2023-0116</t>
  </si>
  <si>
    <t>WL-01274</t>
  </si>
  <si>
    <t>SKP-2023-0117</t>
  </si>
  <si>
    <t>WL-01089</t>
  </si>
  <si>
    <t>SKP-2023-0118</t>
  </si>
  <si>
    <t>WL-02485</t>
  </si>
  <si>
    <t>SKP-2023-0119</t>
  </si>
  <si>
    <t>WL-03151</t>
  </si>
  <si>
    <t>SKP-2023-0120</t>
  </si>
  <si>
    <t>WL-01469</t>
  </si>
  <si>
    <t>SKP-2023-0121</t>
  </si>
  <si>
    <t>WL-03181</t>
  </si>
  <si>
    <t>SKP-2023-0122</t>
  </si>
  <si>
    <t>WL-03816</t>
  </si>
  <si>
    <t>SKP-2023-0123</t>
  </si>
  <si>
    <t>WL-03712</t>
  </si>
  <si>
    <t>SKP-2023-0124</t>
  </si>
  <si>
    <t>WL-02100</t>
  </si>
  <si>
    <t>SKP-2023-0125</t>
  </si>
  <si>
    <t>WL-02777</t>
  </si>
  <si>
    <t>SKP-2023-0126</t>
  </si>
  <si>
    <t>WL-02134</t>
  </si>
  <si>
    <t>SKP-2023-0127</t>
  </si>
  <si>
    <t>WL-01420</t>
  </si>
  <si>
    <t>SKP-2023-0128</t>
  </si>
  <si>
    <t>WL-03537</t>
  </si>
  <si>
    <t>SKP-2023-0129</t>
  </si>
  <si>
    <t>WL-03178</t>
  </si>
  <si>
    <t>SKP-2023-0130</t>
  </si>
  <si>
    <t>WL-02924</t>
  </si>
  <si>
    <t>SKP-2023-0131</t>
  </si>
  <si>
    <t>WL-01781</t>
  </si>
  <si>
    <t>SKP-2023-0132</t>
  </si>
  <si>
    <t>WL-01193</t>
  </si>
  <si>
    <t>SKP-2023-0133</t>
  </si>
  <si>
    <t>WL-01319</t>
  </si>
  <si>
    <t>SKP-2023-0134</t>
  </si>
  <si>
    <t>WL-02173</t>
  </si>
  <si>
    <t>SKP-2023-0135</t>
  </si>
  <si>
    <t>WL-01568</t>
  </si>
  <si>
    <t>SKP-2023-0136</t>
  </si>
  <si>
    <t>WL-03758</t>
  </si>
  <si>
    <t>SKP-2023-0137</t>
  </si>
  <si>
    <t>WL-02535</t>
  </si>
  <si>
    <t>SKP-2023-0138</t>
  </si>
  <si>
    <t>WL-02663</t>
  </si>
  <si>
    <t>SKP-2023-0139</t>
  </si>
  <si>
    <t>WL-01129</t>
  </si>
  <si>
    <t>SKP-2023-0140</t>
  </si>
  <si>
    <t>WL-03100</t>
  </si>
  <si>
    <t>SKP-2023-0141</t>
  </si>
  <si>
    <t>WL-03857</t>
  </si>
  <si>
    <t>SKP-2023-0142</t>
  </si>
  <si>
    <t>WL-01054</t>
  </si>
  <si>
    <t>SKP-2023-0143</t>
  </si>
  <si>
    <t>WL-01712</t>
  </si>
  <si>
    <t>SKP-2023-0144</t>
  </si>
  <si>
    <t>WL-02160</t>
  </si>
  <si>
    <t>SKP-2023-0145</t>
  </si>
  <si>
    <t>WL-01242</t>
  </si>
  <si>
    <t>SKP-2023-0146</t>
  </si>
  <si>
    <t>WL-02199</t>
  </si>
  <si>
    <t>SKP-2023-0147</t>
  </si>
  <si>
    <t>WL-01248</t>
  </si>
  <si>
    <t>SKP-2023-0148</t>
  </si>
  <si>
    <t>WL-02206</t>
  </si>
  <si>
    <t>SKP-2023-0149</t>
  </si>
  <si>
    <t>WL-02706</t>
  </si>
  <si>
    <t>SKP-2023-0150</t>
  </si>
  <si>
    <t>WL-01924</t>
  </si>
  <si>
    <t>SKP-2023-0151</t>
  </si>
  <si>
    <t>WL-03652</t>
  </si>
  <si>
    <t>SKP-2023-0152</t>
  </si>
  <si>
    <t>WL-03411</t>
  </si>
  <si>
    <t>SKP-2023-0153</t>
  </si>
  <si>
    <t>WL-01029</t>
  </si>
  <si>
    <t>SKP-2023-0154</t>
  </si>
  <si>
    <t>WL-01847</t>
  </si>
  <si>
    <t>SKP-2023-0155</t>
  </si>
  <si>
    <t>WL-01297</t>
  </si>
  <si>
    <t>SKP-2023-0156</t>
  </si>
  <si>
    <t>WL-02603</t>
  </si>
  <si>
    <t>SKP-2023-0157</t>
  </si>
  <si>
    <t>WL-03153</t>
  </si>
  <si>
    <t>SKP-2023-0158</t>
  </si>
  <si>
    <t>WL-02650</t>
  </si>
  <si>
    <t>SKP-2023-0159</t>
  </si>
  <si>
    <t>WL-01360</t>
  </si>
  <si>
    <t>SKP-2023-0160</t>
  </si>
  <si>
    <t>WL-01367</t>
  </si>
  <si>
    <t>SKP-2023-0161</t>
  </si>
  <si>
    <t>WL-02793</t>
  </si>
  <si>
    <t>SKP-2023-0162</t>
  </si>
  <si>
    <t>WL-03249</t>
  </si>
  <si>
    <t>SKP-2023-0163</t>
  </si>
  <si>
    <t>WL-03629</t>
  </si>
  <si>
    <t>SKP-2023-0164</t>
  </si>
  <si>
    <t>WL-03673</t>
  </si>
  <si>
    <t>SKP-2023-0165</t>
  </si>
  <si>
    <t>WL-01746</t>
  </si>
  <si>
    <t>SKP-2023-0166</t>
  </si>
  <si>
    <t>WL-03844</t>
  </si>
  <si>
    <t>SKP-2023-0167</t>
  </si>
  <si>
    <t>WL-01566</t>
  </si>
  <si>
    <t>SKP-2023-0168</t>
  </si>
  <si>
    <t>WL-02912</t>
  </si>
  <si>
    <t>SKP-2023-0169</t>
  </si>
  <si>
    <t>WL-01168</t>
  </si>
  <si>
    <t>SKP-2023-0170</t>
  </si>
  <si>
    <t>WL-03700</t>
  </si>
  <si>
    <t>SKP-2023-0171</t>
  </si>
  <si>
    <t>WL-02000</t>
  </si>
  <si>
    <t>SKP-2023-0172</t>
  </si>
  <si>
    <t>WL-01080</t>
  </si>
  <si>
    <t>SKP-2023-0173</t>
  </si>
  <si>
    <t>WL-03715</t>
  </si>
  <si>
    <t>SKP-2023-0174</t>
  </si>
  <si>
    <t>WL-02285</t>
  </si>
  <si>
    <t>SKP-2023-0175</t>
  </si>
  <si>
    <t>WL-01003</t>
  </si>
  <si>
    <t>SKP-2023-0176</t>
  </si>
  <si>
    <t>WL-01594</t>
  </si>
  <si>
    <t>SKP-2023-0177</t>
  </si>
  <si>
    <t>WL-01918</t>
  </si>
  <si>
    <t>SKP-2023-0178</t>
  </si>
  <si>
    <t>WL-03849</t>
  </si>
  <si>
    <t>SKP-2023-0179</t>
  </si>
  <si>
    <t>WL-01704</t>
  </si>
  <si>
    <t>SKP-2023-0180</t>
  </si>
  <si>
    <t>WL-03696</t>
  </si>
  <si>
    <t>SKP-2023-0181</t>
  </si>
  <si>
    <t>WL-01016</t>
  </si>
  <si>
    <t>SKP-2023-0182</t>
  </si>
  <si>
    <t>WL-01186</t>
  </si>
  <si>
    <t>SKP-2023-0183</t>
  </si>
  <si>
    <t>WL-01524</t>
  </si>
  <si>
    <t>SKP-2023-0184</t>
  </si>
  <si>
    <t>WL-03111</t>
  </si>
  <si>
    <t>SKP-2023-0185</t>
  </si>
  <si>
    <t>WL-02726</t>
  </si>
  <si>
    <t>SKP-2023-0186</t>
  </si>
  <si>
    <t>SKP-2024-0187</t>
  </si>
  <si>
    <t>WL-02759</t>
  </si>
  <si>
    <t>SKP-2024-0188</t>
  </si>
  <si>
    <t>WL-01632</t>
  </si>
  <si>
    <t>SKP-2024-0189</t>
  </si>
  <si>
    <t>WL-03141</t>
  </si>
  <si>
    <t>SKP-2024-0190</t>
  </si>
  <si>
    <t>WL-02349</t>
  </si>
  <si>
    <t>SKP-2024-0191</t>
  </si>
  <si>
    <t>WL-01253</t>
  </si>
  <si>
    <t>SKP-2024-0192</t>
  </si>
  <si>
    <t>WL-03127</t>
  </si>
  <si>
    <t>SKP-2024-0193</t>
  </si>
  <si>
    <t>WL-02653</t>
  </si>
  <si>
    <t>SKP-2024-0194</t>
  </si>
  <si>
    <t>WL-01347</t>
  </si>
  <si>
    <t>SKP-2024-0195</t>
  </si>
  <si>
    <t>WL-01562</t>
  </si>
  <si>
    <t>SKP-2024-0196</t>
  </si>
  <si>
    <t>WL-02629</t>
  </si>
  <si>
    <t>SKP-2024-0197</t>
  </si>
  <si>
    <t>WL-03621</t>
  </si>
  <si>
    <t>SKP-2024-0198</t>
  </si>
  <si>
    <t>WL-02027</t>
  </si>
  <si>
    <t>SKP-2024-0199</t>
  </si>
  <si>
    <t>WL-03185</t>
  </si>
  <si>
    <t>SKP-2024-0200</t>
  </si>
  <si>
    <t>WL-02893</t>
  </si>
  <si>
    <t>SKP-2024-0201</t>
  </si>
  <si>
    <t>WL-02274</t>
  </si>
  <si>
    <t>SKP-2024-0202</t>
  </si>
  <si>
    <t>WL-03661</t>
  </si>
  <si>
    <t>SKP-2024-0203</t>
  </si>
  <si>
    <t>WL-02769</t>
  </si>
  <si>
    <t>SKP-2024-0204</t>
  </si>
  <si>
    <t>WL-01950</t>
  </si>
  <si>
    <t>SKP-2024-0205</t>
  </si>
  <si>
    <t>WL-02895</t>
  </si>
  <si>
    <t>SKP-2024-0206</t>
  </si>
  <si>
    <t>WL-03018</t>
  </si>
  <si>
    <t>SKP-2024-0207</t>
  </si>
  <si>
    <t>WL-02948</t>
  </si>
  <si>
    <t>SKP-2024-0208</t>
  </si>
  <si>
    <t>WL-02305</t>
  </si>
  <si>
    <t>SKP-2024-0209</t>
  </si>
  <si>
    <t>WL-01675</t>
  </si>
  <si>
    <t>SKP-2024-0210</t>
  </si>
  <si>
    <t>SKP-2024-0211</t>
  </si>
  <si>
    <t>WL-01536</t>
  </si>
  <si>
    <t>SKP-2024-0212</t>
  </si>
  <si>
    <t>WL-02013</t>
  </si>
  <si>
    <t>SKP-2024-0213</t>
  </si>
  <si>
    <t>WL-01753</t>
  </si>
  <si>
    <t>SKP-2024-0214</t>
  </si>
  <si>
    <t>WL-01318</t>
  </si>
  <si>
    <t>SKP-2024-0215</t>
  </si>
  <si>
    <t>WL-03891</t>
  </si>
  <si>
    <t>SKP-2024-0216</t>
  </si>
  <si>
    <t>WL-03026</t>
  </si>
  <si>
    <t>SKP-2024-0217</t>
  </si>
  <si>
    <t>WL-03245</t>
  </si>
  <si>
    <t>SKP-2024-0218</t>
  </si>
  <si>
    <t>WL-03527</t>
  </si>
  <si>
    <t>SKP-2024-0219</t>
  </si>
  <si>
    <t>WL-01144</t>
  </si>
  <si>
    <t>SKP-2024-0220</t>
  </si>
  <si>
    <t>WL-03390</t>
  </si>
  <si>
    <t>Priority 2</t>
  </si>
  <si>
    <t>review_date &gt; skip_date</t>
  </si>
  <si>
    <t>SKP-2024-0221</t>
  </si>
  <si>
    <t>WL-01368</t>
  </si>
  <si>
    <t>SKP-2024-0222</t>
  </si>
  <si>
    <t>WL-01889</t>
  </si>
  <si>
    <t>SKP-2024-0223</t>
  </si>
  <si>
    <t>WL-01691</t>
  </si>
  <si>
    <t>SKP-2024-0224</t>
  </si>
  <si>
    <t>WL-02850</t>
  </si>
  <si>
    <t>SKP-2024-0225</t>
  </si>
  <si>
    <t>WL-03762</t>
  </si>
  <si>
    <t>SKP-2024-0226</t>
  </si>
  <si>
    <t>WL-03542</t>
  </si>
  <si>
    <t>SKP-2024-0227</t>
  </si>
  <si>
    <t>WL-03759</t>
  </si>
  <si>
    <t>SKP-2024-0228</t>
  </si>
  <si>
    <t>WL-01001</t>
  </si>
  <si>
    <t>SKP-2024-0229</t>
  </si>
  <si>
    <t>WL-02791</t>
  </si>
  <si>
    <t>SKP-2024-0230</t>
  </si>
  <si>
    <t>WL-01998</t>
  </si>
  <si>
    <t>SKP-2024-0231</t>
  </si>
  <si>
    <t>WL-02925</t>
  </si>
  <si>
    <t>SKP-2024-0232</t>
  </si>
  <si>
    <t>WL-03615</t>
  </si>
  <si>
    <t>SKP-2024-0233</t>
  </si>
  <si>
    <t>WL-03062</t>
  </si>
  <si>
    <t>SKP-2024-0234</t>
  </si>
  <si>
    <t>WL-01779</t>
  </si>
  <si>
    <t>SKP-2024-0235</t>
  </si>
  <si>
    <t>WL-03228</t>
  </si>
  <si>
    <t>SKP-2024-0236</t>
  </si>
  <si>
    <t>WL-03479</t>
  </si>
  <si>
    <t>SKP-2024-0237</t>
  </si>
  <si>
    <t>WL-02574</t>
  </si>
  <si>
    <t>SKP-2024-0238</t>
  </si>
  <si>
    <t>WL-02336</t>
  </si>
  <si>
    <t>SKP-2024-0239</t>
  </si>
  <si>
    <t>WL-01504</t>
  </si>
  <si>
    <t>SKP-2024-0240</t>
  </si>
  <si>
    <t>WL-01718</t>
  </si>
  <si>
    <t>SKP-2024-0241</t>
  </si>
  <si>
    <t>WL-01026</t>
  </si>
  <si>
    <t>SKP-2024-0242</t>
  </si>
  <si>
    <t>WL-03831</t>
  </si>
  <si>
    <t>SKP-2024-0243</t>
  </si>
  <si>
    <t>WL-01264</t>
  </si>
  <si>
    <t>SKP-2024-0244</t>
  </si>
  <si>
    <t>WL-03708</t>
  </si>
  <si>
    <t>SKP-2024-0245</t>
  </si>
  <si>
    <t>WL-03808</t>
  </si>
  <si>
    <t>SKP-2024-0246</t>
  </si>
  <si>
    <t>WL-01269</t>
  </si>
  <si>
    <t>SKP-2024-0247</t>
  </si>
  <si>
    <t>WL-03733</t>
  </si>
  <si>
    <t>SKP-2024-0248</t>
  </si>
  <si>
    <t>WL-02139</t>
  </si>
  <si>
    <t>SKP-2024-0249</t>
  </si>
  <si>
    <t>WL-02598</t>
  </si>
  <si>
    <t>SKP-2024-0250</t>
  </si>
  <si>
    <t>WL-01832</t>
  </si>
  <si>
    <t>SKP-2024-0251</t>
  </si>
  <si>
    <t>SKP-2024-0252</t>
  </si>
  <si>
    <t>WL-02412</t>
  </si>
  <si>
    <t>SKP-2024-0253</t>
  </si>
  <si>
    <t>WL-03079</t>
  </si>
  <si>
    <t>SKP-2024-0254</t>
  </si>
  <si>
    <t>WL-03294</t>
  </si>
  <si>
    <t>SKP-2024-0255</t>
  </si>
  <si>
    <t>WL-01844</t>
  </si>
  <si>
    <t>SKP-2024-0256</t>
  </si>
  <si>
    <t>WL-02923</t>
  </si>
  <si>
    <t>SKP-2025-0257</t>
  </si>
  <si>
    <t>WL-03628</t>
  </si>
  <si>
    <t>SKP-2025-0258</t>
  </si>
  <si>
    <t>SKP-2025-0259</t>
  </si>
  <si>
    <t>WL-01382</t>
  </si>
  <si>
    <t>SKP-2025-0260</t>
  </si>
  <si>
    <t>WL-03888</t>
  </si>
  <si>
    <t>SKP-2025-0261</t>
  </si>
  <si>
    <t>WL-02733</t>
  </si>
  <si>
    <t>SKP-2025-0262</t>
  </si>
  <si>
    <t>WL-03244</t>
  </si>
  <si>
    <t>SKP-2025-0263</t>
  </si>
  <si>
    <t>WL-02067</t>
  </si>
  <si>
    <t>SKP-2025-0264</t>
  </si>
  <si>
    <t>WL-01523</t>
  </si>
  <si>
    <t>SKP-2025-0265</t>
  </si>
  <si>
    <t>WL-03442</t>
  </si>
  <si>
    <t>SKP-2025-0266</t>
  </si>
  <si>
    <t>WL-03604</t>
  </si>
  <si>
    <t>SKP-2025-0267</t>
  </si>
  <si>
    <t>WL-03815</t>
  </si>
  <si>
    <t>SKP-2025-0268</t>
  </si>
  <si>
    <t>WL-01578</t>
  </si>
  <si>
    <t>SKP-2025-0269</t>
  </si>
  <si>
    <t>WL-02178</t>
  </si>
  <si>
    <t>SKP-2025-0270</t>
  </si>
  <si>
    <t>SKP-2025-0271</t>
  </si>
  <si>
    <t>WL-01808</t>
  </si>
  <si>
    <t>SKP-2025-0272</t>
  </si>
  <si>
    <t>WL-02693</t>
  </si>
  <si>
    <t>SKP-2025-0273</t>
  </si>
  <si>
    <t>WL-01328</t>
  </si>
  <si>
    <t>SKP-2025-0274</t>
  </si>
  <si>
    <t>WL-02188</t>
  </si>
  <si>
    <t>SKP-2025-0275</t>
  </si>
  <si>
    <t>WL-02524</t>
  </si>
  <si>
    <t>SKP-2025-0276</t>
  </si>
  <si>
    <t>WL-02845</t>
  </si>
  <si>
    <t>SKP-2025-0277</t>
  </si>
  <si>
    <t>WL-03839</t>
  </si>
  <si>
    <t>SKP-2025-0278</t>
  </si>
  <si>
    <t>WL-03094</t>
  </si>
  <si>
    <t>SKP-2025-0279</t>
  </si>
  <si>
    <t>WL-03662</t>
  </si>
  <si>
    <t>SKP-2025-0280</t>
  </si>
  <si>
    <t>WL-01472</t>
  </si>
  <si>
    <t>SKP-2025-0281</t>
  </si>
  <si>
    <t>WL-03360</t>
  </si>
  <si>
    <t>SKP-2025-0282</t>
  </si>
  <si>
    <t>WL-02747</t>
  </si>
  <si>
    <t>SKP-2025-0283</t>
  </si>
  <si>
    <t>WL-01333</t>
  </si>
  <si>
    <t>SKP-2025-0284</t>
  </si>
  <si>
    <t>WL-02698</t>
  </si>
  <si>
    <t>SKP-2025-0285</t>
  </si>
  <si>
    <t>WL-03047</t>
  </si>
  <si>
    <t>SKP-2025-0286</t>
  </si>
  <si>
    <t>WL-01151</t>
  </si>
  <si>
    <t>SKP-2025-0287</t>
  </si>
  <si>
    <t>WL-02314</t>
  </si>
  <si>
    <t>SKP-2025-0288</t>
  </si>
  <si>
    <t>WL-02356</t>
  </si>
  <si>
    <t>SKP-2025-0289</t>
  </si>
  <si>
    <t>SKP-2025-0290</t>
  </si>
  <si>
    <t>WL-01813</t>
  </si>
  <si>
    <t>SKP-2025-0291</t>
  </si>
  <si>
    <t>WL-03227</t>
  </si>
  <si>
    <t>SKP-2025-0292</t>
  </si>
  <si>
    <t>WL-02298</t>
  </si>
  <si>
    <t>SKP-2025-0293</t>
  </si>
  <si>
    <t>WL-03516</t>
  </si>
  <si>
    <t>SKP-2025-0294</t>
  </si>
  <si>
    <t>WL-03579</t>
  </si>
  <si>
    <t>SKP-2025-0295</t>
  </si>
  <si>
    <t>WL-03248</t>
  </si>
  <si>
    <t>SKP-2025-0296</t>
  </si>
  <si>
    <t>WL-03526</t>
  </si>
  <si>
    <t>SKP-2025-0297</t>
  </si>
  <si>
    <t>SKP-2025-0298</t>
  </si>
  <si>
    <t>WL-02774</t>
  </si>
  <si>
    <t>SKP-2025-0299</t>
  </si>
  <si>
    <t>WL-03311</t>
  </si>
  <si>
    <t>SKP-2025-0300</t>
  </si>
  <si>
    <t>WL-01537</t>
  </si>
  <si>
    <t>SKP-2025-0301</t>
  </si>
  <si>
    <t>WL-01788</t>
  </si>
  <si>
    <t>SKP-2025-0302</t>
  </si>
  <si>
    <t>WL-01702</t>
  </si>
  <si>
    <t>SKP-2025-0303</t>
  </si>
  <si>
    <t>WL-02607</t>
  </si>
  <si>
    <t>SKP-2025-0304</t>
  </si>
  <si>
    <t>WL-03314</t>
  </si>
  <si>
    <t>SKP-2025-0305</t>
  </si>
  <si>
    <t>WL-03134</t>
  </si>
  <si>
    <t>SKP-2025-0306</t>
  </si>
  <si>
    <t>SKP-2025-0307</t>
  </si>
  <si>
    <t>WL-02323</t>
  </si>
  <si>
    <t>SKP-2025-0308</t>
  </si>
  <si>
    <t>WL-03481</t>
  </si>
  <si>
    <t>SKP-2025-0309</t>
  </si>
  <si>
    <t>WL-02838</t>
  </si>
  <si>
    <t>SKP-2025-0310</t>
  </si>
  <si>
    <t>WL-01617</t>
  </si>
  <si>
    <t>SKP-2025-0311</t>
  </si>
  <si>
    <t>WL-01843</t>
  </si>
  <si>
    <t>SKP-2025-0312</t>
  </si>
  <si>
    <t>WL-01715</t>
  </si>
  <si>
    <t>SKP-2025-0313</t>
  </si>
  <si>
    <t>WL-01334</t>
  </si>
  <si>
    <t>SKP-2025-0314</t>
  </si>
  <si>
    <t>WL-02428</t>
  </si>
  <si>
    <t>SKP-2025-0315</t>
  </si>
  <si>
    <t>WL-03861</t>
  </si>
  <si>
    <t>SKP-2025-0316</t>
  </si>
  <si>
    <t>WL-02153</t>
  </si>
  <si>
    <t>SKP-2025-0317</t>
  </si>
  <si>
    <t>WL-02445</t>
  </si>
  <si>
    <t>SKP-2025-0318</t>
  </si>
  <si>
    <t>WL-02890</t>
  </si>
  <si>
    <t>SKP-2025-0319</t>
  </si>
  <si>
    <t>WL-01913</t>
  </si>
  <si>
    <t>SKP-2025-0320</t>
  </si>
  <si>
    <t>WL-02167</t>
  </si>
  <si>
    <t>SKP-2025-0321</t>
  </si>
  <si>
    <t>WL-03865</t>
  </si>
  <si>
    <t>SKP-2025-0322</t>
  </si>
  <si>
    <t>WL-02002</t>
  </si>
  <si>
    <t>SKP-2025-0323</t>
  </si>
  <si>
    <t>WL-02284</t>
  </si>
  <si>
    <t>SKP-2025-0324</t>
  </si>
  <si>
    <t>WL-02187</t>
  </si>
  <si>
    <t>SKP-2025-0325</t>
  </si>
  <si>
    <t>WL-03750</t>
  </si>
  <si>
    <t>SKP-2025-0326</t>
  </si>
  <si>
    <t>SKP-2025-0327</t>
  </si>
  <si>
    <t>WL-01645</t>
  </si>
  <si>
    <t>SKP-2025-0328</t>
  </si>
  <si>
    <t>SKP-2025-0329</t>
  </si>
  <si>
    <t>WL-01128</t>
  </si>
  <si>
    <t>SKP-2025-0330</t>
  </si>
  <si>
    <t>WL-02676</t>
  </si>
  <si>
    <t>SKP-2025-0331</t>
  </si>
  <si>
    <t>WL-03455</t>
  </si>
  <si>
    <t>SKP-2025-0332</t>
  </si>
  <si>
    <t>WL-02711</t>
  </si>
  <si>
    <t>SKP-2025-0333</t>
  </si>
  <si>
    <t>WL-02448</t>
  </si>
  <si>
    <t>SKP-2025-0334</t>
  </si>
  <si>
    <t>SKP-2025-0335</t>
  </si>
  <si>
    <t>WL-02404</t>
  </si>
  <si>
    <t>SKP-2025-0336</t>
  </si>
  <si>
    <t>WL-01776</t>
  </si>
  <si>
    <t>SKP-2025-0337</t>
  </si>
  <si>
    <t>WL-02991</t>
  </si>
  <si>
    <t>SKP-2026-0338</t>
  </si>
  <si>
    <t>WL-03011</t>
  </si>
  <si>
    <t>SKP-2026-0339</t>
  </si>
  <si>
    <t>SKP-2026-0340</t>
  </si>
  <si>
    <t>WL-01435</t>
  </si>
  <si>
    <t>SKP-2026-0341</t>
  </si>
  <si>
    <t>WL-03197</t>
  </si>
  <si>
    <t>SKP-2026-0342</t>
  </si>
  <si>
    <t>WL-01558</t>
  </si>
  <si>
    <t>SKP-2026-0343</t>
  </si>
  <si>
    <t>WL-03054</t>
  </si>
  <si>
    <t>SKP-2026-0344</t>
  </si>
  <si>
    <t>WL-03817</t>
  </si>
  <si>
    <t>SKP-2026-0345</t>
  </si>
  <si>
    <t>WL-03653</t>
  </si>
  <si>
    <t>SKP-2026-0346</t>
  </si>
  <si>
    <t>WL-01605</t>
  </si>
  <si>
    <t>SKP-2026-0347</t>
  </si>
  <si>
    <t>WL-01550</t>
  </si>
  <si>
    <t>SKP-2026-0348</t>
  </si>
  <si>
    <t>WL-02930</t>
  </si>
  <si>
    <t>SKP-2026-0349</t>
  </si>
  <si>
    <t>SKP-2026-0350</t>
  </si>
  <si>
    <t>WL-01038</t>
  </si>
  <si>
    <t>SKP-2026-0351</t>
  </si>
  <si>
    <t>WL-02306</t>
  </si>
  <si>
    <t>SKP-2026-0352</t>
  </si>
  <si>
    <t>WL-01139</t>
  </si>
  <si>
    <t>SKP-2026-0353</t>
  </si>
  <si>
    <t>WL-03279</t>
  </si>
  <si>
    <t>SKP-2026-0354</t>
  </si>
  <si>
    <t>WL-03305</t>
  </si>
  <si>
    <t>SKP-2026-0355</t>
  </si>
  <si>
    <t>WL-02417</t>
  </si>
  <si>
    <t>SKP-2026-0356</t>
  </si>
  <si>
    <t>WL-01084</t>
  </si>
  <si>
    <t>SKP-2026-0357</t>
  </si>
  <si>
    <t>WL-03306</t>
  </si>
  <si>
    <t>SKP-2026-0358</t>
  </si>
  <si>
    <t>WL-01283</t>
  </si>
  <si>
    <t>SKP-2026-0359</t>
  </si>
  <si>
    <t>WL-02766</t>
  </si>
  <si>
    <t>SKP-2026-0360</t>
  </si>
  <si>
    <t>WL-03088</t>
  </si>
  <si>
    <t>SKP-2026-0361</t>
  </si>
  <si>
    <t>WL-03139</t>
  </si>
  <si>
    <t>SKP-2026-0362</t>
  </si>
  <si>
    <t>WL-02120</t>
  </si>
  <si>
    <t>SKP-2026-0363</t>
  </si>
  <si>
    <t>WL-02353</t>
  </si>
  <si>
    <t>SKP-2026-0364</t>
  </si>
  <si>
    <t>WL-02504</t>
  </si>
  <si>
    <t>SKP-2026-0365</t>
  </si>
  <si>
    <t>SKP-2026-0366</t>
  </si>
  <si>
    <t>WL-01288</t>
  </si>
  <si>
    <t>SKP-2026-0367</t>
  </si>
  <si>
    <t>WL-02639</t>
  </si>
  <si>
    <t>SKP-2026-0368</t>
  </si>
  <si>
    <t>WL-03754</t>
  </si>
  <si>
    <t>SKP-2026-0369</t>
  </si>
  <si>
    <t>WL-01205</t>
  </si>
  <si>
    <t>SKP-2026-0370</t>
  </si>
  <si>
    <t>WL-03607</t>
  </si>
  <si>
    <t>SKP-2026-0371</t>
  </si>
  <si>
    <t>WL-03896</t>
  </si>
  <si>
    <t>SKP-2026-0372</t>
  </si>
  <si>
    <t>WL-03247</t>
  </si>
  <si>
    <t>SKP-2026-0373</t>
  </si>
  <si>
    <t>WL-02671</t>
  </si>
  <si>
    <t>SKP-2026-0374</t>
  </si>
  <si>
    <t>WL-01404</t>
  </si>
  <si>
    <t>SKP-2026-0375</t>
  </si>
  <si>
    <t>WL-01299</t>
  </si>
  <si>
    <t>SKP-2026-0376</t>
  </si>
  <si>
    <t>WL-03152</t>
  </si>
  <si>
    <t>SKP-2026-0377</t>
  </si>
  <si>
    <t>WL-01255</t>
  </si>
  <si>
    <t>SKP-2026-0378</t>
  </si>
  <si>
    <t>WL-01109</t>
  </si>
  <si>
    <t>SKP-2026-0379</t>
  </si>
  <si>
    <t>WL-02315</t>
  </si>
  <si>
    <t>SKP-2026-0380</t>
  </si>
  <si>
    <t>WL-03078</t>
  </si>
  <si>
    <t>SKP-2026-0381</t>
  </si>
  <si>
    <t>WL-01954</t>
  </si>
  <si>
    <t>SKP-2026-0382</t>
  </si>
  <si>
    <t>WL-02098</t>
  </si>
  <si>
    <t>SKP-2026-0383</t>
  </si>
  <si>
    <t>WL-01256</t>
  </si>
  <si>
    <t>SKP-2026-0384</t>
  </si>
  <si>
    <t>WL-01936</t>
  </si>
  <si>
    <t>SKP-2026-0385</t>
  </si>
  <si>
    <t>WL-03690</t>
  </si>
  <si>
    <t>SKP-2026-0386</t>
  </si>
  <si>
    <t>WL-03787</t>
  </si>
  <si>
    <t>SKP-2026-0387</t>
  </si>
  <si>
    <t>SKP-2026-0388</t>
  </si>
  <si>
    <t>WL-01982</t>
  </si>
  <si>
    <t>SKP-2026-0389</t>
  </si>
  <si>
    <t>SKP-2026-0390</t>
  </si>
  <si>
    <t>WL-03071</t>
  </si>
  <si>
    <t>SKP-2026-0391</t>
  </si>
  <si>
    <t>WL-03106</t>
  </si>
  <si>
    <t>SKP-2026-0392</t>
  </si>
  <si>
    <t>WL-03260</t>
  </si>
  <si>
    <t>SKP-2026-0393</t>
  </si>
  <si>
    <t>WL-02358</t>
  </si>
  <si>
    <t>SKP-2026-0394</t>
  </si>
  <si>
    <t>WL-03397</t>
  </si>
  <si>
    <t>SKP-2026-0395</t>
  </si>
  <si>
    <t>WL-02900</t>
  </si>
  <si>
    <t>SKP-2026-0396</t>
  </si>
  <si>
    <t>WL-02436</t>
  </si>
  <si>
    <t>SKP-2026-0397</t>
  </si>
  <si>
    <t>WL-01722</t>
  </si>
  <si>
    <t>SKP-2026-0398</t>
  </si>
  <si>
    <t>WL-03059</t>
  </si>
  <si>
    <t>SKP-2023-0408</t>
  </si>
  <si>
    <t>WL-02618</t>
  </si>
  <si>
    <t>SKP-2024-0409</t>
  </si>
  <si>
    <t>WL-03044</t>
  </si>
  <si>
    <t>SKP-2024-0410</t>
  </si>
  <si>
    <t>SKP-2024-0411</t>
  </si>
  <si>
    <t>WL-02877</t>
  </si>
  <si>
    <t>SKP-2025-0412</t>
  </si>
  <si>
    <t>WL-03102</t>
  </si>
  <si>
    <t>Amendment</t>
  </si>
  <si>
    <t>AMD-000285</t>
  </si>
  <si>
    <t>WL-02933</t>
  </si>
  <si>
    <t>No certificate, no downstream skip</t>
  </si>
  <si>
    <t>AMD-000288</t>
  </si>
  <si>
    <t>No certificate, has downstream skip</t>
  </si>
  <si>
    <t>AMD-000289</t>
  </si>
  <si>
    <t>WL-03103</t>
  </si>
  <si>
    <t>AMD-000316</t>
  </si>
  <si>
    <t>WL-03085</t>
  </si>
  <si>
    <t>AMD-000322</t>
  </si>
  <si>
    <t>WL-01962</t>
  </si>
  <si>
    <t>AMD-000338</t>
  </si>
  <si>
    <t>WL-03600</t>
  </si>
  <si>
    <t>AMD-000339</t>
  </si>
  <si>
    <t>WL-02493</t>
  </si>
  <si>
    <t>AMD-000343</t>
  </si>
  <si>
    <t>WL-03241</t>
  </si>
  <si>
    <t>AMD-000356</t>
  </si>
  <si>
    <t>AMD-000368</t>
  </si>
  <si>
    <t>WL-01115</t>
  </si>
  <si>
    <t>AMD-000380</t>
  </si>
  <si>
    <t>AMD-000403</t>
  </si>
  <si>
    <t>WL-01088</t>
  </si>
  <si>
    <t>AMD-000413</t>
  </si>
  <si>
    <t>WL-02512</t>
  </si>
  <si>
    <t>AMD-000415</t>
  </si>
  <si>
    <t>WL-02107</t>
  </si>
  <si>
    <t>AMD-000416</t>
  </si>
  <si>
    <t>WL-03636</t>
  </si>
  <si>
    <t>AMD-000425</t>
  </si>
  <si>
    <t>WL-03350</t>
  </si>
  <si>
    <t>AMD-000431</t>
  </si>
  <si>
    <t>WL-03727</t>
  </si>
  <si>
    <t>AMD-000435</t>
  </si>
  <si>
    <t>AMD-000436</t>
  </si>
  <si>
    <t>WL-02036</t>
  </si>
  <si>
    <t>AMD-000461</t>
  </si>
  <si>
    <t>WL-03633</t>
  </si>
  <si>
    <t>AMD-000462</t>
  </si>
  <si>
    <t>WL-02309</t>
  </si>
  <si>
    <t>AMD-000471</t>
  </si>
  <si>
    <t>WL-02957</t>
  </si>
  <si>
    <t>AMD-000478</t>
  </si>
  <si>
    <t>WL-03274</t>
  </si>
  <si>
    <t>AMD-000482</t>
  </si>
  <si>
    <t>WL-03883</t>
  </si>
  <si>
    <t>AMD-000506</t>
  </si>
  <si>
    <t>WL-02724</t>
  </si>
  <si>
    <t>AMD-000526</t>
  </si>
  <si>
    <t>WL-03429</t>
  </si>
  <si>
    <t>AMD-000528</t>
  </si>
  <si>
    <t>AMD-000580</t>
  </si>
  <si>
    <t>WL-03115</t>
  </si>
  <si>
    <t>AMD-000584</t>
  </si>
  <si>
    <t>WL-03617</t>
  </si>
  <si>
    <t>AMD-000601</t>
  </si>
  <si>
    <t>WL-01670</t>
  </si>
  <si>
    <t>AMD-000610</t>
  </si>
  <si>
    <t>WL-02695</t>
  </si>
  <si>
    <t>AMD-000627</t>
  </si>
  <si>
    <t>WL-01438</t>
  </si>
  <si>
    <t>AMD-000646</t>
  </si>
  <si>
    <t>WL-02496</t>
  </si>
  <si>
    <t>AMD-000661</t>
  </si>
  <si>
    <t>WL-02263</t>
  </si>
  <si>
    <t>AMD-000662</t>
  </si>
  <si>
    <t>WL-02278</t>
  </si>
  <si>
    <t>AMD-000682</t>
  </si>
  <si>
    <t>WL-02641</t>
  </si>
  <si>
    <t>AMD-000691</t>
  </si>
  <si>
    <t>AMD-000694</t>
  </si>
  <si>
    <t>WL-03698</t>
  </si>
  <si>
    <t>AMD-000705</t>
  </si>
  <si>
    <t>AMD-000709</t>
  </si>
  <si>
    <t>WL-01302</t>
  </si>
  <si>
    <t>AMD-000712</t>
  </si>
  <si>
    <t>WL-01762</t>
  </si>
  <si>
    <t>AMD-000714</t>
  </si>
  <si>
    <t>AMD-000750</t>
  </si>
  <si>
    <t>WL-03333</t>
  </si>
  <si>
    <t>AMD-000760</t>
  </si>
  <si>
    <t>WL-03183</t>
  </si>
  <si>
    <t>AMD-000763</t>
  </si>
  <si>
    <t>WL-02205</t>
  </si>
  <si>
    <t>AMD-000772</t>
  </si>
  <si>
    <t>AMD-000777</t>
  </si>
  <si>
    <t>WL-02881</t>
  </si>
  <si>
    <t>AMD-000779</t>
  </si>
  <si>
    <t>WL-01864</t>
  </si>
  <si>
    <t>AMD-000782</t>
  </si>
  <si>
    <t>WL-03250</t>
  </si>
  <si>
    <t>AMD-000785</t>
  </si>
  <si>
    <t>WL-03293</t>
  </si>
  <si>
    <t>AMD-000803</t>
  </si>
  <si>
    <t>WL-03666</t>
  </si>
  <si>
    <t>AMD-000808</t>
  </si>
  <si>
    <t>WL-03319</t>
  </si>
  <si>
    <t>AMD-000848</t>
  </si>
  <si>
    <t>WL-02342</t>
  </si>
  <si>
    <t>AMD-000876</t>
  </si>
  <si>
    <t>WL-03908</t>
  </si>
  <si>
    <t>AMD-000887</t>
  </si>
  <si>
    <t>WL-02969</t>
  </si>
  <si>
    <t>AMD-000890</t>
  </si>
  <si>
    <t>WL-02279</t>
  </si>
  <si>
    <t>AMD-000893</t>
  </si>
  <si>
    <t>WL-01874</t>
  </si>
  <si>
    <t>AMD-000913</t>
  </si>
  <si>
    <t>WL-03638</t>
  </si>
  <si>
    <t>AMD-000930</t>
  </si>
  <si>
    <t>WL-02495</t>
  </si>
  <si>
    <t>AMD-000935</t>
  </si>
  <si>
    <t>WL-01361</t>
  </si>
  <si>
    <t>AMD-000967</t>
  </si>
  <si>
    <t>AMD-000971</t>
  </si>
  <si>
    <t>WL-01323</t>
  </si>
  <si>
    <t>AMD-000977</t>
  </si>
  <si>
    <t>WL-01619</t>
  </si>
  <si>
    <t>AMD-000982</t>
  </si>
  <si>
    <t>WL-01621</t>
  </si>
  <si>
    <t>AMD-000999</t>
  </si>
  <si>
    <t>WL-01937</t>
  </si>
  <si>
    <t>AMD-001016</t>
  </si>
  <si>
    <t>WL-01018</t>
  </si>
  <si>
    <t>AMD-001027</t>
  </si>
  <si>
    <t>WL-01929</t>
  </si>
  <si>
    <t>AMD-001059</t>
  </si>
  <si>
    <t>WL-03272</t>
  </si>
  <si>
    <t>AMD-001092</t>
  </si>
  <si>
    <t>WL-01999</t>
  </si>
  <si>
    <t>AMD-001093</t>
  </si>
  <si>
    <t>WL-01027</t>
  </si>
  <si>
    <t>AMD-001105</t>
  </si>
  <si>
    <t>WL-02950</t>
  </si>
  <si>
    <t>AMD-001109</t>
  </si>
  <si>
    <t>AMD-001117</t>
  </si>
  <si>
    <t>WL-02128</t>
  </si>
  <si>
    <t>AMD-001120</t>
  </si>
  <si>
    <t>WL-02592</t>
  </si>
  <si>
    <t>AMD-001151</t>
  </si>
  <si>
    <t>WL-02647</t>
  </si>
  <si>
    <t>AMD-001166</t>
  </si>
  <si>
    <t>AMD-001167</t>
  </si>
  <si>
    <t>WL-01816</t>
  </si>
  <si>
    <t>AMD-001170</t>
  </si>
  <si>
    <t>WL-01411</t>
  </si>
  <si>
    <t>AMD-001192</t>
  </si>
  <si>
    <t>AMD-001200</t>
  </si>
  <si>
    <t>AMD-001204</t>
  </si>
  <si>
    <t>AMD-001230</t>
  </si>
  <si>
    <t>WL-01607</t>
  </si>
  <si>
    <t>AMD-001231</t>
  </si>
  <si>
    <t>WL-01289</t>
  </si>
  <si>
    <t>AMD-001232</t>
  </si>
  <si>
    <t>WL-01573</t>
  </si>
  <si>
    <t>AMD-001241</t>
  </si>
  <si>
    <t>WL-02437</t>
  </si>
  <si>
    <t>AMD-001244</t>
  </si>
  <si>
    <t>WL-01492</t>
  </si>
  <si>
    <t>AMD-001260</t>
  </si>
  <si>
    <t>WL-03524</t>
  </si>
  <si>
    <t>AMD-001263</t>
  </si>
  <si>
    <t>WL-03800</t>
  </si>
  <si>
    <t>AMD-001267</t>
  </si>
  <si>
    <t>WL-03433</t>
  </si>
  <si>
    <t>AMD-001278</t>
  </si>
  <si>
    <t>WL-02527</t>
  </si>
  <si>
    <t>AMD-001279</t>
  </si>
  <si>
    <t>WL-02561</t>
  </si>
  <si>
    <t>AMD-001287</t>
  </si>
  <si>
    <t>WL-03381</t>
  </si>
  <si>
    <t>AMD-001294</t>
  </si>
  <si>
    <t>WL-01766</t>
  </si>
  <si>
    <t>AMD-001311</t>
  </si>
  <si>
    <t>WL-02239</t>
  </si>
  <si>
    <t>AMD-001313</t>
  </si>
  <si>
    <t>WL-02310</t>
  </si>
  <si>
    <t>AMD-001323</t>
  </si>
  <si>
    <t>WL-01430</t>
  </si>
  <si>
    <t>AMD-001327</t>
  </si>
  <si>
    <t>AMD-001328</t>
  </si>
  <si>
    <t>WL-03547</t>
  </si>
  <si>
    <t>AMD-001331</t>
  </si>
  <si>
    <t>WL-03757</t>
  </si>
  <si>
    <t>AMD-001350</t>
  </si>
  <si>
    <t>WL-02398</t>
  </si>
  <si>
    <t>AMD-001362</t>
  </si>
  <si>
    <t>WL-03050</t>
  </si>
  <si>
    <t>AMD-001384</t>
  </si>
  <si>
    <t>WL-02442</t>
  </si>
  <si>
    <t>AMD-001400</t>
  </si>
  <si>
    <t>WL-03511</t>
  </si>
  <si>
    <t>AMD-001403</t>
  </si>
  <si>
    <t>WL-02150</t>
  </si>
  <si>
    <t>AMD-001406</t>
  </si>
  <si>
    <t>WL-03583</t>
  </si>
  <si>
    <t>AMD-001408</t>
  </si>
  <si>
    <t>WL-02001</t>
  </si>
  <si>
    <t>AMD-001409</t>
  </si>
  <si>
    <t>WL-02133</t>
  </si>
  <si>
    <t>AMD-001411</t>
  </si>
  <si>
    <t>WL-02026</t>
  </si>
  <si>
    <t>AMD-001414</t>
  </si>
  <si>
    <t>WL-03890</t>
  </si>
  <si>
    <t>AMD-001427</t>
  </si>
  <si>
    <t>WL-03470</t>
  </si>
  <si>
    <t>AMD-001430</t>
  </si>
  <si>
    <t>WL-03335</t>
  </si>
  <si>
    <t>AMD-001444</t>
  </si>
  <si>
    <t>WL-02327</t>
  </si>
  <si>
    <t>AMD-001449</t>
  </si>
  <si>
    <t>WL-01855</t>
  </si>
  <si>
    <t>AMD-001453</t>
  </si>
  <si>
    <t>WL-03650</t>
  </si>
  <si>
    <t>AMD-001460</t>
  </si>
  <si>
    <t>WL-02180</t>
  </si>
  <si>
    <t>AMD-001468</t>
  </si>
  <si>
    <t>WL-02459</t>
  </si>
  <si>
    <t>AMD-001481</t>
  </si>
  <si>
    <t>WL-02143</t>
  </si>
  <si>
    <t>AMD-001519</t>
  </si>
  <si>
    <t>WL-02035</t>
  </si>
  <si>
    <t>AMD-001525</t>
  </si>
  <si>
    <t>WL-01612</t>
  </si>
  <si>
    <t>AMD-001535</t>
  </si>
  <si>
    <t>WL-02431</t>
  </si>
  <si>
    <t>AMD-001545</t>
  </si>
  <si>
    <t>AMD-001557</t>
  </si>
  <si>
    <t>WL-01173</t>
  </si>
  <si>
    <t>AMD-001563</t>
  </si>
  <si>
    <t>WL-01350</t>
  </si>
  <si>
    <t>AMD-001565</t>
  </si>
  <si>
    <t>WL-01349</t>
  </si>
  <si>
    <t>AMD-001568</t>
  </si>
  <si>
    <t>AMD-001570</t>
  </si>
  <si>
    <t>WL-02799</t>
  </si>
  <si>
    <t>AMD-001577</t>
  </si>
  <si>
    <t>WL-03646</t>
  </si>
  <si>
    <t>AMD-001591</t>
  </si>
  <si>
    <t>WL-02821</t>
  </si>
  <si>
    <t>AMD-001597</t>
  </si>
  <si>
    <t>WL-03413</t>
  </si>
  <si>
    <t>AMD-001598</t>
  </si>
  <si>
    <t>WL-03035</t>
  </si>
  <si>
    <t>AMD-001604</t>
  </si>
  <si>
    <t>WL-03135</t>
  </si>
  <si>
    <t>AMD-001606</t>
  </si>
  <si>
    <t>WL-02090</t>
  </si>
  <si>
    <t>AMD-001608</t>
  </si>
  <si>
    <t>WL-02816</t>
  </si>
  <si>
    <t>AMD-001620</t>
  </si>
  <si>
    <t>AMD-001635</t>
  </si>
  <si>
    <t>WL-03261</t>
  </si>
  <si>
    <t>AMD-001646</t>
  </si>
  <si>
    <t>WL-01993</t>
  </si>
  <si>
    <t>AMD-001647</t>
  </si>
  <si>
    <t>WL-02083</t>
  </si>
  <si>
    <t>AMD-001655</t>
  </si>
  <si>
    <t>WL-03503</t>
  </si>
  <si>
    <t>AMD-001659</t>
  </si>
  <si>
    <t>WL-01977</t>
  </si>
  <si>
    <t>AMD-001681</t>
  </si>
  <si>
    <t>WL-01556</t>
  </si>
  <si>
    <t>AMD-001691</t>
  </si>
  <si>
    <t>WL-02109</t>
  </si>
  <si>
    <t>AMD-001695</t>
  </si>
  <si>
    <t>WL-02213</t>
  </si>
  <si>
    <t>AMD-001700</t>
  </si>
  <si>
    <t>WL-01474</t>
  </si>
  <si>
    <t>AMD-001705</t>
  </si>
  <si>
    <t>WL-03031</t>
  </si>
  <si>
    <t>AMD-001727</t>
  </si>
  <si>
    <t>WL-02506</t>
  </si>
  <si>
    <t>AMD-001749</t>
  </si>
  <si>
    <t>WL-01867</t>
  </si>
  <si>
    <t>AMD-001778</t>
  </si>
  <si>
    <t>WL-02031</t>
  </si>
  <si>
    <t>AMD-001779</t>
  </si>
  <si>
    <t>WL-01603</t>
  </si>
  <si>
    <t>AMD-001799</t>
  </si>
  <si>
    <t>WL-03292</t>
  </si>
  <si>
    <t>AMD-001803</t>
  </si>
  <si>
    <t>WL-01275</t>
  </si>
  <si>
    <t>AMD-001820</t>
  </si>
  <si>
    <t>WL-01357</t>
  </si>
  <si>
    <t>AMD-001821</t>
  </si>
  <si>
    <t>WL-01113</t>
  </si>
  <si>
    <t>AMD-001826</t>
  </si>
  <si>
    <t>WL-01845</t>
  </si>
  <si>
    <t>AMD-001830</t>
  </si>
  <si>
    <t>WL-01423</t>
  </si>
  <si>
    <t>AMD-001832</t>
  </si>
  <si>
    <t>WL-03048</t>
  </si>
  <si>
    <t>AMD-001833</t>
  </si>
  <si>
    <t>AMD-001834</t>
  </si>
  <si>
    <t>WL-03679</t>
  </si>
  <si>
    <t>AMD-001837</t>
  </si>
  <si>
    <t>WL-01057</t>
  </si>
  <si>
    <t>AMD-001852</t>
  </si>
  <si>
    <t>WL-01995</t>
  </si>
  <si>
    <t>AMD-001859</t>
  </si>
  <si>
    <t>WL-02085</t>
  </si>
  <si>
    <t>AMD-001861</t>
  </si>
  <si>
    <t>WL-02978</t>
  </si>
  <si>
    <t>AMD-001866</t>
  </si>
  <si>
    <t>WL-03887</t>
  </si>
  <si>
    <t>AMD-001883</t>
  </si>
  <si>
    <t>WL-01947</t>
  </si>
  <si>
    <t>AMD-001884</t>
  </si>
  <si>
    <t>WL-02955</t>
  </si>
  <si>
    <t>AMD-001889</t>
  </si>
  <si>
    <t>AMD-001891</t>
  </si>
  <si>
    <t>WL-01077</t>
  </si>
  <si>
    <t>AMD-001899</t>
  </si>
  <si>
    <t>WL-01534</t>
  </si>
  <si>
    <t>AMD-001929</t>
  </si>
  <si>
    <t>AMD-001950</t>
  </si>
  <si>
    <t>WL-01569</t>
  </si>
  <si>
    <t>AMD-001956</t>
  </si>
  <si>
    <t>WL-01484</t>
  </si>
  <si>
    <t>AMD-001957</t>
  </si>
  <si>
    <t>WL-03475</t>
  </si>
  <si>
    <t>AMD-001978</t>
  </si>
  <si>
    <t>WL-03468</t>
  </si>
  <si>
    <t>AMD-001980</t>
  </si>
  <si>
    <t>WL-02245</t>
  </si>
  <si>
    <t>AMD-001982</t>
  </si>
  <si>
    <t>WL-03045</t>
  </si>
  <si>
    <t>AMD-001983</t>
  </si>
  <si>
    <t>WL-03716</t>
  </si>
  <si>
    <t>AMD-001999</t>
  </si>
  <si>
    <t>WL-02586</t>
  </si>
  <si>
    <t>AMD-002000</t>
  </si>
  <si>
    <t>WL-02699</t>
  </si>
  <si>
    <t>AMD-002013</t>
  </si>
  <si>
    <t>WL-03474</t>
  </si>
  <si>
    <t>AMD-002017</t>
  </si>
  <si>
    <t>WL-02175</t>
  </si>
  <si>
    <t>AMD-002028</t>
  </si>
  <si>
    <t>WL-01114</t>
  </si>
  <si>
    <t>AMD-002045</t>
  </si>
  <si>
    <t>WL-03265</t>
  </si>
  <si>
    <t>AMD-002077</t>
  </si>
  <si>
    <t>WL-01342</t>
  </si>
  <si>
    <t>AMD-002078</t>
  </si>
  <si>
    <t>WL-03368</t>
  </si>
  <si>
    <t>AMD-002104</t>
  </si>
  <si>
    <t>WL-01601</t>
  </si>
  <si>
    <t>AMD-002114</t>
  </si>
  <si>
    <t>WL-03764</t>
  </si>
  <si>
    <t>AMD-002125</t>
  </si>
  <si>
    <t>AMD-002138</t>
  </si>
  <si>
    <t>WL-02868</t>
  </si>
  <si>
    <t>AMD-002143</t>
  </si>
  <si>
    <t>WL-02332</t>
  </si>
  <si>
    <t>AMD-002148</t>
  </si>
  <si>
    <t>WL-02874</t>
  </si>
  <si>
    <t>AMD-002150</t>
  </si>
  <si>
    <t>WL-02829</t>
  </si>
  <si>
    <t>AMD-002154</t>
  </si>
  <si>
    <t>WL-02807</t>
  </si>
  <si>
    <t>AMD-002169</t>
  </si>
  <si>
    <t>WL-03472</t>
  </si>
  <si>
    <t>AMD-002182</t>
  </si>
  <si>
    <t>WL-03878</t>
  </si>
  <si>
    <t>AMD-002200</t>
  </si>
  <si>
    <t>WL-02118</t>
  </si>
  <si>
    <t>AMD-002203</t>
  </si>
  <si>
    <t>AMD-002206</t>
  </si>
  <si>
    <t>WL-02573</t>
  </si>
  <si>
    <t>AMD-002228</t>
  </si>
  <si>
    <t>AMD-002242</t>
  </si>
  <si>
    <t>WL-03688</t>
  </si>
  <si>
    <t>Slip ID</t>
  </si>
  <si>
    <t>Status</t>
  </si>
  <si>
    <t>Vessel LOA (ft)</t>
  </si>
  <si>
    <t>Slip Size (ft)</t>
  </si>
  <si>
    <t>Actual Billed</t>
  </si>
  <si>
    <t>Expected Charge</t>
  </si>
  <si>
    <t>Variance</t>
  </si>
  <si>
    <t>Exception Priority</t>
  </si>
  <si>
    <t>LP-0101</t>
  </si>
  <si>
    <t>OCCUPIED</t>
  </si>
  <si>
    <t>COVERED</t>
  </si>
  <si>
    <t>LP-0102</t>
  </si>
  <si>
    <t>LP-0103</t>
  </si>
  <si>
    <t>LP-0104</t>
  </si>
  <si>
    <t>LP-0105</t>
  </si>
  <si>
    <t>LP-0106</t>
  </si>
  <si>
    <t>LP-0107</t>
  </si>
  <si>
    <t>LP-0108</t>
  </si>
  <si>
    <t>LP-0109</t>
  </si>
  <si>
    <t>LP-0110</t>
  </si>
  <si>
    <t>LP-0111</t>
  </si>
  <si>
    <t>LP-0113</t>
  </si>
  <si>
    <t>LP-0114</t>
  </si>
  <si>
    <t>LP-0115</t>
  </si>
  <si>
    <t>LP-0116</t>
  </si>
  <si>
    <t>LP-0117</t>
  </si>
  <si>
    <t>LP-0118</t>
  </si>
  <si>
    <t>LP-0119</t>
  </si>
  <si>
    <t>LP-0120</t>
  </si>
  <si>
    <t>LP-0121</t>
  </si>
  <si>
    <t>LP-0122</t>
  </si>
  <si>
    <t>LP-0123</t>
  </si>
  <si>
    <t>LP-0124</t>
  </si>
  <si>
    <t>LP-0201</t>
  </si>
  <si>
    <t>LP-0202</t>
  </si>
  <si>
    <t>LP-0203</t>
  </si>
  <si>
    <t>LP-0204</t>
  </si>
  <si>
    <t>LP-0205</t>
  </si>
  <si>
    <t>LP-0206</t>
  </si>
  <si>
    <t>LP-0208</t>
  </si>
  <si>
    <t>LP-0209</t>
  </si>
  <si>
    <t>LP-0210</t>
  </si>
  <si>
    <t>LP-0212</t>
  </si>
  <si>
    <t>LP-0213</t>
  </si>
  <si>
    <t>LP-0214</t>
  </si>
  <si>
    <t>LP-0215</t>
  </si>
  <si>
    <t>LP-0216</t>
  </si>
  <si>
    <t>LP-0217</t>
  </si>
  <si>
    <t>LP-0218</t>
  </si>
  <si>
    <t>LP-0219</t>
  </si>
  <si>
    <t>LP-0220</t>
  </si>
  <si>
    <t>LP-0221</t>
  </si>
  <si>
    <t>LP-0222</t>
  </si>
  <si>
    <t>LP-0223</t>
  </si>
  <si>
    <t>LP-0224</t>
  </si>
  <si>
    <t>LP-0301</t>
  </si>
  <si>
    <t>LP-0302</t>
  </si>
  <si>
    <t>LP-0303</t>
  </si>
  <si>
    <t>LP-0305</t>
  </si>
  <si>
    <t>LP-0306</t>
  </si>
  <si>
    <t>LP-0307</t>
  </si>
  <si>
    <t>LP-0309</t>
  </si>
  <si>
    <t>LP-0311</t>
  </si>
  <si>
    <t>LP-0312</t>
  </si>
  <si>
    <t>LP-0313</t>
  </si>
  <si>
    <t>LP-0314</t>
  </si>
  <si>
    <t>LP-0315</t>
  </si>
  <si>
    <t>LP-0316</t>
  </si>
  <si>
    <t>LP-0317</t>
  </si>
  <si>
    <t>LP-0318</t>
  </si>
  <si>
    <t>LP-0320</t>
  </si>
  <si>
    <t>LP-0321</t>
  </si>
  <si>
    <t>LP-0322</t>
  </si>
  <si>
    <t>LP-0323</t>
  </si>
  <si>
    <t>LP-0324</t>
  </si>
  <si>
    <t>LP-0402</t>
  </si>
  <si>
    <t>LP-0403</t>
  </si>
  <si>
    <t>LP-0404</t>
  </si>
  <si>
    <t>LP-0405</t>
  </si>
  <si>
    <t>LP-0406</t>
  </si>
  <si>
    <t>LP-0407</t>
  </si>
  <si>
    <t>LP-0408</t>
  </si>
  <si>
    <t>LP-0409</t>
  </si>
  <si>
    <t>LP-0410</t>
  </si>
  <si>
    <t>LP-0411</t>
  </si>
  <si>
    <t>LP-0412</t>
  </si>
  <si>
    <t>LP-0413</t>
  </si>
  <si>
    <t>LP-0415</t>
  </si>
  <si>
    <t>LP-0416</t>
  </si>
  <si>
    <t>LP-0417</t>
  </si>
  <si>
    <t>LP-0418</t>
  </si>
  <si>
    <t>LP-0419</t>
  </si>
  <si>
    <t>LP-0420</t>
  </si>
  <si>
    <t>LP-0421</t>
  </si>
  <si>
    <t>LP-0422</t>
  </si>
  <si>
    <t>LP-0423</t>
  </si>
  <si>
    <t>LP-0424</t>
  </si>
  <si>
    <t>LP-0502</t>
  </si>
  <si>
    <t>LP-0503</t>
  </si>
  <si>
    <t>LP-0504</t>
  </si>
  <si>
    <t>LP-0505</t>
  </si>
  <si>
    <t>LP-0506</t>
  </si>
  <si>
    <t>LP-0507</t>
  </si>
  <si>
    <t>LP-0508</t>
  </si>
  <si>
    <t>LP-0509</t>
  </si>
  <si>
    <t>LP-0510</t>
  </si>
  <si>
    <t>LP-0511</t>
  </si>
  <si>
    <t>LP-0512</t>
  </si>
  <si>
    <t>LP-0513</t>
  </si>
  <si>
    <t>LP-0514</t>
  </si>
  <si>
    <t>LP-0516</t>
  </si>
  <si>
    <t>LP-0517</t>
  </si>
  <si>
    <t>LP-0518</t>
  </si>
  <si>
    <t>LP-0519</t>
  </si>
  <si>
    <t>LP-0520</t>
  </si>
  <si>
    <t>LP-0521</t>
  </si>
  <si>
    <t>LP-0522</t>
  </si>
  <si>
    <t>LP-0523</t>
  </si>
  <si>
    <t>LP-0524</t>
  </si>
  <si>
    <t>LP-0601</t>
  </si>
  <si>
    <t>LP-0602</t>
  </si>
  <si>
    <t>LP-0603</t>
  </si>
  <si>
    <t>LP-0604</t>
  </si>
  <si>
    <t>LP-0605</t>
  </si>
  <si>
    <t>LP-0606</t>
  </si>
  <si>
    <t>LP-0607</t>
  </si>
  <si>
    <t>LP-0608</t>
  </si>
  <si>
    <t>LP-0609</t>
  </si>
  <si>
    <t>LP-0610</t>
  </si>
  <si>
    <t>LP-0611</t>
  </si>
  <si>
    <t>LP-0612</t>
  </si>
  <si>
    <t>LP-0613</t>
  </si>
  <si>
    <t>LP-0614</t>
  </si>
  <si>
    <t>LP-0615</t>
  </si>
  <si>
    <t>LP-0616</t>
  </si>
  <si>
    <t>LP-0617</t>
  </si>
  <si>
    <t>LP-0618</t>
  </si>
  <si>
    <t>LP-0620</t>
  </si>
  <si>
    <t>LP-0621</t>
  </si>
  <si>
    <t>LP-0622</t>
  </si>
  <si>
    <t>LP-0623</t>
  </si>
  <si>
    <t>LP-0624</t>
  </si>
  <si>
    <t>LP-0701</t>
  </si>
  <si>
    <t>LP-0702</t>
  </si>
  <si>
    <t>LP-0703</t>
  </si>
  <si>
    <t>LP-0704</t>
  </si>
  <si>
    <t>LP-0705</t>
  </si>
  <si>
    <t>LP-0706</t>
  </si>
  <si>
    <t>LP-0707</t>
  </si>
  <si>
    <t>LP-0708</t>
  </si>
  <si>
    <t>LP-0709</t>
  </si>
  <si>
    <t>LP-0710</t>
  </si>
  <si>
    <t>LP-0711</t>
  </si>
  <si>
    <t>LP-0712</t>
  </si>
  <si>
    <t>LP-0713</t>
  </si>
  <si>
    <t>LP-0714</t>
  </si>
  <si>
    <t>LP-0715</t>
  </si>
  <si>
    <t>LP-0716</t>
  </si>
  <si>
    <t>LP-0717</t>
  </si>
  <si>
    <t>LP-0718</t>
  </si>
  <si>
    <t>LP-0719</t>
  </si>
  <si>
    <t>LP-0720</t>
  </si>
  <si>
    <t>LP-0722</t>
  </si>
  <si>
    <t>LP-0723</t>
  </si>
  <si>
    <t>LP-0724</t>
  </si>
  <si>
    <t>LP-0801</t>
  </si>
  <si>
    <t>LP-0802</t>
  </si>
  <si>
    <t>LP-0803</t>
  </si>
  <si>
    <t>LP-0805</t>
  </si>
  <si>
    <t>LP-0806</t>
  </si>
  <si>
    <t>LP-0807</t>
  </si>
  <si>
    <t>LP-0808</t>
  </si>
  <si>
    <t>LP-0809</t>
  </si>
  <si>
    <t>LP-0811</t>
  </si>
  <si>
    <t>LP-0812</t>
  </si>
  <si>
    <t>LP-0813</t>
  </si>
  <si>
    <t>LP-0814</t>
  </si>
  <si>
    <t>LP-0815</t>
  </si>
  <si>
    <t>LP-0816</t>
  </si>
  <si>
    <t>LP-0817</t>
  </si>
  <si>
    <t>LP-0818</t>
  </si>
  <si>
    <t>LP-0819</t>
  </si>
  <si>
    <t>LP-0820</t>
  </si>
  <si>
    <t>LP-0821</t>
  </si>
  <si>
    <t>LP-0822</t>
  </si>
  <si>
    <t>LP-0823</t>
  </si>
  <si>
    <t>LP-0824</t>
  </si>
  <si>
    <t>LP-0901</t>
  </si>
  <si>
    <t>LP-0902</t>
  </si>
  <si>
    <t>LP-0903</t>
  </si>
  <si>
    <t>LP-0904</t>
  </si>
  <si>
    <t>LP-0905</t>
  </si>
  <si>
    <t>LP-0906</t>
  </si>
  <si>
    <t>LP-0907</t>
  </si>
  <si>
    <t>LP-0908</t>
  </si>
  <si>
    <t>LP-0909</t>
  </si>
  <si>
    <t>LP-0910</t>
  </si>
  <si>
    <t>LP-0911</t>
  </si>
  <si>
    <t>LP-0912</t>
  </si>
  <si>
    <t>LP-0913</t>
  </si>
  <si>
    <t>LP-0914</t>
  </si>
  <si>
    <t>LP-0915</t>
  </si>
  <si>
    <t>LP-0917</t>
  </si>
  <si>
    <t>LP-0918</t>
  </si>
  <si>
    <t>LP-0919</t>
  </si>
  <si>
    <t>LP-0920</t>
  </si>
  <si>
    <t>LP-0921</t>
  </si>
  <si>
    <t>LP-0922</t>
  </si>
  <si>
    <t>LP-0923</t>
  </si>
  <si>
    <t>LP-0924</t>
  </si>
  <si>
    <t>LP-1001</t>
  </si>
  <si>
    <t>LP-1002</t>
  </si>
  <si>
    <t>LP-1003</t>
  </si>
  <si>
    <t>LP-1004</t>
  </si>
  <si>
    <t>LP-1005</t>
  </si>
  <si>
    <t>LP-1006</t>
  </si>
  <si>
    <t>LP-1007</t>
  </si>
  <si>
    <t>LP-1008</t>
  </si>
  <si>
    <t>LP-1009</t>
  </si>
  <si>
    <t>LP-1010</t>
  </si>
  <si>
    <t>LP-1011</t>
  </si>
  <si>
    <t>LP-1012</t>
  </si>
  <si>
    <t>LP-1013</t>
  </si>
  <si>
    <t>LP-1014</t>
  </si>
  <si>
    <t>LP-1016</t>
  </si>
  <si>
    <t>LP-1017</t>
  </si>
  <si>
    <t>LP-1018</t>
  </si>
  <si>
    <t>LP-1020</t>
  </si>
  <si>
    <t>LP-1021</t>
  </si>
  <si>
    <t>LP-1022</t>
  </si>
  <si>
    <t>LP-1023</t>
  </si>
  <si>
    <t>LP-1024</t>
  </si>
  <si>
    <t>LP-1102</t>
  </si>
  <si>
    <t>LP-1103</t>
  </si>
  <si>
    <t>LP-1104</t>
  </si>
  <si>
    <t>LP-1105</t>
  </si>
  <si>
    <t>LP-1106</t>
  </si>
  <si>
    <t>LP-1107</t>
  </si>
  <si>
    <t>LP-1108</t>
  </si>
  <si>
    <t>LP-1109</t>
  </si>
  <si>
    <t>LP-1110</t>
  </si>
  <si>
    <t>LP-1111</t>
  </si>
  <si>
    <t>LP-1112</t>
  </si>
  <si>
    <t>LP-1113</t>
  </si>
  <si>
    <t>LP-1114</t>
  </si>
  <si>
    <t>LP-1115</t>
  </si>
  <si>
    <t>LP-1116</t>
  </si>
  <si>
    <t>LP-1117</t>
  </si>
  <si>
    <t>LP-1118</t>
  </si>
  <si>
    <t>LP-1119</t>
  </si>
  <si>
    <t>LP-1120</t>
  </si>
  <si>
    <t>VB-0101</t>
  </si>
  <si>
    <t>VB-0102</t>
  </si>
  <si>
    <t>VB-0103</t>
  </si>
  <si>
    <t>VB-0105</t>
  </si>
  <si>
    <t>VB-0106</t>
  </si>
  <si>
    <t>VB-0107</t>
  </si>
  <si>
    <t>VB-0108</t>
  </si>
  <si>
    <t>VB-0109</t>
  </si>
  <si>
    <t>VB-0110</t>
  </si>
  <si>
    <t>VB-0111</t>
  </si>
  <si>
    <t>VB-0112</t>
  </si>
  <si>
    <t>VB-0113</t>
  </si>
  <si>
    <t>VB-0114</t>
  </si>
  <si>
    <t>VB-0115</t>
  </si>
  <si>
    <t>VB-0116</t>
  </si>
  <si>
    <t>VB-0117</t>
  </si>
  <si>
    <t>VB-0118</t>
  </si>
  <si>
    <t>VB-0119</t>
  </si>
  <si>
    <t>VB-0120</t>
  </si>
  <si>
    <t>VB-0121</t>
  </si>
  <si>
    <t>VB-0122</t>
  </si>
  <si>
    <t>VB-0123</t>
  </si>
  <si>
    <t>VB-0124</t>
  </si>
  <si>
    <t>VB-0201</t>
  </si>
  <si>
    <t>VB-0202</t>
  </si>
  <si>
    <t>VB-0203</t>
  </si>
  <si>
    <t>VB-0204</t>
  </si>
  <si>
    <t>VB-0205</t>
  </si>
  <si>
    <t>VB-0206</t>
  </si>
  <si>
    <t>VB-0207</t>
  </si>
  <si>
    <t>VB-0208</t>
  </si>
  <si>
    <t>VB-0209</t>
  </si>
  <si>
    <t>VB-0210</t>
  </si>
  <si>
    <t>VB-0211</t>
  </si>
  <si>
    <t>VB-0212</t>
  </si>
  <si>
    <t>VB-0213</t>
  </si>
  <si>
    <t>VB-0214</t>
  </si>
  <si>
    <t>VB-0215</t>
  </si>
  <si>
    <t>VB-0216</t>
  </si>
  <si>
    <t>VB-0217</t>
  </si>
  <si>
    <t>VB-0218</t>
  </si>
  <si>
    <t>VB-0219</t>
  </si>
  <si>
    <t>VB-0220</t>
  </si>
  <si>
    <t>VB-0221</t>
  </si>
  <si>
    <t>VB-0222</t>
  </si>
  <si>
    <t>VB-0223</t>
  </si>
  <si>
    <t>VB-0224</t>
  </si>
  <si>
    <t>VB-0302</t>
  </si>
  <si>
    <t>VB-0303</t>
  </si>
  <si>
    <t>VB-0304</t>
  </si>
  <si>
    <t>VB-0305</t>
  </si>
  <si>
    <t>VB-0306</t>
  </si>
  <si>
    <t>VB-0307</t>
  </si>
  <si>
    <t>VB-0308</t>
  </si>
  <si>
    <t>VB-0309</t>
  </si>
  <si>
    <t>VB-0310</t>
  </si>
  <si>
    <t>VB-0311</t>
  </si>
  <si>
    <t>VB-0312</t>
  </si>
  <si>
    <t>VB-0314</t>
  </si>
  <si>
    <t>VB-0315</t>
  </si>
  <si>
    <t>VB-0316</t>
  </si>
  <si>
    <t>VB-0317</t>
  </si>
  <si>
    <t>VB-0318</t>
  </si>
  <si>
    <t>VB-0319</t>
  </si>
  <si>
    <t>VB-0320</t>
  </si>
  <si>
    <t>VB-0321</t>
  </si>
  <si>
    <t>VB-0322</t>
  </si>
  <si>
    <t>VB-0323</t>
  </si>
  <si>
    <t>VB-0324</t>
  </si>
  <si>
    <t>VB-0401</t>
  </si>
  <si>
    <t>VB-0402</t>
  </si>
  <si>
    <t>VB-0403</t>
  </si>
  <si>
    <t>VB-0405</t>
  </si>
  <si>
    <t>VB-0406</t>
  </si>
  <si>
    <t>VB-0407</t>
  </si>
  <si>
    <t>VB-0408</t>
  </si>
  <si>
    <t>VB-0409</t>
  </si>
  <si>
    <t>VB-0410</t>
  </si>
  <si>
    <t>VB-0411</t>
  </si>
  <si>
    <t>VB-0412</t>
  </si>
  <si>
    <t>VB-0413</t>
  </si>
  <si>
    <t>VB-0414</t>
  </si>
  <si>
    <t>VB-0415</t>
  </si>
  <si>
    <t>VB-0416</t>
  </si>
  <si>
    <t>VB-0417</t>
  </si>
  <si>
    <t>VB-0418</t>
  </si>
  <si>
    <t>VB-0419</t>
  </si>
  <si>
    <t>VB-0420</t>
  </si>
  <si>
    <t>VB-0422</t>
  </si>
  <si>
    <t>VB-0423</t>
  </si>
  <si>
    <t>VB-0424</t>
  </si>
  <si>
    <t>VB-0501</t>
  </si>
  <si>
    <t>VB-0502</t>
  </si>
  <si>
    <t>VB-0504</t>
  </si>
  <si>
    <t>VB-0505</t>
  </si>
  <si>
    <t>VB-0506</t>
  </si>
  <si>
    <t>VB-0507</t>
  </si>
  <si>
    <t>VB-0508</t>
  </si>
  <si>
    <t>VB-0509</t>
  </si>
  <si>
    <t>VB-0510</t>
  </si>
  <si>
    <t>VB-0511</t>
  </si>
  <si>
    <t>VB-0512</t>
  </si>
  <si>
    <t>VB-0513</t>
  </si>
  <si>
    <t>VB-0514</t>
  </si>
  <si>
    <t>VB-0515</t>
  </si>
  <si>
    <t>VB-0517</t>
  </si>
  <si>
    <t>VB-0518</t>
  </si>
  <si>
    <t>VB-0519</t>
  </si>
  <si>
    <t>VB-0520</t>
  </si>
  <si>
    <t>VB-0521</t>
  </si>
  <si>
    <t>VB-0522</t>
  </si>
  <si>
    <t>VB-0523</t>
  </si>
  <si>
    <t>VB-0524</t>
  </si>
  <si>
    <t>VB-0601</t>
  </si>
  <si>
    <t>VB-0602</t>
  </si>
  <si>
    <t>VB-0603</t>
  </si>
  <si>
    <t>VB-0604</t>
  </si>
  <si>
    <t>VB-0605</t>
  </si>
  <si>
    <t>VB-0606</t>
  </si>
  <si>
    <t>VB-0607</t>
  </si>
  <si>
    <t>VB-0609</t>
  </si>
  <si>
    <t>VB-0610</t>
  </si>
  <si>
    <t>VB-0611</t>
  </si>
  <si>
    <t>VB-0612</t>
  </si>
  <si>
    <t>VB-0613</t>
  </si>
  <si>
    <t>VB-0614</t>
  </si>
  <si>
    <t>VB-0615</t>
  </si>
  <si>
    <t>VB-0616</t>
  </si>
  <si>
    <t>VB-0617</t>
  </si>
  <si>
    <t>VB-0618</t>
  </si>
  <si>
    <t>VB-0619</t>
  </si>
  <si>
    <t>VB-0620</t>
  </si>
  <si>
    <t>VB-0621</t>
  </si>
  <si>
    <t>VB-0622</t>
  </si>
  <si>
    <t>VB-0623</t>
  </si>
  <si>
    <t>VB-0624</t>
  </si>
  <si>
    <t>VB-0701</t>
  </si>
  <si>
    <t>VB-0703</t>
  </si>
  <si>
    <t>VB-0704</t>
  </si>
  <si>
    <t>VB-0705</t>
  </si>
  <si>
    <t>VB-0706</t>
  </si>
  <si>
    <t>VB-0707</t>
  </si>
  <si>
    <t>VB-0708</t>
  </si>
  <si>
    <t>VB-0709</t>
  </si>
  <si>
    <t>VB-0710</t>
  </si>
  <si>
    <t>VB-0711</t>
  </si>
  <si>
    <t>VB-0712</t>
  </si>
  <si>
    <t>VB-0713</t>
  </si>
  <si>
    <t>VB-0714</t>
  </si>
  <si>
    <t>VB-0715</t>
  </si>
  <si>
    <t>VB-0716</t>
  </si>
  <si>
    <t>VB-0717</t>
  </si>
  <si>
    <t>VB-0718</t>
  </si>
  <si>
    <t>VB-0719</t>
  </si>
  <si>
    <t>VB-0720</t>
  </si>
  <si>
    <t>VB-0721</t>
  </si>
  <si>
    <t>VB-0722</t>
  </si>
  <si>
    <t>VB-0723</t>
  </si>
  <si>
    <t>VB-0724</t>
  </si>
  <si>
    <t>VB-0801</t>
  </si>
  <si>
    <t>VB-0802</t>
  </si>
  <si>
    <t>VB-0803</t>
  </si>
  <si>
    <t>VB-0804</t>
  </si>
  <si>
    <t>VB-0805</t>
  </si>
  <si>
    <t>VB-0806</t>
  </si>
  <si>
    <t>VB-0807</t>
  </si>
  <si>
    <t>VB-0808</t>
  </si>
  <si>
    <t>VB-0810</t>
  </si>
  <si>
    <t>VB-0811</t>
  </si>
  <si>
    <t>VB-0812</t>
  </si>
  <si>
    <t>VB-0813</t>
  </si>
  <si>
    <t>VB-0814</t>
  </si>
  <si>
    <t>VB-0815</t>
  </si>
  <si>
    <t>VB-0816</t>
  </si>
  <si>
    <t>VB-0817</t>
  </si>
  <si>
    <t>VB-0818</t>
  </si>
  <si>
    <t>VB-0819</t>
  </si>
  <si>
    <t>VB-0820</t>
  </si>
  <si>
    <t>VB-0821</t>
  </si>
  <si>
    <t>VB-0822</t>
  </si>
  <si>
    <t>VB-0823</t>
  </si>
  <si>
    <t>VB-0901</t>
  </si>
  <si>
    <t>VB-0902</t>
  </si>
  <si>
    <t>VB-0903</t>
  </si>
  <si>
    <t>VB-0904</t>
  </si>
  <si>
    <t>VB-0905</t>
  </si>
  <si>
    <t>VB-0906</t>
  </si>
  <si>
    <t>VB-0907</t>
  </si>
  <si>
    <t>VB-0908</t>
  </si>
  <si>
    <t>VB-0909</t>
  </si>
  <si>
    <t>VB-0910</t>
  </si>
  <si>
    <t>VB-0911</t>
  </si>
  <si>
    <t>VB-0912</t>
  </si>
  <si>
    <t>VB-0913</t>
  </si>
  <si>
    <t>VB-0914</t>
  </si>
  <si>
    <t>VB-0915</t>
  </si>
  <si>
    <t>VB-0916</t>
  </si>
  <si>
    <t>VB-0917</t>
  </si>
  <si>
    <t>VB-0918</t>
  </si>
  <si>
    <t>VB-0919</t>
  </si>
  <si>
    <t>VB-0920</t>
  </si>
  <si>
    <t>VB-0921</t>
  </si>
  <si>
    <t>VB-0923</t>
  </si>
  <si>
    <t>VB-0924</t>
  </si>
  <si>
    <t>VB-1001</t>
  </si>
  <si>
    <t>VB-1002</t>
  </si>
  <si>
    <t>VB-1004</t>
  </si>
  <si>
    <t>VB-1005</t>
  </si>
  <si>
    <t>VB-1006</t>
  </si>
  <si>
    <t>VB-1007</t>
  </si>
  <si>
    <t>VB-1008</t>
  </si>
  <si>
    <t>VB-1009</t>
  </si>
  <si>
    <t>VB-1010</t>
  </si>
  <si>
    <t>VB-1011</t>
  </si>
  <si>
    <t>VB-1012</t>
  </si>
  <si>
    <t>VB-1013</t>
  </si>
  <si>
    <t>VB-1014</t>
  </si>
  <si>
    <t>VB-1015</t>
  </si>
  <si>
    <t>VB-1016</t>
  </si>
  <si>
    <t>VB-1017</t>
  </si>
  <si>
    <t>VB-1018</t>
  </si>
  <si>
    <t>VB-1019</t>
  </si>
  <si>
    <t>VB-1020</t>
  </si>
  <si>
    <t>VB-1021</t>
  </si>
  <si>
    <t>VB-1022</t>
  </si>
  <si>
    <t>VB-1023</t>
  </si>
  <si>
    <t>VB-1024</t>
  </si>
  <si>
    <t>EW-0101</t>
  </si>
  <si>
    <t>OPEN</t>
  </si>
  <si>
    <t>EW-0102</t>
  </si>
  <si>
    <t>EW-0103</t>
  </si>
  <si>
    <t>EW-0105</t>
  </si>
  <si>
    <t>EW-0106</t>
  </si>
  <si>
    <t>EW-0107</t>
  </si>
  <si>
    <t>EW-0108</t>
  </si>
  <si>
    <t>EW-0109</t>
  </si>
  <si>
    <t>EW-0110</t>
  </si>
  <si>
    <t>EW-0111</t>
  </si>
  <si>
    <t>EW-0112</t>
  </si>
  <si>
    <t>EW-0113</t>
  </si>
  <si>
    <t>EW-0114</t>
  </si>
  <si>
    <t>EW-0115</t>
  </si>
  <si>
    <t>EW-0116</t>
  </si>
  <si>
    <t>EW-0118</t>
  </si>
  <si>
    <t>EW-0119</t>
  </si>
  <si>
    <t>EW-0120</t>
  </si>
  <si>
    <t>EW-0121</t>
  </si>
  <si>
    <t>EW-0122</t>
  </si>
  <si>
    <t>EW-0123</t>
  </si>
  <si>
    <t>EW-0124</t>
  </si>
  <si>
    <t>EW-0201</t>
  </si>
  <si>
    <t>EW-0202</t>
  </si>
  <si>
    <t>EW-0203</t>
  </si>
  <si>
    <t>EW-0204</t>
  </si>
  <si>
    <t>EW-0206</t>
  </si>
  <si>
    <t>EW-0207</t>
  </si>
  <si>
    <t>EW-0208</t>
  </si>
  <si>
    <t>EW-0209</t>
  </si>
  <si>
    <t>EW-0210</t>
  </si>
  <si>
    <t>EW-0211</t>
  </si>
  <si>
    <t>EW-0212</t>
  </si>
  <si>
    <t>EW-0214</t>
  </si>
  <si>
    <t>EW-0215</t>
  </si>
  <si>
    <t>EW-0216</t>
  </si>
  <si>
    <t>EW-0217</t>
  </si>
  <si>
    <t>EW-0218</t>
  </si>
  <si>
    <t>EW-0219</t>
  </si>
  <si>
    <t>EW-0220</t>
  </si>
  <si>
    <t>EW-0221</t>
  </si>
  <si>
    <t>EW-0222</t>
  </si>
  <si>
    <t>EW-0223</t>
  </si>
  <si>
    <t>EW-0224</t>
  </si>
  <si>
    <t>EW-0302</t>
  </si>
  <si>
    <t>EW-0303</t>
  </si>
  <si>
    <t>EW-0304</t>
  </si>
  <si>
    <t>EW-0305</t>
  </si>
  <si>
    <t>EW-0306</t>
  </si>
  <si>
    <t>EW-0307</t>
  </si>
  <si>
    <t>EW-0308</t>
  </si>
  <si>
    <t>EW-0309</t>
  </si>
  <si>
    <t>EW-0311</t>
  </si>
  <si>
    <t>EW-0312</t>
  </si>
  <si>
    <t>EW-0313</t>
  </si>
  <si>
    <t>EW-0314</t>
  </si>
  <si>
    <t>EW-0315</t>
  </si>
  <si>
    <t>EW-0316</t>
  </si>
  <si>
    <t>EW-0317</t>
  </si>
  <si>
    <t>EW-0318</t>
  </si>
  <si>
    <t>EW-0319</t>
  </si>
  <si>
    <t>EW-0321</t>
  </si>
  <si>
    <t>EW-0322</t>
  </si>
  <si>
    <t>EW-0323</t>
  </si>
  <si>
    <t>EW-0324</t>
  </si>
  <si>
    <t>EW-0401</t>
  </si>
  <si>
    <t>EW-0402</t>
  </si>
  <si>
    <t>EW-0403</t>
  </si>
  <si>
    <t>EW-0404</t>
  </si>
  <si>
    <t>EW-0405</t>
  </si>
  <si>
    <t>EW-0406</t>
  </si>
  <si>
    <t>EW-0407</t>
  </si>
  <si>
    <t>EW-0408</t>
  </si>
  <si>
    <t>EW-0409</t>
  </si>
  <si>
    <t>EW-0410</t>
  </si>
  <si>
    <t>EW-0411</t>
  </si>
  <si>
    <t>EW-0412</t>
  </si>
  <si>
    <t>EW-0413</t>
  </si>
  <si>
    <t>EW-0414</t>
  </si>
  <si>
    <t>EW-0415</t>
  </si>
  <si>
    <t>EW-0416</t>
  </si>
  <si>
    <t>EW-0417</t>
  </si>
  <si>
    <t>EW-0418</t>
  </si>
  <si>
    <t>EW-0419</t>
  </si>
  <si>
    <t>EW-0420</t>
  </si>
  <si>
    <t>EW-0421</t>
  </si>
  <si>
    <t>EW-0423</t>
  </si>
  <si>
    <t>EW-0424</t>
  </si>
  <si>
    <t>EW-0502</t>
  </si>
  <si>
    <t>EW-0503</t>
  </si>
  <si>
    <t>EW-0504</t>
  </si>
  <si>
    <t>EW-0505</t>
  </si>
  <si>
    <t>EW-0506</t>
  </si>
  <si>
    <t>EW-0507</t>
  </si>
  <si>
    <t>EW-0508</t>
  </si>
  <si>
    <t>EW-0510</t>
  </si>
  <si>
    <t>EW-0511</t>
  </si>
  <si>
    <t>EW-0512</t>
  </si>
  <si>
    <t>EW-0513</t>
  </si>
  <si>
    <t>EW-0514</t>
  </si>
  <si>
    <t>EW-0515</t>
  </si>
  <si>
    <t>EW-0516</t>
  </si>
  <si>
    <t>EW-0517</t>
  </si>
  <si>
    <t>EW-0518</t>
  </si>
  <si>
    <t>EW-0519</t>
  </si>
  <si>
    <t>EW-0520</t>
  </si>
  <si>
    <t>EW-0521</t>
  </si>
  <si>
    <t>EW-0522</t>
  </si>
  <si>
    <t>EW-0523</t>
  </si>
  <si>
    <t>EW-0524</t>
  </si>
  <si>
    <t>EW-0601</t>
  </si>
  <si>
    <t>EW-0602</t>
  </si>
  <si>
    <t>EW-0603</t>
  </si>
  <si>
    <t>EW-0604</t>
  </si>
  <si>
    <t>EW-0605</t>
  </si>
  <si>
    <t>EW-0606</t>
  </si>
  <si>
    <t>EW-0607</t>
  </si>
  <si>
    <t>EW-0608</t>
  </si>
  <si>
    <t>EW-0609</t>
  </si>
  <si>
    <t>EW-0610</t>
  </si>
  <si>
    <t>EW-0611</t>
  </si>
  <si>
    <t>EW-0614</t>
  </si>
  <si>
    <t>EW-0615</t>
  </si>
  <si>
    <t>EW-0616</t>
  </si>
  <si>
    <t>EW-0617</t>
  </si>
  <si>
    <t>EW-0618</t>
  </si>
  <si>
    <t>EW-0621</t>
  </si>
  <si>
    <t>EW-0623</t>
  </si>
  <si>
    <t>EW-0624</t>
  </si>
  <si>
    <t>EW-0702</t>
  </si>
  <si>
    <t>EW-0703</t>
  </si>
  <si>
    <t>EW-0704</t>
  </si>
  <si>
    <t>EW-0705</t>
  </si>
  <si>
    <t>EW-0706</t>
  </si>
  <si>
    <t>EW-0708</t>
  </si>
  <si>
    <t>EW-0709</t>
  </si>
  <si>
    <t>EW-0710</t>
  </si>
  <si>
    <t>EW-0712</t>
  </si>
  <si>
    <t>EW-0713</t>
  </si>
  <si>
    <t>EW-0714</t>
  </si>
  <si>
    <t>EW-0715</t>
  </si>
  <si>
    <t>EW-0716</t>
  </si>
  <si>
    <t>EW-0717</t>
  </si>
  <si>
    <t>EW-0718</t>
  </si>
  <si>
    <t>EW-0719</t>
  </si>
  <si>
    <t>EW-0720</t>
  </si>
  <si>
    <t>EW-0721</t>
  </si>
  <si>
    <t>EW-0722</t>
  </si>
  <si>
    <t>EW-0723</t>
  </si>
  <si>
    <t>EW-0724</t>
  </si>
  <si>
    <t>EW-0801</t>
  </si>
  <si>
    <t>EW-0802</t>
  </si>
  <si>
    <t>EW-0803</t>
  </si>
  <si>
    <t>EW-0804</t>
  </si>
  <si>
    <t>EW-0805</t>
  </si>
  <si>
    <t>EW-0806</t>
  </si>
  <si>
    <t>EW-0807</t>
  </si>
  <si>
    <t>EW-0808</t>
  </si>
  <si>
    <t>EW-0809</t>
  </si>
  <si>
    <t>EW-0810</t>
  </si>
  <si>
    <t>EW-0811</t>
  </si>
  <si>
    <t>EW-0812</t>
  </si>
  <si>
    <t>EW-0813</t>
  </si>
  <si>
    <t>EW-0814</t>
  </si>
  <si>
    <t>EW-0815</t>
  </si>
  <si>
    <t>EW-0816</t>
  </si>
  <si>
    <t>EW-0817</t>
  </si>
  <si>
    <t>EW-0818</t>
  </si>
  <si>
    <t>EW-0819</t>
  </si>
  <si>
    <t>EW-0821</t>
  </si>
  <si>
    <t>EW-0822</t>
  </si>
  <si>
    <t>EW-0823</t>
  </si>
  <si>
    <t>EW-0901</t>
  </si>
  <si>
    <t>EW-0902</t>
  </si>
  <si>
    <t>EW-0903</t>
  </si>
  <si>
    <t>EW-0904</t>
  </si>
  <si>
    <t>EW-0905</t>
  </si>
  <si>
    <t>EW-0906</t>
  </si>
  <si>
    <t>EW-0907</t>
  </si>
  <si>
    <t>EW-0908</t>
  </si>
  <si>
    <t>EW-0909</t>
  </si>
  <si>
    <t>EW-0910</t>
  </si>
  <si>
    <t>EW-0911</t>
  </si>
  <si>
    <t>EW-0912</t>
  </si>
  <si>
    <t>EW-0913</t>
  </si>
  <si>
    <t>EW-0914</t>
  </si>
  <si>
    <t>EW-0915</t>
  </si>
  <si>
    <t>EW-0916</t>
  </si>
  <si>
    <t>EW-0917</t>
  </si>
  <si>
    <t>EW-0918</t>
  </si>
  <si>
    <t>EW-0919</t>
  </si>
  <si>
    <t>EW-0920</t>
  </si>
  <si>
    <t>EW-0921</t>
  </si>
  <si>
    <t>EW-0922</t>
  </si>
  <si>
    <t>EW-0923</t>
  </si>
  <si>
    <t>EW-1001</t>
  </si>
  <si>
    <t>EW-1002</t>
  </si>
  <si>
    <t>EW-1003</t>
  </si>
  <si>
    <t>EW-1005</t>
  </si>
  <si>
    <t>EW-1007</t>
  </si>
  <si>
    <t>EW-1008</t>
  </si>
  <si>
    <t>EW-1010</t>
  </si>
  <si>
    <t>EW-1011</t>
  </si>
  <si>
    <t>EW-1012</t>
  </si>
  <si>
    <t>EW-1013</t>
  </si>
  <si>
    <t>EW-1014</t>
  </si>
  <si>
    <t>EW-1015</t>
  </si>
  <si>
    <t>EW-1016</t>
  </si>
  <si>
    <t>EW-1017</t>
  </si>
  <si>
    <t>EW-1018</t>
  </si>
  <si>
    <t>EW-1019</t>
  </si>
  <si>
    <t>EW-1021</t>
  </si>
  <si>
    <t>EW-1022</t>
  </si>
  <si>
    <t>EW-1023</t>
  </si>
  <si>
    <t>EW-1024</t>
  </si>
  <si>
    <t>GW-0102</t>
  </si>
  <si>
    <t>GW-0103</t>
  </si>
  <si>
    <t>GW-0104</t>
  </si>
  <si>
    <t>GW-0105</t>
  </si>
  <si>
    <t>GW-0106</t>
  </si>
  <si>
    <t>GW-0108</t>
  </si>
  <si>
    <t>GW-0109</t>
  </si>
  <si>
    <t>GW-0110</t>
  </si>
  <si>
    <t>GW-0111</t>
  </si>
  <si>
    <t>GW-0112</t>
  </si>
  <si>
    <t>GW-0113</t>
  </si>
  <si>
    <t>GW-0114</t>
  </si>
  <si>
    <t>GW-0115</t>
  </si>
  <si>
    <t>GW-0116</t>
  </si>
  <si>
    <t>GW-0117</t>
  </si>
  <si>
    <t>GW-0118</t>
  </si>
  <si>
    <t>GW-0119</t>
  </si>
  <si>
    <t>GW-0120</t>
  </si>
  <si>
    <t>GW-0121</t>
  </si>
  <si>
    <t>GW-0122</t>
  </si>
  <si>
    <t>GW-0123</t>
  </si>
  <si>
    <t>GW-0201</t>
  </si>
  <si>
    <t>GW-0202</t>
  </si>
  <si>
    <t>GW-0204</t>
  </si>
  <si>
    <t>GW-0205</t>
  </si>
  <si>
    <t>GW-0206</t>
  </si>
  <si>
    <t>GW-0207</t>
  </si>
  <si>
    <t>GW-0208</t>
  </si>
  <si>
    <t>GW-0209</t>
  </si>
  <si>
    <t>GW-0210</t>
  </si>
  <si>
    <t>GW-0211</t>
  </si>
  <si>
    <t>GW-0212</t>
  </si>
  <si>
    <t>GW-0213</t>
  </si>
  <si>
    <t>GW-0214</t>
  </si>
  <si>
    <t>GW-0215</t>
  </si>
  <si>
    <t>GW-0216</t>
  </si>
  <si>
    <t>GW-0217</t>
  </si>
  <si>
    <t>GW-0218</t>
  </si>
  <si>
    <t>GW-0220</t>
  </si>
  <si>
    <t>GW-0221</t>
  </si>
  <si>
    <t>GW-0222</t>
  </si>
  <si>
    <t>GW-0223</t>
  </si>
  <si>
    <t>GW-0301</t>
  </si>
  <si>
    <t>GW-0302</t>
  </si>
  <si>
    <t>GW-0303</t>
  </si>
  <si>
    <t>GW-0304</t>
  </si>
  <si>
    <t>GW-0305</t>
  </si>
  <si>
    <t>GW-0306</t>
  </si>
  <si>
    <t>GW-0307</t>
  </si>
  <si>
    <t>GW-0308</t>
  </si>
  <si>
    <t>GW-0309</t>
  </si>
  <si>
    <t>GW-0310</t>
  </si>
  <si>
    <t>GW-0312</t>
  </si>
  <si>
    <t>GW-0313</t>
  </si>
  <si>
    <t>GW-0315</t>
  </si>
  <si>
    <t>GW-0316</t>
  </si>
  <si>
    <t>GW-0317</t>
  </si>
  <si>
    <t>GW-0318</t>
  </si>
  <si>
    <t>GW-0320</t>
  </si>
  <si>
    <t>GW-0321</t>
  </si>
  <si>
    <t>GW-0322</t>
  </si>
  <si>
    <t>GW-0323</t>
  </si>
  <si>
    <t>GW-0401</t>
  </si>
  <si>
    <t>GW-0402</t>
  </si>
  <si>
    <t>GW-0403</t>
  </si>
  <si>
    <t>GW-0404</t>
  </si>
  <si>
    <t>GW-0405</t>
  </si>
  <si>
    <t>GW-0406</t>
  </si>
  <si>
    <t>GW-0407</t>
  </si>
  <si>
    <t>GW-0408</t>
  </si>
  <si>
    <t>GW-0409</t>
  </si>
  <si>
    <t>GW-0410</t>
  </si>
  <si>
    <t>GW-0411</t>
  </si>
  <si>
    <t>GW-0412</t>
  </si>
  <si>
    <t>GW-0413</t>
  </si>
  <si>
    <t>GW-0414</t>
  </si>
  <si>
    <t>GW-0415</t>
  </si>
  <si>
    <t>GW-0416</t>
  </si>
  <si>
    <t>GW-0417</t>
  </si>
  <si>
    <t>GW-0418</t>
  </si>
  <si>
    <t>GW-0419</t>
  </si>
  <si>
    <t>GW-0420</t>
  </si>
  <si>
    <t>GW-0421</t>
  </si>
  <si>
    <t>GW-0422</t>
  </si>
  <si>
    <t>GW-0423</t>
  </si>
  <si>
    <t>GW-0501</t>
  </si>
  <si>
    <t>GW-0502</t>
  </si>
  <si>
    <t>GW-0503</t>
  </si>
  <si>
    <t>GW-0504</t>
  </si>
  <si>
    <t>GW-0505</t>
  </si>
  <si>
    <t>GW-0506</t>
  </si>
  <si>
    <t>GW-0507</t>
  </si>
  <si>
    <t>GW-0508</t>
  </si>
  <si>
    <t>GW-0509</t>
  </si>
  <si>
    <t>GW-0511</t>
  </si>
  <si>
    <t>GW-0512</t>
  </si>
  <si>
    <t>GW-0513</t>
  </si>
  <si>
    <t>GW-0514</t>
  </si>
  <si>
    <t>GW-0515</t>
  </si>
  <si>
    <t>GW-0516</t>
  </si>
  <si>
    <t>GW-0517</t>
  </si>
  <si>
    <t>GW-0518</t>
  </si>
  <si>
    <t>GW-0519</t>
  </si>
  <si>
    <t>GW-0520</t>
  </si>
  <si>
    <t>GW-0521</t>
  </si>
  <si>
    <t>GW-0522</t>
  </si>
  <si>
    <t>GW-0523</t>
  </si>
  <si>
    <t>GW-0601</t>
  </si>
  <si>
    <t>GW-0603</t>
  </si>
  <si>
    <t>GW-0604</t>
  </si>
  <si>
    <t>GW-0605</t>
  </si>
  <si>
    <t>GW-0606</t>
  </si>
  <si>
    <t>GW-0607</t>
  </si>
  <si>
    <t>GW-0608</t>
  </si>
  <si>
    <t>GW-0609</t>
  </si>
  <si>
    <t>GW-0610</t>
  </si>
  <si>
    <t>GW-0612</t>
  </si>
  <si>
    <t>GW-0613</t>
  </si>
  <si>
    <t>GW-0614</t>
  </si>
  <si>
    <t>GW-0615</t>
  </si>
  <si>
    <t>GW-0617</t>
  </si>
  <si>
    <t>GW-0618</t>
  </si>
  <si>
    <t>GW-0619</t>
  </si>
  <si>
    <t>GW-0620</t>
  </si>
  <si>
    <t>GW-0621</t>
  </si>
  <si>
    <t>GW-0622</t>
  </si>
  <si>
    <t>GW-0623</t>
  </si>
  <si>
    <t>GW-0702</t>
  </si>
  <si>
    <t>GW-0703</t>
  </si>
  <si>
    <t>GW-0704</t>
  </si>
  <si>
    <t>GW-0705</t>
  </si>
  <si>
    <t>GW-0706</t>
  </si>
  <si>
    <t>GW-0707</t>
  </si>
  <si>
    <t>GW-0708</t>
  </si>
  <si>
    <t>GW-0710</t>
  </si>
  <si>
    <t>GW-0711</t>
  </si>
  <si>
    <t>GW-0712</t>
  </si>
  <si>
    <t>GW-0713</t>
  </si>
  <si>
    <t>GW-0714</t>
  </si>
  <si>
    <t>GW-0715</t>
  </si>
  <si>
    <t>GW-0716</t>
  </si>
  <si>
    <t>GW-0717</t>
  </si>
  <si>
    <t>GW-0719</t>
  </si>
  <si>
    <t>GW-0720</t>
  </si>
  <si>
    <t>GW-0721</t>
  </si>
  <si>
    <t>GW-0722</t>
  </si>
  <si>
    <t>GW-0723</t>
  </si>
  <si>
    <t>GW-0802</t>
  </si>
  <si>
    <t>GW-0803</t>
  </si>
  <si>
    <t>GW-0804</t>
  </si>
  <si>
    <t>GW-0805</t>
  </si>
  <si>
    <t>GW-0806</t>
  </si>
  <si>
    <t>GW-0807</t>
  </si>
  <si>
    <t>GW-0808</t>
  </si>
  <si>
    <t>GW-0809</t>
  </si>
  <si>
    <t>GW-0810</t>
  </si>
  <si>
    <t>GW-0811</t>
  </si>
  <si>
    <t>GW-0812</t>
  </si>
  <si>
    <t>GW-0813</t>
  </si>
  <si>
    <t>GW-0814</t>
  </si>
  <si>
    <t>GW-0816</t>
  </si>
  <si>
    <t>GW-0817</t>
  </si>
  <si>
    <t>GW-0818</t>
  </si>
  <si>
    <t>GW-0819</t>
  </si>
  <si>
    <t>GW-0820</t>
  </si>
  <si>
    <t>GW-0821</t>
  </si>
  <si>
    <t>GW-0822</t>
  </si>
  <si>
    <t>GW-0823</t>
  </si>
  <si>
    <t>GW-0901</t>
  </si>
  <si>
    <t>GW-0902</t>
  </si>
  <si>
    <t>GW-0903</t>
  </si>
  <si>
    <t>GW-0904</t>
  </si>
  <si>
    <t>GW-0905</t>
  </si>
  <si>
    <t>GW-0906</t>
  </si>
  <si>
    <t>GW-0907</t>
  </si>
  <si>
    <t>GW-0908</t>
  </si>
  <si>
    <t>GW-0909</t>
  </si>
  <si>
    <t>GW-0910</t>
  </si>
  <si>
    <t>GW-0911</t>
  </si>
  <si>
    <t>GW-0912</t>
  </si>
  <si>
    <t>GW-0913</t>
  </si>
  <si>
    <t>GW-0914</t>
  </si>
  <si>
    <t>GW-0915</t>
  </si>
  <si>
    <t>GW-0916</t>
  </si>
  <si>
    <t>GW-0917</t>
  </si>
  <si>
    <t>GW-0918</t>
  </si>
  <si>
    <t>GW-0919</t>
  </si>
  <si>
    <t>GW-0920</t>
  </si>
  <si>
    <t>GW-0921</t>
  </si>
  <si>
    <t>GW-0922</t>
  </si>
  <si>
    <t>GW-0923</t>
  </si>
  <si>
    <t>GW-1001</t>
  </si>
  <si>
    <t>GW-1002</t>
  </si>
  <si>
    <t>GW-1003</t>
  </si>
  <si>
    <t>GW-1004</t>
  </si>
  <si>
    <t>GW-1005</t>
  </si>
  <si>
    <t>GW-1006</t>
  </si>
  <si>
    <t>GW-1007</t>
  </si>
  <si>
    <t>GW-1008</t>
  </si>
  <si>
    <t>GW-1009</t>
  </si>
  <si>
    <t>GW-1010</t>
  </si>
  <si>
    <t>GW-1011</t>
  </si>
  <si>
    <t>GW-1012</t>
  </si>
  <si>
    <t>GW-1013</t>
  </si>
  <si>
    <t>GW-1014</t>
  </si>
  <si>
    <t>GW-1015</t>
  </si>
  <si>
    <t>GW-1016</t>
  </si>
  <si>
    <t>GW-1017</t>
  </si>
  <si>
    <t>GW-1018</t>
  </si>
  <si>
    <t>GW-1019</t>
  </si>
  <si>
    <t>GW-1020</t>
  </si>
  <si>
    <t>GW-1021</t>
  </si>
  <si>
    <t>GW-1023</t>
  </si>
  <si>
    <t>SB-0101</t>
  </si>
  <si>
    <t>SB-0102</t>
  </si>
  <si>
    <t>SB-0103</t>
  </si>
  <si>
    <t>SB-0104</t>
  </si>
  <si>
    <t>SB-0106</t>
  </si>
  <si>
    <t>SB-0107</t>
  </si>
  <si>
    <t>SB-0108</t>
  </si>
  <si>
    <t>SB-0109</t>
  </si>
  <si>
    <t>SB-0110</t>
  </si>
  <si>
    <t>SB-0111</t>
  </si>
  <si>
    <t>SB-0112</t>
  </si>
  <si>
    <t>SB-0113</t>
  </si>
  <si>
    <t>SB-0114</t>
  </si>
  <si>
    <t>SB-0115</t>
  </si>
  <si>
    <t>SB-0116</t>
  </si>
  <si>
    <t>SB-0117</t>
  </si>
  <si>
    <t>SB-0118</t>
  </si>
  <si>
    <t>SB-0119</t>
  </si>
  <si>
    <t>SB-0120</t>
  </si>
  <si>
    <t>SB-0121</t>
  </si>
  <si>
    <t>SB-0122</t>
  </si>
  <si>
    <t>SB-0201</t>
  </si>
  <si>
    <t>SB-0202</t>
  </si>
  <si>
    <t>SB-0204</t>
  </si>
  <si>
    <t>SB-0205</t>
  </si>
  <si>
    <t>SB-0206</t>
  </si>
  <si>
    <t>SB-0207</t>
  </si>
  <si>
    <t>SB-0208</t>
  </si>
  <si>
    <t>SB-0209</t>
  </si>
  <si>
    <t>SB-0210</t>
  </si>
  <si>
    <t>SB-0211</t>
  </si>
  <si>
    <t>SB-0212</t>
  </si>
  <si>
    <t>SB-0213</t>
  </si>
  <si>
    <t>SB-0214</t>
  </si>
  <si>
    <t>SB-0215</t>
  </si>
  <si>
    <t>SB-0216</t>
  </si>
  <si>
    <t>SB-0217</t>
  </si>
  <si>
    <t>SB-0218</t>
  </si>
  <si>
    <t>SB-0219</t>
  </si>
  <si>
    <t>SB-0220</t>
  </si>
  <si>
    <t>SB-0222</t>
  </si>
  <si>
    <t>SB-0223</t>
  </si>
  <si>
    <t>SB-0224</t>
  </si>
  <si>
    <t>SB-0301</t>
  </si>
  <si>
    <t>SB-0302</t>
  </si>
  <si>
    <t>SB-0303</t>
  </si>
  <si>
    <t>SB-0304</t>
  </si>
  <si>
    <t>SB-0305</t>
  </si>
  <si>
    <t>SB-0306</t>
  </si>
  <si>
    <t>SB-0307</t>
  </si>
  <si>
    <t>SB-0308</t>
  </si>
  <si>
    <t>SB-0309</t>
  </si>
  <si>
    <t>SB-0311</t>
  </si>
  <si>
    <t>SB-0312</t>
  </si>
  <si>
    <t>SB-0313</t>
  </si>
  <si>
    <t>SB-0314</t>
  </si>
  <si>
    <t>SB-0315</t>
  </si>
  <si>
    <t>SB-0316</t>
  </si>
  <si>
    <t>SB-0317</t>
  </si>
  <si>
    <t>SB-0318</t>
  </si>
  <si>
    <t>SB-0319</t>
  </si>
  <si>
    <t>SB-0320</t>
  </si>
  <si>
    <t>SB-0321</t>
  </si>
  <si>
    <t>SB-0322</t>
  </si>
  <si>
    <t>SB-0323</t>
  </si>
  <si>
    <t>SB-0324</t>
  </si>
  <si>
    <t>SB-0401</t>
  </si>
  <si>
    <t>SB-0402</t>
  </si>
  <si>
    <t>SB-0403</t>
  </si>
  <si>
    <t>SB-0404</t>
  </si>
  <si>
    <t>SB-0405</t>
  </si>
  <si>
    <t>SB-0406</t>
  </si>
  <si>
    <t>SB-0407</t>
  </si>
  <si>
    <t>SB-0408</t>
  </si>
  <si>
    <t>SB-0409</t>
  </si>
  <si>
    <t>SB-0410</t>
  </si>
  <si>
    <t>SB-0411</t>
  </si>
  <si>
    <t>SB-0412</t>
  </si>
  <si>
    <t>SB-0413</t>
  </si>
  <si>
    <t>SB-0414</t>
  </si>
  <si>
    <t>SB-0415</t>
  </si>
  <si>
    <t>SB-0416</t>
  </si>
  <si>
    <t>SB-0418</t>
  </si>
  <si>
    <t>SB-0419</t>
  </si>
  <si>
    <t>SB-0420</t>
  </si>
  <si>
    <t>SB-0421</t>
  </si>
  <si>
    <t>SB-0422</t>
  </si>
  <si>
    <t>SB-0423</t>
  </si>
  <si>
    <t>SB-0424</t>
  </si>
  <si>
    <t>SB-0502</t>
  </si>
  <si>
    <t>SB-0503</t>
  </si>
  <si>
    <t>SB-0504</t>
  </si>
  <si>
    <t>SB-0505</t>
  </si>
  <si>
    <t>SB-0506</t>
  </si>
  <si>
    <t>SB-0507</t>
  </si>
  <si>
    <t>SB-0509</t>
  </si>
  <si>
    <t>SB-0510</t>
  </si>
  <si>
    <t>SB-0511</t>
  </si>
  <si>
    <t>SB-0512</t>
  </si>
  <si>
    <t>SB-0514</t>
  </si>
  <si>
    <t>SB-0515</t>
  </si>
  <si>
    <t>SB-0516</t>
  </si>
  <si>
    <t>SB-0518</t>
  </si>
  <si>
    <t>SB-0520</t>
  </si>
  <si>
    <t>SB-0521</t>
  </si>
  <si>
    <t>SB-0522</t>
  </si>
  <si>
    <t>SB-0523</t>
  </si>
  <si>
    <t>SB-0524</t>
  </si>
  <si>
    <t>SB-0601</t>
  </si>
  <si>
    <t>SB-0602</t>
  </si>
  <si>
    <t>SB-0603</t>
  </si>
  <si>
    <t>SB-0604</t>
  </si>
  <si>
    <t>SB-0605</t>
  </si>
  <si>
    <t>SB-0606</t>
  </si>
  <si>
    <t>SB-0607</t>
  </si>
  <si>
    <t>SB-0609</t>
  </si>
  <si>
    <t>SB-0610</t>
  </si>
  <si>
    <t>SB-0611</t>
  </si>
  <si>
    <t>SB-0612</t>
  </si>
  <si>
    <t>SB-0613</t>
  </si>
  <si>
    <t>SB-0614</t>
  </si>
  <si>
    <t>SB-0615</t>
  </si>
  <si>
    <t>SB-0616</t>
  </si>
  <si>
    <t>SB-0617</t>
  </si>
  <si>
    <t>SB-0619</t>
  </si>
  <si>
    <t>SB-0620</t>
  </si>
  <si>
    <t>SB-0621</t>
  </si>
  <si>
    <t>SB-0622</t>
  </si>
  <si>
    <t>SB-0623</t>
  </si>
  <si>
    <t>SB-0624</t>
  </si>
  <si>
    <t>SB-0701</t>
  </si>
  <si>
    <t>SB-0702</t>
  </si>
  <si>
    <t>SB-0703</t>
  </si>
  <si>
    <t>SB-0704</t>
  </si>
  <si>
    <t>SB-0705</t>
  </si>
  <si>
    <t>SB-0706</t>
  </si>
  <si>
    <t>SB-0707</t>
  </si>
  <si>
    <t>SB-0708</t>
  </si>
  <si>
    <t>SB-0709</t>
  </si>
  <si>
    <t>SB-0710</t>
  </si>
  <si>
    <t>SB-0711</t>
  </si>
  <si>
    <t>SB-0712</t>
  </si>
  <si>
    <t>SB-0713</t>
  </si>
  <si>
    <t>SB-0714</t>
  </si>
  <si>
    <t>SB-0715</t>
  </si>
  <si>
    <t>SB-0716</t>
  </si>
  <si>
    <t>SB-0717</t>
  </si>
  <si>
    <t>SB-0718</t>
  </si>
  <si>
    <t>SB-0719</t>
  </si>
  <si>
    <t>SB-0720</t>
  </si>
  <si>
    <t>SB-0721</t>
  </si>
  <si>
    <t>SB-0722</t>
  </si>
  <si>
    <t>SB-0723</t>
  </si>
  <si>
    <t>SB-0724</t>
  </si>
  <si>
    <t>SB-0801</t>
  </si>
  <si>
    <t>SB-0802</t>
  </si>
  <si>
    <t>SB-0803</t>
  </si>
  <si>
    <t>SB-0804</t>
  </si>
  <si>
    <t>SB-0805</t>
  </si>
  <si>
    <t>SB-0806</t>
  </si>
  <si>
    <t>SB-0808</t>
  </si>
  <si>
    <t>SB-0809</t>
  </si>
  <si>
    <t>SB-0810</t>
  </si>
  <si>
    <t>SB-0812</t>
  </si>
  <si>
    <t>SB-0813</t>
  </si>
  <si>
    <t>SB-0814</t>
  </si>
  <si>
    <t>SB-0815</t>
  </si>
  <si>
    <t>SB-0816</t>
  </si>
  <si>
    <t>SB-0818</t>
  </si>
  <si>
    <t>SB-0819</t>
  </si>
  <si>
    <t>SB-0820</t>
  </si>
  <si>
    <t>SB-0821</t>
  </si>
  <si>
    <t>SB-0822</t>
  </si>
  <si>
    <t>SB-0824</t>
  </si>
  <si>
    <t>SB-0901</t>
  </si>
  <si>
    <t>SB-0903</t>
  </si>
  <si>
    <t>SB-0904</t>
  </si>
  <si>
    <t>SB-0905</t>
  </si>
  <si>
    <t>SB-0906</t>
  </si>
  <si>
    <t>SB-0908</t>
  </si>
  <si>
    <t>SB-0909</t>
  </si>
  <si>
    <t>SB-0910</t>
  </si>
  <si>
    <t>SB-0911</t>
  </si>
  <si>
    <t>SB-0912</t>
  </si>
  <si>
    <t>SB-0913</t>
  </si>
  <si>
    <t>SB-0914</t>
  </si>
  <si>
    <t>SB-0915</t>
  </si>
  <si>
    <t>SB-0916</t>
  </si>
  <si>
    <t>SB-0917</t>
  </si>
  <si>
    <t>SB-0918</t>
  </si>
  <si>
    <t>Account ID</t>
  </si>
  <si>
    <t>Tenant</t>
  </si>
  <si>
    <t>91-120 Days</t>
  </si>
  <si>
    <t>120+ Days</t>
  </si>
  <si>
    <t>Delinquent Balance</t>
  </si>
  <si>
    <t>AC-LP-0122</t>
  </si>
  <si>
    <t>Paula Arroyo</t>
  </si>
  <si>
    <t>AC-LP-0402</t>
  </si>
  <si>
    <t>Dawn Brown</t>
  </si>
  <si>
    <t>AC-LP-0602</t>
  </si>
  <si>
    <t>Lee Maldonado</t>
  </si>
  <si>
    <t>AC-LP-0605</t>
  </si>
  <si>
    <t>Andrew Anderson</t>
  </si>
  <si>
    <t>AC-LP-0713</t>
  </si>
  <si>
    <t>Stacey Mitchell</t>
  </si>
  <si>
    <t>AC-LP-0801</t>
  </si>
  <si>
    <t>Allison Nguyen</t>
  </si>
  <si>
    <t>Audit Area</t>
  </si>
  <si>
    <t>Total Count</t>
  </si>
  <si>
    <t>Priority 1 Exceptions (Queue)</t>
  </si>
  <si>
    <t>Priority 2 Exceptions (Queue)</t>
  </si>
  <si>
    <t>Priority 3 Exceptions (Billing Subledger Arithmetic)</t>
  </si>
  <si>
    <t>Total Billing Variances Value ($)</t>
  </si>
  <si>
    <t>Total Delinquent Accounts</t>
  </si>
  <si>
    <t>Total Delinquent Balance ($)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</si>
</sst>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10.4</v>
      </c>
    </row>
    <row r="3" spans="1:2">
      <c r="A3" t="s">
        <v>3</v>
      </c>
      <c r="B3">
        <v>7.55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8"/>
  <sheetViews>
    <sheetView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5">
      <c r="A3" t="s">
        <v>9</v>
      </c>
      <c r="B3" t="s">
        <v>14</v>
      </c>
      <c r="C3" t="s">
        <v>15</v>
      </c>
      <c r="D3" t="s">
        <v>12</v>
      </c>
      <c r="E3" t="s">
        <v>13</v>
      </c>
    </row>
    <row r="4" spans="1:5">
      <c r="A4" t="s">
        <v>9</v>
      </c>
      <c r="B4" t="s">
        <v>16</v>
      </c>
      <c r="C4" t="s">
        <v>17</v>
      </c>
      <c r="D4" t="s">
        <v>12</v>
      </c>
      <c r="E4" t="s">
        <v>13</v>
      </c>
    </row>
    <row r="5" spans="1:5">
      <c r="A5" t="s">
        <v>9</v>
      </c>
      <c r="B5" t="s">
        <v>18</v>
      </c>
      <c r="C5" t="s">
        <v>19</v>
      </c>
      <c r="D5" t="s">
        <v>12</v>
      </c>
      <c r="E5" t="s">
        <v>13</v>
      </c>
    </row>
    <row r="6" spans="1:5">
      <c r="A6" t="s">
        <v>9</v>
      </c>
      <c r="B6" t="s">
        <v>20</v>
      </c>
      <c r="C6" t="s">
        <v>21</v>
      </c>
      <c r="D6" t="s">
        <v>12</v>
      </c>
      <c r="E6" t="s">
        <v>13</v>
      </c>
    </row>
    <row r="7" spans="1:5">
      <c r="A7" t="s">
        <v>9</v>
      </c>
      <c r="B7" t="s">
        <v>22</v>
      </c>
      <c r="C7" t="s">
        <v>23</v>
      </c>
      <c r="D7" t="s">
        <v>12</v>
      </c>
      <c r="E7" t="s">
        <v>13</v>
      </c>
    </row>
    <row r="8" spans="1:5">
      <c r="A8" t="s">
        <v>9</v>
      </c>
      <c r="B8" t="s">
        <v>24</v>
      </c>
      <c r="C8" t="s">
        <v>25</v>
      </c>
      <c r="D8" t="s">
        <v>12</v>
      </c>
      <c r="E8" t="s">
        <v>13</v>
      </c>
    </row>
    <row r="9" spans="1:5">
      <c r="A9" t="s">
        <v>9</v>
      </c>
      <c r="B9" t="s">
        <v>26</v>
      </c>
      <c r="C9" t="s">
        <v>27</v>
      </c>
      <c r="D9" t="s">
        <v>12</v>
      </c>
      <c r="E9" t="s">
        <v>13</v>
      </c>
    </row>
    <row r="10" spans="1:5">
      <c r="A10" t="s">
        <v>9</v>
      </c>
      <c r="B10" t="s">
        <v>28</v>
      </c>
      <c r="C10" t="s">
        <v>29</v>
      </c>
      <c r="D10" t="s">
        <v>12</v>
      </c>
      <c r="E10" t="s">
        <v>13</v>
      </c>
    </row>
    <row r="11" spans="1:5">
      <c r="A11" t="s">
        <v>9</v>
      </c>
      <c r="B11" t="s">
        <v>30</v>
      </c>
      <c r="C11" t="s">
        <v>31</v>
      </c>
      <c r="D11" t="s">
        <v>12</v>
      </c>
      <c r="E11" t="s">
        <v>13</v>
      </c>
    </row>
    <row r="12" spans="1:5">
      <c r="A12" t="s">
        <v>9</v>
      </c>
      <c r="B12" t="s">
        <v>32</v>
      </c>
      <c r="C12" t="s">
        <v>33</v>
      </c>
      <c r="D12" t="s">
        <v>12</v>
      </c>
      <c r="E12" t="s">
        <v>13</v>
      </c>
    </row>
    <row r="13" spans="1:5">
      <c r="A13" t="s">
        <v>9</v>
      </c>
      <c r="B13" t="s">
        <v>34</v>
      </c>
      <c r="C13" t="s">
        <v>35</v>
      </c>
      <c r="D13" t="s">
        <v>12</v>
      </c>
      <c r="E13" t="s">
        <v>13</v>
      </c>
    </row>
    <row r="14" spans="1:5">
      <c r="A14" t="s">
        <v>9</v>
      </c>
      <c r="B14" t="s">
        <v>36</v>
      </c>
      <c r="C14" t="s">
        <v>37</v>
      </c>
      <c r="D14" t="s">
        <v>12</v>
      </c>
      <c r="E14" t="s">
        <v>13</v>
      </c>
    </row>
    <row r="15" spans="1:5">
      <c r="A15" t="s">
        <v>9</v>
      </c>
      <c r="B15" t="s">
        <v>38</v>
      </c>
      <c r="C15" t="s">
        <v>39</v>
      </c>
      <c r="D15" t="s">
        <v>12</v>
      </c>
      <c r="E15" t="s">
        <v>13</v>
      </c>
    </row>
    <row r="16" spans="1:5">
      <c r="A16" t="s">
        <v>9</v>
      </c>
      <c r="B16" t="s">
        <v>40</v>
      </c>
      <c r="C16" t="s">
        <v>41</v>
      </c>
      <c r="D16" t="s">
        <v>12</v>
      </c>
      <c r="E16" t="s">
        <v>13</v>
      </c>
    </row>
    <row r="17" spans="1:5">
      <c r="A17" t="s">
        <v>9</v>
      </c>
      <c r="B17" t="s">
        <v>42</v>
      </c>
      <c r="C17" t="s">
        <v>43</v>
      </c>
      <c r="D17" t="s">
        <v>12</v>
      </c>
      <c r="E17" t="s">
        <v>13</v>
      </c>
    </row>
    <row r="18" spans="1:5">
      <c r="A18" t="s">
        <v>9</v>
      </c>
      <c r="B18" t="s">
        <v>44</v>
      </c>
      <c r="C18" t="s">
        <v>45</v>
      </c>
      <c r="D18" t="s">
        <v>12</v>
      </c>
      <c r="E18" t="s">
        <v>13</v>
      </c>
    </row>
    <row r="19" spans="1:5">
      <c r="A19" t="s">
        <v>9</v>
      </c>
      <c r="B19" t="s">
        <v>46</v>
      </c>
      <c r="C19" t="s">
        <v>47</v>
      </c>
      <c r="D19" t="s">
        <v>12</v>
      </c>
      <c r="E19" t="s">
        <v>13</v>
      </c>
    </row>
    <row r="20" spans="1:5">
      <c r="A20" t="s">
        <v>9</v>
      </c>
      <c r="B20" t="s">
        <v>48</v>
      </c>
      <c r="C20" t="s">
        <v>49</v>
      </c>
      <c r="D20" t="s">
        <v>12</v>
      </c>
      <c r="E20" t="s">
        <v>13</v>
      </c>
    </row>
    <row r="21" spans="1:5">
      <c r="A21" t="s">
        <v>9</v>
      </c>
      <c r="B21" t="s">
        <v>50</v>
      </c>
      <c r="C21" t="s">
        <v>51</v>
      </c>
      <c r="D21" t="s">
        <v>12</v>
      </c>
      <c r="E21" t="s">
        <v>13</v>
      </c>
    </row>
    <row r="22" spans="1:5">
      <c r="A22" t="s">
        <v>9</v>
      </c>
      <c r="B22" t="s">
        <v>52</v>
      </c>
      <c r="C22" t="s">
        <v>53</v>
      </c>
      <c r="D22" t="s">
        <v>12</v>
      </c>
      <c r="E22" t="s">
        <v>13</v>
      </c>
    </row>
    <row r="23" spans="1:5">
      <c r="A23" t="s">
        <v>9</v>
      </c>
      <c r="B23" t="s">
        <v>54</v>
      </c>
      <c r="C23" t="s">
        <v>55</v>
      </c>
      <c r="D23" t="s">
        <v>12</v>
      </c>
      <c r="E23" t="s">
        <v>13</v>
      </c>
    </row>
    <row r="24" spans="1:5">
      <c r="A24" t="s">
        <v>9</v>
      </c>
      <c r="B24" t="s">
        <v>56</v>
      </c>
      <c r="C24" t="s">
        <v>57</v>
      </c>
      <c r="D24" t="s">
        <v>12</v>
      </c>
      <c r="E24" t="s">
        <v>13</v>
      </c>
    </row>
    <row r="25" spans="1:5">
      <c r="A25" t="s">
        <v>9</v>
      </c>
      <c r="B25" t="s">
        <v>58</v>
      </c>
      <c r="C25" t="s">
        <v>59</v>
      </c>
      <c r="D25" t="s">
        <v>12</v>
      </c>
      <c r="E25" t="s">
        <v>13</v>
      </c>
    </row>
    <row r="26" spans="1:5">
      <c r="A26" t="s">
        <v>9</v>
      </c>
      <c r="B26" t="s">
        <v>60</v>
      </c>
      <c r="C26" t="s">
        <v>61</v>
      </c>
      <c r="D26" t="s">
        <v>12</v>
      </c>
      <c r="E26" t="s">
        <v>13</v>
      </c>
    </row>
    <row r="27" spans="1:5">
      <c r="A27" t="s">
        <v>9</v>
      </c>
      <c r="B27" t="s">
        <v>62</v>
      </c>
      <c r="C27" t="s">
        <v>63</v>
      </c>
      <c r="D27" t="s">
        <v>12</v>
      </c>
      <c r="E27" t="s">
        <v>13</v>
      </c>
    </row>
    <row r="28" spans="1:5">
      <c r="A28" t="s">
        <v>9</v>
      </c>
      <c r="B28" t="s">
        <v>64</v>
      </c>
      <c r="C28" t="s">
        <v>65</v>
      </c>
      <c r="D28" t="s">
        <v>12</v>
      </c>
      <c r="E28" t="s">
        <v>13</v>
      </c>
    </row>
    <row r="29" spans="1:5">
      <c r="A29" t="s">
        <v>9</v>
      </c>
      <c r="B29" t="s">
        <v>66</v>
      </c>
      <c r="C29" t="s">
        <v>67</v>
      </c>
      <c r="D29" t="s">
        <v>12</v>
      </c>
      <c r="E29" t="s">
        <v>13</v>
      </c>
    </row>
    <row r="30" spans="1:5">
      <c r="A30" t="s">
        <v>9</v>
      </c>
      <c r="B30" t="s">
        <v>68</v>
      </c>
      <c r="C30" t="s">
        <v>69</v>
      </c>
      <c r="D30" t="s">
        <v>12</v>
      </c>
      <c r="E30" t="s">
        <v>13</v>
      </c>
    </row>
    <row r="31" spans="1:5">
      <c r="A31" t="s">
        <v>9</v>
      </c>
      <c r="B31" t="s">
        <v>70</v>
      </c>
      <c r="C31" t="s">
        <v>71</v>
      </c>
      <c r="D31" t="s">
        <v>12</v>
      </c>
      <c r="E31" t="s">
        <v>13</v>
      </c>
    </row>
    <row r="32" spans="1:5">
      <c r="A32" t="s">
        <v>9</v>
      </c>
      <c r="B32" t="s">
        <v>72</v>
      </c>
      <c r="C32" t="s">
        <v>73</v>
      </c>
      <c r="D32" t="s">
        <v>12</v>
      </c>
      <c r="E32" t="s">
        <v>13</v>
      </c>
    </row>
    <row r="33" spans="1:5">
      <c r="A33" t="s">
        <v>9</v>
      </c>
      <c r="B33" t="s">
        <v>74</v>
      </c>
      <c r="C33" t="s">
        <v>75</v>
      </c>
      <c r="D33" t="s">
        <v>12</v>
      </c>
      <c r="E33" t="s">
        <v>13</v>
      </c>
    </row>
    <row r="34" spans="1:5">
      <c r="A34" t="s">
        <v>9</v>
      </c>
      <c r="B34" t="s">
        <v>76</v>
      </c>
      <c r="C34" t="s">
        <v>77</v>
      </c>
      <c r="D34" t="s">
        <v>12</v>
      </c>
      <c r="E34" t="s">
        <v>13</v>
      </c>
    </row>
    <row r="35" spans="1:5">
      <c r="A35" t="s">
        <v>9</v>
      </c>
      <c r="B35" t="s">
        <v>78</v>
      </c>
      <c r="C35" t="s">
        <v>79</v>
      </c>
      <c r="D35" t="s">
        <v>12</v>
      </c>
      <c r="E35" t="s">
        <v>13</v>
      </c>
    </row>
    <row r="36" spans="1:5">
      <c r="A36" t="s">
        <v>9</v>
      </c>
      <c r="B36" t="s">
        <v>80</v>
      </c>
      <c r="C36" t="s">
        <v>81</v>
      </c>
      <c r="D36" t="s">
        <v>12</v>
      </c>
      <c r="E36" t="s">
        <v>13</v>
      </c>
    </row>
    <row r="37" spans="1:5">
      <c r="A37" t="s">
        <v>9</v>
      </c>
      <c r="B37" t="s">
        <v>82</v>
      </c>
      <c r="C37" t="s">
        <v>83</v>
      </c>
      <c r="D37" t="s">
        <v>12</v>
      </c>
      <c r="E37" t="s">
        <v>13</v>
      </c>
    </row>
    <row r="38" spans="1:5">
      <c r="A38" t="s">
        <v>9</v>
      </c>
      <c r="B38" t="s">
        <v>84</v>
      </c>
      <c r="C38" t="s">
        <v>85</v>
      </c>
      <c r="D38" t="s">
        <v>12</v>
      </c>
      <c r="E38" t="s">
        <v>13</v>
      </c>
    </row>
    <row r="39" spans="1:5">
      <c r="A39" t="s">
        <v>9</v>
      </c>
      <c r="B39" t="s">
        <v>86</v>
      </c>
      <c r="C39" t="s">
        <v>87</v>
      </c>
      <c r="D39" t="s">
        <v>12</v>
      </c>
      <c r="E39" t="s">
        <v>13</v>
      </c>
    </row>
    <row r="40" spans="1:5">
      <c r="A40" t="s">
        <v>9</v>
      </c>
      <c r="B40" t="s">
        <v>88</v>
      </c>
      <c r="C40" t="s">
        <v>89</v>
      </c>
      <c r="D40" t="s">
        <v>12</v>
      </c>
      <c r="E40" t="s">
        <v>13</v>
      </c>
    </row>
    <row r="41" spans="1:5">
      <c r="A41" t="s">
        <v>9</v>
      </c>
      <c r="B41" t="s">
        <v>90</v>
      </c>
      <c r="C41" t="s">
        <v>91</v>
      </c>
      <c r="D41" t="s">
        <v>12</v>
      </c>
      <c r="E41" t="s">
        <v>13</v>
      </c>
    </row>
    <row r="42" spans="1:5">
      <c r="A42" t="s">
        <v>9</v>
      </c>
      <c r="B42" t="s">
        <v>92</v>
      </c>
      <c r="C42" t="s">
        <v>93</v>
      </c>
      <c r="D42" t="s">
        <v>12</v>
      </c>
      <c r="E42" t="s">
        <v>13</v>
      </c>
    </row>
    <row r="43" spans="1:5">
      <c r="A43" t="s">
        <v>9</v>
      </c>
      <c r="B43" t="s">
        <v>94</v>
      </c>
      <c r="C43" t="s">
        <v>95</v>
      </c>
      <c r="D43" t="s">
        <v>12</v>
      </c>
      <c r="E43" t="s">
        <v>13</v>
      </c>
    </row>
    <row r="44" spans="1:5">
      <c r="A44" t="s">
        <v>9</v>
      </c>
      <c r="B44" t="s">
        <v>96</v>
      </c>
      <c r="C44" t="s">
        <v>97</v>
      </c>
      <c r="D44" t="s">
        <v>12</v>
      </c>
      <c r="E44" t="s">
        <v>13</v>
      </c>
    </row>
    <row r="45" spans="1:5">
      <c r="A45" t="s">
        <v>9</v>
      </c>
      <c r="B45" t="s">
        <v>98</v>
      </c>
      <c r="C45" t="s">
        <v>99</v>
      </c>
      <c r="D45" t="s">
        <v>12</v>
      </c>
      <c r="E45" t="s">
        <v>13</v>
      </c>
    </row>
    <row r="46" spans="1:5">
      <c r="A46" t="s">
        <v>9</v>
      </c>
      <c r="B46" t="s">
        <v>100</v>
      </c>
      <c r="C46" t="s">
        <v>101</v>
      </c>
      <c r="D46" t="s">
        <v>12</v>
      </c>
      <c r="E46" t="s">
        <v>13</v>
      </c>
    </row>
    <row r="47" spans="1:5">
      <c r="A47" t="s">
        <v>9</v>
      </c>
      <c r="B47" t="s">
        <v>102</v>
      </c>
      <c r="C47" t="s">
        <v>103</v>
      </c>
      <c r="D47" t="s">
        <v>12</v>
      </c>
      <c r="E47" t="s">
        <v>13</v>
      </c>
    </row>
    <row r="48" spans="1:5">
      <c r="A48" t="s">
        <v>9</v>
      </c>
      <c r="B48" t="s">
        <v>104</v>
      </c>
      <c r="C48" t="s">
        <v>105</v>
      </c>
      <c r="D48" t="s">
        <v>12</v>
      </c>
      <c r="E48" t="s">
        <v>13</v>
      </c>
    </row>
    <row r="49" spans="1:5">
      <c r="A49" t="s">
        <v>9</v>
      </c>
      <c r="B49" t="s">
        <v>106</v>
      </c>
      <c r="C49" t="s">
        <v>107</v>
      </c>
      <c r="D49" t="s">
        <v>12</v>
      </c>
      <c r="E49" t="s">
        <v>13</v>
      </c>
    </row>
    <row r="50" spans="1:5">
      <c r="A50" t="s">
        <v>9</v>
      </c>
      <c r="B50" t="s">
        <v>108</v>
      </c>
      <c r="C50" t="s">
        <v>109</v>
      </c>
      <c r="D50" t="s">
        <v>12</v>
      </c>
      <c r="E50" t="s">
        <v>13</v>
      </c>
    </row>
    <row r="51" spans="1:5">
      <c r="A51" t="s">
        <v>9</v>
      </c>
      <c r="B51" t="s">
        <v>110</v>
      </c>
      <c r="C51" t="s">
        <v>111</v>
      </c>
      <c r="D51" t="s">
        <v>12</v>
      </c>
      <c r="E51" t="s">
        <v>13</v>
      </c>
    </row>
    <row r="52" spans="1:5">
      <c r="A52" t="s">
        <v>9</v>
      </c>
      <c r="B52" t="s">
        <v>112</v>
      </c>
      <c r="C52" t="s">
        <v>113</v>
      </c>
      <c r="D52" t="s">
        <v>12</v>
      </c>
      <c r="E52" t="s">
        <v>13</v>
      </c>
    </row>
    <row r="53" spans="1:5">
      <c r="A53" t="s">
        <v>9</v>
      </c>
      <c r="B53" t="s">
        <v>114</v>
      </c>
      <c r="C53" t="s">
        <v>115</v>
      </c>
      <c r="D53" t="s">
        <v>12</v>
      </c>
      <c r="E53" t="s">
        <v>13</v>
      </c>
    </row>
    <row r="54" spans="1:5">
      <c r="A54" t="s">
        <v>9</v>
      </c>
      <c r="B54" t="s">
        <v>116</v>
      </c>
      <c r="C54" t="s">
        <v>117</v>
      </c>
      <c r="D54" t="s">
        <v>12</v>
      </c>
      <c r="E54" t="s">
        <v>13</v>
      </c>
    </row>
    <row r="55" spans="1:5">
      <c r="A55" t="s">
        <v>9</v>
      </c>
      <c r="B55" t="s">
        <v>118</v>
      </c>
      <c r="C55" t="s">
        <v>119</v>
      </c>
      <c r="D55" t="s">
        <v>12</v>
      </c>
      <c r="E55" t="s">
        <v>13</v>
      </c>
    </row>
    <row r="56" spans="1:5">
      <c r="A56" t="s">
        <v>9</v>
      </c>
      <c r="B56" t="s">
        <v>120</v>
      </c>
      <c r="C56" t="s">
        <v>121</v>
      </c>
      <c r="D56" t="s">
        <v>12</v>
      </c>
      <c r="E56" t="s">
        <v>13</v>
      </c>
    </row>
    <row r="57" spans="1:5">
      <c r="A57" t="s">
        <v>9</v>
      </c>
      <c r="B57" t="s">
        <v>122</v>
      </c>
      <c r="C57" t="s">
        <v>123</v>
      </c>
      <c r="D57" t="s">
        <v>12</v>
      </c>
      <c r="E57" t="s">
        <v>13</v>
      </c>
    </row>
    <row r="58" spans="1:5">
      <c r="A58" t="s">
        <v>9</v>
      </c>
      <c r="B58" t="s">
        <v>124</v>
      </c>
      <c r="C58" t="s">
        <v>125</v>
      </c>
      <c r="D58" t="s">
        <v>12</v>
      </c>
      <c r="E58" t="s">
        <v>13</v>
      </c>
    </row>
    <row r="59" spans="1:5">
      <c r="A59" t="s">
        <v>9</v>
      </c>
      <c r="B59" t="s">
        <v>126</v>
      </c>
      <c r="C59" t="s">
        <v>127</v>
      </c>
      <c r="D59" t="s">
        <v>12</v>
      </c>
      <c r="E59" t="s">
        <v>13</v>
      </c>
    </row>
    <row r="60" spans="1:5">
      <c r="A60" t="s">
        <v>9</v>
      </c>
      <c r="B60" t="s">
        <v>128</v>
      </c>
      <c r="C60" t="s">
        <v>129</v>
      </c>
      <c r="D60" t="s">
        <v>12</v>
      </c>
      <c r="E60" t="s">
        <v>13</v>
      </c>
    </row>
    <row r="61" spans="1:5">
      <c r="A61" t="s">
        <v>9</v>
      </c>
      <c r="B61" t="s">
        <v>130</v>
      </c>
      <c r="C61" t="s">
        <v>131</v>
      </c>
      <c r="D61" t="s">
        <v>12</v>
      </c>
      <c r="E61" t="s">
        <v>13</v>
      </c>
    </row>
    <row r="62" spans="1:5">
      <c r="A62" t="s">
        <v>9</v>
      </c>
      <c r="B62" t="s">
        <v>132</v>
      </c>
      <c r="C62" t="s">
        <v>133</v>
      </c>
      <c r="D62" t="s">
        <v>12</v>
      </c>
      <c r="E62" t="s">
        <v>13</v>
      </c>
    </row>
    <row r="63" spans="1:5">
      <c r="A63" t="s">
        <v>9</v>
      </c>
      <c r="B63" t="s">
        <v>134</v>
      </c>
      <c r="C63" t="s">
        <v>135</v>
      </c>
      <c r="D63" t="s">
        <v>12</v>
      </c>
      <c r="E63" t="s">
        <v>13</v>
      </c>
    </row>
    <row r="64" spans="1:5">
      <c r="A64" t="s">
        <v>9</v>
      </c>
      <c r="B64" t="s">
        <v>136</v>
      </c>
      <c r="C64" t="s">
        <v>137</v>
      </c>
      <c r="D64" t="s">
        <v>12</v>
      </c>
      <c r="E64" t="s">
        <v>13</v>
      </c>
    </row>
    <row r="65" spans="1:5">
      <c r="A65" t="s">
        <v>9</v>
      </c>
      <c r="B65" t="s">
        <v>138</v>
      </c>
      <c r="C65" t="s">
        <v>139</v>
      </c>
      <c r="D65" t="s">
        <v>12</v>
      </c>
      <c r="E65" t="s">
        <v>13</v>
      </c>
    </row>
    <row r="66" spans="1:5">
      <c r="A66" t="s">
        <v>9</v>
      </c>
      <c r="B66" t="s">
        <v>140</v>
      </c>
      <c r="C66" t="s">
        <v>141</v>
      </c>
      <c r="D66" t="s">
        <v>12</v>
      </c>
      <c r="E66" t="s">
        <v>13</v>
      </c>
    </row>
    <row r="67" spans="1:5">
      <c r="A67" t="s">
        <v>9</v>
      </c>
      <c r="B67" t="s">
        <v>142</v>
      </c>
      <c r="C67" t="s">
        <v>143</v>
      </c>
      <c r="D67" t="s">
        <v>12</v>
      </c>
      <c r="E67" t="s">
        <v>13</v>
      </c>
    </row>
    <row r="68" spans="1:5">
      <c r="A68" t="s">
        <v>9</v>
      </c>
      <c r="B68" t="s">
        <v>144</v>
      </c>
      <c r="C68" t="s">
        <v>145</v>
      </c>
      <c r="D68" t="s">
        <v>12</v>
      </c>
      <c r="E68" t="s">
        <v>13</v>
      </c>
    </row>
    <row r="69" spans="1:5">
      <c r="A69" t="s">
        <v>9</v>
      </c>
      <c r="B69" t="s">
        <v>146</v>
      </c>
      <c r="C69" t="s">
        <v>147</v>
      </c>
      <c r="D69" t="s">
        <v>12</v>
      </c>
      <c r="E69" t="s">
        <v>13</v>
      </c>
    </row>
    <row r="70" spans="1:5">
      <c r="A70" t="s">
        <v>9</v>
      </c>
      <c r="B70" t="s">
        <v>148</v>
      </c>
      <c r="C70" t="s">
        <v>149</v>
      </c>
      <c r="D70" t="s">
        <v>12</v>
      </c>
      <c r="E70" t="s">
        <v>13</v>
      </c>
    </row>
    <row r="71" spans="1:5">
      <c r="A71" t="s">
        <v>9</v>
      </c>
      <c r="B71" t="s">
        <v>150</v>
      </c>
      <c r="C71" t="s">
        <v>151</v>
      </c>
      <c r="D71" t="s">
        <v>12</v>
      </c>
      <c r="E71" t="s">
        <v>13</v>
      </c>
    </row>
    <row r="72" spans="1:5">
      <c r="A72" t="s">
        <v>9</v>
      </c>
      <c r="B72" t="s">
        <v>152</v>
      </c>
      <c r="C72" t="s">
        <v>153</v>
      </c>
      <c r="D72" t="s">
        <v>12</v>
      </c>
      <c r="E72" t="s">
        <v>13</v>
      </c>
    </row>
    <row r="73" spans="1:5">
      <c r="A73" t="s">
        <v>9</v>
      </c>
      <c r="B73" t="s">
        <v>154</v>
      </c>
      <c r="C73" t="s">
        <v>155</v>
      </c>
      <c r="D73" t="s">
        <v>12</v>
      </c>
      <c r="E73" t="s">
        <v>13</v>
      </c>
    </row>
    <row r="74" spans="1:5">
      <c r="A74" t="s">
        <v>9</v>
      </c>
      <c r="B74" t="s">
        <v>156</v>
      </c>
      <c r="C74" t="s">
        <v>157</v>
      </c>
      <c r="D74" t="s">
        <v>12</v>
      </c>
      <c r="E74" t="s">
        <v>13</v>
      </c>
    </row>
    <row r="75" spans="1:5">
      <c r="A75" t="s">
        <v>9</v>
      </c>
      <c r="B75" t="s">
        <v>158</v>
      </c>
      <c r="C75" t="s">
        <v>159</v>
      </c>
      <c r="D75" t="s">
        <v>12</v>
      </c>
      <c r="E75" t="s">
        <v>13</v>
      </c>
    </row>
    <row r="76" spans="1:5">
      <c r="A76" t="s">
        <v>9</v>
      </c>
      <c r="B76" t="s">
        <v>160</v>
      </c>
      <c r="C76" t="s">
        <v>161</v>
      </c>
      <c r="D76" t="s">
        <v>12</v>
      </c>
      <c r="E76" t="s">
        <v>13</v>
      </c>
    </row>
    <row r="77" spans="1:5">
      <c r="A77" t="s">
        <v>9</v>
      </c>
      <c r="B77" t="s">
        <v>162</v>
      </c>
      <c r="C77" t="s">
        <v>163</v>
      </c>
      <c r="D77" t="s">
        <v>12</v>
      </c>
      <c r="E77" t="s">
        <v>13</v>
      </c>
    </row>
    <row r="78" spans="1:5">
      <c r="A78" t="s">
        <v>9</v>
      </c>
      <c r="B78" t="s">
        <v>164</v>
      </c>
      <c r="C78" t="s">
        <v>165</v>
      </c>
      <c r="D78" t="s">
        <v>12</v>
      </c>
      <c r="E78" t="s">
        <v>13</v>
      </c>
    </row>
    <row r="79" spans="1:5">
      <c r="A79" t="s">
        <v>9</v>
      </c>
      <c r="B79" t="s">
        <v>166</v>
      </c>
      <c r="C79" t="s">
        <v>167</v>
      </c>
      <c r="D79" t="s">
        <v>12</v>
      </c>
      <c r="E79" t="s">
        <v>13</v>
      </c>
    </row>
    <row r="80" spans="1:5">
      <c r="A80" t="s">
        <v>9</v>
      </c>
      <c r="B80" t="s">
        <v>168</v>
      </c>
      <c r="C80" t="s">
        <v>169</v>
      </c>
      <c r="D80" t="s">
        <v>12</v>
      </c>
      <c r="E80" t="s">
        <v>13</v>
      </c>
    </row>
    <row r="81" spans="1:5">
      <c r="A81" t="s">
        <v>9</v>
      </c>
      <c r="B81" t="s">
        <v>170</v>
      </c>
      <c r="C81" t="s">
        <v>171</v>
      </c>
      <c r="D81" t="s">
        <v>12</v>
      </c>
      <c r="E81" t="s">
        <v>13</v>
      </c>
    </row>
    <row r="82" spans="1:5">
      <c r="A82" t="s">
        <v>9</v>
      </c>
      <c r="B82" t="s">
        <v>172</v>
      </c>
      <c r="C82" t="s">
        <v>173</v>
      </c>
      <c r="D82" t="s">
        <v>12</v>
      </c>
      <c r="E82" t="s">
        <v>13</v>
      </c>
    </row>
    <row r="83" spans="1:5">
      <c r="A83" t="s">
        <v>9</v>
      </c>
      <c r="B83" t="s">
        <v>174</v>
      </c>
      <c r="C83" t="s">
        <v>175</v>
      </c>
      <c r="D83" t="s">
        <v>12</v>
      </c>
      <c r="E83" t="s">
        <v>13</v>
      </c>
    </row>
    <row r="84" spans="1:5">
      <c r="A84" t="s">
        <v>9</v>
      </c>
      <c r="B84" t="s">
        <v>176</v>
      </c>
      <c r="C84" t="s">
        <v>177</v>
      </c>
      <c r="D84" t="s">
        <v>12</v>
      </c>
      <c r="E84" t="s">
        <v>13</v>
      </c>
    </row>
    <row r="85" spans="1:5">
      <c r="A85" t="s">
        <v>9</v>
      </c>
      <c r="B85" t="s">
        <v>178</v>
      </c>
      <c r="C85" t="s">
        <v>179</v>
      </c>
      <c r="D85" t="s">
        <v>12</v>
      </c>
      <c r="E85" t="s">
        <v>13</v>
      </c>
    </row>
    <row r="86" spans="1:5">
      <c r="A86" t="s">
        <v>9</v>
      </c>
      <c r="B86" t="s">
        <v>180</v>
      </c>
      <c r="C86" t="s">
        <v>181</v>
      </c>
      <c r="D86" t="s">
        <v>12</v>
      </c>
      <c r="E86" t="s">
        <v>13</v>
      </c>
    </row>
    <row r="87" spans="1:5">
      <c r="A87" t="s">
        <v>9</v>
      </c>
      <c r="B87" t="s">
        <v>182</v>
      </c>
      <c r="C87" t="s">
        <v>183</v>
      </c>
      <c r="D87" t="s">
        <v>12</v>
      </c>
      <c r="E87" t="s">
        <v>13</v>
      </c>
    </row>
    <row r="88" spans="1:5">
      <c r="A88" t="s">
        <v>9</v>
      </c>
      <c r="B88" t="s">
        <v>184</v>
      </c>
      <c r="C88" t="s">
        <v>185</v>
      </c>
      <c r="D88" t="s">
        <v>12</v>
      </c>
      <c r="E88" t="s">
        <v>13</v>
      </c>
    </row>
    <row r="89" spans="1:5">
      <c r="A89" t="s">
        <v>9</v>
      </c>
      <c r="B89" t="s">
        <v>186</v>
      </c>
      <c r="C89" t="s">
        <v>187</v>
      </c>
      <c r="D89" t="s">
        <v>12</v>
      </c>
      <c r="E89" t="s">
        <v>13</v>
      </c>
    </row>
    <row r="90" spans="1:5">
      <c r="A90" t="s">
        <v>9</v>
      </c>
      <c r="B90" t="s">
        <v>188</v>
      </c>
      <c r="C90" t="s">
        <v>189</v>
      </c>
      <c r="D90" t="s">
        <v>12</v>
      </c>
      <c r="E90" t="s">
        <v>13</v>
      </c>
    </row>
    <row r="91" spans="1:5">
      <c r="A91" t="s">
        <v>9</v>
      </c>
      <c r="B91" t="s">
        <v>190</v>
      </c>
      <c r="C91" t="s">
        <v>191</v>
      </c>
      <c r="D91" t="s">
        <v>12</v>
      </c>
      <c r="E91" t="s">
        <v>13</v>
      </c>
    </row>
    <row r="92" spans="1:5">
      <c r="A92" t="s">
        <v>9</v>
      </c>
      <c r="B92" t="s">
        <v>192</v>
      </c>
      <c r="C92" t="s">
        <v>193</v>
      </c>
      <c r="D92" t="s">
        <v>12</v>
      </c>
      <c r="E92" t="s">
        <v>13</v>
      </c>
    </row>
    <row r="93" spans="1:5">
      <c r="A93" t="s">
        <v>9</v>
      </c>
      <c r="B93" t="s">
        <v>194</v>
      </c>
      <c r="C93" t="s">
        <v>123</v>
      </c>
      <c r="D93" t="s">
        <v>12</v>
      </c>
      <c r="E93" t="s">
        <v>13</v>
      </c>
    </row>
    <row r="94" spans="1:5">
      <c r="A94" t="s">
        <v>9</v>
      </c>
      <c r="B94" t="s">
        <v>195</v>
      </c>
      <c r="C94" t="s">
        <v>196</v>
      </c>
      <c r="D94" t="s">
        <v>12</v>
      </c>
      <c r="E94" t="s">
        <v>13</v>
      </c>
    </row>
    <row r="95" spans="1:5">
      <c r="A95" t="s">
        <v>9</v>
      </c>
      <c r="B95" t="s">
        <v>197</v>
      </c>
      <c r="C95" t="s">
        <v>198</v>
      </c>
      <c r="D95" t="s">
        <v>12</v>
      </c>
      <c r="E95" t="s">
        <v>13</v>
      </c>
    </row>
    <row r="96" spans="1:5">
      <c r="A96" t="s">
        <v>9</v>
      </c>
      <c r="B96" t="s">
        <v>199</v>
      </c>
      <c r="C96" t="s">
        <v>200</v>
      </c>
      <c r="D96" t="s">
        <v>12</v>
      </c>
      <c r="E96" t="s">
        <v>13</v>
      </c>
    </row>
    <row r="97" spans="1:5">
      <c r="A97" t="s">
        <v>9</v>
      </c>
      <c r="B97" t="s">
        <v>201</v>
      </c>
      <c r="C97" t="s">
        <v>202</v>
      </c>
      <c r="D97" t="s">
        <v>12</v>
      </c>
      <c r="E97" t="s">
        <v>13</v>
      </c>
    </row>
    <row r="98" spans="1:5">
      <c r="A98" t="s">
        <v>9</v>
      </c>
      <c r="B98" t="s">
        <v>203</v>
      </c>
      <c r="C98" t="s">
        <v>204</v>
      </c>
      <c r="D98" t="s">
        <v>12</v>
      </c>
      <c r="E98" t="s">
        <v>13</v>
      </c>
    </row>
    <row r="99" spans="1:5">
      <c r="A99" t="s">
        <v>9</v>
      </c>
      <c r="B99" t="s">
        <v>205</v>
      </c>
      <c r="C99" t="s">
        <v>206</v>
      </c>
      <c r="D99" t="s">
        <v>12</v>
      </c>
      <c r="E99" t="s">
        <v>13</v>
      </c>
    </row>
    <row r="100" spans="1:5">
      <c r="A100" t="s">
        <v>9</v>
      </c>
      <c r="B100" t="s">
        <v>207</v>
      </c>
      <c r="C100" t="s">
        <v>208</v>
      </c>
      <c r="D100" t="s">
        <v>12</v>
      </c>
      <c r="E100" t="s">
        <v>13</v>
      </c>
    </row>
    <row r="101" spans="1:5">
      <c r="A101" t="s">
        <v>9</v>
      </c>
      <c r="B101" t="s">
        <v>209</v>
      </c>
      <c r="C101" t="s">
        <v>210</v>
      </c>
      <c r="D101" t="s">
        <v>12</v>
      </c>
      <c r="E101" t="s">
        <v>13</v>
      </c>
    </row>
    <row r="102" spans="1:5">
      <c r="A102" t="s">
        <v>9</v>
      </c>
      <c r="B102" t="s">
        <v>211</v>
      </c>
      <c r="C102" t="s">
        <v>212</v>
      </c>
      <c r="D102" t="s">
        <v>12</v>
      </c>
      <c r="E102" t="s">
        <v>13</v>
      </c>
    </row>
    <row r="103" spans="1:5">
      <c r="A103" t="s">
        <v>9</v>
      </c>
      <c r="B103" t="s">
        <v>213</v>
      </c>
      <c r="C103" t="s">
        <v>214</v>
      </c>
      <c r="D103" t="s">
        <v>12</v>
      </c>
      <c r="E103" t="s">
        <v>13</v>
      </c>
    </row>
    <row r="104" spans="1:5">
      <c r="A104" t="s">
        <v>9</v>
      </c>
      <c r="B104" t="s">
        <v>215</v>
      </c>
      <c r="C104" t="s">
        <v>216</v>
      </c>
      <c r="D104" t="s">
        <v>12</v>
      </c>
      <c r="E104" t="s">
        <v>13</v>
      </c>
    </row>
    <row r="105" spans="1:5">
      <c r="A105" t="s">
        <v>9</v>
      </c>
      <c r="B105" t="s">
        <v>217</v>
      </c>
      <c r="C105" t="s">
        <v>218</v>
      </c>
      <c r="D105" t="s">
        <v>12</v>
      </c>
      <c r="E105" t="s">
        <v>13</v>
      </c>
    </row>
    <row r="106" spans="1:5">
      <c r="A106" t="s">
        <v>9</v>
      </c>
      <c r="B106" t="s">
        <v>219</v>
      </c>
      <c r="C106" t="s">
        <v>220</v>
      </c>
      <c r="D106" t="s">
        <v>12</v>
      </c>
      <c r="E106" t="s">
        <v>13</v>
      </c>
    </row>
    <row r="107" spans="1:5">
      <c r="A107" t="s">
        <v>9</v>
      </c>
      <c r="B107" t="s">
        <v>221</v>
      </c>
      <c r="C107" t="s">
        <v>222</v>
      </c>
      <c r="D107" t="s">
        <v>12</v>
      </c>
      <c r="E107" t="s">
        <v>13</v>
      </c>
    </row>
    <row r="108" spans="1:5">
      <c r="A108" t="s">
        <v>9</v>
      </c>
      <c r="B108" t="s">
        <v>223</v>
      </c>
      <c r="C108" t="s">
        <v>224</v>
      </c>
      <c r="D108" t="s">
        <v>12</v>
      </c>
      <c r="E108" t="s">
        <v>13</v>
      </c>
    </row>
    <row r="109" spans="1:5">
      <c r="A109" t="s">
        <v>9</v>
      </c>
      <c r="B109" t="s">
        <v>225</v>
      </c>
      <c r="C109" t="s">
        <v>226</v>
      </c>
      <c r="D109" t="s">
        <v>12</v>
      </c>
      <c r="E109" t="s">
        <v>13</v>
      </c>
    </row>
    <row r="110" spans="1:5">
      <c r="A110" t="s">
        <v>9</v>
      </c>
      <c r="B110" t="s">
        <v>227</v>
      </c>
      <c r="C110" t="s">
        <v>228</v>
      </c>
      <c r="D110" t="s">
        <v>12</v>
      </c>
      <c r="E110" t="s">
        <v>13</v>
      </c>
    </row>
    <row r="111" spans="1:5">
      <c r="A111" t="s">
        <v>9</v>
      </c>
      <c r="B111" t="s">
        <v>229</v>
      </c>
      <c r="C111" t="s">
        <v>230</v>
      </c>
      <c r="D111" t="s">
        <v>12</v>
      </c>
      <c r="E111" t="s">
        <v>13</v>
      </c>
    </row>
    <row r="112" spans="1:5">
      <c r="A112" t="s">
        <v>9</v>
      </c>
      <c r="B112" t="s">
        <v>231</v>
      </c>
      <c r="C112" t="s">
        <v>232</v>
      </c>
      <c r="D112" t="s">
        <v>12</v>
      </c>
      <c r="E112" t="s">
        <v>13</v>
      </c>
    </row>
    <row r="113" spans="1:5">
      <c r="A113" t="s">
        <v>9</v>
      </c>
      <c r="B113" t="s">
        <v>233</v>
      </c>
      <c r="C113" t="s">
        <v>234</v>
      </c>
      <c r="D113" t="s">
        <v>12</v>
      </c>
      <c r="E113" t="s">
        <v>13</v>
      </c>
    </row>
    <row r="114" spans="1:5">
      <c r="A114" t="s">
        <v>9</v>
      </c>
      <c r="B114" t="s">
        <v>235</v>
      </c>
      <c r="C114" t="s">
        <v>236</v>
      </c>
      <c r="D114" t="s">
        <v>12</v>
      </c>
      <c r="E114" t="s">
        <v>13</v>
      </c>
    </row>
    <row r="115" spans="1:5">
      <c r="A115" t="s">
        <v>9</v>
      </c>
      <c r="B115" t="s">
        <v>237</v>
      </c>
      <c r="C115" t="s">
        <v>238</v>
      </c>
      <c r="D115" t="s">
        <v>12</v>
      </c>
      <c r="E115" t="s">
        <v>13</v>
      </c>
    </row>
    <row r="116" spans="1:5">
      <c r="A116" t="s">
        <v>9</v>
      </c>
      <c r="B116" t="s">
        <v>239</v>
      </c>
      <c r="C116" t="s">
        <v>240</v>
      </c>
      <c r="D116" t="s">
        <v>12</v>
      </c>
      <c r="E116" t="s">
        <v>13</v>
      </c>
    </row>
    <row r="117" spans="1:5">
      <c r="A117" t="s">
        <v>9</v>
      </c>
      <c r="B117" t="s">
        <v>241</v>
      </c>
      <c r="C117" t="s">
        <v>113</v>
      </c>
      <c r="D117" t="s">
        <v>12</v>
      </c>
      <c r="E117" t="s">
        <v>13</v>
      </c>
    </row>
    <row r="118" spans="1:5">
      <c r="A118" t="s">
        <v>9</v>
      </c>
      <c r="B118" t="s">
        <v>242</v>
      </c>
      <c r="C118" t="s">
        <v>243</v>
      </c>
      <c r="D118" t="s">
        <v>12</v>
      </c>
      <c r="E118" t="s">
        <v>13</v>
      </c>
    </row>
    <row r="119" spans="1:5">
      <c r="A119" t="s">
        <v>9</v>
      </c>
      <c r="B119" t="s">
        <v>244</v>
      </c>
      <c r="C119" t="s">
        <v>245</v>
      </c>
      <c r="D119" t="s">
        <v>12</v>
      </c>
      <c r="E119" t="s">
        <v>13</v>
      </c>
    </row>
    <row r="120" spans="1:5">
      <c r="A120" t="s">
        <v>9</v>
      </c>
      <c r="B120" t="s">
        <v>246</v>
      </c>
      <c r="C120" t="s">
        <v>247</v>
      </c>
      <c r="D120" t="s">
        <v>12</v>
      </c>
      <c r="E120" t="s">
        <v>13</v>
      </c>
    </row>
    <row r="121" spans="1:5">
      <c r="A121" t="s">
        <v>9</v>
      </c>
      <c r="B121" t="s">
        <v>248</v>
      </c>
      <c r="C121" t="s">
        <v>249</v>
      </c>
      <c r="D121" t="s">
        <v>12</v>
      </c>
      <c r="E121" t="s">
        <v>13</v>
      </c>
    </row>
    <row r="122" spans="1:5">
      <c r="A122" t="s">
        <v>9</v>
      </c>
      <c r="B122" t="s">
        <v>250</v>
      </c>
      <c r="C122" t="s">
        <v>251</v>
      </c>
      <c r="D122" t="s">
        <v>12</v>
      </c>
      <c r="E122" t="s">
        <v>13</v>
      </c>
    </row>
    <row r="123" spans="1:5">
      <c r="A123" t="s">
        <v>9</v>
      </c>
      <c r="B123" t="s">
        <v>252</v>
      </c>
      <c r="C123" t="s">
        <v>253</v>
      </c>
      <c r="D123" t="s">
        <v>12</v>
      </c>
      <c r="E123" t="s">
        <v>13</v>
      </c>
    </row>
    <row r="124" spans="1:5">
      <c r="A124" t="s">
        <v>9</v>
      </c>
      <c r="B124" t="s">
        <v>254</v>
      </c>
      <c r="C124" t="s">
        <v>255</v>
      </c>
      <c r="D124" t="s">
        <v>12</v>
      </c>
      <c r="E124" t="s">
        <v>13</v>
      </c>
    </row>
    <row r="125" spans="1:5">
      <c r="A125" t="s">
        <v>9</v>
      </c>
      <c r="B125" t="s">
        <v>256</v>
      </c>
      <c r="C125" t="s">
        <v>257</v>
      </c>
      <c r="D125" t="s">
        <v>12</v>
      </c>
      <c r="E125" t="s">
        <v>13</v>
      </c>
    </row>
    <row r="126" spans="1:5">
      <c r="A126" t="s">
        <v>9</v>
      </c>
      <c r="B126" t="s">
        <v>258</v>
      </c>
      <c r="C126" t="s">
        <v>259</v>
      </c>
      <c r="D126" t="s">
        <v>12</v>
      </c>
      <c r="E126" t="s">
        <v>13</v>
      </c>
    </row>
    <row r="127" spans="1:5">
      <c r="A127" t="s">
        <v>9</v>
      </c>
      <c r="B127" t="s">
        <v>260</v>
      </c>
      <c r="C127" t="s">
        <v>261</v>
      </c>
      <c r="D127" t="s">
        <v>262</v>
      </c>
      <c r="E127" t="s">
        <v>263</v>
      </c>
    </row>
    <row r="128" spans="1:5">
      <c r="A128" t="s">
        <v>9</v>
      </c>
      <c r="B128" t="s">
        <v>264</v>
      </c>
      <c r="C128" t="s">
        <v>265</v>
      </c>
      <c r="D128" t="s">
        <v>12</v>
      </c>
      <c r="E128" t="s">
        <v>13</v>
      </c>
    </row>
    <row r="129" spans="1:5">
      <c r="A129" t="s">
        <v>9</v>
      </c>
      <c r="B129" t="s">
        <v>266</v>
      </c>
      <c r="C129" t="s">
        <v>267</v>
      </c>
      <c r="D129" t="s">
        <v>12</v>
      </c>
      <c r="E129" t="s">
        <v>13</v>
      </c>
    </row>
    <row r="130" spans="1:5">
      <c r="A130" t="s">
        <v>9</v>
      </c>
      <c r="B130" t="s">
        <v>268</v>
      </c>
      <c r="C130" t="s">
        <v>269</v>
      </c>
      <c r="D130" t="s">
        <v>12</v>
      </c>
      <c r="E130" t="s">
        <v>13</v>
      </c>
    </row>
    <row r="131" spans="1:5">
      <c r="A131" t="s">
        <v>9</v>
      </c>
      <c r="B131" t="s">
        <v>270</v>
      </c>
      <c r="C131" t="s">
        <v>271</v>
      </c>
      <c r="D131" t="s">
        <v>12</v>
      </c>
      <c r="E131" t="s">
        <v>13</v>
      </c>
    </row>
    <row r="132" spans="1:5">
      <c r="A132" t="s">
        <v>9</v>
      </c>
      <c r="B132" t="s">
        <v>272</v>
      </c>
      <c r="C132" t="s">
        <v>273</v>
      </c>
      <c r="D132" t="s">
        <v>12</v>
      </c>
      <c r="E132" t="s">
        <v>13</v>
      </c>
    </row>
    <row r="133" spans="1:5">
      <c r="A133" t="s">
        <v>9</v>
      </c>
      <c r="B133" t="s">
        <v>274</v>
      </c>
      <c r="C133" t="s">
        <v>275</v>
      </c>
      <c r="D133" t="s">
        <v>12</v>
      </c>
      <c r="E133" t="s">
        <v>13</v>
      </c>
    </row>
    <row r="134" spans="1:5">
      <c r="A134" t="s">
        <v>9</v>
      </c>
      <c r="B134" t="s">
        <v>276</v>
      </c>
      <c r="C134" t="s">
        <v>277</v>
      </c>
      <c r="D134" t="s">
        <v>12</v>
      </c>
      <c r="E134" t="s">
        <v>13</v>
      </c>
    </row>
    <row r="135" spans="1:5">
      <c r="A135" t="s">
        <v>9</v>
      </c>
      <c r="B135" t="s">
        <v>278</v>
      </c>
      <c r="C135" t="s">
        <v>279</v>
      </c>
      <c r="D135" t="s">
        <v>12</v>
      </c>
      <c r="E135" t="s">
        <v>13</v>
      </c>
    </row>
    <row r="136" spans="1:5">
      <c r="A136" t="s">
        <v>9</v>
      </c>
      <c r="B136" t="s">
        <v>280</v>
      </c>
      <c r="C136" t="s">
        <v>281</v>
      </c>
      <c r="D136" t="s">
        <v>12</v>
      </c>
      <c r="E136" t="s">
        <v>13</v>
      </c>
    </row>
    <row r="137" spans="1:5">
      <c r="A137" t="s">
        <v>9</v>
      </c>
      <c r="B137" t="s">
        <v>282</v>
      </c>
      <c r="C137" t="s">
        <v>283</v>
      </c>
      <c r="D137" t="s">
        <v>12</v>
      </c>
      <c r="E137" t="s">
        <v>13</v>
      </c>
    </row>
    <row r="138" spans="1:5">
      <c r="A138" t="s">
        <v>9</v>
      </c>
      <c r="B138" t="s">
        <v>284</v>
      </c>
      <c r="C138" t="s">
        <v>285</v>
      </c>
      <c r="D138" t="s">
        <v>12</v>
      </c>
      <c r="E138" t="s">
        <v>13</v>
      </c>
    </row>
    <row r="139" spans="1:5">
      <c r="A139" t="s">
        <v>9</v>
      </c>
      <c r="B139" t="s">
        <v>286</v>
      </c>
      <c r="C139" t="s">
        <v>287</v>
      </c>
      <c r="D139" t="s">
        <v>12</v>
      </c>
      <c r="E139" t="s">
        <v>13</v>
      </c>
    </row>
    <row r="140" spans="1:5">
      <c r="A140" t="s">
        <v>9</v>
      </c>
      <c r="B140" t="s">
        <v>288</v>
      </c>
      <c r="C140" t="s">
        <v>289</v>
      </c>
      <c r="D140" t="s">
        <v>12</v>
      </c>
      <c r="E140" t="s">
        <v>13</v>
      </c>
    </row>
    <row r="141" spans="1:5">
      <c r="A141" t="s">
        <v>9</v>
      </c>
      <c r="B141" t="s">
        <v>290</v>
      </c>
      <c r="C141" t="s">
        <v>291</v>
      </c>
      <c r="D141" t="s">
        <v>12</v>
      </c>
      <c r="E141" t="s">
        <v>13</v>
      </c>
    </row>
    <row r="142" spans="1:5">
      <c r="A142" t="s">
        <v>9</v>
      </c>
      <c r="B142" t="s">
        <v>292</v>
      </c>
      <c r="C142" t="s">
        <v>293</v>
      </c>
      <c r="D142" t="s">
        <v>12</v>
      </c>
      <c r="E142" t="s">
        <v>13</v>
      </c>
    </row>
    <row r="143" spans="1:5">
      <c r="A143" t="s">
        <v>9</v>
      </c>
      <c r="B143" t="s">
        <v>294</v>
      </c>
      <c r="C143" t="s">
        <v>295</v>
      </c>
      <c r="D143" t="s">
        <v>12</v>
      </c>
      <c r="E143" t="s">
        <v>13</v>
      </c>
    </row>
    <row r="144" spans="1:5">
      <c r="A144" t="s">
        <v>9</v>
      </c>
      <c r="B144" t="s">
        <v>296</v>
      </c>
      <c r="C144" t="s">
        <v>297</v>
      </c>
      <c r="D144" t="s">
        <v>12</v>
      </c>
      <c r="E144" t="s">
        <v>13</v>
      </c>
    </row>
    <row r="145" spans="1:5">
      <c r="A145" t="s">
        <v>9</v>
      </c>
      <c r="B145" t="s">
        <v>298</v>
      </c>
      <c r="C145" t="s">
        <v>299</v>
      </c>
      <c r="D145" t="s">
        <v>12</v>
      </c>
      <c r="E145" t="s">
        <v>13</v>
      </c>
    </row>
    <row r="146" spans="1:5">
      <c r="A146" t="s">
        <v>9</v>
      </c>
      <c r="B146" t="s">
        <v>300</v>
      </c>
      <c r="C146" t="s">
        <v>301</v>
      </c>
      <c r="D146" t="s">
        <v>12</v>
      </c>
      <c r="E146" t="s">
        <v>13</v>
      </c>
    </row>
    <row r="147" spans="1:5">
      <c r="A147" t="s">
        <v>9</v>
      </c>
      <c r="B147" t="s">
        <v>302</v>
      </c>
      <c r="C147" t="s">
        <v>303</v>
      </c>
      <c r="D147" t="s">
        <v>12</v>
      </c>
      <c r="E147" t="s">
        <v>13</v>
      </c>
    </row>
    <row r="148" spans="1:5">
      <c r="A148" t="s">
        <v>9</v>
      </c>
      <c r="B148" t="s">
        <v>304</v>
      </c>
      <c r="C148" t="s">
        <v>305</v>
      </c>
      <c r="D148" t="s">
        <v>12</v>
      </c>
      <c r="E148" t="s">
        <v>13</v>
      </c>
    </row>
    <row r="149" spans="1:5">
      <c r="A149" t="s">
        <v>9</v>
      </c>
      <c r="B149" t="s">
        <v>306</v>
      </c>
      <c r="C149" t="s">
        <v>307</v>
      </c>
      <c r="D149" t="s">
        <v>12</v>
      </c>
      <c r="E149" t="s">
        <v>13</v>
      </c>
    </row>
    <row r="150" spans="1:5">
      <c r="A150" t="s">
        <v>9</v>
      </c>
      <c r="B150" t="s">
        <v>308</v>
      </c>
      <c r="C150" t="s">
        <v>309</v>
      </c>
      <c r="D150" t="s">
        <v>12</v>
      </c>
      <c r="E150" t="s">
        <v>13</v>
      </c>
    </row>
    <row r="151" spans="1:5">
      <c r="A151" t="s">
        <v>9</v>
      </c>
      <c r="B151" t="s">
        <v>310</v>
      </c>
      <c r="C151" t="s">
        <v>311</v>
      </c>
      <c r="D151" t="s">
        <v>12</v>
      </c>
      <c r="E151" t="s">
        <v>13</v>
      </c>
    </row>
    <row r="152" spans="1:5">
      <c r="A152" t="s">
        <v>9</v>
      </c>
      <c r="B152" t="s">
        <v>312</v>
      </c>
      <c r="C152" t="s">
        <v>313</v>
      </c>
      <c r="D152" t="s">
        <v>12</v>
      </c>
      <c r="E152" t="s">
        <v>13</v>
      </c>
    </row>
    <row r="153" spans="1:5">
      <c r="A153" t="s">
        <v>9</v>
      </c>
      <c r="B153" t="s">
        <v>314</v>
      </c>
      <c r="C153" t="s">
        <v>315</v>
      </c>
      <c r="D153" t="s">
        <v>12</v>
      </c>
      <c r="E153" t="s">
        <v>13</v>
      </c>
    </row>
    <row r="154" spans="1:5">
      <c r="A154" t="s">
        <v>9</v>
      </c>
      <c r="B154" t="s">
        <v>316</v>
      </c>
      <c r="C154" t="s">
        <v>317</v>
      </c>
      <c r="D154" t="s">
        <v>12</v>
      </c>
      <c r="E154" t="s">
        <v>13</v>
      </c>
    </row>
    <row r="155" spans="1:5">
      <c r="A155" t="s">
        <v>9</v>
      </c>
      <c r="B155" t="s">
        <v>318</v>
      </c>
      <c r="C155" t="s">
        <v>319</v>
      </c>
      <c r="D155" t="s">
        <v>12</v>
      </c>
      <c r="E155" t="s">
        <v>13</v>
      </c>
    </row>
    <row r="156" spans="1:5">
      <c r="A156" t="s">
        <v>9</v>
      </c>
      <c r="B156" t="s">
        <v>320</v>
      </c>
      <c r="C156" t="s">
        <v>321</v>
      </c>
      <c r="D156" t="s">
        <v>12</v>
      </c>
      <c r="E156" t="s">
        <v>13</v>
      </c>
    </row>
    <row r="157" spans="1:5">
      <c r="A157" t="s">
        <v>9</v>
      </c>
      <c r="B157" t="s">
        <v>322</v>
      </c>
      <c r="C157" t="s">
        <v>323</v>
      </c>
      <c r="D157" t="s">
        <v>12</v>
      </c>
      <c r="E157" t="s">
        <v>13</v>
      </c>
    </row>
    <row r="158" spans="1:5">
      <c r="A158" t="s">
        <v>9</v>
      </c>
      <c r="B158" t="s">
        <v>324</v>
      </c>
      <c r="C158" t="s">
        <v>105</v>
      </c>
      <c r="D158" t="s">
        <v>12</v>
      </c>
      <c r="E158" t="s">
        <v>13</v>
      </c>
    </row>
    <row r="159" spans="1:5">
      <c r="A159" t="s">
        <v>9</v>
      </c>
      <c r="B159" t="s">
        <v>325</v>
      </c>
      <c r="C159" t="s">
        <v>326</v>
      </c>
      <c r="D159" t="s">
        <v>12</v>
      </c>
      <c r="E159" t="s">
        <v>13</v>
      </c>
    </row>
    <row r="160" spans="1:5">
      <c r="A160" t="s">
        <v>9</v>
      </c>
      <c r="B160" t="s">
        <v>327</v>
      </c>
      <c r="C160" t="s">
        <v>328</v>
      </c>
      <c r="D160" t="s">
        <v>12</v>
      </c>
      <c r="E160" t="s">
        <v>13</v>
      </c>
    </row>
    <row r="161" spans="1:5">
      <c r="A161" t="s">
        <v>9</v>
      </c>
      <c r="B161" t="s">
        <v>329</v>
      </c>
      <c r="C161" t="s">
        <v>330</v>
      </c>
      <c r="D161" t="s">
        <v>12</v>
      </c>
      <c r="E161" t="s">
        <v>13</v>
      </c>
    </row>
    <row r="162" spans="1:5">
      <c r="A162" t="s">
        <v>9</v>
      </c>
      <c r="B162" t="s">
        <v>331</v>
      </c>
      <c r="C162" t="s">
        <v>332</v>
      </c>
      <c r="D162" t="s">
        <v>12</v>
      </c>
      <c r="E162" t="s">
        <v>13</v>
      </c>
    </row>
    <row r="163" spans="1:5">
      <c r="A163" t="s">
        <v>9</v>
      </c>
      <c r="B163" t="s">
        <v>333</v>
      </c>
      <c r="C163" t="s">
        <v>334</v>
      </c>
      <c r="D163" t="s">
        <v>12</v>
      </c>
      <c r="E163" t="s">
        <v>13</v>
      </c>
    </row>
    <row r="164" spans="1:5">
      <c r="A164" t="s">
        <v>9</v>
      </c>
      <c r="B164" t="s">
        <v>335</v>
      </c>
      <c r="C164" t="s">
        <v>336</v>
      </c>
      <c r="D164" t="s">
        <v>12</v>
      </c>
      <c r="E164" t="s">
        <v>13</v>
      </c>
    </row>
    <row r="165" spans="1:5">
      <c r="A165" t="s">
        <v>9</v>
      </c>
      <c r="B165" t="s">
        <v>337</v>
      </c>
      <c r="C165" t="s">
        <v>177</v>
      </c>
      <c r="D165" t="s">
        <v>12</v>
      </c>
      <c r="E165" t="s">
        <v>13</v>
      </c>
    </row>
    <row r="166" spans="1:5">
      <c r="A166" t="s">
        <v>9</v>
      </c>
      <c r="B166" t="s">
        <v>338</v>
      </c>
      <c r="C166" t="s">
        <v>339</v>
      </c>
      <c r="D166" t="s">
        <v>12</v>
      </c>
      <c r="E166" t="s">
        <v>13</v>
      </c>
    </row>
    <row r="167" spans="1:5">
      <c r="A167" t="s">
        <v>9</v>
      </c>
      <c r="B167" t="s">
        <v>340</v>
      </c>
      <c r="C167" t="s">
        <v>341</v>
      </c>
      <c r="D167" t="s">
        <v>12</v>
      </c>
      <c r="E167" t="s">
        <v>13</v>
      </c>
    </row>
    <row r="168" spans="1:5">
      <c r="A168" t="s">
        <v>9</v>
      </c>
      <c r="B168" t="s">
        <v>342</v>
      </c>
      <c r="C168" t="s">
        <v>343</v>
      </c>
      <c r="D168" t="s">
        <v>12</v>
      </c>
      <c r="E168" t="s">
        <v>13</v>
      </c>
    </row>
    <row r="169" spans="1:5">
      <c r="A169" t="s">
        <v>9</v>
      </c>
      <c r="B169" t="s">
        <v>344</v>
      </c>
      <c r="C169" t="s">
        <v>345</v>
      </c>
      <c r="D169" t="s">
        <v>12</v>
      </c>
      <c r="E169" t="s">
        <v>13</v>
      </c>
    </row>
    <row r="170" spans="1:5">
      <c r="A170" t="s">
        <v>9</v>
      </c>
      <c r="B170" t="s">
        <v>346</v>
      </c>
      <c r="C170" t="s">
        <v>347</v>
      </c>
      <c r="D170" t="s">
        <v>12</v>
      </c>
      <c r="E170" t="s">
        <v>13</v>
      </c>
    </row>
    <row r="171" spans="1:5">
      <c r="A171" t="s">
        <v>9</v>
      </c>
      <c r="B171" t="s">
        <v>348</v>
      </c>
      <c r="C171" t="s">
        <v>349</v>
      </c>
      <c r="D171" t="s">
        <v>12</v>
      </c>
      <c r="E171" t="s">
        <v>13</v>
      </c>
    </row>
    <row r="172" spans="1:5">
      <c r="A172" t="s">
        <v>9</v>
      </c>
      <c r="B172" t="s">
        <v>350</v>
      </c>
      <c r="C172" t="s">
        <v>351</v>
      </c>
      <c r="D172" t="s">
        <v>12</v>
      </c>
      <c r="E172" t="s">
        <v>13</v>
      </c>
    </row>
    <row r="173" spans="1:5">
      <c r="A173" t="s">
        <v>9</v>
      </c>
      <c r="B173" t="s">
        <v>352</v>
      </c>
      <c r="C173" t="s">
        <v>353</v>
      </c>
      <c r="D173" t="s">
        <v>12</v>
      </c>
      <c r="E173" t="s">
        <v>13</v>
      </c>
    </row>
    <row r="174" spans="1:5">
      <c r="A174" t="s">
        <v>9</v>
      </c>
      <c r="B174" t="s">
        <v>354</v>
      </c>
      <c r="C174" t="s">
        <v>355</v>
      </c>
      <c r="D174" t="s">
        <v>12</v>
      </c>
      <c r="E174" t="s">
        <v>13</v>
      </c>
    </row>
    <row r="175" spans="1:5">
      <c r="A175" t="s">
        <v>9</v>
      </c>
      <c r="B175" t="s">
        <v>356</v>
      </c>
      <c r="C175" t="s">
        <v>357</v>
      </c>
      <c r="D175" t="s">
        <v>12</v>
      </c>
      <c r="E175" t="s">
        <v>13</v>
      </c>
    </row>
    <row r="176" spans="1:5">
      <c r="A176" t="s">
        <v>9</v>
      </c>
      <c r="B176" t="s">
        <v>358</v>
      </c>
      <c r="C176" t="s">
        <v>359</v>
      </c>
      <c r="D176" t="s">
        <v>12</v>
      </c>
      <c r="E176" t="s">
        <v>13</v>
      </c>
    </row>
    <row r="177" spans="1:5">
      <c r="A177" t="s">
        <v>9</v>
      </c>
      <c r="B177" t="s">
        <v>360</v>
      </c>
      <c r="C177" t="s">
        <v>208</v>
      </c>
      <c r="D177" t="s">
        <v>12</v>
      </c>
      <c r="E177" t="s">
        <v>13</v>
      </c>
    </row>
    <row r="178" spans="1:5">
      <c r="A178" t="s">
        <v>9</v>
      </c>
      <c r="B178" t="s">
        <v>361</v>
      </c>
      <c r="C178" t="s">
        <v>362</v>
      </c>
      <c r="D178" t="s">
        <v>12</v>
      </c>
      <c r="E178" t="s">
        <v>13</v>
      </c>
    </row>
    <row r="179" spans="1:5">
      <c r="A179" t="s">
        <v>9</v>
      </c>
      <c r="B179" t="s">
        <v>363</v>
      </c>
      <c r="C179" t="s">
        <v>364</v>
      </c>
      <c r="D179" t="s">
        <v>12</v>
      </c>
      <c r="E179" t="s">
        <v>13</v>
      </c>
    </row>
    <row r="180" spans="1:5">
      <c r="A180" t="s">
        <v>9</v>
      </c>
      <c r="B180" t="s">
        <v>365</v>
      </c>
      <c r="C180" t="s">
        <v>366</v>
      </c>
      <c r="D180" t="s">
        <v>12</v>
      </c>
      <c r="E180" t="s">
        <v>13</v>
      </c>
    </row>
    <row r="181" spans="1:5">
      <c r="A181" t="s">
        <v>9</v>
      </c>
      <c r="B181" t="s">
        <v>367</v>
      </c>
      <c r="C181" t="s">
        <v>368</v>
      </c>
      <c r="D181" t="s">
        <v>12</v>
      </c>
      <c r="E181" t="s">
        <v>13</v>
      </c>
    </row>
    <row r="182" spans="1:5">
      <c r="A182" t="s">
        <v>9</v>
      </c>
      <c r="B182" t="s">
        <v>369</v>
      </c>
      <c r="C182" t="s">
        <v>370</v>
      </c>
      <c r="D182" t="s">
        <v>12</v>
      </c>
      <c r="E182" t="s">
        <v>13</v>
      </c>
    </row>
    <row r="183" spans="1:5">
      <c r="A183" t="s">
        <v>9</v>
      </c>
      <c r="B183" t="s">
        <v>371</v>
      </c>
      <c r="C183" t="s">
        <v>372</v>
      </c>
      <c r="D183" t="s">
        <v>12</v>
      </c>
      <c r="E183" t="s">
        <v>13</v>
      </c>
    </row>
    <row r="184" spans="1:5">
      <c r="A184" t="s">
        <v>9</v>
      </c>
      <c r="B184" t="s">
        <v>373</v>
      </c>
      <c r="C184" t="s">
        <v>374</v>
      </c>
      <c r="D184" t="s">
        <v>12</v>
      </c>
      <c r="E184" t="s">
        <v>13</v>
      </c>
    </row>
    <row r="185" spans="1:5">
      <c r="A185" t="s">
        <v>9</v>
      </c>
      <c r="B185" t="s">
        <v>375</v>
      </c>
      <c r="C185" t="s">
        <v>376</v>
      </c>
      <c r="D185" t="s">
        <v>12</v>
      </c>
      <c r="E185" t="s">
        <v>13</v>
      </c>
    </row>
    <row r="186" spans="1:5">
      <c r="A186" t="s">
        <v>9</v>
      </c>
      <c r="B186" t="s">
        <v>377</v>
      </c>
      <c r="C186" t="s">
        <v>378</v>
      </c>
      <c r="D186" t="s">
        <v>12</v>
      </c>
      <c r="E186" t="s">
        <v>13</v>
      </c>
    </row>
    <row r="187" spans="1:5">
      <c r="A187" t="s">
        <v>9</v>
      </c>
      <c r="B187" t="s">
        <v>379</v>
      </c>
      <c r="C187" t="s">
        <v>380</v>
      </c>
      <c r="D187" t="s">
        <v>12</v>
      </c>
      <c r="E187" t="s">
        <v>13</v>
      </c>
    </row>
    <row r="188" spans="1:5">
      <c r="A188" t="s">
        <v>9</v>
      </c>
      <c r="B188" t="s">
        <v>381</v>
      </c>
      <c r="C188" t="s">
        <v>382</v>
      </c>
      <c r="D188" t="s">
        <v>12</v>
      </c>
      <c r="E188" t="s">
        <v>13</v>
      </c>
    </row>
    <row r="189" spans="1:5">
      <c r="A189" t="s">
        <v>9</v>
      </c>
      <c r="B189" t="s">
        <v>383</v>
      </c>
      <c r="C189" t="s">
        <v>384</v>
      </c>
      <c r="D189" t="s">
        <v>12</v>
      </c>
      <c r="E189" t="s">
        <v>13</v>
      </c>
    </row>
    <row r="190" spans="1:5">
      <c r="A190" t="s">
        <v>9</v>
      </c>
      <c r="B190" t="s">
        <v>385</v>
      </c>
      <c r="C190" t="s">
        <v>386</v>
      </c>
      <c r="D190" t="s">
        <v>12</v>
      </c>
      <c r="E190" t="s">
        <v>13</v>
      </c>
    </row>
    <row r="191" spans="1:5">
      <c r="A191" t="s">
        <v>9</v>
      </c>
      <c r="B191" t="s">
        <v>387</v>
      </c>
      <c r="C191" t="s">
        <v>388</v>
      </c>
      <c r="D191" t="s">
        <v>12</v>
      </c>
      <c r="E191" t="s">
        <v>13</v>
      </c>
    </row>
    <row r="192" spans="1:5">
      <c r="A192" t="s">
        <v>9</v>
      </c>
      <c r="B192" t="s">
        <v>389</v>
      </c>
      <c r="C192" t="s">
        <v>390</v>
      </c>
      <c r="D192" t="s">
        <v>12</v>
      </c>
      <c r="E192" t="s">
        <v>13</v>
      </c>
    </row>
    <row r="193" spans="1:5">
      <c r="A193" t="s">
        <v>9</v>
      </c>
      <c r="B193" t="s">
        <v>391</v>
      </c>
      <c r="C193" t="s">
        <v>392</v>
      </c>
      <c r="D193" t="s">
        <v>12</v>
      </c>
      <c r="E193" t="s">
        <v>13</v>
      </c>
    </row>
    <row r="194" spans="1:5">
      <c r="A194" t="s">
        <v>9</v>
      </c>
      <c r="B194" t="s">
        <v>393</v>
      </c>
      <c r="C194" t="s">
        <v>394</v>
      </c>
      <c r="D194" t="s">
        <v>12</v>
      </c>
      <c r="E194" t="s">
        <v>13</v>
      </c>
    </row>
    <row r="195" spans="1:5">
      <c r="A195" t="s">
        <v>9</v>
      </c>
      <c r="B195" t="s">
        <v>395</v>
      </c>
      <c r="C195" t="s">
        <v>396</v>
      </c>
      <c r="D195" t="s">
        <v>12</v>
      </c>
      <c r="E195" t="s">
        <v>13</v>
      </c>
    </row>
    <row r="196" spans="1:5">
      <c r="A196" t="s">
        <v>9</v>
      </c>
      <c r="B196" t="s">
        <v>397</v>
      </c>
      <c r="C196" t="s">
        <v>245</v>
      </c>
      <c r="D196" t="s">
        <v>12</v>
      </c>
      <c r="E196" t="s">
        <v>13</v>
      </c>
    </row>
    <row r="197" spans="1:5">
      <c r="A197" t="s">
        <v>9</v>
      </c>
      <c r="B197" t="s">
        <v>398</v>
      </c>
      <c r="C197" t="s">
        <v>399</v>
      </c>
      <c r="D197" t="s">
        <v>12</v>
      </c>
      <c r="E197" t="s">
        <v>13</v>
      </c>
    </row>
    <row r="198" spans="1:5">
      <c r="A198" t="s">
        <v>9</v>
      </c>
      <c r="B198" t="s">
        <v>400</v>
      </c>
      <c r="C198" t="s">
        <v>401</v>
      </c>
      <c r="D198" t="s">
        <v>12</v>
      </c>
      <c r="E198" t="s">
        <v>13</v>
      </c>
    </row>
    <row r="199" spans="1:5">
      <c r="A199" t="s">
        <v>9</v>
      </c>
      <c r="B199" t="s">
        <v>402</v>
      </c>
      <c r="C199" t="s">
        <v>403</v>
      </c>
      <c r="D199" t="s">
        <v>12</v>
      </c>
      <c r="E199" t="s">
        <v>13</v>
      </c>
    </row>
    <row r="200" spans="1:5">
      <c r="A200" t="s">
        <v>9</v>
      </c>
      <c r="B200" t="s">
        <v>404</v>
      </c>
      <c r="C200" t="s">
        <v>405</v>
      </c>
      <c r="D200" t="s">
        <v>12</v>
      </c>
      <c r="E200" t="s">
        <v>13</v>
      </c>
    </row>
    <row r="201" spans="1:5">
      <c r="A201" t="s">
        <v>9</v>
      </c>
      <c r="B201" t="s">
        <v>406</v>
      </c>
      <c r="C201" t="s">
        <v>407</v>
      </c>
      <c r="D201" t="s">
        <v>12</v>
      </c>
      <c r="E201" t="s">
        <v>13</v>
      </c>
    </row>
    <row r="202" spans="1:5">
      <c r="A202" t="s">
        <v>9</v>
      </c>
      <c r="B202" t="s">
        <v>408</v>
      </c>
      <c r="C202" t="s">
        <v>409</v>
      </c>
      <c r="D202" t="s">
        <v>12</v>
      </c>
      <c r="E202" t="s">
        <v>13</v>
      </c>
    </row>
    <row r="203" spans="1:5">
      <c r="A203" t="s">
        <v>9</v>
      </c>
      <c r="B203" t="s">
        <v>410</v>
      </c>
      <c r="C203" t="s">
        <v>411</v>
      </c>
      <c r="D203" t="s">
        <v>12</v>
      </c>
      <c r="E203" t="s">
        <v>13</v>
      </c>
    </row>
    <row r="204" spans="1:5">
      <c r="A204" t="s">
        <v>9</v>
      </c>
      <c r="B204" t="s">
        <v>412</v>
      </c>
      <c r="C204" t="s">
        <v>376</v>
      </c>
      <c r="D204" t="s">
        <v>12</v>
      </c>
      <c r="E204" t="s">
        <v>13</v>
      </c>
    </row>
    <row r="205" spans="1:5">
      <c r="A205" t="s">
        <v>9</v>
      </c>
      <c r="B205" t="s">
        <v>413</v>
      </c>
      <c r="C205" t="s">
        <v>414</v>
      </c>
      <c r="D205" t="s">
        <v>12</v>
      </c>
      <c r="E205" t="s">
        <v>13</v>
      </c>
    </row>
    <row r="206" spans="1:5">
      <c r="A206" t="s">
        <v>9</v>
      </c>
      <c r="B206" t="s">
        <v>415</v>
      </c>
      <c r="C206" t="s">
        <v>416</v>
      </c>
      <c r="D206" t="s">
        <v>12</v>
      </c>
      <c r="E206" t="s">
        <v>13</v>
      </c>
    </row>
    <row r="207" spans="1:5">
      <c r="A207" t="s">
        <v>9</v>
      </c>
      <c r="B207" t="s">
        <v>417</v>
      </c>
      <c r="C207" t="s">
        <v>418</v>
      </c>
      <c r="D207" t="s">
        <v>12</v>
      </c>
      <c r="E207" t="s">
        <v>13</v>
      </c>
    </row>
    <row r="208" spans="1:5">
      <c r="A208" t="s">
        <v>9</v>
      </c>
      <c r="B208" t="s">
        <v>419</v>
      </c>
      <c r="C208" t="s">
        <v>420</v>
      </c>
      <c r="D208" t="s">
        <v>12</v>
      </c>
      <c r="E208" t="s">
        <v>13</v>
      </c>
    </row>
    <row r="209" spans="1:5">
      <c r="A209" t="s">
        <v>9</v>
      </c>
      <c r="B209" t="s">
        <v>421</v>
      </c>
      <c r="C209" t="s">
        <v>422</v>
      </c>
      <c r="D209" t="s">
        <v>12</v>
      </c>
      <c r="E209" t="s">
        <v>13</v>
      </c>
    </row>
    <row r="210" spans="1:5">
      <c r="A210" t="s">
        <v>9</v>
      </c>
      <c r="B210" t="s">
        <v>423</v>
      </c>
      <c r="C210" t="s">
        <v>424</v>
      </c>
      <c r="D210" t="s">
        <v>12</v>
      </c>
      <c r="E210" t="s">
        <v>13</v>
      </c>
    </row>
    <row r="211" spans="1:5">
      <c r="A211" t="s">
        <v>9</v>
      </c>
      <c r="B211" t="s">
        <v>425</v>
      </c>
      <c r="C211" t="s">
        <v>426</v>
      </c>
      <c r="D211" t="s">
        <v>12</v>
      </c>
      <c r="E211" t="s">
        <v>13</v>
      </c>
    </row>
    <row r="212" spans="1:5">
      <c r="A212" t="s">
        <v>9</v>
      </c>
      <c r="B212" t="s">
        <v>427</v>
      </c>
      <c r="C212" t="s">
        <v>428</v>
      </c>
      <c r="D212" t="s">
        <v>12</v>
      </c>
      <c r="E212" t="s">
        <v>13</v>
      </c>
    </row>
    <row r="213" spans="1:5">
      <c r="A213" t="s">
        <v>9</v>
      </c>
      <c r="B213" t="s">
        <v>429</v>
      </c>
      <c r="C213" t="s">
        <v>159</v>
      </c>
      <c r="D213" t="s">
        <v>12</v>
      </c>
      <c r="E213" t="s">
        <v>13</v>
      </c>
    </row>
    <row r="214" spans="1:5">
      <c r="A214" t="s">
        <v>9</v>
      </c>
      <c r="B214" t="s">
        <v>430</v>
      </c>
      <c r="C214" t="s">
        <v>431</v>
      </c>
      <c r="D214" t="s">
        <v>12</v>
      </c>
      <c r="E214" t="s">
        <v>13</v>
      </c>
    </row>
    <row r="215" spans="1:5">
      <c r="A215" t="s">
        <v>9</v>
      </c>
      <c r="B215" t="s">
        <v>432</v>
      </c>
      <c r="C215" t="s">
        <v>433</v>
      </c>
      <c r="D215" t="s">
        <v>12</v>
      </c>
      <c r="E215" t="s">
        <v>13</v>
      </c>
    </row>
    <row r="216" spans="1:5">
      <c r="A216" t="s">
        <v>9</v>
      </c>
      <c r="B216" t="s">
        <v>434</v>
      </c>
      <c r="C216" t="s">
        <v>435</v>
      </c>
      <c r="D216" t="s">
        <v>12</v>
      </c>
      <c r="E216" t="s">
        <v>13</v>
      </c>
    </row>
    <row r="217" spans="1:5">
      <c r="A217" t="s">
        <v>9</v>
      </c>
      <c r="B217" t="s">
        <v>436</v>
      </c>
      <c r="C217" t="s">
        <v>437</v>
      </c>
      <c r="D217" t="s">
        <v>12</v>
      </c>
      <c r="E217" t="s">
        <v>13</v>
      </c>
    </row>
    <row r="218" spans="1:5">
      <c r="A218" t="s">
        <v>9</v>
      </c>
      <c r="B218" t="s">
        <v>438</v>
      </c>
      <c r="C218" t="s">
        <v>439</v>
      </c>
      <c r="D218" t="s">
        <v>12</v>
      </c>
      <c r="E218" t="s">
        <v>13</v>
      </c>
    </row>
    <row r="219" spans="1:5">
      <c r="A219" t="s">
        <v>9</v>
      </c>
      <c r="B219" t="s">
        <v>440</v>
      </c>
      <c r="C219" t="s">
        <v>441</v>
      </c>
      <c r="D219" t="s">
        <v>12</v>
      </c>
      <c r="E219" t="s">
        <v>13</v>
      </c>
    </row>
    <row r="220" spans="1:5">
      <c r="A220" t="s">
        <v>9</v>
      </c>
      <c r="B220" t="s">
        <v>442</v>
      </c>
      <c r="C220" t="s">
        <v>443</v>
      </c>
      <c r="D220" t="s">
        <v>12</v>
      </c>
      <c r="E220" t="s">
        <v>13</v>
      </c>
    </row>
    <row r="221" spans="1:5">
      <c r="A221" t="s">
        <v>9</v>
      </c>
      <c r="B221" t="s">
        <v>444</v>
      </c>
      <c r="C221" t="s">
        <v>445</v>
      </c>
      <c r="D221" t="s">
        <v>12</v>
      </c>
      <c r="E221" t="s">
        <v>13</v>
      </c>
    </row>
    <row r="222" spans="1:5">
      <c r="A222" t="s">
        <v>9</v>
      </c>
      <c r="B222" t="s">
        <v>446</v>
      </c>
      <c r="C222" t="s">
        <v>447</v>
      </c>
      <c r="D222" t="s">
        <v>12</v>
      </c>
      <c r="E222" t="s">
        <v>13</v>
      </c>
    </row>
    <row r="223" spans="1:5">
      <c r="A223" t="s">
        <v>9</v>
      </c>
      <c r="B223" t="s">
        <v>448</v>
      </c>
      <c r="C223" t="s">
        <v>449</v>
      </c>
      <c r="D223" t="s">
        <v>12</v>
      </c>
      <c r="E223" t="s">
        <v>13</v>
      </c>
    </row>
    <row r="224" spans="1:5">
      <c r="A224" t="s">
        <v>9</v>
      </c>
      <c r="B224" t="s">
        <v>450</v>
      </c>
      <c r="C224" t="s">
        <v>451</v>
      </c>
      <c r="D224" t="s">
        <v>12</v>
      </c>
      <c r="E224" t="s">
        <v>13</v>
      </c>
    </row>
    <row r="225" spans="1:5">
      <c r="A225" t="s">
        <v>9</v>
      </c>
      <c r="B225" t="s">
        <v>452</v>
      </c>
      <c r="C225" t="s">
        <v>453</v>
      </c>
      <c r="D225" t="s">
        <v>12</v>
      </c>
      <c r="E225" t="s">
        <v>13</v>
      </c>
    </row>
    <row r="226" spans="1:5">
      <c r="A226" t="s">
        <v>9</v>
      </c>
      <c r="B226" t="s">
        <v>454</v>
      </c>
      <c r="C226" t="s">
        <v>455</v>
      </c>
      <c r="D226" t="s">
        <v>12</v>
      </c>
      <c r="E226" t="s">
        <v>13</v>
      </c>
    </row>
    <row r="227" spans="1:5">
      <c r="A227" t="s">
        <v>9</v>
      </c>
      <c r="B227" t="s">
        <v>456</v>
      </c>
      <c r="C227" t="s">
        <v>457</v>
      </c>
      <c r="D227" t="s">
        <v>12</v>
      </c>
      <c r="E227" t="s">
        <v>13</v>
      </c>
    </row>
    <row r="228" spans="1:5">
      <c r="A228" t="s">
        <v>9</v>
      </c>
      <c r="B228" t="s">
        <v>458</v>
      </c>
      <c r="C228" t="s">
        <v>459</v>
      </c>
      <c r="D228" t="s">
        <v>12</v>
      </c>
      <c r="E228" t="s">
        <v>13</v>
      </c>
    </row>
    <row r="229" spans="1:5">
      <c r="A229" t="s">
        <v>9</v>
      </c>
      <c r="B229" t="s">
        <v>460</v>
      </c>
      <c r="C229" t="s">
        <v>461</v>
      </c>
      <c r="D229" t="s">
        <v>12</v>
      </c>
      <c r="E229" t="s">
        <v>13</v>
      </c>
    </row>
    <row r="230" spans="1:5">
      <c r="A230" t="s">
        <v>9</v>
      </c>
      <c r="B230" t="s">
        <v>462</v>
      </c>
      <c r="C230" t="s">
        <v>463</v>
      </c>
      <c r="D230" t="s">
        <v>12</v>
      </c>
      <c r="E230" t="s">
        <v>13</v>
      </c>
    </row>
    <row r="231" spans="1:5">
      <c r="A231" t="s">
        <v>9</v>
      </c>
      <c r="B231" t="s">
        <v>464</v>
      </c>
      <c r="C231" t="s">
        <v>465</v>
      </c>
      <c r="D231" t="s">
        <v>12</v>
      </c>
      <c r="E231" t="s">
        <v>13</v>
      </c>
    </row>
    <row r="232" spans="1:5">
      <c r="A232" t="s">
        <v>9</v>
      </c>
      <c r="B232" t="s">
        <v>466</v>
      </c>
      <c r="C232" t="s">
        <v>467</v>
      </c>
      <c r="D232" t="s">
        <v>12</v>
      </c>
      <c r="E232" t="s">
        <v>13</v>
      </c>
    </row>
    <row r="233" spans="1:5">
      <c r="A233" t="s">
        <v>9</v>
      </c>
      <c r="B233" t="s">
        <v>468</v>
      </c>
      <c r="C233" t="s">
        <v>105</v>
      </c>
      <c r="D233" t="s">
        <v>12</v>
      </c>
      <c r="E233" t="s">
        <v>13</v>
      </c>
    </row>
    <row r="234" spans="1:5">
      <c r="A234" t="s">
        <v>9</v>
      </c>
      <c r="B234" t="s">
        <v>469</v>
      </c>
      <c r="C234" t="s">
        <v>470</v>
      </c>
      <c r="D234" t="s">
        <v>12</v>
      </c>
      <c r="E234" t="s">
        <v>13</v>
      </c>
    </row>
    <row r="235" spans="1:5">
      <c r="A235" t="s">
        <v>9</v>
      </c>
      <c r="B235" t="s">
        <v>471</v>
      </c>
      <c r="C235" t="s">
        <v>57</v>
      </c>
      <c r="D235" t="s">
        <v>12</v>
      </c>
      <c r="E235" t="s">
        <v>13</v>
      </c>
    </row>
    <row r="236" spans="1:5">
      <c r="A236" t="s">
        <v>9</v>
      </c>
      <c r="B236" t="s">
        <v>472</v>
      </c>
      <c r="C236" t="s">
        <v>473</v>
      </c>
      <c r="D236" t="s">
        <v>12</v>
      </c>
      <c r="E236" t="s">
        <v>13</v>
      </c>
    </row>
    <row r="237" spans="1:5">
      <c r="A237" t="s">
        <v>9</v>
      </c>
      <c r="B237" t="s">
        <v>474</v>
      </c>
      <c r="C237" t="s">
        <v>475</v>
      </c>
      <c r="D237" t="s">
        <v>12</v>
      </c>
      <c r="E237" t="s">
        <v>13</v>
      </c>
    </row>
    <row r="238" spans="1:5">
      <c r="A238" t="s">
        <v>9</v>
      </c>
      <c r="B238" t="s">
        <v>476</v>
      </c>
      <c r="C238" t="s">
        <v>477</v>
      </c>
      <c r="D238" t="s">
        <v>12</v>
      </c>
      <c r="E238" t="s">
        <v>13</v>
      </c>
    </row>
    <row r="239" spans="1:5">
      <c r="A239" t="s">
        <v>9</v>
      </c>
      <c r="B239" t="s">
        <v>478</v>
      </c>
      <c r="C239" t="s">
        <v>479</v>
      </c>
      <c r="D239" t="s">
        <v>12</v>
      </c>
      <c r="E239" t="s">
        <v>13</v>
      </c>
    </row>
    <row r="240" spans="1:5">
      <c r="A240" t="s">
        <v>9</v>
      </c>
      <c r="B240" t="s">
        <v>480</v>
      </c>
      <c r="C240" t="s">
        <v>481</v>
      </c>
      <c r="D240" t="s">
        <v>12</v>
      </c>
      <c r="E240" t="s">
        <v>13</v>
      </c>
    </row>
    <row r="241" spans="1:5">
      <c r="A241" t="s">
        <v>9</v>
      </c>
      <c r="B241" t="s">
        <v>482</v>
      </c>
      <c r="C241" t="s">
        <v>309</v>
      </c>
      <c r="D241" t="s">
        <v>12</v>
      </c>
      <c r="E241" t="s">
        <v>13</v>
      </c>
    </row>
    <row r="242" spans="1:5">
      <c r="A242" t="s">
        <v>9</v>
      </c>
      <c r="B242" t="s">
        <v>483</v>
      </c>
      <c r="C242" t="s">
        <v>484</v>
      </c>
      <c r="D242" t="s">
        <v>12</v>
      </c>
      <c r="E242" t="s">
        <v>13</v>
      </c>
    </row>
    <row r="243" spans="1:5">
      <c r="A243" t="s">
        <v>9</v>
      </c>
      <c r="B243" t="s">
        <v>485</v>
      </c>
      <c r="C243" t="s">
        <v>486</v>
      </c>
      <c r="D243" t="s">
        <v>12</v>
      </c>
      <c r="E243" t="s">
        <v>13</v>
      </c>
    </row>
    <row r="244" spans="1:5">
      <c r="A244" t="s">
        <v>9</v>
      </c>
      <c r="B244" t="s">
        <v>487</v>
      </c>
      <c r="C244" t="s">
        <v>488</v>
      </c>
      <c r="D244" t="s">
        <v>12</v>
      </c>
      <c r="E244" t="s">
        <v>13</v>
      </c>
    </row>
    <row r="245" spans="1:5">
      <c r="A245" t="s">
        <v>9</v>
      </c>
      <c r="B245" t="s">
        <v>489</v>
      </c>
      <c r="C245" t="s">
        <v>490</v>
      </c>
      <c r="D245" t="s">
        <v>12</v>
      </c>
      <c r="E245" t="s">
        <v>13</v>
      </c>
    </row>
    <row r="246" spans="1:5">
      <c r="A246" t="s">
        <v>9</v>
      </c>
      <c r="B246" t="s">
        <v>491</v>
      </c>
      <c r="C246" t="s">
        <v>265</v>
      </c>
      <c r="D246" t="s">
        <v>12</v>
      </c>
      <c r="E246" t="s">
        <v>13</v>
      </c>
    </row>
    <row r="247" spans="1:5">
      <c r="A247" t="s">
        <v>9</v>
      </c>
      <c r="B247" t="s">
        <v>492</v>
      </c>
      <c r="C247" t="s">
        <v>493</v>
      </c>
      <c r="D247" t="s">
        <v>12</v>
      </c>
      <c r="E247" t="s">
        <v>13</v>
      </c>
    </row>
    <row r="248" spans="1:5">
      <c r="A248" t="s">
        <v>9</v>
      </c>
      <c r="B248" t="s">
        <v>494</v>
      </c>
      <c r="C248" t="s">
        <v>495</v>
      </c>
      <c r="D248" t="s">
        <v>12</v>
      </c>
      <c r="E248" t="s">
        <v>13</v>
      </c>
    </row>
    <row r="249" spans="1:5">
      <c r="A249" t="s">
        <v>9</v>
      </c>
      <c r="B249" t="s">
        <v>496</v>
      </c>
      <c r="C249" t="s">
        <v>497</v>
      </c>
      <c r="D249" t="s">
        <v>12</v>
      </c>
      <c r="E249" t="s">
        <v>13</v>
      </c>
    </row>
    <row r="250" spans="1:5">
      <c r="A250" t="s">
        <v>9</v>
      </c>
      <c r="B250" t="s">
        <v>498</v>
      </c>
      <c r="C250" t="s">
        <v>499</v>
      </c>
      <c r="D250" t="s">
        <v>12</v>
      </c>
      <c r="E250" t="s">
        <v>13</v>
      </c>
    </row>
    <row r="251" spans="1:5">
      <c r="A251" t="s">
        <v>9</v>
      </c>
      <c r="B251" t="s">
        <v>500</v>
      </c>
      <c r="C251" t="s">
        <v>501</v>
      </c>
      <c r="D251" t="s">
        <v>12</v>
      </c>
      <c r="E251" t="s">
        <v>13</v>
      </c>
    </row>
    <row r="252" spans="1:5">
      <c r="A252" t="s">
        <v>9</v>
      </c>
      <c r="B252" t="s">
        <v>502</v>
      </c>
      <c r="C252" t="s">
        <v>503</v>
      </c>
      <c r="D252" t="s">
        <v>12</v>
      </c>
      <c r="E252" t="s">
        <v>13</v>
      </c>
    </row>
    <row r="253" spans="1:5">
      <c r="A253" t="s">
        <v>9</v>
      </c>
      <c r="B253" t="s">
        <v>504</v>
      </c>
      <c r="C253" t="s">
        <v>505</v>
      </c>
      <c r="D253" t="s">
        <v>12</v>
      </c>
      <c r="E253" t="s">
        <v>13</v>
      </c>
    </row>
    <row r="254" spans="1:5">
      <c r="A254" t="s">
        <v>9</v>
      </c>
      <c r="B254" t="s">
        <v>506</v>
      </c>
      <c r="C254" t="s">
        <v>507</v>
      </c>
      <c r="D254" t="s">
        <v>12</v>
      </c>
      <c r="E254" t="s">
        <v>13</v>
      </c>
    </row>
    <row r="255" spans="1:5">
      <c r="A255" t="s">
        <v>9</v>
      </c>
      <c r="B255" t="s">
        <v>508</v>
      </c>
      <c r="C255" t="s">
        <v>509</v>
      </c>
      <c r="D255" t="s">
        <v>12</v>
      </c>
      <c r="E255" t="s">
        <v>13</v>
      </c>
    </row>
    <row r="256" spans="1:5">
      <c r="A256" t="s">
        <v>9</v>
      </c>
      <c r="B256" t="s">
        <v>510</v>
      </c>
      <c r="C256" t="s">
        <v>67</v>
      </c>
      <c r="D256" t="s">
        <v>12</v>
      </c>
      <c r="E256" t="s">
        <v>13</v>
      </c>
    </row>
    <row r="257" spans="1:5">
      <c r="A257" t="s">
        <v>9</v>
      </c>
      <c r="B257" t="s">
        <v>511</v>
      </c>
      <c r="C257" t="s">
        <v>512</v>
      </c>
      <c r="D257" t="s">
        <v>12</v>
      </c>
      <c r="E257" t="s">
        <v>13</v>
      </c>
    </row>
    <row r="258" spans="1:5">
      <c r="A258" t="s">
        <v>9</v>
      </c>
      <c r="B258" t="s">
        <v>513</v>
      </c>
      <c r="C258" t="s">
        <v>514</v>
      </c>
      <c r="D258" t="s">
        <v>12</v>
      </c>
      <c r="E258" t="s">
        <v>13</v>
      </c>
    </row>
    <row r="259" spans="1:5">
      <c r="A259" t="s">
        <v>9</v>
      </c>
      <c r="B259" t="s">
        <v>515</v>
      </c>
      <c r="C259" t="s">
        <v>516</v>
      </c>
      <c r="D259" t="s">
        <v>12</v>
      </c>
      <c r="E259" t="s">
        <v>13</v>
      </c>
    </row>
    <row r="260" spans="1:5">
      <c r="A260" t="s">
        <v>9</v>
      </c>
      <c r="B260" t="s">
        <v>517</v>
      </c>
      <c r="C260" t="s">
        <v>518</v>
      </c>
      <c r="D260" t="s">
        <v>12</v>
      </c>
      <c r="E260" t="s">
        <v>13</v>
      </c>
    </row>
    <row r="261" spans="1:5">
      <c r="A261" t="s">
        <v>9</v>
      </c>
      <c r="B261" t="s">
        <v>519</v>
      </c>
      <c r="C261" t="s">
        <v>520</v>
      </c>
      <c r="D261" t="s">
        <v>12</v>
      </c>
      <c r="E261" t="s">
        <v>13</v>
      </c>
    </row>
    <row r="262" spans="1:5">
      <c r="A262" t="s">
        <v>9</v>
      </c>
      <c r="B262" t="s">
        <v>521</v>
      </c>
      <c r="C262" t="s">
        <v>522</v>
      </c>
      <c r="D262" t="s">
        <v>12</v>
      </c>
      <c r="E262" t="s">
        <v>13</v>
      </c>
    </row>
    <row r="263" spans="1:5">
      <c r="A263" t="s">
        <v>9</v>
      </c>
      <c r="B263" t="s">
        <v>523</v>
      </c>
      <c r="C263" t="s">
        <v>524</v>
      </c>
      <c r="D263" t="s">
        <v>12</v>
      </c>
      <c r="E263" t="s">
        <v>13</v>
      </c>
    </row>
    <row r="264" spans="1:5">
      <c r="A264" t="s">
        <v>9</v>
      </c>
      <c r="B264" t="s">
        <v>525</v>
      </c>
      <c r="C264" t="s">
        <v>526</v>
      </c>
      <c r="D264" t="s">
        <v>12</v>
      </c>
      <c r="E264" t="s">
        <v>13</v>
      </c>
    </row>
    <row r="265" spans="1:5">
      <c r="A265" t="s">
        <v>9</v>
      </c>
      <c r="B265" t="s">
        <v>527</v>
      </c>
      <c r="C265" t="s">
        <v>528</v>
      </c>
      <c r="D265" t="s">
        <v>12</v>
      </c>
      <c r="E265" t="s">
        <v>13</v>
      </c>
    </row>
    <row r="266" spans="1:5">
      <c r="A266" t="s">
        <v>9</v>
      </c>
      <c r="B266" t="s">
        <v>529</v>
      </c>
      <c r="C266" t="s">
        <v>530</v>
      </c>
      <c r="D266" t="s">
        <v>12</v>
      </c>
      <c r="E266" t="s">
        <v>13</v>
      </c>
    </row>
    <row r="267" spans="1:5">
      <c r="A267" t="s">
        <v>9</v>
      </c>
      <c r="B267" t="s">
        <v>531</v>
      </c>
      <c r="C267" t="s">
        <v>532</v>
      </c>
      <c r="D267" t="s">
        <v>12</v>
      </c>
      <c r="E267" t="s">
        <v>13</v>
      </c>
    </row>
    <row r="268" spans="1:5">
      <c r="A268" t="s">
        <v>9</v>
      </c>
      <c r="B268" t="s">
        <v>533</v>
      </c>
      <c r="C268" t="s">
        <v>534</v>
      </c>
      <c r="D268" t="s">
        <v>12</v>
      </c>
      <c r="E268" t="s">
        <v>13</v>
      </c>
    </row>
    <row r="269" spans="1:5">
      <c r="A269" t="s">
        <v>9</v>
      </c>
      <c r="B269" t="s">
        <v>535</v>
      </c>
      <c r="C269" t="s">
        <v>536</v>
      </c>
      <c r="D269" t="s">
        <v>12</v>
      </c>
      <c r="E269" t="s">
        <v>13</v>
      </c>
    </row>
    <row r="270" spans="1:5">
      <c r="A270" t="s">
        <v>9</v>
      </c>
      <c r="B270" t="s">
        <v>537</v>
      </c>
      <c r="C270" t="s">
        <v>538</v>
      </c>
      <c r="D270" t="s">
        <v>12</v>
      </c>
      <c r="E270" t="s">
        <v>13</v>
      </c>
    </row>
    <row r="271" spans="1:5">
      <c r="A271" t="s">
        <v>9</v>
      </c>
      <c r="B271" t="s">
        <v>539</v>
      </c>
      <c r="C271" t="s">
        <v>540</v>
      </c>
      <c r="D271" t="s">
        <v>12</v>
      </c>
      <c r="E271" t="s">
        <v>13</v>
      </c>
    </row>
    <row r="272" spans="1:5">
      <c r="A272" t="s">
        <v>9</v>
      </c>
      <c r="B272" t="s">
        <v>541</v>
      </c>
      <c r="C272" t="s">
        <v>121</v>
      </c>
      <c r="D272" t="s">
        <v>12</v>
      </c>
      <c r="E272" t="s">
        <v>13</v>
      </c>
    </row>
    <row r="273" spans="1:5">
      <c r="A273" t="s">
        <v>9</v>
      </c>
      <c r="B273" t="s">
        <v>542</v>
      </c>
      <c r="C273" t="s">
        <v>543</v>
      </c>
      <c r="D273" t="s">
        <v>12</v>
      </c>
      <c r="E273" t="s">
        <v>13</v>
      </c>
    </row>
    <row r="274" spans="1:5">
      <c r="A274" t="s">
        <v>9</v>
      </c>
      <c r="B274" t="s">
        <v>544</v>
      </c>
      <c r="C274" t="s">
        <v>545</v>
      </c>
      <c r="D274" t="s">
        <v>12</v>
      </c>
      <c r="E274" t="s">
        <v>13</v>
      </c>
    </row>
    <row r="275" spans="1:5">
      <c r="A275" t="s">
        <v>9</v>
      </c>
      <c r="B275" t="s">
        <v>546</v>
      </c>
      <c r="C275" t="s">
        <v>547</v>
      </c>
      <c r="D275" t="s">
        <v>12</v>
      </c>
      <c r="E275" t="s">
        <v>13</v>
      </c>
    </row>
    <row r="276" spans="1:5">
      <c r="A276" t="s">
        <v>9</v>
      </c>
      <c r="B276" t="s">
        <v>548</v>
      </c>
      <c r="C276" t="s">
        <v>549</v>
      </c>
      <c r="D276" t="s">
        <v>12</v>
      </c>
      <c r="E276" t="s">
        <v>13</v>
      </c>
    </row>
    <row r="277" spans="1:5">
      <c r="A277" t="s">
        <v>9</v>
      </c>
      <c r="B277" t="s">
        <v>550</v>
      </c>
      <c r="C277" t="s">
        <v>551</v>
      </c>
      <c r="D277" t="s">
        <v>12</v>
      </c>
      <c r="E277" t="s">
        <v>13</v>
      </c>
    </row>
    <row r="278" spans="1:5">
      <c r="A278" t="s">
        <v>9</v>
      </c>
      <c r="B278" t="s">
        <v>552</v>
      </c>
      <c r="C278" t="s">
        <v>553</v>
      </c>
      <c r="D278" t="s">
        <v>12</v>
      </c>
      <c r="E278" t="s">
        <v>13</v>
      </c>
    </row>
    <row r="279" spans="1:5">
      <c r="A279" t="s">
        <v>9</v>
      </c>
      <c r="B279" t="s">
        <v>554</v>
      </c>
      <c r="C279" t="s">
        <v>555</v>
      </c>
      <c r="D279" t="s">
        <v>12</v>
      </c>
      <c r="E279" t="s">
        <v>13</v>
      </c>
    </row>
    <row r="280" spans="1:5">
      <c r="A280" t="s">
        <v>9</v>
      </c>
      <c r="B280" t="s">
        <v>556</v>
      </c>
      <c r="C280" t="s">
        <v>557</v>
      </c>
      <c r="D280" t="s">
        <v>12</v>
      </c>
      <c r="E280" t="s">
        <v>13</v>
      </c>
    </row>
    <row r="281" spans="1:5">
      <c r="A281" t="s">
        <v>9</v>
      </c>
      <c r="B281" t="s">
        <v>558</v>
      </c>
      <c r="C281" t="s">
        <v>559</v>
      </c>
      <c r="D281" t="s">
        <v>12</v>
      </c>
      <c r="E281" t="s">
        <v>13</v>
      </c>
    </row>
    <row r="282" spans="1:5">
      <c r="A282" t="s">
        <v>9</v>
      </c>
      <c r="B282" t="s">
        <v>560</v>
      </c>
      <c r="C282" t="s">
        <v>561</v>
      </c>
      <c r="D282" t="s">
        <v>12</v>
      </c>
      <c r="E282" t="s">
        <v>13</v>
      </c>
    </row>
    <row r="283" spans="1:5">
      <c r="A283" t="s">
        <v>9</v>
      </c>
      <c r="B283" t="s">
        <v>562</v>
      </c>
      <c r="C283" t="s">
        <v>563</v>
      </c>
      <c r="D283" t="s">
        <v>12</v>
      </c>
      <c r="E283" t="s">
        <v>13</v>
      </c>
    </row>
    <row r="284" spans="1:5">
      <c r="A284" t="s">
        <v>9</v>
      </c>
      <c r="B284" t="s">
        <v>564</v>
      </c>
      <c r="C284" t="s">
        <v>565</v>
      </c>
      <c r="D284" t="s">
        <v>12</v>
      </c>
      <c r="E284" t="s">
        <v>13</v>
      </c>
    </row>
    <row r="285" spans="1:5">
      <c r="A285" t="s">
        <v>9</v>
      </c>
      <c r="B285" t="s">
        <v>566</v>
      </c>
      <c r="C285" t="s">
        <v>567</v>
      </c>
      <c r="D285" t="s">
        <v>12</v>
      </c>
      <c r="E285" t="s">
        <v>13</v>
      </c>
    </row>
    <row r="286" spans="1:5">
      <c r="A286" t="s">
        <v>9</v>
      </c>
      <c r="B286" t="s">
        <v>568</v>
      </c>
      <c r="C286" t="s">
        <v>569</v>
      </c>
      <c r="D286" t="s">
        <v>12</v>
      </c>
      <c r="E286" t="s">
        <v>13</v>
      </c>
    </row>
    <row r="287" spans="1:5">
      <c r="A287" t="s">
        <v>9</v>
      </c>
      <c r="B287" t="s">
        <v>570</v>
      </c>
      <c r="C287" t="s">
        <v>571</v>
      </c>
      <c r="D287" t="s">
        <v>12</v>
      </c>
      <c r="E287" t="s">
        <v>13</v>
      </c>
    </row>
    <row r="288" spans="1:5">
      <c r="A288" t="s">
        <v>9</v>
      </c>
      <c r="B288" t="s">
        <v>572</v>
      </c>
      <c r="C288" t="s">
        <v>573</v>
      </c>
      <c r="D288" t="s">
        <v>12</v>
      </c>
      <c r="E288" t="s">
        <v>13</v>
      </c>
    </row>
    <row r="289" spans="1:5">
      <c r="A289" t="s">
        <v>9</v>
      </c>
      <c r="B289" t="s">
        <v>574</v>
      </c>
      <c r="C289" t="s">
        <v>575</v>
      </c>
      <c r="D289" t="s">
        <v>12</v>
      </c>
      <c r="E289" t="s">
        <v>13</v>
      </c>
    </row>
    <row r="290" spans="1:5">
      <c r="A290" t="s">
        <v>9</v>
      </c>
      <c r="B290" t="s">
        <v>576</v>
      </c>
      <c r="C290" t="s">
        <v>577</v>
      </c>
      <c r="D290" t="s">
        <v>12</v>
      </c>
      <c r="E290" t="s">
        <v>13</v>
      </c>
    </row>
    <row r="291" spans="1:5">
      <c r="A291" t="s">
        <v>9</v>
      </c>
      <c r="B291" t="s">
        <v>578</v>
      </c>
      <c r="C291" t="s">
        <v>579</v>
      </c>
      <c r="D291" t="s">
        <v>12</v>
      </c>
      <c r="E291" t="s">
        <v>13</v>
      </c>
    </row>
    <row r="292" spans="1:5">
      <c r="A292" t="s">
        <v>9</v>
      </c>
      <c r="B292" t="s">
        <v>580</v>
      </c>
      <c r="C292" t="s">
        <v>581</v>
      </c>
      <c r="D292" t="s">
        <v>12</v>
      </c>
      <c r="E292" t="s">
        <v>13</v>
      </c>
    </row>
    <row r="293" spans="1:5">
      <c r="A293" t="s">
        <v>9</v>
      </c>
      <c r="B293" t="s">
        <v>582</v>
      </c>
      <c r="C293" t="s">
        <v>583</v>
      </c>
      <c r="D293" t="s">
        <v>12</v>
      </c>
      <c r="E293" t="s">
        <v>13</v>
      </c>
    </row>
    <row r="294" spans="1:5">
      <c r="A294" t="s">
        <v>9</v>
      </c>
      <c r="B294" t="s">
        <v>584</v>
      </c>
      <c r="C294" t="s">
        <v>439</v>
      </c>
      <c r="D294" t="s">
        <v>12</v>
      </c>
      <c r="E294" t="s">
        <v>13</v>
      </c>
    </row>
    <row r="295" spans="1:5">
      <c r="A295" t="s">
        <v>9</v>
      </c>
      <c r="B295" t="s">
        <v>585</v>
      </c>
      <c r="C295" t="s">
        <v>586</v>
      </c>
      <c r="D295" t="s">
        <v>12</v>
      </c>
      <c r="E295" t="s">
        <v>13</v>
      </c>
    </row>
    <row r="296" spans="1:5">
      <c r="A296" t="s">
        <v>9</v>
      </c>
      <c r="B296" t="s">
        <v>587</v>
      </c>
      <c r="C296" t="s">
        <v>245</v>
      </c>
      <c r="D296" t="s">
        <v>12</v>
      </c>
      <c r="E296" t="s">
        <v>13</v>
      </c>
    </row>
    <row r="297" spans="1:5">
      <c r="A297" t="s">
        <v>9</v>
      </c>
      <c r="B297" t="s">
        <v>588</v>
      </c>
      <c r="C297" t="s">
        <v>589</v>
      </c>
      <c r="D297" t="s">
        <v>12</v>
      </c>
      <c r="E297" t="s">
        <v>13</v>
      </c>
    </row>
    <row r="298" spans="1:5">
      <c r="A298" t="s">
        <v>9</v>
      </c>
      <c r="B298" t="s">
        <v>590</v>
      </c>
      <c r="C298" t="s">
        <v>591</v>
      </c>
      <c r="D298" t="s">
        <v>12</v>
      </c>
      <c r="E298" t="s">
        <v>13</v>
      </c>
    </row>
    <row r="299" spans="1:5">
      <c r="A299" t="s">
        <v>9</v>
      </c>
      <c r="B299" t="s">
        <v>592</v>
      </c>
      <c r="C299" t="s">
        <v>593</v>
      </c>
      <c r="D299" t="s">
        <v>12</v>
      </c>
      <c r="E299" t="s">
        <v>13</v>
      </c>
    </row>
    <row r="300" spans="1:5">
      <c r="A300" t="s">
        <v>9</v>
      </c>
      <c r="B300" t="s">
        <v>594</v>
      </c>
      <c r="C300" t="s">
        <v>595</v>
      </c>
      <c r="D300" t="s">
        <v>12</v>
      </c>
      <c r="E300" t="s">
        <v>13</v>
      </c>
    </row>
    <row r="301" spans="1:5">
      <c r="A301" t="s">
        <v>9</v>
      </c>
      <c r="B301" t="s">
        <v>596</v>
      </c>
      <c r="C301" t="s">
        <v>597</v>
      </c>
      <c r="D301" t="s">
        <v>12</v>
      </c>
      <c r="E301" t="s">
        <v>13</v>
      </c>
    </row>
    <row r="302" spans="1:5">
      <c r="A302" t="s">
        <v>9</v>
      </c>
      <c r="B302" t="s">
        <v>598</v>
      </c>
      <c r="C302" t="s">
        <v>599</v>
      </c>
      <c r="D302" t="s">
        <v>12</v>
      </c>
      <c r="E302" t="s">
        <v>13</v>
      </c>
    </row>
    <row r="303" spans="1:5">
      <c r="A303" t="s">
        <v>9</v>
      </c>
      <c r="B303" t="s">
        <v>600</v>
      </c>
      <c r="C303" t="s">
        <v>601</v>
      </c>
      <c r="D303" t="s">
        <v>12</v>
      </c>
      <c r="E303" t="s">
        <v>13</v>
      </c>
    </row>
    <row r="304" spans="1:5">
      <c r="A304" t="s">
        <v>9</v>
      </c>
      <c r="B304" t="s">
        <v>602</v>
      </c>
      <c r="C304" t="s">
        <v>603</v>
      </c>
      <c r="D304" t="s">
        <v>12</v>
      </c>
      <c r="E304" t="s">
        <v>13</v>
      </c>
    </row>
    <row r="305" spans="1:5">
      <c r="A305" t="s">
        <v>9</v>
      </c>
      <c r="B305" t="s">
        <v>604</v>
      </c>
      <c r="C305" t="s">
        <v>605</v>
      </c>
      <c r="D305" t="s">
        <v>12</v>
      </c>
      <c r="E305" t="s">
        <v>13</v>
      </c>
    </row>
    <row r="306" spans="1:5">
      <c r="A306" t="s">
        <v>9</v>
      </c>
      <c r="B306" t="s">
        <v>606</v>
      </c>
      <c r="C306" t="s">
        <v>607</v>
      </c>
      <c r="D306" t="s">
        <v>262</v>
      </c>
      <c r="E306" t="s">
        <v>263</v>
      </c>
    </row>
    <row r="307" spans="1:5">
      <c r="A307" t="s">
        <v>9</v>
      </c>
      <c r="B307" t="s">
        <v>608</v>
      </c>
      <c r="C307" t="s">
        <v>609</v>
      </c>
      <c r="D307" t="s">
        <v>262</v>
      </c>
      <c r="E307" t="s">
        <v>263</v>
      </c>
    </row>
    <row r="308" spans="1:5">
      <c r="A308" t="s">
        <v>9</v>
      </c>
      <c r="B308" t="s">
        <v>610</v>
      </c>
      <c r="C308" t="s">
        <v>261</v>
      </c>
      <c r="D308" t="s">
        <v>262</v>
      </c>
      <c r="E308" t="s">
        <v>263</v>
      </c>
    </row>
    <row r="309" spans="1:5">
      <c r="A309" t="s">
        <v>9</v>
      </c>
      <c r="B309" t="s">
        <v>611</v>
      </c>
      <c r="C309" t="s">
        <v>612</v>
      </c>
      <c r="D309" t="s">
        <v>262</v>
      </c>
      <c r="E309" t="s">
        <v>263</v>
      </c>
    </row>
    <row r="310" spans="1:5">
      <c r="A310" t="s">
        <v>9</v>
      </c>
      <c r="B310" t="s">
        <v>613</v>
      </c>
      <c r="C310" t="s">
        <v>614</v>
      </c>
      <c r="D310" t="s">
        <v>262</v>
      </c>
      <c r="E310" t="s">
        <v>263</v>
      </c>
    </row>
    <row r="311" spans="1:5">
      <c r="A311" t="s">
        <v>615</v>
      </c>
      <c r="B311" t="s">
        <v>616</v>
      </c>
      <c r="C311" t="s">
        <v>617</v>
      </c>
      <c r="D311" t="s">
        <v>262</v>
      </c>
      <c r="E311" t="s">
        <v>618</v>
      </c>
    </row>
    <row r="312" spans="1:5">
      <c r="A312" t="s">
        <v>615</v>
      </c>
      <c r="B312" t="s">
        <v>619</v>
      </c>
      <c r="C312" t="s">
        <v>499</v>
      </c>
      <c r="D312" t="s">
        <v>12</v>
      </c>
      <c r="E312" t="s">
        <v>620</v>
      </c>
    </row>
    <row r="313" spans="1:5">
      <c r="A313" t="s">
        <v>615</v>
      </c>
      <c r="B313" t="s">
        <v>621</v>
      </c>
      <c r="C313" t="s">
        <v>622</v>
      </c>
      <c r="D313" t="s">
        <v>262</v>
      </c>
      <c r="E313" t="s">
        <v>618</v>
      </c>
    </row>
    <row r="314" spans="1:5">
      <c r="A314" t="s">
        <v>615</v>
      </c>
      <c r="B314" t="s">
        <v>623</v>
      </c>
      <c r="C314" t="s">
        <v>624</v>
      </c>
      <c r="D314" t="s">
        <v>262</v>
      </c>
      <c r="E314" t="s">
        <v>618</v>
      </c>
    </row>
    <row r="315" spans="1:5">
      <c r="A315" t="s">
        <v>615</v>
      </c>
      <c r="B315" t="s">
        <v>625</v>
      </c>
      <c r="C315" t="s">
        <v>626</v>
      </c>
      <c r="D315" t="s">
        <v>262</v>
      </c>
      <c r="E315" t="s">
        <v>618</v>
      </c>
    </row>
    <row r="316" spans="1:5">
      <c r="A316" t="s">
        <v>615</v>
      </c>
      <c r="B316" t="s">
        <v>627</v>
      </c>
      <c r="C316" t="s">
        <v>628</v>
      </c>
      <c r="D316" t="s">
        <v>262</v>
      </c>
      <c r="E316" t="s">
        <v>618</v>
      </c>
    </row>
    <row r="317" spans="1:5">
      <c r="A317" t="s">
        <v>615</v>
      </c>
      <c r="B317" t="s">
        <v>629</v>
      </c>
      <c r="C317" t="s">
        <v>630</v>
      </c>
      <c r="D317" t="s">
        <v>262</v>
      </c>
      <c r="E317" t="s">
        <v>618</v>
      </c>
    </row>
    <row r="318" spans="1:5">
      <c r="A318" t="s">
        <v>615</v>
      </c>
      <c r="B318" t="s">
        <v>631</v>
      </c>
      <c r="C318" t="s">
        <v>632</v>
      </c>
      <c r="D318" t="s">
        <v>262</v>
      </c>
      <c r="E318" t="s">
        <v>618</v>
      </c>
    </row>
    <row r="319" spans="1:5">
      <c r="A319" t="s">
        <v>615</v>
      </c>
      <c r="B319" t="s">
        <v>633</v>
      </c>
      <c r="C319" t="s">
        <v>386</v>
      </c>
      <c r="D319" t="s">
        <v>12</v>
      </c>
      <c r="E319" t="s">
        <v>620</v>
      </c>
    </row>
    <row r="320" spans="1:5">
      <c r="A320" t="s">
        <v>615</v>
      </c>
      <c r="B320" t="s">
        <v>634</v>
      </c>
      <c r="C320" t="s">
        <v>635</v>
      </c>
      <c r="D320" t="s">
        <v>262</v>
      </c>
      <c r="E320" t="s">
        <v>618</v>
      </c>
    </row>
    <row r="321" spans="1:5">
      <c r="A321" t="s">
        <v>615</v>
      </c>
      <c r="B321" t="s">
        <v>636</v>
      </c>
      <c r="C321" t="s">
        <v>536</v>
      </c>
      <c r="D321" t="s">
        <v>12</v>
      </c>
      <c r="E321" t="s">
        <v>620</v>
      </c>
    </row>
    <row r="322" spans="1:5">
      <c r="A322" t="s">
        <v>615</v>
      </c>
      <c r="B322" t="s">
        <v>637</v>
      </c>
      <c r="C322" t="s">
        <v>638</v>
      </c>
      <c r="D322" t="s">
        <v>262</v>
      </c>
      <c r="E322" t="s">
        <v>618</v>
      </c>
    </row>
    <row r="323" spans="1:5">
      <c r="A323" t="s">
        <v>615</v>
      </c>
      <c r="B323" t="s">
        <v>639</v>
      </c>
      <c r="C323" t="s">
        <v>640</v>
      </c>
      <c r="D323" t="s">
        <v>262</v>
      </c>
      <c r="E323" t="s">
        <v>618</v>
      </c>
    </row>
    <row r="324" spans="1:5">
      <c r="A324" t="s">
        <v>615</v>
      </c>
      <c r="B324" t="s">
        <v>641</v>
      </c>
      <c r="C324" t="s">
        <v>642</v>
      </c>
      <c r="D324" t="s">
        <v>262</v>
      </c>
      <c r="E324" t="s">
        <v>618</v>
      </c>
    </row>
    <row r="325" spans="1:5">
      <c r="A325" t="s">
        <v>615</v>
      </c>
      <c r="B325" t="s">
        <v>643</v>
      </c>
      <c r="C325" t="s">
        <v>644</v>
      </c>
      <c r="D325" t="s">
        <v>262</v>
      </c>
      <c r="E325" t="s">
        <v>618</v>
      </c>
    </row>
    <row r="326" spans="1:5">
      <c r="A326" t="s">
        <v>615</v>
      </c>
      <c r="B326" t="s">
        <v>645</v>
      </c>
      <c r="C326" t="s">
        <v>646</v>
      </c>
      <c r="D326" t="s">
        <v>262</v>
      </c>
      <c r="E326" t="s">
        <v>618</v>
      </c>
    </row>
    <row r="327" spans="1:5">
      <c r="A327" t="s">
        <v>615</v>
      </c>
      <c r="B327" t="s">
        <v>647</v>
      </c>
      <c r="C327" t="s">
        <v>648</v>
      </c>
      <c r="D327" t="s">
        <v>262</v>
      </c>
      <c r="E327" t="s">
        <v>618</v>
      </c>
    </row>
    <row r="328" spans="1:5">
      <c r="A328" t="s">
        <v>615</v>
      </c>
      <c r="B328" t="s">
        <v>649</v>
      </c>
      <c r="C328" t="s">
        <v>95</v>
      </c>
      <c r="D328" t="s">
        <v>12</v>
      </c>
      <c r="E328" t="s">
        <v>620</v>
      </c>
    </row>
    <row r="329" spans="1:5">
      <c r="A329" t="s">
        <v>615</v>
      </c>
      <c r="B329" t="s">
        <v>650</v>
      </c>
      <c r="C329" t="s">
        <v>651</v>
      </c>
      <c r="D329" t="s">
        <v>262</v>
      </c>
      <c r="E329" t="s">
        <v>618</v>
      </c>
    </row>
    <row r="330" spans="1:5">
      <c r="A330" t="s">
        <v>615</v>
      </c>
      <c r="B330" t="s">
        <v>652</v>
      </c>
      <c r="C330" t="s">
        <v>653</v>
      </c>
      <c r="D330" t="s">
        <v>262</v>
      </c>
      <c r="E330" t="s">
        <v>618</v>
      </c>
    </row>
    <row r="331" spans="1:5">
      <c r="A331" t="s">
        <v>615</v>
      </c>
      <c r="B331" t="s">
        <v>654</v>
      </c>
      <c r="C331" t="s">
        <v>655</v>
      </c>
      <c r="D331" t="s">
        <v>262</v>
      </c>
      <c r="E331" t="s">
        <v>618</v>
      </c>
    </row>
    <row r="332" spans="1:5">
      <c r="A332" t="s">
        <v>615</v>
      </c>
      <c r="B332" t="s">
        <v>656</v>
      </c>
      <c r="C332" t="s">
        <v>657</v>
      </c>
      <c r="D332" t="s">
        <v>262</v>
      </c>
      <c r="E332" t="s">
        <v>618</v>
      </c>
    </row>
    <row r="333" spans="1:5">
      <c r="A333" t="s">
        <v>615</v>
      </c>
      <c r="B333" t="s">
        <v>658</v>
      </c>
      <c r="C333" t="s">
        <v>659</v>
      </c>
      <c r="D333" t="s">
        <v>262</v>
      </c>
      <c r="E333" t="s">
        <v>618</v>
      </c>
    </row>
    <row r="334" spans="1:5">
      <c r="A334" t="s">
        <v>615</v>
      </c>
      <c r="B334" t="s">
        <v>660</v>
      </c>
      <c r="C334" t="s">
        <v>661</v>
      </c>
      <c r="D334" t="s">
        <v>262</v>
      </c>
      <c r="E334" t="s">
        <v>618</v>
      </c>
    </row>
    <row r="335" spans="1:5">
      <c r="A335" t="s">
        <v>615</v>
      </c>
      <c r="B335" t="s">
        <v>662</v>
      </c>
      <c r="C335" t="s">
        <v>663</v>
      </c>
      <c r="D335" t="s">
        <v>262</v>
      </c>
      <c r="E335" t="s">
        <v>618</v>
      </c>
    </row>
    <row r="336" spans="1:5">
      <c r="A336" t="s">
        <v>615</v>
      </c>
      <c r="B336" t="s">
        <v>664</v>
      </c>
      <c r="C336" t="s">
        <v>665</v>
      </c>
      <c r="D336" t="s">
        <v>262</v>
      </c>
      <c r="E336" t="s">
        <v>618</v>
      </c>
    </row>
    <row r="337" spans="1:5">
      <c r="A337" t="s">
        <v>615</v>
      </c>
      <c r="B337" t="s">
        <v>666</v>
      </c>
      <c r="C337" t="s">
        <v>153</v>
      </c>
      <c r="D337" t="s">
        <v>12</v>
      </c>
      <c r="E337" t="s">
        <v>620</v>
      </c>
    </row>
    <row r="338" spans="1:5">
      <c r="A338" t="s">
        <v>615</v>
      </c>
      <c r="B338" t="s">
        <v>667</v>
      </c>
      <c r="C338" t="s">
        <v>668</v>
      </c>
      <c r="D338" t="s">
        <v>262</v>
      </c>
      <c r="E338" t="s">
        <v>618</v>
      </c>
    </row>
    <row r="339" spans="1:5">
      <c r="A339" t="s">
        <v>615</v>
      </c>
      <c r="B339" t="s">
        <v>669</v>
      </c>
      <c r="C339" t="s">
        <v>670</v>
      </c>
      <c r="D339" t="s">
        <v>262</v>
      </c>
      <c r="E339" t="s">
        <v>618</v>
      </c>
    </row>
    <row r="340" spans="1:5">
      <c r="A340" t="s">
        <v>615</v>
      </c>
      <c r="B340" t="s">
        <v>671</v>
      </c>
      <c r="C340" t="s">
        <v>672</v>
      </c>
      <c r="D340" t="s">
        <v>262</v>
      </c>
      <c r="E340" t="s">
        <v>618</v>
      </c>
    </row>
    <row r="341" spans="1:5">
      <c r="A341" t="s">
        <v>615</v>
      </c>
      <c r="B341" t="s">
        <v>673</v>
      </c>
      <c r="C341" t="s">
        <v>674</v>
      </c>
      <c r="D341" t="s">
        <v>262</v>
      </c>
      <c r="E341" t="s">
        <v>618</v>
      </c>
    </row>
    <row r="342" spans="1:5">
      <c r="A342" t="s">
        <v>615</v>
      </c>
      <c r="B342" t="s">
        <v>675</v>
      </c>
      <c r="C342" t="s">
        <v>676</v>
      </c>
      <c r="D342" t="s">
        <v>262</v>
      </c>
      <c r="E342" t="s">
        <v>618</v>
      </c>
    </row>
    <row r="343" spans="1:5">
      <c r="A343" t="s">
        <v>615</v>
      </c>
      <c r="B343" t="s">
        <v>677</v>
      </c>
      <c r="C343" t="s">
        <v>678</v>
      </c>
      <c r="D343" t="s">
        <v>262</v>
      </c>
      <c r="E343" t="s">
        <v>618</v>
      </c>
    </row>
    <row r="344" spans="1:5">
      <c r="A344" t="s">
        <v>615</v>
      </c>
      <c r="B344" t="s">
        <v>679</v>
      </c>
      <c r="C344" t="s">
        <v>680</v>
      </c>
      <c r="D344" t="s">
        <v>262</v>
      </c>
      <c r="E344" t="s">
        <v>618</v>
      </c>
    </row>
    <row r="345" spans="1:5">
      <c r="A345" t="s">
        <v>615</v>
      </c>
      <c r="B345" t="s">
        <v>681</v>
      </c>
      <c r="C345" t="s">
        <v>682</v>
      </c>
      <c r="D345" t="s">
        <v>262</v>
      </c>
      <c r="E345" t="s">
        <v>618</v>
      </c>
    </row>
    <row r="346" spans="1:5">
      <c r="A346" t="s">
        <v>615</v>
      </c>
      <c r="B346" t="s">
        <v>683</v>
      </c>
      <c r="C346" t="s">
        <v>684</v>
      </c>
      <c r="D346" t="s">
        <v>262</v>
      </c>
      <c r="E346" t="s">
        <v>618</v>
      </c>
    </row>
    <row r="347" spans="1:5">
      <c r="A347" t="s">
        <v>615</v>
      </c>
      <c r="B347" t="s">
        <v>685</v>
      </c>
      <c r="C347" t="s">
        <v>477</v>
      </c>
      <c r="D347" t="s">
        <v>12</v>
      </c>
      <c r="E347" t="s">
        <v>620</v>
      </c>
    </row>
    <row r="348" spans="1:5">
      <c r="A348" t="s">
        <v>615</v>
      </c>
      <c r="B348" t="s">
        <v>686</v>
      </c>
      <c r="C348" t="s">
        <v>687</v>
      </c>
      <c r="D348" t="s">
        <v>262</v>
      </c>
      <c r="E348" t="s">
        <v>618</v>
      </c>
    </row>
    <row r="349" spans="1:5">
      <c r="A349" t="s">
        <v>615</v>
      </c>
      <c r="B349" t="s">
        <v>688</v>
      </c>
      <c r="C349" t="s">
        <v>384</v>
      </c>
      <c r="D349" t="s">
        <v>12</v>
      </c>
      <c r="E349" t="s">
        <v>620</v>
      </c>
    </row>
    <row r="350" spans="1:5">
      <c r="A350" t="s">
        <v>615</v>
      </c>
      <c r="B350" t="s">
        <v>689</v>
      </c>
      <c r="C350" t="s">
        <v>690</v>
      </c>
      <c r="D350" t="s">
        <v>262</v>
      </c>
      <c r="E350" t="s">
        <v>618</v>
      </c>
    </row>
    <row r="351" spans="1:5">
      <c r="A351" t="s">
        <v>615</v>
      </c>
      <c r="B351" t="s">
        <v>691</v>
      </c>
      <c r="C351" t="s">
        <v>692</v>
      </c>
      <c r="D351" t="s">
        <v>262</v>
      </c>
      <c r="E351" t="s">
        <v>618</v>
      </c>
    </row>
    <row r="352" spans="1:5">
      <c r="A352" t="s">
        <v>615</v>
      </c>
      <c r="B352" t="s">
        <v>693</v>
      </c>
      <c r="C352" t="s">
        <v>19</v>
      </c>
      <c r="D352" t="s">
        <v>262</v>
      </c>
      <c r="E352" t="s">
        <v>618</v>
      </c>
    </row>
    <row r="353" spans="1:5">
      <c r="A353" t="s">
        <v>615</v>
      </c>
      <c r="B353" t="s">
        <v>694</v>
      </c>
      <c r="C353" t="s">
        <v>695</v>
      </c>
      <c r="D353" t="s">
        <v>262</v>
      </c>
      <c r="E353" t="s">
        <v>618</v>
      </c>
    </row>
    <row r="354" spans="1:5">
      <c r="A354" t="s">
        <v>615</v>
      </c>
      <c r="B354" t="s">
        <v>696</v>
      </c>
      <c r="C354" t="s">
        <v>697</v>
      </c>
      <c r="D354" t="s">
        <v>262</v>
      </c>
      <c r="E354" t="s">
        <v>618</v>
      </c>
    </row>
    <row r="355" spans="1:5">
      <c r="A355" t="s">
        <v>615</v>
      </c>
      <c r="B355" t="s">
        <v>698</v>
      </c>
      <c r="C355" t="s">
        <v>699</v>
      </c>
      <c r="D355" t="s">
        <v>262</v>
      </c>
      <c r="E355" t="s">
        <v>618</v>
      </c>
    </row>
    <row r="356" spans="1:5">
      <c r="A356" t="s">
        <v>615</v>
      </c>
      <c r="B356" t="s">
        <v>700</v>
      </c>
      <c r="C356" t="s">
        <v>175</v>
      </c>
      <c r="D356" t="s">
        <v>12</v>
      </c>
      <c r="E356" t="s">
        <v>620</v>
      </c>
    </row>
    <row r="357" spans="1:5">
      <c r="A357" t="s">
        <v>615</v>
      </c>
      <c r="B357" t="s">
        <v>701</v>
      </c>
      <c r="C357" t="s">
        <v>702</v>
      </c>
      <c r="D357" t="s">
        <v>262</v>
      </c>
      <c r="E357" t="s">
        <v>618</v>
      </c>
    </row>
    <row r="358" spans="1:5">
      <c r="A358" t="s">
        <v>615</v>
      </c>
      <c r="B358" t="s">
        <v>703</v>
      </c>
      <c r="C358" t="s">
        <v>704</v>
      </c>
      <c r="D358" t="s">
        <v>262</v>
      </c>
      <c r="E358" t="s">
        <v>618</v>
      </c>
    </row>
    <row r="359" spans="1:5">
      <c r="A359" t="s">
        <v>615</v>
      </c>
      <c r="B359" t="s">
        <v>705</v>
      </c>
      <c r="C359" t="s">
        <v>706</v>
      </c>
      <c r="D359" t="s">
        <v>262</v>
      </c>
      <c r="E359" t="s">
        <v>618</v>
      </c>
    </row>
    <row r="360" spans="1:5">
      <c r="A360" t="s">
        <v>615</v>
      </c>
      <c r="B360" t="s">
        <v>707</v>
      </c>
      <c r="C360" t="s">
        <v>708</v>
      </c>
      <c r="D360" t="s">
        <v>262</v>
      </c>
      <c r="E360" t="s">
        <v>618</v>
      </c>
    </row>
    <row r="361" spans="1:5">
      <c r="A361" t="s">
        <v>615</v>
      </c>
      <c r="B361" t="s">
        <v>709</v>
      </c>
      <c r="C361" t="s">
        <v>710</v>
      </c>
      <c r="D361" t="s">
        <v>262</v>
      </c>
      <c r="E361" t="s">
        <v>618</v>
      </c>
    </row>
    <row r="362" spans="1:5">
      <c r="A362" t="s">
        <v>615</v>
      </c>
      <c r="B362" t="s">
        <v>711</v>
      </c>
      <c r="C362" t="s">
        <v>712</v>
      </c>
      <c r="D362" t="s">
        <v>262</v>
      </c>
      <c r="E362" t="s">
        <v>618</v>
      </c>
    </row>
    <row r="363" spans="1:5">
      <c r="A363" t="s">
        <v>615</v>
      </c>
      <c r="B363" t="s">
        <v>713</v>
      </c>
      <c r="C363" t="s">
        <v>714</v>
      </c>
      <c r="D363" t="s">
        <v>262</v>
      </c>
      <c r="E363" t="s">
        <v>618</v>
      </c>
    </row>
    <row r="364" spans="1:5">
      <c r="A364" t="s">
        <v>615</v>
      </c>
      <c r="B364" t="s">
        <v>715</v>
      </c>
      <c r="C364" t="s">
        <v>716</v>
      </c>
      <c r="D364" t="s">
        <v>262</v>
      </c>
      <c r="E364" t="s">
        <v>618</v>
      </c>
    </row>
    <row r="365" spans="1:5">
      <c r="A365" t="s">
        <v>615</v>
      </c>
      <c r="B365" t="s">
        <v>717</v>
      </c>
      <c r="C365" t="s">
        <v>718</v>
      </c>
      <c r="D365" t="s">
        <v>262</v>
      </c>
      <c r="E365" t="s">
        <v>618</v>
      </c>
    </row>
    <row r="366" spans="1:5">
      <c r="A366" t="s">
        <v>615</v>
      </c>
      <c r="B366" t="s">
        <v>719</v>
      </c>
      <c r="C366" t="s">
        <v>720</v>
      </c>
      <c r="D366" t="s">
        <v>262</v>
      </c>
      <c r="E366" t="s">
        <v>618</v>
      </c>
    </row>
    <row r="367" spans="1:5">
      <c r="A367" t="s">
        <v>615</v>
      </c>
      <c r="B367" t="s">
        <v>721</v>
      </c>
      <c r="C367" t="s">
        <v>722</v>
      </c>
      <c r="D367" t="s">
        <v>262</v>
      </c>
      <c r="E367" t="s">
        <v>618</v>
      </c>
    </row>
    <row r="368" spans="1:5">
      <c r="A368" t="s">
        <v>615</v>
      </c>
      <c r="B368" t="s">
        <v>723</v>
      </c>
      <c r="C368" t="s">
        <v>724</v>
      </c>
      <c r="D368" t="s">
        <v>262</v>
      </c>
      <c r="E368" t="s">
        <v>618</v>
      </c>
    </row>
    <row r="369" spans="1:5">
      <c r="A369" t="s">
        <v>615</v>
      </c>
      <c r="B369" t="s">
        <v>725</v>
      </c>
      <c r="C369" t="s">
        <v>726</v>
      </c>
      <c r="D369" t="s">
        <v>262</v>
      </c>
      <c r="E369" t="s">
        <v>618</v>
      </c>
    </row>
    <row r="370" spans="1:5">
      <c r="A370" t="s">
        <v>615</v>
      </c>
      <c r="B370" t="s">
        <v>727</v>
      </c>
      <c r="C370" t="s">
        <v>728</v>
      </c>
      <c r="D370" t="s">
        <v>262</v>
      </c>
      <c r="E370" t="s">
        <v>618</v>
      </c>
    </row>
    <row r="371" spans="1:5">
      <c r="A371" t="s">
        <v>615</v>
      </c>
      <c r="B371" t="s">
        <v>729</v>
      </c>
      <c r="C371" t="s">
        <v>240</v>
      </c>
      <c r="D371" t="s">
        <v>12</v>
      </c>
      <c r="E371" t="s">
        <v>620</v>
      </c>
    </row>
    <row r="372" spans="1:5">
      <c r="A372" t="s">
        <v>615</v>
      </c>
      <c r="B372" t="s">
        <v>730</v>
      </c>
      <c r="C372" t="s">
        <v>731</v>
      </c>
      <c r="D372" t="s">
        <v>262</v>
      </c>
      <c r="E372" t="s">
        <v>618</v>
      </c>
    </row>
    <row r="373" spans="1:5">
      <c r="A373" t="s">
        <v>615</v>
      </c>
      <c r="B373" t="s">
        <v>732</v>
      </c>
      <c r="C373" t="s">
        <v>733</v>
      </c>
      <c r="D373" t="s">
        <v>262</v>
      </c>
      <c r="E373" t="s">
        <v>618</v>
      </c>
    </row>
    <row r="374" spans="1:5">
      <c r="A374" t="s">
        <v>615</v>
      </c>
      <c r="B374" t="s">
        <v>734</v>
      </c>
      <c r="C374" t="s">
        <v>735</v>
      </c>
      <c r="D374" t="s">
        <v>262</v>
      </c>
      <c r="E374" t="s">
        <v>618</v>
      </c>
    </row>
    <row r="375" spans="1:5">
      <c r="A375" t="s">
        <v>615</v>
      </c>
      <c r="B375" t="s">
        <v>736</v>
      </c>
      <c r="C375" t="s">
        <v>737</v>
      </c>
      <c r="D375" t="s">
        <v>262</v>
      </c>
      <c r="E375" t="s">
        <v>618</v>
      </c>
    </row>
    <row r="376" spans="1:5">
      <c r="A376" t="s">
        <v>615</v>
      </c>
      <c r="B376" t="s">
        <v>738</v>
      </c>
      <c r="C376" t="s">
        <v>739</v>
      </c>
      <c r="D376" t="s">
        <v>262</v>
      </c>
      <c r="E376" t="s">
        <v>618</v>
      </c>
    </row>
    <row r="377" spans="1:5">
      <c r="A377" t="s">
        <v>615</v>
      </c>
      <c r="B377" t="s">
        <v>740</v>
      </c>
      <c r="C377" t="s">
        <v>741</v>
      </c>
      <c r="D377" t="s">
        <v>262</v>
      </c>
      <c r="E377" t="s">
        <v>618</v>
      </c>
    </row>
    <row r="378" spans="1:5">
      <c r="A378" t="s">
        <v>615</v>
      </c>
      <c r="B378" t="s">
        <v>742</v>
      </c>
      <c r="C378" t="s">
        <v>743</v>
      </c>
      <c r="D378" t="s">
        <v>262</v>
      </c>
      <c r="E378" t="s">
        <v>618</v>
      </c>
    </row>
    <row r="379" spans="1:5">
      <c r="A379" t="s">
        <v>615</v>
      </c>
      <c r="B379" t="s">
        <v>744</v>
      </c>
      <c r="C379" t="s">
        <v>745</v>
      </c>
      <c r="D379" t="s">
        <v>262</v>
      </c>
      <c r="E379" t="s">
        <v>618</v>
      </c>
    </row>
    <row r="380" spans="1:5">
      <c r="A380" t="s">
        <v>615</v>
      </c>
      <c r="B380" t="s">
        <v>746</v>
      </c>
      <c r="C380" t="s">
        <v>747</v>
      </c>
      <c r="D380" t="s">
        <v>262</v>
      </c>
      <c r="E380" t="s">
        <v>618</v>
      </c>
    </row>
    <row r="381" spans="1:5">
      <c r="A381" t="s">
        <v>615</v>
      </c>
      <c r="B381" t="s">
        <v>748</v>
      </c>
      <c r="C381" t="s">
        <v>749</v>
      </c>
      <c r="D381" t="s">
        <v>262</v>
      </c>
      <c r="E381" t="s">
        <v>618</v>
      </c>
    </row>
    <row r="382" spans="1:5">
      <c r="A382" t="s">
        <v>615</v>
      </c>
      <c r="B382" t="s">
        <v>750</v>
      </c>
      <c r="C382" t="s">
        <v>457</v>
      </c>
      <c r="D382" t="s">
        <v>12</v>
      </c>
      <c r="E382" t="s">
        <v>620</v>
      </c>
    </row>
    <row r="383" spans="1:5">
      <c r="A383" t="s">
        <v>615</v>
      </c>
      <c r="B383" t="s">
        <v>751</v>
      </c>
      <c r="C383" t="s">
        <v>752</v>
      </c>
      <c r="D383" t="s">
        <v>262</v>
      </c>
      <c r="E383" t="s">
        <v>618</v>
      </c>
    </row>
    <row r="384" spans="1:5">
      <c r="A384" t="s">
        <v>615</v>
      </c>
      <c r="B384" t="s">
        <v>753</v>
      </c>
      <c r="C384" t="s">
        <v>754</v>
      </c>
      <c r="D384" t="s">
        <v>262</v>
      </c>
      <c r="E384" t="s">
        <v>618</v>
      </c>
    </row>
    <row r="385" spans="1:5">
      <c r="A385" t="s">
        <v>615</v>
      </c>
      <c r="B385" t="s">
        <v>755</v>
      </c>
      <c r="C385" t="s">
        <v>756</v>
      </c>
      <c r="D385" t="s">
        <v>262</v>
      </c>
      <c r="E385" t="s">
        <v>618</v>
      </c>
    </row>
    <row r="386" spans="1:5">
      <c r="A386" t="s">
        <v>615</v>
      </c>
      <c r="B386" t="s">
        <v>757</v>
      </c>
      <c r="C386" t="s">
        <v>107</v>
      </c>
      <c r="D386" t="s">
        <v>262</v>
      </c>
      <c r="E386" t="s">
        <v>618</v>
      </c>
    </row>
    <row r="387" spans="1:5">
      <c r="A387" t="s">
        <v>615</v>
      </c>
      <c r="B387" t="s">
        <v>758</v>
      </c>
      <c r="C387" t="s">
        <v>759</v>
      </c>
      <c r="D387" t="s">
        <v>262</v>
      </c>
      <c r="E387" t="s">
        <v>618</v>
      </c>
    </row>
    <row r="388" spans="1:5">
      <c r="A388" t="s">
        <v>615</v>
      </c>
      <c r="B388" t="s">
        <v>760</v>
      </c>
      <c r="C388" t="s">
        <v>761</v>
      </c>
      <c r="D388" t="s">
        <v>262</v>
      </c>
      <c r="E388" t="s">
        <v>618</v>
      </c>
    </row>
    <row r="389" spans="1:5">
      <c r="A389" t="s">
        <v>615</v>
      </c>
      <c r="B389" t="s">
        <v>762</v>
      </c>
      <c r="C389" t="s">
        <v>279</v>
      </c>
      <c r="D389" t="s">
        <v>12</v>
      </c>
      <c r="E389" t="s">
        <v>620</v>
      </c>
    </row>
    <row r="390" spans="1:5">
      <c r="A390" t="s">
        <v>615</v>
      </c>
      <c r="B390" t="s">
        <v>763</v>
      </c>
      <c r="C390" t="s">
        <v>99</v>
      </c>
      <c r="D390" t="s">
        <v>262</v>
      </c>
      <c r="E390" t="s">
        <v>618</v>
      </c>
    </row>
    <row r="391" spans="1:5">
      <c r="A391" t="s">
        <v>615</v>
      </c>
      <c r="B391" t="s">
        <v>764</v>
      </c>
      <c r="C391" t="s">
        <v>507</v>
      </c>
      <c r="D391" t="s">
        <v>12</v>
      </c>
      <c r="E391" t="s">
        <v>620</v>
      </c>
    </row>
    <row r="392" spans="1:5">
      <c r="A392" t="s">
        <v>615</v>
      </c>
      <c r="B392" t="s">
        <v>765</v>
      </c>
      <c r="C392" t="s">
        <v>766</v>
      </c>
      <c r="D392" t="s">
        <v>262</v>
      </c>
      <c r="E392" t="s">
        <v>618</v>
      </c>
    </row>
    <row r="393" spans="1:5">
      <c r="A393" t="s">
        <v>615</v>
      </c>
      <c r="B393" t="s">
        <v>767</v>
      </c>
      <c r="C393" t="s">
        <v>768</v>
      </c>
      <c r="D393" t="s">
        <v>262</v>
      </c>
      <c r="E393" t="s">
        <v>618</v>
      </c>
    </row>
    <row r="394" spans="1:5">
      <c r="A394" t="s">
        <v>615</v>
      </c>
      <c r="B394" t="s">
        <v>769</v>
      </c>
      <c r="C394" t="s">
        <v>770</v>
      </c>
      <c r="D394" t="s">
        <v>262</v>
      </c>
      <c r="E394" t="s">
        <v>618</v>
      </c>
    </row>
    <row r="395" spans="1:5">
      <c r="A395" t="s">
        <v>615</v>
      </c>
      <c r="B395" t="s">
        <v>771</v>
      </c>
      <c r="C395" t="s">
        <v>772</v>
      </c>
      <c r="D395" t="s">
        <v>262</v>
      </c>
      <c r="E395" t="s">
        <v>618</v>
      </c>
    </row>
    <row r="396" spans="1:5">
      <c r="A396" t="s">
        <v>615</v>
      </c>
      <c r="B396" t="s">
        <v>773</v>
      </c>
      <c r="C396" t="s">
        <v>774</v>
      </c>
      <c r="D396" t="s">
        <v>262</v>
      </c>
      <c r="E396" t="s">
        <v>618</v>
      </c>
    </row>
    <row r="397" spans="1:5">
      <c r="A397" t="s">
        <v>615</v>
      </c>
      <c r="B397" t="s">
        <v>775</v>
      </c>
      <c r="C397" t="s">
        <v>776</v>
      </c>
      <c r="D397" t="s">
        <v>262</v>
      </c>
      <c r="E397" t="s">
        <v>618</v>
      </c>
    </row>
    <row r="398" spans="1:5">
      <c r="A398" t="s">
        <v>615</v>
      </c>
      <c r="B398" t="s">
        <v>777</v>
      </c>
      <c r="C398" t="s">
        <v>778</v>
      </c>
      <c r="D398" t="s">
        <v>262</v>
      </c>
      <c r="E398" t="s">
        <v>618</v>
      </c>
    </row>
    <row r="399" spans="1:5">
      <c r="A399" t="s">
        <v>615</v>
      </c>
      <c r="B399" t="s">
        <v>779</v>
      </c>
      <c r="C399" t="s">
        <v>780</v>
      </c>
      <c r="D399" t="s">
        <v>262</v>
      </c>
      <c r="E399" t="s">
        <v>618</v>
      </c>
    </row>
    <row r="400" spans="1:5">
      <c r="A400" t="s">
        <v>615</v>
      </c>
      <c r="B400" t="s">
        <v>781</v>
      </c>
      <c r="C400" t="s">
        <v>782</v>
      </c>
      <c r="D400" t="s">
        <v>262</v>
      </c>
      <c r="E400" t="s">
        <v>618</v>
      </c>
    </row>
    <row r="401" spans="1:5">
      <c r="A401" t="s">
        <v>615</v>
      </c>
      <c r="B401" t="s">
        <v>783</v>
      </c>
      <c r="C401" t="s">
        <v>784</v>
      </c>
      <c r="D401" t="s">
        <v>262</v>
      </c>
      <c r="E401" t="s">
        <v>618</v>
      </c>
    </row>
    <row r="402" spans="1:5">
      <c r="A402" t="s">
        <v>615</v>
      </c>
      <c r="B402" t="s">
        <v>785</v>
      </c>
      <c r="C402" t="s">
        <v>786</v>
      </c>
      <c r="D402" t="s">
        <v>262</v>
      </c>
      <c r="E402" t="s">
        <v>618</v>
      </c>
    </row>
    <row r="403" spans="1:5">
      <c r="A403" t="s">
        <v>615</v>
      </c>
      <c r="B403" t="s">
        <v>787</v>
      </c>
      <c r="C403" t="s">
        <v>788</v>
      </c>
      <c r="D403" t="s">
        <v>262</v>
      </c>
      <c r="E403" t="s">
        <v>618</v>
      </c>
    </row>
    <row r="404" spans="1:5">
      <c r="A404" t="s">
        <v>615</v>
      </c>
      <c r="B404" t="s">
        <v>789</v>
      </c>
      <c r="C404" t="s">
        <v>790</v>
      </c>
      <c r="D404" t="s">
        <v>262</v>
      </c>
      <c r="E404" t="s">
        <v>618</v>
      </c>
    </row>
    <row r="405" spans="1:5">
      <c r="A405" t="s">
        <v>615</v>
      </c>
      <c r="B405" t="s">
        <v>791</v>
      </c>
      <c r="C405" t="s">
        <v>792</v>
      </c>
      <c r="D405" t="s">
        <v>262</v>
      </c>
      <c r="E405" t="s">
        <v>618</v>
      </c>
    </row>
    <row r="406" spans="1:5">
      <c r="A406" t="s">
        <v>615</v>
      </c>
      <c r="B406" t="s">
        <v>793</v>
      </c>
      <c r="C406" t="s">
        <v>794</v>
      </c>
      <c r="D406" t="s">
        <v>262</v>
      </c>
      <c r="E406" t="s">
        <v>618</v>
      </c>
    </row>
    <row r="407" spans="1:5">
      <c r="A407" t="s">
        <v>615</v>
      </c>
      <c r="B407" t="s">
        <v>795</v>
      </c>
      <c r="C407" t="s">
        <v>424</v>
      </c>
      <c r="D407" t="s">
        <v>12</v>
      </c>
      <c r="E407" t="s">
        <v>620</v>
      </c>
    </row>
    <row r="408" spans="1:5">
      <c r="A408" t="s">
        <v>615</v>
      </c>
      <c r="B408" t="s">
        <v>796</v>
      </c>
      <c r="C408" t="s">
        <v>797</v>
      </c>
      <c r="D408" t="s">
        <v>262</v>
      </c>
      <c r="E408" t="s">
        <v>618</v>
      </c>
    </row>
    <row r="409" spans="1:5">
      <c r="A409" t="s">
        <v>615</v>
      </c>
      <c r="B409" t="s">
        <v>798</v>
      </c>
      <c r="C409" t="s">
        <v>799</v>
      </c>
      <c r="D409" t="s">
        <v>262</v>
      </c>
      <c r="E409" t="s">
        <v>618</v>
      </c>
    </row>
    <row r="410" spans="1:5">
      <c r="A410" t="s">
        <v>615</v>
      </c>
      <c r="B410" t="s">
        <v>800</v>
      </c>
      <c r="C410" t="s">
        <v>801</v>
      </c>
      <c r="D410" t="s">
        <v>262</v>
      </c>
      <c r="E410" t="s">
        <v>618</v>
      </c>
    </row>
    <row r="411" spans="1:5">
      <c r="A411" t="s">
        <v>615</v>
      </c>
      <c r="B411" t="s">
        <v>802</v>
      </c>
      <c r="C411" t="s">
        <v>803</v>
      </c>
      <c r="D411" t="s">
        <v>262</v>
      </c>
      <c r="E411" t="s">
        <v>618</v>
      </c>
    </row>
    <row r="412" spans="1:5">
      <c r="A412" t="s">
        <v>615</v>
      </c>
      <c r="B412" t="s">
        <v>804</v>
      </c>
      <c r="C412" t="s">
        <v>805</v>
      </c>
      <c r="D412" t="s">
        <v>262</v>
      </c>
      <c r="E412" t="s">
        <v>618</v>
      </c>
    </row>
    <row r="413" spans="1:5">
      <c r="A413" t="s">
        <v>615</v>
      </c>
      <c r="B413" t="s">
        <v>806</v>
      </c>
      <c r="C413" t="s">
        <v>807</v>
      </c>
      <c r="D413" t="s">
        <v>262</v>
      </c>
      <c r="E413" t="s">
        <v>618</v>
      </c>
    </row>
    <row r="414" spans="1:5">
      <c r="A414" t="s">
        <v>615</v>
      </c>
      <c r="B414" t="s">
        <v>808</v>
      </c>
      <c r="C414" t="s">
        <v>809</v>
      </c>
      <c r="D414" t="s">
        <v>262</v>
      </c>
      <c r="E414" t="s">
        <v>618</v>
      </c>
    </row>
    <row r="415" spans="1:5">
      <c r="A415" t="s">
        <v>615</v>
      </c>
      <c r="B415" t="s">
        <v>810</v>
      </c>
      <c r="C415" t="s">
        <v>811</v>
      </c>
      <c r="D415" t="s">
        <v>262</v>
      </c>
      <c r="E415" t="s">
        <v>618</v>
      </c>
    </row>
    <row r="416" spans="1:5">
      <c r="A416" t="s">
        <v>615</v>
      </c>
      <c r="B416" t="s">
        <v>812</v>
      </c>
      <c r="C416" t="s">
        <v>813</v>
      </c>
      <c r="D416" t="s">
        <v>262</v>
      </c>
      <c r="E416" t="s">
        <v>618</v>
      </c>
    </row>
    <row r="417" spans="1:5">
      <c r="A417" t="s">
        <v>615</v>
      </c>
      <c r="B417" t="s">
        <v>814</v>
      </c>
      <c r="C417" t="s">
        <v>815</v>
      </c>
      <c r="D417" t="s">
        <v>262</v>
      </c>
      <c r="E417" t="s">
        <v>618</v>
      </c>
    </row>
    <row r="418" spans="1:5">
      <c r="A418" t="s">
        <v>615</v>
      </c>
      <c r="B418" t="s">
        <v>816</v>
      </c>
      <c r="C418" t="s">
        <v>817</v>
      </c>
      <c r="D418" t="s">
        <v>262</v>
      </c>
      <c r="E418" t="s">
        <v>618</v>
      </c>
    </row>
    <row r="419" spans="1:5">
      <c r="A419" t="s">
        <v>615</v>
      </c>
      <c r="B419" t="s">
        <v>818</v>
      </c>
      <c r="C419" t="s">
        <v>819</v>
      </c>
      <c r="D419" t="s">
        <v>262</v>
      </c>
      <c r="E419" t="s">
        <v>618</v>
      </c>
    </row>
    <row r="420" spans="1:5">
      <c r="A420" t="s">
        <v>615</v>
      </c>
      <c r="B420" t="s">
        <v>820</v>
      </c>
      <c r="C420" t="s">
        <v>821</v>
      </c>
      <c r="D420" t="s">
        <v>262</v>
      </c>
      <c r="E420" t="s">
        <v>618</v>
      </c>
    </row>
    <row r="421" spans="1:5">
      <c r="A421" t="s">
        <v>615</v>
      </c>
      <c r="B421" t="s">
        <v>822</v>
      </c>
      <c r="C421" t="s">
        <v>823</v>
      </c>
      <c r="D421" t="s">
        <v>262</v>
      </c>
      <c r="E421" t="s">
        <v>618</v>
      </c>
    </row>
    <row r="422" spans="1:5">
      <c r="A422" t="s">
        <v>615</v>
      </c>
      <c r="B422" t="s">
        <v>824</v>
      </c>
      <c r="C422" t="s">
        <v>825</v>
      </c>
      <c r="D422" t="s">
        <v>262</v>
      </c>
      <c r="E422" t="s">
        <v>618</v>
      </c>
    </row>
    <row r="423" spans="1:5">
      <c r="A423" t="s">
        <v>615</v>
      </c>
      <c r="B423" t="s">
        <v>826</v>
      </c>
      <c r="C423" t="s">
        <v>827</v>
      </c>
      <c r="D423" t="s">
        <v>262</v>
      </c>
      <c r="E423" t="s">
        <v>618</v>
      </c>
    </row>
    <row r="424" spans="1:5">
      <c r="A424" t="s">
        <v>615</v>
      </c>
      <c r="B424" t="s">
        <v>828</v>
      </c>
      <c r="C424" t="s">
        <v>829</v>
      </c>
      <c r="D424" t="s">
        <v>262</v>
      </c>
      <c r="E424" t="s">
        <v>618</v>
      </c>
    </row>
    <row r="425" spans="1:5">
      <c r="A425" t="s">
        <v>615</v>
      </c>
      <c r="B425" t="s">
        <v>830</v>
      </c>
      <c r="C425" t="s">
        <v>831</v>
      </c>
      <c r="D425" t="s">
        <v>262</v>
      </c>
      <c r="E425" t="s">
        <v>618</v>
      </c>
    </row>
    <row r="426" spans="1:5">
      <c r="A426" t="s">
        <v>615</v>
      </c>
      <c r="B426" t="s">
        <v>832</v>
      </c>
      <c r="C426" t="s">
        <v>833</v>
      </c>
      <c r="D426" t="s">
        <v>262</v>
      </c>
      <c r="E426" t="s">
        <v>618</v>
      </c>
    </row>
    <row r="427" spans="1:5">
      <c r="A427" t="s">
        <v>615</v>
      </c>
      <c r="B427" t="s">
        <v>834</v>
      </c>
      <c r="C427" t="s">
        <v>835</v>
      </c>
      <c r="D427" t="s">
        <v>262</v>
      </c>
      <c r="E427" t="s">
        <v>618</v>
      </c>
    </row>
    <row r="428" spans="1:5">
      <c r="A428" t="s">
        <v>615</v>
      </c>
      <c r="B428" t="s">
        <v>836</v>
      </c>
      <c r="C428" t="s">
        <v>837</v>
      </c>
      <c r="D428" t="s">
        <v>262</v>
      </c>
      <c r="E428" t="s">
        <v>618</v>
      </c>
    </row>
    <row r="429" spans="1:5">
      <c r="A429" t="s">
        <v>615</v>
      </c>
      <c r="B429" t="s">
        <v>838</v>
      </c>
      <c r="C429" t="s">
        <v>839</v>
      </c>
      <c r="D429" t="s">
        <v>262</v>
      </c>
      <c r="E429" t="s">
        <v>618</v>
      </c>
    </row>
    <row r="430" spans="1:5">
      <c r="A430" t="s">
        <v>615</v>
      </c>
      <c r="B430" t="s">
        <v>840</v>
      </c>
      <c r="C430" t="s">
        <v>841</v>
      </c>
      <c r="D430" t="s">
        <v>262</v>
      </c>
      <c r="E430" t="s">
        <v>618</v>
      </c>
    </row>
    <row r="431" spans="1:5">
      <c r="A431" t="s">
        <v>615</v>
      </c>
      <c r="B431" t="s">
        <v>842</v>
      </c>
      <c r="C431" t="s">
        <v>809</v>
      </c>
      <c r="D431" t="s">
        <v>262</v>
      </c>
      <c r="E431" t="s">
        <v>618</v>
      </c>
    </row>
    <row r="432" spans="1:5">
      <c r="A432" t="s">
        <v>615</v>
      </c>
      <c r="B432" t="s">
        <v>843</v>
      </c>
      <c r="C432" t="s">
        <v>844</v>
      </c>
      <c r="D432" t="s">
        <v>262</v>
      </c>
      <c r="E432" t="s">
        <v>618</v>
      </c>
    </row>
    <row r="433" spans="1:5">
      <c r="A433" t="s">
        <v>615</v>
      </c>
      <c r="B433" t="s">
        <v>845</v>
      </c>
      <c r="C433" t="s">
        <v>846</v>
      </c>
      <c r="D433" t="s">
        <v>262</v>
      </c>
      <c r="E433" t="s">
        <v>618</v>
      </c>
    </row>
    <row r="434" spans="1:5">
      <c r="A434" t="s">
        <v>615</v>
      </c>
      <c r="B434" t="s">
        <v>847</v>
      </c>
      <c r="C434" t="s">
        <v>848</v>
      </c>
      <c r="D434" t="s">
        <v>262</v>
      </c>
      <c r="E434" t="s">
        <v>618</v>
      </c>
    </row>
    <row r="435" spans="1:5">
      <c r="A435" t="s">
        <v>615</v>
      </c>
      <c r="B435" t="s">
        <v>849</v>
      </c>
      <c r="C435" t="s">
        <v>255</v>
      </c>
      <c r="D435" t="s">
        <v>262</v>
      </c>
      <c r="E435" t="s">
        <v>618</v>
      </c>
    </row>
    <row r="436" spans="1:5">
      <c r="A436" t="s">
        <v>615</v>
      </c>
      <c r="B436" t="s">
        <v>850</v>
      </c>
      <c r="C436" t="s">
        <v>851</v>
      </c>
      <c r="D436" t="s">
        <v>262</v>
      </c>
      <c r="E436" t="s">
        <v>618</v>
      </c>
    </row>
    <row r="437" spans="1:5">
      <c r="A437" t="s">
        <v>615</v>
      </c>
      <c r="B437" t="s">
        <v>852</v>
      </c>
      <c r="C437" t="s">
        <v>853</v>
      </c>
      <c r="D437" t="s">
        <v>262</v>
      </c>
      <c r="E437" t="s">
        <v>618</v>
      </c>
    </row>
    <row r="438" spans="1:5">
      <c r="A438" t="s">
        <v>615</v>
      </c>
      <c r="B438" t="s">
        <v>854</v>
      </c>
      <c r="C438" t="s">
        <v>855</v>
      </c>
      <c r="D438" t="s">
        <v>262</v>
      </c>
      <c r="E438" t="s">
        <v>618</v>
      </c>
    </row>
    <row r="439" spans="1:5">
      <c r="A439" t="s">
        <v>615</v>
      </c>
      <c r="B439" t="s">
        <v>856</v>
      </c>
      <c r="C439" t="s">
        <v>857</v>
      </c>
      <c r="D439" t="s">
        <v>262</v>
      </c>
      <c r="E439" t="s">
        <v>618</v>
      </c>
    </row>
    <row r="440" spans="1:5">
      <c r="A440" t="s">
        <v>615</v>
      </c>
      <c r="B440" t="s">
        <v>858</v>
      </c>
      <c r="C440" t="s">
        <v>859</v>
      </c>
      <c r="D440" t="s">
        <v>262</v>
      </c>
      <c r="E440" t="s">
        <v>618</v>
      </c>
    </row>
    <row r="441" spans="1:5">
      <c r="A441" t="s">
        <v>615</v>
      </c>
      <c r="B441" t="s">
        <v>860</v>
      </c>
      <c r="C441" t="s">
        <v>861</v>
      </c>
      <c r="D441" t="s">
        <v>262</v>
      </c>
      <c r="E441" t="s">
        <v>618</v>
      </c>
    </row>
    <row r="442" spans="1:5">
      <c r="A442" t="s">
        <v>615</v>
      </c>
      <c r="B442" t="s">
        <v>862</v>
      </c>
      <c r="C442" t="s">
        <v>863</v>
      </c>
      <c r="D442" t="s">
        <v>262</v>
      </c>
      <c r="E442" t="s">
        <v>618</v>
      </c>
    </row>
    <row r="443" spans="1:5">
      <c r="A443" t="s">
        <v>615</v>
      </c>
      <c r="B443" t="s">
        <v>864</v>
      </c>
      <c r="C443" t="s">
        <v>865</v>
      </c>
      <c r="D443" t="s">
        <v>262</v>
      </c>
      <c r="E443" t="s">
        <v>618</v>
      </c>
    </row>
    <row r="444" spans="1:5">
      <c r="A444" t="s">
        <v>615</v>
      </c>
      <c r="B444" t="s">
        <v>866</v>
      </c>
      <c r="C444" t="s">
        <v>366</v>
      </c>
      <c r="D444" t="s">
        <v>262</v>
      </c>
      <c r="E444" t="s">
        <v>618</v>
      </c>
    </row>
    <row r="445" spans="1:5">
      <c r="A445" t="s">
        <v>615</v>
      </c>
      <c r="B445" t="s">
        <v>867</v>
      </c>
      <c r="C445" t="s">
        <v>868</v>
      </c>
      <c r="D445" t="s">
        <v>262</v>
      </c>
      <c r="E445" t="s">
        <v>618</v>
      </c>
    </row>
    <row r="446" spans="1:5">
      <c r="A446" t="s">
        <v>615</v>
      </c>
      <c r="B446" t="s">
        <v>869</v>
      </c>
      <c r="C446" t="s">
        <v>870</v>
      </c>
      <c r="D446" t="s">
        <v>262</v>
      </c>
      <c r="E446" t="s">
        <v>618</v>
      </c>
    </row>
    <row r="447" spans="1:5">
      <c r="A447" t="s">
        <v>615</v>
      </c>
      <c r="B447" t="s">
        <v>871</v>
      </c>
      <c r="C447" t="s">
        <v>872</v>
      </c>
      <c r="D447" t="s">
        <v>262</v>
      </c>
      <c r="E447" t="s">
        <v>618</v>
      </c>
    </row>
    <row r="448" spans="1:5">
      <c r="A448" t="s">
        <v>615</v>
      </c>
      <c r="B448" t="s">
        <v>873</v>
      </c>
      <c r="C448" t="s">
        <v>874</v>
      </c>
      <c r="D448" t="s">
        <v>262</v>
      </c>
      <c r="E448" t="s">
        <v>618</v>
      </c>
    </row>
    <row r="449" spans="1:5">
      <c r="A449" t="s">
        <v>615</v>
      </c>
      <c r="B449" t="s">
        <v>875</v>
      </c>
      <c r="C449" t="s">
        <v>876</v>
      </c>
      <c r="D449" t="s">
        <v>262</v>
      </c>
      <c r="E449" t="s">
        <v>618</v>
      </c>
    </row>
    <row r="450" spans="1:5">
      <c r="A450" t="s">
        <v>615</v>
      </c>
      <c r="B450" t="s">
        <v>877</v>
      </c>
      <c r="C450" t="s">
        <v>878</v>
      </c>
      <c r="D450" t="s">
        <v>262</v>
      </c>
      <c r="E450" t="s">
        <v>618</v>
      </c>
    </row>
    <row r="451" spans="1:5">
      <c r="A451" t="s">
        <v>615</v>
      </c>
      <c r="B451" t="s">
        <v>879</v>
      </c>
      <c r="C451" t="s">
        <v>880</v>
      </c>
      <c r="D451" t="s">
        <v>262</v>
      </c>
      <c r="E451" t="s">
        <v>618</v>
      </c>
    </row>
    <row r="452" spans="1:5">
      <c r="A452" t="s">
        <v>615</v>
      </c>
      <c r="B452" t="s">
        <v>881</v>
      </c>
      <c r="C452" t="s">
        <v>882</v>
      </c>
      <c r="D452" t="s">
        <v>262</v>
      </c>
      <c r="E452" t="s">
        <v>618</v>
      </c>
    </row>
    <row r="453" spans="1:5">
      <c r="A453" t="s">
        <v>615</v>
      </c>
      <c r="B453" t="s">
        <v>883</v>
      </c>
      <c r="C453" t="s">
        <v>884</v>
      </c>
      <c r="D453" t="s">
        <v>262</v>
      </c>
      <c r="E453" t="s">
        <v>618</v>
      </c>
    </row>
    <row r="454" spans="1:5">
      <c r="A454" t="s">
        <v>615</v>
      </c>
      <c r="B454" t="s">
        <v>885</v>
      </c>
      <c r="C454" t="s">
        <v>886</v>
      </c>
      <c r="D454" t="s">
        <v>262</v>
      </c>
      <c r="E454" t="s">
        <v>618</v>
      </c>
    </row>
    <row r="455" spans="1:5">
      <c r="A455" t="s">
        <v>615</v>
      </c>
      <c r="B455" t="s">
        <v>887</v>
      </c>
      <c r="C455" t="s">
        <v>888</v>
      </c>
      <c r="D455" t="s">
        <v>262</v>
      </c>
      <c r="E455" t="s">
        <v>618</v>
      </c>
    </row>
    <row r="456" spans="1:5">
      <c r="A456" t="s">
        <v>615</v>
      </c>
      <c r="B456" t="s">
        <v>889</v>
      </c>
      <c r="C456" t="s">
        <v>890</v>
      </c>
      <c r="D456" t="s">
        <v>262</v>
      </c>
      <c r="E456" t="s">
        <v>618</v>
      </c>
    </row>
    <row r="457" spans="1:5">
      <c r="A457" t="s">
        <v>615</v>
      </c>
      <c r="B457" t="s">
        <v>891</v>
      </c>
      <c r="C457" t="s">
        <v>892</v>
      </c>
      <c r="D457" t="s">
        <v>262</v>
      </c>
      <c r="E457" t="s">
        <v>618</v>
      </c>
    </row>
    <row r="458" spans="1:5">
      <c r="A458" t="s">
        <v>615</v>
      </c>
      <c r="B458" t="s">
        <v>893</v>
      </c>
      <c r="C458" t="s">
        <v>894</v>
      </c>
      <c r="D458" t="s">
        <v>262</v>
      </c>
      <c r="E458" t="s">
        <v>618</v>
      </c>
    </row>
    <row r="459" spans="1:5">
      <c r="A459" t="s">
        <v>615</v>
      </c>
      <c r="B459" t="s">
        <v>895</v>
      </c>
      <c r="C459" t="s">
        <v>896</v>
      </c>
      <c r="D459" t="s">
        <v>262</v>
      </c>
      <c r="E459" t="s">
        <v>618</v>
      </c>
    </row>
    <row r="460" spans="1:5">
      <c r="A460" t="s">
        <v>615</v>
      </c>
      <c r="B460" t="s">
        <v>897</v>
      </c>
      <c r="C460" t="s">
        <v>898</v>
      </c>
      <c r="D460" t="s">
        <v>262</v>
      </c>
      <c r="E460" t="s">
        <v>618</v>
      </c>
    </row>
    <row r="461" spans="1:5">
      <c r="A461" t="s">
        <v>615</v>
      </c>
      <c r="B461" t="s">
        <v>899</v>
      </c>
      <c r="C461" t="s">
        <v>900</v>
      </c>
      <c r="D461" t="s">
        <v>262</v>
      </c>
      <c r="E461" t="s">
        <v>618</v>
      </c>
    </row>
    <row r="462" spans="1:5">
      <c r="A462" t="s">
        <v>615</v>
      </c>
      <c r="B462" t="s">
        <v>901</v>
      </c>
      <c r="C462" t="s">
        <v>902</v>
      </c>
      <c r="D462" t="s">
        <v>262</v>
      </c>
      <c r="E462" t="s">
        <v>618</v>
      </c>
    </row>
    <row r="463" spans="1:5">
      <c r="A463" t="s">
        <v>615</v>
      </c>
      <c r="B463" t="s">
        <v>903</v>
      </c>
      <c r="C463" t="s">
        <v>904</v>
      </c>
      <c r="D463" t="s">
        <v>262</v>
      </c>
      <c r="E463" t="s">
        <v>618</v>
      </c>
    </row>
    <row r="464" spans="1:5">
      <c r="A464" t="s">
        <v>615</v>
      </c>
      <c r="B464" t="s">
        <v>905</v>
      </c>
      <c r="C464" t="s">
        <v>906</v>
      </c>
      <c r="D464" t="s">
        <v>262</v>
      </c>
      <c r="E464" t="s">
        <v>618</v>
      </c>
    </row>
    <row r="465" spans="1:5">
      <c r="A465" t="s">
        <v>615</v>
      </c>
      <c r="B465" t="s">
        <v>907</v>
      </c>
      <c r="C465" t="s">
        <v>908</v>
      </c>
      <c r="D465" t="s">
        <v>262</v>
      </c>
      <c r="E465" t="s">
        <v>618</v>
      </c>
    </row>
    <row r="466" spans="1:5">
      <c r="A466" t="s">
        <v>615</v>
      </c>
      <c r="B466" t="s">
        <v>909</v>
      </c>
      <c r="C466" t="s">
        <v>65</v>
      </c>
      <c r="D466" t="s">
        <v>262</v>
      </c>
      <c r="E466" t="s">
        <v>618</v>
      </c>
    </row>
    <row r="467" spans="1:5">
      <c r="A467" t="s">
        <v>615</v>
      </c>
      <c r="B467" t="s">
        <v>910</v>
      </c>
      <c r="C467" t="s">
        <v>911</v>
      </c>
      <c r="D467" t="s">
        <v>262</v>
      </c>
      <c r="E467" t="s">
        <v>618</v>
      </c>
    </row>
    <row r="468" spans="1:5">
      <c r="A468" t="s">
        <v>615</v>
      </c>
      <c r="B468" t="s">
        <v>912</v>
      </c>
      <c r="C468" t="s">
        <v>913</v>
      </c>
      <c r="D468" t="s">
        <v>262</v>
      </c>
      <c r="E468" t="s">
        <v>618</v>
      </c>
    </row>
    <row r="469" spans="1:5">
      <c r="A469" t="s">
        <v>615</v>
      </c>
      <c r="B469" t="s">
        <v>914</v>
      </c>
      <c r="C469" t="s">
        <v>915</v>
      </c>
      <c r="D469" t="s">
        <v>262</v>
      </c>
      <c r="E469" t="s">
        <v>618</v>
      </c>
    </row>
    <row r="470" spans="1:5">
      <c r="A470" t="s">
        <v>615</v>
      </c>
      <c r="B470" t="s">
        <v>916</v>
      </c>
      <c r="C470" t="s">
        <v>917</v>
      </c>
      <c r="D470" t="s">
        <v>262</v>
      </c>
      <c r="E470" t="s">
        <v>618</v>
      </c>
    </row>
    <row r="471" spans="1:5">
      <c r="A471" t="s">
        <v>615</v>
      </c>
      <c r="B471" t="s">
        <v>918</v>
      </c>
      <c r="C471" t="s">
        <v>919</v>
      </c>
      <c r="D471" t="s">
        <v>262</v>
      </c>
      <c r="E471" t="s">
        <v>618</v>
      </c>
    </row>
    <row r="472" spans="1:5">
      <c r="A472" t="s">
        <v>615</v>
      </c>
      <c r="B472" t="s">
        <v>920</v>
      </c>
      <c r="C472" t="s">
        <v>921</v>
      </c>
      <c r="D472" t="s">
        <v>262</v>
      </c>
      <c r="E472" t="s">
        <v>618</v>
      </c>
    </row>
    <row r="473" spans="1:5">
      <c r="A473" t="s">
        <v>615</v>
      </c>
      <c r="B473" t="s">
        <v>922</v>
      </c>
      <c r="C473" t="s">
        <v>923</v>
      </c>
      <c r="D473" t="s">
        <v>262</v>
      </c>
      <c r="E473" t="s">
        <v>618</v>
      </c>
    </row>
    <row r="474" spans="1:5">
      <c r="A474" t="s">
        <v>615</v>
      </c>
      <c r="B474" t="s">
        <v>924</v>
      </c>
      <c r="C474" t="s">
        <v>925</v>
      </c>
      <c r="D474" t="s">
        <v>262</v>
      </c>
      <c r="E474" t="s">
        <v>618</v>
      </c>
    </row>
    <row r="475" spans="1:5">
      <c r="A475" t="s">
        <v>615</v>
      </c>
      <c r="B475" t="s">
        <v>926</v>
      </c>
      <c r="C475" t="s">
        <v>752</v>
      </c>
      <c r="D475" t="s">
        <v>262</v>
      </c>
      <c r="E475" t="s">
        <v>618</v>
      </c>
    </row>
    <row r="476" spans="1:5">
      <c r="A476" t="s">
        <v>615</v>
      </c>
      <c r="B476" t="s">
        <v>927</v>
      </c>
      <c r="C476" t="s">
        <v>928</v>
      </c>
      <c r="D476" t="s">
        <v>262</v>
      </c>
      <c r="E476" t="s">
        <v>618</v>
      </c>
    </row>
    <row r="477" spans="1:5">
      <c r="A477" t="s">
        <v>615</v>
      </c>
      <c r="B477" t="s">
        <v>929</v>
      </c>
      <c r="C477" t="s">
        <v>930</v>
      </c>
      <c r="D477" t="s">
        <v>262</v>
      </c>
      <c r="E477" t="s">
        <v>618</v>
      </c>
    </row>
    <row r="478" spans="1:5">
      <c r="A478" t="s">
        <v>615</v>
      </c>
      <c r="B478" t="s">
        <v>931</v>
      </c>
      <c r="C478" t="s">
        <v>583</v>
      </c>
      <c r="D478" t="s">
        <v>12</v>
      </c>
      <c r="E478" t="s">
        <v>620</v>
      </c>
    </row>
    <row r="479" spans="1:5">
      <c r="A479" t="s">
        <v>615</v>
      </c>
      <c r="B479" t="s">
        <v>932</v>
      </c>
      <c r="C479" t="s">
        <v>933</v>
      </c>
      <c r="D479" t="s">
        <v>262</v>
      </c>
      <c r="E479" t="s">
        <v>618</v>
      </c>
    </row>
    <row r="480" spans="1:5">
      <c r="A480" t="s">
        <v>615</v>
      </c>
      <c r="B480" t="s">
        <v>934</v>
      </c>
      <c r="C480" t="s">
        <v>935</v>
      </c>
      <c r="D480" t="s">
        <v>262</v>
      </c>
      <c r="E480" t="s">
        <v>618</v>
      </c>
    </row>
    <row r="481" spans="1:5">
      <c r="A481" t="s">
        <v>615</v>
      </c>
      <c r="B481" t="s">
        <v>936</v>
      </c>
      <c r="C481" t="s">
        <v>937</v>
      </c>
      <c r="D481" t="s">
        <v>262</v>
      </c>
      <c r="E481" t="s">
        <v>618</v>
      </c>
    </row>
    <row r="482" spans="1:5">
      <c r="A482" t="s">
        <v>615</v>
      </c>
      <c r="B482" t="s">
        <v>938</v>
      </c>
      <c r="C482" t="s">
        <v>939</v>
      </c>
      <c r="D482" t="s">
        <v>262</v>
      </c>
      <c r="E482" t="s">
        <v>618</v>
      </c>
    </row>
    <row r="483" spans="1:5">
      <c r="A483" t="s">
        <v>615</v>
      </c>
      <c r="B483" t="s">
        <v>940</v>
      </c>
      <c r="C483" t="s">
        <v>941</v>
      </c>
      <c r="D483" t="s">
        <v>262</v>
      </c>
      <c r="E483" t="s">
        <v>618</v>
      </c>
    </row>
    <row r="484" spans="1:5">
      <c r="A484" t="s">
        <v>615</v>
      </c>
      <c r="B484" t="s">
        <v>942</v>
      </c>
      <c r="C484" t="s">
        <v>943</v>
      </c>
      <c r="D484" t="s">
        <v>262</v>
      </c>
      <c r="E484" t="s">
        <v>618</v>
      </c>
    </row>
    <row r="485" spans="1:5">
      <c r="A485" t="s">
        <v>615</v>
      </c>
      <c r="B485" t="s">
        <v>944</v>
      </c>
      <c r="C485" t="s">
        <v>945</v>
      </c>
      <c r="D485" t="s">
        <v>262</v>
      </c>
      <c r="E485" t="s">
        <v>618</v>
      </c>
    </row>
    <row r="486" spans="1:5">
      <c r="A486" t="s">
        <v>615</v>
      </c>
      <c r="B486" t="s">
        <v>946</v>
      </c>
      <c r="C486" t="s">
        <v>947</v>
      </c>
      <c r="D486" t="s">
        <v>262</v>
      </c>
      <c r="E486" t="s">
        <v>618</v>
      </c>
    </row>
    <row r="487" spans="1:5">
      <c r="A487" t="s">
        <v>615</v>
      </c>
      <c r="B487" t="s">
        <v>948</v>
      </c>
      <c r="C487" t="s">
        <v>949</v>
      </c>
      <c r="D487" t="s">
        <v>262</v>
      </c>
      <c r="E487" t="s">
        <v>618</v>
      </c>
    </row>
    <row r="488" spans="1:5">
      <c r="A488" t="s">
        <v>615</v>
      </c>
      <c r="B488" t="s">
        <v>950</v>
      </c>
      <c r="C488" t="s">
        <v>951</v>
      </c>
      <c r="D488" t="s">
        <v>262</v>
      </c>
      <c r="E488" t="s">
        <v>618</v>
      </c>
    </row>
    <row r="489" spans="1:5">
      <c r="A489" t="s">
        <v>615</v>
      </c>
      <c r="B489" t="s">
        <v>952</v>
      </c>
      <c r="C489" t="s">
        <v>953</v>
      </c>
      <c r="D489" t="s">
        <v>262</v>
      </c>
      <c r="E489" t="s">
        <v>618</v>
      </c>
    </row>
    <row r="490" spans="1:5">
      <c r="A490" t="s">
        <v>615</v>
      </c>
      <c r="B490" t="s">
        <v>954</v>
      </c>
      <c r="C490" t="s">
        <v>955</v>
      </c>
      <c r="D490" t="s">
        <v>262</v>
      </c>
      <c r="E490" t="s">
        <v>618</v>
      </c>
    </row>
    <row r="491" spans="1:5">
      <c r="A491" t="s">
        <v>615</v>
      </c>
      <c r="B491" t="s">
        <v>956</v>
      </c>
      <c r="C491" t="s">
        <v>957</v>
      </c>
      <c r="D491" t="s">
        <v>262</v>
      </c>
      <c r="E491" t="s">
        <v>618</v>
      </c>
    </row>
    <row r="492" spans="1:5">
      <c r="A492" t="s">
        <v>615</v>
      </c>
      <c r="B492" t="s">
        <v>958</v>
      </c>
      <c r="C492" t="s">
        <v>959</v>
      </c>
      <c r="D492" t="s">
        <v>262</v>
      </c>
      <c r="E492" t="s">
        <v>618</v>
      </c>
    </row>
    <row r="493" spans="1:5">
      <c r="A493" t="s">
        <v>615</v>
      </c>
      <c r="B493" t="s">
        <v>960</v>
      </c>
      <c r="C493" t="s">
        <v>961</v>
      </c>
      <c r="D493" t="s">
        <v>262</v>
      </c>
      <c r="E493" t="s">
        <v>618</v>
      </c>
    </row>
    <row r="494" spans="1:5">
      <c r="A494" t="s">
        <v>615</v>
      </c>
      <c r="B494" t="s">
        <v>962</v>
      </c>
      <c r="C494" t="s">
        <v>963</v>
      </c>
      <c r="D494" t="s">
        <v>262</v>
      </c>
      <c r="E494" t="s">
        <v>618</v>
      </c>
    </row>
    <row r="495" spans="1:5">
      <c r="A495" t="s">
        <v>615</v>
      </c>
      <c r="B495" t="s">
        <v>964</v>
      </c>
      <c r="C495" t="s">
        <v>965</v>
      </c>
      <c r="D495" t="s">
        <v>262</v>
      </c>
      <c r="E495" t="s">
        <v>618</v>
      </c>
    </row>
    <row r="496" spans="1:5">
      <c r="A496" t="s">
        <v>615</v>
      </c>
      <c r="B496" t="s">
        <v>966</v>
      </c>
      <c r="C496" t="s">
        <v>676</v>
      </c>
      <c r="D496" t="s">
        <v>262</v>
      </c>
      <c r="E496" t="s">
        <v>618</v>
      </c>
    </row>
    <row r="497" spans="1:5">
      <c r="A497" t="s">
        <v>615</v>
      </c>
      <c r="B497" t="s">
        <v>967</v>
      </c>
      <c r="C497" t="s">
        <v>968</v>
      </c>
      <c r="D497" t="s">
        <v>262</v>
      </c>
      <c r="E497" t="s">
        <v>618</v>
      </c>
    </row>
    <row r="498" spans="1:5">
      <c r="A498" t="s">
        <v>615</v>
      </c>
      <c r="B498" t="s">
        <v>969</v>
      </c>
      <c r="C498" t="s">
        <v>970</v>
      </c>
      <c r="D498" t="s">
        <v>262</v>
      </c>
      <c r="E498" t="s">
        <v>618</v>
      </c>
    </row>
    <row r="499" spans="1:5">
      <c r="A499" t="s">
        <v>615</v>
      </c>
      <c r="B499" t="s">
        <v>971</v>
      </c>
      <c r="C499" t="s">
        <v>972</v>
      </c>
      <c r="D499" t="s">
        <v>262</v>
      </c>
      <c r="E499" t="s">
        <v>618</v>
      </c>
    </row>
    <row r="500" spans="1:5">
      <c r="A500" t="s">
        <v>615</v>
      </c>
      <c r="B500" t="s">
        <v>973</v>
      </c>
      <c r="C500" t="s">
        <v>974</v>
      </c>
      <c r="D500" t="s">
        <v>262</v>
      </c>
      <c r="E500" t="s">
        <v>618</v>
      </c>
    </row>
    <row r="501" spans="1:5">
      <c r="A501" t="s">
        <v>615</v>
      </c>
      <c r="B501" t="s">
        <v>975</v>
      </c>
      <c r="C501" t="s">
        <v>976</v>
      </c>
      <c r="D501" t="s">
        <v>262</v>
      </c>
      <c r="E501" t="s">
        <v>618</v>
      </c>
    </row>
    <row r="502" spans="1:5">
      <c r="A502" t="s">
        <v>615</v>
      </c>
      <c r="B502" t="s">
        <v>977</v>
      </c>
      <c r="C502" t="s">
        <v>978</v>
      </c>
      <c r="D502" t="s">
        <v>262</v>
      </c>
      <c r="E502" t="s">
        <v>618</v>
      </c>
    </row>
    <row r="503" spans="1:5">
      <c r="A503" t="s">
        <v>615</v>
      </c>
      <c r="B503" t="s">
        <v>979</v>
      </c>
      <c r="C503" t="s">
        <v>980</v>
      </c>
      <c r="D503" t="s">
        <v>262</v>
      </c>
      <c r="E503" t="s">
        <v>618</v>
      </c>
    </row>
    <row r="504" spans="1:5">
      <c r="A504" t="s">
        <v>615</v>
      </c>
      <c r="B504" t="s">
        <v>981</v>
      </c>
      <c r="C504" t="s">
        <v>982</v>
      </c>
      <c r="D504" t="s">
        <v>262</v>
      </c>
      <c r="E504" t="s">
        <v>618</v>
      </c>
    </row>
    <row r="505" spans="1:5">
      <c r="A505" t="s">
        <v>615</v>
      </c>
      <c r="B505" t="s">
        <v>983</v>
      </c>
      <c r="C505" t="s">
        <v>532</v>
      </c>
      <c r="D505" t="s">
        <v>262</v>
      </c>
      <c r="E505" t="s">
        <v>618</v>
      </c>
    </row>
    <row r="506" spans="1:5">
      <c r="A506" t="s">
        <v>615</v>
      </c>
      <c r="B506" t="s">
        <v>984</v>
      </c>
      <c r="C506" t="s">
        <v>985</v>
      </c>
      <c r="D506" t="s">
        <v>262</v>
      </c>
      <c r="E506" t="s">
        <v>618</v>
      </c>
    </row>
    <row r="507" spans="1:5">
      <c r="A507" t="s">
        <v>615</v>
      </c>
      <c r="B507" t="s">
        <v>986</v>
      </c>
      <c r="C507" t="s">
        <v>313</v>
      </c>
      <c r="D507" t="s">
        <v>262</v>
      </c>
      <c r="E507" t="s">
        <v>618</v>
      </c>
    </row>
    <row r="508" spans="1:5">
      <c r="A508" t="s">
        <v>615</v>
      </c>
      <c r="B508" t="s">
        <v>987</v>
      </c>
      <c r="C508" t="s">
        <v>988</v>
      </c>
      <c r="D508" t="s">
        <v>262</v>
      </c>
      <c r="E508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87"/>
  <sheetViews>
    <sheetView workbookViewId="0"/>
  </sheetViews>
  <sheetFormatPr defaultRowHeight="15"/>
  <sheetData>
    <row r="1" spans="1:9">
      <c r="A1" t="s">
        <v>989</v>
      </c>
      <c r="B1" t="s">
        <v>990</v>
      </c>
      <c r="C1" t="s">
        <v>2</v>
      </c>
      <c r="D1" t="s">
        <v>991</v>
      </c>
      <c r="E1" t="s">
        <v>992</v>
      </c>
      <c r="F1" t="s">
        <v>993</v>
      </c>
      <c r="G1" t="s">
        <v>994</v>
      </c>
      <c r="H1" t="s">
        <v>995</v>
      </c>
      <c r="I1" t="s">
        <v>996</v>
      </c>
    </row>
    <row r="2" spans="1:9">
      <c r="A2" t="s">
        <v>997</v>
      </c>
      <c r="B2" t="s">
        <v>998</v>
      </c>
      <c r="C2" t="s">
        <v>999</v>
      </c>
      <c r="D2">
        <v>51</v>
      </c>
      <c r="E2">
        <v>24</v>
      </c>
      <c r="F2">
        <v>530.4</v>
      </c>
      <c r="G2">
        <f>MAX(ROUNDUP(D2, 0), E2) * IF(C2="COVERED", Parameters!$B$2, Parameters!$B$3)</f>
        <v>0</v>
      </c>
      <c r="H2">
        <f>F2 - G2</f>
        <v>0</v>
      </c>
      <c r="I2">
        <f>IF(ABS(H2)&gt;0.01, "Priority 3", "")</f>
        <v>0</v>
      </c>
    </row>
    <row r="3" spans="1:9">
      <c r="A3" t="s">
        <v>1000</v>
      </c>
      <c r="B3" t="s">
        <v>998</v>
      </c>
      <c r="C3" t="s">
        <v>999</v>
      </c>
      <c r="D3">
        <v>21.9</v>
      </c>
      <c r="E3">
        <v>40</v>
      </c>
      <c r="F3">
        <v>416</v>
      </c>
      <c r="G3">
        <f>MAX(ROUNDUP(D3, 0), E3) * IF(C3="COVERED", Parameters!$B$2, Parameters!$B$3)</f>
        <v>0</v>
      </c>
      <c r="H3">
        <f>F3 - G3</f>
        <v>0</v>
      </c>
      <c r="I3">
        <f>IF(ABS(H3)&gt;0.01, "Priority 3", "")</f>
        <v>0</v>
      </c>
    </row>
    <row r="4" spans="1:9">
      <c r="A4" t="s">
        <v>1001</v>
      </c>
      <c r="B4" t="s">
        <v>998</v>
      </c>
      <c r="C4" t="s">
        <v>999</v>
      </c>
      <c r="D4">
        <v>32.7</v>
      </c>
      <c r="E4">
        <v>28</v>
      </c>
      <c r="F4">
        <v>343.2</v>
      </c>
      <c r="G4">
        <f>MAX(ROUNDUP(D4, 0), E4) * IF(C4="COVERED", Parameters!$B$2, Parameters!$B$3)</f>
        <v>0</v>
      </c>
      <c r="H4">
        <f>F4 - G4</f>
        <v>0</v>
      </c>
      <c r="I4">
        <f>IF(ABS(H4)&gt;0.01, "Priority 3", "")</f>
        <v>0</v>
      </c>
    </row>
    <row r="5" spans="1:9">
      <c r="A5" t="s">
        <v>1002</v>
      </c>
      <c r="B5" t="s">
        <v>998</v>
      </c>
      <c r="C5" t="s">
        <v>999</v>
      </c>
      <c r="D5">
        <v>42.8</v>
      </c>
      <c r="E5">
        <v>24</v>
      </c>
      <c r="F5">
        <v>447.2</v>
      </c>
      <c r="G5">
        <f>MAX(ROUNDUP(D5, 0), E5) * IF(C5="COVERED", Parameters!$B$2, Parameters!$B$3)</f>
        <v>0</v>
      </c>
      <c r="H5">
        <f>F5 - G5</f>
        <v>0</v>
      </c>
      <c r="I5">
        <f>IF(ABS(H5)&gt;0.01, "Priority 3", "")</f>
        <v>0</v>
      </c>
    </row>
    <row r="6" spans="1:9">
      <c r="A6" t="s">
        <v>1003</v>
      </c>
      <c r="B6" t="s">
        <v>998</v>
      </c>
      <c r="C6" t="s">
        <v>999</v>
      </c>
      <c r="D6">
        <v>39</v>
      </c>
      <c r="E6">
        <v>36</v>
      </c>
      <c r="F6">
        <v>405.6</v>
      </c>
      <c r="G6">
        <f>MAX(ROUNDUP(D6, 0), E6) * IF(C6="COVERED", Parameters!$B$2, Parameters!$B$3)</f>
        <v>0</v>
      </c>
      <c r="H6">
        <f>F6 - G6</f>
        <v>0</v>
      </c>
      <c r="I6">
        <f>IF(ABS(H6)&gt;0.01, "Priority 3", "")</f>
        <v>0</v>
      </c>
    </row>
    <row r="7" spans="1:9">
      <c r="A7" t="s">
        <v>1004</v>
      </c>
      <c r="B7" t="s">
        <v>998</v>
      </c>
      <c r="C7" t="s">
        <v>999</v>
      </c>
      <c r="D7">
        <v>39</v>
      </c>
      <c r="E7">
        <v>24</v>
      </c>
      <c r="F7">
        <v>405.6</v>
      </c>
      <c r="G7">
        <f>MAX(ROUNDUP(D7, 0), E7) * IF(C7="COVERED", Parameters!$B$2, Parameters!$B$3)</f>
        <v>0</v>
      </c>
      <c r="H7">
        <f>F7 - G7</f>
        <v>0</v>
      </c>
      <c r="I7">
        <f>IF(ABS(H7)&gt;0.01, "Priority 3", "")</f>
        <v>0</v>
      </c>
    </row>
    <row r="8" spans="1:9">
      <c r="A8" t="s">
        <v>1005</v>
      </c>
      <c r="B8" t="s">
        <v>998</v>
      </c>
      <c r="C8" t="s">
        <v>999</v>
      </c>
      <c r="D8">
        <v>30.4</v>
      </c>
      <c r="E8">
        <v>24</v>
      </c>
      <c r="F8">
        <v>322.4</v>
      </c>
      <c r="G8">
        <f>MAX(ROUNDUP(D8, 0), E8) * IF(C8="COVERED", Parameters!$B$2, Parameters!$B$3)</f>
        <v>0</v>
      </c>
      <c r="H8">
        <f>F8 - G8</f>
        <v>0</v>
      </c>
      <c r="I8">
        <f>IF(ABS(H8)&gt;0.01, "Priority 3", "")</f>
        <v>0</v>
      </c>
    </row>
    <row r="9" spans="1:9">
      <c r="A9" t="s">
        <v>1006</v>
      </c>
      <c r="B9" t="s">
        <v>998</v>
      </c>
      <c r="C9" t="s">
        <v>999</v>
      </c>
      <c r="D9">
        <v>23.4</v>
      </c>
      <c r="E9">
        <v>32</v>
      </c>
      <c r="F9">
        <v>332.8</v>
      </c>
      <c r="G9">
        <f>MAX(ROUNDUP(D9, 0), E9) * IF(C9="COVERED", Parameters!$B$2, Parameters!$B$3)</f>
        <v>0</v>
      </c>
      <c r="H9">
        <f>F9 - G9</f>
        <v>0</v>
      </c>
      <c r="I9">
        <f>IF(ABS(H9)&gt;0.01, "Priority 3", "")</f>
        <v>0</v>
      </c>
    </row>
    <row r="10" spans="1:9">
      <c r="A10" t="s">
        <v>1007</v>
      </c>
      <c r="B10" t="s">
        <v>998</v>
      </c>
      <c r="C10" t="s">
        <v>999</v>
      </c>
      <c r="D10">
        <v>20.8</v>
      </c>
      <c r="E10">
        <v>32</v>
      </c>
      <c r="F10">
        <v>332.8</v>
      </c>
      <c r="G10">
        <f>MAX(ROUNDUP(D10, 0), E10) * IF(C10="COVERED", Parameters!$B$2, Parameters!$B$3)</f>
        <v>0</v>
      </c>
      <c r="H10">
        <f>F10 - G10</f>
        <v>0</v>
      </c>
      <c r="I10">
        <f>IF(ABS(H10)&gt;0.01, "Priority 3", "")</f>
        <v>0</v>
      </c>
    </row>
    <row r="11" spans="1:9">
      <c r="A11" t="s">
        <v>1008</v>
      </c>
      <c r="B11" t="s">
        <v>998</v>
      </c>
      <c r="C11" t="s">
        <v>999</v>
      </c>
      <c r="D11">
        <v>26</v>
      </c>
      <c r="E11">
        <v>28</v>
      </c>
      <c r="F11">
        <v>291.2</v>
      </c>
      <c r="G11">
        <f>MAX(ROUNDUP(D11, 0), E11) * IF(C11="COVERED", Parameters!$B$2, Parameters!$B$3)</f>
        <v>0</v>
      </c>
      <c r="H11">
        <f>F11 - G11</f>
        <v>0</v>
      </c>
      <c r="I11">
        <f>IF(ABS(H11)&gt;0.01, "Priority 3", "")</f>
        <v>0</v>
      </c>
    </row>
    <row r="12" spans="1:9">
      <c r="A12" t="s">
        <v>1009</v>
      </c>
      <c r="B12" t="s">
        <v>998</v>
      </c>
      <c r="C12" t="s">
        <v>999</v>
      </c>
      <c r="D12">
        <v>53.5</v>
      </c>
      <c r="E12">
        <v>40</v>
      </c>
      <c r="F12">
        <v>561.6</v>
      </c>
      <c r="G12">
        <f>MAX(ROUNDUP(D12, 0), E12) * IF(C12="COVERED", Parameters!$B$2, Parameters!$B$3)</f>
        <v>0</v>
      </c>
      <c r="H12">
        <f>F12 - G12</f>
        <v>0</v>
      </c>
      <c r="I12">
        <f>IF(ABS(H12)&gt;0.01, "Priority 3", "")</f>
        <v>0</v>
      </c>
    </row>
    <row r="13" spans="1:9">
      <c r="A13" t="s">
        <v>1010</v>
      </c>
      <c r="B13" t="s">
        <v>998</v>
      </c>
      <c r="C13" t="s">
        <v>999</v>
      </c>
      <c r="D13">
        <v>26</v>
      </c>
      <c r="E13">
        <v>36</v>
      </c>
      <c r="F13">
        <v>374.4</v>
      </c>
      <c r="G13">
        <f>MAX(ROUNDUP(D13, 0), E13) * IF(C13="COVERED", Parameters!$B$2, Parameters!$B$3)</f>
        <v>0</v>
      </c>
      <c r="H13">
        <f>F13 - G13</f>
        <v>0</v>
      </c>
      <c r="I13">
        <f>IF(ABS(H13)&gt;0.01, "Priority 3", "")</f>
        <v>0</v>
      </c>
    </row>
    <row r="14" spans="1:9">
      <c r="A14" t="s">
        <v>1011</v>
      </c>
      <c r="B14" t="s">
        <v>998</v>
      </c>
      <c r="C14" t="s">
        <v>999</v>
      </c>
      <c r="D14">
        <v>28.2</v>
      </c>
      <c r="E14">
        <v>24</v>
      </c>
      <c r="F14">
        <v>301.6</v>
      </c>
      <c r="G14">
        <f>MAX(ROUNDUP(D14, 0), E14) * IF(C14="COVERED", Parameters!$B$2, Parameters!$B$3)</f>
        <v>0</v>
      </c>
      <c r="H14">
        <f>F14 - G14</f>
        <v>0</v>
      </c>
      <c r="I14">
        <f>IF(ABS(H14)&gt;0.01, "Priority 3", "")</f>
        <v>0</v>
      </c>
    </row>
    <row r="15" spans="1:9">
      <c r="A15" t="s">
        <v>1012</v>
      </c>
      <c r="B15" t="s">
        <v>998</v>
      </c>
      <c r="C15" t="s">
        <v>999</v>
      </c>
      <c r="D15">
        <v>18.8</v>
      </c>
      <c r="E15">
        <v>28</v>
      </c>
      <c r="F15">
        <v>291.2</v>
      </c>
      <c r="G15">
        <f>MAX(ROUNDUP(D15, 0), E15) * IF(C15="COVERED", Parameters!$B$2, Parameters!$B$3)</f>
        <v>0</v>
      </c>
      <c r="H15">
        <f>F15 - G15</f>
        <v>0</v>
      </c>
      <c r="I15">
        <f>IF(ABS(H15)&gt;0.01, "Priority 3", "")</f>
        <v>0</v>
      </c>
    </row>
    <row r="16" spans="1:9">
      <c r="A16" t="s">
        <v>1013</v>
      </c>
      <c r="B16" t="s">
        <v>998</v>
      </c>
      <c r="C16" t="s">
        <v>999</v>
      </c>
      <c r="D16">
        <v>19.2</v>
      </c>
      <c r="E16">
        <v>28</v>
      </c>
      <c r="F16">
        <v>291.2</v>
      </c>
      <c r="G16">
        <f>MAX(ROUNDUP(D16, 0), E16) * IF(C16="COVERED", Parameters!$B$2, Parameters!$B$3)</f>
        <v>0</v>
      </c>
      <c r="H16">
        <f>F16 - G16</f>
        <v>0</v>
      </c>
      <c r="I16">
        <f>IF(ABS(H16)&gt;0.01, "Priority 3", "")</f>
        <v>0</v>
      </c>
    </row>
    <row r="17" spans="1:9">
      <c r="A17" t="s">
        <v>1014</v>
      </c>
      <c r="B17" t="s">
        <v>998</v>
      </c>
      <c r="C17" t="s">
        <v>999</v>
      </c>
      <c r="D17">
        <v>28.7</v>
      </c>
      <c r="E17">
        <v>32</v>
      </c>
      <c r="F17">
        <v>332.8</v>
      </c>
      <c r="G17">
        <f>MAX(ROUNDUP(D17, 0), E17) * IF(C17="COVERED", Parameters!$B$2, Parameters!$B$3)</f>
        <v>0</v>
      </c>
      <c r="H17">
        <f>F17 - G17</f>
        <v>0</v>
      </c>
      <c r="I17">
        <f>IF(ABS(H17)&gt;0.01, "Priority 3", "")</f>
        <v>0</v>
      </c>
    </row>
    <row r="18" spans="1:9">
      <c r="A18" t="s">
        <v>1015</v>
      </c>
      <c r="B18" t="s">
        <v>998</v>
      </c>
      <c r="C18" t="s">
        <v>999</v>
      </c>
      <c r="D18">
        <v>22.1</v>
      </c>
      <c r="E18">
        <v>24</v>
      </c>
      <c r="F18">
        <v>249.6</v>
      </c>
      <c r="G18">
        <f>MAX(ROUNDUP(D18, 0), E18) * IF(C18="COVERED", Parameters!$B$2, Parameters!$B$3)</f>
        <v>0</v>
      </c>
      <c r="H18">
        <f>F18 - G18</f>
        <v>0</v>
      </c>
      <c r="I18">
        <f>IF(ABS(H18)&gt;0.01, "Priority 3", "")</f>
        <v>0</v>
      </c>
    </row>
    <row r="19" spans="1:9">
      <c r="A19" t="s">
        <v>1016</v>
      </c>
      <c r="B19" t="s">
        <v>998</v>
      </c>
      <c r="C19" t="s">
        <v>999</v>
      </c>
      <c r="D19">
        <v>43.5</v>
      </c>
      <c r="E19">
        <v>24</v>
      </c>
      <c r="F19">
        <v>457.6</v>
      </c>
      <c r="G19">
        <f>MAX(ROUNDUP(D19, 0), E19) * IF(C19="COVERED", Parameters!$B$2, Parameters!$B$3)</f>
        <v>0</v>
      </c>
      <c r="H19">
        <f>F19 - G19</f>
        <v>0</v>
      </c>
      <c r="I19">
        <f>IF(ABS(H19)&gt;0.01, "Priority 3", "")</f>
        <v>0</v>
      </c>
    </row>
    <row r="20" spans="1:9">
      <c r="A20" t="s">
        <v>1017</v>
      </c>
      <c r="B20" t="s">
        <v>998</v>
      </c>
      <c r="C20" t="s">
        <v>999</v>
      </c>
      <c r="D20">
        <v>30.8</v>
      </c>
      <c r="E20">
        <v>32</v>
      </c>
      <c r="F20">
        <v>332.8</v>
      </c>
      <c r="G20">
        <f>MAX(ROUNDUP(D20, 0), E20) * IF(C20="COVERED", Parameters!$B$2, Parameters!$B$3)</f>
        <v>0</v>
      </c>
      <c r="H20">
        <f>F20 - G20</f>
        <v>0</v>
      </c>
      <c r="I20">
        <f>IF(ABS(H20)&gt;0.01, "Priority 3", "")</f>
        <v>0</v>
      </c>
    </row>
    <row r="21" spans="1:9">
      <c r="A21" t="s">
        <v>1018</v>
      </c>
      <c r="B21" t="s">
        <v>998</v>
      </c>
      <c r="C21" t="s">
        <v>999</v>
      </c>
      <c r="D21">
        <v>51.3</v>
      </c>
      <c r="E21">
        <v>32</v>
      </c>
      <c r="F21">
        <v>540.8</v>
      </c>
      <c r="G21">
        <f>MAX(ROUNDUP(D21, 0), E21) * IF(C21="COVERED", Parameters!$B$2, Parameters!$B$3)</f>
        <v>0</v>
      </c>
      <c r="H21">
        <f>F21 - G21</f>
        <v>0</v>
      </c>
      <c r="I21">
        <f>IF(ABS(H21)&gt;0.01, "Priority 3", "")</f>
        <v>0</v>
      </c>
    </row>
    <row r="22" spans="1:9">
      <c r="A22" t="s">
        <v>1019</v>
      </c>
      <c r="B22" t="s">
        <v>998</v>
      </c>
      <c r="C22" t="s">
        <v>999</v>
      </c>
      <c r="D22">
        <v>48.2</v>
      </c>
      <c r="E22">
        <v>36</v>
      </c>
      <c r="F22">
        <v>509.6</v>
      </c>
      <c r="G22">
        <f>MAX(ROUNDUP(D22, 0), E22) * IF(C22="COVERED", Parameters!$B$2, Parameters!$B$3)</f>
        <v>0</v>
      </c>
      <c r="H22">
        <f>F22 - G22</f>
        <v>0</v>
      </c>
      <c r="I22">
        <f>IF(ABS(H22)&gt;0.01, "Priority 3", "")</f>
        <v>0</v>
      </c>
    </row>
    <row r="23" spans="1:9">
      <c r="A23" t="s">
        <v>1020</v>
      </c>
      <c r="B23" t="s">
        <v>998</v>
      </c>
      <c r="C23" t="s">
        <v>999</v>
      </c>
      <c r="D23">
        <v>25.3</v>
      </c>
      <c r="E23">
        <v>32</v>
      </c>
      <c r="F23">
        <v>332.8</v>
      </c>
      <c r="G23">
        <f>MAX(ROUNDUP(D23, 0), E23) * IF(C23="COVERED", Parameters!$B$2, Parameters!$B$3)</f>
        <v>0</v>
      </c>
      <c r="H23">
        <f>F23 - G23</f>
        <v>0</v>
      </c>
      <c r="I23">
        <f>IF(ABS(H23)&gt;0.01, "Priority 3", "")</f>
        <v>0</v>
      </c>
    </row>
    <row r="24" spans="1:9">
      <c r="A24" t="s">
        <v>1021</v>
      </c>
      <c r="B24" t="s">
        <v>998</v>
      </c>
      <c r="C24" t="s">
        <v>999</v>
      </c>
      <c r="D24">
        <v>38.8</v>
      </c>
      <c r="E24">
        <v>28</v>
      </c>
      <c r="F24">
        <v>405.6</v>
      </c>
      <c r="G24">
        <f>MAX(ROUNDUP(D24, 0), E24) * IF(C24="COVERED", Parameters!$B$2, Parameters!$B$3)</f>
        <v>0</v>
      </c>
      <c r="H24">
        <f>F24 - G24</f>
        <v>0</v>
      </c>
      <c r="I24">
        <f>IF(ABS(H24)&gt;0.01, "Priority 3", "")</f>
        <v>0</v>
      </c>
    </row>
    <row r="25" spans="1:9">
      <c r="A25" t="s">
        <v>1022</v>
      </c>
      <c r="B25" t="s">
        <v>998</v>
      </c>
      <c r="C25" t="s">
        <v>999</v>
      </c>
      <c r="D25">
        <v>51.3</v>
      </c>
      <c r="E25">
        <v>36</v>
      </c>
      <c r="F25">
        <v>540.8</v>
      </c>
      <c r="G25">
        <f>MAX(ROUNDUP(D25, 0), E25) * IF(C25="COVERED", Parameters!$B$2, Parameters!$B$3)</f>
        <v>0</v>
      </c>
      <c r="H25">
        <f>F25 - G25</f>
        <v>0</v>
      </c>
      <c r="I25">
        <f>IF(ABS(H25)&gt;0.01, "Priority 3", "")</f>
        <v>0</v>
      </c>
    </row>
    <row r="26" spans="1:9">
      <c r="A26" t="s">
        <v>1023</v>
      </c>
      <c r="B26" t="s">
        <v>998</v>
      </c>
      <c r="C26" t="s">
        <v>999</v>
      </c>
      <c r="D26">
        <v>37.5</v>
      </c>
      <c r="E26">
        <v>36</v>
      </c>
      <c r="F26">
        <v>395.2</v>
      </c>
      <c r="G26">
        <f>MAX(ROUNDUP(D26, 0), E26) * IF(C26="COVERED", Parameters!$B$2, Parameters!$B$3)</f>
        <v>0</v>
      </c>
      <c r="H26">
        <f>F26 - G26</f>
        <v>0</v>
      </c>
      <c r="I26">
        <f>IF(ABS(H26)&gt;0.01, "Priority 3", "")</f>
        <v>0</v>
      </c>
    </row>
    <row r="27" spans="1:9">
      <c r="A27" t="s">
        <v>1024</v>
      </c>
      <c r="B27" t="s">
        <v>998</v>
      </c>
      <c r="C27" t="s">
        <v>999</v>
      </c>
      <c r="D27">
        <v>28.3</v>
      </c>
      <c r="E27">
        <v>28</v>
      </c>
      <c r="F27">
        <v>301.6</v>
      </c>
      <c r="G27">
        <f>MAX(ROUNDUP(D27, 0), E27) * IF(C27="COVERED", Parameters!$B$2, Parameters!$B$3)</f>
        <v>0</v>
      </c>
      <c r="H27">
        <f>F27 - G27</f>
        <v>0</v>
      </c>
      <c r="I27">
        <f>IF(ABS(H27)&gt;0.01, "Priority 3", "")</f>
        <v>0</v>
      </c>
    </row>
    <row r="28" spans="1:9">
      <c r="A28" t="s">
        <v>1025</v>
      </c>
      <c r="B28" t="s">
        <v>998</v>
      </c>
      <c r="C28" t="s">
        <v>999</v>
      </c>
      <c r="D28">
        <v>35.6</v>
      </c>
      <c r="E28">
        <v>28</v>
      </c>
      <c r="F28">
        <v>374.4</v>
      </c>
      <c r="G28">
        <f>MAX(ROUNDUP(D28, 0), E28) * IF(C28="COVERED", Parameters!$B$2, Parameters!$B$3)</f>
        <v>0</v>
      </c>
      <c r="H28">
        <f>F28 - G28</f>
        <v>0</v>
      </c>
      <c r="I28">
        <f>IF(ABS(H28)&gt;0.01, "Priority 3", "")</f>
        <v>0</v>
      </c>
    </row>
    <row r="29" spans="1:9">
      <c r="A29" t="s">
        <v>1026</v>
      </c>
      <c r="B29" t="s">
        <v>998</v>
      </c>
      <c r="C29" t="s">
        <v>999</v>
      </c>
      <c r="D29">
        <v>23</v>
      </c>
      <c r="E29">
        <v>40</v>
      </c>
      <c r="F29">
        <v>416</v>
      </c>
      <c r="G29">
        <f>MAX(ROUNDUP(D29, 0), E29) * IF(C29="COVERED", Parameters!$B$2, Parameters!$B$3)</f>
        <v>0</v>
      </c>
      <c r="H29">
        <f>F29 - G29</f>
        <v>0</v>
      </c>
      <c r="I29">
        <f>IF(ABS(H29)&gt;0.01, "Priority 3", "")</f>
        <v>0</v>
      </c>
    </row>
    <row r="30" spans="1:9">
      <c r="A30" t="s">
        <v>1027</v>
      </c>
      <c r="B30" t="s">
        <v>998</v>
      </c>
      <c r="C30" t="s">
        <v>999</v>
      </c>
      <c r="D30">
        <v>41.4</v>
      </c>
      <c r="E30">
        <v>24</v>
      </c>
      <c r="F30">
        <v>436.8</v>
      </c>
      <c r="G30">
        <f>MAX(ROUNDUP(D30, 0), E30) * IF(C30="COVERED", Parameters!$B$2, Parameters!$B$3)</f>
        <v>0</v>
      </c>
      <c r="H30">
        <f>F30 - G30</f>
        <v>0</v>
      </c>
      <c r="I30">
        <f>IF(ABS(H30)&gt;0.01, "Priority 3", "")</f>
        <v>0</v>
      </c>
    </row>
    <row r="31" spans="1:9">
      <c r="A31" t="s">
        <v>1028</v>
      </c>
      <c r="B31" t="s">
        <v>998</v>
      </c>
      <c r="C31" t="s">
        <v>999</v>
      </c>
      <c r="D31">
        <v>35.9</v>
      </c>
      <c r="E31">
        <v>32</v>
      </c>
      <c r="F31">
        <v>374.4</v>
      </c>
      <c r="G31">
        <f>MAX(ROUNDUP(D31, 0), E31) * IF(C31="COVERED", Parameters!$B$2, Parameters!$B$3)</f>
        <v>0</v>
      </c>
      <c r="H31">
        <f>F31 - G31</f>
        <v>0</v>
      </c>
      <c r="I31">
        <f>IF(ABS(H31)&gt;0.01, "Priority 3", "")</f>
        <v>0</v>
      </c>
    </row>
    <row r="32" spans="1:9">
      <c r="A32" t="s">
        <v>1029</v>
      </c>
      <c r="B32" t="s">
        <v>998</v>
      </c>
      <c r="C32" t="s">
        <v>999</v>
      </c>
      <c r="D32">
        <v>19.8</v>
      </c>
      <c r="E32">
        <v>32</v>
      </c>
      <c r="F32">
        <v>332.8</v>
      </c>
      <c r="G32">
        <f>MAX(ROUNDUP(D32, 0), E32) * IF(C32="COVERED", Parameters!$B$2, Parameters!$B$3)</f>
        <v>0</v>
      </c>
      <c r="H32">
        <f>F32 - G32</f>
        <v>0</v>
      </c>
      <c r="I32">
        <f>IF(ABS(H32)&gt;0.01, "Priority 3", "")</f>
        <v>0</v>
      </c>
    </row>
    <row r="33" spans="1:9">
      <c r="A33" t="s">
        <v>1030</v>
      </c>
      <c r="B33" t="s">
        <v>998</v>
      </c>
      <c r="C33" t="s">
        <v>999</v>
      </c>
      <c r="D33">
        <v>24.8</v>
      </c>
      <c r="E33">
        <v>40</v>
      </c>
      <c r="F33">
        <v>416</v>
      </c>
      <c r="G33">
        <f>MAX(ROUNDUP(D33, 0), E33) * IF(C33="COVERED", Parameters!$B$2, Parameters!$B$3)</f>
        <v>0</v>
      </c>
      <c r="H33">
        <f>F33 - G33</f>
        <v>0</v>
      </c>
      <c r="I33">
        <f>IF(ABS(H33)&gt;0.01, "Priority 3", "")</f>
        <v>0</v>
      </c>
    </row>
    <row r="34" spans="1:9">
      <c r="A34" t="s">
        <v>1031</v>
      </c>
      <c r="B34" t="s">
        <v>998</v>
      </c>
      <c r="C34" t="s">
        <v>999</v>
      </c>
      <c r="D34">
        <v>57.4</v>
      </c>
      <c r="E34">
        <v>24</v>
      </c>
      <c r="F34">
        <v>603.2</v>
      </c>
      <c r="G34">
        <f>MAX(ROUNDUP(D34, 0), E34) * IF(C34="COVERED", Parameters!$B$2, Parameters!$B$3)</f>
        <v>0</v>
      </c>
      <c r="H34">
        <f>F34 - G34</f>
        <v>0</v>
      </c>
      <c r="I34">
        <f>IF(ABS(H34)&gt;0.01, "Priority 3", "")</f>
        <v>0</v>
      </c>
    </row>
    <row r="35" spans="1:9">
      <c r="A35" t="s">
        <v>1032</v>
      </c>
      <c r="B35" t="s">
        <v>998</v>
      </c>
      <c r="C35" t="s">
        <v>999</v>
      </c>
      <c r="D35">
        <v>49.7</v>
      </c>
      <c r="E35">
        <v>40</v>
      </c>
      <c r="F35">
        <v>520</v>
      </c>
      <c r="G35">
        <f>MAX(ROUNDUP(D35, 0), E35) * IF(C35="COVERED", Parameters!$B$2, Parameters!$B$3)</f>
        <v>0</v>
      </c>
      <c r="H35">
        <f>F35 - G35</f>
        <v>0</v>
      </c>
      <c r="I35">
        <f>IF(ABS(H35)&gt;0.01, "Priority 3", "")</f>
        <v>0</v>
      </c>
    </row>
    <row r="36" spans="1:9">
      <c r="A36" t="s">
        <v>1033</v>
      </c>
      <c r="B36" t="s">
        <v>998</v>
      </c>
      <c r="C36" t="s">
        <v>999</v>
      </c>
      <c r="D36">
        <v>31</v>
      </c>
      <c r="E36">
        <v>28</v>
      </c>
      <c r="F36">
        <v>322.4</v>
      </c>
      <c r="G36">
        <f>MAX(ROUNDUP(D36, 0), E36) * IF(C36="COVERED", Parameters!$B$2, Parameters!$B$3)</f>
        <v>0</v>
      </c>
      <c r="H36">
        <f>F36 - G36</f>
        <v>0</v>
      </c>
      <c r="I36">
        <f>IF(ABS(H36)&gt;0.01, "Priority 3", "")</f>
        <v>0</v>
      </c>
    </row>
    <row r="37" spans="1:9">
      <c r="A37" t="s">
        <v>1034</v>
      </c>
      <c r="B37" t="s">
        <v>998</v>
      </c>
      <c r="C37" t="s">
        <v>999</v>
      </c>
      <c r="D37">
        <v>26.3</v>
      </c>
      <c r="E37">
        <v>28</v>
      </c>
      <c r="F37">
        <v>291.2</v>
      </c>
      <c r="G37">
        <f>MAX(ROUNDUP(D37, 0), E37) * IF(C37="COVERED", Parameters!$B$2, Parameters!$B$3)</f>
        <v>0</v>
      </c>
      <c r="H37">
        <f>F37 - G37</f>
        <v>0</v>
      </c>
      <c r="I37">
        <f>IF(ABS(H37)&gt;0.01, "Priority 3", "")</f>
        <v>0</v>
      </c>
    </row>
    <row r="38" spans="1:9">
      <c r="A38" t="s">
        <v>1035</v>
      </c>
      <c r="B38" t="s">
        <v>998</v>
      </c>
      <c r="C38" t="s">
        <v>999</v>
      </c>
      <c r="D38">
        <v>57</v>
      </c>
      <c r="E38">
        <v>32</v>
      </c>
      <c r="F38">
        <v>592.8</v>
      </c>
      <c r="G38">
        <f>MAX(ROUNDUP(D38, 0), E38) * IF(C38="COVERED", Parameters!$B$2, Parameters!$B$3)</f>
        <v>0</v>
      </c>
      <c r="H38">
        <f>F38 - G38</f>
        <v>0</v>
      </c>
      <c r="I38">
        <f>IF(ABS(H38)&gt;0.01, "Priority 3", "")</f>
        <v>0</v>
      </c>
    </row>
    <row r="39" spans="1:9">
      <c r="A39" t="s">
        <v>1036</v>
      </c>
      <c r="B39" t="s">
        <v>998</v>
      </c>
      <c r="C39" t="s">
        <v>999</v>
      </c>
      <c r="D39">
        <v>58.7</v>
      </c>
      <c r="E39">
        <v>40</v>
      </c>
      <c r="F39">
        <v>613.6</v>
      </c>
      <c r="G39">
        <f>MAX(ROUNDUP(D39, 0), E39) * IF(C39="COVERED", Parameters!$B$2, Parameters!$B$3)</f>
        <v>0</v>
      </c>
      <c r="H39">
        <f>F39 - G39</f>
        <v>0</v>
      </c>
      <c r="I39">
        <f>IF(ABS(H39)&gt;0.01, "Priority 3", "")</f>
        <v>0</v>
      </c>
    </row>
    <row r="40" spans="1:9">
      <c r="A40" t="s">
        <v>1037</v>
      </c>
      <c r="B40" t="s">
        <v>998</v>
      </c>
      <c r="C40" t="s">
        <v>999</v>
      </c>
      <c r="D40">
        <v>41.6</v>
      </c>
      <c r="E40">
        <v>24</v>
      </c>
      <c r="F40">
        <v>436.8</v>
      </c>
      <c r="G40">
        <f>MAX(ROUNDUP(D40, 0), E40) * IF(C40="COVERED", Parameters!$B$2, Parameters!$B$3)</f>
        <v>0</v>
      </c>
      <c r="H40">
        <f>F40 - G40</f>
        <v>0</v>
      </c>
      <c r="I40">
        <f>IF(ABS(H40)&gt;0.01, "Priority 3", "")</f>
        <v>0</v>
      </c>
    </row>
    <row r="41" spans="1:9">
      <c r="A41" t="s">
        <v>1038</v>
      </c>
      <c r="B41" t="s">
        <v>998</v>
      </c>
      <c r="C41" t="s">
        <v>999</v>
      </c>
      <c r="D41">
        <v>46.9</v>
      </c>
      <c r="E41">
        <v>28</v>
      </c>
      <c r="F41">
        <v>488.8</v>
      </c>
      <c r="G41">
        <f>MAX(ROUNDUP(D41, 0), E41) * IF(C41="COVERED", Parameters!$B$2, Parameters!$B$3)</f>
        <v>0</v>
      </c>
      <c r="H41">
        <f>F41 - G41</f>
        <v>0</v>
      </c>
      <c r="I41">
        <f>IF(ABS(H41)&gt;0.01, "Priority 3", "")</f>
        <v>0</v>
      </c>
    </row>
    <row r="42" spans="1:9">
      <c r="A42" t="s">
        <v>1039</v>
      </c>
      <c r="B42" t="s">
        <v>998</v>
      </c>
      <c r="C42" t="s">
        <v>999</v>
      </c>
      <c r="D42">
        <v>45.1</v>
      </c>
      <c r="E42">
        <v>28</v>
      </c>
      <c r="F42">
        <v>478.4</v>
      </c>
      <c r="G42">
        <f>MAX(ROUNDUP(D42, 0), E42) * IF(C42="COVERED", Parameters!$B$2, Parameters!$B$3)</f>
        <v>0</v>
      </c>
      <c r="H42">
        <f>F42 - G42</f>
        <v>0</v>
      </c>
      <c r="I42">
        <f>IF(ABS(H42)&gt;0.01, "Priority 3", "")</f>
        <v>0</v>
      </c>
    </row>
    <row r="43" spans="1:9">
      <c r="A43" t="s">
        <v>1040</v>
      </c>
      <c r="B43" t="s">
        <v>998</v>
      </c>
      <c r="C43" t="s">
        <v>999</v>
      </c>
      <c r="D43">
        <v>57.8</v>
      </c>
      <c r="E43">
        <v>24</v>
      </c>
      <c r="F43">
        <v>603.2</v>
      </c>
      <c r="G43">
        <f>MAX(ROUNDUP(D43, 0), E43) * IF(C43="COVERED", Parameters!$B$2, Parameters!$B$3)</f>
        <v>0</v>
      </c>
      <c r="H43">
        <f>F43 - G43</f>
        <v>0</v>
      </c>
      <c r="I43">
        <f>IF(ABS(H43)&gt;0.01, "Priority 3", "")</f>
        <v>0</v>
      </c>
    </row>
    <row r="44" spans="1:9">
      <c r="A44" t="s">
        <v>1041</v>
      </c>
      <c r="B44" t="s">
        <v>998</v>
      </c>
      <c r="C44" t="s">
        <v>999</v>
      </c>
      <c r="D44">
        <v>25.5</v>
      </c>
      <c r="E44">
        <v>36</v>
      </c>
      <c r="F44">
        <v>374.4</v>
      </c>
      <c r="G44">
        <f>MAX(ROUNDUP(D44, 0), E44) * IF(C44="COVERED", Parameters!$B$2, Parameters!$B$3)</f>
        <v>0</v>
      </c>
      <c r="H44">
        <f>F44 - G44</f>
        <v>0</v>
      </c>
      <c r="I44">
        <f>IF(ABS(H44)&gt;0.01, "Priority 3", "")</f>
        <v>0</v>
      </c>
    </row>
    <row r="45" spans="1:9">
      <c r="A45" t="s">
        <v>1042</v>
      </c>
      <c r="B45" t="s">
        <v>998</v>
      </c>
      <c r="C45" t="s">
        <v>999</v>
      </c>
      <c r="D45">
        <v>49.8</v>
      </c>
      <c r="E45">
        <v>24</v>
      </c>
      <c r="F45">
        <v>520</v>
      </c>
      <c r="G45">
        <f>MAX(ROUNDUP(D45, 0), E45) * IF(C45="COVERED", Parameters!$B$2, Parameters!$B$3)</f>
        <v>0</v>
      </c>
      <c r="H45">
        <f>F45 - G45</f>
        <v>0</v>
      </c>
      <c r="I45">
        <f>IF(ABS(H45)&gt;0.01, "Priority 3", "")</f>
        <v>0</v>
      </c>
    </row>
    <row r="46" spans="1:9">
      <c r="A46" t="s">
        <v>1043</v>
      </c>
      <c r="B46" t="s">
        <v>998</v>
      </c>
      <c r="C46" t="s">
        <v>999</v>
      </c>
      <c r="D46">
        <v>26.7</v>
      </c>
      <c r="E46">
        <v>40</v>
      </c>
      <c r="F46">
        <v>416</v>
      </c>
      <c r="G46">
        <f>MAX(ROUNDUP(D46, 0), E46) * IF(C46="COVERED", Parameters!$B$2, Parameters!$B$3)</f>
        <v>0</v>
      </c>
      <c r="H46">
        <f>F46 - G46</f>
        <v>0</v>
      </c>
      <c r="I46">
        <f>IF(ABS(H46)&gt;0.01, "Priority 3", "")</f>
        <v>0</v>
      </c>
    </row>
    <row r="47" spans="1:9">
      <c r="A47" t="s">
        <v>1044</v>
      </c>
      <c r="B47" t="s">
        <v>998</v>
      </c>
      <c r="C47" t="s">
        <v>999</v>
      </c>
      <c r="D47">
        <v>18.4</v>
      </c>
      <c r="E47">
        <v>28</v>
      </c>
      <c r="F47">
        <v>291.2</v>
      </c>
      <c r="G47">
        <f>MAX(ROUNDUP(D47, 0), E47) * IF(C47="COVERED", Parameters!$B$2, Parameters!$B$3)</f>
        <v>0</v>
      </c>
      <c r="H47">
        <f>F47 - G47</f>
        <v>0</v>
      </c>
      <c r="I47">
        <f>IF(ABS(H47)&gt;0.01, "Priority 3", "")</f>
        <v>0</v>
      </c>
    </row>
    <row r="48" spans="1:9">
      <c r="A48" t="s">
        <v>1045</v>
      </c>
      <c r="B48" t="s">
        <v>998</v>
      </c>
      <c r="C48" t="s">
        <v>999</v>
      </c>
      <c r="D48">
        <v>37.3</v>
      </c>
      <c r="E48">
        <v>32</v>
      </c>
      <c r="F48">
        <v>395.2</v>
      </c>
      <c r="G48">
        <f>MAX(ROUNDUP(D48, 0), E48) * IF(C48="COVERED", Parameters!$B$2, Parameters!$B$3)</f>
        <v>0</v>
      </c>
      <c r="H48">
        <f>F48 - G48</f>
        <v>0</v>
      </c>
      <c r="I48">
        <f>IF(ABS(H48)&gt;0.01, "Priority 3", "")</f>
        <v>0</v>
      </c>
    </row>
    <row r="49" spans="1:9">
      <c r="A49" t="s">
        <v>1046</v>
      </c>
      <c r="B49" t="s">
        <v>998</v>
      </c>
      <c r="C49" t="s">
        <v>999</v>
      </c>
      <c r="D49">
        <v>54</v>
      </c>
      <c r="E49">
        <v>32</v>
      </c>
      <c r="F49">
        <v>561.6</v>
      </c>
      <c r="G49">
        <f>MAX(ROUNDUP(D49, 0), E49) * IF(C49="COVERED", Parameters!$B$2, Parameters!$B$3)</f>
        <v>0</v>
      </c>
      <c r="H49">
        <f>F49 - G49</f>
        <v>0</v>
      </c>
      <c r="I49">
        <f>IF(ABS(H49)&gt;0.01, "Priority 3", "")</f>
        <v>0</v>
      </c>
    </row>
    <row r="50" spans="1:9">
      <c r="A50" t="s">
        <v>1047</v>
      </c>
      <c r="B50" t="s">
        <v>998</v>
      </c>
      <c r="C50" t="s">
        <v>999</v>
      </c>
      <c r="D50">
        <v>19.4</v>
      </c>
      <c r="E50">
        <v>32</v>
      </c>
      <c r="F50">
        <v>332.8</v>
      </c>
      <c r="G50">
        <f>MAX(ROUNDUP(D50, 0), E50) * IF(C50="COVERED", Parameters!$B$2, Parameters!$B$3)</f>
        <v>0</v>
      </c>
      <c r="H50">
        <f>F50 - G50</f>
        <v>0</v>
      </c>
      <c r="I50">
        <f>IF(ABS(H50)&gt;0.01, "Priority 3", "")</f>
        <v>0</v>
      </c>
    </row>
    <row r="51" spans="1:9">
      <c r="A51" t="s">
        <v>1048</v>
      </c>
      <c r="B51" t="s">
        <v>998</v>
      </c>
      <c r="C51" t="s">
        <v>999</v>
      </c>
      <c r="D51">
        <v>54.1</v>
      </c>
      <c r="E51">
        <v>32</v>
      </c>
      <c r="F51">
        <v>572</v>
      </c>
      <c r="G51">
        <f>MAX(ROUNDUP(D51, 0), E51) * IF(C51="COVERED", Parameters!$B$2, Parameters!$B$3)</f>
        <v>0</v>
      </c>
      <c r="H51">
        <f>F51 - G51</f>
        <v>0</v>
      </c>
      <c r="I51">
        <f>IF(ABS(H51)&gt;0.01, "Priority 3", "")</f>
        <v>0</v>
      </c>
    </row>
    <row r="52" spans="1:9">
      <c r="A52" t="s">
        <v>1049</v>
      </c>
      <c r="B52" t="s">
        <v>998</v>
      </c>
      <c r="C52" t="s">
        <v>999</v>
      </c>
      <c r="D52">
        <v>60.7</v>
      </c>
      <c r="E52">
        <v>36</v>
      </c>
      <c r="F52">
        <v>634.4</v>
      </c>
      <c r="G52">
        <f>MAX(ROUNDUP(D52, 0), E52) * IF(C52="COVERED", Parameters!$B$2, Parameters!$B$3)</f>
        <v>0</v>
      </c>
      <c r="H52">
        <f>F52 - G52</f>
        <v>0</v>
      </c>
      <c r="I52">
        <f>IF(ABS(H52)&gt;0.01, "Priority 3", "")</f>
        <v>0</v>
      </c>
    </row>
    <row r="53" spans="1:9">
      <c r="A53" t="s">
        <v>1050</v>
      </c>
      <c r="B53" t="s">
        <v>998</v>
      </c>
      <c r="C53" t="s">
        <v>999</v>
      </c>
      <c r="D53">
        <v>42.3</v>
      </c>
      <c r="E53">
        <v>40</v>
      </c>
      <c r="F53">
        <v>447.2</v>
      </c>
      <c r="G53">
        <f>MAX(ROUNDUP(D53, 0), E53) * IF(C53="COVERED", Parameters!$B$2, Parameters!$B$3)</f>
        <v>0</v>
      </c>
      <c r="H53">
        <f>F53 - G53</f>
        <v>0</v>
      </c>
      <c r="I53">
        <f>IF(ABS(H53)&gt;0.01, "Priority 3", "")</f>
        <v>0</v>
      </c>
    </row>
    <row r="54" spans="1:9">
      <c r="A54" t="s">
        <v>1051</v>
      </c>
      <c r="B54" t="s">
        <v>998</v>
      </c>
      <c r="C54" t="s">
        <v>999</v>
      </c>
      <c r="D54">
        <v>23.9</v>
      </c>
      <c r="E54">
        <v>24</v>
      </c>
      <c r="F54">
        <v>249.6</v>
      </c>
      <c r="G54">
        <f>MAX(ROUNDUP(D54, 0), E54) * IF(C54="COVERED", Parameters!$B$2, Parameters!$B$3)</f>
        <v>0</v>
      </c>
      <c r="H54">
        <f>F54 - G54</f>
        <v>0</v>
      </c>
      <c r="I54">
        <f>IF(ABS(H54)&gt;0.01, "Priority 3", "")</f>
        <v>0</v>
      </c>
    </row>
    <row r="55" spans="1:9">
      <c r="A55" t="s">
        <v>1052</v>
      </c>
      <c r="B55" t="s">
        <v>998</v>
      </c>
      <c r="C55" t="s">
        <v>999</v>
      </c>
      <c r="D55">
        <v>31.1</v>
      </c>
      <c r="E55">
        <v>24</v>
      </c>
      <c r="F55">
        <v>332.8</v>
      </c>
      <c r="G55">
        <f>MAX(ROUNDUP(D55, 0), E55) * IF(C55="COVERED", Parameters!$B$2, Parameters!$B$3)</f>
        <v>0</v>
      </c>
      <c r="H55">
        <f>F55 - G55</f>
        <v>0</v>
      </c>
      <c r="I55">
        <f>IF(ABS(H55)&gt;0.01, "Priority 3", "")</f>
        <v>0</v>
      </c>
    </row>
    <row r="56" spans="1:9">
      <c r="A56" t="s">
        <v>1053</v>
      </c>
      <c r="B56" t="s">
        <v>998</v>
      </c>
      <c r="C56" t="s">
        <v>999</v>
      </c>
      <c r="D56">
        <v>24.8</v>
      </c>
      <c r="E56">
        <v>32</v>
      </c>
      <c r="F56">
        <v>332.8</v>
      </c>
      <c r="G56">
        <f>MAX(ROUNDUP(D56, 0), E56) * IF(C56="COVERED", Parameters!$B$2, Parameters!$B$3)</f>
        <v>0</v>
      </c>
      <c r="H56">
        <f>F56 - G56</f>
        <v>0</v>
      </c>
      <c r="I56">
        <f>IF(ABS(H56)&gt;0.01, "Priority 3", "")</f>
        <v>0</v>
      </c>
    </row>
    <row r="57" spans="1:9">
      <c r="A57" t="s">
        <v>1054</v>
      </c>
      <c r="B57" t="s">
        <v>998</v>
      </c>
      <c r="C57" t="s">
        <v>999</v>
      </c>
      <c r="D57">
        <v>26.3</v>
      </c>
      <c r="E57">
        <v>32</v>
      </c>
      <c r="F57">
        <v>332.8</v>
      </c>
      <c r="G57">
        <f>MAX(ROUNDUP(D57, 0), E57) * IF(C57="COVERED", Parameters!$B$2, Parameters!$B$3)</f>
        <v>0</v>
      </c>
      <c r="H57">
        <f>F57 - G57</f>
        <v>0</v>
      </c>
      <c r="I57">
        <f>IF(ABS(H57)&gt;0.01, "Priority 3", "")</f>
        <v>0</v>
      </c>
    </row>
    <row r="58" spans="1:9">
      <c r="A58" t="s">
        <v>1055</v>
      </c>
      <c r="B58" t="s">
        <v>998</v>
      </c>
      <c r="C58" t="s">
        <v>999</v>
      </c>
      <c r="D58">
        <v>31.6</v>
      </c>
      <c r="E58">
        <v>24</v>
      </c>
      <c r="F58">
        <v>332.8</v>
      </c>
      <c r="G58">
        <f>MAX(ROUNDUP(D58, 0), E58) * IF(C58="COVERED", Parameters!$B$2, Parameters!$B$3)</f>
        <v>0</v>
      </c>
      <c r="H58">
        <f>F58 - G58</f>
        <v>0</v>
      </c>
      <c r="I58">
        <f>IF(ABS(H58)&gt;0.01, "Priority 3", "")</f>
        <v>0</v>
      </c>
    </row>
    <row r="59" spans="1:9">
      <c r="A59" t="s">
        <v>1056</v>
      </c>
      <c r="B59" t="s">
        <v>998</v>
      </c>
      <c r="C59" t="s">
        <v>999</v>
      </c>
      <c r="D59">
        <v>53.5</v>
      </c>
      <c r="E59">
        <v>40</v>
      </c>
      <c r="F59">
        <v>561.6</v>
      </c>
      <c r="G59">
        <f>MAX(ROUNDUP(D59, 0), E59) * IF(C59="COVERED", Parameters!$B$2, Parameters!$B$3)</f>
        <v>0</v>
      </c>
      <c r="H59">
        <f>F59 - G59</f>
        <v>0</v>
      </c>
      <c r="I59">
        <f>IF(ABS(H59)&gt;0.01, "Priority 3", "")</f>
        <v>0</v>
      </c>
    </row>
    <row r="60" spans="1:9">
      <c r="A60" t="s">
        <v>1057</v>
      </c>
      <c r="B60" t="s">
        <v>998</v>
      </c>
      <c r="C60" t="s">
        <v>999</v>
      </c>
      <c r="D60">
        <v>22.7</v>
      </c>
      <c r="E60">
        <v>40</v>
      </c>
      <c r="F60">
        <v>416</v>
      </c>
      <c r="G60">
        <f>MAX(ROUNDUP(D60, 0), E60) * IF(C60="COVERED", Parameters!$B$2, Parameters!$B$3)</f>
        <v>0</v>
      </c>
      <c r="H60">
        <f>F60 - G60</f>
        <v>0</v>
      </c>
      <c r="I60">
        <f>IF(ABS(H60)&gt;0.01, "Priority 3", "")</f>
        <v>0</v>
      </c>
    </row>
    <row r="61" spans="1:9">
      <c r="A61" t="s">
        <v>1058</v>
      </c>
      <c r="B61" t="s">
        <v>998</v>
      </c>
      <c r="C61" t="s">
        <v>999</v>
      </c>
      <c r="D61">
        <v>34.5</v>
      </c>
      <c r="E61">
        <v>32</v>
      </c>
      <c r="F61">
        <v>364</v>
      </c>
      <c r="G61">
        <f>MAX(ROUNDUP(D61, 0), E61) * IF(C61="COVERED", Parameters!$B$2, Parameters!$B$3)</f>
        <v>0</v>
      </c>
      <c r="H61">
        <f>F61 - G61</f>
        <v>0</v>
      </c>
      <c r="I61">
        <f>IF(ABS(H61)&gt;0.01, "Priority 3", "")</f>
        <v>0</v>
      </c>
    </row>
    <row r="62" spans="1:9">
      <c r="A62" t="s">
        <v>1059</v>
      </c>
      <c r="B62" t="s">
        <v>998</v>
      </c>
      <c r="C62" t="s">
        <v>999</v>
      </c>
      <c r="D62">
        <v>53.4</v>
      </c>
      <c r="E62">
        <v>24</v>
      </c>
      <c r="F62">
        <v>561.6</v>
      </c>
      <c r="G62">
        <f>MAX(ROUNDUP(D62, 0), E62) * IF(C62="COVERED", Parameters!$B$2, Parameters!$B$3)</f>
        <v>0</v>
      </c>
      <c r="H62">
        <f>F62 - G62</f>
        <v>0</v>
      </c>
      <c r="I62">
        <f>IF(ABS(H62)&gt;0.01, "Priority 3", "")</f>
        <v>0</v>
      </c>
    </row>
    <row r="63" spans="1:9">
      <c r="A63" t="s">
        <v>1060</v>
      </c>
      <c r="B63" t="s">
        <v>998</v>
      </c>
      <c r="C63" t="s">
        <v>999</v>
      </c>
      <c r="D63">
        <v>34.2</v>
      </c>
      <c r="E63">
        <v>28</v>
      </c>
      <c r="F63">
        <v>364</v>
      </c>
      <c r="G63">
        <f>MAX(ROUNDUP(D63, 0), E63) * IF(C63="COVERED", Parameters!$B$2, Parameters!$B$3)</f>
        <v>0</v>
      </c>
      <c r="H63">
        <f>F63 - G63</f>
        <v>0</v>
      </c>
      <c r="I63">
        <f>IF(ABS(H63)&gt;0.01, "Priority 3", "")</f>
        <v>0</v>
      </c>
    </row>
    <row r="64" spans="1:9">
      <c r="A64" t="s">
        <v>1061</v>
      </c>
      <c r="B64" t="s">
        <v>998</v>
      </c>
      <c r="C64" t="s">
        <v>999</v>
      </c>
      <c r="D64">
        <v>57.4</v>
      </c>
      <c r="E64">
        <v>24</v>
      </c>
      <c r="F64">
        <v>603.2</v>
      </c>
      <c r="G64">
        <f>MAX(ROUNDUP(D64, 0), E64) * IF(C64="COVERED", Parameters!$B$2, Parameters!$B$3)</f>
        <v>0</v>
      </c>
      <c r="H64">
        <f>F64 - G64</f>
        <v>0</v>
      </c>
      <c r="I64">
        <f>IF(ABS(H64)&gt;0.01, "Priority 3", "")</f>
        <v>0</v>
      </c>
    </row>
    <row r="65" spans="1:9">
      <c r="A65" t="s">
        <v>1062</v>
      </c>
      <c r="B65" t="s">
        <v>998</v>
      </c>
      <c r="C65" t="s">
        <v>999</v>
      </c>
      <c r="D65">
        <v>48.5</v>
      </c>
      <c r="E65">
        <v>24</v>
      </c>
      <c r="F65">
        <v>509.6</v>
      </c>
      <c r="G65">
        <f>MAX(ROUNDUP(D65, 0), E65) * IF(C65="COVERED", Parameters!$B$2, Parameters!$B$3)</f>
        <v>0</v>
      </c>
      <c r="H65">
        <f>F65 - G65</f>
        <v>0</v>
      </c>
      <c r="I65">
        <f>IF(ABS(H65)&gt;0.01, "Priority 3", "")</f>
        <v>0</v>
      </c>
    </row>
    <row r="66" spans="1:9">
      <c r="A66" t="s">
        <v>1063</v>
      </c>
      <c r="B66" t="s">
        <v>998</v>
      </c>
      <c r="C66" t="s">
        <v>999</v>
      </c>
      <c r="D66">
        <v>44.5</v>
      </c>
      <c r="E66">
        <v>32</v>
      </c>
      <c r="F66">
        <v>468</v>
      </c>
      <c r="G66">
        <f>MAX(ROUNDUP(D66, 0), E66) * IF(C66="COVERED", Parameters!$B$2, Parameters!$B$3)</f>
        <v>0</v>
      </c>
      <c r="H66">
        <f>F66 - G66</f>
        <v>0</v>
      </c>
      <c r="I66">
        <f>IF(ABS(H66)&gt;0.01, "Priority 3", "")</f>
        <v>0</v>
      </c>
    </row>
    <row r="67" spans="1:9">
      <c r="A67" t="s">
        <v>1064</v>
      </c>
      <c r="B67" t="s">
        <v>998</v>
      </c>
      <c r="C67" t="s">
        <v>999</v>
      </c>
      <c r="D67">
        <v>36.5</v>
      </c>
      <c r="E67">
        <v>28</v>
      </c>
      <c r="F67">
        <v>384.8</v>
      </c>
      <c r="G67">
        <f>MAX(ROUNDUP(D67, 0), E67) * IF(C67="COVERED", Parameters!$B$2, Parameters!$B$3)</f>
        <v>0</v>
      </c>
      <c r="H67">
        <f>F67 - G67</f>
        <v>0</v>
      </c>
      <c r="I67">
        <f>IF(ABS(H67)&gt;0.01, "Priority 3", "")</f>
        <v>0</v>
      </c>
    </row>
    <row r="68" spans="1:9">
      <c r="A68" t="s">
        <v>1065</v>
      </c>
      <c r="B68" t="s">
        <v>998</v>
      </c>
      <c r="C68" t="s">
        <v>999</v>
      </c>
      <c r="D68">
        <v>46.9</v>
      </c>
      <c r="E68">
        <v>24</v>
      </c>
      <c r="F68">
        <v>488.8</v>
      </c>
      <c r="G68">
        <f>MAX(ROUNDUP(D68, 0), E68) * IF(C68="COVERED", Parameters!$B$2, Parameters!$B$3)</f>
        <v>0</v>
      </c>
      <c r="H68">
        <f>F68 - G68</f>
        <v>0</v>
      </c>
      <c r="I68">
        <f>IF(ABS(H68)&gt;0.01, "Priority 3", "")</f>
        <v>0</v>
      </c>
    </row>
    <row r="69" spans="1:9">
      <c r="A69" t="s">
        <v>1066</v>
      </c>
      <c r="B69" t="s">
        <v>998</v>
      </c>
      <c r="C69" t="s">
        <v>999</v>
      </c>
      <c r="D69">
        <v>27.2</v>
      </c>
      <c r="E69">
        <v>24</v>
      </c>
      <c r="F69">
        <v>291.2</v>
      </c>
      <c r="G69">
        <f>MAX(ROUNDUP(D69, 0), E69) * IF(C69="COVERED", Parameters!$B$2, Parameters!$B$3)</f>
        <v>0</v>
      </c>
      <c r="H69">
        <f>F69 - G69</f>
        <v>0</v>
      </c>
      <c r="I69">
        <f>IF(ABS(H69)&gt;0.01, "Priority 3", "")</f>
        <v>0</v>
      </c>
    </row>
    <row r="70" spans="1:9">
      <c r="A70" t="s">
        <v>1067</v>
      </c>
      <c r="B70" t="s">
        <v>998</v>
      </c>
      <c r="C70" t="s">
        <v>999</v>
      </c>
      <c r="D70">
        <v>34.5</v>
      </c>
      <c r="E70">
        <v>24</v>
      </c>
      <c r="F70">
        <v>364</v>
      </c>
      <c r="G70">
        <f>MAX(ROUNDUP(D70, 0), E70) * IF(C70="COVERED", Parameters!$B$2, Parameters!$B$3)</f>
        <v>0</v>
      </c>
      <c r="H70">
        <f>F70 - G70</f>
        <v>0</v>
      </c>
      <c r="I70">
        <f>IF(ABS(H70)&gt;0.01, "Priority 3", "")</f>
        <v>0</v>
      </c>
    </row>
    <row r="71" spans="1:9">
      <c r="A71" t="s">
        <v>1068</v>
      </c>
      <c r="B71" t="s">
        <v>998</v>
      </c>
      <c r="C71" t="s">
        <v>999</v>
      </c>
      <c r="D71">
        <v>59.6</v>
      </c>
      <c r="E71">
        <v>24</v>
      </c>
      <c r="F71">
        <v>624</v>
      </c>
      <c r="G71">
        <f>MAX(ROUNDUP(D71, 0), E71) * IF(C71="COVERED", Parameters!$B$2, Parameters!$B$3)</f>
        <v>0</v>
      </c>
      <c r="H71">
        <f>F71 - G71</f>
        <v>0</v>
      </c>
      <c r="I71">
        <f>IF(ABS(H71)&gt;0.01, "Priority 3", "")</f>
        <v>0</v>
      </c>
    </row>
    <row r="72" spans="1:9">
      <c r="A72" t="s">
        <v>1069</v>
      </c>
      <c r="B72" t="s">
        <v>998</v>
      </c>
      <c r="C72" t="s">
        <v>999</v>
      </c>
      <c r="D72">
        <v>38.4</v>
      </c>
      <c r="E72">
        <v>28</v>
      </c>
      <c r="F72">
        <v>405.6</v>
      </c>
      <c r="G72">
        <f>MAX(ROUNDUP(D72, 0), E72) * IF(C72="COVERED", Parameters!$B$2, Parameters!$B$3)</f>
        <v>0</v>
      </c>
      <c r="H72">
        <f>F72 - G72</f>
        <v>0</v>
      </c>
      <c r="I72">
        <f>IF(ABS(H72)&gt;0.01, "Priority 3", "")</f>
        <v>0</v>
      </c>
    </row>
    <row r="73" spans="1:9">
      <c r="A73" t="s">
        <v>1070</v>
      </c>
      <c r="B73" t="s">
        <v>998</v>
      </c>
      <c r="C73" t="s">
        <v>999</v>
      </c>
      <c r="D73">
        <v>23.9</v>
      </c>
      <c r="E73">
        <v>40</v>
      </c>
      <c r="F73">
        <v>416</v>
      </c>
      <c r="G73">
        <f>MAX(ROUNDUP(D73, 0), E73) * IF(C73="COVERED", Parameters!$B$2, Parameters!$B$3)</f>
        <v>0</v>
      </c>
      <c r="H73">
        <f>F73 - G73</f>
        <v>0</v>
      </c>
      <c r="I73">
        <f>IF(ABS(H73)&gt;0.01, "Priority 3", "")</f>
        <v>0</v>
      </c>
    </row>
    <row r="74" spans="1:9">
      <c r="A74" t="s">
        <v>1071</v>
      </c>
      <c r="B74" t="s">
        <v>998</v>
      </c>
      <c r="C74" t="s">
        <v>999</v>
      </c>
      <c r="D74">
        <v>48.1</v>
      </c>
      <c r="E74">
        <v>32</v>
      </c>
      <c r="F74">
        <v>509.6</v>
      </c>
      <c r="G74">
        <f>MAX(ROUNDUP(D74, 0), E74) * IF(C74="COVERED", Parameters!$B$2, Parameters!$B$3)</f>
        <v>0</v>
      </c>
      <c r="H74">
        <f>F74 - G74</f>
        <v>0</v>
      </c>
      <c r="I74">
        <f>IF(ABS(H74)&gt;0.01, "Priority 3", "")</f>
        <v>0</v>
      </c>
    </row>
    <row r="75" spans="1:9">
      <c r="A75" t="s">
        <v>1072</v>
      </c>
      <c r="B75" t="s">
        <v>998</v>
      </c>
      <c r="C75" t="s">
        <v>999</v>
      </c>
      <c r="D75">
        <v>39.7</v>
      </c>
      <c r="E75">
        <v>24</v>
      </c>
      <c r="F75">
        <v>416</v>
      </c>
      <c r="G75">
        <f>MAX(ROUNDUP(D75, 0), E75) * IF(C75="COVERED", Parameters!$B$2, Parameters!$B$3)</f>
        <v>0</v>
      </c>
      <c r="H75">
        <f>F75 - G75</f>
        <v>0</v>
      </c>
      <c r="I75">
        <f>IF(ABS(H75)&gt;0.01, "Priority 3", "")</f>
        <v>0</v>
      </c>
    </row>
    <row r="76" spans="1:9">
      <c r="A76" t="s">
        <v>1073</v>
      </c>
      <c r="B76" t="s">
        <v>998</v>
      </c>
      <c r="C76" t="s">
        <v>999</v>
      </c>
      <c r="D76">
        <v>24.6</v>
      </c>
      <c r="E76">
        <v>24</v>
      </c>
      <c r="F76">
        <v>260</v>
      </c>
      <c r="G76">
        <f>MAX(ROUNDUP(D76, 0), E76) * IF(C76="COVERED", Parameters!$B$2, Parameters!$B$3)</f>
        <v>0</v>
      </c>
      <c r="H76">
        <f>F76 - G76</f>
        <v>0</v>
      </c>
      <c r="I76">
        <f>IF(ABS(H76)&gt;0.01, "Priority 3", "")</f>
        <v>0</v>
      </c>
    </row>
    <row r="77" spans="1:9">
      <c r="A77" t="s">
        <v>1074</v>
      </c>
      <c r="B77" t="s">
        <v>998</v>
      </c>
      <c r="C77" t="s">
        <v>999</v>
      </c>
      <c r="D77">
        <v>41.2</v>
      </c>
      <c r="E77">
        <v>32</v>
      </c>
      <c r="F77">
        <v>436.8</v>
      </c>
      <c r="G77">
        <f>MAX(ROUNDUP(D77, 0), E77) * IF(C77="COVERED", Parameters!$B$2, Parameters!$B$3)</f>
        <v>0</v>
      </c>
      <c r="H77">
        <f>F77 - G77</f>
        <v>0</v>
      </c>
      <c r="I77">
        <f>IF(ABS(H77)&gt;0.01, "Priority 3", "")</f>
        <v>0</v>
      </c>
    </row>
    <row r="78" spans="1:9">
      <c r="A78" t="s">
        <v>1075</v>
      </c>
      <c r="B78" t="s">
        <v>998</v>
      </c>
      <c r="C78" t="s">
        <v>999</v>
      </c>
      <c r="D78">
        <v>23.7</v>
      </c>
      <c r="E78">
        <v>28</v>
      </c>
      <c r="F78">
        <v>291.2</v>
      </c>
      <c r="G78">
        <f>MAX(ROUNDUP(D78, 0), E78) * IF(C78="COVERED", Parameters!$B$2, Parameters!$B$3)</f>
        <v>0</v>
      </c>
      <c r="H78">
        <f>F78 - G78</f>
        <v>0</v>
      </c>
      <c r="I78">
        <f>IF(ABS(H78)&gt;0.01, "Priority 3", "")</f>
        <v>0</v>
      </c>
    </row>
    <row r="79" spans="1:9">
      <c r="A79" t="s">
        <v>1076</v>
      </c>
      <c r="B79" t="s">
        <v>998</v>
      </c>
      <c r="C79" t="s">
        <v>999</v>
      </c>
      <c r="D79">
        <v>35.9</v>
      </c>
      <c r="E79">
        <v>24</v>
      </c>
      <c r="F79">
        <v>374.4</v>
      </c>
      <c r="G79">
        <f>MAX(ROUNDUP(D79, 0), E79) * IF(C79="COVERED", Parameters!$B$2, Parameters!$B$3)</f>
        <v>0</v>
      </c>
      <c r="H79">
        <f>F79 - G79</f>
        <v>0</v>
      </c>
      <c r="I79">
        <f>IF(ABS(H79)&gt;0.01, "Priority 3", "")</f>
        <v>0</v>
      </c>
    </row>
    <row r="80" spans="1:9">
      <c r="A80" t="s">
        <v>1077</v>
      </c>
      <c r="B80" t="s">
        <v>998</v>
      </c>
      <c r="C80" t="s">
        <v>999</v>
      </c>
      <c r="D80">
        <v>47.8</v>
      </c>
      <c r="E80">
        <v>24</v>
      </c>
      <c r="F80">
        <v>499.2</v>
      </c>
      <c r="G80">
        <f>MAX(ROUNDUP(D80, 0), E80) * IF(C80="COVERED", Parameters!$B$2, Parameters!$B$3)</f>
        <v>0</v>
      </c>
      <c r="H80">
        <f>F80 - G80</f>
        <v>0</v>
      </c>
      <c r="I80">
        <f>IF(ABS(H80)&gt;0.01, "Priority 3", "")</f>
        <v>0</v>
      </c>
    </row>
    <row r="81" spans="1:9">
      <c r="A81" t="s">
        <v>1078</v>
      </c>
      <c r="B81" t="s">
        <v>998</v>
      </c>
      <c r="C81" t="s">
        <v>999</v>
      </c>
      <c r="D81">
        <v>60.9</v>
      </c>
      <c r="E81">
        <v>40</v>
      </c>
      <c r="F81">
        <v>634.4</v>
      </c>
      <c r="G81">
        <f>MAX(ROUNDUP(D81, 0), E81) * IF(C81="COVERED", Parameters!$B$2, Parameters!$B$3)</f>
        <v>0</v>
      </c>
      <c r="H81">
        <f>F81 - G81</f>
        <v>0</v>
      </c>
      <c r="I81">
        <f>IF(ABS(H81)&gt;0.01, "Priority 3", "")</f>
        <v>0</v>
      </c>
    </row>
    <row r="82" spans="1:9">
      <c r="A82" t="s">
        <v>1079</v>
      </c>
      <c r="B82" t="s">
        <v>998</v>
      </c>
      <c r="C82" t="s">
        <v>999</v>
      </c>
      <c r="D82">
        <v>43.7</v>
      </c>
      <c r="E82">
        <v>24</v>
      </c>
      <c r="F82">
        <v>457.6</v>
      </c>
      <c r="G82">
        <f>MAX(ROUNDUP(D82, 0), E82) * IF(C82="COVERED", Parameters!$B$2, Parameters!$B$3)</f>
        <v>0</v>
      </c>
      <c r="H82">
        <f>F82 - G82</f>
        <v>0</v>
      </c>
      <c r="I82">
        <f>IF(ABS(H82)&gt;0.01, "Priority 3", "")</f>
        <v>0</v>
      </c>
    </row>
    <row r="83" spans="1:9">
      <c r="A83" t="s">
        <v>1080</v>
      </c>
      <c r="B83" t="s">
        <v>998</v>
      </c>
      <c r="C83" t="s">
        <v>999</v>
      </c>
      <c r="D83">
        <v>44.4</v>
      </c>
      <c r="E83">
        <v>24</v>
      </c>
      <c r="F83">
        <v>468</v>
      </c>
      <c r="G83">
        <f>MAX(ROUNDUP(D83, 0), E83) * IF(C83="COVERED", Parameters!$B$2, Parameters!$B$3)</f>
        <v>0</v>
      </c>
      <c r="H83">
        <f>F83 - G83</f>
        <v>0</v>
      </c>
      <c r="I83">
        <f>IF(ABS(H83)&gt;0.01, "Priority 3", "")</f>
        <v>0</v>
      </c>
    </row>
    <row r="84" spans="1:9">
      <c r="A84" t="s">
        <v>1081</v>
      </c>
      <c r="B84" t="s">
        <v>998</v>
      </c>
      <c r="C84" t="s">
        <v>999</v>
      </c>
      <c r="D84">
        <v>28.9</v>
      </c>
      <c r="E84">
        <v>36</v>
      </c>
      <c r="F84">
        <v>374.4</v>
      </c>
      <c r="G84">
        <f>MAX(ROUNDUP(D84, 0), E84) * IF(C84="COVERED", Parameters!$B$2, Parameters!$B$3)</f>
        <v>0</v>
      </c>
      <c r="H84">
        <f>F84 - G84</f>
        <v>0</v>
      </c>
      <c r="I84">
        <f>IF(ABS(H84)&gt;0.01, "Priority 3", "")</f>
        <v>0</v>
      </c>
    </row>
    <row r="85" spans="1:9">
      <c r="A85" t="s">
        <v>1082</v>
      </c>
      <c r="B85" t="s">
        <v>998</v>
      </c>
      <c r="C85" t="s">
        <v>999</v>
      </c>
      <c r="D85">
        <v>25.1</v>
      </c>
      <c r="E85">
        <v>28</v>
      </c>
      <c r="F85">
        <v>291.2</v>
      </c>
      <c r="G85">
        <f>MAX(ROUNDUP(D85, 0), E85) * IF(C85="COVERED", Parameters!$B$2, Parameters!$B$3)</f>
        <v>0</v>
      </c>
      <c r="H85">
        <f>F85 - G85</f>
        <v>0</v>
      </c>
      <c r="I85">
        <f>IF(ABS(H85)&gt;0.01, "Priority 3", "")</f>
        <v>0</v>
      </c>
    </row>
    <row r="86" spans="1:9">
      <c r="A86" t="s">
        <v>1083</v>
      </c>
      <c r="B86" t="s">
        <v>998</v>
      </c>
      <c r="C86" t="s">
        <v>999</v>
      </c>
      <c r="D86">
        <v>33.5</v>
      </c>
      <c r="E86">
        <v>32</v>
      </c>
      <c r="F86">
        <v>353.6</v>
      </c>
      <c r="G86">
        <f>MAX(ROUNDUP(D86, 0), E86) * IF(C86="COVERED", Parameters!$B$2, Parameters!$B$3)</f>
        <v>0</v>
      </c>
      <c r="H86">
        <f>F86 - G86</f>
        <v>0</v>
      </c>
      <c r="I86">
        <f>IF(ABS(H86)&gt;0.01, "Priority 3", "")</f>
        <v>0</v>
      </c>
    </row>
    <row r="87" spans="1:9">
      <c r="A87" t="s">
        <v>1084</v>
      </c>
      <c r="B87" t="s">
        <v>998</v>
      </c>
      <c r="C87" t="s">
        <v>999</v>
      </c>
      <c r="D87">
        <v>34.6</v>
      </c>
      <c r="E87">
        <v>40</v>
      </c>
      <c r="F87">
        <v>416</v>
      </c>
      <c r="G87">
        <f>MAX(ROUNDUP(D87, 0), E87) * IF(C87="COVERED", Parameters!$B$2, Parameters!$B$3)</f>
        <v>0</v>
      </c>
      <c r="H87">
        <f>F87 - G87</f>
        <v>0</v>
      </c>
      <c r="I87">
        <f>IF(ABS(H87)&gt;0.01, "Priority 3", "")</f>
        <v>0</v>
      </c>
    </row>
    <row r="88" spans="1:9">
      <c r="A88" t="s">
        <v>1085</v>
      </c>
      <c r="B88" t="s">
        <v>998</v>
      </c>
      <c r="C88" t="s">
        <v>999</v>
      </c>
      <c r="D88">
        <v>28.5</v>
      </c>
      <c r="E88">
        <v>28</v>
      </c>
      <c r="F88">
        <v>301.6</v>
      </c>
      <c r="G88">
        <f>MAX(ROUNDUP(D88, 0), E88) * IF(C88="COVERED", Parameters!$B$2, Parameters!$B$3)</f>
        <v>0</v>
      </c>
      <c r="H88">
        <f>F88 - G88</f>
        <v>0</v>
      </c>
      <c r="I88">
        <f>IF(ABS(H88)&gt;0.01, "Priority 3", "")</f>
        <v>0</v>
      </c>
    </row>
    <row r="89" spans="1:9">
      <c r="A89" t="s">
        <v>1086</v>
      </c>
      <c r="B89" t="s">
        <v>998</v>
      </c>
      <c r="C89" t="s">
        <v>999</v>
      </c>
      <c r="D89">
        <v>53.6</v>
      </c>
      <c r="E89">
        <v>32</v>
      </c>
      <c r="F89">
        <v>561.6</v>
      </c>
      <c r="G89">
        <f>MAX(ROUNDUP(D89, 0), E89) * IF(C89="COVERED", Parameters!$B$2, Parameters!$B$3)</f>
        <v>0</v>
      </c>
      <c r="H89">
        <f>F89 - G89</f>
        <v>0</v>
      </c>
      <c r="I89">
        <f>IF(ABS(H89)&gt;0.01, "Priority 3", "")</f>
        <v>0</v>
      </c>
    </row>
    <row r="90" spans="1:9">
      <c r="A90" t="s">
        <v>1087</v>
      </c>
      <c r="B90" t="s">
        <v>998</v>
      </c>
      <c r="C90" t="s">
        <v>999</v>
      </c>
      <c r="D90">
        <v>34</v>
      </c>
      <c r="E90">
        <v>24</v>
      </c>
      <c r="F90">
        <v>353.6</v>
      </c>
      <c r="G90">
        <f>MAX(ROUNDUP(D90, 0), E90) * IF(C90="COVERED", Parameters!$B$2, Parameters!$B$3)</f>
        <v>0</v>
      </c>
      <c r="H90">
        <f>F90 - G90</f>
        <v>0</v>
      </c>
      <c r="I90">
        <f>IF(ABS(H90)&gt;0.01, "Priority 3", "")</f>
        <v>0</v>
      </c>
    </row>
    <row r="91" spans="1:9">
      <c r="A91" t="s">
        <v>1088</v>
      </c>
      <c r="B91" t="s">
        <v>998</v>
      </c>
      <c r="C91" t="s">
        <v>999</v>
      </c>
      <c r="D91">
        <v>57.8</v>
      </c>
      <c r="E91">
        <v>28</v>
      </c>
      <c r="F91">
        <v>603.2</v>
      </c>
      <c r="G91">
        <f>MAX(ROUNDUP(D91, 0), E91) * IF(C91="COVERED", Parameters!$B$2, Parameters!$B$3)</f>
        <v>0</v>
      </c>
      <c r="H91">
        <f>F91 - G91</f>
        <v>0</v>
      </c>
      <c r="I91">
        <f>IF(ABS(H91)&gt;0.01, "Priority 3", "")</f>
        <v>0</v>
      </c>
    </row>
    <row r="92" spans="1:9">
      <c r="A92" t="s">
        <v>1089</v>
      </c>
      <c r="B92" t="s">
        <v>998</v>
      </c>
      <c r="C92" t="s">
        <v>999</v>
      </c>
      <c r="D92">
        <v>57.9</v>
      </c>
      <c r="E92">
        <v>28</v>
      </c>
      <c r="F92">
        <v>603.2</v>
      </c>
      <c r="G92">
        <f>MAX(ROUNDUP(D92, 0), E92) * IF(C92="COVERED", Parameters!$B$2, Parameters!$B$3)</f>
        <v>0</v>
      </c>
      <c r="H92">
        <f>F92 - G92</f>
        <v>0</v>
      </c>
      <c r="I92">
        <f>IF(ABS(H92)&gt;0.01, "Priority 3", "")</f>
        <v>0</v>
      </c>
    </row>
    <row r="93" spans="1:9">
      <c r="A93" t="s">
        <v>1090</v>
      </c>
      <c r="B93" t="s">
        <v>998</v>
      </c>
      <c r="C93" t="s">
        <v>999</v>
      </c>
      <c r="D93">
        <v>46.7</v>
      </c>
      <c r="E93">
        <v>24</v>
      </c>
      <c r="F93">
        <v>488.8</v>
      </c>
      <c r="G93">
        <f>MAX(ROUNDUP(D93, 0), E93) * IF(C93="COVERED", Parameters!$B$2, Parameters!$B$3)</f>
        <v>0</v>
      </c>
      <c r="H93">
        <f>F93 - G93</f>
        <v>0</v>
      </c>
      <c r="I93">
        <f>IF(ABS(H93)&gt;0.01, "Priority 3", "")</f>
        <v>0</v>
      </c>
    </row>
    <row r="94" spans="1:9">
      <c r="A94" t="s">
        <v>1091</v>
      </c>
      <c r="B94" t="s">
        <v>998</v>
      </c>
      <c r="C94" t="s">
        <v>999</v>
      </c>
      <c r="D94">
        <v>41</v>
      </c>
      <c r="E94">
        <v>32</v>
      </c>
      <c r="F94">
        <v>426.4</v>
      </c>
      <c r="G94">
        <f>MAX(ROUNDUP(D94, 0), E94) * IF(C94="COVERED", Parameters!$B$2, Parameters!$B$3)</f>
        <v>0</v>
      </c>
      <c r="H94">
        <f>F94 - G94</f>
        <v>0</v>
      </c>
      <c r="I94">
        <f>IF(ABS(H94)&gt;0.01, "Priority 3", "")</f>
        <v>0</v>
      </c>
    </row>
    <row r="95" spans="1:9">
      <c r="A95" t="s">
        <v>1092</v>
      </c>
      <c r="B95" t="s">
        <v>998</v>
      </c>
      <c r="C95" t="s">
        <v>999</v>
      </c>
      <c r="D95">
        <v>56.6</v>
      </c>
      <c r="E95">
        <v>24</v>
      </c>
      <c r="F95">
        <v>592.8</v>
      </c>
      <c r="G95">
        <f>MAX(ROUNDUP(D95, 0), E95) * IF(C95="COVERED", Parameters!$B$2, Parameters!$B$3)</f>
        <v>0</v>
      </c>
      <c r="H95">
        <f>F95 - G95</f>
        <v>0</v>
      </c>
      <c r="I95">
        <f>IF(ABS(H95)&gt;0.01, "Priority 3", "")</f>
        <v>0</v>
      </c>
    </row>
    <row r="96" spans="1:9">
      <c r="A96" t="s">
        <v>1093</v>
      </c>
      <c r="B96" t="s">
        <v>998</v>
      </c>
      <c r="C96" t="s">
        <v>999</v>
      </c>
      <c r="D96">
        <v>50</v>
      </c>
      <c r="E96">
        <v>32</v>
      </c>
      <c r="F96">
        <v>520</v>
      </c>
      <c r="G96">
        <f>MAX(ROUNDUP(D96, 0), E96) * IF(C96="COVERED", Parameters!$B$2, Parameters!$B$3)</f>
        <v>0</v>
      </c>
      <c r="H96">
        <f>F96 - G96</f>
        <v>0</v>
      </c>
      <c r="I96">
        <f>IF(ABS(H96)&gt;0.01, "Priority 3", "")</f>
        <v>0</v>
      </c>
    </row>
    <row r="97" spans="1:9">
      <c r="A97" t="s">
        <v>1094</v>
      </c>
      <c r="B97" t="s">
        <v>998</v>
      </c>
      <c r="C97" t="s">
        <v>999</v>
      </c>
      <c r="D97">
        <v>58.7</v>
      </c>
      <c r="E97">
        <v>36</v>
      </c>
      <c r="F97">
        <v>613.6</v>
      </c>
      <c r="G97">
        <f>MAX(ROUNDUP(D97, 0), E97) * IF(C97="COVERED", Parameters!$B$2, Parameters!$B$3)</f>
        <v>0</v>
      </c>
      <c r="H97">
        <f>F97 - G97</f>
        <v>0</v>
      </c>
      <c r="I97">
        <f>IF(ABS(H97)&gt;0.01, "Priority 3", "")</f>
        <v>0</v>
      </c>
    </row>
    <row r="98" spans="1:9">
      <c r="A98" t="s">
        <v>1095</v>
      </c>
      <c r="B98" t="s">
        <v>998</v>
      </c>
      <c r="C98" t="s">
        <v>999</v>
      </c>
      <c r="D98">
        <v>23.7</v>
      </c>
      <c r="E98">
        <v>40</v>
      </c>
      <c r="F98">
        <v>416</v>
      </c>
      <c r="G98">
        <f>MAX(ROUNDUP(D98, 0), E98) * IF(C98="COVERED", Parameters!$B$2, Parameters!$B$3)</f>
        <v>0</v>
      </c>
      <c r="H98">
        <f>F98 - G98</f>
        <v>0</v>
      </c>
      <c r="I98">
        <f>IF(ABS(H98)&gt;0.01, "Priority 3", "")</f>
        <v>0</v>
      </c>
    </row>
    <row r="99" spans="1:9">
      <c r="A99" t="s">
        <v>1096</v>
      </c>
      <c r="B99" t="s">
        <v>998</v>
      </c>
      <c r="C99" t="s">
        <v>999</v>
      </c>
      <c r="D99">
        <v>19</v>
      </c>
      <c r="E99">
        <v>40</v>
      </c>
      <c r="F99">
        <v>416</v>
      </c>
      <c r="G99">
        <f>MAX(ROUNDUP(D99, 0), E99) * IF(C99="COVERED", Parameters!$B$2, Parameters!$B$3)</f>
        <v>0</v>
      </c>
      <c r="H99">
        <f>F99 - G99</f>
        <v>0</v>
      </c>
      <c r="I99">
        <f>IF(ABS(H99)&gt;0.01, "Priority 3", "")</f>
        <v>0</v>
      </c>
    </row>
    <row r="100" spans="1:9">
      <c r="A100" t="s">
        <v>1097</v>
      </c>
      <c r="B100" t="s">
        <v>998</v>
      </c>
      <c r="C100" t="s">
        <v>999</v>
      </c>
      <c r="D100">
        <v>40.2</v>
      </c>
      <c r="E100">
        <v>24</v>
      </c>
      <c r="F100">
        <v>426.4</v>
      </c>
      <c r="G100">
        <f>MAX(ROUNDUP(D100, 0), E100) * IF(C100="COVERED", Parameters!$B$2, Parameters!$B$3)</f>
        <v>0</v>
      </c>
      <c r="H100">
        <f>F100 - G100</f>
        <v>0</v>
      </c>
      <c r="I100">
        <f>IF(ABS(H100)&gt;0.01, "Priority 3", "")</f>
        <v>0</v>
      </c>
    </row>
    <row r="101" spans="1:9">
      <c r="A101" t="s">
        <v>1098</v>
      </c>
      <c r="B101" t="s">
        <v>998</v>
      </c>
      <c r="C101" t="s">
        <v>999</v>
      </c>
      <c r="D101">
        <v>23.3</v>
      </c>
      <c r="E101">
        <v>28</v>
      </c>
      <c r="F101">
        <v>291.2</v>
      </c>
      <c r="G101">
        <f>MAX(ROUNDUP(D101, 0), E101) * IF(C101="COVERED", Parameters!$B$2, Parameters!$B$3)</f>
        <v>0</v>
      </c>
      <c r="H101">
        <f>F101 - G101</f>
        <v>0</v>
      </c>
      <c r="I101">
        <f>IF(ABS(H101)&gt;0.01, "Priority 3", "")</f>
        <v>0</v>
      </c>
    </row>
    <row r="102" spans="1:9">
      <c r="A102" t="s">
        <v>1099</v>
      </c>
      <c r="B102" t="s">
        <v>998</v>
      </c>
      <c r="C102" t="s">
        <v>999</v>
      </c>
      <c r="D102">
        <v>18.9</v>
      </c>
      <c r="E102">
        <v>40</v>
      </c>
      <c r="F102">
        <v>416</v>
      </c>
      <c r="G102">
        <f>MAX(ROUNDUP(D102, 0), E102) * IF(C102="COVERED", Parameters!$B$2, Parameters!$B$3)</f>
        <v>0</v>
      </c>
      <c r="H102">
        <f>F102 - G102</f>
        <v>0</v>
      </c>
      <c r="I102">
        <f>IF(ABS(H102)&gt;0.01, "Priority 3", "")</f>
        <v>0</v>
      </c>
    </row>
    <row r="103" spans="1:9">
      <c r="A103" t="s">
        <v>1100</v>
      </c>
      <c r="B103" t="s">
        <v>998</v>
      </c>
      <c r="C103" t="s">
        <v>999</v>
      </c>
      <c r="D103">
        <v>55</v>
      </c>
      <c r="E103">
        <v>36</v>
      </c>
      <c r="F103">
        <v>572</v>
      </c>
      <c r="G103">
        <f>MAX(ROUNDUP(D103, 0), E103) * IF(C103="COVERED", Parameters!$B$2, Parameters!$B$3)</f>
        <v>0</v>
      </c>
      <c r="H103">
        <f>F103 - G103</f>
        <v>0</v>
      </c>
      <c r="I103">
        <f>IF(ABS(H103)&gt;0.01, "Priority 3", "")</f>
        <v>0</v>
      </c>
    </row>
    <row r="104" spans="1:9">
      <c r="A104" t="s">
        <v>1101</v>
      </c>
      <c r="B104" t="s">
        <v>998</v>
      </c>
      <c r="C104" t="s">
        <v>999</v>
      </c>
      <c r="D104">
        <v>34.6</v>
      </c>
      <c r="E104">
        <v>36</v>
      </c>
      <c r="F104">
        <v>374.4</v>
      </c>
      <c r="G104">
        <f>MAX(ROUNDUP(D104, 0), E104) * IF(C104="COVERED", Parameters!$B$2, Parameters!$B$3)</f>
        <v>0</v>
      </c>
      <c r="H104">
        <f>F104 - G104</f>
        <v>0</v>
      </c>
      <c r="I104">
        <f>IF(ABS(H104)&gt;0.01, "Priority 3", "")</f>
        <v>0</v>
      </c>
    </row>
    <row r="105" spans="1:9">
      <c r="A105" t="s">
        <v>1102</v>
      </c>
      <c r="B105" t="s">
        <v>998</v>
      </c>
      <c r="C105" t="s">
        <v>999</v>
      </c>
      <c r="D105">
        <v>36.5</v>
      </c>
      <c r="E105">
        <v>32</v>
      </c>
      <c r="F105">
        <v>384.8</v>
      </c>
      <c r="G105">
        <f>MAX(ROUNDUP(D105, 0), E105) * IF(C105="COVERED", Parameters!$B$2, Parameters!$B$3)</f>
        <v>0</v>
      </c>
      <c r="H105">
        <f>F105 - G105</f>
        <v>0</v>
      </c>
      <c r="I105">
        <f>IF(ABS(H105)&gt;0.01, "Priority 3", "")</f>
        <v>0</v>
      </c>
    </row>
    <row r="106" spans="1:9">
      <c r="A106" t="s">
        <v>1103</v>
      </c>
      <c r="B106" t="s">
        <v>998</v>
      </c>
      <c r="C106" t="s">
        <v>999</v>
      </c>
      <c r="D106">
        <v>38.5</v>
      </c>
      <c r="E106">
        <v>32</v>
      </c>
      <c r="F106">
        <v>405.6</v>
      </c>
      <c r="G106">
        <f>MAX(ROUNDUP(D106, 0), E106) * IF(C106="COVERED", Parameters!$B$2, Parameters!$B$3)</f>
        <v>0</v>
      </c>
      <c r="H106">
        <f>F106 - G106</f>
        <v>0</v>
      </c>
      <c r="I106">
        <f>IF(ABS(H106)&gt;0.01, "Priority 3", "")</f>
        <v>0</v>
      </c>
    </row>
    <row r="107" spans="1:9">
      <c r="A107" t="s">
        <v>1104</v>
      </c>
      <c r="B107" t="s">
        <v>998</v>
      </c>
      <c r="C107" t="s">
        <v>999</v>
      </c>
      <c r="D107">
        <v>39.5</v>
      </c>
      <c r="E107">
        <v>40</v>
      </c>
      <c r="F107">
        <v>416</v>
      </c>
      <c r="G107">
        <f>MAX(ROUNDUP(D107, 0), E107) * IF(C107="COVERED", Parameters!$B$2, Parameters!$B$3)</f>
        <v>0</v>
      </c>
      <c r="H107">
        <f>F107 - G107</f>
        <v>0</v>
      </c>
      <c r="I107">
        <f>IF(ABS(H107)&gt;0.01, "Priority 3", "")</f>
        <v>0</v>
      </c>
    </row>
    <row r="108" spans="1:9">
      <c r="A108" t="s">
        <v>1105</v>
      </c>
      <c r="B108" t="s">
        <v>998</v>
      </c>
      <c r="C108" t="s">
        <v>999</v>
      </c>
      <c r="D108">
        <v>60.6</v>
      </c>
      <c r="E108">
        <v>40</v>
      </c>
      <c r="F108">
        <v>634.4</v>
      </c>
      <c r="G108">
        <f>MAX(ROUNDUP(D108, 0), E108) * IF(C108="COVERED", Parameters!$B$2, Parameters!$B$3)</f>
        <v>0</v>
      </c>
      <c r="H108">
        <f>F108 - G108</f>
        <v>0</v>
      </c>
      <c r="I108">
        <f>IF(ABS(H108)&gt;0.01, "Priority 3", "")</f>
        <v>0</v>
      </c>
    </row>
    <row r="109" spans="1:9">
      <c r="A109" t="s">
        <v>1106</v>
      </c>
      <c r="B109" t="s">
        <v>998</v>
      </c>
      <c r="C109" t="s">
        <v>999</v>
      </c>
      <c r="D109">
        <v>24.2</v>
      </c>
      <c r="E109">
        <v>24</v>
      </c>
      <c r="F109">
        <v>260</v>
      </c>
      <c r="G109">
        <f>MAX(ROUNDUP(D109, 0), E109) * IF(C109="COVERED", Parameters!$B$2, Parameters!$B$3)</f>
        <v>0</v>
      </c>
      <c r="H109">
        <f>F109 - G109</f>
        <v>0</v>
      </c>
      <c r="I109">
        <f>IF(ABS(H109)&gt;0.01, "Priority 3", "")</f>
        <v>0</v>
      </c>
    </row>
    <row r="110" spans="1:9">
      <c r="A110" t="s">
        <v>1107</v>
      </c>
      <c r="B110" t="s">
        <v>998</v>
      </c>
      <c r="C110" t="s">
        <v>999</v>
      </c>
      <c r="D110">
        <v>24.6</v>
      </c>
      <c r="E110">
        <v>28</v>
      </c>
      <c r="F110">
        <v>291.2</v>
      </c>
      <c r="G110">
        <f>MAX(ROUNDUP(D110, 0), E110) * IF(C110="COVERED", Parameters!$B$2, Parameters!$B$3)</f>
        <v>0</v>
      </c>
      <c r="H110">
        <f>F110 - G110</f>
        <v>0</v>
      </c>
      <c r="I110">
        <f>IF(ABS(H110)&gt;0.01, "Priority 3", "")</f>
        <v>0</v>
      </c>
    </row>
    <row r="111" spans="1:9">
      <c r="A111" t="s">
        <v>1108</v>
      </c>
      <c r="B111" t="s">
        <v>998</v>
      </c>
      <c r="C111" t="s">
        <v>999</v>
      </c>
      <c r="D111">
        <v>29.3</v>
      </c>
      <c r="E111">
        <v>24</v>
      </c>
      <c r="F111">
        <v>312</v>
      </c>
      <c r="G111">
        <f>MAX(ROUNDUP(D111, 0), E111) * IF(C111="COVERED", Parameters!$B$2, Parameters!$B$3)</f>
        <v>0</v>
      </c>
      <c r="H111">
        <f>F111 - G111</f>
        <v>0</v>
      </c>
      <c r="I111">
        <f>IF(ABS(H111)&gt;0.01, "Priority 3", "")</f>
        <v>0</v>
      </c>
    </row>
    <row r="112" spans="1:9">
      <c r="A112" t="s">
        <v>1109</v>
      </c>
      <c r="B112" t="s">
        <v>998</v>
      </c>
      <c r="C112" t="s">
        <v>999</v>
      </c>
      <c r="D112">
        <v>57.7</v>
      </c>
      <c r="E112">
        <v>36</v>
      </c>
      <c r="F112">
        <v>603.2</v>
      </c>
      <c r="G112">
        <f>MAX(ROUNDUP(D112, 0), E112) * IF(C112="COVERED", Parameters!$B$2, Parameters!$B$3)</f>
        <v>0</v>
      </c>
      <c r="H112">
        <f>F112 - G112</f>
        <v>0</v>
      </c>
      <c r="I112">
        <f>IF(ABS(H112)&gt;0.01, "Priority 3", "")</f>
        <v>0</v>
      </c>
    </row>
    <row r="113" spans="1:9">
      <c r="A113" t="s">
        <v>1110</v>
      </c>
      <c r="B113" t="s">
        <v>998</v>
      </c>
      <c r="C113" t="s">
        <v>999</v>
      </c>
      <c r="D113">
        <v>32.2</v>
      </c>
      <c r="E113">
        <v>28</v>
      </c>
      <c r="F113">
        <v>343.2</v>
      </c>
      <c r="G113">
        <f>MAX(ROUNDUP(D113, 0), E113) * IF(C113="COVERED", Parameters!$B$2, Parameters!$B$3)</f>
        <v>0</v>
      </c>
      <c r="H113">
        <f>F113 - G113</f>
        <v>0</v>
      </c>
      <c r="I113">
        <f>IF(ABS(H113)&gt;0.01, "Priority 3", "")</f>
        <v>0</v>
      </c>
    </row>
    <row r="114" spans="1:9">
      <c r="A114" t="s">
        <v>1111</v>
      </c>
      <c r="B114" t="s">
        <v>998</v>
      </c>
      <c r="C114" t="s">
        <v>999</v>
      </c>
      <c r="D114">
        <v>51</v>
      </c>
      <c r="E114">
        <v>40</v>
      </c>
      <c r="F114">
        <v>530.4</v>
      </c>
      <c r="G114">
        <f>MAX(ROUNDUP(D114, 0), E114) * IF(C114="COVERED", Parameters!$B$2, Parameters!$B$3)</f>
        <v>0</v>
      </c>
      <c r="H114">
        <f>F114 - G114</f>
        <v>0</v>
      </c>
      <c r="I114">
        <f>IF(ABS(H114)&gt;0.01, "Priority 3", "")</f>
        <v>0</v>
      </c>
    </row>
    <row r="115" spans="1:9">
      <c r="A115" t="s">
        <v>1112</v>
      </c>
      <c r="B115" t="s">
        <v>998</v>
      </c>
      <c r="C115" t="s">
        <v>999</v>
      </c>
      <c r="D115">
        <v>50.9</v>
      </c>
      <c r="E115">
        <v>24</v>
      </c>
      <c r="F115">
        <v>530.4</v>
      </c>
      <c r="G115">
        <f>MAX(ROUNDUP(D115, 0), E115) * IF(C115="COVERED", Parameters!$B$2, Parameters!$B$3)</f>
        <v>0</v>
      </c>
      <c r="H115">
        <f>F115 - G115</f>
        <v>0</v>
      </c>
      <c r="I115">
        <f>IF(ABS(H115)&gt;0.01, "Priority 3", "")</f>
        <v>0</v>
      </c>
    </row>
    <row r="116" spans="1:9">
      <c r="A116" t="s">
        <v>1113</v>
      </c>
      <c r="B116" t="s">
        <v>998</v>
      </c>
      <c r="C116" t="s">
        <v>999</v>
      </c>
      <c r="D116">
        <v>61.2</v>
      </c>
      <c r="E116">
        <v>24</v>
      </c>
      <c r="F116">
        <v>644.8</v>
      </c>
      <c r="G116">
        <f>MAX(ROUNDUP(D116, 0), E116) * IF(C116="COVERED", Parameters!$B$2, Parameters!$B$3)</f>
        <v>0</v>
      </c>
      <c r="H116">
        <f>F116 - G116</f>
        <v>0</v>
      </c>
      <c r="I116">
        <f>IF(ABS(H116)&gt;0.01, "Priority 3", "")</f>
        <v>0</v>
      </c>
    </row>
    <row r="117" spans="1:9">
      <c r="A117" t="s">
        <v>1114</v>
      </c>
      <c r="B117" t="s">
        <v>998</v>
      </c>
      <c r="C117" t="s">
        <v>999</v>
      </c>
      <c r="D117">
        <v>30.7</v>
      </c>
      <c r="E117">
        <v>40</v>
      </c>
      <c r="F117">
        <v>416</v>
      </c>
      <c r="G117">
        <f>MAX(ROUNDUP(D117, 0), E117) * IF(C117="COVERED", Parameters!$B$2, Parameters!$B$3)</f>
        <v>0</v>
      </c>
      <c r="H117">
        <f>F117 - G117</f>
        <v>0</v>
      </c>
      <c r="I117">
        <f>IF(ABS(H117)&gt;0.01, "Priority 3", "")</f>
        <v>0</v>
      </c>
    </row>
    <row r="118" spans="1:9">
      <c r="A118" t="s">
        <v>1115</v>
      </c>
      <c r="B118" t="s">
        <v>998</v>
      </c>
      <c r="C118" t="s">
        <v>999</v>
      </c>
      <c r="D118">
        <v>22.6</v>
      </c>
      <c r="E118">
        <v>28</v>
      </c>
      <c r="F118">
        <v>291.2</v>
      </c>
      <c r="G118">
        <f>MAX(ROUNDUP(D118, 0), E118) * IF(C118="COVERED", Parameters!$B$2, Parameters!$B$3)</f>
        <v>0</v>
      </c>
      <c r="H118">
        <f>F118 - G118</f>
        <v>0</v>
      </c>
      <c r="I118">
        <f>IF(ABS(H118)&gt;0.01, "Priority 3", "")</f>
        <v>0</v>
      </c>
    </row>
    <row r="119" spans="1:9">
      <c r="A119" t="s">
        <v>1116</v>
      </c>
      <c r="B119" t="s">
        <v>998</v>
      </c>
      <c r="C119" t="s">
        <v>999</v>
      </c>
      <c r="D119">
        <v>37.3</v>
      </c>
      <c r="E119">
        <v>24</v>
      </c>
      <c r="F119">
        <v>395.2</v>
      </c>
      <c r="G119">
        <f>MAX(ROUNDUP(D119, 0), E119) * IF(C119="COVERED", Parameters!$B$2, Parameters!$B$3)</f>
        <v>0</v>
      </c>
      <c r="H119">
        <f>F119 - G119</f>
        <v>0</v>
      </c>
      <c r="I119">
        <f>IF(ABS(H119)&gt;0.01, "Priority 3", "")</f>
        <v>0</v>
      </c>
    </row>
    <row r="120" spans="1:9">
      <c r="A120" t="s">
        <v>1117</v>
      </c>
      <c r="B120" t="s">
        <v>998</v>
      </c>
      <c r="C120" t="s">
        <v>999</v>
      </c>
      <c r="D120">
        <v>34.5</v>
      </c>
      <c r="E120">
        <v>28</v>
      </c>
      <c r="F120">
        <v>364</v>
      </c>
      <c r="G120">
        <f>MAX(ROUNDUP(D120, 0), E120) * IF(C120="COVERED", Parameters!$B$2, Parameters!$B$3)</f>
        <v>0</v>
      </c>
      <c r="H120">
        <f>F120 - G120</f>
        <v>0</v>
      </c>
      <c r="I120">
        <f>IF(ABS(H120)&gt;0.01, "Priority 3", "")</f>
        <v>0</v>
      </c>
    </row>
    <row r="121" spans="1:9">
      <c r="A121" t="s">
        <v>1118</v>
      </c>
      <c r="B121" t="s">
        <v>998</v>
      </c>
      <c r="C121" t="s">
        <v>999</v>
      </c>
      <c r="D121">
        <v>60.7</v>
      </c>
      <c r="E121">
        <v>24</v>
      </c>
      <c r="F121">
        <v>634.4</v>
      </c>
      <c r="G121">
        <f>MAX(ROUNDUP(D121, 0), E121) * IF(C121="COVERED", Parameters!$B$2, Parameters!$B$3)</f>
        <v>0</v>
      </c>
      <c r="H121">
        <f>F121 - G121</f>
        <v>0</v>
      </c>
      <c r="I121">
        <f>IF(ABS(H121)&gt;0.01, "Priority 3", "")</f>
        <v>0</v>
      </c>
    </row>
    <row r="122" spans="1:9">
      <c r="A122" t="s">
        <v>1119</v>
      </c>
      <c r="B122" t="s">
        <v>998</v>
      </c>
      <c r="C122" t="s">
        <v>999</v>
      </c>
      <c r="D122">
        <v>18.6</v>
      </c>
      <c r="E122">
        <v>32</v>
      </c>
      <c r="F122">
        <v>332.8</v>
      </c>
      <c r="G122">
        <f>MAX(ROUNDUP(D122, 0), E122) * IF(C122="COVERED", Parameters!$B$2, Parameters!$B$3)</f>
        <v>0</v>
      </c>
      <c r="H122">
        <f>F122 - G122</f>
        <v>0</v>
      </c>
      <c r="I122">
        <f>IF(ABS(H122)&gt;0.01, "Priority 3", "")</f>
        <v>0</v>
      </c>
    </row>
    <row r="123" spans="1:9">
      <c r="A123" t="s">
        <v>1120</v>
      </c>
      <c r="B123" t="s">
        <v>998</v>
      </c>
      <c r="C123" t="s">
        <v>999</v>
      </c>
      <c r="D123">
        <v>52.8</v>
      </c>
      <c r="E123">
        <v>24</v>
      </c>
      <c r="F123">
        <v>551.2</v>
      </c>
      <c r="G123">
        <f>MAX(ROUNDUP(D123, 0), E123) * IF(C123="COVERED", Parameters!$B$2, Parameters!$B$3)</f>
        <v>0</v>
      </c>
      <c r="H123">
        <f>F123 - G123</f>
        <v>0</v>
      </c>
      <c r="I123">
        <f>IF(ABS(H123)&gt;0.01, "Priority 3", "")</f>
        <v>0</v>
      </c>
    </row>
    <row r="124" spans="1:9">
      <c r="A124" t="s">
        <v>1121</v>
      </c>
      <c r="B124" t="s">
        <v>998</v>
      </c>
      <c r="C124" t="s">
        <v>999</v>
      </c>
      <c r="D124">
        <v>18.7</v>
      </c>
      <c r="E124">
        <v>28</v>
      </c>
      <c r="F124">
        <v>291.2</v>
      </c>
      <c r="G124">
        <f>MAX(ROUNDUP(D124, 0), E124) * IF(C124="COVERED", Parameters!$B$2, Parameters!$B$3)</f>
        <v>0</v>
      </c>
      <c r="H124">
        <f>F124 - G124</f>
        <v>0</v>
      </c>
      <c r="I124">
        <f>IF(ABS(H124)&gt;0.01, "Priority 3", "")</f>
        <v>0</v>
      </c>
    </row>
    <row r="125" spans="1:9">
      <c r="A125" t="s">
        <v>1122</v>
      </c>
      <c r="B125" t="s">
        <v>998</v>
      </c>
      <c r="C125" t="s">
        <v>999</v>
      </c>
      <c r="D125">
        <v>37.5</v>
      </c>
      <c r="E125">
        <v>36</v>
      </c>
      <c r="F125">
        <v>395.2</v>
      </c>
      <c r="G125">
        <f>MAX(ROUNDUP(D125, 0), E125) * IF(C125="COVERED", Parameters!$B$2, Parameters!$B$3)</f>
        <v>0</v>
      </c>
      <c r="H125">
        <f>F125 - G125</f>
        <v>0</v>
      </c>
      <c r="I125">
        <f>IF(ABS(H125)&gt;0.01, "Priority 3", "")</f>
        <v>0</v>
      </c>
    </row>
    <row r="126" spans="1:9">
      <c r="A126" t="s">
        <v>1123</v>
      </c>
      <c r="B126" t="s">
        <v>998</v>
      </c>
      <c r="C126" t="s">
        <v>999</v>
      </c>
      <c r="D126">
        <v>51.4</v>
      </c>
      <c r="E126">
        <v>24</v>
      </c>
      <c r="F126">
        <v>540.8</v>
      </c>
      <c r="G126">
        <f>MAX(ROUNDUP(D126, 0), E126) * IF(C126="COVERED", Parameters!$B$2, Parameters!$B$3)</f>
        <v>0</v>
      </c>
      <c r="H126">
        <f>F126 - G126</f>
        <v>0</v>
      </c>
      <c r="I126">
        <f>IF(ABS(H126)&gt;0.01, "Priority 3", "")</f>
        <v>0</v>
      </c>
    </row>
    <row r="127" spans="1:9">
      <c r="A127" t="s">
        <v>1124</v>
      </c>
      <c r="B127" t="s">
        <v>998</v>
      </c>
      <c r="C127" t="s">
        <v>999</v>
      </c>
      <c r="D127">
        <v>35.6</v>
      </c>
      <c r="E127">
        <v>28</v>
      </c>
      <c r="F127">
        <v>374.4</v>
      </c>
      <c r="G127">
        <f>MAX(ROUNDUP(D127, 0), E127) * IF(C127="COVERED", Parameters!$B$2, Parameters!$B$3)</f>
        <v>0</v>
      </c>
      <c r="H127">
        <f>F127 - G127</f>
        <v>0</v>
      </c>
      <c r="I127">
        <f>IF(ABS(H127)&gt;0.01, "Priority 3", "")</f>
        <v>0</v>
      </c>
    </row>
    <row r="128" spans="1:9">
      <c r="A128" t="s">
        <v>1125</v>
      </c>
      <c r="B128" t="s">
        <v>998</v>
      </c>
      <c r="C128" t="s">
        <v>999</v>
      </c>
      <c r="D128">
        <v>30.1</v>
      </c>
      <c r="E128">
        <v>32</v>
      </c>
      <c r="F128">
        <v>332.8</v>
      </c>
      <c r="G128">
        <f>MAX(ROUNDUP(D128, 0), E128) * IF(C128="COVERED", Parameters!$B$2, Parameters!$B$3)</f>
        <v>0</v>
      </c>
      <c r="H128">
        <f>F128 - G128</f>
        <v>0</v>
      </c>
      <c r="I128">
        <f>IF(ABS(H128)&gt;0.01, "Priority 3", "")</f>
        <v>0</v>
      </c>
    </row>
    <row r="129" spans="1:9">
      <c r="A129" t="s">
        <v>1126</v>
      </c>
      <c r="B129" t="s">
        <v>998</v>
      </c>
      <c r="C129" t="s">
        <v>999</v>
      </c>
      <c r="D129">
        <v>40.5</v>
      </c>
      <c r="E129">
        <v>32</v>
      </c>
      <c r="F129">
        <v>426.4</v>
      </c>
      <c r="G129">
        <f>MAX(ROUNDUP(D129, 0), E129) * IF(C129="COVERED", Parameters!$B$2, Parameters!$B$3)</f>
        <v>0</v>
      </c>
      <c r="H129">
        <f>F129 - G129</f>
        <v>0</v>
      </c>
      <c r="I129">
        <f>IF(ABS(H129)&gt;0.01, "Priority 3", "")</f>
        <v>0</v>
      </c>
    </row>
    <row r="130" spans="1:9">
      <c r="A130" t="s">
        <v>1127</v>
      </c>
      <c r="B130" t="s">
        <v>998</v>
      </c>
      <c r="C130" t="s">
        <v>999</v>
      </c>
      <c r="D130">
        <v>22</v>
      </c>
      <c r="E130">
        <v>40</v>
      </c>
      <c r="F130">
        <v>416</v>
      </c>
      <c r="G130">
        <f>MAX(ROUNDUP(D130, 0), E130) * IF(C130="COVERED", Parameters!$B$2, Parameters!$B$3)</f>
        <v>0</v>
      </c>
      <c r="H130">
        <f>F130 - G130</f>
        <v>0</v>
      </c>
      <c r="I130">
        <f>IF(ABS(H130)&gt;0.01, "Priority 3", "")</f>
        <v>0</v>
      </c>
    </row>
    <row r="131" spans="1:9">
      <c r="A131" t="s">
        <v>1128</v>
      </c>
      <c r="B131" t="s">
        <v>998</v>
      </c>
      <c r="C131" t="s">
        <v>999</v>
      </c>
      <c r="D131">
        <v>39.4</v>
      </c>
      <c r="E131">
        <v>32</v>
      </c>
      <c r="F131">
        <v>416</v>
      </c>
      <c r="G131">
        <f>MAX(ROUNDUP(D131, 0), E131) * IF(C131="COVERED", Parameters!$B$2, Parameters!$B$3)</f>
        <v>0</v>
      </c>
      <c r="H131">
        <f>F131 - G131</f>
        <v>0</v>
      </c>
      <c r="I131">
        <f>IF(ABS(H131)&gt;0.01, "Priority 3", "")</f>
        <v>0</v>
      </c>
    </row>
    <row r="132" spans="1:9">
      <c r="A132" t="s">
        <v>1129</v>
      </c>
      <c r="B132" t="s">
        <v>998</v>
      </c>
      <c r="C132" t="s">
        <v>999</v>
      </c>
      <c r="D132">
        <v>53.9</v>
      </c>
      <c r="E132">
        <v>32</v>
      </c>
      <c r="F132">
        <v>561.6</v>
      </c>
      <c r="G132">
        <f>MAX(ROUNDUP(D132, 0), E132) * IF(C132="COVERED", Parameters!$B$2, Parameters!$B$3)</f>
        <v>0</v>
      </c>
      <c r="H132">
        <f>F132 - G132</f>
        <v>0</v>
      </c>
      <c r="I132">
        <f>IF(ABS(H132)&gt;0.01, "Priority 3", "")</f>
        <v>0</v>
      </c>
    </row>
    <row r="133" spans="1:9">
      <c r="A133" t="s">
        <v>1130</v>
      </c>
      <c r="B133" t="s">
        <v>998</v>
      </c>
      <c r="C133" t="s">
        <v>999</v>
      </c>
      <c r="D133">
        <v>49.8</v>
      </c>
      <c r="E133">
        <v>40</v>
      </c>
      <c r="F133">
        <v>520</v>
      </c>
      <c r="G133">
        <f>MAX(ROUNDUP(D133, 0), E133) * IF(C133="COVERED", Parameters!$B$2, Parameters!$B$3)</f>
        <v>0</v>
      </c>
      <c r="H133">
        <f>F133 - G133</f>
        <v>0</v>
      </c>
      <c r="I133">
        <f>IF(ABS(H133)&gt;0.01, "Priority 3", "")</f>
        <v>0</v>
      </c>
    </row>
    <row r="134" spans="1:9">
      <c r="A134" t="s">
        <v>1131</v>
      </c>
      <c r="B134" t="s">
        <v>998</v>
      </c>
      <c r="C134" t="s">
        <v>999</v>
      </c>
      <c r="D134">
        <v>43.4</v>
      </c>
      <c r="E134">
        <v>24</v>
      </c>
      <c r="F134">
        <v>457.6</v>
      </c>
      <c r="G134">
        <f>MAX(ROUNDUP(D134, 0), E134) * IF(C134="COVERED", Parameters!$B$2, Parameters!$B$3)</f>
        <v>0</v>
      </c>
      <c r="H134">
        <f>F134 - G134</f>
        <v>0</v>
      </c>
      <c r="I134">
        <f>IF(ABS(H134)&gt;0.01, "Priority 3", "")</f>
        <v>0</v>
      </c>
    </row>
    <row r="135" spans="1:9">
      <c r="A135" t="s">
        <v>1132</v>
      </c>
      <c r="B135" t="s">
        <v>998</v>
      </c>
      <c r="C135" t="s">
        <v>999</v>
      </c>
      <c r="D135">
        <v>51.4</v>
      </c>
      <c r="E135">
        <v>32</v>
      </c>
      <c r="F135">
        <v>540.8</v>
      </c>
      <c r="G135">
        <f>MAX(ROUNDUP(D135, 0), E135) * IF(C135="COVERED", Parameters!$B$2, Parameters!$B$3)</f>
        <v>0</v>
      </c>
      <c r="H135">
        <f>F135 - G135</f>
        <v>0</v>
      </c>
      <c r="I135">
        <f>IF(ABS(H135)&gt;0.01, "Priority 3", "")</f>
        <v>0</v>
      </c>
    </row>
    <row r="136" spans="1:9">
      <c r="A136" t="s">
        <v>1133</v>
      </c>
      <c r="B136" t="s">
        <v>998</v>
      </c>
      <c r="C136" t="s">
        <v>999</v>
      </c>
      <c r="D136">
        <v>58.9</v>
      </c>
      <c r="E136">
        <v>40</v>
      </c>
      <c r="F136">
        <v>613.6</v>
      </c>
      <c r="G136">
        <f>MAX(ROUNDUP(D136, 0), E136) * IF(C136="COVERED", Parameters!$B$2, Parameters!$B$3)</f>
        <v>0</v>
      </c>
      <c r="H136">
        <f>F136 - G136</f>
        <v>0</v>
      </c>
      <c r="I136">
        <f>IF(ABS(H136)&gt;0.01, "Priority 3", "")</f>
        <v>0</v>
      </c>
    </row>
    <row r="137" spans="1:9">
      <c r="A137" t="s">
        <v>1134</v>
      </c>
      <c r="B137" t="s">
        <v>998</v>
      </c>
      <c r="C137" t="s">
        <v>999</v>
      </c>
      <c r="D137">
        <v>52.4</v>
      </c>
      <c r="E137">
        <v>28</v>
      </c>
      <c r="F137">
        <v>551.2</v>
      </c>
      <c r="G137">
        <f>MAX(ROUNDUP(D137, 0), E137) * IF(C137="COVERED", Parameters!$B$2, Parameters!$B$3)</f>
        <v>0</v>
      </c>
      <c r="H137">
        <f>F137 - G137</f>
        <v>0</v>
      </c>
      <c r="I137">
        <f>IF(ABS(H137)&gt;0.01, "Priority 3", "")</f>
        <v>0</v>
      </c>
    </row>
    <row r="138" spans="1:9">
      <c r="A138" t="s">
        <v>1135</v>
      </c>
      <c r="B138" t="s">
        <v>998</v>
      </c>
      <c r="C138" t="s">
        <v>999</v>
      </c>
      <c r="D138">
        <v>43.6</v>
      </c>
      <c r="E138">
        <v>24</v>
      </c>
      <c r="F138">
        <v>457.6</v>
      </c>
      <c r="G138">
        <f>MAX(ROUNDUP(D138, 0), E138) * IF(C138="COVERED", Parameters!$B$2, Parameters!$B$3)</f>
        <v>0</v>
      </c>
      <c r="H138">
        <f>F138 - G138</f>
        <v>0</v>
      </c>
      <c r="I138">
        <f>IF(ABS(H138)&gt;0.01, "Priority 3", "")</f>
        <v>0</v>
      </c>
    </row>
    <row r="139" spans="1:9">
      <c r="A139" t="s">
        <v>1136</v>
      </c>
      <c r="B139" t="s">
        <v>998</v>
      </c>
      <c r="C139" t="s">
        <v>999</v>
      </c>
      <c r="D139">
        <v>43.6</v>
      </c>
      <c r="E139">
        <v>28</v>
      </c>
      <c r="F139">
        <v>457.6</v>
      </c>
      <c r="G139">
        <f>MAX(ROUNDUP(D139, 0), E139) * IF(C139="COVERED", Parameters!$B$2, Parameters!$B$3)</f>
        <v>0</v>
      </c>
      <c r="H139">
        <f>F139 - G139</f>
        <v>0</v>
      </c>
      <c r="I139">
        <f>IF(ABS(H139)&gt;0.01, "Priority 3", "")</f>
        <v>0</v>
      </c>
    </row>
    <row r="140" spans="1:9">
      <c r="A140" t="s">
        <v>1137</v>
      </c>
      <c r="B140" t="s">
        <v>998</v>
      </c>
      <c r="C140" t="s">
        <v>999</v>
      </c>
      <c r="D140">
        <v>45.6</v>
      </c>
      <c r="E140">
        <v>28</v>
      </c>
      <c r="F140">
        <v>478.4</v>
      </c>
      <c r="G140">
        <f>MAX(ROUNDUP(D140, 0), E140) * IF(C140="COVERED", Parameters!$B$2, Parameters!$B$3)</f>
        <v>0</v>
      </c>
      <c r="H140">
        <f>F140 - G140</f>
        <v>0</v>
      </c>
      <c r="I140">
        <f>IF(ABS(H140)&gt;0.01, "Priority 3", "")</f>
        <v>0</v>
      </c>
    </row>
    <row r="141" spans="1:9">
      <c r="A141" t="s">
        <v>1138</v>
      </c>
      <c r="B141" t="s">
        <v>998</v>
      </c>
      <c r="C141" t="s">
        <v>999</v>
      </c>
      <c r="D141">
        <v>43.3</v>
      </c>
      <c r="E141">
        <v>32</v>
      </c>
      <c r="F141">
        <v>457.6</v>
      </c>
      <c r="G141">
        <f>MAX(ROUNDUP(D141, 0), E141) * IF(C141="COVERED", Parameters!$B$2, Parameters!$B$3)</f>
        <v>0</v>
      </c>
      <c r="H141">
        <f>F141 - G141</f>
        <v>0</v>
      </c>
      <c r="I141">
        <f>IF(ABS(H141)&gt;0.01, "Priority 3", "")</f>
        <v>0</v>
      </c>
    </row>
    <row r="142" spans="1:9">
      <c r="A142" t="s">
        <v>1139</v>
      </c>
      <c r="B142" t="s">
        <v>998</v>
      </c>
      <c r="C142" t="s">
        <v>999</v>
      </c>
      <c r="D142">
        <v>45.7</v>
      </c>
      <c r="E142">
        <v>28</v>
      </c>
      <c r="F142">
        <v>478.4</v>
      </c>
      <c r="G142">
        <f>MAX(ROUNDUP(D142, 0), E142) * IF(C142="COVERED", Parameters!$B$2, Parameters!$B$3)</f>
        <v>0</v>
      </c>
      <c r="H142">
        <f>F142 - G142</f>
        <v>0</v>
      </c>
      <c r="I142">
        <f>IF(ABS(H142)&gt;0.01, "Priority 3", "")</f>
        <v>0</v>
      </c>
    </row>
    <row r="143" spans="1:9">
      <c r="A143" t="s">
        <v>1140</v>
      </c>
      <c r="B143" t="s">
        <v>998</v>
      </c>
      <c r="C143" t="s">
        <v>999</v>
      </c>
      <c r="D143">
        <v>33.7</v>
      </c>
      <c r="E143">
        <v>28</v>
      </c>
      <c r="F143">
        <v>353.6</v>
      </c>
      <c r="G143">
        <f>MAX(ROUNDUP(D143, 0), E143) * IF(C143="COVERED", Parameters!$B$2, Parameters!$B$3)</f>
        <v>0</v>
      </c>
      <c r="H143">
        <f>F143 - G143</f>
        <v>0</v>
      </c>
      <c r="I143">
        <f>IF(ABS(H143)&gt;0.01, "Priority 3", "")</f>
        <v>0</v>
      </c>
    </row>
    <row r="144" spans="1:9">
      <c r="A144" t="s">
        <v>1141</v>
      </c>
      <c r="B144" t="s">
        <v>998</v>
      </c>
      <c r="C144" t="s">
        <v>999</v>
      </c>
      <c r="D144">
        <v>43.4</v>
      </c>
      <c r="E144">
        <v>36</v>
      </c>
      <c r="F144">
        <v>457.6</v>
      </c>
      <c r="G144">
        <f>MAX(ROUNDUP(D144, 0), E144) * IF(C144="COVERED", Parameters!$B$2, Parameters!$B$3)</f>
        <v>0</v>
      </c>
      <c r="H144">
        <f>F144 - G144</f>
        <v>0</v>
      </c>
      <c r="I144">
        <f>IF(ABS(H144)&gt;0.01, "Priority 3", "")</f>
        <v>0</v>
      </c>
    </row>
    <row r="145" spans="1:9">
      <c r="A145" t="s">
        <v>1142</v>
      </c>
      <c r="B145" t="s">
        <v>998</v>
      </c>
      <c r="C145" t="s">
        <v>999</v>
      </c>
      <c r="D145">
        <v>36.1</v>
      </c>
      <c r="E145">
        <v>36</v>
      </c>
      <c r="F145">
        <v>384.8</v>
      </c>
      <c r="G145">
        <f>MAX(ROUNDUP(D145, 0), E145) * IF(C145="COVERED", Parameters!$B$2, Parameters!$B$3)</f>
        <v>0</v>
      </c>
      <c r="H145">
        <f>F145 - G145</f>
        <v>0</v>
      </c>
      <c r="I145">
        <f>IF(ABS(H145)&gt;0.01, "Priority 3", "")</f>
        <v>0</v>
      </c>
    </row>
    <row r="146" spans="1:9">
      <c r="A146" t="s">
        <v>1143</v>
      </c>
      <c r="B146" t="s">
        <v>998</v>
      </c>
      <c r="C146" t="s">
        <v>999</v>
      </c>
      <c r="D146">
        <v>39.1</v>
      </c>
      <c r="E146">
        <v>40</v>
      </c>
      <c r="F146">
        <v>416</v>
      </c>
      <c r="G146">
        <f>MAX(ROUNDUP(D146, 0), E146) * IF(C146="COVERED", Parameters!$B$2, Parameters!$B$3)</f>
        <v>0</v>
      </c>
      <c r="H146">
        <f>F146 - G146</f>
        <v>0</v>
      </c>
      <c r="I146">
        <f>IF(ABS(H146)&gt;0.01, "Priority 3", "")</f>
        <v>0</v>
      </c>
    </row>
    <row r="147" spans="1:9">
      <c r="A147" t="s">
        <v>1144</v>
      </c>
      <c r="B147" t="s">
        <v>998</v>
      </c>
      <c r="C147" t="s">
        <v>999</v>
      </c>
      <c r="D147">
        <v>31.9</v>
      </c>
      <c r="E147">
        <v>24</v>
      </c>
      <c r="F147">
        <v>332.8</v>
      </c>
      <c r="G147">
        <f>MAX(ROUNDUP(D147, 0), E147) * IF(C147="COVERED", Parameters!$B$2, Parameters!$B$3)</f>
        <v>0</v>
      </c>
      <c r="H147">
        <f>F147 - G147</f>
        <v>0</v>
      </c>
      <c r="I147">
        <f>IF(ABS(H147)&gt;0.01, "Priority 3", "")</f>
        <v>0</v>
      </c>
    </row>
    <row r="148" spans="1:9">
      <c r="A148" t="s">
        <v>1145</v>
      </c>
      <c r="B148" t="s">
        <v>998</v>
      </c>
      <c r="C148" t="s">
        <v>999</v>
      </c>
      <c r="D148">
        <v>55.9</v>
      </c>
      <c r="E148">
        <v>32</v>
      </c>
      <c r="F148">
        <v>582.4</v>
      </c>
      <c r="G148">
        <f>MAX(ROUNDUP(D148, 0), E148) * IF(C148="COVERED", Parameters!$B$2, Parameters!$B$3)</f>
        <v>0</v>
      </c>
      <c r="H148">
        <f>F148 - G148</f>
        <v>0</v>
      </c>
      <c r="I148">
        <f>IF(ABS(H148)&gt;0.01, "Priority 3", "")</f>
        <v>0</v>
      </c>
    </row>
    <row r="149" spans="1:9">
      <c r="A149" t="s">
        <v>1146</v>
      </c>
      <c r="B149" t="s">
        <v>998</v>
      </c>
      <c r="C149" t="s">
        <v>999</v>
      </c>
      <c r="D149">
        <v>40.5</v>
      </c>
      <c r="E149">
        <v>24</v>
      </c>
      <c r="F149">
        <v>426.4</v>
      </c>
      <c r="G149">
        <f>MAX(ROUNDUP(D149, 0), E149) * IF(C149="COVERED", Parameters!$B$2, Parameters!$B$3)</f>
        <v>0</v>
      </c>
      <c r="H149">
        <f>F149 - G149</f>
        <v>0</v>
      </c>
      <c r="I149">
        <f>IF(ABS(H149)&gt;0.01, "Priority 3", "")</f>
        <v>0</v>
      </c>
    </row>
    <row r="150" spans="1:9">
      <c r="A150" t="s">
        <v>1147</v>
      </c>
      <c r="B150" t="s">
        <v>998</v>
      </c>
      <c r="C150" t="s">
        <v>999</v>
      </c>
      <c r="D150">
        <v>55.2</v>
      </c>
      <c r="E150">
        <v>24</v>
      </c>
      <c r="F150">
        <v>582.4</v>
      </c>
      <c r="G150">
        <f>MAX(ROUNDUP(D150, 0), E150) * IF(C150="COVERED", Parameters!$B$2, Parameters!$B$3)</f>
        <v>0</v>
      </c>
      <c r="H150">
        <f>F150 - G150</f>
        <v>0</v>
      </c>
      <c r="I150">
        <f>IF(ABS(H150)&gt;0.01, "Priority 3", "")</f>
        <v>0</v>
      </c>
    </row>
    <row r="151" spans="1:9">
      <c r="A151" t="s">
        <v>1148</v>
      </c>
      <c r="B151" t="s">
        <v>998</v>
      </c>
      <c r="C151" t="s">
        <v>999</v>
      </c>
      <c r="D151">
        <v>25.4</v>
      </c>
      <c r="E151">
        <v>32</v>
      </c>
      <c r="F151">
        <v>332.8</v>
      </c>
      <c r="G151">
        <f>MAX(ROUNDUP(D151, 0), E151) * IF(C151="COVERED", Parameters!$B$2, Parameters!$B$3)</f>
        <v>0</v>
      </c>
      <c r="H151">
        <f>F151 - G151</f>
        <v>0</v>
      </c>
      <c r="I151">
        <f>IF(ABS(H151)&gt;0.01, "Priority 3", "")</f>
        <v>0</v>
      </c>
    </row>
    <row r="152" spans="1:9">
      <c r="A152" t="s">
        <v>1149</v>
      </c>
      <c r="B152" t="s">
        <v>998</v>
      </c>
      <c r="C152" t="s">
        <v>999</v>
      </c>
      <c r="D152">
        <v>32.7</v>
      </c>
      <c r="E152">
        <v>32</v>
      </c>
      <c r="F152">
        <v>343.2</v>
      </c>
      <c r="G152">
        <f>MAX(ROUNDUP(D152, 0), E152) * IF(C152="COVERED", Parameters!$B$2, Parameters!$B$3)</f>
        <v>0</v>
      </c>
      <c r="H152">
        <f>F152 - G152</f>
        <v>0</v>
      </c>
      <c r="I152">
        <f>IF(ABS(H152)&gt;0.01, "Priority 3", "")</f>
        <v>0</v>
      </c>
    </row>
    <row r="153" spans="1:9">
      <c r="A153" t="s">
        <v>1150</v>
      </c>
      <c r="B153" t="s">
        <v>998</v>
      </c>
      <c r="C153" t="s">
        <v>999</v>
      </c>
      <c r="D153">
        <v>53.5</v>
      </c>
      <c r="E153">
        <v>32</v>
      </c>
      <c r="F153">
        <v>561.6</v>
      </c>
      <c r="G153">
        <f>MAX(ROUNDUP(D153, 0), E153) * IF(C153="COVERED", Parameters!$B$2, Parameters!$B$3)</f>
        <v>0</v>
      </c>
      <c r="H153">
        <f>F153 - G153</f>
        <v>0</v>
      </c>
      <c r="I153">
        <f>IF(ABS(H153)&gt;0.01, "Priority 3", "")</f>
        <v>0</v>
      </c>
    </row>
    <row r="154" spans="1:9">
      <c r="A154" t="s">
        <v>1151</v>
      </c>
      <c r="B154" t="s">
        <v>998</v>
      </c>
      <c r="C154" t="s">
        <v>999</v>
      </c>
      <c r="D154">
        <v>59.7</v>
      </c>
      <c r="E154">
        <v>24</v>
      </c>
      <c r="F154">
        <v>624</v>
      </c>
      <c r="G154">
        <f>MAX(ROUNDUP(D154, 0), E154) * IF(C154="COVERED", Parameters!$B$2, Parameters!$B$3)</f>
        <v>0</v>
      </c>
      <c r="H154">
        <f>F154 - G154</f>
        <v>0</v>
      </c>
      <c r="I154">
        <f>IF(ABS(H154)&gt;0.01, "Priority 3", "")</f>
        <v>0</v>
      </c>
    </row>
    <row r="155" spans="1:9">
      <c r="A155" t="s">
        <v>1152</v>
      </c>
      <c r="B155" t="s">
        <v>998</v>
      </c>
      <c r="C155" t="s">
        <v>999</v>
      </c>
      <c r="D155">
        <v>37.7</v>
      </c>
      <c r="E155">
        <v>28</v>
      </c>
      <c r="F155">
        <v>395.2</v>
      </c>
      <c r="G155">
        <f>MAX(ROUNDUP(D155, 0), E155) * IF(C155="COVERED", Parameters!$B$2, Parameters!$B$3)</f>
        <v>0</v>
      </c>
      <c r="H155">
        <f>F155 - G155</f>
        <v>0</v>
      </c>
      <c r="I155">
        <f>IF(ABS(H155)&gt;0.01, "Priority 3", "")</f>
        <v>0</v>
      </c>
    </row>
    <row r="156" spans="1:9">
      <c r="A156" t="s">
        <v>1153</v>
      </c>
      <c r="B156" t="s">
        <v>998</v>
      </c>
      <c r="C156" t="s">
        <v>999</v>
      </c>
      <c r="D156">
        <v>56.3</v>
      </c>
      <c r="E156">
        <v>28</v>
      </c>
      <c r="F156">
        <v>592.8</v>
      </c>
      <c r="G156">
        <f>MAX(ROUNDUP(D156, 0), E156) * IF(C156="COVERED", Parameters!$B$2, Parameters!$B$3)</f>
        <v>0</v>
      </c>
      <c r="H156">
        <f>F156 - G156</f>
        <v>0</v>
      </c>
      <c r="I156">
        <f>IF(ABS(H156)&gt;0.01, "Priority 3", "")</f>
        <v>0</v>
      </c>
    </row>
    <row r="157" spans="1:9">
      <c r="A157" t="s">
        <v>1154</v>
      </c>
      <c r="B157" t="s">
        <v>998</v>
      </c>
      <c r="C157" t="s">
        <v>999</v>
      </c>
      <c r="D157">
        <v>46.1</v>
      </c>
      <c r="E157">
        <v>36</v>
      </c>
      <c r="F157">
        <v>488.8</v>
      </c>
      <c r="G157">
        <f>MAX(ROUNDUP(D157, 0), E157) * IF(C157="COVERED", Parameters!$B$2, Parameters!$B$3)</f>
        <v>0</v>
      </c>
      <c r="H157">
        <f>F157 - G157</f>
        <v>0</v>
      </c>
      <c r="I157">
        <f>IF(ABS(H157)&gt;0.01, "Priority 3", "")</f>
        <v>0</v>
      </c>
    </row>
    <row r="158" spans="1:9">
      <c r="A158" t="s">
        <v>1155</v>
      </c>
      <c r="B158" t="s">
        <v>998</v>
      </c>
      <c r="C158" t="s">
        <v>999</v>
      </c>
      <c r="D158">
        <v>35.1</v>
      </c>
      <c r="E158">
        <v>40</v>
      </c>
      <c r="F158">
        <v>416</v>
      </c>
      <c r="G158">
        <f>MAX(ROUNDUP(D158, 0), E158) * IF(C158="COVERED", Parameters!$B$2, Parameters!$B$3)</f>
        <v>0</v>
      </c>
      <c r="H158">
        <f>F158 - G158</f>
        <v>0</v>
      </c>
      <c r="I158">
        <f>IF(ABS(H158)&gt;0.01, "Priority 3", "")</f>
        <v>0</v>
      </c>
    </row>
    <row r="159" spans="1:9">
      <c r="A159" t="s">
        <v>1156</v>
      </c>
      <c r="B159" t="s">
        <v>998</v>
      </c>
      <c r="C159" t="s">
        <v>999</v>
      </c>
      <c r="D159">
        <v>47.8</v>
      </c>
      <c r="E159">
        <v>28</v>
      </c>
      <c r="F159">
        <v>499.2</v>
      </c>
      <c r="G159">
        <f>MAX(ROUNDUP(D159, 0), E159) * IF(C159="COVERED", Parameters!$B$2, Parameters!$B$3)</f>
        <v>0</v>
      </c>
      <c r="H159">
        <f>F159 - G159</f>
        <v>0</v>
      </c>
      <c r="I159">
        <f>IF(ABS(H159)&gt;0.01, "Priority 3", "")</f>
        <v>0</v>
      </c>
    </row>
    <row r="160" spans="1:9">
      <c r="A160" t="s">
        <v>1157</v>
      </c>
      <c r="B160" t="s">
        <v>998</v>
      </c>
      <c r="C160" t="s">
        <v>999</v>
      </c>
      <c r="D160">
        <v>39.6</v>
      </c>
      <c r="E160">
        <v>36</v>
      </c>
      <c r="F160">
        <v>416</v>
      </c>
      <c r="G160">
        <f>MAX(ROUNDUP(D160, 0), E160) * IF(C160="COVERED", Parameters!$B$2, Parameters!$B$3)</f>
        <v>0</v>
      </c>
      <c r="H160">
        <f>F160 - G160</f>
        <v>0</v>
      </c>
      <c r="I160">
        <f>IF(ABS(H160)&gt;0.01, "Priority 3", "")</f>
        <v>0</v>
      </c>
    </row>
    <row r="161" spans="1:9">
      <c r="A161" t="s">
        <v>1158</v>
      </c>
      <c r="B161" t="s">
        <v>998</v>
      </c>
      <c r="C161" t="s">
        <v>999</v>
      </c>
      <c r="D161">
        <v>55.1</v>
      </c>
      <c r="E161">
        <v>36</v>
      </c>
      <c r="F161">
        <v>582.4</v>
      </c>
      <c r="G161">
        <f>MAX(ROUNDUP(D161, 0), E161) * IF(C161="COVERED", Parameters!$B$2, Parameters!$B$3)</f>
        <v>0</v>
      </c>
      <c r="H161">
        <f>F161 - G161</f>
        <v>0</v>
      </c>
      <c r="I161">
        <f>IF(ABS(H161)&gt;0.01, "Priority 3", "")</f>
        <v>0</v>
      </c>
    </row>
    <row r="162" spans="1:9">
      <c r="A162" t="s">
        <v>1159</v>
      </c>
      <c r="B162" t="s">
        <v>998</v>
      </c>
      <c r="C162" t="s">
        <v>999</v>
      </c>
      <c r="D162">
        <v>40.6</v>
      </c>
      <c r="E162">
        <v>24</v>
      </c>
      <c r="F162">
        <v>426.4</v>
      </c>
      <c r="G162">
        <f>MAX(ROUNDUP(D162, 0), E162) * IF(C162="COVERED", Parameters!$B$2, Parameters!$B$3)</f>
        <v>0</v>
      </c>
      <c r="H162">
        <f>F162 - G162</f>
        <v>0</v>
      </c>
      <c r="I162">
        <f>IF(ABS(H162)&gt;0.01, "Priority 3", "")</f>
        <v>0</v>
      </c>
    </row>
    <row r="163" spans="1:9">
      <c r="A163" t="s">
        <v>1160</v>
      </c>
      <c r="B163" t="s">
        <v>998</v>
      </c>
      <c r="C163" t="s">
        <v>999</v>
      </c>
      <c r="D163">
        <v>42.3</v>
      </c>
      <c r="E163">
        <v>40</v>
      </c>
      <c r="F163">
        <v>447.2</v>
      </c>
      <c r="G163">
        <f>MAX(ROUNDUP(D163, 0), E163) * IF(C163="COVERED", Parameters!$B$2, Parameters!$B$3)</f>
        <v>0</v>
      </c>
      <c r="H163">
        <f>F163 - G163</f>
        <v>0</v>
      </c>
      <c r="I163">
        <f>IF(ABS(H163)&gt;0.01, "Priority 3", "")</f>
        <v>0</v>
      </c>
    </row>
    <row r="164" spans="1:9">
      <c r="A164" t="s">
        <v>1161</v>
      </c>
      <c r="B164" t="s">
        <v>998</v>
      </c>
      <c r="C164" t="s">
        <v>999</v>
      </c>
      <c r="D164">
        <v>34.3</v>
      </c>
      <c r="E164">
        <v>28</v>
      </c>
      <c r="F164">
        <v>364</v>
      </c>
      <c r="G164">
        <f>MAX(ROUNDUP(D164, 0), E164) * IF(C164="COVERED", Parameters!$B$2, Parameters!$B$3)</f>
        <v>0</v>
      </c>
      <c r="H164">
        <f>F164 - G164</f>
        <v>0</v>
      </c>
      <c r="I164">
        <f>IF(ABS(H164)&gt;0.01, "Priority 3", "")</f>
        <v>0</v>
      </c>
    </row>
    <row r="165" spans="1:9">
      <c r="A165" t="s">
        <v>1162</v>
      </c>
      <c r="B165" t="s">
        <v>998</v>
      </c>
      <c r="C165" t="s">
        <v>999</v>
      </c>
      <c r="D165">
        <v>51.3</v>
      </c>
      <c r="E165">
        <v>36</v>
      </c>
      <c r="F165">
        <v>540.8</v>
      </c>
      <c r="G165">
        <f>MAX(ROUNDUP(D165, 0), E165) * IF(C165="COVERED", Parameters!$B$2, Parameters!$B$3)</f>
        <v>0</v>
      </c>
      <c r="H165">
        <f>F165 - G165</f>
        <v>0</v>
      </c>
      <c r="I165">
        <f>IF(ABS(H165)&gt;0.01, "Priority 3", "")</f>
        <v>0</v>
      </c>
    </row>
    <row r="166" spans="1:9">
      <c r="A166" t="s">
        <v>1163</v>
      </c>
      <c r="B166" t="s">
        <v>998</v>
      </c>
      <c r="C166" t="s">
        <v>999</v>
      </c>
      <c r="D166">
        <v>25.6</v>
      </c>
      <c r="E166">
        <v>28</v>
      </c>
      <c r="F166">
        <v>291.2</v>
      </c>
      <c r="G166">
        <f>MAX(ROUNDUP(D166, 0), E166) * IF(C166="COVERED", Parameters!$B$2, Parameters!$B$3)</f>
        <v>0</v>
      </c>
      <c r="H166">
        <f>F166 - G166</f>
        <v>0</v>
      </c>
      <c r="I166">
        <f>IF(ABS(H166)&gt;0.01, "Priority 3", "")</f>
        <v>0</v>
      </c>
    </row>
    <row r="167" spans="1:9">
      <c r="A167" t="s">
        <v>1164</v>
      </c>
      <c r="B167" t="s">
        <v>998</v>
      </c>
      <c r="C167" t="s">
        <v>999</v>
      </c>
      <c r="D167">
        <v>37.5</v>
      </c>
      <c r="E167">
        <v>32</v>
      </c>
      <c r="F167">
        <v>395.2</v>
      </c>
      <c r="G167">
        <f>MAX(ROUNDUP(D167, 0), E167) * IF(C167="COVERED", Parameters!$B$2, Parameters!$B$3)</f>
        <v>0</v>
      </c>
      <c r="H167">
        <f>F167 - G167</f>
        <v>0</v>
      </c>
      <c r="I167">
        <f>IF(ABS(H167)&gt;0.01, "Priority 3", "")</f>
        <v>0</v>
      </c>
    </row>
    <row r="168" spans="1:9">
      <c r="A168" t="s">
        <v>1165</v>
      </c>
      <c r="B168" t="s">
        <v>998</v>
      </c>
      <c r="C168" t="s">
        <v>999</v>
      </c>
      <c r="D168">
        <v>34.5</v>
      </c>
      <c r="E168">
        <v>32</v>
      </c>
      <c r="F168">
        <v>364</v>
      </c>
      <c r="G168">
        <f>MAX(ROUNDUP(D168, 0), E168) * IF(C168="COVERED", Parameters!$B$2, Parameters!$B$3)</f>
        <v>0</v>
      </c>
      <c r="H168">
        <f>F168 - G168</f>
        <v>0</v>
      </c>
      <c r="I168">
        <f>IF(ABS(H168)&gt;0.01, "Priority 3", "")</f>
        <v>0</v>
      </c>
    </row>
    <row r="169" spans="1:9">
      <c r="A169" t="s">
        <v>1166</v>
      </c>
      <c r="B169" t="s">
        <v>998</v>
      </c>
      <c r="C169" t="s">
        <v>999</v>
      </c>
      <c r="D169">
        <v>49.8</v>
      </c>
      <c r="E169">
        <v>24</v>
      </c>
      <c r="F169">
        <v>520</v>
      </c>
      <c r="G169">
        <f>MAX(ROUNDUP(D169, 0), E169) * IF(C169="COVERED", Parameters!$B$2, Parameters!$B$3)</f>
        <v>0</v>
      </c>
      <c r="H169">
        <f>F169 - G169</f>
        <v>0</v>
      </c>
      <c r="I169">
        <f>IF(ABS(H169)&gt;0.01, "Priority 3", "")</f>
        <v>0</v>
      </c>
    </row>
    <row r="170" spans="1:9">
      <c r="A170" t="s">
        <v>1167</v>
      </c>
      <c r="B170" t="s">
        <v>998</v>
      </c>
      <c r="C170" t="s">
        <v>999</v>
      </c>
      <c r="D170">
        <v>47.4</v>
      </c>
      <c r="E170">
        <v>28</v>
      </c>
      <c r="F170">
        <v>499.2</v>
      </c>
      <c r="G170">
        <f>MAX(ROUNDUP(D170, 0), E170) * IF(C170="COVERED", Parameters!$B$2, Parameters!$B$3)</f>
        <v>0</v>
      </c>
      <c r="H170">
        <f>F170 - G170</f>
        <v>0</v>
      </c>
      <c r="I170">
        <f>IF(ABS(H170)&gt;0.01, "Priority 3", "")</f>
        <v>0</v>
      </c>
    </row>
    <row r="171" spans="1:9">
      <c r="A171" t="s">
        <v>1168</v>
      </c>
      <c r="B171" t="s">
        <v>998</v>
      </c>
      <c r="C171" t="s">
        <v>999</v>
      </c>
      <c r="D171">
        <v>22.2</v>
      </c>
      <c r="E171">
        <v>32</v>
      </c>
      <c r="F171">
        <v>332.8</v>
      </c>
      <c r="G171">
        <f>MAX(ROUNDUP(D171, 0), E171) * IF(C171="COVERED", Parameters!$B$2, Parameters!$B$3)</f>
        <v>0</v>
      </c>
      <c r="H171">
        <f>F171 - G171</f>
        <v>0</v>
      </c>
      <c r="I171">
        <f>IF(ABS(H171)&gt;0.01, "Priority 3", "")</f>
        <v>0</v>
      </c>
    </row>
    <row r="172" spans="1:9">
      <c r="A172" t="s">
        <v>1169</v>
      </c>
      <c r="B172" t="s">
        <v>998</v>
      </c>
      <c r="C172" t="s">
        <v>999</v>
      </c>
      <c r="D172">
        <v>60.9</v>
      </c>
      <c r="E172">
        <v>28</v>
      </c>
      <c r="F172">
        <v>634.4</v>
      </c>
      <c r="G172">
        <f>MAX(ROUNDUP(D172, 0), E172) * IF(C172="COVERED", Parameters!$B$2, Parameters!$B$3)</f>
        <v>0</v>
      </c>
      <c r="H172">
        <f>F172 - G172</f>
        <v>0</v>
      </c>
      <c r="I172">
        <f>IF(ABS(H172)&gt;0.01, "Priority 3", "")</f>
        <v>0</v>
      </c>
    </row>
    <row r="173" spans="1:9">
      <c r="A173" t="s">
        <v>1170</v>
      </c>
      <c r="B173" t="s">
        <v>998</v>
      </c>
      <c r="C173" t="s">
        <v>999</v>
      </c>
      <c r="D173">
        <v>19.1</v>
      </c>
      <c r="E173">
        <v>32</v>
      </c>
      <c r="F173">
        <v>332.8</v>
      </c>
      <c r="G173">
        <f>MAX(ROUNDUP(D173, 0), E173) * IF(C173="COVERED", Parameters!$B$2, Parameters!$B$3)</f>
        <v>0</v>
      </c>
      <c r="H173">
        <f>F173 - G173</f>
        <v>0</v>
      </c>
      <c r="I173">
        <f>IF(ABS(H173)&gt;0.01, "Priority 3", "")</f>
        <v>0</v>
      </c>
    </row>
    <row r="174" spans="1:9">
      <c r="A174" t="s">
        <v>1171</v>
      </c>
      <c r="B174" t="s">
        <v>998</v>
      </c>
      <c r="C174" t="s">
        <v>999</v>
      </c>
      <c r="D174">
        <v>43.9</v>
      </c>
      <c r="E174">
        <v>32</v>
      </c>
      <c r="F174">
        <v>457.6</v>
      </c>
      <c r="G174">
        <f>MAX(ROUNDUP(D174, 0), E174) * IF(C174="COVERED", Parameters!$B$2, Parameters!$B$3)</f>
        <v>0</v>
      </c>
      <c r="H174">
        <f>F174 - G174</f>
        <v>0</v>
      </c>
      <c r="I174">
        <f>IF(ABS(H174)&gt;0.01, "Priority 3", "")</f>
        <v>0</v>
      </c>
    </row>
    <row r="175" spans="1:9">
      <c r="A175" t="s">
        <v>1172</v>
      </c>
      <c r="B175" t="s">
        <v>998</v>
      </c>
      <c r="C175" t="s">
        <v>999</v>
      </c>
      <c r="D175">
        <v>53.2</v>
      </c>
      <c r="E175">
        <v>28</v>
      </c>
      <c r="F175">
        <v>561.6</v>
      </c>
      <c r="G175">
        <f>MAX(ROUNDUP(D175, 0), E175) * IF(C175="COVERED", Parameters!$B$2, Parameters!$B$3)</f>
        <v>0</v>
      </c>
      <c r="H175">
        <f>F175 - G175</f>
        <v>0</v>
      </c>
      <c r="I175">
        <f>IF(ABS(H175)&gt;0.01, "Priority 3", "")</f>
        <v>0</v>
      </c>
    </row>
    <row r="176" spans="1:9">
      <c r="A176" t="s">
        <v>1173</v>
      </c>
      <c r="B176" t="s">
        <v>998</v>
      </c>
      <c r="C176" t="s">
        <v>999</v>
      </c>
      <c r="D176">
        <v>60.7</v>
      </c>
      <c r="E176">
        <v>36</v>
      </c>
      <c r="F176">
        <v>634.4</v>
      </c>
      <c r="G176">
        <f>MAX(ROUNDUP(D176, 0), E176) * IF(C176="COVERED", Parameters!$B$2, Parameters!$B$3)</f>
        <v>0</v>
      </c>
      <c r="H176">
        <f>F176 - G176</f>
        <v>0</v>
      </c>
      <c r="I176">
        <f>IF(ABS(H176)&gt;0.01, "Priority 3", "")</f>
        <v>0</v>
      </c>
    </row>
    <row r="177" spans="1:9">
      <c r="A177" t="s">
        <v>1174</v>
      </c>
      <c r="B177" t="s">
        <v>998</v>
      </c>
      <c r="C177" t="s">
        <v>999</v>
      </c>
      <c r="D177">
        <v>42.5</v>
      </c>
      <c r="E177">
        <v>24</v>
      </c>
      <c r="F177">
        <v>447.2</v>
      </c>
      <c r="G177">
        <f>MAX(ROUNDUP(D177, 0), E177) * IF(C177="COVERED", Parameters!$B$2, Parameters!$B$3)</f>
        <v>0</v>
      </c>
      <c r="H177">
        <f>F177 - G177</f>
        <v>0</v>
      </c>
      <c r="I177">
        <f>IF(ABS(H177)&gt;0.01, "Priority 3", "")</f>
        <v>0</v>
      </c>
    </row>
    <row r="178" spans="1:9">
      <c r="A178" t="s">
        <v>1175</v>
      </c>
      <c r="B178" t="s">
        <v>998</v>
      </c>
      <c r="C178" t="s">
        <v>999</v>
      </c>
      <c r="D178">
        <v>48.1</v>
      </c>
      <c r="E178">
        <v>40</v>
      </c>
      <c r="F178">
        <v>509.6</v>
      </c>
      <c r="G178">
        <f>MAX(ROUNDUP(D178, 0), E178) * IF(C178="COVERED", Parameters!$B$2, Parameters!$B$3)</f>
        <v>0</v>
      </c>
      <c r="H178">
        <f>F178 - G178</f>
        <v>0</v>
      </c>
      <c r="I178">
        <f>IF(ABS(H178)&gt;0.01, "Priority 3", "")</f>
        <v>0</v>
      </c>
    </row>
    <row r="179" spans="1:9">
      <c r="A179" t="s">
        <v>1176</v>
      </c>
      <c r="B179" t="s">
        <v>998</v>
      </c>
      <c r="C179" t="s">
        <v>999</v>
      </c>
      <c r="D179">
        <v>24.3</v>
      </c>
      <c r="E179">
        <v>40</v>
      </c>
      <c r="F179">
        <v>416</v>
      </c>
      <c r="G179">
        <f>MAX(ROUNDUP(D179, 0), E179) * IF(C179="COVERED", Parameters!$B$2, Parameters!$B$3)</f>
        <v>0</v>
      </c>
      <c r="H179">
        <f>F179 - G179</f>
        <v>0</v>
      </c>
      <c r="I179">
        <f>IF(ABS(H179)&gt;0.01, "Priority 3", "")</f>
        <v>0</v>
      </c>
    </row>
    <row r="180" spans="1:9">
      <c r="A180" t="s">
        <v>1177</v>
      </c>
      <c r="B180" t="s">
        <v>998</v>
      </c>
      <c r="C180" t="s">
        <v>999</v>
      </c>
      <c r="D180">
        <v>57.6</v>
      </c>
      <c r="E180">
        <v>32</v>
      </c>
      <c r="F180">
        <v>603.2</v>
      </c>
      <c r="G180">
        <f>MAX(ROUNDUP(D180, 0), E180) * IF(C180="COVERED", Parameters!$B$2, Parameters!$B$3)</f>
        <v>0</v>
      </c>
      <c r="H180">
        <f>F180 - G180</f>
        <v>0</v>
      </c>
      <c r="I180">
        <f>IF(ABS(H180)&gt;0.01, "Priority 3", "")</f>
        <v>0</v>
      </c>
    </row>
    <row r="181" spans="1:9">
      <c r="A181" t="s">
        <v>1178</v>
      </c>
      <c r="B181" t="s">
        <v>998</v>
      </c>
      <c r="C181" t="s">
        <v>999</v>
      </c>
      <c r="D181">
        <v>20.2</v>
      </c>
      <c r="E181">
        <v>36</v>
      </c>
      <c r="F181">
        <v>374.4</v>
      </c>
      <c r="G181">
        <f>MAX(ROUNDUP(D181, 0), E181) * IF(C181="COVERED", Parameters!$B$2, Parameters!$B$3)</f>
        <v>0</v>
      </c>
      <c r="H181">
        <f>F181 - G181</f>
        <v>0</v>
      </c>
      <c r="I181">
        <f>IF(ABS(H181)&gt;0.01, "Priority 3", "")</f>
        <v>0</v>
      </c>
    </row>
    <row r="182" spans="1:9">
      <c r="A182" t="s">
        <v>1179</v>
      </c>
      <c r="B182" t="s">
        <v>998</v>
      </c>
      <c r="C182" t="s">
        <v>999</v>
      </c>
      <c r="D182">
        <v>61.6</v>
      </c>
      <c r="E182">
        <v>32</v>
      </c>
      <c r="F182">
        <v>644.8</v>
      </c>
      <c r="G182">
        <f>MAX(ROUNDUP(D182, 0), E182) * IF(C182="COVERED", Parameters!$B$2, Parameters!$B$3)</f>
        <v>0</v>
      </c>
      <c r="H182">
        <f>F182 - G182</f>
        <v>0</v>
      </c>
      <c r="I182">
        <f>IF(ABS(H182)&gt;0.01, "Priority 3", "")</f>
        <v>0</v>
      </c>
    </row>
    <row r="183" spans="1:9">
      <c r="A183" t="s">
        <v>1180</v>
      </c>
      <c r="B183" t="s">
        <v>998</v>
      </c>
      <c r="C183" t="s">
        <v>999</v>
      </c>
      <c r="D183">
        <v>53.6</v>
      </c>
      <c r="E183">
        <v>36</v>
      </c>
      <c r="F183">
        <v>561.6</v>
      </c>
      <c r="G183">
        <f>MAX(ROUNDUP(D183, 0), E183) * IF(C183="COVERED", Parameters!$B$2, Parameters!$B$3)</f>
        <v>0</v>
      </c>
      <c r="H183">
        <f>F183 - G183</f>
        <v>0</v>
      </c>
      <c r="I183">
        <f>IF(ABS(H183)&gt;0.01, "Priority 3", "")</f>
        <v>0</v>
      </c>
    </row>
    <row r="184" spans="1:9">
      <c r="A184" t="s">
        <v>1181</v>
      </c>
      <c r="B184" t="s">
        <v>998</v>
      </c>
      <c r="C184" t="s">
        <v>999</v>
      </c>
      <c r="D184">
        <v>57.3</v>
      </c>
      <c r="E184">
        <v>28</v>
      </c>
      <c r="F184">
        <v>603.2</v>
      </c>
      <c r="G184">
        <f>MAX(ROUNDUP(D184, 0), E184) * IF(C184="COVERED", Parameters!$B$2, Parameters!$B$3)</f>
        <v>0</v>
      </c>
      <c r="H184">
        <f>F184 - G184</f>
        <v>0</v>
      </c>
      <c r="I184">
        <f>IF(ABS(H184)&gt;0.01, "Priority 3", "")</f>
        <v>0</v>
      </c>
    </row>
    <row r="185" spans="1:9">
      <c r="A185" t="s">
        <v>1182</v>
      </c>
      <c r="B185" t="s">
        <v>998</v>
      </c>
      <c r="C185" t="s">
        <v>999</v>
      </c>
      <c r="D185">
        <v>45.7</v>
      </c>
      <c r="E185">
        <v>24</v>
      </c>
      <c r="F185">
        <v>478.4</v>
      </c>
      <c r="G185">
        <f>MAX(ROUNDUP(D185, 0), E185) * IF(C185="COVERED", Parameters!$B$2, Parameters!$B$3)</f>
        <v>0</v>
      </c>
      <c r="H185">
        <f>F185 - G185</f>
        <v>0</v>
      </c>
      <c r="I185">
        <f>IF(ABS(H185)&gt;0.01, "Priority 3", "")</f>
        <v>0</v>
      </c>
    </row>
    <row r="186" spans="1:9">
      <c r="A186" t="s">
        <v>1183</v>
      </c>
      <c r="B186" t="s">
        <v>998</v>
      </c>
      <c r="C186" t="s">
        <v>999</v>
      </c>
      <c r="D186">
        <v>49.9</v>
      </c>
      <c r="E186">
        <v>28</v>
      </c>
      <c r="F186">
        <v>520</v>
      </c>
      <c r="G186">
        <f>MAX(ROUNDUP(D186, 0), E186) * IF(C186="COVERED", Parameters!$B$2, Parameters!$B$3)</f>
        <v>0</v>
      </c>
      <c r="H186">
        <f>F186 - G186</f>
        <v>0</v>
      </c>
      <c r="I186">
        <f>IF(ABS(H186)&gt;0.01, "Priority 3", "")</f>
        <v>0</v>
      </c>
    </row>
    <row r="187" spans="1:9">
      <c r="A187" t="s">
        <v>1184</v>
      </c>
      <c r="B187" t="s">
        <v>998</v>
      </c>
      <c r="C187" t="s">
        <v>999</v>
      </c>
      <c r="D187">
        <v>46.7</v>
      </c>
      <c r="E187">
        <v>24</v>
      </c>
      <c r="F187">
        <v>488.8</v>
      </c>
      <c r="G187">
        <f>MAX(ROUNDUP(D187, 0), E187) * IF(C187="COVERED", Parameters!$B$2, Parameters!$B$3)</f>
        <v>0</v>
      </c>
      <c r="H187">
        <f>F187 - G187</f>
        <v>0</v>
      </c>
      <c r="I187">
        <f>IF(ABS(H187)&gt;0.01, "Priority 3", "")</f>
        <v>0</v>
      </c>
    </row>
    <row r="188" spans="1:9">
      <c r="A188" t="s">
        <v>1185</v>
      </c>
      <c r="B188" t="s">
        <v>998</v>
      </c>
      <c r="C188" t="s">
        <v>999</v>
      </c>
      <c r="D188">
        <v>38</v>
      </c>
      <c r="E188">
        <v>28</v>
      </c>
      <c r="F188">
        <v>395.2</v>
      </c>
      <c r="G188">
        <f>MAX(ROUNDUP(D188, 0), E188) * IF(C188="COVERED", Parameters!$B$2, Parameters!$B$3)</f>
        <v>0</v>
      </c>
      <c r="H188">
        <f>F188 - G188</f>
        <v>0</v>
      </c>
      <c r="I188">
        <f>IF(ABS(H188)&gt;0.01, "Priority 3", "")</f>
        <v>0</v>
      </c>
    </row>
    <row r="189" spans="1:9">
      <c r="A189" t="s">
        <v>1186</v>
      </c>
      <c r="B189" t="s">
        <v>998</v>
      </c>
      <c r="C189" t="s">
        <v>999</v>
      </c>
      <c r="D189">
        <v>43.3</v>
      </c>
      <c r="E189">
        <v>24</v>
      </c>
      <c r="F189">
        <v>457.6</v>
      </c>
      <c r="G189">
        <f>MAX(ROUNDUP(D189, 0), E189) * IF(C189="COVERED", Parameters!$B$2, Parameters!$B$3)</f>
        <v>0</v>
      </c>
      <c r="H189">
        <f>F189 - G189</f>
        <v>0</v>
      </c>
      <c r="I189">
        <f>IF(ABS(H189)&gt;0.01, "Priority 3", "")</f>
        <v>0</v>
      </c>
    </row>
    <row r="190" spans="1:9">
      <c r="A190" t="s">
        <v>1187</v>
      </c>
      <c r="B190" t="s">
        <v>998</v>
      </c>
      <c r="C190" t="s">
        <v>999</v>
      </c>
      <c r="D190">
        <v>32.6</v>
      </c>
      <c r="E190">
        <v>32</v>
      </c>
      <c r="F190">
        <v>343.2</v>
      </c>
      <c r="G190">
        <f>MAX(ROUNDUP(D190, 0), E190) * IF(C190="COVERED", Parameters!$B$2, Parameters!$B$3)</f>
        <v>0</v>
      </c>
      <c r="H190">
        <f>F190 - G190</f>
        <v>0</v>
      </c>
      <c r="I190">
        <f>IF(ABS(H190)&gt;0.01, "Priority 3", "")</f>
        <v>0</v>
      </c>
    </row>
    <row r="191" spans="1:9">
      <c r="A191" t="s">
        <v>1188</v>
      </c>
      <c r="B191" t="s">
        <v>998</v>
      </c>
      <c r="C191" t="s">
        <v>999</v>
      </c>
      <c r="D191">
        <v>43.1</v>
      </c>
      <c r="E191">
        <v>32</v>
      </c>
      <c r="F191">
        <v>457.6</v>
      </c>
      <c r="G191">
        <f>MAX(ROUNDUP(D191, 0), E191) * IF(C191="COVERED", Parameters!$B$2, Parameters!$B$3)</f>
        <v>0</v>
      </c>
      <c r="H191">
        <f>F191 - G191</f>
        <v>0</v>
      </c>
      <c r="I191">
        <f>IF(ABS(H191)&gt;0.01, "Priority 3", "")</f>
        <v>0</v>
      </c>
    </row>
    <row r="192" spans="1:9">
      <c r="A192" t="s">
        <v>1189</v>
      </c>
      <c r="B192" t="s">
        <v>998</v>
      </c>
      <c r="C192" t="s">
        <v>999</v>
      </c>
      <c r="D192">
        <v>35.1</v>
      </c>
      <c r="E192">
        <v>40</v>
      </c>
      <c r="F192">
        <v>416</v>
      </c>
      <c r="G192">
        <f>MAX(ROUNDUP(D192, 0), E192) * IF(C192="COVERED", Parameters!$B$2, Parameters!$B$3)</f>
        <v>0</v>
      </c>
      <c r="H192">
        <f>F192 - G192</f>
        <v>0</v>
      </c>
      <c r="I192">
        <f>IF(ABS(H192)&gt;0.01, "Priority 3", "")</f>
        <v>0</v>
      </c>
    </row>
    <row r="193" spans="1:9">
      <c r="A193" t="s">
        <v>1190</v>
      </c>
      <c r="B193" t="s">
        <v>998</v>
      </c>
      <c r="C193" t="s">
        <v>999</v>
      </c>
      <c r="D193">
        <v>35.1</v>
      </c>
      <c r="E193">
        <v>32</v>
      </c>
      <c r="F193">
        <v>374.4</v>
      </c>
      <c r="G193">
        <f>MAX(ROUNDUP(D193, 0), E193) * IF(C193="COVERED", Parameters!$B$2, Parameters!$B$3)</f>
        <v>0</v>
      </c>
      <c r="H193">
        <f>F193 - G193</f>
        <v>0</v>
      </c>
      <c r="I193">
        <f>IF(ABS(H193)&gt;0.01, "Priority 3", "")</f>
        <v>0</v>
      </c>
    </row>
    <row r="194" spans="1:9">
      <c r="A194" t="s">
        <v>1191</v>
      </c>
      <c r="B194" t="s">
        <v>998</v>
      </c>
      <c r="C194" t="s">
        <v>999</v>
      </c>
      <c r="D194">
        <v>34.5</v>
      </c>
      <c r="E194">
        <v>36</v>
      </c>
      <c r="F194">
        <v>374.4</v>
      </c>
      <c r="G194">
        <f>MAX(ROUNDUP(D194, 0), E194) * IF(C194="COVERED", Parameters!$B$2, Parameters!$B$3)</f>
        <v>0</v>
      </c>
      <c r="H194">
        <f>F194 - G194</f>
        <v>0</v>
      </c>
      <c r="I194">
        <f>IF(ABS(H194)&gt;0.01, "Priority 3", "")</f>
        <v>0</v>
      </c>
    </row>
    <row r="195" spans="1:9">
      <c r="A195" t="s">
        <v>1192</v>
      </c>
      <c r="B195" t="s">
        <v>998</v>
      </c>
      <c r="C195" t="s">
        <v>999</v>
      </c>
      <c r="D195">
        <v>58.2</v>
      </c>
      <c r="E195">
        <v>36</v>
      </c>
      <c r="F195">
        <v>613.6</v>
      </c>
      <c r="G195">
        <f>MAX(ROUNDUP(D195, 0), E195) * IF(C195="COVERED", Parameters!$B$2, Parameters!$B$3)</f>
        <v>0</v>
      </c>
      <c r="H195">
        <f>F195 - G195</f>
        <v>0</v>
      </c>
      <c r="I195">
        <f>IF(ABS(H195)&gt;0.01, "Priority 3", "")</f>
        <v>0</v>
      </c>
    </row>
    <row r="196" spans="1:9">
      <c r="A196" t="s">
        <v>1193</v>
      </c>
      <c r="B196" t="s">
        <v>998</v>
      </c>
      <c r="C196" t="s">
        <v>999</v>
      </c>
      <c r="D196">
        <v>24.5</v>
      </c>
      <c r="E196">
        <v>32</v>
      </c>
      <c r="F196">
        <v>332.8</v>
      </c>
      <c r="G196">
        <f>MAX(ROUNDUP(D196, 0), E196) * IF(C196="COVERED", Parameters!$B$2, Parameters!$B$3)</f>
        <v>0</v>
      </c>
      <c r="H196">
        <f>F196 - G196</f>
        <v>0</v>
      </c>
      <c r="I196">
        <f>IF(ABS(H196)&gt;0.01, "Priority 3", "")</f>
        <v>0</v>
      </c>
    </row>
    <row r="197" spans="1:9">
      <c r="A197" t="s">
        <v>1194</v>
      </c>
      <c r="B197" t="s">
        <v>998</v>
      </c>
      <c r="C197" t="s">
        <v>999</v>
      </c>
      <c r="D197">
        <v>38.3</v>
      </c>
      <c r="E197">
        <v>28</v>
      </c>
      <c r="F197">
        <v>405.6</v>
      </c>
      <c r="G197">
        <f>MAX(ROUNDUP(D197, 0), E197) * IF(C197="COVERED", Parameters!$B$2, Parameters!$B$3)</f>
        <v>0</v>
      </c>
      <c r="H197">
        <f>F197 - G197</f>
        <v>0</v>
      </c>
      <c r="I197">
        <f>IF(ABS(H197)&gt;0.01, "Priority 3", "")</f>
        <v>0</v>
      </c>
    </row>
    <row r="198" spans="1:9">
      <c r="A198" t="s">
        <v>1195</v>
      </c>
      <c r="B198" t="s">
        <v>998</v>
      </c>
      <c r="C198" t="s">
        <v>999</v>
      </c>
      <c r="D198">
        <v>24.8</v>
      </c>
      <c r="E198">
        <v>28</v>
      </c>
      <c r="F198">
        <v>291.2</v>
      </c>
      <c r="G198">
        <f>MAX(ROUNDUP(D198, 0), E198) * IF(C198="COVERED", Parameters!$B$2, Parameters!$B$3)</f>
        <v>0</v>
      </c>
      <c r="H198">
        <f>F198 - G198</f>
        <v>0</v>
      </c>
      <c r="I198">
        <f>IF(ABS(H198)&gt;0.01, "Priority 3", "")</f>
        <v>0</v>
      </c>
    </row>
    <row r="199" spans="1:9">
      <c r="A199" t="s">
        <v>1196</v>
      </c>
      <c r="B199" t="s">
        <v>998</v>
      </c>
      <c r="C199" t="s">
        <v>999</v>
      </c>
      <c r="D199">
        <v>58</v>
      </c>
      <c r="E199">
        <v>24</v>
      </c>
      <c r="F199">
        <v>603.2</v>
      </c>
      <c r="G199">
        <f>MAX(ROUNDUP(D199, 0), E199) * IF(C199="COVERED", Parameters!$B$2, Parameters!$B$3)</f>
        <v>0</v>
      </c>
      <c r="H199">
        <f>F199 - G199</f>
        <v>0</v>
      </c>
      <c r="I199">
        <f>IF(ABS(H199)&gt;0.01, "Priority 3", "")</f>
        <v>0</v>
      </c>
    </row>
    <row r="200" spans="1:9">
      <c r="A200" t="s">
        <v>1197</v>
      </c>
      <c r="B200" t="s">
        <v>998</v>
      </c>
      <c r="C200" t="s">
        <v>999</v>
      </c>
      <c r="D200">
        <v>21</v>
      </c>
      <c r="E200">
        <v>24</v>
      </c>
      <c r="F200">
        <v>249.6</v>
      </c>
      <c r="G200">
        <f>MAX(ROUNDUP(D200, 0), E200) * IF(C200="COVERED", Parameters!$B$2, Parameters!$B$3)</f>
        <v>0</v>
      </c>
      <c r="H200">
        <f>F200 - G200</f>
        <v>0</v>
      </c>
      <c r="I200">
        <f>IF(ABS(H200)&gt;0.01, "Priority 3", "")</f>
        <v>0</v>
      </c>
    </row>
    <row r="201" spans="1:9">
      <c r="A201" t="s">
        <v>1198</v>
      </c>
      <c r="B201" t="s">
        <v>998</v>
      </c>
      <c r="C201" t="s">
        <v>999</v>
      </c>
      <c r="D201">
        <v>59.9</v>
      </c>
      <c r="E201">
        <v>28</v>
      </c>
      <c r="F201">
        <v>624</v>
      </c>
      <c r="G201">
        <f>MAX(ROUNDUP(D201, 0), E201) * IF(C201="COVERED", Parameters!$B$2, Parameters!$B$3)</f>
        <v>0</v>
      </c>
      <c r="H201">
        <f>F201 - G201</f>
        <v>0</v>
      </c>
      <c r="I201">
        <f>IF(ABS(H201)&gt;0.01, "Priority 3", "")</f>
        <v>0</v>
      </c>
    </row>
    <row r="202" spans="1:9">
      <c r="A202" t="s">
        <v>1199</v>
      </c>
      <c r="B202" t="s">
        <v>998</v>
      </c>
      <c r="C202" t="s">
        <v>999</v>
      </c>
      <c r="D202">
        <v>54.4</v>
      </c>
      <c r="E202">
        <v>40</v>
      </c>
      <c r="F202">
        <v>572</v>
      </c>
      <c r="G202">
        <f>MAX(ROUNDUP(D202, 0), E202) * IF(C202="COVERED", Parameters!$B$2, Parameters!$B$3)</f>
        <v>0</v>
      </c>
      <c r="H202">
        <f>F202 - G202</f>
        <v>0</v>
      </c>
      <c r="I202">
        <f>IF(ABS(H202)&gt;0.01, "Priority 3", "")</f>
        <v>0</v>
      </c>
    </row>
    <row r="203" spans="1:9">
      <c r="A203" t="s">
        <v>1200</v>
      </c>
      <c r="B203" t="s">
        <v>998</v>
      </c>
      <c r="C203" t="s">
        <v>999</v>
      </c>
      <c r="D203">
        <v>62</v>
      </c>
      <c r="E203">
        <v>32</v>
      </c>
      <c r="F203">
        <v>644.8</v>
      </c>
      <c r="G203">
        <f>MAX(ROUNDUP(D203, 0), E203) * IF(C203="COVERED", Parameters!$B$2, Parameters!$B$3)</f>
        <v>0</v>
      </c>
      <c r="H203">
        <f>F203 - G203</f>
        <v>0</v>
      </c>
      <c r="I203">
        <f>IF(ABS(H203)&gt;0.01, "Priority 3", "")</f>
        <v>0</v>
      </c>
    </row>
    <row r="204" spans="1:9">
      <c r="A204" t="s">
        <v>1201</v>
      </c>
      <c r="B204" t="s">
        <v>998</v>
      </c>
      <c r="C204" t="s">
        <v>999</v>
      </c>
      <c r="D204">
        <v>56.2</v>
      </c>
      <c r="E204">
        <v>28</v>
      </c>
      <c r="F204">
        <v>592.8</v>
      </c>
      <c r="G204">
        <f>MAX(ROUNDUP(D204, 0), E204) * IF(C204="COVERED", Parameters!$B$2, Parameters!$B$3)</f>
        <v>0</v>
      </c>
      <c r="H204">
        <f>F204 - G204</f>
        <v>0</v>
      </c>
      <c r="I204">
        <f>IF(ABS(H204)&gt;0.01, "Priority 3", "")</f>
        <v>0</v>
      </c>
    </row>
    <row r="205" spans="1:9">
      <c r="A205" t="s">
        <v>1202</v>
      </c>
      <c r="B205" t="s">
        <v>998</v>
      </c>
      <c r="C205" t="s">
        <v>999</v>
      </c>
      <c r="D205">
        <v>33.9</v>
      </c>
      <c r="E205">
        <v>24</v>
      </c>
      <c r="F205">
        <v>353.6</v>
      </c>
      <c r="G205">
        <f>MAX(ROUNDUP(D205, 0), E205) * IF(C205="COVERED", Parameters!$B$2, Parameters!$B$3)</f>
        <v>0</v>
      </c>
      <c r="H205">
        <f>F205 - G205</f>
        <v>0</v>
      </c>
      <c r="I205">
        <f>IF(ABS(H205)&gt;0.01, "Priority 3", "")</f>
        <v>0</v>
      </c>
    </row>
    <row r="206" spans="1:9">
      <c r="A206" t="s">
        <v>1203</v>
      </c>
      <c r="B206" t="s">
        <v>998</v>
      </c>
      <c r="C206" t="s">
        <v>999</v>
      </c>
      <c r="D206">
        <v>38</v>
      </c>
      <c r="E206">
        <v>28</v>
      </c>
      <c r="F206">
        <v>395.2</v>
      </c>
      <c r="G206">
        <f>MAX(ROUNDUP(D206, 0), E206) * IF(C206="COVERED", Parameters!$B$2, Parameters!$B$3)</f>
        <v>0</v>
      </c>
      <c r="H206">
        <f>F206 - G206</f>
        <v>0</v>
      </c>
      <c r="I206">
        <f>IF(ABS(H206)&gt;0.01, "Priority 3", "")</f>
        <v>0</v>
      </c>
    </row>
    <row r="207" spans="1:9">
      <c r="A207" t="s">
        <v>1204</v>
      </c>
      <c r="B207" t="s">
        <v>998</v>
      </c>
      <c r="C207" t="s">
        <v>999</v>
      </c>
      <c r="D207">
        <v>19.5</v>
      </c>
      <c r="E207">
        <v>36</v>
      </c>
      <c r="F207">
        <v>374.4</v>
      </c>
      <c r="G207">
        <f>MAX(ROUNDUP(D207, 0), E207) * IF(C207="COVERED", Parameters!$B$2, Parameters!$B$3)</f>
        <v>0</v>
      </c>
      <c r="H207">
        <f>F207 - G207</f>
        <v>0</v>
      </c>
      <c r="I207">
        <f>IF(ABS(H207)&gt;0.01, "Priority 3", "")</f>
        <v>0</v>
      </c>
    </row>
    <row r="208" spans="1:9">
      <c r="A208" t="s">
        <v>1205</v>
      </c>
      <c r="B208" t="s">
        <v>998</v>
      </c>
      <c r="C208" t="s">
        <v>999</v>
      </c>
      <c r="D208">
        <v>57.9</v>
      </c>
      <c r="E208">
        <v>32</v>
      </c>
      <c r="F208">
        <v>603.2</v>
      </c>
      <c r="G208">
        <f>MAX(ROUNDUP(D208, 0), E208) * IF(C208="COVERED", Parameters!$B$2, Parameters!$B$3)</f>
        <v>0</v>
      </c>
      <c r="H208">
        <f>F208 - G208</f>
        <v>0</v>
      </c>
      <c r="I208">
        <f>IF(ABS(H208)&gt;0.01, "Priority 3", "")</f>
        <v>0</v>
      </c>
    </row>
    <row r="209" spans="1:9">
      <c r="A209" t="s">
        <v>1206</v>
      </c>
      <c r="B209" t="s">
        <v>998</v>
      </c>
      <c r="C209" t="s">
        <v>999</v>
      </c>
      <c r="D209">
        <v>58.9</v>
      </c>
      <c r="E209">
        <v>32</v>
      </c>
      <c r="F209">
        <v>613.6</v>
      </c>
      <c r="G209">
        <f>MAX(ROUNDUP(D209, 0), E209) * IF(C209="COVERED", Parameters!$B$2, Parameters!$B$3)</f>
        <v>0</v>
      </c>
      <c r="H209">
        <f>F209 - G209</f>
        <v>0</v>
      </c>
      <c r="I209">
        <f>IF(ABS(H209)&gt;0.01, "Priority 3", "")</f>
        <v>0</v>
      </c>
    </row>
    <row r="210" spans="1:9">
      <c r="A210" t="s">
        <v>1207</v>
      </c>
      <c r="B210" t="s">
        <v>998</v>
      </c>
      <c r="C210" t="s">
        <v>999</v>
      </c>
      <c r="D210">
        <v>19.3</v>
      </c>
      <c r="E210">
        <v>32</v>
      </c>
      <c r="F210">
        <v>332.8</v>
      </c>
      <c r="G210">
        <f>MAX(ROUNDUP(D210, 0), E210) * IF(C210="COVERED", Parameters!$B$2, Parameters!$B$3)</f>
        <v>0</v>
      </c>
      <c r="H210">
        <f>F210 - G210</f>
        <v>0</v>
      </c>
      <c r="I210">
        <f>IF(ABS(H210)&gt;0.01, "Priority 3", "")</f>
        <v>0</v>
      </c>
    </row>
    <row r="211" spans="1:9">
      <c r="A211" t="s">
        <v>1208</v>
      </c>
      <c r="B211" t="s">
        <v>998</v>
      </c>
      <c r="C211" t="s">
        <v>999</v>
      </c>
      <c r="D211">
        <v>61.8</v>
      </c>
      <c r="E211">
        <v>32</v>
      </c>
      <c r="F211">
        <v>644.8</v>
      </c>
      <c r="G211">
        <f>MAX(ROUNDUP(D211, 0), E211) * IF(C211="COVERED", Parameters!$B$2, Parameters!$B$3)</f>
        <v>0</v>
      </c>
      <c r="H211">
        <f>F211 - G211</f>
        <v>0</v>
      </c>
      <c r="I211">
        <f>IF(ABS(H211)&gt;0.01, "Priority 3", "")</f>
        <v>0</v>
      </c>
    </row>
    <row r="212" spans="1:9">
      <c r="A212" t="s">
        <v>1209</v>
      </c>
      <c r="B212" t="s">
        <v>998</v>
      </c>
      <c r="C212" t="s">
        <v>999</v>
      </c>
      <c r="D212">
        <v>40.9</v>
      </c>
      <c r="E212">
        <v>24</v>
      </c>
      <c r="F212">
        <v>426.4</v>
      </c>
      <c r="G212">
        <f>MAX(ROUNDUP(D212, 0), E212) * IF(C212="COVERED", Parameters!$B$2, Parameters!$B$3)</f>
        <v>0</v>
      </c>
      <c r="H212">
        <f>F212 - G212</f>
        <v>0</v>
      </c>
      <c r="I212">
        <f>IF(ABS(H212)&gt;0.01, "Priority 3", "")</f>
        <v>0</v>
      </c>
    </row>
    <row r="213" spans="1:9">
      <c r="A213" t="s">
        <v>1210</v>
      </c>
      <c r="B213" t="s">
        <v>998</v>
      </c>
      <c r="C213" t="s">
        <v>999</v>
      </c>
      <c r="D213">
        <v>28.7</v>
      </c>
      <c r="E213">
        <v>28</v>
      </c>
      <c r="F213">
        <v>301.6</v>
      </c>
      <c r="G213">
        <f>MAX(ROUNDUP(D213, 0), E213) * IF(C213="COVERED", Parameters!$B$2, Parameters!$B$3)</f>
        <v>0</v>
      </c>
      <c r="H213">
        <f>F213 - G213</f>
        <v>0</v>
      </c>
      <c r="I213">
        <f>IF(ABS(H213)&gt;0.01, "Priority 3", "")</f>
        <v>0</v>
      </c>
    </row>
    <row r="214" spans="1:9">
      <c r="A214" t="s">
        <v>1211</v>
      </c>
      <c r="B214" t="s">
        <v>998</v>
      </c>
      <c r="C214" t="s">
        <v>999</v>
      </c>
      <c r="D214">
        <v>19.5</v>
      </c>
      <c r="E214">
        <v>28</v>
      </c>
      <c r="F214">
        <v>291.2</v>
      </c>
      <c r="G214">
        <f>MAX(ROUNDUP(D214, 0), E214) * IF(C214="COVERED", Parameters!$B$2, Parameters!$B$3)</f>
        <v>0</v>
      </c>
      <c r="H214">
        <f>F214 - G214</f>
        <v>0</v>
      </c>
      <c r="I214">
        <f>IF(ABS(H214)&gt;0.01, "Priority 3", "")</f>
        <v>0</v>
      </c>
    </row>
    <row r="215" spans="1:9">
      <c r="A215" t="s">
        <v>1212</v>
      </c>
      <c r="B215" t="s">
        <v>998</v>
      </c>
      <c r="C215" t="s">
        <v>999</v>
      </c>
      <c r="D215">
        <v>19.4</v>
      </c>
      <c r="E215">
        <v>24</v>
      </c>
      <c r="F215">
        <v>249.6</v>
      </c>
      <c r="G215">
        <f>MAX(ROUNDUP(D215, 0), E215) * IF(C215="COVERED", Parameters!$B$2, Parameters!$B$3)</f>
        <v>0</v>
      </c>
      <c r="H215">
        <f>F215 - G215</f>
        <v>0</v>
      </c>
      <c r="I215">
        <f>IF(ABS(H215)&gt;0.01, "Priority 3", "")</f>
        <v>0</v>
      </c>
    </row>
    <row r="216" spans="1:9">
      <c r="A216" t="s">
        <v>1213</v>
      </c>
      <c r="B216" t="s">
        <v>998</v>
      </c>
      <c r="C216" t="s">
        <v>999</v>
      </c>
      <c r="D216">
        <v>25.9</v>
      </c>
      <c r="E216">
        <v>28</v>
      </c>
      <c r="F216">
        <v>291.2</v>
      </c>
      <c r="G216">
        <f>MAX(ROUNDUP(D216, 0), E216) * IF(C216="COVERED", Parameters!$B$2, Parameters!$B$3)</f>
        <v>0</v>
      </c>
      <c r="H216">
        <f>F216 - G216</f>
        <v>0</v>
      </c>
      <c r="I216">
        <f>IF(ABS(H216)&gt;0.01, "Priority 3", "")</f>
        <v>0</v>
      </c>
    </row>
    <row r="217" spans="1:9">
      <c r="A217" t="s">
        <v>1214</v>
      </c>
      <c r="B217" t="s">
        <v>998</v>
      </c>
      <c r="C217" t="s">
        <v>999</v>
      </c>
      <c r="D217">
        <v>55.1</v>
      </c>
      <c r="E217">
        <v>32</v>
      </c>
      <c r="F217">
        <v>582.4</v>
      </c>
      <c r="G217">
        <f>MAX(ROUNDUP(D217, 0), E217) * IF(C217="COVERED", Parameters!$B$2, Parameters!$B$3)</f>
        <v>0</v>
      </c>
      <c r="H217">
        <f>F217 - G217</f>
        <v>0</v>
      </c>
      <c r="I217">
        <f>IF(ABS(H217)&gt;0.01, "Priority 3", "")</f>
        <v>0</v>
      </c>
    </row>
    <row r="218" spans="1:9">
      <c r="A218" t="s">
        <v>1215</v>
      </c>
      <c r="B218" t="s">
        <v>998</v>
      </c>
      <c r="C218" t="s">
        <v>999</v>
      </c>
      <c r="D218">
        <v>53.2</v>
      </c>
      <c r="E218">
        <v>32</v>
      </c>
      <c r="F218">
        <v>561.6</v>
      </c>
      <c r="G218">
        <f>MAX(ROUNDUP(D218, 0), E218) * IF(C218="COVERED", Parameters!$B$2, Parameters!$B$3)</f>
        <v>0</v>
      </c>
      <c r="H218">
        <f>F218 - G218</f>
        <v>0</v>
      </c>
      <c r="I218">
        <f>IF(ABS(H218)&gt;0.01, "Priority 3", "")</f>
        <v>0</v>
      </c>
    </row>
    <row r="219" spans="1:9">
      <c r="A219" t="s">
        <v>1216</v>
      </c>
      <c r="B219" t="s">
        <v>998</v>
      </c>
      <c r="C219" t="s">
        <v>999</v>
      </c>
      <c r="D219">
        <v>25.1</v>
      </c>
      <c r="E219">
        <v>32</v>
      </c>
      <c r="F219">
        <v>332.8</v>
      </c>
      <c r="G219">
        <f>MAX(ROUNDUP(D219, 0), E219) * IF(C219="COVERED", Parameters!$B$2, Parameters!$B$3)</f>
        <v>0</v>
      </c>
      <c r="H219">
        <f>F219 - G219</f>
        <v>0</v>
      </c>
      <c r="I219">
        <f>IF(ABS(H219)&gt;0.01, "Priority 3", "")</f>
        <v>0</v>
      </c>
    </row>
    <row r="220" spans="1:9">
      <c r="A220" t="s">
        <v>1217</v>
      </c>
      <c r="B220" t="s">
        <v>998</v>
      </c>
      <c r="C220" t="s">
        <v>999</v>
      </c>
      <c r="D220">
        <v>36.2</v>
      </c>
      <c r="E220">
        <v>24</v>
      </c>
      <c r="F220">
        <v>384.8</v>
      </c>
      <c r="G220">
        <f>MAX(ROUNDUP(D220, 0), E220) * IF(C220="COVERED", Parameters!$B$2, Parameters!$B$3)</f>
        <v>0</v>
      </c>
      <c r="H220">
        <f>F220 - G220</f>
        <v>0</v>
      </c>
      <c r="I220">
        <f>IF(ABS(H220)&gt;0.01, "Priority 3", "")</f>
        <v>0</v>
      </c>
    </row>
    <row r="221" spans="1:9">
      <c r="A221" t="s">
        <v>1218</v>
      </c>
      <c r="B221" t="s">
        <v>998</v>
      </c>
      <c r="C221" t="s">
        <v>999</v>
      </c>
      <c r="D221">
        <v>28.7</v>
      </c>
      <c r="E221">
        <v>24</v>
      </c>
      <c r="F221">
        <v>301.6</v>
      </c>
      <c r="G221">
        <f>MAX(ROUNDUP(D221, 0), E221) * IF(C221="COVERED", Parameters!$B$2, Parameters!$B$3)</f>
        <v>0</v>
      </c>
      <c r="H221">
        <f>F221 - G221</f>
        <v>0</v>
      </c>
      <c r="I221">
        <f>IF(ABS(H221)&gt;0.01, "Priority 3", "")</f>
        <v>0</v>
      </c>
    </row>
    <row r="222" spans="1:9">
      <c r="A222" t="s">
        <v>1219</v>
      </c>
      <c r="B222" t="s">
        <v>998</v>
      </c>
      <c r="C222" t="s">
        <v>999</v>
      </c>
      <c r="D222">
        <v>20</v>
      </c>
      <c r="E222">
        <v>24</v>
      </c>
      <c r="F222">
        <v>249.6</v>
      </c>
      <c r="G222">
        <f>MAX(ROUNDUP(D222, 0), E222) * IF(C222="COVERED", Parameters!$B$2, Parameters!$B$3)</f>
        <v>0</v>
      </c>
      <c r="H222">
        <f>F222 - G222</f>
        <v>0</v>
      </c>
      <c r="I222">
        <f>IF(ABS(H222)&gt;0.01, "Priority 3", "")</f>
        <v>0</v>
      </c>
    </row>
    <row r="223" spans="1:9">
      <c r="A223" t="s">
        <v>1220</v>
      </c>
      <c r="B223" t="s">
        <v>998</v>
      </c>
      <c r="C223" t="s">
        <v>999</v>
      </c>
      <c r="D223">
        <v>53.7</v>
      </c>
      <c r="E223">
        <v>32</v>
      </c>
      <c r="F223">
        <v>561.6</v>
      </c>
      <c r="G223">
        <f>MAX(ROUNDUP(D223, 0), E223) * IF(C223="COVERED", Parameters!$B$2, Parameters!$B$3)</f>
        <v>0</v>
      </c>
      <c r="H223">
        <f>F223 - G223</f>
        <v>0</v>
      </c>
      <c r="I223">
        <f>IF(ABS(H223)&gt;0.01, "Priority 3", "")</f>
        <v>0</v>
      </c>
    </row>
    <row r="224" spans="1:9">
      <c r="A224" t="s">
        <v>1221</v>
      </c>
      <c r="B224" t="s">
        <v>998</v>
      </c>
      <c r="C224" t="s">
        <v>999</v>
      </c>
      <c r="D224">
        <v>54.9</v>
      </c>
      <c r="E224">
        <v>28</v>
      </c>
      <c r="F224">
        <v>572</v>
      </c>
      <c r="G224">
        <f>MAX(ROUNDUP(D224, 0), E224) * IF(C224="COVERED", Parameters!$B$2, Parameters!$B$3)</f>
        <v>0</v>
      </c>
      <c r="H224">
        <f>F224 - G224</f>
        <v>0</v>
      </c>
      <c r="I224">
        <f>IF(ABS(H224)&gt;0.01, "Priority 3", "")</f>
        <v>0</v>
      </c>
    </row>
    <row r="225" spans="1:9">
      <c r="A225" t="s">
        <v>1222</v>
      </c>
      <c r="B225" t="s">
        <v>998</v>
      </c>
      <c r="C225" t="s">
        <v>999</v>
      </c>
      <c r="D225">
        <v>23.2</v>
      </c>
      <c r="E225">
        <v>32</v>
      </c>
      <c r="F225">
        <v>332.8</v>
      </c>
      <c r="G225">
        <f>MAX(ROUNDUP(D225, 0), E225) * IF(C225="COVERED", Parameters!$B$2, Parameters!$B$3)</f>
        <v>0</v>
      </c>
      <c r="H225">
        <f>F225 - G225</f>
        <v>0</v>
      </c>
      <c r="I225">
        <f>IF(ABS(H225)&gt;0.01, "Priority 3", "")</f>
        <v>0</v>
      </c>
    </row>
    <row r="226" spans="1:9">
      <c r="A226" t="s">
        <v>1223</v>
      </c>
      <c r="B226" t="s">
        <v>998</v>
      </c>
      <c r="C226" t="s">
        <v>999</v>
      </c>
      <c r="D226">
        <v>53.6</v>
      </c>
      <c r="E226">
        <v>32</v>
      </c>
      <c r="F226">
        <v>561.6</v>
      </c>
      <c r="G226">
        <f>MAX(ROUNDUP(D226, 0), E226) * IF(C226="COVERED", Parameters!$B$2, Parameters!$B$3)</f>
        <v>0</v>
      </c>
      <c r="H226">
        <f>F226 - G226</f>
        <v>0</v>
      </c>
      <c r="I226">
        <f>IF(ABS(H226)&gt;0.01, "Priority 3", "")</f>
        <v>0</v>
      </c>
    </row>
    <row r="227" spans="1:9">
      <c r="A227" t="s">
        <v>1224</v>
      </c>
      <c r="B227" t="s">
        <v>998</v>
      </c>
      <c r="C227" t="s">
        <v>999</v>
      </c>
      <c r="D227">
        <v>48.9</v>
      </c>
      <c r="E227">
        <v>36</v>
      </c>
      <c r="F227">
        <v>509.6</v>
      </c>
      <c r="G227">
        <f>MAX(ROUNDUP(D227, 0), E227) * IF(C227="COVERED", Parameters!$B$2, Parameters!$B$3)</f>
        <v>0</v>
      </c>
      <c r="H227">
        <f>F227 - G227</f>
        <v>0</v>
      </c>
      <c r="I227">
        <f>IF(ABS(H227)&gt;0.01, "Priority 3", "")</f>
        <v>0</v>
      </c>
    </row>
    <row r="228" spans="1:9">
      <c r="A228" t="s">
        <v>1225</v>
      </c>
      <c r="B228" t="s">
        <v>998</v>
      </c>
      <c r="C228" t="s">
        <v>999</v>
      </c>
      <c r="D228">
        <v>18.6</v>
      </c>
      <c r="E228">
        <v>24</v>
      </c>
      <c r="F228">
        <v>249.6</v>
      </c>
      <c r="G228">
        <f>MAX(ROUNDUP(D228, 0), E228) * IF(C228="COVERED", Parameters!$B$2, Parameters!$B$3)</f>
        <v>0</v>
      </c>
      <c r="H228">
        <f>F228 - G228</f>
        <v>0</v>
      </c>
      <c r="I228">
        <f>IF(ABS(H228)&gt;0.01, "Priority 3", "")</f>
        <v>0</v>
      </c>
    </row>
    <row r="229" spans="1:9">
      <c r="A229" t="s">
        <v>1226</v>
      </c>
      <c r="B229" t="s">
        <v>998</v>
      </c>
      <c r="C229" t="s">
        <v>999</v>
      </c>
      <c r="D229">
        <v>47.6</v>
      </c>
      <c r="E229">
        <v>28</v>
      </c>
      <c r="F229">
        <v>499.2</v>
      </c>
      <c r="G229">
        <f>MAX(ROUNDUP(D229, 0), E229) * IF(C229="COVERED", Parameters!$B$2, Parameters!$B$3)</f>
        <v>0</v>
      </c>
      <c r="H229">
        <f>F229 - G229</f>
        <v>0</v>
      </c>
      <c r="I229">
        <f>IF(ABS(H229)&gt;0.01, "Priority 3", "")</f>
        <v>0</v>
      </c>
    </row>
    <row r="230" spans="1:9">
      <c r="A230" t="s">
        <v>1227</v>
      </c>
      <c r="B230" t="s">
        <v>998</v>
      </c>
      <c r="C230" t="s">
        <v>999</v>
      </c>
      <c r="D230">
        <v>30.9</v>
      </c>
      <c r="E230">
        <v>32</v>
      </c>
      <c r="F230">
        <v>332.8</v>
      </c>
      <c r="G230">
        <f>MAX(ROUNDUP(D230, 0), E230) * IF(C230="COVERED", Parameters!$B$2, Parameters!$B$3)</f>
        <v>0</v>
      </c>
      <c r="H230">
        <f>F230 - G230</f>
        <v>0</v>
      </c>
      <c r="I230">
        <f>IF(ABS(H230)&gt;0.01, "Priority 3", "")</f>
        <v>0</v>
      </c>
    </row>
    <row r="231" spans="1:9">
      <c r="A231" t="s">
        <v>1228</v>
      </c>
      <c r="B231" t="s">
        <v>998</v>
      </c>
      <c r="C231" t="s">
        <v>999</v>
      </c>
      <c r="D231">
        <v>29.2</v>
      </c>
      <c r="E231">
        <v>24</v>
      </c>
      <c r="F231">
        <v>312</v>
      </c>
      <c r="G231">
        <f>MAX(ROUNDUP(D231, 0), E231) * IF(C231="COVERED", Parameters!$B$2, Parameters!$B$3)</f>
        <v>0</v>
      </c>
      <c r="H231">
        <f>F231 - G231</f>
        <v>0</v>
      </c>
      <c r="I231">
        <f>IF(ABS(H231)&gt;0.01, "Priority 3", "")</f>
        <v>0</v>
      </c>
    </row>
    <row r="232" spans="1:9">
      <c r="A232" t="s">
        <v>1229</v>
      </c>
      <c r="B232" t="s">
        <v>998</v>
      </c>
      <c r="C232" t="s">
        <v>999</v>
      </c>
      <c r="D232">
        <v>34.1</v>
      </c>
      <c r="E232">
        <v>24</v>
      </c>
      <c r="F232">
        <v>364</v>
      </c>
      <c r="G232">
        <f>MAX(ROUNDUP(D232, 0), E232) * IF(C232="COVERED", Parameters!$B$2, Parameters!$B$3)</f>
        <v>0</v>
      </c>
      <c r="H232">
        <f>F232 - G232</f>
        <v>0</v>
      </c>
      <c r="I232">
        <f>IF(ABS(H232)&gt;0.01, "Priority 3", "")</f>
        <v>0</v>
      </c>
    </row>
    <row r="233" spans="1:9">
      <c r="A233" t="s">
        <v>1230</v>
      </c>
      <c r="B233" t="s">
        <v>998</v>
      </c>
      <c r="C233" t="s">
        <v>999</v>
      </c>
      <c r="D233">
        <v>54.5</v>
      </c>
      <c r="E233">
        <v>32</v>
      </c>
      <c r="F233">
        <v>572</v>
      </c>
      <c r="G233">
        <f>MAX(ROUNDUP(D233, 0), E233) * IF(C233="COVERED", Parameters!$B$2, Parameters!$B$3)</f>
        <v>0</v>
      </c>
      <c r="H233">
        <f>F233 - G233</f>
        <v>0</v>
      </c>
      <c r="I233">
        <f>IF(ABS(H233)&gt;0.01, "Priority 3", "")</f>
        <v>0</v>
      </c>
    </row>
    <row r="234" spans="1:9">
      <c r="A234" t="s">
        <v>1231</v>
      </c>
      <c r="B234" t="s">
        <v>998</v>
      </c>
      <c r="C234" t="s">
        <v>999</v>
      </c>
      <c r="D234">
        <v>34.5</v>
      </c>
      <c r="E234">
        <v>40</v>
      </c>
      <c r="F234">
        <v>416</v>
      </c>
      <c r="G234">
        <f>MAX(ROUNDUP(D234, 0), E234) * IF(C234="COVERED", Parameters!$B$2, Parameters!$B$3)</f>
        <v>0</v>
      </c>
      <c r="H234">
        <f>F234 - G234</f>
        <v>0</v>
      </c>
      <c r="I234">
        <f>IF(ABS(H234)&gt;0.01, "Priority 3", "")</f>
        <v>0</v>
      </c>
    </row>
    <row r="235" spans="1:9">
      <c r="A235" t="s">
        <v>1232</v>
      </c>
      <c r="B235" t="s">
        <v>998</v>
      </c>
      <c r="C235" t="s">
        <v>999</v>
      </c>
      <c r="D235">
        <v>18</v>
      </c>
      <c r="E235">
        <v>24</v>
      </c>
      <c r="F235">
        <v>249.6</v>
      </c>
      <c r="G235">
        <f>MAX(ROUNDUP(D235, 0), E235) * IF(C235="COVERED", Parameters!$B$2, Parameters!$B$3)</f>
        <v>0</v>
      </c>
      <c r="H235">
        <f>F235 - G235</f>
        <v>0</v>
      </c>
      <c r="I235">
        <f>IF(ABS(H235)&gt;0.01, "Priority 3", "")</f>
        <v>0</v>
      </c>
    </row>
    <row r="236" spans="1:9">
      <c r="A236" t="s">
        <v>1233</v>
      </c>
      <c r="B236" t="s">
        <v>998</v>
      </c>
      <c r="C236" t="s">
        <v>999</v>
      </c>
      <c r="D236">
        <v>21.4</v>
      </c>
      <c r="E236">
        <v>32</v>
      </c>
      <c r="F236">
        <v>332.8</v>
      </c>
      <c r="G236">
        <f>MAX(ROUNDUP(D236, 0), E236) * IF(C236="COVERED", Parameters!$B$2, Parameters!$B$3)</f>
        <v>0</v>
      </c>
      <c r="H236">
        <f>F236 - G236</f>
        <v>0</v>
      </c>
      <c r="I236">
        <f>IF(ABS(H236)&gt;0.01, "Priority 3", "")</f>
        <v>0</v>
      </c>
    </row>
    <row r="237" spans="1:9">
      <c r="A237" t="s">
        <v>1234</v>
      </c>
      <c r="B237" t="s">
        <v>998</v>
      </c>
      <c r="C237" t="s">
        <v>999</v>
      </c>
      <c r="D237">
        <v>58.7</v>
      </c>
      <c r="E237">
        <v>28</v>
      </c>
      <c r="F237">
        <v>613.6</v>
      </c>
      <c r="G237">
        <f>MAX(ROUNDUP(D237, 0), E237) * IF(C237="COVERED", Parameters!$B$2, Parameters!$B$3)</f>
        <v>0</v>
      </c>
      <c r="H237">
        <f>F237 - G237</f>
        <v>0</v>
      </c>
      <c r="I237">
        <f>IF(ABS(H237)&gt;0.01, "Priority 3", "")</f>
        <v>0</v>
      </c>
    </row>
    <row r="238" spans="1:9">
      <c r="A238" t="s">
        <v>1235</v>
      </c>
      <c r="B238" t="s">
        <v>998</v>
      </c>
      <c r="C238" t="s">
        <v>999</v>
      </c>
      <c r="D238">
        <v>36.8</v>
      </c>
      <c r="E238">
        <v>28</v>
      </c>
      <c r="F238">
        <v>384.8</v>
      </c>
      <c r="G238">
        <f>MAX(ROUNDUP(D238, 0), E238) * IF(C238="COVERED", Parameters!$B$2, Parameters!$B$3)</f>
        <v>0</v>
      </c>
      <c r="H238">
        <f>F238 - G238</f>
        <v>0</v>
      </c>
      <c r="I238">
        <f>IF(ABS(H238)&gt;0.01, "Priority 3", "")</f>
        <v>0</v>
      </c>
    </row>
    <row r="239" spans="1:9">
      <c r="A239" t="s">
        <v>1236</v>
      </c>
      <c r="B239" t="s">
        <v>998</v>
      </c>
      <c r="C239" t="s">
        <v>999</v>
      </c>
      <c r="D239">
        <v>62</v>
      </c>
      <c r="E239">
        <v>24</v>
      </c>
      <c r="F239">
        <v>644.8</v>
      </c>
      <c r="G239">
        <f>MAX(ROUNDUP(D239, 0), E239) * IF(C239="COVERED", Parameters!$B$2, Parameters!$B$3)</f>
        <v>0</v>
      </c>
      <c r="H239">
        <f>F239 - G239</f>
        <v>0</v>
      </c>
      <c r="I239">
        <f>IF(ABS(H239)&gt;0.01, "Priority 3", "")</f>
        <v>0</v>
      </c>
    </row>
    <row r="240" spans="1:9">
      <c r="A240" t="s">
        <v>1237</v>
      </c>
      <c r="B240" t="s">
        <v>998</v>
      </c>
      <c r="C240" t="s">
        <v>999</v>
      </c>
      <c r="D240">
        <v>59.8</v>
      </c>
      <c r="E240">
        <v>24</v>
      </c>
      <c r="F240">
        <v>624</v>
      </c>
      <c r="G240">
        <f>MAX(ROUNDUP(D240, 0), E240) * IF(C240="COVERED", Parameters!$B$2, Parameters!$B$3)</f>
        <v>0</v>
      </c>
      <c r="H240">
        <f>F240 - G240</f>
        <v>0</v>
      </c>
      <c r="I240">
        <f>IF(ABS(H240)&gt;0.01, "Priority 3", "")</f>
        <v>0</v>
      </c>
    </row>
    <row r="241" spans="1:9">
      <c r="A241" t="s">
        <v>1238</v>
      </c>
      <c r="B241" t="s">
        <v>998</v>
      </c>
      <c r="C241" t="s">
        <v>999</v>
      </c>
      <c r="D241">
        <v>41.3</v>
      </c>
      <c r="E241">
        <v>32</v>
      </c>
      <c r="F241">
        <v>436.8</v>
      </c>
      <c r="G241">
        <f>MAX(ROUNDUP(D241, 0), E241) * IF(C241="COVERED", Parameters!$B$2, Parameters!$B$3)</f>
        <v>0</v>
      </c>
      <c r="H241">
        <f>F241 - G241</f>
        <v>0</v>
      </c>
      <c r="I241">
        <f>IF(ABS(H241)&gt;0.01, "Priority 3", "")</f>
        <v>0</v>
      </c>
    </row>
    <row r="242" spans="1:9">
      <c r="A242" t="s">
        <v>1239</v>
      </c>
      <c r="B242" t="s">
        <v>998</v>
      </c>
      <c r="C242" t="s">
        <v>999</v>
      </c>
      <c r="D242">
        <v>24.1</v>
      </c>
      <c r="E242">
        <v>32</v>
      </c>
      <c r="F242">
        <v>332.8</v>
      </c>
      <c r="G242">
        <f>MAX(ROUNDUP(D242, 0), E242) * IF(C242="COVERED", Parameters!$B$2, Parameters!$B$3)</f>
        <v>0</v>
      </c>
      <c r="H242">
        <f>F242 - G242</f>
        <v>0</v>
      </c>
      <c r="I242">
        <f>IF(ABS(H242)&gt;0.01, "Priority 3", "")</f>
        <v>0</v>
      </c>
    </row>
    <row r="243" spans="1:9">
      <c r="A243" t="s">
        <v>1240</v>
      </c>
      <c r="B243" t="s">
        <v>998</v>
      </c>
      <c r="C243" t="s">
        <v>999</v>
      </c>
      <c r="D243">
        <v>61</v>
      </c>
      <c r="E243">
        <v>36</v>
      </c>
      <c r="F243">
        <v>634.4</v>
      </c>
      <c r="G243">
        <f>MAX(ROUNDUP(D243, 0), E243) * IF(C243="COVERED", Parameters!$B$2, Parameters!$B$3)</f>
        <v>0</v>
      </c>
      <c r="H243">
        <f>F243 - G243</f>
        <v>0</v>
      </c>
      <c r="I243">
        <f>IF(ABS(H243)&gt;0.01, "Priority 3", "")</f>
        <v>0</v>
      </c>
    </row>
    <row r="244" spans="1:9">
      <c r="A244" t="s">
        <v>1241</v>
      </c>
      <c r="B244" t="s">
        <v>998</v>
      </c>
      <c r="C244" t="s">
        <v>999</v>
      </c>
      <c r="D244">
        <v>33.2</v>
      </c>
      <c r="E244">
        <v>24</v>
      </c>
      <c r="F244">
        <v>353.6</v>
      </c>
      <c r="G244">
        <f>MAX(ROUNDUP(D244, 0), E244) * IF(C244="COVERED", Parameters!$B$2, Parameters!$B$3)</f>
        <v>0</v>
      </c>
      <c r="H244">
        <f>F244 - G244</f>
        <v>0</v>
      </c>
      <c r="I244">
        <f>IF(ABS(H244)&gt;0.01, "Priority 3", "")</f>
        <v>0</v>
      </c>
    </row>
    <row r="245" spans="1:9">
      <c r="A245" t="s">
        <v>1242</v>
      </c>
      <c r="B245" t="s">
        <v>998</v>
      </c>
      <c r="C245" t="s">
        <v>999</v>
      </c>
      <c r="D245">
        <v>38.9</v>
      </c>
      <c r="E245">
        <v>24</v>
      </c>
      <c r="F245">
        <v>405.6</v>
      </c>
      <c r="G245">
        <f>MAX(ROUNDUP(D245, 0), E245) * IF(C245="COVERED", Parameters!$B$2, Parameters!$B$3)</f>
        <v>0</v>
      </c>
      <c r="H245">
        <f>F245 - G245</f>
        <v>0</v>
      </c>
      <c r="I245">
        <f>IF(ABS(H245)&gt;0.01, "Priority 3", "")</f>
        <v>0</v>
      </c>
    </row>
    <row r="246" spans="1:9">
      <c r="A246" t="s">
        <v>1243</v>
      </c>
      <c r="B246" t="s">
        <v>998</v>
      </c>
      <c r="C246" t="s">
        <v>999</v>
      </c>
      <c r="D246">
        <v>53.9</v>
      </c>
      <c r="E246">
        <v>40</v>
      </c>
      <c r="F246">
        <v>561.6</v>
      </c>
      <c r="G246">
        <f>MAX(ROUNDUP(D246, 0), E246) * IF(C246="COVERED", Parameters!$B$2, Parameters!$B$3)</f>
        <v>0</v>
      </c>
      <c r="H246">
        <f>F246 - G246</f>
        <v>0</v>
      </c>
      <c r="I246">
        <f>IF(ABS(H246)&gt;0.01, "Priority 3", "")</f>
        <v>0</v>
      </c>
    </row>
    <row r="247" spans="1:9">
      <c r="A247" t="s">
        <v>1244</v>
      </c>
      <c r="B247" t="s">
        <v>998</v>
      </c>
      <c r="C247" t="s">
        <v>999</v>
      </c>
      <c r="D247">
        <v>48.2</v>
      </c>
      <c r="E247">
        <v>24</v>
      </c>
      <c r="F247">
        <v>509.6</v>
      </c>
      <c r="G247">
        <f>MAX(ROUNDUP(D247, 0), E247) * IF(C247="COVERED", Parameters!$B$2, Parameters!$B$3)</f>
        <v>0</v>
      </c>
      <c r="H247">
        <f>F247 - G247</f>
        <v>0</v>
      </c>
      <c r="I247">
        <f>IF(ABS(H247)&gt;0.01, "Priority 3", "")</f>
        <v>0</v>
      </c>
    </row>
    <row r="248" spans="1:9">
      <c r="A248" t="s">
        <v>1245</v>
      </c>
      <c r="B248" t="s">
        <v>998</v>
      </c>
      <c r="C248" t="s">
        <v>999</v>
      </c>
      <c r="D248">
        <v>35.5</v>
      </c>
      <c r="E248">
        <v>24</v>
      </c>
      <c r="F248">
        <v>374.4</v>
      </c>
      <c r="G248">
        <f>MAX(ROUNDUP(D248, 0), E248) * IF(C248="COVERED", Parameters!$B$2, Parameters!$B$3)</f>
        <v>0</v>
      </c>
      <c r="H248">
        <f>F248 - G248</f>
        <v>0</v>
      </c>
      <c r="I248">
        <f>IF(ABS(H248)&gt;0.01, "Priority 3", "")</f>
        <v>0</v>
      </c>
    </row>
    <row r="249" spans="1:9">
      <c r="A249" t="s">
        <v>1246</v>
      </c>
      <c r="B249" t="s">
        <v>998</v>
      </c>
      <c r="C249" t="s">
        <v>999</v>
      </c>
      <c r="D249">
        <v>29.7</v>
      </c>
      <c r="E249">
        <v>32</v>
      </c>
      <c r="F249">
        <v>332.8</v>
      </c>
      <c r="G249">
        <f>MAX(ROUNDUP(D249, 0), E249) * IF(C249="COVERED", Parameters!$B$2, Parameters!$B$3)</f>
        <v>0</v>
      </c>
      <c r="H249">
        <f>F249 - G249</f>
        <v>0</v>
      </c>
      <c r="I249">
        <f>IF(ABS(H249)&gt;0.01, "Priority 3", "")</f>
        <v>0</v>
      </c>
    </row>
    <row r="250" spans="1:9">
      <c r="A250" t="s">
        <v>1247</v>
      </c>
      <c r="B250" t="s">
        <v>998</v>
      </c>
      <c r="C250" t="s">
        <v>999</v>
      </c>
      <c r="D250">
        <v>30.9</v>
      </c>
      <c r="E250">
        <v>28</v>
      </c>
      <c r="F250">
        <v>322.4</v>
      </c>
      <c r="G250">
        <f>MAX(ROUNDUP(D250, 0), E250) * IF(C250="COVERED", Parameters!$B$2, Parameters!$B$3)</f>
        <v>0</v>
      </c>
      <c r="H250">
        <f>F250 - G250</f>
        <v>0</v>
      </c>
      <c r="I250">
        <f>IF(ABS(H250)&gt;0.01, "Priority 3", "")</f>
        <v>0</v>
      </c>
    </row>
    <row r="251" spans="1:9">
      <c r="A251" t="s">
        <v>1248</v>
      </c>
      <c r="B251" t="s">
        <v>998</v>
      </c>
      <c r="C251" t="s">
        <v>999</v>
      </c>
      <c r="D251">
        <v>52</v>
      </c>
      <c r="E251">
        <v>24</v>
      </c>
      <c r="F251">
        <v>540.8</v>
      </c>
      <c r="G251">
        <f>MAX(ROUNDUP(D251, 0), E251) * IF(C251="COVERED", Parameters!$B$2, Parameters!$B$3)</f>
        <v>0</v>
      </c>
      <c r="H251">
        <f>F251 - G251</f>
        <v>0</v>
      </c>
      <c r="I251">
        <f>IF(ABS(H251)&gt;0.01, "Priority 3", "")</f>
        <v>0</v>
      </c>
    </row>
    <row r="252" spans="1:9">
      <c r="A252" t="s">
        <v>1249</v>
      </c>
      <c r="B252" t="s">
        <v>998</v>
      </c>
      <c r="C252" t="s">
        <v>999</v>
      </c>
      <c r="D252">
        <v>39</v>
      </c>
      <c r="E252">
        <v>32</v>
      </c>
      <c r="F252">
        <v>405.6</v>
      </c>
      <c r="G252">
        <f>MAX(ROUNDUP(D252, 0), E252) * IF(C252="COVERED", Parameters!$B$2, Parameters!$B$3)</f>
        <v>0</v>
      </c>
      <c r="H252">
        <f>F252 - G252</f>
        <v>0</v>
      </c>
      <c r="I252">
        <f>IF(ABS(H252)&gt;0.01, "Priority 3", "")</f>
        <v>0</v>
      </c>
    </row>
    <row r="253" spans="1:9">
      <c r="A253" t="s">
        <v>1250</v>
      </c>
      <c r="B253" t="s">
        <v>998</v>
      </c>
      <c r="C253" t="s">
        <v>999</v>
      </c>
      <c r="D253">
        <v>53</v>
      </c>
      <c r="E253">
        <v>36</v>
      </c>
      <c r="F253">
        <v>551.2</v>
      </c>
      <c r="G253">
        <f>MAX(ROUNDUP(D253, 0), E253) * IF(C253="COVERED", Parameters!$B$2, Parameters!$B$3)</f>
        <v>0</v>
      </c>
      <c r="H253">
        <f>F253 - G253</f>
        <v>0</v>
      </c>
      <c r="I253">
        <f>IF(ABS(H253)&gt;0.01, "Priority 3", "")</f>
        <v>0</v>
      </c>
    </row>
    <row r="254" spans="1:9">
      <c r="A254" t="s">
        <v>1251</v>
      </c>
      <c r="B254" t="s">
        <v>998</v>
      </c>
      <c r="C254" t="s">
        <v>999</v>
      </c>
      <c r="D254">
        <v>24.8</v>
      </c>
      <c r="E254">
        <v>28</v>
      </c>
      <c r="F254">
        <v>291.2</v>
      </c>
      <c r="G254">
        <f>MAX(ROUNDUP(D254, 0), E254) * IF(C254="COVERED", Parameters!$B$2, Parameters!$B$3)</f>
        <v>0</v>
      </c>
      <c r="H254">
        <f>F254 - G254</f>
        <v>0</v>
      </c>
      <c r="I254">
        <f>IF(ABS(H254)&gt;0.01, "Priority 3", "")</f>
        <v>0</v>
      </c>
    </row>
    <row r="255" spans="1:9">
      <c r="A255" t="s">
        <v>1252</v>
      </c>
      <c r="B255" t="s">
        <v>998</v>
      </c>
      <c r="C255" t="s">
        <v>999</v>
      </c>
      <c r="D255">
        <v>40.2</v>
      </c>
      <c r="E255">
        <v>28</v>
      </c>
      <c r="F255">
        <v>426.4</v>
      </c>
      <c r="G255">
        <f>MAX(ROUNDUP(D255, 0), E255) * IF(C255="COVERED", Parameters!$B$2, Parameters!$B$3)</f>
        <v>0</v>
      </c>
      <c r="H255">
        <f>F255 - G255</f>
        <v>0</v>
      </c>
      <c r="I255">
        <f>IF(ABS(H255)&gt;0.01, "Priority 3", "")</f>
        <v>0</v>
      </c>
    </row>
    <row r="256" spans="1:9">
      <c r="A256" t="s">
        <v>1253</v>
      </c>
      <c r="B256" t="s">
        <v>998</v>
      </c>
      <c r="C256" t="s">
        <v>999</v>
      </c>
      <c r="D256">
        <v>32</v>
      </c>
      <c r="E256">
        <v>24</v>
      </c>
      <c r="F256">
        <v>332.8</v>
      </c>
      <c r="G256">
        <f>MAX(ROUNDUP(D256, 0), E256) * IF(C256="COVERED", Parameters!$B$2, Parameters!$B$3)</f>
        <v>0</v>
      </c>
      <c r="H256">
        <f>F256 - G256</f>
        <v>0</v>
      </c>
      <c r="I256">
        <f>IF(ABS(H256)&gt;0.01, "Priority 3", "")</f>
        <v>0</v>
      </c>
    </row>
    <row r="257" spans="1:9">
      <c r="A257" t="s">
        <v>1254</v>
      </c>
      <c r="B257" t="s">
        <v>998</v>
      </c>
      <c r="C257" t="s">
        <v>999</v>
      </c>
      <c r="D257">
        <v>54.6</v>
      </c>
      <c r="E257">
        <v>36</v>
      </c>
      <c r="F257">
        <v>572</v>
      </c>
      <c r="G257">
        <f>MAX(ROUNDUP(D257, 0), E257) * IF(C257="COVERED", Parameters!$B$2, Parameters!$B$3)</f>
        <v>0</v>
      </c>
      <c r="H257">
        <f>F257 - G257</f>
        <v>0</v>
      </c>
      <c r="I257">
        <f>IF(ABS(H257)&gt;0.01, "Priority 3", "")</f>
        <v>0</v>
      </c>
    </row>
    <row r="258" spans="1:9">
      <c r="A258" t="s">
        <v>1255</v>
      </c>
      <c r="B258" t="s">
        <v>998</v>
      </c>
      <c r="C258" t="s">
        <v>999</v>
      </c>
      <c r="D258">
        <v>53.2</v>
      </c>
      <c r="E258">
        <v>32</v>
      </c>
      <c r="F258">
        <v>561.6</v>
      </c>
      <c r="G258">
        <f>MAX(ROUNDUP(D258, 0), E258) * IF(C258="COVERED", Parameters!$B$2, Parameters!$B$3)</f>
        <v>0</v>
      </c>
      <c r="H258">
        <f>F258 - G258</f>
        <v>0</v>
      </c>
      <c r="I258">
        <f>IF(ABS(H258)&gt;0.01, "Priority 3", "")</f>
        <v>0</v>
      </c>
    </row>
    <row r="259" spans="1:9">
      <c r="A259" t="s">
        <v>1256</v>
      </c>
      <c r="B259" t="s">
        <v>998</v>
      </c>
      <c r="C259" t="s">
        <v>999</v>
      </c>
      <c r="D259">
        <v>44</v>
      </c>
      <c r="E259">
        <v>24</v>
      </c>
      <c r="F259">
        <v>457.6</v>
      </c>
      <c r="G259">
        <f>MAX(ROUNDUP(D259, 0), E259) * IF(C259="COVERED", Parameters!$B$2, Parameters!$B$3)</f>
        <v>0</v>
      </c>
      <c r="H259">
        <f>F259 - G259</f>
        <v>0</v>
      </c>
      <c r="I259">
        <f>IF(ABS(H259)&gt;0.01, "Priority 3", "")</f>
        <v>0</v>
      </c>
    </row>
    <row r="260" spans="1:9">
      <c r="A260" t="s">
        <v>1257</v>
      </c>
      <c r="B260" t="s">
        <v>998</v>
      </c>
      <c r="C260" t="s">
        <v>999</v>
      </c>
      <c r="D260">
        <v>61.3</v>
      </c>
      <c r="E260">
        <v>32</v>
      </c>
      <c r="F260">
        <v>644.8</v>
      </c>
      <c r="G260">
        <f>MAX(ROUNDUP(D260, 0), E260) * IF(C260="COVERED", Parameters!$B$2, Parameters!$B$3)</f>
        <v>0</v>
      </c>
      <c r="H260">
        <f>F260 - G260</f>
        <v>0</v>
      </c>
      <c r="I260">
        <f>IF(ABS(H260)&gt;0.01, "Priority 3", "")</f>
        <v>0</v>
      </c>
    </row>
    <row r="261" spans="1:9">
      <c r="A261" t="s">
        <v>1258</v>
      </c>
      <c r="B261" t="s">
        <v>998</v>
      </c>
      <c r="C261" t="s">
        <v>999</v>
      </c>
      <c r="D261">
        <v>47.6</v>
      </c>
      <c r="E261">
        <v>28</v>
      </c>
      <c r="F261">
        <v>499.2</v>
      </c>
      <c r="G261">
        <f>MAX(ROUNDUP(D261, 0), E261) * IF(C261="COVERED", Parameters!$B$2, Parameters!$B$3)</f>
        <v>0</v>
      </c>
      <c r="H261">
        <f>F261 - G261</f>
        <v>0</v>
      </c>
      <c r="I261">
        <f>IF(ABS(H261)&gt;0.01, "Priority 3", "")</f>
        <v>0</v>
      </c>
    </row>
    <row r="262" spans="1:9">
      <c r="A262" t="s">
        <v>1259</v>
      </c>
      <c r="B262" t="s">
        <v>998</v>
      </c>
      <c r="C262" t="s">
        <v>999</v>
      </c>
      <c r="D262">
        <v>56.3</v>
      </c>
      <c r="E262">
        <v>32</v>
      </c>
      <c r="F262">
        <v>592.8</v>
      </c>
      <c r="G262">
        <f>MAX(ROUNDUP(D262, 0), E262) * IF(C262="COVERED", Parameters!$B$2, Parameters!$B$3)</f>
        <v>0</v>
      </c>
      <c r="H262">
        <f>F262 - G262</f>
        <v>0</v>
      </c>
      <c r="I262">
        <f>IF(ABS(H262)&gt;0.01, "Priority 3", "")</f>
        <v>0</v>
      </c>
    </row>
    <row r="263" spans="1:9">
      <c r="A263" t="s">
        <v>1260</v>
      </c>
      <c r="B263" t="s">
        <v>998</v>
      </c>
      <c r="C263" t="s">
        <v>999</v>
      </c>
      <c r="D263">
        <v>31.4</v>
      </c>
      <c r="E263">
        <v>40</v>
      </c>
      <c r="F263">
        <v>416</v>
      </c>
      <c r="G263">
        <f>MAX(ROUNDUP(D263, 0), E263) * IF(C263="COVERED", Parameters!$B$2, Parameters!$B$3)</f>
        <v>0</v>
      </c>
      <c r="H263">
        <f>F263 - G263</f>
        <v>0</v>
      </c>
      <c r="I263">
        <f>IF(ABS(H263)&gt;0.01, "Priority 3", "")</f>
        <v>0</v>
      </c>
    </row>
    <row r="264" spans="1:9">
      <c r="A264" t="s">
        <v>1261</v>
      </c>
      <c r="B264" t="s">
        <v>998</v>
      </c>
      <c r="C264" t="s">
        <v>999</v>
      </c>
      <c r="D264">
        <v>58.8</v>
      </c>
      <c r="E264">
        <v>36</v>
      </c>
      <c r="F264">
        <v>613.6</v>
      </c>
      <c r="G264">
        <f>MAX(ROUNDUP(D264, 0), E264) * IF(C264="COVERED", Parameters!$B$2, Parameters!$B$3)</f>
        <v>0</v>
      </c>
      <c r="H264">
        <f>F264 - G264</f>
        <v>0</v>
      </c>
      <c r="I264">
        <f>IF(ABS(H264)&gt;0.01, "Priority 3", "")</f>
        <v>0</v>
      </c>
    </row>
    <row r="265" spans="1:9">
      <c r="A265" t="s">
        <v>1262</v>
      </c>
      <c r="B265" t="s">
        <v>998</v>
      </c>
      <c r="C265" t="s">
        <v>999</v>
      </c>
      <c r="D265">
        <v>46.9</v>
      </c>
      <c r="E265">
        <v>32</v>
      </c>
      <c r="F265">
        <v>488.8</v>
      </c>
      <c r="G265">
        <f>MAX(ROUNDUP(D265, 0), E265) * IF(C265="COVERED", Parameters!$B$2, Parameters!$B$3)</f>
        <v>0</v>
      </c>
      <c r="H265">
        <f>F265 - G265</f>
        <v>0</v>
      </c>
      <c r="I265">
        <f>IF(ABS(H265)&gt;0.01, "Priority 3", "")</f>
        <v>0</v>
      </c>
    </row>
    <row r="266" spans="1:9">
      <c r="A266" t="s">
        <v>1263</v>
      </c>
      <c r="B266" t="s">
        <v>998</v>
      </c>
      <c r="C266" t="s">
        <v>999</v>
      </c>
      <c r="D266">
        <v>42.3</v>
      </c>
      <c r="E266">
        <v>32</v>
      </c>
      <c r="F266">
        <v>447.2</v>
      </c>
      <c r="G266">
        <f>MAX(ROUNDUP(D266, 0), E266) * IF(C266="COVERED", Parameters!$B$2, Parameters!$B$3)</f>
        <v>0</v>
      </c>
      <c r="H266">
        <f>F266 - G266</f>
        <v>0</v>
      </c>
      <c r="I266">
        <f>IF(ABS(H266)&gt;0.01, "Priority 3", "")</f>
        <v>0</v>
      </c>
    </row>
    <row r="267" spans="1:9">
      <c r="A267" t="s">
        <v>1264</v>
      </c>
      <c r="B267" t="s">
        <v>998</v>
      </c>
      <c r="C267" t="s">
        <v>999</v>
      </c>
      <c r="D267">
        <v>27.2</v>
      </c>
      <c r="E267">
        <v>40</v>
      </c>
      <c r="F267">
        <v>416</v>
      </c>
      <c r="G267">
        <f>MAX(ROUNDUP(D267, 0), E267) * IF(C267="COVERED", Parameters!$B$2, Parameters!$B$3)</f>
        <v>0</v>
      </c>
      <c r="H267">
        <f>F267 - G267</f>
        <v>0</v>
      </c>
      <c r="I267">
        <f>IF(ABS(H267)&gt;0.01, "Priority 3", "")</f>
        <v>0</v>
      </c>
    </row>
    <row r="268" spans="1:9">
      <c r="A268" t="s">
        <v>1265</v>
      </c>
      <c r="B268" t="s">
        <v>998</v>
      </c>
      <c r="C268" t="s">
        <v>999</v>
      </c>
      <c r="D268">
        <v>36</v>
      </c>
      <c r="E268">
        <v>32</v>
      </c>
      <c r="F268">
        <v>374.4</v>
      </c>
      <c r="G268">
        <f>MAX(ROUNDUP(D268, 0), E268) * IF(C268="COVERED", Parameters!$B$2, Parameters!$B$3)</f>
        <v>0</v>
      </c>
      <c r="H268">
        <f>F268 - G268</f>
        <v>0</v>
      </c>
      <c r="I268">
        <f>IF(ABS(H268)&gt;0.01, "Priority 3", "")</f>
        <v>0</v>
      </c>
    </row>
    <row r="269" spans="1:9">
      <c r="A269" t="s">
        <v>1266</v>
      </c>
      <c r="B269" t="s">
        <v>998</v>
      </c>
      <c r="C269" t="s">
        <v>999</v>
      </c>
      <c r="D269">
        <v>41.7</v>
      </c>
      <c r="E269">
        <v>40</v>
      </c>
      <c r="F269">
        <v>436.8</v>
      </c>
      <c r="G269">
        <f>MAX(ROUNDUP(D269, 0), E269) * IF(C269="COVERED", Parameters!$B$2, Parameters!$B$3)</f>
        <v>0</v>
      </c>
      <c r="H269">
        <f>F269 - G269</f>
        <v>0</v>
      </c>
      <c r="I269">
        <f>IF(ABS(H269)&gt;0.01, "Priority 3", "")</f>
        <v>0</v>
      </c>
    </row>
    <row r="270" spans="1:9">
      <c r="A270" t="s">
        <v>1267</v>
      </c>
      <c r="B270" t="s">
        <v>998</v>
      </c>
      <c r="C270" t="s">
        <v>999</v>
      </c>
      <c r="D270">
        <v>34.3</v>
      </c>
      <c r="E270">
        <v>28</v>
      </c>
      <c r="F270">
        <v>364</v>
      </c>
      <c r="G270">
        <f>MAX(ROUNDUP(D270, 0), E270) * IF(C270="COVERED", Parameters!$B$2, Parameters!$B$3)</f>
        <v>0</v>
      </c>
      <c r="H270">
        <f>F270 - G270</f>
        <v>0</v>
      </c>
      <c r="I270">
        <f>IF(ABS(H270)&gt;0.01, "Priority 3", "")</f>
        <v>0</v>
      </c>
    </row>
    <row r="271" spans="1:9">
      <c r="A271" t="s">
        <v>1268</v>
      </c>
      <c r="B271" t="s">
        <v>998</v>
      </c>
      <c r="C271" t="s">
        <v>999</v>
      </c>
      <c r="D271">
        <v>22.5</v>
      </c>
      <c r="E271">
        <v>28</v>
      </c>
      <c r="F271">
        <v>291.2</v>
      </c>
      <c r="G271">
        <f>MAX(ROUNDUP(D271, 0), E271) * IF(C271="COVERED", Parameters!$B$2, Parameters!$B$3)</f>
        <v>0</v>
      </c>
      <c r="H271">
        <f>F271 - G271</f>
        <v>0</v>
      </c>
      <c r="I271">
        <f>IF(ABS(H271)&gt;0.01, "Priority 3", "")</f>
        <v>0</v>
      </c>
    </row>
    <row r="272" spans="1:9">
      <c r="A272" t="s">
        <v>1269</v>
      </c>
      <c r="B272" t="s">
        <v>998</v>
      </c>
      <c r="C272" t="s">
        <v>999</v>
      </c>
      <c r="D272">
        <v>49.1</v>
      </c>
      <c r="E272">
        <v>24</v>
      </c>
      <c r="F272">
        <v>520</v>
      </c>
      <c r="G272">
        <f>MAX(ROUNDUP(D272, 0), E272) * IF(C272="COVERED", Parameters!$B$2, Parameters!$B$3)</f>
        <v>0</v>
      </c>
      <c r="H272">
        <f>F272 - G272</f>
        <v>0</v>
      </c>
      <c r="I272">
        <f>IF(ABS(H272)&gt;0.01, "Priority 3", "")</f>
        <v>0</v>
      </c>
    </row>
    <row r="273" spans="1:9">
      <c r="A273" t="s">
        <v>1270</v>
      </c>
      <c r="B273" t="s">
        <v>998</v>
      </c>
      <c r="C273" t="s">
        <v>999</v>
      </c>
      <c r="D273">
        <v>21.8</v>
      </c>
      <c r="E273">
        <v>40</v>
      </c>
      <c r="F273">
        <v>416</v>
      </c>
      <c r="G273">
        <f>MAX(ROUNDUP(D273, 0), E273) * IF(C273="COVERED", Parameters!$B$2, Parameters!$B$3)</f>
        <v>0</v>
      </c>
      <c r="H273">
        <f>F273 - G273</f>
        <v>0</v>
      </c>
      <c r="I273">
        <f>IF(ABS(H273)&gt;0.01, "Priority 3", "")</f>
        <v>0</v>
      </c>
    </row>
    <row r="274" spans="1:9">
      <c r="A274" t="s">
        <v>1271</v>
      </c>
      <c r="B274" t="s">
        <v>998</v>
      </c>
      <c r="C274" t="s">
        <v>999</v>
      </c>
      <c r="D274">
        <v>38.1</v>
      </c>
      <c r="E274">
        <v>32</v>
      </c>
      <c r="F274">
        <v>405.6</v>
      </c>
      <c r="G274">
        <f>MAX(ROUNDUP(D274, 0), E274) * IF(C274="COVERED", Parameters!$B$2, Parameters!$B$3)</f>
        <v>0</v>
      </c>
      <c r="H274">
        <f>F274 - G274</f>
        <v>0</v>
      </c>
      <c r="I274">
        <f>IF(ABS(H274)&gt;0.01, "Priority 3", "")</f>
        <v>0</v>
      </c>
    </row>
    <row r="275" spans="1:9">
      <c r="A275" t="s">
        <v>1272</v>
      </c>
      <c r="B275" t="s">
        <v>998</v>
      </c>
      <c r="C275" t="s">
        <v>999</v>
      </c>
      <c r="D275">
        <v>20.9</v>
      </c>
      <c r="E275">
        <v>28</v>
      </c>
      <c r="F275">
        <v>291.2</v>
      </c>
      <c r="G275">
        <f>MAX(ROUNDUP(D275, 0), E275) * IF(C275="COVERED", Parameters!$B$2, Parameters!$B$3)</f>
        <v>0</v>
      </c>
      <c r="H275">
        <f>F275 - G275</f>
        <v>0</v>
      </c>
      <c r="I275">
        <f>IF(ABS(H275)&gt;0.01, "Priority 3", "")</f>
        <v>0</v>
      </c>
    </row>
    <row r="276" spans="1:9">
      <c r="A276" t="s">
        <v>1273</v>
      </c>
      <c r="B276" t="s">
        <v>998</v>
      </c>
      <c r="C276" t="s">
        <v>999</v>
      </c>
      <c r="D276">
        <v>38.3</v>
      </c>
      <c r="E276">
        <v>40</v>
      </c>
      <c r="F276">
        <v>416</v>
      </c>
      <c r="G276">
        <f>MAX(ROUNDUP(D276, 0), E276) * IF(C276="COVERED", Parameters!$B$2, Parameters!$B$3)</f>
        <v>0</v>
      </c>
      <c r="H276">
        <f>F276 - G276</f>
        <v>0</v>
      </c>
      <c r="I276">
        <f>IF(ABS(H276)&gt;0.01, "Priority 3", "")</f>
        <v>0</v>
      </c>
    </row>
    <row r="277" spans="1:9">
      <c r="A277" t="s">
        <v>1274</v>
      </c>
      <c r="B277" t="s">
        <v>998</v>
      </c>
      <c r="C277" t="s">
        <v>999</v>
      </c>
      <c r="D277">
        <v>57.3</v>
      </c>
      <c r="E277">
        <v>24</v>
      </c>
      <c r="F277">
        <v>603.2</v>
      </c>
      <c r="G277">
        <f>MAX(ROUNDUP(D277, 0), E277) * IF(C277="COVERED", Parameters!$B$2, Parameters!$B$3)</f>
        <v>0</v>
      </c>
      <c r="H277">
        <f>F277 - G277</f>
        <v>0</v>
      </c>
      <c r="I277">
        <f>IF(ABS(H277)&gt;0.01, "Priority 3", "")</f>
        <v>0</v>
      </c>
    </row>
    <row r="278" spans="1:9">
      <c r="A278" t="s">
        <v>1275</v>
      </c>
      <c r="B278" t="s">
        <v>998</v>
      </c>
      <c r="C278" t="s">
        <v>999</v>
      </c>
      <c r="D278">
        <v>38.2</v>
      </c>
      <c r="E278">
        <v>24</v>
      </c>
      <c r="F278">
        <v>405.6</v>
      </c>
      <c r="G278">
        <f>MAX(ROUNDUP(D278, 0), E278) * IF(C278="COVERED", Parameters!$B$2, Parameters!$B$3)</f>
        <v>0</v>
      </c>
      <c r="H278">
        <f>F278 - G278</f>
        <v>0</v>
      </c>
      <c r="I278">
        <f>IF(ABS(H278)&gt;0.01, "Priority 3", "")</f>
        <v>0</v>
      </c>
    </row>
    <row r="279" spans="1:9">
      <c r="A279" t="s">
        <v>1276</v>
      </c>
      <c r="B279" t="s">
        <v>998</v>
      </c>
      <c r="C279" t="s">
        <v>999</v>
      </c>
      <c r="D279">
        <v>60.4</v>
      </c>
      <c r="E279">
        <v>24</v>
      </c>
      <c r="F279">
        <v>634.4</v>
      </c>
      <c r="G279">
        <f>MAX(ROUNDUP(D279, 0), E279) * IF(C279="COVERED", Parameters!$B$2, Parameters!$B$3)</f>
        <v>0</v>
      </c>
      <c r="H279">
        <f>F279 - G279</f>
        <v>0</v>
      </c>
      <c r="I279">
        <f>IF(ABS(H279)&gt;0.01, "Priority 3", "")</f>
        <v>0</v>
      </c>
    </row>
    <row r="280" spans="1:9">
      <c r="A280" t="s">
        <v>1277</v>
      </c>
      <c r="B280" t="s">
        <v>998</v>
      </c>
      <c r="C280" t="s">
        <v>999</v>
      </c>
      <c r="D280">
        <v>18.3</v>
      </c>
      <c r="E280">
        <v>28</v>
      </c>
      <c r="F280">
        <v>291.2</v>
      </c>
      <c r="G280">
        <f>MAX(ROUNDUP(D280, 0), E280) * IF(C280="COVERED", Parameters!$B$2, Parameters!$B$3)</f>
        <v>0</v>
      </c>
      <c r="H280">
        <f>F280 - G280</f>
        <v>0</v>
      </c>
      <c r="I280">
        <f>IF(ABS(H280)&gt;0.01, "Priority 3", "")</f>
        <v>0</v>
      </c>
    </row>
    <row r="281" spans="1:9">
      <c r="A281" t="s">
        <v>1278</v>
      </c>
      <c r="B281" t="s">
        <v>998</v>
      </c>
      <c r="C281" t="s">
        <v>999</v>
      </c>
      <c r="D281">
        <v>30.8</v>
      </c>
      <c r="E281">
        <v>40</v>
      </c>
      <c r="F281">
        <v>416</v>
      </c>
      <c r="G281">
        <f>MAX(ROUNDUP(D281, 0), E281) * IF(C281="COVERED", Parameters!$B$2, Parameters!$B$3)</f>
        <v>0</v>
      </c>
      <c r="H281">
        <f>F281 - G281</f>
        <v>0</v>
      </c>
      <c r="I281">
        <f>IF(ABS(H281)&gt;0.01, "Priority 3", "")</f>
        <v>0</v>
      </c>
    </row>
    <row r="282" spans="1:9">
      <c r="A282" t="s">
        <v>1279</v>
      </c>
      <c r="B282" t="s">
        <v>998</v>
      </c>
      <c r="C282" t="s">
        <v>999</v>
      </c>
      <c r="D282">
        <v>38.5</v>
      </c>
      <c r="E282">
        <v>24</v>
      </c>
      <c r="F282">
        <v>405.6</v>
      </c>
      <c r="G282">
        <f>MAX(ROUNDUP(D282, 0), E282) * IF(C282="COVERED", Parameters!$B$2, Parameters!$B$3)</f>
        <v>0</v>
      </c>
      <c r="H282">
        <f>F282 - G282</f>
        <v>0</v>
      </c>
      <c r="I282">
        <f>IF(ABS(H282)&gt;0.01, "Priority 3", "")</f>
        <v>0</v>
      </c>
    </row>
    <row r="283" spans="1:9">
      <c r="A283" t="s">
        <v>1280</v>
      </c>
      <c r="B283" t="s">
        <v>998</v>
      </c>
      <c r="C283" t="s">
        <v>999</v>
      </c>
      <c r="D283">
        <v>27</v>
      </c>
      <c r="E283">
        <v>24</v>
      </c>
      <c r="F283">
        <v>280.8</v>
      </c>
      <c r="G283">
        <f>MAX(ROUNDUP(D283, 0), E283) * IF(C283="COVERED", Parameters!$B$2, Parameters!$B$3)</f>
        <v>0</v>
      </c>
      <c r="H283">
        <f>F283 - G283</f>
        <v>0</v>
      </c>
      <c r="I283">
        <f>IF(ABS(H283)&gt;0.01, "Priority 3", "")</f>
        <v>0</v>
      </c>
    </row>
    <row r="284" spans="1:9">
      <c r="A284" t="s">
        <v>1281</v>
      </c>
      <c r="B284" t="s">
        <v>998</v>
      </c>
      <c r="C284" t="s">
        <v>999</v>
      </c>
      <c r="D284">
        <v>47.7</v>
      </c>
      <c r="E284">
        <v>28</v>
      </c>
      <c r="F284">
        <v>499.2</v>
      </c>
      <c r="G284">
        <f>MAX(ROUNDUP(D284, 0), E284) * IF(C284="COVERED", Parameters!$B$2, Parameters!$B$3)</f>
        <v>0</v>
      </c>
      <c r="H284">
        <f>F284 - G284</f>
        <v>0</v>
      </c>
      <c r="I284">
        <f>IF(ABS(H284)&gt;0.01, "Priority 3", "")</f>
        <v>0</v>
      </c>
    </row>
    <row r="285" spans="1:9">
      <c r="A285" t="s">
        <v>1282</v>
      </c>
      <c r="B285" t="s">
        <v>998</v>
      </c>
      <c r="C285" t="s">
        <v>999</v>
      </c>
      <c r="D285">
        <v>24.4</v>
      </c>
      <c r="E285">
        <v>28</v>
      </c>
      <c r="F285">
        <v>291.2</v>
      </c>
      <c r="G285">
        <f>MAX(ROUNDUP(D285, 0), E285) * IF(C285="COVERED", Parameters!$B$2, Parameters!$B$3)</f>
        <v>0</v>
      </c>
      <c r="H285">
        <f>F285 - G285</f>
        <v>0</v>
      </c>
      <c r="I285">
        <f>IF(ABS(H285)&gt;0.01, "Priority 3", "")</f>
        <v>0</v>
      </c>
    </row>
    <row r="286" spans="1:9">
      <c r="A286" t="s">
        <v>1283</v>
      </c>
      <c r="B286" t="s">
        <v>998</v>
      </c>
      <c r="C286" t="s">
        <v>999</v>
      </c>
      <c r="D286">
        <v>31.2</v>
      </c>
      <c r="E286">
        <v>24</v>
      </c>
      <c r="F286">
        <v>332.8</v>
      </c>
      <c r="G286">
        <f>MAX(ROUNDUP(D286, 0), E286) * IF(C286="COVERED", Parameters!$B$2, Parameters!$B$3)</f>
        <v>0</v>
      </c>
      <c r="H286">
        <f>F286 - G286</f>
        <v>0</v>
      </c>
      <c r="I286">
        <f>IF(ABS(H286)&gt;0.01, "Priority 3", "")</f>
        <v>0</v>
      </c>
    </row>
    <row r="287" spans="1:9">
      <c r="A287" t="s">
        <v>1284</v>
      </c>
      <c r="B287" t="s">
        <v>998</v>
      </c>
      <c r="C287" t="s">
        <v>999</v>
      </c>
      <c r="D287">
        <v>61.3</v>
      </c>
      <c r="E287">
        <v>28</v>
      </c>
      <c r="F287">
        <v>644.8</v>
      </c>
      <c r="G287">
        <f>MAX(ROUNDUP(D287, 0), E287) * IF(C287="COVERED", Parameters!$B$2, Parameters!$B$3)</f>
        <v>0</v>
      </c>
      <c r="H287">
        <f>F287 - G287</f>
        <v>0</v>
      </c>
      <c r="I287">
        <f>IF(ABS(H287)&gt;0.01, "Priority 3", "")</f>
        <v>0</v>
      </c>
    </row>
    <row r="288" spans="1:9">
      <c r="A288" t="s">
        <v>1285</v>
      </c>
      <c r="B288" t="s">
        <v>998</v>
      </c>
      <c r="C288" t="s">
        <v>999</v>
      </c>
      <c r="D288">
        <v>31.4</v>
      </c>
      <c r="E288">
        <v>32</v>
      </c>
      <c r="F288">
        <v>332.8</v>
      </c>
      <c r="G288">
        <f>MAX(ROUNDUP(D288, 0), E288) * IF(C288="COVERED", Parameters!$B$2, Parameters!$B$3)</f>
        <v>0</v>
      </c>
      <c r="H288">
        <f>F288 - G288</f>
        <v>0</v>
      </c>
      <c r="I288">
        <f>IF(ABS(H288)&gt;0.01, "Priority 3", "")</f>
        <v>0</v>
      </c>
    </row>
    <row r="289" spans="1:9">
      <c r="A289" t="s">
        <v>1286</v>
      </c>
      <c r="B289" t="s">
        <v>998</v>
      </c>
      <c r="C289" t="s">
        <v>999</v>
      </c>
      <c r="D289">
        <v>27</v>
      </c>
      <c r="E289">
        <v>28</v>
      </c>
      <c r="F289">
        <v>291.2</v>
      </c>
      <c r="G289">
        <f>MAX(ROUNDUP(D289, 0), E289) * IF(C289="COVERED", Parameters!$B$2, Parameters!$B$3)</f>
        <v>0</v>
      </c>
      <c r="H289">
        <f>F289 - G289</f>
        <v>0</v>
      </c>
      <c r="I289">
        <f>IF(ABS(H289)&gt;0.01, "Priority 3", "")</f>
        <v>0</v>
      </c>
    </row>
    <row r="290" spans="1:9">
      <c r="A290" t="s">
        <v>1287</v>
      </c>
      <c r="B290" t="s">
        <v>998</v>
      </c>
      <c r="C290" t="s">
        <v>999</v>
      </c>
      <c r="D290">
        <v>41.3</v>
      </c>
      <c r="E290">
        <v>28</v>
      </c>
      <c r="F290">
        <v>436.8</v>
      </c>
      <c r="G290">
        <f>MAX(ROUNDUP(D290, 0), E290) * IF(C290="COVERED", Parameters!$B$2, Parameters!$B$3)</f>
        <v>0</v>
      </c>
      <c r="H290">
        <f>F290 - G290</f>
        <v>0</v>
      </c>
      <c r="I290">
        <f>IF(ABS(H290)&gt;0.01, "Priority 3", "")</f>
        <v>0</v>
      </c>
    </row>
    <row r="291" spans="1:9">
      <c r="A291" t="s">
        <v>1288</v>
      </c>
      <c r="B291" t="s">
        <v>998</v>
      </c>
      <c r="C291" t="s">
        <v>999</v>
      </c>
      <c r="D291">
        <v>30.5</v>
      </c>
      <c r="E291">
        <v>32</v>
      </c>
      <c r="F291">
        <v>332.8</v>
      </c>
      <c r="G291">
        <f>MAX(ROUNDUP(D291, 0), E291) * IF(C291="COVERED", Parameters!$B$2, Parameters!$B$3)</f>
        <v>0</v>
      </c>
      <c r="H291">
        <f>F291 - G291</f>
        <v>0</v>
      </c>
      <c r="I291">
        <f>IF(ABS(H291)&gt;0.01, "Priority 3", "")</f>
        <v>0</v>
      </c>
    </row>
    <row r="292" spans="1:9">
      <c r="A292" t="s">
        <v>1289</v>
      </c>
      <c r="B292" t="s">
        <v>998</v>
      </c>
      <c r="C292" t="s">
        <v>999</v>
      </c>
      <c r="D292">
        <v>32.2</v>
      </c>
      <c r="E292">
        <v>32</v>
      </c>
      <c r="F292">
        <v>343.2</v>
      </c>
      <c r="G292">
        <f>MAX(ROUNDUP(D292, 0), E292) * IF(C292="COVERED", Parameters!$B$2, Parameters!$B$3)</f>
        <v>0</v>
      </c>
      <c r="H292">
        <f>F292 - G292</f>
        <v>0</v>
      </c>
      <c r="I292">
        <f>IF(ABS(H292)&gt;0.01, "Priority 3", "")</f>
        <v>0</v>
      </c>
    </row>
    <row r="293" spans="1:9">
      <c r="A293" t="s">
        <v>1290</v>
      </c>
      <c r="B293" t="s">
        <v>998</v>
      </c>
      <c r="C293" t="s">
        <v>999</v>
      </c>
      <c r="D293">
        <v>45.8</v>
      </c>
      <c r="E293">
        <v>24</v>
      </c>
      <c r="F293">
        <v>478.4</v>
      </c>
      <c r="G293">
        <f>MAX(ROUNDUP(D293, 0), E293) * IF(C293="COVERED", Parameters!$B$2, Parameters!$B$3)</f>
        <v>0</v>
      </c>
      <c r="H293">
        <f>F293 - G293</f>
        <v>0</v>
      </c>
      <c r="I293">
        <f>IF(ABS(H293)&gt;0.01, "Priority 3", "")</f>
        <v>0</v>
      </c>
    </row>
    <row r="294" spans="1:9">
      <c r="A294" t="s">
        <v>1291</v>
      </c>
      <c r="B294" t="s">
        <v>998</v>
      </c>
      <c r="C294" t="s">
        <v>999</v>
      </c>
      <c r="D294">
        <v>18.3</v>
      </c>
      <c r="E294">
        <v>28</v>
      </c>
      <c r="F294">
        <v>291.2</v>
      </c>
      <c r="G294">
        <f>MAX(ROUNDUP(D294, 0), E294) * IF(C294="COVERED", Parameters!$B$2, Parameters!$B$3)</f>
        <v>0</v>
      </c>
      <c r="H294">
        <f>F294 - G294</f>
        <v>0</v>
      </c>
      <c r="I294">
        <f>IF(ABS(H294)&gt;0.01, "Priority 3", "")</f>
        <v>0</v>
      </c>
    </row>
    <row r="295" spans="1:9">
      <c r="A295" t="s">
        <v>1292</v>
      </c>
      <c r="B295" t="s">
        <v>998</v>
      </c>
      <c r="C295" t="s">
        <v>999</v>
      </c>
      <c r="D295">
        <v>32</v>
      </c>
      <c r="E295">
        <v>24</v>
      </c>
      <c r="F295">
        <v>332.8</v>
      </c>
      <c r="G295">
        <f>MAX(ROUNDUP(D295, 0), E295) * IF(C295="COVERED", Parameters!$B$2, Parameters!$B$3)</f>
        <v>0</v>
      </c>
      <c r="H295">
        <f>F295 - G295</f>
        <v>0</v>
      </c>
      <c r="I295">
        <f>IF(ABS(H295)&gt;0.01, "Priority 3", "")</f>
        <v>0</v>
      </c>
    </row>
    <row r="296" spans="1:9">
      <c r="A296" t="s">
        <v>1293</v>
      </c>
      <c r="B296" t="s">
        <v>998</v>
      </c>
      <c r="C296" t="s">
        <v>999</v>
      </c>
      <c r="D296">
        <v>41.8</v>
      </c>
      <c r="E296">
        <v>24</v>
      </c>
      <c r="F296">
        <v>436.8</v>
      </c>
      <c r="G296">
        <f>MAX(ROUNDUP(D296, 0), E296) * IF(C296="COVERED", Parameters!$B$2, Parameters!$B$3)</f>
        <v>0</v>
      </c>
      <c r="H296">
        <f>F296 - G296</f>
        <v>0</v>
      </c>
      <c r="I296">
        <f>IF(ABS(H296)&gt;0.01, "Priority 3", "")</f>
        <v>0</v>
      </c>
    </row>
    <row r="297" spans="1:9">
      <c r="A297" t="s">
        <v>1294</v>
      </c>
      <c r="B297" t="s">
        <v>998</v>
      </c>
      <c r="C297" t="s">
        <v>999</v>
      </c>
      <c r="D297">
        <v>20.6</v>
      </c>
      <c r="E297">
        <v>36</v>
      </c>
      <c r="F297">
        <v>374.4</v>
      </c>
      <c r="G297">
        <f>MAX(ROUNDUP(D297, 0), E297) * IF(C297="COVERED", Parameters!$B$2, Parameters!$B$3)</f>
        <v>0</v>
      </c>
      <c r="H297">
        <f>F297 - G297</f>
        <v>0</v>
      </c>
      <c r="I297">
        <f>IF(ABS(H297)&gt;0.01, "Priority 3", "")</f>
        <v>0</v>
      </c>
    </row>
    <row r="298" spans="1:9">
      <c r="A298" t="s">
        <v>1295</v>
      </c>
      <c r="B298" t="s">
        <v>998</v>
      </c>
      <c r="C298" t="s">
        <v>999</v>
      </c>
      <c r="D298">
        <v>38.6</v>
      </c>
      <c r="E298">
        <v>28</v>
      </c>
      <c r="F298">
        <v>405.6</v>
      </c>
      <c r="G298">
        <f>MAX(ROUNDUP(D298, 0), E298) * IF(C298="COVERED", Parameters!$B$2, Parameters!$B$3)</f>
        <v>0</v>
      </c>
      <c r="H298">
        <f>F298 - G298</f>
        <v>0</v>
      </c>
      <c r="I298">
        <f>IF(ABS(H298)&gt;0.01, "Priority 3", "")</f>
        <v>0</v>
      </c>
    </row>
    <row r="299" spans="1:9">
      <c r="A299" t="s">
        <v>1296</v>
      </c>
      <c r="B299" t="s">
        <v>998</v>
      </c>
      <c r="C299" t="s">
        <v>999</v>
      </c>
      <c r="D299">
        <v>46.6</v>
      </c>
      <c r="E299">
        <v>32</v>
      </c>
      <c r="F299">
        <v>488.8</v>
      </c>
      <c r="G299">
        <f>MAX(ROUNDUP(D299, 0), E299) * IF(C299="COVERED", Parameters!$B$2, Parameters!$B$3)</f>
        <v>0</v>
      </c>
      <c r="H299">
        <f>F299 - G299</f>
        <v>0</v>
      </c>
      <c r="I299">
        <f>IF(ABS(H299)&gt;0.01, "Priority 3", "")</f>
        <v>0</v>
      </c>
    </row>
    <row r="300" spans="1:9">
      <c r="A300" t="s">
        <v>1297</v>
      </c>
      <c r="B300" t="s">
        <v>998</v>
      </c>
      <c r="C300" t="s">
        <v>999</v>
      </c>
      <c r="D300">
        <v>56.6</v>
      </c>
      <c r="E300">
        <v>24</v>
      </c>
      <c r="F300">
        <v>592.8</v>
      </c>
      <c r="G300">
        <f>MAX(ROUNDUP(D300, 0), E300) * IF(C300="COVERED", Parameters!$B$2, Parameters!$B$3)</f>
        <v>0</v>
      </c>
      <c r="H300">
        <f>F300 - G300</f>
        <v>0</v>
      </c>
      <c r="I300">
        <f>IF(ABS(H300)&gt;0.01, "Priority 3", "")</f>
        <v>0</v>
      </c>
    </row>
    <row r="301" spans="1:9">
      <c r="A301" t="s">
        <v>1298</v>
      </c>
      <c r="B301" t="s">
        <v>998</v>
      </c>
      <c r="C301" t="s">
        <v>999</v>
      </c>
      <c r="D301">
        <v>61.1</v>
      </c>
      <c r="E301">
        <v>24</v>
      </c>
      <c r="F301">
        <v>644.8</v>
      </c>
      <c r="G301">
        <f>MAX(ROUNDUP(D301, 0), E301) * IF(C301="COVERED", Parameters!$B$2, Parameters!$B$3)</f>
        <v>0</v>
      </c>
      <c r="H301">
        <f>F301 - G301</f>
        <v>0</v>
      </c>
      <c r="I301">
        <f>IF(ABS(H301)&gt;0.01, "Priority 3", "")</f>
        <v>0</v>
      </c>
    </row>
    <row r="302" spans="1:9">
      <c r="A302" t="s">
        <v>1299</v>
      </c>
      <c r="B302" t="s">
        <v>998</v>
      </c>
      <c r="C302" t="s">
        <v>999</v>
      </c>
      <c r="D302">
        <v>40</v>
      </c>
      <c r="E302">
        <v>28</v>
      </c>
      <c r="F302">
        <v>416</v>
      </c>
      <c r="G302">
        <f>MAX(ROUNDUP(D302, 0), E302) * IF(C302="COVERED", Parameters!$B$2, Parameters!$B$3)</f>
        <v>0</v>
      </c>
      <c r="H302">
        <f>F302 - G302</f>
        <v>0</v>
      </c>
      <c r="I302">
        <f>IF(ABS(H302)&gt;0.01, "Priority 3", "")</f>
        <v>0</v>
      </c>
    </row>
    <row r="303" spans="1:9">
      <c r="A303" t="s">
        <v>1300</v>
      </c>
      <c r="B303" t="s">
        <v>998</v>
      </c>
      <c r="C303" t="s">
        <v>999</v>
      </c>
      <c r="D303">
        <v>32.7</v>
      </c>
      <c r="E303">
        <v>36</v>
      </c>
      <c r="F303">
        <v>374.4</v>
      </c>
      <c r="G303">
        <f>MAX(ROUNDUP(D303, 0), E303) * IF(C303="COVERED", Parameters!$B$2, Parameters!$B$3)</f>
        <v>0</v>
      </c>
      <c r="H303">
        <f>F303 - G303</f>
        <v>0</v>
      </c>
      <c r="I303">
        <f>IF(ABS(H303)&gt;0.01, "Priority 3", "")</f>
        <v>0</v>
      </c>
    </row>
    <row r="304" spans="1:9">
      <c r="A304" t="s">
        <v>1301</v>
      </c>
      <c r="B304" t="s">
        <v>998</v>
      </c>
      <c r="C304" t="s">
        <v>999</v>
      </c>
      <c r="D304">
        <v>38.4</v>
      </c>
      <c r="E304">
        <v>24</v>
      </c>
      <c r="F304">
        <v>405.6</v>
      </c>
      <c r="G304">
        <f>MAX(ROUNDUP(D304, 0), E304) * IF(C304="COVERED", Parameters!$B$2, Parameters!$B$3)</f>
        <v>0</v>
      </c>
      <c r="H304">
        <f>F304 - G304</f>
        <v>0</v>
      </c>
      <c r="I304">
        <f>IF(ABS(H304)&gt;0.01, "Priority 3", "")</f>
        <v>0</v>
      </c>
    </row>
    <row r="305" spans="1:9">
      <c r="A305" t="s">
        <v>1302</v>
      </c>
      <c r="B305" t="s">
        <v>998</v>
      </c>
      <c r="C305" t="s">
        <v>999</v>
      </c>
      <c r="D305">
        <v>27.2</v>
      </c>
      <c r="E305">
        <v>32</v>
      </c>
      <c r="F305">
        <v>332.8</v>
      </c>
      <c r="G305">
        <f>MAX(ROUNDUP(D305, 0), E305) * IF(C305="COVERED", Parameters!$B$2, Parameters!$B$3)</f>
        <v>0</v>
      </c>
      <c r="H305">
        <f>F305 - G305</f>
        <v>0</v>
      </c>
      <c r="I305">
        <f>IF(ABS(H305)&gt;0.01, "Priority 3", "")</f>
        <v>0</v>
      </c>
    </row>
    <row r="306" spans="1:9">
      <c r="A306" t="s">
        <v>1303</v>
      </c>
      <c r="B306" t="s">
        <v>998</v>
      </c>
      <c r="C306" t="s">
        <v>999</v>
      </c>
      <c r="D306">
        <v>25.8</v>
      </c>
      <c r="E306">
        <v>28</v>
      </c>
      <c r="F306">
        <v>291.2</v>
      </c>
      <c r="G306">
        <f>MAX(ROUNDUP(D306, 0), E306) * IF(C306="COVERED", Parameters!$B$2, Parameters!$B$3)</f>
        <v>0</v>
      </c>
      <c r="H306">
        <f>F306 - G306</f>
        <v>0</v>
      </c>
      <c r="I306">
        <f>IF(ABS(H306)&gt;0.01, "Priority 3", "")</f>
        <v>0</v>
      </c>
    </row>
    <row r="307" spans="1:9">
      <c r="A307" t="s">
        <v>1304</v>
      </c>
      <c r="B307" t="s">
        <v>998</v>
      </c>
      <c r="C307" t="s">
        <v>999</v>
      </c>
      <c r="D307">
        <v>50</v>
      </c>
      <c r="E307">
        <v>32</v>
      </c>
      <c r="F307">
        <v>520</v>
      </c>
      <c r="G307">
        <f>MAX(ROUNDUP(D307, 0), E307) * IF(C307="COVERED", Parameters!$B$2, Parameters!$B$3)</f>
        <v>0</v>
      </c>
      <c r="H307">
        <f>F307 - G307</f>
        <v>0</v>
      </c>
      <c r="I307">
        <f>IF(ABS(H307)&gt;0.01, "Priority 3", "")</f>
        <v>0</v>
      </c>
    </row>
    <row r="308" spans="1:9">
      <c r="A308" t="s">
        <v>1305</v>
      </c>
      <c r="B308" t="s">
        <v>998</v>
      </c>
      <c r="C308" t="s">
        <v>999</v>
      </c>
      <c r="D308">
        <v>26.2</v>
      </c>
      <c r="E308">
        <v>28</v>
      </c>
      <c r="F308">
        <v>291.2</v>
      </c>
      <c r="G308">
        <f>MAX(ROUNDUP(D308, 0), E308) * IF(C308="COVERED", Parameters!$B$2, Parameters!$B$3)</f>
        <v>0</v>
      </c>
      <c r="H308">
        <f>F308 - G308</f>
        <v>0</v>
      </c>
      <c r="I308">
        <f>IF(ABS(H308)&gt;0.01, "Priority 3", "")</f>
        <v>0</v>
      </c>
    </row>
    <row r="309" spans="1:9">
      <c r="A309" t="s">
        <v>1306</v>
      </c>
      <c r="B309" t="s">
        <v>998</v>
      </c>
      <c r="C309" t="s">
        <v>999</v>
      </c>
      <c r="D309">
        <v>22.7</v>
      </c>
      <c r="E309">
        <v>40</v>
      </c>
      <c r="F309">
        <v>416</v>
      </c>
      <c r="G309">
        <f>MAX(ROUNDUP(D309, 0), E309) * IF(C309="COVERED", Parameters!$B$2, Parameters!$B$3)</f>
        <v>0</v>
      </c>
      <c r="H309">
        <f>F309 - G309</f>
        <v>0</v>
      </c>
      <c r="I309">
        <f>IF(ABS(H309)&gt;0.01, "Priority 3", "")</f>
        <v>0</v>
      </c>
    </row>
    <row r="310" spans="1:9">
      <c r="A310" t="s">
        <v>1307</v>
      </c>
      <c r="B310" t="s">
        <v>998</v>
      </c>
      <c r="C310" t="s">
        <v>999</v>
      </c>
      <c r="D310">
        <v>43.8</v>
      </c>
      <c r="E310">
        <v>40</v>
      </c>
      <c r="F310">
        <v>457.6</v>
      </c>
      <c r="G310">
        <f>MAX(ROUNDUP(D310, 0), E310) * IF(C310="COVERED", Parameters!$B$2, Parameters!$B$3)</f>
        <v>0</v>
      </c>
      <c r="H310">
        <f>F310 - G310</f>
        <v>0</v>
      </c>
      <c r="I310">
        <f>IF(ABS(H310)&gt;0.01, "Priority 3", "")</f>
        <v>0</v>
      </c>
    </row>
    <row r="311" spans="1:9">
      <c r="A311" t="s">
        <v>1308</v>
      </c>
      <c r="B311" t="s">
        <v>998</v>
      </c>
      <c r="C311" t="s">
        <v>999</v>
      </c>
      <c r="D311">
        <v>36.7</v>
      </c>
      <c r="E311">
        <v>36</v>
      </c>
      <c r="F311">
        <v>384.8</v>
      </c>
      <c r="G311">
        <f>MAX(ROUNDUP(D311, 0), E311) * IF(C311="COVERED", Parameters!$B$2, Parameters!$B$3)</f>
        <v>0</v>
      </c>
      <c r="H311">
        <f>F311 - G311</f>
        <v>0</v>
      </c>
      <c r="I311">
        <f>IF(ABS(H311)&gt;0.01, "Priority 3", "")</f>
        <v>0</v>
      </c>
    </row>
    <row r="312" spans="1:9">
      <c r="A312" t="s">
        <v>1309</v>
      </c>
      <c r="B312" t="s">
        <v>998</v>
      </c>
      <c r="C312" t="s">
        <v>999</v>
      </c>
      <c r="D312">
        <v>41.1</v>
      </c>
      <c r="E312">
        <v>24</v>
      </c>
      <c r="F312">
        <v>436.8</v>
      </c>
      <c r="G312">
        <f>MAX(ROUNDUP(D312, 0), E312) * IF(C312="COVERED", Parameters!$B$2, Parameters!$B$3)</f>
        <v>0</v>
      </c>
      <c r="H312">
        <f>F312 - G312</f>
        <v>0</v>
      </c>
      <c r="I312">
        <f>IF(ABS(H312)&gt;0.01, "Priority 3", "")</f>
        <v>0</v>
      </c>
    </row>
    <row r="313" spans="1:9">
      <c r="A313" t="s">
        <v>1310</v>
      </c>
      <c r="B313" t="s">
        <v>998</v>
      </c>
      <c r="C313" t="s">
        <v>999</v>
      </c>
      <c r="D313">
        <v>46.8</v>
      </c>
      <c r="E313">
        <v>36</v>
      </c>
      <c r="F313">
        <v>488.8</v>
      </c>
      <c r="G313">
        <f>MAX(ROUNDUP(D313, 0), E313) * IF(C313="COVERED", Parameters!$B$2, Parameters!$B$3)</f>
        <v>0</v>
      </c>
      <c r="H313">
        <f>F313 - G313</f>
        <v>0</v>
      </c>
      <c r="I313">
        <f>IF(ABS(H313)&gt;0.01, "Priority 3", "")</f>
        <v>0</v>
      </c>
    </row>
    <row r="314" spans="1:9">
      <c r="A314" t="s">
        <v>1311</v>
      </c>
      <c r="B314" t="s">
        <v>998</v>
      </c>
      <c r="C314" t="s">
        <v>999</v>
      </c>
      <c r="D314">
        <v>37.4</v>
      </c>
      <c r="E314">
        <v>28</v>
      </c>
      <c r="F314">
        <v>395.2</v>
      </c>
      <c r="G314">
        <f>MAX(ROUNDUP(D314, 0), E314) * IF(C314="COVERED", Parameters!$B$2, Parameters!$B$3)</f>
        <v>0</v>
      </c>
      <c r="H314">
        <f>F314 - G314</f>
        <v>0</v>
      </c>
      <c r="I314">
        <f>IF(ABS(H314)&gt;0.01, "Priority 3", "")</f>
        <v>0</v>
      </c>
    </row>
    <row r="315" spans="1:9">
      <c r="A315" t="s">
        <v>1312</v>
      </c>
      <c r="B315" t="s">
        <v>998</v>
      </c>
      <c r="C315" t="s">
        <v>999</v>
      </c>
      <c r="D315">
        <v>55.4</v>
      </c>
      <c r="E315">
        <v>36</v>
      </c>
      <c r="F315">
        <v>582.4</v>
      </c>
      <c r="G315">
        <f>MAX(ROUNDUP(D315, 0), E315) * IF(C315="COVERED", Parameters!$B$2, Parameters!$B$3)</f>
        <v>0</v>
      </c>
      <c r="H315">
        <f>F315 - G315</f>
        <v>0</v>
      </c>
      <c r="I315">
        <f>IF(ABS(H315)&gt;0.01, "Priority 3", "")</f>
        <v>0</v>
      </c>
    </row>
    <row r="316" spans="1:9">
      <c r="A316" t="s">
        <v>1313</v>
      </c>
      <c r="B316" t="s">
        <v>998</v>
      </c>
      <c r="C316" t="s">
        <v>999</v>
      </c>
      <c r="D316">
        <v>56.4</v>
      </c>
      <c r="E316">
        <v>40</v>
      </c>
      <c r="F316">
        <v>592.8</v>
      </c>
      <c r="G316">
        <f>MAX(ROUNDUP(D316, 0), E316) * IF(C316="COVERED", Parameters!$B$2, Parameters!$B$3)</f>
        <v>0</v>
      </c>
      <c r="H316">
        <f>F316 - G316</f>
        <v>0</v>
      </c>
      <c r="I316">
        <f>IF(ABS(H316)&gt;0.01, "Priority 3", "")</f>
        <v>0</v>
      </c>
    </row>
    <row r="317" spans="1:9">
      <c r="A317" t="s">
        <v>1314</v>
      </c>
      <c r="B317" t="s">
        <v>998</v>
      </c>
      <c r="C317" t="s">
        <v>999</v>
      </c>
      <c r="D317">
        <v>30.6</v>
      </c>
      <c r="E317">
        <v>24</v>
      </c>
      <c r="F317">
        <v>322.4</v>
      </c>
      <c r="G317">
        <f>MAX(ROUNDUP(D317, 0), E317) * IF(C317="COVERED", Parameters!$B$2, Parameters!$B$3)</f>
        <v>0</v>
      </c>
      <c r="H317">
        <f>F317 - G317</f>
        <v>0</v>
      </c>
      <c r="I317">
        <f>IF(ABS(H317)&gt;0.01, "Priority 3", "")</f>
        <v>0</v>
      </c>
    </row>
    <row r="318" spans="1:9">
      <c r="A318" t="s">
        <v>1315</v>
      </c>
      <c r="B318" t="s">
        <v>998</v>
      </c>
      <c r="C318" t="s">
        <v>999</v>
      </c>
      <c r="D318">
        <v>52.4</v>
      </c>
      <c r="E318">
        <v>36</v>
      </c>
      <c r="F318">
        <v>551.2</v>
      </c>
      <c r="G318">
        <f>MAX(ROUNDUP(D318, 0), E318) * IF(C318="COVERED", Parameters!$B$2, Parameters!$B$3)</f>
        <v>0</v>
      </c>
      <c r="H318">
        <f>F318 - G318</f>
        <v>0</v>
      </c>
      <c r="I318">
        <f>IF(ABS(H318)&gt;0.01, "Priority 3", "")</f>
        <v>0</v>
      </c>
    </row>
    <row r="319" spans="1:9">
      <c r="A319" t="s">
        <v>1316</v>
      </c>
      <c r="B319" t="s">
        <v>998</v>
      </c>
      <c r="C319" t="s">
        <v>999</v>
      </c>
      <c r="D319">
        <v>57</v>
      </c>
      <c r="E319">
        <v>32</v>
      </c>
      <c r="F319">
        <v>592.8</v>
      </c>
      <c r="G319">
        <f>MAX(ROUNDUP(D319, 0), E319) * IF(C319="COVERED", Parameters!$B$2, Parameters!$B$3)</f>
        <v>0</v>
      </c>
      <c r="H319">
        <f>F319 - G319</f>
        <v>0</v>
      </c>
      <c r="I319">
        <f>IF(ABS(H319)&gt;0.01, "Priority 3", "")</f>
        <v>0</v>
      </c>
    </row>
    <row r="320" spans="1:9">
      <c r="A320" t="s">
        <v>1317</v>
      </c>
      <c r="B320" t="s">
        <v>998</v>
      </c>
      <c r="C320" t="s">
        <v>999</v>
      </c>
      <c r="D320">
        <v>20.6</v>
      </c>
      <c r="E320">
        <v>32</v>
      </c>
      <c r="F320">
        <v>332.8</v>
      </c>
      <c r="G320">
        <f>MAX(ROUNDUP(D320, 0), E320) * IF(C320="COVERED", Parameters!$B$2, Parameters!$B$3)</f>
        <v>0</v>
      </c>
      <c r="H320">
        <f>F320 - G320</f>
        <v>0</v>
      </c>
      <c r="I320">
        <f>IF(ABS(H320)&gt;0.01, "Priority 3", "")</f>
        <v>0</v>
      </c>
    </row>
    <row r="321" spans="1:9">
      <c r="A321" t="s">
        <v>1318</v>
      </c>
      <c r="B321" t="s">
        <v>998</v>
      </c>
      <c r="C321" t="s">
        <v>999</v>
      </c>
      <c r="D321">
        <v>37</v>
      </c>
      <c r="E321">
        <v>24</v>
      </c>
      <c r="F321">
        <v>384.8</v>
      </c>
      <c r="G321">
        <f>MAX(ROUNDUP(D321, 0), E321) * IF(C321="COVERED", Parameters!$B$2, Parameters!$B$3)</f>
        <v>0</v>
      </c>
      <c r="H321">
        <f>F321 - G321</f>
        <v>0</v>
      </c>
      <c r="I321">
        <f>IF(ABS(H321)&gt;0.01, "Priority 3", "")</f>
        <v>0</v>
      </c>
    </row>
    <row r="322" spans="1:9">
      <c r="A322" t="s">
        <v>1319</v>
      </c>
      <c r="B322" t="s">
        <v>998</v>
      </c>
      <c r="C322" t="s">
        <v>999</v>
      </c>
      <c r="D322">
        <v>55.9</v>
      </c>
      <c r="E322">
        <v>36</v>
      </c>
      <c r="F322">
        <v>582.4</v>
      </c>
      <c r="G322">
        <f>MAX(ROUNDUP(D322, 0), E322) * IF(C322="COVERED", Parameters!$B$2, Parameters!$B$3)</f>
        <v>0</v>
      </c>
      <c r="H322">
        <f>F322 - G322</f>
        <v>0</v>
      </c>
      <c r="I322">
        <f>IF(ABS(H322)&gt;0.01, "Priority 3", "")</f>
        <v>0</v>
      </c>
    </row>
    <row r="323" spans="1:9">
      <c r="A323" t="s">
        <v>1320</v>
      </c>
      <c r="B323" t="s">
        <v>998</v>
      </c>
      <c r="C323" t="s">
        <v>999</v>
      </c>
      <c r="D323">
        <v>43.6</v>
      </c>
      <c r="E323">
        <v>32</v>
      </c>
      <c r="F323">
        <v>457.6</v>
      </c>
      <c r="G323">
        <f>MAX(ROUNDUP(D323, 0), E323) * IF(C323="COVERED", Parameters!$B$2, Parameters!$B$3)</f>
        <v>0</v>
      </c>
      <c r="H323">
        <f>F323 - G323</f>
        <v>0</v>
      </c>
      <c r="I323">
        <f>IF(ABS(H323)&gt;0.01, "Priority 3", "")</f>
        <v>0</v>
      </c>
    </row>
    <row r="324" spans="1:9">
      <c r="A324" t="s">
        <v>1321</v>
      </c>
      <c r="B324" t="s">
        <v>998</v>
      </c>
      <c r="C324" t="s">
        <v>999</v>
      </c>
      <c r="D324">
        <v>55.4</v>
      </c>
      <c r="E324">
        <v>32</v>
      </c>
      <c r="F324">
        <v>582.4</v>
      </c>
      <c r="G324">
        <f>MAX(ROUNDUP(D324, 0), E324) * IF(C324="COVERED", Parameters!$B$2, Parameters!$B$3)</f>
        <v>0</v>
      </c>
      <c r="H324">
        <f>F324 - G324</f>
        <v>0</v>
      </c>
      <c r="I324">
        <f>IF(ABS(H324)&gt;0.01, "Priority 3", "")</f>
        <v>0</v>
      </c>
    </row>
    <row r="325" spans="1:9">
      <c r="A325" t="s">
        <v>1322</v>
      </c>
      <c r="B325" t="s">
        <v>998</v>
      </c>
      <c r="C325" t="s">
        <v>999</v>
      </c>
      <c r="D325">
        <v>23.3</v>
      </c>
      <c r="E325">
        <v>24</v>
      </c>
      <c r="F325">
        <v>249.6</v>
      </c>
      <c r="G325">
        <f>MAX(ROUNDUP(D325, 0), E325) * IF(C325="COVERED", Parameters!$B$2, Parameters!$B$3)</f>
        <v>0</v>
      </c>
      <c r="H325">
        <f>F325 - G325</f>
        <v>0</v>
      </c>
      <c r="I325">
        <f>IF(ABS(H325)&gt;0.01, "Priority 3", "")</f>
        <v>0</v>
      </c>
    </row>
    <row r="326" spans="1:9">
      <c r="A326" t="s">
        <v>1323</v>
      </c>
      <c r="B326" t="s">
        <v>998</v>
      </c>
      <c r="C326" t="s">
        <v>999</v>
      </c>
      <c r="D326">
        <v>19</v>
      </c>
      <c r="E326">
        <v>36</v>
      </c>
      <c r="F326">
        <v>374.4</v>
      </c>
      <c r="G326">
        <f>MAX(ROUNDUP(D326, 0), E326) * IF(C326="COVERED", Parameters!$B$2, Parameters!$B$3)</f>
        <v>0</v>
      </c>
      <c r="H326">
        <f>F326 - G326</f>
        <v>0</v>
      </c>
      <c r="I326">
        <f>IF(ABS(H326)&gt;0.01, "Priority 3", "")</f>
        <v>0</v>
      </c>
    </row>
    <row r="327" spans="1:9">
      <c r="A327" t="s">
        <v>1324</v>
      </c>
      <c r="B327" t="s">
        <v>998</v>
      </c>
      <c r="C327" t="s">
        <v>999</v>
      </c>
      <c r="D327">
        <v>25.7</v>
      </c>
      <c r="E327">
        <v>32</v>
      </c>
      <c r="F327">
        <v>332.8</v>
      </c>
      <c r="G327">
        <f>MAX(ROUNDUP(D327, 0), E327) * IF(C327="COVERED", Parameters!$B$2, Parameters!$B$3)</f>
        <v>0</v>
      </c>
      <c r="H327">
        <f>F327 - G327</f>
        <v>0</v>
      </c>
      <c r="I327">
        <f>IF(ABS(H327)&gt;0.01, "Priority 3", "")</f>
        <v>0</v>
      </c>
    </row>
    <row r="328" spans="1:9">
      <c r="A328" t="s">
        <v>1325</v>
      </c>
      <c r="B328" t="s">
        <v>998</v>
      </c>
      <c r="C328" t="s">
        <v>999</v>
      </c>
      <c r="D328">
        <v>33.8</v>
      </c>
      <c r="E328">
        <v>32</v>
      </c>
      <c r="F328">
        <v>353.6</v>
      </c>
      <c r="G328">
        <f>MAX(ROUNDUP(D328, 0), E328) * IF(C328="COVERED", Parameters!$B$2, Parameters!$B$3)</f>
        <v>0</v>
      </c>
      <c r="H328">
        <f>F328 - G328</f>
        <v>0</v>
      </c>
      <c r="I328">
        <f>IF(ABS(H328)&gt;0.01, "Priority 3", "")</f>
        <v>0</v>
      </c>
    </row>
    <row r="329" spans="1:9">
      <c r="A329" t="s">
        <v>1326</v>
      </c>
      <c r="B329" t="s">
        <v>998</v>
      </c>
      <c r="C329" t="s">
        <v>999</v>
      </c>
      <c r="D329">
        <v>32.3</v>
      </c>
      <c r="E329">
        <v>32</v>
      </c>
      <c r="F329">
        <v>343.2</v>
      </c>
      <c r="G329">
        <f>MAX(ROUNDUP(D329, 0), E329) * IF(C329="COVERED", Parameters!$B$2, Parameters!$B$3)</f>
        <v>0</v>
      </c>
      <c r="H329">
        <f>F329 - G329</f>
        <v>0</v>
      </c>
      <c r="I329">
        <f>IF(ABS(H329)&gt;0.01, "Priority 3", "")</f>
        <v>0</v>
      </c>
    </row>
    <row r="330" spans="1:9">
      <c r="A330" t="s">
        <v>1327</v>
      </c>
      <c r="B330" t="s">
        <v>998</v>
      </c>
      <c r="C330" t="s">
        <v>999</v>
      </c>
      <c r="D330">
        <v>27.2</v>
      </c>
      <c r="E330">
        <v>24</v>
      </c>
      <c r="F330">
        <v>291.2</v>
      </c>
      <c r="G330">
        <f>MAX(ROUNDUP(D330, 0), E330) * IF(C330="COVERED", Parameters!$B$2, Parameters!$B$3)</f>
        <v>0</v>
      </c>
      <c r="H330">
        <f>F330 - G330</f>
        <v>0</v>
      </c>
      <c r="I330">
        <f>IF(ABS(H330)&gt;0.01, "Priority 3", "")</f>
        <v>0</v>
      </c>
    </row>
    <row r="331" spans="1:9">
      <c r="A331" t="s">
        <v>1328</v>
      </c>
      <c r="B331" t="s">
        <v>998</v>
      </c>
      <c r="C331" t="s">
        <v>999</v>
      </c>
      <c r="D331">
        <v>31.6</v>
      </c>
      <c r="E331">
        <v>36</v>
      </c>
      <c r="F331">
        <v>374.4</v>
      </c>
      <c r="G331">
        <f>MAX(ROUNDUP(D331, 0), E331) * IF(C331="COVERED", Parameters!$B$2, Parameters!$B$3)</f>
        <v>0</v>
      </c>
      <c r="H331">
        <f>F331 - G331</f>
        <v>0</v>
      </c>
      <c r="I331">
        <f>IF(ABS(H331)&gt;0.01, "Priority 3", "")</f>
        <v>0</v>
      </c>
    </row>
    <row r="332" spans="1:9">
      <c r="A332" t="s">
        <v>1329</v>
      </c>
      <c r="B332" t="s">
        <v>998</v>
      </c>
      <c r="C332" t="s">
        <v>999</v>
      </c>
      <c r="D332">
        <v>30.1</v>
      </c>
      <c r="E332">
        <v>24</v>
      </c>
      <c r="F332">
        <v>322.4</v>
      </c>
      <c r="G332">
        <f>MAX(ROUNDUP(D332, 0), E332) * IF(C332="COVERED", Parameters!$B$2, Parameters!$B$3)</f>
        <v>0</v>
      </c>
      <c r="H332">
        <f>F332 - G332</f>
        <v>0</v>
      </c>
      <c r="I332">
        <f>IF(ABS(H332)&gt;0.01, "Priority 3", "")</f>
        <v>0</v>
      </c>
    </row>
    <row r="333" spans="1:9">
      <c r="A333" t="s">
        <v>1330</v>
      </c>
      <c r="B333" t="s">
        <v>998</v>
      </c>
      <c r="C333" t="s">
        <v>999</v>
      </c>
      <c r="D333">
        <v>48.8</v>
      </c>
      <c r="E333">
        <v>40</v>
      </c>
      <c r="F333">
        <v>509.6</v>
      </c>
      <c r="G333">
        <f>MAX(ROUNDUP(D333, 0), E333) * IF(C333="COVERED", Parameters!$B$2, Parameters!$B$3)</f>
        <v>0</v>
      </c>
      <c r="H333">
        <f>F333 - G333</f>
        <v>0</v>
      </c>
      <c r="I333">
        <f>IF(ABS(H333)&gt;0.01, "Priority 3", "")</f>
        <v>0</v>
      </c>
    </row>
    <row r="334" spans="1:9">
      <c r="A334" t="s">
        <v>1331</v>
      </c>
      <c r="B334" t="s">
        <v>998</v>
      </c>
      <c r="C334" t="s">
        <v>999</v>
      </c>
      <c r="D334">
        <v>36.2</v>
      </c>
      <c r="E334">
        <v>28</v>
      </c>
      <c r="F334">
        <v>384.8</v>
      </c>
      <c r="G334">
        <f>MAX(ROUNDUP(D334, 0), E334) * IF(C334="COVERED", Parameters!$B$2, Parameters!$B$3)</f>
        <v>0</v>
      </c>
      <c r="H334">
        <f>F334 - G334</f>
        <v>0</v>
      </c>
      <c r="I334">
        <f>IF(ABS(H334)&gt;0.01, "Priority 3", "")</f>
        <v>0</v>
      </c>
    </row>
    <row r="335" spans="1:9">
      <c r="A335" t="s">
        <v>1332</v>
      </c>
      <c r="B335" t="s">
        <v>998</v>
      </c>
      <c r="C335" t="s">
        <v>999</v>
      </c>
      <c r="D335">
        <v>40.1</v>
      </c>
      <c r="E335">
        <v>32</v>
      </c>
      <c r="F335">
        <v>426.4</v>
      </c>
      <c r="G335">
        <f>MAX(ROUNDUP(D335, 0), E335) * IF(C335="COVERED", Parameters!$B$2, Parameters!$B$3)</f>
        <v>0</v>
      </c>
      <c r="H335">
        <f>F335 - G335</f>
        <v>0</v>
      </c>
      <c r="I335">
        <f>IF(ABS(H335)&gt;0.01, "Priority 3", "")</f>
        <v>0</v>
      </c>
    </row>
    <row r="336" spans="1:9">
      <c r="A336" t="s">
        <v>1333</v>
      </c>
      <c r="B336" t="s">
        <v>998</v>
      </c>
      <c r="C336" t="s">
        <v>999</v>
      </c>
      <c r="D336">
        <v>51.6</v>
      </c>
      <c r="E336">
        <v>36</v>
      </c>
      <c r="F336">
        <v>540.8</v>
      </c>
      <c r="G336">
        <f>MAX(ROUNDUP(D336, 0), E336) * IF(C336="COVERED", Parameters!$B$2, Parameters!$B$3)</f>
        <v>0</v>
      </c>
      <c r="H336">
        <f>F336 - G336</f>
        <v>0</v>
      </c>
      <c r="I336">
        <f>IF(ABS(H336)&gt;0.01, "Priority 3", "")</f>
        <v>0</v>
      </c>
    </row>
    <row r="337" spans="1:9">
      <c r="A337" t="s">
        <v>1334</v>
      </c>
      <c r="B337" t="s">
        <v>998</v>
      </c>
      <c r="C337" t="s">
        <v>999</v>
      </c>
      <c r="D337">
        <v>54.4</v>
      </c>
      <c r="E337">
        <v>36</v>
      </c>
      <c r="F337">
        <v>572</v>
      </c>
      <c r="G337">
        <f>MAX(ROUNDUP(D337, 0), E337) * IF(C337="COVERED", Parameters!$B$2, Parameters!$B$3)</f>
        <v>0</v>
      </c>
      <c r="H337">
        <f>F337 - G337</f>
        <v>0</v>
      </c>
      <c r="I337">
        <f>IF(ABS(H337)&gt;0.01, "Priority 3", "")</f>
        <v>0</v>
      </c>
    </row>
    <row r="338" spans="1:9">
      <c r="A338" t="s">
        <v>1335</v>
      </c>
      <c r="B338" t="s">
        <v>998</v>
      </c>
      <c r="C338" t="s">
        <v>999</v>
      </c>
      <c r="D338">
        <v>39.5</v>
      </c>
      <c r="E338">
        <v>28</v>
      </c>
      <c r="F338">
        <v>416</v>
      </c>
      <c r="G338">
        <f>MAX(ROUNDUP(D338, 0), E338) * IF(C338="COVERED", Parameters!$B$2, Parameters!$B$3)</f>
        <v>0</v>
      </c>
      <c r="H338">
        <f>F338 - G338</f>
        <v>0</v>
      </c>
      <c r="I338">
        <f>IF(ABS(H338)&gt;0.01, "Priority 3", "")</f>
        <v>0</v>
      </c>
    </row>
    <row r="339" spans="1:9">
      <c r="A339" t="s">
        <v>1336</v>
      </c>
      <c r="B339" t="s">
        <v>998</v>
      </c>
      <c r="C339" t="s">
        <v>999</v>
      </c>
      <c r="D339">
        <v>29.8</v>
      </c>
      <c r="E339">
        <v>40</v>
      </c>
      <c r="F339">
        <v>416</v>
      </c>
      <c r="G339">
        <f>MAX(ROUNDUP(D339, 0), E339) * IF(C339="COVERED", Parameters!$B$2, Parameters!$B$3)</f>
        <v>0</v>
      </c>
      <c r="H339">
        <f>F339 - G339</f>
        <v>0</v>
      </c>
      <c r="I339">
        <f>IF(ABS(H339)&gt;0.01, "Priority 3", "")</f>
        <v>0</v>
      </c>
    </row>
    <row r="340" spans="1:9">
      <c r="A340" t="s">
        <v>1337</v>
      </c>
      <c r="B340" t="s">
        <v>998</v>
      </c>
      <c r="C340" t="s">
        <v>999</v>
      </c>
      <c r="D340">
        <v>53.2</v>
      </c>
      <c r="E340">
        <v>24</v>
      </c>
      <c r="F340">
        <v>561.6</v>
      </c>
      <c r="G340">
        <f>MAX(ROUNDUP(D340, 0), E340) * IF(C340="COVERED", Parameters!$B$2, Parameters!$B$3)</f>
        <v>0</v>
      </c>
      <c r="H340">
        <f>F340 - G340</f>
        <v>0</v>
      </c>
      <c r="I340">
        <f>IF(ABS(H340)&gt;0.01, "Priority 3", "")</f>
        <v>0</v>
      </c>
    </row>
    <row r="341" spans="1:9">
      <c r="A341" t="s">
        <v>1338</v>
      </c>
      <c r="B341" t="s">
        <v>998</v>
      </c>
      <c r="C341" t="s">
        <v>999</v>
      </c>
      <c r="D341">
        <v>33</v>
      </c>
      <c r="E341">
        <v>28</v>
      </c>
      <c r="F341">
        <v>343.2</v>
      </c>
      <c r="G341">
        <f>MAX(ROUNDUP(D341, 0), E341) * IF(C341="COVERED", Parameters!$B$2, Parameters!$B$3)</f>
        <v>0</v>
      </c>
      <c r="H341">
        <f>F341 - G341</f>
        <v>0</v>
      </c>
      <c r="I341">
        <f>IF(ABS(H341)&gt;0.01, "Priority 3", "")</f>
        <v>0</v>
      </c>
    </row>
    <row r="342" spans="1:9">
      <c r="A342" t="s">
        <v>1339</v>
      </c>
      <c r="B342" t="s">
        <v>998</v>
      </c>
      <c r="C342" t="s">
        <v>999</v>
      </c>
      <c r="D342">
        <v>21</v>
      </c>
      <c r="E342">
        <v>40</v>
      </c>
      <c r="F342">
        <v>416</v>
      </c>
      <c r="G342">
        <f>MAX(ROUNDUP(D342, 0), E342) * IF(C342="COVERED", Parameters!$B$2, Parameters!$B$3)</f>
        <v>0</v>
      </c>
      <c r="H342">
        <f>F342 - G342</f>
        <v>0</v>
      </c>
      <c r="I342">
        <f>IF(ABS(H342)&gt;0.01, "Priority 3", "")</f>
        <v>0</v>
      </c>
    </row>
    <row r="343" spans="1:9">
      <c r="A343" t="s">
        <v>1340</v>
      </c>
      <c r="B343" t="s">
        <v>998</v>
      </c>
      <c r="C343" t="s">
        <v>999</v>
      </c>
      <c r="D343">
        <v>46.2</v>
      </c>
      <c r="E343">
        <v>28</v>
      </c>
      <c r="F343">
        <v>488.8</v>
      </c>
      <c r="G343">
        <f>MAX(ROUNDUP(D343, 0), E343) * IF(C343="COVERED", Parameters!$B$2, Parameters!$B$3)</f>
        <v>0</v>
      </c>
      <c r="H343">
        <f>F343 - G343</f>
        <v>0</v>
      </c>
      <c r="I343">
        <f>IF(ABS(H343)&gt;0.01, "Priority 3", "")</f>
        <v>0</v>
      </c>
    </row>
    <row r="344" spans="1:9">
      <c r="A344" t="s">
        <v>1341</v>
      </c>
      <c r="B344" t="s">
        <v>998</v>
      </c>
      <c r="C344" t="s">
        <v>999</v>
      </c>
      <c r="D344">
        <v>21.8</v>
      </c>
      <c r="E344">
        <v>28</v>
      </c>
      <c r="F344">
        <v>291.2</v>
      </c>
      <c r="G344">
        <f>MAX(ROUNDUP(D344, 0), E344) * IF(C344="COVERED", Parameters!$B$2, Parameters!$B$3)</f>
        <v>0</v>
      </c>
      <c r="H344">
        <f>F344 - G344</f>
        <v>0</v>
      </c>
      <c r="I344">
        <f>IF(ABS(H344)&gt;0.01, "Priority 3", "")</f>
        <v>0</v>
      </c>
    </row>
    <row r="345" spans="1:9">
      <c r="A345" t="s">
        <v>1342</v>
      </c>
      <c r="B345" t="s">
        <v>998</v>
      </c>
      <c r="C345" t="s">
        <v>999</v>
      </c>
      <c r="D345">
        <v>57.9</v>
      </c>
      <c r="E345">
        <v>32</v>
      </c>
      <c r="F345">
        <v>603.2</v>
      </c>
      <c r="G345">
        <f>MAX(ROUNDUP(D345, 0), E345) * IF(C345="COVERED", Parameters!$B$2, Parameters!$B$3)</f>
        <v>0</v>
      </c>
      <c r="H345">
        <f>F345 - G345</f>
        <v>0</v>
      </c>
      <c r="I345">
        <f>IF(ABS(H345)&gt;0.01, "Priority 3", "")</f>
        <v>0</v>
      </c>
    </row>
    <row r="346" spans="1:9">
      <c r="A346" t="s">
        <v>1343</v>
      </c>
      <c r="B346" t="s">
        <v>998</v>
      </c>
      <c r="C346" t="s">
        <v>999</v>
      </c>
      <c r="D346">
        <v>26</v>
      </c>
      <c r="E346">
        <v>24</v>
      </c>
      <c r="F346">
        <v>270.4</v>
      </c>
      <c r="G346">
        <f>MAX(ROUNDUP(D346, 0), E346) * IF(C346="COVERED", Parameters!$B$2, Parameters!$B$3)</f>
        <v>0</v>
      </c>
      <c r="H346">
        <f>F346 - G346</f>
        <v>0</v>
      </c>
      <c r="I346">
        <f>IF(ABS(H346)&gt;0.01, "Priority 3", "")</f>
        <v>0</v>
      </c>
    </row>
    <row r="347" spans="1:9">
      <c r="A347" t="s">
        <v>1344</v>
      </c>
      <c r="B347" t="s">
        <v>998</v>
      </c>
      <c r="C347" t="s">
        <v>999</v>
      </c>
      <c r="D347">
        <v>41.5</v>
      </c>
      <c r="E347">
        <v>24</v>
      </c>
      <c r="F347">
        <v>436.8</v>
      </c>
      <c r="G347">
        <f>MAX(ROUNDUP(D347, 0), E347) * IF(C347="COVERED", Parameters!$B$2, Parameters!$B$3)</f>
        <v>0</v>
      </c>
      <c r="H347">
        <f>F347 - G347</f>
        <v>0</v>
      </c>
      <c r="I347">
        <f>IF(ABS(H347)&gt;0.01, "Priority 3", "")</f>
        <v>0</v>
      </c>
    </row>
    <row r="348" spans="1:9">
      <c r="A348" t="s">
        <v>1345</v>
      </c>
      <c r="B348" t="s">
        <v>998</v>
      </c>
      <c r="C348" t="s">
        <v>999</v>
      </c>
      <c r="D348">
        <v>59.8</v>
      </c>
      <c r="E348">
        <v>28</v>
      </c>
      <c r="F348">
        <v>624</v>
      </c>
      <c r="G348">
        <f>MAX(ROUNDUP(D348, 0), E348) * IF(C348="COVERED", Parameters!$B$2, Parameters!$B$3)</f>
        <v>0</v>
      </c>
      <c r="H348">
        <f>F348 - G348</f>
        <v>0</v>
      </c>
      <c r="I348">
        <f>IF(ABS(H348)&gt;0.01, "Priority 3", "")</f>
        <v>0</v>
      </c>
    </row>
    <row r="349" spans="1:9">
      <c r="A349" t="s">
        <v>1346</v>
      </c>
      <c r="B349" t="s">
        <v>998</v>
      </c>
      <c r="C349" t="s">
        <v>999</v>
      </c>
      <c r="D349">
        <v>56.9</v>
      </c>
      <c r="E349">
        <v>28</v>
      </c>
      <c r="F349">
        <v>592.8</v>
      </c>
      <c r="G349">
        <f>MAX(ROUNDUP(D349, 0), E349) * IF(C349="COVERED", Parameters!$B$2, Parameters!$B$3)</f>
        <v>0</v>
      </c>
      <c r="H349">
        <f>F349 - G349</f>
        <v>0</v>
      </c>
      <c r="I349">
        <f>IF(ABS(H349)&gt;0.01, "Priority 3", "")</f>
        <v>0</v>
      </c>
    </row>
    <row r="350" spans="1:9">
      <c r="A350" t="s">
        <v>1347</v>
      </c>
      <c r="B350" t="s">
        <v>998</v>
      </c>
      <c r="C350" t="s">
        <v>999</v>
      </c>
      <c r="D350">
        <v>48.2</v>
      </c>
      <c r="E350">
        <v>24</v>
      </c>
      <c r="F350">
        <v>509.6</v>
      </c>
      <c r="G350">
        <f>MAX(ROUNDUP(D350, 0), E350) * IF(C350="COVERED", Parameters!$B$2, Parameters!$B$3)</f>
        <v>0</v>
      </c>
      <c r="H350">
        <f>F350 - G350</f>
        <v>0</v>
      </c>
      <c r="I350">
        <f>IF(ABS(H350)&gt;0.01, "Priority 3", "")</f>
        <v>0</v>
      </c>
    </row>
    <row r="351" spans="1:9">
      <c r="A351" t="s">
        <v>1348</v>
      </c>
      <c r="B351" t="s">
        <v>998</v>
      </c>
      <c r="C351" t="s">
        <v>999</v>
      </c>
      <c r="D351">
        <v>36</v>
      </c>
      <c r="E351">
        <v>28</v>
      </c>
      <c r="F351">
        <v>374.4</v>
      </c>
      <c r="G351">
        <f>MAX(ROUNDUP(D351, 0), E351) * IF(C351="COVERED", Parameters!$B$2, Parameters!$B$3)</f>
        <v>0</v>
      </c>
      <c r="H351">
        <f>F351 - G351</f>
        <v>0</v>
      </c>
      <c r="I351">
        <f>IF(ABS(H351)&gt;0.01, "Priority 3", "")</f>
        <v>0</v>
      </c>
    </row>
    <row r="352" spans="1:9">
      <c r="A352" t="s">
        <v>1349</v>
      </c>
      <c r="B352" t="s">
        <v>998</v>
      </c>
      <c r="C352" t="s">
        <v>999</v>
      </c>
      <c r="D352">
        <v>33.2</v>
      </c>
      <c r="E352">
        <v>32</v>
      </c>
      <c r="F352">
        <v>353.6</v>
      </c>
      <c r="G352">
        <f>MAX(ROUNDUP(D352, 0), E352) * IF(C352="COVERED", Parameters!$B$2, Parameters!$B$3)</f>
        <v>0</v>
      </c>
      <c r="H352">
        <f>F352 - G352</f>
        <v>0</v>
      </c>
      <c r="I352">
        <f>IF(ABS(H352)&gt;0.01, "Priority 3", "")</f>
        <v>0</v>
      </c>
    </row>
    <row r="353" spans="1:9">
      <c r="A353" t="s">
        <v>1350</v>
      </c>
      <c r="B353" t="s">
        <v>998</v>
      </c>
      <c r="C353" t="s">
        <v>999</v>
      </c>
      <c r="D353">
        <v>42.5</v>
      </c>
      <c r="E353">
        <v>32</v>
      </c>
      <c r="F353">
        <v>447.2</v>
      </c>
      <c r="G353">
        <f>MAX(ROUNDUP(D353, 0), E353) * IF(C353="COVERED", Parameters!$B$2, Parameters!$B$3)</f>
        <v>0</v>
      </c>
      <c r="H353">
        <f>F353 - G353</f>
        <v>0</v>
      </c>
      <c r="I353">
        <f>IF(ABS(H353)&gt;0.01, "Priority 3", "")</f>
        <v>0</v>
      </c>
    </row>
    <row r="354" spans="1:9">
      <c r="A354" t="s">
        <v>1351</v>
      </c>
      <c r="B354" t="s">
        <v>998</v>
      </c>
      <c r="C354" t="s">
        <v>999</v>
      </c>
      <c r="D354">
        <v>38.7</v>
      </c>
      <c r="E354">
        <v>32</v>
      </c>
      <c r="F354">
        <v>405.6</v>
      </c>
      <c r="G354">
        <f>MAX(ROUNDUP(D354, 0), E354) * IF(C354="COVERED", Parameters!$B$2, Parameters!$B$3)</f>
        <v>0</v>
      </c>
      <c r="H354">
        <f>F354 - G354</f>
        <v>0</v>
      </c>
      <c r="I354">
        <f>IF(ABS(H354)&gt;0.01, "Priority 3", "")</f>
        <v>0</v>
      </c>
    </row>
    <row r="355" spans="1:9">
      <c r="A355" t="s">
        <v>1352</v>
      </c>
      <c r="B355" t="s">
        <v>998</v>
      </c>
      <c r="C355" t="s">
        <v>999</v>
      </c>
      <c r="D355">
        <v>22.5</v>
      </c>
      <c r="E355">
        <v>28</v>
      </c>
      <c r="F355">
        <v>291.2</v>
      </c>
      <c r="G355">
        <f>MAX(ROUNDUP(D355, 0), E355) * IF(C355="COVERED", Parameters!$B$2, Parameters!$B$3)</f>
        <v>0</v>
      </c>
      <c r="H355">
        <f>F355 - G355</f>
        <v>0</v>
      </c>
      <c r="I355">
        <f>IF(ABS(H355)&gt;0.01, "Priority 3", "")</f>
        <v>0</v>
      </c>
    </row>
    <row r="356" spans="1:9">
      <c r="A356" t="s">
        <v>1353</v>
      </c>
      <c r="B356" t="s">
        <v>998</v>
      </c>
      <c r="C356" t="s">
        <v>999</v>
      </c>
      <c r="D356">
        <v>45.6</v>
      </c>
      <c r="E356">
        <v>24</v>
      </c>
      <c r="F356">
        <v>478.4</v>
      </c>
      <c r="G356">
        <f>MAX(ROUNDUP(D356, 0), E356) * IF(C356="COVERED", Parameters!$B$2, Parameters!$B$3)</f>
        <v>0</v>
      </c>
      <c r="H356">
        <f>F356 - G356</f>
        <v>0</v>
      </c>
      <c r="I356">
        <f>IF(ABS(H356)&gt;0.01, "Priority 3", "")</f>
        <v>0</v>
      </c>
    </row>
    <row r="357" spans="1:9">
      <c r="A357" t="s">
        <v>1354</v>
      </c>
      <c r="B357" t="s">
        <v>998</v>
      </c>
      <c r="C357" t="s">
        <v>999</v>
      </c>
      <c r="D357">
        <v>39.8</v>
      </c>
      <c r="E357">
        <v>24</v>
      </c>
      <c r="F357">
        <v>416</v>
      </c>
      <c r="G357">
        <f>MAX(ROUNDUP(D357, 0), E357) * IF(C357="COVERED", Parameters!$B$2, Parameters!$B$3)</f>
        <v>0</v>
      </c>
      <c r="H357">
        <f>F357 - G357</f>
        <v>0</v>
      </c>
      <c r="I357">
        <f>IF(ABS(H357)&gt;0.01, "Priority 3", "")</f>
        <v>0</v>
      </c>
    </row>
    <row r="358" spans="1:9">
      <c r="A358" t="s">
        <v>1355</v>
      </c>
      <c r="B358" t="s">
        <v>998</v>
      </c>
      <c r="C358" t="s">
        <v>999</v>
      </c>
      <c r="D358">
        <v>27.8</v>
      </c>
      <c r="E358">
        <v>28</v>
      </c>
      <c r="F358">
        <v>291.2</v>
      </c>
      <c r="G358">
        <f>MAX(ROUNDUP(D358, 0), E358) * IF(C358="COVERED", Parameters!$B$2, Parameters!$B$3)</f>
        <v>0</v>
      </c>
      <c r="H358">
        <f>F358 - G358</f>
        <v>0</v>
      </c>
      <c r="I358">
        <f>IF(ABS(H358)&gt;0.01, "Priority 3", "")</f>
        <v>0</v>
      </c>
    </row>
    <row r="359" spans="1:9">
      <c r="A359" t="s">
        <v>1356</v>
      </c>
      <c r="B359" t="s">
        <v>998</v>
      </c>
      <c r="C359" t="s">
        <v>999</v>
      </c>
      <c r="D359">
        <v>19.5</v>
      </c>
      <c r="E359">
        <v>28</v>
      </c>
      <c r="F359">
        <v>291.2</v>
      </c>
      <c r="G359">
        <f>MAX(ROUNDUP(D359, 0), E359) * IF(C359="COVERED", Parameters!$B$2, Parameters!$B$3)</f>
        <v>0</v>
      </c>
      <c r="H359">
        <f>F359 - G359</f>
        <v>0</v>
      </c>
      <c r="I359">
        <f>IF(ABS(H359)&gt;0.01, "Priority 3", "")</f>
        <v>0</v>
      </c>
    </row>
    <row r="360" spans="1:9">
      <c r="A360" t="s">
        <v>1357</v>
      </c>
      <c r="B360" t="s">
        <v>998</v>
      </c>
      <c r="C360" t="s">
        <v>999</v>
      </c>
      <c r="D360">
        <v>35.2</v>
      </c>
      <c r="E360">
        <v>24</v>
      </c>
      <c r="F360">
        <v>374.4</v>
      </c>
      <c r="G360">
        <f>MAX(ROUNDUP(D360, 0), E360) * IF(C360="COVERED", Parameters!$B$2, Parameters!$B$3)</f>
        <v>0</v>
      </c>
      <c r="H360">
        <f>F360 - G360</f>
        <v>0</v>
      </c>
      <c r="I360">
        <f>IF(ABS(H360)&gt;0.01, "Priority 3", "")</f>
        <v>0</v>
      </c>
    </row>
    <row r="361" spans="1:9">
      <c r="A361" t="s">
        <v>1358</v>
      </c>
      <c r="B361" t="s">
        <v>998</v>
      </c>
      <c r="C361" t="s">
        <v>999</v>
      </c>
      <c r="D361">
        <v>44.8</v>
      </c>
      <c r="E361">
        <v>28</v>
      </c>
      <c r="F361">
        <v>468</v>
      </c>
      <c r="G361">
        <f>MAX(ROUNDUP(D361, 0), E361) * IF(C361="COVERED", Parameters!$B$2, Parameters!$B$3)</f>
        <v>0</v>
      </c>
      <c r="H361">
        <f>F361 - G361</f>
        <v>0</v>
      </c>
      <c r="I361">
        <f>IF(ABS(H361)&gt;0.01, "Priority 3", "")</f>
        <v>0</v>
      </c>
    </row>
    <row r="362" spans="1:9">
      <c r="A362" t="s">
        <v>1359</v>
      </c>
      <c r="B362" t="s">
        <v>998</v>
      </c>
      <c r="C362" t="s">
        <v>999</v>
      </c>
      <c r="D362">
        <v>29.2</v>
      </c>
      <c r="E362">
        <v>36</v>
      </c>
      <c r="F362">
        <v>374.4</v>
      </c>
      <c r="G362">
        <f>MAX(ROUNDUP(D362, 0), E362) * IF(C362="COVERED", Parameters!$B$2, Parameters!$B$3)</f>
        <v>0</v>
      </c>
      <c r="H362">
        <f>F362 - G362</f>
        <v>0</v>
      </c>
      <c r="I362">
        <f>IF(ABS(H362)&gt;0.01, "Priority 3", "")</f>
        <v>0</v>
      </c>
    </row>
    <row r="363" spans="1:9">
      <c r="A363" t="s">
        <v>1360</v>
      </c>
      <c r="B363" t="s">
        <v>998</v>
      </c>
      <c r="C363" t="s">
        <v>999</v>
      </c>
      <c r="D363">
        <v>34.2</v>
      </c>
      <c r="E363">
        <v>36</v>
      </c>
      <c r="F363">
        <v>374.4</v>
      </c>
      <c r="G363">
        <f>MAX(ROUNDUP(D363, 0), E363) * IF(C363="COVERED", Parameters!$B$2, Parameters!$B$3)</f>
        <v>0</v>
      </c>
      <c r="H363">
        <f>F363 - G363</f>
        <v>0</v>
      </c>
      <c r="I363">
        <f>IF(ABS(H363)&gt;0.01, "Priority 3", "")</f>
        <v>0</v>
      </c>
    </row>
    <row r="364" spans="1:9">
      <c r="A364" t="s">
        <v>1361</v>
      </c>
      <c r="B364" t="s">
        <v>998</v>
      </c>
      <c r="C364" t="s">
        <v>999</v>
      </c>
      <c r="D364">
        <v>59.6</v>
      </c>
      <c r="E364">
        <v>32</v>
      </c>
      <c r="F364">
        <v>624</v>
      </c>
      <c r="G364">
        <f>MAX(ROUNDUP(D364, 0), E364) * IF(C364="COVERED", Parameters!$B$2, Parameters!$B$3)</f>
        <v>0</v>
      </c>
      <c r="H364">
        <f>F364 - G364</f>
        <v>0</v>
      </c>
      <c r="I364">
        <f>IF(ABS(H364)&gt;0.01, "Priority 3", "")</f>
        <v>0</v>
      </c>
    </row>
    <row r="365" spans="1:9">
      <c r="A365" t="s">
        <v>1362</v>
      </c>
      <c r="B365" t="s">
        <v>998</v>
      </c>
      <c r="C365" t="s">
        <v>999</v>
      </c>
      <c r="D365">
        <v>18.3</v>
      </c>
      <c r="E365">
        <v>32</v>
      </c>
      <c r="F365">
        <v>332.8</v>
      </c>
      <c r="G365">
        <f>MAX(ROUNDUP(D365, 0), E365) * IF(C365="COVERED", Parameters!$B$2, Parameters!$B$3)</f>
        <v>0</v>
      </c>
      <c r="H365">
        <f>F365 - G365</f>
        <v>0</v>
      </c>
      <c r="I365">
        <f>IF(ABS(H365)&gt;0.01, "Priority 3", "")</f>
        <v>0</v>
      </c>
    </row>
    <row r="366" spans="1:9">
      <c r="A366" t="s">
        <v>1363</v>
      </c>
      <c r="B366" t="s">
        <v>998</v>
      </c>
      <c r="C366" t="s">
        <v>999</v>
      </c>
      <c r="D366">
        <v>57</v>
      </c>
      <c r="E366">
        <v>24</v>
      </c>
      <c r="F366">
        <v>592.8</v>
      </c>
      <c r="G366">
        <f>MAX(ROUNDUP(D366, 0), E366) * IF(C366="COVERED", Parameters!$B$2, Parameters!$B$3)</f>
        <v>0</v>
      </c>
      <c r="H366">
        <f>F366 - G366</f>
        <v>0</v>
      </c>
      <c r="I366">
        <f>IF(ABS(H366)&gt;0.01, "Priority 3", "")</f>
        <v>0</v>
      </c>
    </row>
    <row r="367" spans="1:9">
      <c r="A367" t="s">
        <v>1364</v>
      </c>
      <c r="B367" t="s">
        <v>998</v>
      </c>
      <c r="C367" t="s">
        <v>999</v>
      </c>
      <c r="D367">
        <v>54.3</v>
      </c>
      <c r="E367">
        <v>24</v>
      </c>
      <c r="F367">
        <v>572</v>
      </c>
      <c r="G367">
        <f>MAX(ROUNDUP(D367, 0), E367) * IF(C367="COVERED", Parameters!$B$2, Parameters!$B$3)</f>
        <v>0</v>
      </c>
      <c r="H367">
        <f>F367 - G367</f>
        <v>0</v>
      </c>
      <c r="I367">
        <f>IF(ABS(H367)&gt;0.01, "Priority 3", "")</f>
        <v>0</v>
      </c>
    </row>
    <row r="368" spans="1:9">
      <c r="A368" t="s">
        <v>1365</v>
      </c>
      <c r="B368" t="s">
        <v>998</v>
      </c>
      <c r="C368" t="s">
        <v>999</v>
      </c>
      <c r="D368">
        <v>44.8</v>
      </c>
      <c r="E368">
        <v>32</v>
      </c>
      <c r="F368">
        <v>468</v>
      </c>
      <c r="G368">
        <f>MAX(ROUNDUP(D368, 0), E368) * IF(C368="COVERED", Parameters!$B$2, Parameters!$B$3)</f>
        <v>0</v>
      </c>
      <c r="H368">
        <f>F368 - G368</f>
        <v>0</v>
      </c>
      <c r="I368">
        <f>IF(ABS(H368)&gt;0.01, "Priority 3", "")</f>
        <v>0</v>
      </c>
    </row>
    <row r="369" spans="1:9">
      <c r="A369" t="s">
        <v>1366</v>
      </c>
      <c r="B369" t="s">
        <v>998</v>
      </c>
      <c r="C369" t="s">
        <v>999</v>
      </c>
      <c r="D369">
        <v>49.6</v>
      </c>
      <c r="E369">
        <v>40</v>
      </c>
      <c r="F369">
        <v>520</v>
      </c>
      <c r="G369">
        <f>MAX(ROUNDUP(D369, 0), E369) * IF(C369="COVERED", Parameters!$B$2, Parameters!$B$3)</f>
        <v>0</v>
      </c>
      <c r="H369">
        <f>F369 - G369</f>
        <v>0</v>
      </c>
      <c r="I369">
        <f>IF(ABS(H369)&gt;0.01, "Priority 3", "")</f>
        <v>0</v>
      </c>
    </row>
    <row r="370" spans="1:9">
      <c r="A370" t="s">
        <v>1367</v>
      </c>
      <c r="B370" t="s">
        <v>998</v>
      </c>
      <c r="C370" t="s">
        <v>999</v>
      </c>
      <c r="D370">
        <v>32.5</v>
      </c>
      <c r="E370">
        <v>24</v>
      </c>
      <c r="F370">
        <v>343.2</v>
      </c>
      <c r="G370">
        <f>MAX(ROUNDUP(D370, 0), E370) * IF(C370="COVERED", Parameters!$B$2, Parameters!$B$3)</f>
        <v>0</v>
      </c>
      <c r="H370">
        <f>F370 - G370</f>
        <v>0</v>
      </c>
      <c r="I370">
        <f>IF(ABS(H370)&gt;0.01, "Priority 3", "")</f>
        <v>0</v>
      </c>
    </row>
    <row r="371" spans="1:9">
      <c r="A371" t="s">
        <v>1368</v>
      </c>
      <c r="B371" t="s">
        <v>998</v>
      </c>
      <c r="C371" t="s">
        <v>999</v>
      </c>
      <c r="D371">
        <v>48.2</v>
      </c>
      <c r="E371">
        <v>40</v>
      </c>
      <c r="F371">
        <v>509.6</v>
      </c>
      <c r="G371">
        <f>MAX(ROUNDUP(D371, 0), E371) * IF(C371="COVERED", Parameters!$B$2, Parameters!$B$3)</f>
        <v>0</v>
      </c>
      <c r="H371">
        <f>F371 - G371</f>
        <v>0</v>
      </c>
      <c r="I371">
        <f>IF(ABS(H371)&gt;0.01, "Priority 3", "")</f>
        <v>0</v>
      </c>
    </row>
    <row r="372" spans="1:9">
      <c r="A372" t="s">
        <v>1369</v>
      </c>
      <c r="B372" t="s">
        <v>998</v>
      </c>
      <c r="C372" t="s">
        <v>999</v>
      </c>
      <c r="D372">
        <v>59.7</v>
      </c>
      <c r="E372">
        <v>24</v>
      </c>
      <c r="F372">
        <v>624</v>
      </c>
      <c r="G372">
        <f>MAX(ROUNDUP(D372, 0), E372) * IF(C372="COVERED", Parameters!$B$2, Parameters!$B$3)</f>
        <v>0</v>
      </c>
      <c r="H372">
        <f>F372 - G372</f>
        <v>0</v>
      </c>
      <c r="I372">
        <f>IF(ABS(H372)&gt;0.01, "Priority 3", "")</f>
        <v>0</v>
      </c>
    </row>
    <row r="373" spans="1:9">
      <c r="A373" t="s">
        <v>1370</v>
      </c>
      <c r="B373" t="s">
        <v>998</v>
      </c>
      <c r="C373" t="s">
        <v>999</v>
      </c>
      <c r="D373">
        <v>61.4</v>
      </c>
      <c r="E373">
        <v>24</v>
      </c>
      <c r="F373">
        <v>644.8</v>
      </c>
      <c r="G373">
        <f>MAX(ROUNDUP(D373, 0), E373) * IF(C373="COVERED", Parameters!$B$2, Parameters!$B$3)</f>
        <v>0</v>
      </c>
      <c r="H373">
        <f>F373 - G373</f>
        <v>0</v>
      </c>
      <c r="I373">
        <f>IF(ABS(H373)&gt;0.01, "Priority 3", "")</f>
        <v>0</v>
      </c>
    </row>
    <row r="374" spans="1:9">
      <c r="A374" t="s">
        <v>1371</v>
      </c>
      <c r="B374" t="s">
        <v>998</v>
      </c>
      <c r="C374" t="s">
        <v>999</v>
      </c>
      <c r="D374">
        <v>48</v>
      </c>
      <c r="E374">
        <v>40</v>
      </c>
      <c r="F374">
        <v>499.2</v>
      </c>
      <c r="G374">
        <f>MAX(ROUNDUP(D374, 0), E374) * IF(C374="COVERED", Parameters!$B$2, Parameters!$B$3)</f>
        <v>0</v>
      </c>
      <c r="H374">
        <f>F374 - G374</f>
        <v>0</v>
      </c>
      <c r="I374">
        <f>IF(ABS(H374)&gt;0.01, "Priority 3", "")</f>
        <v>0</v>
      </c>
    </row>
    <row r="375" spans="1:9">
      <c r="A375" t="s">
        <v>1372</v>
      </c>
      <c r="B375" t="s">
        <v>998</v>
      </c>
      <c r="C375" t="s">
        <v>999</v>
      </c>
      <c r="D375">
        <v>19.9</v>
      </c>
      <c r="E375">
        <v>24</v>
      </c>
      <c r="F375">
        <v>249.6</v>
      </c>
      <c r="G375">
        <f>MAX(ROUNDUP(D375, 0), E375) * IF(C375="COVERED", Parameters!$B$2, Parameters!$B$3)</f>
        <v>0</v>
      </c>
      <c r="H375">
        <f>F375 - G375</f>
        <v>0</v>
      </c>
      <c r="I375">
        <f>IF(ABS(H375)&gt;0.01, "Priority 3", "")</f>
        <v>0</v>
      </c>
    </row>
    <row r="376" spans="1:9">
      <c r="A376" t="s">
        <v>1373</v>
      </c>
      <c r="B376" t="s">
        <v>998</v>
      </c>
      <c r="C376" t="s">
        <v>999</v>
      </c>
      <c r="D376">
        <v>19.6</v>
      </c>
      <c r="E376">
        <v>32</v>
      </c>
      <c r="F376">
        <v>332.8</v>
      </c>
      <c r="G376">
        <f>MAX(ROUNDUP(D376, 0), E376) * IF(C376="COVERED", Parameters!$B$2, Parameters!$B$3)</f>
        <v>0</v>
      </c>
      <c r="H376">
        <f>F376 - G376</f>
        <v>0</v>
      </c>
      <c r="I376">
        <f>IF(ABS(H376)&gt;0.01, "Priority 3", "")</f>
        <v>0</v>
      </c>
    </row>
    <row r="377" spans="1:9">
      <c r="A377" t="s">
        <v>1374</v>
      </c>
      <c r="B377" t="s">
        <v>998</v>
      </c>
      <c r="C377" t="s">
        <v>999</v>
      </c>
      <c r="D377">
        <v>42.6</v>
      </c>
      <c r="E377">
        <v>24</v>
      </c>
      <c r="F377">
        <v>447.2</v>
      </c>
      <c r="G377">
        <f>MAX(ROUNDUP(D377, 0), E377) * IF(C377="COVERED", Parameters!$B$2, Parameters!$B$3)</f>
        <v>0</v>
      </c>
      <c r="H377">
        <f>F377 - G377</f>
        <v>0</v>
      </c>
      <c r="I377">
        <f>IF(ABS(H377)&gt;0.01, "Priority 3", "")</f>
        <v>0</v>
      </c>
    </row>
    <row r="378" spans="1:9">
      <c r="A378" t="s">
        <v>1375</v>
      </c>
      <c r="B378" t="s">
        <v>998</v>
      </c>
      <c r="C378" t="s">
        <v>999</v>
      </c>
      <c r="D378">
        <v>19.5</v>
      </c>
      <c r="E378">
        <v>40</v>
      </c>
      <c r="F378">
        <v>416</v>
      </c>
      <c r="G378">
        <f>MAX(ROUNDUP(D378, 0), E378) * IF(C378="COVERED", Parameters!$B$2, Parameters!$B$3)</f>
        <v>0</v>
      </c>
      <c r="H378">
        <f>F378 - G378</f>
        <v>0</v>
      </c>
      <c r="I378">
        <f>IF(ABS(H378)&gt;0.01, "Priority 3", "")</f>
        <v>0</v>
      </c>
    </row>
    <row r="379" spans="1:9">
      <c r="A379" t="s">
        <v>1376</v>
      </c>
      <c r="B379" t="s">
        <v>998</v>
      </c>
      <c r="C379" t="s">
        <v>999</v>
      </c>
      <c r="D379">
        <v>38</v>
      </c>
      <c r="E379">
        <v>32</v>
      </c>
      <c r="F379">
        <v>395.2</v>
      </c>
      <c r="G379">
        <f>MAX(ROUNDUP(D379, 0), E379) * IF(C379="COVERED", Parameters!$B$2, Parameters!$B$3)</f>
        <v>0</v>
      </c>
      <c r="H379">
        <f>F379 - G379</f>
        <v>0</v>
      </c>
      <c r="I379">
        <f>IF(ABS(H379)&gt;0.01, "Priority 3", "")</f>
        <v>0</v>
      </c>
    </row>
    <row r="380" spans="1:9">
      <c r="A380" t="s">
        <v>1377</v>
      </c>
      <c r="B380" t="s">
        <v>998</v>
      </c>
      <c r="C380" t="s">
        <v>999</v>
      </c>
      <c r="D380">
        <v>60.8</v>
      </c>
      <c r="E380">
        <v>28</v>
      </c>
      <c r="F380">
        <v>634.4</v>
      </c>
      <c r="G380">
        <f>MAX(ROUNDUP(D380, 0), E380) * IF(C380="COVERED", Parameters!$B$2, Parameters!$B$3)</f>
        <v>0</v>
      </c>
      <c r="H380">
        <f>F380 - G380</f>
        <v>0</v>
      </c>
      <c r="I380">
        <f>IF(ABS(H380)&gt;0.01, "Priority 3", "")</f>
        <v>0</v>
      </c>
    </row>
    <row r="381" spans="1:9">
      <c r="A381" t="s">
        <v>1378</v>
      </c>
      <c r="B381" t="s">
        <v>998</v>
      </c>
      <c r="C381" t="s">
        <v>999</v>
      </c>
      <c r="D381">
        <v>43.1</v>
      </c>
      <c r="E381">
        <v>40</v>
      </c>
      <c r="F381">
        <v>457.6</v>
      </c>
      <c r="G381">
        <f>MAX(ROUNDUP(D381, 0), E381) * IF(C381="COVERED", Parameters!$B$2, Parameters!$B$3)</f>
        <v>0</v>
      </c>
      <c r="H381">
        <f>F381 - G381</f>
        <v>0</v>
      </c>
      <c r="I381">
        <f>IF(ABS(H381)&gt;0.01, "Priority 3", "")</f>
        <v>0</v>
      </c>
    </row>
    <row r="382" spans="1:9">
      <c r="A382" t="s">
        <v>1379</v>
      </c>
      <c r="B382" t="s">
        <v>998</v>
      </c>
      <c r="C382" t="s">
        <v>999</v>
      </c>
      <c r="D382">
        <v>45.4</v>
      </c>
      <c r="E382">
        <v>28</v>
      </c>
      <c r="F382">
        <v>478.4</v>
      </c>
      <c r="G382">
        <f>MAX(ROUNDUP(D382, 0), E382) * IF(C382="COVERED", Parameters!$B$2, Parameters!$B$3)</f>
        <v>0</v>
      </c>
      <c r="H382">
        <f>F382 - G382</f>
        <v>0</v>
      </c>
      <c r="I382">
        <f>IF(ABS(H382)&gt;0.01, "Priority 3", "")</f>
        <v>0</v>
      </c>
    </row>
    <row r="383" spans="1:9">
      <c r="A383" t="s">
        <v>1380</v>
      </c>
      <c r="B383" t="s">
        <v>998</v>
      </c>
      <c r="C383" t="s">
        <v>999</v>
      </c>
      <c r="D383">
        <v>33.5</v>
      </c>
      <c r="E383">
        <v>32</v>
      </c>
      <c r="F383">
        <v>353.6</v>
      </c>
      <c r="G383">
        <f>MAX(ROUNDUP(D383, 0), E383) * IF(C383="COVERED", Parameters!$B$2, Parameters!$B$3)</f>
        <v>0</v>
      </c>
      <c r="H383">
        <f>F383 - G383</f>
        <v>0</v>
      </c>
      <c r="I383">
        <f>IF(ABS(H383)&gt;0.01, "Priority 3", "")</f>
        <v>0</v>
      </c>
    </row>
    <row r="384" spans="1:9">
      <c r="A384" t="s">
        <v>1381</v>
      </c>
      <c r="B384" t="s">
        <v>998</v>
      </c>
      <c r="C384" t="s">
        <v>999</v>
      </c>
      <c r="D384">
        <v>19.6</v>
      </c>
      <c r="E384">
        <v>28</v>
      </c>
      <c r="F384">
        <v>291.2</v>
      </c>
      <c r="G384">
        <f>MAX(ROUNDUP(D384, 0), E384) * IF(C384="COVERED", Parameters!$B$2, Parameters!$B$3)</f>
        <v>0</v>
      </c>
      <c r="H384">
        <f>F384 - G384</f>
        <v>0</v>
      </c>
      <c r="I384">
        <f>IF(ABS(H384)&gt;0.01, "Priority 3", "")</f>
        <v>0</v>
      </c>
    </row>
    <row r="385" spans="1:9">
      <c r="A385" t="s">
        <v>1382</v>
      </c>
      <c r="B385" t="s">
        <v>998</v>
      </c>
      <c r="C385" t="s">
        <v>999</v>
      </c>
      <c r="D385">
        <v>21.4</v>
      </c>
      <c r="E385">
        <v>36</v>
      </c>
      <c r="F385">
        <v>374.4</v>
      </c>
      <c r="G385">
        <f>MAX(ROUNDUP(D385, 0), E385) * IF(C385="COVERED", Parameters!$B$2, Parameters!$B$3)</f>
        <v>0</v>
      </c>
      <c r="H385">
        <f>F385 - G385</f>
        <v>0</v>
      </c>
      <c r="I385">
        <f>IF(ABS(H385)&gt;0.01, "Priority 3", "")</f>
        <v>0</v>
      </c>
    </row>
    <row r="386" spans="1:9">
      <c r="A386" t="s">
        <v>1383</v>
      </c>
      <c r="B386" t="s">
        <v>998</v>
      </c>
      <c r="C386" t="s">
        <v>999</v>
      </c>
      <c r="D386">
        <v>43.5</v>
      </c>
      <c r="E386">
        <v>40</v>
      </c>
      <c r="F386">
        <v>457.6</v>
      </c>
      <c r="G386">
        <f>MAX(ROUNDUP(D386, 0), E386) * IF(C386="COVERED", Parameters!$B$2, Parameters!$B$3)</f>
        <v>0</v>
      </c>
      <c r="H386">
        <f>F386 - G386</f>
        <v>0</v>
      </c>
      <c r="I386">
        <f>IF(ABS(H386)&gt;0.01, "Priority 3", "")</f>
        <v>0</v>
      </c>
    </row>
    <row r="387" spans="1:9">
      <c r="A387" t="s">
        <v>1384</v>
      </c>
      <c r="B387" t="s">
        <v>998</v>
      </c>
      <c r="C387" t="s">
        <v>999</v>
      </c>
      <c r="D387">
        <v>36.7</v>
      </c>
      <c r="E387">
        <v>36</v>
      </c>
      <c r="F387">
        <v>384.8</v>
      </c>
      <c r="G387">
        <f>MAX(ROUNDUP(D387, 0), E387) * IF(C387="COVERED", Parameters!$B$2, Parameters!$B$3)</f>
        <v>0</v>
      </c>
      <c r="H387">
        <f>F387 - G387</f>
        <v>0</v>
      </c>
      <c r="I387">
        <f>IF(ABS(H387)&gt;0.01, "Priority 3", "")</f>
        <v>0</v>
      </c>
    </row>
    <row r="388" spans="1:9">
      <c r="A388" t="s">
        <v>1385</v>
      </c>
      <c r="B388" t="s">
        <v>998</v>
      </c>
      <c r="C388" t="s">
        <v>999</v>
      </c>
      <c r="D388">
        <v>37.2</v>
      </c>
      <c r="E388">
        <v>36</v>
      </c>
      <c r="F388">
        <v>395.2</v>
      </c>
      <c r="G388">
        <f>MAX(ROUNDUP(D388, 0), E388) * IF(C388="COVERED", Parameters!$B$2, Parameters!$B$3)</f>
        <v>0</v>
      </c>
      <c r="H388">
        <f>F388 - G388</f>
        <v>0</v>
      </c>
      <c r="I388">
        <f>IF(ABS(H388)&gt;0.01, "Priority 3", "")</f>
        <v>0</v>
      </c>
    </row>
    <row r="389" spans="1:9">
      <c r="A389" t="s">
        <v>1386</v>
      </c>
      <c r="B389" t="s">
        <v>998</v>
      </c>
      <c r="C389" t="s">
        <v>999</v>
      </c>
      <c r="D389">
        <v>40.6</v>
      </c>
      <c r="E389">
        <v>28</v>
      </c>
      <c r="F389">
        <v>426.4</v>
      </c>
      <c r="G389">
        <f>MAX(ROUNDUP(D389, 0), E389) * IF(C389="COVERED", Parameters!$B$2, Parameters!$B$3)</f>
        <v>0</v>
      </c>
      <c r="H389">
        <f>F389 - G389</f>
        <v>0</v>
      </c>
      <c r="I389">
        <f>IF(ABS(H389)&gt;0.01, "Priority 3", "")</f>
        <v>0</v>
      </c>
    </row>
    <row r="390" spans="1:9">
      <c r="A390" t="s">
        <v>1387</v>
      </c>
      <c r="B390" t="s">
        <v>998</v>
      </c>
      <c r="C390" t="s">
        <v>999</v>
      </c>
      <c r="D390">
        <v>33.8</v>
      </c>
      <c r="E390">
        <v>32</v>
      </c>
      <c r="F390">
        <v>353.6</v>
      </c>
      <c r="G390">
        <f>MAX(ROUNDUP(D390, 0), E390) * IF(C390="COVERED", Parameters!$B$2, Parameters!$B$3)</f>
        <v>0</v>
      </c>
      <c r="H390">
        <f>F390 - G390</f>
        <v>0</v>
      </c>
      <c r="I390">
        <f>IF(ABS(H390)&gt;0.01, "Priority 3", "")</f>
        <v>0</v>
      </c>
    </row>
    <row r="391" spans="1:9">
      <c r="A391" t="s">
        <v>1388</v>
      </c>
      <c r="B391" t="s">
        <v>998</v>
      </c>
      <c r="C391" t="s">
        <v>999</v>
      </c>
      <c r="D391">
        <v>61.3</v>
      </c>
      <c r="E391">
        <v>32</v>
      </c>
      <c r="F391">
        <v>644.8</v>
      </c>
      <c r="G391">
        <f>MAX(ROUNDUP(D391, 0), E391) * IF(C391="COVERED", Parameters!$B$2, Parameters!$B$3)</f>
        <v>0</v>
      </c>
      <c r="H391">
        <f>F391 - G391</f>
        <v>0</v>
      </c>
      <c r="I391">
        <f>IF(ABS(H391)&gt;0.01, "Priority 3", "")</f>
        <v>0</v>
      </c>
    </row>
    <row r="392" spans="1:9">
      <c r="A392" t="s">
        <v>1389</v>
      </c>
      <c r="B392" t="s">
        <v>998</v>
      </c>
      <c r="C392" t="s">
        <v>999</v>
      </c>
      <c r="D392">
        <v>48.7</v>
      </c>
      <c r="E392">
        <v>24</v>
      </c>
      <c r="F392">
        <v>509.6</v>
      </c>
      <c r="G392">
        <f>MAX(ROUNDUP(D392, 0), E392) * IF(C392="COVERED", Parameters!$B$2, Parameters!$B$3)</f>
        <v>0</v>
      </c>
      <c r="H392">
        <f>F392 - G392</f>
        <v>0</v>
      </c>
      <c r="I392">
        <f>IF(ABS(H392)&gt;0.01, "Priority 3", "")</f>
        <v>0</v>
      </c>
    </row>
    <row r="393" spans="1:9">
      <c r="A393" t="s">
        <v>1390</v>
      </c>
      <c r="B393" t="s">
        <v>998</v>
      </c>
      <c r="C393" t="s">
        <v>999</v>
      </c>
      <c r="D393">
        <v>57.3</v>
      </c>
      <c r="E393">
        <v>32</v>
      </c>
      <c r="F393">
        <v>603.2</v>
      </c>
      <c r="G393">
        <f>MAX(ROUNDUP(D393, 0), E393) * IF(C393="COVERED", Parameters!$B$2, Parameters!$B$3)</f>
        <v>0</v>
      </c>
      <c r="H393">
        <f>F393 - G393</f>
        <v>0</v>
      </c>
      <c r="I393">
        <f>IF(ABS(H393)&gt;0.01, "Priority 3", "")</f>
        <v>0</v>
      </c>
    </row>
    <row r="394" spans="1:9">
      <c r="A394" t="s">
        <v>1391</v>
      </c>
      <c r="B394" t="s">
        <v>998</v>
      </c>
      <c r="C394" t="s">
        <v>999</v>
      </c>
      <c r="D394">
        <v>50.3</v>
      </c>
      <c r="E394">
        <v>32</v>
      </c>
      <c r="F394">
        <v>530.4</v>
      </c>
      <c r="G394">
        <f>MAX(ROUNDUP(D394, 0), E394) * IF(C394="COVERED", Parameters!$B$2, Parameters!$B$3)</f>
        <v>0</v>
      </c>
      <c r="H394">
        <f>F394 - G394</f>
        <v>0</v>
      </c>
      <c r="I394">
        <f>IF(ABS(H394)&gt;0.01, "Priority 3", "")</f>
        <v>0</v>
      </c>
    </row>
    <row r="395" spans="1:9">
      <c r="A395" t="s">
        <v>1392</v>
      </c>
      <c r="B395" t="s">
        <v>998</v>
      </c>
      <c r="C395" t="s">
        <v>999</v>
      </c>
      <c r="D395">
        <v>35.6</v>
      </c>
      <c r="E395">
        <v>28</v>
      </c>
      <c r="F395">
        <v>374.4</v>
      </c>
      <c r="G395">
        <f>MAX(ROUNDUP(D395, 0), E395) * IF(C395="COVERED", Parameters!$B$2, Parameters!$B$3)</f>
        <v>0</v>
      </c>
      <c r="H395">
        <f>F395 - G395</f>
        <v>0</v>
      </c>
      <c r="I395">
        <f>IF(ABS(H395)&gt;0.01, "Priority 3", "")</f>
        <v>0</v>
      </c>
    </row>
    <row r="396" spans="1:9">
      <c r="A396" t="s">
        <v>1393</v>
      </c>
      <c r="B396" t="s">
        <v>998</v>
      </c>
      <c r="C396" t="s">
        <v>999</v>
      </c>
      <c r="D396">
        <v>22.5</v>
      </c>
      <c r="E396">
        <v>32</v>
      </c>
      <c r="F396">
        <v>332.8</v>
      </c>
      <c r="G396">
        <f>MAX(ROUNDUP(D396, 0), E396) * IF(C396="COVERED", Parameters!$B$2, Parameters!$B$3)</f>
        <v>0</v>
      </c>
      <c r="H396">
        <f>F396 - G396</f>
        <v>0</v>
      </c>
      <c r="I396">
        <f>IF(ABS(H396)&gt;0.01, "Priority 3", "")</f>
        <v>0</v>
      </c>
    </row>
    <row r="397" spans="1:9">
      <c r="A397" t="s">
        <v>1394</v>
      </c>
      <c r="B397" t="s">
        <v>998</v>
      </c>
      <c r="C397" t="s">
        <v>999</v>
      </c>
      <c r="D397">
        <v>61.5</v>
      </c>
      <c r="E397">
        <v>40</v>
      </c>
      <c r="F397">
        <v>644.8</v>
      </c>
      <c r="G397">
        <f>MAX(ROUNDUP(D397, 0), E397) * IF(C397="COVERED", Parameters!$B$2, Parameters!$B$3)</f>
        <v>0</v>
      </c>
      <c r="H397">
        <f>F397 - G397</f>
        <v>0</v>
      </c>
      <c r="I397">
        <f>IF(ABS(H397)&gt;0.01, "Priority 3", "")</f>
        <v>0</v>
      </c>
    </row>
    <row r="398" spans="1:9">
      <c r="A398" t="s">
        <v>1395</v>
      </c>
      <c r="B398" t="s">
        <v>998</v>
      </c>
      <c r="C398" t="s">
        <v>999</v>
      </c>
      <c r="D398">
        <v>20.5</v>
      </c>
      <c r="E398">
        <v>28</v>
      </c>
      <c r="F398">
        <v>291.2</v>
      </c>
      <c r="G398">
        <f>MAX(ROUNDUP(D398, 0), E398) * IF(C398="COVERED", Parameters!$B$2, Parameters!$B$3)</f>
        <v>0</v>
      </c>
      <c r="H398">
        <f>F398 - G398</f>
        <v>0</v>
      </c>
      <c r="I398">
        <f>IF(ABS(H398)&gt;0.01, "Priority 3", "")</f>
        <v>0</v>
      </c>
    </row>
    <row r="399" spans="1:9">
      <c r="A399" t="s">
        <v>1396</v>
      </c>
      <c r="B399" t="s">
        <v>998</v>
      </c>
      <c r="C399" t="s">
        <v>999</v>
      </c>
      <c r="D399">
        <v>53.8</v>
      </c>
      <c r="E399">
        <v>32</v>
      </c>
      <c r="F399">
        <v>561.6</v>
      </c>
      <c r="G399">
        <f>MAX(ROUNDUP(D399, 0), E399) * IF(C399="COVERED", Parameters!$B$2, Parameters!$B$3)</f>
        <v>0</v>
      </c>
      <c r="H399">
        <f>F399 - G399</f>
        <v>0</v>
      </c>
      <c r="I399">
        <f>IF(ABS(H399)&gt;0.01, "Priority 3", "")</f>
        <v>0</v>
      </c>
    </row>
    <row r="400" spans="1:9">
      <c r="A400" t="s">
        <v>1397</v>
      </c>
      <c r="B400" t="s">
        <v>998</v>
      </c>
      <c r="C400" t="s">
        <v>999</v>
      </c>
      <c r="D400">
        <v>55.2</v>
      </c>
      <c r="E400">
        <v>24</v>
      </c>
      <c r="F400">
        <v>582.4</v>
      </c>
      <c r="G400">
        <f>MAX(ROUNDUP(D400, 0), E400) * IF(C400="COVERED", Parameters!$B$2, Parameters!$B$3)</f>
        <v>0</v>
      </c>
      <c r="H400">
        <f>F400 - G400</f>
        <v>0</v>
      </c>
      <c r="I400">
        <f>IF(ABS(H400)&gt;0.01, "Priority 3", "")</f>
        <v>0</v>
      </c>
    </row>
    <row r="401" spans="1:9">
      <c r="A401" t="s">
        <v>1398</v>
      </c>
      <c r="B401" t="s">
        <v>998</v>
      </c>
      <c r="C401" t="s">
        <v>999</v>
      </c>
      <c r="D401">
        <v>54.7</v>
      </c>
      <c r="E401">
        <v>24</v>
      </c>
      <c r="F401">
        <v>572</v>
      </c>
      <c r="G401">
        <f>MAX(ROUNDUP(D401, 0), E401) * IF(C401="COVERED", Parameters!$B$2, Parameters!$B$3)</f>
        <v>0</v>
      </c>
      <c r="H401">
        <f>F401 - G401</f>
        <v>0</v>
      </c>
      <c r="I401">
        <f>IF(ABS(H401)&gt;0.01, "Priority 3", "")</f>
        <v>0</v>
      </c>
    </row>
    <row r="402" spans="1:9">
      <c r="A402" t="s">
        <v>1399</v>
      </c>
      <c r="B402" t="s">
        <v>998</v>
      </c>
      <c r="C402" t="s">
        <v>999</v>
      </c>
      <c r="D402">
        <v>37.8</v>
      </c>
      <c r="E402">
        <v>40</v>
      </c>
      <c r="F402">
        <v>416</v>
      </c>
      <c r="G402">
        <f>MAX(ROUNDUP(D402, 0), E402) * IF(C402="COVERED", Parameters!$B$2, Parameters!$B$3)</f>
        <v>0</v>
      </c>
      <c r="H402">
        <f>F402 - G402</f>
        <v>0</v>
      </c>
      <c r="I402">
        <f>IF(ABS(H402)&gt;0.01, "Priority 3", "")</f>
        <v>0</v>
      </c>
    </row>
    <row r="403" spans="1:9">
      <c r="A403" t="s">
        <v>1400</v>
      </c>
      <c r="B403" t="s">
        <v>998</v>
      </c>
      <c r="C403" t="s">
        <v>999</v>
      </c>
      <c r="D403">
        <v>49.8</v>
      </c>
      <c r="E403">
        <v>40</v>
      </c>
      <c r="F403">
        <v>520</v>
      </c>
      <c r="G403">
        <f>MAX(ROUNDUP(D403, 0), E403) * IF(C403="COVERED", Parameters!$B$2, Parameters!$B$3)</f>
        <v>0</v>
      </c>
      <c r="H403">
        <f>F403 - G403</f>
        <v>0</v>
      </c>
      <c r="I403">
        <f>IF(ABS(H403)&gt;0.01, "Priority 3", "")</f>
        <v>0</v>
      </c>
    </row>
    <row r="404" spans="1:9">
      <c r="A404" t="s">
        <v>1401</v>
      </c>
      <c r="B404" t="s">
        <v>998</v>
      </c>
      <c r="C404" t="s">
        <v>999</v>
      </c>
      <c r="D404">
        <v>27.9</v>
      </c>
      <c r="E404">
        <v>28</v>
      </c>
      <c r="F404">
        <v>291.2</v>
      </c>
      <c r="G404">
        <f>MAX(ROUNDUP(D404, 0), E404) * IF(C404="COVERED", Parameters!$B$2, Parameters!$B$3)</f>
        <v>0</v>
      </c>
      <c r="H404">
        <f>F404 - G404</f>
        <v>0</v>
      </c>
      <c r="I404">
        <f>IF(ABS(H404)&gt;0.01, "Priority 3", "")</f>
        <v>0</v>
      </c>
    </row>
    <row r="405" spans="1:9">
      <c r="A405" t="s">
        <v>1402</v>
      </c>
      <c r="B405" t="s">
        <v>998</v>
      </c>
      <c r="C405" t="s">
        <v>999</v>
      </c>
      <c r="D405">
        <v>21.2</v>
      </c>
      <c r="E405">
        <v>24</v>
      </c>
      <c r="F405">
        <v>249.6</v>
      </c>
      <c r="G405">
        <f>MAX(ROUNDUP(D405, 0), E405) * IF(C405="COVERED", Parameters!$B$2, Parameters!$B$3)</f>
        <v>0</v>
      </c>
      <c r="H405">
        <f>F405 - G405</f>
        <v>0</v>
      </c>
      <c r="I405">
        <f>IF(ABS(H405)&gt;0.01, "Priority 3", "")</f>
        <v>0</v>
      </c>
    </row>
    <row r="406" spans="1:9">
      <c r="A406" t="s">
        <v>1403</v>
      </c>
      <c r="B406" t="s">
        <v>998</v>
      </c>
      <c r="C406" t="s">
        <v>999</v>
      </c>
      <c r="D406">
        <v>23.2</v>
      </c>
      <c r="E406">
        <v>32</v>
      </c>
      <c r="F406">
        <v>332.8</v>
      </c>
      <c r="G406">
        <f>MAX(ROUNDUP(D406, 0), E406) * IF(C406="COVERED", Parameters!$B$2, Parameters!$B$3)</f>
        <v>0</v>
      </c>
      <c r="H406">
        <f>F406 - G406</f>
        <v>0</v>
      </c>
      <c r="I406">
        <f>IF(ABS(H406)&gt;0.01, "Priority 3", "")</f>
        <v>0</v>
      </c>
    </row>
    <row r="407" spans="1:9">
      <c r="A407" t="s">
        <v>1404</v>
      </c>
      <c r="B407" t="s">
        <v>998</v>
      </c>
      <c r="C407" t="s">
        <v>999</v>
      </c>
      <c r="D407">
        <v>18.4</v>
      </c>
      <c r="E407">
        <v>32</v>
      </c>
      <c r="F407">
        <v>332.8</v>
      </c>
      <c r="G407">
        <f>MAX(ROUNDUP(D407, 0), E407) * IF(C407="COVERED", Parameters!$B$2, Parameters!$B$3)</f>
        <v>0</v>
      </c>
      <c r="H407">
        <f>F407 - G407</f>
        <v>0</v>
      </c>
      <c r="I407">
        <f>IF(ABS(H407)&gt;0.01, "Priority 3", "")</f>
        <v>0</v>
      </c>
    </row>
    <row r="408" spans="1:9">
      <c r="A408" t="s">
        <v>1405</v>
      </c>
      <c r="B408" t="s">
        <v>998</v>
      </c>
      <c r="C408" t="s">
        <v>999</v>
      </c>
      <c r="D408">
        <v>58.2</v>
      </c>
      <c r="E408">
        <v>36</v>
      </c>
      <c r="F408">
        <v>613.6</v>
      </c>
      <c r="G408">
        <f>MAX(ROUNDUP(D408, 0), E408) * IF(C408="COVERED", Parameters!$B$2, Parameters!$B$3)</f>
        <v>0</v>
      </c>
      <c r="H408">
        <f>F408 - G408</f>
        <v>0</v>
      </c>
      <c r="I408">
        <f>IF(ABS(H408)&gt;0.01, "Priority 3", "")</f>
        <v>0</v>
      </c>
    </row>
    <row r="409" spans="1:9">
      <c r="A409" t="s">
        <v>1406</v>
      </c>
      <c r="B409" t="s">
        <v>998</v>
      </c>
      <c r="C409" t="s">
        <v>999</v>
      </c>
      <c r="D409">
        <v>18.2</v>
      </c>
      <c r="E409">
        <v>24</v>
      </c>
      <c r="F409">
        <v>249.6</v>
      </c>
      <c r="G409">
        <f>MAX(ROUNDUP(D409, 0), E409) * IF(C409="COVERED", Parameters!$B$2, Parameters!$B$3)</f>
        <v>0</v>
      </c>
      <c r="H409">
        <f>F409 - G409</f>
        <v>0</v>
      </c>
      <c r="I409">
        <f>IF(ABS(H409)&gt;0.01, "Priority 3", "")</f>
        <v>0</v>
      </c>
    </row>
    <row r="410" spans="1:9">
      <c r="A410" t="s">
        <v>1407</v>
      </c>
      <c r="B410" t="s">
        <v>998</v>
      </c>
      <c r="C410" t="s">
        <v>999</v>
      </c>
      <c r="D410">
        <v>21.3</v>
      </c>
      <c r="E410">
        <v>32</v>
      </c>
      <c r="F410">
        <v>332.8</v>
      </c>
      <c r="G410">
        <f>MAX(ROUNDUP(D410, 0), E410) * IF(C410="COVERED", Parameters!$B$2, Parameters!$B$3)</f>
        <v>0</v>
      </c>
      <c r="H410">
        <f>F410 - G410</f>
        <v>0</v>
      </c>
      <c r="I410">
        <f>IF(ABS(H410)&gt;0.01, "Priority 3", "")</f>
        <v>0</v>
      </c>
    </row>
    <row r="411" spans="1:9">
      <c r="A411" t="s">
        <v>1408</v>
      </c>
      <c r="B411" t="s">
        <v>998</v>
      </c>
      <c r="C411" t="s">
        <v>999</v>
      </c>
      <c r="D411">
        <v>52.9</v>
      </c>
      <c r="E411">
        <v>40</v>
      </c>
      <c r="F411">
        <v>551.2</v>
      </c>
      <c r="G411">
        <f>MAX(ROUNDUP(D411, 0), E411) * IF(C411="COVERED", Parameters!$B$2, Parameters!$B$3)</f>
        <v>0</v>
      </c>
      <c r="H411">
        <f>F411 - G411</f>
        <v>0</v>
      </c>
      <c r="I411">
        <f>IF(ABS(H411)&gt;0.01, "Priority 3", "")</f>
        <v>0</v>
      </c>
    </row>
    <row r="412" spans="1:9">
      <c r="A412" t="s">
        <v>1409</v>
      </c>
      <c r="B412" t="s">
        <v>998</v>
      </c>
      <c r="C412" t="s">
        <v>999</v>
      </c>
      <c r="D412">
        <v>33.4</v>
      </c>
      <c r="E412">
        <v>32</v>
      </c>
      <c r="F412">
        <v>353.6</v>
      </c>
      <c r="G412">
        <f>MAX(ROUNDUP(D412, 0), E412) * IF(C412="COVERED", Parameters!$B$2, Parameters!$B$3)</f>
        <v>0</v>
      </c>
      <c r="H412">
        <f>F412 - G412</f>
        <v>0</v>
      </c>
      <c r="I412">
        <f>IF(ABS(H412)&gt;0.01, "Priority 3", "")</f>
        <v>0</v>
      </c>
    </row>
    <row r="413" spans="1:9">
      <c r="A413" t="s">
        <v>1410</v>
      </c>
      <c r="B413" t="s">
        <v>998</v>
      </c>
      <c r="C413" t="s">
        <v>999</v>
      </c>
      <c r="D413">
        <v>56.2</v>
      </c>
      <c r="E413">
        <v>28</v>
      </c>
      <c r="F413">
        <v>592.8</v>
      </c>
      <c r="G413">
        <f>MAX(ROUNDUP(D413, 0), E413) * IF(C413="COVERED", Parameters!$B$2, Parameters!$B$3)</f>
        <v>0</v>
      </c>
      <c r="H413">
        <f>F413 - G413</f>
        <v>0</v>
      </c>
      <c r="I413">
        <f>IF(ABS(H413)&gt;0.01, "Priority 3", "")</f>
        <v>0</v>
      </c>
    </row>
    <row r="414" spans="1:9">
      <c r="A414" t="s">
        <v>1411</v>
      </c>
      <c r="B414" t="s">
        <v>998</v>
      </c>
      <c r="C414" t="s">
        <v>999</v>
      </c>
      <c r="D414">
        <v>59.7</v>
      </c>
      <c r="E414">
        <v>28</v>
      </c>
      <c r="F414">
        <v>624</v>
      </c>
      <c r="G414">
        <f>MAX(ROUNDUP(D414, 0), E414) * IF(C414="COVERED", Parameters!$B$2, Parameters!$B$3)</f>
        <v>0</v>
      </c>
      <c r="H414">
        <f>F414 - G414</f>
        <v>0</v>
      </c>
      <c r="I414">
        <f>IF(ABS(H414)&gt;0.01, "Priority 3", "")</f>
        <v>0</v>
      </c>
    </row>
    <row r="415" spans="1:9">
      <c r="A415" t="s">
        <v>1412</v>
      </c>
      <c r="B415" t="s">
        <v>998</v>
      </c>
      <c r="C415" t="s">
        <v>999</v>
      </c>
      <c r="D415">
        <v>22.4</v>
      </c>
      <c r="E415">
        <v>36</v>
      </c>
      <c r="F415">
        <v>374.4</v>
      </c>
      <c r="G415">
        <f>MAX(ROUNDUP(D415, 0), E415) * IF(C415="COVERED", Parameters!$B$2, Parameters!$B$3)</f>
        <v>0</v>
      </c>
      <c r="H415">
        <f>F415 - G415</f>
        <v>0</v>
      </c>
      <c r="I415">
        <f>IF(ABS(H415)&gt;0.01, "Priority 3", "")</f>
        <v>0</v>
      </c>
    </row>
    <row r="416" spans="1:9">
      <c r="A416" t="s">
        <v>1413</v>
      </c>
      <c r="B416" t="s">
        <v>998</v>
      </c>
      <c r="C416" t="s">
        <v>999</v>
      </c>
      <c r="D416">
        <v>58.6</v>
      </c>
      <c r="E416">
        <v>32</v>
      </c>
      <c r="F416">
        <v>613.6</v>
      </c>
      <c r="G416">
        <f>MAX(ROUNDUP(D416, 0), E416) * IF(C416="COVERED", Parameters!$B$2, Parameters!$B$3)</f>
        <v>0</v>
      </c>
      <c r="H416">
        <f>F416 - G416</f>
        <v>0</v>
      </c>
      <c r="I416">
        <f>IF(ABS(H416)&gt;0.01, "Priority 3", "")</f>
        <v>0</v>
      </c>
    </row>
    <row r="417" spans="1:9">
      <c r="A417" t="s">
        <v>1414</v>
      </c>
      <c r="B417" t="s">
        <v>998</v>
      </c>
      <c r="C417" t="s">
        <v>999</v>
      </c>
      <c r="D417">
        <v>54.9</v>
      </c>
      <c r="E417">
        <v>28</v>
      </c>
      <c r="F417">
        <v>572</v>
      </c>
      <c r="G417">
        <f>MAX(ROUNDUP(D417, 0), E417) * IF(C417="COVERED", Parameters!$B$2, Parameters!$B$3)</f>
        <v>0</v>
      </c>
      <c r="H417">
        <f>F417 - G417</f>
        <v>0</v>
      </c>
      <c r="I417">
        <f>IF(ABS(H417)&gt;0.01, "Priority 3", "")</f>
        <v>0</v>
      </c>
    </row>
    <row r="418" spans="1:9">
      <c r="A418" t="s">
        <v>1415</v>
      </c>
      <c r="B418" t="s">
        <v>998</v>
      </c>
      <c r="C418" t="s">
        <v>999</v>
      </c>
      <c r="D418">
        <v>47</v>
      </c>
      <c r="E418">
        <v>24</v>
      </c>
      <c r="F418">
        <v>488.8</v>
      </c>
      <c r="G418">
        <f>MAX(ROUNDUP(D418, 0), E418) * IF(C418="COVERED", Parameters!$B$2, Parameters!$B$3)</f>
        <v>0</v>
      </c>
      <c r="H418">
        <f>F418 - G418</f>
        <v>0</v>
      </c>
      <c r="I418">
        <f>IF(ABS(H418)&gt;0.01, "Priority 3", "")</f>
        <v>0</v>
      </c>
    </row>
    <row r="419" spans="1:9">
      <c r="A419" t="s">
        <v>1416</v>
      </c>
      <c r="B419" t="s">
        <v>998</v>
      </c>
      <c r="C419" t="s">
        <v>999</v>
      </c>
      <c r="D419">
        <v>56.9</v>
      </c>
      <c r="E419">
        <v>24</v>
      </c>
      <c r="F419">
        <v>592.8</v>
      </c>
      <c r="G419">
        <f>MAX(ROUNDUP(D419, 0), E419) * IF(C419="COVERED", Parameters!$B$2, Parameters!$B$3)</f>
        <v>0</v>
      </c>
      <c r="H419">
        <f>F419 - G419</f>
        <v>0</v>
      </c>
      <c r="I419">
        <f>IF(ABS(H419)&gt;0.01, "Priority 3", "")</f>
        <v>0</v>
      </c>
    </row>
    <row r="420" spans="1:9">
      <c r="A420" t="s">
        <v>1417</v>
      </c>
      <c r="B420" t="s">
        <v>998</v>
      </c>
      <c r="C420" t="s">
        <v>999</v>
      </c>
      <c r="D420">
        <v>39.8</v>
      </c>
      <c r="E420">
        <v>36</v>
      </c>
      <c r="F420">
        <v>416</v>
      </c>
      <c r="G420">
        <f>MAX(ROUNDUP(D420, 0), E420) * IF(C420="COVERED", Parameters!$B$2, Parameters!$B$3)</f>
        <v>0</v>
      </c>
      <c r="H420">
        <f>F420 - G420</f>
        <v>0</v>
      </c>
      <c r="I420">
        <f>IF(ABS(H420)&gt;0.01, "Priority 3", "")</f>
        <v>0</v>
      </c>
    </row>
    <row r="421" spans="1:9">
      <c r="A421" t="s">
        <v>1418</v>
      </c>
      <c r="B421" t="s">
        <v>998</v>
      </c>
      <c r="C421" t="s">
        <v>999</v>
      </c>
      <c r="D421">
        <v>57.6</v>
      </c>
      <c r="E421">
        <v>40</v>
      </c>
      <c r="F421">
        <v>603.2</v>
      </c>
      <c r="G421">
        <f>MAX(ROUNDUP(D421, 0), E421) * IF(C421="COVERED", Parameters!$B$2, Parameters!$B$3)</f>
        <v>0</v>
      </c>
      <c r="H421">
        <f>F421 - G421</f>
        <v>0</v>
      </c>
      <c r="I421">
        <f>IF(ABS(H421)&gt;0.01, "Priority 3", "")</f>
        <v>0</v>
      </c>
    </row>
    <row r="422" spans="1:9">
      <c r="A422" t="s">
        <v>1419</v>
      </c>
      <c r="B422" t="s">
        <v>998</v>
      </c>
      <c r="C422" t="s">
        <v>999</v>
      </c>
      <c r="D422">
        <v>50.8</v>
      </c>
      <c r="E422">
        <v>36</v>
      </c>
      <c r="F422">
        <v>530.4</v>
      </c>
      <c r="G422">
        <f>MAX(ROUNDUP(D422, 0), E422) * IF(C422="COVERED", Parameters!$B$2, Parameters!$B$3)</f>
        <v>0</v>
      </c>
      <c r="H422">
        <f>F422 - G422</f>
        <v>0</v>
      </c>
      <c r="I422">
        <f>IF(ABS(H422)&gt;0.01, "Priority 3", "")</f>
        <v>0</v>
      </c>
    </row>
    <row r="423" spans="1:9">
      <c r="A423" t="s">
        <v>1420</v>
      </c>
      <c r="B423" t="s">
        <v>998</v>
      </c>
      <c r="C423" t="s">
        <v>999</v>
      </c>
      <c r="D423">
        <v>58.3</v>
      </c>
      <c r="E423">
        <v>40</v>
      </c>
      <c r="F423">
        <v>613.6</v>
      </c>
      <c r="G423">
        <f>MAX(ROUNDUP(D423, 0), E423) * IF(C423="COVERED", Parameters!$B$2, Parameters!$B$3)</f>
        <v>0</v>
      </c>
      <c r="H423">
        <f>F423 - G423</f>
        <v>0</v>
      </c>
      <c r="I423">
        <f>IF(ABS(H423)&gt;0.01, "Priority 3", "")</f>
        <v>0</v>
      </c>
    </row>
    <row r="424" spans="1:9">
      <c r="A424" t="s">
        <v>1421</v>
      </c>
      <c r="B424" t="s">
        <v>998</v>
      </c>
      <c r="C424" t="s">
        <v>999</v>
      </c>
      <c r="D424">
        <v>46.5</v>
      </c>
      <c r="E424">
        <v>36</v>
      </c>
      <c r="F424">
        <v>488.8</v>
      </c>
      <c r="G424">
        <f>MAX(ROUNDUP(D424, 0), E424) * IF(C424="COVERED", Parameters!$B$2, Parameters!$B$3)</f>
        <v>0</v>
      </c>
      <c r="H424">
        <f>F424 - G424</f>
        <v>0</v>
      </c>
      <c r="I424">
        <f>IF(ABS(H424)&gt;0.01, "Priority 3", "")</f>
        <v>0</v>
      </c>
    </row>
    <row r="425" spans="1:9">
      <c r="A425" t="s">
        <v>1422</v>
      </c>
      <c r="B425" t="s">
        <v>998</v>
      </c>
      <c r="C425" t="s">
        <v>999</v>
      </c>
      <c r="D425">
        <v>58.1</v>
      </c>
      <c r="E425">
        <v>28</v>
      </c>
      <c r="F425">
        <v>613.6</v>
      </c>
      <c r="G425">
        <f>MAX(ROUNDUP(D425, 0), E425) * IF(C425="COVERED", Parameters!$B$2, Parameters!$B$3)</f>
        <v>0</v>
      </c>
      <c r="H425">
        <f>F425 - G425</f>
        <v>0</v>
      </c>
      <c r="I425">
        <f>IF(ABS(H425)&gt;0.01, "Priority 3", "")</f>
        <v>0</v>
      </c>
    </row>
    <row r="426" spans="1:9">
      <c r="A426" t="s">
        <v>1423</v>
      </c>
      <c r="B426" t="s">
        <v>998</v>
      </c>
      <c r="C426" t="s">
        <v>999</v>
      </c>
      <c r="D426">
        <v>56.6</v>
      </c>
      <c r="E426">
        <v>36</v>
      </c>
      <c r="F426">
        <v>592.8</v>
      </c>
      <c r="G426">
        <f>MAX(ROUNDUP(D426, 0), E426) * IF(C426="COVERED", Parameters!$B$2, Parameters!$B$3)</f>
        <v>0</v>
      </c>
      <c r="H426">
        <f>F426 - G426</f>
        <v>0</v>
      </c>
      <c r="I426">
        <f>IF(ABS(H426)&gt;0.01, "Priority 3", "")</f>
        <v>0</v>
      </c>
    </row>
    <row r="427" spans="1:9">
      <c r="A427" t="s">
        <v>1424</v>
      </c>
      <c r="B427" t="s">
        <v>998</v>
      </c>
      <c r="C427" t="s">
        <v>999</v>
      </c>
      <c r="D427">
        <v>56.5</v>
      </c>
      <c r="E427">
        <v>28</v>
      </c>
      <c r="F427">
        <v>592.8</v>
      </c>
      <c r="G427">
        <f>MAX(ROUNDUP(D427, 0), E427) * IF(C427="COVERED", Parameters!$B$2, Parameters!$B$3)</f>
        <v>0</v>
      </c>
      <c r="H427">
        <f>F427 - G427</f>
        <v>0</v>
      </c>
      <c r="I427">
        <f>IF(ABS(H427)&gt;0.01, "Priority 3", "")</f>
        <v>0</v>
      </c>
    </row>
    <row r="428" spans="1:9">
      <c r="A428" t="s">
        <v>1425</v>
      </c>
      <c r="B428" t="s">
        <v>998</v>
      </c>
      <c r="C428" t="s">
        <v>999</v>
      </c>
      <c r="D428">
        <v>24.5</v>
      </c>
      <c r="E428">
        <v>28</v>
      </c>
      <c r="F428">
        <v>291.2</v>
      </c>
      <c r="G428">
        <f>MAX(ROUNDUP(D428, 0), E428) * IF(C428="COVERED", Parameters!$B$2, Parameters!$B$3)</f>
        <v>0</v>
      </c>
      <c r="H428">
        <f>F428 - G428</f>
        <v>0</v>
      </c>
      <c r="I428">
        <f>IF(ABS(H428)&gt;0.01, "Priority 3", "")</f>
        <v>0</v>
      </c>
    </row>
    <row r="429" spans="1:9">
      <c r="A429" t="s">
        <v>1426</v>
      </c>
      <c r="B429" t="s">
        <v>998</v>
      </c>
      <c r="C429" t="s">
        <v>999</v>
      </c>
      <c r="D429">
        <v>29.3</v>
      </c>
      <c r="E429">
        <v>36</v>
      </c>
      <c r="F429">
        <v>374.4</v>
      </c>
      <c r="G429">
        <f>MAX(ROUNDUP(D429, 0), E429) * IF(C429="COVERED", Parameters!$B$2, Parameters!$B$3)</f>
        <v>0</v>
      </c>
      <c r="H429">
        <f>F429 - G429</f>
        <v>0</v>
      </c>
      <c r="I429">
        <f>IF(ABS(H429)&gt;0.01, "Priority 3", "")</f>
        <v>0</v>
      </c>
    </row>
    <row r="430" spans="1:9">
      <c r="A430" t="s">
        <v>1427</v>
      </c>
      <c r="B430" t="s">
        <v>998</v>
      </c>
      <c r="C430" t="s">
        <v>999</v>
      </c>
      <c r="D430">
        <v>35.8</v>
      </c>
      <c r="E430">
        <v>28</v>
      </c>
      <c r="F430">
        <v>374.4</v>
      </c>
      <c r="G430">
        <f>MAX(ROUNDUP(D430, 0), E430) * IF(C430="COVERED", Parameters!$B$2, Parameters!$B$3)</f>
        <v>0</v>
      </c>
      <c r="H430">
        <f>F430 - G430</f>
        <v>0</v>
      </c>
      <c r="I430">
        <f>IF(ABS(H430)&gt;0.01, "Priority 3", "")</f>
        <v>0</v>
      </c>
    </row>
    <row r="431" spans="1:9">
      <c r="A431" t="s">
        <v>1428</v>
      </c>
      <c r="B431" t="s">
        <v>998</v>
      </c>
      <c r="C431" t="s">
        <v>999</v>
      </c>
      <c r="D431">
        <v>55.4</v>
      </c>
      <c r="E431">
        <v>32</v>
      </c>
      <c r="F431">
        <v>582.4</v>
      </c>
      <c r="G431">
        <f>MAX(ROUNDUP(D431, 0), E431) * IF(C431="COVERED", Parameters!$B$2, Parameters!$B$3)</f>
        <v>0</v>
      </c>
      <c r="H431">
        <f>F431 - G431</f>
        <v>0</v>
      </c>
      <c r="I431">
        <f>IF(ABS(H431)&gt;0.01, "Priority 3", "")</f>
        <v>0</v>
      </c>
    </row>
    <row r="432" spans="1:9">
      <c r="A432" t="s">
        <v>1429</v>
      </c>
      <c r="B432" t="s">
        <v>998</v>
      </c>
      <c r="C432" t="s">
        <v>999</v>
      </c>
      <c r="D432">
        <v>61.6</v>
      </c>
      <c r="E432">
        <v>24</v>
      </c>
      <c r="F432">
        <v>644.8</v>
      </c>
      <c r="G432">
        <f>MAX(ROUNDUP(D432, 0), E432) * IF(C432="COVERED", Parameters!$B$2, Parameters!$B$3)</f>
        <v>0</v>
      </c>
      <c r="H432">
        <f>F432 - G432</f>
        <v>0</v>
      </c>
      <c r="I432">
        <f>IF(ABS(H432)&gt;0.01, "Priority 3", "")</f>
        <v>0</v>
      </c>
    </row>
    <row r="433" spans="1:9">
      <c r="A433" t="s">
        <v>1430</v>
      </c>
      <c r="B433" t="s">
        <v>998</v>
      </c>
      <c r="C433" t="s">
        <v>999</v>
      </c>
      <c r="D433">
        <v>61</v>
      </c>
      <c r="E433">
        <v>36</v>
      </c>
      <c r="F433">
        <v>634.4</v>
      </c>
      <c r="G433">
        <f>MAX(ROUNDUP(D433, 0), E433) * IF(C433="COVERED", Parameters!$B$2, Parameters!$B$3)</f>
        <v>0</v>
      </c>
      <c r="H433">
        <f>F433 - G433</f>
        <v>0</v>
      </c>
      <c r="I433">
        <f>IF(ABS(H433)&gt;0.01, "Priority 3", "")</f>
        <v>0</v>
      </c>
    </row>
    <row r="434" spans="1:9">
      <c r="A434" t="s">
        <v>1431</v>
      </c>
      <c r="B434" t="s">
        <v>998</v>
      </c>
      <c r="C434" t="s">
        <v>999</v>
      </c>
      <c r="D434">
        <v>47.3</v>
      </c>
      <c r="E434">
        <v>40</v>
      </c>
      <c r="F434">
        <v>499.2</v>
      </c>
      <c r="G434">
        <f>MAX(ROUNDUP(D434, 0), E434) * IF(C434="COVERED", Parameters!$B$2, Parameters!$B$3)</f>
        <v>0</v>
      </c>
      <c r="H434">
        <f>F434 - G434</f>
        <v>0</v>
      </c>
      <c r="I434">
        <f>IF(ABS(H434)&gt;0.01, "Priority 3", "")</f>
        <v>0</v>
      </c>
    </row>
    <row r="435" spans="1:9">
      <c r="A435" t="s">
        <v>1432</v>
      </c>
      <c r="B435" t="s">
        <v>998</v>
      </c>
      <c r="C435" t="s">
        <v>999</v>
      </c>
      <c r="D435">
        <v>53.9</v>
      </c>
      <c r="E435">
        <v>40</v>
      </c>
      <c r="F435">
        <v>561.6</v>
      </c>
      <c r="G435">
        <f>MAX(ROUNDUP(D435, 0), E435) * IF(C435="COVERED", Parameters!$B$2, Parameters!$B$3)</f>
        <v>0</v>
      </c>
      <c r="H435">
        <f>F435 - G435</f>
        <v>0</v>
      </c>
      <c r="I435">
        <f>IF(ABS(H435)&gt;0.01, "Priority 3", "")</f>
        <v>0</v>
      </c>
    </row>
    <row r="436" spans="1:9">
      <c r="A436" t="s">
        <v>1433</v>
      </c>
      <c r="B436" t="s">
        <v>998</v>
      </c>
      <c r="C436" t="s">
        <v>999</v>
      </c>
      <c r="D436">
        <v>29.2</v>
      </c>
      <c r="E436">
        <v>24</v>
      </c>
      <c r="F436">
        <v>312</v>
      </c>
      <c r="G436">
        <f>MAX(ROUNDUP(D436, 0), E436) * IF(C436="COVERED", Parameters!$B$2, Parameters!$B$3)</f>
        <v>0</v>
      </c>
      <c r="H436">
        <f>F436 - G436</f>
        <v>0</v>
      </c>
      <c r="I436">
        <f>IF(ABS(H436)&gt;0.01, "Priority 3", "")</f>
        <v>0</v>
      </c>
    </row>
    <row r="437" spans="1:9">
      <c r="A437" t="s">
        <v>1434</v>
      </c>
      <c r="B437" t="s">
        <v>998</v>
      </c>
      <c r="C437" t="s">
        <v>999</v>
      </c>
      <c r="D437">
        <v>23.5</v>
      </c>
      <c r="E437">
        <v>28</v>
      </c>
      <c r="F437">
        <v>291.2</v>
      </c>
      <c r="G437">
        <f>MAX(ROUNDUP(D437, 0), E437) * IF(C437="COVERED", Parameters!$B$2, Parameters!$B$3)</f>
        <v>0</v>
      </c>
      <c r="H437">
        <f>F437 - G437</f>
        <v>0</v>
      </c>
      <c r="I437">
        <f>IF(ABS(H437)&gt;0.01, "Priority 3", "")</f>
        <v>0</v>
      </c>
    </row>
    <row r="438" spans="1:9">
      <c r="A438" t="s">
        <v>1435</v>
      </c>
      <c r="B438" t="s">
        <v>998</v>
      </c>
      <c r="C438" t="s">
        <v>999</v>
      </c>
      <c r="D438">
        <v>37</v>
      </c>
      <c r="E438">
        <v>28</v>
      </c>
      <c r="F438">
        <v>384.8</v>
      </c>
      <c r="G438">
        <f>MAX(ROUNDUP(D438, 0), E438) * IF(C438="COVERED", Parameters!$B$2, Parameters!$B$3)</f>
        <v>0</v>
      </c>
      <c r="H438">
        <f>F438 - G438</f>
        <v>0</v>
      </c>
      <c r="I438">
        <f>IF(ABS(H438)&gt;0.01, "Priority 3", "")</f>
        <v>0</v>
      </c>
    </row>
    <row r="439" spans="1:9">
      <c r="A439" t="s">
        <v>1436</v>
      </c>
      <c r="B439" t="s">
        <v>998</v>
      </c>
      <c r="C439" t="s">
        <v>999</v>
      </c>
      <c r="D439">
        <v>26.9</v>
      </c>
      <c r="E439">
        <v>24</v>
      </c>
      <c r="F439">
        <v>280.8</v>
      </c>
      <c r="G439">
        <f>MAX(ROUNDUP(D439, 0), E439) * IF(C439="COVERED", Parameters!$B$2, Parameters!$B$3)</f>
        <v>0</v>
      </c>
      <c r="H439">
        <f>F439 - G439</f>
        <v>0</v>
      </c>
      <c r="I439">
        <f>IF(ABS(H439)&gt;0.01, "Priority 3", "")</f>
        <v>0</v>
      </c>
    </row>
    <row r="440" spans="1:9">
      <c r="A440" t="s">
        <v>1437</v>
      </c>
      <c r="B440" t="s">
        <v>998</v>
      </c>
      <c r="C440" t="s">
        <v>999</v>
      </c>
      <c r="D440">
        <v>54.5</v>
      </c>
      <c r="E440">
        <v>28</v>
      </c>
      <c r="F440">
        <v>572</v>
      </c>
      <c r="G440">
        <f>MAX(ROUNDUP(D440, 0), E440) * IF(C440="COVERED", Parameters!$B$2, Parameters!$B$3)</f>
        <v>0</v>
      </c>
      <c r="H440">
        <f>F440 - G440</f>
        <v>0</v>
      </c>
      <c r="I440">
        <f>IF(ABS(H440)&gt;0.01, "Priority 3", "")</f>
        <v>0</v>
      </c>
    </row>
    <row r="441" spans="1:9">
      <c r="A441" t="s">
        <v>1438</v>
      </c>
      <c r="B441" t="s">
        <v>998</v>
      </c>
      <c r="C441" t="s">
        <v>999</v>
      </c>
      <c r="D441">
        <v>26.6</v>
      </c>
      <c r="E441">
        <v>36</v>
      </c>
      <c r="F441">
        <v>374.4</v>
      </c>
      <c r="G441">
        <f>MAX(ROUNDUP(D441, 0), E441) * IF(C441="COVERED", Parameters!$B$2, Parameters!$B$3)</f>
        <v>0</v>
      </c>
      <c r="H441">
        <f>F441 - G441</f>
        <v>0</v>
      </c>
      <c r="I441">
        <f>IF(ABS(H441)&gt;0.01, "Priority 3", "")</f>
        <v>0</v>
      </c>
    </row>
    <row r="442" spans="1:9">
      <c r="A442" t="s">
        <v>1439</v>
      </c>
      <c r="B442" t="s">
        <v>998</v>
      </c>
      <c r="C442" t="s">
        <v>999</v>
      </c>
      <c r="D442">
        <v>61.6</v>
      </c>
      <c r="E442">
        <v>24</v>
      </c>
      <c r="F442">
        <v>644.8</v>
      </c>
      <c r="G442">
        <f>MAX(ROUNDUP(D442, 0), E442) * IF(C442="COVERED", Parameters!$B$2, Parameters!$B$3)</f>
        <v>0</v>
      </c>
      <c r="H442">
        <f>F442 - G442</f>
        <v>0</v>
      </c>
      <c r="I442">
        <f>IF(ABS(H442)&gt;0.01, "Priority 3", "")</f>
        <v>0</v>
      </c>
    </row>
    <row r="443" spans="1:9">
      <c r="A443" t="s">
        <v>1440</v>
      </c>
      <c r="B443" t="s">
        <v>998</v>
      </c>
      <c r="C443" t="s">
        <v>999</v>
      </c>
      <c r="D443">
        <v>47.1</v>
      </c>
      <c r="E443">
        <v>32</v>
      </c>
      <c r="F443">
        <v>499.2</v>
      </c>
      <c r="G443">
        <f>MAX(ROUNDUP(D443, 0), E443) * IF(C443="COVERED", Parameters!$B$2, Parameters!$B$3)</f>
        <v>0</v>
      </c>
      <c r="H443">
        <f>F443 - G443</f>
        <v>0</v>
      </c>
      <c r="I443">
        <f>IF(ABS(H443)&gt;0.01, "Priority 3", "")</f>
        <v>0</v>
      </c>
    </row>
    <row r="444" spans="1:9">
      <c r="A444" t="s">
        <v>1441</v>
      </c>
      <c r="B444" t="s">
        <v>998</v>
      </c>
      <c r="C444" t="s">
        <v>999</v>
      </c>
      <c r="D444">
        <v>19.3</v>
      </c>
      <c r="E444">
        <v>28</v>
      </c>
      <c r="F444">
        <v>291.2</v>
      </c>
      <c r="G444">
        <f>MAX(ROUNDUP(D444, 0), E444) * IF(C444="COVERED", Parameters!$B$2, Parameters!$B$3)</f>
        <v>0</v>
      </c>
      <c r="H444">
        <f>F444 - G444</f>
        <v>0</v>
      </c>
      <c r="I444">
        <f>IF(ABS(H444)&gt;0.01, "Priority 3", "")</f>
        <v>0</v>
      </c>
    </row>
    <row r="445" spans="1:9">
      <c r="A445" t="s">
        <v>1442</v>
      </c>
      <c r="B445" t="s">
        <v>998</v>
      </c>
      <c r="C445" t="s">
        <v>999</v>
      </c>
      <c r="D445">
        <v>40.3</v>
      </c>
      <c r="E445">
        <v>36</v>
      </c>
      <c r="F445">
        <v>426.4</v>
      </c>
      <c r="G445">
        <f>MAX(ROUNDUP(D445, 0), E445) * IF(C445="COVERED", Parameters!$B$2, Parameters!$B$3)</f>
        <v>0</v>
      </c>
      <c r="H445">
        <f>F445 - G445</f>
        <v>0</v>
      </c>
      <c r="I445">
        <f>IF(ABS(H445)&gt;0.01, "Priority 3", "")</f>
        <v>0</v>
      </c>
    </row>
    <row r="446" spans="1:9">
      <c r="A446" t="s">
        <v>1443</v>
      </c>
      <c r="B446" t="s">
        <v>998</v>
      </c>
      <c r="C446" t="s">
        <v>999</v>
      </c>
      <c r="D446">
        <v>27.6</v>
      </c>
      <c r="E446">
        <v>32</v>
      </c>
      <c r="F446">
        <v>332.8</v>
      </c>
      <c r="G446">
        <f>MAX(ROUNDUP(D446, 0), E446) * IF(C446="COVERED", Parameters!$B$2, Parameters!$B$3)</f>
        <v>0</v>
      </c>
      <c r="H446">
        <f>F446 - G446</f>
        <v>0</v>
      </c>
      <c r="I446">
        <f>IF(ABS(H446)&gt;0.01, "Priority 3", "")</f>
        <v>0</v>
      </c>
    </row>
    <row r="447" spans="1:9">
      <c r="A447" t="s">
        <v>1444</v>
      </c>
      <c r="B447" t="s">
        <v>998</v>
      </c>
      <c r="C447" t="s">
        <v>999</v>
      </c>
      <c r="D447">
        <v>20.9</v>
      </c>
      <c r="E447">
        <v>40</v>
      </c>
      <c r="F447">
        <v>416</v>
      </c>
      <c r="G447">
        <f>MAX(ROUNDUP(D447, 0), E447) * IF(C447="COVERED", Parameters!$B$2, Parameters!$B$3)</f>
        <v>0</v>
      </c>
      <c r="H447">
        <f>F447 - G447</f>
        <v>0</v>
      </c>
      <c r="I447">
        <f>IF(ABS(H447)&gt;0.01, "Priority 3", "")</f>
        <v>0</v>
      </c>
    </row>
    <row r="448" spans="1:9">
      <c r="A448" t="s">
        <v>1445</v>
      </c>
      <c r="B448" t="s">
        <v>998</v>
      </c>
      <c r="C448" t="s">
        <v>999</v>
      </c>
      <c r="D448">
        <v>60</v>
      </c>
      <c r="E448">
        <v>28</v>
      </c>
      <c r="F448">
        <v>624</v>
      </c>
      <c r="G448">
        <f>MAX(ROUNDUP(D448, 0), E448) * IF(C448="COVERED", Parameters!$B$2, Parameters!$B$3)</f>
        <v>0</v>
      </c>
      <c r="H448">
        <f>F448 - G448</f>
        <v>0</v>
      </c>
      <c r="I448">
        <f>IF(ABS(H448)&gt;0.01, "Priority 3", "")</f>
        <v>0</v>
      </c>
    </row>
    <row r="449" spans="1:9">
      <c r="A449" t="s">
        <v>1446</v>
      </c>
      <c r="B449" t="s">
        <v>998</v>
      </c>
      <c r="C449" t="s">
        <v>999</v>
      </c>
      <c r="D449">
        <v>35.9</v>
      </c>
      <c r="E449">
        <v>28</v>
      </c>
      <c r="F449">
        <v>374.4</v>
      </c>
      <c r="G449">
        <f>MAX(ROUNDUP(D449, 0), E449) * IF(C449="COVERED", Parameters!$B$2, Parameters!$B$3)</f>
        <v>0</v>
      </c>
      <c r="H449">
        <f>F449 - G449</f>
        <v>0</v>
      </c>
      <c r="I449">
        <f>IF(ABS(H449)&gt;0.01, "Priority 3", "")</f>
        <v>0</v>
      </c>
    </row>
    <row r="450" spans="1:9">
      <c r="A450" t="s">
        <v>1447</v>
      </c>
      <c r="B450" t="s">
        <v>998</v>
      </c>
      <c r="C450" t="s">
        <v>999</v>
      </c>
      <c r="D450">
        <v>56.3</v>
      </c>
      <c r="E450">
        <v>28</v>
      </c>
      <c r="F450">
        <v>592.8</v>
      </c>
      <c r="G450">
        <f>MAX(ROUNDUP(D450, 0), E450) * IF(C450="COVERED", Parameters!$B$2, Parameters!$B$3)</f>
        <v>0</v>
      </c>
      <c r="H450">
        <f>F450 - G450</f>
        <v>0</v>
      </c>
      <c r="I450">
        <f>IF(ABS(H450)&gt;0.01, "Priority 3", "")</f>
        <v>0</v>
      </c>
    </row>
    <row r="451" spans="1:9">
      <c r="A451" t="s">
        <v>1448</v>
      </c>
      <c r="B451" t="s">
        <v>998</v>
      </c>
      <c r="C451" t="s">
        <v>999</v>
      </c>
      <c r="D451">
        <v>28.1</v>
      </c>
      <c r="E451">
        <v>24</v>
      </c>
      <c r="F451">
        <v>301.6</v>
      </c>
      <c r="G451">
        <f>MAX(ROUNDUP(D451, 0), E451) * IF(C451="COVERED", Parameters!$B$2, Parameters!$B$3)</f>
        <v>0</v>
      </c>
      <c r="H451">
        <f>F451 - G451</f>
        <v>0</v>
      </c>
      <c r="I451">
        <f>IF(ABS(H451)&gt;0.01, "Priority 3", "")</f>
        <v>0</v>
      </c>
    </row>
    <row r="452" spans="1:9">
      <c r="A452" t="s">
        <v>1449</v>
      </c>
      <c r="B452" t="s">
        <v>998</v>
      </c>
      <c r="C452" t="s">
        <v>999</v>
      </c>
      <c r="D452">
        <v>46.3</v>
      </c>
      <c r="E452">
        <v>36</v>
      </c>
      <c r="F452">
        <v>488.8</v>
      </c>
      <c r="G452">
        <f>MAX(ROUNDUP(D452, 0), E452) * IF(C452="COVERED", Parameters!$B$2, Parameters!$B$3)</f>
        <v>0</v>
      </c>
      <c r="H452">
        <f>F452 - G452</f>
        <v>0</v>
      </c>
      <c r="I452">
        <f>IF(ABS(H452)&gt;0.01, "Priority 3", "")</f>
        <v>0</v>
      </c>
    </row>
    <row r="453" spans="1:9">
      <c r="A453" t="s">
        <v>1450</v>
      </c>
      <c r="B453" t="s">
        <v>998</v>
      </c>
      <c r="C453" t="s">
        <v>999</v>
      </c>
      <c r="D453">
        <v>49.2</v>
      </c>
      <c r="E453">
        <v>36</v>
      </c>
      <c r="F453">
        <v>520</v>
      </c>
      <c r="G453">
        <f>MAX(ROUNDUP(D453, 0), E453) * IF(C453="COVERED", Parameters!$B$2, Parameters!$B$3)</f>
        <v>0</v>
      </c>
      <c r="H453">
        <f>F453 - G453</f>
        <v>0</v>
      </c>
      <c r="I453">
        <f>IF(ABS(H453)&gt;0.01, "Priority 3", "")</f>
        <v>0</v>
      </c>
    </row>
    <row r="454" spans="1:9">
      <c r="A454" t="s">
        <v>1451</v>
      </c>
      <c r="B454" t="s">
        <v>998</v>
      </c>
      <c r="C454" t="s">
        <v>999</v>
      </c>
      <c r="D454">
        <v>43.3</v>
      </c>
      <c r="E454">
        <v>28</v>
      </c>
      <c r="F454">
        <v>457.6</v>
      </c>
      <c r="G454">
        <f>MAX(ROUNDUP(D454, 0), E454) * IF(C454="COVERED", Parameters!$B$2, Parameters!$B$3)</f>
        <v>0</v>
      </c>
      <c r="H454">
        <f>F454 - G454</f>
        <v>0</v>
      </c>
      <c r="I454">
        <f>IF(ABS(H454)&gt;0.01, "Priority 3", "")</f>
        <v>0</v>
      </c>
    </row>
    <row r="455" spans="1:9">
      <c r="A455" t="s">
        <v>1452</v>
      </c>
      <c r="B455" t="s">
        <v>998</v>
      </c>
      <c r="C455" t="s">
        <v>999</v>
      </c>
      <c r="D455">
        <v>48.1</v>
      </c>
      <c r="E455">
        <v>24</v>
      </c>
      <c r="F455">
        <v>509.6</v>
      </c>
      <c r="G455">
        <f>MAX(ROUNDUP(D455, 0), E455) * IF(C455="COVERED", Parameters!$B$2, Parameters!$B$3)</f>
        <v>0</v>
      </c>
      <c r="H455">
        <f>F455 - G455</f>
        <v>0</v>
      </c>
      <c r="I455">
        <f>IF(ABS(H455)&gt;0.01, "Priority 3", "")</f>
        <v>0</v>
      </c>
    </row>
    <row r="456" spans="1:9">
      <c r="A456" t="s">
        <v>1453</v>
      </c>
      <c r="B456" t="s">
        <v>998</v>
      </c>
      <c r="C456" t="s">
        <v>999</v>
      </c>
      <c r="D456">
        <v>28.3</v>
      </c>
      <c r="E456">
        <v>40</v>
      </c>
      <c r="F456">
        <v>416</v>
      </c>
      <c r="G456">
        <f>MAX(ROUNDUP(D456, 0), E456) * IF(C456="COVERED", Parameters!$B$2, Parameters!$B$3)</f>
        <v>0</v>
      </c>
      <c r="H456">
        <f>F456 - G456</f>
        <v>0</v>
      </c>
      <c r="I456">
        <f>IF(ABS(H456)&gt;0.01, "Priority 3", "")</f>
        <v>0</v>
      </c>
    </row>
    <row r="457" spans="1:9">
      <c r="A457" t="s">
        <v>1454</v>
      </c>
      <c r="B457" t="s">
        <v>998</v>
      </c>
      <c r="C457" t="s">
        <v>999</v>
      </c>
      <c r="D457">
        <v>57.4</v>
      </c>
      <c r="E457">
        <v>40</v>
      </c>
      <c r="F457">
        <v>603.2</v>
      </c>
      <c r="G457">
        <f>MAX(ROUNDUP(D457, 0), E457) * IF(C457="COVERED", Parameters!$B$2, Parameters!$B$3)</f>
        <v>0</v>
      </c>
      <c r="H457">
        <f>F457 - G457</f>
        <v>0</v>
      </c>
      <c r="I457">
        <f>IF(ABS(H457)&gt;0.01, "Priority 3", "")</f>
        <v>0</v>
      </c>
    </row>
    <row r="458" spans="1:9">
      <c r="A458" t="s">
        <v>1455</v>
      </c>
      <c r="B458" t="s">
        <v>998</v>
      </c>
      <c r="C458" t="s">
        <v>999</v>
      </c>
      <c r="D458">
        <v>21</v>
      </c>
      <c r="E458">
        <v>28</v>
      </c>
      <c r="F458">
        <v>291.2</v>
      </c>
      <c r="G458">
        <f>MAX(ROUNDUP(D458, 0), E458) * IF(C458="COVERED", Parameters!$B$2, Parameters!$B$3)</f>
        <v>0</v>
      </c>
      <c r="H458">
        <f>F458 - G458</f>
        <v>0</v>
      </c>
      <c r="I458">
        <f>IF(ABS(H458)&gt;0.01, "Priority 3", "")</f>
        <v>0</v>
      </c>
    </row>
    <row r="459" spans="1:9">
      <c r="A459" t="s">
        <v>1456</v>
      </c>
      <c r="B459" t="s">
        <v>998</v>
      </c>
      <c r="C459" t="s">
        <v>999</v>
      </c>
      <c r="D459">
        <v>32.3</v>
      </c>
      <c r="E459">
        <v>36</v>
      </c>
      <c r="F459">
        <v>374.4</v>
      </c>
      <c r="G459">
        <f>MAX(ROUNDUP(D459, 0), E459) * IF(C459="COVERED", Parameters!$B$2, Parameters!$B$3)</f>
        <v>0</v>
      </c>
      <c r="H459">
        <f>F459 - G459</f>
        <v>0</v>
      </c>
      <c r="I459">
        <f>IF(ABS(H459)&gt;0.01, "Priority 3", "")</f>
        <v>0</v>
      </c>
    </row>
    <row r="460" spans="1:9">
      <c r="A460" t="s">
        <v>1457</v>
      </c>
      <c r="B460" t="s">
        <v>998</v>
      </c>
      <c r="C460" t="s">
        <v>999</v>
      </c>
      <c r="D460">
        <v>38.1</v>
      </c>
      <c r="E460">
        <v>36</v>
      </c>
      <c r="F460">
        <v>405.6</v>
      </c>
      <c r="G460">
        <f>MAX(ROUNDUP(D460, 0), E460) * IF(C460="COVERED", Parameters!$B$2, Parameters!$B$3)</f>
        <v>0</v>
      </c>
      <c r="H460">
        <f>F460 - G460</f>
        <v>0</v>
      </c>
      <c r="I460">
        <f>IF(ABS(H460)&gt;0.01, "Priority 3", "")</f>
        <v>0</v>
      </c>
    </row>
    <row r="461" spans="1:9">
      <c r="A461" t="s">
        <v>1458</v>
      </c>
      <c r="B461" t="s">
        <v>998</v>
      </c>
      <c r="C461" t="s">
        <v>999</v>
      </c>
      <c r="D461">
        <v>50</v>
      </c>
      <c r="E461">
        <v>24</v>
      </c>
      <c r="F461">
        <v>520</v>
      </c>
      <c r="G461">
        <f>MAX(ROUNDUP(D461, 0), E461) * IF(C461="COVERED", Parameters!$B$2, Parameters!$B$3)</f>
        <v>0</v>
      </c>
      <c r="H461">
        <f>F461 - G461</f>
        <v>0</v>
      </c>
      <c r="I461">
        <f>IF(ABS(H461)&gt;0.01, "Priority 3", "")</f>
        <v>0</v>
      </c>
    </row>
    <row r="462" spans="1:9">
      <c r="A462" t="s">
        <v>1459</v>
      </c>
      <c r="B462" t="s">
        <v>998</v>
      </c>
      <c r="C462" t="s">
        <v>999</v>
      </c>
      <c r="D462">
        <v>34.6</v>
      </c>
      <c r="E462">
        <v>24</v>
      </c>
      <c r="F462">
        <v>364</v>
      </c>
      <c r="G462">
        <f>MAX(ROUNDUP(D462, 0), E462) * IF(C462="COVERED", Parameters!$B$2, Parameters!$B$3)</f>
        <v>0</v>
      </c>
      <c r="H462">
        <f>F462 - G462</f>
        <v>0</v>
      </c>
      <c r="I462">
        <f>IF(ABS(H462)&gt;0.01, "Priority 3", "")</f>
        <v>0</v>
      </c>
    </row>
    <row r="463" spans="1:9">
      <c r="A463" t="s">
        <v>1460</v>
      </c>
      <c r="B463" t="s">
        <v>998</v>
      </c>
      <c r="C463" t="s">
        <v>999</v>
      </c>
      <c r="D463">
        <v>51.9</v>
      </c>
      <c r="E463">
        <v>36</v>
      </c>
      <c r="F463">
        <v>540.8</v>
      </c>
      <c r="G463">
        <f>MAX(ROUNDUP(D463, 0), E463) * IF(C463="COVERED", Parameters!$B$2, Parameters!$B$3)</f>
        <v>0</v>
      </c>
      <c r="H463">
        <f>F463 - G463</f>
        <v>0</v>
      </c>
      <c r="I463">
        <f>IF(ABS(H463)&gt;0.01, "Priority 3", "")</f>
        <v>0</v>
      </c>
    </row>
    <row r="464" spans="1:9">
      <c r="A464" t="s">
        <v>1461</v>
      </c>
      <c r="B464" t="s">
        <v>998</v>
      </c>
      <c r="C464" t="s">
        <v>999</v>
      </c>
      <c r="D464">
        <v>33.4</v>
      </c>
      <c r="E464">
        <v>24</v>
      </c>
      <c r="F464">
        <v>353.6</v>
      </c>
      <c r="G464">
        <f>MAX(ROUNDUP(D464, 0), E464) * IF(C464="COVERED", Parameters!$B$2, Parameters!$B$3)</f>
        <v>0</v>
      </c>
      <c r="H464">
        <f>F464 - G464</f>
        <v>0</v>
      </c>
      <c r="I464">
        <f>IF(ABS(H464)&gt;0.01, "Priority 3", "")</f>
        <v>0</v>
      </c>
    </row>
    <row r="465" spans="1:9">
      <c r="A465" t="s">
        <v>1462</v>
      </c>
      <c r="B465" t="s">
        <v>998</v>
      </c>
      <c r="C465" t="s">
        <v>999</v>
      </c>
      <c r="D465">
        <v>36.8</v>
      </c>
      <c r="E465">
        <v>40</v>
      </c>
      <c r="F465">
        <v>416</v>
      </c>
      <c r="G465">
        <f>MAX(ROUNDUP(D465, 0), E465) * IF(C465="COVERED", Parameters!$B$2, Parameters!$B$3)</f>
        <v>0</v>
      </c>
      <c r="H465">
        <f>F465 - G465</f>
        <v>0</v>
      </c>
      <c r="I465">
        <f>IF(ABS(H465)&gt;0.01, "Priority 3", "")</f>
        <v>0</v>
      </c>
    </row>
    <row r="466" spans="1:9">
      <c r="A466" t="s">
        <v>1463</v>
      </c>
      <c r="B466" t="s">
        <v>998</v>
      </c>
      <c r="C466" t="s">
        <v>999</v>
      </c>
      <c r="D466">
        <v>40.5</v>
      </c>
      <c r="E466">
        <v>40</v>
      </c>
      <c r="F466">
        <v>426.4</v>
      </c>
      <c r="G466">
        <f>MAX(ROUNDUP(D466, 0), E466) * IF(C466="COVERED", Parameters!$B$2, Parameters!$B$3)</f>
        <v>0</v>
      </c>
      <c r="H466">
        <f>F466 - G466</f>
        <v>0</v>
      </c>
      <c r="I466">
        <f>IF(ABS(H466)&gt;0.01, "Priority 3", "")</f>
        <v>0</v>
      </c>
    </row>
    <row r="467" spans="1:9">
      <c r="A467" t="s">
        <v>1464</v>
      </c>
      <c r="B467" t="s">
        <v>998</v>
      </c>
      <c r="C467" t="s">
        <v>999</v>
      </c>
      <c r="D467">
        <v>56.3</v>
      </c>
      <c r="E467">
        <v>36</v>
      </c>
      <c r="F467">
        <v>592.8</v>
      </c>
      <c r="G467">
        <f>MAX(ROUNDUP(D467, 0), E467) * IF(C467="COVERED", Parameters!$B$2, Parameters!$B$3)</f>
        <v>0</v>
      </c>
      <c r="H467">
        <f>F467 - G467</f>
        <v>0</v>
      </c>
      <c r="I467">
        <f>IF(ABS(H467)&gt;0.01, "Priority 3", "")</f>
        <v>0</v>
      </c>
    </row>
    <row r="468" spans="1:9">
      <c r="A468" t="s">
        <v>1465</v>
      </c>
      <c r="B468" t="s">
        <v>998</v>
      </c>
      <c r="C468" t="s">
        <v>999</v>
      </c>
      <c r="D468">
        <v>29.6</v>
      </c>
      <c r="E468">
        <v>28</v>
      </c>
      <c r="F468">
        <v>312</v>
      </c>
      <c r="G468">
        <f>MAX(ROUNDUP(D468, 0), E468) * IF(C468="COVERED", Parameters!$B$2, Parameters!$B$3)</f>
        <v>0</v>
      </c>
      <c r="H468">
        <f>F468 - G468</f>
        <v>0</v>
      </c>
      <c r="I468">
        <f>IF(ABS(H468)&gt;0.01, "Priority 3", "")</f>
        <v>0</v>
      </c>
    </row>
    <row r="469" spans="1:9">
      <c r="A469" t="s">
        <v>1466</v>
      </c>
      <c r="B469" t="s">
        <v>998</v>
      </c>
      <c r="C469" t="s">
        <v>999</v>
      </c>
      <c r="D469">
        <v>55.7</v>
      </c>
      <c r="E469">
        <v>32</v>
      </c>
      <c r="F469">
        <v>582.4</v>
      </c>
      <c r="G469">
        <f>MAX(ROUNDUP(D469, 0), E469) * IF(C469="COVERED", Parameters!$B$2, Parameters!$B$3)</f>
        <v>0</v>
      </c>
      <c r="H469">
        <f>F469 - G469</f>
        <v>0</v>
      </c>
      <c r="I469">
        <f>IF(ABS(H469)&gt;0.01, "Priority 3", "")</f>
        <v>0</v>
      </c>
    </row>
    <row r="470" spans="1:9">
      <c r="A470" t="s">
        <v>1467</v>
      </c>
      <c r="B470" t="s">
        <v>998</v>
      </c>
      <c r="C470" t="s">
        <v>1468</v>
      </c>
      <c r="D470">
        <v>29.3</v>
      </c>
      <c r="E470">
        <v>80</v>
      </c>
      <c r="F470">
        <v>604</v>
      </c>
      <c r="G470">
        <f>MAX(ROUNDUP(D470, 0), E470) * IF(C470="COVERED", Parameters!$B$2, Parameters!$B$3)</f>
        <v>0</v>
      </c>
      <c r="H470">
        <f>F470 - G470</f>
        <v>0</v>
      </c>
      <c r="I470">
        <f>IF(ABS(H470)&gt;0.01, "Priority 3", "")</f>
        <v>0</v>
      </c>
    </row>
    <row r="471" spans="1:9">
      <c r="A471" t="s">
        <v>1469</v>
      </c>
      <c r="B471" t="s">
        <v>998</v>
      </c>
      <c r="C471" t="s">
        <v>1468</v>
      </c>
      <c r="D471">
        <v>55.3</v>
      </c>
      <c r="E471">
        <v>24</v>
      </c>
      <c r="F471">
        <v>422.8</v>
      </c>
      <c r="G471">
        <f>MAX(ROUNDUP(D471, 0), E471) * IF(C471="COVERED", Parameters!$B$2, Parameters!$B$3)</f>
        <v>0</v>
      </c>
      <c r="H471">
        <f>F471 - G471</f>
        <v>0</v>
      </c>
      <c r="I471">
        <f>IF(ABS(H471)&gt;0.01, "Priority 3", "")</f>
        <v>0</v>
      </c>
    </row>
    <row r="472" spans="1:9">
      <c r="A472" t="s">
        <v>1470</v>
      </c>
      <c r="B472" t="s">
        <v>998</v>
      </c>
      <c r="C472" t="s">
        <v>1468</v>
      </c>
      <c r="D472">
        <v>42.6</v>
      </c>
      <c r="E472">
        <v>36</v>
      </c>
      <c r="F472">
        <v>324.65</v>
      </c>
      <c r="G472">
        <f>MAX(ROUNDUP(D472, 0), E472) * IF(C472="COVERED", Parameters!$B$2, Parameters!$B$3)</f>
        <v>0</v>
      </c>
      <c r="H472">
        <f>F472 - G472</f>
        <v>0</v>
      </c>
      <c r="I472">
        <f>IF(ABS(H472)&gt;0.01, "Priority 3", "")</f>
        <v>0</v>
      </c>
    </row>
    <row r="473" spans="1:9">
      <c r="A473" t="s">
        <v>1471</v>
      </c>
      <c r="B473" t="s">
        <v>998</v>
      </c>
      <c r="C473" t="s">
        <v>1468</v>
      </c>
      <c r="D473">
        <v>60.2</v>
      </c>
      <c r="E473">
        <v>36</v>
      </c>
      <c r="F473">
        <v>460.55</v>
      </c>
      <c r="G473">
        <f>MAX(ROUNDUP(D473, 0), E473) * IF(C473="COVERED", Parameters!$B$2, Parameters!$B$3)</f>
        <v>0</v>
      </c>
      <c r="H473">
        <f>F473 - G473</f>
        <v>0</v>
      </c>
      <c r="I473">
        <f>IF(ABS(H473)&gt;0.01, "Priority 3", "")</f>
        <v>0</v>
      </c>
    </row>
    <row r="474" spans="1:9">
      <c r="A474" t="s">
        <v>1472</v>
      </c>
      <c r="B474" t="s">
        <v>998</v>
      </c>
      <c r="C474" t="s">
        <v>1468</v>
      </c>
      <c r="D474">
        <v>47.5</v>
      </c>
      <c r="E474">
        <v>45</v>
      </c>
      <c r="F474">
        <v>362.4</v>
      </c>
      <c r="G474">
        <f>MAX(ROUNDUP(D474, 0), E474) * IF(C474="COVERED", Parameters!$B$2, Parameters!$B$3)</f>
        <v>0</v>
      </c>
      <c r="H474">
        <f>F474 - G474</f>
        <v>0</v>
      </c>
      <c r="I474">
        <f>IF(ABS(H474)&gt;0.01, "Priority 3", "")</f>
        <v>0</v>
      </c>
    </row>
    <row r="475" spans="1:9">
      <c r="A475" t="s">
        <v>1473</v>
      </c>
      <c r="B475" t="s">
        <v>998</v>
      </c>
      <c r="C475" t="s">
        <v>1468</v>
      </c>
      <c r="D475">
        <v>23.7</v>
      </c>
      <c r="E475">
        <v>28</v>
      </c>
      <c r="F475">
        <v>211.4</v>
      </c>
      <c r="G475">
        <f>MAX(ROUNDUP(D475, 0), E475) * IF(C475="COVERED", Parameters!$B$2, Parameters!$B$3)</f>
        <v>0</v>
      </c>
      <c r="H475">
        <f>F475 - G475</f>
        <v>0</v>
      </c>
      <c r="I475">
        <f>IF(ABS(H475)&gt;0.01, "Priority 3", "")</f>
        <v>0</v>
      </c>
    </row>
    <row r="476" spans="1:9">
      <c r="A476" t="s">
        <v>1474</v>
      </c>
      <c r="B476" t="s">
        <v>998</v>
      </c>
      <c r="C476" t="s">
        <v>1468</v>
      </c>
      <c r="D476">
        <v>59.3</v>
      </c>
      <c r="E476">
        <v>40</v>
      </c>
      <c r="F476">
        <v>453</v>
      </c>
      <c r="G476">
        <f>MAX(ROUNDUP(D476, 0), E476) * IF(C476="COVERED", Parameters!$B$2, Parameters!$B$3)</f>
        <v>0</v>
      </c>
      <c r="H476">
        <f>F476 - G476</f>
        <v>0</v>
      </c>
      <c r="I476">
        <f>IF(ABS(H476)&gt;0.01, "Priority 3", "")</f>
        <v>0</v>
      </c>
    </row>
    <row r="477" spans="1:9">
      <c r="A477" t="s">
        <v>1475</v>
      </c>
      <c r="B477" t="s">
        <v>998</v>
      </c>
      <c r="C477" t="s">
        <v>1468</v>
      </c>
      <c r="D477">
        <v>30.9</v>
      </c>
      <c r="E477">
        <v>60</v>
      </c>
      <c r="F477">
        <v>453</v>
      </c>
      <c r="G477">
        <f>MAX(ROUNDUP(D477, 0), E477) * IF(C477="COVERED", Parameters!$B$2, Parameters!$B$3)</f>
        <v>0</v>
      </c>
      <c r="H477">
        <f>F477 - G477</f>
        <v>0</v>
      </c>
      <c r="I477">
        <f>IF(ABS(H477)&gt;0.01, "Priority 3", "")</f>
        <v>0</v>
      </c>
    </row>
    <row r="478" spans="1:9">
      <c r="A478" t="s">
        <v>1476</v>
      </c>
      <c r="B478" t="s">
        <v>998</v>
      </c>
      <c r="C478" t="s">
        <v>1468</v>
      </c>
      <c r="D478">
        <v>36.3</v>
      </c>
      <c r="E478">
        <v>28</v>
      </c>
      <c r="F478">
        <v>279.35</v>
      </c>
      <c r="G478">
        <f>MAX(ROUNDUP(D478, 0), E478) * IF(C478="COVERED", Parameters!$B$2, Parameters!$B$3)</f>
        <v>0</v>
      </c>
      <c r="H478">
        <f>F478 - G478</f>
        <v>0</v>
      </c>
      <c r="I478">
        <f>IF(ABS(H478)&gt;0.01, "Priority 3", "")</f>
        <v>0</v>
      </c>
    </row>
    <row r="479" spans="1:9">
      <c r="A479" t="s">
        <v>1477</v>
      </c>
      <c r="B479" t="s">
        <v>998</v>
      </c>
      <c r="C479" t="s">
        <v>1468</v>
      </c>
      <c r="D479">
        <v>43.9</v>
      </c>
      <c r="E479">
        <v>28</v>
      </c>
      <c r="F479">
        <v>332.2</v>
      </c>
      <c r="G479">
        <f>MAX(ROUNDUP(D479, 0), E479) * IF(C479="COVERED", Parameters!$B$2, Parameters!$B$3)</f>
        <v>0</v>
      </c>
      <c r="H479">
        <f>F479 - G479</f>
        <v>0</v>
      </c>
      <c r="I479">
        <f>IF(ABS(H479)&gt;0.01, "Priority 3", "")</f>
        <v>0</v>
      </c>
    </row>
    <row r="480" spans="1:9">
      <c r="A480" t="s">
        <v>1478</v>
      </c>
      <c r="B480" t="s">
        <v>998</v>
      </c>
      <c r="C480" t="s">
        <v>1468</v>
      </c>
      <c r="D480">
        <v>38.7</v>
      </c>
      <c r="E480">
        <v>70</v>
      </c>
      <c r="F480">
        <v>528.5</v>
      </c>
      <c r="G480">
        <f>MAX(ROUNDUP(D480, 0), E480) * IF(C480="COVERED", Parameters!$B$2, Parameters!$B$3)</f>
        <v>0</v>
      </c>
      <c r="H480">
        <f>F480 - G480</f>
        <v>0</v>
      </c>
      <c r="I480">
        <f>IF(ABS(H480)&gt;0.01, "Priority 3", "")</f>
        <v>0</v>
      </c>
    </row>
    <row r="481" spans="1:9">
      <c r="A481" t="s">
        <v>1479</v>
      </c>
      <c r="B481" t="s">
        <v>998</v>
      </c>
      <c r="C481" t="s">
        <v>1468</v>
      </c>
      <c r="D481">
        <v>61.3</v>
      </c>
      <c r="E481">
        <v>45</v>
      </c>
      <c r="F481">
        <v>468.1</v>
      </c>
      <c r="G481">
        <f>MAX(ROUNDUP(D481, 0), E481) * IF(C481="COVERED", Parameters!$B$2, Parameters!$B$3)</f>
        <v>0</v>
      </c>
      <c r="H481">
        <f>F481 - G481</f>
        <v>0</v>
      </c>
      <c r="I481">
        <f>IF(ABS(H481)&gt;0.01, "Priority 3", "")</f>
        <v>0</v>
      </c>
    </row>
    <row r="482" spans="1:9">
      <c r="A482" t="s">
        <v>1480</v>
      </c>
      <c r="B482" t="s">
        <v>998</v>
      </c>
      <c r="C482" t="s">
        <v>1468</v>
      </c>
      <c r="D482">
        <v>41.6</v>
      </c>
      <c r="E482">
        <v>24</v>
      </c>
      <c r="F482">
        <v>317.1</v>
      </c>
      <c r="G482">
        <f>MAX(ROUNDUP(D482, 0), E482) * IF(C482="COVERED", Parameters!$B$2, Parameters!$B$3)</f>
        <v>0</v>
      </c>
      <c r="H482">
        <f>F482 - G482</f>
        <v>0</v>
      </c>
      <c r="I482">
        <f>IF(ABS(H482)&gt;0.01, "Priority 3", "")</f>
        <v>0</v>
      </c>
    </row>
    <row r="483" spans="1:9">
      <c r="A483" t="s">
        <v>1481</v>
      </c>
      <c r="B483" t="s">
        <v>998</v>
      </c>
      <c r="C483" t="s">
        <v>1468</v>
      </c>
      <c r="D483">
        <v>38.4</v>
      </c>
      <c r="E483">
        <v>32</v>
      </c>
      <c r="F483">
        <v>294.45</v>
      </c>
      <c r="G483">
        <f>MAX(ROUNDUP(D483, 0), E483) * IF(C483="COVERED", Parameters!$B$2, Parameters!$B$3)</f>
        <v>0</v>
      </c>
      <c r="H483">
        <f>F483 - G483</f>
        <v>0</v>
      </c>
      <c r="I483">
        <f>IF(ABS(H483)&gt;0.01, "Priority 3", "")</f>
        <v>0</v>
      </c>
    </row>
    <row r="484" spans="1:9">
      <c r="A484" t="s">
        <v>1482</v>
      </c>
      <c r="B484" t="s">
        <v>998</v>
      </c>
      <c r="C484" t="s">
        <v>1468</v>
      </c>
      <c r="D484">
        <v>25.7</v>
      </c>
      <c r="E484">
        <v>32</v>
      </c>
      <c r="F484">
        <v>241.6</v>
      </c>
      <c r="G484">
        <f>MAX(ROUNDUP(D484, 0), E484) * IF(C484="COVERED", Parameters!$B$2, Parameters!$B$3)</f>
        <v>0</v>
      </c>
      <c r="H484">
        <f>F484 - G484</f>
        <v>0</v>
      </c>
      <c r="I484">
        <f>IF(ABS(H484)&gt;0.01, "Priority 3", "")</f>
        <v>0</v>
      </c>
    </row>
    <row r="485" spans="1:9">
      <c r="A485" t="s">
        <v>1483</v>
      </c>
      <c r="B485" t="s">
        <v>998</v>
      </c>
      <c r="C485" t="s">
        <v>1468</v>
      </c>
      <c r="D485">
        <v>48.3</v>
      </c>
      <c r="E485">
        <v>45</v>
      </c>
      <c r="F485">
        <v>369.95</v>
      </c>
      <c r="G485">
        <f>MAX(ROUNDUP(D485, 0), E485) * IF(C485="COVERED", Parameters!$B$2, Parameters!$B$3)</f>
        <v>0</v>
      </c>
      <c r="H485">
        <f>F485 - G485</f>
        <v>0</v>
      </c>
      <c r="I485">
        <f>IF(ABS(H485)&gt;0.01, "Priority 3", "")</f>
        <v>0</v>
      </c>
    </row>
    <row r="486" spans="1:9">
      <c r="A486" t="s">
        <v>1484</v>
      </c>
      <c r="B486" t="s">
        <v>998</v>
      </c>
      <c r="C486" t="s">
        <v>1468</v>
      </c>
      <c r="D486">
        <v>48.3</v>
      </c>
      <c r="E486">
        <v>32</v>
      </c>
      <c r="F486">
        <v>369.95</v>
      </c>
      <c r="G486">
        <f>MAX(ROUNDUP(D486, 0), E486) * IF(C486="COVERED", Parameters!$B$2, Parameters!$B$3)</f>
        <v>0</v>
      </c>
      <c r="H486">
        <f>F486 - G486</f>
        <v>0</v>
      </c>
      <c r="I486">
        <f>IF(ABS(H486)&gt;0.01, "Priority 3", "")</f>
        <v>0</v>
      </c>
    </row>
    <row r="487" spans="1:9">
      <c r="A487" t="s">
        <v>1485</v>
      </c>
      <c r="B487" t="s">
        <v>998</v>
      </c>
      <c r="C487" t="s">
        <v>1468</v>
      </c>
      <c r="D487">
        <v>59.3</v>
      </c>
      <c r="E487">
        <v>80</v>
      </c>
      <c r="F487">
        <v>604</v>
      </c>
      <c r="G487">
        <f>MAX(ROUNDUP(D487, 0), E487) * IF(C487="COVERED", Parameters!$B$2, Parameters!$B$3)</f>
        <v>0</v>
      </c>
      <c r="H487">
        <f>F487 - G487</f>
        <v>0</v>
      </c>
      <c r="I487">
        <f>IF(ABS(H487)&gt;0.01, "Priority 3", "")</f>
        <v>0</v>
      </c>
    </row>
    <row r="488" spans="1:9">
      <c r="A488" t="s">
        <v>1486</v>
      </c>
      <c r="B488" t="s">
        <v>998</v>
      </c>
      <c r="C488" t="s">
        <v>1468</v>
      </c>
      <c r="D488">
        <v>37.9</v>
      </c>
      <c r="E488">
        <v>28</v>
      </c>
      <c r="F488">
        <v>286.9</v>
      </c>
      <c r="G488">
        <f>MAX(ROUNDUP(D488, 0), E488) * IF(C488="COVERED", Parameters!$B$2, Parameters!$B$3)</f>
        <v>0</v>
      </c>
      <c r="H488">
        <f>F488 - G488</f>
        <v>0</v>
      </c>
      <c r="I488">
        <f>IF(ABS(H488)&gt;0.01, "Priority 3", "")</f>
        <v>0</v>
      </c>
    </row>
    <row r="489" spans="1:9">
      <c r="A489" t="s">
        <v>1487</v>
      </c>
      <c r="B489" t="s">
        <v>998</v>
      </c>
      <c r="C489" t="s">
        <v>1468</v>
      </c>
      <c r="D489">
        <v>25.7</v>
      </c>
      <c r="E489">
        <v>70</v>
      </c>
      <c r="F489">
        <v>528.5</v>
      </c>
      <c r="G489">
        <f>MAX(ROUNDUP(D489, 0), E489) * IF(C489="COVERED", Parameters!$B$2, Parameters!$B$3)</f>
        <v>0</v>
      </c>
      <c r="H489">
        <f>F489 - G489</f>
        <v>0</v>
      </c>
      <c r="I489">
        <f>IF(ABS(H489)&gt;0.01, "Priority 3", "")</f>
        <v>0</v>
      </c>
    </row>
    <row r="490" spans="1:9">
      <c r="A490" t="s">
        <v>1488</v>
      </c>
      <c r="B490" t="s">
        <v>998</v>
      </c>
      <c r="C490" t="s">
        <v>1468</v>
      </c>
      <c r="D490">
        <v>44.4</v>
      </c>
      <c r="E490">
        <v>28</v>
      </c>
      <c r="F490">
        <v>339.75</v>
      </c>
      <c r="G490">
        <f>MAX(ROUNDUP(D490, 0), E490) * IF(C490="COVERED", Parameters!$B$2, Parameters!$B$3)</f>
        <v>0</v>
      </c>
      <c r="H490">
        <f>F490 - G490</f>
        <v>0</v>
      </c>
      <c r="I490">
        <f>IF(ABS(H490)&gt;0.01, "Priority 3", "")</f>
        <v>0</v>
      </c>
    </row>
    <row r="491" spans="1:9">
      <c r="A491" t="s">
        <v>1489</v>
      </c>
      <c r="B491" t="s">
        <v>998</v>
      </c>
      <c r="C491" t="s">
        <v>1468</v>
      </c>
      <c r="D491">
        <v>55.7</v>
      </c>
      <c r="E491">
        <v>32</v>
      </c>
      <c r="F491">
        <v>422.8</v>
      </c>
      <c r="G491">
        <f>MAX(ROUNDUP(D491, 0), E491) * IF(C491="COVERED", Parameters!$B$2, Parameters!$B$3)</f>
        <v>0</v>
      </c>
      <c r="H491">
        <f>F491 - G491</f>
        <v>0</v>
      </c>
      <c r="I491">
        <f>IF(ABS(H491)&gt;0.01, "Priority 3", "")</f>
        <v>0</v>
      </c>
    </row>
    <row r="492" spans="1:9">
      <c r="A492" t="s">
        <v>1490</v>
      </c>
      <c r="B492" t="s">
        <v>998</v>
      </c>
      <c r="C492" t="s">
        <v>1468</v>
      </c>
      <c r="D492">
        <v>39.3</v>
      </c>
      <c r="E492">
        <v>36</v>
      </c>
      <c r="F492">
        <v>302</v>
      </c>
      <c r="G492">
        <f>MAX(ROUNDUP(D492, 0), E492) * IF(C492="COVERED", Parameters!$B$2, Parameters!$B$3)</f>
        <v>0</v>
      </c>
      <c r="H492">
        <f>F492 - G492</f>
        <v>0</v>
      </c>
      <c r="I492">
        <f>IF(ABS(H492)&gt;0.01, "Priority 3", "")</f>
        <v>0</v>
      </c>
    </row>
    <row r="493" spans="1:9">
      <c r="A493" t="s">
        <v>1491</v>
      </c>
      <c r="B493" t="s">
        <v>998</v>
      </c>
      <c r="C493" t="s">
        <v>1468</v>
      </c>
      <c r="D493">
        <v>49.2</v>
      </c>
      <c r="E493">
        <v>32</v>
      </c>
      <c r="F493">
        <v>377.5</v>
      </c>
      <c r="G493">
        <f>MAX(ROUNDUP(D493, 0), E493) * IF(C493="COVERED", Parameters!$B$2, Parameters!$B$3)</f>
        <v>0</v>
      </c>
      <c r="H493">
        <f>F493 - G493</f>
        <v>0</v>
      </c>
      <c r="I493">
        <f>IF(ABS(H493)&gt;0.01, "Priority 3", "")</f>
        <v>0</v>
      </c>
    </row>
    <row r="494" spans="1:9">
      <c r="A494" t="s">
        <v>1492</v>
      </c>
      <c r="B494" t="s">
        <v>998</v>
      </c>
      <c r="C494" t="s">
        <v>1468</v>
      </c>
      <c r="D494">
        <v>34.1</v>
      </c>
      <c r="E494">
        <v>28</v>
      </c>
      <c r="F494">
        <v>264.25</v>
      </c>
      <c r="G494">
        <f>MAX(ROUNDUP(D494, 0), E494) * IF(C494="COVERED", Parameters!$B$2, Parameters!$B$3)</f>
        <v>0</v>
      </c>
      <c r="H494">
        <f>F494 - G494</f>
        <v>0</v>
      </c>
      <c r="I494">
        <f>IF(ABS(H494)&gt;0.01, "Priority 3", "")</f>
        <v>0</v>
      </c>
    </row>
    <row r="495" spans="1:9">
      <c r="A495" t="s">
        <v>1493</v>
      </c>
      <c r="B495" t="s">
        <v>998</v>
      </c>
      <c r="C495" t="s">
        <v>1468</v>
      </c>
      <c r="D495">
        <v>21.1</v>
      </c>
      <c r="E495">
        <v>40</v>
      </c>
      <c r="F495">
        <v>302</v>
      </c>
      <c r="G495">
        <f>MAX(ROUNDUP(D495, 0), E495) * IF(C495="COVERED", Parameters!$B$2, Parameters!$B$3)</f>
        <v>0</v>
      </c>
      <c r="H495">
        <f>F495 - G495</f>
        <v>0</v>
      </c>
      <c r="I495">
        <f>IF(ABS(H495)&gt;0.01, "Priority 3", "")</f>
        <v>0</v>
      </c>
    </row>
    <row r="496" spans="1:9">
      <c r="A496" t="s">
        <v>1494</v>
      </c>
      <c r="B496" t="s">
        <v>998</v>
      </c>
      <c r="C496" t="s">
        <v>1468</v>
      </c>
      <c r="D496">
        <v>35.2</v>
      </c>
      <c r="E496">
        <v>24</v>
      </c>
      <c r="F496">
        <v>271.8</v>
      </c>
      <c r="G496">
        <f>MAX(ROUNDUP(D496, 0), E496) * IF(C496="COVERED", Parameters!$B$2, Parameters!$B$3)</f>
        <v>0</v>
      </c>
      <c r="H496">
        <f>F496 - G496</f>
        <v>0</v>
      </c>
      <c r="I496">
        <f>IF(ABS(H496)&gt;0.01, "Priority 3", "")</f>
        <v>0</v>
      </c>
    </row>
    <row r="497" spans="1:9">
      <c r="A497" t="s">
        <v>1495</v>
      </c>
      <c r="B497" t="s">
        <v>998</v>
      </c>
      <c r="C497" t="s">
        <v>1468</v>
      </c>
      <c r="D497">
        <v>42.1</v>
      </c>
      <c r="E497">
        <v>45</v>
      </c>
      <c r="F497">
        <v>339.75</v>
      </c>
      <c r="G497">
        <f>MAX(ROUNDUP(D497, 0), E497) * IF(C497="COVERED", Parameters!$B$2, Parameters!$B$3)</f>
        <v>0</v>
      </c>
      <c r="H497">
        <f>F497 - G497</f>
        <v>0</v>
      </c>
      <c r="I497">
        <f>IF(ABS(H497)&gt;0.01, "Priority 3", "")</f>
        <v>0</v>
      </c>
    </row>
    <row r="498" spans="1:9">
      <c r="A498" t="s">
        <v>1496</v>
      </c>
      <c r="B498" t="s">
        <v>998</v>
      </c>
      <c r="C498" t="s">
        <v>1468</v>
      </c>
      <c r="D498">
        <v>24.5</v>
      </c>
      <c r="E498">
        <v>32</v>
      </c>
      <c r="F498">
        <v>241.6</v>
      </c>
      <c r="G498">
        <f>MAX(ROUNDUP(D498, 0), E498) * IF(C498="COVERED", Parameters!$B$2, Parameters!$B$3)</f>
        <v>0</v>
      </c>
      <c r="H498">
        <f>F498 - G498</f>
        <v>0</v>
      </c>
      <c r="I498">
        <f>IF(ABS(H498)&gt;0.01, "Priority 3", "")</f>
        <v>0</v>
      </c>
    </row>
    <row r="499" spans="1:9">
      <c r="A499" t="s">
        <v>1497</v>
      </c>
      <c r="B499" t="s">
        <v>998</v>
      </c>
      <c r="C499" t="s">
        <v>1468</v>
      </c>
      <c r="D499">
        <v>30.4</v>
      </c>
      <c r="E499">
        <v>36</v>
      </c>
      <c r="F499">
        <v>271.8</v>
      </c>
      <c r="G499">
        <f>MAX(ROUNDUP(D499, 0), E499) * IF(C499="COVERED", Parameters!$B$2, Parameters!$B$3)</f>
        <v>0</v>
      </c>
      <c r="H499">
        <f>F499 - G499</f>
        <v>0</v>
      </c>
      <c r="I499">
        <f>IF(ABS(H499)&gt;0.01, "Priority 3", "")</f>
        <v>0</v>
      </c>
    </row>
    <row r="500" spans="1:9">
      <c r="A500" t="s">
        <v>1498</v>
      </c>
      <c r="B500" t="s">
        <v>998</v>
      </c>
      <c r="C500" t="s">
        <v>1468</v>
      </c>
      <c r="D500">
        <v>39.6</v>
      </c>
      <c r="E500">
        <v>24</v>
      </c>
      <c r="F500">
        <v>302</v>
      </c>
      <c r="G500">
        <f>MAX(ROUNDUP(D500, 0), E500) * IF(C500="COVERED", Parameters!$B$2, Parameters!$B$3)</f>
        <v>0</v>
      </c>
      <c r="H500">
        <f>F500 - G500</f>
        <v>0</v>
      </c>
      <c r="I500">
        <f>IF(ABS(H500)&gt;0.01, "Priority 3", "")</f>
        <v>0</v>
      </c>
    </row>
    <row r="501" spans="1:9">
      <c r="A501" t="s">
        <v>1499</v>
      </c>
      <c r="B501" t="s">
        <v>998</v>
      </c>
      <c r="C501" t="s">
        <v>1468</v>
      </c>
      <c r="D501">
        <v>41.5</v>
      </c>
      <c r="E501">
        <v>50</v>
      </c>
      <c r="F501">
        <v>377.5</v>
      </c>
      <c r="G501">
        <f>MAX(ROUNDUP(D501, 0), E501) * IF(C501="COVERED", Parameters!$B$2, Parameters!$B$3)</f>
        <v>0</v>
      </c>
      <c r="H501">
        <f>F501 - G501</f>
        <v>0</v>
      </c>
      <c r="I501">
        <f>IF(ABS(H501)&gt;0.01, "Priority 3", "")</f>
        <v>0</v>
      </c>
    </row>
    <row r="502" spans="1:9">
      <c r="A502" t="s">
        <v>1500</v>
      </c>
      <c r="B502" t="s">
        <v>998</v>
      </c>
      <c r="C502" t="s">
        <v>1468</v>
      </c>
      <c r="D502">
        <v>19.5</v>
      </c>
      <c r="E502">
        <v>32</v>
      </c>
      <c r="F502">
        <v>241.6</v>
      </c>
      <c r="G502">
        <f>MAX(ROUNDUP(D502, 0), E502) * IF(C502="COVERED", Parameters!$B$2, Parameters!$B$3)</f>
        <v>0</v>
      </c>
      <c r="H502">
        <f>F502 - G502</f>
        <v>0</v>
      </c>
      <c r="I502">
        <f>IF(ABS(H502)&gt;0.01, "Priority 3", "")</f>
        <v>0</v>
      </c>
    </row>
    <row r="503" spans="1:9">
      <c r="A503" t="s">
        <v>1501</v>
      </c>
      <c r="B503" t="s">
        <v>998</v>
      </c>
      <c r="C503" t="s">
        <v>1468</v>
      </c>
      <c r="D503">
        <v>23.2</v>
      </c>
      <c r="E503">
        <v>60</v>
      </c>
      <c r="F503">
        <v>453</v>
      </c>
      <c r="G503">
        <f>MAX(ROUNDUP(D503, 0), E503) * IF(C503="COVERED", Parameters!$B$2, Parameters!$B$3)</f>
        <v>0</v>
      </c>
      <c r="H503">
        <f>F503 - G503</f>
        <v>0</v>
      </c>
      <c r="I503">
        <f>IF(ABS(H503)&gt;0.01, "Priority 3", "")</f>
        <v>0</v>
      </c>
    </row>
    <row r="504" spans="1:9">
      <c r="A504" t="s">
        <v>1502</v>
      </c>
      <c r="B504" t="s">
        <v>998</v>
      </c>
      <c r="C504" t="s">
        <v>1468</v>
      </c>
      <c r="D504">
        <v>20.4</v>
      </c>
      <c r="E504">
        <v>32</v>
      </c>
      <c r="F504">
        <v>241.6</v>
      </c>
      <c r="G504">
        <f>MAX(ROUNDUP(D504, 0), E504) * IF(C504="COVERED", Parameters!$B$2, Parameters!$B$3)</f>
        <v>0</v>
      </c>
      <c r="H504">
        <f>F504 - G504</f>
        <v>0</v>
      </c>
      <c r="I504">
        <f>IF(ABS(H504)&gt;0.01, "Priority 3", "")</f>
        <v>0</v>
      </c>
    </row>
    <row r="505" spans="1:9">
      <c r="A505" t="s">
        <v>1503</v>
      </c>
      <c r="B505" t="s">
        <v>998</v>
      </c>
      <c r="C505" t="s">
        <v>1468</v>
      </c>
      <c r="D505">
        <v>42.6</v>
      </c>
      <c r="E505">
        <v>50</v>
      </c>
      <c r="F505">
        <v>377.5</v>
      </c>
      <c r="G505">
        <f>MAX(ROUNDUP(D505, 0), E505) * IF(C505="COVERED", Parameters!$B$2, Parameters!$B$3)</f>
        <v>0</v>
      </c>
      <c r="H505">
        <f>F505 - G505</f>
        <v>0</v>
      </c>
      <c r="I505">
        <f>IF(ABS(H505)&gt;0.01, "Priority 3", "")</f>
        <v>0</v>
      </c>
    </row>
    <row r="506" spans="1:9">
      <c r="A506" t="s">
        <v>1504</v>
      </c>
      <c r="B506" t="s">
        <v>998</v>
      </c>
      <c r="C506" t="s">
        <v>1468</v>
      </c>
      <c r="D506">
        <v>32.9</v>
      </c>
      <c r="E506">
        <v>32</v>
      </c>
      <c r="F506">
        <v>249.15</v>
      </c>
      <c r="G506">
        <f>MAX(ROUNDUP(D506, 0), E506) * IF(C506="COVERED", Parameters!$B$2, Parameters!$B$3)</f>
        <v>0</v>
      </c>
      <c r="H506">
        <f>F506 - G506</f>
        <v>0</v>
      </c>
      <c r="I506">
        <f>IF(ABS(H506)&gt;0.01, "Priority 3", "")</f>
        <v>0</v>
      </c>
    </row>
    <row r="507" spans="1:9">
      <c r="A507" t="s">
        <v>1505</v>
      </c>
      <c r="B507" t="s">
        <v>998</v>
      </c>
      <c r="C507" t="s">
        <v>1468</v>
      </c>
      <c r="D507">
        <v>23</v>
      </c>
      <c r="E507">
        <v>36</v>
      </c>
      <c r="F507">
        <v>271.8</v>
      </c>
      <c r="G507">
        <f>MAX(ROUNDUP(D507, 0), E507) * IF(C507="COVERED", Parameters!$B$2, Parameters!$B$3)</f>
        <v>0</v>
      </c>
      <c r="H507">
        <f>F507 - G507</f>
        <v>0</v>
      </c>
      <c r="I507">
        <f>IF(ABS(H507)&gt;0.01, "Priority 3", "")</f>
        <v>0</v>
      </c>
    </row>
    <row r="508" spans="1:9">
      <c r="A508" t="s">
        <v>1506</v>
      </c>
      <c r="B508" t="s">
        <v>998</v>
      </c>
      <c r="C508" t="s">
        <v>1468</v>
      </c>
      <c r="D508">
        <v>21.3</v>
      </c>
      <c r="E508">
        <v>70</v>
      </c>
      <c r="F508">
        <v>528.5</v>
      </c>
      <c r="G508">
        <f>MAX(ROUNDUP(D508, 0), E508) * IF(C508="COVERED", Parameters!$B$2, Parameters!$B$3)</f>
        <v>0</v>
      </c>
      <c r="H508">
        <f>F508 - G508</f>
        <v>0</v>
      </c>
      <c r="I508">
        <f>IF(ABS(H508)&gt;0.01, "Priority 3", "")</f>
        <v>0</v>
      </c>
    </row>
    <row r="509" spans="1:9">
      <c r="A509" t="s">
        <v>1507</v>
      </c>
      <c r="B509" t="s">
        <v>998</v>
      </c>
      <c r="C509" t="s">
        <v>1468</v>
      </c>
      <c r="D509">
        <v>22.1</v>
      </c>
      <c r="E509">
        <v>40</v>
      </c>
      <c r="F509">
        <v>302</v>
      </c>
      <c r="G509">
        <f>MAX(ROUNDUP(D509, 0), E509) * IF(C509="COVERED", Parameters!$B$2, Parameters!$B$3)</f>
        <v>0</v>
      </c>
      <c r="H509">
        <f>F509 - G509</f>
        <v>0</v>
      </c>
      <c r="I509">
        <f>IF(ABS(H509)&gt;0.01, "Priority 3", "")</f>
        <v>0</v>
      </c>
    </row>
    <row r="510" spans="1:9">
      <c r="A510" t="s">
        <v>1508</v>
      </c>
      <c r="B510" t="s">
        <v>998</v>
      </c>
      <c r="C510" t="s">
        <v>1468</v>
      </c>
      <c r="D510">
        <v>57.1</v>
      </c>
      <c r="E510">
        <v>28</v>
      </c>
      <c r="F510">
        <v>437.9</v>
      </c>
      <c r="G510">
        <f>MAX(ROUNDUP(D510, 0), E510) * IF(C510="COVERED", Parameters!$B$2, Parameters!$B$3)</f>
        <v>0</v>
      </c>
      <c r="H510">
        <f>F510 - G510</f>
        <v>0</v>
      </c>
      <c r="I510">
        <f>IF(ABS(H510)&gt;0.01, "Priority 3", "")</f>
        <v>0</v>
      </c>
    </row>
    <row r="511" spans="1:9">
      <c r="A511" t="s">
        <v>1509</v>
      </c>
      <c r="B511" t="s">
        <v>998</v>
      </c>
      <c r="C511" t="s">
        <v>1468</v>
      </c>
      <c r="D511">
        <v>29.3</v>
      </c>
      <c r="E511">
        <v>24</v>
      </c>
      <c r="F511">
        <v>226.5</v>
      </c>
      <c r="G511">
        <f>MAX(ROUNDUP(D511, 0), E511) * IF(C511="COVERED", Parameters!$B$2, Parameters!$B$3)</f>
        <v>0</v>
      </c>
      <c r="H511">
        <f>F511 - G511</f>
        <v>0</v>
      </c>
      <c r="I511">
        <f>IF(ABS(H511)&gt;0.01, "Priority 3", "")</f>
        <v>0</v>
      </c>
    </row>
    <row r="512" spans="1:9">
      <c r="A512" t="s">
        <v>1510</v>
      </c>
      <c r="B512" t="s">
        <v>998</v>
      </c>
      <c r="C512" t="s">
        <v>1468</v>
      </c>
      <c r="D512">
        <v>19</v>
      </c>
      <c r="E512">
        <v>36</v>
      </c>
      <c r="F512">
        <v>271.8</v>
      </c>
      <c r="G512">
        <f>MAX(ROUNDUP(D512, 0), E512) * IF(C512="COVERED", Parameters!$B$2, Parameters!$B$3)</f>
        <v>0</v>
      </c>
      <c r="H512">
        <f>F512 - G512</f>
        <v>0</v>
      </c>
      <c r="I512">
        <f>IF(ABS(H512)&gt;0.01, "Priority 3", "")</f>
        <v>0</v>
      </c>
    </row>
    <row r="513" spans="1:9">
      <c r="A513" t="s">
        <v>1511</v>
      </c>
      <c r="B513" t="s">
        <v>998</v>
      </c>
      <c r="C513" t="s">
        <v>1468</v>
      </c>
      <c r="D513">
        <v>49.6</v>
      </c>
      <c r="E513">
        <v>24</v>
      </c>
      <c r="F513">
        <v>377.5</v>
      </c>
      <c r="G513">
        <f>MAX(ROUNDUP(D513, 0), E513) * IF(C513="COVERED", Parameters!$B$2, Parameters!$B$3)</f>
        <v>0</v>
      </c>
      <c r="H513">
        <f>F513 - G513</f>
        <v>0</v>
      </c>
      <c r="I513">
        <f>IF(ABS(H513)&gt;0.01, "Priority 3", "")</f>
        <v>0</v>
      </c>
    </row>
    <row r="514" spans="1:9">
      <c r="A514" t="s">
        <v>1512</v>
      </c>
      <c r="B514" t="s">
        <v>998</v>
      </c>
      <c r="C514" t="s">
        <v>1468</v>
      </c>
      <c r="D514">
        <v>49.2</v>
      </c>
      <c r="E514">
        <v>40</v>
      </c>
      <c r="F514">
        <v>377.5</v>
      </c>
      <c r="G514">
        <f>MAX(ROUNDUP(D514, 0), E514) * IF(C514="COVERED", Parameters!$B$2, Parameters!$B$3)</f>
        <v>0</v>
      </c>
      <c r="H514">
        <f>F514 - G514</f>
        <v>0</v>
      </c>
      <c r="I514">
        <f>IF(ABS(H514)&gt;0.01, "Priority 3", "")</f>
        <v>0</v>
      </c>
    </row>
    <row r="515" spans="1:9">
      <c r="A515" t="s">
        <v>1513</v>
      </c>
      <c r="B515" t="s">
        <v>998</v>
      </c>
      <c r="C515" t="s">
        <v>1468</v>
      </c>
      <c r="D515">
        <v>29.4</v>
      </c>
      <c r="E515">
        <v>40</v>
      </c>
      <c r="F515">
        <v>302</v>
      </c>
      <c r="G515">
        <f>MAX(ROUNDUP(D515, 0), E515) * IF(C515="COVERED", Parameters!$B$2, Parameters!$B$3)</f>
        <v>0</v>
      </c>
      <c r="H515">
        <f>F515 - G515</f>
        <v>0</v>
      </c>
      <c r="I515">
        <f>IF(ABS(H515)&gt;0.01, "Priority 3", "")</f>
        <v>0</v>
      </c>
    </row>
    <row r="516" spans="1:9">
      <c r="A516" t="s">
        <v>1514</v>
      </c>
      <c r="B516" t="s">
        <v>998</v>
      </c>
      <c r="C516" t="s">
        <v>1468</v>
      </c>
      <c r="D516">
        <v>39.1</v>
      </c>
      <c r="E516">
        <v>36</v>
      </c>
      <c r="F516">
        <v>302</v>
      </c>
      <c r="G516">
        <f>MAX(ROUNDUP(D516, 0), E516) * IF(C516="COVERED", Parameters!$B$2, Parameters!$B$3)</f>
        <v>0</v>
      </c>
      <c r="H516">
        <f>F516 - G516</f>
        <v>0</v>
      </c>
      <c r="I516">
        <f>IF(ABS(H516)&gt;0.01, "Priority 3", "")</f>
        <v>0</v>
      </c>
    </row>
    <row r="517" spans="1:9">
      <c r="A517" t="s">
        <v>1515</v>
      </c>
      <c r="B517" t="s">
        <v>998</v>
      </c>
      <c r="C517" t="s">
        <v>1468</v>
      </c>
      <c r="D517">
        <v>61.9</v>
      </c>
      <c r="E517">
        <v>40</v>
      </c>
      <c r="F517">
        <v>468.1</v>
      </c>
      <c r="G517">
        <f>MAX(ROUNDUP(D517, 0), E517) * IF(C517="COVERED", Parameters!$B$2, Parameters!$B$3)</f>
        <v>0</v>
      </c>
      <c r="H517">
        <f>F517 - G517</f>
        <v>0</v>
      </c>
      <c r="I517">
        <f>IF(ABS(H517)&gt;0.01, "Priority 3", "")</f>
        <v>0</v>
      </c>
    </row>
    <row r="518" spans="1:9">
      <c r="A518" t="s">
        <v>1516</v>
      </c>
      <c r="B518" t="s">
        <v>998</v>
      </c>
      <c r="C518" t="s">
        <v>1468</v>
      </c>
      <c r="D518">
        <v>21</v>
      </c>
      <c r="E518">
        <v>50</v>
      </c>
      <c r="F518">
        <v>377.5</v>
      </c>
      <c r="G518">
        <f>MAX(ROUNDUP(D518, 0), E518) * IF(C518="COVERED", Parameters!$B$2, Parameters!$B$3)</f>
        <v>0</v>
      </c>
      <c r="H518">
        <f>F518 - G518</f>
        <v>0</v>
      </c>
      <c r="I518">
        <f>IF(ABS(H518)&gt;0.01, "Priority 3", "")</f>
        <v>0</v>
      </c>
    </row>
    <row r="519" spans="1:9">
      <c r="A519" t="s">
        <v>1517</v>
      </c>
      <c r="B519" t="s">
        <v>998</v>
      </c>
      <c r="C519" t="s">
        <v>1468</v>
      </c>
      <c r="D519">
        <v>19.3</v>
      </c>
      <c r="E519">
        <v>70</v>
      </c>
      <c r="F519">
        <v>528.5</v>
      </c>
      <c r="G519">
        <f>MAX(ROUNDUP(D519, 0), E519) * IF(C519="COVERED", Parameters!$B$2, Parameters!$B$3)</f>
        <v>0</v>
      </c>
      <c r="H519">
        <f>F519 - G519</f>
        <v>0</v>
      </c>
      <c r="I519">
        <f>IF(ABS(H519)&gt;0.01, "Priority 3", "")</f>
        <v>0</v>
      </c>
    </row>
    <row r="520" spans="1:9">
      <c r="A520" t="s">
        <v>1518</v>
      </c>
      <c r="B520" t="s">
        <v>998</v>
      </c>
      <c r="C520" t="s">
        <v>1468</v>
      </c>
      <c r="D520">
        <v>26.7</v>
      </c>
      <c r="E520">
        <v>28</v>
      </c>
      <c r="F520">
        <v>211.4</v>
      </c>
      <c r="G520">
        <f>MAX(ROUNDUP(D520, 0), E520) * IF(C520="COVERED", Parameters!$B$2, Parameters!$B$3)</f>
        <v>0</v>
      </c>
      <c r="H520">
        <f>F520 - G520</f>
        <v>0</v>
      </c>
      <c r="I520">
        <f>IF(ABS(H520)&gt;0.01, "Priority 3", "")</f>
        <v>0</v>
      </c>
    </row>
    <row r="521" spans="1:9">
      <c r="A521" t="s">
        <v>1519</v>
      </c>
      <c r="B521" t="s">
        <v>998</v>
      </c>
      <c r="C521" t="s">
        <v>1468</v>
      </c>
      <c r="D521">
        <v>43.4</v>
      </c>
      <c r="E521">
        <v>50</v>
      </c>
      <c r="F521">
        <v>377.5</v>
      </c>
      <c r="G521">
        <f>MAX(ROUNDUP(D521, 0), E521) * IF(C521="COVERED", Parameters!$B$2, Parameters!$B$3)</f>
        <v>0</v>
      </c>
      <c r="H521">
        <f>F521 - G521</f>
        <v>0</v>
      </c>
      <c r="I521">
        <f>IF(ABS(H521)&gt;0.01, "Priority 3", "")</f>
        <v>0</v>
      </c>
    </row>
    <row r="522" spans="1:9">
      <c r="A522" t="s">
        <v>1520</v>
      </c>
      <c r="B522" t="s">
        <v>998</v>
      </c>
      <c r="C522" t="s">
        <v>1468</v>
      </c>
      <c r="D522">
        <v>22.3</v>
      </c>
      <c r="E522">
        <v>32</v>
      </c>
      <c r="F522">
        <v>241.6</v>
      </c>
      <c r="G522">
        <f>MAX(ROUNDUP(D522, 0), E522) * IF(C522="COVERED", Parameters!$B$2, Parameters!$B$3)</f>
        <v>0</v>
      </c>
      <c r="H522">
        <f>F522 - G522</f>
        <v>0</v>
      </c>
      <c r="I522">
        <f>IF(ABS(H522)&gt;0.01, "Priority 3", "")</f>
        <v>0</v>
      </c>
    </row>
    <row r="523" spans="1:9">
      <c r="A523" t="s">
        <v>1521</v>
      </c>
      <c r="B523" t="s">
        <v>998</v>
      </c>
      <c r="C523" t="s">
        <v>1468</v>
      </c>
      <c r="D523">
        <v>30.1</v>
      </c>
      <c r="E523">
        <v>28</v>
      </c>
      <c r="F523">
        <v>234.05</v>
      </c>
      <c r="G523">
        <f>MAX(ROUNDUP(D523, 0), E523) * IF(C523="COVERED", Parameters!$B$2, Parameters!$B$3)</f>
        <v>0</v>
      </c>
      <c r="H523">
        <f>F523 - G523</f>
        <v>0</v>
      </c>
      <c r="I523">
        <f>IF(ABS(H523)&gt;0.01, "Priority 3", "")</f>
        <v>0</v>
      </c>
    </row>
    <row r="524" spans="1:9">
      <c r="A524" t="s">
        <v>1522</v>
      </c>
      <c r="B524" t="s">
        <v>998</v>
      </c>
      <c r="C524" t="s">
        <v>1468</v>
      </c>
      <c r="D524">
        <v>21.8</v>
      </c>
      <c r="E524">
        <v>50</v>
      </c>
      <c r="F524">
        <v>377.5</v>
      </c>
      <c r="G524">
        <f>MAX(ROUNDUP(D524, 0), E524) * IF(C524="COVERED", Parameters!$B$2, Parameters!$B$3)</f>
        <v>0</v>
      </c>
      <c r="H524">
        <f>F524 - G524</f>
        <v>0</v>
      </c>
      <c r="I524">
        <f>IF(ABS(H524)&gt;0.01, "Priority 3", "")</f>
        <v>0</v>
      </c>
    </row>
    <row r="525" spans="1:9">
      <c r="A525" t="s">
        <v>1523</v>
      </c>
      <c r="B525" t="s">
        <v>998</v>
      </c>
      <c r="C525" t="s">
        <v>1468</v>
      </c>
      <c r="D525">
        <v>32.5</v>
      </c>
      <c r="E525">
        <v>32</v>
      </c>
      <c r="F525">
        <v>249.15</v>
      </c>
      <c r="G525">
        <f>MAX(ROUNDUP(D525, 0), E525) * IF(C525="COVERED", Parameters!$B$2, Parameters!$B$3)</f>
        <v>0</v>
      </c>
      <c r="H525">
        <f>F525 - G525</f>
        <v>0</v>
      </c>
      <c r="I525">
        <f>IF(ABS(H525)&gt;0.01, "Priority 3", "")</f>
        <v>0</v>
      </c>
    </row>
    <row r="526" spans="1:9">
      <c r="A526" t="s">
        <v>1524</v>
      </c>
      <c r="B526" t="s">
        <v>998</v>
      </c>
      <c r="C526" t="s">
        <v>1468</v>
      </c>
      <c r="D526">
        <v>43.2</v>
      </c>
      <c r="E526">
        <v>24</v>
      </c>
      <c r="F526">
        <v>332.2</v>
      </c>
      <c r="G526">
        <f>MAX(ROUNDUP(D526, 0), E526) * IF(C526="COVERED", Parameters!$B$2, Parameters!$B$3)</f>
        <v>0</v>
      </c>
      <c r="H526">
        <f>F526 - G526</f>
        <v>0</v>
      </c>
      <c r="I526">
        <f>IF(ABS(H526)&gt;0.01, "Priority 3", "")</f>
        <v>0</v>
      </c>
    </row>
    <row r="527" spans="1:9">
      <c r="A527" t="s">
        <v>1525</v>
      </c>
      <c r="B527" t="s">
        <v>998</v>
      </c>
      <c r="C527" t="s">
        <v>1468</v>
      </c>
      <c r="D527">
        <v>60.1</v>
      </c>
      <c r="E527">
        <v>36</v>
      </c>
      <c r="F527">
        <v>460.55</v>
      </c>
      <c r="G527">
        <f>MAX(ROUNDUP(D527, 0), E527) * IF(C527="COVERED", Parameters!$B$2, Parameters!$B$3)</f>
        <v>0</v>
      </c>
      <c r="H527">
        <f>F527 - G527</f>
        <v>0</v>
      </c>
      <c r="I527">
        <f>IF(ABS(H527)&gt;0.01, "Priority 3", "")</f>
        <v>0</v>
      </c>
    </row>
    <row r="528" spans="1:9">
      <c r="A528" t="s">
        <v>1526</v>
      </c>
      <c r="B528" t="s">
        <v>998</v>
      </c>
      <c r="C528" t="s">
        <v>1468</v>
      </c>
      <c r="D528">
        <v>44.2</v>
      </c>
      <c r="E528">
        <v>36</v>
      </c>
      <c r="F528">
        <v>339.75</v>
      </c>
      <c r="G528">
        <f>MAX(ROUNDUP(D528, 0), E528) * IF(C528="COVERED", Parameters!$B$2, Parameters!$B$3)</f>
        <v>0</v>
      </c>
      <c r="H528">
        <f>F528 - G528</f>
        <v>0</v>
      </c>
      <c r="I528">
        <f>IF(ABS(H528)&gt;0.01, "Priority 3", "")</f>
        <v>0</v>
      </c>
    </row>
    <row r="529" spans="1:9">
      <c r="A529" t="s">
        <v>1527</v>
      </c>
      <c r="B529" t="s">
        <v>998</v>
      </c>
      <c r="C529" t="s">
        <v>1468</v>
      </c>
      <c r="D529">
        <v>37</v>
      </c>
      <c r="E529">
        <v>32</v>
      </c>
      <c r="F529">
        <v>279.35</v>
      </c>
      <c r="G529">
        <f>MAX(ROUNDUP(D529, 0), E529) * IF(C529="COVERED", Parameters!$B$2, Parameters!$B$3)</f>
        <v>0</v>
      </c>
      <c r="H529">
        <f>F529 - G529</f>
        <v>0</v>
      </c>
      <c r="I529">
        <f>IF(ABS(H529)&gt;0.01, "Priority 3", "")</f>
        <v>0</v>
      </c>
    </row>
    <row r="530" spans="1:9">
      <c r="A530" t="s">
        <v>1528</v>
      </c>
      <c r="B530" t="s">
        <v>998</v>
      </c>
      <c r="C530" t="s">
        <v>1468</v>
      </c>
      <c r="D530">
        <v>56.8</v>
      </c>
      <c r="E530">
        <v>70</v>
      </c>
      <c r="F530">
        <v>528.5</v>
      </c>
      <c r="G530">
        <f>MAX(ROUNDUP(D530, 0), E530) * IF(C530="COVERED", Parameters!$B$2, Parameters!$B$3)</f>
        <v>0</v>
      </c>
      <c r="H530">
        <f>F530 - G530</f>
        <v>0</v>
      </c>
      <c r="I530">
        <f>IF(ABS(H530)&gt;0.01, "Priority 3", "")</f>
        <v>0</v>
      </c>
    </row>
    <row r="531" spans="1:9">
      <c r="A531" t="s">
        <v>1529</v>
      </c>
      <c r="B531" t="s">
        <v>998</v>
      </c>
      <c r="C531" t="s">
        <v>1468</v>
      </c>
      <c r="D531">
        <v>18.7</v>
      </c>
      <c r="E531">
        <v>70</v>
      </c>
      <c r="F531">
        <v>528.5</v>
      </c>
      <c r="G531">
        <f>MAX(ROUNDUP(D531, 0), E531) * IF(C531="COVERED", Parameters!$B$2, Parameters!$B$3)</f>
        <v>0</v>
      </c>
      <c r="H531">
        <f>F531 - G531</f>
        <v>0</v>
      </c>
      <c r="I531">
        <f>IF(ABS(H531)&gt;0.01, "Priority 3", "")</f>
        <v>0</v>
      </c>
    </row>
    <row r="532" spans="1:9">
      <c r="A532" t="s">
        <v>1530</v>
      </c>
      <c r="B532" t="s">
        <v>998</v>
      </c>
      <c r="C532" t="s">
        <v>1468</v>
      </c>
      <c r="D532">
        <v>56.7</v>
      </c>
      <c r="E532">
        <v>28</v>
      </c>
      <c r="F532">
        <v>430.35</v>
      </c>
      <c r="G532">
        <f>MAX(ROUNDUP(D532, 0), E532) * IF(C532="COVERED", Parameters!$B$2, Parameters!$B$3)</f>
        <v>0</v>
      </c>
      <c r="H532">
        <f>F532 - G532</f>
        <v>0</v>
      </c>
      <c r="I532">
        <f>IF(ABS(H532)&gt;0.01, "Priority 3", "")</f>
        <v>0</v>
      </c>
    </row>
    <row r="533" spans="1:9">
      <c r="A533" t="s">
        <v>1531</v>
      </c>
      <c r="B533" t="s">
        <v>998</v>
      </c>
      <c r="C533" t="s">
        <v>1468</v>
      </c>
      <c r="D533">
        <v>50.2</v>
      </c>
      <c r="E533">
        <v>36</v>
      </c>
      <c r="F533">
        <v>385.05</v>
      </c>
      <c r="G533">
        <f>MAX(ROUNDUP(D533, 0), E533) * IF(C533="COVERED", Parameters!$B$2, Parameters!$B$3)</f>
        <v>0</v>
      </c>
      <c r="H533">
        <f>F533 - G533</f>
        <v>0</v>
      </c>
      <c r="I533">
        <f>IF(ABS(H533)&gt;0.01, "Priority 3", "")</f>
        <v>0</v>
      </c>
    </row>
    <row r="534" spans="1:9">
      <c r="A534" t="s">
        <v>1532</v>
      </c>
      <c r="B534" t="s">
        <v>998</v>
      </c>
      <c r="C534" t="s">
        <v>1468</v>
      </c>
      <c r="D534">
        <v>19.3</v>
      </c>
      <c r="E534">
        <v>80</v>
      </c>
      <c r="F534">
        <v>604</v>
      </c>
      <c r="G534">
        <f>MAX(ROUNDUP(D534, 0), E534) * IF(C534="COVERED", Parameters!$B$2, Parameters!$B$3)</f>
        <v>0</v>
      </c>
      <c r="H534">
        <f>F534 - G534</f>
        <v>0</v>
      </c>
      <c r="I534">
        <f>IF(ABS(H534)&gt;0.01, "Priority 3", "")</f>
        <v>0</v>
      </c>
    </row>
    <row r="535" spans="1:9">
      <c r="A535" t="s">
        <v>1533</v>
      </c>
      <c r="B535" t="s">
        <v>998</v>
      </c>
      <c r="C535" t="s">
        <v>1468</v>
      </c>
      <c r="D535">
        <v>50.5</v>
      </c>
      <c r="E535">
        <v>28</v>
      </c>
      <c r="F535">
        <v>385.05</v>
      </c>
      <c r="G535">
        <f>MAX(ROUNDUP(D535, 0), E535) * IF(C535="COVERED", Parameters!$B$2, Parameters!$B$3)</f>
        <v>0</v>
      </c>
      <c r="H535">
        <f>F535 - G535</f>
        <v>0</v>
      </c>
      <c r="I535">
        <f>IF(ABS(H535)&gt;0.01, "Priority 3", "")</f>
        <v>0</v>
      </c>
    </row>
    <row r="536" spans="1:9">
      <c r="A536" t="s">
        <v>1534</v>
      </c>
      <c r="B536" t="s">
        <v>998</v>
      </c>
      <c r="C536" t="s">
        <v>1468</v>
      </c>
      <c r="D536">
        <v>31.6</v>
      </c>
      <c r="E536">
        <v>40</v>
      </c>
      <c r="F536">
        <v>302</v>
      </c>
      <c r="G536">
        <f>MAX(ROUNDUP(D536, 0), E536) * IF(C536="COVERED", Parameters!$B$2, Parameters!$B$3)</f>
        <v>0</v>
      </c>
      <c r="H536">
        <f>F536 - G536</f>
        <v>0</v>
      </c>
      <c r="I536">
        <f>IF(ABS(H536)&gt;0.01, "Priority 3", "")</f>
        <v>0</v>
      </c>
    </row>
    <row r="537" spans="1:9">
      <c r="A537" t="s">
        <v>1535</v>
      </c>
      <c r="B537" t="s">
        <v>998</v>
      </c>
      <c r="C537" t="s">
        <v>1468</v>
      </c>
      <c r="D537">
        <v>60</v>
      </c>
      <c r="E537">
        <v>50</v>
      </c>
      <c r="F537">
        <v>453</v>
      </c>
      <c r="G537">
        <f>MAX(ROUNDUP(D537, 0), E537) * IF(C537="COVERED", Parameters!$B$2, Parameters!$B$3)</f>
        <v>0</v>
      </c>
      <c r="H537">
        <f>F537 - G537</f>
        <v>0</v>
      </c>
      <c r="I537">
        <f>IF(ABS(H537)&gt;0.01, "Priority 3", "")</f>
        <v>0</v>
      </c>
    </row>
    <row r="538" spans="1:9">
      <c r="A538" t="s">
        <v>1536</v>
      </c>
      <c r="B538" t="s">
        <v>998</v>
      </c>
      <c r="C538" t="s">
        <v>1468</v>
      </c>
      <c r="D538">
        <v>31.8</v>
      </c>
      <c r="E538">
        <v>70</v>
      </c>
      <c r="F538">
        <v>528.5</v>
      </c>
      <c r="G538">
        <f>MAX(ROUNDUP(D538, 0), E538) * IF(C538="COVERED", Parameters!$B$2, Parameters!$B$3)</f>
        <v>0</v>
      </c>
      <c r="H538">
        <f>F538 - G538</f>
        <v>0</v>
      </c>
      <c r="I538">
        <f>IF(ABS(H538)&gt;0.01, "Priority 3", "")</f>
        <v>0</v>
      </c>
    </row>
    <row r="539" spans="1:9">
      <c r="A539" t="s">
        <v>1537</v>
      </c>
      <c r="B539" t="s">
        <v>998</v>
      </c>
      <c r="C539" t="s">
        <v>1468</v>
      </c>
      <c r="D539">
        <v>46.9</v>
      </c>
      <c r="E539">
        <v>24</v>
      </c>
      <c r="F539">
        <v>354.85</v>
      </c>
      <c r="G539">
        <f>MAX(ROUNDUP(D539, 0), E539) * IF(C539="COVERED", Parameters!$B$2, Parameters!$B$3)</f>
        <v>0</v>
      </c>
      <c r="H539">
        <f>F539 - G539</f>
        <v>0</v>
      </c>
      <c r="I539">
        <f>IF(ABS(H539)&gt;0.01, "Priority 3", "")</f>
        <v>0</v>
      </c>
    </row>
    <row r="540" spans="1:9">
      <c r="A540" t="s">
        <v>1538</v>
      </c>
      <c r="B540" t="s">
        <v>998</v>
      </c>
      <c r="C540" t="s">
        <v>1468</v>
      </c>
      <c r="D540">
        <v>29.4</v>
      </c>
      <c r="E540">
        <v>40</v>
      </c>
      <c r="F540">
        <v>302</v>
      </c>
      <c r="G540">
        <f>MAX(ROUNDUP(D540, 0), E540) * IF(C540="COVERED", Parameters!$B$2, Parameters!$B$3)</f>
        <v>0</v>
      </c>
      <c r="H540">
        <f>F540 - G540</f>
        <v>0</v>
      </c>
      <c r="I540">
        <f>IF(ABS(H540)&gt;0.01, "Priority 3", "")</f>
        <v>0</v>
      </c>
    </row>
    <row r="541" spans="1:9">
      <c r="A541" t="s">
        <v>1539</v>
      </c>
      <c r="B541" t="s">
        <v>998</v>
      </c>
      <c r="C541" t="s">
        <v>1468</v>
      </c>
      <c r="D541">
        <v>31.1</v>
      </c>
      <c r="E541">
        <v>45</v>
      </c>
      <c r="F541">
        <v>339.75</v>
      </c>
      <c r="G541">
        <f>MAX(ROUNDUP(D541, 0), E541) * IF(C541="COVERED", Parameters!$B$2, Parameters!$B$3)</f>
        <v>0</v>
      </c>
      <c r="H541">
        <f>F541 - G541</f>
        <v>0</v>
      </c>
      <c r="I541">
        <f>IF(ABS(H541)&gt;0.01, "Priority 3", "")</f>
        <v>0</v>
      </c>
    </row>
    <row r="542" spans="1:9">
      <c r="A542" t="s">
        <v>1540</v>
      </c>
      <c r="B542" t="s">
        <v>998</v>
      </c>
      <c r="C542" t="s">
        <v>1468</v>
      </c>
      <c r="D542">
        <v>59.4</v>
      </c>
      <c r="E542">
        <v>28</v>
      </c>
      <c r="F542">
        <v>453</v>
      </c>
      <c r="G542">
        <f>MAX(ROUNDUP(D542, 0), E542) * IF(C542="COVERED", Parameters!$B$2, Parameters!$B$3)</f>
        <v>0</v>
      </c>
      <c r="H542">
        <f>F542 - G542</f>
        <v>0</v>
      </c>
      <c r="I542">
        <f>IF(ABS(H542)&gt;0.01, "Priority 3", "")</f>
        <v>0</v>
      </c>
    </row>
    <row r="543" spans="1:9">
      <c r="A543" t="s">
        <v>1541</v>
      </c>
      <c r="B543" t="s">
        <v>998</v>
      </c>
      <c r="C543" t="s">
        <v>1468</v>
      </c>
      <c r="D543">
        <v>51.6</v>
      </c>
      <c r="E543">
        <v>70</v>
      </c>
      <c r="F543">
        <v>528.5</v>
      </c>
      <c r="G543">
        <f>MAX(ROUNDUP(D543, 0), E543) * IF(C543="COVERED", Parameters!$B$2, Parameters!$B$3)</f>
        <v>0</v>
      </c>
      <c r="H543">
        <f>F543 - G543</f>
        <v>0</v>
      </c>
      <c r="I543">
        <f>IF(ABS(H543)&gt;0.01, "Priority 3", "")</f>
        <v>0</v>
      </c>
    </row>
    <row r="544" spans="1:9">
      <c r="A544" t="s">
        <v>1542</v>
      </c>
      <c r="B544" t="s">
        <v>998</v>
      </c>
      <c r="C544" t="s">
        <v>1468</v>
      </c>
      <c r="D544">
        <v>44.8</v>
      </c>
      <c r="E544">
        <v>32</v>
      </c>
      <c r="F544">
        <v>339.75</v>
      </c>
      <c r="G544">
        <f>MAX(ROUNDUP(D544, 0), E544) * IF(C544="COVERED", Parameters!$B$2, Parameters!$B$3)</f>
        <v>0</v>
      </c>
      <c r="H544">
        <f>F544 - G544</f>
        <v>0</v>
      </c>
      <c r="I544">
        <f>IF(ABS(H544)&gt;0.01, "Priority 3", "")</f>
        <v>0</v>
      </c>
    </row>
    <row r="545" spans="1:9">
      <c r="A545" t="s">
        <v>1543</v>
      </c>
      <c r="B545" t="s">
        <v>998</v>
      </c>
      <c r="C545" t="s">
        <v>1468</v>
      </c>
      <c r="D545">
        <v>26.8</v>
      </c>
      <c r="E545">
        <v>70</v>
      </c>
      <c r="F545">
        <v>528.5</v>
      </c>
      <c r="G545">
        <f>MAX(ROUNDUP(D545, 0), E545) * IF(C545="COVERED", Parameters!$B$2, Parameters!$B$3)</f>
        <v>0</v>
      </c>
      <c r="H545">
        <f>F545 - G545</f>
        <v>0</v>
      </c>
      <c r="I545">
        <f>IF(ABS(H545)&gt;0.01, "Priority 3", "")</f>
        <v>0</v>
      </c>
    </row>
    <row r="546" spans="1:9">
      <c r="A546" t="s">
        <v>1544</v>
      </c>
      <c r="B546" t="s">
        <v>998</v>
      </c>
      <c r="C546" t="s">
        <v>1468</v>
      </c>
      <c r="D546">
        <v>42.5</v>
      </c>
      <c r="E546">
        <v>70</v>
      </c>
      <c r="F546">
        <v>528.5</v>
      </c>
      <c r="G546">
        <f>MAX(ROUNDUP(D546, 0), E546) * IF(C546="COVERED", Parameters!$B$2, Parameters!$B$3)</f>
        <v>0</v>
      </c>
      <c r="H546">
        <f>F546 - G546</f>
        <v>0</v>
      </c>
      <c r="I546">
        <f>IF(ABS(H546)&gt;0.01, "Priority 3", "")</f>
        <v>0</v>
      </c>
    </row>
    <row r="547" spans="1:9">
      <c r="A547" t="s">
        <v>1545</v>
      </c>
      <c r="B547" t="s">
        <v>998</v>
      </c>
      <c r="C547" t="s">
        <v>1468</v>
      </c>
      <c r="D547">
        <v>58.8</v>
      </c>
      <c r="E547">
        <v>70</v>
      </c>
      <c r="F547">
        <v>528.5</v>
      </c>
      <c r="G547">
        <f>MAX(ROUNDUP(D547, 0), E547) * IF(C547="COVERED", Parameters!$B$2, Parameters!$B$3)</f>
        <v>0</v>
      </c>
      <c r="H547">
        <f>F547 - G547</f>
        <v>0</v>
      </c>
      <c r="I547">
        <f>IF(ABS(H547)&gt;0.01, "Priority 3", "")</f>
        <v>0</v>
      </c>
    </row>
    <row r="548" spans="1:9">
      <c r="A548" t="s">
        <v>1546</v>
      </c>
      <c r="B548" t="s">
        <v>998</v>
      </c>
      <c r="C548" t="s">
        <v>1468</v>
      </c>
      <c r="D548">
        <v>20.6</v>
      </c>
      <c r="E548">
        <v>40</v>
      </c>
      <c r="F548">
        <v>302</v>
      </c>
      <c r="G548">
        <f>MAX(ROUNDUP(D548, 0), E548) * IF(C548="COVERED", Parameters!$B$2, Parameters!$B$3)</f>
        <v>0</v>
      </c>
      <c r="H548">
        <f>F548 - G548</f>
        <v>0</v>
      </c>
      <c r="I548">
        <f>IF(ABS(H548)&gt;0.01, "Priority 3", "")</f>
        <v>0</v>
      </c>
    </row>
    <row r="549" spans="1:9">
      <c r="A549" t="s">
        <v>1547</v>
      </c>
      <c r="B549" t="s">
        <v>998</v>
      </c>
      <c r="C549" t="s">
        <v>1468</v>
      </c>
      <c r="D549">
        <v>42.4</v>
      </c>
      <c r="E549">
        <v>24</v>
      </c>
      <c r="F549">
        <v>324.65</v>
      </c>
      <c r="G549">
        <f>MAX(ROUNDUP(D549, 0), E549) * IF(C549="COVERED", Parameters!$B$2, Parameters!$B$3)</f>
        <v>0</v>
      </c>
      <c r="H549">
        <f>F549 - G549</f>
        <v>0</v>
      </c>
      <c r="I549">
        <f>IF(ABS(H549)&gt;0.01, "Priority 3", "")</f>
        <v>0</v>
      </c>
    </row>
    <row r="550" spans="1:9">
      <c r="A550" t="s">
        <v>1548</v>
      </c>
      <c r="B550" t="s">
        <v>998</v>
      </c>
      <c r="C550" t="s">
        <v>1468</v>
      </c>
      <c r="D550">
        <v>33.7</v>
      </c>
      <c r="E550">
        <v>24</v>
      </c>
      <c r="F550">
        <v>256.7</v>
      </c>
      <c r="G550">
        <f>MAX(ROUNDUP(D550, 0), E550) * IF(C550="COVERED", Parameters!$B$2, Parameters!$B$3)</f>
        <v>0</v>
      </c>
      <c r="H550">
        <f>F550 - G550</f>
        <v>0</v>
      </c>
      <c r="I550">
        <f>IF(ABS(H550)&gt;0.01, "Priority 3", "")</f>
        <v>0</v>
      </c>
    </row>
    <row r="551" spans="1:9">
      <c r="A551" t="s">
        <v>1549</v>
      </c>
      <c r="B551" t="s">
        <v>998</v>
      </c>
      <c r="C551" t="s">
        <v>1468</v>
      </c>
      <c r="D551">
        <v>56.9</v>
      </c>
      <c r="E551">
        <v>28</v>
      </c>
      <c r="F551">
        <v>430.35</v>
      </c>
      <c r="G551">
        <f>MAX(ROUNDUP(D551, 0), E551) * IF(C551="COVERED", Parameters!$B$2, Parameters!$B$3)</f>
        <v>0</v>
      </c>
      <c r="H551">
        <f>F551 - G551</f>
        <v>0</v>
      </c>
      <c r="I551">
        <f>IF(ABS(H551)&gt;0.01, "Priority 3", "")</f>
        <v>0</v>
      </c>
    </row>
    <row r="552" spans="1:9">
      <c r="A552" t="s">
        <v>1550</v>
      </c>
      <c r="B552" t="s">
        <v>998</v>
      </c>
      <c r="C552" t="s">
        <v>1468</v>
      </c>
      <c r="D552">
        <v>58</v>
      </c>
      <c r="E552">
        <v>24</v>
      </c>
      <c r="F552">
        <v>437.9</v>
      </c>
      <c r="G552">
        <f>MAX(ROUNDUP(D552, 0), E552) * IF(C552="COVERED", Parameters!$B$2, Parameters!$B$3)</f>
        <v>0</v>
      </c>
      <c r="H552">
        <f>F552 - G552</f>
        <v>0</v>
      </c>
      <c r="I552">
        <f>IF(ABS(H552)&gt;0.01, "Priority 3", "")</f>
        <v>0</v>
      </c>
    </row>
    <row r="553" spans="1:9">
      <c r="A553" t="s">
        <v>1551</v>
      </c>
      <c r="B553" t="s">
        <v>998</v>
      </c>
      <c r="C553" t="s">
        <v>1468</v>
      </c>
      <c r="D553">
        <v>36.5</v>
      </c>
      <c r="E553">
        <v>45</v>
      </c>
      <c r="F553">
        <v>339.75</v>
      </c>
      <c r="G553">
        <f>MAX(ROUNDUP(D553, 0), E553) * IF(C553="COVERED", Parameters!$B$2, Parameters!$B$3)</f>
        <v>0</v>
      </c>
      <c r="H553">
        <f>F553 - G553</f>
        <v>0</v>
      </c>
      <c r="I553">
        <f>IF(ABS(H553)&gt;0.01, "Priority 3", "")</f>
        <v>0</v>
      </c>
    </row>
    <row r="554" spans="1:9">
      <c r="A554" t="s">
        <v>1552</v>
      </c>
      <c r="B554" t="s">
        <v>998</v>
      </c>
      <c r="C554" t="s">
        <v>1468</v>
      </c>
      <c r="D554">
        <v>21.8</v>
      </c>
      <c r="E554">
        <v>32</v>
      </c>
      <c r="F554">
        <v>241.6</v>
      </c>
      <c r="G554">
        <f>MAX(ROUNDUP(D554, 0), E554) * IF(C554="COVERED", Parameters!$B$2, Parameters!$B$3)</f>
        <v>0</v>
      </c>
      <c r="H554">
        <f>F554 - G554</f>
        <v>0</v>
      </c>
      <c r="I554">
        <f>IF(ABS(H554)&gt;0.01, "Priority 3", "")</f>
        <v>0</v>
      </c>
    </row>
    <row r="555" spans="1:9">
      <c r="A555" t="s">
        <v>1553</v>
      </c>
      <c r="B555" t="s">
        <v>998</v>
      </c>
      <c r="C555" t="s">
        <v>1468</v>
      </c>
      <c r="D555">
        <v>26.2</v>
      </c>
      <c r="E555">
        <v>36</v>
      </c>
      <c r="F555">
        <v>271.8</v>
      </c>
      <c r="G555">
        <f>MAX(ROUNDUP(D555, 0), E555) * IF(C555="COVERED", Parameters!$B$2, Parameters!$B$3)</f>
        <v>0</v>
      </c>
      <c r="H555">
        <f>F555 - G555</f>
        <v>0</v>
      </c>
      <c r="I555">
        <f>IF(ABS(H555)&gt;0.01, "Priority 3", "")</f>
        <v>0</v>
      </c>
    </row>
    <row r="556" spans="1:9">
      <c r="A556" t="s">
        <v>1554</v>
      </c>
      <c r="B556" t="s">
        <v>998</v>
      </c>
      <c r="C556" t="s">
        <v>1468</v>
      </c>
      <c r="D556">
        <v>37.2</v>
      </c>
      <c r="E556">
        <v>70</v>
      </c>
      <c r="F556">
        <v>528.5</v>
      </c>
      <c r="G556">
        <f>MAX(ROUNDUP(D556, 0), E556) * IF(C556="COVERED", Parameters!$B$2, Parameters!$B$3)</f>
        <v>0</v>
      </c>
      <c r="H556">
        <f>F556 - G556</f>
        <v>0</v>
      </c>
      <c r="I556">
        <f>IF(ABS(H556)&gt;0.01, "Priority 3", "")</f>
        <v>0</v>
      </c>
    </row>
    <row r="557" spans="1:9">
      <c r="A557" t="s">
        <v>1555</v>
      </c>
      <c r="B557" t="s">
        <v>998</v>
      </c>
      <c r="C557" t="s">
        <v>1468</v>
      </c>
      <c r="D557">
        <v>51.9</v>
      </c>
      <c r="E557">
        <v>45</v>
      </c>
      <c r="F557">
        <v>392.6</v>
      </c>
      <c r="G557">
        <f>MAX(ROUNDUP(D557, 0), E557) * IF(C557="COVERED", Parameters!$B$2, Parameters!$B$3)</f>
        <v>0</v>
      </c>
      <c r="H557">
        <f>F557 - G557</f>
        <v>0</v>
      </c>
      <c r="I557">
        <f>IF(ABS(H557)&gt;0.01, "Priority 3", "")</f>
        <v>0</v>
      </c>
    </row>
    <row r="558" spans="1:9">
      <c r="A558" t="s">
        <v>1556</v>
      </c>
      <c r="B558" t="s">
        <v>998</v>
      </c>
      <c r="C558" t="s">
        <v>1468</v>
      </c>
      <c r="D558">
        <v>46.4</v>
      </c>
      <c r="E558">
        <v>32</v>
      </c>
      <c r="F558">
        <v>354.85</v>
      </c>
      <c r="G558">
        <f>MAX(ROUNDUP(D558, 0), E558) * IF(C558="COVERED", Parameters!$B$2, Parameters!$B$3)</f>
        <v>0</v>
      </c>
      <c r="H558">
        <f>F558 - G558</f>
        <v>0</v>
      </c>
      <c r="I558">
        <f>IF(ABS(H558)&gt;0.01, "Priority 3", "")</f>
        <v>0</v>
      </c>
    </row>
    <row r="559" spans="1:9">
      <c r="A559" t="s">
        <v>1557</v>
      </c>
      <c r="B559" t="s">
        <v>998</v>
      </c>
      <c r="C559" t="s">
        <v>1468</v>
      </c>
      <c r="D559">
        <v>58.9</v>
      </c>
      <c r="E559">
        <v>36</v>
      </c>
      <c r="F559">
        <v>445.45</v>
      </c>
      <c r="G559">
        <f>MAX(ROUNDUP(D559, 0), E559) * IF(C559="COVERED", Parameters!$B$2, Parameters!$B$3)</f>
        <v>0</v>
      </c>
      <c r="H559">
        <f>F559 - G559</f>
        <v>0</v>
      </c>
      <c r="I559">
        <f>IF(ABS(H559)&gt;0.01, "Priority 3", "")</f>
        <v>0</v>
      </c>
    </row>
    <row r="560" spans="1:9">
      <c r="A560" t="s">
        <v>1558</v>
      </c>
      <c r="B560" t="s">
        <v>998</v>
      </c>
      <c r="C560" t="s">
        <v>1468</v>
      </c>
      <c r="D560">
        <v>54.2</v>
      </c>
      <c r="E560">
        <v>28</v>
      </c>
      <c r="F560">
        <v>415.25</v>
      </c>
      <c r="G560">
        <f>MAX(ROUNDUP(D560, 0), E560) * IF(C560="COVERED", Parameters!$B$2, Parameters!$B$3)</f>
        <v>0</v>
      </c>
      <c r="H560">
        <f>F560 - G560</f>
        <v>0</v>
      </c>
      <c r="I560">
        <f>IF(ABS(H560)&gt;0.01, "Priority 3", "")</f>
        <v>0</v>
      </c>
    </row>
    <row r="561" spans="1:9">
      <c r="A561" t="s">
        <v>1559</v>
      </c>
      <c r="B561" t="s">
        <v>998</v>
      </c>
      <c r="C561" t="s">
        <v>1468</v>
      </c>
      <c r="D561">
        <v>26.2</v>
      </c>
      <c r="E561">
        <v>32</v>
      </c>
      <c r="F561">
        <v>241.6</v>
      </c>
      <c r="G561">
        <f>MAX(ROUNDUP(D561, 0), E561) * IF(C561="COVERED", Parameters!$B$2, Parameters!$B$3)</f>
        <v>0</v>
      </c>
      <c r="H561">
        <f>F561 - G561</f>
        <v>0</v>
      </c>
      <c r="I561">
        <f>IF(ABS(H561)&gt;0.01, "Priority 3", "")</f>
        <v>0</v>
      </c>
    </row>
    <row r="562" spans="1:9">
      <c r="A562" t="s">
        <v>1560</v>
      </c>
      <c r="B562" t="s">
        <v>998</v>
      </c>
      <c r="C562" t="s">
        <v>1468</v>
      </c>
      <c r="D562">
        <v>37.4</v>
      </c>
      <c r="E562">
        <v>60</v>
      </c>
      <c r="F562">
        <v>453</v>
      </c>
      <c r="G562">
        <f>MAX(ROUNDUP(D562, 0), E562) * IF(C562="COVERED", Parameters!$B$2, Parameters!$B$3)</f>
        <v>0</v>
      </c>
      <c r="H562">
        <f>F562 - G562</f>
        <v>0</v>
      </c>
      <c r="I562">
        <f>IF(ABS(H562)&gt;0.01, "Priority 3", "")</f>
        <v>0</v>
      </c>
    </row>
    <row r="563" spans="1:9">
      <c r="A563" t="s">
        <v>1561</v>
      </c>
      <c r="B563" t="s">
        <v>998</v>
      </c>
      <c r="C563" t="s">
        <v>1468</v>
      </c>
      <c r="D563">
        <v>55.2</v>
      </c>
      <c r="E563">
        <v>70</v>
      </c>
      <c r="F563">
        <v>528.5</v>
      </c>
      <c r="G563">
        <f>MAX(ROUNDUP(D563, 0), E563) * IF(C563="COVERED", Parameters!$B$2, Parameters!$B$3)</f>
        <v>0</v>
      </c>
      <c r="H563">
        <f>F563 - G563</f>
        <v>0</v>
      </c>
      <c r="I563">
        <f>IF(ABS(H563)&gt;0.01, "Priority 3", "")</f>
        <v>0</v>
      </c>
    </row>
    <row r="564" spans="1:9">
      <c r="A564" t="s">
        <v>1562</v>
      </c>
      <c r="B564" t="s">
        <v>998</v>
      </c>
      <c r="C564" t="s">
        <v>1468</v>
      </c>
      <c r="D564">
        <v>59.7</v>
      </c>
      <c r="E564">
        <v>36</v>
      </c>
      <c r="F564">
        <v>453</v>
      </c>
      <c r="G564">
        <f>MAX(ROUNDUP(D564, 0), E564) * IF(C564="COVERED", Parameters!$B$2, Parameters!$B$3)</f>
        <v>0</v>
      </c>
      <c r="H564">
        <f>F564 - G564</f>
        <v>0</v>
      </c>
      <c r="I564">
        <f>IF(ABS(H564)&gt;0.01, "Priority 3", "")</f>
        <v>0</v>
      </c>
    </row>
    <row r="565" spans="1:9">
      <c r="A565" t="s">
        <v>1563</v>
      </c>
      <c r="B565" t="s">
        <v>998</v>
      </c>
      <c r="C565" t="s">
        <v>1468</v>
      </c>
      <c r="D565">
        <v>52.5</v>
      </c>
      <c r="E565">
        <v>28</v>
      </c>
      <c r="F565">
        <v>400.15</v>
      </c>
      <c r="G565">
        <f>MAX(ROUNDUP(D565, 0), E565) * IF(C565="COVERED", Parameters!$B$2, Parameters!$B$3)</f>
        <v>0</v>
      </c>
      <c r="H565">
        <f>F565 - G565</f>
        <v>0</v>
      </c>
      <c r="I565">
        <f>IF(ABS(H565)&gt;0.01, "Priority 3", "")</f>
        <v>0</v>
      </c>
    </row>
    <row r="566" spans="1:9">
      <c r="A566" t="s">
        <v>1564</v>
      </c>
      <c r="B566" t="s">
        <v>998</v>
      </c>
      <c r="C566" t="s">
        <v>1468</v>
      </c>
      <c r="D566">
        <v>35.3</v>
      </c>
      <c r="E566">
        <v>28</v>
      </c>
      <c r="F566">
        <v>271.8</v>
      </c>
      <c r="G566">
        <f>MAX(ROUNDUP(D566, 0), E566) * IF(C566="COVERED", Parameters!$B$2, Parameters!$B$3)</f>
        <v>0</v>
      </c>
      <c r="H566">
        <f>F566 - G566</f>
        <v>0</v>
      </c>
      <c r="I566">
        <f>IF(ABS(H566)&gt;0.01, "Priority 3", "")</f>
        <v>0</v>
      </c>
    </row>
    <row r="567" spans="1:9">
      <c r="A567" t="s">
        <v>1565</v>
      </c>
      <c r="B567" t="s">
        <v>998</v>
      </c>
      <c r="C567" t="s">
        <v>1468</v>
      </c>
      <c r="D567">
        <v>43.8</v>
      </c>
      <c r="E567">
        <v>60</v>
      </c>
      <c r="F567">
        <v>453</v>
      </c>
      <c r="G567">
        <f>MAX(ROUNDUP(D567, 0), E567) * IF(C567="COVERED", Parameters!$B$2, Parameters!$B$3)</f>
        <v>0</v>
      </c>
      <c r="H567">
        <f>F567 - G567</f>
        <v>0</v>
      </c>
      <c r="I567">
        <f>IF(ABS(H567)&gt;0.01, "Priority 3", "")</f>
        <v>0</v>
      </c>
    </row>
    <row r="568" spans="1:9">
      <c r="A568" t="s">
        <v>1566</v>
      </c>
      <c r="B568" t="s">
        <v>998</v>
      </c>
      <c r="C568" t="s">
        <v>1468</v>
      </c>
      <c r="D568">
        <v>40.1</v>
      </c>
      <c r="E568">
        <v>24</v>
      </c>
      <c r="F568">
        <v>309.55</v>
      </c>
      <c r="G568">
        <f>MAX(ROUNDUP(D568, 0), E568) * IF(C568="COVERED", Parameters!$B$2, Parameters!$B$3)</f>
        <v>0</v>
      </c>
      <c r="H568">
        <f>F568 - G568</f>
        <v>0</v>
      </c>
      <c r="I568">
        <f>IF(ABS(H568)&gt;0.01, "Priority 3", "")</f>
        <v>0</v>
      </c>
    </row>
    <row r="569" spans="1:9">
      <c r="A569" t="s">
        <v>1567</v>
      </c>
      <c r="B569" t="s">
        <v>998</v>
      </c>
      <c r="C569" t="s">
        <v>1468</v>
      </c>
      <c r="D569">
        <v>50.2</v>
      </c>
      <c r="E569">
        <v>24</v>
      </c>
      <c r="F569">
        <v>385.05</v>
      </c>
      <c r="G569">
        <f>MAX(ROUNDUP(D569, 0), E569) * IF(C569="COVERED", Parameters!$B$2, Parameters!$B$3)</f>
        <v>0</v>
      </c>
      <c r="H569">
        <f>F569 - G569</f>
        <v>0</v>
      </c>
      <c r="I569">
        <f>IF(ABS(H569)&gt;0.01, "Priority 3", "")</f>
        <v>0</v>
      </c>
    </row>
    <row r="570" spans="1:9">
      <c r="A570" t="s">
        <v>1568</v>
      </c>
      <c r="B570" t="s">
        <v>998</v>
      </c>
      <c r="C570" t="s">
        <v>1468</v>
      </c>
      <c r="D570">
        <v>61</v>
      </c>
      <c r="E570">
        <v>24</v>
      </c>
      <c r="F570">
        <v>460.55</v>
      </c>
      <c r="G570">
        <f>MAX(ROUNDUP(D570, 0), E570) * IF(C570="COVERED", Parameters!$B$2, Parameters!$B$3)</f>
        <v>0</v>
      </c>
      <c r="H570">
        <f>F570 - G570</f>
        <v>0</v>
      </c>
      <c r="I570">
        <f>IF(ABS(H570)&gt;0.01, "Priority 3", "")</f>
        <v>0</v>
      </c>
    </row>
    <row r="571" spans="1:9">
      <c r="A571" t="s">
        <v>1569</v>
      </c>
      <c r="B571" t="s">
        <v>998</v>
      </c>
      <c r="C571" t="s">
        <v>1468</v>
      </c>
      <c r="D571">
        <v>30.5</v>
      </c>
      <c r="E571">
        <v>40</v>
      </c>
      <c r="F571">
        <v>302</v>
      </c>
      <c r="G571">
        <f>MAX(ROUNDUP(D571, 0), E571) * IF(C571="COVERED", Parameters!$B$2, Parameters!$B$3)</f>
        <v>0</v>
      </c>
      <c r="H571">
        <f>F571 - G571</f>
        <v>0</v>
      </c>
      <c r="I571">
        <f>IF(ABS(H571)&gt;0.01, "Priority 3", "")</f>
        <v>0</v>
      </c>
    </row>
    <row r="572" spans="1:9">
      <c r="A572" t="s">
        <v>1570</v>
      </c>
      <c r="B572" t="s">
        <v>998</v>
      </c>
      <c r="C572" t="s">
        <v>1468</v>
      </c>
      <c r="D572">
        <v>38.6</v>
      </c>
      <c r="E572">
        <v>24</v>
      </c>
      <c r="F572">
        <v>294.45</v>
      </c>
      <c r="G572">
        <f>MAX(ROUNDUP(D572, 0), E572) * IF(C572="COVERED", Parameters!$B$2, Parameters!$B$3)</f>
        <v>0</v>
      </c>
      <c r="H572">
        <f>F572 - G572</f>
        <v>0</v>
      </c>
      <c r="I572">
        <f>IF(ABS(H572)&gt;0.01, "Priority 3", "")</f>
        <v>0</v>
      </c>
    </row>
    <row r="573" spans="1:9">
      <c r="A573" t="s">
        <v>1571</v>
      </c>
      <c r="B573" t="s">
        <v>998</v>
      </c>
      <c r="C573" t="s">
        <v>1468</v>
      </c>
      <c r="D573">
        <v>36.8</v>
      </c>
      <c r="E573">
        <v>50</v>
      </c>
      <c r="F573">
        <v>377.5</v>
      </c>
      <c r="G573">
        <f>MAX(ROUNDUP(D573, 0), E573) * IF(C573="COVERED", Parameters!$B$2, Parameters!$B$3)</f>
        <v>0</v>
      </c>
      <c r="H573">
        <f>F573 - G573</f>
        <v>0</v>
      </c>
      <c r="I573">
        <f>IF(ABS(H573)&gt;0.01, "Priority 3", "")</f>
        <v>0</v>
      </c>
    </row>
    <row r="574" spans="1:9">
      <c r="A574" t="s">
        <v>1572</v>
      </c>
      <c r="B574" t="s">
        <v>998</v>
      </c>
      <c r="C574" t="s">
        <v>1468</v>
      </c>
      <c r="D574">
        <v>53.2</v>
      </c>
      <c r="E574">
        <v>32</v>
      </c>
      <c r="F574">
        <v>407.7</v>
      </c>
      <c r="G574">
        <f>MAX(ROUNDUP(D574, 0), E574) * IF(C574="COVERED", Parameters!$B$2, Parameters!$B$3)</f>
        <v>0</v>
      </c>
      <c r="H574">
        <f>F574 - G574</f>
        <v>0</v>
      </c>
      <c r="I574">
        <f>IF(ABS(H574)&gt;0.01, "Priority 3", "")</f>
        <v>0</v>
      </c>
    </row>
    <row r="575" spans="1:9">
      <c r="A575" t="s">
        <v>1573</v>
      </c>
      <c r="B575" t="s">
        <v>998</v>
      </c>
      <c r="C575" t="s">
        <v>1468</v>
      </c>
      <c r="D575">
        <v>26.9</v>
      </c>
      <c r="E575">
        <v>24</v>
      </c>
      <c r="F575">
        <v>203.85</v>
      </c>
      <c r="G575">
        <f>MAX(ROUNDUP(D575, 0), E575) * IF(C575="COVERED", Parameters!$B$2, Parameters!$B$3)</f>
        <v>0</v>
      </c>
      <c r="H575">
        <f>F575 - G575</f>
        <v>0</v>
      </c>
      <c r="I575">
        <f>IF(ABS(H575)&gt;0.01, "Priority 3", "")</f>
        <v>0</v>
      </c>
    </row>
    <row r="576" spans="1:9">
      <c r="A576" t="s">
        <v>1574</v>
      </c>
      <c r="B576" t="s">
        <v>998</v>
      </c>
      <c r="C576" t="s">
        <v>1468</v>
      </c>
      <c r="D576">
        <v>38.3</v>
      </c>
      <c r="E576">
        <v>50</v>
      </c>
      <c r="F576">
        <v>377.5</v>
      </c>
      <c r="G576">
        <f>MAX(ROUNDUP(D576, 0), E576) * IF(C576="COVERED", Parameters!$B$2, Parameters!$B$3)</f>
        <v>0</v>
      </c>
      <c r="H576">
        <f>F576 - G576</f>
        <v>0</v>
      </c>
      <c r="I576">
        <f>IF(ABS(H576)&gt;0.01, "Priority 3", "")</f>
        <v>0</v>
      </c>
    </row>
    <row r="577" spans="1:9">
      <c r="A577" t="s">
        <v>1575</v>
      </c>
      <c r="B577" t="s">
        <v>998</v>
      </c>
      <c r="C577" t="s">
        <v>1468</v>
      </c>
      <c r="D577">
        <v>26.5</v>
      </c>
      <c r="E577">
        <v>36</v>
      </c>
      <c r="F577">
        <v>271.8</v>
      </c>
      <c r="G577">
        <f>MAX(ROUNDUP(D577, 0), E577) * IF(C577="COVERED", Parameters!$B$2, Parameters!$B$3)</f>
        <v>0</v>
      </c>
      <c r="H577">
        <f>F577 - G577</f>
        <v>0</v>
      </c>
      <c r="I577">
        <f>IF(ABS(H577)&gt;0.01, "Priority 3", "")</f>
        <v>0</v>
      </c>
    </row>
    <row r="578" spans="1:9">
      <c r="A578" t="s">
        <v>1576</v>
      </c>
      <c r="B578" t="s">
        <v>998</v>
      </c>
      <c r="C578" t="s">
        <v>1468</v>
      </c>
      <c r="D578">
        <v>57.9</v>
      </c>
      <c r="E578">
        <v>24</v>
      </c>
      <c r="F578">
        <v>437.9</v>
      </c>
      <c r="G578">
        <f>MAX(ROUNDUP(D578, 0), E578) * IF(C578="COVERED", Parameters!$B$2, Parameters!$B$3)</f>
        <v>0</v>
      </c>
      <c r="H578">
        <f>F578 - G578</f>
        <v>0</v>
      </c>
      <c r="I578">
        <f>IF(ABS(H578)&gt;0.01, "Priority 3", "")</f>
        <v>0</v>
      </c>
    </row>
    <row r="579" spans="1:9">
      <c r="A579" t="s">
        <v>1577</v>
      </c>
      <c r="B579" t="s">
        <v>998</v>
      </c>
      <c r="C579" t="s">
        <v>1468</v>
      </c>
      <c r="D579">
        <v>19.2</v>
      </c>
      <c r="E579">
        <v>32</v>
      </c>
      <c r="F579">
        <v>241.6</v>
      </c>
      <c r="G579">
        <f>MAX(ROUNDUP(D579, 0), E579) * IF(C579="COVERED", Parameters!$B$2, Parameters!$B$3)</f>
        <v>0</v>
      </c>
      <c r="H579">
        <f>F579 - G579</f>
        <v>0</v>
      </c>
      <c r="I579">
        <f>IF(ABS(H579)&gt;0.01, "Priority 3", "")</f>
        <v>0</v>
      </c>
    </row>
    <row r="580" spans="1:9">
      <c r="A580" t="s">
        <v>1578</v>
      </c>
      <c r="B580" t="s">
        <v>998</v>
      </c>
      <c r="C580" t="s">
        <v>1468</v>
      </c>
      <c r="D580">
        <v>22.8</v>
      </c>
      <c r="E580">
        <v>24</v>
      </c>
      <c r="F580">
        <v>181.2</v>
      </c>
      <c r="G580">
        <f>MAX(ROUNDUP(D580, 0), E580) * IF(C580="COVERED", Parameters!$B$2, Parameters!$B$3)</f>
        <v>0</v>
      </c>
      <c r="H580">
        <f>F580 - G580</f>
        <v>0</v>
      </c>
      <c r="I580">
        <f>IF(ABS(H580)&gt;0.01, "Priority 3", "")</f>
        <v>0</v>
      </c>
    </row>
    <row r="581" spans="1:9">
      <c r="A581" t="s">
        <v>1579</v>
      </c>
      <c r="B581" t="s">
        <v>998</v>
      </c>
      <c r="C581" t="s">
        <v>1468</v>
      </c>
      <c r="D581">
        <v>26.9</v>
      </c>
      <c r="E581">
        <v>50</v>
      </c>
      <c r="F581">
        <v>377.5</v>
      </c>
      <c r="G581">
        <f>MAX(ROUNDUP(D581, 0), E581) * IF(C581="COVERED", Parameters!$B$2, Parameters!$B$3)</f>
        <v>0</v>
      </c>
      <c r="H581">
        <f>F581 - G581</f>
        <v>0</v>
      </c>
      <c r="I581">
        <f>IF(ABS(H581)&gt;0.01, "Priority 3", "")</f>
        <v>0</v>
      </c>
    </row>
    <row r="582" spans="1:9">
      <c r="A582" t="s">
        <v>1580</v>
      </c>
      <c r="B582" t="s">
        <v>998</v>
      </c>
      <c r="C582" t="s">
        <v>1468</v>
      </c>
      <c r="D582">
        <v>22</v>
      </c>
      <c r="E582">
        <v>24</v>
      </c>
      <c r="F582">
        <v>181.2</v>
      </c>
      <c r="G582">
        <f>MAX(ROUNDUP(D582, 0), E582) * IF(C582="COVERED", Parameters!$B$2, Parameters!$B$3)</f>
        <v>0</v>
      </c>
      <c r="H582">
        <f>F582 - G582</f>
        <v>0</v>
      </c>
      <c r="I582">
        <f>IF(ABS(H582)&gt;0.01, "Priority 3", "")</f>
        <v>0</v>
      </c>
    </row>
    <row r="583" spans="1:9">
      <c r="A583" t="s">
        <v>1581</v>
      </c>
      <c r="B583" t="s">
        <v>998</v>
      </c>
      <c r="C583" t="s">
        <v>1468</v>
      </c>
      <c r="D583">
        <v>35</v>
      </c>
      <c r="E583">
        <v>60</v>
      </c>
      <c r="F583">
        <v>453</v>
      </c>
      <c r="G583">
        <f>MAX(ROUNDUP(D583, 0), E583) * IF(C583="COVERED", Parameters!$B$2, Parameters!$B$3)</f>
        <v>0</v>
      </c>
      <c r="H583">
        <f>F583 - G583</f>
        <v>0</v>
      </c>
      <c r="I583">
        <f>IF(ABS(H583)&gt;0.01, "Priority 3", "")</f>
        <v>0</v>
      </c>
    </row>
    <row r="584" spans="1:9">
      <c r="A584" t="s">
        <v>1582</v>
      </c>
      <c r="B584" t="s">
        <v>998</v>
      </c>
      <c r="C584" t="s">
        <v>1468</v>
      </c>
      <c r="D584">
        <v>54.9</v>
      </c>
      <c r="E584">
        <v>40</v>
      </c>
      <c r="F584">
        <v>415.25</v>
      </c>
      <c r="G584">
        <f>MAX(ROUNDUP(D584, 0), E584) * IF(C584="COVERED", Parameters!$B$2, Parameters!$B$3)</f>
        <v>0</v>
      </c>
      <c r="H584">
        <f>F584 - G584</f>
        <v>0</v>
      </c>
      <c r="I584">
        <f>IF(ABS(H584)&gt;0.01, "Priority 3", "")</f>
        <v>0</v>
      </c>
    </row>
    <row r="585" spans="1:9">
      <c r="A585" t="s">
        <v>1583</v>
      </c>
      <c r="B585" t="s">
        <v>998</v>
      </c>
      <c r="C585" t="s">
        <v>1468</v>
      </c>
      <c r="D585">
        <v>53.8</v>
      </c>
      <c r="E585">
        <v>45</v>
      </c>
      <c r="F585">
        <v>407.7</v>
      </c>
      <c r="G585">
        <f>MAX(ROUNDUP(D585, 0), E585) * IF(C585="COVERED", Parameters!$B$2, Parameters!$B$3)</f>
        <v>0</v>
      </c>
      <c r="H585">
        <f>F585 - G585</f>
        <v>0</v>
      </c>
      <c r="I585">
        <f>IF(ABS(H585)&gt;0.01, "Priority 3", "")</f>
        <v>0</v>
      </c>
    </row>
    <row r="586" spans="1:9">
      <c r="A586" t="s">
        <v>1584</v>
      </c>
      <c r="B586" t="s">
        <v>998</v>
      </c>
      <c r="C586" t="s">
        <v>1468</v>
      </c>
      <c r="D586">
        <v>40</v>
      </c>
      <c r="E586">
        <v>24</v>
      </c>
      <c r="F586">
        <v>302</v>
      </c>
      <c r="G586">
        <f>MAX(ROUNDUP(D586, 0), E586) * IF(C586="COVERED", Parameters!$B$2, Parameters!$B$3)</f>
        <v>0</v>
      </c>
      <c r="H586">
        <f>F586 - G586</f>
        <v>0</v>
      </c>
      <c r="I586">
        <f>IF(ABS(H586)&gt;0.01, "Priority 3", "")</f>
        <v>0</v>
      </c>
    </row>
    <row r="587" spans="1:9">
      <c r="A587" t="s">
        <v>1585</v>
      </c>
      <c r="B587" t="s">
        <v>998</v>
      </c>
      <c r="C587" t="s">
        <v>1468</v>
      </c>
      <c r="D587">
        <v>42.7</v>
      </c>
      <c r="E587">
        <v>28</v>
      </c>
      <c r="F587">
        <v>324.65</v>
      </c>
      <c r="G587">
        <f>MAX(ROUNDUP(D587, 0), E587) * IF(C587="COVERED", Parameters!$B$2, Parameters!$B$3)</f>
        <v>0</v>
      </c>
      <c r="H587">
        <f>F587 - G587</f>
        <v>0</v>
      </c>
      <c r="I587">
        <f>IF(ABS(H587)&gt;0.01, "Priority 3", "")</f>
        <v>0</v>
      </c>
    </row>
    <row r="588" spans="1:9">
      <c r="A588" t="s">
        <v>1586</v>
      </c>
      <c r="B588" t="s">
        <v>998</v>
      </c>
      <c r="C588" t="s">
        <v>1468</v>
      </c>
      <c r="D588">
        <v>51.6</v>
      </c>
      <c r="E588">
        <v>28</v>
      </c>
      <c r="F588">
        <v>392.6</v>
      </c>
      <c r="G588">
        <f>MAX(ROUNDUP(D588, 0), E588) * IF(C588="COVERED", Parameters!$B$2, Parameters!$B$3)</f>
        <v>0</v>
      </c>
      <c r="H588">
        <f>F588 - G588</f>
        <v>0</v>
      </c>
      <c r="I588">
        <f>IF(ABS(H588)&gt;0.01, "Priority 3", "")</f>
        <v>0</v>
      </c>
    </row>
    <row r="589" spans="1:9">
      <c r="A589" t="s">
        <v>1587</v>
      </c>
      <c r="B589" t="s">
        <v>998</v>
      </c>
      <c r="C589" t="s">
        <v>1468</v>
      </c>
      <c r="D589">
        <v>50.3</v>
      </c>
      <c r="E589">
        <v>28</v>
      </c>
      <c r="F589">
        <v>385.05</v>
      </c>
      <c r="G589">
        <f>MAX(ROUNDUP(D589, 0), E589) * IF(C589="COVERED", Parameters!$B$2, Parameters!$B$3)</f>
        <v>0</v>
      </c>
      <c r="H589">
        <f>F589 - G589</f>
        <v>0</v>
      </c>
      <c r="I589">
        <f>IF(ABS(H589)&gt;0.01, "Priority 3", "")</f>
        <v>0</v>
      </c>
    </row>
    <row r="590" spans="1:9">
      <c r="A590" t="s">
        <v>1588</v>
      </c>
      <c r="B590" t="s">
        <v>998</v>
      </c>
      <c r="C590" t="s">
        <v>1468</v>
      </c>
      <c r="D590">
        <v>47</v>
      </c>
      <c r="E590">
        <v>24</v>
      </c>
      <c r="F590">
        <v>354.85</v>
      </c>
      <c r="G590">
        <f>MAX(ROUNDUP(D590, 0), E590) * IF(C590="COVERED", Parameters!$B$2, Parameters!$B$3)</f>
        <v>0</v>
      </c>
      <c r="H590">
        <f>F590 - G590</f>
        <v>0</v>
      </c>
      <c r="I590">
        <f>IF(ABS(H590)&gt;0.01, "Priority 3", "")</f>
        <v>0</v>
      </c>
    </row>
    <row r="591" spans="1:9">
      <c r="A591" t="s">
        <v>1589</v>
      </c>
      <c r="B591" t="s">
        <v>998</v>
      </c>
      <c r="C591" t="s">
        <v>1468</v>
      </c>
      <c r="D591">
        <v>53</v>
      </c>
      <c r="E591">
        <v>45</v>
      </c>
      <c r="F591">
        <v>400.15</v>
      </c>
      <c r="G591">
        <f>MAX(ROUNDUP(D591, 0), E591) * IF(C591="COVERED", Parameters!$B$2, Parameters!$B$3)</f>
        <v>0</v>
      </c>
      <c r="H591">
        <f>F591 - G591</f>
        <v>0</v>
      </c>
      <c r="I591">
        <f>IF(ABS(H591)&gt;0.01, "Priority 3", "")</f>
        <v>0</v>
      </c>
    </row>
    <row r="592" spans="1:9">
      <c r="A592" t="s">
        <v>1590</v>
      </c>
      <c r="B592" t="s">
        <v>998</v>
      </c>
      <c r="C592" t="s">
        <v>1468</v>
      </c>
      <c r="D592">
        <v>23.5</v>
      </c>
      <c r="E592">
        <v>45</v>
      </c>
      <c r="F592">
        <v>339.75</v>
      </c>
      <c r="G592">
        <f>MAX(ROUNDUP(D592, 0), E592) * IF(C592="COVERED", Parameters!$B$2, Parameters!$B$3)</f>
        <v>0</v>
      </c>
      <c r="H592">
        <f>F592 - G592</f>
        <v>0</v>
      </c>
      <c r="I592">
        <f>IF(ABS(H592)&gt;0.01, "Priority 3", "")</f>
        <v>0</v>
      </c>
    </row>
    <row r="593" spans="1:9">
      <c r="A593" t="s">
        <v>1591</v>
      </c>
      <c r="B593" t="s">
        <v>998</v>
      </c>
      <c r="C593" t="s">
        <v>1468</v>
      </c>
      <c r="D593">
        <v>42.6</v>
      </c>
      <c r="E593">
        <v>36</v>
      </c>
      <c r="F593">
        <v>324.65</v>
      </c>
      <c r="G593">
        <f>MAX(ROUNDUP(D593, 0), E593) * IF(C593="COVERED", Parameters!$B$2, Parameters!$B$3)</f>
        <v>0</v>
      </c>
      <c r="H593">
        <f>F593 - G593</f>
        <v>0</v>
      </c>
      <c r="I593">
        <f>IF(ABS(H593)&gt;0.01, "Priority 3", "")</f>
        <v>0</v>
      </c>
    </row>
    <row r="594" spans="1:9">
      <c r="A594" t="s">
        <v>1592</v>
      </c>
      <c r="B594" t="s">
        <v>998</v>
      </c>
      <c r="C594" t="s">
        <v>1468</v>
      </c>
      <c r="D594">
        <v>27</v>
      </c>
      <c r="E594">
        <v>70</v>
      </c>
      <c r="F594">
        <v>528.5</v>
      </c>
      <c r="G594">
        <f>MAX(ROUNDUP(D594, 0), E594) * IF(C594="COVERED", Parameters!$B$2, Parameters!$B$3)</f>
        <v>0</v>
      </c>
      <c r="H594">
        <f>F594 - G594</f>
        <v>0</v>
      </c>
      <c r="I594">
        <f>IF(ABS(H594)&gt;0.01, "Priority 3", "")</f>
        <v>0</v>
      </c>
    </row>
    <row r="595" spans="1:9">
      <c r="A595" t="s">
        <v>1593</v>
      </c>
      <c r="B595" t="s">
        <v>998</v>
      </c>
      <c r="C595" t="s">
        <v>1468</v>
      </c>
      <c r="D595">
        <v>27.3</v>
      </c>
      <c r="E595">
        <v>28</v>
      </c>
      <c r="F595">
        <v>211.4</v>
      </c>
      <c r="G595">
        <f>MAX(ROUNDUP(D595, 0), E595) * IF(C595="COVERED", Parameters!$B$2, Parameters!$B$3)</f>
        <v>0</v>
      </c>
      <c r="H595">
        <f>F595 - G595</f>
        <v>0</v>
      </c>
      <c r="I595">
        <f>IF(ABS(H595)&gt;0.01, "Priority 3", "")</f>
        <v>0</v>
      </c>
    </row>
    <row r="596" spans="1:9">
      <c r="A596" t="s">
        <v>1594</v>
      </c>
      <c r="B596" t="s">
        <v>998</v>
      </c>
      <c r="C596" t="s">
        <v>1468</v>
      </c>
      <c r="D596">
        <v>61.6</v>
      </c>
      <c r="E596">
        <v>80</v>
      </c>
      <c r="F596">
        <v>604</v>
      </c>
      <c r="G596">
        <f>MAX(ROUNDUP(D596, 0), E596) * IF(C596="COVERED", Parameters!$B$2, Parameters!$B$3)</f>
        <v>0</v>
      </c>
      <c r="H596">
        <f>F596 - G596</f>
        <v>0</v>
      </c>
      <c r="I596">
        <f>IF(ABS(H596)&gt;0.01, "Priority 3", "")</f>
        <v>0</v>
      </c>
    </row>
    <row r="597" spans="1:9">
      <c r="A597" t="s">
        <v>1595</v>
      </c>
      <c r="B597" t="s">
        <v>998</v>
      </c>
      <c r="C597" t="s">
        <v>1468</v>
      </c>
      <c r="D597">
        <v>61.8</v>
      </c>
      <c r="E597">
        <v>32</v>
      </c>
      <c r="F597">
        <v>468.1</v>
      </c>
      <c r="G597">
        <f>MAX(ROUNDUP(D597, 0), E597) * IF(C597="COVERED", Parameters!$B$2, Parameters!$B$3)</f>
        <v>0</v>
      </c>
      <c r="H597">
        <f>F597 - G597</f>
        <v>0</v>
      </c>
      <c r="I597">
        <f>IF(ABS(H597)&gt;0.01, "Priority 3", "")</f>
        <v>0</v>
      </c>
    </row>
    <row r="598" spans="1:9">
      <c r="A598" t="s">
        <v>1596</v>
      </c>
      <c r="B598" t="s">
        <v>998</v>
      </c>
      <c r="C598" t="s">
        <v>1468</v>
      </c>
      <c r="D598">
        <v>47.3</v>
      </c>
      <c r="E598">
        <v>60</v>
      </c>
      <c r="F598">
        <v>453</v>
      </c>
      <c r="G598">
        <f>MAX(ROUNDUP(D598, 0), E598) * IF(C598="COVERED", Parameters!$B$2, Parameters!$B$3)</f>
        <v>0</v>
      </c>
      <c r="H598">
        <f>F598 - G598</f>
        <v>0</v>
      </c>
      <c r="I598">
        <f>IF(ABS(H598)&gt;0.01, "Priority 3", "")</f>
        <v>0</v>
      </c>
    </row>
    <row r="599" spans="1:9">
      <c r="A599" t="s">
        <v>1597</v>
      </c>
      <c r="B599" t="s">
        <v>998</v>
      </c>
      <c r="C599" t="s">
        <v>1468</v>
      </c>
      <c r="D599">
        <v>24</v>
      </c>
      <c r="E599">
        <v>45</v>
      </c>
      <c r="F599">
        <v>339.75</v>
      </c>
      <c r="G599">
        <f>MAX(ROUNDUP(D599, 0), E599) * IF(C599="COVERED", Parameters!$B$2, Parameters!$B$3)</f>
        <v>0</v>
      </c>
      <c r="H599">
        <f>F599 - G599</f>
        <v>0</v>
      </c>
      <c r="I599">
        <f>IF(ABS(H599)&gt;0.01, "Priority 3", "")</f>
        <v>0</v>
      </c>
    </row>
    <row r="600" spans="1:9">
      <c r="A600" t="s">
        <v>1598</v>
      </c>
      <c r="B600" t="s">
        <v>998</v>
      </c>
      <c r="C600" t="s">
        <v>1468</v>
      </c>
      <c r="D600">
        <v>51.2</v>
      </c>
      <c r="E600">
        <v>32</v>
      </c>
      <c r="F600">
        <v>392.6</v>
      </c>
      <c r="G600">
        <f>MAX(ROUNDUP(D600, 0), E600) * IF(C600="COVERED", Parameters!$B$2, Parameters!$B$3)</f>
        <v>0</v>
      </c>
      <c r="H600">
        <f>F600 - G600</f>
        <v>0</v>
      </c>
      <c r="I600">
        <f>IF(ABS(H600)&gt;0.01, "Priority 3", "")</f>
        <v>0</v>
      </c>
    </row>
    <row r="601" spans="1:9">
      <c r="A601" t="s">
        <v>1599</v>
      </c>
      <c r="B601" t="s">
        <v>998</v>
      </c>
      <c r="C601" t="s">
        <v>1468</v>
      </c>
      <c r="D601">
        <v>44.2</v>
      </c>
      <c r="E601">
        <v>32</v>
      </c>
      <c r="F601">
        <v>339.75</v>
      </c>
      <c r="G601">
        <f>MAX(ROUNDUP(D601, 0), E601) * IF(C601="COVERED", Parameters!$B$2, Parameters!$B$3)</f>
        <v>0</v>
      </c>
      <c r="H601">
        <f>F601 - G601</f>
        <v>0</v>
      </c>
      <c r="I601">
        <f>IF(ABS(H601)&gt;0.01, "Priority 3", "")</f>
        <v>0</v>
      </c>
    </row>
    <row r="602" spans="1:9">
      <c r="A602" t="s">
        <v>1600</v>
      </c>
      <c r="B602" t="s">
        <v>998</v>
      </c>
      <c r="C602" t="s">
        <v>1468</v>
      </c>
      <c r="D602">
        <v>50.3</v>
      </c>
      <c r="E602">
        <v>40</v>
      </c>
      <c r="F602">
        <v>385.05</v>
      </c>
      <c r="G602">
        <f>MAX(ROUNDUP(D602, 0), E602) * IF(C602="COVERED", Parameters!$B$2, Parameters!$B$3)</f>
        <v>0</v>
      </c>
      <c r="H602">
        <f>F602 - G602</f>
        <v>0</v>
      </c>
      <c r="I602">
        <f>IF(ABS(H602)&gt;0.01, "Priority 3", "")</f>
        <v>0</v>
      </c>
    </row>
    <row r="603" spans="1:9">
      <c r="A603" t="s">
        <v>1601</v>
      </c>
      <c r="B603" t="s">
        <v>998</v>
      </c>
      <c r="C603" t="s">
        <v>1468</v>
      </c>
      <c r="D603">
        <v>42.5</v>
      </c>
      <c r="E603">
        <v>36</v>
      </c>
      <c r="F603">
        <v>324.65</v>
      </c>
      <c r="G603">
        <f>MAX(ROUNDUP(D603, 0), E603) * IF(C603="COVERED", Parameters!$B$2, Parameters!$B$3)</f>
        <v>0</v>
      </c>
      <c r="H603">
        <f>F603 - G603</f>
        <v>0</v>
      </c>
      <c r="I603">
        <f>IF(ABS(H603)&gt;0.01, "Priority 3", "")</f>
        <v>0</v>
      </c>
    </row>
    <row r="604" spans="1:9">
      <c r="A604" t="s">
        <v>1602</v>
      </c>
      <c r="B604" t="s">
        <v>998</v>
      </c>
      <c r="C604" t="s">
        <v>1468</v>
      </c>
      <c r="D604">
        <v>44.2</v>
      </c>
      <c r="E604">
        <v>50</v>
      </c>
      <c r="F604">
        <v>377.5</v>
      </c>
      <c r="G604">
        <f>MAX(ROUNDUP(D604, 0), E604) * IF(C604="COVERED", Parameters!$B$2, Parameters!$B$3)</f>
        <v>0</v>
      </c>
      <c r="H604">
        <f>F604 - G604</f>
        <v>0</v>
      </c>
      <c r="I604">
        <f>IF(ABS(H604)&gt;0.01, "Priority 3", "")</f>
        <v>0</v>
      </c>
    </row>
    <row r="605" spans="1:9">
      <c r="A605" t="s">
        <v>1603</v>
      </c>
      <c r="B605" t="s">
        <v>998</v>
      </c>
      <c r="C605" t="s">
        <v>1468</v>
      </c>
      <c r="D605">
        <v>23.6</v>
      </c>
      <c r="E605">
        <v>28</v>
      </c>
      <c r="F605">
        <v>211.4</v>
      </c>
      <c r="G605">
        <f>MAX(ROUNDUP(D605, 0), E605) * IF(C605="COVERED", Parameters!$B$2, Parameters!$B$3)</f>
        <v>0</v>
      </c>
      <c r="H605">
        <f>F605 - G605</f>
        <v>0</v>
      </c>
      <c r="I605">
        <f>IF(ABS(H605)&gt;0.01, "Priority 3", "")</f>
        <v>0</v>
      </c>
    </row>
    <row r="606" spans="1:9">
      <c r="A606" t="s">
        <v>1604</v>
      </c>
      <c r="B606" t="s">
        <v>998</v>
      </c>
      <c r="C606" t="s">
        <v>1468</v>
      </c>
      <c r="D606">
        <v>27.6</v>
      </c>
      <c r="E606">
        <v>24</v>
      </c>
      <c r="F606">
        <v>211.4</v>
      </c>
      <c r="G606">
        <f>MAX(ROUNDUP(D606, 0), E606) * IF(C606="COVERED", Parameters!$B$2, Parameters!$B$3)</f>
        <v>0</v>
      </c>
      <c r="H606">
        <f>F606 - G606</f>
        <v>0</v>
      </c>
      <c r="I606">
        <f>IF(ABS(H606)&gt;0.01, "Priority 3", "")</f>
        <v>0</v>
      </c>
    </row>
    <row r="607" spans="1:9">
      <c r="A607" t="s">
        <v>1605</v>
      </c>
      <c r="B607" t="s">
        <v>998</v>
      </c>
      <c r="C607" t="s">
        <v>1468</v>
      </c>
      <c r="D607">
        <v>50.6</v>
      </c>
      <c r="E607">
        <v>32</v>
      </c>
      <c r="F607">
        <v>385.05</v>
      </c>
      <c r="G607">
        <f>MAX(ROUNDUP(D607, 0), E607) * IF(C607="COVERED", Parameters!$B$2, Parameters!$B$3)</f>
        <v>0</v>
      </c>
      <c r="H607">
        <f>F607 - G607</f>
        <v>0</v>
      </c>
      <c r="I607">
        <f>IF(ABS(H607)&gt;0.01, "Priority 3", "")</f>
        <v>0</v>
      </c>
    </row>
    <row r="608" spans="1:9">
      <c r="A608" t="s">
        <v>1606</v>
      </c>
      <c r="B608" t="s">
        <v>998</v>
      </c>
      <c r="C608" t="s">
        <v>1468</v>
      </c>
      <c r="D608">
        <v>32.3</v>
      </c>
      <c r="E608">
        <v>32</v>
      </c>
      <c r="F608">
        <v>249.15</v>
      </c>
      <c r="G608">
        <f>MAX(ROUNDUP(D608, 0), E608) * IF(C608="COVERED", Parameters!$B$2, Parameters!$B$3)</f>
        <v>0</v>
      </c>
      <c r="H608">
        <f>F608 - G608</f>
        <v>0</v>
      </c>
      <c r="I608">
        <f>IF(ABS(H608)&gt;0.01, "Priority 3", "")</f>
        <v>0</v>
      </c>
    </row>
    <row r="609" spans="1:9">
      <c r="A609" t="s">
        <v>1607</v>
      </c>
      <c r="B609" t="s">
        <v>998</v>
      </c>
      <c r="C609" t="s">
        <v>1468</v>
      </c>
      <c r="D609">
        <v>59.1</v>
      </c>
      <c r="E609">
        <v>50</v>
      </c>
      <c r="F609">
        <v>453</v>
      </c>
      <c r="G609">
        <f>MAX(ROUNDUP(D609, 0), E609) * IF(C609="COVERED", Parameters!$B$2, Parameters!$B$3)</f>
        <v>0</v>
      </c>
      <c r="H609">
        <f>F609 - G609</f>
        <v>0</v>
      </c>
      <c r="I609">
        <f>IF(ABS(H609)&gt;0.01, "Priority 3", "")</f>
        <v>0</v>
      </c>
    </row>
    <row r="610" spans="1:9">
      <c r="A610" t="s">
        <v>1608</v>
      </c>
      <c r="B610" t="s">
        <v>998</v>
      </c>
      <c r="C610" t="s">
        <v>1468</v>
      </c>
      <c r="D610">
        <v>49.1</v>
      </c>
      <c r="E610">
        <v>45</v>
      </c>
      <c r="F610">
        <v>377.5</v>
      </c>
      <c r="G610">
        <f>MAX(ROUNDUP(D610, 0), E610) * IF(C610="COVERED", Parameters!$B$2, Parameters!$B$3)</f>
        <v>0</v>
      </c>
      <c r="H610">
        <f>F610 - G610</f>
        <v>0</v>
      </c>
      <c r="I610">
        <f>IF(ABS(H610)&gt;0.01, "Priority 3", "")</f>
        <v>0</v>
      </c>
    </row>
    <row r="611" spans="1:9">
      <c r="A611" t="s">
        <v>1609</v>
      </c>
      <c r="B611" t="s">
        <v>998</v>
      </c>
      <c r="C611" t="s">
        <v>1468</v>
      </c>
      <c r="D611">
        <v>21.9</v>
      </c>
      <c r="E611">
        <v>28</v>
      </c>
      <c r="F611">
        <v>211.4</v>
      </c>
      <c r="G611">
        <f>MAX(ROUNDUP(D611, 0), E611) * IF(C611="COVERED", Parameters!$B$2, Parameters!$B$3)</f>
        <v>0</v>
      </c>
      <c r="H611">
        <f>F611 - G611</f>
        <v>0</v>
      </c>
      <c r="I611">
        <f>IF(ABS(H611)&gt;0.01, "Priority 3", "")</f>
        <v>0</v>
      </c>
    </row>
    <row r="612" spans="1:9">
      <c r="A612" t="s">
        <v>1610</v>
      </c>
      <c r="B612" t="s">
        <v>998</v>
      </c>
      <c r="C612" t="s">
        <v>1468</v>
      </c>
      <c r="D612">
        <v>39.5</v>
      </c>
      <c r="E612">
        <v>36</v>
      </c>
      <c r="F612">
        <v>302</v>
      </c>
      <c r="G612">
        <f>MAX(ROUNDUP(D612, 0), E612) * IF(C612="COVERED", Parameters!$B$2, Parameters!$B$3)</f>
        <v>0</v>
      </c>
      <c r="H612">
        <f>F612 - G612</f>
        <v>0</v>
      </c>
      <c r="I612">
        <f>IF(ABS(H612)&gt;0.01, "Priority 3", "")</f>
        <v>0</v>
      </c>
    </row>
    <row r="613" spans="1:9">
      <c r="A613" t="s">
        <v>1611</v>
      </c>
      <c r="B613" t="s">
        <v>998</v>
      </c>
      <c r="C613" t="s">
        <v>1468</v>
      </c>
      <c r="D613">
        <v>35.8</v>
      </c>
      <c r="E613">
        <v>60</v>
      </c>
      <c r="F613">
        <v>453</v>
      </c>
      <c r="G613">
        <f>MAX(ROUNDUP(D613, 0), E613) * IF(C613="COVERED", Parameters!$B$2, Parameters!$B$3)</f>
        <v>0</v>
      </c>
      <c r="H613">
        <f>F613 - G613</f>
        <v>0</v>
      </c>
      <c r="I613">
        <f>IF(ABS(H613)&gt;0.01, "Priority 3", "")</f>
        <v>0</v>
      </c>
    </row>
    <row r="614" spans="1:9">
      <c r="A614" t="s">
        <v>1612</v>
      </c>
      <c r="B614" t="s">
        <v>998</v>
      </c>
      <c r="C614" t="s">
        <v>1468</v>
      </c>
      <c r="D614">
        <v>51.1</v>
      </c>
      <c r="E614">
        <v>36</v>
      </c>
      <c r="F614">
        <v>392.6</v>
      </c>
      <c r="G614">
        <f>MAX(ROUNDUP(D614, 0), E614) * IF(C614="COVERED", Parameters!$B$2, Parameters!$B$3)</f>
        <v>0</v>
      </c>
      <c r="H614">
        <f>F614 - G614</f>
        <v>0</v>
      </c>
      <c r="I614">
        <f>IF(ABS(H614)&gt;0.01, "Priority 3", "")</f>
        <v>0</v>
      </c>
    </row>
    <row r="615" spans="1:9">
      <c r="A615" t="s">
        <v>1613</v>
      </c>
      <c r="B615" t="s">
        <v>998</v>
      </c>
      <c r="C615" t="s">
        <v>1468</v>
      </c>
      <c r="D615">
        <v>29.3</v>
      </c>
      <c r="E615">
        <v>40</v>
      </c>
      <c r="F615">
        <v>302</v>
      </c>
      <c r="G615">
        <f>MAX(ROUNDUP(D615, 0), E615) * IF(C615="COVERED", Parameters!$B$2, Parameters!$B$3)</f>
        <v>0</v>
      </c>
      <c r="H615">
        <f>F615 - G615</f>
        <v>0</v>
      </c>
      <c r="I615">
        <f>IF(ABS(H615)&gt;0.01, "Priority 3", "")</f>
        <v>0</v>
      </c>
    </row>
    <row r="616" spans="1:9">
      <c r="A616" t="s">
        <v>1614</v>
      </c>
      <c r="B616" t="s">
        <v>998</v>
      </c>
      <c r="C616" t="s">
        <v>1468</v>
      </c>
      <c r="D616">
        <v>46.9</v>
      </c>
      <c r="E616">
        <v>24</v>
      </c>
      <c r="F616">
        <v>354.85</v>
      </c>
      <c r="G616">
        <f>MAX(ROUNDUP(D616, 0), E616) * IF(C616="COVERED", Parameters!$B$2, Parameters!$B$3)</f>
        <v>0</v>
      </c>
      <c r="H616">
        <f>F616 - G616</f>
        <v>0</v>
      </c>
      <c r="I616">
        <f>IF(ABS(H616)&gt;0.01, "Priority 3", "")</f>
        <v>0</v>
      </c>
    </row>
    <row r="617" spans="1:9">
      <c r="A617" t="s">
        <v>1615</v>
      </c>
      <c r="B617" t="s">
        <v>998</v>
      </c>
      <c r="C617" t="s">
        <v>1468</v>
      </c>
      <c r="D617">
        <v>54.4</v>
      </c>
      <c r="E617">
        <v>32</v>
      </c>
      <c r="F617">
        <v>415.25</v>
      </c>
      <c r="G617">
        <f>MAX(ROUNDUP(D617, 0), E617) * IF(C617="COVERED", Parameters!$B$2, Parameters!$B$3)</f>
        <v>0</v>
      </c>
      <c r="H617">
        <f>F617 - G617</f>
        <v>0</v>
      </c>
      <c r="I617">
        <f>IF(ABS(H617)&gt;0.01, "Priority 3", "")</f>
        <v>0</v>
      </c>
    </row>
    <row r="618" spans="1:9">
      <c r="A618" t="s">
        <v>1616</v>
      </c>
      <c r="B618" t="s">
        <v>998</v>
      </c>
      <c r="C618" t="s">
        <v>1468</v>
      </c>
      <c r="D618">
        <v>53.3</v>
      </c>
      <c r="E618">
        <v>50</v>
      </c>
      <c r="F618">
        <v>407.7</v>
      </c>
      <c r="G618">
        <f>MAX(ROUNDUP(D618, 0), E618) * IF(C618="COVERED", Parameters!$B$2, Parameters!$B$3)</f>
        <v>0</v>
      </c>
      <c r="H618">
        <f>F618 - G618</f>
        <v>0</v>
      </c>
      <c r="I618">
        <f>IF(ABS(H618)&gt;0.01, "Priority 3", "")</f>
        <v>0</v>
      </c>
    </row>
    <row r="619" spans="1:9">
      <c r="A619" t="s">
        <v>1617</v>
      </c>
      <c r="B619" t="s">
        <v>998</v>
      </c>
      <c r="C619" t="s">
        <v>1468</v>
      </c>
      <c r="D619">
        <v>35.8</v>
      </c>
      <c r="E619">
        <v>70</v>
      </c>
      <c r="F619">
        <v>528.5</v>
      </c>
      <c r="G619">
        <f>MAX(ROUNDUP(D619, 0), E619) * IF(C619="COVERED", Parameters!$B$2, Parameters!$B$3)</f>
        <v>0</v>
      </c>
      <c r="H619">
        <f>F619 - G619</f>
        <v>0</v>
      </c>
      <c r="I619">
        <f>IF(ABS(H619)&gt;0.01, "Priority 3", "")</f>
        <v>0</v>
      </c>
    </row>
    <row r="620" spans="1:9">
      <c r="A620" t="s">
        <v>1618</v>
      </c>
      <c r="B620" t="s">
        <v>998</v>
      </c>
      <c r="C620" t="s">
        <v>1468</v>
      </c>
      <c r="D620">
        <v>22.3</v>
      </c>
      <c r="E620">
        <v>45</v>
      </c>
      <c r="F620">
        <v>339.75</v>
      </c>
      <c r="G620">
        <f>MAX(ROUNDUP(D620, 0), E620) * IF(C620="COVERED", Parameters!$B$2, Parameters!$B$3)</f>
        <v>0</v>
      </c>
      <c r="H620">
        <f>F620 - G620</f>
        <v>0</v>
      </c>
      <c r="I620">
        <f>IF(ABS(H620)&gt;0.01, "Priority 3", "")</f>
        <v>0</v>
      </c>
    </row>
    <row r="621" spans="1:9">
      <c r="A621" t="s">
        <v>1619</v>
      </c>
      <c r="B621" t="s">
        <v>998</v>
      </c>
      <c r="C621" t="s">
        <v>1468</v>
      </c>
      <c r="D621">
        <v>53.3</v>
      </c>
      <c r="E621">
        <v>70</v>
      </c>
      <c r="F621">
        <v>528.5</v>
      </c>
      <c r="G621">
        <f>MAX(ROUNDUP(D621, 0), E621) * IF(C621="COVERED", Parameters!$B$2, Parameters!$B$3)</f>
        <v>0</v>
      </c>
      <c r="H621">
        <f>F621 - G621</f>
        <v>0</v>
      </c>
      <c r="I621">
        <f>IF(ABS(H621)&gt;0.01, "Priority 3", "")</f>
        <v>0</v>
      </c>
    </row>
    <row r="622" spans="1:9">
      <c r="A622" t="s">
        <v>1620</v>
      </c>
      <c r="B622" t="s">
        <v>998</v>
      </c>
      <c r="C622" t="s">
        <v>1468</v>
      </c>
      <c r="D622">
        <v>56.4</v>
      </c>
      <c r="E622">
        <v>28</v>
      </c>
      <c r="F622">
        <v>430.35</v>
      </c>
      <c r="G622">
        <f>MAX(ROUNDUP(D622, 0), E622) * IF(C622="COVERED", Parameters!$B$2, Parameters!$B$3)</f>
        <v>0</v>
      </c>
      <c r="H622">
        <f>F622 - G622</f>
        <v>0</v>
      </c>
      <c r="I622">
        <f>IF(ABS(H622)&gt;0.01, "Priority 3", "")</f>
        <v>0</v>
      </c>
    </row>
    <row r="623" spans="1:9">
      <c r="A623" t="s">
        <v>1621</v>
      </c>
      <c r="B623" t="s">
        <v>998</v>
      </c>
      <c r="C623" t="s">
        <v>1468</v>
      </c>
      <c r="D623">
        <v>22.4</v>
      </c>
      <c r="E623">
        <v>32</v>
      </c>
      <c r="F623">
        <v>241.6</v>
      </c>
      <c r="G623">
        <f>MAX(ROUNDUP(D623, 0), E623) * IF(C623="COVERED", Parameters!$B$2, Parameters!$B$3)</f>
        <v>0</v>
      </c>
      <c r="H623">
        <f>F623 - G623</f>
        <v>0</v>
      </c>
      <c r="I623">
        <f>IF(ABS(H623)&gt;0.01, "Priority 3", "")</f>
        <v>0</v>
      </c>
    </row>
    <row r="624" spans="1:9">
      <c r="A624" t="s">
        <v>1622</v>
      </c>
      <c r="B624" t="s">
        <v>998</v>
      </c>
      <c r="C624" t="s">
        <v>1468</v>
      </c>
      <c r="D624">
        <v>59</v>
      </c>
      <c r="E624">
        <v>28</v>
      </c>
      <c r="F624">
        <v>445.45</v>
      </c>
      <c r="G624">
        <f>MAX(ROUNDUP(D624, 0), E624) * IF(C624="COVERED", Parameters!$B$2, Parameters!$B$3)</f>
        <v>0</v>
      </c>
      <c r="H624">
        <f>F624 - G624</f>
        <v>0</v>
      </c>
      <c r="I624">
        <f>IF(ABS(H624)&gt;0.01, "Priority 3", "")</f>
        <v>0</v>
      </c>
    </row>
    <row r="625" spans="1:9">
      <c r="A625" t="s">
        <v>1623</v>
      </c>
      <c r="B625" t="s">
        <v>998</v>
      </c>
      <c r="C625" t="s">
        <v>1468</v>
      </c>
      <c r="D625">
        <v>33.5</v>
      </c>
      <c r="E625">
        <v>36</v>
      </c>
      <c r="F625">
        <v>271.8</v>
      </c>
      <c r="G625">
        <f>MAX(ROUNDUP(D625, 0), E625) * IF(C625="COVERED", Parameters!$B$2, Parameters!$B$3)</f>
        <v>0</v>
      </c>
      <c r="H625">
        <f>F625 - G625</f>
        <v>0</v>
      </c>
      <c r="I625">
        <f>IF(ABS(H625)&gt;0.01, "Priority 3", "")</f>
        <v>0</v>
      </c>
    </row>
    <row r="626" spans="1:9">
      <c r="A626" t="s">
        <v>1624</v>
      </c>
      <c r="B626" t="s">
        <v>998</v>
      </c>
      <c r="C626" t="s">
        <v>1468</v>
      </c>
      <c r="D626">
        <v>29.3</v>
      </c>
      <c r="E626">
        <v>28</v>
      </c>
      <c r="F626">
        <v>226.5</v>
      </c>
      <c r="G626">
        <f>MAX(ROUNDUP(D626, 0), E626) * IF(C626="COVERED", Parameters!$B$2, Parameters!$B$3)</f>
        <v>0</v>
      </c>
      <c r="H626">
        <f>F626 - G626</f>
        <v>0</v>
      </c>
      <c r="I626">
        <f>IF(ABS(H626)&gt;0.01, "Priority 3", "")</f>
        <v>0</v>
      </c>
    </row>
    <row r="627" spans="1:9">
      <c r="A627" t="s">
        <v>1625</v>
      </c>
      <c r="B627" t="s">
        <v>998</v>
      </c>
      <c r="C627" t="s">
        <v>1468</v>
      </c>
      <c r="D627">
        <v>49.7</v>
      </c>
      <c r="E627">
        <v>80</v>
      </c>
      <c r="F627">
        <v>604</v>
      </c>
      <c r="G627">
        <f>MAX(ROUNDUP(D627, 0), E627) * IF(C627="COVERED", Parameters!$B$2, Parameters!$B$3)</f>
        <v>0</v>
      </c>
      <c r="H627">
        <f>F627 - G627</f>
        <v>0</v>
      </c>
      <c r="I627">
        <f>IF(ABS(H627)&gt;0.01, "Priority 3", "")</f>
        <v>0</v>
      </c>
    </row>
    <row r="628" spans="1:9">
      <c r="A628" t="s">
        <v>1626</v>
      </c>
      <c r="B628" t="s">
        <v>998</v>
      </c>
      <c r="C628" t="s">
        <v>1468</v>
      </c>
      <c r="D628">
        <v>58.3</v>
      </c>
      <c r="E628">
        <v>70</v>
      </c>
      <c r="F628">
        <v>528.5</v>
      </c>
      <c r="G628">
        <f>MAX(ROUNDUP(D628, 0), E628) * IF(C628="COVERED", Parameters!$B$2, Parameters!$B$3)</f>
        <v>0</v>
      </c>
      <c r="H628">
        <f>F628 - G628</f>
        <v>0</v>
      </c>
      <c r="I628">
        <f>IF(ABS(H628)&gt;0.01, "Priority 3", "")</f>
        <v>0</v>
      </c>
    </row>
    <row r="629" spans="1:9">
      <c r="A629" t="s">
        <v>1627</v>
      </c>
      <c r="B629" t="s">
        <v>998</v>
      </c>
      <c r="C629" t="s">
        <v>1468</v>
      </c>
      <c r="D629">
        <v>26.3</v>
      </c>
      <c r="E629">
        <v>28</v>
      </c>
      <c r="F629">
        <v>211.4</v>
      </c>
      <c r="G629">
        <f>MAX(ROUNDUP(D629, 0), E629) * IF(C629="COVERED", Parameters!$B$2, Parameters!$B$3)</f>
        <v>0</v>
      </c>
      <c r="H629">
        <f>F629 - G629</f>
        <v>0</v>
      </c>
      <c r="I629">
        <f>IF(ABS(H629)&gt;0.01, "Priority 3", "")</f>
        <v>0</v>
      </c>
    </row>
    <row r="630" spans="1:9">
      <c r="A630" t="s">
        <v>1628</v>
      </c>
      <c r="B630" t="s">
        <v>998</v>
      </c>
      <c r="C630" t="s">
        <v>1468</v>
      </c>
      <c r="D630">
        <v>61</v>
      </c>
      <c r="E630">
        <v>70</v>
      </c>
      <c r="F630">
        <v>528.5</v>
      </c>
      <c r="G630">
        <f>MAX(ROUNDUP(D630, 0), E630) * IF(C630="COVERED", Parameters!$B$2, Parameters!$B$3)</f>
        <v>0</v>
      </c>
      <c r="H630">
        <f>F630 - G630</f>
        <v>0</v>
      </c>
      <c r="I630">
        <f>IF(ABS(H630)&gt;0.01, "Priority 3", "")</f>
        <v>0</v>
      </c>
    </row>
    <row r="631" spans="1:9">
      <c r="A631" t="s">
        <v>1629</v>
      </c>
      <c r="B631" t="s">
        <v>998</v>
      </c>
      <c r="C631" t="s">
        <v>1468</v>
      </c>
      <c r="D631">
        <v>26.4</v>
      </c>
      <c r="E631">
        <v>28</v>
      </c>
      <c r="F631">
        <v>211.4</v>
      </c>
      <c r="G631">
        <f>MAX(ROUNDUP(D631, 0), E631) * IF(C631="COVERED", Parameters!$B$2, Parameters!$B$3)</f>
        <v>0</v>
      </c>
      <c r="H631">
        <f>F631 - G631</f>
        <v>0</v>
      </c>
      <c r="I631">
        <f>IF(ABS(H631)&gt;0.01, "Priority 3", "")</f>
        <v>0</v>
      </c>
    </row>
    <row r="632" spans="1:9">
      <c r="A632" t="s">
        <v>1630</v>
      </c>
      <c r="B632" t="s">
        <v>998</v>
      </c>
      <c r="C632" t="s">
        <v>1468</v>
      </c>
      <c r="D632">
        <v>54.3</v>
      </c>
      <c r="E632">
        <v>45</v>
      </c>
      <c r="F632">
        <v>415.25</v>
      </c>
      <c r="G632">
        <f>MAX(ROUNDUP(D632, 0), E632) * IF(C632="COVERED", Parameters!$B$2, Parameters!$B$3)</f>
        <v>0</v>
      </c>
      <c r="H632">
        <f>F632 - G632</f>
        <v>0</v>
      </c>
      <c r="I632">
        <f>IF(ABS(H632)&gt;0.01, "Priority 3", "")</f>
        <v>0</v>
      </c>
    </row>
    <row r="633" spans="1:9">
      <c r="A633" t="s">
        <v>1631</v>
      </c>
      <c r="B633" t="s">
        <v>998</v>
      </c>
      <c r="C633" t="s">
        <v>1468</v>
      </c>
      <c r="D633">
        <v>30.1</v>
      </c>
      <c r="E633">
        <v>40</v>
      </c>
      <c r="F633">
        <v>302</v>
      </c>
      <c r="G633">
        <f>MAX(ROUNDUP(D633, 0), E633) * IF(C633="COVERED", Parameters!$B$2, Parameters!$B$3)</f>
        <v>0</v>
      </c>
      <c r="H633">
        <f>F633 - G633</f>
        <v>0</v>
      </c>
      <c r="I633">
        <f>IF(ABS(H633)&gt;0.01, "Priority 3", "")</f>
        <v>0</v>
      </c>
    </row>
    <row r="634" spans="1:9">
      <c r="A634" t="s">
        <v>1632</v>
      </c>
      <c r="B634" t="s">
        <v>998</v>
      </c>
      <c r="C634" t="s">
        <v>1468</v>
      </c>
      <c r="D634">
        <v>41.7</v>
      </c>
      <c r="E634">
        <v>50</v>
      </c>
      <c r="F634">
        <v>377.5</v>
      </c>
      <c r="G634">
        <f>MAX(ROUNDUP(D634, 0), E634) * IF(C634="COVERED", Parameters!$B$2, Parameters!$B$3)</f>
        <v>0</v>
      </c>
      <c r="H634">
        <f>F634 - G634</f>
        <v>0</v>
      </c>
      <c r="I634">
        <f>IF(ABS(H634)&gt;0.01, "Priority 3", "")</f>
        <v>0</v>
      </c>
    </row>
    <row r="635" spans="1:9">
      <c r="A635" t="s">
        <v>1633</v>
      </c>
      <c r="B635" t="s">
        <v>998</v>
      </c>
      <c r="C635" t="s">
        <v>1468</v>
      </c>
      <c r="D635">
        <v>39.4</v>
      </c>
      <c r="E635">
        <v>80</v>
      </c>
      <c r="F635">
        <v>604</v>
      </c>
      <c r="G635">
        <f>MAX(ROUNDUP(D635, 0), E635) * IF(C635="COVERED", Parameters!$B$2, Parameters!$B$3)</f>
        <v>0</v>
      </c>
      <c r="H635">
        <f>F635 - G635</f>
        <v>0</v>
      </c>
      <c r="I635">
        <f>IF(ABS(H635)&gt;0.01, "Priority 3", "")</f>
        <v>0</v>
      </c>
    </row>
    <row r="636" spans="1:9">
      <c r="A636" t="s">
        <v>1634</v>
      </c>
      <c r="B636" t="s">
        <v>998</v>
      </c>
      <c r="C636" t="s">
        <v>1468</v>
      </c>
      <c r="D636">
        <v>35.5</v>
      </c>
      <c r="E636">
        <v>24</v>
      </c>
      <c r="F636">
        <v>271.8</v>
      </c>
      <c r="G636">
        <f>MAX(ROUNDUP(D636, 0), E636) * IF(C636="COVERED", Parameters!$B$2, Parameters!$B$3)</f>
        <v>0</v>
      </c>
      <c r="H636">
        <f>F636 - G636</f>
        <v>0</v>
      </c>
      <c r="I636">
        <f>IF(ABS(H636)&gt;0.01, "Priority 3", "")</f>
        <v>0</v>
      </c>
    </row>
    <row r="637" spans="1:9">
      <c r="A637" t="s">
        <v>1635</v>
      </c>
      <c r="B637" t="s">
        <v>998</v>
      </c>
      <c r="C637" t="s">
        <v>1468</v>
      </c>
      <c r="D637">
        <v>54.1</v>
      </c>
      <c r="E637">
        <v>32</v>
      </c>
      <c r="F637">
        <v>415.25</v>
      </c>
      <c r="G637">
        <f>MAX(ROUNDUP(D637, 0), E637) * IF(C637="COVERED", Parameters!$B$2, Parameters!$B$3)</f>
        <v>0</v>
      </c>
      <c r="H637">
        <f>F637 - G637</f>
        <v>0</v>
      </c>
      <c r="I637">
        <f>IF(ABS(H637)&gt;0.01, "Priority 3", "")</f>
        <v>0</v>
      </c>
    </row>
    <row r="638" spans="1:9">
      <c r="A638" t="s">
        <v>1636</v>
      </c>
      <c r="B638" t="s">
        <v>998</v>
      </c>
      <c r="C638" t="s">
        <v>1468</v>
      </c>
      <c r="D638">
        <v>35</v>
      </c>
      <c r="E638">
        <v>24</v>
      </c>
      <c r="F638">
        <v>264.25</v>
      </c>
      <c r="G638">
        <f>MAX(ROUNDUP(D638, 0), E638) * IF(C638="COVERED", Parameters!$B$2, Parameters!$B$3)</f>
        <v>0</v>
      </c>
      <c r="H638">
        <f>F638 - G638</f>
        <v>0</v>
      </c>
      <c r="I638">
        <f>IF(ABS(H638)&gt;0.01, "Priority 3", "")</f>
        <v>0</v>
      </c>
    </row>
    <row r="639" spans="1:9">
      <c r="A639" t="s">
        <v>1637</v>
      </c>
      <c r="B639" t="s">
        <v>998</v>
      </c>
      <c r="C639" t="s">
        <v>1468</v>
      </c>
      <c r="D639">
        <v>28.5</v>
      </c>
      <c r="E639">
        <v>40</v>
      </c>
      <c r="F639">
        <v>302</v>
      </c>
      <c r="G639">
        <f>MAX(ROUNDUP(D639, 0), E639) * IF(C639="COVERED", Parameters!$B$2, Parameters!$B$3)</f>
        <v>0</v>
      </c>
      <c r="H639">
        <f>F639 - G639</f>
        <v>0</v>
      </c>
      <c r="I639">
        <f>IF(ABS(H639)&gt;0.01, "Priority 3", "")</f>
        <v>0</v>
      </c>
    </row>
    <row r="640" spans="1:9">
      <c r="A640" t="s">
        <v>1638</v>
      </c>
      <c r="B640" t="s">
        <v>998</v>
      </c>
      <c r="C640" t="s">
        <v>1468</v>
      </c>
      <c r="D640">
        <v>49.9</v>
      </c>
      <c r="E640">
        <v>60</v>
      </c>
      <c r="F640">
        <v>453</v>
      </c>
      <c r="G640">
        <f>MAX(ROUNDUP(D640, 0), E640) * IF(C640="COVERED", Parameters!$B$2, Parameters!$B$3)</f>
        <v>0</v>
      </c>
      <c r="H640">
        <f>F640 - G640</f>
        <v>0</v>
      </c>
      <c r="I640">
        <f>IF(ABS(H640)&gt;0.01, "Priority 3", "")</f>
        <v>0</v>
      </c>
    </row>
    <row r="641" spans="1:9">
      <c r="A641" t="s">
        <v>1639</v>
      </c>
      <c r="B641" t="s">
        <v>998</v>
      </c>
      <c r="C641" t="s">
        <v>1468</v>
      </c>
      <c r="D641">
        <v>54.2</v>
      </c>
      <c r="E641">
        <v>32</v>
      </c>
      <c r="F641">
        <v>415.25</v>
      </c>
      <c r="G641">
        <f>MAX(ROUNDUP(D641, 0), E641) * IF(C641="COVERED", Parameters!$B$2, Parameters!$B$3)</f>
        <v>0</v>
      </c>
      <c r="H641">
        <f>F641 - G641</f>
        <v>0</v>
      </c>
      <c r="I641">
        <f>IF(ABS(H641)&gt;0.01, "Priority 3", "")</f>
        <v>0</v>
      </c>
    </row>
    <row r="642" spans="1:9">
      <c r="A642" t="s">
        <v>1640</v>
      </c>
      <c r="B642" t="s">
        <v>998</v>
      </c>
      <c r="C642" t="s">
        <v>1468</v>
      </c>
      <c r="D642">
        <v>37.9</v>
      </c>
      <c r="E642">
        <v>28</v>
      </c>
      <c r="F642">
        <v>286.9</v>
      </c>
      <c r="G642">
        <f>MAX(ROUNDUP(D642, 0), E642) * IF(C642="COVERED", Parameters!$B$2, Parameters!$B$3)</f>
        <v>0</v>
      </c>
      <c r="H642">
        <f>F642 - G642</f>
        <v>0</v>
      </c>
      <c r="I642">
        <f>IF(ABS(H642)&gt;0.01, "Priority 3", "")</f>
        <v>0</v>
      </c>
    </row>
    <row r="643" spans="1:9">
      <c r="A643" t="s">
        <v>1641</v>
      </c>
      <c r="B643" t="s">
        <v>998</v>
      </c>
      <c r="C643" t="s">
        <v>1468</v>
      </c>
      <c r="D643">
        <v>46.8</v>
      </c>
      <c r="E643">
        <v>80</v>
      </c>
      <c r="F643">
        <v>604</v>
      </c>
      <c r="G643">
        <f>MAX(ROUNDUP(D643, 0), E643) * IF(C643="COVERED", Parameters!$B$2, Parameters!$B$3)</f>
        <v>0</v>
      </c>
      <c r="H643">
        <f>F643 - G643</f>
        <v>0</v>
      </c>
      <c r="I643">
        <f>IF(ABS(H643)&gt;0.01, "Priority 3", "")</f>
        <v>0</v>
      </c>
    </row>
    <row r="644" spans="1:9">
      <c r="A644" t="s">
        <v>1642</v>
      </c>
      <c r="B644" t="s">
        <v>998</v>
      </c>
      <c r="C644" t="s">
        <v>1468</v>
      </c>
      <c r="D644">
        <v>26.2</v>
      </c>
      <c r="E644">
        <v>24</v>
      </c>
      <c r="F644">
        <v>203.85</v>
      </c>
      <c r="G644">
        <f>MAX(ROUNDUP(D644, 0), E644) * IF(C644="COVERED", Parameters!$B$2, Parameters!$B$3)</f>
        <v>0</v>
      </c>
      <c r="H644">
        <f>F644 - G644</f>
        <v>0</v>
      </c>
      <c r="I644">
        <f>IF(ABS(H644)&gt;0.01, "Priority 3", "")</f>
        <v>0</v>
      </c>
    </row>
    <row r="645" spans="1:9">
      <c r="A645" t="s">
        <v>1643</v>
      </c>
      <c r="B645" t="s">
        <v>998</v>
      </c>
      <c r="C645" t="s">
        <v>1468</v>
      </c>
      <c r="D645">
        <v>38.3</v>
      </c>
      <c r="E645">
        <v>45</v>
      </c>
      <c r="F645">
        <v>339.75</v>
      </c>
      <c r="G645">
        <f>MAX(ROUNDUP(D645, 0), E645) * IF(C645="COVERED", Parameters!$B$2, Parameters!$B$3)</f>
        <v>0</v>
      </c>
      <c r="H645">
        <f>F645 - G645</f>
        <v>0</v>
      </c>
      <c r="I645">
        <f>IF(ABS(H645)&gt;0.01, "Priority 3", "")</f>
        <v>0</v>
      </c>
    </row>
    <row r="646" spans="1:9">
      <c r="A646" t="s">
        <v>1644</v>
      </c>
      <c r="B646" t="s">
        <v>998</v>
      </c>
      <c r="C646" t="s">
        <v>1468</v>
      </c>
      <c r="D646">
        <v>47</v>
      </c>
      <c r="E646">
        <v>45</v>
      </c>
      <c r="F646">
        <v>354.85</v>
      </c>
      <c r="G646">
        <f>MAX(ROUNDUP(D646, 0), E646) * IF(C646="COVERED", Parameters!$B$2, Parameters!$B$3)</f>
        <v>0</v>
      </c>
      <c r="H646">
        <f>F646 - G646</f>
        <v>0</v>
      </c>
      <c r="I646">
        <f>IF(ABS(H646)&gt;0.01, "Priority 3", "")</f>
        <v>0</v>
      </c>
    </row>
    <row r="647" spans="1:9">
      <c r="A647" t="s">
        <v>1645</v>
      </c>
      <c r="B647" t="s">
        <v>998</v>
      </c>
      <c r="C647" t="s">
        <v>1468</v>
      </c>
      <c r="D647">
        <v>58.9</v>
      </c>
      <c r="E647">
        <v>80</v>
      </c>
      <c r="F647">
        <v>604</v>
      </c>
      <c r="G647">
        <f>MAX(ROUNDUP(D647, 0), E647) * IF(C647="COVERED", Parameters!$B$2, Parameters!$B$3)</f>
        <v>0</v>
      </c>
      <c r="H647">
        <f>F647 - G647</f>
        <v>0</v>
      </c>
      <c r="I647">
        <f>IF(ABS(H647)&gt;0.01, "Priority 3", "")</f>
        <v>0</v>
      </c>
    </row>
    <row r="648" spans="1:9">
      <c r="A648" t="s">
        <v>1646</v>
      </c>
      <c r="B648" t="s">
        <v>998</v>
      </c>
      <c r="C648" t="s">
        <v>1468</v>
      </c>
      <c r="D648">
        <v>52</v>
      </c>
      <c r="E648">
        <v>40</v>
      </c>
      <c r="F648">
        <v>392.6</v>
      </c>
      <c r="G648">
        <f>MAX(ROUNDUP(D648, 0), E648) * IF(C648="COVERED", Parameters!$B$2, Parameters!$B$3)</f>
        <v>0</v>
      </c>
      <c r="H648">
        <f>F648 - G648</f>
        <v>0</v>
      </c>
      <c r="I648">
        <f>IF(ABS(H648)&gt;0.01, "Priority 3", "")</f>
        <v>0</v>
      </c>
    </row>
    <row r="649" spans="1:9">
      <c r="A649" t="s">
        <v>1647</v>
      </c>
      <c r="B649" t="s">
        <v>998</v>
      </c>
      <c r="C649" t="s">
        <v>1468</v>
      </c>
      <c r="D649">
        <v>34.8</v>
      </c>
      <c r="E649">
        <v>40</v>
      </c>
      <c r="F649">
        <v>302</v>
      </c>
      <c r="G649">
        <f>MAX(ROUNDUP(D649, 0), E649) * IF(C649="COVERED", Parameters!$B$2, Parameters!$B$3)</f>
        <v>0</v>
      </c>
      <c r="H649">
        <f>F649 - G649</f>
        <v>0</v>
      </c>
      <c r="I649">
        <f>IF(ABS(H649)&gt;0.01, "Priority 3", "")</f>
        <v>0</v>
      </c>
    </row>
    <row r="650" spans="1:9">
      <c r="A650" t="s">
        <v>1648</v>
      </c>
      <c r="B650" t="s">
        <v>998</v>
      </c>
      <c r="C650" t="s">
        <v>1468</v>
      </c>
      <c r="D650">
        <v>24.6</v>
      </c>
      <c r="E650">
        <v>45</v>
      </c>
      <c r="F650">
        <v>339.75</v>
      </c>
      <c r="G650">
        <f>MAX(ROUNDUP(D650, 0), E650) * IF(C650="COVERED", Parameters!$B$2, Parameters!$B$3)</f>
        <v>0</v>
      </c>
      <c r="H650">
        <f>F650 - G650</f>
        <v>0</v>
      </c>
      <c r="I650">
        <f>IF(ABS(H650)&gt;0.01, "Priority 3", "")</f>
        <v>0</v>
      </c>
    </row>
    <row r="651" spans="1:9">
      <c r="A651" t="s">
        <v>1649</v>
      </c>
      <c r="B651" t="s">
        <v>998</v>
      </c>
      <c r="C651" t="s">
        <v>1468</v>
      </c>
      <c r="D651">
        <v>53.7</v>
      </c>
      <c r="E651">
        <v>70</v>
      </c>
      <c r="F651">
        <v>528.5</v>
      </c>
      <c r="G651">
        <f>MAX(ROUNDUP(D651, 0), E651) * IF(C651="COVERED", Parameters!$B$2, Parameters!$B$3)</f>
        <v>0</v>
      </c>
      <c r="H651">
        <f>F651 - G651</f>
        <v>0</v>
      </c>
      <c r="I651">
        <f>IF(ABS(H651)&gt;0.01, "Priority 3", "")</f>
        <v>0</v>
      </c>
    </row>
    <row r="652" spans="1:9">
      <c r="A652" t="s">
        <v>1650</v>
      </c>
      <c r="B652" t="s">
        <v>998</v>
      </c>
      <c r="C652" t="s">
        <v>1468</v>
      </c>
      <c r="D652">
        <v>24</v>
      </c>
      <c r="E652">
        <v>60</v>
      </c>
      <c r="F652">
        <v>453</v>
      </c>
      <c r="G652">
        <f>MAX(ROUNDUP(D652, 0), E652) * IF(C652="COVERED", Parameters!$B$2, Parameters!$B$3)</f>
        <v>0</v>
      </c>
      <c r="H652">
        <f>F652 - G652</f>
        <v>0</v>
      </c>
      <c r="I652">
        <f>IF(ABS(H652)&gt;0.01, "Priority 3", "")</f>
        <v>0</v>
      </c>
    </row>
    <row r="653" spans="1:9">
      <c r="A653" t="s">
        <v>1651</v>
      </c>
      <c r="B653" t="s">
        <v>998</v>
      </c>
      <c r="C653" t="s">
        <v>1468</v>
      </c>
      <c r="D653">
        <v>47.4</v>
      </c>
      <c r="E653">
        <v>70</v>
      </c>
      <c r="F653">
        <v>528.5</v>
      </c>
      <c r="G653">
        <f>MAX(ROUNDUP(D653, 0), E653) * IF(C653="COVERED", Parameters!$B$2, Parameters!$B$3)</f>
        <v>0</v>
      </c>
      <c r="H653">
        <f>F653 - G653</f>
        <v>0</v>
      </c>
      <c r="I653">
        <f>IF(ABS(H653)&gt;0.01, "Priority 3", "")</f>
        <v>0</v>
      </c>
    </row>
    <row r="654" spans="1:9">
      <c r="A654" t="s">
        <v>1652</v>
      </c>
      <c r="B654" t="s">
        <v>998</v>
      </c>
      <c r="C654" t="s">
        <v>1468</v>
      </c>
      <c r="D654">
        <v>47.2</v>
      </c>
      <c r="E654">
        <v>32</v>
      </c>
      <c r="F654">
        <v>362.4</v>
      </c>
      <c r="G654">
        <f>MAX(ROUNDUP(D654, 0), E654) * IF(C654="COVERED", Parameters!$B$2, Parameters!$B$3)</f>
        <v>0</v>
      </c>
      <c r="H654">
        <f>F654 - G654</f>
        <v>0</v>
      </c>
      <c r="I654">
        <f>IF(ABS(H654)&gt;0.01, "Priority 3", "")</f>
        <v>0</v>
      </c>
    </row>
    <row r="655" spans="1:9">
      <c r="A655" t="s">
        <v>1653</v>
      </c>
      <c r="B655" t="s">
        <v>998</v>
      </c>
      <c r="C655" t="s">
        <v>1468</v>
      </c>
      <c r="D655">
        <v>25.3</v>
      </c>
      <c r="E655">
        <v>28</v>
      </c>
      <c r="F655">
        <v>211.4</v>
      </c>
      <c r="G655">
        <f>MAX(ROUNDUP(D655, 0), E655) * IF(C655="COVERED", Parameters!$B$2, Parameters!$B$3)</f>
        <v>0</v>
      </c>
      <c r="H655">
        <f>F655 - G655</f>
        <v>0</v>
      </c>
      <c r="I655">
        <f>IF(ABS(H655)&gt;0.01, "Priority 3", "")</f>
        <v>0</v>
      </c>
    </row>
    <row r="656" spans="1:9">
      <c r="A656" t="s">
        <v>1654</v>
      </c>
      <c r="B656" t="s">
        <v>998</v>
      </c>
      <c r="C656" t="s">
        <v>1468</v>
      </c>
      <c r="D656">
        <v>49.5</v>
      </c>
      <c r="E656">
        <v>50</v>
      </c>
      <c r="F656">
        <v>377.5</v>
      </c>
      <c r="G656">
        <f>MAX(ROUNDUP(D656, 0), E656) * IF(C656="COVERED", Parameters!$B$2, Parameters!$B$3)</f>
        <v>0</v>
      </c>
      <c r="H656">
        <f>F656 - G656</f>
        <v>0</v>
      </c>
      <c r="I656">
        <f>IF(ABS(H656)&gt;0.01, "Priority 3", "")</f>
        <v>0</v>
      </c>
    </row>
    <row r="657" spans="1:9">
      <c r="A657" t="s">
        <v>1655</v>
      </c>
      <c r="B657" t="s">
        <v>998</v>
      </c>
      <c r="C657" t="s">
        <v>1468</v>
      </c>
      <c r="D657">
        <v>53.1</v>
      </c>
      <c r="E657">
        <v>24</v>
      </c>
      <c r="F657">
        <v>407.7</v>
      </c>
      <c r="G657">
        <f>MAX(ROUNDUP(D657, 0), E657) * IF(C657="COVERED", Parameters!$B$2, Parameters!$B$3)</f>
        <v>0</v>
      </c>
      <c r="H657">
        <f>F657 - G657</f>
        <v>0</v>
      </c>
      <c r="I657">
        <f>IF(ABS(H657)&gt;0.01, "Priority 3", "")</f>
        <v>0</v>
      </c>
    </row>
    <row r="658" spans="1:9">
      <c r="A658" t="s">
        <v>1656</v>
      </c>
      <c r="B658" t="s">
        <v>998</v>
      </c>
      <c r="C658" t="s">
        <v>1468</v>
      </c>
      <c r="D658">
        <v>48.6</v>
      </c>
      <c r="E658">
        <v>24</v>
      </c>
      <c r="F658">
        <v>369.95</v>
      </c>
      <c r="G658">
        <f>MAX(ROUNDUP(D658, 0), E658) * IF(C658="COVERED", Parameters!$B$2, Parameters!$B$3)</f>
        <v>0</v>
      </c>
      <c r="H658">
        <f>F658 - G658</f>
        <v>0</v>
      </c>
      <c r="I658">
        <f>IF(ABS(H658)&gt;0.01, "Priority 3", "")</f>
        <v>0</v>
      </c>
    </row>
    <row r="659" spans="1:9">
      <c r="A659" t="s">
        <v>1657</v>
      </c>
      <c r="B659" t="s">
        <v>998</v>
      </c>
      <c r="C659" t="s">
        <v>1468</v>
      </c>
      <c r="D659">
        <v>29.8</v>
      </c>
      <c r="E659">
        <v>24</v>
      </c>
      <c r="F659">
        <v>226.5</v>
      </c>
      <c r="G659">
        <f>MAX(ROUNDUP(D659, 0), E659) * IF(C659="COVERED", Parameters!$B$2, Parameters!$B$3)</f>
        <v>0</v>
      </c>
      <c r="H659">
        <f>F659 - G659</f>
        <v>0</v>
      </c>
      <c r="I659">
        <f>IF(ABS(H659)&gt;0.01, "Priority 3", "")</f>
        <v>0</v>
      </c>
    </row>
    <row r="660" spans="1:9">
      <c r="A660" t="s">
        <v>1658</v>
      </c>
      <c r="B660" t="s">
        <v>998</v>
      </c>
      <c r="C660" t="s">
        <v>1468</v>
      </c>
      <c r="D660">
        <v>61.3</v>
      </c>
      <c r="E660">
        <v>28</v>
      </c>
      <c r="F660">
        <v>468.1</v>
      </c>
      <c r="G660">
        <f>MAX(ROUNDUP(D660, 0), E660) * IF(C660="COVERED", Parameters!$B$2, Parameters!$B$3)</f>
        <v>0</v>
      </c>
      <c r="H660">
        <f>F660 - G660</f>
        <v>0</v>
      </c>
      <c r="I660">
        <f>IF(ABS(H660)&gt;0.01, "Priority 3", "")</f>
        <v>0</v>
      </c>
    </row>
    <row r="661" spans="1:9">
      <c r="A661" t="s">
        <v>1659</v>
      </c>
      <c r="B661" t="s">
        <v>998</v>
      </c>
      <c r="C661" t="s">
        <v>1468</v>
      </c>
      <c r="D661">
        <v>51.4</v>
      </c>
      <c r="E661">
        <v>40</v>
      </c>
      <c r="F661">
        <v>392.6</v>
      </c>
      <c r="G661">
        <f>MAX(ROUNDUP(D661, 0), E661) * IF(C661="COVERED", Parameters!$B$2, Parameters!$B$3)</f>
        <v>0</v>
      </c>
      <c r="H661">
        <f>F661 - G661</f>
        <v>0</v>
      </c>
      <c r="I661">
        <f>IF(ABS(H661)&gt;0.01, "Priority 3", "")</f>
        <v>0</v>
      </c>
    </row>
    <row r="662" spans="1:9">
      <c r="A662" t="s">
        <v>1660</v>
      </c>
      <c r="B662" t="s">
        <v>998</v>
      </c>
      <c r="C662" t="s">
        <v>1468</v>
      </c>
      <c r="D662">
        <v>61.9</v>
      </c>
      <c r="E662">
        <v>32</v>
      </c>
      <c r="F662">
        <v>468.1</v>
      </c>
      <c r="G662">
        <f>MAX(ROUNDUP(D662, 0), E662) * IF(C662="COVERED", Parameters!$B$2, Parameters!$B$3)</f>
        <v>0</v>
      </c>
      <c r="H662">
        <f>F662 - G662</f>
        <v>0</v>
      </c>
      <c r="I662">
        <f>IF(ABS(H662)&gt;0.01, "Priority 3", "")</f>
        <v>0</v>
      </c>
    </row>
    <row r="663" spans="1:9">
      <c r="A663" t="s">
        <v>1661</v>
      </c>
      <c r="B663" t="s">
        <v>998</v>
      </c>
      <c r="C663" t="s">
        <v>1468</v>
      </c>
      <c r="D663">
        <v>26.2</v>
      </c>
      <c r="E663">
        <v>28</v>
      </c>
      <c r="F663">
        <v>211.4</v>
      </c>
      <c r="G663">
        <f>MAX(ROUNDUP(D663, 0), E663) * IF(C663="COVERED", Parameters!$B$2, Parameters!$B$3)</f>
        <v>0</v>
      </c>
      <c r="H663">
        <f>F663 - G663</f>
        <v>0</v>
      </c>
      <c r="I663">
        <f>IF(ABS(H663)&gt;0.01, "Priority 3", "")</f>
        <v>0</v>
      </c>
    </row>
    <row r="664" spans="1:9">
      <c r="A664" t="s">
        <v>1662</v>
      </c>
      <c r="B664" t="s">
        <v>998</v>
      </c>
      <c r="C664" t="s">
        <v>1468</v>
      </c>
      <c r="D664">
        <v>40.6</v>
      </c>
      <c r="E664">
        <v>32</v>
      </c>
      <c r="F664">
        <v>309.55</v>
      </c>
      <c r="G664">
        <f>MAX(ROUNDUP(D664, 0), E664) * IF(C664="COVERED", Parameters!$B$2, Parameters!$B$3)</f>
        <v>0</v>
      </c>
      <c r="H664">
        <f>F664 - G664</f>
        <v>0</v>
      </c>
      <c r="I664">
        <f>IF(ABS(H664)&gt;0.01, "Priority 3", "")</f>
        <v>0</v>
      </c>
    </row>
    <row r="665" spans="1:9">
      <c r="A665" t="s">
        <v>1663</v>
      </c>
      <c r="B665" t="s">
        <v>998</v>
      </c>
      <c r="C665" t="s">
        <v>1468</v>
      </c>
      <c r="D665">
        <v>59.5</v>
      </c>
      <c r="E665">
        <v>45</v>
      </c>
      <c r="F665">
        <v>453</v>
      </c>
      <c r="G665">
        <f>MAX(ROUNDUP(D665, 0), E665) * IF(C665="COVERED", Parameters!$B$2, Parameters!$B$3)</f>
        <v>0</v>
      </c>
      <c r="H665">
        <f>F665 - G665</f>
        <v>0</v>
      </c>
      <c r="I665">
        <f>IF(ABS(H665)&gt;0.01, "Priority 3", "")</f>
        <v>0</v>
      </c>
    </row>
    <row r="666" spans="1:9">
      <c r="A666" t="s">
        <v>1664</v>
      </c>
      <c r="B666" t="s">
        <v>998</v>
      </c>
      <c r="C666" t="s">
        <v>1468</v>
      </c>
      <c r="D666">
        <v>26.7</v>
      </c>
      <c r="E666">
        <v>28</v>
      </c>
      <c r="F666">
        <v>211.4</v>
      </c>
      <c r="G666">
        <f>MAX(ROUNDUP(D666, 0), E666) * IF(C666="COVERED", Parameters!$B$2, Parameters!$B$3)</f>
        <v>0</v>
      </c>
      <c r="H666">
        <f>F666 - G666</f>
        <v>0</v>
      </c>
      <c r="I666">
        <f>IF(ABS(H666)&gt;0.01, "Priority 3", "")</f>
        <v>0</v>
      </c>
    </row>
    <row r="667" spans="1:9">
      <c r="A667" t="s">
        <v>1665</v>
      </c>
      <c r="B667" t="s">
        <v>998</v>
      </c>
      <c r="C667" t="s">
        <v>1468</v>
      </c>
      <c r="D667">
        <v>34.4</v>
      </c>
      <c r="E667">
        <v>40</v>
      </c>
      <c r="F667">
        <v>302</v>
      </c>
      <c r="G667">
        <f>MAX(ROUNDUP(D667, 0), E667) * IF(C667="COVERED", Parameters!$B$2, Parameters!$B$3)</f>
        <v>0</v>
      </c>
      <c r="H667">
        <f>F667 - G667</f>
        <v>0</v>
      </c>
      <c r="I667">
        <f>IF(ABS(H667)&gt;0.01, "Priority 3", "")</f>
        <v>0</v>
      </c>
    </row>
    <row r="668" spans="1:9">
      <c r="A668" t="s">
        <v>1666</v>
      </c>
      <c r="B668" t="s">
        <v>998</v>
      </c>
      <c r="C668" t="s">
        <v>1468</v>
      </c>
      <c r="D668">
        <v>26.5</v>
      </c>
      <c r="E668">
        <v>32</v>
      </c>
      <c r="F668">
        <v>241.6</v>
      </c>
      <c r="G668">
        <f>MAX(ROUNDUP(D668, 0), E668) * IF(C668="COVERED", Parameters!$B$2, Parameters!$B$3)</f>
        <v>0</v>
      </c>
      <c r="H668">
        <f>F668 - G668</f>
        <v>0</v>
      </c>
      <c r="I668">
        <f>IF(ABS(H668)&gt;0.01, "Priority 3", "")</f>
        <v>0</v>
      </c>
    </row>
    <row r="669" spans="1:9">
      <c r="A669" t="s">
        <v>1667</v>
      </c>
      <c r="B669" t="s">
        <v>998</v>
      </c>
      <c r="C669" t="s">
        <v>1468</v>
      </c>
      <c r="D669">
        <v>53.6</v>
      </c>
      <c r="E669">
        <v>32</v>
      </c>
      <c r="F669">
        <v>407.7</v>
      </c>
      <c r="G669">
        <f>MAX(ROUNDUP(D669, 0), E669) * IF(C669="COVERED", Parameters!$B$2, Parameters!$B$3)</f>
        <v>0</v>
      </c>
      <c r="H669">
        <f>F669 - G669</f>
        <v>0</v>
      </c>
      <c r="I669">
        <f>IF(ABS(H669)&gt;0.01, "Priority 3", "")</f>
        <v>0</v>
      </c>
    </row>
    <row r="670" spans="1:9">
      <c r="A670" t="s">
        <v>1668</v>
      </c>
      <c r="B670" t="s">
        <v>998</v>
      </c>
      <c r="C670" t="s">
        <v>1468</v>
      </c>
      <c r="D670">
        <v>19.8</v>
      </c>
      <c r="E670">
        <v>50</v>
      </c>
      <c r="F670">
        <v>377.5</v>
      </c>
      <c r="G670">
        <f>MAX(ROUNDUP(D670, 0), E670) * IF(C670="COVERED", Parameters!$B$2, Parameters!$B$3)</f>
        <v>0</v>
      </c>
      <c r="H670">
        <f>F670 - G670</f>
        <v>0</v>
      </c>
      <c r="I670">
        <f>IF(ABS(H670)&gt;0.01, "Priority 3", "")</f>
        <v>0</v>
      </c>
    </row>
    <row r="671" spans="1:9">
      <c r="A671" t="s">
        <v>1669</v>
      </c>
      <c r="B671" t="s">
        <v>998</v>
      </c>
      <c r="C671" t="s">
        <v>1468</v>
      </c>
      <c r="D671">
        <v>44.2</v>
      </c>
      <c r="E671">
        <v>32</v>
      </c>
      <c r="F671">
        <v>339.75</v>
      </c>
      <c r="G671">
        <f>MAX(ROUNDUP(D671, 0), E671) * IF(C671="COVERED", Parameters!$B$2, Parameters!$B$3)</f>
        <v>0</v>
      </c>
      <c r="H671">
        <f>F671 - G671</f>
        <v>0</v>
      </c>
      <c r="I671">
        <f>IF(ABS(H671)&gt;0.01, "Priority 3", "")</f>
        <v>0</v>
      </c>
    </row>
    <row r="672" spans="1:9">
      <c r="A672" t="s">
        <v>1670</v>
      </c>
      <c r="B672" t="s">
        <v>998</v>
      </c>
      <c r="C672" t="s">
        <v>1468</v>
      </c>
      <c r="D672">
        <v>40.1</v>
      </c>
      <c r="E672">
        <v>32</v>
      </c>
      <c r="F672">
        <v>309.55</v>
      </c>
      <c r="G672">
        <f>MAX(ROUNDUP(D672, 0), E672) * IF(C672="COVERED", Parameters!$B$2, Parameters!$B$3)</f>
        <v>0</v>
      </c>
      <c r="H672">
        <f>F672 - G672</f>
        <v>0</v>
      </c>
      <c r="I672">
        <f>IF(ABS(H672)&gt;0.01, "Priority 3", "")</f>
        <v>0</v>
      </c>
    </row>
    <row r="673" spans="1:9">
      <c r="A673" t="s">
        <v>1671</v>
      </c>
      <c r="B673" t="s">
        <v>998</v>
      </c>
      <c r="C673" t="s">
        <v>1468</v>
      </c>
      <c r="D673">
        <v>53</v>
      </c>
      <c r="E673">
        <v>45</v>
      </c>
      <c r="F673">
        <v>400.15</v>
      </c>
      <c r="G673">
        <f>MAX(ROUNDUP(D673, 0), E673) * IF(C673="COVERED", Parameters!$B$2, Parameters!$B$3)</f>
        <v>0</v>
      </c>
      <c r="H673">
        <f>F673 - G673</f>
        <v>0</v>
      </c>
      <c r="I673">
        <f>IF(ABS(H673)&gt;0.01, "Priority 3", "")</f>
        <v>0</v>
      </c>
    </row>
    <row r="674" spans="1:9">
      <c r="A674" t="s">
        <v>1672</v>
      </c>
      <c r="B674" t="s">
        <v>998</v>
      </c>
      <c r="C674" t="s">
        <v>1468</v>
      </c>
      <c r="D674">
        <v>21.2</v>
      </c>
      <c r="E674">
        <v>40</v>
      </c>
      <c r="F674">
        <v>302</v>
      </c>
      <c r="G674">
        <f>MAX(ROUNDUP(D674, 0), E674) * IF(C674="COVERED", Parameters!$B$2, Parameters!$B$3)</f>
        <v>0</v>
      </c>
      <c r="H674">
        <f>F674 - G674</f>
        <v>0</v>
      </c>
      <c r="I674">
        <f>IF(ABS(H674)&gt;0.01, "Priority 3", "")</f>
        <v>0</v>
      </c>
    </row>
    <row r="675" spans="1:9">
      <c r="A675" t="s">
        <v>1673</v>
      </c>
      <c r="B675" t="s">
        <v>998</v>
      </c>
      <c r="C675" t="s">
        <v>1468</v>
      </c>
      <c r="D675">
        <v>34.4</v>
      </c>
      <c r="E675">
        <v>40</v>
      </c>
      <c r="F675">
        <v>302</v>
      </c>
      <c r="G675">
        <f>MAX(ROUNDUP(D675, 0), E675) * IF(C675="COVERED", Parameters!$B$2, Parameters!$B$3)</f>
        <v>0</v>
      </c>
      <c r="H675">
        <f>F675 - G675</f>
        <v>0</v>
      </c>
      <c r="I675">
        <f>IF(ABS(H675)&gt;0.01, "Priority 3", "")</f>
        <v>0</v>
      </c>
    </row>
    <row r="676" spans="1:9">
      <c r="A676" t="s">
        <v>1674</v>
      </c>
      <c r="B676" t="s">
        <v>998</v>
      </c>
      <c r="C676" t="s">
        <v>1468</v>
      </c>
      <c r="D676">
        <v>20.7</v>
      </c>
      <c r="E676">
        <v>24</v>
      </c>
      <c r="F676">
        <v>181.2</v>
      </c>
      <c r="G676">
        <f>MAX(ROUNDUP(D676, 0), E676) * IF(C676="COVERED", Parameters!$B$2, Parameters!$B$3)</f>
        <v>0</v>
      </c>
      <c r="H676">
        <f>F676 - G676</f>
        <v>0</v>
      </c>
      <c r="I676">
        <f>IF(ABS(H676)&gt;0.01, "Priority 3", "")</f>
        <v>0</v>
      </c>
    </row>
    <row r="677" spans="1:9">
      <c r="A677" t="s">
        <v>1675</v>
      </c>
      <c r="B677" t="s">
        <v>998</v>
      </c>
      <c r="C677" t="s">
        <v>1468</v>
      </c>
      <c r="D677">
        <v>55.1</v>
      </c>
      <c r="E677">
        <v>28</v>
      </c>
      <c r="F677">
        <v>422.8</v>
      </c>
      <c r="G677">
        <f>MAX(ROUNDUP(D677, 0), E677) * IF(C677="COVERED", Parameters!$B$2, Parameters!$B$3)</f>
        <v>0</v>
      </c>
      <c r="H677">
        <f>F677 - G677</f>
        <v>0</v>
      </c>
      <c r="I677">
        <f>IF(ABS(H677)&gt;0.01, "Priority 3", "")</f>
        <v>0</v>
      </c>
    </row>
    <row r="678" spans="1:9">
      <c r="A678" t="s">
        <v>1676</v>
      </c>
      <c r="B678" t="s">
        <v>998</v>
      </c>
      <c r="C678" t="s">
        <v>1468</v>
      </c>
      <c r="D678">
        <v>61.8</v>
      </c>
      <c r="E678">
        <v>32</v>
      </c>
      <c r="F678">
        <v>468.1</v>
      </c>
      <c r="G678">
        <f>MAX(ROUNDUP(D678, 0), E678) * IF(C678="COVERED", Parameters!$B$2, Parameters!$B$3)</f>
        <v>0</v>
      </c>
      <c r="H678">
        <f>F678 - G678</f>
        <v>0</v>
      </c>
      <c r="I678">
        <f>IF(ABS(H678)&gt;0.01, "Priority 3", "")</f>
        <v>0</v>
      </c>
    </row>
    <row r="679" spans="1:9">
      <c r="A679" t="s">
        <v>1677</v>
      </c>
      <c r="B679" t="s">
        <v>998</v>
      </c>
      <c r="C679" t="s">
        <v>1468</v>
      </c>
      <c r="D679">
        <v>60.8</v>
      </c>
      <c r="E679">
        <v>28</v>
      </c>
      <c r="F679">
        <v>460.55</v>
      </c>
      <c r="G679">
        <f>MAX(ROUNDUP(D679, 0), E679) * IF(C679="COVERED", Parameters!$B$2, Parameters!$B$3)</f>
        <v>0</v>
      </c>
      <c r="H679">
        <f>F679 - G679</f>
        <v>0</v>
      </c>
      <c r="I679">
        <f>IF(ABS(H679)&gt;0.01, "Priority 3", "")</f>
        <v>0</v>
      </c>
    </row>
    <row r="680" spans="1:9">
      <c r="A680" t="s">
        <v>1678</v>
      </c>
      <c r="B680" t="s">
        <v>998</v>
      </c>
      <c r="C680" t="s">
        <v>1468</v>
      </c>
      <c r="D680">
        <v>50.6</v>
      </c>
      <c r="E680">
        <v>45</v>
      </c>
      <c r="F680">
        <v>385.05</v>
      </c>
      <c r="G680">
        <f>MAX(ROUNDUP(D680, 0), E680) * IF(C680="COVERED", Parameters!$B$2, Parameters!$B$3)</f>
        <v>0</v>
      </c>
      <c r="H680">
        <f>F680 - G680</f>
        <v>0</v>
      </c>
      <c r="I680">
        <f>IF(ABS(H680)&gt;0.01, "Priority 3", "")</f>
        <v>0</v>
      </c>
    </row>
    <row r="681" spans="1:9">
      <c r="A681" t="s">
        <v>1679</v>
      </c>
      <c r="B681" t="s">
        <v>998</v>
      </c>
      <c r="C681" t="s">
        <v>1468</v>
      </c>
      <c r="D681">
        <v>57.5</v>
      </c>
      <c r="E681">
        <v>70</v>
      </c>
      <c r="F681">
        <v>528.5</v>
      </c>
      <c r="G681">
        <f>MAX(ROUNDUP(D681, 0), E681) * IF(C681="COVERED", Parameters!$B$2, Parameters!$B$3)</f>
        <v>0</v>
      </c>
      <c r="H681">
        <f>F681 - G681</f>
        <v>0</v>
      </c>
      <c r="I681">
        <f>IF(ABS(H681)&gt;0.01, "Priority 3", "")</f>
        <v>0</v>
      </c>
    </row>
    <row r="682" spans="1:9">
      <c r="A682" t="s">
        <v>1680</v>
      </c>
      <c r="B682" t="s">
        <v>998</v>
      </c>
      <c r="C682" t="s">
        <v>1468</v>
      </c>
      <c r="D682">
        <v>39</v>
      </c>
      <c r="E682">
        <v>32</v>
      </c>
      <c r="F682">
        <v>294.45</v>
      </c>
      <c r="G682">
        <f>MAX(ROUNDUP(D682, 0), E682) * IF(C682="COVERED", Parameters!$B$2, Parameters!$B$3)</f>
        <v>0</v>
      </c>
      <c r="H682">
        <f>F682 - G682</f>
        <v>0</v>
      </c>
      <c r="I682">
        <f>IF(ABS(H682)&gt;0.01, "Priority 3", "")</f>
        <v>0</v>
      </c>
    </row>
    <row r="683" spans="1:9">
      <c r="A683" t="s">
        <v>1681</v>
      </c>
      <c r="B683" t="s">
        <v>998</v>
      </c>
      <c r="C683" t="s">
        <v>1468</v>
      </c>
      <c r="D683">
        <v>26.5</v>
      </c>
      <c r="E683">
        <v>60</v>
      </c>
      <c r="F683">
        <v>453</v>
      </c>
      <c r="G683">
        <f>MAX(ROUNDUP(D683, 0), E683) * IF(C683="COVERED", Parameters!$B$2, Parameters!$B$3)</f>
        <v>0</v>
      </c>
      <c r="H683">
        <f>F683 - G683</f>
        <v>0</v>
      </c>
      <c r="I683">
        <f>IF(ABS(H683)&gt;0.01, "Priority 3", "")</f>
        <v>0</v>
      </c>
    </row>
    <row r="684" spans="1:9">
      <c r="A684" t="s">
        <v>1682</v>
      </c>
      <c r="B684" t="s">
        <v>998</v>
      </c>
      <c r="C684" t="s">
        <v>1468</v>
      </c>
      <c r="D684">
        <v>33.7</v>
      </c>
      <c r="E684">
        <v>24</v>
      </c>
      <c r="F684">
        <v>256.7</v>
      </c>
      <c r="G684">
        <f>MAX(ROUNDUP(D684, 0), E684) * IF(C684="COVERED", Parameters!$B$2, Parameters!$B$3)</f>
        <v>0</v>
      </c>
      <c r="H684">
        <f>F684 - G684</f>
        <v>0</v>
      </c>
      <c r="I684">
        <f>IF(ABS(H684)&gt;0.01, "Priority 3", "")</f>
        <v>0</v>
      </c>
    </row>
    <row r="685" spans="1:9">
      <c r="A685" t="s">
        <v>1683</v>
      </c>
      <c r="B685" t="s">
        <v>998</v>
      </c>
      <c r="C685" t="s">
        <v>1468</v>
      </c>
      <c r="D685">
        <v>43.8</v>
      </c>
      <c r="E685">
        <v>40</v>
      </c>
      <c r="F685">
        <v>332.2</v>
      </c>
      <c r="G685">
        <f>MAX(ROUNDUP(D685, 0), E685) * IF(C685="COVERED", Parameters!$B$2, Parameters!$B$3)</f>
        <v>0</v>
      </c>
      <c r="H685">
        <f>F685 - G685</f>
        <v>0</v>
      </c>
      <c r="I685">
        <f>IF(ABS(H685)&gt;0.01, "Priority 3", "")</f>
        <v>0</v>
      </c>
    </row>
    <row r="686" spans="1:9">
      <c r="A686" t="s">
        <v>1684</v>
      </c>
      <c r="B686" t="s">
        <v>998</v>
      </c>
      <c r="C686" t="s">
        <v>1468</v>
      </c>
      <c r="D686">
        <v>21.9</v>
      </c>
      <c r="E686">
        <v>45</v>
      </c>
      <c r="F686">
        <v>339.75</v>
      </c>
      <c r="G686">
        <f>MAX(ROUNDUP(D686, 0), E686) * IF(C686="COVERED", Parameters!$B$2, Parameters!$B$3)</f>
        <v>0</v>
      </c>
      <c r="H686">
        <f>F686 - G686</f>
        <v>0</v>
      </c>
      <c r="I686">
        <f>IF(ABS(H686)&gt;0.01, "Priority 3", "")</f>
        <v>0</v>
      </c>
    </row>
    <row r="687" spans="1:9">
      <c r="A687" t="s">
        <v>1685</v>
      </c>
      <c r="B687" t="s">
        <v>998</v>
      </c>
      <c r="C687" t="s">
        <v>1468</v>
      </c>
      <c r="D687">
        <v>49.6</v>
      </c>
      <c r="E687">
        <v>40</v>
      </c>
      <c r="F687">
        <v>377.5</v>
      </c>
      <c r="G687">
        <f>MAX(ROUNDUP(D687, 0), E687) * IF(C687="COVERED", Parameters!$B$2, Parameters!$B$3)</f>
        <v>0</v>
      </c>
      <c r="H687">
        <f>F687 - G687</f>
        <v>0</v>
      </c>
      <c r="I687">
        <f>IF(ABS(H687)&gt;0.01, "Priority 3", "")</f>
        <v>0</v>
      </c>
    </row>
    <row r="688" spans="1:9">
      <c r="A688" t="s">
        <v>1686</v>
      </c>
      <c r="B688" t="s">
        <v>998</v>
      </c>
      <c r="C688" t="s">
        <v>1468</v>
      </c>
      <c r="D688">
        <v>35.5</v>
      </c>
      <c r="E688">
        <v>60</v>
      </c>
      <c r="F688">
        <v>453</v>
      </c>
      <c r="G688">
        <f>MAX(ROUNDUP(D688, 0), E688) * IF(C688="COVERED", Parameters!$B$2, Parameters!$B$3)</f>
        <v>0</v>
      </c>
      <c r="H688">
        <f>F688 - G688</f>
        <v>0</v>
      </c>
      <c r="I688">
        <f>IF(ABS(H688)&gt;0.01, "Priority 3", "")</f>
        <v>0</v>
      </c>
    </row>
    <row r="689" spans="1:9">
      <c r="A689" t="s">
        <v>1687</v>
      </c>
      <c r="B689" t="s">
        <v>998</v>
      </c>
      <c r="C689" t="s">
        <v>1468</v>
      </c>
      <c r="D689">
        <v>40.5</v>
      </c>
      <c r="E689">
        <v>80</v>
      </c>
      <c r="F689">
        <v>604</v>
      </c>
      <c r="G689">
        <f>MAX(ROUNDUP(D689, 0), E689) * IF(C689="COVERED", Parameters!$B$2, Parameters!$B$3)</f>
        <v>0</v>
      </c>
      <c r="H689">
        <f>F689 - G689</f>
        <v>0</v>
      </c>
      <c r="I689">
        <f>IF(ABS(H689)&gt;0.01, "Priority 3", "")</f>
        <v>0</v>
      </c>
    </row>
    <row r="690" spans="1:9">
      <c r="A690" t="s">
        <v>1688</v>
      </c>
      <c r="B690" t="s">
        <v>998</v>
      </c>
      <c r="C690" t="s">
        <v>1468</v>
      </c>
      <c r="D690">
        <v>46.9</v>
      </c>
      <c r="E690">
        <v>32</v>
      </c>
      <c r="F690">
        <v>354.85</v>
      </c>
      <c r="G690">
        <f>MAX(ROUNDUP(D690, 0), E690) * IF(C690="COVERED", Parameters!$B$2, Parameters!$B$3)</f>
        <v>0</v>
      </c>
      <c r="H690">
        <f>F690 - G690</f>
        <v>0</v>
      </c>
      <c r="I690">
        <f>IF(ABS(H690)&gt;0.01, "Priority 3", "")</f>
        <v>0</v>
      </c>
    </row>
    <row r="691" spans="1:9">
      <c r="A691" t="s">
        <v>1689</v>
      </c>
      <c r="B691" t="s">
        <v>998</v>
      </c>
      <c r="C691" t="s">
        <v>1468</v>
      </c>
      <c r="D691">
        <v>55</v>
      </c>
      <c r="E691">
        <v>28</v>
      </c>
      <c r="F691">
        <v>415.25</v>
      </c>
      <c r="G691">
        <f>MAX(ROUNDUP(D691, 0), E691) * IF(C691="COVERED", Parameters!$B$2, Parameters!$B$3)</f>
        <v>0</v>
      </c>
      <c r="H691">
        <f>F691 - G691</f>
        <v>0</v>
      </c>
      <c r="I691">
        <f>IF(ABS(H691)&gt;0.01, "Priority 3", "")</f>
        <v>0</v>
      </c>
    </row>
    <row r="692" spans="1:9">
      <c r="A692" t="s">
        <v>1690</v>
      </c>
      <c r="B692" t="s">
        <v>998</v>
      </c>
      <c r="C692" t="s">
        <v>1468</v>
      </c>
      <c r="D692">
        <v>42.1</v>
      </c>
      <c r="E692">
        <v>80</v>
      </c>
      <c r="F692">
        <v>604</v>
      </c>
      <c r="G692">
        <f>MAX(ROUNDUP(D692, 0), E692) * IF(C692="COVERED", Parameters!$B$2, Parameters!$B$3)</f>
        <v>0</v>
      </c>
      <c r="H692">
        <f>F692 - G692</f>
        <v>0</v>
      </c>
      <c r="I692">
        <f>IF(ABS(H692)&gt;0.01, "Priority 3", "")</f>
        <v>0</v>
      </c>
    </row>
    <row r="693" spans="1:9">
      <c r="A693" t="s">
        <v>1691</v>
      </c>
      <c r="B693" t="s">
        <v>998</v>
      </c>
      <c r="C693" t="s">
        <v>1468</v>
      </c>
      <c r="D693">
        <v>59.8</v>
      </c>
      <c r="E693">
        <v>28</v>
      </c>
      <c r="F693">
        <v>453</v>
      </c>
      <c r="G693">
        <f>MAX(ROUNDUP(D693, 0), E693) * IF(C693="COVERED", Parameters!$B$2, Parameters!$B$3)</f>
        <v>0</v>
      </c>
      <c r="H693">
        <f>F693 - G693</f>
        <v>0</v>
      </c>
      <c r="I693">
        <f>IF(ABS(H693)&gt;0.01, "Priority 3", "")</f>
        <v>0</v>
      </c>
    </row>
    <row r="694" spans="1:9">
      <c r="A694" t="s">
        <v>1692</v>
      </c>
      <c r="B694" t="s">
        <v>998</v>
      </c>
      <c r="C694" t="s">
        <v>1468</v>
      </c>
      <c r="D694">
        <v>19.8</v>
      </c>
      <c r="E694">
        <v>32</v>
      </c>
      <c r="F694">
        <v>241.6</v>
      </c>
      <c r="G694">
        <f>MAX(ROUNDUP(D694, 0), E694) * IF(C694="COVERED", Parameters!$B$2, Parameters!$B$3)</f>
        <v>0</v>
      </c>
      <c r="H694">
        <f>F694 - G694</f>
        <v>0</v>
      </c>
      <c r="I694">
        <f>IF(ABS(H694)&gt;0.01, "Priority 3", "")</f>
        <v>0</v>
      </c>
    </row>
    <row r="695" spans="1:9">
      <c r="A695" t="s">
        <v>1693</v>
      </c>
      <c r="B695" t="s">
        <v>998</v>
      </c>
      <c r="C695" t="s">
        <v>1468</v>
      </c>
      <c r="D695">
        <v>45.1</v>
      </c>
      <c r="E695">
        <v>45</v>
      </c>
      <c r="F695">
        <v>347.3</v>
      </c>
      <c r="G695">
        <f>MAX(ROUNDUP(D695, 0), E695) * IF(C695="COVERED", Parameters!$B$2, Parameters!$B$3)</f>
        <v>0</v>
      </c>
      <c r="H695">
        <f>F695 - G695</f>
        <v>0</v>
      </c>
      <c r="I695">
        <f>IF(ABS(H695)&gt;0.01, "Priority 3", "")</f>
        <v>0</v>
      </c>
    </row>
    <row r="696" spans="1:9">
      <c r="A696" t="s">
        <v>1694</v>
      </c>
      <c r="B696" t="s">
        <v>998</v>
      </c>
      <c r="C696" t="s">
        <v>1468</v>
      </c>
      <c r="D696">
        <v>36.6</v>
      </c>
      <c r="E696">
        <v>24</v>
      </c>
      <c r="F696">
        <v>279.35</v>
      </c>
      <c r="G696">
        <f>MAX(ROUNDUP(D696, 0), E696) * IF(C696="COVERED", Parameters!$B$2, Parameters!$B$3)</f>
        <v>0</v>
      </c>
      <c r="H696">
        <f>F696 - G696</f>
        <v>0</v>
      </c>
      <c r="I696">
        <f>IF(ABS(H696)&gt;0.01, "Priority 3", "")</f>
        <v>0</v>
      </c>
    </row>
    <row r="697" spans="1:9">
      <c r="A697" t="s">
        <v>1695</v>
      </c>
      <c r="B697" t="s">
        <v>998</v>
      </c>
      <c r="C697" t="s">
        <v>1468</v>
      </c>
      <c r="D697">
        <v>26.4</v>
      </c>
      <c r="E697">
        <v>50</v>
      </c>
      <c r="F697">
        <v>377.5</v>
      </c>
      <c r="G697">
        <f>MAX(ROUNDUP(D697, 0), E697) * IF(C697="COVERED", Parameters!$B$2, Parameters!$B$3)</f>
        <v>0</v>
      </c>
      <c r="H697">
        <f>F697 - G697</f>
        <v>0</v>
      </c>
      <c r="I697">
        <f>IF(ABS(H697)&gt;0.01, "Priority 3", "")</f>
        <v>0</v>
      </c>
    </row>
    <row r="698" spans="1:9">
      <c r="A698" t="s">
        <v>1696</v>
      </c>
      <c r="B698" t="s">
        <v>998</v>
      </c>
      <c r="C698" t="s">
        <v>1468</v>
      </c>
      <c r="D698">
        <v>49.4</v>
      </c>
      <c r="E698">
        <v>32</v>
      </c>
      <c r="F698">
        <v>377.5</v>
      </c>
      <c r="G698">
        <f>MAX(ROUNDUP(D698, 0), E698) * IF(C698="COVERED", Parameters!$B$2, Parameters!$B$3)</f>
        <v>0</v>
      </c>
      <c r="H698">
        <f>F698 - G698</f>
        <v>0</v>
      </c>
      <c r="I698">
        <f>IF(ABS(H698)&gt;0.01, "Priority 3", "")</f>
        <v>0</v>
      </c>
    </row>
    <row r="699" spans="1:9">
      <c r="A699" t="s">
        <v>1697</v>
      </c>
      <c r="B699" t="s">
        <v>998</v>
      </c>
      <c r="C699" t="s">
        <v>1468</v>
      </c>
      <c r="D699">
        <v>50</v>
      </c>
      <c r="E699">
        <v>50</v>
      </c>
      <c r="F699">
        <v>377.5</v>
      </c>
      <c r="G699">
        <f>MAX(ROUNDUP(D699, 0), E699) * IF(C699="COVERED", Parameters!$B$2, Parameters!$B$3)</f>
        <v>0</v>
      </c>
      <c r="H699">
        <f>F699 - G699</f>
        <v>0</v>
      </c>
      <c r="I699">
        <f>IF(ABS(H699)&gt;0.01, "Priority 3", "")</f>
        <v>0</v>
      </c>
    </row>
    <row r="700" spans="1:9">
      <c r="A700" t="s">
        <v>1698</v>
      </c>
      <c r="B700" t="s">
        <v>998</v>
      </c>
      <c r="C700" t="s">
        <v>1468</v>
      </c>
      <c r="D700">
        <v>53.9</v>
      </c>
      <c r="E700">
        <v>60</v>
      </c>
      <c r="F700">
        <v>453</v>
      </c>
      <c r="G700">
        <f>MAX(ROUNDUP(D700, 0), E700) * IF(C700="COVERED", Parameters!$B$2, Parameters!$B$3)</f>
        <v>0</v>
      </c>
      <c r="H700">
        <f>F700 - G700</f>
        <v>0</v>
      </c>
      <c r="I700">
        <f>IF(ABS(H700)&gt;0.01, "Priority 3", "")</f>
        <v>0</v>
      </c>
    </row>
    <row r="701" spans="1:9">
      <c r="A701" t="s">
        <v>1699</v>
      </c>
      <c r="B701" t="s">
        <v>998</v>
      </c>
      <c r="C701" t="s">
        <v>1468</v>
      </c>
      <c r="D701">
        <v>37.9</v>
      </c>
      <c r="E701">
        <v>28</v>
      </c>
      <c r="F701">
        <v>286.9</v>
      </c>
      <c r="G701">
        <f>MAX(ROUNDUP(D701, 0), E701) * IF(C701="COVERED", Parameters!$B$2, Parameters!$B$3)</f>
        <v>0</v>
      </c>
      <c r="H701">
        <f>F701 - G701</f>
        <v>0</v>
      </c>
      <c r="I701">
        <f>IF(ABS(H701)&gt;0.01, "Priority 3", "")</f>
        <v>0</v>
      </c>
    </row>
    <row r="702" spans="1:9">
      <c r="A702" t="s">
        <v>1700</v>
      </c>
      <c r="B702" t="s">
        <v>998</v>
      </c>
      <c r="C702" t="s">
        <v>1468</v>
      </c>
      <c r="D702">
        <v>49.8</v>
      </c>
      <c r="E702">
        <v>32</v>
      </c>
      <c r="F702">
        <v>377.5</v>
      </c>
      <c r="G702">
        <f>MAX(ROUNDUP(D702, 0), E702) * IF(C702="COVERED", Parameters!$B$2, Parameters!$B$3)</f>
        <v>0</v>
      </c>
      <c r="H702">
        <f>F702 - G702</f>
        <v>0</v>
      </c>
      <c r="I702">
        <f>IF(ABS(H702)&gt;0.01, "Priority 3", "")</f>
        <v>0</v>
      </c>
    </row>
    <row r="703" spans="1:9">
      <c r="A703" t="s">
        <v>1701</v>
      </c>
      <c r="B703" t="s">
        <v>998</v>
      </c>
      <c r="C703" t="s">
        <v>1468</v>
      </c>
      <c r="D703">
        <v>40.7</v>
      </c>
      <c r="E703">
        <v>32</v>
      </c>
      <c r="F703">
        <v>309.55</v>
      </c>
      <c r="G703">
        <f>MAX(ROUNDUP(D703, 0), E703) * IF(C703="COVERED", Parameters!$B$2, Parameters!$B$3)</f>
        <v>0</v>
      </c>
      <c r="H703">
        <f>F703 - G703</f>
        <v>0</v>
      </c>
      <c r="I703">
        <f>IF(ABS(H703)&gt;0.01, "Priority 3", "")</f>
        <v>0</v>
      </c>
    </row>
    <row r="704" spans="1:9">
      <c r="A704" t="s">
        <v>1702</v>
      </c>
      <c r="B704" t="s">
        <v>998</v>
      </c>
      <c r="C704" t="s">
        <v>1468</v>
      </c>
      <c r="D704">
        <v>26.5</v>
      </c>
      <c r="E704">
        <v>32</v>
      </c>
      <c r="F704">
        <v>241.6</v>
      </c>
      <c r="G704">
        <f>MAX(ROUNDUP(D704, 0), E704) * IF(C704="COVERED", Parameters!$B$2, Parameters!$B$3)</f>
        <v>0</v>
      </c>
      <c r="H704">
        <f>F704 - G704</f>
        <v>0</v>
      </c>
      <c r="I704">
        <f>IF(ABS(H704)&gt;0.01, "Priority 3", "")</f>
        <v>0</v>
      </c>
    </row>
    <row r="705" spans="1:9">
      <c r="A705" t="s">
        <v>1703</v>
      </c>
      <c r="B705" t="s">
        <v>998</v>
      </c>
      <c r="C705" t="s">
        <v>1468</v>
      </c>
      <c r="D705">
        <v>40.2</v>
      </c>
      <c r="E705">
        <v>80</v>
      </c>
      <c r="F705">
        <v>604</v>
      </c>
      <c r="G705">
        <f>MAX(ROUNDUP(D705, 0), E705) * IF(C705="COVERED", Parameters!$B$2, Parameters!$B$3)</f>
        <v>0</v>
      </c>
      <c r="H705">
        <f>F705 - G705</f>
        <v>0</v>
      </c>
      <c r="I705">
        <f>IF(ABS(H705)&gt;0.01, "Priority 3", "")</f>
        <v>0</v>
      </c>
    </row>
    <row r="706" spans="1:9">
      <c r="A706" t="s">
        <v>1704</v>
      </c>
      <c r="B706" t="s">
        <v>998</v>
      </c>
      <c r="C706" t="s">
        <v>1468</v>
      </c>
      <c r="D706">
        <v>36.5</v>
      </c>
      <c r="E706">
        <v>32</v>
      </c>
      <c r="F706">
        <v>279.35</v>
      </c>
      <c r="G706">
        <f>MAX(ROUNDUP(D706, 0), E706) * IF(C706="COVERED", Parameters!$B$2, Parameters!$B$3)</f>
        <v>0</v>
      </c>
      <c r="H706">
        <f>F706 - G706</f>
        <v>0</v>
      </c>
      <c r="I706">
        <f>IF(ABS(H706)&gt;0.01, "Priority 3", "")</f>
        <v>0</v>
      </c>
    </row>
    <row r="707" spans="1:9">
      <c r="A707" t="s">
        <v>1705</v>
      </c>
      <c r="B707" t="s">
        <v>998</v>
      </c>
      <c r="C707" t="s">
        <v>1468</v>
      </c>
      <c r="D707">
        <v>58.2</v>
      </c>
      <c r="E707">
        <v>80</v>
      </c>
      <c r="F707">
        <v>604</v>
      </c>
      <c r="G707">
        <f>MAX(ROUNDUP(D707, 0), E707) * IF(C707="COVERED", Parameters!$B$2, Parameters!$B$3)</f>
        <v>0</v>
      </c>
      <c r="H707">
        <f>F707 - G707</f>
        <v>0</v>
      </c>
      <c r="I707">
        <f>IF(ABS(H707)&gt;0.01, "Priority 3", "")</f>
        <v>0</v>
      </c>
    </row>
    <row r="708" spans="1:9">
      <c r="A708" t="s">
        <v>1706</v>
      </c>
      <c r="B708" t="s">
        <v>998</v>
      </c>
      <c r="C708" t="s">
        <v>1468</v>
      </c>
      <c r="D708">
        <v>25.1</v>
      </c>
      <c r="E708">
        <v>32</v>
      </c>
      <c r="F708">
        <v>241.6</v>
      </c>
      <c r="G708">
        <f>MAX(ROUNDUP(D708, 0), E708) * IF(C708="COVERED", Parameters!$B$2, Parameters!$B$3)</f>
        <v>0</v>
      </c>
      <c r="H708">
        <f>F708 - G708</f>
        <v>0</v>
      </c>
      <c r="I708">
        <f>IF(ABS(H708)&gt;0.01, "Priority 3", "")</f>
        <v>0</v>
      </c>
    </row>
    <row r="709" spans="1:9">
      <c r="A709" t="s">
        <v>1707</v>
      </c>
      <c r="B709" t="s">
        <v>998</v>
      </c>
      <c r="C709" t="s">
        <v>1468</v>
      </c>
      <c r="D709">
        <v>43.1</v>
      </c>
      <c r="E709">
        <v>50</v>
      </c>
      <c r="F709">
        <v>377.5</v>
      </c>
      <c r="G709">
        <f>MAX(ROUNDUP(D709, 0), E709) * IF(C709="COVERED", Parameters!$B$2, Parameters!$B$3)</f>
        <v>0</v>
      </c>
      <c r="H709">
        <f>F709 - G709</f>
        <v>0</v>
      </c>
      <c r="I709">
        <f>IF(ABS(H709)&gt;0.01, "Priority 3", "")</f>
        <v>0</v>
      </c>
    </row>
    <row r="710" spans="1:9">
      <c r="A710" t="s">
        <v>1708</v>
      </c>
      <c r="B710" t="s">
        <v>998</v>
      </c>
      <c r="C710" t="s">
        <v>1468</v>
      </c>
      <c r="D710">
        <v>55.9</v>
      </c>
      <c r="E710">
        <v>24</v>
      </c>
      <c r="F710">
        <v>422.8</v>
      </c>
      <c r="G710">
        <f>MAX(ROUNDUP(D710, 0), E710) * IF(C710="COVERED", Parameters!$B$2, Parameters!$B$3)</f>
        <v>0</v>
      </c>
      <c r="H710">
        <f>F710 - G710</f>
        <v>0</v>
      </c>
      <c r="I710">
        <f>IF(ABS(H710)&gt;0.01, "Priority 3", "")</f>
        <v>0</v>
      </c>
    </row>
    <row r="711" spans="1:9">
      <c r="A711" t="s">
        <v>1709</v>
      </c>
      <c r="B711" t="s">
        <v>998</v>
      </c>
      <c r="C711" t="s">
        <v>1468</v>
      </c>
      <c r="D711">
        <v>52.2</v>
      </c>
      <c r="E711">
        <v>24</v>
      </c>
      <c r="F711">
        <v>400.15</v>
      </c>
      <c r="G711">
        <f>MAX(ROUNDUP(D711, 0), E711) * IF(C711="COVERED", Parameters!$B$2, Parameters!$B$3)</f>
        <v>0</v>
      </c>
      <c r="H711">
        <f>F711 - G711</f>
        <v>0</v>
      </c>
      <c r="I711">
        <f>IF(ABS(H711)&gt;0.01, "Priority 3", "")</f>
        <v>0</v>
      </c>
    </row>
    <row r="712" spans="1:9">
      <c r="A712" t="s">
        <v>1710</v>
      </c>
      <c r="B712" t="s">
        <v>998</v>
      </c>
      <c r="C712" t="s">
        <v>1468</v>
      </c>
      <c r="D712">
        <v>57.6</v>
      </c>
      <c r="E712">
        <v>24</v>
      </c>
      <c r="F712">
        <v>437.9</v>
      </c>
      <c r="G712">
        <f>MAX(ROUNDUP(D712, 0), E712) * IF(C712="COVERED", Parameters!$B$2, Parameters!$B$3)</f>
        <v>0</v>
      </c>
      <c r="H712">
        <f>F712 - G712</f>
        <v>0</v>
      </c>
      <c r="I712">
        <f>IF(ABS(H712)&gt;0.01, "Priority 3", "")</f>
        <v>0</v>
      </c>
    </row>
    <row r="713" spans="1:9">
      <c r="A713" t="s">
        <v>1711</v>
      </c>
      <c r="B713" t="s">
        <v>998</v>
      </c>
      <c r="C713" t="s">
        <v>1468</v>
      </c>
      <c r="D713">
        <v>36</v>
      </c>
      <c r="E713">
        <v>40</v>
      </c>
      <c r="F713">
        <v>302</v>
      </c>
      <c r="G713">
        <f>MAX(ROUNDUP(D713, 0), E713) * IF(C713="COVERED", Parameters!$B$2, Parameters!$B$3)</f>
        <v>0</v>
      </c>
      <c r="H713">
        <f>F713 - G713</f>
        <v>0</v>
      </c>
      <c r="I713">
        <f>IF(ABS(H713)&gt;0.01, "Priority 3", "")</f>
        <v>0</v>
      </c>
    </row>
    <row r="714" spans="1:9">
      <c r="A714" t="s">
        <v>1712</v>
      </c>
      <c r="B714" t="s">
        <v>998</v>
      </c>
      <c r="C714" t="s">
        <v>1468</v>
      </c>
      <c r="D714">
        <v>30.9</v>
      </c>
      <c r="E714">
        <v>40</v>
      </c>
      <c r="F714">
        <v>302</v>
      </c>
      <c r="G714">
        <f>MAX(ROUNDUP(D714, 0), E714) * IF(C714="COVERED", Parameters!$B$2, Parameters!$B$3)</f>
        <v>0</v>
      </c>
      <c r="H714">
        <f>F714 - G714</f>
        <v>0</v>
      </c>
      <c r="I714">
        <f>IF(ABS(H714)&gt;0.01, "Priority 3", "")</f>
        <v>0</v>
      </c>
    </row>
    <row r="715" spans="1:9">
      <c r="A715" t="s">
        <v>1713</v>
      </c>
      <c r="B715" t="s">
        <v>998</v>
      </c>
      <c r="C715" t="s">
        <v>1468</v>
      </c>
      <c r="D715">
        <v>22.7</v>
      </c>
      <c r="E715">
        <v>28</v>
      </c>
      <c r="F715">
        <v>211.4</v>
      </c>
      <c r="G715">
        <f>MAX(ROUNDUP(D715, 0), E715) * IF(C715="COVERED", Parameters!$B$2, Parameters!$B$3)</f>
        <v>0</v>
      </c>
      <c r="H715">
        <f>F715 - G715</f>
        <v>0</v>
      </c>
      <c r="I715">
        <f>IF(ABS(H715)&gt;0.01, "Priority 3", "")</f>
        <v>0</v>
      </c>
    </row>
    <row r="716" spans="1:9">
      <c r="A716" t="s">
        <v>1714</v>
      </c>
      <c r="B716" t="s">
        <v>998</v>
      </c>
      <c r="C716" t="s">
        <v>1468</v>
      </c>
      <c r="D716">
        <v>31.8</v>
      </c>
      <c r="E716">
        <v>60</v>
      </c>
      <c r="F716">
        <v>453</v>
      </c>
      <c r="G716">
        <f>MAX(ROUNDUP(D716, 0), E716) * IF(C716="COVERED", Parameters!$B$2, Parameters!$B$3)</f>
        <v>0</v>
      </c>
      <c r="H716">
        <f>F716 - G716</f>
        <v>0</v>
      </c>
      <c r="I716">
        <f>IF(ABS(H716)&gt;0.01, "Priority 3", "")</f>
        <v>0</v>
      </c>
    </row>
    <row r="717" spans="1:9">
      <c r="A717" t="s">
        <v>1715</v>
      </c>
      <c r="B717" t="s">
        <v>998</v>
      </c>
      <c r="C717" t="s">
        <v>1468</v>
      </c>
      <c r="D717">
        <v>28.3</v>
      </c>
      <c r="E717">
        <v>28</v>
      </c>
      <c r="F717">
        <v>218.95</v>
      </c>
      <c r="G717">
        <f>MAX(ROUNDUP(D717, 0), E717) * IF(C717="COVERED", Parameters!$B$2, Parameters!$B$3)</f>
        <v>0</v>
      </c>
      <c r="H717">
        <f>F717 - G717</f>
        <v>0</v>
      </c>
      <c r="I717">
        <f>IF(ABS(H717)&gt;0.01, "Priority 3", "")</f>
        <v>0</v>
      </c>
    </row>
    <row r="718" spans="1:9">
      <c r="A718" t="s">
        <v>1716</v>
      </c>
      <c r="B718" t="s">
        <v>998</v>
      </c>
      <c r="C718" t="s">
        <v>1468</v>
      </c>
      <c r="D718">
        <v>25.2</v>
      </c>
      <c r="E718">
        <v>24</v>
      </c>
      <c r="F718">
        <v>196.3</v>
      </c>
      <c r="G718">
        <f>MAX(ROUNDUP(D718, 0), E718) * IF(C718="COVERED", Parameters!$B$2, Parameters!$B$3)</f>
        <v>0</v>
      </c>
      <c r="H718">
        <f>F718 - G718</f>
        <v>0</v>
      </c>
      <c r="I718">
        <f>IF(ABS(H718)&gt;0.01, "Priority 3", "")</f>
        <v>0</v>
      </c>
    </row>
    <row r="719" spans="1:9">
      <c r="A719" t="s">
        <v>1717</v>
      </c>
      <c r="B719" t="s">
        <v>998</v>
      </c>
      <c r="C719" t="s">
        <v>1468</v>
      </c>
      <c r="D719">
        <v>33.7</v>
      </c>
      <c r="E719">
        <v>28</v>
      </c>
      <c r="F719">
        <v>256.7</v>
      </c>
      <c r="G719">
        <f>MAX(ROUNDUP(D719, 0), E719) * IF(C719="COVERED", Parameters!$B$2, Parameters!$B$3)</f>
        <v>0</v>
      </c>
      <c r="H719">
        <f>F719 - G719</f>
        <v>0</v>
      </c>
      <c r="I719">
        <f>IF(ABS(H719)&gt;0.01, "Priority 3", "")</f>
        <v>0</v>
      </c>
    </row>
    <row r="720" spans="1:9">
      <c r="A720" t="s">
        <v>1718</v>
      </c>
      <c r="B720" t="s">
        <v>998</v>
      </c>
      <c r="C720" t="s">
        <v>1468</v>
      </c>
      <c r="D720">
        <v>42.5</v>
      </c>
      <c r="E720">
        <v>80</v>
      </c>
      <c r="F720">
        <v>604</v>
      </c>
      <c r="G720">
        <f>MAX(ROUNDUP(D720, 0), E720) * IF(C720="COVERED", Parameters!$B$2, Parameters!$B$3)</f>
        <v>0</v>
      </c>
      <c r="H720">
        <f>F720 - G720</f>
        <v>0</v>
      </c>
      <c r="I720">
        <f>IF(ABS(H720)&gt;0.01, "Priority 3", "")</f>
        <v>0</v>
      </c>
    </row>
    <row r="721" spans="1:9">
      <c r="A721" t="s">
        <v>1719</v>
      </c>
      <c r="B721" t="s">
        <v>998</v>
      </c>
      <c r="C721" t="s">
        <v>1468</v>
      </c>
      <c r="D721">
        <v>58.7</v>
      </c>
      <c r="E721">
        <v>80</v>
      </c>
      <c r="F721">
        <v>604</v>
      </c>
      <c r="G721">
        <f>MAX(ROUNDUP(D721, 0), E721) * IF(C721="COVERED", Parameters!$B$2, Parameters!$B$3)</f>
        <v>0</v>
      </c>
      <c r="H721">
        <f>F721 - G721</f>
        <v>0</v>
      </c>
      <c r="I721">
        <f>IF(ABS(H721)&gt;0.01, "Priority 3", "")</f>
        <v>0</v>
      </c>
    </row>
    <row r="722" spans="1:9">
      <c r="A722" t="s">
        <v>1720</v>
      </c>
      <c r="B722" t="s">
        <v>998</v>
      </c>
      <c r="C722" t="s">
        <v>1468</v>
      </c>
      <c r="D722">
        <v>56.1</v>
      </c>
      <c r="E722">
        <v>60</v>
      </c>
      <c r="F722">
        <v>453</v>
      </c>
      <c r="G722">
        <f>MAX(ROUNDUP(D722, 0), E722) * IF(C722="COVERED", Parameters!$B$2, Parameters!$B$3)</f>
        <v>0</v>
      </c>
      <c r="H722">
        <f>F722 - G722</f>
        <v>0</v>
      </c>
      <c r="I722">
        <f>IF(ABS(H722)&gt;0.01, "Priority 3", "")</f>
        <v>0</v>
      </c>
    </row>
    <row r="723" spans="1:9">
      <c r="A723" t="s">
        <v>1721</v>
      </c>
      <c r="B723" t="s">
        <v>998</v>
      </c>
      <c r="C723" t="s">
        <v>1468</v>
      </c>
      <c r="D723">
        <v>54.9</v>
      </c>
      <c r="E723">
        <v>60</v>
      </c>
      <c r="F723">
        <v>453</v>
      </c>
      <c r="G723">
        <f>MAX(ROUNDUP(D723, 0), E723) * IF(C723="COVERED", Parameters!$B$2, Parameters!$B$3)</f>
        <v>0</v>
      </c>
      <c r="H723">
        <f>F723 - G723</f>
        <v>0</v>
      </c>
      <c r="I723">
        <f>IF(ABS(H723)&gt;0.01, "Priority 3", "")</f>
        <v>0</v>
      </c>
    </row>
    <row r="724" spans="1:9">
      <c r="A724" t="s">
        <v>1722</v>
      </c>
      <c r="B724" t="s">
        <v>998</v>
      </c>
      <c r="C724" t="s">
        <v>1468</v>
      </c>
      <c r="D724">
        <v>31.6</v>
      </c>
      <c r="E724">
        <v>80</v>
      </c>
      <c r="F724">
        <v>604</v>
      </c>
      <c r="G724">
        <f>MAX(ROUNDUP(D724, 0), E724) * IF(C724="COVERED", Parameters!$B$2, Parameters!$B$3)</f>
        <v>0</v>
      </c>
      <c r="H724">
        <f>F724 - G724</f>
        <v>0</v>
      </c>
      <c r="I724">
        <f>IF(ABS(H724)&gt;0.01, "Priority 3", "")</f>
        <v>0</v>
      </c>
    </row>
    <row r="725" spans="1:9">
      <c r="A725" t="s">
        <v>1723</v>
      </c>
      <c r="B725" t="s">
        <v>998</v>
      </c>
      <c r="C725" t="s">
        <v>1468</v>
      </c>
      <c r="D725">
        <v>29.9</v>
      </c>
      <c r="E725">
        <v>60</v>
      </c>
      <c r="F725">
        <v>453</v>
      </c>
      <c r="G725">
        <f>MAX(ROUNDUP(D725, 0), E725) * IF(C725="COVERED", Parameters!$B$2, Parameters!$B$3)</f>
        <v>0</v>
      </c>
      <c r="H725">
        <f>F725 - G725</f>
        <v>0</v>
      </c>
      <c r="I725">
        <f>IF(ABS(H725)&gt;0.01, "Priority 3", "")</f>
        <v>0</v>
      </c>
    </row>
    <row r="726" spans="1:9">
      <c r="A726" t="s">
        <v>1724</v>
      </c>
      <c r="B726" t="s">
        <v>998</v>
      </c>
      <c r="C726" t="s">
        <v>1468</v>
      </c>
      <c r="D726">
        <v>45.5</v>
      </c>
      <c r="E726">
        <v>28</v>
      </c>
      <c r="F726">
        <v>347.3</v>
      </c>
      <c r="G726">
        <f>MAX(ROUNDUP(D726, 0), E726) * IF(C726="COVERED", Parameters!$B$2, Parameters!$B$3)</f>
        <v>0</v>
      </c>
      <c r="H726">
        <f>F726 - G726</f>
        <v>0</v>
      </c>
      <c r="I726">
        <f>IF(ABS(H726)&gt;0.01, "Priority 3", "")</f>
        <v>0</v>
      </c>
    </row>
    <row r="727" spans="1:9">
      <c r="A727" t="s">
        <v>1725</v>
      </c>
      <c r="B727" t="s">
        <v>998</v>
      </c>
      <c r="C727" t="s">
        <v>1468</v>
      </c>
      <c r="D727">
        <v>32.4</v>
      </c>
      <c r="E727">
        <v>24</v>
      </c>
      <c r="F727">
        <v>249.15</v>
      </c>
      <c r="G727">
        <f>MAX(ROUNDUP(D727, 0), E727) * IF(C727="COVERED", Parameters!$B$2, Parameters!$B$3)</f>
        <v>0</v>
      </c>
      <c r="H727">
        <f>F727 - G727</f>
        <v>0</v>
      </c>
      <c r="I727">
        <f>IF(ABS(H727)&gt;0.01, "Priority 3", "")</f>
        <v>0</v>
      </c>
    </row>
    <row r="728" spans="1:9">
      <c r="A728" t="s">
        <v>1726</v>
      </c>
      <c r="B728" t="s">
        <v>998</v>
      </c>
      <c r="C728" t="s">
        <v>1468</v>
      </c>
      <c r="D728">
        <v>55.3</v>
      </c>
      <c r="E728">
        <v>28</v>
      </c>
      <c r="F728">
        <v>422.8</v>
      </c>
      <c r="G728">
        <f>MAX(ROUNDUP(D728, 0), E728) * IF(C728="COVERED", Parameters!$B$2, Parameters!$B$3)</f>
        <v>0</v>
      </c>
      <c r="H728">
        <f>F728 - G728</f>
        <v>0</v>
      </c>
      <c r="I728">
        <f>IF(ABS(H728)&gt;0.01, "Priority 3", "")</f>
        <v>0</v>
      </c>
    </row>
    <row r="729" spans="1:9">
      <c r="A729" t="s">
        <v>1727</v>
      </c>
      <c r="B729" t="s">
        <v>998</v>
      </c>
      <c r="C729" t="s">
        <v>1468</v>
      </c>
      <c r="D729">
        <v>29.9</v>
      </c>
      <c r="E729">
        <v>28</v>
      </c>
      <c r="F729">
        <v>226.5</v>
      </c>
      <c r="G729">
        <f>MAX(ROUNDUP(D729, 0), E729) * IF(C729="COVERED", Parameters!$B$2, Parameters!$B$3)</f>
        <v>0</v>
      </c>
      <c r="H729">
        <f>F729 - G729</f>
        <v>0</v>
      </c>
      <c r="I729">
        <f>IF(ABS(H729)&gt;0.01, "Priority 3", "")</f>
        <v>0</v>
      </c>
    </row>
    <row r="730" spans="1:9">
      <c r="A730" t="s">
        <v>1728</v>
      </c>
      <c r="B730" t="s">
        <v>998</v>
      </c>
      <c r="C730" t="s">
        <v>1468</v>
      </c>
      <c r="D730">
        <v>35.3</v>
      </c>
      <c r="E730">
        <v>32</v>
      </c>
      <c r="F730">
        <v>271.8</v>
      </c>
      <c r="G730">
        <f>MAX(ROUNDUP(D730, 0), E730) * IF(C730="COVERED", Parameters!$B$2, Parameters!$B$3)</f>
        <v>0</v>
      </c>
      <c r="H730">
        <f>F730 - G730</f>
        <v>0</v>
      </c>
      <c r="I730">
        <f>IF(ABS(H730)&gt;0.01, "Priority 3", "")</f>
        <v>0</v>
      </c>
    </row>
    <row r="731" spans="1:9">
      <c r="A731" t="s">
        <v>1729</v>
      </c>
      <c r="B731" t="s">
        <v>998</v>
      </c>
      <c r="C731" t="s">
        <v>1468</v>
      </c>
      <c r="D731">
        <v>60</v>
      </c>
      <c r="E731">
        <v>80</v>
      </c>
      <c r="F731">
        <v>604</v>
      </c>
      <c r="G731">
        <f>MAX(ROUNDUP(D731, 0), E731) * IF(C731="COVERED", Parameters!$B$2, Parameters!$B$3)</f>
        <v>0</v>
      </c>
      <c r="H731">
        <f>F731 - G731</f>
        <v>0</v>
      </c>
      <c r="I731">
        <f>IF(ABS(H731)&gt;0.01, "Priority 3", "")</f>
        <v>0</v>
      </c>
    </row>
    <row r="732" spans="1:9">
      <c r="A732" t="s">
        <v>1730</v>
      </c>
      <c r="B732" t="s">
        <v>998</v>
      </c>
      <c r="C732" t="s">
        <v>1468</v>
      </c>
      <c r="D732">
        <v>46.9</v>
      </c>
      <c r="E732">
        <v>32</v>
      </c>
      <c r="F732">
        <v>354.85</v>
      </c>
      <c r="G732">
        <f>MAX(ROUNDUP(D732, 0), E732) * IF(C732="COVERED", Parameters!$B$2, Parameters!$B$3)</f>
        <v>0</v>
      </c>
      <c r="H732">
        <f>F732 - G732</f>
        <v>0</v>
      </c>
      <c r="I732">
        <f>IF(ABS(H732)&gt;0.01, "Priority 3", "")</f>
        <v>0</v>
      </c>
    </row>
    <row r="733" spans="1:9">
      <c r="A733" t="s">
        <v>1731</v>
      </c>
      <c r="B733" t="s">
        <v>998</v>
      </c>
      <c r="C733" t="s">
        <v>1468</v>
      </c>
      <c r="D733">
        <v>41.2</v>
      </c>
      <c r="E733">
        <v>32</v>
      </c>
      <c r="F733">
        <v>317.1</v>
      </c>
      <c r="G733">
        <f>MAX(ROUNDUP(D733, 0), E733) * IF(C733="COVERED", Parameters!$B$2, Parameters!$B$3)</f>
        <v>0</v>
      </c>
      <c r="H733">
        <f>F733 - G733</f>
        <v>0</v>
      </c>
      <c r="I733">
        <f>IF(ABS(H733)&gt;0.01, "Priority 3", "")</f>
        <v>0</v>
      </c>
    </row>
    <row r="734" spans="1:9">
      <c r="A734" t="s">
        <v>1732</v>
      </c>
      <c r="B734" t="s">
        <v>998</v>
      </c>
      <c r="C734" t="s">
        <v>1468</v>
      </c>
      <c r="D734">
        <v>51.5</v>
      </c>
      <c r="E734">
        <v>60</v>
      </c>
      <c r="F734">
        <v>453</v>
      </c>
      <c r="G734">
        <f>MAX(ROUNDUP(D734, 0), E734) * IF(C734="COVERED", Parameters!$B$2, Parameters!$B$3)</f>
        <v>0</v>
      </c>
      <c r="H734">
        <f>F734 - G734</f>
        <v>0</v>
      </c>
      <c r="I734">
        <f>IF(ABS(H734)&gt;0.01, "Priority 3", "")</f>
        <v>0</v>
      </c>
    </row>
    <row r="735" spans="1:9">
      <c r="A735" t="s">
        <v>1733</v>
      </c>
      <c r="B735" t="s">
        <v>998</v>
      </c>
      <c r="C735" t="s">
        <v>1468</v>
      </c>
      <c r="D735">
        <v>48.5</v>
      </c>
      <c r="E735">
        <v>40</v>
      </c>
      <c r="F735">
        <v>369.95</v>
      </c>
      <c r="G735">
        <f>MAX(ROUNDUP(D735, 0), E735) * IF(C735="COVERED", Parameters!$B$2, Parameters!$B$3)</f>
        <v>0</v>
      </c>
      <c r="H735">
        <f>F735 - G735</f>
        <v>0</v>
      </c>
      <c r="I735">
        <f>IF(ABS(H735)&gt;0.01, "Priority 3", "")</f>
        <v>0</v>
      </c>
    </row>
    <row r="736" spans="1:9">
      <c r="A736" t="s">
        <v>1734</v>
      </c>
      <c r="B736" t="s">
        <v>998</v>
      </c>
      <c r="C736" t="s">
        <v>1468</v>
      </c>
      <c r="D736">
        <v>20.4</v>
      </c>
      <c r="E736">
        <v>36</v>
      </c>
      <c r="F736">
        <v>271.8</v>
      </c>
      <c r="G736">
        <f>MAX(ROUNDUP(D736, 0), E736) * IF(C736="COVERED", Parameters!$B$2, Parameters!$B$3)</f>
        <v>0</v>
      </c>
      <c r="H736">
        <f>F736 - G736</f>
        <v>0</v>
      </c>
      <c r="I736">
        <f>IF(ABS(H736)&gt;0.01, "Priority 3", "")</f>
        <v>0</v>
      </c>
    </row>
    <row r="737" spans="1:9">
      <c r="A737" t="s">
        <v>1735</v>
      </c>
      <c r="B737" t="s">
        <v>998</v>
      </c>
      <c r="C737" t="s">
        <v>1468</v>
      </c>
      <c r="D737">
        <v>51.7</v>
      </c>
      <c r="E737">
        <v>70</v>
      </c>
      <c r="F737">
        <v>528.5</v>
      </c>
      <c r="G737">
        <f>MAX(ROUNDUP(D737, 0), E737) * IF(C737="COVERED", Parameters!$B$2, Parameters!$B$3)</f>
        <v>0</v>
      </c>
      <c r="H737">
        <f>F737 - G737</f>
        <v>0</v>
      </c>
      <c r="I737">
        <f>IF(ABS(H737)&gt;0.01, "Priority 3", "")</f>
        <v>0</v>
      </c>
    </row>
    <row r="738" spans="1:9">
      <c r="A738" t="s">
        <v>1736</v>
      </c>
      <c r="B738" t="s">
        <v>998</v>
      </c>
      <c r="C738" t="s">
        <v>1468</v>
      </c>
      <c r="D738">
        <v>60.7</v>
      </c>
      <c r="E738">
        <v>32</v>
      </c>
      <c r="F738">
        <v>460.55</v>
      </c>
      <c r="G738">
        <f>MAX(ROUNDUP(D738, 0), E738) * IF(C738="COVERED", Parameters!$B$2, Parameters!$B$3)</f>
        <v>0</v>
      </c>
      <c r="H738">
        <f>F738 - G738</f>
        <v>0</v>
      </c>
      <c r="I738">
        <f>IF(ABS(H738)&gt;0.01, "Priority 3", "")</f>
        <v>0</v>
      </c>
    </row>
    <row r="739" spans="1:9">
      <c r="A739" t="s">
        <v>1737</v>
      </c>
      <c r="B739" t="s">
        <v>998</v>
      </c>
      <c r="C739" t="s">
        <v>1468</v>
      </c>
      <c r="D739">
        <v>58.4</v>
      </c>
      <c r="E739">
        <v>32</v>
      </c>
      <c r="F739">
        <v>445.45</v>
      </c>
      <c r="G739">
        <f>MAX(ROUNDUP(D739, 0), E739) * IF(C739="COVERED", Parameters!$B$2, Parameters!$B$3)</f>
        <v>0</v>
      </c>
      <c r="H739">
        <f>F739 - G739</f>
        <v>0</v>
      </c>
      <c r="I739">
        <f>IF(ABS(H739)&gt;0.01, "Priority 3", "")</f>
        <v>0</v>
      </c>
    </row>
    <row r="740" spans="1:9">
      <c r="A740" t="s">
        <v>1738</v>
      </c>
      <c r="B740" t="s">
        <v>998</v>
      </c>
      <c r="C740" t="s">
        <v>1468</v>
      </c>
      <c r="D740">
        <v>25.6</v>
      </c>
      <c r="E740">
        <v>32</v>
      </c>
      <c r="F740">
        <v>241.6</v>
      </c>
      <c r="G740">
        <f>MAX(ROUNDUP(D740, 0), E740) * IF(C740="COVERED", Parameters!$B$2, Parameters!$B$3)</f>
        <v>0</v>
      </c>
      <c r="H740">
        <f>F740 - G740</f>
        <v>0</v>
      </c>
      <c r="I740">
        <f>IF(ABS(H740)&gt;0.01, "Priority 3", "")</f>
        <v>0</v>
      </c>
    </row>
    <row r="741" spans="1:9">
      <c r="A741" t="s">
        <v>1739</v>
      </c>
      <c r="B741" t="s">
        <v>998</v>
      </c>
      <c r="C741" t="s">
        <v>1468</v>
      </c>
      <c r="D741">
        <v>58.8</v>
      </c>
      <c r="E741">
        <v>32</v>
      </c>
      <c r="F741">
        <v>445.45</v>
      </c>
      <c r="G741">
        <f>MAX(ROUNDUP(D741, 0), E741) * IF(C741="COVERED", Parameters!$B$2, Parameters!$B$3)</f>
        <v>0</v>
      </c>
      <c r="H741">
        <f>F741 - G741</f>
        <v>0</v>
      </c>
      <c r="I741">
        <f>IF(ABS(H741)&gt;0.01, "Priority 3", "")</f>
        <v>0</v>
      </c>
    </row>
    <row r="742" spans="1:9">
      <c r="A742" t="s">
        <v>1740</v>
      </c>
      <c r="B742" t="s">
        <v>998</v>
      </c>
      <c r="C742" t="s">
        <v>1468</v>
      </c>
      <c r="D742">
        <v>32.1</v>
      </c>
      <c r="E742">
        <v>28</v>
      </c>
      <c r="F742">
        <v>249.15</v>
      </c>
      <c r="G742">
        <f>MAX(ROUNDUP(D742, 0), E742) * IF(C742="COVERED", Parameters!$B$2, Parameters!$B$3)</f>
        <v>0</v>
      </c>
      <c r="H742">
        <f>F742 - G742</f>
        <v>0</v>
      </c>
      <c r="I742">
        <f>IF(ABS(H742)&gt;0.01, "Priority 3", "")</f>
        <v>0</v>
      </c>
    </row>
    <row r="743" spans="1:9">
      <c r="A743" t="s">
        <v>1741</v>
      </c>
      <c r="B743" t="s">
        <v>998</v>
      </c>
      <c r="C743" t="s">
        <v>1468</v>
      </c>
      <c r="D743">
        <v>42.3</v>
      </c>
      <c r="E743">
        <v>36</v>
      </c>
      <c r="F743">
        <v>324.65</v>
      </c>
      <c r="G743">
        <f>MAX(ROUNDUP(D743, 0), E743) * IF(C743="COVERED", Parameters!$B$2, Parameters!$B$3)</f>
        <v>0</v>
      </c>
      <c r="H743">
        <f>F743 - G743</f>
        <v>0</v>
      </c>
      <c r="I743">
        <f>IF(ABS(H743)&gt;0.01, "Priority 3", "")</f>
        <v>0</v>
      </c>
    </row>
    <row r="744" spans="1:9">
      <c r="A744" t="s">
        <v>1742</v>
      </c>
      <c r="B744" t="s">
        <v>998</v>
      </c>
      <c r="C744" t="s">
        <v>1468</v>
      </c>
      <c r="D744">
        <v>58</v>
      </c>
      <c r="E744">
        <v>45</v>
      </c>
      <c r="F744">
        <v>437.9</v>
      </c>
      <c r="G744">
        <f>MAX(ROUNDUP(D744, 0), E744) * IF(C744="COVERED", Parameters!$B$2, Parameters!$B$3)</f>
        <v>0</v>
      </c>
      <c r="H744">
        <f>F744 - G744</f>
        <v>0</v>
      </c>
      <c r="I744">
        <f>IF(ABS(H744)&gt;0.01, "Priority 3", "")</f>
        <v>0</v>
      </c>
    </row>
    <row r="745" spans="1:9">
      <c r="A745" t="s">
        <v>1743</v>
      </c>
      <c r="B745" t="s">
        <v>998</v>
      </c>
      <c r="C745" t="s">
        <v>1468</v>
      </c>
      <c r="D745">
        <v>30.1</v>
      </c>
      <c r="E745">
        <v>45</v>
      </c>
      <c r="F745">
        <v>339.75</v>
      </c>
      <c r="G745">
        <f>MAX(ROUNDUP(D745, 0), E745) * IF(C745="COVERED", Parameters!$B$2, Parameters!$B$3)</f>
        <v>0</v>
      </c>
      <c r="H745">
        <f>F745 - G745</f>
        <v>0</v>
      </c>
      <c r="I745">
        <f>IF(ABS(H745)&gt;0.01, "Priority 3", "")</f>
        <v>0</v>
      </c>
    </row>
    <row r="746" spans="1:9">
      <c r="A746" t="s">
        <v>1744</v>
      </c>
      <c r="B746" t="s">
        <v>998</v>
      </c>
      <c r="C746" t="s">
        <v>1468</v>
      </c>
      <c r="D746">
        <v>54.2</v>
      </c>
      <c r="E746">
        <v>80</v>
      </c>
      <c r="F746">
        <v>604</v>
      </c>
      <c r="G746">
        <f>MAX(ROUNDUP(D746, 0), E746) * IF(C746="COVERED", Parameters!$B$2, Parameters!$B$3)</f>
        <v>0</v>
      </c>
      <c r="H746">
        <f>F746 - G746</f>
        <v>0</v>
      </c>
      <c r="I746">
        <f>IF(ABS(H746)&gt;0.01, "Priority 3", "")</f>
        <v>0</v>
      </c>
    </row>
    <row r="747" spans="1:9">
      <c r="A747" t="s">
        <v>1745</v>
      </c>
      <c r="B747" t="s">
        <v>998</v>
      </c>
      <c r="C747" t="s">
        <v>1468</v>
      </c>
      <c r="D747">
        <v>40.3</v>
      </c>
      <c r="E747">
        <v>45</v>
      </c>
      <c r="F747">
        <v>339.75</v>
      </c>
      <c r="G747">
        <f>MAX(ROUNDUP(D747, 0), E747) * IF(C747="COVERED", Parameters!$B$2, Parameters!$B$3)</f>
        <v>0</v>
      </c>
      <c r="H747">
        <f>F747 - G747</f>
        <v>0</v>
      </c>
      <c r="I747">
        <f>IF(ABS(H747)&gt;0.01, "Priority 3", "")</f>
        <v>0</v>
      </c>
    </row>
    <row r="748" spans="1:9">
      <c r="A748" t="s">
        <v>1746</v>
      </c>
      <c r="B748" t="s">
        <v>998</v>
      </c>
      <c r="C748" t="s">
        <v>1468</v>
      </c>
      <c r="D748">
        <v>33.6</v>
      </c>
      <c r="E748">
        <v>24</v>
      </c>
      <c r="F748">
        <v>256.7</v>
      </c>
      <c r="G748">
        <f>MAX(ROUNDUP(D748, 0), E748) * IF(C748="COVERED", Parameters!$B$2, Parameters!$B$3)</f>
        <v>0</v>
      </c>
      <c r="H748">
        <f>F748 - G748</f>
        <v>0</v>
      </c>
      <c r="I748">
        <f>IF(ABS(H748)&gt;0.01, "Priority 3", "")</f>
        <v>0</v>
      </c>
    </row>
    <row r="749" spans="1:9">
      <c r="A749" t="s">
        <v>1747</v>
      </c>
      <c r="B749" t="s">
        <v>998</v>
      </c>
      <c r="C749" t="s">
        <v>1468</v>
      </c>
      <c r="D749">
        <v>26.3</v>
      </c>
      <c r="E749">
        <v>32</v>
      </c>
      <c r="F749">
        <v>241.6</v>
      </c>
      <c r="G749">
        <f>MAX(ROUNDUP(D749, 0), E749) * IF(C749="COVERED", Parameters!$B$2, Parameters!$B$3)</f>
        <v>0</v>
      </c>
      <c r="H749">
        <f>F749 - G749</f>
        <v>0</v>
      </c>
      <c r="I749">
        <f>IF(ABS(H749)&gt;0.01, "Priority 3", "")</f>
        <v>0</v>
      </c>
    </row>
    <row r="750" spans="1:9">
      <c r="A750" t="s">
        <v>1748</v>
      </c>
      <c r="B750" t="s">
        <v>998</v>
      </c>
      <c r="C750" t="s">
        <v>1468</v>
      </c>
      <c r="D750">
        <v>38.1</v>
      </c>
      <c r="E750">
        <v>60</v>
      </c>
      <c r="F750">
        <v>453</v>
      </c>
      <c r="G750">
        <f>MAX(ROUNDUP(D750, 0), E750) * IF(C750="COVERED", Parameters!$B$2, Parameters!$B$3)</f>
        <v>0</v>
      </c>
      <c r="H750">
        <f>F750 - G750</f>
        <v>0</v>
      </c>
      <c r="I750">
        <f>IF(ABS(H750)&gt;0.01, "Priority 3", "")</f>
        <v>0</v>
      </c>
    </row>
    <row r="751" spans="1:9">
      <c r="A751" t="s">
        <v>1749</v>
      </c>
      <c r="B751" t="s">
        <v>998</v>
      </c>
      <c r="C751" t="s">
        <v>1468</v>
      </c>
      <c r="D751">
        <v>31.8</v>
      </c>
      <c r="E751">
        <v>45</v>
      </c>
      <c r="F751">
        <v>339.75</v>
      </c>
      <c r="G751">
        <f>MAX(ROUNDUP(D751, 0), E751) * IF(C751="COVERED", Parameters!$B$2, Parameters!$B$3)</f>
        <v>0</v>
      </c>
      <c r="H751">
        <f>F751 - G751</f>
        <v>0</v>
      </c>
      <c r="I751">
        <f>IF(ABS(H751)&gt;0.01, "Priority 3", "")</f>
        <v>0</v>
      </c>
    </row>
    <row r="752" spans="1:9">
      <c r="A752" t="s">
        <v>1750</v>
      </c>
      <c r="B752" t="s">
        <v>998</v>
      </c>
      <c r="C752" t="s">
        <v>1468</v>
      </c>
      <c r="D752">
        <v>61.4</v>
      </c>
      <c r="E752">
        <v>28</v>
      </c>
      <c r="F752">
        <v>468.1</v>
      </c>
      <c r="G752">
        <f>MAX(ROUNDUP(D752, 0), E752) * IF(C752="COVERED", Parameters!$B$2, Parameters!$B$3)</f>
        <v>0</v>
      </c>
      <c r="H752">
        <f>F752 - G752</f>
        <v>0</v>
      </c>
      <c r="I752">
        <f>IF(ABS(H752)&gt;0.01, "Priority 3", "")</f>
        <v>0</v>
      </c>
    </row>
    <row r="753" spans="1:9">
      <c r="A753" t="s">
        <v>1751</v>
      </c>
      <c r="B753" t="s">
        <v>998</v>
      </c>
      <c r="C753" t="s">
        <v>1468</v>
      </c>
      <c r="D753">
        <v>23.5</v>
      </c>
      <c r="E753">
        <v>45</v>
      </c>
      <c r="F753">
        <v>339.75</v>
      </c>
      <c r="G753">
        <f>MAX(ROUNDUP(D753, 0), E753) * IF(C753="COVERED", Parameters!$B$2, Parameters!$B$3)</f>
        <v>0</v>
      </c>
      <c r="H753">
        <f>F753 - G753</f>
        <v>0</v>
      </c>
      <c r="I753">
        <f>IF(ABS(H753)&gt;0.01, "Priority 3", "")</f>
        <v>0</v>
      </c>
    </row>
    <row r="754" spans="1:9">
      <c r="A754" t="s">
        <v>1752</v>
      </c>
      <c r="B754" t="s">
        <v>998</v>
      </c>
      <c r="C754" t="s">
        <v>1468</v>
      </c>
      <c r="D754">
        <v>21</v>
      </c>
      <c r="E754">
        <v>28</v>
      </c>
      <c r="F754">
        <v>211.4</v>
      </c>
      <c r="G754">
        <f>MAX(ROUNDUP(D754, 0), E754) * IF(C754="COVERED", Parameters!$B$2, Parameters!$B$3)</f>
        <v>0</v>
      </c>
      <c r="H754">
        <f>F754 - G754</f>
        <v>0</v>
      </c>
      <c r="I754">
        <f>IF(ABS(H754)&gt;0.01, "Priority 3", "")</f>
        <v>0</v>
      </c>
    </row>
    <row r="755" spans="1:9">
      <c r="A755" t="s">
        <v>1753</v>
      </c>
      <c r="B755" t="s">
        <v>998</v>
      </c>
      <c r="C755" t="s">
        <v>1468</v>
      </c>
      <c r="D755">
        <v>55.5</v>
      </c>
      <c r="E755">
        <v>45</v>
      </c>
      <c r="F755">
        <v>422.8</v>
      </c>
      <c r="G755">
        <f>MAX(ROUNDUP(D755, 0), E755) * IF(C755="COVERED", Parameters!$B$2, Parameters!$B$3)</f>
        <v>0</v>
      </c>
      <c r="H755">
        <f>F755 - G755</f>
        <v>0</v>
      </c>
      <c r="I755">
        <f>IF(ABS(H755)&gt;0.01, "Priority 3", "")</f>
        <v>0</v>
      </c>
    </row>
    <row r="756" spans="1:9">
      <c r="A756" t="s">
        <v>1754</v>
      </c>
      <c r="B756" t="s">
        <v>998</v>
      </c>
      <c r="C756" t="s">
        <v>1468</v>
      </c>
      <c r="D756">
        <v>40.2</v>
      </c>
      <c r="E756">
        <v>70</v>
      </c>
      <c r="F756">
        <v>528.5</v>
      </c>
      <c r="G756">
        <f>MAX(ROUNDUP(D756, 0), E756) * IF(C756="COVERED", Parameters!$B$2, Parameters!$B$3)</f>
        <v>0</v>
      </c>
      <c r="H756">
        <f>F756 - G756</f>
        <v>0</v>
      </c>
      <c r="I756">
        <f>IF(ABS(H756)&gt;0.01, "Priority 3", "")</f>
        <v>0</v>
      </c>
    </row>
    <row r="757" spans="1:9">
      <c r="A757" t="s">
        <v>1755</v>
      </c>
      <c r="B757" t="s">
        <v>998</v>
      </c>
      <c r="C757" t="s">
        <v>1468</v>
      </c>
      <c r="D757">
        <v>48.1</v>
      </c>
      <c r="E757">
        <v>32</v>
      </c>
      <c r="F757">
        <v>369.95</v>
      </c>
      <c r="G757">
        <f>MAX(ROUNDUP(D757, 0), E757) * IF(C757="COVERED", Parameters!$B$2, Parameters!$B$3)</f>
        <v>0</v>
      </c>
      <c r="H757">
        <f>F757 - G757</f>
        <v>0</v>
      </c>
      <c r="I757">
        <f>IF(ABS(H757)&gt;0.01, "Priority 3", "")</f>
        <v>0</v>
      </c>
    </row>
    <row r="758" spans="1:9">
      <c r="A758" t="s">
        <v>1756</v>
      </c>
      <c r="B758" t="s">
        <v>998</v>
      </c>
      <c r="C758" t="s">
        <v>1468</v>
      </c>
      <c r="D758">
        <v>35.1</v>
      </c>
      <c r="E758">
        <v>24</v>
      </c>
      <c r="F758">
        <v>271.8</v>
      </c>
      <c r="G758">
        <f>MAX(ROUNDUP(D758, 0), E758) * IF(C758="COVERED", Parameters!$B$2, Parameters!$B$3)</f>
        <v>0</v>
      </c>
      <c r="H758">
        <f>F758 - G758</f>
        <v>0</v>
      </c>
      <c r="I758">
        <f>IF(ABS(H758)&gt;0.01, "Priority 3", "")</f>
        <v>0</v>
      </c>
    </row>
    <row r="759" spans="1:9">
      <c r="A759" t="s">
        <v>1757</v>
      </c>
      <c r="B759" t="s">
        <v>998</v>
      </c>
      <c r="C759" t="s">
        <v>1468</v>
      </c>
      <c r="D759">
        <v>24.7</v>
      </c>
      <c r="E759">
        <v>60</v>
      </c>
      <c r="F759">
        <v>453</v>
      </c>
      <c r="G759">
        <f>MAX(ROUNDUP(D759, 0), E759) * IF(C759="COVERED", Parameters!$B$2, Parameters!$B$3)</f>
        <v>0</v>
      </c>
      <c r="H759">
        <f>F759 - G759</f>
        <v>0</v>
      </c>
      <c r="I759">
        <f>IF(ABS(H759)&gt;0.01, "Priority 3", "")</f>
        <v>0</v>
      </c>
    </row>
    <row r="760" spans="1:9">
      <c r="A760" t="s">
        <v>1758</v>
      </c>
      <c r="B760" t="s">
        <v>998</v>
      </c>
      <c r="C760" t="s">
        <v>1468</v>
      </c>
      <c r="D760">
        <v>31.7</v>
      </c>
      <c r="E760">
        <v>45</v>
      </c>
      <c r="F760">
        <v>339.75</v>
      </c>
      <c r="G760">
        <f>MAX(ROUNDUP(D760, 0), E760) * IF(C760="COVERED", Parameters!$B$2, Parameters!$B$3)</f>
        <v>0</v>
      </c>
      <c r="H760">
        <f>F760 - G760</f>
        <v>0</v>
      </c>
      <c r="I760">
        <f>IF(ABS(H760)&gt;0.01, "Priority 3", "")</f>
        <v>0</v>
      </c>
    </row>
    <row r="761" spans="1:9">
      <c r="A761" t="s">
        <v>1759</v>
      </c>
      <c r="B761" t="s">
        <v>998</v>
      </c>
      <c r="C761" t="s">
        <v>1468</v>
      </c>
      <c r="D761">
        <v>47.9</v>
      </c>
      <c r="E761">
        <v>24</v>
      </c>
      <c r="F761">
        <v>362.4</v>
      </c>
      <c r="G761">
        <f>MAX(ROUNDUP(D761, 0), E761) * IF(C761="COVERED", Parameters!$B$2, Parameters!$B$3)</f>
        <v>0</v>
      </c>
      <c r="H761">
        <f>F761 - G761</f>
        <v>0</v>
      </c>
      <c r="I761">
        <f>IF(ABS(H761)&gt;0.01, "Priority 3", "")</f>
        <v>0</v>
      </c>
    </row>
    <row r="762" spans="1:9">
      <c r="A762" t="s">
        <v>1760</v>
      </c>
      <c r="B762" t="s">
        <v>998</v>
      </c>
      <c r="C762" t="s">
        <v>1468</v>
      </c>
      <c r="D762">
        <v>23.7</v>
      </c>
      <c r="E762">
        <v>32</v>
      </c>
      <c r="F762">
        <v>241.6</v>
      </c>
      <c r="G762">
        <f>MAX(ROUNDUP(D762, 0), E762) * IF(C762="COVERED", Parameters!$B$2, Parameters!$B$3)</f>
        <v>0</v>
      </c>
      <c r="H762">
        <f>F762 - G762</f>
        <v>0</v>
      </c>
      <c r="I762">
        <f>IF(ABS(H762)&gt;0.01, "Priority 3", "")</f>
        <v>0</v>
      </c>
    </row>
    <row r="763" spans="1:9">
      <c r="A763" t="s">
        <v>1761</v>
      </c>
      <c r="B763" t="s">
        <v>998</v>
      </c>
      <c r="C763" t="s">
        <v>1468</v>
      </c>
      <c r="D763">
        <v>52.8</v>
      </c>
      <c r="E763">
        <v>32</v>
      </c>
      <c r="F763">
        <v>400.15</v>
      </c>
      <c r="G763">
        <f>MAX(ROUNDUP(D763, 0), E763) * IF(C763="COVERED", Parameters!$B$2, Parameters!$B$3)</f>
        <v>0</v>
      </c>
      <c r="H763">
        <f>F763 - G763</f>
        <v>0</v>
      </c>
      <c r="I763">
        <f>IF(ABS(H763)&gt;0.01, "Priority 3", "")</f>
        <v>0</v>
      </c>
    </row>
    <row r="764" spans="1:9">
      <c r="A764" t="s">
        <v>1762</v>
      </c>
      <c r="B764" t="s">
        <v>998</v>
      </c>
      <c r="C764" t="s">
        <v>1468</v>
      </c>
      <c r="D764">
        <v>28.3</v>
      </c>
      <c r="E764">
        <v>24</v>
      </c>
      <c r="F764">
        <v>218.95</v>
      </c>
      <c r="G764">
        <f>MAX(ROUNDUP(D764, 0), E764) * IF(C764="COVERED", Parameters!$B$2, Parameters!$B$3)</f>
        <v>0</v>
      </c>
      <c r="H764">
        <f>F764 - G764</f>
        <v>0</v>
      </c>
      <c r="I764">
        <f>IF(ABS(H764)&gt;0.01, "Priority 3", "")</f>
        <v>0</v>
      </c>
    </row>
    <row r="765" spans="1:9">
      <c r="A765" t="s">
        <v>1763</v>
      </c>
      <c r="B765" t="s">
        <v>998</v>
      </c>
      <c r="C765" t="s">
        <v>1468</v>
      </c>
      <c r="D765">
        <v>27</v>
      </c>
      <c r="E765">
        <v>32</v>
      </c>
      <c r="F765">
        <v>241.6</v>
      </c>
      <c r="G765">
        <f>MAX(ROUNDUP(D765, 0), E765) * IF(C765="COVERED", Parameters!$B$2, Parameters!$B$3)</f>
        <v>0</v>
      </c>
      <c r="H765">
        <f>F765 - G765</f>
        <v>0</v>
      </c>
      <c r="I765">
        <f>IF(ABS(H765)&gt;0.01, "Priority 3", "")</f>
        <v>0</v>
      </c>
    </row>
    <row r="766" spans="1:9">
      <c r="A766" t="s">
        <v>1764</v>
      </c>
      <c r="B766" t="s">
        <v>998</v>
      </c>
      <c r="C766" t="s">
        <v>1468</v>
      </c>
      <c r="D766">
        <v>18.5</v>
      </c>
      <c r="E766">
        <v>28</v>
      </c>
      <c r="F766">
        <v>211.4</v>
      </c>
      <c r="G766">
        <f>MAX(ROUNDUP(D766, 0), E766) * IF(C766="COVERED", Parameters!$B$2, Parameters!$B$3)</f>
        <v>0</v>
      </c>
      <c r="H766">
        <f>F766 - G766</f>
        <v>0</v>
      </c>
      <c r="I766">
        <f>IF(ABS(H766)&gt;0.01, "Priority 3", "")</f>
        <v>0</v>
      </c>
    </row>
    <row r="767" spans="1:9">
      <c r="A767" t="s">
        <v>1765</v>
      </c>
      <c r="B767" t="s">
        <v>998</v>
      </c>
      <c r="C767" t="s">
        <v>1468</v>
      </c>
      <c r="D767">
        <v>46.6</v>
      </c>
      <c r="E767">
        <v>80</v>
      </c>
      <c r="F767">
        <v>604</v>
      </c>
      <c r="G767">
        <f>MAX(ROUNDUP(D767, 0), E767) * IF(C767="COVERED", Parameters!$B$2, Parameters!$B$3)</f>
        <v>0</v>
      </c>
      <c r="H767">
        <f>F767 - G767</f>
        <v>0</v>
      </c>
      <c r="I767">
        <f>IF(ABS(H767)&gt;0.01, "Priority 3", "")</f>
        <v>0</v>
      </c>
    </row>
    <row r="768" spans="1:9">
      <c r="A768" t="s">
        <v>1766</v>
      </c>
      <c r="B768" t="s">
        <v>998</v>
      </c>
      <c r="C768" t="s">
        <v>1468</v>
      </c>
      <c r="D768">
        <v>40.9</v>
      </c>
      <c r="E768">
        <v>80</v>
      </c>
      <c r="F768">
        <v>604</v>
      </c>
      <c r="G768">
        <f>MAX(ROUNDUP(D768, 0), E768) * IF(C768="COVERED", Parameters!$B$2, Parameters!$B$3)</f>
        <v>0</v>
      </c>
      <c r="H768">
        <f>F768 - G768</f>
        <v>0</v>
      </c>
      <c r="I768">
        <f>IF(ABS(H768)&gt;0.01, "Priority 3", "")</f>
        <v>0</v>
      </c>
    </row>
    <row r="769" spans="1:9">
      <c r="A769" t="s">
        <v>1767</v>
      </c>
      <c r="B769" t="s">
        <v>998</v>
      </c>
      <c r="C769" t="s">
        <v>1468</v>
      </c>
      <c r="D769">
        <v>42</v>
      </c>
      <c r="E769">
        <v>32</v>
      </c>
      <c r="F769">
        <v>317.1</v>
      </c>
      <c r="G769">
        <f>MAX(ROUNDUP(D769, 0), E769) * IF(C769="COVERED", Parameters!$B$2, Parameters!$B$3)</f>
        <v>0</v>
      </c>
      <c r="H769">
        <f>F769 - G769</f>
        <v>0</v>
      </c>
      <c r="I769">
        <f>IF(ABS(H769)&gt;0.01, "Priority 3", "")</f>
        <v>0</v>
      </c>
    </row>
    <row r="770" spans="1:9">
      <c r="A770" t="s">
        <v>1768</v>
      </c>
      <c r="B770" t="s">
        <v>998</v>
      </c>
      <c r="C770" t="s">
        <v>1468</v>
      </c>
      <c r="D770">
        <v>22.6</v>
      </c>
      <c r="E770">
        <v>40</v>
      </c>
      <c r="F770">
        <v>302</v>
      </c>
      <c r="G770">
        <f>MAX(ROUNDUP(D770, 0), E770) * IF(C770="COVERED", Parameters!$B$2, Parameters!$B$3)</f>
        <v>0</v>
      </c>
      <c r="H770">
        <f>F770 - G770</f>
        <v>0</v>
      </c>
      <c r="I770">
        <f>IF(ABS(H770)&gt;0.01, "Priority 3", "")</f>
        <v>0</v>
      </c>
    </row>
    <row r="771" spans="1:9">
      <c r="A771" t="s">
        <v>1769</v>
      </c>
      <c r="B771" t="s">
        <v>998</v>
      </c>
      <c r="C771" t="s">
        <v>1468</v>
      </c>
      <c r="D771">
        <v>36.5</v>
      </c>
      <c r="E771">
        <v>60</v>
      </c>
      <c r="F771">
        <v>0</v>
      </c>
      <c r="G771">
        <f>MAX(ROUNDUP(D771, 0), E771) * IF(C771="COVERED", Parameters!$B$2, Parameters!$B$3)</f>
        <v>0</v>
      </c>
      <c r="H771">
        <f>F771 - G771</f>
        <v>0</v>
      </c>
      <c r="I771">
        <f>IF(ABS(H771)&gt;0.01, "Priority 3", "")</f>
        <v>0</v>
      </c>
    </row>
    <row r="772" spans="1:9">
      <c r="A772" t="s">
        <v>1770</v>
      </c>
      <c r="B772" t="s">
        <v>998</v>
      </c>
      <c r="C772" t="s">
        <v>1468</v>
      </c>
      <c r="D772">
        <v>43.9</v>
      </c>
      <c r="E772">
        <v>32</v>
      </c>
      <c r="F772">
        <v>0</v>
      </c>
      <c r="G772">
        <f>MAX(ROUNDUP(D772, 0), E772) * IF(C772="COVERED", Parameters!$B$2, Parameters!$B$3)</f>
        <v>0</v>
      </c>
      <c r="H772">
        <f>F772 - G772</f>
        <v>0</v>
      </c>
      <c r="I772">
        <f>IF(ABS(H772)&gt;0.01, "Priority 3", "")</f>
        <v>0</v>
      </c>
    </row>
    <row r="773" spans="1:9">
      <c r="A773" t="s">
        <v>1771</v>
      </c>
      <c r="B773" t="s">
        <v>998</v>
      </c>
      <c r="C773" t="s">
        <v>1468</v>
      </c>
      <c r="D773">
        <v>25.2</v>
      </c>
      <c r="E773">
        <v>50</v>
      </c>
      <c r="F773">
        <v>0</v>
      </c>
      <c r="G773">
        <f>MAX(ROUNDUP(D773, 0), E773) * IF(C773="COVERED", Parameters!$B$2, Parameters!$B$3)</f>
        <v>0</v>
      </c>
      <c r="H773">
        <f>F773 - G773</f>
        <v>0</v>
      </c>
      <c r="I773">
        <f>IF(ABS(H773)&gt;0.01, "Priority 3", "")</f>
        <v>0</v>
      </c>
    </row>
    <row r="774" spans="1:9">
      <c r="A774" t="s">
        <v>1772</v>
      </c>
      <c r="B774" t="s">
        <v>998</v>
      </c>
      <c r="C774" t="s">
        <v>1468</v>
      </c>
      <c r="D774">
        <v>54.3</v>
      </c>
      <c r="E774">
        <v>60</v>
      </c>
      <c r="F774">
        <v>0</v>
      </c>
      <c r="G774">
        <f>MAX(ROUNDUP(D774, 0), E774) * IF(C774="COVERED", Parameters!$B$2, Parameters!$B$3)</f>
        <v>0</v>
      </c>
      <c r="H774">
        <f>F774 - G774</f>
        <v>0</v>
      </c>
      <c r="I774">
        <f>IF(ABS(H774)&gt;0.01, "Priority 3", "")</f>
        <v>0</v>
      </c>
    </row>
    <row r="775" spans="1:9">
      <c r="A775" t="s">
        <v>1773</v>
      </c>
      <c r="B775" t="s">
        <v>998</v>
      </c>
      <c r="C775" t="s">
        <v>1468</v>
      </c>
      <c r="D775">
        <v>25.2</v>
      </c>
      <c r="E775">
        <v>45</v>
      </c>
      <c r="F775">
        <v>0</v>
      </c>
      <c r="G775">
        <f>MAX(ROUNDUP(D775, 0), E775) * IF(C775="COVERED", Parameters!$B$2, Parameters!$B$3)</f>
        <v>0</v>
      </c>
      <c r="H775">
        <f>F775 - G775</f>
        <v>0</v>
      </c>
      <c r="I775">
        <f>IF(ABS(H775)&gt;0.01, "Priority 3", "")</f>
        <v>0</v>
      </c>
    </row>
    <row r="776" spans="1:9">
      <c r="A776" t="s">
        <v>1774</v>
      </c>
      <c r="B776" t="s">
        <v>998</v>
      </c>
      <c r="C776" t="s">
        <v>1468</v>
      </c>
      <c r="D776">
        <v>38.3</v>
      </c>
      <c r="E776">
        <v>24</v>
      </c>
      <c r="F776">
        <v>0</v>
      </c>
      <c r="G776">
        <f>MAX(ROUNDUP(D776, 0), E776) * IF(C776="COVERED", Parameters!$B$2, Parameters!$B$3)</f>
        <v>0</v>
      </c>
      <c r="H776">
        <f>F776 - G776</f>
        <v>0</v>
      </c>
      <c r="I776">
        <f>IF(ABS(H776)&gt;0.01, "Priority 3", "")</f>
        <v>0</v>
      </c>
    </row>
    <row r="777" spans="1:9">
      <c r="A777" t="s">
        <v>1775</v>
      </c>
      <c r="B777" t="s">
        <v>998</v>
      </c>
      <c r="C777" t="s">
        <v>1468</v>
      </c>
      <c r="D777">
        <v>25.9</v>
      </c>
      <c r="E777">
        <v>70</v>
      </c>
      <c r="F777">
        <v>0</v>
      </c>
      <c r="G777">
        <f>MAX(ROUNDUP(D777, 0), E777) * IF(C777="COVERED", Parameters!$B$2, Parameters!$B$3)</f>
        <v>0</v>
      </c>
      <c r="H777">
        <f>F777 - G777</f>
        <v>0</v>
      </c>
      <c r="I777">
        <f>IF(ABS(H777)&gt;0.01, "Priority 3", "")</f>
        <v>0</v>
      </c>
    </row>
    <row r="778" spans="1:9">
      <c r="A778" t="s">
        <v>1776</v>
      </c>
      <c r="B778" t="s">
        <v>998</v>
      </c>
      <c r="C778" t="s">
        <v>1468</v>
      </c>
      <c r="D778">
        <v>35.6</v>
      </c>
      <c r="E778">
        <v>45</v>
      </c>
      <c r="F778">
        <v>0</v>
      </c>
      <c r="G778">
        <f>MAX(ROUNDUP(D778, 0), E778) * IF(C778="COVERED", Parameters!$B$2, Parameters!$B$3)</f>
        <v>0</v>
      </c>
      <c r="H778">
        <f>F778 - G778</f>
        <v>0</v>
      </c>
      <c r="I778">
        <f>IF(ABS(H778)&gt;0.01, "Priority 3", "")</f>
        <v>0</v>
      </c>
    </row>
    <row r="779" spans="1:9">
      <c r="A779" t="s">
        <v>1777</v>
      </c>
      <c r="B779" t="s">
        <v>998</v>
      </c>
      <c r="C779" t="s">
        <v>1468</v>
      </c>
      <c r="D779">
        <v>28.7</v>
      </c>
      <c r="E779">
        <v>70</v>
      </c>
      <c r="F779">
        <v>0</v>
      </c>
      <c r="G779">
        <f>MAX(ROUNDUP(D779, 0), E779) * IF(C779="COVERED", Parameters!$B$2, Parameters!$B$3)</f>
        <v>0</v>
      </c>
      <c r="H779">
        <f>F779 - G779</f>
        <v>0</v>
      </c>
      <c r="I779">
        <f>IF(ABS(H779)&gt;0.01, "Priority 3", "")</f>
        <v>0</v>
      </c>
    </row>
    <row r="780" spans="1:9">
      <c r="A780" t="s">
        <v>1778</v>
      </c>
      <c r="B780" t="s">
        <v>998</v>
      </c>
      <c r="C780" t="s">
        <v>1468</v>
      </c>
      <c r="D780">
        <v>37</v>
      </c>
      <c r="E780">
        <v>32</v>
      </c>
      <c r="F780">
        <v>0</v>
      </c>
      <c r="G780">
        <f>MAX(ROUNDUP(D780, 0), E780) * IF(C780="COVERED", Parameters!$B$2, Parameters!$B$3)</f>
        <v>0</v>
      </c>
      <c r="H780">
        <f>F780 - G780</f>
        <v>0</v>
      </c>
      <c r="I780">
        <f>IF(ABS(H780)&gt;0.01, "Priority 3", "")</f>
        <v>0</v>
      </c>
    </row>
    <row r="781" spans="1:9">
      <c r="A781" t="s">
        <v>1779</v>
      </c>
      <c r="B781" t="s">
        <v>998</v>
      </c>
      <c r="C781" t="s">
        <v>1468</v>
      </c>
      <c r="D781">
        <v>51.6</v>
      </c>
      <c r="E781">
        <v>32</v>
      </c>
      <c r="F781">
        <v>0</v>
      </c>
      <c r="G781">
        <f>MAX(ROUNDUP(D781, 0), E781) * IF(C781="COVERED", Parameters!$B$2, Parameters!$B$3)</f>
        <v>0</v>
      </c>
      <c r="H781">
        <f>F781 - G781</f>
        <v>0</v>
      </c>
      <c r="I781">
        <f>IF(ABS(H781)&gt;0.01, "Priority 3", "")</f>
        <v>0</v>
      </c>
    </row>
    <row r="782" spans="1:9">
      <c r="A782" t="s">
        <v>1780</v>
      </c>
      <c r="B782" t="s">
        <v>998</v>
      </c>
      <c r="C782" t="s">
        <v>1468</v>
      </c>
      <c r="D782">
        <v>32.5</v>
      </c>
      <c r="E782">
        <v>40</v>
      </c>
      <c r="F782">
        <v>0</v>
      </c>
      <c r="G782">
        <f>MAX(ROUNDUP(D782, 0), E782) * IF(C782="COVERED", Parameters!$B$2, Parameters!$B$3)</f>
        <v>0</v>
      </c>
      <c r="H782">
        <f>F782 - G782</f>
        <v>0</v>
      </c>
      <c r="I782">
        <f>IF(ABS(H782)&gt;0.01, "Priority 3", "")</f>
        <v>0</v>
      </c>
    </row>
    <row r="783" spans="1:9">
      <c r="A783" t="s">
        <v>1781</v>
      </c>
      <c r="B783" t="s">
        <v>998</v>
      </c>
      <c r="C783" t="s">
        <v>1468</v>
      </c>
      <c r="D783">
        <v>18.1</v>
      </c>
      <c r="E783">
        <v>32</v>
      </c>
      <c r="F783">
        <v>0</v>
      </c>
      <c r="G783">
        <f>MAX(ROUNDUP(D783, 0), E783) * IF(C783="COVERED", Parameters!$B$2, Parameters!$B$3)</f>
        <v>0</v>
      </c>
      <c r="H783">
        <f>F783 - G783</f>
        <v>0</v>
      </c>
      <c r="I783">
        <f>IF(ABS(H783)&gt;0.01, "Priority 3", "")</f>
        <v>0</v>
      </c>
    </row>
    <row r="784" spans="1:9">
      <c r="A784" t="s">
        <v>1782</v>
      </c>
      <c r="B784" t="s">
        <v>998</v>
      </c>
      <c r="C784" t="s">
        <v>1468</v>
      </c>
      <c r="D784">
        <v>52.3</v>
      </c>
      <c r="E784">
        <v>70</v>
      </c>
      <c r="F784">
        <v>0</v>
      </c>
      <c r="G784">
        <f>MAX(ROUNDUP(D784, 0), E784) * IF(C784="COVERED", Parameters!$B$2, Parameters!$B$3)</f>
        <v>0</v>
      </c>
      <c r="H784">
        <f>F784 - G784</f>
        <v>0</v>
      </c>
      <c r="I784">
        <f>IF(ABS(H784)&gt;0.01, "Priority 3", "")</f>
        <v>0</v>
      </c>
    </row>
    <row r="785" spans="1:9">
      <c r="A785" t="s">
        <v>1783</v>
      </c>
      <c r="B785" t="s">
        <v>998</v>
      </c>
      <c r="C785" t="s">
        <v>1468</v>
      </c>
      <c r="D785">
        <v>46.9</v>
      </c>
      <c r="E785">
        <v>24</v>
      </c>
      <c r="F785">
        <v>0</v>
      </c>
      <c r="G785">
        <f>MAX(ROUNDUP(D785, 0), E785) * IF(C785="COVERED", Parameters!$B$2, Parameters!$B$3)</f>
        <v>0</v>
      </c>
      <c r="H785">
        <f>F785 - G785</f>
        <v>0</v>
      </c>
      <c r="I785">
        <f>IF(ABS(H785)&gt;0.01, "Priority 3", "")</f>
        <v>0</v>
      </c>
    </row>
    <row r="786" spans="1:9">
      <c r="A786" t="s">
        <v>1784</v>
      </c>
      <c r="B786" t="s">
        <v>998</v>
      </c>
      <c r="C786" t="s">
        <v>1468</v>
      </c>
      <c r="D786">
        <v>54.3</v>
      </c>
      <c r="E786">
        <v>80</v>
      </c>
      <c r="F786">
        <v>0</v>
      </c>
      <c r="G786">
        <f>MAX(ROUNDUP(D786, 0), E786) * IF(C786="COVERED", Parameters!$B$2, Parameters!$B$3)</f>
        <v>0</v>
      </c>
      <c r="H786">
        <f>F786 - G786</f>
        <v>0</v>
      </c>
      <c r="I786">
        <f>IF(ABS(H786)&gt;0.01, "Priority 3", "")</f>
        <v>0</v>
      </c>
    </row>
    <row r="787" spans="1:9">
      <c r="A787" t="s">
        <v>1785</v>
      </c>
      <c r="B787" t="s">
        <v>998</v>
      </c>
      <c r="C787" t="s">
        <v>1468</v>
      </c>
      <c r="D787">
        <v>33.7</v>
      </c>
      <c r="E787">
        <v>40</v>
      </c>
      <c r="F787">
        <v>0</v>
      </c>
      <c r="G787">
        <f>MAX(ROUNDUP(D787, 0), E787) * IF(C787="COVERED", Parameters!$B$2, Parameters!$B$3)</f>
        <v>0</v>
      </c>
      <c r="H787">
        <f>F787 - G787</f>
        <v>0</v>
      </c>
      <c r="I787">
        <f>IF(ABS(H787)&gt;0.01, "Priority 3", "")</f>
        <v>0</v>
      </c>
    </row>
    <row r="788" spans="1:9">
      <c r="A788" t="s">
        <v>1786</v>
      </c>
      <c r="B788" t="s">
        <v>998</v>
      </c>
      <c r="C788" t="s">
        <v>1468</v>
      </c>
      <c r="D788">
        <v>61.4</v>
      </c>
      <c r="E788">
        <v>70</v>
      </c>
      <c r="F788">
        <v>0</v>
      </c>
      <c r="G788">
        <f>MAX(ROUNDUP(D788, 0), E788) * IF(C788="COVERED", Parameters!$B$2, Parameters!$B$3)</f>
        <v>0</v>
      </c>
      <c r="H788">
        <f>F788 - G788</f>
        <v>0</v>
      </c>
      <c r="I788">
        <f>IF(ABS(H788)&gt;0.01, "Priority 3", "")</f>
        <v>0</v>
      </c>
    </row>
    <row r="789" spans="1:9">
      <c r="A789" t="s">
        <v>1787</v>
      </c>
      <c r="B789" t="s">
        <v>998</v>
      </c>
      <c r="C789" t="s">
        <v>1468</v>
      </c>
      <c r="D789">
        <v>19.9</v>
      </c>
      <c r="E789">
        <v>80</v>
      </c>
      <c r="F789">
        <v>0</v>
      </c>
      <c r="G789">
        <f>MAX(ROUNDUP(D789, 0), E789) * IF(C789="COVERED", Parameters!$B$2, Parameters!$B$3)</f>
        <v>0</v>
      </c>
      <c r="H789">
        <f>F789 - G789</f>
        <v>0</v>
      </c>
      <c r="I789">
        <f>IF(ABS(H789)&gt;0.01, "Priority 3", "")</f>
        <v>0</v>
      </c>
    </row>
    <row r="790" spans="1:9">
      <c r="A790" t="s">
        <v>1788</v>
      </c>
      <c r="B790" t="s">
        <v>998</v>
      </c>
      <c r="C790" t="s">
        <v>1468</v>
      </c>
      <c r="D790">
        <v>46.7</v>
      </c>
      <c r="E790">
        <v>28</v>
      </c>
      <c r="F790">
        <v>0</v>
      </c>
      <c r="G790">
        <f>MAX(ROUNDUP(D790, 0), E790) * IF(C790="COVERED", Parameters!$B$2, Parameters!$B$3)</f>
        <v>0</v>
      </c>
      <c r="H790">
        <f>F790 - G790</f>
        <v>0</v>
      </c>
      <c r="I790">
        <f>IF(ABS(H790)&gt;0.01, "Priority 3", "")</f>
        <v>0</v>
      </c>
    </row>
    <row r="791" spans="1:9">
      <c r="A791" t="s">
        <v>1789</v>
      </c>
      <c r="B791" t="s">
        <v>998</v>
      </c>
      <c r="C791" t="s">
        <v>1468</v>
      </c>
      <c r="D791">
        <v>41.9</v>
      </c>
      <c r="E791">
        <v>28</v>
      </c>
      <c r="F791">
        <v>0</v>
      </c>
      <c r="G791">
        <f>MAX(ROUNDUP(D791, 0), E791) * IF(C791="COVERED", Parameters!$B$2, Parameters!$B$3)</f>
        <v>0</v>
      </c>
      <c r="H791">
        <f>F791 - G791</f>
        <v>0</v>
      </c>
      <c r="I791">
        <f>IF(ABS(H791)&gt;0.01, "Priority 3", "")</f>
        <v>0</v>
      </c>
    </row>
    <row r="792" spans="1:9">
      <c r="A792" t="s">
        <v>1790</v>
      </c>
      <c r="B792" t="s">
        <v>998</v>
      </c>
      <c r="C792" t="s">
        <v>1468</v>
      </c>
      <c r="D792">
        <v>19.1</v>
      </c>
      <c r="E792">
        <v>32</v>
      </c>
      <c r="F792">
        <v>0</v>
      </c>
      <c r="G792">
        <f>MAX(ROUNDUP(D792, 0), E792) * IF(C792="COVERED", Parameters!$B$2, Parameters!$B$3)</f>
        <v>0</v>
      </c>
      <c r="H792">
        <f>F792 - G792</f>
        <v>0</v>
      </c>
      <c r="I792">
        <f>IF(ABS(H792)&gt;0.01, "Priority 3", "")</f>
        <v>0</v>
      </c>
    </row>
    <row r="793" spans="1:9">
      <c r="A793" t="s">
        <v>1791</v>
      </c>
      <c r="B793" t="s">
        <v>998</v>
      </c>
      <c r="C793" t="s">
        <v>1468</v>
      </c>
      <c r="D793">
        <v>30.9</v>
      </c>
      <c r="E793">
        <v>70</v>
      </c>
      <c r="F793">
        <v>0</v>
      </c>
      <c r="G793">
        <f>MAX(ROUNDUP(D793, 0), E793) * IF(C793="COVERED", Parameters!$B$2, Parameters!$B$3)</f>
        <v>0</v>
      </c>
      <c r="H793">
        <f>F793 - G793</f>
        <v>0</v>
      </c>
      <c r="I793">
        <f>IF(ABS(H793)&gt;0.01, "Priority 3", "")</f>
        <v>0</v>
      </c>
    </row>
    <row r="794" spans="1:9">
      <c r="A794" t="s">
        <v>1792</v>
      </c>
      <c r="B794" t="s">
        <v>998</v>
      </c>
      <c r="C794" t="s">
        <v>1468</v>
      </c>
      <c r="D794">
        <v>41.2</v>
      </c>
      <c r="E794">
        <v>70</v>
      </c>
      <c r="F794">
        <v>0</v>
      </c>
      <c r="G794">
        <f>MAX(ROUNDUP(D794, 0), E794) * IF(C794="COVERED", Parameters!$B$2, Parameters!$B$3)</f>
        <v>0</v>
      </c>
      <c r="H794">
        <f>F794 - G794</f>
        <v>0</v>
      </c>
      <c r="I794">
        <f>IF(ABS(H794)&gt;0.01, "Priority 3", "")</f>
        <v>0</v>
      </c>
    </row>
    <row r="795" spans="1:9">
      <c r="A795" t="s">
        <v>1793</v>
      </c>
      <c r="B795" t="s">
        <v>998</v>
      </c>
      <c r="C795" t="s">
        <v>1468</v>
      </c>
      <c r="D795">
        <v>60.9</v>
      </c>
      <c r="E795">
        <v>24</v>
      </c>
      <c r="F795">
        <v>0</v>
      </c>
      <c r="G795">
        <f>MAX(ROUNDUP(D795, 0), E795) * IF(C795="COVERED", Parameters!$B$2, Parameters!$B$3)</f>
        <v>0</v>
      </c>
      <c r="H795">
        <f>F795 - G795</f>
        <v>0</v>
      </c>
      <c r="I795">
        <f>IF(ABS(H795)&gt;0.01, "Priority 3", "")</f>
        <v>0</v>
      </c>
    </row>
    <row r="796" spans="1:9">
      <c r="A796" t="s">
        <v>1794</v>
      </c>
      <c r="B796" t="s">
        <v>998</v>
      </c>
      <c r="C796" t="s">
        <v>1468</v>
      </c>
      <c r="D796">
        <v>31.3</v>
      </c>
      <c r="E796">
        <v>60</v>
      </c>
      <c r="F796">
        <v>0</v>
      </c>
      <c r="G796">
        <f>MAX(ROUNDUP(D796, 0), E796) * IF(C796="COVERED", Parameters!$B$2, Parameters!$B$3)</f>
        <v>0</v>
      </c>
      <c r="H796">
        <f>F796 - G796</f>
        <v>0</v>
      </c>
      <c r="I796">
        <f>IF(ABS(H796)&gt;0.01, "Priority 3", "")</f>
        <v>0</v>
      </c>
    </row>
    <row r="797" spans="1:9">
      <c r="A797" t="s">
        <v>1795</v>
      </c>
      <c r="B797" t="s">
        <v>998</v>
      </c>
      <c r="C797" t="s">
        <v>1468</v>
      </c>
      <c r="D797">
        <v>29.8</v>
      </c>
      <c r="E797">
        <v>60</v>
      </c>
      <c r="F797">
        <v>0</v>
      </c>
      <c r="G797">
        <f>MAX(ROUNDUP(D797, 0), E797) * IF(C797="COVERED", Parameters!$B$2, Parameters!$B$3)</f>
        <v>0</v>
      </c>
      <c r="H797">
        <f>F797 - G797</f>
        <v>0</v>
      </c>
      <c r="I797">
        <f>IF(ABS(H797)&gt;0.01, "Priority 3", "")</f>
        <v>0</v>
      </c>
    </row>
    <row r="798" spans="1:9">
      <c r="A798" t="s">
        <v>1796</v>
      </c>
      <c r="B798" t="s">
        <v>998</v>
      </c>
      <c r="C798" t="s">
        <v>1468</v>
      </c>
      <c r="D798">
        <v>53.7</v>
      </c>
      <c r="E798">
        <v>70</v>
      </c>
      <c r="F798">
        <v>0</v>
      </c>
      <c r="G798">
        <f>MAX(ROUNDUP(D798, 0), E798) * IF(C798="COVERED", Parameters!$B$2, Parameters!$B$3)</f>
        <v>0</v>
      </c>
      <c r="H798">
        <f>F798 - G798</f>
        <v>0</v>
      </c>
      <c r="I798">
        <f>IF(ABS(H798)&gt;0.01, "Priority 3", "")</f>
        <v>0</v>
      </c>
    </row>
    <row r="799" spans="1:9">
      <c r="A799" t="s">
        <v>1797</v>
      </c>
      <c r="B799" t="s">
        <v>998</v>
      </c>
      <c r="C799" t="s">
        <v>1468</v>
      </c>
      <c r="D799">
        <v>28.3</v>
      </c>
      <c r="E799">
        <v>24</v>
      </c>
      <c r="F799">
        <v>0</v>
      </c>
      <c r="G799">
        <f>MAX(ROUNDUP(D799, 0), E799) * IF(C799="COVERED", Parameters!$B$2, Parameters!$B$3)</f>
        <v>0</v>
      </c>
      <c r="H799">
        <f>F799 - G799</f>
        <v>0</v>
      </c>
      <c r="I799">
        <f>IF(ABS(H799)&gt;0.01, "Priority 3", "")</f>
        <v>0</v>
      </c>
    </row>
    <row r="800" spans="1:9">
      <c r="A800" t="s">
        <v>1798</v>
      </c>
      <c r="B800" t="s">
        <v>998</v>
      </c>
      <c r="C800" t="s">
        <v>1468</v>
      </c>
      <c r="D800">
        <v>41.9</v>
      </c>
      <c r="E800">
        <v>32</v>
      </c>
      <c r="F800">
        <v>0</v>
      </c>
      <c r="G800">
        <f>MAX(ROUNDUP(D800, 0), E800) * IF(C800="COVERED", Parameters!$B$2, Parameters!$B$3)</f>
        <v>0</v>
      </c>
      <c r="H800">
        <f>F800 - G800</f>
        <v>0</v>
      </c>
      <c r="I800">
        <f>IF(ABS(H800)&gt;0.01, "Priority 3", "")</f>
        <v>0</v>
      </c>
    </row>
    <row r="801" spans="1:9">
      <c r="A801" t="s">
        <v>1799</v>
      </c>
      <c r="B801" t="s">
        <v>998</v>
      </c>
      <c r="C801" t="s">
        <v>1468</v>
      </c>
      <c r="D801">
        <v>21</v>
      </c>
      <c r="E801">
        <v>32</v>
      </c>
      <c r="F801">
        <v>0</v>
      </c>
      <c r="G801">
        <f>MAX(ROUNDUP(D801, 0), E801) * IF(C801="COVERED", Parameters!$B$2, Parameters!$B$3)</f>
        <v>0</v>
      </c>
      <c r="H801">
        <f>F801 - G801</f>
        <v>0</v>
      </c>
      <c r="I801">
        <f>IF(ABS(H801)&gt;0.01, "Priority 3", "")</f>
        <v>0</v>
      </c>
    </row>
    <row r="802" spans="1:9">
      <c r="A802" t="s">
        <v>1800</v>
      </c>
      <c r="B802" t="s">
        <v>998</v>
      </c>
      <c r="C802" t="s">
        <v>1468</v>
      </c>
      <c r="D802">
        <v>30.7</v>
      </c>
      <c r="E802">
        <v>28</v>
      </c>
      <c r="F802">
        <v>0</v>
      </c>
      <c r="G802">
        <f>MAX(ROUNDUP(D802, 0), E802) * IF(C802="COVERED", Parameters!$B$2, Parameters!$B$3)</f>
        <v>0</v>
      </c>
      <c r="H802">
        <f>F802 - G802</f>
        <v>0</v>
      </c>
      <c r="I802">
        <f>IF(ABS(H802)&gt;0.01, "Priority 3", "")</f>
        <v>0</v>
      </c>
    </row>
    <row r="803" spans="1:9">
      <c r="A803" t="s">
        <v>1801</v>
      </c>
      <c r="B803" t="s">
        <v>998</v>
      </c>
      <c r="C803" t="s">
        <v>1468</v>
      </c>
      <c r="D803">
        <v>55.7</v>
      </c>
      <c r="E803">
        <v>32</v>
      </c>
      <c r="F803">
        <v>0</v>
      </c>
      <c r="G803">
        <f>MAX(ROUNDUP(D803, 0), E803) * IF(C803="COVERED", Parameters!$B$2, Parameters!$B$3)</f>
        <v>0</v>
      </c>
      <c r="H803">
        <f>F803 - G803</f>
        <v>0</v>
      </c>
      <c r="I803">
        <f>IF(ABS(H803)&gt;0.01, "Priority 3", "")</f>
        <v>0</v>
      </c>
    </row>
    <row r="804" spans="1:9">
      <c r="A804" t="s">
        <v>1802</v>
      </c>
      <c r="B804" t="s">
        <v>998</v>
      </c>
      <c r="C804" t="s">
        <v>1468</v>
      </c>
      <c r="D804">
        <v>58.3</v>
      </c>
      <c r="E804">
        <v>24</v>
      </c>
      <c r="F804">
        <v>0</v>
      </c>
      <c r="G804">
        <f>MAX(ROUNDUP(D804, 0), E804) * IF(C804="COVERED", Parameters!$B$2, Parameters!$B$3)</f>
        <v>0</v>
      </c>
      <c r="H804">
        <f>F804 - G804</f>
        <v>0</v>
      </c>
      <c r="I804">
        <f>IF(ABS(H804)&gt;0.01, "Priority 3", "")</f>
        <v>0</v>
      </c>
    </row>
    <row r="805" spans="1:9">
      <c r="A805" t="s">
        <v>1803</v>
      </c>
      <c r="B805" t="s">
        <v>998</v>
      </c>
      <c r="C805" t="s">
        <v>1468</v>
      </c>
      <c r="D805">
        <v>50.2</v>
      </c>
      <c r="E805">
        <v>32</v>
      </c>
      <c r="F805">
        <v>0</v>
      </c>
      <c r="G805">
        <f>MAX(ROUNDUP(D805, 0), E805) * IF(C805="COVERED", Parameters!$B$2, Parameters!$B$3)</f>
        <v>0</v>
      </c>
      <c r="H805">
        <f>F805 - G805</f>
        <v>0</v>
      </c>
      <c r="I805">
        <f>IF(ABS(H805)&gt;0.01, "Priority 3", "")</f>
        <v>0</v>
      </c>
    </row>
    <row r="806" spans="1:9">
      <c r="A806" t="s">
        <v>1804</v>
      </c>
      <c r="B806" t="s">
        <v>998</v>
      </c>
      <c r="C806" t="s">
        <v>1468</v>
      </c>
      <c r="D806">
        <v>30.5</v>
      </c>
      <c r="E806">
        <v>24</v>
      </c>
      <c r="F806">
        <v>0</v>
      </c>
      <c r="G806">
        <f>MAX(ROUNDUP(D806, 0), E806) * IF(C806="COVERED", Parameters!$B$2, Parameters!$B$3)</f>
        <v>0</v>
      </c>
      <c r="H806">
        <f>F806 - G806</f>
        <v>0</v>
      </c>
      <c r="I806">
        <f>IF(ABS(H806)&gt;0.01, "Priority 3", "")</f>
        <v>0</v>
      </c>
    </row>
    <row r="807" spans="1:9">
      <c r="A807" t="s">
        <v>1805</v>
      </c>
      <c r="B807" t="s">
        <v>998</v>
      </c>
      <c r="C807" t="s">
        <v>1468</v>
      </c>
      <c r="D807">
        <v>28.6</v>
      </c>
      <c r="E807">
        <v>45</v>
      </c>
      <c r="F807">
        <v>0</v>
      </c>
      <c r="G807">
        <f>MAX(ROUNDUP(D807, 0), E807) * IF(C807="COVERED", Parameters!$B$2, Parameters!$B$3)</f>
        <v>0</v>
      </c>
      <c r="H807">
        <f>F807 - G807</f>
        <v>0</v>
      </c>
      <c r="I807">
        <f>IF(ABS(H807)&gt;0.01, "Priority 3", "")</f>
        <v>0</v>
      </c>
    </row>
    <row r="808" spans="1:9">
      <c r="A808" t="s">
        <v>1806</v>
      </c>
      <c r="B808" t="s">
        <v>998</v>
      </c>
      <c r="C808" t="s">
        <v>1468</v>
      </c>
      <c r="D808">
        <v>39.9</v>
      </c>
      <c r="E808">
        <v>70</v>
      </c>
      <c r="F808">
        <v>0</v>
      </c>
      <c r="G808">
        <f>MAX(ROUNDUP(D808, 0), E808) * IF(C808="COVERED", Parameters!$B$2, Parameters!$B$3)</f>
        <v>0</v>
      </c>
      <c r="H808">
        <f>F808 - G808</f>
        <v>0</v>
      </c>
      <c r="I808">
        <f>IF(ABS(H808)&gt;0.01, "Priority 3", "")</f>
        <v>0</v>
      </c>
    </row>
    <row r="809" spans="1:9">
      <c r="A809" t="s">
        <v>1807</v>
      </c>
      <c r="B809" t="s">
        <v>998</v>
      </c>
      <c r="C809" t="s">
        <v>1468</v>
      </c>
      <c r="D809">
        <v>36.1</v>
      </c>
      <c r="E809">
        <v>28</v>
      </c>
      <c r="F809">
        <v>0</v>
      </c>
      <c r="G809">
        <f>MAX(ROUNDUP(D809, 0), E809) * IF(C809="COVERED", Parameters!$B$2, Parameters!$B$3)</f>
        <v>0</v>
      </c>
      <c r="H809">
        <f>F809 - G809</f>
        <v>0</v>
      </c>
      <c r="I809">
        <f>IF(ABS(H809)&gt;0.01, "Priority 3", "")</f>
        <v>0</v>
      </c>
    </row>
    <row r="810" spans="1:9">
      <c r="A810" t="s">
        <v>1808</v>
      </c>
      <c r="B810" t="s">
        <v>998</v>
      </c>
      <c r="C810" t="s">
        <v>1468</v>
      </c>
      <c r="D810">
        <v>53.2</v>
      </c>
      <c r="E810">
        <v>60</v>
      </c>
      <c r="F810">
        <v>0</v>
      </c>
      <c r="G810">
        <f>MAX(ROUNDUP(D810, 0), E810) * IF(C810="COVERED", Parameters!$B$2, Parameters!$B$3)</f>
        <v>0</v>
      </c>
      <c r="H810">
        <f>F810 - G810</f>
        <v>0</v>
      </c>
      <c r="I810">
        <f>IF(ABS(H810)&gt;0.01, "Priority 3", "")</f>
        <v>0</v>
      </c>
    </row>
    <row r="811" spans="1:9">
      <c r="A811" t="s">
        <v>1809</v>
      </c>
      <c r="B811" t="s">
        <v>998</v>
      </c>
      <c r="C811" t="s">
        <v>1468</v>
      </c>
      <c r="D811">
        <v>34.2</v>
      </c>
      <c r="E811">
        <v>70</v>
      </c>
      <c r="F811">
        <v>0</v>
      </c>
      <c r="G811">
        <f>MAX(ROUNDUP(D811, 0), E811) * IF(C811="COVERED", Parameters!$B$2, Parameters!$B$3)</f>
        <v>0</v>
      </c>
      <c r="H811">
        <f>F811 - G811</f>
        <v>0</v>
      </c>
      <c r="I811">
        <f>IF(ABS(H811)&gt;0.01, "Priority 3", "")</f>
        <v>0</v>
      </c>
    </row>
    <row r="812" spans="1:9">
      <c r="A812" t="s">
        <v>1810</v>
      </c>
      <c r="B812" t="s">
        <v>998</v>
      </c>
      <c r="C812" t="s">
        <v>1468</v>
      </c>
      <c r="D812">
        <v>36.4</v>
      </c>
      <c r="E812">
        <v>32</v>
      </c>
      <c r="F812">
        <v>0</v>
      </c>
      <c r="G812">
        <f>MAX(ROUNDUP(D812, 0), E812) * IF(C812="COVERED", Parameters!$B$2, Parameters!$B$3)</f>
        <v>0</v>
      </c>
      <c r="H812">
        <f>F812 - G812</f>
        <v>0</v>
      </c>
      <c r="I812">
        <f>IF(ABS(H812)&gt;0.01, "Priority 3", "")</f>
        <v>0</v>
      </c>
    </row>
    <row r="813" spans="1:9">
      <c r="A813" t="s">
        <v>1811</v>
      </c>
      <c r="B813" t="s">
        <v>998</v>
      </c>
      <c r="C813" t="s">
        <v>1468</v>
      </c>
      <c r="D813">
        <v>53.6</v>
      </c>
      <c r="E813">
        <v>32</v>
      </c>
      <c r="F813">
        <v>0</v>
      </c>
      <c r="G813">
        <f>MAX(ROUNDUP(D813, 0), E813) * IF(C813="COVERED", Parameters!$B$2, Parameters!$B$3)</f>
        <v>0</v>
      </c>
      <c r="H813">
        <f>F813 - G813</f>
        <v>0</v>
      </c>
      <c r="I813">
        <f>IF(ABS(H813)&gt;0.01, "Priority 3", "")</f>
        <v>0</v>
      </c>
    </row>
    <row r="814" spans="1:9">
      <c r="A814" t="s">
        <v>1812</v>
      </c>
      <c r="B814" t="s">
        <v>998</v>
      </c>
      <c r="C814" t="s">
        <v>1468</v>
      </c>
      <c r="D814">
        <v>43.6</v>
      </c>
      <c r="E814">
        <v>50</v>
      </c>
      <c r="F814">
        <v>0</v>
      </c>
      <c r="G814">
        <f>MAX(ROUNDUP(D814, 0), E814) * IF(C814="COVERED", Parameters!$B$2, Parameters!$B$3)</f>
        <v>0</v>
      </c>
      <c r="H814">
        <f>F814 - G814</f>
        <v>0</v>
      </c>
      <c r="I814">
        <f>IF(ABS(H814)&gt;0.01, "Priority 3", "")</f>
        <v>0</v>
      </c>
    </row>
    <row r="815" spans="1:9">
      <c r="A815" t="s">
        <v>1813</v>
      </c>
      <c r="B815" t="s">
        <v>998</v>
      </c>
      <c r="C815" t="s">
        <v>1468</v>
      </c>
      <c r="D815">
        <v>58.6</v>
      </c>
      <c r="E815">
        <v>24</v>
      </c>
      <c r="F815">
        <v>0</v>
      </c>
      <c r="G815">
        <f>MAX(ROUNDUP(D815, 0), E815) * IF(C815="COVERED", Parameters!$B$2, Parameters!$B$3)</f>
        <v>0</v>
      </c>
      <c r="H815">
        <f>F815 - G815</f>
        <v>0</v>
      </c>
      <c r="I815">
        <f>IF(ABS(H815)&gt;0.01, "Priority 3", "")</f>
        <v>0</v>
      </c>
    </row>
    <row r="816" spans="1:9">
      <c r="A816" t="s">
        <v>1814</v>
      </c>
      <c r="B816" t="s">
        <v>998</v>
      </c>
      <c r="C816" t="s">
        <v>1468</v>
      </c>
      <c r="D816">
        <v>33.4</v>
      </c>
      <c r="E816">
        <v>80</v>
      </c>
      <c r="F816">
        <v>0</v>
      </c>
      <c r="G816">
        <f>MAX(ROUNDUP(D816, 0), E816) * IF(C816="COVERED", Parameters!$B$2, Parameters!$B$3)</f>
        <v>0</v>
      </c>
      <c r="H816">
        <f>F816 - G816</f>
        <v>0</v>
      </c>
      <c r="I816">
        <f>IF(ABS(H816)&gt;0.01, "Priority 3", "")</f>
        <v>0</v>
      </c>
    </row>
    <row r="817" spans="1:9">
      <c r="A817" t="s">
        <v>1815</v>
      </c>
      <c r="B817" t="s">
        <v>998</v>
      </c>
      <c r="C817" t="s">
        <v>1468</v>
      </c>
      <c r="D817">
        <v>39.3</v>
      </c>
      <c r="E817">
        <v>24</v>
      </c>
      <c r="F817">
        <v>0</v>
      </c>
      <c r="G817">
        <f>MAX(ROUNDUP(D817, 0), E817) * IF(C817="COVERED", Parameters!$B$2, Parameters!$B$3)</f>
        <v>0</v>
      </c>
      <c r="H817">
        <f>F817 - G817</f>
        <v>0</v>
      </c>
      <c r="I817">
        <f>IF(ABS(H817)&gt;0.01, "Priority 3", "")</f>
        <v>0</v>
      </c>
    </row>
    <row r="818" spans="1:9">
      <c r="A818" t="s">
        <v>1816</v>
      </c>
      <c r="B818" t="s">
        <v>998</v>
      </c>
      <c r="C818" t="s">
        <v>1468</v>
      </c>
      <c r="D818">
        <v>28.7</v>
      </c>
      <c r="E818">
        <v>70</v>
      </c>
      <c r="F818">
        <v>0</v>
      </c>
      <c r="G818">
        <f>MAX(ROUNDUP(D818, 0), E818) * IF(C818="COVERED", Parameters!$B$2, Parameters!$B$3)</f>
        <v>0</v>
      </c>
      <c r="H818">
        <f>F818 - G818</f>
        <v>0</v>
      </c>
      <c r="I818">
        <f>IF(ABS(H818)&gt;0.01, "Priority 3", "")</f>
        <v>0</v>
      </c>
    </row>
    <row r="819" spans="1:9">
      <c r="A819" t="s">
        <v>1817</v>
      </c>
      <c r="B819" t="s">
        <v>998</v>
      </c>
      <c r="C819" t="s">
        <v>1468</v>
      </c>
      <c r="D819">
        <v>43.8</v>
      </c>
      <c r="E819">
        <v>36</v>
      </c>
      <c r="F819">
        <v>0</v>
      </c>
      <c r="G819">
        <f>MAX(ROUNDUP(D819, 0), E819) * IF(C819="COVERED", Parameters!$B$2, Parameters!$B$3)</f>
        <v>0</v>
      </c>
      <c r="H819">
        <f>F819 - G819</f>
        <v>0</v>
      </c>
      <c r="I819">
        <f>IF(ABS(H819)&gt;0.01, "Priority 3", "")</f>
        <v>0</v>
      </c>
    </row>
    <row r="820" spans="1:9">
      <c r="A820" t="s">
        <v>1818</v>
      </c>
      <c r="B820" t="s">
        <v>998</v>
      </c>
      <c r="C820" t="s">
        <v>1468</v>
      </c>
      <c r="D820">
        <v>40.5</v>
      </c>
      <c r="E820">
        <v>45</v>
      </c>
      <c r="F820">
        <v>0</v>
      </c>
      <c r="G820">
        <f>MAX(ROUNDUP(D820, 0), E820) * IF(C820="COVERED", Parameters!$B$2, Parameters!$B$3)</f>
        <v>0</v>
      </c>
      <c r="H820">
        <f>F820 - G820</f>
        <v>0</v>
      </c>
      <c r="I820">
        <f>IF(ABS(H820)&gt;0.01, "Priority 3", "")</f>
        <v>0</v>
      </c>
    </row>
    <row r="821" spans="1:9">
      <c r="A821" t="s">
        <v>1819</v>
      </c>
      <c r="B821" t="s">
        <v>998</v>
      </c>
      <c r="C821" t="s">
        <v>1468</v>
      </c>
      <c r="D821">
        <v>48.3</v>
      </c>
      <c r="E821">
        <v>45</v>
      </c>
      <c r="F821">
        <v>0</v>
      </c>
      <c r="G821">
        <f>MAX(ROUNDUP(D821, 0), E821) * IF(C821="COVERED", Parameters!$B$2, Parameters!$B$3)</f>
        <v>0</v>
      </c>
      <c r="H821">
        <f>F821 - G821</f>
        <v>0</v>
      </c>
      <c r="I821">
        <f>IF(ABS(H821)&gt;0.01, "Priority 3", "")</f>
        <v>0</v>
      </c>
    </row>
    <row r="822" spans="1:9">
      <c r="A822" t="s">
        <v>1820</v>
      </c>
      <c r="B822" t="s">
        <v>998</v>
      </c>
      <c r="C822" t="s">
        <v>1468</v>
      </c>
      <c r="D822">
        <v>45</v>
      </c>
      <c r="E822">
        <v>80</v>
      </c>
      <c r="F822">
        <v>0</v>
      </c>
      <c r="G822">
        <f>MAX(ROUNDUP(D822, 0), E822) * IF(C822="COVERED", Parameters!$B$2, Parameters!$B$3)</f>
        <v>0</v>
      </c>
      <c r="H822">
        <f>F822 - G822</f>
        <v>0</v>
      </c>
      <c r="I822">
        <f>IF(ABS(H822)&gt;0.01, "Priority 3", "")</f>
        <v>0</v>
      </c>
    </row>
    <row r="823" spans="1:9">
      <c r="A823" t="s">
        <v>1821</v>
      </c>
      <c r="B823" t="s">
        <v>998</v>
      </c>
      <c r="C823" t="s">
        <v>1468</v>
      </c>
      <c r="D823">
        <v>40.5</v>
      </c>
      <c r="E823">
        <v>28</v>
      </c>
      <c r="F823">
        <v>0</v>
      </c>
      <c r="G823">
        <f>MAX(ROUNDUP(D823, 0), E823) * IF(C823="COVERED", Parameters!$B$2, Parameters!$B$3)</f>
        <v>0</v>
      </c>
      <c r="H823">
        <f>F823 - G823</f>
        <v>0</v>
      </c>
      <c r="I823">
        <f>IF(ABS(H823)&gt;0.01, "Priority 3", "")</f>
        <v>0</v>
      </c>
    </row>
    <row r="824" spans="1:9">
      <c r="A824" t="s">
        <v>1822</v>
      </c>
      <c r="B824" t="s">
        <v>998</v>
      </c>
      <c r="C824" t="s">
        <v>1468</v>
      </c>
      <c r="D824">
        <v>34.6</v>
      </c>
      <c r="E824">
        <v>24</v>
      </c>
      <c r="F824">
        <v>0</v>
      </c>
      <c r="G824">
        <f>MAX(ROUNDUP(D824, 0), E824) * IF(C824="COVERED", Parameters!$B$2, Parameters!$B$3)</f>
        <v>0</v>
      </c>
      <c r="H824">
        <f>F824 - G824</f>
        <v>0</v>
      </c>
      <c r="I824">
        <f>IF(ABS(H824)&gt;0.01, "Priority 3", "")</f>
        <v>0</v>
      </c>
    </row>
    <row r="825" spans="1:9">
      <c r="A825" t="s">
        <v>1823</v>
      </c>
      <c r="B825" t="s">
        <v>998</v>
      </c>
      <c r="C825" t="s">
        <v>1468</v>
      </c>
      <c r="D825">
        <v>27.9</v>
      </c>
      <c r="E825">
        <v>24</v>
      </c>
      <c r="F825">
        <v>0</v>
      </c>
      <c r="G825">
        <f>MAX(ROUNDUP(D825, 0), E825) * IF(C825="COVERED", Parameters!$B$2, Parameters!$B$3)</f>
        <v>0</v>
      </c>
      <c r="H825">
        <f>F825 - G825</f>
        <v>0</v>
      </c>
      <c r="I825">
        <f>IF(ABS(H825)&gt;0.01, "Priority 3", "")</f>
        <v>0</v>
      </c>
    </row>
    <row r="826" spans="1:9">
      <c r="A826" t="s">
        <v>1824</v>
      </c>
      <c r="B826" t="s">
        <v>998</v>
      </c>
      <c r="C826" t="s">
        <v>1468</v>
      </c>
      <c r="D826">
        <v>49.7</v>
      </c>
      <c r="E826">
        <v>60</v>
      </c>
      <c r="F826">
        <v>0</v>
      </c>
      <c r="G826">
        <f>MAX(ROUNDUP(D826, 0), E826) * IF(C826="COVERED", Parameters!$B$2, Parameters!$B$3)</f>
        <v>0</v>
      </c>
      <c r="H826">
        <f>F826 - G826</f>
        <v>0</v>
      </c>
      <c r="I826">
        <f>IF(ABS(H826)&gt;0.01, "Priority 3", "")</f>
        <v>0</v>
      </c>
    </row>
    <row r="827" spans="1:9">
      <c r="A827" t="s">
        <v>1825</v>
      </c>
      <c r="B827" t="s">
        <v>998</v>
      </c>
      <c r="C827" t="s">
        <v>1468</v>
      </c>
      <c r="D827">
        <v>42</v>
      </c>
      <c r="E827">
        <v>50</v>
      </c>
      <c r="F827">
        <v>0</v>
      </c>
      <c r="G827">
        <f>MAX(ROUNDUP(D827, 0), E827) * IF(C827="COVERED", Parameters!$B$2, Parameters!$B$3)</f>
        <v>0</v>
      </c>
      <c r="H827">
        <f>F827 - G827</f>
        <v>0</v>
      </c>
      <c r="I827">
        <f>IF(ABS(H827)&gt;0.01, "Priority 3", "")</f>
        <v>0</v>
      </c>
    </row>
    <row r="828" spans="1:9">
      <c r="A828" t="s">
        <v>1826</v>
      </c>
      <c r="B828" t="s">
        <v>998</v>
      </c>
      <c r="C828" t="s">
        <v>1468</v>
      </c>
      <c r="D828">
        <v>37.4</v>
      </c>
      <c r="E828">
        <v>50</v>
      </c>
      <c r="F828">
        <v>0</v>
      </c>
      <c r="G828">
        <f>MAX(ROUNDUP(D828, 0), E828) * IF(C828="COVERED", Parameters!$B$2, Parameters!$B$3)</f>
        <v>0</v>
      </c>
      <c r="H828">
        <f>F828 - G828</f>
        <v>0</v>
      </c>
      <c r="I828">
        <f>IF(ABS(H828)&gt;0.01, "Priority 3", "")</f>
        <v>0</v>
      </c>
    </row>
    <row r="829" spans="1:9">
      <c r="A829" t="s">
        <v>1827</v>
      </c>
      <c r="B829" t="s">
        <v>998</v>
      </c>
      <c r="C829" t="s">
        <v>1468</v>
      </c>
      <c r="D829">
        <v>59.7</v>
      </c>
      <c r="E829">
        <v>50</v>
      </c>
      <c r="F829">
        <v>0</v>
      </c>
      <c r="G829">
        <f>MAX(ROUNDUP(D829, 0), E829) * IF(C829="COVERED", Parameters!$B$2, Parameters!$B$3)</f>
        <v>0</v>
      </c>
      <c r="H829">
        <f>F829 - G829</f>
        <v>0</v>
      </c>
      <c r="I829">
        <f>IF(ABS(H829)&gt;0.01, "Priority 3", "")</f>
        <v>0</v>
      </c>
    </row>
    <row r="830" spans="1:9">
      <c r="A830" t="s">
        <v>1828</v>
      </c>
      <c r="B830" t="s">
        <v>998</v>
      </c>
      <c r="C830" t="s">
        <v>1468</v>
      </c>
      <c r="D830">
        <v>39.4</v>
      </c>
      <c r="E830">
        <v>32</v>
      </c>
      <c r="F830">
        <v>0</v>
      </c>
      <c r="G830">
        <f>MAX(ROUNDUP(D830, 0), E830) * IF(C830="COVERED", Parameters!$B$2, Parameters!$B$3)</f>
        <v>0</v>
      </c>
      <c r="H830">
        <f>F830 - G830</f>
        <v>0</v>
      </c>
      <c r="I830">
        <f>IF(ABS(H830)&gt;0.01, "Priority 3", "")</f>
        <v>0</v>
      </c>
    </row>
    <row r="831" spans="1:9">
      <c r="A831" t="s">
        <v>1829</v>
      </c>
      <c r="B831" t="s">
        <v>998</v>
      </c>
      <c r="C831" t="s">
        <v>1468</v>
      </c>
      <c r="D831">
        <v>37</v>
      </c>
      <c r="E831">
        <v>45</v>
      </c>
      <c r="F831">
        <v>0</v>
      </c>
      <c r="G831">
        <f>MAX(ROUNDUP(D831, 0), E831) * IF(C831="COVERED", Parameters!$B$2, Parameters!$B$3)</f>
        <v>0</v>
      </c>
      <c r="H831">
        <f>F831 - G831</f>
        <v>0</v>
      </c>
      <c r="I831">
        <f>IF(ABS(H831)&gt;0.01, "Priority 3", "")</f>
        <v>0</v>
      </c>
    </row>
    <row r="832" spans="1:9">
      <c r="A832" t="s">
        <v>1830</v>
      </c>
      <c r="B832" t="s">
        <v>998</v>
      </c>
      <c r="C832" t="s">
        <v>1468</v>
      </c>
      <c r="D832">
        <v>46.2</v>
      </c>
      <c r="E832">
        <v>45</v>
      </c>
      <c r="F832">
        <v>0</v>
      </c>
      <c r="G832">
        <f>MAX(ROUNDUP(D832, 0), E832) * IF(C832="COVERED", Parameters!$B$2, Parameters!$B$3)</f>
        <v>0</v>
      </c>
      <c r="H832">
        <f>F832 - G832</f>
        <v>0</v>
      </c>
      <c r="I832">
        <f>IF(ABS(H832)&gt;0.01, "Priority 3", "")</f>
        <v>0</v>
      </c>
    </row>
    <row r="833" spans="1:9">
      <c r="A833" t="s">
        <v>1831</v>
      </c>
      <c r="B833" t="s">
        <v>998</v>
      </c>
      <c r="C833" t="s">
        <v>1468</v>
      </c>
      <c r="D833">
        <v>59.8</v>
      </c>
      <c r="E833">
        <v>45</v>
      </c>
      <c r="F833">
        <v>0</v>
      </c>
      <c r="G833">
        <f>MAX(ROUNDUP(D833, 0), E833) * IF(C833="COVERED", Parameters!$B$2, Parameters!$B$3)</f>
        <v>0</v>
      </c>
      <c r="H833">
        <f>F833 - G833</f>
        <v>0</v>
      </c>
      <c r="I833">
        <f>IF(ABS(H833)&gt;0.01, "Priority 3", "")</f>
        <v>0</v>
      </c>
    </row>
    <row r="834" spans="1:9">
      <c r="A834" t="s">
        <v>1832</v>
      </c>
      <c r="B834" t="s">
        <v>998</v>
      </c>
      <c r="C834" t="s">
        <v>1468</v>
      </c>
      <c r="D834">
        <v>31.6</v>
      </c>
      <c r="E834">
        <v>40</v>
      </c>
      <c r="F834">
        <v>0</v>
      </c>
      <c r="G834">
        <f>MAX(ROUNDUP(D834, 0), E834) * IF(C834="COVERED", Parameters!$B$2, Parameters!$B$3)</f>
        <v>0</v>
      </c>
      <c r="H834">
        <f>F834 - G834</f>
        <v>0</v>
      </c>
      <c r="I834">
        <f>IF(ABS(H834)&gt;0.01, "Priority 3", "")</f>
        <v>0</v>
      </c>
    </row>
    <row r="835" spans="1:9">
      <c r="A835" t="s">
        <v>1833</v>
      </c>
      <c r="B835" t="s">
        <v>998</v>
      </c>
      <c r="C835" t="s">
        <v>1468</v>
      </c>
      <c r="D835">
        <v>38.3</v>
      </c>
      <c r="E835">
        <v>28</v>
      </c>
      <c r="F835">
        <v>0</v>
      </c>
      <c r="G835">
        <f>MAX(ROUNDUP(D835, 0), E835) * IF(C835="COVERED", Parameters!$B$2, Parameters!$B$3)</f>
        <v>0</v>
      </c>
      <c r="H835">
        <f>F835 - G835</f>
        <v>0</v>
      </c>
      <c r="I835">
        <f>IF(ABS(H835)&gt;0.01, "Priority 3", "")</f>
        <v>0</v>
      </c>
    </row>
    <row r="836" spans="1:9">
      <c r="A836" t="s">
        <v>1834</v>
      </c>
      <c r="B836" t="s">
        <v>998</v>
      </c>
      <c r="C836" t="s">
        <v>1468</v>
      </c>
      <c r="D836">
        <v>55.4</v>
      </c>
      <c r="E836">
        <v>36</v>
      </c>
      <c r="F836">
        <v>0</v>
      </c>
      <c r="G836">
        <f>MAX(ROUNDUP(D836, 0), E836) * IF(C836="COVERED", Parameters!$B$2, Parameters!$B$3)</f>
        <v>0</v>
      </c>
      <c r="H836">
        <f>F836 - G836</f>
        <v>0</v>
      </c>
      <c r="I836">
        <f>IF(ABS(H836)&gt;0.01, "Priority 3", "")</f>
        <v>0</v>
      </c>
    </row>
    <row r="837" spans="1:9">
      <c r="A837" t="s">
        <v>1835</v>
      </c>
      <c r="B837" t="s">
        <v>998</v>
      </c>
      <c r="C837" t="s">
        <v>1468</v>
      </c>
      <c r="D837">
        <v>57.4</v>
      </c>
      <c r="E837">
        <v>45</v>
      </c>
      <c r="F837">
        <v>0</v>
      </c>
      <c r="G837">
        <f>MAX(ROUNDUP(D837, 0), E837) * IF(C837="COVERED", Parameters!$B$2, Parameters!$B$3)</f>
        <v>0</v>
      </c>
      <c r="H837">
        <f>F837 - G837</f>
        <v>0</v>
      </c>
      <c r="I837">
        <f>IF(ABS(H837)&gt;0.01, "Priority 3", "")</f>
        <v>0</v>
      </c>
    </row>
    <row r="838" spans="1:9">
      <c r="A838" t="s">
        <v>1836</v>
      </c>
      <c r="B838" t="s">
        <v>998</v>
      </c>
      <c r="C838" t="s">
        <v>1468</v>
      </c>
      <c r="D838">
        <v>43.1</v>
      </c>
      <c r="E838">
        <v>28</v>
      </c>
      <c r="F838">
        <v>0</v>
      </c>
      <c r="G838">
        <f>MAX(ROUNDUP(D838, 0), E838) * IF(C838="COVERED", Parameters!$B$2, Parameters!$B$3)</f>
        <v>0</v>
      </c>
      <c r="H838">
        <f>F838 - G838</f>
        <v>0</v>
      </c>
      <c r="I838">
        <f>IF(ABS(H838)&gt;0.01, "Priority 3", "")</f>
        <v>0</v>
      </c>
    </row>
    <row r="839" spans="1:9">
      <c r="A839" t="s">
        <v>1837</v>
      </c>
      <c r="B839" t="s">
        <v>998</v>
      </c>
      <c r="C839" t="s">
        <v>1468</v>
      </c>
      <c r="D839">
        <v>29.2</v>
      </c>
      <c r="E839">
        <v>70</v>
      </c>
      <c r="F839">
        <v>0</v>
      </c>
      <c r="G839">
        <f>MAX(ROUNDUP(D839, 0), E839) * IF(C839="COVERED", Parameters!$B$2, Parameters!$B$3)</f>
        <v>0</v>
      </c>
      <c r="H839">
        <f>F839 - G839</f>
        <v>0</v>
      </c>
      <c r="I839">
        <f>IF(ABS(H839)&gt;0.01, "Priority 3", "")</f>
        <v>0</v>
      </c>
    </row>
    <row r="840" spans="1:9">
      <c r="A840" t="s">
        <v>1838</v>
      </c>
      <c r="B840" t="s">
        <v>998</v>
      </c>
      <c r="C840" t="s">
        <v>1468</v>
      </c>
      <c r="D840">
        <v>30.5</v>
      </c>
      <c r="E840">
        <v>70</v>
      </c>
      <c r="F840">
        <v>0</v>
      </c>
      <c r="G840">
        <f>MAX(ROUNDUP(D840, 0), E840) * IF(C840="COVERED", Parameters!$B$2, Parameters!$B$3)</f>
        <v>0</v>
      </c>
      <c r="H840">
        <f>F840 - G840</f>
        <v>0</v>
      </c>
      <c r="I840">
        <f>IF(ABS(H840)&gt;0.01, "Priority 3", "")</f>
        <v>0</v>
      </c>
    </row>
    <row r="841" spans="1:9">
      <c r="A841" t="s">
        <v>1839</v>
      </c>
      <c r="B841" t="s">
        <v>998</v>
      </c>
      <c r="C841" t="s">
        <v>1468</v>
      </c>
      <c r="D841">
        <v>34.6</v>
      </c>
      <c r="E841">
        <v>45</v>
      </c>
      <c r="F841">
        <v>0</v>
      </c>
      <c r="G841">
        <f>MAX(ROUNDUP(D841, 0), E841) * IF(C841="COVERED", Parameters!$B$2, Parameters!$B$3)</f>
        <v>0</v>
      </c>
      <c r="H841">
        <f>F841 - G841</f>
        <v>0</v>
      </c>
      <c r="I841">
        <f>IF(ABS(H841)&gt;0.01, "Priority 3", "")</f>
        <v>0</v>
      </c>
    </row>
    <row r="842" spans="1:9">
      <c r="A842" t="s">
        <v>1840</v>
      </c>
      <c r="B842" t="s">
        <v>998</v>
      </c>
      <c r="C842" t="s">
        <v>1468</v>
      </c>
      <c r="D842">
        <v>48.3</v>
      </c>
      <c r="E842">
        <v>28</v>
      </c>
      <c r="F842">
        <v>0</v>
      </c>
      <c r="G842">
        <f>MAX(ROUNDUP(D842, 0), E842) * IF(C842="COVERED", Parameters!$B$2, Parameters!$B$3)</f>
        <v>0</v>
      </c>
      <c r="H842">
        <f>F842 - G842</f>
        <v>0</v>
      </c>
      <c r="I842">
        <f>IF(ABS(H842)&gt;0.01, "Priority 3", "")</f>
        <v>0</v>
      </c>
    </row>
    <row r="843" spans="1:9">
      <c r="A843" t="s">
        <v>1841</v>
      </c>
      <c r="B843" t="s">
        <v>998</v>
      </c>
      <c r="C843" t="s">
        <v>1468</v>
      </c>
      <c r="D843">
        <v>48.7</v>
      </c>
      <c r="E843">
        <v>28</v>
      </c>
      <c r="F843">
        <v>0</v>
      </c>
      <c r="G843">
        <f>MAX(ROUNDUP(D843, 0), E843) * IF(C843="COVERED", Parameters!$B$2, Parameters!$B$3)</f>
        <v>0</v>
      </c>
      <c r="H843">
        <f>F843 - G843</f>
        <v>0</v>
      </c>
      <c r="I843">
        <f>IF(ABS(H843)&gt;0.01, "Priority 3", "")</f>
        <v>0</v>
      </c>
    </row>
    <row r="844" spans="1:9">
      <c r="A844" t="s">
        <v>1842</v>
      </c>
      <c r="B844" t="s">
        <v>998</v>
      </c>
      <c r="C844" t="s">
        <v>1468</v>
      </c>
      <c r="D844">
        <v>33.1</v>
      </c>
      <c r="E844">
        <v>70</v>
      </c>
      <c r="F844">
        <v>0</v>
      </c>
      <c r="G844">
        <f>MAX(ROUNDUP(D844, 0), E844) * IF(C844="COVERED", Parameters!$B$2, Parameters!$B$3)</f>
        <v>0</v>
      </c>
      <c r="H844">
        <f>F844 - G844</f>
        <v>0</v>
      </c>
      <c r="I844">
        <f>IF(ABS(H844)&gt;0.01, "Priority 3", "")</f>
        <v>0</v>
      </c>
    </row>
    <row r="845" spans="1:9">
      <c r="A845" t="s">
        <v>1843</v>
      </c>
      <c r="B845" t="s">
        <v>998</v>
      </c>
      <c r="C845" t="s">
        <v>1468</v>
      </c>
      <c r="D845">
        <v>55.9</v>
      </c>
      <c r="E845">
        <v>70</v>
      </c>
      <c r="F845">
        <v>0</v>
      </c>
      <c r="G845">
        <f>MAX(ROUNDUP(D845, 0), E845) * IF(C845="COVERED", Parameters!$B$2, Parameters!$B$3)</f>
        <v>0</v>
      </c>
      <c r="H845">
        <f>F845 - G845</f>
        <v>0</v>
      </c>
      <c r="I845">
        <f>IF(ABS(H845)&gt;0.01, "Priority 3", "")</f>
        <v>0</v>
      </c>
    </row>
    <row r="846" spans="1:9">
      <c r="A846" t="s">
        <v>1844</v>
      </c>
      <c r="B846" t="s">
        <v>998</v>
      </c>
      <c r="C846" t="s">
        <v>1468</v>
      </c>
      <c r="D846">
        <v>56.6</v>
      </c>
      <c r="E846">
        <v>60</v>
      </c>
      <c r="F846">
        <v>0</v>
      </c>
      <c r="G846">
        <f>MAX(ROUNDUP(D846, 0), E846) * IF(C846="COVERED", Parameters!$B$2, Parameters!$B$3)</f>
        <v>0</v>
      </c>
      <c r="H846">
        <f>F846 - G846</f>
        <v>0</v>
      </c>
      <c r="I846">
        <f>IF(ABS(H846)&gt;0.01, "Priority 3", "")</f>
        <v>0</v>
      </c>
    </row>
    <row r="847" spans="1:9">
      <c r="A847" t="s">
        <v>1845</v>
      </c>
      <c r="B847" t="s">
        <v>998</v>
      </c>
      <c r="C847" t="s">
        <v>1468</v>
      </c>
      <c r="D847">
        <v>56</v>
      </c>
      <c r="E847">
        <v>70</v>
      </c>
      <c r="F847">
        <v>0</v>
      </c>
      <c r="G847">
        <f>MAX(ROUNDUP(D847, 0), E847) * IF(C847="COVERED", Parameters!$B$2, Parameters!$B$3)</f>
        <v>0</v>
      </c>
      <c r="H847">
        <f>F847 - G847</f>
        <v>0</v>
      </c>
      <c r="I847">
        <f>IF(ABS(H847)&gt;0.01, "Priority 3", "")</f>
        <v>0</v>
      </c>
    </row>
    <row r="848" spans="1:9">
      <c r="A848" t="s">
        <v>1846</v>
      </c>
      <c r="B848" t="s">
        <v>998</v>
      </c>
      <c r="C848" t="s">
        <v>1468</v>
      </c>
      <c r="D848">
        <v>43.9</v>
      </c>
      <c r="E848">
        <v>24</v>
      </c>
      <c r="F848">
        <v>0</v>
      </c>
      <c r="G848">
        <f>MAX(ROUNDUP(D848, 0), E848) * IF(C848="COVERED", Parameters!$B$2, Parameters!$B$3)</f>
        <v>0</v>
      </c>
      <c r="H848">
        <f>F848 - G848</f>
        <v>0</v>
      </c>
      <c r="I848">
        <f>IF(ABS(H848)&gt;0.01, "Priority 3", "")</f>
        <v>0</v>
      </c>
    </row>
    <row r="849" spans="1:9">
      <c r="A849" t="s">
        <v>1847</v>
      </c>
      <c r="B849" t="s">
        <v>998</v>
      </c>
      <c r="C849" t="s">
        <v>1468</v>
      </c>
      <c r="D849">
        <v>57.9</v>
      </c>
      <c r="E849">
        <v>28</v>
      </c>
      <c r="F849">
        <v>0</v>
      </c>
      <c r="G849">
        <f>MAX(ROUNDUP(D849, 0), E849) * IF(C849="COVERED", Parameters!$B$2, Parameters!$B$3)</f>
        <v>0</v>
      </c>
      <c r="H849">
        <f>F849 - G849</f>
        <v>0</v>
      </c>
      <c r="I849">
        <f>IF(ABS(H849)&gt;0.01, "Priority 3", "")</f>
        <v>0</v>
      </c>
    </row>
    <row r="850" spans="1:9">
      <c r="A850" t="s">
        <v>1848</v>
      </c>
      <c r="B850" t="s">
        <v>998</v>
      </c>
      <c r="C850" t="s">
        <v>1468</v>
      </c>
      <c r="D850">
        <v>48.4</v>
      </c>
      <c r="E850">
        <v>24</v>
      </c>
      <c r="F850">
        <v>0</v>
      </c>
      <c r="G850">
        <f>MAX(ROUNDUP(D850, 0), E850) * IF(C850="COVERED", Parameters!$B$2, Parameters!$B$3)</f>
        <v>0</v>
      </c>
      <c r="H850">
        <f>F850 - G850</f>
        <v>0</v>
      </c>
      <c r="I850">
        <f>IF(ABS(H850)&gt;0.01, "Priority 3", "")</f>
        <v>0</v>
      </c>
    </row>
    <row r="851" spans="1:9">
      <c r="A851" t="s">
        <v>1849</v>
      </c>
      <c r="B851" t="s">
        <v>998</v>
      </c>
      <c r="C851" t="s">
        <v>1468</v>
      </c>
      <c r="D851">
        <v>27.3</v>
      </c>
      <c r="E851">
        <v>24</v>
      </c>
      <c r="F851">
        <v>0</v>
      </c>
      <c r="G851">
        <f>MAX(ROUNDUP(D851, 0), E851) * IF(C851="COVERED", Parameters!$B$2, Parameters!$B$3)</f>
        <v>0</v>
      </c>
      <c r="H851">
        <f>F851 - G851</f>
        <v>0</v>
      </c>
      <c r="I851">
        <f>IF(ABS(H851)&gt;0.01, "Priority 3", "")</f>
        <v>0</v>
      </c>
    </row>
    <row r="852" spans="1:9">
      <c r="A852" t="s">
        <v>1850</v>
      </c>
      <c r="B852" t="s">
        <v>998</v>
      </c>
      <c r="C852" t="s">
        <v>1468</v>
      </c>
      <c r="D852">
        <v>29.8</v>
      </c>
      <c r="E852">
        <v>60</v>
      </c>
      <c r="F852">
        <v>0</v>
      </c>
      <c r="G852">
        <f>MAX(ROUNDUP(D852, 0), E852) * IF(C852="COVERED", Parameters!$B$2, Parameters!$B$3)</f>
        <v>0</v>
      </c>
      <c r="H852">
        <f>F852 - G852</f>
        <v>0</v>
      </c>
      <c r="I852">
        <f>IF(ABS(H852)&gt;0.01, "Priority 3", "")</f>
        <v>0</v>
      </c>
    </row>
    <row r="853" spans="1:9">
      <c r="A853" t="s">
        <v>1851</v>
      </c>
      <c r="B853" t="s">
        <v>998</v>
      </c>
      <c r="C853" t="s">
        <v>1468</v>
      </c>
      <c r="D853">
        <v>45.8</v>
      </c>
      <c r="E853">
        <v>24</v>
      </c>
      <c r="F853">
        <v>0</v>
      </c>
      <c r="G853">
        <f>MAX(ROUNDUP(D853, 0), E853) * IF(C853="COVERED", Parameters!$B$2, Parameters!$B$3)</f>
        <v>0</v>
      </c>
      <c r="H853">
        <f>F853 - G853</f>
        <v>0</v>
      </c>
      <c r="I853">
        <f>IF(ABS(H853)&gt;0.01, "Priority 3", "")</f>
        <v>0</v>
      </c>
    </row>
    <row r="854" spans="1:9">
      <c r="A854" t="s">
        <v>1852</v>
      </c>
      <c r="B854" t="s">
        <v>998</v>
      </c>
      <c r="C854" t="s">
        <v>1468</v>
      </c>
      <c r="D854">
        <v>59.7</v>
      </c>
      <c r="E854">
        <v>36</v>
      </c>
      <c r="F854">
        <v>0</v>
      </c>
      <c r="G854">
        <f>MAX(ROUNDUP(D854, 0), E854) * IF(C854="COVERED", Parameters!$B$2, Parameters!$B$3)</f>
        <v>0</v>
      </c>
      <c r="H854">
        <f>F854 - G854</f>
        <v>0</v>
      </c>
      <c r="I854">
        <f>IF(ABS(H854)&gt;0.01, "Priority 3", "")</f>
        <v>0</v>
      </c>
    </row>
    <row r="855" spans="1:9">
      <c r="A855" t="s">
        <v>1853</v>
      </c>
      <c r="B855" t="s">
        <v>998</v>
      </c>
      <c r="C855" t="s">
        <v>1468</v>
      </c>
      <c r="D855">
        <v>59.9</v>
      </c>
      <c r="E855">
        <v>36</v>
      </c>
      <c r="F855">
        <v>0</v>
      </c>
      <c r="G855">
        <f>MAX(ROUNDUP(D855, 0), E855) * IF(C855="COVERED", Parameters!$B$2, Parameters!$B$3)</f>
        <v>0</v>
      </c>
      <c r="H855">
        <f>F855 - G855</f>
        <v>0</v>
      </c>
      <c r="I855">
        <f>IF(ABS(H855)&gt;0.01, "Priority 3", "")</f>
        <v>0</v>
      </c>
    </row>
    <row r="856" spans="1:9">
      <c r="A856" t="s">
        <v>1854</v>
      </c>
      <c r="B856" t="s">
        <v>998</v>
      </c>
      <c r="C856" t="s">
        <v>1468</v>
      </c>
      <c r="D856">
        <v>49.7</v>
      </c>
      <c r="E856">
        <v>32</v>
      </c>
      <c r="F856">
        <v>0</v>
      </c>
      <c r="G856">
        <f>MAX(ROUNDUP(D856, 0), E856) * IF(C856="COVERED", Parameters!$B$2, Parameters!$B$3)</f>
        <v>0</v>
      </c>
      <c r="H856">
        <f>F856 - G856</f>
        <v>0</v>
      </c>
      <c r="I856">
        <f>IF(ABS(H856)&gt;0.01, "Priority 3", "")</f>
        <v>0</v>
      </c>
    </row>
    <row r="857" spans="1:9">
      <c r="A857" t="s">
        <v>1855</v>
      </c>
      <c r="B857" t="s">
        <v>998</v>
      </c>
      <c r="C857" t="s">
        <v>1468</v>
      </c>
      <c r="D857">
        <v>38.9</v>
      </c>
      <c r="E857">
        <v>50</v>
      </c>
      <c r="F857">
        <v>0</v>
      </c>
      <c r="G857">
        <f>MAX(ROUNDUP(D857, 0), E857) * IF(C857="COVERED", Parameters!$B$2, Parameters!$B$3)</f>
        <v>0</v>
      </c>
      <c r="H857">
        <f>F857 - G857</f>
        <v>0</v>
      </c>
      <c r="I857">
        <f>IF(ABS(H857)&gt;0.01, "Priority 3", "")</f>
        <v>0</v>
      </c>
    </row>
    <row r="858" spans="1:9">
      <c r="A858" t="s">
        <v>1856</v>
      </c>
      <c r="B858" t="s">
        <v>998</v>
      </c>
      <c r="C858" t="s">
        <v>1468</v>
      </c>
      <c r="D858">
        <v>53.3</v>
      </c>
      <c r="E858">
        <v>45</v>
      </c>
      <c r="F858">
        <v>0</v>
      </c>
      <c r="G858">
        <f>MAX(ROUNDUP(D858, 0), E858) * IF(C858="COVERED", Parameters!$B$2, Parameters!$B$3)</f>
        <v>0</v>
      </c>
      <c r="H858">
        <f>F858 - G858</f>
        <v>0</v>
      </c>
      <c r="I858">
        <f>IF(ABS(H858)&gt;0.01, "Priority 3", "")</f>
        <v>0</v>
      </c>
    </row>
    <row r="859" spans="1:9">
      <c r="A859" t="s">
        <v>1857</v>
      </c>
      <c r="B859" t="s">
        <v>998</v>
      </c>
      <c r="C859" t="s">
        <v>1468</v>
      </c>
      <c r="D859">
        <v>25.5</v>
      </c>
      <c r="E859">
        <v>45</v>
      </c>
      <c r="F859">
        <v>0</v>
      </c>
      <c r="G859">
        <f>MAX(ROUNDUP(D859, 0), E859) * IF(C859="COVERED", Parameters!$B$2, Parameters!$B$3)</f>
        <v>0</v>
      </c>
      <c r="H859">
        <f>F859 - G859</f>
        <v>0</v>
      </c>
      <c r="I859">
        <f>IF(ABS(H859)&gt;0.01, "Priority 3", "")</f>
        <v>0</v>
      </c>
    </row>
    <row r="860" spans="1:9">
      <c r="A860" t="s">
        <v>1858</v>
      </c>
      <c r="B860" t="s">
        <v>998</v>
      </c>
      <c r="C860" t="s">
        <v>1468</v>
      </c>
      <c r="D860">
        <v>50.9</v>
      </c>
      <c r="E860">
        <v>24</v>
      </c>
      <c r="F860">
        <v>0</v>
      </c>
      <c r="G860">
        <f>MAX(ROUNDUP(D860, 0), E860) * IF(C860="COVERED", Parameters!$B$2, Parameters!$B$3)</f>
        <v>0</v>
      </c>
      <c r="H860">
        <f>F860 - G860</f>
        <v>0</v>
      </c>
      <c r="I860">
        <f>IF(ABS(H860)&gt;0.01, "Priority 3", "")</f>
        <v>0</v>
      </c>
    </row>
    <row r="861" spans="1:9">
      <c r="A861" t="s">
        <v>1859</v>
      </c>
      <c r="B861" t="s">
        <v>998</v>
      </c>
      <c r="C861" t="s">
        <v>1468</v>
      </c>
      <c r="D861">
        <v>29</v>
      </c>
      <c r="E861">
        <v>40</v>
      </c>
      <c r="F861">
        <v>0</v>
      </c>
      <c r="G861">
        <f>MAX(ROUNDUP(D861, 0), E861) * IF(C861="COVERED", Parameters!$B$2, Parameters!$B$3)</f>
        <v>0</v>
      </c>
      <c r="H861">
        <f>F861 - G861</f>
        <v>0</v>
      </c>
      <c r="I861">
        <f>IF(ABS(H861)&gt;0.01, "Priority 3", "")</f>
        <v>0</v>
      </c>
    </row>
    <row r="862" spans="1:9">
      <c r="A862" t="s">
        <v>1860</v>
      </c>
      <c r="B862" t="s">
        <v>998</v>
      </c>
      <c r="C862" t="s">
        <v>1468</v>
      </c>
      <c r="D862">
        <v>25.9</v>
      </c>
      <c r="E862">
        <v>50</v>
      </c>
      <c r="F862">
        <v>0</v>
      </c>
      <c r="G862">
        <f>MAX(ROUNDUP(D862, 0), E862) * IF(C862="COVERED", Parameters!$B$2, Parameters!$B$3)</f>
        <v>0</v>
      </c>
      <c r="H862">
        <f>F862 - G862</f>
        <v>0</v>
      </c>
      <c r="I862">
        <f>IF(ABS(H862)&gt;0.01, "Priority 3", "")</f>
        <v>0</v>
      </c>
    </row>
    <row r="863" spans="1:9">
      <c r="A863" t="s">
        <v>1861</v>
      </c>
      <c r="B863" t="s">
        <v>998</v>
      </c>
      <c r="C863" t="s">
        <v>1468</v>
      </c>
      <c r="D863">
        <v>36.5</v>
      </c>
      <c r="E863">
        <v>32</v>
      </c>
      <c r="F863">
        <v>0</v>
      </c>
      <c r="G863">
        <f>MAX(ROUNDUP(D863, 0), E863) * IF(C863="COVERED", Parameters!$B$2, Parameters!$B$3)</f>
        <v>0</v>
      </c>
      <c r="H863">
        <f>F863 - G863</f>
        <v>0</v>
      </c>
      <c r="I863">
        <f>IF(ABS(H863)&gt;0.01, "Priority 3", "")</f>
        <v>0</v>
      </c>
    </row>
    <row r="864" spans="1:9">
      <c r="A864" t="s">
        <v>1862</v>
      </c>
      <c r="B864" t="s">
        <v>998</v>
      </c>
      <c r="C864" t="s">
        <v>1468</v>
      </c>
      <c r="D864">
        <v>59</v>
      </c>
      <c r="E864">
        <v>32</v>
      </c>
      <c r="F864">
        <v>0</v>
      </c>
      <c r="G864">
        <f>MAX(ROUNDUP(D864, 0), E864) * IF(C864="COVERED", Parameters!$B$2, Parameters!$B$3)</f>
        <v>0</v>
      </c>
      <c r="H864">
        <f>F864 - G864</f>
        <v>0</v>
      </c>
      <c r="I864">
        <f>IF(ABS(H864)&gt;0.01, "Priority 3", "")</f>
        <v>0</v>
      </c>
    </row>
    <row r="865" spans="1:9">
      <c r="A865" t="s">
        <v>1863</v>
      </c>
      <c r="B865" t="s">
        <v>998</v>
      </c>
      <c r="C865" t="s">
        <v>1468</v>
      </c>
      <c r="D865">
        <v>53.1</v>
      </c>
      <c r="E865">
        <v>28</v>
      </c>
      <c r="F865">
        <v>0</v>
      </c>
      <c r="G865">
        <f>MAX(ROUNDUP(D865, 0), E865) * IF(C865="COVERED", Parameters!$B$2, Parameters!$B$3)</f>
        <v>0</v>
      </c>
      <c r="H865">
        <f>F865 - G865</f>
        <v>0</v>
      </c>
      <c r="I865">
        <f>IF(ABS(H865)&gt;0.01, "Priority 3", "")</f>
        <v>0</v>
      </c>
    </row>
    <row r="866" spans="1:9">
      <c r="A866" t="s">
        <v>1864</v>
      </c>
      <c r="B866" t="s">
        <v>998</v>
      </c>
      <c r="C866" t="s">
        <v>1468</v>
      </c>
      <c r="D866">
        <v>45.4</v>
      </c>
      <c r="E866">
        <v>24</v>
      </c>
      <c r="F866">
        <v>0</v>
      </c>
      <c r="G866">
        <f>MAX(ROUNDUP(D866, 0), E866) * IF(C866="COVERED", Parameters!$B$2, Parameters!$B$3)</f>
        <v>0</v>
      </c>
      <c r="H866">
        <f>F866 - G866</f>
        <v>0</v>
      </c>
      <c r="I866">
        <f>IF(ABS(H866)&gt;0.01, "Priority 3", "")</f>
        <v>0</v>
      </c>
    </row>
    <row r="867" spans="1:9">
      <c r="A867" t="s">
        <v>1865</v>
      </c>
      <c r="B867" t="s">
        <v>998</v>
      </c>
      <c r="C867" t="s">
        <v>1468</v>
      </c>
      <c r="D867">
        <v>55.2</v>
      </c>
      <c r="E867">
        <v>32</v>
      </c>
      <c r="F867">
        <v>0</v>
      </c>
      <c r="G867">
        <f>MAX(ROUNDUP(D867, 0), E867) * IF(C867="COVERED", Parameters!$B$2, Parameters!$B$3)</f>
        <v>0</v>
      </c>
      <c r="H867">
        <f>F867 - G867</f>
        <v>0</v>
      </c>
      <c r="I867">
        <f>IF(ABS(H867)&gt;0.01, "Priority 3", "")</f>
        <v>0</v>
      </c>
    </row>
    <row r="868" spans="1:9">
      <c r="A868" t="s">
        <v>1866</v>
      </c>
      <c r="B868" t="s">
        <v>998</v>
      </c>
      <c r="C868" t="s">
        <v>1468</v>
      </c>
      <c r="D868">
        <v>61.5</v>
      </c>
      <c r="E868">
        <v>24</v>
      </c>
      <c r="F868">
        <v>0</v>
      </c>
      <c r="G868">
        <f>MAX(ROUNDUP(D868, 0), E868) * IF(C868="COVERED", Parameters!$B$2, Parameters!$B$3)</f>
        <v>0</v>
      </c>
      <c r="H868">
        <f>F868 - G868</f>
        <v>0</v>
      </c>
      <c r="I868">
        <f>IF(ABS(H868)&gt;0.01, "Priority 3", "")</f>
        <v>0</v>
      </c>
    </row>
    <row r="869" spans="1:9">
      <c r="A869" t="s">
        <v>1867</v>
      </c>
      <c r="B869" t="s">
        <v>998</v>
      </c>
      <c r="C869" t="s">
        <v>1468</v>
      </c>
      <c r="D869">
        <v>56.4</v>
      </c>
      <c r="E869">
        <v>24</v>
      </c>
      <c r="F869">
        <v>0</v>
      </c>
      <c r="G869">
        <f>MAX(ROUNDUP(D869, 0), E869) * IF(C869="COVERED", Parameters!$B$2, Parameters!$B$3)</f>
        <v>0</v>
      </c>
      <c r="H869">
        <f>F869 - G869</f>
        <v>0</v>
      </c>
      <c r="I869">
        <f>IF(ABS(H869)&gt;0.01, "Priority 3", "")</f>
        <v>0</v>
      </c>
    </row>
    <row r="870" spans="1:9">
      <c r="A870" t="s">
        <v>1868</v>
      </c>
      <c r="B870" t="s">
        <v>998</v>
      </c>
      <c r="C870" t="s">
        <v>1468</v>
      </c>
      <c r="D870">
        <v>61.6</v>
      </c>
      <c r="E870">
        <v>50</v>
      </c>
      <c r="F870">
        <v>0</v>
      </c>
      <c r="G870">
        <f>MAX(ROUNDUP(D870, 0), E870) * IF(C870="COVERED", Parameters!$B$2, Parameters!$B$3)</f>
        <v>0</v>
      </c>
      <c r="H870">
        <f>F870 - G870</f>
        <v>0</v>
      </c>
      <c r="I870">
        <f>IF(ABS(H870)&gt;0.01, "Priority 3", "")</f>
        <v>0</v>
      </c>
    </row>
    <row r="871" spans="1:9">
      <c r="A871" t="s">
        <v>1869</v>
      </c>
      <c r="B871" t="s">
        <v>998</v>
      </c>
      <c r="C871" t="s">
        <v>1468</v>
      </c>
      <c r="D871">
        <v>53.5</v>
      </c>
      <c r="E871">
        <v>36</v>
      </c>
      <c r="F871">
        <v>0</v>
      </c>
      <c r="G871">
        <f>MAX(ROUNDUP(D871, 0), E871) * IF(C871="COVERED", Parameters!$B$2, Parameters!$B$3)</f>
        <v>0</v>
      </c>
      <c r="H871">
        <f>F871 - G871</f>
        <v>0</v>
      </c>
      <c r="I871">
        <f>IF(ABS(H871)&gt;0.01, "Priority 3", "")</f>
        <v>0</v>
      </c>
    </row>
    <row r="872" spans="1:9">
      <c r="A872" t="s">
        <v>1870</v>
      </c>
      <c r="B872" t="s">
        <v>998</v>
      </c>
      <c r="C872" t="s">
        <v>1468</v>
      </c>
      <c r="D872">
        <v>35.7</v>
      </c>
      <c r="E872">
        <v>28</v>
      </c>
      <c r="F872">
        <v>0</v>
      </c>
      <c r="G872">
        <f>MAX(ROUNDUP(D872, 0), E872) * IF(C872="COVERED", Parameters!$B$2, Parameters!$B$3)</f>
        <v>0</v>
      </c>
      <c r="H872">
        <f>F872 - G872</f>
        <v>0</v>
      </c>
      <c r="I872">
        <f>IF(ABS(H872)&gt;0.01, "Priority 3", "")</f>
        <v>0</v>
      </c>
    </row>
    <row r="873" spans="1:9">
      <c r="A873" t="s">
        <v>1871</v>
      </c>
      <c r="B873" t="s">
        <v>998</v>
      </c>
      <c r="C873" t="s">
        <v>1468</v>
      </c>
      <c r="D873">
        <v>46.7</v>
      </c>
      <c r="E873">
        <v>32</v>
      </c>
      <c r="F873">
        <v>0</v>
      </c>
      <c r="G873">
        <f>MAX(ROUNDUP(D873, 0), E873) * IF(C873="COVERED", Parameters!$B$2, Parameters!$B$3)</f>
        <v>0</v>
      </c>
      <c r="H873">
        <f>F873 - G873</f>
        <v>0</v>
      </c>
      <c r="I873">
        <f>IF(ABS(H873)&gt;0.01, "Priority 3", "")</f>
        <v>0</v>
      </c>
    </row>
    <row r="874" spans="1:9">
      <c r="A874" t="s">
        <v>1872</v>
      </c>
      <c r="B874" t="s">
        <v>998</v>
      </c>
      <c r="C874" t="s">
        <v>1468</v>
      </c>
      <c r="D874">
        <v>47.4</v>
      </c>
      <c r="E874">
        <v>70</v>
      </c>
      <c r="F874">
        <v>0</v>
      </c>
      <c r="G874">
        <f>MAX(ROUNDUP(D874, 0), E874) * IF(C874="COVERED", Parameters!$B$2, Parameters!$B$3)</f>
        <v>0</v>
      </c>
      <c r="H874">
        <f>F874 - G874</f>
        <v>0</v>
      </c>
      <c r="I874">
        <f>IF(ABS(H874)&gt;0.01, "Priority 3", "")</f>
        <v>0</v>
      </c>
    </row>
    <row r="875" spans="1:9">
      <c r="A875" t="s">
        <v>1873</v>
      </c>
      <c r="B875" t="s">
        <v>998</v>
      </c>
      <c r="C875" t="s">
        <v>1468</v>
      </c>
      <c r="D875">
        <v>26.3</v>
      </c>
      <c r="E875">
        <v>70</v>
      </c>
      <c r="F875">
        <v>0</v>
      </c>
      <c r="G875">
        <f>MAX(ROUNDUP(D875, 0), E875) * IF(C875="COVERED", Parameters!$B$2, Parameters!$B$3)</f>
        <v>0</v>
      </c>
      <c r="H875">
        <f>F875 - G875</f>
        <v>0</v>
      </c>
      <c r="I875">
        <f>IF(ABS(H875)&gt;0.01, "Priority 3", "")</f>
        <v>0</v>
      </c>
    </row>
    <row r="876" spans="1:9">
      <c r="A876" t="s">
        <v>1874</v>
      </c>
      <c r="B876" t="s">
        <v>998</v>
      </c>
      <c r="C876" t="s">
        <v>1468</v>
      </c>
      <c r="D876">
        <v>47.2</v>
      </c>
      <c r="E876">
        <v>32</v>
      </c>
      <c r="F876">
        <v>0</v>
      </c>
      <c r="G876">
        <f>MAX(ROUNDUP(D876, 0), E876) * IF(C876="COVERED", Parameters!$B$2, Parameters!$B$3)</f>
        <v>0</v>
      </c>
      <c r="H876">
        <f>F876 - G876</f>
        <v>0</v>
      </c>
      <c r="I876">
        <f>IF(ABS(H876)&gt;0.01, "Priority 3", "")</f>
        <v>0</v>
      </c>
    </row>
    <row r="877" spans="1:9">
      <c r="A877" t="s">
        <v>1875</v>
      </c>
      <c r="B877" t="s">
        <v>998</v>
      </c>
      <c r="C877" t="s">
        <v>1468</v>
      </c>
      <c r="D877">
        <v>36.7</v>
      </c>
      <c r="E877">
        <v>60</v>
      </c>
      <c r="F877">
        <v>0</v>
      </c>
      <c r="G877">
        <f>MAX(ROUNDUP(D877, 0), E877) * IF(C877="COVERED", Parameters!$B$2, Parameters!$B$3)</f>
        <v>0</v>
      </c>
      <c r="H877">
        <f>F877 - G877</f>
        <v>0</v>
      </c>
      <c r="I877">
        <f>IF(ABS(H877)&gt;0.01, "Priority 3", "")</f>
        <v>0</v>
      </c>
    </row>
    <row r="878" spans="1:9">
      <c r="A878" t="s">
        <v>1876</v>
      </c>
      <c r="B878" t="s">
        <v>998</v>
      </c>
      <c r="C878" t="s">
        <v>1468</v>
      </c>
      <c r="D878">
        <v>19</v>
      </c>
      <c r="E878">
        <v>24</v>
      </c>
      <c r="F878">
        <v>0</v>
      </c>
      <c r="G878">
        <f>MAX(ROUNDUP(D878, 0), E878) * IF(C878="COVERED", Parameters!$B$2, Parameters!$B$3)</f>
        <v>0</v>
      </c>
      <c r="H878">
        <f>F878 - G878</f>
        <v>0</v>
      </c>
      <c r="I878">
        <f>IF(ABS(H878)&gt;0.01, "Priority 3", "")</f>
        <v>0</v>
      </c>
    </row>
    <row r="879" spans="1:9">
      <c r="A879" t="s">
        <v>1877</v>
      </c>
      <c r="B879" t="s">
        <v>998</v>
      </c>
      <c r="C879" t="s">
        <v>1468</v>
      </c>
      <c r="D879">
        <v>25.8</v>
      </c>
      <c r="E879">
        <v>36</v>
      </c>
      <c r="F879">
        <v>0</v>
      </c>
      <c r="G879">
        <f>MAX(ROUNDUP(D879, 0), E879) * IF(C879="COVERED", Parameters!$B$2, Parameters!$B$3)</f>
        <v>0</v>
      </c>
      <c r="H879">
        <f>F879 - G879</f>
        <v>0</v>
      </c>
      <c r="I879">
        <f>IF(ABS(H879)&gt;0.01, "Priority 3", "")</f>
        <v>0</v>
      </c>
    </row>
    <row r="880" spans="1:9">
      <c r="A880" t="s">
        <v>1878</v>
      </c>
      <c r="B880" t="s">
        <v>998</v>
      </c>
      <c r="C880" t="s">
        <v>1468</v>
      </c>
      <c r="D880">
        <v>58.4</v>
      </c>
      <c r="E880">
        <v>32</v>
      </c>
      <c r="F880">
        <v>0</v>
      </c>
      <c r="G880">
        <f>MAX(ROUNDUP(D880, 0), E880) * IF(C880="COVERED", Parameters!$B$2, Parameters!$B$3)</f>
        <v>0</v>
      </c>
      <c r="H880">
        <f>F880 - G880</f>
        <v>0</v>
      </c>
      <c r="I880">
        <f>IF(ABS(H880)&gt;0.01, "Priority 3", "")</f>
        <v>0</v>
      </c>
    </row>
    <row r="881" spans="1:9">
      <c r="A881" t="s">
        <v>1879</v>
      </c>
      <c r="B881" t="s">
        <v>998</v>
      </c>
      <c r="C881" t="s">
        <v>1468</v>
      </c>
      <c r="D881">
        <v>31.4</v>
      </c>
      <c r="E881">
        <v>32</v>
      </c>
      <c r="F881">
        <v>0</v>
      </c>
      <c r="G881">
        <f>MAX(ROUNDUP(D881, 0), E881) * IF(C881="COVERED", Parameters!$B$2, Parameters!$B$3)</f>
        <v>0</v>
      </c>
      <c r="H881">
        <f>F881 - G881</f>
        <v>0</v>
      </c>
      <c r="I881">
        <f>IF(ABS(H881)&gt;0.01, "Priority 3", "")</f>
        <v>0</v>
      </c>
    </row>
    <row r="882" spans="1:9">
      <c r="A882" t="s">
        <v>1880</v>
      </c>
      <c r="B882" t="s">
        <v>998</v>
      </c>
      <c r="C882" t="s">
        <v>1468</v>
      </c>
      <c r="D882">
        <v>29.1</v>
      </c>
      <c r="E882">
        <v>60</v>
      </c>
      <c r="F882">
        <v>0</v>
      </c>
      <c r="G882">
        <f>MAX(ROUNDUP(D882, 0), E882) * IF(C882="COVERED", Parameters!$B$2, Parameters!$B$3)</f>
        <v>0</v>
      </c>
      <c r="H882">
        <f>F882 - G882</f>
        <v>0</v>
      </c>
      <c r="I882">
        <f>IF(ABS(H882)&gt;0.01, "Priority 3", "")</f>
        <v>0</v>
      </c>
    </row>
    <row r="883" spans="1:9">
      <c r="A883" t="s">
        <v>1881</v>
      </c>
      <c r="B883" t="s">
        <v>998</v>
      </c>
      <c r="C883" t="s">
        <v>1468</v>
      </c>
      <c r="D883">
        <v>58.3</v>
      </c>
      <c r="E883">
        <v>60</v>
      </c>
      <c r="F883">
        <v>0</v>
      </c>
      <c r="G883">
        <f>MAX(ROUNDUP(D883, 0), E883) * IF(C883="COVERED", Parameters!$B$2, Parameters!$B$3)</f>
        <v>0</v>
      </c>
      <c r="H883">
        <f>F883 - G883</f>
        <v>0</v>
      </c>
      <c r="I883">
        <f>IF(ABS(H883)&gt;0.01, "Priority 3", "")</f>
        <v>0</v>
      </c>
    </row>
    <row r="884" spans="1:9">
      <c r="A884" t="s">
        <v>1882</v>
      </c>
      <c r="B884" t="s">
        <v>998</v>
      </c>
      <c r="C884" t="s">
        <v>1468</v>
      </c>
      <c r="D884">
        <v>47.5</v>
      </c>
      <c r="E884">
        <v>45</v>
      </c>
      <c r="F884">
        <v>0</v>
      </c>
      <c r="G884">
        <f>MAX(ROUNDUP(D884, 0), E884) * IF(C884="COVERED", Parameters!$B$2, Parameters!$B$3)</f>
        <v>0</v>
      </c>
      <c r="H884">
        <f>F884 - G884</f>
        <v>0</v>
      </c>
      <c r="I884">
        <f>IF(ABS(H884)&gt;0.01, "Priority 3", "")</f>
        <v>0</v>
      </c>
    </row>
    <row r="885" spans="1:9">
      <c r="A885" t="s">
        <v>1883</v>
      </c>
      <c r="B885" t="s">
        <v>998</v>
      </c>
      <c r="C885" t="s">
        <v>1468</v>
      </c>
      <c r="D885">
        <v>27.2</v>
      </c>
      <c r="E885">
        <v>45</v>
      </c>
      <c r="F885">
        <v>0</v>
      </c>
      <c r="G885">
        <f>MAX(ROUNDUP(D885, 0), E885) * IF(C885="COVERED", Parameters!$B$2, Parameters!$B$3)</f>
        <v>0</v>
      </c>
      <c r="H885">
        <f>F885 - G885</f>
        <v>0</v>
      </c>
      <c r="I885">
        <f>IF(ABS(H885)&gt;0.01, "Priority 3", "")</f>
        <v>0</v>
      </c>
    </row>
    <row r="886" spans="1:9">
      <c r="A886" t="s">
        <v>1884</v>
      </c>
      <c r="B886" t="s">
        <v>998</v>
      </c>
      <c r="C886" t="s">
        <v>1468</v>
      </c>
      <c r="D886">
        <v>51.7</v>
      </c>
      <c r="E886">
        <v>80</v>
      </c>
      <c r="F886">
        <v>0</v>
      </c>
      <c r="G886">
        <f>MAX(ROUNDUP(D886, 0), E886) * IF(C886="COVERED", Parameters!$B$2, Parameters!$B$3)</f>
        <v>0</v>
      </c>
      <c r="H886">
        <f>F886 - G886</f>
        <v>0</v>
      </c>
      <c r="I886">
        <f>IF(ABS(H886)&gt;0.01, "Priority 3", "")</f>
        <v>0</v>
      </c>
    </row>
    <row r="887" spans="1:9">
      <c r="A887" t="s">
        <v>1885</v>
      </c>
      <c r="B887" t="s">
        <v>998</v>
      </c>
      <c r="C887" t="s">
        <v>1468</v>
      </c>
      <c r="D887">
        <v>48</v>
      </c>
      <c r="E887">
        <v>80</v>
      </c>
      <c r="F887">
        <v>0</v>
      </c>
      <c r="G887">
        <f>MAX(ROUNDUP(D887, 0), E887) * IF(C887="COVERED", Parameters!$B$2, Parameters!$B$3)</f>
        <v>0</v>
      </c>
      <c r="H887">
        <f>F887 - G887</f>
        <v>0</v>
      </c>
      <c r="I887">
        <f>IF(ABS(H887)&gt;0.01, "Priority 3", "")</f>
        <v>0</v>
      </c>
    </row>
    <row r="888" spans="1:9">
      <c r="A888" t="s">
        <v>1886</v>
      </c>
      <c r="B888" t="s">
        <v>998</v>
      </c>
      <c r="C888" t="s">
        <v>1468</v>
      </c>
      <c r="D888">
        <v>27.1</v>
      </c>
      <c r="E888">
        <v>60</v>
      </c>
      <c r="F888">
        <v>0</v>
      </c>
      <c r="G888">
        <f>MAX(ROUNDUP(D888, 0), E888) * IF(C888="COVERED", Parameters!$B$2, Parameters!$B$3)</f>
        <v>0</v>
      </c>
      <c r="H888">
        <f>F888 - G888</f>
        <v>0</v>
      </c>
      <c r="I888">
        <f>IF(ABS(H888)&gt;0.01, "Priority 3", "")</f>
        <v>0</v>
      </c>
    </row>
    <row r="889" spans="1:9">
      <c r="A889" t="s">
        <v>1887</v>
      </c>
      <c r="B889" t="s">
        <v>998</v>
      </c>
      <c r="C889" t="s">
        <v>1468</v>
      </c>
      <c r="D889">
        <v>30.6</v>
      </c>
      <c r="E889">
        <v>32</v>
      </c>
      <c r="F889">
        <v>0</v>
      </c>
      <c r="G889">
        <f>MAX(ROUNDUP(D889, 0), E889) * IF(C889="COVERED", Parameters!$B$2, Parameters!$B$3)</f>
        <v>0</v>
      </c>
      <c r="H889">
        <f>F889 - G889</f>
        <v>0</v>
      </c>
      <c r="I889">
        <f>IF(ABS(H889)&gt;0.01, "Priority 3", "")</f>
        <v>0</v>
      </c>
    </row>
    <row r="890" spans="1:9">
      <c r="A890" t="s">
        <v>1888</v>
      </c>
      <c r="B890" t="s">
        <v>998</v>
      </c>
      <c r="C890" t="s">
        <v>1468</v>
      </c>
      <c r="D890">
        <v>50.8</v>
      </c>
      <c r="E890">
        <v>70</v>
      </c>
      <c r="F890">
        <v>0</v>
      </c>
      <c r="G890">
        <f>MAX(ROUNDUP(D890, 0), E890) * IF(C890="COVERED", Parameters!$B$2, Parameters!$B$3)</f>
        <v>0</v>
      </c>
      <c r="H890">
        <f>F890 - G890</f>
        <v>0</v>
      </c>
      <c r="I890">
        <f>IF(ABS(H890)&gt;0.01, "Priority 3", "")</f>
        <v>0</v>
      </c>
    </row>
    <row r="891" spans="1:9">
      <c r="A891" t="s">
        <v>1889</v>
      </c>
      <c r="B891" t="s">
        <v>998</v>
      </c>
      <c r="C891" t="s">
        <v>1468</v>
      </c>
      <c r="D891">
        <v>31.6</v>
      </c>
      <c r="E891">
        <v>24</v>
      </c>
      <c r="F891">
        <v>0</v>
      </c>
      <c r="G891">
        <f>MAX(ROUNDUP(D891, 0), E891) * IF(C891="COVERED", Parameters!$B$2, Parameters!$B$3)</f>
        <v>0</v>
      </c>
      <c r="H891">
        <f>F891 - G891</f>
        <v>0</v>
      </c>
      <c r="I891">
        <f>IF(ABS(H891)&gt;0.01, "Priority 3", "")</f>
        <v>0</v>
      </c>
    </row>
    <row r="892" spans="1:9">
      <c r="A892" t="s">
        <v>1890</v>
      </c>
      <c r="B892" t="s">
        <v>998</v>
      </c>
      <c r="C892" t="s">
        <v>1468</v>
      </c>
      <c r="D892">
        <v>22.5</v>
      </c>
      <c r="E892">
        <v>32</v>
      </c>
      <c r="F892">
        <v>0</v>
      </c>
      <c r="G892">
        <f>MAX(ROUNDUP(D892, 0), E892) * IF(C892="COVERED", Parameters!$B$2, Parameters!$B$3)</f>
        <v>0</v>
      </c>
      <c r="H892">
        <f>F892 - G892</f>
        <v>0</v>
      </c>
      <c r="I892">
        <f>IF(ABS(H892)&gt;0.01, "Priority 3", "")</f>
        <v>0</v>
      </c>
    </row>
    <row r="893" spans="1:9">
      <c r="A893" t="s">
        <v>1891</v>
      </c>
      <c r="B893" t="s">
        <v>998</v>
      </c>
      <c r="C893" t="s">
        <v>1468</v>
      </c>
      <c r="D893">
        <v>51</v>
      </c>
      <c r="E893">
        <v>24</v>
      </c>
      <c r="F893">
        <v>0</v>
      </c>
      <c r="G893">
        <f>MAX(ROUNDUP(D893, 0), E893) * IF(C893="COVERED", Parameters!$B$2, Parameters!$B$3)</f>
        <v>0</v>
      </c>
      <c r="H893">
        <f>F893 - G893</f>
        <v>0</v>
      </c>
      <c r="I893">
        <f>IF(ABS(H893)&gt;0.01, "Priority 3", "")</f>
        <v>0</v>
      </c>
    </row>
    <row r="894" spans="1:9">
      <c r="A894" t="s">
        <v>1892</v>
      </c>
      <c r="B894" t="s">
        <v>998</v>
      </c>
      <c r="C894" t="s">
        <v>1468</v>
      </c>
      <c r="D894">
        <v>42.1</v>
      </c>
      <c r="E894">
        <v>45</v>
      </c>
      <c r="F894">
        <v>0</v>
      </c>
      <c r="G894">
        <f>MAX(ROUNDUP(D894, 0), E894) * IF(C894="COVERED", Parameters!$B$2, Parameters!$B$3)</f>
        <v>0</v>
      </c>
      <c r="H894">
        <f>F894 - G894</f>
        <v>0</v>
      </c>
      <c r="I894">
        <f>IF(ABS(H894)&gt;0.01, "Priority 3", "")</f>
        <v>0</v>
      </c>
    </row>
    <row r="895" spans="1:9">
      <c r="A895" t="s">
        <v>1893</v>
      </c>
      <c r="B895" t="s">
        <v>998</v>
      </c>
      <c r="C895" t="s">
        <v>1468</v>
      </c>
      <c r="D895">
        <v>19.8</v>
      </c>
      <c r="E895">
        <v>32</v>
      </c>
      <c r="F895">
        <v>0</v>
      </c>
      <c r="G895">
        <f>MAX(ROUNDUP(D895, 0), E895) * IF(C895="COVERED", Parameters!$B$2, Parameters!$B$3)</f>
        <v>0</v>
      </c>
      <c r="H895">
        <f>F895 - G895</f>
        <v>0</v>
      </c>
      <c r="I895">
        <f>IF(ABS(H895)&gt;0.01, "Priority 3", "")</f>
        <v>0</v>
      </c>
    </row>
    <row r="896" spans="1:9">
      <c r="A896" t="s">
        <v>1894</v>
      </c>
      <c r="B896" t="s">
        <v>998</v>
      </c>
      <c r="C896" t="s">
        <v>1468</v>
      </c>
      <c r="D896">
        <v>28.5</v>
      </c>
      <c r="E896">
        <v>45</v>
      </c>
      <c r="F896">
        <v>0</v>
      </c>
      <c r="G896">
        <f>MAX(ROUNDUP(D896, 0), E896) * IF(C896="COVERED", Parameters!$B$2, Parameters!$B$3)</f>
        <v>0</v>
      </c>
      <c r="H896">
        <f>F896 - G896</f>
        <v>0</v>
      </c>
      <c r="I896">
        <f>IF(ABS(H896)&gt;0.01, "Priority 3", "")</f>
        <v>0</v>
      </c>
    </row>
    <row r="897" spans="1:9">
      <c r="A897" t="s">
        <v>1895</v>
      </c>
      <c r="B897" t="s">
        <v>998</v>
      </c>
      <c r="C897" t="s">
        <v>1468</v>
      </c>
      <c r="D897">
        <v>35</v>
      </c>
      <c r="E897">
        <v>28</v>
      </c>
      <c r="F897">
        <v>0</v>
      </c>
      <c r="G897">
        <f>MAX(ROUNDUP(D897, 0), E897) * IF(C897="COVERED", Parameters!$B$2, Parameters!$B$3)</f>
        <v>0</v>
      </c>
      <c r="H897">
        <f>F897 - G897</f>
        <v>0</v>
      </c>
      <c r="I897">
        <f>IF(ABS(H897)&gt;0.01, "Priority 3", "")</f>
        <v>0</v>
      </c>
    </row>
    <row r="898" spans="1:9">
      <c r="A898" t="s">
        <v>1896</v>
      </c>
      <c r="B898" t="s">
        <v>998</v>
      </c>
      <c r="C898" t="s">
        <v>1468</v>
      </c>
      <c r="D898">
        <v>27.6</v>
      </c>
      <c r="E898">
        <v>70</v>
      </c>
      <c r="F898">
        <v>0</v>
      </c>
      <c r="G898">
        <f>MAX(ROUNDUP(D898, 0), E898) * IF(C898="COVERED", Parameters!$B$2, Parameters!$B$3)</f>
        <v>0</v>
      </c>
      <c r="H898">
        <f>F898 - G898</f>
        <v>0</v>
      </c>
      <c r="I898">
        <f>IF(ABS(H898)&gt;0.01, "Priority 3", "")</f>
        <v>0</v>
      </c>
    </row>
    <row r="899" spans="1:9">
      <c r="A899" t="s">
        <v>1897</v>
      </c>
      <c r="B899" t="s">
        <v>998</v>
      </c>
      <c r="C899" t="s">
        <v>1468</v>
      </c>
      <c r="D899">
        <v>44.3</v>
      </c>
      <c r="E899">
        <v>32</v>
      </c>
      <c r="F899">
        <v>0</v>
      </c>
      <c r="G899">
        <f>MAX(ROUNDUP(D899, 0), E899) * IF(C899="COVERED", Parameters!$B$2, Parameters!$B$3)</f>
        <v>0</v>
      </c>
      <c r="H899">
        <f>F899 - G899</f>
        <v>0</v>
      </c>
      <c r="I899">
        <f>IF(ABS(H899)&gt;0.01, "Priority 3", "")</f>
        <v>0</v>
      </c>
    </row>
    <row r="900" spans="1:9">
      <c r="A900" t="s">
        <v>1898</v>
      </c>
      <c r="B900" t="s">
        <v>998</v>
      </c>
      <c r="C900" t="s">
        <v>1468</v>
      </c>
      <c r="D900">
        <v>55.5</v>
      </c>
      <c r="E900">
        <v>36</v>
      </c>
      <c r="F900">
        <v>0</v>
      </c>
      <c r="G900">
        <f>MAX(ROUNDUP(D900, 0), E900) * IF(C900="COVERED", Parameters!$B$2, Parameters!$B$3)</f>
        <v>0</v>
      </c>
      <c r="H900">
        <f>F900 - G900</f>
        <v>0</v>
      </c>
      <c r="I900">
        <f>IF(ABS(H900)&gt;0.01, "Priority 3", "")</f>
        <v>0</v>
      </c>
    </row>
    <row r="901" spans="1:9">
      <c r="A901" t="s">
        <v>1899</v>
      </c>
      <c r="B901" t="s">
        <v>998</v>
      </c>
      <c r="C901" t="s">
        <v>1468</v>
      </c>
      <c r="D901">
        <v>52.4</v>
      </c>
      <c r="E901">
        <v>50</v>
      </c>
      <c r="F901">
        <v>0</v>
      </c>
      <c r="G901">
        <f>MAX(ROUNDUP(D901, 0), E901) * IF(C901="COVERED", Parameters!$B$2, Parameters!$B$3)</f>
        <v>0</v>
      </c>
      <c r="H901">
        <f>F901 - G901</f>
        <v>0</v>
      </c>
      <c r="I901">
        <f>IF(ABS(H901)&gt;0.01, "Priority 3", "")</f>
        <v>0</v>
      </c>
    </row>
    <row r="902" spans="1:9">
      <c r="A902" t="s">
        <v>1900</v>
      </c>
      <c r="B902" t="s">
        <v>998</v>
      </c>
      <c r="C902" t="s">
        <v>1468</v>
      </c>
      <c r="D902">
        <v>36.9</v>
      </c>
      <c r="E902">
        <v>28</v>
      </c>
      <c r="F902">
        <v>0</v>
      </c>
      <c r="G902">
        <f>MAX(ROUNDUP(D902, 0), E902) * IF(C902="COVERED", Parameters!$B$2, Parameters!$B$3)</f>
        <v>0</v>
      </c>
      <c r="H902">
        <f>F902 - G902</f>
        <v>0</v>
      </c>
      <c r="I902">
        <f>IF(ABS(H902)&gt;0.01, "Priority 3", "")</f>
        <v>0</v>
      </c>
    </row>
    <row r="903" spans="1:9">
      <c r="A903" t="s">
        <v>1901</v>
      </c>
      <c r="B903" t="s">
        <v>998</v>
      </c>
      <c r="C903" t="s">
        <v>1468</v>
      </c>
      <c r="D903">
        <v>47.8</v>
      </c>
      <c r="E903">
        <v>40</v>
      </c>
      <c r="F903">
        <v>0</v>
      </c>
      <c r="G903">
        <f>MAX(ROUNDUP(D903, 0), E903) * IF(C903="COVERED", Parameters!$B$2, Parameters!$B$3)</f>
        <v>0</v>
      </c>
      <c r="H903">
        <f>F903 - G903</f>
        <v>0</v>
      </c>
      <c r="I903">
        <f>IF(ABS(H903)&gt;0.01, "Priority 3", "")</f>
        <v>0</v>
      </c>
    </row>
    <row r="904" spans="1:9">
      <c r="A904" t="s">
        <v>1902</v>
      </c>
      <c r="B904" t="s">
        <v>998</v>
      </c>
      <c r="C904" t="s">
        <v>1468</v>
      </c>
      <c r="D904">
        <v>34</v>
      </c>
      <c r="E904">
        <v>28</v>
      </c>
      <c r="F904">
        <v>0</v>
      </c>
      <c r="G904">
        <f>MAX(ROUNDUP(D904, 0), E904) * IF(C904="COVERED", Parameters!$B$2, Parameters!$B$3)</f>
        <v>0</v>
      </c>
      <c r="H904">
        <f>F904 - G904</f>
        <v>0</v>
      </c>
      <c r="I904">
        <f>IF(ABS(H904)&gt;0.01, "Priority 3", "")</f>
        <v>0</v>
      </c>
    </row>
    <row r="905" spans="1:9">
      <c r="A905" t="s">
        <v>1903</v>
      </c>
      <c r="B905" t="s">
        <v>998</v>
      </c>
      <c r="C905" t="s">
        <v>1468</v>
      </c>
      <c r="D905">
        <v>24.7</v>
      </c>
      <c r="E905">
        <v>32</v>
      </c>
      <c r="F905">
        <v>0</v>
      </c>
      <c r="G905">
        <f>MAX(ROUNDUP(D905, 0), E905) * IF(C905="COVERED", Parameters!$B$2, Parameters!$B$3)</f>
        <v>0</v>
      </c>
      <c r="H905">
        <f>F905 - G905</f>
        <v>0</v>
      </c>
      <c r="I905">
        <f>IF(ABS(H905)&gt;0.01, "Priority 3", "")</f>
        <v>0</v>
      </c>
    </row>
    <row r="906" spans="1:9">
      <c r="A906" t="s">
        <v>1904</v>
      </c>
      <c r="B906" t="s">
        <v>998</v>
      </c>
      <c r="C906" t="s">
        <v>1468</v>
      </c>
      <c r="D906">
        <v>34.6</v>
      </c>
      <c r="E906">
        <v>28</v>
      </c>
      <c r="F906">
        <v>0</v>
      </c>
      <c r="G906">
        <f>MAX(ROUNDUP(D906, 0), E906) * IF(C906="COVERED", Parameters!$B$2, Parameters!$B$3)</f>
        <v>0</v>
      </c>
      <c r="H906">
        <f>F906 - G906</f>
        <v>0</v>
      </c>
      <c r="I906">
        <f>IF(ABS(H906)&gt;0.01, "Priority 3", "")</f>
        <v>0</v>
      </c>
    </row>
    <row r="907" spans="1:9">
      <c r="A907" t="s">
        <v>1905</v>
      </c>
      <c r="B907" t="s">
        <v>998</v>
      </c>
      <c r="C907" t="s">
        <v>1468</v>
      </c>
      <c r="D907">
        <v>30.5</v>
      </c>
      <c r="E907">
        <v>45</v>
      </c>
      <c r="F907">
        <v>0</v>
      </c>
      <c r="G907">
        <f>MAX(ROUNDUP(D907, 0), E907) * IF(C907="COVERED", Parameters!$B$2, Parameters!$B$3)</f>
        <v>0</v>
      </c>
      <c r="H907">
        <f>F907 - G907</f>
        <v>0</v>
      </c>
      <c r="I907">
        <f>IF(ABS(H907)&gt;0.01, "Priority 3", "")</f>
        <v>0</v>
      </c>
    </row>
    <row r="908" spans="1:9">
      <c r="A908" t="s">
        <v>1906</v>
      </c>
      <c r="B908" t="s">
        <v>998</v>
      </c>
      <c r="C908" t="s">
        <v>1468</v>
      </c>
      <c r="D908">
        <v>49.9</v>
      </c>
      <c r="E908">
        <v>32</v>
      </c>
      <c r="F908">
        <v>0</v>
      </c>
      <c r="G908">
        <f>MAX(ROUNDUP(D908, 0), E908) * IF(C908="COVERED", Parameters!$B$2, Parameters!$B$3)</f>
        <v>0</v>
      </c>
      <c r="H908">
        <f>F908 - G908</f>
        <v>0</v>
      </c>
      <c r="I908">
        <f>IF(ABS(H908)&gt;0.01, "Priority 3", "")</f>
        <v>0</v>
      </c>
    </row>
    <row r="909" spans="1:9">
      <c r="A909" t="s">
        <v>1907</v>
      </c>
      <c r="B909" t="s">
        <v>998</v>
      </c>
      <c r="C909" t="s">
        <v>1468</v>
      </c>
      <c r="D909">
        <v>50.7</v>
      </c>
      <c r="E909">
        <v>36</v>
      </c>
      <c r="F909">
        <v>0</v>
      </c>
      <c r="G909">
        <f>MAX(ROUNDUP(D909, 0), E909) * IF(C909="COVERED", Parameters!$B$2, Parameters!$B$3)</f>
        <v>0</v>
      </c>
      <c r="H909">
        <f>F909 - G909</f>
        <v>0</v>
      </c>
      <c r="I909">
        <f>IF(ABS(H909)&gt;0.01, "Priority 3", "")</f>
        <v>0</v>
      </c>
    </row>
    <row r="910" spans="1:9">
      <c r="A910" t="s">
        <v>1908</v>
      </c>
      <c r="B910" t="s">
        <v>998</v>
      </c>
      <c r="C910" t="s">
        <v>1468</v>
      </c>
      <c r="D910">
        <v>21</v>
      </c>
      <c r="E910">
        <v>32</v>
      </c>
      <c r="F910">
        <v>0</v>
      </c>
      <c r="G910">
        <f>MAX(ROUNDUP(D910, 0), E910) * IF(C910="COVERED", Parameters!$B$2, Parameters!$B$3)</f>
        <v>0</v>
      </c>
      <c r="H910">
        <f>F910 - G910</f>
        <v>0</v>
      </c>
      <c r="I910">
        <f>IF(ABS(H910)&gt;0.01, "Priority 3", "")</f>
        <v>0</v>
      </c>
    </row>
    <row r="911" spans="1:9">
      <c r="A911" t="s">
        <v>1909</v>
      </c>
      <c r="B911" t="s">
        <v>998</v>
      </c>
      <c r="C911" t="s">
        <v>1468</v>
      </c>
      <c r="D911">
        <v>19.8</v>
      </c>
      <c r="E911">
        <v>24</v>
      </c>
      <c r="F911">
        <v>0</v>
      </c>
      <c r="G911">
        <f>MAX(ROUNDUP(D911, 0), E911) * IF(C911="COVERED", Parameters!$B$2, Parameters!$B$3)</f>
        <v>0</v>
      </c>
      <c r="H911">
        <f>F911 - G911</f>
        <v>0</v>
      </c>
      <c r="I911">
        <f>IF(ABS(H911)&gt;0.01, "Priority 3", "")</f>
        <v>0</v>
      </c>
    </row>
    <row r="912" spans="1:9">
      <c r="A912" t="s">
        <v>1910</v>
      </c>
      <c r="B912" t="s">
        <v>998</v>
      </c>
      <c r="C912" t="s">
        <v>1468</v>
      </c>
      <c r="D912">
        <v>43.2</v>
      </c>
      <c r="E912">
        <v>70</v>
      </c>
      <c r="F912">
        <v>0</v>
      </c>
      <c r="G912">
        <f>MAX(ROUNDUP(D912, 0), E912) * IF(C912="COVERED", Parameters!$B$2, Parameters!$B$3)</f>
        <v>0</v>
      </c>
      <c r="H912">
        <f>F912 - G912</f>
        <v>0</v>
      </c>
      <c r="I912">
        <f>IF(ABS(H912)&gt;0.01, "Priority 3", "")</f>
        <v>0</v>
      </c>
    </row>
    <row r="913" spans="1:9">
      <c r="A913" t="s">
        <v>1911</v>
      </c>
      <c r="B913" t="s">
        <v>998</v>
      </c>
      <c r="C913" t="s">
        <v>1468</v>
      </c>
      <c r="D913">
        <v>31.6</v>
      </c>
      <c r="E913">
        <v>24</v>
      </c>
      <c r="F913">
        <v>0</v>
      </c>
      <c r="G913">
        <f>MAX(ROUNDUP(D913, 0), E913) * IF(C913="COVERED", Parameters!$B$2, Parameters!$B$3)</f>
        <v>0</v>
      </c>
      <c r="H913">
        <f>F913 - G913</f>
        <v>0</v>
      </c>
      <c r="I913">
        <f>IF(ABS(H913)&gt;0.01, "Priority 3", "")</f>
        <v>0</v>
      </c>
    </row>
    <row r="914" spans="1:9">
      <c r="A914" t="s">
        <v>1912</v>
      </c>
      <c r="B914" t="s">
        <v>998</v>
      </c>
      <c r="C914" t="s">
        <v>1468</v>
      </c>
      <c r="D914">
        <v>52.3</v>
      </c>
      <c r="E914">
        <v>60</v>
      </c>
      <c r="F914">
        <v>0</v>
      </c>
      <c r="G914">
        <f>MAX(ROUNDUP(D914, 0), E914) * IF(C914="COVERED", Parameters!$B$2, Parameters!$B$3)</f>
        <v>0</v>
      </c>
      <c r="H914">
        <f>F914 - G914</f>
        <v>0</v>
      </c>
      <c r="I914">
        <f>IF(ABS(H914)&gt;0.01, "Priority 3", "")</f>
        <v>0</v>
      </c>
    </row>
    <row r="915" spans="1:9">
      <c r="A915" t="s">
        <v>1913</v>
      </c>
      <c r="B915" t="s">
        <v>998</v>
      </c>
      <c r="C915" t="s">
        <v>1468</v>
      </c>
      <c r="D915">
        <v>27.8</v>
      </c>
      <c r="E915">
        <v>32</v>
      </c>
      <c r="F915">
        <v>0</v>
      </c>
      <c r="G915">
        <f>MAX(ROUNDUP(D915, 0), E915) * IF(C915="COVERED", Parameters!$B$2, Parameters!$B$3)</f>
        <v>0</v>
      </c>
      <c r="H915">
        <f>F915 - G915</f>
        <v>0</v>
      </c>
      <c r="I915">
        <f>IF(ABS(H915)&gt;0.01, "Priority 3", "")</f>
        <v>0</v>
      </c>
    </row>
    <row r="916" spans="1:9">
      <c r="A916" t="s">
        <v>1914</v>
      </c>
      <c r="B916" t="s">
        <v>998</v>
      </c>
      <c r="C916" t="s">
        <v>1468</v>
      </c>
      <c r="D916">
        <v>57.3</v>
      </c>
      <c r="E916">
        <v>40</v>
      </c>
      <c r="F916">
        <v>0</v>
      </c>
      <c r="G916">
        <f>MAX(ROUNDUP(D916, 0), E916) * IF(C916="COVERED", Parameters!$B$2, Parameters!$B$3)</f>
        <v>0</v>
      </c>
      <c r="H916">
        <f>F916 - G916</f>
        <v>0</v>
      </c>
      <c r="I916">
        <f>IF(ABS(H916)&gt;0.01, "Priority 3", "")</f>
        <v>0</v>
      </c>
    </row>
    <row r="917" spans="1:9">
      <c r="A917" t="s">
        <v>1915</v>
      </c>
      <c r="B917" t="s">
        <v>998</v>
      </c>
      <c r="C917" t="s">
        <v>1468</v>
      </c>
      <c r="D917">
        <v>53.4</v>
      </c>
      <c r="E917">
        <v>80</v>
      </c>
      <c r="F917">
        <v>0</v>
      </c>
      <c r="G917">
        <f>MAX(ROUNDUP(D917, 0), E917) * IF(C917="COVERED", Parameters!$B$2, Parameters!$B$3)</f>
        <v>0</v>
      </c>
      <c r="H917">
        <f>F917 - G917</f>
        <v>0</v>
      </c>
      <c r="I917">
        <f>IF(ABS(H917)&gt;0.01, "Priority 3", "")</f>
        <v>0</v>
      </c>
    </row>
    <row r="918" spans="1:9">
      <c r="A918" t="s">
        <v>1916</v>
      </c>
      <c r="B918" t="s">
        <v>998</v>
      </c>
      <c r="C918" t="s">
        <v>1468</v>
      </c>
      <c r="D918">
        <v>23.5</v>
      </c>
      <c r="E918">
        <v>24</v>
      </c>
      <c r="F918">
        <v>0</v>
      </c>
      <c r="G918">
        <f>MAX(ROUNDUP(D918, 0), E918) * IF(C918="COVERED", Parameters!$B$2, Parameters!$B$3)</f>
        <v>0</v>
      </c>
      <c r="H918">
        <f>F918 - G918</f>
        <v>0</v>
      </c>
      <c r="I918">
        <f>IF(ABS(H918)&gt;0.01, "Priority 3", "")</f>
        <v>0</v>
      </c>
    </row>
    <row r="919" spans="1:9">
      <c r="A919" t="s">
        <v>1917</v>
      </c>
      <c r="B919" t="s">
        <v>998</v>
      </c>
      <c r="C919" t="s">
        <v>1468</v>
      </c>
      <c r="D919">
        <v>39.8</v>
      </c>
      <c r="E919">
        <v>32</v>
      </c>
      <c r="F919">
        <v>0</v>
      </c>
      <c r="G919">
        <f>MAX(ROUNDUP(D919, 0), E919) * IF(C919="COVERED", Parameters!$B$2, Parameters!$B$3)</f>
        <v>0</v>
      </c>
      <c r="H919">
        <f>F919 - G919</f>
        <v>0</v>
      </c>
      <c r="I919">
        <f>IF(ABS(H919)&gt;0.01, "Priority 3", "")</f>
        <v>0</v>
      </c>
    </row>
    <row r="920" spans="1:9">
      <c r="A920" t="s">
        <v>1918</v>
      </c>
      <c r="B920" t="s">
        <v>998</v>
      </c>
      <c r="C920" t="s">
        <v>1468</v>
      </c>
      <c r="D920">
        <v>57.9</v>
      </c>
      <c r="E920">
        <v>80</v>
      </c>
      <c r="F920">
        <v>0</v>
      </c>
      <c r="G920">
        <f>MAX(ROUNDUP(D920, 0), E920) * IF(C920="COVERED", Parameters!$B$2, Parameters!$B$3)</f>
        <v>0</v>
      </c>
      <c r="H920">
        <f>F920 - G920</f>
        <v>0</v>
      </c>
      <c r="I920">
        <f>IF(ABS(H920)&gt;0.01, "Priority 3", "")</f>
        <v>0</v>
      </c>
    </row>
    <row r="921" spans="1:9">
      <c r="A921" t="s">
        <v>1919</v>
      </c>
      <c r="B921" t="s">
        <v>998</v>
      </c>
      <c r="C921" t="s">
        <v>1468</v>
      </c>
      <c r="D921">
        <v>24.6</v>
      </c>
      <c r="E921">
        <v>32</v>
      </c>
      <c r="F921">
        <v>0</v>
      </c>
      <c r="G921">
        <f>MAX(ROUNDUP(D921, 0), E921) * IF(C921="COVERED", Parameters!$B$2, Parameters!$B$3)</f>
        <v>0</v>
      </c>
      <c r="H921">
        <f>F921 - G921</f>
        <v>0</v>
      </c>
      <c r="I921">
        <f>IF(ABS(H921)&gt;0.01, "Priority 3", "")</f>
        <v>0</v>
      </c>
    </row>
    <row r="922" spans="1:9">
      <c r="A922" t="s">
        <v>1920</v>
      </c>
      <c r="B922" t="s">
        <v>998</v>
      </c>
      <c r="C922" t="s">
        <v>1468</v>
      </c>
      <c r="D922">
        <v>48.4</v>
      </c>
      <c r="E922">
        <v>45</v>
      </c>
      <c r="F922">
        <v>0</v>
      </c>
      <c r="G922">
        <f>MAX(ROUNDUP(D922, 0), E922) * IF(C922="COVERED", Parameters!$B$2, Parameters!$B$3)</f>
        <v>0</v>
      </c>
      <c r="H922">
        <f>F922 - G922</f>
        <v>0</v>
      </c>
      <c r="I922">
        <f>IF(ABS(H922)&gt;0.01, "Priority 3", "")</f>
        <v>0</v>
      </c>
    </row>
    <row r="923" spans="1:9">
      <c r="A923" t="s">
        <v>1921</v>
      </c>
      <c r="B923" t="s">
        <v>998</v>
      </c>
      <c r="C923" t="s">
        <v>1468</v>
      </c>
      <c r="D923">
        <v>27.3</v>
      </c>
      <c r="E923">
        <v>32</v>
      </c>
      <c r="F923">
        <v>0</v>
      </c>
      <c r="G923">
        <f>MAX(ROUNDUP(D923, 0), E923) * IF(C923="COVERED", Parameters!$B$2, Parameters!$B$3)</f>
        <v>0</v>
      </c>
      <c r="H923">
        <f>F923 - G923</f>
        <v>0</v>
      </c>
      <c r="I923">
        <f>IF(ABS(H923)&gt;0.01, "Priority 3", "")</f>
        <v>0</v>
      </c>
    </row>
    <row r="924" spans="1:9">
      <c r="A924" t="s">
        <v>1922</v>
      </c>
      <c r="B924" t="s">
        <v>998</v>
      </c>
      <c r="C924" t="s">
        <v>1468</v>
      </c>
      <c r="D924">
        <v>46</v>
      </c>
      <c r="E924">
        <v>24</v>
      </c>
      <c r="F924">
        <v>0</v>
      </c>
      <c r="G924">
        <f>MAX(ROUNDUP(D924, 0), E924) * IF(C924="COVERED", Parameters!$B$2, Parameters!$B$3)</f>
        <v>0</v>
      </c>
      <c r="H924">
        <f>F924 - G924</f>
        <v>0</v>
      </c>
      <c r="I924">
        <f>IF(ABS(H924)&gt;0.01, "Priority 3", "")</f>
        <v>0</v>
      </c>
    </row>
    <row r="925" spans="1:9">
      <c r="A925" t="s">
        <v>1923</v>
      </c>
      <c r="B925" t="s">
        <v>998</v>
      </c>
      <c r="C925" t="s">
        <v>1468</v>
      </c>
      <c r="D925">
        <v>27.6</v>
      </c>
      <c r="E925">
        <v>24</v>
      </c>
      <c r="F925">
        <v>0</v>
      </c>
      <c r="G925">
        <f>MAX(ROUNDUP(D925, 0), E925) * IF(C925="COVERED", Parameters!$B$2, Parameters!$B$3)</f>
        <v>0</v>
      </c>
      <c r="H925">
        <f>F925 - G925</f>
        <v>0</v>
      </c>
      <c r="I925">
        <f>IF(ABS(H925)&gt;0.01, "Priority 3", "")</f>
        <v>0</v>
      </c>
    </row>
    <row r="926" spans="1:9">
      <c r="A926" t="s">
        <v>1924</v>
      </c>
      <c r="B926" t="s">
        <v>998</v>
      </c>
      <c r="C926" t="s">
        <v>1468</v>
      </c>
      <c r="D926">
        <v>46.5</v>
      </c>
      <c r="E926">
        <v>24</v>
      </c>
      <c r="F926">
        <v>0</v>
      </c>
      <c r="G926">
        <f>MAX(ROUNDUP(D926, 0), E926) * IF(C926="COVERED", Parameters!$B$2, Parameters!$B$3)</f>
        <v>0</v>
      </c>
      <c r="H926">
        <f>F926 - G926</f>
        <v>0</v>
      </c>
      <c r="I926">
        <f>IF(ABS(H926)&gt;0.01, "Priority 3", "")</f>
        <v>0</v>
      </c>
    </row>
    <row r="927" spans="1:9">
      <c r="A927" t="s">
        <v>1925</v>
      </c>
      <c r="B927" t="s">
        <v>998</v>
      </c>
      <c r="C927" t="s">
        <v>1468</v>
      </c>
      <c r="D927">
        <v>39.1</v>
      </c>
      <c r="E927">
        <v>24</v>
      </c>
      <c r="F927">
        <v>0</v>
      </c>
      <c r="G927">
        <f>MAX(ROUNDUP(D927, 0), E927) * IF(C927="COVERED", Parameters!$B$2, Parameters!$B$3)</f>
        <v>0</v>
      </c>
      <c r="H927">
        <f>F927 - G927</f>
        <v>0</v>
      </c>
      <c r="I927">
        <f>IF(ABS(H927)&gt;0.01, "Priority 3", "")</f>
        <v>0</v>
      </c>
    </row>
    <row r="928" spans="1:9">
      <c r="A928" t="s">
        <v>1926</v>
      </c>
      <c r="B928" t="s">
        <v>998</v>
      </c>
      <c r="C928" t="s">
        <v>1468</v>
      </c>
      <c r="D928">
        <v>60.3</v>
      </c>
      <c r="E928">
        <v>45</v>
      </c>
      <c r="F928">
        <v>0</v>
      </c>
      <c r="G928">
        <f>MAX(ROUNDUP(D928, 0), E928) * IF(C928="COVERED", Parameters!$B$2, Parameters!$B$3)</f>
        <v>0</v>
      </c>
      <c r="H928">
        <f>F928 - G928</f>
        <v>0</v>
      </c>
      <c r="I928">
        <f>IF(ABS(H928)&gt;0.01, "Priority 3", "")</f>
        <v>0</v>
      </c>
    </row>
    <row r="929" spans="1:9">
      <c r="A929" t="s">
        <v>1927</v>
      </c>
      <c r="B929" t="s">
        <v>998</v>
      </c>
      <c r="C929" t="s">
        <v>1468</v>
      </c>
      <c r="D929">
        <v>58.9</v>
      </c>
      <c r="E929">
        <v>32</v>
      </c>
      <c r="F929">
        <v>0</v>
      </c>
      <c r="G929">
        <f>MAX(ROUNDUP(D929, 0), E929) * IF(C929="COVERED", Parameters!$B$2, Parameters!$B$3)</f>
        <v>0</v>
      </c>
      <c r="H929">
        <f>F929 - G929</f>
        <v>0</v>
      </c>
      <c r="I929">
        <f>IF(ABS(H929)&gt;0.01, "Priority 3", "")</f>
        <v>0</v>
      </c>
    </row>
    <row r="930" spans="1:9">
      <c r="A930" t="s">
        <v>1928</v>
      </c>
      <c r="B930" t="s">
        <v>998</v>
      </c>
      <c r="C930" t="s">
        <v>1468</v>
      </c>
      <c r="D930">
        <v>22.7</v>
      </c>
      <c r="E930">
        <v>40</v>
      </c>
      <c r="F930">
        <v>0</v>
      </c>
      <c r="G930">
        <f>MAX(ROUNDUP(D930, 0), E930) * IF(C930="COVERED", Parameters!$B$2, Parameters!$B$3)</f>
        <v>0</v>
      </c>
      <c r="H930">
        <f>F930 - G930</f>
        <v>0</v>
      </c>
      <c r="I930">
        <f>IF(ABS(H930)&gt;0.01, "Priority 3", "")</f>
        <v>0</v>
      </c>
    </row>
    <row r="931" spans="1:9">
      <c r="A931" t="s">
        <v>1929</v>
      </c>
      <c r="B931" t="s">
        <v>998</v>
      </c>
      <c r="C931" t="s">
        <v>1468</v>
      </c>
      <c r="D931">
        <v>58.1</v>
      </c>
      <c r="E931">
        <v>28</v>
      </c>
      <c r="F931">
        <v>0</v>
      </c>
      <c r="G931">
        <f>MAX(ROUNDUP(D931, 0), E931) * IF(C931="COVERED", Parameters!$B$2, Parameters!$B$3)</f>
        <v>0</v>
      </c>
      <c r="H931">
        <f>F931 - G931</f>
        <v>0</v>
      </c>
      <c r="I931">
        <f>IF(ABS(H931)&gt;0.01, "Priority 3", "")</f>
        <v>0</v>
      </c>
    </row>
    <row r="932" spans="1:9">
      <c r="A932" t="s">
        <v>1930</v>
      </c>
      <c r="B932" t="s">
        <v>998</v>
      </c>
      <c r="C932" t="s">
        <v>1468</v>
      </c>
      <c r="D932">
        <v>47.1</v>
      </c>
      <c r="E932">
        <v>70</v>
      </c>
      <c r="F932">
        <v>0</v>
      </c>
      <c r="G932">
        <f>MAX(ROUNDUP(D932, 0), E932) * IF(C932="COVERED", Parameters!$B$2, Parameters!$B$3)</f>
        <v>0</v>
      </c>
      <c r="H932">
        <f>F932 - G932</f>
        <v>0</v>
      </c>
      <c r="I932">
        <f>IF(ABS(H932)&gt;0.01, "Priority 3", "")</f>
        <v>0</v>
      </c>
    </row>
    <row r="933" spans="1:9">
      <c r="A933" t="s">
        <v>1931</v>
      </c>
      <c r="B933" t="s">
        <v>998</v>
      </c>
      <c r="C933" t="s">
        <v>1468</v>
      </c>
      <c r="D933">
        <v>37.5</v>
      </c>
      <c r="E933">
        <v>28</v>
      </c>
      <c r="F933">
        <v>0</v>
      </c>
      <c r="G933">
        <f>MAX(ROUNDUP(D933, 0), E933) * IF(C933="COVERED", Parameters!$B$2, Parameters!$B$3)</f>
        <v>0</v>
      </c>
      <c r="H933">
        <f>F933 - G933</f>
        <v>0</v>
      </c>
      <c r="I933">
        <f>IF(ABS(H933)&gt;0.01, "Priority 3", "")</f>
        <v>0</v>
      </c>
    </row>
    <row r="934" spans="1:9">
      <c r="A934" t="s">
        <v>1932</v>
      </c>
      <c r="B934" t="s">
        <v>998</v>
      </c>
      <c r="C934" t="s">
        <v>1468</v>
      </c>
      <c r="D934">
        <v>44.2</v>
      </c>
      <c r="E934">
        <v>50</v>
      </c>
      <c r="F934">
        <v>0</v>
      </c>
      <c r="G934">
        <f>MAX(ROUNDUP(D934, 0), E934) * IF(C934="COVERED", Parameters!$B$2, Parameters!$B$3)</f>
        <v>0</v>
      </c>
      <c r="H934">
        <f>F934 - G934</f>
        <v>0</v>
      </c>
      <c r="I934">
        <f>IF(ABS(H934)&gt;0.01, "Priority 3", "")</f>
        <v>0</v>
      </c>
    </row>
    <row r="935" spans="1:9">
      <c r="A935" t="s">
        <v>1933</v>
      </c>
      <c r="B935" t="s">
        <v>998</v>
      </c>
      <c r="C935" t="s">
        <v>1468</v>
      </c>
      <c r="D935">
        <v>48.8</v>
      </c>
      <c r="E935">
        <v>50</v>
      </c>
      <c r="F935">
        <v>0</v>
      </c>
      <c r="G935">
        <f>MAX(ROUNDUP(D935, 0), E935) * IF(C935="COVERED", Parameters!$B$2, Parameters!$B$3)</f>
        <v>0</v>
      </c>
      <c r="H935">
        <f>F935 - G935</f>
        <v>0</v>
      </c>
      <c r="I935">
        <f>IF(ABS(H935)&gt;0.01, "Priority 3", "")</f>
        <v>0</v>
      </c>
    </row>
    <row r="936" spans="1:9">
      <c r="A936" t="s">
        <v>1934</v>
      </c>
      <c r="B936" t="s">
        <v>998</v>
      </c>
      <c r="C936" t="s">
        <v>1468</v>
      </c>
      <c r="D936">
        <v>51.5</v>
      </c>
      <c r="E936">
        <v>28</v>
      </c>
      <c r="F936">
        <v>0</v>
      </c>
      <c r="G936">
        <f>MAX(ROUNDUP(D936, 0), E936) * IF(C936="COVERED", Parameters!$B$2, Parameters!$B$3)</f>
        <v>0</v>
      </c>
      <c r="H936">
        <f>F936 - G936</f>
        <v>0</v>
      </c>
      <c r="I936">
        <f>IF(ABS(H936)&gt;0.01, "Priority 3", "")</f>
        <v>0</v>
      </c>
    </row>
    <row r="937" spans="1:9">
      <c r="A937" t="s">
        <v>1935</v>
      </c>
      <c r="B937" t="s">
        <v>998</v>
      </c>
      <c r="C937" t="s">
        <v>1468</v>
      </c>
      <c r="D937">
        <v>26.4</v>
      </c>
      <c r="E937">
        <v>40</v>
      </c>
      <c r="F937">
        <v>0</v>
      </c>
      <c r="G937">
        <f>MAX(ROUNDUP(D937, 0), E937) * IF(C937="COVERED", Parameters!$B$2, Parameters!$B$3)</f>
        <v>0</v>
      </c>
      <c r="H937">
        <f>F937 - G937</f>
        <v>0</v>
      </c>
      <c r="I937">
        <f>IF(ABS(H937)&gt;0.01, "Priority 3", "")</f>
        <v>0</v>
      </c>
    </row>
    <row r="938" spans="1:9">
      <c r="A938" t="s">
        <v>1936</v>
      </c>
      <c r="B938" t="s">
        <v>998</v>
      </c>
      <c r="C938" t="s">
        <v>1468</v>
      </c>
      <c r="D938">
        <v>23.2</v>
      </c>
      <c r="E938">
        <v>32</v>
      </c>
      <c r="F938">
        <v>0</v>
      </c>
      <c r="G938">
        <f>MAX(ROUNDUP(D938, 0), E938) * IF(C938="COVERED", Parameters!$B$2, Parameters!$B$3)</f>
        <v>0</v>
      </c>
      <c r="H938">
        <f>F938 - G938</f>
        <v>0</v>
      </c>
      <c r="I938">
        <f>IF(ABS(H938)&gt;0.01, "Priority 3", "")</f>
        <v>0</v>
      </c>
    </row>
    <row r="939" spans="1:9">
      <c r="A939" t="s">
        <v>1937</v>
      </c>
      <c r="B939" t="s">
        <v>998</v>
      </c>
      <c r="C939" t="s">
        <v>1468</v>
      </c>
      <c r="D939">
        <v>48.6</v>
      </c>
      <c r="E939">
        <v>80</v>
      </c>
      <c r="F939">
        <v>0</v>
      </c>
      <c r="G939">
        <f>MAX(ROUNDUP(D939, 0), E939) * IF(C939="COVERED", Parameters!$B$2, Parameters!$B$3)</f>
        <v>0</v>
      </c>
      <c r="H939">
        <f>F939 - G939</f>
        <v>0</v>
      </c>
      <c r="I939">
        <f>IF(ABS(H939)&gt;0.01, "Priority 3", "")</f>
        <v>0</v>
      </c>
    </row>
    <row r="940" spans="1:9">
      <c r="A940" t="s">
        <v>1938</v>
      </c>
      <c r="B940" t="s">
        <v>998</v>
      </c>
      <c r="C940" t="s">
        <v>1468</v>
      </c>
      <c r="D940">
        <v>30.9</v>
      </c>
      <c r="E940">
        <v>32</v>
      </c>
      <c r="F940">
        <v>0</v>
      </c>
      <c r="G940">
        <f>MAX(ROUNDUP(D940, 0), E940) * IF(C940="COVERED", Parameters!$B$2, Parameters!$B$3)</f>
        <v>0</v>
      </c>
      <c r="H940">
        <f>F940 - G940</f>
        <v>0</v>
      </c>
      <c r="I940">
        <f>IF(ABS(H940)&gt;0.01, "Priority 3", "")</f>
        <v>0</v>
      </c>
    </row>
    <row r="941" spans="1:9">
      <c r="A941" t="s">
        <v>1939</v>
      </c>
      <c r="B941" t="s">
        <v>998</v>
      </c>
      <c r="C941" t="s">
        <v>1468</v>
      </c>
      <c r="D941">
        <v>57.4</v>
      </c>
      <c r="E941">
        <v>70</v>
      </c>
      <c r="F941">
        <v>0</v>
      </c>
      <c r="G941">
        <f>MAX(ROUNDUP(D941, 0), E941) * IF(C941="COVERED", Parameters!$B$2, Parameters!$B$3)</f>
        <v>0</v>
      </c>
      <c r="H941">
        <f>F941 - G941</f>
        <v>0</v>
      </c>
      <c r="I941">
        <f>IF(ABS(H941)&gt;0.01, "Priority 3", "")</f>
        <v>0</v>
      </c>
    </row>
    <row r="942" spans="1:9">
      <c r="A942" t="s">
        <v>1940</v>
      </c>
      <c r="B942" t="s">
        <v>998</v>
      </c>
      <c r="C942" t="s">
        <v>1468</v>
      </c>
      <c r="D942">
        <v>20.7</v>
      </c>
      <c r="E942">
        <v>28</v>
      </c>
      <c r="F942">
        <v>0</v>
      </c>
      <c r="G942">
        <f>MAX(ROUNDUP(D942, 0), E942) * IF(C942="COVERED", Parameters!$B$2, Parameters!$B$3)</f>
        <v>0</v>
      </c>
      <c r="H942">
        <f>F942 - G942</f>
        <v>0</v>
      </c>
      <c r="I942">
        <f>IF(ABS(H942)&gt;0.01, "Priority 3", "")</f>
        <v>0</v>
      </c>
    </row>
    <row r="943" spans="1:9">
      <c r="A943" t="s">
        <v>1941</v>
      </c>
      <c r="B943" t="s">
        <v>998</v>
      </c>
      <c r="C943" t="s">
        <v>1468</v>
      </c>
      <c r="D943">
        <v>30</v>
      </c>
      <c r="E943">
        <v>24</v>
      </c>
      <c r="F943">
        <v>0</v>
      </c>
      <c r="G943">
        <f>MAX(ROUNDUP(D943, 0), E943) * IF(C943="COVERED", Parameters!$B$2, Parameters!$B$3)</f>
        <v>0</v>
      </c>
      <c r="H943">
        <f>F943 - G943</f>
        <v>0</v>
      </c>
      <c r="I943">
        <f>IF(ABS(H943)&gt;0.01, "Priority 3", "")</f>
        <v>0</v>
      </c>
    </row>
    <row r="944" spans="1:9">
      <c r="A944" t="s">
        <v>1942</v>
      </c>
      <c r="B944" t="s">
        <v>998</v>
      </c>
      <c r="C944" t="s">
        <v>1468</v>
      </c>
      <c r="D944">
        <v>58.1</v>
      </c>
      <c r="E944">
        <v>24</v>
      </c>
      <c r="F944">
        <v>0</v>
      </c>
      <c r="G944">
        <f>MAX(ROUNDUP(D944, 0), E944) * IF(C944="COVERED", Parameters!$B$2, Parameters!$B$3)</f>
        <v>0</v>
      </c>
      <c r="H944">
        <f>F944 - G944</f>
        <v>0</v>
      </c>
      <c r="I944">
        <f>IF(ABS(H944)&gt;0.01, "Priority 3", "")</f>
        <v>0</v>
      </c>
    </row>
    <row r="945" spans="1:9">
      <c r="A945" t="s">
        <v>1943</v>
      </c>
      <c r="B945" t="s">
        <v>998</v>
      </c>
      <c r="C945" t="s">
        <v>1468</v>
      </c>
      <c r="D945">
        <v>58.3</v>
      </c>
      <c r="E945">
        <v>70</v>
      </c>
      <c r="F945">
        <v>0</v>
      </c>
      <c r="G945">
        <f>MAX(ROUNDUP(D945, 0), E945) * IF(C945="COVERED", Parameters!$B$2, Parameters!$B$3)</f>
        <v>0</v>
      </c>
      <c r="H945">
        <f>F945 - G945</f>
        <v>0</v>
      </c>
      <c r="I945">
        <f>IF(ABS(H945)&gt;0.01, "Priority 3", "")</f>
        <v>0</v>
      </c>
    </row>
    <row r="946" spans="1:9">
      <c r="A946" t="s">
        <v>1944</v>
      </c>
      <c r="B946" t="s">
        <v>998</v>
      </c>
      <c r="C946" t="s">
        <v>1468</v>
      </c>
      <c r="D946">
        <v>35.4</v>
      </c>
      <c r="E946">
        <v>70</v>
      </c>
      <c r="F946">
        <v>0</v>
      </c>
      <c r="G946">
        <f>MAX(ROUNDUP(D946, 0), E946) * IF(C946="COVERED", Parameters!$B$2, Parameters!$B$3)</f>
        <v>0</v>
      </c>
      <c r="H946">
        <f>F946 - G946</f>
        <v>0</v>
      </c>
      <c r="I946">
        <f>IF(ABS(H946)&gt;0.01, "Priority 3", "")</f>
        <v>0</v>
      </c>
    </row>
    <row r="947" spans="1:9">
      <c r="A947" t="s">
        <v>1945</v>
      </c>
      <c r="B947" t="s">
        <v>998</v>
      </c>
      <c r="C947" t="s">
        <v>1468</v>
      </c>
      <c r="D947">
        <v>60.3</v>
      </c>
      <c r="E947">
        <v>32</v>
      </c>
      <c r="F947">
        <v>0</v>
      </c>
      <c r="G947">
        <f>MAX(ROUNDUP(D947, 0), E947) * IF(C947="COVERED", Parameters!$B$2, Parameters!$B$3)</f>
        <v>0</v>
      </c>
      <c r="H947">
        <f>F947 - G947</f>
        <v>0</v>
      </c>
      <c r="I947">
        <f>IF(ABS(H947)&gt;0.01, "Priority 3", "")</f>
        <v>0</v>
      </c>
    </row>
    <row r="948" spans="1:9">
      <c r="A948" t="s">
        <v>1946</v>
      </c>
      <c r="B948" t="s">
        <v>998</v>
      </c>
      <c r="C948" t="s">
        <v>1468</v>
      </c>
      <c r="D948">
        <v>20.9</v>
      </c>
      <c r="E948">
        <v>50</v>
      </c>
      <c r="F948">
        <v>0</v>
      </c>
      <c r="G948">
        <f>MAX(ROUNDUP(D948, 0), E948) * IF(C948="COVERED", Parameters!$B$2, Parameters!$B$3)</f>
        <v>0</v>
      </c>
      <c r="H948">
        <f>F948 - G948</f>
        <v>0</v>
      </c>
      <c r="I948">
        <f>IF(ABS(H948)&gt;0.01, "Priority 3", "")</f>
        <v>0</v>
      </c>
    </row>
    <row r="949" spans="1:9">
      <c r="A949" t="s">
        <v>1947</v>
      </c>
      <c r="B949" t="s">
        <v>998</v>
      </c>
      <c r="C949" t="s">
        <v>1468</v>
      </c>
      <c r="D949">
        <v>26.6</v>
      </c>
      <c r="E949">
        <v>40</v>
      </c>
      <c r="F949">
        <v>0</v>
      </c>
      <c r="G949">
        <f>MAX(ROUNDUP(D949, 0), E949) * IF(C949="COVERED", Parameters!$B$2, Parameters!$B$3)</f>
        <v>0</v>
      </c>
      <c r="H949">
        <f>F949 - G949</f>
        <v>0</v>
      </c>
      <c r="I949">
        <f>IF(ABS(H949)&gt;0.01, "Priority 3", "")</f>
        <v>0</v>
      </c>
    </row>
    <row r="950" spans="1:9">
      <c r="A950" t="s">
        <v>1948</v>
      </c>
      <c r="B950" t="s">
        <v>998</v>
      </c>
      <c r="C950" t="s">
        <v>1468</v>
      </c>
      <c r="D950">
        <v>43.8</v>
      </c>
      <c r="E950">
        <v>28</v>
      </c>
      <c r="F950">
        <v>0</v>
      </c>
      <c r="G950">
        <f>MAX(ROUNDUP(D950, 0), E950) * IF(C950="COVERED", Parameters!$B$2, Parameters!$B$3)</f>
        <v>0</v>
      </c>
      <c r="H950">
        <f>F950 - G950</f>
        <v>0</v>
      </c>
      <c r="I950">
        <f>IF(ABS(H950)&gt;0.01, "Priority 3", "")</f>
        <v>0</v>
      </c>
    </row>
    <row r="951" spans="1:9">
      <c r="A951" t="s">
        <v>1949</v>
      </c>
      <c r="B951" t="s">
        <v>998</v>
      </c>
      <c r="C951" t="s">
        <v>1468</v>
      </c>
      <c r="D951">
        <v>37.7</v>
      </c>
      <c r="E951">
        <v>50</v>
      </c>
      <c r="F951">
        <v>0</v>
      </c>
      <c r="G951">
        <f>MAX(ROUNDUP(D951, 0), E951) * IF(C951="COVERED", Parameters!$B$2, Parameters!$B$3)</f>
        <v>0</v>
      </c>
      <c r="H951">
        <f>F951 - G951</f>
        <v>0</v>
      </c>
      <c r="I951">
        <f>IF(ABS(H951)&gt;0.01, "Priority 3", "")</f>
        <v>0</v>
      </c>
    </row>
    <row r="952" spans="1:9">
      <c r="A952" t="s">
        <v>1950</v>
      </c>
      <c r="B952" t="s">
        <v>998</v>
      </c>
      <c r="C952" t="s">
        <v>1468</v>
      </c>
      <c r="D952">
        <v>52.1</v>
      </c>
      <c r="E952">
        <v>24</v>
      </c>
      <c r="F952">
        <v>0</v>
      </c>
      <c r="G952">
        <f>MAX(ROUNDUP(D952, 0), E952) * IF(C952="COVERED", Parameters!$B$2, Parameters!$B$3)</f>
        <v>0</v>
      </c>
      <c r="H952">
        <f>F952 - G952</f>
        <v>0</v>
      </c>
      <c r="I952">
        <f>IF(ABS(H952)&gt;0.01, "Priority 3", "")</f>
        <v>0</v>
      </c>
    </row>
    <row r="953" spans="1:9">
      <c r="A953" t="s">
        <v>1951</v>
      </c>
      <c r="B953" t="s">
        <v>998</v>
      </c>
      <c r="C953" t="s">
        <v>1468</v>
      </c>
      <c r="D953">
        <v>59.9</v>
      </c>
      <c r="E953">
        <v>70</v>
      </c>
      <c r="F953">
        <v>0</v>
      </c>
      <c r="G953">
        <f>MAX(ROUNDUP(D953, 0), E953) * IF(C953="COVERED", Parameters!$B$2, Parameters!$B$3)</f>
        <v>0</v>
      </c>
      <c r="H953">
        <f>F953 - G953</f>
        <v>0</v>
      </c>
      <c r="I953">
        <f>IF(ABS(H953)&gt;0.01, "Priority 3", "")</f>
        <v>0</v>
      </c>
    </row>
    <row r="954" spans="1:9">
      <c r="A954" t="s">
        <v>1952</v>
      </c>
      <c r="B954" t="s">
        <v>998</v>
      </c>
      <c r="C954" t="s">
        <v>1468</v>
      </c>
      <c r="D954">
        <v>55.5</v>
      </c>
      <c r="E954">
        <v>24</v>
      </c>
      <c r="F954">
        <v>0</v>
      </c>
      <c r="G954">
        <f>MAX(ROUNDUP(D954, 0), E954) * IF(C954="COVERED", Parameters!$B$2, Parameters!$B$3)</f>
        <v>0</v>
      </c>
      <c r="H954">
        <f>F954 - G954</f>
        <v>0</v>
      </c>
      <c r="I954">
        <f>IF(ABS(H954)&gt;0.01, "Priority 3", "")</f>
        <v>0</v>
      </c>
    </row>
    <row r="955" spans="1:9">
      <c r="A955" t="s">
        <v>1953</v>
      </c>
      <c r="B955" t="s">
        <v>998</v>
      </c>
      <c r="C955" t="s">
        <v>1468</v>
      </c>
      <c r="D955">
        <v>32.9</v>
      </c>
      <c r="E955">
        <v>24</v>
      </c>
      <c r="F955">
        <v>0</v>
      </c>
      <c r="G955">
        <f>MAX(ROUNDUP(D955, 0), E955) * IF(C955="COVERED", Parameters!$B$2, Parameters!$B$3)</f>
        <v>0</v>
      </c>
      <c r="H955">
        <f>F955 - G955</f>
        <v>0</v>
      </c>
      <c r="I955">
        <f>IF(ABS(H955)&gt;0.01, "Priority 3", "")</f>
        <v>0</v>
      </c>
    </row>
    <row r="956" spans="1:9">
      <c r="A956" t="s">
        <v>1954</v>
      </c>
      <c r="B956" t="s">
        <v>998</v>
      </c>
      <c r="C956" t="s">
        <v>1468</v>
      </c>
      <c r="D956">
        <v>45.8</v>
      </c>
      <c r="E956">
        <v>28</v>
      </c>
      <c r="F956">
        <v>0</v>
      </c>
      <c r="G956">
        <f>MAX(ROUNDUP(D956, 0), E956) * IF(C956="COVERED", Parameters!$B$2, Parameters!$B$3)</f>
        <v>0</v>
      </c>
      <c r="H956">
        <f>F956 - G956</f>
        <v>0</v>
      </c>
      <c r="I956">
        <f>IF(ABS(H956)&gt;0.01, "Priority 3", "")</f>
        <v>0</v>
      </c>
    </row>
    <row r="957" spans="1:9">
      <c r="A957" t="s">
        <v>1955</v>
      </c>
      <c r="B957" t="s">
        <v>998</v>
      </c>
      <c r="C957" t="s">
        <v>1468</v>
      </c>
      <c r="D957">
        <v>27.1</v>
      </c>
      <c r="E957">
        <v>28</v>
      </c>
      <c r="F957">
        <v>0</v>
      </c>
      <c r="G957">
        <f>MAX(ROUNDUP(D957, 0), E957) * IF(C957="COVERED", Parameters!$B$2, Parameters!$B$3)</f>
        <v>0</v>
      </c>
      <c r="H957">
        <f>F957 - G957</f>
        <v>0</v>
      </c>
      <c r="I957">
        <f>IF(ABS(H957)&gt;0.01, "Priority 3", "")</f>
        <v>0</v>
      </c>
    </row>
    <row r="958" spans="1:9">
      <c r="A958" t="s">
        <v>1956</v>
      </c>
      <c r="B958" t="s">
        <v>998</v>
      </c>
      <c r="C958" t="s">
        <v>1468</v>
      </c>
      <c r="D958">
        <v>53.4</v>
      </c>
      <c r="E958">
        <v>32</v>
      </c>
      <c r="F958">
        <v>0</v>
      </c>
      <c r="G958">
        <f>MAX(ROUNDUP(D958, 0), E958) * IF(C958="COVERED", Parameters!$B$2, Parameters!$B$3)</f>
        <v>0</v>
      </c>
      <c r="H958">
        <f>F958 - G958</f>
        <v>0</v>
      </c>
      <c r="I958">
        <f>IF(ABS(H958)&gt;0.01, "Priority 3", "")</f>
        <v>0</v>
      </c>
    </row>
    <row r="959" spans="1:9">
      <c r="A959" t="s">
        <v>1957</v>
      </c>
      <c r="B959" t="s">
        <v>998</v>
      </c>
      <c r="C959" t="s">
        <v>1468</v>
      </c>
      <c r="D959">
        <v>28.9</v>
      </c>
      <c r="E959">
        <v>36</v>
      </c>
      <c r="F959">
        <v>0</v>
      </c>
      <c r="G959">
        <f>MAX(ROUNDUP(D959, 0), E959) * IF(C959="COVERED", Parameters!$B$2, Parameters!$B$3)</f>
        <v>0</v>
      </c>
      <c r="H959">
        <f>F959 - G959</f>
        <v>0</v>
      </c>
      <c r="I959">
        <f>IF(ABS(H959)&gt;0.01, "Priority 3", "")</f>
        <v>0</v>
      </c>
    </row>
    <row r="960" spans="1:9">
      <c r="A960" t="s">
        <v>1958</v>
      </c>
      <c r="B960" t="s">
        <v>998</v>
      </c>
      <c r="C960" t="s">
        <v>1468</v>
      </c>
      <c r="D960">
        <v>24</v>
      </c>
      <c r="E960">
        <v>45</v>
      </c>
      <c r="F960">
        <v>0</v>
      </c>
      <c r="G960">
        <f>MAX(ROUNDUP(D960, 0), E960) * IF(C960="COVERED", Parameters!$B$2, Parameters!$B$3)</f>
        <v>0</v>
      </c>
      <c r="H960">
        <f>F960 - G960</f>
        <v>0</v>
      </c>
      <c r="I960">
        <f>IF(ABS(H960)&gt;0.01, "Priority 3", "")</f>
        <v>0</v>
      </c>
    </row>
    <row r="961" spans="1:9">
      <c r="A961" t="s">
        <v>1959</v>
      </c>
      <c r="B961" t="s">
        <v>998</v>
      </c>
      <c r="C961" t="s">
        <v>1468</v>
      </c>
      <c r="D961">
        <v>35.5</v>
      </c>
      <c r="E961">
        <v>24</v>
      </c>
      <c r="F961">
        <v>0</v>
      </c>
      <c r="G961">
        <f>MAX(ROUNDUP(D961, 0), E961) * IF(C961="COVERED", Parameters!$B$2, Parameters!$B$3)</f>
        <v>0</v>
      </c>
      <c r="H961">
        <f>F961 - G961</f>
        <v>0</v>
      </c>
      <c r="I961">
        <f>IF(ABS(H961)&gt;0.01, "Priority 3", "")</f>
        <v>0</v>
      </c>
    </row>
    <row r="962" spans="1:9">
      <c r="A962" t="s">
        <v>1960</v>
      </c>
      <c r="B962" t="s">
        <v>998</v>
      </c>
      <c r="C962" t="s">
        <v>1468</v>
      </c>
      <c r="D962">
        <v>47.1</v>
      </c>
      <c r="E962">
        <v>70</v>
      </c>
      <c r="F962">
        <v>0</v>
      </c>
      <c r="G962">
        <f>MAX(ROUNDUP(D962, 0), E962) * IF(C962="COVERED", Parameters!$B$2, Parameters!$B$3)</f>
        <v>0</v>
      </c>
      <c r="H962">
        <f>F962 - G962</f>
        <v>0</v>
      </c>
      <c r="I962">
        <f>IF(ABS(H962)&gt;0.01, "Priority 3", "")</f>
        <v>0</v>
      </c>
    </row>
    <row r="963" spans="1:9">
      <c r="A963" t="s">
        <v>1961</v>
      </c>
      <c r="B963" t="s">
        <v>998</v>
      </c>
      <c r="C963" t="s">
        <v>1468</v>
      </c>
      <c r="D963">
        <v>48.1</v>
      </c>
      <c r="E963">
        <v>32</v>
      </c>
      <c r="F963">
        <v>0</v>
      </c>
      <c r="G963">
        <f>MAX(ROUNDUP(D963, 0), E963) * IF(C963="COVERED", Parameters!$B$2, Parameters!$B$3)</f>
        <v>0</v>
      </c>
      <c r="H963">
        <f>F963 - G963</f>
        <v>0</v>
      </c>
      <c r="I963">
        <f>IF(ABS(H963)&gt;0.01, "Priority 3", "")</f>
        <v>0</v>
      </c>
    </row>
    <row r="964" spans="1:9">
      <c r="A964" t="s">
        <v>1962</v>
      </c>
      <c r="B964" t="s">
        <v>998</v>
      </c>
      <c r="C964" t="s">
        <v>1468</v>
      </c>
      <c r="D964">
        <v>23.8</v>
      </c>
      <c r="E964">
        <v>60</v>
      </c>
      <c r="F964">
        <v>0</v>
      </c>
      <c r="G964">
        <f>MAX(ROUNDUP(D964, 0), E964) * IF(C964="COVERED", Parameters!$B$2, Parameters!$B$3)</f>
        <v>0</v>
      </c>
      <c r="H964">
        <f>F964 - G964</f>
        <v>0</v>
      </c>
      <c r="I964">
        <f>IF(ABS(H964)&gt;0.01, "Priority 3", "")</f>
        <v>0</v>
      </c>
    </row>
    <row r="965" spans="1:9">
      <c r="A965" t="s">
        <v>1963</v>
      </c>
      <c r="B965" t="s">
        <v>998</v>
      </c>
      <c r="C965" t="s">
        <v>1468</v>
      </c>
      <c r="D965">
        <v>53.9</v>
      </c>
      <c r="E965">
        <v>32</v>
      </c>
      <c r="F965">
        <v>0</v>
      </c>
      <c r="G965">
        <f>MAX(ROUNDUP(D965, 0), E965) * IF(C965="COVERED", Parameters!$B$2, Parameters!$B$3)</f>
        <v>0</v>
      </c>
      <c r="H965">
        <f>F965 - G965</f>
        <v>0</v>
      </c>
      <c r="I965">
        <f>IF(ABS(H965)&gt;0.01, "Priority 3", "")</f>
        <v>0</v>
      </c>
    </row>
    <row r="966" spans="1:9">
      <c r="A966" t="s">
        <v>1964</v>
      </c>
      <c r="B966" t="s">
        <v>998</v>
      </c>
      <c r="C966" t="s">
        <v>1468</v>
      </c>
      <c r="D966">
        <v>47.7</v>
      </c>
      <c r="E966">
        <v>24</v>
      </c>
      <c r="F966">
        <v>0</v>
      </c>
      <c r="G966">
        <f>MAX(ROUNDUP(D966, 0), E966) * IF(C966="COVERED", Parameters!$B$2, Parameters!$B$3)</f>
        <v>0</v>
      </c>
      <c r="H966">
        <f>F966 - G966</f>
        <v>0</v>
      </c>
      <c r="I966">
        <f>IF(ABS(H966)&gt;0.01, "Priority 3", "")</f>
        <v>0</v>
      </c>
    </row>
    <row r="967" spans="1:9">
      <c r="A967" t="s">
        <v>1965</v>
      </c>
      <c r="B967" t="s">
        <v>998</v>
      </c>
      <c r="C967" t="s">
        <v>1468</v>
      </c>
      <c r="D967">
        <v>54.9</v>
      </c>
      <c r="E967">
        <v>40</v>
      </c>
      <c r="F967">
        <v>0</v>
      </c>
      <c r="G967">
        <f>MAX(ROUNDUP(D967, 0), E967) * IF(C967="COVERED", Parameters!$B$2, Parameters!$B$3)</f>
        <v>0</v>
      </c>
      <c r="H967">
        <f>F967 - G967</f>
        <v>0</v>
      </c>
      <c r="I967">
        <f>IF(ABS(H967)&gt;0.01, "Priority 3", "")</f>
        <v>0</v>
      </c>
    </row>
    <row r="968" spans="1:9">
      <c r="A968" t="s">
        <v>1966</v>
      </c>
      <c r="B968" t="s">
        <v>998</v>
      </c>
      <c r="C968" t="s">
        <v>1468</v>
      </c>
      <c r="D968">
        <v>57.3</v>
      </c>
      <c r="E968">
        <v>45</v>
      </c>
      <c r="F968">
        <v>0</v>
      </c>
      <c r="G968">
        <f>MAX(ROUNDUP(D968, 0), E968) * IF(C968="COVERED", Parameters!$B$2, Parameters!$B$3)</f>
        <v>0</v>
      </c>
      <c r="H968">
        <f>F968 - G968</f>
        <v>0</v>
      </c>
      <c r="I968">
        <f>IF(ABS(H968)&gt;0.01, "Priority 3", "")</f>
        <v>0</v>
      </c>
    </row>
    <row r="969" spans="1:9">
      <c r="A969" t="s">
        <v>1967</v>
      </c>
      <c r="B969" t="s">
        <v>998</v>
      </c>
      <c r="C969" t="s">
        <v>1468</v>
      </c>
      <c r="D969">
        <v>55.3</v>
      </c>
      <c r="E969">
        <v>40</v>
      </c>
      <c r="F969">
        <v>0</v>
      </c>
      <c r="G969">
        <f>MAX(ROUNDUP(D969, 0), E969) * IF(C969="COVERED", Parameters!$B$2, Parameters!$B$3)</f>
        <v>0</v>
      </c>
      <c r="H969">
        <f>F969 - G969</f>
        <v>0</v>
      </c>
      <c r="I969">
        <f>IF(ABS(H969)&gt;0.01, "Priority 3", "")</f>
        <v>0</v>
      </c>
    </row>
    <row r="970" spans="1:9">
      <c r="A970" t="s">
        <v>1968</v>
      </c>
      <c r="B970" t="s">
        <v>998</v>
      </c>
      <c r="C970" t="s">
        <v>1468</v>
      </c>
      <c r="D970">
        <v>32.7</v>
      </c>
      <c r="E970">
        <v>24</v>
      </c>
      <c r="F970">
        <v>0</v>
      </c>
      <c r="G970">
        <f>MAX(ROUNDUP(D970, 0), E970) * IF(C970="COVERED", Parameters!$B$2, Parameters!$B$3)</f>
        <v>0</v>
      </c>
      <c r="H970">
        <f>F970 - G970</f>
        <v>0</v>
      </c>
      <c r="I970">
        <f>IF(ABS(H970)&gt;0.01, "Priority 3", "")</f>
        <v>0</v>
      </c>
    </row>
    <row r="971" spans="1:9">
      <c r="A971" t="s">
        <v>1969</v>
      </c>
      <c r="B971" t="s">
        <v>998</v>
      </c>
      <c r="C971" t="s">
        <v>1468</v>
      </c>
      <c r="D971">
        <v>50.7</v>
      </c>
      <c r="E971">
        <v>28</v>
      </c>
      <c r="F971">
        <v>0</v>
      </c>
      <c r="G971">
        <f>MAX(ROUNDUP(D971, 0), E971) * IF(C971="COVERED", Parameters!$B$2, Parameters!$B$3)</f>
        <v>0</v>
      </c>
      <c r="H971">
        <f>F971 - G971</f>
        <v>0</v>
      </c>
      <c r="I971">
        <f>IF(ABS(H971)&gt;0.01, "Priority 3", "")</f>
        <v>0</v>
      </c>
    </row>
    <row r="972" spans="1:9">
      <c r="A972" t="s">
        <v>1970</v>
      </c>
      <c r="B972" t="s">
        <v>998</v>
      </c>
      <c r="C972" t="s">
        <v>1468</v>
      </c>
      <c r="D972">
        <v>28.6</v>
      </c>
      <c r="E972">
        <v>40</v>
      </c>
      <c r="F972">
        <v>0</v>
      </c>
      <c r="G972">
        <f>MAX(ROUNDUP(D972, 0), E972) * IF(C972="COVERED", Parameters!$B$2, Parameters!$B$3)</f>
        <v>0</v>
      </c>
      <c r="H972">
        <f>F972 - G972</f>
        <v>0</v>
      </c>
      <c r="I972">
        <f>IF(ABS(H972)&gt;0.01, "Priority 3", "")</f>
        <v>0</v>
      </c>
    </row>
    <row r="973" spans="1:9">
      <c r="A973" t="s">
        <v>1971</v>
      </c>
      <c r="B973" t="s">
        <v>998</v>
      </c>
      <c r="C973" t="s">
        <v>1468</v>
      </c>
      <c r="D973">
        <v>31.4</v>
      </c>
      <c r="E973">
        <v>24</v>
      </c>
      <c r="F973">
        <v>0</v>
      </c>
      <c r="G973">
        <f>MAX(ROUNDUP(D973, 0), E973) * IF(C973="COVERED", Parameters!$B$2, Parameters!$B$3)</f>
        <v>0</v>
      </c>
      <c r="H973">
        <f>F973 - G973</f>
        <v>0</v>
      </c>
      <c r="I973">
        <f>IF(ABS(H973)&gt;0.01, "Priority 3", "")</f>
        <v>0</v>
      </c>
    </row>
    <row r="974" spans="1:9">
      <c r="A974" t="s">
        <v>1972</v>
      </c>
      <c r="B974" t="s">
        <v>998</v>
      </c>
      <c r="C974" t="s">
        <v>1468</v>
      </c>
      <c r="D974">
        <v>28.3</v>
      </c>
      <c r="E974">
        <v>24</v>
      </c>
      <c r="F974">
        <v>0</v>
      </c>
      <c r="G974">
        <f>MAX(ROUNDUP(D974, 0), E974) * IF(C974="COVERED", Parameters!$B$2, Parameters!$B$3)</f>
        <v>0</v>
      </c>
      <c r="H974">
        <f>F974 - G974</f>
        <v>0</v>
      </c>
      <c r="I974">
        <f>IF(ABS(H974)&gt;0.01, "Priority 3", "")</f>
        <v>0</v>
      </c>
    </row>
    <row r="975" spans="1:9">
      <c r="A975" t="s">
        <v>1973</v>
      </c>
      <c r="B975" t="s">
        <v>998</v>
      </c>
      <c r="C975" t="s">
        <v>1468</v>
      </c>
      <c r="D975">
        <v>53.3</v>
      </c>
      <c r="E975">
        <v>70</v>
      </c>
      <c r="F975">
        <v>0</v>
      </c>
      <c r="G975">
        <f>MAX(ROUNDUP(D975, 0), E975) * IF(C975="COVERED", Parameters!$B$2, Parameters!$B$3)</f>
        <v>0</v>
      </c>
      <c r="H975">
        <f>F975 - G975</f>
        <v>0</v>
      </c>
      <c r="I975">
        <f>IF(ABS(H975)&gt;0.01, "Priority 3", "")</f>
        <v>0</v>
      </c>
    </row>
    <row r="976" spans="1:9">
      <c r="A976" t="s">
        <v>1974</v>
      </c>
      <c r="B976" t="s">
        <v>998</v>
      </c>
      <c r="C976" t="s">
        <v>1468</v>
      </c>
      <c r="D976">
        <v>27.8</v>
      </c>
      <c r="E976">
        <v>45</v>
      </c>
      <c r="F976">
        <v>0</v>
      </c>
      <c r="G976">
        <f>MAX(ROUNDUP(D976, 0), E976) * IF(C976="COVERED", Parameters!$B$2, Parameters!$B$3)</f>
        <v>0</v>
      </c>
      <c r="H976">
        <f>F976 - G976</f>
        <v>0</v>
      </c>
      <c r="I976">
        <f>IF(ABS(H976)&gt;0.01, "Priority 3", "")</f>
        <v>0</v>
      </c>
    </row>
    <row r="977" spans="1:9">
      <c r="A977" t="s">
        <v>1975</v>
      </c>
      <c r="B977" t="s">
        <v>998</v>
      </c>
      <c r="C977" t="s">
        <v>1468</v>
      </c>
      <c r="D977">
        <v>59.1</v>
      </c>
      <c r="E977">
        <v>32</v>
      </c>
      <c r="F977">
        <v>0</v>
      </c>
      <c r="G977">
        <f>MAX(ROUNDUP(D977, 0), E977) * IF(C977="COVERED", Parameters!$B$2, Parameters!$B$3)</f>
        <v>0</v>
      </c>
      <c r="H977">
        <f>F977 - G977</f>
        <v>0</v>
      </c>
      <c r="I977">
        <f>IF(ABS(H977)&gt;0.01, "Priority 3", "")</f>
        <v>0</v>
      </c>
    </row>
    <row r="978" spans="1:9">
      <c r="A978" t="s">
        <v>1976</v>
      </c>
      <c r="B978" t="s">
        <v>998</v>
      </c>
      <c r="C978" t="s">
        <v>1468</v>
      </c>
      <c r="D978">
        <v>41.5</v>
      </c>
      <c r="E978">
        <v>28</v>
      </c>
      <c r="F978">
        <v>0</v>
      </c>
      <c r="G978">
        <f>MAX(ROUNDUP(D978, 0), E978) * IF(C978="COVERED", Parameters!$B$2, Parameters!$B$3)</f>
        <v>0</v>
      </c>
      <c r="H978">
        <f>F978 - G978</f>
        <v>0</v>
      </c>
      <c r="I978">
        <f>IF(ABS(H978)&gt;0.01, "Priority 3", "")</f>
        <v>0</v>
      </c>
    </row>
    <row r="979" spans="1:9">
      <c r="A979" t="s">
        <v>1977</v>
      </c>
      <c r="B979" t="s">
        <v>998</v>
      </c>
      <c r="C979" t="s">
        <v>1468</v>
      </c>
      <c r="D979">
        <v>41.9</v>
      </c>
      <c r="E979">
        <v>28</v>
      </c>
      <c r="F979">
        <v>0</v>
      </c>
      <c r="G979">
        <f>MAX(ROUNDUP(D979, 0), E979) * IF(C979="COVERED", Parameters!$B$2, Parameters!$B$3)</f>
        <v>0</v>
      </c>
      <c r="H979">
        <f>F979 - G979</f>
        <v>0</v>
      </c>
      <c r="I979">
        <f>IF(ABS(H979)&gt;0.01, "Priority 3", "")</f>
        <v>0</v>
      </c>
    </row>
    <row r="980" spans="1:9">
      <c r="A980" t="s">
        <v>1978</v>
      </c>
      <c r="B980" t="s">
        <v>998</v>
      </c>
      <c r="C980" t="s">
        <v>1468</v>
      </c>
      <c r="D980">
        <v>38.2</v>
      </c>
      <c r="E980">
        <v>45</v>
      </c>
      <c r="F980">
        <v>0</v>
      </c>
      <c r="G980">
        <f>MAX(ROUNDUP(D980, 0), E980) * IF(C980="COVERED", Parameters!$B$2, Parameters!$B$3)</f>
        <v>0</v>
      </c>
      <c r="H980">
        <f>F980 - G980</f>
        <v>0</v>
      </c>
      <c r="I980">
        <f>IF(ABS(H980)&gt;0.01, "Priority 3", "")</f>
        <v>0</v>
      </c>
    </row>
    <row r="981" spans="1:9">
      <c r="A981" t="s">
        <v>1979</v>
      </c>
      <c r="B981" t="s">
        <v>998</v>
      </c>
      <c r="C981" t="s">
        <v>1468</v>
      </c>
      <c r="D981">
        <v>48.2</v>
      </c>
      <c r="E981">
        <v>32</v>
      </c>
      <c r="F981">
        <v>0</v>
      </c>
      <c r="G981">
        <f>MAX(ROUNDUP(D981, 0), E981) * IF(C981="COVERED", Parameters!$B$2, Parameters!$B$3)</f>
        <v>0</v>
      </c>
      <c r="H981">
        <f>F981 - G981</f>
        <v>0</v>
      </c>
      <c r="I981">
        <f>IF(ABS(H981)&gt;0.01, "Priority 3", "")</f>
        <v>0</v>
      </c>
    </row>
    <row r="982" spans="1:9">
      <c r="A982" t="s">
        <v>1980</v>
      </c>
      <c r="B982" t="s">
        <v>998</v>
      </c>
      <c r="C982" t="s">
        <v>1468</v>
      </c>
      <c r="D982">
        <v>61.2</v>
      </c>
      <c r="E982">
        <v>32</v>
      </c>
      <c r="F982">
        <v>0</v>
      </c>
      <c r="G982">
        <f>MAX(ROUNDUP(D982, 0), E982) * IF(C982="COVERED", Parameters!$B$2, Parameters!$B$3)</f>
        <v>0</v>
      </c>
      <c r="H982">
        <f>F982 - G982</f>
        <v>0</v>
      </c>
      <c r="I982">
        <f>IF(ABS(H982)&gt;0.01, "Priority 3", "")</f>
        <v>0</v>
      </c>
    </row>
    <row r="983" spans="1:9">
      <c r="A983" t="s">
        <v>1981</v>
      </c>
      <c r="B983" t="s">
        <v>998</v>
      </c>
      <c r="C983" t="s">
        <v>1468</v>
      </c>
      <c r="D983">
        <v>48.4</v>
      </c>
      <c r="E983">
        <v>60</v>
      </c>
      <c r="F983">
        <v>0</v>
      </c>
      <c r="G983">
        <f>MAX(ROUNDUP(D983, 0), E983) * IF(C983="COVERED", Parameters!$B$2, Parameters!$B$3)</f>
        <v>0</v>
      </c>
      <c r="H983">
        <f>F983 - G983</f>
        <v>0</v>
      </c>
      <c r="I983">
        <f>IF(ABS(H983)&gt;0.01, "Priority 3", "")</f>
        <v>0</v>
      </c>
    </row>
    <row r="984" spans="1:9">
      <c r="A984" t="s">
        <v>1982</v>
      </c>
      <c r="B984" t="s">
        <v>998</v>
      </c>
      <c r="C984" t="s">
        <v>1468</v>
      </c>
      <c r="D984">
        <v>26.5</v>
      </c>
      <c r="E984">
        <v>24</v>
      </c>
      <c r="F984">
        <v>0</v>
      </c>
      <c r="G984">
        <f>MAX(ROUNDUP(D984, 0), E984) * IF(C984="COVERED", Parameters!$B$2, Parameters!$B$3)</f>
        <v>0</v>
      </c>
      <c r="H984">
        <f>F984 - G984</f>
        <v>0</v>
      </c>
      <c r="I984">
        <f>IF(ABS(H984)&gt;0.01, "Priority 3", "")</f>
        <v>0</v>
      </c>
    </row>
    <row r="985" spans="1:9">
      <c r="A985" t="s">
        <v>1983</v>
      </c>
      <c r="B985" t="s">
        <v>998</v>
      </c>
      <c r="C985" t="s">
        <v>1468</v>
      </c>
      <c r="D985">
        <v>53.2</v>
      </c>
      <c r="E985">
        <v>80</v>
      </c>
      <c r="F985">
        <v>0</v>
      </c>
      <c r="G985">
        <f>MAX(ROUNDUP(D985, 0), E985) * IF(C985="COVERED", Parameters!$B$2, Parameters!$B$3)</f>
        <v>0</v>
      </c>
      <c r="H985">
        <f>F985 - G985</f>
        <v>0</v>
      </c>
      <c r="I985">
        <f>IF(ABS(H985)&gt;0.01, "Priority 3", "")</f>
        <v>0</v>
      </c>
    </row>
    <row r="986" spans="1:9">
      <c r="A986" t="s">
        <v>1984</v>
      </c>
      <c r="B986" t="s">
        <v>998</v>
      </c>
      <c r="C986" t="s">
        <v>1468</v>
      </c>
      <c r="D986">
        <v>52.5</v>
      </c>
      <c r="E986">
        <v>24</v>
      </c>
      <c r="F986">
        <v>0</v>
      </c>
      <c r="G986">
        <f>MAX(ROUNDUP(D986, 0), E986) * IF(C986="COVERED", Parameters!$B$2, Parameters!$B$3)</f>
        <v>0</v>
      </c>
      <c r="H986">
        <f>F986 - G986</f>
        <v>0</v>
      </c>
      <c r="I986">
        <f>IF(ABS(H986)&gt;0.01, "Priority 3", "")</f>
        <v>0</v>
      </c>
    </row>
    <row r="987" spans="1:9">
      <c r="A987" t="s">
        <v>1985</v>
      </c>
      <c r="B987" t="s">
        <v>998</v>
      </c>
      <c r="C987" t="s">
        <v>1468</v>
      </c>
      <c r="D987">
        <v>40.6</v>
      </c>
      <c r="E987">
        <v>80</v>
      </c>
      <c r="F987">
        <v>0</v>
      </c>
      <c r="G987">
        <f>MAX(ROUNDUP(D987, 0), E987) * IF(C987="COVERED", Parameters!$B$2, Parameters!$B$3)</f>
        <v>0</v>
      </c>
      <c r="H987">
        <f>F987 - G987</f>
        <v>0</v>
      </c>
      <c r="I987">
        <f>IF(ABS(H987)&gt;0.01, "Priority 3", "")</f>
        <v>0</v>
      </c>
    </row>
    <row r="988" spans="1:9">
      <c r="A988" t="s">
        <v>1986</v>
      </c>
      <c r="B988" t="s">
        <v>998</v>
      </c>
      <c r="C988" t="s">
        <v>1468</v>
      </c>
      <c r="D988">
        <v>37.5</v>
      </c>
      <c r="E988">
        <v>45</v>
      </c>
      <c r="F988">
        <v>0</v>
      </c>
      <c r="G988">
        <f>MAX(ROUNDUP(D988, 0), E988) * IF(C988="COVERED", Parameters!$B$2, Parameters!$B$3)</f>
        <v>0</v>
      </c>
      <c r="H988">
        <f>F988 - G988</f>
        <v>0</v>
      </c>
      <c r="I988">
        <f>IF(ABS(H988)&gt;0.01, "Priority 3", "")</f>
        <v>0</v>
      </c>
    </row>
    <row r="989" spans="1:9">
      <c r="A989" t="s">
        <v>1987</v>
      </c>
      <c r="B989" t="s">
        <v>998</v>
      </c>
      <c r="C989" t="s">
        <v>1468</v>
      </c>
      <c r="D989">
        <v>54.6</v>
      </c>
      <c r="E989">
        <v>70</v>
      </c>
      <c r="F989">
        <v>0</v>
      </c>
      <c r="G989">
        <f>MAX(ROUNDUP(D989, 0), E989) * IF(C989="COVERED", Parameters!$B$2, Parameters!$B$3)</f>
        <v>0</v>
      </c>
      <c r="H989">
        <f>F989 - G989</f>
        <v>0</v>
      </c>
      <c r="I989">
        <f>IF(ABS(H989)&gt;0.01, "Priority 3", "")</f>
        <v>0</v>
      </c>
    </row>
    <row r="990" spans="1:9">
      <c r="A990" t="s">
        <v>1988</v>
      </c>
      <c r="B990" t="s">
        <v>998</v>
      </c>
      <c r="C990" t="s">
        <v>1468</v>
      </c>
      <c r="D990">
        <v>46.1</v>
      </c>
      <c r="E990">
        <v>80</v>
      </c>
      <c r="F990">
        <v>0</v>
      </c>
      <c r="G990">
        <f>MAX(ROUNDUP(D990, 0), E990) * IF(C990="COVERED", Parameters!$B$2, Parameters!$B$3)</f>
        <v>0</v>
      </c>
      <c r="H990">
        <f>F990 - G990</f>
        <v>0</v>
      </c>
      <c r="I990">
        <f>IF(ABS(H990)&gt;0.01, "Priority 3", "")</f>
        <v>0</v>
      </c>
    </row>
    <row r="991" spans="1:9">
      <c r="A991" t="s">
        <v>1989</v>
      </c>
      <c r="B991" t="s">
        <v>998</v>
      </c>
      <c r="C991" t="s">
        <v>1468</v>
      </c>
      <c r="D991">
        <v>47.8</v>
      </c>
      <c r="E991">
        <v>32</v>
      </c>
      <c r="F991">
        <v>0</v>
      </c>
      <c r="G991">
        <f>MAX(ROUNDUP(D991, 0), E991) * IF(C991="COVERED", Parameters!$B$2, Parameters!$B$3)</f>
        <v>0</v>
      </c>
      <c r="H991">
        <f>F991 - G991</f>
        <v>0</v>
      </c>
      <c r="I991">
        <f>IF(ABS(H991)&gt;0.01, "Priority 3", "")</f>
        <v>0</v>
      </c>
    </row>
    <row r="992" spans="1:9">
      <c r="A992" t="s">
        <v>1990</v>
      </c>
      <c r="B992" t="s">
        <v>998</v>
      </c>
      <c r="C992" t="s">
        <v>1468</v>
      </c>
      <c r="D992">
        <v>27.5</v>
      </c>
      <c r="E992">
        <v>24</v>
      </c>
      <c r="F992">
        <v>0</v>
      </c>
      <c r="G992">
        <f>MAX(ROUNDUP(D992, 0), E992) * IF(C992="COVERED", Parameters!$B$2, Parameters!$B$3)</f>
        <v>0</v>
      </c>
      <c r="H992">
        <f>F992 - G992</f>
        <v>0</v>
      </c>
      <c r="I992">
        <f>IF(ABS(H992)&gt;0.01, "Priority 3", "")</f>
        <v>0</v>
      </c>
    </row>
    <row r="993" spans="1:9">
      <c r="A993" t="s">
        <v>1991</v>
      </c>
      <c r="B993" t="s">
        <v>998</v>
      </c>
      <c r="C993" t="s">
        <v>1468</v>
      </c>
      <c r="D993">
        <v>35.6</v>
      </c>
      <c r="E993">
        <v>32</v>
      </c>
      <c r="F993">
        <v>0</v>
      </c>
      <c r="G993">
        <f>MAX(ROUNDUP(D993, 0), E993) * IF(C993="COVERED", Parameters!$B$2, Parameters!$B$3)</f>
        <v>0</v>
      </c>
      <c r="H993">
        <f>F993 - G993</f>
        <v>0</v>
      </c>
      <c r="I993">
        <f>IF(ABS(H993)&gt;0.01, "Priority 3", "")</f>
        <v>0</v>
      </c>
    </row>
    <row r="994" spans="1:9">
      <c r="A994" t="s">
        <v>1992</v>
      </c>
      <c r="B994" t="s">
        <v>998</v>
      </c>
      <c r="C994" t="s">
        <v>1468</v>
      </c>
      <c r="D994">
        <v>19.9</v>
      </c>
      <c r="E994">
        <v>32</v>
      </c>
      <c r="F994">
        <v>0</v>
      </c>
      <c r="G994">
        <f>MAX(ROUNDUP(D994, 0), E994) * IF(C994="COVERED", Parameters!$B$2, Parameters!$B$3)</f>
        <v>0</v>
      </c>
      <c r="H994">
        <f>F994 - G994</f>
        <v>0</v>
      </c>
      <c r="I994">
        <f>IF(ABS(H994)&gt;0.01, "Priority 3", "")</f>
        <v>0</v>
      </c>
    </row>
    <row r="995" spans="1:9">
      <c r="A995" t="s">
        <v>1993</v>
      </c>
      <c r="B995" t="s">
        <v>998</v>
      </c>
      <c r="C995" t="s">
        <v>1468</v>
      </c>
      <c r="D995">
        <v>55.4</v>
      </c>
      <c r="E995">
        <v>36</v>
      </c>
      <c r="F995">
        <v>0</v>
      </c>
      <c r="G995">
        <f>MAX(ROUNDUP(D995, 0), E995) * IF(C995="COVERED", Parameters!$B$2, Parameters!$B$3)</f>
        <v>0</v>
      </c>
      <c r="H995">
        <f>F995 - G995</f>
        <v>0</v>
      </c>
      <c r="I995">
        <f>IF(ABS(H995)&gt;0.01, "Priority 3", "")</f>
        <v>0</v>
      </c>
    </row>
    <row r="996" spans="1:9">
      <c r="A996" t="s">
        <v>1994</v>
      </c>
      <c r="B996" t="s">
        <v>998</v>
      </c>
      <c r="C996" t="s">
        <v>1468</v>
      </c>
      <c r="D996">
        <v>52.6</v>
      </c>
      <c r="E996">
        <v>45</v>
      </c>
      <c r="F996">
        <v>0</v>
      </c>
      <c r="G996">
        <f>MAX(ROUNDUP(D996, 0), E996) * IF(C996="COVERED", Parameters!$B$2, Parameters!$B$3)</f>
        <v>0</v>
      </c>
      <c r="H996">
        <f>F996 - G996</f>
        <v>0</v>
      </c>
      <c r="I996">
        <f>IF(ABS(H996)&gt;0.01, "Priority 3", "")</f>
        <v>0</v>
      </c>
    </row>
    <row r="997" spans="1:9">
      <c r="A997" t="s">
        <v>1995</v>
      </c>
      <c r="B997" t="s">
        <v>998</v>
      </c>
      <c r="C997" t="s">
        <v>1468</v>
      </c>
      <c r="D997">
        <v>20.1</v>
      </c>
      <c r="E997">
        <v>45</v>
      </c>
      <c r="F997">
        <v>0</v>
      </c>
      <c r="G997">
        <f>MAX(ROUNDUP(D997, 0), E997) * IF(C997="COVERED", Parameters!$B$2, Parameters!$B$3)</f>
        <v>0</v>
      </c>
      <c r="H997">
        <f>F997 - G997</f>
        <v>0</v>
      </c>
      <c r="I997">
        <f>IF(ABS(H997)&gt;0.01, "Priority 3", "")</f>
        <v>0</v>
      </c>
    </row>
    <row r="998" spans="1:9">
      <c r="A998" t="s">
        <v>1996</v>
      </c>
      <c r="B998" t="s">
        <v>998</v>
      </c>
      <c r="C998" t="s">
        <v>1468</v>
      </c>
      <c r="D998">
        <v>22.8</v>
      </c>
      <c r="E998">
        <v>40</v>
      </c>
      <c r="F998">
        <v>0</v>
      </c>
      <c r="G998">
        <f>MAX(ROUNDUP(D998, 0), E998) * IF(C998="COVERED", Parameters!$B$2, Parameters!$B$3)</f>
        <v>0</v>
      </c>
      <c r="H998">
        <f>F998 - G998</f>
        <v>0</v>
      </c>
      <c r="I998">
        <f>IF(ABS(H998)&gt;0.01, "Priority 3", "")</f>
        <v>0</v>
      </c>
    </row>
    <row r="999" spans="1:9">
      <c r="A999" t="s">
        <v>1997</v>
      </c>
      <c r="B999" t="s">
        <v>998</v>
      </c>
      <c r="C999" t="s">
        <v>1468</v>
      </c>
      <c r="D999">
        <v>36.4</v>
      </c>
      <c r="E999">
        <v>60</v>
      </c>
      <c r="F999">
        <v>0</v>
      </c>
      <c r="G999">
        <f>MAX(ROUNDUP(D999, 0), E999) * IF(C999="COVERED", Parameters!$B$2, Parameters!$B$3)</f>
        <v>0</v>
      </c>
      <c r="H999">
        <f>F999 - G999</f>
        <v>0</v>
      </c>
      <c r="I999">
        <f>IF(ABS(H999)&gt;0.01, "Priority 3", "")</f>
        <v>0</v>
      </c>
    </row>
    <row r="1000" spans="1:9">
      <c r="A1000" t="s">
        <v>1998</v>
      </c>
      <c r="B1000" t="s">
        <v>998</v>
      </c>
      <c r="C1000" t="s">
        <v>1468</v>
      </c>
      <c r="D1000">
        <v>24.9</v>
      </c>
      <c r="E1000">
        <v>45</v>
      </c>
      <c r="F1000">
        <v>0</v>
      </c>
      <c r="G1000">
        <f>MAX(ROUNDUP(D1000, 0), E1000) * IF(C1000="COVERED", Parameters!$B$2, Parameters!$B$3)</f>
        <v>0</v>
      </c>
      <c r="H1000">
        <f>F1000 - G1000</f>
        <v>0</v>
      </c>
      <c r="I1000">
        <f>IF(ABS(H1000)&gt;0.01, "Priority 3", "")</f>
        <v>0</v>
      </c>
    </row>
    <row r="1001" spans="1:9">
      <c r="A1001" t="s">
        <v>1999</v>
      </c>
      <c r="B1001" t="s">
        <v>998</v>
      </c>
      <c r="C1001" t="s">
        <v>1468</v>
      </c>
      <c r="D1001">
        <v>25.7</v>
      </c>
      <c r="E1001">
        <v>45</v>
      </c>
      <c r="F1001">
        <v>0</v>
      </c>
      <c r="G1001">
        <f>MAX(ROUNDUP(D1001, 0), E1001) * IF(C1001="COVERED", Parameters!$B$2, Parameters!$B$3)</f>
        <v>0</v>
      </c>
      <c r="H1001">
        <f>F1001 - G1001</f>
        <v>0</v>
      </c>
      <c r="I1001">
        <f>IF(ABS(H1001)&gt;0.01, "Priority 3", "")</f>
        <v>0</v>
      </c>
    </row>
    <row r="1002" spans="1:9">
      <c r="A1002" t="s">
        <v>2000</v>
      </c>
      <c r="B1002" t="s">
        <v>998</v>
      </c>
      <c r="C1002" t="s">
        <v>1468</v>
      </c>
      <c r="D1002">
        <v>54.6</v>
      </c>
      <c r="E1002">
        <v>28</v>
      </c>
      <c r="F1002">
        <v>0</v>
      </c>
      <c r="G1002">
        <f>MAX(ROUNDUP(D1002, 0), E1002) * IF(C1002="COVERED", Parameters!$B$2, Parameters!$B$3)</f>
        <v>0</v>
      </c>
      <c r="H1002">
        <f>F1002 - G1002</f>
        <v>0</v>
      </c>
      <c r="I1002">
        <f>IF(ABS(H1002)&gt;0.01, "Priority 3", "")</f>
        <v>0</v>
      </c>
    </row>
    <row r="1003" spans="1:9">
      <c r="A1003" t="s">
        <v>2001</v>
      </c>
      <c r="B1003" t="s">
        <v>998</v>
      </c>
      <c r="C1003" t="s">
        <v>1468</v>
      </c>
      <c r="D1003">
        <v>31.6</v>
      </c>
      <c r="E1003">
        <v>40</v>
      </c>
      <c r="F1003">
        <v>0</v>
      </c>
      <c r="G1003">
        <f>MAX(ROUNDUP(D1003, 0), E1003) * IF(C1003="COVERED", Parameters!$B$2, Parameters!$B$3)</f>
        <v>0</v>
      </c>
      <c r="H1003">
        <f>F1003 - G1003</f>
        <v>0</v>
      </c>
      <c r="I1003">
        <f>IF(ABS(H1003)&gt;0.01, "Priority 3", "")</f>
        <v>0</v>
      </c>
    </row>
    <row r="1004" spans="1:9">
      <c r="A1004" t="s">
        <v>2002</v>
      </c>
      <c r="B1004" t="s">
        <v>998</v>
      </c>
      <c r="C1004" t="s">
        <v>1468</v>
      </c>
      <c r="D1004">
        <v>47.2</v>
      </c>
      <c r="E1004">
        <v>32</v>
      </c>
      <c r="F1004">
        <v>0</v>
      </c>
      <c r="G1004">
        <f>MAX(ROUNDUP(D1004, 0), E1004) * IF(C1004="COVERED", Parameters!$B$2, Parameters!$B$3)</f>
        <v>0</v>
      </c>
      <c r="H1004">
        <f>F1004 - G1004</f>
        <v>0</v>
      </c>
      <c r="I1004">
        <f>IF(ABS(H1004)&gt;0.01, "Priority 3", "")</f>
        <v>0</v>
      </c>
    </row>
    <row r="1005" spans="1:9">
      <c r="A1005" t="s">
        <v>2003</v>
      </c>
      <c r="B1005" t="s">
        <v>998</v>
      </c>
      <c r="C1005" t="s">
        <v>1468</v>
      </c>
      <c r="D1005">
        <v>40.4</v>
      </c>
      <c r="E1005">
        <v>24</v>
      </c>
      <c r="F1005">
        <v>0</v>
      </c>
      <c r="G1005">
        <f>MAX(ROUNDUP(D1005, 0), E1005) * IF(C1005="COVERED", Parameters!$B$2, Parameters!$B$3)</f>
        <v>0</v>
      </c>
      <c r="H1005">
        <f>F1005 - G1005</f>
        <v>0</v>
      </c>
      <c r="I1005">
        <f>IF(ABS(H1005)&gt;0.01, "Priority 3", "")</f>
        <v>0</v>
      </c>
    </row>
    <row r="1006" spans="1:9">
      <c r="A1006" t="s">
        <v>2004</v>
      </c>
      <c r="B1006" t="s">
        <v>998</v>
      </c>
      <c r="C1006" t="s">
        <v>1468</v>
      </c>
      <c r="D1006">
        <v>34.5</v>
      </c>
      <c r="E1006">
        <v>24</v>
      </c>
      <c r="F1006">
        <v>0</v>
      </c>
      <c r="G1006">
        <f>MAX(ROUNDUP(D1006, 0), E1006) * IF(C1006="COVERED", Parameters!$B$2, Parameters!$B$3)</f>
        <v>0</v>
      </c>
      <c r="H1006">
        <f>F1006 - G1006</f>
        <v>0</v>
      </c>
      <c r="I1006">
        <f>IF(ABS(H1006)&gt;0.01, "Priority 3", "")</f>
        <v>0</v>
      </c>
    </row>
    <row r="1007" spans="1:9">
      <c r="A1007" t="s">
        <v>2005</v>
      </c>
      <c r="B1007" t="s">
        <v>998</v>
      </c>
      <c r="C1007" t="s">
        <v>1468</v>
      </c>
      <c r="D1007">
        <v>52.7</v>
      </c>
      <c r="E1007">
        <v>40</v>
      </c>
      <c r="F1007">
        <v>0</v>
      </c>
      <c r="G1007">
        <f>MAX(ROUNDUP(D1007, 0), E1007) * IF(C1007="COVERED", Parameters!$B$2, Parameters!$B$3)</f>
        <v>0</v>
      </c>
      <c r="H1007">
        <f>F1007 - G1007</f>
        <v>0</v>
      </c>
      <c r="I1007">
        <f>IF(ABS(H1007)&gt;0.01, "Priority 3", "")</f>
        <v>0</v>
      </c>
    </row>
    <row r="1008" spans="1:9">
      <c r="A1008" t="s">
        <v>2006</v>
      </c>
      <c r="B1008" t="s">
        <v>998</v>
      </c>
      <c r="C1008" t="s">
        <v>1468</v>
      </c>
      <c r="D1008">
        <v>33.2</v>
      </c>
      <c r="E1008">
        <v>32</v>
      </c>
      <c r="F1008">
        <v>0</v>
      </c>
      <c r="G1008">
        <f>MAX(ROUNDUP(D1008, 0), E1008) * IF(C1008="COVERED", Parameters!$B$2, Parameters!$B$3)</f>
        <v>0</v>
      </c>
      <c r="H1008">
        <f>F1008 - G1008</f>
        <v>0</v>
      </c>
      <c r="I1008">
        <f>IF(ABS(H1008)&gt;0.01, "Priority 3", "")</f>
        <v>0</v>
      </c>
    </row>
    <row r="1009" spans="1:9">
      <c r="A1009" t="s">
        <v>2007</v>
      </c>
      <c r="B1009" t="s">
        <v>998</v>
      </c>
      <c r="C1009" t="s">
        <v>1468</v>
      </c>
      <c r="D1009">
        <v>21</v>
      </c>
      <c r="E1009">
        <v>80</v>
      </c>
      <c r="F1009">
        <v>0</v>
      </c>
      <c r="G1009">
        <f>MAX(ROUNDUP(D1009, 0), E1009) * IF(C1009="COVERED", Parameters!$B$2, Parameters!$B$3)</f>
        <v>0</v>
      </c>
      <c r="H1009">
        <f>F1009 - G1009</f>
        <v>0</v>
      </c>
      <c r="I1009">
        <f>IF(ABS(H1009)&gt;0.01, "Priority 3", "")</f>
        <v>0</v>
      </c>
    </row>
    <row r="1010" spans="1:9">
      <c r="A1010" t="s">
        <v>2008</v>
      </c>
      <c r="B1010" t="s">
        <v>998</v>
      </c>
      <c r="C1010" t="s">
        <v>1468</v>
      </c>
      <c r="D1010">
        <v>41.9</v>
      </c>
      <c r="E1010">
        <v>24</v>
      </c>
      <c r="F1010">
        <v>0</v>
      </c>
      <c r="G1010">
        <f>MAX(ROUNDUP(D1010, 0), E1010) * IF(C1010="COVERED", Parameters!$B$2, Parameters!$B$3)</f>
        <v>0</v>
      </c>
      <c r="H1010">
        <f>F1010 - G1010</f>
        <v>0</v>
      </c>
      <c r="I1010">
        <f>IF(ABS(H1010)&gt;0.01, "Priority 3", "")</f>
        <v>0</v>
      </c>
    </row>
    <row r="1011" spans="1:9">
      <c r="A1011" t="s">
        <v>2009</v>
      </c>
      <c r="B1011" t="s">
        <v>998</v>
      </c>
      <c r="C1011" t="s">
        <v>1468</v>
      </c>
      <c r="D1011">
        <v>47.1</v>
      </c>
      <c r="E1011">
        <v>80</v>
      </c>
      <c r="F1011">
        <v>0</v>
      </c>
      <c r="G1011">
        <f>MAX(ROUNDUP(D1011, 0), E1011) * IF(C1011="COVERED", Parameters!$B$2, Parameters!$B$3)</f>
        <v>0</v>
      </c>
      <c r="H1011">
        <f>F1011 - G1011</f>
        <v>0</v>
      </c>
      <c r="I1011">
        <f>IF(ABS(H1011)&gt;0.01, "Priority 3", "")</f>
        <v>0</v>
      </c>
    </row>
    <row r="1012" spans="1:9">
      <c r="A1012" t="s">
        <v>2010</v>
      </c>
      <c r="B1012" t="s">
        <v>998</v>
      </c>
      <c r="C1012" t="s">
        <v>1468</v>
      </c>
      <c r="D1012">
        <v>30.9</v>
      </c>
      <c r="E1012">
        <v>40</v>
      </c>
      <c r="F1012">
        <v>0</v>
      </c>
      <c r="G1012">
        <f>MAX(ROUNDUP(D1012, 0), E1012) * IF(C1012="COVERED", Parameters!$B$2, Parameters!$B$3)</f>
        <v>0</v>
      </c>
      <c r="H1012">
        <f>F1012 - G1012</f>
        <v>0</v>
      </c>
      <c r="I1012">
        <f>IF(ABS(H1012)&gt;0.01, "Priority 3", "")</f>
        <v>0</v>
      </c>
    </row>
    <row r="1013" spans="1:9">
      <c r="A1013" t="s">
        <v>2011</v>
      </c>
      <c r="B1013" t="s">
        <v>998</v>
      </c>
      <c r="C1013" t="s">
        <v>1468</v>
      </c>
      <c r="D1013">
        <v>37</v>
      </c>
      <c r="E1013">
        <v>36</v>
      </c>
      <c r="F1013">
        <v>0</v>
      </c>
      <c r="G1013">
        <f>MAX(ROUNDUP(D1013, 0), E1013) * IF(C1013="COVERED", Parameters!$B$2, Parameters!$B$3)</f>
        <v>0</v>
      </c>
      <c r="H1013">
        <f>F1013 - G1013</f>
        <v>0</v>
      </c>
      <c r="I1013">
        <f>IF(ABS(H1013)&gt;0.01, "Priority 3", "")</f>
        <v>0</v>
      </c>
    </row>
    <row r="1014" spans="1:9">
      <c r="A1014" t="s">
        <v>2012</v>
      </c>
      <c r="B1014" t="s">
        <v>998</v>
      </c>
      <c r="C1014" t="s">
        <v>1468</v>
      </c>
      <c r="D1014">
        <v>31.7</v>
      </c>
      <c r="E1014">
        <v>60</v>
      </c>
      <c r="F1014">
        <v>0</v>
      </c>
      <c r="G1014">
        <f>MAX(ROUNDUP(D1014, 0), E1014) * IF(C1014="COVERED", Parameters!$B$2, Parameters!$B$3)</f>
        <v>0</v>
      </c>
      <c r="H1014">
        <f>F1014 - G1014</f>
        <v>0</v>
      </c>
      <c r="I1014">
        <f>IF(ABS(H1014)&gt;0.01, "Priority 3", "")</f>
        <v>0</v>
      </c>
    </row>
    <row r="1015" spans="1:9">
      <c r="A1015" t="s">
        <v>2013</v>
      </c>
      <c r="B1015" t="s">
        <v>998</v>
      </c>
      <c r="C1015" t="s">
        <v>1468</v>
      </c>
      <c r="D1015">
        <v>24.7</v>
      </c>
      <c r="E1015">
        <v>36</v>
      </c>
      <c r="F1015">
        <v>0</v>
      </c>
      <c r="G1015">
        <f>MAX(ROUNDUP(D1015, 0), E1015) * IF(C1015="COVERED", Parameters!$B$2, Parameters!$B$3)</f>
        <v>0</v>
      </c>
      <c r="H1015">
        <f>F1015 - G1015</f>
        <v>0</v>
      </c>
      <c r="I1015">
        <f>IF(ABS(H1015)&gt;0.01, "Priority 3", "")</f>
        <v>0</v>
      </c>
    </row>
    <row r="1016" spans="1:9">
      <c r="A1016" t="s">
        <v>2014</v>
      </c>
      <c r="B1016" t="s">
        <v>998</v>
      </c>
      <c r="C1016" t="s">
        <v>1468</v>
      </c>
      <c r="D1016">
        <v>45</v>
      </c>
      <c r="E1016">
        <v>24</v>
      </c>
      <c r="F1016">
        <v>0</v>
      </c>
      <c r="G1016">
        <f>MAX(ROUNDUP(D1016, 0), E1016) * IF(C1016="COVERED", Parameters!$B$2, Parameters!$B$3)</f>
        <v>0</v>
      </c>
      <c r="H1016">
        <f>F1016 - G1016</f>
        <v>0</v>
      </c>
      <c r="I1016">
        <f>IF(ABS(H1016)&gt;0.01, "Priority 3", "")</f>
        <v>0</v>
      </c>
    </row>
    <row r="1017" spans="1:9">
      <c r="A1017" t="s">
        <v>2015</v>
      </c>
      <c r="B1017" t="s">
        <v>998</v>
      </c>
      <c r="C1017" t="s">
        <v>1468</v>
      </c>
      <c r="D1017">
        <v>53.6</v>
      </c>
      <c r="E1017">
        <v>28</v>
      </c>
      <c r="F1017">
        <v>0</v>
      </c>
      <c r="G1017">
        <f>MAX(ROUNDUP(D1017, 0), E1017) * IF(C1017="COVERED", Parameters!$B$2, Parameters!$B$3)</f>
        <v>0</v>
      </c>
      <c r="H1017">
        <f>F1017 - G1017</f>
        <v>0</v>
      </c>
      <c r="I1017">
        <f>IF(ABS(H1017)&gt;0.01, "Priority 3", "")</f>
        <v>0</v>
      </c>
    </row>
    <row r="1018" spans="1:9">
      <c r="A1018" t="s">
        <v>2016</v>
      </c>
      <c r="B1018" t="s">
        <v>998</v>
      </c>
      <c r="C1018" t="s">
        <v>1468</v>
      </c>
      <c r="D1018">
        <v>49.5</v>
      </c>
      <c r="E1018">
        <v>80</v>
      </c>
      <c r="F1018">
        <v>0</v>
      </c>
      <c r="G1018">
        <f>MAX(ROUNDUP(D1018, 0), E1018) * IF(C1018="COVERED", Parameters!$B$2, Parameters!$B$3)</f>
        <v>0</v>
      </c>
      <c r="H1018">
        <f>F1018 - G1018</f>
        <v>0</v>
      </c>
      <c r="I1018">
        <f>IF(ABS(H1018)&gt;0.01, "Priority 3", "")</f>
        <v>0</v>
      </c>
    </row>
    <row r="1019" spans="1:9">
      <c r="A1019" t="s">
        <v>2017</v>
      </c>
      <c r="B1019" t="s">
        <v>998</v>
      </c>
      <c r="C1019" t="s">
        <v>1468</v>
      </c>
      <c r="D1019">
        <v>27.7</v>
      </c>
      <c r="E1019">
        <v>45</v>
      </c>
      <c r="F1019">
        <v>0</v>
      </c>
      <c r="G1019">
        <f>MAX(ROUNDUP(D1019, 0), E1019) * IF(C1019="COVERED", Parameters!$B$2, Parameters!$B$3)</f>
        <v>0</v>
      </c>
      <c r="H1019">
        <f>F1019 - G1019</f>
        <v>0</v>
      </c>
      <c r="I1019">
        <f>IF(ABS(H1019)&gt;0.01, "Priority 3", "")</f>
        <v>0</v>
      </c>
    </row>
    <row r="1020" spans="1:9">
      <c r="A1020" t="s">
        <v>2018</v>
      </c>
      <c r="B1020" t="s">
        <v>998</v>
      </c>
      <c r="C1020" t="s">
        <v>1468</v>
      </c>
      <c r="D1020">
        <v>41.8</v>
      </c>
      <c r="E1020">
        <v>24</v>
      </c>
      <c r="F1020">
        <v>0</v>
      </c>
      <c r="G1020">
        <f>MAX(ROUNDUP(D1020, 0), E1020) * IF(C1020="COVERED", Parameters!$B$2, Parameters!$B$3)</f>
        <v>0</v>
      </c>
      <c r="H1020">
        <f>F1020 - G1020</f>
        <v>0</v>
      </c>
      <c r="I1020">
        <f>IF(ABS(H1020)&gt;0.01, "Priority 3", "")</f>
        <v>0</v>
      </c>
    </row>
    <row r="1021" spans="1:9">
      <c r="A1021" t="s">
        <v>2019</v>
      </c>
      <c r="B1021" t="s">
        <v>998</v>
      </c>
      <c r="C1021" t="s">
        <v>1468</v>
      </c>
      <c r="D1021">
        <v>26.3</v>
      </c>
      <c r="E1021">
        <v>36</v>
      </c>
      <c r="F1021">
        <v>0</v>
      </c>
      <c r="G1021">
        <f>MAX(ROUNDUP(D1021, 0), E1021) * IF(C1021="COVERED", Parameters!$B$2, Parameters!$B$3)</f>
        <v>0</v>
      </c>
      <c r="H1021">
        <f>F1021 - G1021</f>
        <v>0</v>
      </c>
      <c r="I1021">
        <f>IF(ABS(H1021)&gt;0.01, "Priority 3", "")</f>
        <v>0</v>
      </c>
    </row>
    <row r="1022" spans="1:9">
      <c r="A1022" t="s">
        <v>2020</v>
      </c>
      <c r="B1022" t="s">
        <v>998</v>
      </c>
      <c r="C1022" t="s">
        <v>1468</v>
      </c>
      <c r="D1022">
        <v>26.3</v>
      </c>
      <c r="E1022">
        <v>24</v>
      </c>
      <c r="F1022">
        <v>0</v>
      </c>
      <c r="G1022">
        <f>MAX(ROUNDUP(D1022, 0), E1022) * IF(C1022="COVERED", Parameters!$B$2, Parameters!$B$3)</f>
        <v>0</v>
      </c>
      <c r="H1022">
        <f>F1022 - G1022</f>
        <v>0</v>
      </c>
      <c r="I1022">
        <f>IF(ABS(H1022)&gt;0.01, "Priority 3", "")</f>
        <v>0</v>
      </c>
    </row>
    <row r="1023" spans="1:9">
      <c r="A1023" t="s">
        <v>2021</v>
      </c>
      <c r="B1023" t="s">
        <v>998</v>
      </c>
      <c r="C1023" t="s">
        <v>1468</v>
      </c>
      <c r="D1023">
        <v>61.4</v>
      </c>
      <c r="E1023">
        <v>60</v>
      </c>
      <c r="F1023">
        <v>0</v>
      </c>
      <c r="G1023">
        <f>MAX(ROUNDUP(D1023, 0), E1023) * IF(C1023="COVERED", Parameters!$B$2, Parameters!$B$3)</f>
        <v>0</v>
      </c>
      <c r="H1023">
        <f>F1023 - G1023</f>
        <v>0</v>
      </c>
      <c r="I1023">
        <f>IF(ABS(H1023)&gt;0.01, "Priority 3", "")</f>
        <v>0</v>
      </c>
    </row>
    <row r="1024" spans="1:9">
      <c r="A1024" t="s">
        <v>2022</v>
      </c>
      <c r="B1024" t="s">
        <v>998</v>
      </c>
      <c r="C1024" t="s">
        <v>1468</v>
      </c>
      <c r="D1024">
        <v>25.8</v>
      </c>
      <c r="E1024">
        <v>32</v>
      </c>
      <c r="F1024">
        <v>0</v>
      </c>
      <c r="G1024">
        <f>MAX(ROUNDUP(D1024, 0), E1024) * IF(C1024="COVERED", Parameters!$B$2, Parameters!$B$3)</f>
        <v>0</v>
      </c>
      <c r="H1024">
        <f>F1024 - G1024</f>
        <v>0</v>
      </c>
      <c r="I1024">
        <f>IF(ABS(H1024)&gt;0.01, "Priority 3", "")</f>
        <v>0</v>
      </c>
    </row>
    <row r="1025" spans="1:9">
      <c r="A1025" t="s">
        <v>2023</v>
      </c>
      <c r="B1025" t="s">
        <v>998</v>
      </c>
      <c r="C1025" t="s">
        <v>1468</v>
      </c>
      <c r="D1025">
        <v>34.1</v>
      </c>
      <c r="E1025">
        <v>32</v>
      </c>
      <c r="F1025">
        <v>0</v>
      </c>
      <c r="G1025">
        <f>MAX(ROUNDUP(D1025, 0), E1025) * IF(C1025="COVERED", Parameters!$B$2, Parameters!$B$3)</f>
        <v>0</v>
      </c>
      <c r="H1025">
        <f>F1025 - G1025</f>
        <v>0</v>
      </c>
      <c r="I1025">
        <f>IF(ABS(H1025)&gt;0.01, "Priority 3", "")</f>
        <v>0</v>
      </c>
    </row>
    <row r="1026" spans="1:9">
      <c r="A1026" t="s">
        <v>2024</v>
      </c>
      <c r="B1026" t="s">
        <v>998</v>
      </c>
      <c r="C1026" t="s">
        <v>1468</v>
      </c>
      <c r="D1026">
        <v>41.8</v>
      </c>
      <c r="E1026">
        <v>28</v>
      </c>
      <c r="F1026">
        <v>0</v>
      </c>
      <c r="G1026">
        <f>MAX(ROUNDUP(D1026, 0), E1026) * IF(C1026="COVERED", Parameters!$B$2, Parameters!$B$3)</f>
        <v>0</v>
      </c>
      <c r="H1026">
        <f>F1026 - G1026</f>
        <v>0</v>
      </c>
      <c r="I1026">
        <f>IF(ABS(H1026)&gt;0.01, "Priority 3", "")</f>
        <v>0</v>
      </c>
    </row>
    <row r="1027" spans="1:9">
      <c r="A1027" t="s">
        <v>2025</v>
      </c>
      <c r="B1027" t="s">
        <v>998</v>
      </c>
      <c r="C1027" t="s">
        <v>1468</v>
      </c>
      <c r="D1027">
        <v>32.4</v>
      </c>
      <c r="E1027">
        <v>24</v>
      </c>
      <c r="F1027">
        <v>0</v>
      </c>
      <c r="G1027">
        <f>MAX(ROUNDUP(D1027, 0), E1027) * IF(C1027="COVERED", Parameters!$B$2, Parameters!$B$3)</f>
        <v>0</v>
      </c>
      <c r="H1027">
        <f>F1027 - G1027</f>
        <v>0</v>
      </c>
      <c r="I1027">
        <f>IF(ABS(H1027)&gt;0.01, "Priority 3", "")</f>
        <v>0</v>
      </c>
    </row>
    <row r="1028" spans="1:9">
      <c r="A1028" t="s">
        <v>2026</v>
      </c>
      <c r="B1028" t="s">
        <v>998</v>
      </c>
      <c r="C1028" t="s">
        <v>1468</v>
      </c>
      <c r="D1028">
        <v>37.3</v>
      </c>
      <c r="E1028">
        <v>28</v>
      </c>
      <c r="F1028">
        <v>0</v>
      </c>
      <c r="G1028">
        <f>MAX(ROUNDUP(D1028, 0), E1028) * IF(C1028="COVERED", Parameters!$B$2, Parameters!$B$3)</f>
        <v>0</v>
      </c>
      <c r="H1028">
        <f>F1028 - G1028</f>
        <v>0</v>
      </c>
      <c r="I1028">
        <f>IF(ABS(H1028)&gt;0.01, "Priority 3", "")</f>
        <v>0</v>
      </c>
    </row>
    <row r="1029" spans="1:9">
      <c r="A1029" t="s">
        <v>2027</v>
      </c>
      <c r="B1029" t="s">
        <v>998</v>
      </c>
      <c r="C1029" t="s">
        <v>1468</v>
      </c>
      <c r="D1029">
        <v>19.2</v>
      </c>
      <c r="E1029">
        <v>50</v>
      </c>
      <c r="F1029">
        <v>0</v>
      </c>
      <c r="G1029">
        <f>MAX(ROUNDUP(D1029, 0), E1029) * IF(C1029="COVERED", Parameters!$B$2, Parameters!$B$3)</f>
        <v>0</v>
      </c>
      <c r="H1029">
        <f>F1029 - G1029</f>
        <v>0</v>
      </c>
      <c r="I1029">
        <f>IF(ABS(H1029)&gt;0.01, "Priority 3", "")</f>
        <v>0</v>
      </c>
    </row>
    <row r="1030" spans="1:9">
      <c r="A1030" t="s">
        <v>2028</v>
      </c>
      <c r="B1030" t="s">
        <v>998</v>
      </c>
      <c r="C1030" t="s">
        <v>1468</v>
      </c>
      <c r="D1030">
        <v>23.6</v>
      </c>
      <c r="E1030">
        <v>32</v>
      </c>
      <c r="F1030">
        <v>0</v>
      </c>
      <c r="G1030">
        <f>MAX(ROUNDUP(D1030, 0), E1030) * IF(C1030="COVERED", Parameters!$B$2, Parameters!$B$3)</f>
        <v>0</v>
      </c>
      <c r="H1030">
        <f>F1030 - G1030</f>
        <v>0</v>
      </c>
      <c r="I1030">
        <f>IF(ABS(H1030)&gt;0.01, "Priority 3", "")</f>
        <v>0</v>
      </c>
    </row>
    <row r="1031" spans="1:9">
      <c r="A1031" t="s">
        <v>2029</v>
      </c>
      <c r="B1031" t="s">
        <v>998</v>
      </c>
      <c r="C1031" t="s">
        <v>1468</v>
      </c>
      <c r="D1031">
        <v>25.3</v>
      </c>
      <c r="E1031">
        <v>70</v>
      </c>
      <c r="F1031">
        <v>0</v>
      </c>
      <c r="G1031">
        <f>MAX(ROUNDUP(D1031, 0), E1031) * IF(C1031="COVERED", Parameters!$B$2, Parameters!$B$3)</f>
        <v>0</v>
      </c>
      <c r="H1031">
        <f>F1031 - G1031</f>
        <v>0</v>
      </c>
      <c r="I1031">
        <f>IF(ABS(H1031)&gt;0.01, "Priority 3", "")</f>
        <v>0</v>
      </c>
    </row>
    <row r="1032" spans="1:9">
      <c r="A1032" t="s">
        <v>2030</v>
      </c>
      <c r="B1032" t="s">
        <v>998</v>
      </c>
      <c r="C1032" t="s">
        <v>1468</v>
      </c>
      <c r="D1032">
        <v>48.9</v>
      </c>
      <c r="E1032">
        <v>28</v>
      </c>
      <c r="F1032">
        <v>0</v>
      </c>
      <c r="G1032">
        <f>MAX(ROUNDUP(D1032, 0), E1032) * IF(C1032="COVERED", Parameters!$B$2, Parameters!$B$3)</f>
        <v>0</v>
      </c>
      <c r="H1032">
        <f>F1032 - G1032</f>
        <v>0</v>
      </c>
      <c r="I1032">
        <f>IF(ABS(H1032)&gt;0.01, "Priority 3", "")</f>
        <v>0</v>
      </c>
    </row>
    <row r="1033" spans="1:9">
      <c r="A1033" t="s">
        <v>2031</v>
      </c>
      <c r="B1033" t="s">
        <v>998</v>
      </c>
      <c r="C1033" t="s">
        <v>1468</v>
      </c>
      <c r="D1033">
        <v>44.5</v>
      </c>
      <c r="E1033">
        <v>28</v>
      </c>
      <c r="F1033">
        <v>0</v>
      </c>
      <c r="G1033">
        <f>MAX(ROUNDUP(D1033, 0), E1033) * IF(C1033="COVERED", Parameters!$B$2, Parameters!$B$3)</f>
        <v>0</v>
      </c>
      <c r="H1033">
        <f>F1033 - G1033</f>
        <v>0</v>
      </c>
      <c r="I1033">
        <f>IF(ABS(H1033)&gt;0.01, "Priority 3", "")</f>
        <v>0</v>
      </c>
    </row>
    <row r="1034" spans="1:9">
      <c r="A1034" t="s">
        <v>2032</v>
      </c>
      <c r="B1034" t="s">
        <v>998</v>
      </c>
      <c r="C1034" t="s">
        <v>1468</v>
      </c>
      <c r="D1034">
        <v>38.7</v>
      </c>
      <c r="E1034">
        <v>45</v>
      </c>
      <c r="F1034">
        <v>0</v>
      </c>
      <c r="G1034">
        <f>MAX(ROUNDUP(D1034, 0), E1034) * IF(C1034="COVERED", Parameters!$B$2, Parameters!$B$3)</f>
        <v>0</v>
      </c>
      <c r="H1034">
        <f>F1034 - G1034</f>
        <v>0</v>
      </c>
      <c r="I1034">
        <f>IF(ABS(H1034)&gt;0.01, "Priority 3", "")</f>
        <v>0</v>
      </c>
    </row>
    <row r="1035" spans="1:9">
      <c r="A1035" t="s">
        <v>2033</v>
      </c>
      <c r="B1035" t="s">
        <v>998</v>
      </c>
      <c r="C1035" t="s">
        <v>1468</v>
      </c>
      <c r="D1035">
        <v>25.7</v>
      </c>
      <c r="E1035">
        <v>24</v>
      </c>
      <c r="F1035">
        <v>0</v>
      </c>
      <c r="G1035">
        <f>MAX(ROUNDUP(D1035, 0), E1035) * IF(C1035="COVERED", Parameters!$B$2, Parameters!$B$3)</f>
        <v>0</v>
      </c>
      <c r="H1035">
        <f>F1035 - G1035</f>
        <v>0</v>
      </c>
      <c r="I1035">
        <f>IF(ABS(H1035)&gt;0.01, "Priority 3", "")</f>
        <v>0</v>
      </c>
    </row>
    <row r="1036" spans="1:9">
      <c r="A1036" t="s">
        <v>2034</v>
      </c>
      <c r="B1036" t="s">
        <v>998</v>
      </c>
      <c r="C1036" t="s">
        <v>1468</v>
      </c>
      <c r="D1036">
        <v>27.1</v>
      </c>
      <c r="E1036">
        <v>28</v>
      </c>
      <c r="F1036">
        <v>0</v>
      </c>
      <c r="G1036">
        <f>MAX(ROUNDUP(D1036, 0), E1036) * IF(C1036="COVERED", Parameters!$B$2, Parameters!$B$3)</f>
        <v>0</v>
      </c>
      <c r="H1036">
        <f>F1036 - G1036</f>
        <v>0</v>
      </c>
      <c r="I1036">
        <f>IF(ABS(H1036)&gt;0.01, "Priority 3", "")</f>
        <v>0</v>
      </c>
    </row>
    <row r="1037" spans="1:9">
      <c r="A1037" t="s">
        <v>2035</v>
      </c>
      <c r="B1037" t="s">
        <v>998</v>
      </c>
      <c r="C1037" t="s">
        <v>1468</v>
      </c>
      <c r="D1037">
        <v>36.7</v>
      </c>
      <c r="E1037">
        <v>50</v>
      </c>
      <c r="F1037">
        <v>0</v>
      </c>
      <c r="G1037">
        <f>MAX(ROUNDUP(D1037, 0), E1037) * IF(C1037="COVERED", Parameters!$B$2, Parameters!$B$3)</f>
        <v>0</v>
      </c>
      <c r="H1037">
        <f>F1037 - G1037</f>
        <v>0</v>
      </c>
      <c r="I1037">
        <f>IF(ABS(H1037)&gt;0.01, "Priority 3", "")</f>
        <v>0</v>
      </c>
    </row>
    <row r="1038" spans="1:9">
      <c r="A1038" t="s">
        <v>2036</v>
      </c>
      <c r="B1038" t="s">
        <v>998</v>
      </c>
      <c r="C1038" t="s">
        <v>1468</v>
      </c>
      <c r="D1038">
        <v>49.2</v>
      </c>
      <c r="E1038">
        <v>24</v>
      </c>
      <c r="F1038">
        <v>0</v>
      </c>
      <c r="G1038">
        <f>MAX(ROUNDUP(D1038, 0), E1038) * IF(C1038="COVERED", Parameters!$B$2, Parameters!$B$3)</f>
        <v>0</v>
      </c>
      <c r="H1038">
        <f>F1038 - G1038</f>
        <v>0</v>
      </c>
      <c r="I1038">
        <f>IF(ABS(H1038)&gt;0.01, "Priority 3", "")</f>
        <v>0</v>
      </c>
    </row>
    <row r="1039" spans="1:9">
      <c r="A1039" t="s">
        <v>2037</v>
      </c>
      <c r="B1039" t="s">
        <v>998</v>
      </c>
      <c r="C1039" t="s">
        <v>1468</v>
      </c>
      <c r="D1039">
        <v>20.5</v>
      </c>
      <c r="E1039">
        <v>70</v>
      </c>
      <c r="F1039">
        <v>0</v>
      </c>
      <c r="G1039">
        <f>MAX(ROUNDUP(D1039, 0), E1039) * IF(C1039="COVERED", Parameters!$B$2, Parameters!$B$3)</f>
        <v>0</v>
      </c>
      <c r="H1039">
        <f>F1039 - G1039</f>
        <v>0</v>
      </c>
      <c r="I1039">
        <f>IF(ABS(H1039)&gt;0.01, "Priority 3", "")</f>
        <v>0</v>
      </c>
    </row>
    <row r="1040" spans="1:9">
      <c r="A1040" t="s">
        <v>2038</v>
      </c>
      <c r="B1040" t="s">
        <v>998</v>
      </c>
      <c r="C1040" t="s">
        <v>1468</v>
      </c>
      <c r="D1040">
        <v>42</v>
      </c>
      <c r="E1040">
        <v>60</v>
      </c>
      <c r="F1040">
        <v>0</v>
      </c>
      <c r="G1040">
        <f>MAX(ROUNDUP(D1040, 0), E1040) * IF(C1040="COVERED", Parameters!$B$2, Parameters!$B$3)</f>
        <v>0</v>
      </c>
      <c r="H1040">
        <f>F1040 - G1040</f>
        <v>0</v>
      </c>
      <c r="I1040">
        <f>IF(ABS(H1040)&gt;0.01, "Priority 3", "")</f>
        <v>0</v>
      </c>
    </row>
    <row r="1041" spans="1:9">
      <c r="A1041" t="s">
        <v>2039</v>
      </c>
      <c r="B1041" t="s">
        <v>998</v>
      </c>
      <c r="C1041" t="s">
        <v>1468</v>
      </c>
      <c r="D1041">
        <v>24.4</v>
      </c>
      <c r="E1041">
        <v>70</v>
      </c>
      <c r="F1041">
        <v>0</v>
      </c>
      <c r="G1041">
        <f>MAX(ROUNDUP(D1041, 0), E1041) * IF(C1041="COVERED", Parameters!$B$2, Parameters!$B$3)</f>
        <v>0</v>
      </c>
      <c r="H1041">
        <f>F1041 - G1041</f>
        <v>0</v>
      </c>
      <c r="I1041">
        <f>IF(ABS(H1041)&gt;0.01, "Priority 3", "")</f>
        <v>0</v>
      </c>
    </row>
    <row r="1042" spans="1:9">
      <c r="A1042" t="s">
        <v>2040</v>
      </c>
      <c r="B1042" t="s">
        <v>998</v>
      </c>
      <c r="C1042" t="s">
        <v>1468</v>
      </c>
      <c r="D1042">
        <v>56.7</v>
      </c>
      <c r="E1042">
        <v>28</v>
      </c>
      <c r="F1042">
        <v>0</v>
      </c>
      <c r="G1042">
        <f>MAX(ROUNDUP(D1042, 0), E1042) * IF(C1042="COVERED", Parameters!$B$2, Parameters!$B$3)</f>
        <v>0</v>
      </c>
      <c r="H1042">
        <f>F1042 - G1042</f>
        <v>0</v>
      </c>
      <c r="I1042">
        <f>IF(ABS(H1042)&gt;0.01, "Priority 3", "")</f>
        <v>0</v>
      </c>
    </row>
    <row r="1043" spans="1:9">
      <c r="A1043" t="s">
        <v>2041</v>
      </c>
      <c r="B1043" t="s">
        <v>998</v>
      </c>
      <c r="C1043" t="s">
        <v>1468</v>
      </c>
      <c r="D1043">
        <v>61.6</v>
      </c>
      <c r="E1043">
        <v>24</v>
      </c>
      <c r="F1043">
        <v>0</v>
      </c>
      <c r="G1043">
        <f>MAX(ROUNDUP(D1043, 0), E1043) * IF(C1043="COVERED", Parameters!$B$2, Parameters!$B$3)</f>
        <v>0</v>
      </c>
      <c r="H1043">
        <f>F1043 - G1043</f>
        <v>0</v>
      </c>
      <c r="I1043">
        <f>IF(ABS(H1043)&gt;0.01, "Priority 3", "")</f>
        <v>0</v>
      </c>
    </row>
    <row r="1044" spans="1:9">
      <c r="A1044" t="s">
        <v>2042</v>
      </c>
      <c r="B1044" t="s">
        <v>998</v>
      </c>
      <c r="C1044" t="s">
        <v>1468</v>
      </c>
      <c r="D1044">
        <v>54.8</v>
      </c>
      <c r="E1044">
        <v>60</v>
      </c>
      <c r="F1044">
        <v>0</v>
      </c>
      <c r="G1044">
        <f>MAX(ROUNDUP(D1044, 0), E1044) * IF(C1044="COVERED", Parameters!$B$2, Parameters!$B$3)</f>
        <v>0</v>
      </c>
      <c r="H1044">
        <f>F1044 - G1044</f>
        <v>0</v>
      </c>
      <c r="I1044">
        <f>IF(ABS(H1044)&gt;0.01, "Priority 3", "")</f>
        <v>0</v>
      </c>
    </row>
    <row r="1045" spans="1:9">
      <c r="A1045" t="s">
        <v>2043</v>
      </c>
      <c r="B1045" t="s">
        <v>998</v>
      </c>
      <c r="C1045" t="s">
        <v>1468</v>
      </c>
      <c r="D1045">
        <v>20.2</v>
      </c>
      <c r="E1045">
        <v>80</v>
      </c>
      <c r="F1045">
        <v>0</v>
      </c>
      <c r="G1045">
        <f>MAX(ROUNDUP(D1045, 0), E1045) * IF(C1045="COVERED", Parameters!$B$2, Parameters!$B$3)</f>
        <v>0</v>
      </c>
      <c r="H1045">
        <f>F1045 - G1045</f>
        <v>0</v>
      </c>
      <c r="I1045">
        <f>IF(ABS(H1045)&gt;0.01, "Priority 3", "")</f>
        <v>0</v>
      </c>
    </row>
    <row r="1046" spans="1:9">
      <c r="A1046" t="s">
        <v>2044</v>
      </c>
      <c r="B1046" t="s">
        <v>998</v>
      </c>
      <c r="C1046" t="s">
        <v>1468</v>
      </c>
      <c r="D1046">
        <v>59</v>
      </c>
      <c r="E1046">
        <v>28</v>
      </c>
      <c r="F1046">
        <v>0</v>
      </c>
      <c r="G1046">
        <f>MAX(ROUNDUP(D1046, 0), E1046) * IF(C1046="COVERED", Parameters!$B$2, Parameters!$B$3)</f>
        <v>0</v>
      </c>
      <c r="H1046">
        <f>F1046 - G1046</f>
        <v>0</v>
      </c>
      <c r="I1046">
        <f>IF(ABS(H1046)&gt;0.01, "Priority 3", "")</f>
        <v>0</v>
      </c>
    </row>
    <row r="1047" spans="1:9">
      <c r="A1047" t="s">
        <v>2045</v>
      </c>
      <c r="B1047" t="s">
        <v>998</v>
      </c>
      <c r="C1047" t="s">
        <v>1468</v>
      </c>
      <c r="D1047">
        <v>31.5</v>
      </c>
      <c r="E1047">
        <v>28</v>
      </c>
      <c r="F1047">
        <v>0</v>
      </c>
      <c r="G1047">
        <f>MAX(ROUNDUP(D1047, 0), E1047) * IF(C1047="COVERED", Parameters!$B$2, Parameters!$B$3)</f>
        <v>0</v>
      </c>
      <c r="H1047">
        <f>F1047 - G1047</f>
        <v>0</v>
      </c>
      <c r="I1047">
        <f>IF(ABS(H1047)&gt;0.01, "Priority 3", "")</f>
        <v>0</v>
      </c>
    </row>
    <row r="1048" spans="1:9">
      <c r="A1048" t="s">
        <v>2046</v>
      </c>
      <c r="B1048" t="s">
        <v>998</v>
      </c>
      <c r="C1048" t="s">
        <v>1468</v>
      </c>
      <c r="D1048">
        <v>29.7</v>
      </c>
      <c r="E1048">
        <v>28</v>
      </c>
      <c r="F1048">
        <v>0</v>
      </c>
      <c r="G1048">
        <f>MAX(ROUNDUP(D1048, 0), E1048) * IF(C1048="COVERED", Parameters!$B$2, Parameters!$B$3)</f>
        <v>0</v>
      </c>
      <c r="H1048">
        <f>F1048 - G1048</f>
        <v>0</v>
      </c>
      <c r="I1048">
        <f>IF(ABS(H1048)&gt;0.01, "Priority 3", "")</f>
        <v>0</v>
      </c>
    </row>
    <row r="1049" spans="1:9">
      <c r="A1049" t="s">
        <v>2047</v>
      </c>
      <c r="B1049" t="s">
        <v>998</v>
      </c>
      <c r="C1049" t="s">
        <v>1468</v>
      </c>
      <c r="D1049">
        <v>54</v>
      </c>
      <c r="E1049">
        <v>24</v>
      </c>
      <c r="F1049">
        <v>0</v>
      </c>
      <c r="G1049">
        <f>MAX(ROUNDUP(D1049, 0), E1049) * IF(C1049="COVERED", Parameters!$B$2, Parameters!$B$3)</f>
        <v>0</v>
      </c>
      <c r="H1049">
        <f>F1049 - G1049</f>
        <v>0</v>
      </c>
      <c r="I1049">
        <f>IF(ABS(H1049)&gt;0.01, "Priority 3", "")</f>
        <v>0</v>
      </c>
    </row>
    <row r="1050" spans="1:9">
      <c r="A1050" t="s">
        <v>2048</v>
      </c>
      <c r="B1050" t="s">
        <v>998</v>
      </c>
      <c r="C1050" t="s">
        <v>1468</v>
      </c>
      <c r="D1050">
        <v>40.1</v>
      </c>
      <c r="E1050">
        <v>24</v>
      </c>
      <c r="F1050">
        <v>0</v>
      </c>
      <c r="G1050">
        <f>MAX(ROUNDUP(D1050, 0), E1050) * IF(C1050="COVERED", Parameters!$B$2, Parameters!$B$3)</f>
        <v>0</v>
      </c>
      <c r="H1050">
        <f>F1050 - G1050</f>
        <v>0</v>
      </c>
      <c r="I1050">
        <f>IF(ABS(H1050)&gt;0.01, "Priority 3", "")</f>
        <v>0</v>
      </c>
    </row>
    <row r="1051" spans="1:9">
      <c r="A1051" t="s">
        <v>2049</v>
      </c>
      <c r="B1051" t="s">
        <v>998</v>
      </c>
      <c r="C1051" t="s">
        <v>1468</v>
      </c>
      <c r="D1051">
        <v>58.8</v>
      </c>
      <c r="E1051">
        <v>40</v>
      </c>
      <c r="F1051">
        <v>0</v>
      </c>
      <c r="G1051">
        <f>MAX(ROUNDUP(D1051, 0), E1051) * IF(C1051="COVERED", Parameters!$B$2, Parameters!$B$3)</f>
        <v>0</v>
      </c>
      <c r="H1051">
        <f>F1051 - G1051</f>
        <v>0</v>
      </c>
      <c r="I1051">
        <f>IF(ABS(H1051)&gt;0.01, "Priority 3", "")</f>
        <v>0</v>
      </c>
    </row>
    <row r="1052" spans="1:9">
      <c r="A1052" t="s">
        <v>2050</v>
      </c>
      <c r="B1052" t="s">
        <v>998</v>
      </c>
      <c r="C1052" t="s">
        <v>1468</v>
      </c>
      <c r="D1052">
        <v>44.8</v>
      </c>
      <c r="E1052">
        <v>32</v>
      </c>
      <c r="F1052">
        <v>0</v>
      </c>
      <c r="G1052">
        <f>MAX(ROUNDUP(D1052, 0), E1052) * IF(C1052="COVERED", Parameters!$B$2, Parameters!$B$3)</f>
        <v>0</v>
      </c>
      <c r="H1052">
        <f>F1052 - G1052</f>
        <v>0</v>
      </c>
      <c r="I1052">
        <f>IF(ABS(H1052)&gt;0.01, "Priority 3", "")</f>
        <v>0</v>
      </c>
    </row>
    <row r="1053" spans="1:9">
      <c r="A1053" t="s">
        <v>2051</v>
      </c>
      <c r="B1053" t="s">
        <v>998</v>
      </c>
      <c r="C1053" t="s">
        <v>1468</v>
      </c>
      <c r="D1053">
        <v>34.3</v>
      </c>
      <c r="E1053">
        <v>45</v>
      </c>
      <c r="F1053">
        <v>0</v>
      </c>
      <c r="G1053">
        <f>MAX(ROUNDUP(D1053, 0), E1053) * IF(C1053="COVERED", Parameters!$B$2, Parameters!$B$3)</f>
        <v>0</v>
      </c>
      <c r="H1053">
        <f>F1053 - G1053</f>
        <v>0</v>
      </c>
      <c r="I1053">
        <f>IF(ABS(H1053)&gt;0.01, "Priority 3", "")</f>
        <v>0</v>
      </c>
    </row>
    <row r="1054" spans="1:9">
      <c r="A1054" t="s">
        <v>2052</v>
      </c>
      <c r="B1054" t="s">
        <v>998</v>
      </c>
      <c r="C1054" t="s">
        <v>1468</v>
      </c>
      <c r="D1054">
        <v>57</v>
      </c>
      <c r="E1054">
        <v>32</v>
      </c>
      <c r="F1054">
        <v>0</v>
      </c>
      <c r="G1054">
        <f>MAX(ROUNDUP(D1054, 0), E1054) * IF(C1054="COVERED", Parameters!$B$2, Parameters!$B$3)</f>
        <v>0</v>
      </c>
      <c r="H1054">
        <f>F1054 - G1054</f>
        <v>0</v>
      </c>
      <c r="I1054">
        <f>IF(ABS(H1054)&gt;0.01, "Priority 3", "")</f>
        <v>0</v>
      </c>
    </row>
    <row r="1055" spans="1:9">
      <c r="A1055" t="s">
        <v>2053</v>
      </c>
      <c r="B1055" t="s">
        <v>998</v>
      </c>
      <c r="C1055" t="s">
        <v>1468</v>
      </c>
      <c r="D1055">
        <v>44.8</v>
      </c>
      <c r="E1055">
        <v>24</v>
      </c>
      <c r="F1055">
        <v>0</v>
      </c>
      <c r="G1055">
        <f>MAX(ROUNDUP(D1055, 0), E1055) * IF(C1055="COVERED", Parameters!$B$2, Parameters!$B$3)</f>
        <v>0</v>
      </c>
      <c r="H1055">
        <f>F1055 - G1055</f>
        <v>0</v>
      </c>
      <c r="I1055">
        <f>IF(ABS(H1055)&gt;0.01, "Priority 3", "")</f>
        <v>0</v>
      </c>
    </row>
    <row r="1056" spans="1:9">
      <c r="A1056" t="s">
        <v>2054</v>
      </c>
      <c r="B1056" t="s">
        <v>998</v>
      </c>
      <c r="C1056" t="s">
        <v>1468</v>
      </c>
      <c r="D1056">
        <v>21.9</v>
      </c>
      <c r="E1056">
        <v>24</v>
      </c>
      <c r="F1056">
        <v>0</v>
      </c>
      <c r="G1056">
        <f>MAX(ROUNDUP(D1056, 0), E1056) * IF(C1056="COVERED", Parameters!$B$2, Parameters!$B$3)</f>
        <v>0</v>
      </c>
      <c r="H1056">
        <f>F1056 - G1056</f>
        <v>0</v>
      </c>
      <c r="I1056">
        <f>IF(ABS(H1056)&gt;0.01, "Priority 3", "")</f>
        <v>0</v>
      </c>
    </row>
    <row r="1057" spans="1:9">
      <c r="A1057" t="s">
        <v>2055</v>
      </c>
      <c r="B1057" t="s">
        <v>998</v>
      </c>
      <c r="C1057" t="s">
        <v>1468</v>
      </c>
      <c r="D1057">
        <v>61.1</v>
      </c>
      <c r="E1057">
        <v>28</v>
      </c>
      <c r="F1057">
        <v>0</v>
      </c>
      <c r="G1057">
        <f>MAX(ROUNDUP(D1057, 0), E1057) * IF(C1057="COVERED", Parameters!$B$2, Parameters!$B$3)</f>
        <v>0</v>
      </c>
      <c r="H1057">
        <f>F1057 - G1057</f>
        <v>0</v>
      </c>
      <c r="I1057">
        <f>IF(ABS(H1057)&gt;0.01, "Priority 3", "")</f>
        <v>0</v>
      </c>
    </row>
    <row r="1058" spans="1:9">
      <c r="A1058" t="s">
        <v>2056</v>
      </c>
      <c r="B1058" t="s">
        <v>998</v>
      </c>
      <c r="C1058" t="s">
        <v>1468</v>
      </c>
      <c r="D1058">
        <v>22.2</v>
      </c>
      <c r="E1058">
        <v>28</v>
      </c>
      <c r="F1058">
        <v>0</v>
      </c>
      <c r="G1058">
        <f>MAX(ROUNDUP(D1058, 0), E1058) * IF(C1058="COVERED", Parameters!$B$2, Parameters!$B$3)</f>
        <v>0</v>
      </c>
      <c r="H1058">
        <f>F1058 - G1058</f>
        <v>0</v>
      </c>
      <c r="I1058">
        <f>IF(ABS(H1058)&gt;0.01, "Priority 3", "")</f>
        <v>0</v>
      </c>
    </row>
    <row r="1059" spans="1:9">
      <c r="A1059" t="s">
        <v>2057</v>
      </c>
      <c r="B1059" t="s">
        <v>998</v>
      </c>
      <c r="C1059" t="s">
        <v>1468</v>
      </c>
      <c r="D1059">
        <v>21.2</v>
      </c>
      <c r="E1059">
        <v>45</v>
      </c>
      <c r="F1059">
        <v>0</v>
      </c>
      <c r="G1059">
        <f>MAX(ROUNDUP(D1059, 0), E1059) * IF(C1059="COVERED", Parameters!$B$2, Parameters!$B$3)</f>
        <v>0</v>
      </c>
      <c r="H1059">
        <f>F1059 - G1059</f>
        <v>0</v>
      </c>
      <c r="I1059">
        <f>IF(ABS(H1059)&gt;0.01, "Priority 3", "")</f>
        <v>0</v>
      </c>
    </row>
    <row r="1060" spans="1:9">
      <c r="A1060" t="s">
        <v>2058</v>
      </c>
      <c r="B1060" t="s">
        <v>998</v>
      </c>
      <c r="C1060" t="s">
        <v>1468</v>
      </c>
      <c r="D1060">
        <v>34.1</v>
      </c>
      <c r="E1060">
        <v>40</v>
      </c>
      <c r="F1060">
        <v>0</v>
      </c>
      <c r="G1060">
        <f>MAX(ROUNDUP(D1060, 0), E1060) * IF(C1060="COVERED", Parameters!$B$2, Parameters!$B$3)</f>
        <v>0</v>
      </c>
      <c r="H1060">
        <f>F1060 - G1060</f>
        <v>0</v>
      </c>
      <c r="I1060">
        <f>IF(ABS(H1060)&gt;0.01, "Priority 3", "")</f>
        <v>0</v>
      </c>
    </row>
    <row r="1061" spans="1:9">
      <c r="A1061" t="s">
        <v>2059</v>
      </c>
      <c r="B1061" t="s">
        <v>998</v>
      </c>
      <c r="C1061" t="s">
        <v>1468</v>
      </c>
      <c r="D1061">
        <v>22.1</v>
      </c>
      <c r="E1061">
        <v>32</v>
      </c>
      <c r="F1061">
        <v>0</v>
      </c>
      <c r="G1061">
        <f>MAX(ROUNDUP(D1061, 0), E1061) * IF(C1061="COVERED", Parameters!$B$2, Parameters!$B$3)</f>
        <v>0</v>
      </c>
      <c r="H1061">
        <f>F1061 - G1061</f>
        <v>0</v>
      </c>
      <c r="I1061">
        <f>IF(ABS(H1061)&gt;0.01, "Priority 3", "")</f>
        <v>0</v>
      </c>
    </row>
    <row r="1062" spans="1:9">
      <c r="A1062" t="s">
        <v>2060</v>
      </c>
      <c r="B1062" t="s">
        <v>998</v>
      </c>
      <c r="C1062" t="s">
        <v>1468</v>
      </c>
      <c r="D1062">
        <v>24.6</v>
      </c>
      <c r="E1062">
        <v>24</v>
      </c>
      <c r="F1062">
        <v>0</v>
      </c>
      <c r="G1062">
        <f>MAX(ROUNDUP(D1062, 0), E1062) * IF(C1062="COVERED", Parameters!$B$2, Parameters!$B$3)</f>
        <v>0</v>
      </c>
      <c r="H1062">
        <f>F1062 - G1062</f>
        <v>0</v>
      </c>
      <c r="I1062">
        <f>IF(ABS(H1062)&gt;0.01, "Priority 3", "")</f>
        <v>0</v>
      </c>
    </row>
    <row r="1063" spans="1:9">
      <c r="A1063" t="s">
        <v>2061</v>
      </c>
      <c r="B1063" t="s">
        <v>998</v>
      </c>
      <c r="C1063" t="s">
        <v>1468</v>
      </c>
      <c r="D1063">
        <v>52.3</v>
      </c>
      <c r="E1063">
        <v>28</v>
      </c>
      <c r="F1063">
        <v>0</v>
      </c>
      <c r="G1063">
        <f>MAX(ROUNDUP(D1063, 0), E1063) * IF(C1063="COVERED", Parameters!$B$2, Parameters!$B$3)</f>
        <v>0</v>
      </c>
      <c r="H1063">
        <f>F1063 - G1063</f>
        <v>0</v>
      </c>
      <c r="I1063">
        <f>IF(ABS(H1063)&gt;0.01, "Priority 3", "")</f>
        <v>0</v>
      </c>
    </row>
    <row r="1064" spans="1:9">
      <c r="A1064" t="s">
        <v>2062</v>
      </c>
      <c r="B1064" t="s">
        <v>998</v>
      </c>
      <c r="C1064" t="s">
        <v>1468</v>
      </c>
      <c r="D1064">
        <v>25.9</v>
      </c>
      <c r="E1064">
        <v>70</v>
      </c>
      <c r="F1064">
        <v>0</v>
      </c>
      <c r="G1064">
        <f>MAX(ROUNDUP(D1064, 0), E1064) * IF(C1064="COVERED", Parameters!$B$2, Parameters!$B$3)</f>
        <v>0</v>
      </c>
      <c r="H1064">
        <f>F1064 - G1064</f>
        <v>0</v>
      </c>
      <c r="I1064">
        <f>IF(ABS(H1064)&gt;0.01, "Priority 3", "")</f>
        <v>0</v>
      </c>
    </row>
    <row r="1065" spans="1:9">
      <c r="A1065" t="s">
        <v>2063</v>
      </c>
      <c r="B1065" t="s">
        <v>998</v>
      </c>
      <c r="C1065" t="s">
        <v>1468</v>
      </c>
      <c r="D1065">
        <v>46.5</v>
      </c>
      <c r="E1065">
        <v>28</v>
      </c>
      <c r="F1065">
        <v>0</v>
      </c>
      <c r="G1065">
        <f>MAX(ROUNDUP(D1065, 0), E1065) * IF(C1065="COVERED", Parameters!$B$2, Parameters!$B$3)</f>
        <v>0</v>
      </c>
      <c r="H1065">
        <f>F1065 - G1065</f>
        <v>0</v>
      </c>
      <c r="I1065">
        <f>IF(ABS(H1065)&gt;0.01, "Priority 3", "")</f>
        <v>0</v>
      </c>
    </row>
    <row r="1066" spans="1:9">
      <c r="A1066" t="s">
        <v>2064</v>
      </c>
      <c r="B1066" t="s">
        <v>998</v>
      </c>
      <c r="C1066" t="s">
        <v>1468</v>
      </c>
      <c r="D1066">
        <v>28</v>
      </c>
      <c r="E1066">
        <v>70</v>
      </c>
      <c r="F1066">
        <v>0</v>
      </c>
      <c r="G1066">
        <f>MAX(ROUNDUP(D1066, 0), E1066) * IF(C1066="COVERED", Parameters!$B$2, Parameters!$B$3)</f>
        <v>0</v>
      </c>
      <c r="H1066">
        <f>F1066 - G1066</f>
        <v>0</v>
      </c>
      <c r="I1066">
        <f>IF(ABS(H1066)&gt;0.01, "Priority 3", "")</f>
        <v>0</v>
      </c>
    </row>
    <row r="1067" spans="1:9">
      <c r="A1067" t="s">
        <v>2065</v>
      </c>
      <c r="B1067" t="s">
        <v>998</v>
      </c>
      <c r="C1067" t="s">
        <v>1468</v>
      </c>
      <c r="D1067">
        <v>25.9</v>
      </c>
      <c r="E1067">
        <v>24</v>
      </c>
      <c r="F1067">
        <v>0</v>
      </c>
      <c r="G1067">
        <f>MAX(ROUNDUP(D1067, 0), E1067) * IF(C1067="COVERED", Parameters!$B$2, Parameters!$B$3)</f>
        <v>0</v>
      </c>
      <c r="H1067">
        <f>F1067 - G1067</f>
        <v>0</v>
      </c>
      <c r="I1067">
        <f>IF(ABS(H1067)&gt;0.01, "Priority 3", "")</f>
        <v>0</v>
      </c>
    </row>
    <row r="1068" spans="1:9">
      <c r="A1068" t="s">
        <v>2066</v>
      </c>
      <c r="B1068" t="s">
        <v>998</v>
      </c>
      <c r="C1068" t="s">
        <v>1468</v>
      </c>
      <c r="D1068">
        <v>47.3</v>
      </c>
      <c r="E1068">
        <v>40</v>
      </c>
      <c r="F1068">
        <v>0</v>
      </c>
      <c r="G1068">
        <f>MAX(ROUNDUP(D1068, 0), E1068) * IF(C1068="COVERED", Parameters!$B$2, Parameters!$B$3)</f>
        <v>0</v>
      </c>
      <c r="H1068">
        <f>F1068 - G1068</f>
        <v>0</v>
      </c>
      <c r="I1068">
        <f>IF(ABS(H1068)&gt;0.01, "Priority 3", "")</f>
        <v>0</v>
      </c>
    </row>
    <row r="1069" spans="1:9">
      <c r="A1069" t="s">
        <v>2067</v>
      </c>
      <c r="B1069" t="s">
        <v>998</v>
      </c>
      <c r="C1069" t="s">
        <v>1468</v>
      </c>
      <c r="D1069">
        <v>26.8</v>
      </c>
      <c r="E1069">
        <v>36</v>
      </c>
      <c r="F1069">
        <v>0</v>
      </c>
      <c r="G1069">
        <f>MAX(ROUNDUP(D1069, 0), E1069) * IF(C1069="COVERED", Parameters!$B$2, Parameters!$B$3)</f>
        <v>0</v>
      </c>
      <c r="H1069">
        <f>F1069 - G1069</f>
        <v>0</v>
      </c>
      <c r="I1069">
        <f>IF(ABS(H1069)&gt;0.01, "Priority 3", "")</f>
        <v>0</v>
      </c>
    </row>
    <row r="1070" spans="1:9">
      <c r="A1070" t="s">
        <v>2068</v>
      </c>
      <c r="B1070" t="s">
        <v>998</v>
      </c>
      <c r="C1070" t="s">
        <v>1468</v>
      </c>
      <c r="D1070">
        <v>34.6</v>
      </c>
      <c r="E1070">
        <v>32</v>
      </c>
      <c r="F1070">
        <v>0</v>
      </c>
      <c r="G1070">
        <f>MAX(ROUNDUP(D1070, 0), E1070) * IF(C1070="COVERED", Parameters!$B$2, Parameters!$B$3)</f>
        <v>0</v>
      </c>
      <c r="H1070">
        <f>F1070 - G1070</f>
        <v>0</v>
      </c>
      <c r="I1070">
        <f>IF(ABS(H1070)&gt;0.01, "Priority 3", "")</f>
        <v>0</v>
      </c>
    </row>
    <row r="1071" spans="1:9">
      <c r="A1071" t="s">
        <v>2069</v>
      </c>
      <c r="B1071" t="s">
        <v>998</v>
      </c>
      <c r="C1071" t="s">
        <v>1468</v>
      </c>
      <c r="D1071">
        <v>43.8</v>
      </c>
      <c r="E1071">
        <v>24</v>
      </c>
      <c r="F1071">
        <v>0</v>
      </c>
      <c r="G1071">
        <f>MAX(ROUNDUP(D1071, 0), E1071) * IF(C1071="COVERED", Parameters!$B$2, Parameters!$B$3)</f>
        <v>0</v>
      </c>
      <c r="H1071">
        <f>F1071 - G1071</f>
        <v>0</v>
      </c>
      <c r="I1071">
        <f>IF(ABS(H1071)&gt;0.01, "Priority 3", "")</f>
        <v>0</v>
      </c>
    </row>
    <row r="1072" spans="1:9">
      <c r="A1072" t="s">
        <v>2070</v>
      </c>
      <c r="B1072" t="s">
        <v>998</v>
      </c>
      <c r="C1072" t="s">
        <v>1468</v>
      </c>
      <c r="D1072">
        <v>44.7</v>
      </c>
      <c r="E1072">
        <v>45</v>
      </c>
      <c r="F1072">
        <v>0</v>
      </c>
      <c r="G1072">
        <f>MAX(ROUNDUP(D1072, 0), E1072) * IF(C1072="COVERED", Parameters!$B$2, Parameters!$B$3)</f>
        <v>0</v>
      </c>
      <c r="H1072">
        <f>F1072 - G1072</f>
        <v>0</v>
      </c>
      <c r="I1072">
        <f>IF(ABS(H1072)&gt;0.01, "Priority 3", "")</f>
        <v>0</v>
      </c>
    </row>
    <row r="1073" spans="1:9">
      <c r="A1073" t="s">
        <v>2071</v>
      </c>
      <c r="B1073" t="s">
        <v>998</v>
      </c>
      <c r="C1073" t="s">
        <v>1468</v>
      </c>
      <c r="D1073">
        <v>31.9</v>
      </c>
      <c r="E1073">
        <v>80</v>
      </c>
      <c r="F1073">
        <v>0</v>
      </c>
      <c r="G1073">
        <f>MAX(ROUNDUP(D1073, 0), E1073) * IF(C1073="COVERED", Parameters!$B$2, Parameters!$B$3)</f>
        <v>0</v>
      </c>
      <c r="H1073">
        <f>F1073 - G1073</f>
        <v>0</v>
      </c>
      <c r="I1073">
        <f>IF(ABS(H1073)&gt;0.01, "Priority 3", "")</f>
        <v>0</v>
      </c>
    </row>
    <row r="1074" spans="1:9">
      <c r="A1074" t="s">
        <v>2072</v>
      </c>
      <c r="B1074" t="s">
        <v>998</v>
      </c>
      <c r="C1074" t="s">
        <v>1468</v>
      </c>
      <c r="D1074">
        <v>59.4</v>
      </c>
      <c r="E1074">
        <v>80</v>
      </c>
      <c r="F1074">
        <v>0</v>
      </c>
      <c r="G1074">
        <f>MAX(ROUNDUP(D1074, 0), E1074) * IF(C1074="COVERED", Parameters!$B$2, Parameters!$B$3)</f>
        <v>0</v>
      </c>
      <c r="H1074">
        <f>F1074 - G1074</f>
        <v>0</v>
      </c>
      <c r="I1074">
        <f>IF(ABS(H1074)&gt;0.01, "Priority 3", "")</f>
        <v>0</v>
      </c>
    </row>
    <row r="1075" spans="1:9">
      <c r="A1075" t="s">
        <v>2073</v>
      </c>
      <c r="B1075" t="s">
        <v>998</v>
      </c>
      <c r="C1075" t="s">
        <v>1468</v>
      </c>
      <c r="D1075">
        <v>42.9</v>
      </c>
      <c r="E1075">
        <v>32</v>
      </c>
      <c r="F1075">
        <v>0</v>
      </c>
      <c r="G1075">
        <f>MAX(ROUNDUP(D1075, 0), E1075) * IF(C1075="COVERED", Parameters!$B$2, Parameters!$B$3)</f>
        <v>0</v>
      </c>
      <c r="H1075">
        <f>F1075 - G1075</f>
        <v>0</v>
      </c>
      <c r="I1075">
        <f>IF(ABS(H1075)&gt;0.01, "Priority 3", "")</f>
        <v>0</v>
      </c>
    </row>
    <row r="1076" spans="1:9">
      <c r="A1076" t="s">
        <v>2074</v>
      </c>
      <c r="B1076" t="s">
        <v>998</v>
      </c>
      <c r="C1076" t="s">
        <v>1468</v>
      </c>
      <c r="D1076">
        <v>44</v>
      </c>
      <c r="E1076">
        <v>36</v>
      </c>
      <c r="F1076">
        <v>0</v>
      </c>
      <c r="G1076">
        <f>MAX(ROUNDUP(D1076, 0), E1076) * IF(C1076="COVERED", Parameters!$B$2, Parameters!$B$3)</f>
        <v>0</v>
      </c>
      <c r="H1076">
        <f>F1076 - G1076</f>
        <v>0</v>
      </c>
      <c r="I1076">
        <f>IF(ABS(H1076)&gt;0.01, "Priority 3", "")</f>
        <v>0</v>
      </c>
    </row>
    <row r="1077" spans="1:9">
      <c r="A1077" t="s">
        <v>2075</v>
      </c>
      <c r="B1077" t="s">
        <v>998</v>
      </c>
      <c r="C1077" t="s">
        <v>1468</v>
      </c>
      <c r="D1077">
        <v>53.6</v>
      </c>
      <c r="E1077">
        <v>36</v>
      </c>
      <c r="F1077">
        <v>0</v>
      </c>
      <c r="G1077">
        <f>MAX(ROUNDUP(D1077, 0), E1077) * IF(C1077="COVERED", Parameters!$B$2, Parameters!$B$3)</f>
        <v>0</v>
      </c>
      <c r="H1077">
        <f>F1077 - G1077</f>
        <v>0</v>
      </c>
      <c r="I1077">
        <f>IF(ABS(H1077)&gt;0.01, "Priority 3", "")</f>
        <v>0</v>
      </c>
    </row>
    <row r="1078" spans="1:9">
      <c r="A1078" t="s">
        <v>2076</v>
      </c>
      <c r="B1078" t="s">
        <v>998</v>
      </c>
      <c r="C1078" t="s">
        <v>1468</v>
      </c>
      <c r="D1078">
        <v>52.9</v>
      </c>
      <c r="E1078">
        <v>24</v>
      </c>
      <c r="F1078">
        <v>0</v>
      </c>
      <c r="G1078">
        <f>MAX(ROUNDUP(D1078, 0), E1078) * IF(C1078="COVERED", Parameters!$B$2, Parameters!$B$3)</f>
        <v>0</v>
      </c>
      <c r="H1078">
        <f>F1078 - G1078</f>
        <v>0</v>
      </c>
      <c r="I1078">
        <f>IF(ABS(H1078)&gt;0.01, "Priority 3", "")</f>
        <v>0</v>
      </c>
    </row>
    <row r="1079" spans="1:9">
      <c r="A1079" t="s">
        <v>2077</v>
      </c>
      <c r="B1079" t="s">
        <v>998</v>
      </c>
      <c r="C1079" t="s">
        <v>1468</v>
      </c>
      <c r="D1079">
        <v>61.1</v>
      </c>
      <c r="E1079">
        <v>28</v>
      </c>
      <c r="F1079">
        <v>0</v>
      </c>
      <c r="G1079">
        <f>MAX(ROUNDUP(D1079, 0), E1079) * IF(C1079="COVERED", Parameters!$B$2, Parameters!$B$3)</f>
        <v>0</v>
      </c>
      <c r="H1079">
        <f>F1079 - G1079</f>
        <v>0</v>
      </c>
      <c r="I1079">
        <f>IF(ABS(H1079)&gt;0.01, "Priority 3", "")</f>
        <v>0</v>
      </c>
    </row>
    <row r="1080" spans="1:9">
      <c r="A1080" t="s">
        <v>2078</v>
      </c>
      <c r="B1080" t="s">
        <v>998</v>
      </c>
      <c r="C1080" t="s">
        <v>1468</v>
      </c>
      <c r="D1080">
        <v>52.6</v>
      </c>
      <c r="E1080">
        <v>28</v>
      </c>
      <c r="F1080">
        <v>0</v>
      </c>
      <c r="G1080">
        <f>MAX(ROUNDUP(D1080, 0), E1080) * IF(C1080="COVERED", Parameters!$B$2, Parameters!$B$3)</f>
        <v>0</v>
      </c>
      <c r="H1080">
        <f>F1080 - G1080</f>
        <v>0</v>
      </c>
      <c r="I1080">
        <f>IF(ABS(H1080)&gt;0.01, "Priority 3", "")</f>
        <v>0</v>
      </c>
    </row>
    <row r="1081" spans="1:9">
      <c r="A1081" t="s">
        <v>2079</v>
      </c>
      <c r="B1081" t="s">
        <v>998</v>
      </c>
      <c r="C1081" t="s">
        <v>1468</v>
      </c>
      <c r="D1081">
        <v>58.2</v>
      </c>
      <c r="E1081">
        <v>32</v>
      </c>
      <c r="F1081">
        <v>0</v>
      </c>
      <c r="G1081">
        <f>MAX(ROUNDUP(D1081, 0), E1081) * IF(C1081="COVERED", Parameters!$B$2, Parameters!$B$3)</f>
        <v>0</v>
      </c>
      <c r="H1081">
        <f>F1081 - G1081</f>
        <v>0</v>
      </c>
      <c r="I1081">
        <f>IF(ABS(H1081)&gt;0.01, "Priority 3", "")</f>
        <v>0</v>
      </c>
    </row>
    <row r="1082" spans="1:9">
      <c r="A1082" t="s">
        <v>2080</v>
      </c>
      <c r="B1082" t="s">
        <v>998</v>
      </c>
      <c r="C1082" t="s">
        <v>1468</v>
      </c>
      <c r="D1082">
        <v>57.3</v>
      </c>
      <c r="E1082">
        <v>28</v>
      </c>
      <c r="F1082">
        <v>0</v>
      </c>
      <c r="G1082">
        <f>MAX(ROUNDUP(D1082, 0), E1082) * IF(C1082="COVERED", Parameters!$B$2, Parameters!$B$3)</f>
        <v>0</v>
      </c>
      <c r="H1082">
        <f>F1082 - G1082</f>
        <v>0</v>
      </c>
      <c r="I1082">
        <f>IF(ABS(H1082)&gt;0.01, "Priority 3", "")</f>
        <v>0</v>
      </c>
    </row>
    <row r="1083" spans="1:9">
      <c r="A1083" t="s">
        <v>2081</v>
      </c>
      <c r="B1083" t="s">
        <v>998</v>
      </c>
      <c r="C1083" t="s">
        <v>1468</v>
      </c>
      <c r="D1083">
        <v>27.7</v>
      </c>
      <c r="E1083">
        <v>50</v>
      </c>
      <c r="F1083">
        <v>0</v>
      </c>
      <c r="G1083">
        <f>MAX(ROUNDUP(D1083, 0), E1083) * IF(C1083="COVERED", Parameters!$B$2, Parameters!$B$3)</f>
        <v>0</v>
      </c>
      <c r="H1083">
        <f>F1083 - G1083</f>
        <v>0</v>
      </c>
      <c r="I1083">
        <f>IF(ABS(H1083)&gt;0.01, "Priority 3", "")</f>
        <v>0</v>
      </c>
    </row>
    <row r="1084" spans="1:9">
      <c r="A1084" t="s">
        <v>2082</v>
      </c>
      <c r="B1084" t="s">
        <v>998</v>
      </c>
      <c r="C1084" t="s">
        <v>1468</v>
      </c>
      <c r="D1084">
        <v>58.9</v>
      </c>
      <c r="E1084">
        <v>32</v>
      </c>
      <c r="F1084">
        <v>0</v>
      </c>
      <c r="G1084">
        <f>MAX(ROUNDUP(D1084, 0), E1084) * IF(C1084="COVERED", Parameters!$B$2, Parameters!$B$3)</f>
        <v>0</v>
      </c>
      <c r="H1084">
        <f>F1084 - G1084</f>
        <v>0</v>
      </c>
      <c r="I1084">
        <f>IF(ABS(H1084)&gt;0.01, "Priority 3", "")</f>
        <v>0</v>
      </c>
    </row>
    <row r="1085" spans="1:9">
      <c r="A1085" t="s">
        <v>2083</v>
      </c>
      <c r="B1085" t="s">
        <v>998</v>
      </c>
      <c r="C1085" t="s">
        <v>1468</v>
      </c>
      <c r="D1085">
        <v>43.1</v>
      </c>
      <c r="E1085">
        <v>60</v>
      </c>
      <c r="F1085">
        <v>0</v>
      </c>
      <c r="G1085">
        <f>MAX(ROUNDUP(D1085, 0), E1085) * IF(C1085="COVERED", Parameters!$B$2, Parameters!$B$3)</f>
        <v>0</v>
      </c>
      <c r="H1085">
        <f>F1085 - G1085</f>
        <v>0</v>
      </c>
      <c r="I1085">
        <f>IF(ABS(H1085)&gt;0.01, "Priority 3", "")</f>
        <v>0</v>
      </c>
    </row>
    <row r="1086" spans="1:9">
      <c r="A1086" t="s">
        <v>2084</v>
      </c>
      <c r="B1086" t="s">
        <v>998</v>
      </c>
      <c r="C1086" t="s">
        <v>1468</v>
      </c>
      <c r="D1086">
        <v>48.2</v>
      </c>
      <c r="E1086">
        <v>45</v>
      </c>
      <c r="F1086">
        <v>0</v>
      </c>
      <c r="G1086">
        <f>MAX(ROUNDUP(D1086, 0), E1086) * IF(C1086="COVERED", Parameters!$B$2, Parameters!$B$3)</f>
        <v>0</v>
      </c>
      <c r="H1086">
        <f>F1086 - G1086</f>
        <v>0</v>
      </c>
      <c r="I1086">
        <f>IF(ABS(H1086)&gt;0.01, "Priority 3", "")</f>
        <v>0</v>
      </c>
    </row>
    <row r="1087" spans="1:9">
      <c r="A1087" t="s">
        <v>2085</v>
      </c>
      <c r="B1087" t="s">
        <v>998</v>
      </c>
      <c r="C1087" t="s">
        <v>1468</v>
      </c>
      <c r="D1087">
        <v>56.6</v>
      </c>
      <c r="E1087">
        <v>80</v>
      </c>
      <c r="F1087">
        <v>0</v>
      </c>
      <c r="G1087">
        <f>MAX(ROUNDUP(D1087, 0), E1087) * IF(C1087="COVERED", Parameters!$B$2, Parameters!$B$3)</f>
        <v>0</v>
      </c>
      <c r="H1087">
        <f>F1087 - G1087</f>
        <v>0</v>
      </c>
      <c r="I1087">
        <f>IF(ABS(H1087)&gt;0.01, "Priority 3", "")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2086</v>
      </c>
      <c r="B1" t="s">
        <v>2087</v>
      </c>
      <c r="C1" t="s">
        <v>989</v>
      </c>
      <c r="D1" t="s">
        <v>2088</v>
      </c>
      <c r="E1" t="s">
        <v>2089</v>
      </c>
      <c r="F1" t="s">
        <v>2090</v>
      </c>
    </row>
    <row r="2" spans="1:6">
      <c r="A2" t="s">
        <v>2091</v>
      </c>
      <c r="B2" t="s">
        <v>2092</v>
      </c>
      <c r="C2" t="s">
        <v>1019</v>
      </c>
      <c r="D2">
        <v>509.6</v>
      </c>
      <c r="E2">
        <v>0</v>
      </c>
      <c r="F2">
        <f>D2 + E2</f>
        <v>0</v>
      </c>
    </row>
    <row r="3" spans="1:6">
      <c r="A3" t="s">
        <v>2093</v>
      </c>
      <c r="B3" t="s">
        <v>2094</v>
      </c>
      <c r="C3" t="s">
        <v>1064</v>
      </c>
      <c r="D3">
        <v>384.8</v>
      </c>
      <c r="E3">
        <v>0</v>
      </c>
      <c r="F3">
        <f>D3 + E3</f>
        <v>0</v>
      </c>
    </row>
    <row r="4" spans="1:6">
      <c r="A4" t="s">
        <v>2095</v>
      </c>
      <c r="B4" t="s">
        <v>2096</v>
      </c>
      <c r="C4" t="s">
        <v>1109</v>
      </c>
      <c r="D4">
        <v>603.2</v>
      </c>
      <c r="E4">
        <v>603.2</v>
      </c>
      <c r="F4">
        <f>D4 + E4</f>
        <v>0</v>
      </c>
    </row>
    <row r="5" spans="1:6">
      <c r="A5" t="s">
        <v>2097</v>
      </c>
      <c r="B5" t="s">
        <v>2098</v>
      </c>
      <c r="C5" t="s">
        <v>1112</v>
      </c>
      <c r="D5">
        <v>530.4</v>
      </c>
      <c r="E5">
        <v>0</v>
      </c>
      <c r="F5">
        <f>D5 + E5</f>
        <v>0</v>
      </c>
    </row>
    <row r="6" spans="1:6">
      <c r="A6" t="s">
        <v>2099</v>
      </c>
      <c r="B6" t="s">
        <v>2100</v>
      </c>
      <c r="C6" t="s">
        <v>1143</v>
      </c>
      <c r="D6">
        <v>416</v>
      </c>
      <c r="E6">
        <v>832</v>
      </c>
      <c r="F6">
        <f>D6 + E6</f>
        <v>0</v>
      </c>
    </row>
    <row r="7" spans="1:6">
      <c r="A7" t="s">
        <v>2101</v>
      </c>
      <c r="B7" t="s">
        <v>2102</v>
      </c>
      <c r="C7" t="s">
        <v>1154</v>
      </c>
      <c r="D7">
        <v>488.8</v>
      </c>
      <c r="E7">
        <v>0</v>
      </c>
      <c r="F7">
        <f>D7 + E7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2103</v>
      </c>
      <c r="B1" t="s">
        <v>2104</v>
      </c>
    </row>
    <row r="2" spans="1:2">
      <c r="A2" t="s">
        <v>2105</v>
      </c>
      <c r="B2">
        <f>COUNTIF('Queue Exceptions'!D:D, "Priority 1")</f>
        <v>0</v>
      </c>
    </row>
    <row r="3" spans="1:2">
      <c r="A3" t="s">
        <v>2106</v>
      </c>
      <c r="B3">
        <f>COUNTIF('Queue Exceptions'!D:D, "Priority 2")</f>
        <v>0</v>
      </c>
    </row>
    <row r="4" spans="1:2">
      <c r="A4" t="s">
        <v>2107</v>
      </c>
      <c r="B4">
        <f>COUNTIF('Billing Reconciliations'!I:I, "Priority 3")</f>
        <v>0</v>
      </c>
    </row>
    <row r="5" spans="1:2">
      <c r="A5" t="s">
        <v>2108</v>
      </c>
      <c r="B5">
        <f>SUMIF('Billing Reconciliations'!I:I, "Priority 3", 'Billing Reconciliations'!H:H)</f>
        <v>0</v>
      </c>
    </row>
    <row r="6" spans="1:2">
      <c r="A6" t="s">
        <v>2109</v>
      </c>
      <c r="B6">
        <f>COUNTA('Aging Report'!A:A) - 1</f>
        <v>0</v>
      </c>
    </row>
    <row r="7" spans="1:2">
      <c r="A7" t="s">
        <v>2110</v>
      </c>
      <c r="B7">
        <f>SUM('Aging Report'!F:F)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Queue Exceptions</vt:lpstr>
      <vt:lpstr>Billing Reconciliations</vt:lpstr>
      <vt:lpstr>Aging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2026-09-14T12:54:33Z</dcterms:created>
  <dcterms:modified xsi:type="dcterms:W3CDTF">2026-09-14T12:54:33Z</dcterms:modified>
</cp:coreProperties>
</file>