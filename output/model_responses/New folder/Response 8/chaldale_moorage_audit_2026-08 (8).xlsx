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Queue Exceptions" sheetId="2" r:id="rId2"/>
    <sheet name="Billing Reconciliations" sheetId="3" r:id="rId3"/>
    <sheet name="Aging" sheetId="4" r:id="rId4"/>
  </sheets>
  <definedNames>
    <definedName name="_xlnm._FilterDatabase" localSheetId="3" hidden="1">Aging!$A$10:$O$16</definedName>
    <definedName name="_xlnm._FilterDatabase" localSheetId="2" hidden="1">'Billing Reconciliations'!$A$25:$U$1111</definedName>
    <definedName name="_xlnm._FilterDatabase" localSheetId="1" hidden="1">'Queue Exceptions'!$A$10:$Q$29</definedName>
    <definedName name="_xlnm.Print_Area" localSheetId="3">Aging!$A$1:$O$20</definedName>
    <definedName name="_xlnm.Print_Area" localSheetId="2">'Billing Reconciliations'!$A$1:$G$22</definedName>
    <definedName name="_xlnm.Print_Area" localSheetId="1">'Queue Exceptions'!$A$1:$Q$31</definedName>
    <definedName name="_xlnm.Print_Area" localSheetId="0">Summary!$A$1:$L$34</definedName>
  </definedNames>
  <calcPr calcId="124519" fullCalcOnLoad="1"/>
</workbook>
</file>

<file path=xl/sharedStrings.xml><?xml version="1.0" encoding="utf-8"?>
<sst xmlns="http://schemas.openxmlformats.org/spreadsheetml/2006/main" count="9871" uniqueCount="5804">
  <si>
    <t>CHALDALE MOORAGE AUDIT</t>
  </si>
  <si>
    <t>Administrator review | Audit date 1 August 2026 | Queue period 1 January 2023 - 31 July 2026</t>
  </si>
  <si>
    <t>DECISION SNAPSHOT</t>
  </si>
  <si>
    <t>Clear queue exceptions</t>
  </si>
  <si>
    <t>Occupied slips</t>
  </si>
  <si>
    <t>Supplied active bills</t>
  </si>
  <si>
    <t>Active accounts &gt;90 days</t>
  </si>
  <si>
    <t>Observed posting variance</t>
  </si>
  <si>
    <t>Missing bill count</t>
  </si>
  <si>
    <t>Provisional completeness variance</t>
  </si>
  <si>
    <t>Amount &gt;90 days</t>
  </si>
  <si>
    <t>FINDINGS AND BASIS</t>
  </si>
  <si>
    <t>Queue documentation</t>
  </si>
  <si>
    <t>19 of 309 in-period skip-register rows state documentation_attached=N. Each is a clear Standing Order 15-3 ss.3.2-3.3 exception. Two supplied Y-file samples (WL-02877 and WL-03102) were verified compliant; 288 other Y rows were not supported by paper files in the supplied record.</t>
  </si>
  <si>
    <t>Length amendments</t>
  </si>
  <si>
    <t>No exception found. The latest pre-skip post-effective LOA amendments for 15 in-period events all cite an MC-number or yard haul-out sheet in amendment_log_2022_2026.csv. WL-03102 is additionally supported by the signed Foldview yard sheet dated 2025-06-29.</t>
  </si>
  <si>
    <t>Billing accuracy</t>
  </si>
  <si>
    <t>All 769 supplied 2026-08-01 monthly postings use $10.40/foot-month covered or $7.55/foot-month open; billed length equals max(nominal slip, inventory LOA rounded up), and posted amount variance is $0.00 before tax.</t>
  </si>
  <si>
    <t>Billing completeness</t>
  </si>
  <si>
    <t>317 of 1,086 occupied slips have no August posting in the supplied transaction export: 127 Gullwing and 190 Salmonberry. The formula-driven $120,158.25 indicated shortfall uses current inventory LOA/slip fields and is provisional, not a receivable, pending the complete export and current check-in measurement blocks.</t>
  </si>
  <si>
    <t>Delinquency</t>
  </si>
  <si>
    <t>Six active slips carry balances older than 90 days in ar_aging_2026-07-31.xlsx. Their formula-computed &gt;90 balance is $4,368.00; total balance across all age buckets is $13,166.40.</t>
  </si>
  <si>
    <t>Board priority</t>
  </si>
  <si>
    <t>Apply rank order using rank_at_offer, subject to historical identity/status validation. Appeal 2018-3 supports prospective first-matching-vacancy relief and leaving existing assignments undisturbed.</t>
  </si>
  <si>
    <t>Authority: Standing Order 15-3 ss.1.1, 3.2-3.3; Resolution 2022-06 ss.1-2, 4.3, 8.1; Tariff Resolution 2019-14 ss.1(4), 2.4, Schedule C; Appeal 2018-3 pp.2-3. Detailed source rows are identified on each audit tab.</t>
  </si>
  <si>
    <t>QUEUE EXCEPTIONS | BOARD PRIORITY</t>
  </si>
  <si>
    <t>Clear exceptions sorted by rank at offer; period 2023-01-01 through 2026-07-31</t>
  </si>
  <si>
    <t>CONTROL TOTALS</t>
  </si>
  <si>
    <t>In-period skip rows</t>
  </si>
  <si>
    <t>Clear exceptions</t>
  </si>
  <si>
    <t>Vessel-fit</t>
  </si>
  <si>
    <t>Not-current</t>
  </si>
  <si>
    <t>Declined prior</t>
  </si>
  <si>
    <t>Preference</t>
  </si>
  <si>
    <t>Unsupported LOA</t>
  </si>
  <si>
    <t>No unsupported length-amendment exceptions found.</t>
  </si>
  <si>
    <t>Evidence rule: a cover sheet alone is insufficient. The District bears the burden for departures from rank order, and later reconstruction cannot cure a deficient contemporaneous file. Current applicant records postdate 10 events; historical identity/rank must be validated before relief.</t>
  </si>
  <si>
    <t>Priority</t>
  </si>
  <si>
    <t>Skip ID</t>
  </si>
  <si>
    <t>Applicant ID</t>
  </si>
  <si>
    <t>Rank at Offer</t>
  </si>
  <si>
    <t>Applicant</t>
  </si>
  <si>
    <t>Current Status</t>
  </si>
  <si>
    <t>Vessel</t>
  </si>
  <si>
    <t>Skip Date</t>
  </si>
  <si>
    <t>Register Slip</t>
  </si>
  <si>
    <t>File Slip</t>
  </si>
  <si>
    <t>Reason Code</t>
  </si>
  <si>
    <t>Register Evidence</t>
  </si>
  <si>
    <t>File Evidence</t>
  </si>
  <si>
    <t>Length Amendment Test</t>
  </si>
  <si>
    <t>Source Conflict</t>
  </si>
  <si>
    <t>Conclusion</t>
  </si>
  <si>
    <t>Recommended Action</t>
  </si>
  <si>
    <t>SKP-2025-0328</t>
  </si>
  <si>
    <t>WL-01089</t>
  </si>
  <si>
    <t>Erin Holmes</t>
  </si>
  <si>
    <t>ACTIVE_WAITLIST</t>
  </si>
  <si>
    <t>CORMORANT WIND</t>
  </si>
  <si>
    <t>SB-0115</t>
  </si>
  <si>
    <t>vessel-fit</t>
  </si>
  <si>
    <t>documentation_attached=N; type=REPAIR_ESTIMATE</t>
  </si>
  <si>
    <t>No paper justification file supplied; register states no attachment.</t>
  </si>
  <si>
    <t>PASS - no unsupported prior post-2022 LOA amendment located</t>
  </si>
  <si>
    <t>None identified from supplied fields</t>
  </si>
  <si>
    <t>EXCEPTION</t>
  </si>
  <si>
    <t>Validate historical identity, status, preferences and day log; if confirmed, grant first future matching offer in rank order. Do not disturb current assignment.</t>
  </si>
  <si>
    <t>SKP-2024-0219</t>
  </si>
  <si>
    <t>WL-01144</t>
  </si>
  <si>
    <t>James Lopez</t>
  </si>
  <si>
    <t>PETREL CREST</t>
  </si>
  <si>
    <t>LP-0216</t>
  </si>
  <si>
    <t>documentation_attached=N; type=WRITTEN_STATEMENT</t>
  </si>
  <si>
    <t>SKP-2023-0099</t>
  </si>
  <si>
    <t>WL-01695</t>
  </si>
  <si>
    <t>Antonio Leach</t>
  </si>
  <si>
    <t>SPINDRIFT VEER</t>
  </si>
  <si>
    <t>EW-0203</t>
  </si>
  <si>
    <t>documentation_attached=N; type=INSURANCE_DECL</t>
  </si>
  <si>
    <t>Current register application 2023-07-03 postdates skip</t>
  </si>
  <si>
    <t>SKP-2023-0131</t>
  </si>
  <si>
    <t>WL-01781</t>
  </si>
  <si>
    <t>Crystal Parrish</t>
  </si>
  <si>
    <t>EXPIRED</t>
  </si>
  <si>
    <t>SPINDRIFT STAR</t>
  </si>
  <si>
    <t>LP-0220</t>
  </si>
  <si>
    <t>preference-mismatch</t>
  </si>
  <si>
    <t>documentation_attached=N; type=OTHER_SUPPORT</t>
  </si>
  <si>
    <t>Current register application 2023-08-22 postdates skip</t>
  </si>
  <si>
    <t>SKP-2026-0384</t>
  </si>
  <si>
    <t>WL-01936</t>
  </si>
  <si>
    <t>Deanna Livingston</t>
  </si>
  <si>
    <t>WIDGEON MIST</t>
  </si>
  <si>
    <t>VB-0507</t>
  </si>
  <si>
    <t>not-current</t>
  </si>
  <si>
    <t>SKP-2024-0204</t>
  </si>
  <si>
    <t>WL-01950</t>
  </si>
  <si>
    <t>Mathew Trujillo</t>
  </si>
  <si>
    <t>TIDE WIND</t>
  </si>
  <si>
    <t>EW-0608</t>
  </si>
  <si>
    <t>SKP-2023-0174</t>
  </si>
  <si>
    <t>WL-02285</t>
  </si>
  <si>
    <t>Brian Scott</t>
  </si>
  <si>
    <t>PINTAIL VEER</t>
  </si>
  <si>
    <t>EW-0107</t>
  </si>
  <si>
    <t>declined-prior-offer</t>
  </si>
  <si>
    <t>Current register application 2024-04-22 postdates skip</t>
  </si>
  <si>
    <t>SKP-2025-0292</t>
  </si>
  <si>
    <t>WL-02298</t>
  </si>
  <si>
    <t>Ronald Simpson</t>
  </si>
  <si>
    <t>COHO STAR</t>
  </si>
  <si>
    <t>GW-1017</t>
  </si>
  <si>
    <t>SKP-2024-0249</t>
  </si>
  <si>
    <t>WL-02598</t>
  </si>
  <si>
    <t>Nicole Rubio</t>
  </si>
  <si>
    <t>POINT WEATHER</t>
  </si>
  <si>
    <t>GW-0902</t>
  </si>
  <si>
    <t>SKP-2023-0408</t>
  </si>
  <si>
    <t>WL-02618</t>
  </si>
  <si>
    <t>Gary Tomlinson</t>
  </si>
  <si>
    <t>RETAINER</t>
  </si>
  <si>
    <t>SECOND WIND</t>
  </si>
  <si>
    <t>GW-0610</t>
  </si>
  <si>
    <t>EW-0414</t>
  </si>
  <si>
    <t>documentation_attached=N</t>
  </si>
  <si>
    <t>PDF p.1: cover only; supporting vessel particulars NOT ATTACHED.</t>
  </si>
  <si>
    <t>Current register application 2024-09-17 postdates skip; register/file slip mismatch</t>
  </si>
  <si>
    <t>SKP-2025-0309</t>
  </si>
  <si>
    <t>WL-02838</t>
  </si>
  <si>
    <t>Kimberly Griffin</t>
  </si>
  <si>
    <t>MURRE SHORE</t>
  </si>
  <si>
    <t>LP-0413</t>
  </si>
  <si>
    <t>SKP-2024-0207</t>
  </si>
  <si>
    <t>WL-02948</t>
  </si>
  <si>
    <t>Michael Salinas</t>
  </si>
  <si>
    <t>KESTREL GLIDE</t>
  </si>
  <si>
    <t>GW-1013</t>
  </si>
  <si>
    <t>Current register application 2025-02-01 postdates skip</t>
  </si>
  <si>
    <t>SKP-2024-0409</t>
  </si>
  <si>
    <t>WL-03044</t>
  </si>
  <si>
    <t>Iris Quan</t>
  </si>
  <si>
    <t>LITTLE AUK</t>
  </si>
  <si>
    <t>VB-0904</t>
  </si>
  <si>
    <t>EW-0603</t>
  </si>
  <si>
    <t>PDF p.1: cover only; recorded preference sheet NOT ATTACHED.</t>
  </si>
  <si>
    <t>Current register application 2025-03-14 postdates skip; register/file slip mismatch</t>
  </si>
  <si>
    <t>SKP-2026-0343</t>
  </si>
  <si>
    <t>WL-03054</t>
  </si>
  <si>
    <t>Amanda Schmidt</t>
  </si>
  <si>
    <t>GRAY ROSE</t>
  </si>
  <si>
    <t>VB-0224</t>
  </si>
  <si>
    <t>SKP-2025-0297</t>
  </si>
  <si>
    <t>WL-03094</t>
  </si>
  <si>
    <t>Christine Cook</t>
  </si>
  <si>
    <t>PETREL SOUND</t>
  </si>
  <si>
    <t>GW-0103</t>
  </si>
  <si>
    <t>SKP-2024-0410</t>
  </si>
  <si>
    <t>WL-03390</t>
  </si>
  <si>
    <t>Phillip Ard</t>
  </si>
  <si>
    <t>MOSSBACK</t>
  </si>
  <si>
    <t>SB-0120</t>
  </si>
  <si>
    <t>VB-0144</t>
  </si>
  <si>
    <t>PDF p.1: cover only; prior offer date/slip NOT ATTACHED; OFR-2024-0402 absent from offer export.</t>
  </si>
  <si>
    <t>Current register application 2025-08-19 postdates skip; register/file slip mismatch</t>
  </si>
  <si>
    <t>SKP-2023-0104</t>
  </si>
  <si>
    <t>WL-03523</t>
  </si>
  <si>
    <t>Darlene Glover</t>
  </si>
  <si>
    <t>HERON SOUND</t>
  </si>
  <si>
    <t>SB-0210</t>
  </si>
  <si>
    <t>Current register application 2025-11-02 postdates skip</t>
  </si>
  <si>
    <t>SKP-2023-0166</t>
  </si>
  <si>
    <t>WL-03844</t>
  </si>
  <si>
    <t>Janet Medina</t>
  </si>
  <si>
    <t>TIDE SOUND</t>
  </si>
  <si>
    <t>EW-0109</t>
  </si>
  <si>
    <t>Current register application 2026-05-17 postdates skip</t>
  </si>
  <si>
    <t>SKP-2026-0371</t>
  </si>
  <si>
    <t>WL-03896</t>
  </si>
  <si>
    <t>Stephen Hammond</t>
  </si>
  <si>
    <t>Current register application 2026-07-05 postdates skip</t>
  </si>
  <si>
    <t>Sources: skip_events_2022_2026.csv rows 100, 105, 132, 167, 175, 205, 208, 220, 250, 293, 298, 310, 329, 344, 372, 385, 409-411; applicant_register_2026-08.csv; specified skip PDFs; amendment_log_2022_2026.csv. Board authority: Appeal 2018-3 pp.2-3.</t>
  </si>
  <si>
    <t>ACTIVE BILLING RECONCILIATION</t>
  </si>
  <si>
    <t>Occupied-slip register vs. 2026-08-01 monthly postings | Variance = posted amount minus formula-expected amount | Before tax</t>
  </si>
  <si>
    <t>RECONCILIATION BY BASIN</t>
  </si>
  <si>
    <t>Basin</t>
  </si>
  <si>
    <t>Occupied</t>
  </si>
  <si>
    <t>Bills Supplied</t>
  </si>
  <si>
    <t>Count Variance</t>
  </si>
  <si>
    <t>Posted Amount</t>
  </si>
  <si>
    <t>Expected Amount</t>
  </si>
  <si>
    <t>Amount Variance</t>
  </si>
  <si>
    <t>Ledgport</t>
  </si>
  <si>
    <t>Vessbank</t>
  </si>
  <si>
    <t>Eastwey</t>
  </si>
  <si>
    <t>Gullwing</t>
  </si>
  <si>
    <t>Salmonberry</t>
  </si>
  <si>
    <t>TOTAL</t>
  </si>
  <si>
    <t>EVIDENCE LIMITS AND CERTIFICATE DISPOSITION</t>
  </si>
  <si>
    <t>All 769 supplied postings reconcile exactly to adopted rates and current inventory length fields. The 317 missing postings generate a formula-based indicated variance, but current agreement/check-in measurement blocks and possible annual or semi-annual prepayments were not supplied. Do not book the indicated difference until the export and measurement file are completed.</t>
  </si>
  <si>
    <t>Certificate</t>
  </si>
  <si>
    <t>Certified Basis</t>
  </si>
  <si>
    <t>Audit Disposition</t>
  </si>
  <si>
    <t>MC-2024-0062 / WL-01893</t>
  </si>
  <si>
    <t>31.4 ft -&gt; 32 ft</t>
  </si>
  <si>
    <t>No current active billing for WL-01893. Certificate is applicant-specific and does not govern current VB-0208 occupant WL-03499; no billing variance assigned.</t>
  </si>
  <si>
    <t>MC-2024-0091 / WL-02401</t>
  </si>
  <si>
    <t>31.7 ft -&gt; 32 ft</t>
  </si>
  <si>
    <t>Supports amendment_log rows 1289-1290. Applicant register marks WL-02401 EXPIRED; no active billing and no variance.</t>
  </si>
  <si>
    <t>Authority: Resolution 2022-06 ss.1.1-1.3 and 2.1 applies $10.40 covered / $7.55 open to periods beginning 2022-08-01. Tariff Resolution 2019-14 s.1(4) makes billable length the greater of nominal slip length or check-in LOA rounded up. Tax is excluded from variance because the adopted rates are pre-tax foot-month rates. All totals and variances are formulas. Sources: slip_inventory_2026-08.csv rows 2-1181 and billing_transactions_2022_2026.csv. The transaction export ends at GW-0501 and contains no Salmonberry rows.</t>
  </si>
  <si>
    <t>Slip ID</t>
  </si>
  <si>
    <t>Basin Type</t>
  </si>
  <si>
    <t>Status</t>
  </si>
  <si>
    <t>Tenant / Applicant ID</t>
  </si>
  <si>
    <t>Tenant</t>
  </si>
  <si>
    <t>Slip Size ft</t>
  </si>
  <si>
    <t>Inventory LOA ft</t>
  </si>
  <si>
    <t>Expected Billable ft</t>
  </si>
  <si>
    <t>Required Rate</t>
  </si>
  <si>
    <t>Txn ID</t>
  </si>
  <si>
    <t>Billed Length</t>
  </si>
  <si>
    <t>Posted Rate</t>
  </si>
  <si>
    <t>Rate Variance</t>
  </si>
  <si>
    <t>Length Variance</t>
  </si>
  <si>
    <t>Reconciliation</t>
  </si>
  <si>
    <t>Evidence / Source</t>
  </si>
  <si>
    <t>EW-0101</t>
  </si>
  <si>
    <t>open</t>
  </si>
  <si>
    <t>OCCUPIED</t>
  </si>
  <si>
    <t>WL-01414</t>
  </si>
  <si>
    <t>Phillip Massey</t>
  </si>
  <si>
    <t>POINT SHORE</t>
  </si>
  <si>
    <t>TXN-202608-028684</t>
  </si>
  <si>
    <t>slip_inventory_2026-08.csv row 502; billing_transactions_2022_2026.csv row 46365</t>
  </si>
  <si>
    <t>EW-0102</t>
  </si>
  <si>
    <t>WL-03666</t>
  </si>
  <si>
    <t>Andrea Franco</t>
  </si>
  <si>
    <t>GRAY SONG</t>
  </si>
  <si>
    <t>TXN-202608-028767</t>
  </si>
  <si>
    <t>slip_inventory_2026-08.csv row 503; billing_transactions_2022_2026.csv row 46367</t>
  </si>
  <si>
    <t>EW-0103</t>
  </si>
  <si>
    <t>WL-01149</t>
  </si>
  <si>
    <t>David Hoffman</t>
  </si>
  <si>
    <t>MURRE RUNNER</t>
  </si>
  <si>
    <t>TXN-202608-028831</t>
  </si>
  <si>
    <t>slip_inventory_2026-08.csv row 504; billing_transactions_2022_2026.csv row 46369</t>
  </si>
  <si>
    <t>EW-0105</t>
  </si>
  <si>
    <t>WL-03242</t>
  </si>
  <si>
    <t>Micheal Navarro</t>
  </si>
  <si>
    <t>SABLE MOON</t>
  </si>
  <si>
    <t>TXN-202608-028897</t>
  </si>
  <si>
    <t>slip_inventory_2026-08.csv row 506; billing_transactions_2022_2026.csv row 46371</t>
  </si>
  <si>
    <t>EW-0106</t>
  </si>
  <si>
    <t>WL-03380</t>
  </si>
  <si>
    <t>Charles Snyder</t>
  </si>
  <si>
    <t>PETREL STAR</t>
  </si>
  <si>
    <t>TXN-202608-028973</t>
  </si>
  <si>
    <t>slip_inventory_2026-08.csv row 507; billing_transactions_2022_2026.csv row 46372</t>
  </si>
  <si>
    <t>WL-01368</t>
  </si>
  <si>
    <t>Justin Turner</t>
  </si>
  <si>
    <t>SABLE WIND</t>
  </si>
  <si>
    <t>TXN-202608-029048</t>
  </si>
  <si>
    <t>slip_inventory_2026-08.csv row 508; billing_transactions_2022_2026.csv row 46373</t>
  </si>
  <si>
    <t>EW-0108</t>
  </si>
  <si>
    <t>WL-02070</t>
  </si>
  <si>
    <t>Leslie Thomas</t>
  </si>
  <si>
    <t>FOUL ROCK</t>
  </si>
  <si>
    <t>TXN-202608-029120</t>
  </si>
  <si>
    <t>slip_inventory_2026-08.csv row 509; billing_transactions_2022_2026.csv row 46374</t>
  </si>
  <si>
    <t>WL-03624</t>
  </si>
  <si>
    <t>Robert Rodriguez</t>
  </si>
  <si>
    <t>COHO ANN</t>
  </si>
  <si>
    <t>TXN-202608-029186</t>
  </si>
  <si>
    <t>slip_inventory_2026-08.csv row 510; billing_transactions_2022_2026.csv row 46375</t>
  </si>
  <si>
    <t>EW-0110</t>
  </si>
  <si>
    <t>WL-01831</t>
  </si>
  <si>
    <t>Angela Andersen</t>
  </si>
  <si>
    <t>BRANT WAKE</t>
  </si>
  <si>
    <t>TXN-202608-029246</t>
  </si>
  <si>
    <t>slip_inventory_2026-08.csv row 511; billing_transactions_2022_2026.csv row 46377</t>
  </si>
  <si>
    <t>EW-0111</t>
  </si>
  <si>
    <t>WL-01617</t>
  </si>
  <si>
    <t>James Ferguson</t>
  </si>
  <si>
    <t>POINT DANCER</t>
  </si>
  <si>
    <t>TXN-202608-029329</t>
  </si>
  <si>
    <t>slip_inventory_2026-08.csv row 512; billing_transactions_2022_2026.csv row 46378</t>
  </si>
  <si>
    <t>EW-0112</t>
  </si>
  <si>
    <t>WL-01533</t>
  </si>
  <si>
    <t>Beth Cooper</t>
  </si>
  <si>
    <t>SPINDRIFT WIND</t>
  </si>
  <si>
    <t>TXN-202608-029415</t>
  </si>
  <si>
    <t>slip_inventory_2026-08.csv row 513; billing_transactions_2022_2026.csv row 46380</t>
  </si>
  <si>
    <t>EW-0113</t>
  </si>
  <si>
    <t>WL-01482</t>
  </si>
  <si>
    <t>Brandon Boyer</t>
  </si>
  <si>
    <t>TIDE MOON</t>
  </si>
  <si>
    <t>TXN-202608-029475</t>
  </si>
  <si>
    <t>slip_inventory_2026-08.csv row 514; billing_transactions_2022_2026.csv row 46381</t>
  </si>
  <si>
    <t>EW-0114</t>
  </si>
  <si>
    <t>WL-03340</t>
  </si>
  <si>
    <t>Linda Gonzalez</t>
  </si>
  <si>
    <t>HALIBUT ROSE</t>
  </si>
  <si>
    <t>TXN-202608-029536</t>
  </si>
  <si>
    <t>slip_inventory_2026-08.csv row 515; billing_transactions_2022_2026.csv row 46383</t>
  </si>
  <si>
    <t>EW-0115</t>
  </si>
  <si>
    <t>WL-01809</t>
  </si>
  <si>
    <t>Tim Banks</t>
  </si>
  <si>
    <t>BRANT RUNNER</t>
  </si>
  <si>
    <t>TXN-202608-029605</t>
  </si>
  <si>
    <t>slip_inventory_2026-08.csv row 516; billing_transactions_2022_2026.csv row 46385</t>
  </si>
  <si>
    <t>EW-0116</t>
  </si>
  <si>
    <t>WL-02558</t>
  </si>
  <si>
    <t>Edward Hardy</t>
  </si>
  <si>
    <t>HALIBUT QUEEN</t>
  </si>
  <si>
    <t>TXN-202608-029666</t>
  </si>
  <si>
    <t>slip_inventory_2026-08.csv row 517; billing_transactions_2022_2026.csv row 46386</t>
  </si>
  <si>
    <t>EW-0118</t>
  </si>
  <si>
    <t>WL-03472</t>
  </si>
  <si>
    <t>Robert Shea</t>
  </si>
  <si>
    <t>TXN-202608-029714</t>
  </si>
  <si>
    <t>slip_inventory_2026-08.csv row 519; billing_transactions_2022_2026.csv row 46388</t>
  </si>
  <si>
    <t>EW-0119</t>
  </si>
  <si>
    <t>WL-02417</t>
  </si>
  <si>
    <t>Eric Benjamin</t>
  </si>
  <si>
    <t>OTTER WEATHER</t>
  </si>
  <si>
    <t>TXN-202608-029764</t>
  </si>
  <si>
    <t>slip_inventory_2026-08.csv row 520; billing_transactions_2022_2026.csv row 46389</t>
  </si>
  <si>
    <t>EW-0120</t>
  </si>
  <si>
    <t>WL-02149</t>
  </si>
  <si>
    <t>Tonya Bowman</t>
  </si>
  <si>
    <t>PETREL LINE</t>
  </si>
  <si>
    <t>TXN-202608-029843</t>
  </si>
  <si>
    <t>slip_inventory_2026-08.csv row 521; billing_transactions_2022_2026.csv row 46391</t>
  </si>
  <si>
    <t>EW-0121</t>
  </si>
  <si>
    <t>WL-01125</t>
  </si>
  <si>
    <t>Brandi Baker</t>
  </si>
  <si>
    <t>SPINDRIFT ROSE</t>
  </si>
  <si>
    <t>TXN-202608-029923</t>
  </si>
  <si>
    <t>slip_inventory_2026-08.csv row 522; billing_transactions_2022_2026.csv row 46392</t>
  </si>
  <si>
    <t>EW-0122</t>
  </si>
  <si>
    <t>WL-03816</t>
  </si>
  <si>
    <t>Brittany Lopez</t>
  </si>
  <si>
    <t>PETREL ROSE</t>
  </si>
  <si>
    <t>TXN-202608-029966</t>
  </si>
  <si>
    <t>slip_inventory_2026-08.csv row 523; billing_transactions_2022_2026.csv row 46393</t>
  </si>
  <si>
    <t>EW-0123</t>
  </si>
  <si>
    <t>WL-03203</t>
  </si>
  <si>
    <t>Kyle Shepard</t>
  </si>
  <si>
    <t>PINTAIL WAKE</t>
  </si>
  <si>
    <t>TXN-202608-030041</t>
  </si>
  <si>
    <t>slip_inventory_2026-08.csv row 524; billing_transactions_2022_2026.csv row 46394</t>
  </si>
  <si>
    <t>EW-0124</t>
  </si>
  <si>
    <t>WL-03361</t>
  </si>
  <si>
    <t>Donna Robertson</t>
  </si>
  <si>
    <t>SPINDRIFT RUNNER</t>
  </si>
  <si>
    <t>TXN-202608-030093</t>
  </si>
  <si>
    <t>slip_inventory_2026-08.csv row 525; billing_transactions_2022_2026.csv row 46396</t>
  </si>
  <si>
    <t>EW-0201</t>
  </si>
  <si>
    <t>WL-02818</t>
  </si>
  <si>
    <t>Andrew Bryan</t>
  </si>
  <si>
    <t>SALISH ROSE</t>
  </si>
  <si>
    <t>TXN-202608-030152</t>
  </si>
  <si>
    <t>slip_inventory_2026-08.csv row 526; billing_transactions_2022_2026.csv row 46398</t>
  </si>
  <si>
    <t>EW-0202</t>
  </si>
  <si>
    <t>WL-03332</t>
  </si>
  <si>
    <t>Amanda Rodgers</t>
  </si>
  <si>
    <t>MURRE SOUND</t>
  </si>
  <si>
    <t>TXN-202608-030227</t>
  </si>
  <si>
    <t>slip_inventory_2026-08.csv row 527; billing_transactions_2022_2026.csv row 46400</t>
  </si>
  <si>
    <t>WL-02676</t>
  </si>
  <si>
    <t>Janice Walker</t>
  </si>
  <si>
    <t>BRANT DANCER</t>
  </si>
  <si>
    <t>TXN-202608-030303</t>
  </si>
  <si>
    <t>slip_inventory_2026-08.csv row 528; billing_transactions_2022_2026.csv row 46402</t>
  </si>
  <si>
    <t>EW-0204</t>
  </si>
  <si>
    <t>WL-01545</t>
  </si>
  <si>
    <t>Jessica King</t>
  </si>
  <si>
    <t>TIDE HARBOR</t>
  </si>
  <si>
    <t>TXN-202608-030391</t>
  </si>
  <si>
    <t>slip_inventory_2026-08.csv row 529; billing_transactions_2022_2026.csv row 46404</t>
  </si>
  <si>
    <t>EW-0206</t>
  </si>
  <si>
    <t>WL-01286</t>
  </si>
  <si>
    <t>Kevin Wiley</t>
  </si>
  <si>
    <t>TIDE STAR</t>
  </si>
  <si>
    <t>TXN-202608-030464</t>
  </si>
  <si>
    <t>slip_inventory_2026-08.csv row 531; billing_transactions_2022_2026.csv row 46406</t>
  </si>
  <si>
    <t>EW-0207</t>
  </si>
  <si>
    <t>WL-01486</t>
  </si>
  <si>
    <t>Stacey Spears</t>
  </si>
  <si>
    <t>SALISH HARBOR</t>
  </si>
  <si>
    <t>TXN-202608-030538</t>
  </si>
  <si>
    <t>slip_inventory_2026-08.csv row 532; billing_transactions_2022_2026.csv row 46408</t>
  </si>
  <si>
    <t>EW-0208</t>
  </si>
  <si>
    <t>WL-03130</t>
  </si>
  <si>
    <t>Nicole Berger</t>
  </si>
  <si>
    <t>MURRE BAY</t>
  </si>
  <si>
    <t>TXN-202608-030581</t>
  </si>
  <si>
    <t>slip_inventory_2026-08.csv row 533; billing_transactions_2022_2026.csv row 46410</t>
  </si>
  <si>
    <t>EW-0209</t>
  </si>
  <si>
    <t>WL-02673</t>
  </si>
  <si>
    <t>Rodney Watson</t>
  </si>
  <si>
    <t>GRAY MOON</t>
  </si>
  <si>
    <t>TXN-202608-030661</t>
  </si>
  <si>
    <t>slip_inventory_2026-08.csv row 534; billing_transactions_2022_2026.csv row 46411</t>
  </si>
  <si>
    <t>EW-0210</t>
  </si>
  <si>
    <t>WL-01729</t>
  </si>
  <si>
    <t>Whitney Baker</t>
  </si>
  <si>
    <t>PETREL BAY</t>
  </si>
  <si>
    <t>TXN-202608-030725</t>
  </si>
  <si>
    <t>slip_inventory_2026-08.csv row 535; billing_transactions_2022_2026.csv row 46412</t>
  </si>
  <si>
    <t>EW-0211</t>
  </si>
  <si>
    <t>WL-02171</t>
  </si>
  <si>
    <t>Andrea Hill</t>
  </si>
  <si>
    <t>KESTREL MIST</t>
  </si>
  <si>
    <t>TXN-202608-030794</t>
  </si>
  <si>
    <t>slip_inventory_2026-08.csv row 536; billing_transactions_2022_2026.csv row 46414</t>
  </si>
  <si>
    <t>EW-0212</t>
  </si>
  <si>
    <t>WL-01589</t>
  </si>
  <si>
    <t>Caitlin Klein</t>
  </si>
  <si>
    <t>HALIBUT SOUND</t>
  </si>
  <si>
    <t>TXN-202608-030878</t>
  </si>
  <si>
    <t>slip_inventory_2026-08.csv row 537; billing_transactions_2022_2026.csv row 46415</t>
  </si>
  <si>
    <t>EW-0214</t>
  </si>
  <si>
    <t>WL-01651</t>
  </si>
  <si>
    <t>Kayla Lawson</t>
  </si>
  <si>
    <t>PETREL RUNNER</t>
  </si>
  <si>
    <t>TXN-202608-030921</t>
  </si>
  <si>
    <t>slip_inventory_2026-08.csv row 539; billing_transactions_2022_2026.csv row 46416</t>
  </si>
  <si>
    <t>EW-0215</t>
  </si>
  <si>
    <t>WL-03669</t>
  </si>
  <si>
    <t>Samantha Powers</t>
  </si>
  <si>
    <t>OTTER REACH</t>
  </si>
  <si>
    <t>TXN-202608-031003</t>
  </si>
  <si>
    <t>slip_inventory_2026-08.csv row 540; billing_transactions_2022_2026.csv row 46418</t>
  </si>
  <si>
    <t>EW-0216</t>
  </si>
  <si>
    <t>WL-01352</t>
  </si>
  <si>
    <t>Donald Hoffman</t>
  </si>
  <si>
    <t>MURRE VEER</t>
  </si>
  <si>
    <t>TXN-202608-031060</t>
  </si>
  <si>
    <t>slip_inventory_2026-08.csv row 541; billing_transactions_2022_2026.csv row 46420</t>
  </si>
  <si>
    <t>EW-0217</t>
  </si>
  <si>
    <t>WL-01566</t>
  </si>
  <si>
    <t>Sara Garcia</t>
  </si>
  <si>
    <t>HALIBUT STAR</t>
  </si>
  <si>
    <t>TXN-202608-031106</t>
  </si>
  <si>
    <t>slip_inventory_2026-08.csv row 542; billing_transactions_2022_2026.csv row 46422</t>
  </si>
  <si>
    <t>EW-0218</t>
  </si>
  <si>
    <t>WL-01012</t>
  </si>
  <si>
    <t>Janet Jones</t>
  </si>
  <si>
    <t>SALISH REACH</t>
  </si>
  <si>
    <t>TXN-202608-031153</t>
  </si>
  <si>
    <t>slip_inventory_2026-08.csv row 543; billing_transactions_2022_2026.csv row 46423</t>
  </si>
  <si>
    <t>EW-0219</t>
  </si>
  <si>
    <t>WL-02243</t>
  </si>
  <si>
    <t>Andrew Miller</t>
  </si>
  <si>
    <t>SANDERLING BAY</t>
  </si>
  <si>
    <t>TXN-202608-031220</t>
  </si>
  <si>
    <t>slip_inventory_2026-08.csv row 544; billing_transactions_2022_2026.csv row 46424</t>
  </si>
  <si>
    <t>EW-0220</t>
  </si>
  <si>
    <t>WL-01203</t>
  </si>
  <si>
    <t>Tracy Conrad</t>
  </si>
  <si>
    <t>FOUL ANN</t>
  </si>
  <si>
    <t>TXN-202608-031269</t>
  </si>
  <si>
    <t>slip_inventory_2026-08.csv row 545; billing_transactions_2022_2026.csv row 46426</t>
  </si>
  <si>
    <t>EW-0221</t>
  </si>
  <si>
    <t>WL-02645</t>
  </si>
  <si>
    <t>Rose Gonzalez</t>
  </si>
  <si>
    <t>TXN-202608-031333</t>
  </si>
  <si>
    <t>slip_inventory_2026-08.csv row 546; billing_transactions_2022_2026.csv row 46428</t>
  </si>
  <si>
    <t>EW-0222</t>
  </si>
  <si>
    <t>WL-02910</t>
  </si>
  <si>
    <t>David Taylor</t>
  </si>
  <si>
    <t>GRAY MIST</t>
  </si>
  <si>
    <t>TXN-202608-031378</t>
  </si>
  <si>
    <t>slip_inventory_2026-08.csv row 547; billing_transactions_2022_2026.csv row 46429</t>
  </si>
  <si>
    <t>EW-0223</t>
  </si>
  <si>
    <t>WL-01945</t>
  </si>
  <si>
    <t>Jacob Bonilla</t>
  </si>
  <si>
    <t>ANCHOR HARBOR</t>
  </si>
  <si>
    <t>TXN-202608-031418</t>
  </si>
  <si>
    <t>slip_inventory_2026-08.csv row 548; billing_transactions_2022_2026.csv row 46431</t>
  </si>
  <si>
    <t>EW-0224</t>
  </si>
  <si>
    <t>WL-01127</t>
  </si>
  <si>
    <t>Thomas Hawkins</t>
  </si>
  <si>
    <t>TXN-202608-031462</t>
  </si>
  <si>
    <t>slip_inventory_2026-08.csv row 549; billing_transactions_2022_2026.csv row 46433</t>
  </si>
  <si>
    <t>EW-0302</t>
  </si>
  <si>
    <t>WL-01910</t>
  </si>
  <si>
    <t>Charles Gates</t>
  </si>
  <si>
    <t>PINTAIL WIND</t>
  </si>
  <si>
    <t>TXN-202608-031530</t>
  </si>
  <si>
    <t>slip_inventory_2026-08.csv row 551; billing_transactions_2022_2026.csv row 46435</t>
  </si>
  <si>
    <t>EW-0303</t>
  </si>
  <si>
    <t>WL-01094</t>
  </si>
  <si>
    <t>Denise Jenkins</t>
  </si>
  <si>
    <t>HALIBUT BAY</t>
  </si>
  <si>
    <t>TXN-202608-031575</t>
  </si>
  <si>
    <t>slip_inventory_2026-08.csv row 552; billing_transactions_2022_2026.csv row 46436</t>
  </si>
  <si>
    <t>EW-0304</t>
  </si>
  <si>
    <t>WL-03721</t>
  </si>
  <si>
    <t>Ann Vaughn</t>
  </si>
  <si>
    <t>TIDE RUNNER</t>
  </si>
  <si>
    <t>TXN-202608-031651</t>
  </si>
  <si>
    <t>slip_inventory_2026-08.csv row 553; billing_transactions_2022_2026.csv row 46437</t>
  </si>
  <si>
    <t>EW-0305</t>
  </si>
  <si>
    <t>WL-02577</t>
  </si>
  <si>
    <t>Aaron Higgins</t>
  </si>
  <si>
    <t>FOUL MOON</t>
  </si>
  <si>
    <t>TXN-202608-031717</t>
  </si>
  <si>
    <t>slip_inventory_2026-08.csv row 554; billing_transactions_2022_2026.csv row 46438</t>
  </si>
  <si>
    <t>EW-0306</t>
  </si>
  <si>
    <t>WL-01860</t>
  </si>
  <si>
    <t>Justin Brown</t>
  </si>
  <si>
    <t>TXN-202608-031757</t>
  </si>
  <si>
    <t>slip_inventory_2026-08.csv row 555; billing_transactions_2022_2026.csv row 46439</t>
  </si>
  <si>
    <t>EW-0307</t>
  </si>
  <si>
    <t>WL-01183</t>
  </si>
  <si>
    <t>Shelley Tucker</t>
  </si>
  <si>
    <t>SPINDRIFT SOUND</t>
  </si>
  <si>
    <t>TXN-202608-031834</t>
  </si>
  <si>
    <t>slip_inventory_2026-08.csv row 556; billing_transactions_2022_2026.csv row 46440</t>
  </si>
  <si>
    <t>EW-0308</t>
  </si>
  <si>
    <t>WL-02107</t>
  </si>
  <si>
    <t>Brittany Baldwin</t>
  </si>
  <si>
    <t>SCOTER RUNNER</t>
  </si>
  <si>
    <t>TXN-202608-031893</t>
  </si>
  <si>
    <t>slip_inventory_2026-08.csv row 557; billing_transactions_2022_2026.csv row 46441</t>
  </si>
  <si>
    <t>EW-0309</t>
  </si>
  <si>
    <t>WL-01963</t>
  </si>
  <si>
    <t>Erik Beck</t>
  </si>
  <si>
    <t>KESTREL CREST</t>
  </si>
  <si>
    <t>TXN-202608-031944</t>
  </si>
  <si>
    <t>slip_inventory_2026-08.csv row 558; billing_transactions_2022_2026.csv row 46443</t>
  </si>
  <si>
    <t>EW-0311</t>
  </si>
  <si>
    <t>WL-02248</t>
  </si>
  <si>
    <t>Devon Griffin</t>
  </si>
  <si>
    <t>SPINDRIFT WAKE</t>
  </si>
  <si>
    <t>TXN-202608-032002</t>
  </si>
  <si>
    <t>slip_inventory_2026-08.csv row 560; billing_transactions_2022_2026.csv row 46445</t>
  </si>
  <si>
    <t>EW-0312</t>
  </si>
  <si>
    <t>WL-03809</t>
  </si>
  <si>
    <t>Richard Mcguire</t>
  </si>
  <si>
    <t>SALISH DANCER</t>
  </si>
  <si>
    <t>TXN-202608-032064</t>
  </si>
  <si>
    <t>slip_inventory_2026-08.csv row 561; billing_transactions_2022_2026.csv row 46447</t>
  </si>
  <si>
    <t>EW-0313</t>
  </si>
  <si>
    <t>WL-01429</t>
  </si>
  <si>
    <t>Teresa Evans</t>
  </si>
  <si>
    <t>SEAL SOUND</t>
  </si>
  <si>
    <t>TXN-202608-032107</t>
  </si>
  <si>
    <t>slip_inventory_2026-08.csv row 562; billing_transactions_2022_2026.csv row 46449</t>
  </si>
  <si>
    <t>EW-0314</t>
  </si>
  <si>
    <t>WL-01716</t>
  </si>
  <si>
    <t>Christina Olsen</t>
  </si>
  <si>
    <t>SPINDRIFT MOON</t>
  </si>
  <si>
    <t>TXN-202608-032156</t>
  </si>
  <si>
    <t>slip_inventory_2026-08.csv row 563; billing_transactions_2022_2026.csv row 46450</t>
  </si>
  <si>
    <t>EW-0315</t>
  </si>
  <si>
    <t>WL-01385</t>
  </si>
  <si>
    <t>Amanda Morrison</t>
  </si>
  <si>
    <t>DRIFT CREST</t>
  </si>
  <si>
    <t>TXN-202608-032201</t>
  </si>
  <si>
    <t>slip_inventory_2026-08.csv row 564; billing_transactions_2022_2026.csv row 46452</t>
  </si>
  <si>
    <t>EW-0316</t>
  </si>
  <si>
    <t>WL-02940</t>
  </si>
  <si>
    <t>Leah Carter</t>
  </si>
  <si>
    <t>POINT GLIDE</t>
  </si>
  <si>
    <t>TXN-202608-032276</t>
  </si>
  <si>
    <t>slip_inventory_2026-08.csv row 565; billing_transactions_2022_2026.csv row 46454</t>
  </si>
  <si>
    <t>EW-0317</t>
  </si>
  <si>
    <t>WL-02017</t>
  </si>
  <si>
    <t>Gary Horton</t>
  </si>
  <si>
    <t>FOUL VEER</t>
  </si>
  <si>
    <t>TXN-202608-032323</t>
  </si>
  <si>
    <t>slip_inventory_2026-08.csv row 566; billing_transactions_2022_2026.csv row 46455</t>
  </si>
  <si>
    <t>EW-0318</t>
  </si>
  <si>
    <t>WL-03162</t>
  </si>
  <si>
    <t>Sarah Edwards</t>
  </si>
  <si>
    <t>TXN-202608-032391</t>
  </si>
  <si>
    <t>slip_inventory_2026-08.csv row 567; billing_transactions_2022_2026.csv row 46456</t>
  </si>
  <si>
    <t>EW-0319</t>
  </si>
  <si>
    <t>WL-02697</t>
  </si>
  <si>
    <t>Wendy Green</t>
  </si>
  <si>
    <t>WIDGEON ANN</t>
  </si>
  <si>
    <t>TXN-202608-032465</t>
  </si>
  <si>
    <t>slip_inventory_2026-08.csv row 568; billing_transactions_2022_2026.csv row 46457</t>
  </si>
  <si>
    <t>EW-0321</t>
  </si>
  <si>
    <t>WL-02660</t>
  </si>
  <si>
    <t>Bridget Moore</t>
  </si>
  <si>
    <t>OSPREY REACH</t>
  </si>
  <si>
    <t>TXN-202608-032535</t>
  </si>
  <si>
    <t>slip_inventory_2026-08.csv row 570; billing_transactions_2022_2026.csv row 46459</t>
  </si>
  <si>
    <t>EW-0322</t>
  </si>
  <si>
    <t>WL-02010</t>
  </si>
  <si>
    <t>Anthony Thompson</t>
  </si>
  <si>
    <t>GRAY RUNNER</t>
  </si>
  <si>
    <t>TXN-202608-032620</t>
  </si>
  <si>
    <t>slip_inventory_2026-08.csv row 571; billing_transactions_2022_2026.csv row 46460</t>
  </si>
  <si>
    <t>EW-0323</t>
  </si>
  <si>
    <t>WL-02685</t>
  </si>
  <si>
    <t>Stephanie Hill</t>
  </si>
  <si>
    <t>MURRE MOON</t>
  </si>
  <si>
    <t>TXN-202608-032673</t>
  </si>
  <si>
    <t>slip_inventory_2026-08.csv row 572; billing_transactions_2022_2026.csv row 46462</t>
  </si>
  <si>
    <t>EW-0324</t>
  </si>
  <si>
    <t>WL-02459</t>
  </si>
  <si>
    <t>Kimberly Smith</t>
  </si>
  <si>
    <t>ANCHOR ANN</t>
  </si>
  <si>
    <t>TXN-202608-032710</t>
  </si>
  <si>
    <t>slip_inventory_2026-08.csv row 573; billing_transactions_2022_2026.csv row 46463</t>
  </si>
  <si>
    <t>EW-0401</t>
  </si>
  <si>
    <t>WL-02377</t>
  </si>
  <si>
    <t>Tammy Patterson</t>
  </si>
  <si>
    <t>KESTREL MOON</t>
  </si>
  <si>
    <t>TXN-202608-032752</t>
  </si>
  <si>
    <t>slip_inventory_2026-08.csv row 574; billing_transactions_2022_2026.csv row 46464</t>
  </si>
  <si>
    <t>EW-0402</t>
  </si>
  <si>
    <t>WL-01741</t>
  </si>
  <si>
    <t>Lisa Burton</t>
  </si>
  <si>
    <t>SPINDRIFT DANCER</t>
  </si>
  <si>
    <t>TXN-202608-032804</t>
  </si>
  <si>
    <t>slip_inventory_2026-08.csv row 575; billing_transactions_2022_2026.csv row 46465</t>
  </si>
  <si>
    <t>EW-0403</t>
  </si>
  <si>
    <t>WL-01209</t>
  </si>
  <si>
    <t>Amy Luna</t>
  </si>
  <si>
    <t>BRANT VEER</t>
  </si>
  <si>
    <t>TXN-202608-032868</t>
  </si>
  <si>
    <t>slip_inventory_2026-08.csv row 576; billing_transactions_2022_2026.csv row 46466</t>
  </si>
  <si>
    <t>EW-0404</t>
  </si>
  <si>
    <t>WL-01370</t>
  </si>
  <si>
    <t>James Graham</t>
  </si>
  <si>
    <t>SABLE ROSE</t>
  </si>
  <si>
    <t>TXN-202608-032927</t>
  </si>
  <si>
    <t>slip_inventory_2026-08.csv row 577; billing_transactions_2022_2026.csv row 46468</t>
  </si>
  <si>
    <t>EW-0405</t>
  </si>
  <si>
    <t>WL-02480</t>
  </si>
  <si>
    <t>Rachel Edwards</t>
  </si>
  <si>
    <t>TXN-202608-032961</t>
  </si>
  <si>
    <t>slip_inventory_2026-08.csv row 578; billing_transactions_2022_2026.csv row 46469</t>
  </si>
  <si>
    <t>EW-0406</t>
  </si>
  <si>
    <t>WL-02810</t>
  </si>
  <si>
    <t>Steven Morgan</t>
  </si>
  <si>
    <t>PINTAIL MIST</t>
  </si>
  <si>
    <t>TXN-202608-033039</t>
  </si>
  <si>
    <t>slip_inventory_2026-08.csv row 579; billing_transactions_2022_2026.csv row 46471</t>
  </si>
  <si>
    <t>EW-0407</t>
  </si>
  <si>
    <t>WL-02314</t>
  </si>
  <si>
    <t>David Silva</t>
  </si>
  <si>
    <t>KESTREL SONG</t>
  </si>
  <si>
    <t>TXN-202608-033099</t>
  </si>
  <si>
    <t>slip_inventory_2026-08.csv row 580; billing_transactions_2022_2026.csv row 46473</t>
  </si>
  <si>
    <t>EW-0408</t>
  </si>
  <si>
    <t>WL-02705</t>
  </si>
  <si>
    <t>Amy Smith</t>
  </si>
  <si>
    <t>OTTER LINE</t>
  </si>
  <si>
    <t>TXN-202608-033166</t>
  </si>
  <si>
    <t>slip_inventory_2026-08.csv row 581; billing_transactions_2022_2026.csv row 46474</t>
  </si>
  <si>
    <t>EW-0409</t>
  </si>
  <si>
    <t>WL-01264</t>
  </si>
  <si>
    <t>Jeffery Lewis</t>
  </si>
  <si>
    <t>GRAY SOUND</t>
  </si>
  <si>
    <t>TXN-202608-033249</t>
  </si>
  <si>
    <t>slip_inventory_2026-08.csv row 582; billing_transactions_2022_2026.csv row 46475</t>
  </si>
  <si>
    <t>EW-0410</t>
  </si>
  <si>
    <t>WL-02449</t>
  </si>
  <si>
    <t>Herbert Johnson</t>
  </si>
  <si>
    <t>TXN-202608-033291</t>
  </si>
  <si>
    <t>slip_inventory_2026-08.csv row 583; billing_transactions_2022_2026.csv row 46476</t>
  </si>
  <si>
    <t>EW-0411</t>
  </si>
  <si>
    <t>WL-01489</t>
  </si>
  <si>
    <t>Donna Thomas</t>
  </si>
  <si>
    <t>TXN-202608-033364</t>
  </si>
  <si>
    <t>slip_inventory_2026-08.csv row 584; billing_transactions_2022_2026.csv row 46477</t>
  </si>
  <si>
    <t>EW-0412</t>
  </si>
  <si>
    <t>WL-01854</t>
  </si>
  <si>
    <t>Vincent Simon</t>
  </si>
  <si>
    <t>CORMORANT GLIDE</t>
  </si>
  <si>
    <t>TXN-202608-033423</t>
  </si>
  <si>
    <t>slip_inventory_2026-08.csv row 585; billing_transactions_2022_2026.csv row 46478</t>
  </si>
  <si>
    <t>EW-0413</t>
  </si>
  <si>
    <t>WL-02169</t>
  </si>
  <si>
    <t>Maria Weber</t>
  </si>
  <si>
    <t>COHO REACH</t>
  </si>
  <si>
    <t>TXN-202608-033480</t>
  </si>
  <si>
    <t>slip_inventory_2026-08.csv row 586; billing_transactions_2022_2026.csv row 46480</t>
  </si>
  <si>
    <t>WL-02221</t>
  </si>
  <si>
    <t>Jason Howe</t>
  </si>
  <si>
    <t>DRIFT ROCK</t>
  </si>
  <si>
    <t>TXN-202608-033549</t>
  </si>
  <si>
    <t>slip_inventory_2026-08.csv row 587; billing_transactions_2022_2026.csv row 46481</t>
  </si>
  <si>
    <t>EW-0415</t>
  </si>
  <si>
    <t>WL-02536</t>
  </si>
  <si>
    <t>Christian Ellis</t>
  </si>
  <si>
    <t>WIDGEON LIGHT</t>
  </si>
  <si>
    <t>TXN-202608-033601</t>
  </si>
  <si>
    <t>slip_inventory_2026-08.csv row 588; billing_transactions_2022_2026.csv row 46483</t>
  </si>
  <si>
    <t>EW-0416</t>
  </si>
  <si>
    <t>WL-02988</t>
  </si>
  <si>
    <t>Jamie Roberts</t>
  </si>
  <si>
    <t>OTTER PASSAGE</t>
  </si>
  <si>
    <t>TXN-202608-033637</t>
  </si>
  <si>
    <t>slip_inventory_2026-08.csv row 589; billing_transactions_2022_2026.csv row 46484</t>
  </si>
  <si>
    <t>EW-0417</t>
  </si>
  <si>
    <t>WL-01997</t>
  </si>
  <si>
    <t>Laura Avila</t>
  </si>
  <si>
    <t>OSPREY LIGHT</t>
  </si>
  <si>
    <t>TXN-202608-033694</t>
  </si>
  <si>
    <t>slip_inventory_2026-08.csv row 590; billing_transactions_2022_2026.csv row 46486</t>
  </si>
  <si>
    <t>EW-0418</t>
  </si>
  <si>
    <t>WL-02772</t>
  </si>
  <si>
    <t>Sarah Chambers</t>
  </si>
  <si>
    <t>OTTER SONG</t>
  </si>
  <si>
    <t>TXN-202608-033739</t>
  </si>
  <si>
    <t>slip_inventory_2026-08.csv row 591; billing_transactions_2022_2026.csv row 46488</t>
  </si>
  <si>
    <t>EW-0419</t>
  </si>
  <si>
    <t>WL-03750</t>
  </si>
  <si>
    <t>Michael Phillips</t>
  </si>
  <si>
    <t>TXN-202608-033803</t>
  </si>
  <si>
    <t>slip_inventory_2026-08.csv row 592; billing_transactions_2022_2026.csv row 46489</t>
  </si>
  <si>
    <t>EW-0420</t>
  </si>
  <si>
    <t>WL-03050</t>
  </si>
  <si>
    <t>Justin Pearson</t>
  </si>
  <si>
    <t>TXN-202608-033845</t>
  </si>
  <si>
    <t>slip_inventory_2026-08.csv row 593; billing_transactions_2022_2026.csv row 46491</t>
  </si>
  <si>
    <t>EW-0421</t>
  </si>
  <si>
    <t>WL-01420</t>
  </si>
  <si>
    <t>Patricia Wilson</t>
  </si>
  <si>
    <t>TXN-202608-033895</t>
  </si>
  <si>
    <t>slip_inventory_2026-08.csv row 594; billing_transactions_2022_2026.csv row 46493</t>
  </si>
  <si>
    <t>EW-0423</t>
  </si>
  <si>
    <t>WL-01906</t>
  </si>
  <si>
    <t>Jessica Flores</t>
  </si>
  <si>
    <t>PINTAIL ROCK</t>
  </si>
  <si>
    <t>TXN-202608-033944</t>
  </si>
  <si>
    <t>slip_inventory_2026-08.csv row 596; billing_transactions_2022_2026.csv row 46494</t>
  </si>
  <si>
    <t>EW-0424</t>
  </si>
  <si>
    <t>WL-03790</t>
  </si>
  <si>
    <t>Bradley Walker</t>
  </si>
  <si>
    <t>DRIFT STAR</t>
  </si>
  <si>
    <t>TXN-202608-034023</t>
  </si>
  <si>
    <t>slip_inventory_2026-08.csv row 597; billing_transactions_2022_2026.csv row 46495</t>
  </si>
  <si>
    <t>EW-0502</t>
  </si>
  <si>
    <t>WL-02559</t>
  </si>
  <si>
    <t>Joshua Alvarado</t>
  </si>
  <si>
    <t>SANDERLING SOUND</t>
  </si>
  <si>
    <t>TXN-202608-034088</t>
  </si>
  <si>
    <t>slip_inventory_2026-08.csv row 599; billing_transactions_2022_2026.csv row 46497</t>
  </si>
  <si>
    <t>EW-0503</t>
  </si>
  <si>
    <t>WL-01756</t>
  </si>
  <si>
    <t>Alexander Mcdonald</t>
  </si>
  <si>
    <t>OSPREY ROSE</t>
  </si>
  <si>
    <t>TXN-202608-034166</t>
  </si>
  <si>
    <t>slip_inventory_2026-08.csv row 600; billing_transactions_2022_2026.csv row 46499</t>
  </si>
  <si>
    <t>EW-0504</t>
  </si>
  <si>
    <t>WL-02218</t>
  </si>
  <si>
    <t>Dawn Mccarthy</t>
  </si>
  <si>
    <t>HERON QUEEN</t>
  </si>
  <si>
    <t>TXN-202608-034246</t>
  </si>
  <si>
    <t>slip_inventory_2026-08.csv row 601; billing_transactions_2022_2026.csv row 46500</t>
  </si>
  <si>
    <t>EW-0505</t>
  </si>
  <si>
    <t>WL-02464</t>
  </si>
  <si>
    <t>Lisa Perez</t>
  </si>
  <si>
    <t>COHO QUEEN</t>
  </si>
  <si>
    <t>TXN-202608-034302</t>
  </si>
  <si>
    <t>slip_inventory_2026-08.csv row 602; billing_transactions_2022_2026.csv row 46501</t>
  </si>
  <si>
    <t>EW-0506</t>
  </si>
  <si>
    <t>WL-01608</t>
  </si>
  <si>
    <t>Madeline Wright</t>
  </si>
  <si>
    <t>TIDE LINE</t>
  </si>
  <si>
    <t>TXN-202608-034374</t>
  </si>
  <si>
    <t>slip_inventory_2026-08.csv row 603; billing_transactions_2022_2026.csv row 46502</t>
  </si>
  <si>
    <t>EW-0507</t>
  </si>
  <si>
    <t>WL-02869</t>
  </si>
  <si>
    <t>George Robbins</t>
  </si>
  <si>
    <t>TXN-202608-034456</t>
  </si>
  <si>
    <t>slip_inventory_2026-08.csv row 604; billing_transactions_2022_2026.csv row 46504</t>
  </si>
  <si>
    <t>EW-0508</t>
  </si>
  <si>
    <t>WL-03534</t>
  </si>
  <si>
    <t>Henry Morris</t>
  </si>
  <si>
    <t>SABLE MIST</t>
  </si>
  <si>
    <t>TXN-202608-034510</t>
  </si>
  <si>
    <t>slip_inventory_2026-08.csv row 605; billing_transactions_2022_2026.csv row 46506</t>
  </si>
  <si>
    <t>EW-0510</t>
  </si>
  <si>
    <t>WL-03346</t>
  </si>
  <si>
    <t>KESTREL BAY</t>
  </si>
  <si>
    <t>TXN-202608-034564</t>
  </si>
  <si>
    <t>slip_inventory_2026-08.csv row 607; billing_transactions_2022_2026.csv row 46507</t>
  </si>
  <si>
    <t>EW-0511</t>
  </si>
  <si>
    <t>WL-03287</t>
  </si>
  <si>
    <t>Deborah Holmes</t>
  </si>
  <si>
    <t>FOUL STAR</t>
  </si>
  <si>
    <t>TXN-202608-034626</t>
  </si>
  <si>
    <t>slip_inventory_2026-08.csv row 608; billing_transactions_2022_2026.csv row 46509</t>
  </si>
  <si>
    <t>EW-0512</t>
  </si>
  <si>
    <t>WL-02879</t>
  </si>
  <si>
    <t>Vincent Long</t>
  </si>
  <si>
    <t>DRIFT LINE</t>
  </si>
  <si>
    <t>TXN-202608-034706</t>
  </si>
  <si>
    <t>slip_inventory_2026-08.csv row 609; billing_transactions_2022_2026.csv row 46510</t>
  </si>
  <si>
    <t>EW-0513</t>
  </si>
  <si>
    <t>WL-01694</t>
  </si>
  <si>
    <t>Cory Aguirre</t>
  </si>
  <si>
    <t>HERON REACH</t>
  </si>
  <si>
    <t>TXN-202608-034781</t>
  </si>
  <si>
    <t>slip_inventory_2026-08.csv row 610; billing_transactions_2022_2026.csv row 46512</t>
  </si>
  <si>
    <t>EW-0514</t>
  </si>
  <si>
    <t>WL-02692</t>
  </si>
  <si>
    <t>Benjamin Vasquez</t>
  </si>
  <si>
    <t>SABLE SONG</t>
  </si>
  <si>
    <t>TXN-202608-034854</t>
  </si>
  <si>
    <t>slip_inventory_2026-08.csv row 611; billing_transactions_2022_2026.csv row 46514</t>
  </si>
  <si>
    <t>EW-0515</t>
  </si>
  <si>
    <t>TXN-202608-034902</t>
  </si>
  <si>
    <t>slip_inventory_2026-08.csv row 612; billing_transactions_2022_2026.csv row 46516</t>
  </si>
  <si>
    <t>EW-0516</t>
  </si>
  <si>
    <t>WL-03909</t>
  </si>
  <si>
    <t>Elizabeth Edwards</t>
  </si>
  <si>
    <t>ANCHOR WIND</t>
  </si>
  <si>
    <t>TXN-202608-034962</t>
  </si>
  <si>
    <t>slip_inventory_2026-08.csv row 613; billing_transactions_2022_2026.csv row 46518</t>
  </si>
  <si>
    <t>EW-0517</t>
  </si>
  <si>
    <t>WL-01673</t>
  </si>
  <si>
    <t>Kellie Lee</t>
  </si>
  <si>
    <t>WIDGEON WIND</t>
  </si>
  <si>
    <t>TXN-202608-035020</t>
  </si>
  <si>
    <t>slip_inventory_2026-08.csv row 614; billing_transactions_2022_2026.csv row 46520</t>
  </si>
  <si>
    <t>EW-0518</t>
  </si>
  <si>
    <t>WL-01433</t>
  </si>
  <si>
    <t>Lisa Aguilar</t>
  </si>
  <si>
    <t>OSPREY BAY</t>
  </si>
  <si>
    <t>TXN-202608-035100</t>
  </si>
  <si>
    <t>slip_inventory_2026-08.csv row 615; billing_transactions_2022_2026.csv row 46522</t>
  </si>
  <si>
    <t>EW-0519</t>
  </si>
  <si>
    <t>WL-01765</t>
  </si>
  <si>
    <t>Donald Edwards</t>
  </si>
  <si>
    <t>HALIBUT ANN</t>
  </si>
  <si>
    <t>TXN-202608-035177</t>
  </si>
  <si>
    <t>slip_inventory_2026-08.csv row 616; billing_transactions_2022_2026.csv row 46523</t>
  </si>
  <si>
    <t>EW-0520</t>
  </si>
  <si>
    <t>WL-02696</t>
  </si>
  <si>
    <t>Hunter Galloway</t>
  </si>
  <si>
    <t>PINTAIL LIGHT</t>
  </si>
  <si>
    <t>TXN-202608-035252</t>
  </si>
  <si>
    <t>slip_inventory_2026-08.csv row 617; billing_transactions_2022_2026.csv row 46524</t>
  </si>
  <si>
    <t>EW-0521</t>
  </si>
  <si>
    <t>WL-02992</t>
  </si>
  <si>
    <t>Emily Cox</t>
  </si>
  <si>
    <t>TXN-202608-035294</t>
  </si>
  <si>
    <t>slip_inventory_2026-08.csv row 618; billing_transactions_2022_2026.csv row 46526</t>
  </si>
  <si>
    <t>EW-0522</t>
  </si>
  <si>
    <t>WL-03629</t>
  </si>
  <si>
    <t>Justin Parks</t>
  </si>
  <si>
    <t>COHO WIND</t>
  </si>
  <si>
    <t>TXN-202608-035348</t>
  </si>
  <si>
    <t>slip_inventory_2026-08.csv row 619; billing_transactions_2022_2026.csv row 46527</t>
  </si>
  <si>
    <t>EW-0523</t>
  </si>
  <si>
    <t>WL-01972</t>
  </si>
  <si>
    <t>Robyn Torres</t>
  </si>
  <si>
    <t>TXN-202608-035427</t>
  </si>
  <si>
    <t>slip_inventory_2026-08.csv row 620; billing_transactions_2022_2026.csv row 46529</t>
  </si>
  <si>
    <t>EW-0524</t>
  </si>
  <si>
    <t>WL-01298</t>
  </si>
  <si>
    <t>Jason Boyd</t>
  </si>
  <si>
    <t>SALISH SHORE</t>
  </si>
  <si>
    <t>TXN-202608-035479</t>
  </si>
  <si>
    <t>slip_inventory_2026-08.csv row 621; billing_transactions_2022_2026.csv row 46530</t>
  </si>
  <si>
    <t>EW-0601</t>
  </si>
  <si>
    <t>WL-02782</t>
  </si>
  <si>
    <t>Judy Adams</t>
  </si>
  <si>
    <t>DRIFT WEATHER</t>
  </si>
  <si>
    <t>TXN-202608-035548</t>
  </si>
  <si>
    <t>slip_inventory_2026-08.csv row 622; billing_transactions_2022_2026.csv row 46532</t>
  </si>
  <si>
    <t>EW-0602</t>
  </si>
  <si>
    <t>WL-02572</t>
  </si>
  <si>
    <t>Kelly Cox</t>
  </si>
  <si>
    <t>DRIFT SHORE</t>
  </si>
  <si>
    <t>TXN-202608-035607</t>
  </si>
  <si>
    <t>slip_inventory_2026-08.csv row 623; billing_transactions_2022_2026.csv row 46533</t>
  </si>
  <si>
    <t>WL-03665</t>
  </si>
  <si>
    <t>Maria Middleton</t>
  </si>
  <si>
    <t>ANCHOR MOON</t>
  </si>
  <si>
    <t>TXN-202608-035683</t>
  </si>
  <si>
    <t>slip_inventory_2026-08.csv row 624; billing_transactions_2022_2026.csv row 46535</t>
  </si>
  <si>
    <t>EW-0604</t>
  </si>
  <si>
    <t>WL-02293</t>
  </si>
  <si>
    <t>Brian Alexander</t>
  </si>
  <si>
    <t>SANDERLING WIND</t>
  </si>
  <si>
    <t>TXN-202608-035744</t>
  </si>
  <si>
    <t>slip_inventory_2026-08.csv row 625; billing_transactions_2022_2026.csv row 46537</t>
  </si>
  <si>
    <t>EW-0605</t>
  </si>
  <si>
    <t>WL-02016</t>
  </si>
  <si>
    <t>Andrea Garza</t>
  </si>
  <si>
    <t>TXN-202608-035801</t>
  </si>
  <si>
    <t>slip_inventory_2026-08.csv row 626; billing_transactions_2022_2026.csv row 46538</t>
  </si>
  <si>
    <t>EW-0606</t>
  </si>
  <si>
    <t>WL-03431</t>
  </si>
  <si>
    <t>Lisa Cochran</t>
  </si>
  <si>
    <t>PETREL GLIDE</t>
  </si>
  <si>
    <t>TXN-202608-035855</t>
  </si>
  <si>
    <t>slip_inventory_2026-08.csv row 627; billing_transactions_2022_2026.csv row 46539</t>
  </si>
  <si>
    <t>EW-0607</t>
  </si>
  <si>
    <t>WL-02210</t>
  </si>
  <si>
    <t>Erika Huber</t>
  </si>
  <si>
    <t>PETREL VEER</t>
  </si>
  <si>
    <t>TXN-202608-035922</t>
  </si>
  <si>
    <t>slip_inventory_2026-08.csv row 628; billing_transactions_2022_2026.csv row 46540</t>
  </si>
  <si>
    <t>WL-02498</t>
  </si>
  <si>
    <t>Patrick Herrera</t>
  </si>
  <si>
    <t>OTTER BAY</t>
  </si>
  <si>
    <t>TXN-202608-035975</t>
  </si>
  <si>
    <t>slip_inventory_2026-08.csv row 629; billing_transactions_2022_2026.csv row 46542</t>
  </si>
  <si>
    <t>EW-0609</t>
  </si>
  <si>
    <t>WL-01511</t>
  </si>
  <si>
    <t>Nancy Sullivan</t>
  </si>
  <si>
    <t>WIDGEON SOUND</t>
  </si>
  <si>
    <t>TXN-202608-036025</t>
  </si>
  <si>
    <t>slip_inventory_2026-08.csv row 630; billing_transactions_2022_2026.csv row 46543</t>
  </si>
  <si>
    <t>EW-0610</t>
  </si>
  <si>
    <t>WL-02561</t>
  </si>
  <si>
    <t>Kayla Carpenter</t>
  </si>
  <si>
    <t>TXN-202608-036068</t>
  </si>
  <si>
    <t>slip_inventory_2026-08.csv row 631; billing_transactions_2022_2026.csv row 46544</t>
  </si>
  <si>
    <t>EW-0611</t>
  </si>
  <si>
    <t>WL-01796</t>
  </si>
  <si>
    <t>SABLE ROCK</t>
  </si>
  <si>
    <t>TXN-202608-036133</t>
  </si>
  <si>
    <t>slip_inventory_2026-08.csv row 632; billing_transactions_2022_2026.csv row 46546</t>
  </si>
  <si>
    <t>EW-0614</t>
  </si>
  <si>
    <t>WL-02310</t>
  </si>
  <si>
    <t>Kristy Bell</t>
  </si>
  <si>
    <t>POINT BAY</t>
  </si>
  <si>
    <t>TXN-202608-036213</t>
  </si>
  <si>
    <t>slip_inventory_2026-08.csv row 635; billing_transactions_2022_2026.csv row 46547</t>
  </si>
  <si>
    <t>EW-0615</t>
  </si>
  <si>
    <t>WL-03561</t>
  </si>
  <si>
    <t>Rebecca Crawford</t>
  </si>
  <si>
    <t>PINTAIL LINE</t>
  </si>
  <si>
    <t>TXN-202608-036278</t>
  </si>
  <si>
    <t>slip_inventory_2026-08.csv row 636; billing_transactions_2022_2026.csv row 46548</t>
  </si>
  <si>
    <t>EW-0616</t>
  </si>
  <si>
    <t>WL-01289</t>
  </si>
  <si>
    <t>Harry Faulkner</t>
  </si>
  <si>
    <t>PINTAIL RUNNER</t>
  </si>
  <si>
    <t>TXN-202608-036337</t>
  </si>
  <si>
    <t>slip_inventory_2026-08.csv row 637; billing_transactions_2022_2026.csv row 46549</t>
  </si>
  <si>
    <t>EW-0617</t>
  </si>
  <si>
    <t>WL-01818</t>
  </si>
  <si>
    <t>Natasha Higgins</t>
  </si>
  <si>
    <t>TXN-202608-036380</t>
  </si>
  <si>
    <t>slip_inventory_2026-08.csv row 638; billing_transactions_2022_2026.csv row 46550</t>
  </si>
  <si>
    <t>EW-0618</t>
  </si>
  <si>
    <t>WL-01884</t>
  </si>
  <si>
    <t>Rebecca Price</t>
  </si>
  <si>
    <t>TXN-202608-036459</t>
  </si>
  <si>
    <t>slip_inventory_2026-08.csv row 639; billing_transactions_2022_2026.csv row 46552</t>
  </si>
  <si>
    <t>EW-0621</t>
  </si>
  <si>
    <t>WL-01004</t>
  </si>
  <si>
    <t>Joseph Lopez</t>
  </si>
  <si>
    <t>OTTER HARBOR</t>
  </si>
  <si>
    <t>TXN-202608-036536</t>
  </si>
  <si>
    <t>slip_inventory_2026-08.csv row 642; billing_transactions_2022_2026.csv row 46553</t>
  </si>
  <si>
    <t>EW-0623</t>
  </si>
  <si>
    <t>WL-02886</t>
  </si>
  <si>
    <t>Sarah Woods</t>
  </si>
  <si>
    <t>BRANT GLIDE</t>
  </si>
  <si>
    <t>TXN-202608-036609</t>
  </si>
  <si>
    <t>slip_inventory_2026-08.csv row 644; billing_transactions_2022_2026.csv row 46554</t>
  </si>
  <si>
    <t>EW-0624</t>
  </si>
  <si>
    <t>WL-01257</t>
  </si>
  <si>
    <t>Steven Parrish</t>
  </si>
  <si>
    <t>CORMORANT LIGHT</t>
  </si>
  <si>
    <t>TXN-202608-036685</t>
  </si>
  <si>
    <t>slip_inventory_2026-08.csv row 645; billing_transactions_2022_2026.csv row 46555</t>
  </si>
  <si>
    <t>EW-0702</t>
  </si>
  <si>
    <t>WL-02343</t>
  </si>
  <si>
    <t>Nicole Mata</t>
  </si>
  <si>
    <t>COHO HARBOR</t>
  </si>
  <si>
    <t>TXN-202608-036764</t>
  </si>
  <si>
    <t>slip_inventory_2026-08.csv row 647; billing_transactions_2022_2026.csv row 46556</t>
  </si>
  <si>
    <t>EW-0703</t>
  </si>
  <si>
    <t>WL-01158</t>
  </si>
  <si>
    <t>Scott Gutierrez</t>
  </si>
  <si>
    <t>TXN-202608-036843</t>
  </si>
  <si>
    <t>slip_inventory_2026-08.csv row 648; billing_transactions_2022_2026.csv row 46557</t>
  </si>
  <si>
    <t>EW-0704</t>
  </si>
  <si>
    <t>WL-03717</t>
  </si>
  <si>
    <t>Roy Schmitt</t>
  </si>
  <si>
    <t>OSPREY SHORE</t>
  </si>
  <si>
    <t>TXN-202608-036884</t>
  </si>
  <si>
    <t>slip_inventory_2026-08.csv row 649; billing_transactions_2022_2026.csv row 46558</t>
  </si>
  <si>
    <t>EW-0705</t>
  </si>
  <si>
    <t>WL-01681</t>
  </si>
  <si>
    <t>Trevor Jones</t>
  </si>
  <si>
    <t>TIDE MIST</t>
  </si>
  <si>
    <t>TXN-202608-036964</t>
  </si>
  <si>
    <t>slip_inventory_2026-08.csv row 650; billing_transactions_2022_2026.csv row 46559</t>
  </si>
  <si>
    <t>EW-0706</t>
  </si>
  <si>
    <t>WL-03502</t>
  </si>
  <si>
    <t>Jennifer Bryant</t>
  </si>
  <si>
    <t>OSPREY DANCER</t>
  </si>
  <si>
    <t>TXN-202608-037037</t>
  </si>
  <si>
    <t>slip_inventory_2026-08.csv row 651; billing_transactions_2022_2026.csv row 46561</t>
  </si>
  <si>
    <t>EW-0708</t>
  </si>
  <si>
    <t>WL-02872</t>
  </si>
  <si>
    <t>Jessica Fitzgerald</t>
  </si>
  <si>
    <t>SALISH STAR</t>
  </si>
  <si>
    <t>TXN-202608-037112</t>
  </si>
  <si>
    <t>slip_inventory_2026-08.csv row 653; billing_transactions_2022_2026.csv row 46562</t>
  </si>
  <si>
    <t>EW-0709</t>
  </si>
  <si>
    <t>WL-01255</t>
  </si>
  <si>
    <t>Dana Walker</t>
  </si>
  <si>
    <t>SCOTER WIND</t>
  </si>
  <si>
    <t>TXN-202608-037172</t>
  </si>
  <si>
    <t>slip_inventory_2026-08.csv row 654; billing_transactions_2022_2026.csv row 46563</t>
  </si>
  <si>
    <t>EW-0710</t>
  </si>
  <si>
    <t>WL-01290</t>
  </si>
  <si>
    <t>Laura Ball</t>
  </si>
  <si>
    <t>TXN-202608-037237</t>
  </si>
  <si>
    <t>slip_inventory_2026-08.csv row 655; billing_transactions_2022_2026.csv row 46564</t>
  </si>
  <si>
    <t>EW-0712</t>
  </si>
  <si>
    <t>WL-02411</t>
  </si>
  <si>
    <t>Brooke Kelly</t>
  </si>
  <si>
    <t>MURRE CREST</t>
  </si>
  <si>
    <t>TXN-202608-037291</t>
  </si>
  <si>
    <t>slip_inventory_2026-08.csv row 657; billing_transactions_2022_2026.csv row 46565</t>
  </si>
  <si>
    <t>EW-0713</t>
  </si>
  <si>
    <t>WL-03726</t>
  </si>
  <si>
    <t>Christina Johnson</t>
  </si>
  <si>
    <t>PETREL QUEEN</t>
  </si>
  <si>
    <t>TXN-202608-037347</t>
  </si>
  <si>
    <t>slip_inventory_2026-08.csv row 658; billing_transactions_2022_2026.csv row 46567</t>
  </si>
  <si>
    <t>EW-0714</t>
  </si>
  <si>
    <t>WL-03863</t>
  </si>
  <si>
    <t>Brianna Phillips</t>
  </si>
  <si>
    <t>HERON LIGHT</t>
  </si>
  <si>
    <t>TXN-202608-037390</t>
  </si>
  <si>
    <t>slip_inventory_2026-08.csv row 659; billing_transactions_2022_2026.csv row 46568</t>
  </si>
  <si>
    <t>EW-0715</t>
  </si>
  <si>
    <t>WL-02155</t>
  </si>
  <si>
    <t>Jeremy Turner</t>
  </si>
  <si>
    <t>WIDGEON HARBOR</t>
  </si>
  <si>
    <t>TXN-202608-037453</t>
  </si>
  <si>
    <t>slip_inventory_2026-08.csv row 660; billing_transactions_2022_2026.csv row 46569</t>
  </si>
  <si>
    <t>EW-0716</t>
  </si>
  <si>
    <t>WL-02280</t>
  </si>
  <si>
    <t>Joseph Rogers</t>
  </si>
  <si>
    <t>CORMORANT RUNNER</t>
  </si>
  <si>
    <t>TXN-202608-037528</t>
  </si>
  <si>
    <t>slip_inventory_2026-08.csv row 661; billing_transactions_2022_2026.csv row 46571</t>
  </si>
  <si>
    <t>EW-0717</t>
  </si>
  <si>
    <t>WL-02403</t>
  </si>
  <si>
    <t>Courtney Powell</t>
  </si>
  <si>
    <t>ANCHOR BAY</t>
  </si>
  <si>
    <t>TXN-202608-037606</t>
  </si>
  <si>
    <t>slip_inventory_2026-08.csv row 662; billing_transactions_2022_2026.csv row 46573</t>
  </si>
  <si>
    <t>EW-0718</t>
  </si>
  <si>
    <t>WL-01159</t>
  </si>
  <si>
    <t>Jesus Rice</t>
  </si>
  <si>
    <t>HERON ROCK</t>
  </si>
  <si>
    <t>TXN-202608-037669</t>
  </si>
  <si>
    <t>slip_inventory_2026-08.csv row 663; billing_transactions_2022_2026.csv row 46574</t>
  </si>
  <si>
    <t>EW-0719</t>
  </si>
  <si>
    <t>WL-02799</t>
  </si>
  <si>
    <t>Amber Turner</t>
  </si>
  <si>
    <t>SCOTER MOON</t>
  </si>
  <si>
    <t>TXN-202608-037737</t>
  </si>
  <si>
    <t>slip_inventory_2026-08.csv row 664; billing_transactions_2022_2026.csv row 46575</t>
  </si>
  <si>
    <t>EW-0720</t>
  </si>
  <si>
    <t>WL-03636</t>
  </si>
  <si>
    <t>Amy Flores</t>
  </si>
  <si>
    <t>SCOTER BAY</t>
  </si>
  <si>
    <t>TXN-202608-037807</t>
  </si>
  <si>
    <t>slip_inventory_2026-08.csv row 665; billing_transactions_2022_2026.csv row 46576</t>
  </si>
  <si>
    <t>EW-0721</t>
  </si>
  <si>
    <t>WL-01657</t>
  </si>
  <si>
    <t>Chad Wells</t>
  </si>
  <si>
    <t>SEAL DANCER</t>
  </si>
  <si>
    <t>TXN-202608-037851</t>
  </si>
  <si>
    <t>slip_inventory_2026-08.csv row 666; billing_transactions_2022_2026.csv row 46578</t>
  </si>
  <si>
    <t>EW-0722</t>
  </si>
  <si>
    <t>WL-02952</t>
  </si>
  <si>
    <t>Stacy Schroeder</t>
  </si>
  <si>
    <t>HERON WAKE</t>
  </si>
  <si>
    <t>TXN-202608-037899</t>
  </si>
  <si>
    <t>slip_inventory_2026-08.csv row 667; billing_transactions_2022_2026.csv row 46580</t>
  </si>
  <si>
    <t>EW-0723</t>
  </si>
  <si>
    <t>WL-03327</t>
  </si>
  <si>
    <t>Laura Zamora</t>
  </si>
  <si>
    <t>TXN-202608-037947</t>
  </si>
  <si>
    <t>slip_inventory_2026-08.csv row 668; billing_transactions_2022_2026.csv row 46581</t>
  </si>
  <si>
    <t>EW-0724</t>
  </si>
  <si>
    <t>WL-02005</t>
  </si>
  <si>
    <t>Caitlin Howard</t>
  </si>
  <si>
    <t>WIDGEON DANCER</t>
  </si>
  <si>
    <t>TXN-202608-037996</t>
  </si>
  <si>
    <t>slip_inventory_2026-08.csv row 669; billing_transactions_2022_2026.csv row 46582</t>
  </si>
  <si>
    <t>EW-0801</t>
  </si>
  <si>
    <t>WL-02019</t>
  </si>
  <si>
    <t>James Cox</t>
  </si>
  <si>
    <t>SANDERLING REACH</t>
  </si>
  <si>
    <t>TXN-202608-038044</t>
  </si>
  <si>
    <t>slip_inventory_2026-08.csv row 670; billing_transactions_2022_2026.csv row 46584</t>
  </si>
  <si>
    <t>EW-0802</t>
  </si>
  <si>
    <t>WL-03780</t>
  </si>
  <si>
    <t>Carmen Maldonado</t>
  </si>
  <si>
    <t>TXN-202608-038091</t>
  </si>
  <si>
    <t>slip_inventory_2026-08.csv row 671; billing_transactions_2022_2026.csv row 46586</t>
  </si>
  <si>
    <t>EW-0803</t>
  </si>
  <si>
    <t>WL-03360</t>
  </si>
  <si>
    <t>Morgan Ramos</t>
  </si>
  <si>
    <t>TXN-202608-038169</t>
  </si>
  <si>
    <t>slip_inventory_2026-08.csv row 672; billing_transactions_2022_2026.csv row 46588</t>
  </si>
  <si>
    <t>EW-0804</t>
  </si>
  <si>
    <t>WL-03722</t>
  </si>
  <si>
    <t>Seth Stone</t>
  </si>
  <si>
    <t>TXN-202608-038218</t>
  </si>
  <si>
    <t>slip_inventory_2026-08.csv row 673; billing_transactions_2022_2026.csv row 46590</t>
  </si>
  <si>
    <t>EW-0805</t>
  </si>
  <si>
    <t>WL-01569</t>
  </si>
  <si>
    <t>Sherri Smith</t>
  </si>
  <si>
    <t>MURRE GLIDE</t>
  </si>
  <si>
    <t>TXN-202608-038270</t>
  </si>
  <si>
    <t>slip_inventory_2026-08.csv row 674; billing_transactions_2022_2026.csv row 46591</t>
  </si>
  <si>
    <t>EW-0806</t>
  </si>
  <si>
    <t>WL-01375</t>
  </si>
  <si>
    <t>Crystal Austin</t>
  </si>
  <si>
    <t>TXN-202608-038334</t>
  </si>
  <si>
    <t>slip_inventory_2026-08.csv row 675; billing_transactions_2022_2026.csv row 46592</t>
  </si>
  <si>
    <t>EW-0807</t>
  </si>
  <si>
    <t>WL-03182</t>
  </si>
  <si>
    <t>Matthew Gonzalez</t>
  </si>
  <si>
    <t>OTTER GLIDE</t>
  </si>
  <si>
    <t>TXN-202608-038400</t>
  </si>
  <si>
    <t>slip_inventory_2026-08.csv row 676; billing_transactions_2022_2026.csv row 46593</t>
  </si>
  <si>
    <t>EW-0808</t>
  </si>
  <si>
    <t>WL-02311</t>
  </si>
  <si>
    <t>Catherine Martinez</t>
  </si>
  <si>
    <t>TXN-202608-038461</t>
  </si>
  <si>
    <t>slip_inventory_2026-08.csv row 677; billing_transactions_2022_2026.csv row 46594</t>
  </si>
  <si>
    <t>EW-0809</t>
  </si>
  <si>
    <t>WL-02595</t>
  </si>
  <si>
    <t>Cheryl Wood</t>
  </si>
  <si>
    <t>TXN-202608-038502</t>
  </si>
  <si>
    <t>slip_inventory_2026-08.csv row 678; billing_transactions_2022_2026.csv row 46596</t>
  </si>
  <si>
    <t>EW-0810</t>
  </si>
  <si>
    <t>WL-03518</t>
  </si>
  <si>
    <t>Jorge Donovan</t>
  </si>
  <si>
    <t>TXN-202608-038553</t>
  </si>
  <si>
    <t>slip_inventory_2026-08.csv row 679; billing_transactions_2022_2026.csv row 46598</t>
  </si>
  <si>
    <t>EW-0811</t>
  </si>
  <si>
    <t>WL-03708</t>
  </si>
  <si>
    <t>Catherine Anderson</t>
  </si>
  <si>
    <t>TXN-202608-038602</t>
  </si>
  <si>
    <t>slip_inventory_2026-08.csv row 680; billing_transactions_2022_2026.csv row 46600</t>
  </si>
  <si>
    <t>EW-0812</t>
  </si>
  <si>
    <t>WL-03679</t>
  </si>
  <si>
    <t>Tracy Page</t>
  </si>
  <si>
    <t>TIDE WAKE</t>
  </si>
  <si>
    <t>TXN-202608-038662</t>
  </si>
  <si>
    <t>slip_inventory_2026-08.csv row 681; billing_transactions_2022_2026.csv row 46601</t>
  </si>
  <si>
    <t>EW-0813</t>
  </si>
  <si>
    <t>WL-02198</t>
  </si>
  <si>
    <t>James Torres</t>
  </si>
  <si>
    <t>OSPREY PASSAGE</t>
  </si>
  <si>
    <t>TXN-202608-038736</t>
  </si>
  <si>
    <t>slip_inventory_2026-08.csv row 682; billing_transactions_2022_2026.csv row 46602</t>
  </si>
  <si>
    <t>EW-0814</t>
  </si>
  <si>
    <t>WL-01852</t>
  </si>
  <si>
    <t>Ross Erickson</t>
  </si>
  <si>
    <t>BRANT QUEEN</t>
  </si>
  <si>
    <t>TXN-202608-038794</t>
  </si>
  <si>
    <t>slip_inventory_2026-08.csv row 683; billing_transactions_2022_2026.csv row 46603</t>
  </si>
  <si>
    <t>EW-0815</t>
  </si>
  <si>
    <t>WL-03368</t>
  </si>
  <si>
    <t>Daniel Bowen</t>
  </si>
  <si>
    <t>DRIFT BAY</t>
  </si>
  <si>
    <t>TXN-202608-038845</t>
  </si>
  <si>
    <t>slip_inventory_2026-08.csv row 684; billing_transactions_2022_2026.csv row 46604</t>
  </si>
  <si>
    <t>EW-0816</t>
  </si>
  <si>
    <t>WL-02445</t>
  </si>
  <si>
    <t>Marcus Yee</t>
  </si>
  <si>
    <t>PINTAIL</t>
  </si>
  <si>
    <t>TXN-202608-038883</t>
  </si>
  <si>
    <t>slip_inventory_2026-08.csv row 685; billing_transactions_2022_2026.csv row 46606</t>
  </si>
  <si>
    <t>EW-0817</t>
  </si>
  <si>
    <t>WL-03434</t>
  </si>
  <si>
    <t>Michelle Caldwell</t>
  </si>
  <si>
    <t>SABLE VEER</t>
  </si>
  <si>
    <t>TXN-202608-038934</t>
  </si>
  <si>
    <t>slip_inventory_2026-08.csv row 686; billing_transactions_2022_2026.csv row 46607</t>
  </si>
  <si>
    <t>EW-0818</t>
  </si>
  <si>
    <t>WL-03709</t>
  </si>
  <si>
    <t>Brandy Mays</t>
  </si>
  <si>
    <t>OTTER ROCK</t>
  </si>
  <si>
    <t>TXN-202608-038975</t>
  </si>
  <si>
    <t>slip_inventory_2026-08.csv row 687; billing_transactions_2022_2026.csv row 46608</t>
  </si>
  <si>
    <t>EW-0819</t>
  </si>
  <si>
    <t>WL-02587</t>
  </si>
  <si>
    <t>Mary Figueroa</t>
  </si>
  <si>
    <t>KESTREL LINE</t>
  </si>
  <si>
    <t>TXN-202608-039033</t>
  </si>
  <si>
    <t>slip_inventory_2026-08.csv row 688; billing_transactions_2022_2026.csv row 46609</t>
  </si>
  <si>
    <t>EW-0821</t>
  </si>
  <si>
    <t>WL-02217</t>
  </si>
  <si>
    <t>Rose Morales</t>
  </si>
  <si>
    <t>WIDGEON SONG</t>
  </si>
  <si>
    <t>TXN-202608-039079</t>
  </si>
  <si>
    <t>slip_inventory_2026-08.csv row 690; billing_transactions_2022_2026.csv row 46611</t>
  </si>
  <si>
    <t>EW-0822</t>
  </si>
  <si>
    <t>WL-01076</t>
  </si>
  <si>
    <t>Timothy Robinson</t>
  </si>
  <si>
    <t>OSPREY ROCK</t>
  </si>
  <si>
    <t>TXN-202608-039122</t>
  </si>
  <si>
    <t>slip_inventory_2026-08.csv row 691; billing_transactions_2022_2026.csv row 46613</t>
  </si>
  <si>
    <t>EW-0823</t>
  </si>
  <si>
    <t>WL-03201</t>
  </si>
  <si>
    <t>Nancy Montgomery</t>
  </si>
  <si>
    <t>GRAY DANCER</t>
  </si>
  <si>
    <t>TXN-202608-039181</t>
  </si>
  <si>
    <t>slip_inventory_2026-08.csv row 692; billing_transactions_2022_2026.csv row 46615</t>
  </si>
  <si>
    <t>EW-0901</t>
  </si>
  <si>
    <t>WL-02581</t>
  </si>
  <si>
    <t>Carolyn Sanchez</t>
  </si>
  <si>
    <t>MURRE MIST</t>
  </si>
  <si>
    <t>TXN-202608-039223</t>
  </si>
  <si>
    <t>slip_inventory_2026-08.csv row 694; billing_transactions_2022_2026.csv row 46616</t>
  </si>
  <si>
    <t>EW-0902</t>
  </si>
  <si>
    <t>WL-03690</t>
  </si>
  <si>
    <t>John Patel</t>
  </si>
  <si>
    <t>OSPREY RUNNER</t>
  </si>
  <si>
    <t>TXN-202608-039298</t>
  </si>
  <si>
    <t>slip_inventory_2026-08.csv row 695; billing_transactions_2022_2026.csv row 46617</t>
  </si>
  <si>
    <t>EW-0903</t>
  </si>
  <si>
    <t>WL-01891</t>
  </si>
  <si>
    <t>Lee Ritter</t>
  </si>
  <si>
    <t>PINTAIL MOON</t>
  </si>
  <si>
    <t>TXN-202608-039369</t>
  </si>
  <si>
    <t>slip_inventory_2026-08.csv row 696; billing_transactions_2022_2026.csv row 46618</t>
  </si>
  <si>
    <t>EW-0904</t>
  </si>
  <si>
    <t>WL-03412</t>
  </si>
  <si>
    <t>Seth Smith</t>
  </si>
  <si>
    <t>SANDERLING WEATHER</t>
  </si>
  <si>
    <t>TXN-202608-039411</t>
  </si>
  <si>
    <t>slip_inventory_2026-08.csv row 697; billing_transactions_2022_2026.csv row 46620</t>
  </si>
  <si>
    <t>EW-0905</t>
  </si>
  <si>
    <t>WL-01393</t>
  </si>
  <si>
    <t>Lauren Thompson</t>
  </si>
  <si>
    <t>SCOTER SHORE</t>
  </si>
  <si>
    <t>TXN-202608-039463</t>
  </si>
  <si>
    <t>slip_inventory_2026-08.csv row 698; billing_transactions_2022_2026.csv row 46622</t>
  </si>
  <si>
    <t>EW-0906</t>
  </si>
  <si>
    <t>WL-01035</t>
  </si>
  <si>
    <t>Ivan Webster</t>
  </si>
  <si>
    <t>TXN-202608-039511</t>
  </si>
  <si>
    <t>slip_inventory_2026-08.csv row 699; billing_transactions_2022_2026.csv row 46624</t>
  </si>
  <si>
    <t>EW-0907</t>
  </si>
  <si>
    <t>WL-02881</t>
  </si>
  <si>
    <t>Christopher Woodward</t>
  </si>
  <si>
    <t>SALISH VEER</t>
  </si>
  <si>
    <t>TXN-202608-039579</t>
  </si>
  <si>
    <t>slip_inventory_2026-08.csv row 700; billing_transactions_2022_2026.csv row 46626</t>
  </si>
  <si>
    <t>EW-0908</t>
  </si>
  <si>
    <t>WL-02478</t>
  </si>
  <si>
    <t>Travis Long</t>
  </si>
  <si>
    <t>TXN-202608-039634</t>
  </si>
  <si>
    <t>slip_inventory_2026-08.csv row 701; billing_transactions_2022_2026.csv row 46628</t>
  </si>
  <si>
    <t>EW-0909</t>
  </si>
  <si>
    <t>WL-03396</t>
  </si>
  <si>
    <t>Tanya Woods</t>
  </si>
  <si>
    <t>TXN-202608-039702</t>
  </si>
  <si>
    <t>slip_inventory_2026-08.csv row 702; billing_transactions_2022_2026.csv row 46629</t>
  </si>
  <si>
    <t>EW-0910</t>
  </si>
  <si>
    <t>WL-03319</t>
  </si>
  <si>
    <t>Darrell Hall</t>
  </si>
  <si>
    <t>TXN-202608-039753</t>
  </si>
  <si>
    <t>slip_inventory_2026-08.csv row 703; billing_transactions_2022_2026.csv row 46630</t>
  </si>
  <si>
    <t>EW-0911</t>
  </si>
  <si>
    <t>WL-02871</t>
  </si>
  <si>
    <t>Bailey Barnes</t>
  </si>
  <si>
    <t>TXN-202608-039834</t>
  </si>
  <si>
    <t>slip_inventory_2026-08.csv row 704; billing_transactions_2022_2026.csv row 46631</t>
  </si>
  <si>
    <t>EW-0912</t>
  </si>
  <si>
    <t>WL-03562</t>
  </si>
  <si>
    <t>Tara Davis</t>
  </si>
  <si>
    <t>ANCHOR SHORE</t>
  </si>
  <si>
    <t>TXN-202608-039907</t>
  </si>
  <si>
    <t>slip_inventory_2026-08.csv row 705; billing_transactions_2022_2026.csv row 46632</t>
  </si>
  <si>
    <t>EW-0913</t>
  </si>
  <si>
    <t>WL-02382</t>
  </si>
  <si>
    <t>Rachael Wallace</t>
  </si>
  <si>
    <t>CORMORANT QUEEN</t>
  </si>
  <si>
    <t>TXN-202608-039972</t>
  </si>
  <si>
    <t>slip_inventory_2026-08.csv row 706; billing_transactions_2022_2026.csv row 46634</t>
  </si>
  <si>
    <t>EW-0914</t>
  </si>
  <si>
    <t>WL-02046</t>
  </si>
  <si>
    <t>Jennifer Scott</t>
  </si>
  <si>
    <t>OTTER QUEEN</t>
  </si>
  <si>
    <t>TXN-202608-040025</t>
  </si>
  <si>
    <t>slip_inventory_2026-08.csv row 707; billing_transactions_2022_2026.csv row 46636</t>
  </si>
  <si>
    <t>EW-0915</t>
  </si>
  <si>
    <t>WL-03170</t>
  </si>
  <si>
    <t>Kyle Chen</t>
  </si>
  <si>
    <t>WIDGEON LINE</t>
  </si>
  <si>
    <t>TXN-202608-040069</t>
  </si>
  <si>
    <t>slip_inventory_2026-08.csv row 708; billing_transactions_2022_2026.csv row 46637</t>
  </si>
  <si>
    <t>EW-0916</t>
  </si>
  <si>
    <t>WL-03268</t>
  </si>
  <si>
    <t>Charles Parker</t>
  </si>
  <si>
    <t>TXN-202608-040112</t>
  </si>
  <si>
    <t>slip_inventory_2026-08.csv row 709; billing_transactions_2022_2026.csv row 46639</t>
  </si>
  <si>
    <t>EW-0917</t>
  </si>
  <si>
    <t>WL-03374</t>
  </si>
  <si>
    <t>Tina Ward</t>
  </si>
  <si>
    <t>GRAY PASSAGE</t>
  </si>
  <si>
    <t>TXN-202608-040179</t>
  </si>
  <si>
    <t>slip_inventory_2026-08.csv row 710; billing_transactions_2022_2026.csv row 46640</t>
  </si>
  <si>
    <t>EW-0918</t>
  </si>
  <si>
    <t>WL-02502</t>
  </si>
  <si>
    <t>Michelle Cline</t>
  </si>
  <si>
    <t>TXN-202608-040227</t>
  </si>
  <si>
    <t>slip_inventory_2026-08.csv row 711; billing_transactions_2022_2026.csv row 46641</t>
  </si>
  <si>
    <t>EW-0919</t>
  </si>
  <si>
    <t>WL-03012</t>
  </si>
  <si>
    <t>Olivia Joseph</t>
  </si>
  <si>
    <t>PINTAIL PASSAGE</t>
  </si>
  <si>
    <t>TXN-202608-040286</t>
  </si>
  <si>
    <t>slip_inventory_2026-08.csv row 712; billing_transactions_2022_2026.csv row 46643</t>
  </si>
  <si>
    <t>EW-0920</t>
  </si>
  <si>
    <t>WL-02451</t>
  </si>
  <si>
    <t>Brooke Bell</t>
  </si>
  <si>
    <t>PETREL HARBOR</t>
  </si>
  <si>
    <t>TXN-202608-040359</t>
  </si>
  <si>
    <t>slip_inventory_2026-08.csv row 713; billing_transactions_2022_2026.csv row 46645</t>
  </si>
  <si>
    <t>EW-0921</t>
  </si>
  <si>
    <t>WL-01499</t>
  </si>
  <si>
    <t>Jessica Miller</t>
  </si>
  <si>
    <t>OTTER WAKE</t>
  </si>
  <si>
    <t>TXN-202608-040419</t>
  </si>
  <si>
    <t>slip_inventory_2026-08.csv row 714; billing_transactions_2022_2026.csv row 46647</t>
  </si>
  <si>
    <t>EW-0922</t>
  </si>
  <si>
    <t>WL-03568</t>
  </si>
  <si>
    <t>Ricardo Jensen</t>
  </si>
  <si>
    <t>SABLE HARBOR</t>
  </si>
  <si>
    <t>TXN-202608-040496</t>
  </si>
  <si>
    <t>slip_inventory_2026-08.csv row 715; billing_transactions_2022_2026.csv row 46648</t>
  </si>
  <si>
    <t>EW-0923</t>
  </si>
  <si>
    <t>WL-03351</t>
  </si>
  <si>
    <t>Justin Mejia</t>
  </si>
  <si>
    <t>GRAY WAKE</t>
  </si>
  <si>
    <t>TXN-202608-040536</t>
  </si>
  <si>
    <t>slip_inventory_2026-08.csv row 716; billing_transactions_2022_2026.csv row 46649</t>
  </si>
  <si>
    <t>EW-1001</t>
  </si>
  <si>
    <t>WL-03821</t>
  </si>
  <si>
    <t>Tammy Dalton</t>
  </si>
  <si>
    <t>CORMORANT SHORE</t>
  </si>
  <si>
    <t>TXN-202608-040600</t>
  </si>
  <si>
    <t>slip_inventory_2026-08.csv row 718; billing_transactions_2022_2026.csv row 46650</t>
  </si>
  <si>
    <t>EW-1002</t>
  </si>
  <si>
    <t>WL-02120</t>
  </si>
  <si>
    <t>Jerry Reyes</t>
  </si>
  <si>
    <t>HALIBUT SHORE</t>
  </si>
  <si>
    <t>TXN-202608-040662</t>
  </si>
  <si>
    <t>slip_inventory_2026-08.csv row 719; billing_transactions_2022_2026.csv row 46651</t>
  </si>
  <si>
    <t>EW-1003</t>
  </si>
  <si>
    <t>WL-01595</t>
  </si>
  <si>
    <t>Anthony Kemp</t>
  </si>
  <si>
    <t>CORMORANT LINE</t>
  </si>
  <si>
    <t>TXN-202608-040711</t>
  </si>
  <si>
    <t>slip_inventory_2026-08.csv row 720; billing_transactions_2022_2026.csv row 46652</t>
  </si>
  <si>
    <t>EW-1005</t>
  </si>
  <si>
    <t>WL-01010</t>
  </si>
  <si>
    <t>Steven Hanson</t>
  </si>
  <si>
    <t>TXN-202608-040785</t>
  </si>
  <si>
    <t>slip_inventory_2026-08.csv row 722; billing_transactions_2022_2026.csv row 46654</t>
  </si>
  <si>
    <t>EW-1007</t>
  </si>
  <si>
    <t>WL-02438</t>
  </si>
  <si>
    <t>Sharon Phillips</t>
  </si>
  <si>
    <t>SCOTER ROCK</t>
  </si>
  <si>
    <t>TXN-202608-040838</t>
  </si>
  <si>
    <t>slip_inventory_2026-08.csv row 724; billing_transactions_2022_2026.csv row 46655</t>
  </si>
  <si>
    <t>EW-1008</t>
  </si>
  <si>
    <t>WL-02219</t>
  </si>
  <si>
    <t>Grant Cameron</t>
  </si>
  <si>
    <t>MURRE LIGHT</t>
  </si>
  <si>
    <t>TXN-202608-040905</t>
  </si>
  <si>
    <t>slip_inventory_2026-08.csv row 725; billing_transactions_2022_2026.csv row 46657</t>
  </si>
  <si>
    <t>EW-1010</t>
  </si>
  <si>
    <t>WL-02063</t>
  </si>
  <si>
    <t>Spencer Thompson</t>
  </si>
  <si>
    <t>TXN-202608-040958</t>
  </si>
  <si>
    <t>slip_inventory_2026-08.csv row 727; billing_transactions_2022_2026.csv row 46659</t>
  </si>
  <si>
    <t>EW-1011</t>
  </si>
  <si>
    <t>WL-03465</t>
  </si>
  <si>
    <t>Eric Mays</t>
  </si>
  <si>
    <t>GRAY QUEEN</t>
  </si>
  <si>
    <t>TXN-202608-041034</t>
  </si>
  <si>
    <t>slip_inventory_2026-08.csv row 728; billing_transactions_2022_2026.csv row 46660</t>
  </si>
  <si>
    <t>EW-1012</t>
  </si>
  <si>
    <t>WL-02406</t>
  </si>
  <si>
    <t>Christopher Jackson</t>
  </si>
  <si>
    <t>TIDE PASSAGE</t>
  </si>
  <si>
    <t>TXN-202608-041109</t>
  </si>
  <si>
    <t>slip_inventory_2026-08.csv row 729; billing_transactions_2022_2026.csv row 46661</t>
  </si>
  <si>
    <t>EW-1013</t>
  </si>
  <si>
    <t>WL-02008</t>
  </si>
  <si>
    <t>Karen Matthews</t>
  </si>
  <si>
    <t>KESTREL RUNNER</t>
  </si>
  <si>
    <t>TXN-202608-041150</t>
  </si>
  <si>
    <t>slip_inventory_2026-08.csv row 730; billing_transactions_2022_2026.csv row 46662</t>
  </si>
  <si>
    <t>EW-1014</t>
  </si>
  <si>
    <t>WL-02680</t>
  </si>
  <si>
    <t>Melanie Rivera</t>
  </si>
  <si>
    <t>TXN-202608-041203</t>
  </si>
  <si>
    <t>slip_inventory_2026-08.csv row 731; billing_transactions_2022_2026.csv row 46663</t>
  </si>
  <si>
    <t>EW-1015</t>
  </si>
  <si>
    <t>WL-03353</t>
  </si>
  <si>
    <t>Patricia Adkins</t>
  </si>
  <si>
    <t>SPINDRIFT GLIDE</t>
  </si>
  <si>
    <t>TXN-202608-041266</t>
  </si>
  <si>
    <t>slip_inventory_2026-08.csv row 732; billing_transactions_2022_2026.csv row 46664</t>
  </si>
  <si>
    <t>EW-1016</t>
  </si>
  <si>
    <t>WL-01746</t>
  </si>
  <si>
    <t>Elizabeth Ward</t>
  </si>
  <si>
    <t>PINTAIL WEATHER</t>
  </si>
  <si>
    <t>TXN-202608-041322</t>
  </si>
  <si>
    <t>slip_inventory_2026-08.csv row 733; billing_transactions_2022_2026.csv row 46666</t>
  </si>
  <si>
    <t>EW-1017</t>
  </si>
  <si>
    <t>WL-02717</t>
  </si>
  <si>
    <t>Ryan Phillips</t>
  </si>
  <si>
    <t>TXN-202608-041365</t>
  </si>
  <si>
    <t>slip_inventory_2026-08.csv row 734; billing_transactions_2022_2026.csv row 46667</t>
  </si>
  <si>
    <t>EW-1018</t>
  </si>
  <si>
    <t>WL-01540</t>
  </si>
  <si>
    <t>Jonathan Baker</t>
  </si>
  <si>
    <t>TXN-202608-041431</t>
  </si>
  <si>
    <t>slip_inventory_2026-08.csv row 735; billing_transactions_2022_2026.csv row 46669</t>
  </si>
  <si>
    <t>EW-1019</t>
  </si>
  <si>
    <t>WL-03583</t>
  </si>
  <si>
    <t>Walter Martin</t>
  </si>
  <si>
    <t>TXN-202608-041480</t>
  </si>
  <si>
    <t>slip_inventory_2026-08.csv row 736; billing_transactions_2022_2026.csv row 46670</t>
  </si>
  <si>
    <t>EW-1021</t>
  </si>
  <si>
    <t>WL-03888</t>
  </si>
  <si>
    <t>Christian Garcia</t>
  </si>
  <si>
    <t>TXN-202608-041527</t>
  </si>
  <si>
    <t>slip_inventory_2026-08.csv row 738; billing_transactions_2022_2026.csv row 46671</t>
  </si>
  <si>
    <t>EW-1022</t>
  </si>
  <si>
    <t>WL-01788</t>
  </si>
  <si>
    <t>James Austin</t>
  </si>
  <si>
    <t>TIDE GLIDE</t>
  </si>
  <si>
    <t>TXN-202608-041591</t>
  </si>
  <si>
    <t>slip_inventory_2026-08.csv row 739; billing_transactions_2022_2026.csv row 46673</t>
  </si>
  <si>
    <t>EW-1023</t>
  </si>
  <si>
    <t>WL-01824</t>
  </si>
  <si>
    <t>Robin Tucker</t>
  </si>
  <si>
    <t>SANDERLING PASSAGE</t>
  </si>
  <si>
    <t>TXN-202608-041651</t>
  </si>
  <si>
    <t>slip_inventory_2026-08.csv row 740; billing_transactions_2022_2026.csv row 46675</t>
  </si>
  <si>
    <t>EW-1024</t>
  </si>
  <si>
    <t>WL-03180</t>
  </si>
  <si>
    <t>Teresa Jimenez</t>
  </si>
  <si>
    <t>ANCHOR GLIDE</t>
  </si>
  <si>
    <t>TXN-202608-041702</t>
  </si>
  <si>
    <t>slip_inventory_2026-08.csv row 741; billing_transactions_2022_2026.csv row 46676</t>
  </si>
  <si>
    <t>GW-0102</t>
  </si>
  <si>
    <t>WL-01136</t>
  </si>
  <si>
    <t>Christina Green</t>
  </si>
  <si>
    <t>PETREL WIND</t>
  </si>
  <si>
    <t>TXN-202608-041755</t>
  </si>
  <si>
    <t>slip_inventory_2026-08.csv row 743; billing_transactions_2022_2026.csv row 46678</t>
  </si>
  <si>
    <t>WL-02233</t>
  </si>
  <si>
    <t>Sarah Forbes</t>
  </si>
  <si>
    <t>BRANT MIST</t>
  </si>
  <si>
    <t>TXN-202608-041830</t>
  </si>
  <si>
    <t>slip_inventory_2026-08.csv row 744; billing_transactions_2022_2026.csv row 46679</t>
  </si>
  <si>
    <t>GW-0104</t>
  </si>
  <si>
    <t>WL-01980</t>
  </si>
  <si>
    <t>Jacob Powell</t>
  </si>
  <si>
    <t>WIDGEON RUNNER</t>
  </si>
  <si>
    <t>TXN-202608-041882</t>
  </si>
  <si>
    <t>slip_inventory_2026-08.csv row 745; billing_transactions_2022_2026.csv row 46681</t>
  </si>
  <si>
    <t>GW-0105</t>
  </si>
  <si>
    <t>WL-03409</t>
  </si>
  <si>
    <t>Linda Franklin</t>
  </si>
  <si>
    <t>SCOTER HARBOR</t>
  </si>
  <si>
    <t>TXN-202608-041952</t>
  </si>
  <si>
    <t>slip_inventory_2026-08.csv row 746; billing_transactions_2022_2026.csv row 46682</t>
  </si>
  <si>
    <t>GW-0106</t>
  </si>
  <si>
    <t>WL-01773</t>
  </si>
  <si>
    <t>Kara Bartlett</t>
  </si>
  <si>
    <t>SCOTER SONG</t>
  </si>
  <si>
    <t>TXN-202608-041997</t>
  </si>
  <si>
    <t>slip_inventory_2026-08.csv row 747; billing_transactions_2022_2026.csv row 46684</t>
  </si>
  <si>
    <t>GW-0108</t>
  </si>
  <si>
    <t>WL-02927</t>
  </si>
  <si>
    <t>Jonathon Jones</t>
  </si>
  <si>
    <t>TIDE VEER</t>
  </si>
  <si>
    <t>TXN-202608-042047</t>
  </si>
  <si>
    <t>slip_inventory_2026-08.csv row 749; billing_transactions_2022_2026.csv row 46686</t>
  </si>
  <si>
    <t>GW-0109</t>
  </si>
  <si>
    <t>WL-02979</t>
  </si>
  <si>
    <t>Catherine Reed</t>
  </si>
  <si>
    <t>TXN-202608-042085</t>
  </si>
  <si>
    <t>slip_inventory_2026-08.csv row 750; billing_transactions_2022_2026.csv row 46687</t>
  </si>
  <si>
    <t>GW-0110</t>
  </si>
  <si>
    <t>WL-02479</t>
  </si>
  <si>
    <t>Jeremy Aguirre</t>
  </si>
  <si>
    <t>POINT SOUND</t>
  </si>
  <si>
    <t>TXN-202608-042151</t>
  </si>
  <si>
    <t>slip_inventory_2026-08.csv row 751; billing_transactions_2022_2026.csv row 46688</t>
  </si>
  <si>
    <t>GW-0111</t>
  </si>
  <si>
    <t>WL-03229</t>
  </si>
  <si>
    <t>Monica Alvarez</t>
  </si>
  <si>
    <t>TXN-202608-042228</t>
  </si>
  <si>
    <t>slip_inventory_2026-08.csv row 752; billing_transactions_2022_2026.csv row 46690</t>
  </si>
  <si>
    <t>GW-0112</t>
  </si>
  <si>
    <t>WL-01208</t>
  </si>
  <si>
    <t>Nicholas Lewis</t>
  </si>
  <si>
    <t>BRANT WEATHER</t>
  </si>
  <si>
    <t>TXN-202608-042295</t>
  </si>
  <si>
    <t>slip_inventory_2026-08.csv row 753; billing_transactions_2022_2026.csv row 46692</t>
  </si>
  <si>
    <t>GW-0113</t>
  </si>
  <si>
    <t>WL-01259</t>
  </si>
  <si>
    <t>Sara Avery</t>
  </si>
  <si>
    <t>OSPREY LINE</t>
  </si>
  <si>
    <t>TXN-202608-042347</t>
  </si>
  <si>
    <t>slip_inventory_2026-08.csv row 754; billing_transactions_2022_2026.csv row 46693</t>
  </si>
  <si>
    <t>GW-0114</t>
  </si>
  <si>
    <t>WL-02985</t>
  </si>
  <si>
    <t>Francisco Benjamin</t>
  </si>
  <si>
    <t>CORMORANT MOON</t>
  </si>
  <si>
    <t>TXN-202608-042422</t>
  </si>
  <si>
    <t>slip_inventory_2026-08.csv row 755; billing_transactions_2022_2026.csv row 46694</t>
  </si>
  <si>
    <t>GW-0115</t>
  </si>
  <si>
    <t>WL-01610</t>
  </si>
  <si>
    <t>Anthony Johnson</t>
  </si>
  <si>
    <t>DRIFT SOUND</t>
  </si>
  <si>
    <t>TXN-202608-042493</t>
  </si>
  <si>
    <t>slip_inventory_2026-08.csv row 756; billing_transactions_2022_2026.csv row 46695</t>
  </si>
  <si>
    <t>GW-0116</t>
  </si>
  <si>
    <t>WL-02724</t>
  </si>
  <si>
    <t>Benjamin Hawkins</t>
  </si>
  <si>
    <t>BRANT REACH</t>
  </si>
  <si>
    <t>TXN-202608-042568</t>
  </si>
  <si>
    <t>slip_inventory_2026-08.csv row 757; billing_transactions_2022_2026.csv row 46697</t>
  </si>
  <si>
    <t>GW-0117</t>
  </si>
  <si>
    <t>WL-02588</t>
  </si>
  <si>
    <t>Laura Wiley</t>
  </si>
  <si>
    <t>OSPREY MIST</t>
  </si>
  <si>
    <t>TXN-202608-042617</t>
  </si>
  <si>
    <t>slip_inventory_2026-08.csv row 758; billing_transactions_2022_2026.csv row 46699</t>
  </si>
  <si>
    <t>GW-0118</t>
  </si>
  <si>
    <t>WL-02840</t>
  </si>
  <si>
    <t>Zachary Mcdonald</t>
  </si>
  <si>
    <t>TXN-202608-042670</t>
  </si>
  <si>
    <t>slip_inventory_2026-08.csv row 759; billing_transactions_2022_2026.csv row 46700</t>
  </si>
  <si>
    <t>GW-0119</t>
  </si>
  <si>
    <t>WL-01624</t>
  </si>
  <si>
    <t>Megan Estrada</t>
  </si>
  <si>
    <t>TXN-202608-042750</t>
  </si>
  <si>
    <t>slip_inventory_2026-08.csv row 760; billing_transactions_2022_2026.csv row 46701</t>
  </si>
  <si>
    <t>GW-0120</t>
  </si>
  <si>
    <t>WL-01224</t>
  </si>
  <si>
    <t>Yolanda Crane</t>
  </si>
  <si>
    <t>ANCHOR REACH</t>
  </si>
  <si>
    <t>TXN-202608-042798</t>
  </si>
  <si>
    <t>slip_inventory_2026-08.csv row 761; billing_transactions_2022_2026.csv row 46702</t>
  </si>
  <si>
    <t>GW-0121</t>
  </si>
  <si>
    <t>WL-01763</t>
  </si>
  <si>
    <t>Christopher Miller</t>
  </si>
  <si>
    <t>TXN-202608-042875</t>
  </si>
  <si>
    <t>slip_inventory_2026-08.csv row 762; billing_transactions_2022_2026.csv row 46704</t>
  </si>
  <si>
    <t>GW-0122</t>
  </si>
  <si>
    <t>WL-01683</t>
  </si>
  <si>
    <t>Steven Davis</t>
  </si>
  <si>
    <t>SCOTER CREST</t>
  </si>
  <si>
    <t>TXN-202608-042943</t>
  </si>
  <si>
    <t>slip_inventory_2026-08.csv row 763; billing_transactions_2022_2026.csv row 46706</t>
  </si>
  <si>
    <t>GW-0123</t>
  </si>
  <si>
    <t>WL-03611</t>
  </si>
  <si>
    <t>Madeline Morris</t>
  </si>
  <si>
    <t>HALIBUT CREST</t>
  </si>
  <si>
    <t>TXN-202608-043005</t>
  </si>
  <si>
    <t>slip_inventory_2026-08.csv row 764; billing_transactions_2022_2026.csv row 46708</t>
  </si>
  <si>
    <t>GW-0201</t>
  </si>
  <si>
    <t>WL-01782</t>
  </si>
  <si>
    <t>Ronald White</t>
  </si>
  <si>
    <t>SABLE SOUND</t>
  </si>
  <si>
    <t>TXN-202608-043082</t>
  </si>
  <si>
    <t>slip_inventory_2026-08.csv row 765; billing_transactions_2022_2026.csv row 46710</t>
  </si>
  <si>
    <t>GW-0202</t>
  </si>
  <si>
    <t>WL-03086</t>
  </si>
  <si>
    <t>William Daugherty</t>
  </si>
  <si>
    <t>PINTAIL DANCER</t>
  </si>
  <si>
    <t>TXN-202608-043120</t>
  </si>
  <si>
    <t>slip_inventory_2026-08.csv row 766; billing_transactions_2022_2026.csv row 46711</t>
  </si>
  <si>
    <t>GW-0204</t>
  </si>
  <si>
    <t>WL-02069</t>
  </si>
  <si>
    <t>David Lopez</t>
  </si>
  <si>
    <t>PETREL SONG</t>
  </si>
  <si>
    <t>TXN-202608-043165</t>
  </si>
  <si>
    <t>slip_inventory_2026-08.csv row 768; billing_transactions_2022_2026.csv row 46713</t>
  </si>
  <si>
    <t>GW-0205</t>
  </si>
  <si>
    <t>WL-01865</t>
  </si>
  <si>
    <t>Aaron Barton</t>
  </si>
  <si>
    <t>TXN-202608-043218</t>
  </si>
  <si>
    <t>slip_inventory_2026-08.csv row 769; billing_transactions_2022_2026.csv row 46715</t>
  </si>
  <si>
    <t>GW-0206</t>
  </si>
  <si>
    <t>WL-03352</t>
  </si>
  <si>
    <t>Isabella Sutton</t>
  </si>
  <si>
    <t>ANCHOR RUNNER</t>
  </si>
  <si>
    <t>TXN-202608-043290</t>
  </si>
  <si>
    <t>slip_inventory_2026-08.csv row 770; billing_transactions_2022_2026.csv row 46717</t>
  </si>
  <si>
    <t>GW-0207</t>
  </si>
  <si>
    <t>WL-01291</t>
  </si>
  <si>
    <t>Brian Wallace</t>
  </si>
  <si>
    <t>TXN-202608-043364</t>
  </si>
  <si>
    <t>slip_inventory_2026-08.csv row 771; billing_transactions_2022_2026.csv row 46718</t>
  </si>
  <si>
    <t>GW-0208</t>
  </si>
  <si>
    <t>WL-02505</t>
  </si>
  <si>
    <t>Joe Smith</t>
  </si>
  <si>
    <t>CORMORANT HARBOR</t>
  </si>
  <si>
    <t>TXN-202608-043433</t>
  </si>
  <si>
    <t>slip_inventory_2026-08.csv row 772; billing_transactions_2022_2026.csv row 46719</t>
  </si>
  <si>
    <t>GW-0209</t>
  </si>
  <si>
    <t>WL-01421</t>
  </si>
  <si>
    <t>Jessica Brown</t>
  </si>
  <si>
    <t>GRAY LINE</t>
  </si>
  <si>
    <t>TXN-202608-043504</t>
  </si>
  <si>
    <t>slip_inventory_2026-08.csv row 773; billing_transactions_2022_2026.csv row 46720</t>
  </si>
  <si>
    <t>GW-0210</t>
  </si>
  <si>
    <t>WL-03832</t>
  </si>
  <si>
    <t>Amanda Smith</t>
  </si>
  <si>
    <t>TXN-202608-043553</t>
  </si>
  <si>
    <t>slip_inventory_2026-08.csv row 774; billing_transactions_2022_2026.csv row 46722</t>
  </si>
  <si>
    <t>GW-0211</t>
  </si>
  <si>
    <t>WL-03139</t>
  </si>
  <si>
    <t>Stanley Peterson</t>
  </si>
  <si>
    <t>TXN-202608-043601</t>
  </si>
  <si>
    <t>slip_inventory_2026-08.csv row 775; billing_transactions_2022_2026.csv row 46724</t>
  </si>
  <si>
    <t>GW-0212</t>
  </si>
  <si>
    <t>WL-02184</t>
  </si>
  <si>
    <t>Leonard Wiley</t>
  </si>
  <si>
    <t>KESTREL PASSAGE</t>
  </si>
  <si>
    <t>TXN-202608-043650</t>
  </si>
  <si>
    <t>slip_inventory_2026-08.csv row 776; billing_transactions_2022_2026.csv row 46725</t>
  </si>
  <si>
    <t>GW-0213</t>
  </si>
  <si>
    <t>WL-02363</t>
  </si>
  <si>
    <t>Timothy Johnson</t>
  </si>
  <si>
    <t>TXN-202608-043708</t>
  </si>
  <si>
    <t>slip_inventory_2026-08.csv row 777; billing_transactions_2022_2026.csv row 46727</t>
  </si>
  <si>
    <t>GW-0214</t>
  </si>
  <si>
    <t>WL-03720</t>
  </si>
  <si>
    <t>Kristen Blair</t>
  </si>
  <si>
    <t>TXN-202608-043776</t>
  </si>
  <si>
    <t>slip_inventory_2026-08.csv row 778; billing_transactions_2022_2026.csv row 46729</t>
  </si>
  <si>
    <t>GW-0215</t>
  </si>
  <si>
    <t>WL-01436</t>
  </si>
  <si>
    <t>William Cook</t>
  </si>
  <si>
    <t>TXN-202608-043820</t>
  </si>
  <si>
    <t>slip_inventory_2026-08.csv row 779; billing_transactions_2022_2026.csv row 46730</t>
  </si>
  <si>
    <t>GW-0216</t>
  </si>
  <si>
    <t>WL-03614</t>
  </si>
  <si>
    <t>Richard Waters</t>
  </si>
  <si>
    <t>PINTAIL HARBOR</t>
  </si>
  <si>
    <t>TXN-202608-043872</t>
  </si>
  <si>
    <t>slip_inventory_2026-08.csv row 780; billing_transactions_2022_2026.csv row 46732</t>
  </si>
  <si>
    <t>GW-0217</t>
  </si>
  <si>
    <t>WL-02984</t>
  </si>
  <si>
    <t>Bridget Jones</t>
  </si>
  <si>
    <t>TXN-202608-043913</t>
  </si>
  <si>
    <t>slip_inventory_2026-08.csv row 781; billing_transactions_2022_2026.csv row 46734</t>
  </si>
  <si>
    <t>GW-0218</t>
  </si>
  <si>
    <t>WL-01556</t>
  </si>
  <si>
    <t>Christopher Russell</t>
  </si>
  <si>
    <t>PETREL REACH</t>
  </si>
  <si>
    <t>TXN-202608-043987</t>
  </si>
  <si>
    <t>slip_inventory_2026-08.csv row 782; billing_transactions_2022_2026.csv row 46735</t>
  </si>
  <si>
    <t>GW-0220</t>
  </si>
  <si>
    <t>WL-02436</t>
  </si>
  <si>
    <t>Jeffrey Allen</t>
  </si>
  <si>
    <t>SEAL VEER</t>
  </si>
  <si>
    <t>TXN-202608-044062</t>
  </si>
  <si>
    <t>slip_inventory_2026-08.csv row 784; billing_transactions_2022_2026.csv row 46736</t>
  </si>
  <si>
    <t>GW-0221</t>
  </si>
  <si>
    <t>WL-02319</t>
  </si>
  <si>
    <t>Elizabeth Pacheco</t>
  </si>
  <si>
    <t>COHO VEER</t>
  </si>
  <si>
    <t>TXN-202608-044102</t>
  </si>
  <si>
    <t>slip_inventory_2026-08.csv row 785; billing_transactions_2022_2026.csv row 46738</t>
  </si>
  <si>
    <t>GW-0222</t>
  </si>
  <si>
    <t>WL-01365</t>
  </si>
  <si>
    <t>Andrew Griffith</t>
  </si>
  <si>
    <t>GRAY WIND</t>
  </si>
  <si>
    <t>TXN-202608-044147</t>
  </si>
  <si>
    <t>slip_inventory_2026-08.csv row 786; billing_transactions_2022_2026.csv row 46739</t>
  </si>
  <si>
    <t>GW-0223</t>
  </si>
  <si>
    <t>WL-01975</t>
  </si>
  <si>
    <t>Susan Wilson</t>
  </si>
  <si>
    <t>GRAY REACH</t>
  </si>
  <si>
    <t>TXN-202608-044223</t>
  </si>
  <si>
    <t>slip_inventory_2026-08.csv row 787; billing_transactions_2022_2026.csv row 46740</t>
  </si>
  <si>
    <t>GW-0301</t>
  </si>
  <si>
    <t>WL-01964</t>
  </si>
  <si>
    <t>Ryan Richardson</t>
  </si>
  <si>
    <t>PINTAIL SONG</t>
  </si>
  <si>
    <t>TXN-202608-044266</t>
  </si>
  <si>
    <t>slip_inventory_2026-08.csv row 788; billing_transactions_2022_2026.csv row 46741</t>
  </si>
  <si>
    <t>GW-0302</t>
  </si>
  <si>
    <t>WL-01735</t>
  </si>
  <si>
    <t>Jeffrey Brown</t>
  </si>
  <si>
    <t>SCOTER LINE</t>
  </si>
  <si>
    <t>TXN-202608-044320</t>
  </si>
  <si>
    <t>slip_inventory_2026-08.csv row 789; billing_transactions_2022_2026.csv row 46742</t>
  </si>
  <si>
    <t>GW-0303</t>
  </si>
  <si>
    <t>WL-02091</t>
  </si>
  <si>
    <t>Timothy Herrera</t>
  </si>
  <si>
    <t>TXN-202608-044396</t>
  </si>
  <si>
    <t>slip_inventory_2026-08.csv row 790; billing_transactions_2022_2026.csv row 46743</t>
  </si>
  <si>
    <t>GW-0304</t>
  </si>
  <si>
    <t>WL-01040</t>
  </si>
  <si>
    <t>Bradley Collins</t>
  </si>
  <si>
    <t>TXN-202608-044473</t>
  </si>
  <si>
    <t>slip_inventory_2026-08.csv row 791; billing_transactions_2022_2026.csv row 46745</t>
  </si>
  <si>
    <t>GW-0305</t>
  </si>
  <si>
    <t>WL-02528</t>
  </si>
  <si>
    <t>Lisa Richards</t>
  </si>
  <si>
    <t>TXN-202608-044521</t>
  </si>
  <si>
    <t>slip_inventory_2026-08.csv row 792; billing_transactions_2022_2026.csv row 46747</t>
  </si>
  <si>
    <t>GW-0306</t>
  </si>
  <si>
    <t>WL-02723</t>
  </si>
  <si>
    <t>Gregory Curtis</t>
  </si>
  <si>
    <t>FOUL DANCER</t>
  </si>
  <si>
    <t>TXN-202608-044594</t>
  </si>
  <si>
    <t>slip_inventory_2026-08.csv row 793; billing_transactions_2022_2026.csv row 46748</t>
  </si>
  <si>
    <t>GW-0307</t>
  </si>
  <si>
    <t>WL-02437</t>
  </si>
  <si>
    <t>Jeremy Holmes</t>
  </si>
  <si>
    <t>TXN-202608-044671</t>
  </si>
  <si>
    <t>slip_inventory_2026-08.csv row 794; billing_transactions_2022_2026.csv row 46749</t>
  </si>
  <si>
    <t>GW-0308</t>
  </si>
  <si>
    <t>WL-01165</t>
  </si>
  <si>
    <t>Rebecca Smith</t>
  </si>
  <si>
    <t>CORMORANT STAR</t>
  </si>
  <si>
    <t>TXN-202608-044734</t>
  </si>
  <si>
    <t>slip_inventory_2026-08.csv row 795; billing_transactions_2022_2026.csv row 46751</t>
  </si>
  <si>
    <t>GW-0309</t>
  </si>
  <si>
    <t>WL-03290</t>
  </si>
  <si>
    <t>Caitlin Chavez</t>
  </si>
  <si>
    <t>TXN-202608-044781</t>
  </si>
  <si>
    <t>slip_inventory_2026-08.csv row 796; billing_transactions_2022_2026.csv row 46753</t>
  </si>
  <si>
    <t>GW-0310</t>
  </si>
  <si>
    <t>WL-03315</t>
  </si>
  <si>
    <t>Marvin Miranda</t>
  </si>
  <si>
    <t>TXN-202608-044859</t>
  </si>
  <si>
    <t>slip_inventory_2026-08.csv row 797; billing_transactions_2022_2026.csv row 46755</t>
  </si>
  <si>
    <t>GW-0312</t>
  </si>
  <si>
    <t>WL-01955</t>
  </si>
  <si>
    <t>Nicole Davis</t>
  </si>
  <si>
    <t>TIDE ANN</t>
  </si>
  <si>
    <t>TXN-202608-044897</t>
  </si>
  <si>
    <t>slip_inventory_2026-08.csv row 799; billing_transactions_2022_2026.csv row 46756</t>
  </si>
  <si>
    <t>GW-0313</t>
  </si>
  <si>
    <t>WL-03455</t>
  </si>
  <si>
    <t>Taylor George</t>
  </si>
  <si>
    <t>PINTAIL GLIDE</t>
  </si>
  <si>
    <t>TXN-202608-044957</t>
  </si>
  <si>
    <t>slip_inventory_2026-08.csv row 800; billing_transactions_2022_2026.csv row 46758</t>
  </si>
  <si>
    <t>GW-0315</t>
  </si>
  <si>
    <t>WL-03306</t>
  </si>
  <si>
    <t>Rebecca Martin</t>
  </si>
  <si>
    <t>TXN-202608-045025</t>
  </si>
  <si>
    <t>slip_inventory_2026-08.csv row 802; billing_transactions_2022_2026.csv row 46760</t>
  </si>
  <si>
    <t>GW-0316</t>
  </si>
  <si>
    <t>WL-01648</t>
  </si>
  <si>
    <t>Chelsea Matthews</t>
  </si>
  <si>
    <t>TXN-202608-045074</t>
  </si>
  <si>
    <t>slip_inventory_2026-08.csv row 803; billing_transactions_2022_2026.csv row 46762</t>
  </si>
  <si>
    <t>GW-0317</t>
  </si>
  <si>
    <t>WL-02270</t>
  </si>
  <si>
    <t>Nathan Lewis</t>
  </si>
  <si>
    <t>TXN-202608-045115</t>
  </si>
  <si>
    <t>slip_inventory_2026-08.csv row 804; billing_transactions_2022_2026.csv row 46763</t>
  </si>
  <si>
    <t>GW-0318</t>
  </si>
  <si>
    <t>WL-01122</t>
  </si>
  <si>
    <t>Rachel Carpenter</t>
  </si>
  <si>
    <t>TXN-202608-045187</t>
  </si>
  <si>
    <t>slip_inventory_2026-08.csv row 805; billing_transactions_2022_2026.csv row 46764</t>
  </si>
  <si>
    <t>GW-0320</t>
  </si>
  <si>
    <t>WL-01487</t>
  </si>
  <si>
    <t>Thomas Palmer</t>
  </si>
  <si>
    <t>WIDGEON BAY</t>
  </si>
  <si>
    <t>TXN-202608-045258</t>
  </si>
  <si>
    <t>slip_inventory_2026-08.csv row 807; billing_transactions_2022_2026.csv row 46765</t>
  </si>
  <si>
    <t>GW-0321</t>
  </si>
  <si>
    <t>WL-02922</t>
  </si>
  <si>
    <t>Sandra Allen</t>
  </si>
  <si>
    <t>ANCHOR WEATHER</t>
  </si>
  <si>
    <t>TXN-202608-045303</t>
  </si>
  <si>
    <t>slip_inventory_2026-08.csv row 808; billing_transactions_2022_2026.csv row 46766</t>
  </si>
  <si>
    <t>GW-0322</t>
  </si>
  <si>
    <t>WL-01815</t>
  </si>
  <si>
    <t>Theresa Martinez</t>
  </si>
  <si>
    <t>TXN-202608-045363</t>
  </si>
  <si>
    <t>slip_inventory_2026-08.csv row 809; billing_transactions_2022_2026.csv row 46767</t>
  </si>
  <si>
    <t>GW-0323</t>
  </si>
  <si>
    <t>WL-02735</t>
  </si>
  <si>
    <t>Kristen Orr</t>
  </si>
  <si>
    <t>TXN-202608-045444</t>
  </si>
  <si>
    <t>slip_inventory_2026-08.csv row 810; billing_transactions_2022_2026.csv row 46768</t>
  </si>
  <si>
    <t>GW-0401</t>
  </si>
  <si>
    <t>WL-03064</t>
  </si>
  <si>
    <t>Megan Hendricks</t>
  </si>
  <si>
    <t>TXN-202608-045500</t>
  </si>
  <si>
    <t>slip_inventory_2026-08.csv row 811; billing_transactions_2022_2026.csv row 46770</t>
  </si>
  <si>
    <t>GW-0402</t>
  </si>
  <si>
    <t>WL-02635</t>
  </si>
  <si>
    <t>Roger Bowers</t>
  </si>
  <si>
    <t>GRAY GLIDE</t>
  </si>
  <si>
    <t>TXN-202608-045547</t>
  </si>
  <si>
    <t>slip_inventory_2026-08.csv row 812; billing_transactions_2022_2026.csv row 46772</t>
  </si>
  <si>
    <t>GW-0403</t>
  </si>
  <si>
    <t>WL-02399</t>
  </si>
  <si>
    <t>Jennifer Mccullough</t>
  </si>
  <si>
    <t>SPINDRIFT CREST</t>
  </si>
  <si>
    <t>TXN-202608-045595</t>
  </si>
  <si>
    <t>slip_inventory_2026-08.csv row 813; billing_transactions_2022_2026.csv row 46773</t>
  </si>
  <si>
    <t>GW-0404</t>
  </si>
  <si>
    <t>WL-03671</t>
  </si>
  <si>
    <t>Thomas Martinez</t>
  </si>
  <si>
    <t>TXN-202608-045645</t>
  </si>
  <si>
    <t>slip_inventory_2026-08.csv row 814; billing_transactions_2022_2026.csv row 46775</t>
  </si>
  <si>
    <t>GW-0405</t>
  </si>
  <si>
    <t>WL-01293</t>
  </si>
  <si>
    <t>Pamela Powell</t>
  </si>
  <si>
    <t>TXN-202608-045697</t>
  </si>
  <si>
    <t>slip_inventory_2026-08.csv row 815; billing_transactions_2022_2026.csv row 46777</t>
  </si>
  <si>
    <t>GW-0406</t>
  </si>
  <si>
    <t>WL-02077</t>
  </si>
  <si>
    <t>William Price</t>
  </si>
  <si>
    <t>TXN-202608-045761</t>
  </si>
  <si>
    <t>slip_inventory_2026-08.csv row 816; billing_transactions_2022_2026.csv row 46778</t>
  </si>
  <si>
    <t>GW-0407</t>
  </si>
  <si>
    <t>WL-03682</t>
  </si>
  <si>
    <t>Paul Anderson</t>
  </si>
  <si>
    <t>SANDERLING DANCER</t>
  </si>
  <si>
    <t>TXN-202608-045805</t>
  </si>
  <si>
    <t>slip_inventory_2026-08.csv row 817; billing_transactions_2022_2026.csv row 46779</t>
  </si>
  <si>
    <t>GW-0408</t>
  </si>
  <si>
    <t>WL-01551</t>
  </si>
  <si>
    <t>Megan Santiago</t>
  </si>
  <si>
    <t>KESTREL WIND</t>
  </si>
  <si>
    <t>TXN-202608-045872</t>
  </si>
  <si>
    <t>slip_inventory_2026-08.csv row 818; billing_transactions_2022_2026.csv row 46780</t>
  </si>
  <si>
    <t>GW-0409</t>
  </si>
  <si>
    <t>WL-02328</t>
  </si>
  <si>
    <t>Tony Mack</t>
  </si>
  <si>
    <t>HERON LINE</t>
  </si>
  <si>
    <t>TXN-202608-045915</t>
  </si>
  <si>
    <t>slip_inventory_2026-08.csv row 819; billing_transactions_2022_2026.csv row 46781</t>
  </si>
  <si>
    <t>GW-0410</t>
  </si>
  <si>
    <t>WL-02074</t>
  </si>
  <si>
    <t>Erika Martin</t>
  </si>
  <si>
    <t>HALIBUT MOON</t>
  </si>
  <si>
    <t>TXN-202608-045954</t>
  </si>
  <si>
    <t>slip_inventory_2026-08.csv row 820; billing_transactions_2022_2026.csv row 46783</t>
  </si>
  <si>
    <t>GW-0411</t>
  </si>
  <si>
    <t>WL-01859</t>
  </si>
  <si>
    <t>Patricia Delgado</t>
  </si>
  <si>
    <t>GRAY STAR</t>
  </si>
  <si>
    <t>TXN-202608-046031</t>
  </si>
  <si>
    <t>slip_inventory_2026-08.csv row 821; billing_transactions_2022_2026.csv row 46785</t>
  </si>
  <si>
    <t>GW-0412</t>
  </si>
  <si>
    <t>WL-01282</t>
  </si>
  <si>
    <t>Nancy Miller</t>
  </si>
  <si>
    <t>COHO ROCK</t>
  </si>
  <si>
    <t>TXN-202608-046104</t>
  </si>
  <si>
    <t>slip_inventory_2026-08.csv row 822; billing_transactions_2022_2026.csv row 46786</t>
  </si>
  <si>
    <t>GW-0413</t>
  </si>
  <si>
    <t>WL-03767</t>
  </si>
  <si>
    <t>Chad David</t>
  </si>
  <si>
    <t>POINT HARBOR</t>
  </si>
  <si>
    <t>TXN-202608-046165</t>
  </si>
  <si>
    <t>slip_inventory_2026-08.csv row 823; billing_transactions_2022_2026.csv row 46787</t>
  </si>
  <si>
    <t>GW-0414</t>
  </si>
  <si>
    <t>WL-01875</t>
  </si>
  <si>
    <t>Steven Harris</t>
  </si>
  <si>
    <t>SPINDRIFT ROCK</t>
  </si>
  <si>
    <t>TXN-202608-046241</t>
  </si>
  <si>
    <t>slip_inventory_2026-08.csv row 824; billing_transactions_2022_2026.csv row 46788</t>
  </si>
  <si>
    <t>GW-0415</t>
  </si>
  <si>
    <t>WL-02969</t>
  </si>
  <si>
    <t>Anthony Davis</t>
  </si>
  <si>
    <t>SANDERLING ROCK</t>
  </si>
  <si>
    <t>TXN-202608-046288</t>
  </si>
  <si>
    <t>slip_inventory_2026-08.csv row 825; billing_transactions_2022_2026.csv row 46790</t>
  </si>
  <si>
    <t>GW-0416</t>
  </si>
  <si>
    <t>WL-01714</t>
  </si>
  <si>
    <t>Ashley Smith</t>
  </si>
  <si>
    <t>TXN-202608-046332</t>
  </si>
  <si>
    <t>slip_inventory_2026-08.csv row 826; billing_transactions_2022_2026.csv row 46791</t>
  </si>
  <si>
    <t>GW-0417</t>
  </si>
  <si>
    <t>WL-02423</t>
  </si>
  <si>
    <t>Melissa Johnson</t>
  </si>
  <si>
    <t>TXN-202608-046408</t>
  </si>
  <si>
    <t>slip_inventory_2026-08.csv row 827; billing_transactions_2022_2026.csv row 46792</t>
  </si>
  <si>
    <t>GW-0418</t>
  </si>
  <si>
    <t>WL-03144</t>
  </si>
  <si>
    <t>Brandi Jackson</t>
  </si>
  <si>
    <t>CORMORANT WAKE</t>
  </si>
  <si>
    <t>TXN-202608-046457</t>
  </si>
  <si>
    <t>slip_inventory_2026-08.csv row 828; billing_transactions_2022_2026.csv row 46793</t>
  </si>
  <si>
    <t>GW-0419</t>
  </si>
  <si>
    <t>WL-03795</t>
  </si>
  <si>
    <t>Brenda Norman</t>
  </si>
  <si>
    <t>SANDERLING SHORE</t>
  </si>
  <si>
    <t>TXN-202608-046510</t>
  </si>
  <si>
    <t>slip_inventory_2026-08.csv row 829; billing_transactions_2022_2026.csv row 46795</t>
  </si>
  <si>
    <t>GW-0420</t>
  </si>
  <si>
    <t>WL-01133</t>
  </si>
  <si>
    <t>Shelia Lewis</t>
  </si>
  <si>
    <t>SEAL HARBOR</t>
  </si>
  <si>
    <t>TXN-202608-046577</t>
  </si>
  <si>
    <t>slip_inventory_2026-08.csv row 830; billing_transactions_2022_2026.csv row 46796</t>
  </si>
  <si>
    <t>GW-0421</t>
  </si>
  <si>
    <t>WL-01204</t>
  </si>
  <si>
    <t>David Williams</t>
  </si>
  <si>
    <t>CORMORANT REACH</t>
  </si>
  <si>
    <t>TXN-202608-046621</t>
  </si>
  <si>
    <t>slip_inventory_2026-08.csv row 831; billing_transactions_2022_2026.csv row 46797</t>
  </si>
  <si>
    <t>GW-0422</t>
  </si>
  <si>
    <t>WL-03799</t>
  </si>
  <si>
    <t>Ashley Duncan</t>
  </si>
  <si>
    <t>TIDE ROSE</t>
  </si>
  <si>
    <t>TXN-202608-046675</t>
  </si>
  <si>
    <t>slip_inventory_2026-08.csv row 832; billing_transactions_2022_2026.csv row 46798</t>
  </si>
  <si>
    <t>GW-0423</t>
  </si>
  <si>
    <t>WL-02053</t>
  </si>
  <si>
    <t>Erika Smith</t>
  </si>
  <si>
    <t>COHO WAKE</t>
  </si>
  <si>
    <t>TXN-202608-046721</t>
  </si>
  <si>
    <t>slip_inventory_2026-08.csv row 833; billing_transactions_2022_2026.csv row 46799</t>
  </si>
  <si>
    <t>GW-0501</t>
  </si>
  <si>
    <t>WL-01450</t>
  </si>
  <si>
    <t>Joel Barnes</t>
  </si>
  <si>
    <t>DRIFT WIND</t>
  </si>
  <si>
    <t>TXN-202608-046797</t>
  </si>
  <si>
    <t>slip_inventory_2026-08.csv row 834; billing_transactions_2022_2026.csv row 46801</t>
  </si>
  <si>
    <t>GW-0502</t>
  </si>
  <si>
    <t>WL-03559</t>
  </si>
  <si>
    <t>David Sanders</t>
  </si>
  <si>
    <t>KESTREL VEER</t>
  </si>
  <si>
    <t>slip_inventory_2026-08.csv row 835; no matching 2026-08-01 monthly posting in supplied export</t>
  </si>
  <si>
    <t>GW-0503</t>
  </si>
  <si>
    <t>WL-01494</t>
  </si>
  <si>
    <t>Ashley Park</t>
  </si>
  <si>
    <t>COHO WEATHER</t>
  </si>
  <si>
    <t>slip_inventory_2026-08.csv row 836; no matching 2026-08-01 monthly posting in supplied export</t>
  </si>
  <si>
    <t>GW-0504</t>
  </si>
  <si>
    <t>WL-01500</t>
  </si>
  <si>
    <t>Patricia Marquez</t>
  </si>
  <si>
    <t>OSPREY GLIDE</t>
  </si>
  <si>
    <t>slip_inventory_2026-08.csv row 837; no matching 2026-08-01 monthly posting in supplied export</t>
  </si>
  <si>
    <t>GW-0505</t>
  </si>
  <si>
    <t>slip_inventory_2026-08.csv row 838; no matching 2026-08-01 monthly posting in supplied export</t>
  </si>
  <si>
    <t>GW-0506</t>
  </si>
  <si>
    <t>WL-03615</t>
  </si>
  <si>
    <t>Kathryn Cook</t>
  </si>
  <si>
    <t>WIDGEON PASSAGE</t>
  </si>
  <si>
    <t>slip_inventory_2026-08.csv row 839; no matching 2026-08-01 monthly posting in supplied export</t>
  </si>
  <si>
    <t>GW-0507</t>
  </si>
  <si>
    <t>WL-03057</t>
  </si>
  <si>
    <t>Jennifer Stout</t>
  </si>
  <si>
    <t>BRANT ROSE</t>
  </si>
  <si>
    <t>slip_inventory_2026-08.csv row 840; no matching 2026-08-01 monthly posting in supplied export</t>
  </si>
  <si>
    <t>GW-0508</t>
  </si>
  <si>
    <t>WL-03692</t>
  </si>
  <si>
    <t>Warren Wilkins</t>
  </si>
  <si>
    <t>WIDGEON CREST</t>
  </si>
  <si>
    <t>slip_inventory_2026-08.csv row 841; no matching 2026-08-01 monthly posting in supplied export</t>
  </si>
  <si>
    <t>GW-0509</t>
  </si>
  <si>
    <t>WL-03850</t>
  </si>
  <si>
    <t>Teresa Greer</t>
  </si>
  <si>
    <t>slip_inventory_2026-08.csv row 842; no matching 2026-08-01 monthly posting in supplied export</t>
  </si>
  <si>
    <t>GW-0511</t>
  </si>
  <si>
    <t>WL-02804</t>
  </si>
  <si>
    <t>Danny Jones</t>
  </si>
  <si>
    <t>slip_inventory_2026-08.csv row 844; no matching 2026-08-01 monthly posting in supplied export</t>
  </si>
  <si>
    <t>GW-0512</t>
  </si>
  <si>
    <t>WL-03869</t>
  </si>
  <si>
    <t>Seth Raymond</t>
  </si>
  <si>
    <t>slip_inventory_2026-08.csv row 845; no matching 2026-08-01 monthly posting in supplied export</t>
  </si>
  <si>
    <t>GW-0513</t>
  </si>
  <si>
    <t>WL-03045</t>
  </si>
  <si>
    <t>Karen Davis</t>
  </si>
  <si>
    <t>GRAY BAY</t>
  </si>
  <si>
    <t>slip_inventory_2026-08.csv row 846; no matching 2026-08-01 monthly posting in supplied export</t>
  </si>
  <si>
    <t>GW-0514</t>
  </si>
  <si>
    <t>WL-03143</t>
  </si>
  <si>
    <t>Timothy Jennings</t>
  </si>
  <si>
    <t>POINT RUNNER</t>
  </si>
  <si>
    <t>slip_inventory_2026-08.csv row 847; no matching 2026-08-01 monthly posting in supplied export</t>
  </si>
  <si>
    <t>GW-0515</t>
  </si>
  <si>
    <t>WL-02025</t>
  </si>
  <si>
    <t>Haley Johnson</t>
  </si>
  <si>
    <t>slip_inventory_2026-08.csv row 848; no matching 2026-08-01 monthly posting in supplied export</t>
  </si>
  <si>
    <t>GW-0516</t>
  </si>
  <si>
    <t>WL-01072</t>
  </si>
  <si>
    <t>Sabrina Johnson</t>
  </si>
  <si>
    <t>SABLE LIGHT</t>
  </si>
  <si>
    <t>slip_inventory_2026-08.csv row 849; no matching 2026-08-01 monthly posting in supplied export</t>
  </si>
  <si>
    <t>GW-0517</t>
  </si>
  <si>
    <t>WL-01986</t>
  </si>
  <si>
    <t>Leah Blake</t>
  </si>
  <si>
    <t>slip_inventory_2026-08.csv row 850; no matching 2026-08-01 monthly posting in supplied export</t>
  </si>
  <si>
    <t>GW-0518</t>
  </si>
  <si>
    <t>WL-02212</t>
  </si>
  <si>
    <t>Jeffery Delacruz</t>
  </si>
  <si>
    <t>slip_inventory_2026-08.csv row 851; no matching 2026-08-01 monthly posting in supplied export</t>
  </si>
  <si>
    <t>GW-0519</t>
  </si>
  <si>
    <t>WL-03269</t>
  </si>
  <si>
    <t>Maria Schultz</t>
  </si>
  <si>
    <t>DRIFT LIGHT</t>
  </si>
  <si>
    <t>slip_inventory_2026-08.csv row 852; no matching 2026-08-01 monthly posting in supplied export</t>
  </si>
  <si>
    <t>GW-0520</t>
  </si>
  <si>
    <t>WL-01266</t>
  </si>
  <si>
    <t>Derek Kirby</t>
  </si>
  <si>
    <t>SEAL ROSE</t>
  </si>
  <si>
    <t>slip_inventory_2026-08.csv row 853; no matching 2026-08-01 monthly posting in supplied export</t>
  </si>
  <si>
    <t>GW-0521</t>
  </si>
  <si>
    <t>WL-01548</t>
  </si>
  <si>
    <t>William Brown</t>
  </si>
  <si>
    <t>FOUL HARBOR</t>
  </si>
  <si>
    <t>slip_inventory_2026-08.csv row 854; no matching 2026-08-01 monthly posting in supplied export</t>
  </si>
  <si>
    <t>GW-0522</t>
  </si>
  <si>
    <t>WL-03183</t>
  </si>
  <si>
    <t>Daniel Stevens</t>
  </si>
  <si>
    <t>OTTER ANN</t>
  </si>
  <si>
    <t>slip_inventory_2026-08.csv row 855; no matching 2026-08-01 monthly posting in supplied export</t>
  </si>
  <si>
    <t>GW-0523</t>
  </si>
  <si>
    <t>WL-02124</t>
  </si>
  <si>
    <t>Laura French</t>
  </si>
  <si>
    <t>SALISH MOON</t>
  </si>
  <si>
    <t>slip_inventory_2026-08.csv row 856; no matching 2026-08-01 monthly posting in supplied export</t>
  </si>
  <si>
    <t>GW-0601</t>
  </si>
  <si>
    <t>WL-01097</t>
  </si>
  <si>
    <t>Alexis Walters</t>
  </si>
  <si>
    <t>slip_inventory_2026-08.csv row 857; no matching 2026-08-01 monthly posting in supplied export</t>
  </si>
  <si>
    <t>GW-0603</t>
  </si>
  <si>
    <t>WL-02089</t>
  </si>
  <si>
    <t>Todd Butler</t>
  </si>
  <si>
    <t>slip_inventory_2026-08.csv row 859; no matching 2026-08-01 monthly posting in supplied export</t>
  </si>
  <si>
    <t>GW-0604</t>
  </si>
  <si>
    <t>WL-02770</t>
  </si>
  <si>
    <t>Henry Okafor</t>
  </si>
  <si>
    <t>slip_inventory_2026-08.csv row 860; no matching 2026-08-01 monthly posting in supplied export</t>
  </si>
  <si>
    <t>GW-0605</t>
  </si>
  <si>
    <t>WL-03366</t>
  </si>
  <si>
    <t>Jose Mckinney</t>
  </si>
  <si>
    <t>slip_inventory_2026-08.csv row 861; no matching 2026-08-01 monthly posting in supplied export</t>
  </si>
  <si>
    <t>GW-0606</t>
  </si>
  <si>
    <t>WL-01260</t>
  </si>
  <si>
    <t>Dale Thomas</t>
  </si>
  <si>
    <t>POINT WAKE</t>
  </si>
  <si>
    <t>slip_inventory_2026-08.csv row 862; no matching 2026-08-01 monthly posting in supplied export</t>
  </si>
  <si>
    <t>GW-0607</t>
  </si>
  <si>
    <t>WL-01881</t>
  </si>
  <si>
    <t>William Bennett</t>
  </si>
  <si>
    <t>slip_inventory_2026-08.csv row 863; no matching 2026-08-01 monthly posting in supplied export</t>
  </si>
  <si>
    <t>GW-0608</t>
  </si>
  <si>
    <t>WL-02296</t>
  </si>
  <si>
    <t>Jason Miller</t>
  </si>
  <si>
    <t>DRIFT PASSAGE</t>
  </si>
  <si>
    <t>slip_inventory_2026-08.csv row 864; no matching 2026-08-01 monthly posting in supplied export</t>
  </si>
  <si>
    <t>GW-0609</t>
  </si>
  <si>
    <t>WL-02915</t>
  </si>
  <si>
    <t>Lori Cook</t>
  </si>
  <si>
    <t>slip_inventory_2026-08.csv row 865; no matching 2026-08-01 monthly posting in supplied export</t>
  </si>
  <si>
    <t>WL-01206</t>
  </si>
  <si>
    <t>Cynthia Taylor</t>
  </si>
  <si>
    <t>slip_inventory_2026-08.csv row 866; no matching 2026-08-01 monthly posting in supplied export</t>
  </si>
  <si>
    <t>GW-0612</t>
  </si>
  <si>
    <t>WL-02970</t>
  </si>
  <si>
    <t>William Robles</t>
  </si>
  <si>
    <t>slip_inventory_2026-08.csv row 868; no matching 2026-08-01 monthly posting in supplied export</t>
  </si>
  <si>
    <t>GW-0613</t>
  </si>
  <si>
    <t>WL-02426</t>
  </si>
  <si>
    <t>Joshua Cherry</t>
  </si>
  <si>
    <t>slip_inventory_2026-08.csv row 869; no matching 2026-08-01 monthly posting in supplied export</t>
  </si>
  <si>
    <t>GW-0614</t>
  </si>
  <si>
    <t>WL-01995</t>
  </si>
  <si>
    <t>Tiffany Russell</t>
  </si>
  <si>
    <t>CORMORANT ROCK</t>
  </si>
  <si>
    <t>slip_inventory_2026-08.csv row 870; no matching 2026-08-01 monthly posting in supplied export</t>
  </si>
  <si>
    <t>GW-0615</t>
  </si>
  <si>
    <t>WL-01702</t>
  </si>
  <si>
    <t>Larry Carr</t>
  </si>
  <si>
    <t>slip_inventory_2026-08.csv row 871; no matching 2026-08-01 monthly posting in supplied export</t>
  </si>
  <si>
    <t>GW-0617</t>
  </si>
  <si>
    <t>WL-02400</t>
  </si>
  <si>
    <t>Sierra Washington</t>
  </si>
  <si>
    <t>slip_inventory_2026-08.csv row 873; no matching 2026-08-01 monthly posting in supplied export</t>
  </si>
  <si>
    <t>GW-0618</t>
  </si>
  <si>
    <t>WL-03467</t>
  </si>
  <si>
    <t>Juan Ray</t>
  </si>
  <si>
    <t>ANCHOR SONG</t>
  </si>
  <si>
    <t>slip_inventory_2026-08.csv row 874; no matching 2026-08-01 monthly posting in supplied export</t>
  </si>
  <si>
    <t>GW-0619</t>
  </si>
  <si>
    <t>WL-03110</t>
  </si>
  <si>
    <t>Randy Ramos</t>
  </si>
  <si>
    <t>SABLE STAR</t>
  </si>
  <si>
    <t>slip_inventory_2026-08.csv row 875; no matching 2026-08-01 monthly posting in supplied export</t>
  </si>
  <si>
    <t>GW-0620</t>
  </si>
  <si>
    <t>WL-01357</t>
  </si>
  <si>
    <t>Cody Rose</t>
  </si>
  <si>
    <t>slip_inventory_2026-08.csv row 876; no matching 2026-08-01 monthly posting in supplied export</t>
  </si>
  <si>
    <t>GW-0621</t>
  </si>
  <si>
    <t>WL-03595</t>
  </si>
  <si>
    <t>Roger Johnson</t>
  </si>
  <si>
    <t>KESTREL ANN</t>
  </si>
  <si>
    <t>slip_inventory_2026-08.csv row 877; no matching 2026-08-01 monthly posting in supplied export</t>
  </si>
  <si>
    <t>GW-0622</t>
  </si>
  <si>
    <t>WL-01075</t>
  </si>
  <si>
    <t>Ryan Gilmore</t>
  </si>
  <si>
    <t>slip_inventory_2026-08.csv row 878; no matching 2026-08-01 monthly posting in supplied export</t>
  </si>
  <si>
    <t>GW-0623</t>
  </si>
  <si>
    <t>WL-03819</t>
  </si>
  <si>
    <t>Anna Wu</t>
  </si>
  <si>
    <t>slip_inventory_2026-08.csv row 879; no matching 2026-08-01 monthly posting in supplied export</t>
  </si>
  <si>
    <t>GW-0702</t>
  </si>
  <si>
    <t>WL-02050</t>
  </si>
  <si>
    <t>John Howard</t>
  </si>
  <si>
    <t>SCOTER SOUND</t>
  </si>
  <si>
    <t>slip_inventory_2026-08.csv row 881; no matching 2026-08-01 monthly posting in supplied export</t>
  </si>
  <si>
    <t>GW-0703</t>
  </si>
  <si>
    <t>WL-02415</t>
  </si>
  <si>
    <t>Valerie Nelson</t>
  </si>
  <si>
    <t>slip_inventory_2026-08.csv row 882; no matching 2026-08-01 monthly posting in supplied export</t>
  </si>
  <si>
    <t>GW-0704</t>
  </si>
  <si>
    <t>WL-01016</t>
  </si>
  <si>
    <t>Jared Mosley</t>
  </si>
  <si>
    <t>slip_inventory_2026-08.csv row 883; no matching 2026-08-01 monthly posting in supplied export</t>
  </si>
  <si>
    <t>GW-0705</t>
  </si>
  <si>
    <t>WL-03168</t>
  </si>
  <si>
    <t>Danielle Mckinney</t>
  </si>
  <si>
    <t>HALIBUT ROCK</t>
  </si>
  <si>
    <t>slip_inventory_2026-08.csv row 884; no matching 2026-08-01 monthly posting in supplied export</t>
  </si>
  <si>
    <t>GW-0706</t>
  </si>
  <si>
    <t>WL-02503</t>
  </si>
  <si>
    <t>Molly Holland</t>
  </si>
  <si>
    <t>OTTER RUNNER</t>
  </si>
  <si>
    <t>slip_inventory_2026-08.csv row 885; no matching 2026-08-01 monthly posting in supplied export</t>
  </si>
  <si>
    <t>GW-0707</t>
  </si>
  <si>
    <t>WL-01688</t>
  </si>
  <si>
    <t>Michael Gardner</t>
  </si>
  <si>
    <t>slip_inventory_2026-08.csv row 886; no matching 2026-08-01 monthly posting in supplied export</t>
  </si>
  <si>
    <t>GW-0708</t>
  </si>
  <si>
    <t>WL-01438</t>
  </si>
  <si>
    <t>Angela Whitehead</t>
  </si>
  <si>
    <t>KESTREL SOUND</t>
  </si>
  <si>
    <t>slip_inventory_2026-08.csv row 887; no matching 2026-08-01 monthly posting in supplied export</t>
  </si>
  <si>
    <t>GW-0710</t>
  </si>
  <si>
    <t>WL-01445</t>
  </si>
  <si>
    <t>Kyle Estes</t>
  </si>
  <si>
    <t>SCOTER WEATHER</t>
  </si>
  <si>
    <t>slip_inventory_2026-08.csv row 889; no matching 2026-08-01 monthly posting in supplied export</t>
  </si>
  <si>
    <t>GW-0711</t>
  </si>
  <si>
    <t>WL-01119</t>
  </si>
  <si>
    <t>Holly Kennedy</t>
  </si>
  <si>
    <t>POINT WIND</t>
  </si>
  <si>
    <t>slip_inventory_2026-08.csv row 890; no matching 2026-08-01 monthly posting in supplied export</t>
  </si>
  <si>
    <t>GW-0712</t>
  </si>
  <si>
    <t>WL-01578</t>
  </si>
  <si>
    <t>Ashley Green</t>
  </si>
  <si>
    <t>MURRE WAKE</t>
  </si>
  <si>
    <t>slip_inventory_2026-08.csv row 891; no matching 2026-08-01 monthly posting in supplied export</t>
  </si>
  <si>
    <t>GW-0713</t>
  </si>
  <si>
    <t>WL-02476</t>
  </si>
  <si>
    <t>Dana Becker</t>
  </si>
  <si>
    <t>OTTER ROSE</t>
  </si>
  <si>
    <t>slip_inventory_2026-08.csv row 892; no matching 2026-08-01 monthly posting in supplied export</t>
  </si>
  <si>
    <t>GW-0714</t>
  </si>
  <si>
    <t>WL-01459</t>
  </si>
  <si>
    <t>Brian Green</t>
  </si>
  <si>
    <t>PETREL MOON</t>
  </si>
  <si>
    <t>slip_inventory_2026-08.csv row 893; no matching 2026-08-01 monthly posting in supplied export</t>
  </si>
  <si>
    <t>GW-0715</t>
  </si>
  <si>
    <t>WL-03752</t>
  </si>
  <si>
    <t>Timothy Soto</t>
  </si>
  <si>
    <t>POINT ROCK</t>
  </si>
  <si>
    <t>slip_inventory_2026-08.csv row 894; no matching 2026-08-01 monthly posting in supplied export</t>
  </si>
  <si>
    <t>GW-0716</t>
  </si>
  <si>
    <t>WL-02814</t>
  </si>
  <si>
    <t>John Hammond</t>
  </si>
  <si>
    <t>slip_inventory_2026-08.csv row 895; no matching 2026-08-01 monthly posting in supplied export</t>
  </si>
  <si>
    <t>GW-0717</t>
  </si>
  <si>
    <t>WL-01882</t>
  </si>
  <si>
    <t>Dennis Shepard</t>
  </si>
  <si>
    <t>OSPREY MOON</t>
  </si>
  <si>
    <t>slip_inventory_2026-08.csv row 896; no matching 2026-08-01 monthly posting in supplied export</t>
  </si>
  <si>
    <t>GW-0719</t>
  </si>
  <si>
    <t>WL-03504</t>
  </si>
  <si>
    <t>Paul Brady</t>
  </si>
  <si>
    <t>slip_inventory_2026-08.csv row 898; no matching 2026-08-01 monthly posting in supplied export</t>
  </si>
  <si>
    <t>GW-0720</t>
  </si>
  <si>
    <t>WL-03312</t>
  </si>
  <si>
    <t>Karla Thomas</t>
  </si>
  <si>
    <t>slip_inventory_2026-08.csv row 899; no matching 2026-08-01 monthly posting in supplied export</t>
  </si>
  <si>
    <t>GW-0721</t>
  </si>
  <si>
    <t>WL-03215</t>
  </si>
  <si>
    <t>Eric Simmons</t>
  </si>
  <si>
    <t>HALIBUT WAKE</t>
  </si>
  <si>
    <t>slip_inventory_2026-08.csv row 900; no matching 2026-08-01 monthly posting in supplied export</t>
  </si>
  <si>
    <t>GW-0722</t>
  </si>
  <si>
    <t>WL-01180</t>
  </si>
  <si>
    <t>Rachel Smith</t>
  </si>
  <si>
    <t>COHO SONG</t>
  </si>
  <si>
    <t>slip_inventory_2026-08.csv row 901; no matching 2026-08-01 monthly posting in supplied export</t>
  </si>
  <si>
    <t>GW-0723</t>
  </si>
  <si>
    <t>WL-01389</t>
  </si>
  <si>
    <t>Brian White</t>
  </si>
  <si>
    <t>slip_inventory_2026-08.csv row 902; no matching 2026-08-01 monthly posting in supplied export</t>
  </si>
  <si>
    <t>GW-0802</t>
  </si>
  <si>
    <t>WL-01314</t>
  </si>
  <si>
    <t>Bobby Peterson</t>
  </si>
  <si>
    <t>SCOTER QUEEN</t>
  </si>
  <si>
    <t>slip_inventory_2026-08.csv row 904; no matching 2026-08-01 monthly posting in supplied export</t>
  </si>
  <si>
    <t>GW-0803</t>
  </si>
  <si>
    <t>WL-01235</t>
  </si>
  <si>
    <t>Stacy Wilkins</t>
  </si>
  <si>
    <t>TIDE SONG</t>
  </si>
  <si>
    <t>slip_inventory_2026-08.csv row 905; no matching 2026-08-01 monthly posting in supplied export</t>
  </si>
  <si>
    <t>GW-0804</t>
  </si>
  <si>
    <t>WL-01915</t>
  </si>
  <si>
    <t>Sara Fox</t>
  </si>
  <si>
    <t>DRIFT SONG</t>
  </si>
  <si>
    <t>slip_inventory_2026-08.csv row 906; no matching 2026-08-01 monthly posting in supplied export</t>
  </si>
  <si>
    <t>GW-0805</t>
  </si>
  <si>
    <t>WL-03828</t>
  </si>
  <si>
    <t>Kristen Pittman</t>
  </si>
  <si>
    <t>HALIBUT RUNNER</t>
  </si>
  <si>
    <t>slip_inventory_2026-08.csv row 907; no matching 2026-08-01 monthly posting in supplied export</t>
  </si>
  <si>
    <t>GW-0806</t>
  </si>
  <si>
    <t>WL-03113</t>
  </si>
  <si>
    <t>Dale Martin</t>
  </si>
  <si>
    <t>slip_inventory_2026-08.csv row 908; no matching 2026-08-01 monthly posting in supplied export</t>
  </si>
  <si>
    <t>GW-0807</t>
  </si>
  <si>
    <t>WL-01110</t>
  </si>
  <si>
    <t>Ryan Jones</t>
  </si>
  <si>
    <t>HERON STAR</t>
  </si>
  <si>
    <t>slip_inventory_2026-08.csv row 909; no matching 2026-08-01 monthly posting in supplied export</t>
  </si>
  <si>
    <t>GW-0808</t>
  </si>
  <si>
    <t>WL-02125</t>
  </si>
  <si>
    <t>Fred Powell</t>
  </si>
  <si>
    <t>SABLE PASSAGE</t>
  </si>
  <si>
    <t>slip_inventory_2026-08.csv row 910; no matching 2026-08-01 monthly posting in supplied export</t>
  </si>
  <si>
    <t>GW-0809</t>
  </si>
  <si>
    <t>WL-02028</t>
  </si>
  <si>
    <t>Stephanie Shepard</t>
  </si>
  <si>
    <t>slip_inventory_2026-08.csv row 911; no matching 2026-08-01 monthly posting in supplied export</t>
  </si>
  <si>
    <t>GW-0810</t>
  </si>
  <si>
    <t>WL-03527</t>
  </si>
  <si>
    <t>Ashley Logan</t>
  </si>
  <si>
    <t>slip_inventory_2026-08.csv row 912; no matching 2026-08-01 monthly posting in supplied export</t>
  </si>
  <si>
    <t>GW-0811</t>
  </si>
  <si>
    <t>WL-02325</t>
  </si>
  <si>
    <t>Lisa Brown</t>
  </si>
  <si>
    <t>slip_inventory_2026-08.csv row 913; no matching 2026-08-01 monthly posting in supplied export</t>
  </si>
  <si>
    <t>GW-0812</t>
  </si>
  <si>
    <t>WL-02726</t>
  </si>
  <si>
    <t>Michelle Herman</t>
  </si>
  <si>
    <t>HALIBUT WEATHER</t>
  </si>
  <si>
    <t>slip_inventory_2026-08.csv row 914; no matching 2026-08-01 monthly posting in supplied export</t>
  </si>
  <si>
    <t>GW-0813</t>
  </si>
  <si>
    <t>WL-01147</t>
  </si>
  <si>
    <t>Rachel Burnett</t>
  </si>
  <si>
    <t>CORMORANT PASSAGE</t>
  </si>
  <si>
    <t>slip_inventory_2026-08.csv row 915; no matching 2026-08-01 monthly posting in supplied export</t>
  </si>
  <si>
    <t>GW-0814</t>
  </si>
  <si>
    <t>WL-03573</t>
  </si>
  <si>
    <t>Kathy Sanchez</t>
  </si>
  <si>
    <t>TIDE WEATHER</t>
  </si>
  <si>
    <t>slip_inventory_2026-08.csv row 916; no matching 2026-08-01 monthly posting in supplied export</t>
  </si>
  <si>
    <t>GW-0816</t>
  </si>
  <si>
    <t>WL-01044</t>
  </si>
  <si>
    <t>Craig Mason</t>
  </si>
  <si>
    <t>slip_inventory_2026-08.csv row 918; no matching 2026-08-01 monthly posting in supplied export</t>
  </si>
  <si>
    <t>GW-0817</t>
  </si>
  <si>
    <t>WL-03408</t>
  </si>
  <si>
    <t>Mark Phillips</t>
  </si>
  <si>
    <t>slip_inventory_2026-08.csv row 919; no matching 2026-08-01 monthly posting in supplied export</t>
  </si>
  <si>
    <t>GW-0818</t>
  </si>
  <si>
    <t>WL-03081</t>
  </si>
  <si>
    <t>Casey Ortiz</t>
  </si>
  <si>
    <t>slip_inventory_2026-08.csv row 920; no matching 2026-08-01 monthly posting in supplied export</t>
  </si>
  <si>
    <t>GW-0819</t>
  </si>
  <si>
    <t>WL-01022</t>
  </si>
  <si>
    <t>Brett Cooley</t>
  </si>
  <si>
    <t>slip_inventory_2026-08.csv row 921; no matching 2026-08-01 monthly posting in supplied export</t>
  </si>
  <si>
    <t>GW-0820</t>
  </si>
  <si>
    <t>WL-03760</t>
  </si>
  <si>
    <t>Samantha Herring</t>
  </si>
  <si>
    <t>DRIFT REACH</t>
  </si>
  <si>
    <t>slip_inventory_2026-08.csv row 922; no matching 2026-08-01 monthly posting in supplied export</t>
  </si>
  <si>
    <t>GW-0821</t>
  </si>
  <si>
    <t>WL-02465</t>
  </si>
  <si>
    <t>Clinton Cox</t>
  </si>
  <si>
    <t>OTTER WIND</t>
  </si>
  <si>
    <t>slip_inventory_2026-08.csv row 923; no matching 2026-08-01 monthly posting in supplied export</t>
  </si>
  <si>
    <t>GW-0822</t>
  </si>
  <si>
    <t>WL-02630</t>
  </si>
  <si>
    <t>Susan Snow</t>
  </si>
  <si>
    <t>GRAY VEER</t>
  </si>
  <si>
    <t>slip_inventory_2026-08.csv row 924; no matching 2026-08-01 monthly posting in supplied export</t>
  </si>
  <si>
    <t>GW-0823</t>
  </si>
  <si>
    <t>WL-01825</t>
  </si>
  <si>
    <t>Charles Krause</t>
  </si>
  <si>
    <t>slip_inventory_2026-08.csv row 925; no matching 2026-08-01 monthly posting in supplied export</t>
  </si>
  <si>
    <t>GW-0901</t>
  </si>
  <si>
    <t>WL-03757</t>
  </si>
  <si>
    <t>Stephanie Webb</t>
  </si>
  <si>
    <t>SALISH RUNNER</t>
  </si>
  <si>
    <t>slip_inventory_2026-08.csv row 926; no matching 2026-08-01 monthly posting in supplied export</t>
  </si>
  <si>
    <t>WL-02131</t>
  </si>
  <si>
    <t>Richard Thompson</t>
  </si>
  <si>
    <t>SCOTER WAKE</t>
  </si>
  <si>
    <t>slip_inventory_2026-08.csv row 927; no matching 2026-08-01 monthly posting in supplied export</t>
  </si>
  <si>
    <t>GW-0903</t>
  </si>
  <si>
    <t>WL-03429</t>
  </si>
  <si>
    <t>Daniel Perez</t>
  </si>
  <si>
    <t>slip_inventory_2026-08.csv row 928; no matching 2026-08-01 monthly posting in supplied export</t>
  </si>
  <si>
    <t>GW-0904</t>
  </si>
  <si>
    <t>WL-02021</t>
  </si>
  <si>
    <t>Andrew Medina</t>
  </si>
  <si>
    <t>PETREL SHORE</t>
  </si>
  <si>
    <t>slip_inventory_2026-08.csv row 929; no matching 2026-08-01 monthly posting in supplied export</t>
  </si>
  <si>
    <t>GW-0905</t>
  </si>
  <si>
    <t>WL-02101</t>
  </si>
  <si>
    <t>David Green</t>
  </si>
  <si>
    <t>WIDGEON ROSE</t>
  </si>
  <si>
    <t>slip_inventory_2026-08.csv row 930; no matching 2026-08-01 monthly posting in supplied export</t>
  </si>
  <si>
    <t>GW-0906</t>
  </si>
  <si>
    <t>WL-01794</t>
  </si>
  <si>
    <t>Holly Thomas</t>
  </si>
  <si>
    <t>slip_inventory_2026-08.csv row 931; no matching 2026-08-01 monthly posting in supplied export</t>
  </si>
  <si>
    <t>GW-0907</t>
  </si>
  <si>
    <t>WL-02365</t>
  </si>
  <si>
    <t>Sophia Williams</t>
  </si>
  <si>
    <t>FOUL ROSE</t>
  </si>
  <si>
    <t>slip_inventory_2026-08.csv row 932; no matching 2026-08-01 monthly posting in supplied export</t>
  </si>
  <si>
    <t>GW-0908</t>
  </si>
  <si>
    <t>WL-01615</t>
  </si>
  <si>
    <t>Melissa Gaines</t>
  </si>
  <si>
    <t>DRIFT HARBOR</t>
  </si>
  <si>
    <t>slip_inventory_2026-08.csv row 933; no matching 2026-08-01 monthly posting in supplied export</t>
  </si>
  <si>
    <t>GW-0909</t>
  </si>
  <si>
    <t>WL-01033</t>
  </si>
  <si>
    <t>Jodi Gonzalez</t>
  </si>
  <si>
    <t>slip_inventory_2026-08.csv row 934; no matching 2026-08-01 monthly posting in supplied export</t>
  </si>
  <si>
    <t>GW-0910</t>
  </si>
  <si>
    <t>WL-01532</t>
  </si>
  <si>
    <t>Bradley Mejia</t>
  </si>
  <si>
    <t>slip_inventory_2026-08.csv row 935; no matching 2026-08-01 monthly posting in supplied export</t>
  </si>
  <si>
    <t>GW-0911</t>
  </si>
  <si>
    <t>WL-03632</t>
  </si>
  <si>
    <t>Melissa Wallace</t>
  </si>
  <si>
    <t>SALISH LINE</t>
  </si>
  <si>
    <t>slip_inventory_2026-08.csv row 936; no matching 2026-08-01 monthly posting in supplied export</t>
  </si>
  <si>
    <t>GW-0912</t>
  </si>
  <si>
    <t>WL-02341</t>
  </si>
  <si>
    <t>David Stewart</t>
  </si>
  <si>
    <t>SPINDRIFT REACH</t>
  </si>
  <si>
    <t>slip_inventory_2026-08.csv row 937; no matching 2026-08-01 monthly posting in supplied export</t>
  </si>
  <si>
    <t>GW-0913</t>
  </si>
  <si>
    <t>slip_inventory_2026-08.csv row 938; no matching 2026-08-01 monthly posting in supplied export</t>
  </si>
  <si>
    <t>GW-0914</t>
  </si>
  <si>
    <t>WL-01460</t>
  </si>
  <si>
    <t>Lori Maldonado</t>
  </si>
  <si>
    <t>PINTAIL SHORE</t>
  </si>
  <si>
    <t>slip_inventory_2026-08.csv row 939; no matching 2026-08-01 monthly posting in supplied export</t>
  </si>
  <si>
    <t>GW-0915</t>
  </si>
  <si>
    <t>WL-03866</t>
  </si>
  <si>
    <t>Jacqueline Anderson</t>
  </si>
  <si>
    <t>ANCHOR CREST</t>
  </si>
  <si>
    <t>slip_inventory_2026-08.csv row 940; no matching 2026-08-01 monthly posting in supplied export</t>
  </si>
  <si>
    <t>GW-0916</t>
  </si>
  <si>
    <t>WL-01914</t>
  </si>
  <si>
    <t>Danny Flores</t>
  </si>
  <si>
    <t>slip_inventory_2026-08.csv row 941; no matching 2026-08-01 monthly posting in supplied export</t>
  </si>
  <si>
    <t>GW-0917</t>
  </si>
  <si>
    <t>WL-02603</t>
  </si>
  <si>
    <t>Sharon Lopez</t>
  </si>
  <si>
    <t>slip_inventory_2026-08.csv row 942; no matching 2026-08-01 monthly posting in supplied export</t>
  </si>
  <si>
    <t>GW-0918</t>
  </si>
  <si>
    <t>WL-03172</t>
  </si>
  <si>
    <t>Jessica Sanford</t>
  </si>
  <si>
    <t>SALISH QUEEN</t>
  </si>
  <si>
    <t>slip_inventory_2026-08.csv row 943; no matching 2026-08-01 monthly posting in supplied export</t>
  </si>
  <si>
    <t>GW-0919</t>
  </si>
  <si>
    <t>WL-01940</t>
  </si>
  <si>
    <t>Kelly Howell</t>
  </si>
  <si>
    <t>slip_inventory_2026-08.csv row 944; no matching 2026-08-01 monthly posting in supplied export</t>
  </si>
  <si>
    <t>GW-0920</t>
  </si>
  <si>
    <t>WL-01338</t>
  </si>
  <si>
    <t>Philip Simpson</t>
  </si>
  <si>
    <t>MURRE STAR</t>
  </si>
  <si>
    <t>slip_inventory_2026-08.csv row 945; no matching 2026-08-01 monthly posting in supplied export</t>
  </si>
  <si>
    <t>GW-0921</t>
  </si>
  <si>
    <t>WL-02657</t>
  </si>
  <si>
    <t>Keith Barr</t>
  </si>
  <si>
    <t>slip_inventory_2026-08.csv row 946; no matching 2026-08-01 monthly posting in supplied export</t>
  </si>
  <si>
    <t>GW-0922</t>
  </si>
  <si>
    <t>WL-03531</t>
  </si>
  <si>
    <t>Nicole Golden</t>
  </si>
  <si>
    <t>slip_inventory_2026-08.csv row 947; no matching 2026-08-01 monthly posting in supplied export</t>
  </si>
  <si>
    <t>GW-0923</t>
  </si>
  <si>
    <t>WL-02574</t>
  </si>
  <si>
    <t>Elizabeth Larsen</t>
  </si>
  <si>
    <t>HERON ANN</t>
  </si>
  <si>
    <t>slip_inventory_2026-08.csv row 948; no matching 2026-08-01 monthly posting in supplied export</t>
  </si>
  <si>
    <t>GW-1001</t>
  </si>
  <si>
    <t>WL-02083</t>
  </si>
  <si>
    <t>Brandon Choi</t>
  </si>
  <si>
    <t>slip_inventory_2026-08.csv row 949; no matching 2026-08-01 monthly posting in supplied export</t>
  </si>
  <si>
    <t>GW-1002</t>
  </si>
  <si>
    <t>WL-01108</t>
  </si>
  <si>
    <t>Evelyn Thomas</t>
  </si>
  <si>
    <t>OTTER MOON</t>
  </si>
  <si>
    <t>slip_inventory_2026-08.csv row 950; no matching 2026-08-01 monthly posting in supplied export</t>
  </si>
  <si>
    <t>GW-1003</t>
  </si>
  <si>
    <t>WL-03052</t>
  </si>
  <si>
    <t>Jenna Marsh</t>
  </si>
  <si>
    <t>slip_inventory_2026-08.csv row 951; no matching 2026-08-01 monthly posting in supplied export</t>
  </si>
  <si>
    <t>GW-1004</t>
  </si>
  <si>
    <t>WL-03149</t>
  </si>
  <si>
    <t>Todd Williams</t>
  </si>
  <si>
    <t>slip_inventory_2026-08.csv row 952; no matching 2026-08-01 monthly posting in supplied export</t>
  </si>
  <si>
    <t>GW-1005</t>
  </si>
  <si>
    <t>WL-03191</t>
  </si>
  <si>
    <t>William Lam</t>
  </si>
  <si>
    <t>OTTER LIGHT</t>
  </si>
  <si>
    <t>slip_inventory_2026-08.csv row 953; no matching 2026-08-01 monthly posting in supplied export</t>
  </si>
  <si>
    <t>GW-1006</t>
  </si>
  <si>
    <t>WL-02170</t>
  </si>
  <si>
    <t>Robin Duke</t>
  </si>
  <si>
    <t>slip_inventory_2026-08.csv row 954; no matching 2026-08-01 monthly posting in supplied export</t>
  </si>
  <si>
    <t>GW-1007</t>
  </si>
  <si>
    <t>WL-01742</t>
  </si>
  <si>
    <t>Robert Smith</t>
  </si>
  <si>
    <t>slip_inventory_2026-08.csv row 955; no matching 2026-08-01 monthly posting in supplied export</t>
  </si>
  <si>
    <t>GW-1008</t>
  </si>
  <si>
    <t>WL-03216</t>
  </si>
  <si>
    <t>Nancy Branch</t>
  </si>
  <si>
    <t>CORMORANT WEATHER</t>
  </si>
  <si>
    <t>slip_inventory_2026-08.csv row 956; no matching 2026-08-01 monthly posting in supplied export</t>
  </si>
  <si>
    <t>GW-1009</t>
  </si>
  <si>
    <t>WL-03228</t>
  </si>
  <si>
    <t>Roy Stuart</t>
  </si>
  <si>
    <t>slip_inventory_2026-08.csv row 957; no matching 2026-08-01 monthly posting in supplied export</t>
  </si>
  <si>
    <t>GW-1010</t>
  </si>
  <si>
    <t>WL-01543</t>
  </si>
  <si>
    <t>Charles Gomez</t>
  </si>
  <si>
    <t>SANDERLING RUNNER</t>
  </si>
  <si>
    <t>slip_inventory_2026-08.csv row 958; no matching 2026-08-01 monthly posting in supplied export</t>
  </si>
  <si>
    <t>GW-1011</t>
  </si>
  <si>
    <t>WL-02258</t>
  </si>
  <si>
    <t>Katrina Griffin</t>
  </si>
  <si>
    <t>slip_inventory_2026-08.csv row 959; no matching 2026-08-01 monthly posting in supplied export</t>
  </si>
  <si>
    <t>GW-1012</t>
  </si>
  <si>
    <t>WL-01480</t>
  </si>
  <si>
    <t>Kaitlin Meyer</t>
  </si>
  <si>
    <t>ANCHOR MIST</t>
  </si>
  <si>
    <t>slip_inventory_2026-08.csv row 960; no matching 2026-08-01 monthly posting in supplied export</t>
  </si>
  <si>
    <t>WL-02038</t>
  </si>
  <si>
    <t>Patricia Thomas</t>
  </si>
  <si>
    <t>slip_inventory_2026-08.csv row 961; no matching 2026-08-01 monthly posting in supplied export</t>
  </si>
  <si>
    <t>GW-1014</t>
  </si>
  <si>
    <t>WL-03067</t>
  </si>
  <si>
    <t>Eric Thomas</t>
  </si>
  <si>
    <t>ANCHOR ROSE</t>
  </si>
  <si>
    <t>slip_inventory_2026-08.csv row 962; no matching 2026-08-01 monthly posting in supplied export</t>
  </si>
  <si>
    <t>GW-1015</t>
  </si>
  <si>
    <t>WL-02143</t>
  </si>
  <si>
    <t>Lisa Wright</t>
  </si>
  <si>
    <t>slip_inventory_2026-08.csv row 963; no matching 2026-08-01 monthly posting in supplied export</t>
  </si>
  <si>
    <t>GW-1016</t>
  </si>
  <si>
    <t>WL-02443</t>
  </si>
  <si>
    <t>Seth Neal</t>
  </si>
  <si>
    <t>ANCHOR ROCK</t>
  </si>
  <si>
    <t>slip_inventory_2026-08.csv row 964; no matching 2026-08-01 monthly posting in supplied export</t>
  </si>
  <si>
    <t>WL-01350</t>
  </si>
  <si>
    <t>John George</t>
  </si>
  <si>
    <t>slip_inventory_2026-08.csv row 965; no matching 2026-08-01 monthly posting in supplied export</t>
  </si>
  <si>
    <t>GW-1018</t>
  </si>
  <si>
    <t>WL-02941</t>
  </si>
  <si>
    <t>Jose Benson</t>
  </si>
  <si>
    <t>slip_inventory_2026-08.csv row 966; no matching 2026-08-01 monthly posting in supplied export</t>
  </si>
  <si>
    <t>GW-1019</t>
  </si>
  <si>
    <t>WL-02234</t>
  </si>
  <si>
    <t>Chelsea Chandler</t>
  </si>
  <si>
    <t>slip_inventory_2026-08.csv row 967; no matching 2026-08-01 monthly posting in supplied export</t>
  </si>
  <si>
    <t>GW-1020</t>
  </si>
  <si>
    <t>WL-03776</t>
  </si>
  <si>
    <t>Michael Beard</t>
  </si>
  <si>
    <t>OSPREY QUEEN</t>
  </si>
  <si>
    <t>slip_inventory_2026-08.csv row 968; no matching 2026-08-01 monthly posting in supplied export</t>
  </si>
  <si>
    <t>GW-1021</t>
  </si>
  <si>
    <t>WL-03394</t>
  </si>
  <si>
    <t>Alyssa Robinson</t>
  </si>
  <si>
    <t>DRIFT ROSE</t>
  </si>
  <si>
    <t>slip_inventory_2026-08.csv row 969; no matching 2026-08-01 monthly posting in supplied export</t>
  </si>
  <si>
    <t>GW-1023</t>
  </si>
  <si>
    <t>WL-02832</t>
  </si>
  <si>
    <t>Mia Schwartz</t>
  </si>
  <si>
    <t>slip_inventory_2026-08.csv row 971; no matching 2026-08-01 monthly posting in supplied export</t>
  </si>
  <si>
    <t>LP-0101</t>
  </si>
  <si>
    <t>covered</t>
  </si>
  <si>
    <t>WL-02442</t>
  </si>
  <si>
    <t>Elizabeth Burns</t>
  </si>
  <si>
    <t>SABLE REACH</t>
  </si>
  <si>
    <t>TXN-202608-000064</t>
  </si>
  <si>
    <t>slip_inventory_2026-08.csv row 2; billing_transactions_2022_2026.csv row 45694</t>
  </si>
  <si>
    <t>LP-0102</t>
  </si>
  <si>
    <t>WL-02413</t>
  </si>
  <si>
    <t>Damon Phillips</t>
  </si>
  <si>
    <t>SEAL ROCK</t>
  </si>
  <si>
    <t>TXN-202608-000108</t>
  </si>
  <si>
    <t>slip_inventory_2026-08.csv row 3; billing_transactions_2022_2026.csv row 45696</t>
  </si>
  <si>
    <t>LP-0103</t>
  </si>
  <si>
    <t>WL-01449</t>
  </si>
  <si>
    <t>Charles Hudson</t>
  </si>
  <si>
    <t>HALIBUT HARBOR</t>
  </si>
  <si>
    <t>TXN-202608-000171</t>
  </si>
  <si>
    <t>slip_inventory_2026-08.csv row 4; billing_transactions_2022_2026.csv row 45697</t>
  </si>
  <si>
    <t>LP-0104</t>
  </si>
  <si>
    <t>WL-03625</t>
  </si>
  <si>
    <t>Vincent Johnson</t>
  </si>
  <si>
    <t>ANCHOR DANCER</t>
  </si>
  <si>
    <t>TXN-202608-000239</t>
  </si>
  <si>
    <t>slip_inventory_2026-08.csv row 5; billing_transactions_2022_2026.csv row 45698</t>
  </si>
  <si>
    <t>LP-0105</t>
  </si>
  <si>
    <t>WL-03876</t>
  </si>
  <si>
    <t>John Heath</t>
  </si>
  <si>
    <t>TXN-202608-000299</t>
  </si>
  <si>
    <t>slip_inventory_2026-08.csv row 6; billing_transactions_2022_2026.csv row 45700</t>
  </si>
  <si>
    <t>LP-0106</t>
  </si>
  <si>
    <t>WL-02316</t>
  </si>
  <si>
    <t>Cheryl Elliott</t>
  </si>
  <si>
    <t>POINT ROSE</t>
  </si>
  <si>
    <t>TXN-202608-000338</t>
  </si>
  <si>
    <t>slip_inventory_2026-08.csv row 7; billing_transactions_2022_2026.csv row 45701</t>
  </si>
  <si>
    <t>LP-0107</t>
  </si>
  <si>
    <t>WL-02607</t>
  </si>
  <si>
    <t>Sean Charles</t>
  </si>
  <si>
    <t>KESTREL REACH</t>
  </si>
  <si>
    <t>TXN-202608-000413</t>
  </si>
  <si>
    <t>slip_inventory_2026-08.csv row 8; billing_transactions_2022_2026.csv row 45702</t>
  </si>
  <si>
    <t>LP-0108</t>
  </si>
  <si>
    <t>WL-01567</t>
  </si>
  <si>
    <t>Alan Thomas</t>
  </si>
  <si>
    <t>TXN-202608-000483</t>
  </si>
  <si>
    <t>slip_inventory_2026-08.csv row 9; billing_transactions_2022_2026.csv row 45703</t>
  </si>
  <si>
    <t>LP-0109</t>
  </si>
  <si>
    <t>WL-02768</t>
  </si>
  <si>
    <t>Sandra Sweeney</t>
  </si>
  <si>
    <t>TXN-202608-000533</t>
  </si>
  <si>
    <t>slip_inventory_2026-08.csv row 10; billing_transactions_2022_2026.csv row 45704</t>
  </si>
  <si>
    <t>LP-0110</t>
  </si>
  <si>
    <t>WL-03140</t>
  </si>
  <si>
    <t>Jason Martinez</t>
  </si>
  <si>
    <t>PINTAIL STAR</t>
  </si>
  <si>
    <t>TXN-202608-000581</t>
  </si>
  <si>
    <t>slip_inventory_2026-08.csv row 11; billing_transactions_2022_2026.csv row 45706</t>
  </si>
  <si>
    <t>LP-0111</t>
  </si>
  <si>
    <t>WL-03621</t>
  </si>
  <si>
    <t>Denise Powers</t>
  </si>
  <si>
    <t>SALISH WAKE</t>
  </si>
  <si>
    <t>TXN-202608-000628</t>
  </si>
  <si>
    <t>slip_inventory_2026-08.csv row 12; billing_transactions_2022_2026.csv row 45707</t>
  </si>
  <si>
    <t>LP-0113</t>
  </si>
  <si>
    <t>WL-02762</t>
  </si>
  <si>
    <t>Elizabeth Williams</t>
  </si>
  <si>
    <t>TXN-202608-000674</t>
  </si>
  <si>
    <t>slip_inventory_2026-08.csv row 14; billing_transactions_2022_2026.csv row 45709</t>
  </si>
  <si>
    <t>LP-0114</t>
  </si>
  <si>
    <t>WL-02237</t>
  </si>
  <si>
    <t>William Powell</t>
  </si>
  <si>
    <t>TXN-202608-000728</t>
  </si>
  <si>
    <t>slip_inventory_2026-08.csv row 15; billing_transactions_2022_2026.csv row 45710</t>
  </si>
  <si>
    <t>LP-0115</t>
  </si>
  <si>
    <t>WL-02943</t>
  </si>
  <si>
    <t>Matthew Thomas</t>
  </si>
  <si>
    <t>PINTAIL CREST</t>
  </si>
  <si>
    <t>TXN-202608-000802</t>
  </si>
  <si>
    <t>slip_inventory_2026-08.csv row 16; billing_transactions_2022_2026.csv row 45711</t>
  </si>
  <si>
    <t>LP-0116</t>
  </si>
  <si>
    <t>WL-02031</t>
  </si>
  <si>
    <t>Joseph Bishop</t>
  </si>
  <si>
    <t>ANCHOR LIGHT</t>
  </si>
  <si>
    <t>TXN-202608-000869</t>
  </si>
  <si>
    <t>slip_inventory_2026-08.csv row 17; billing_transactions_2022_2026.csv row 45713</t>
  </si>
  <si>
    <t>LP-0117</t>
  </si>
  <si>
    <t>WL-01361</t>
  </si>
  <si>
    <t>Benjamin Willis</t>
  </si>
  <si>
    <t>COHO BAY</t>
  </si>
  <si>
    <t>TXN-202608-000938</t>
  </si>
  <si>
    <t>slip_inventory_2026-08.csv row 18; billing_transactions_2022_2026.csv row 45714</t>
  </si>
  <si>
    <t>LP-0118</t>
  </si>
  <si>
    <t>WL-03633</t>
  </si>
  <si>
    <t>Keith Powell</t>
  </si>
  <si>
    <t>TXN-202608-000989</t>
  </si>
  <si>
    <t>slip_inventory_2026-08.csv row 19; billing_transactions_2022_2026.csv row 45715</t>
  </si>
  <si>
    <t>LP-0119</t>
  </si>
  <si>
    <t>WL-01880</t>
  </si>
  <si>
    <t>Walter Torres</t>
  </si>
  <si>
    <t>TXN-202608-001067</t>
  </si>
  <si>
    <t>slip_inventory_2026-08.csv row 20; billing_transactions_2022_2026.csv row 45716</t>
  </si>
  <si>
    <t>LP-0120</t>
  </si>
  <si>
    <t>WL-03128</t>
  </si>
  <si>
    <t>Kayla Johnson</t>
  </si>
  <si>
    <t>FOUL SONG</t>
  </si>
  <si>
    <t>TXN-202608-001137</t>
  </si>
  <si>
    <t>slip_inventory_2026-08.csv row 21; billing_transactions_2022_2026.csv row 45717</t>
  </si>
  <si>
    <t>LP-0121</t>
  </si>
  <si>
    <t>WL-03477</t>
  </si>
  <si>
    <t>Darryl Garcia</t>
  </si>
  <si>
    <t>TIDE SHORE</t>
  </si>
  <si>
    <t>TXN-202608-001182</t>
  </si>
  <si>
    <t>slip_inventory_2026-08.csv row 22; billing_transactions_2022_2026.csv row 45718</t>
  </si>
  <si>
    <t>LP-0122</t>
  </si>
  <si>
    <t>WL-01974</t>
  </si>
  <si>
    <t>Paula Arroyo</t>
  </si>
  <si>
    <t>OTTER SOUND</t>
  </si>
  <si>
    <t>TXN-202608-001251</t>
  </si>
  <si>
    <t>slip_inventory_2026-08.csv row 23; billing_transactions_2022_2026.csv row 45720</t>
  </si>
  <si>
    <t>LP-0123</t>
  </si>
  <si>
    <t>WL-03479</t>
  </si>
  <si>
    <t>Brittney Daugherty</t>
  </si>
  <si>
    <t>SALISH GLIDE</t>
  </si>
  <si>
    <t>TXN-202608-001319</t>
  </si>
  <si>
    <t>slip_inventory_2026-08.csv row 24; billing_transactions_2022_2026.csv row 45722</t>
  </si>
  <si>
    <t>LP-0124</t>
  </si>
  <si>
    <t>WL-02080</t>
  </si>
  <si>
    <t>Audrey Le</t>
  </si>
  <si>
    <t>TXN-202608-001394</t>
  </si>
  <si>
    <t>slip_inventory_2026-08.csv row 25; billing_transactions_2022_2026.csv row 45724</t>
  </si>
  <si>
    <t>LP-0201</t>
  </si>
  <si>
    <t>WL-03657</t>
  </si>
  <si>
    <t>Melissa Wagner</t>
  </si>
  <si>
    <t>TXN-202608-001459</t>
  </si>
  <si>
    <t>slip_inventory_2026-08.csv row 26; billing_transactions_2022_2026.csv row 45725</t>
  </si>
  <si>
    <t>LP-0202</t>
  </si>
  <si>
    <t>WL-02964</t>
  </si>
  <si>
    <t>Christopher Boyd</t>
  </si>
  <si>
    <t>WIDGEON VEER</t>
  </si>
  <si>
    <t>TXN-202608-001533</t>
  </si>
  <si>
    <t>slip_inventory_2026-08.csv row 27; billing_transactions_2022_2026.csv row 45726</t>
  </si>
  <si>
    <t>LP-0203</t>
  </si>
  <si>
    <t>WL-01820</t>
  </si>
  <si>
    <t>Andrew Petty</t>
  </si>
  <si>
    <t>TXN-202608-001590</t>
  </si>
  <si>
    <t>slip_inventory_2026-08.csv row 28; billing_transactions_2022_2026.csv row 45728</t>
  </si>
  <si>
    <t>LP-0204</t>
  </si>
  <si>
    <t>WL-01587</t>
  </si>
  <si>
    <t>Patrick Guzman</t>
  </si>
  <si>
    <t>TXN-202608-001651</t>
  </si>
  <si>
    <t>slip_inventory_2026-08.csv row 29; billing_transactions_2022_2026.csv row 45730</t>
  </si>
  <si>
    <t>LP-0205</t>
  </si>
  <si>
    <t>WL-01514</t>
  </si>
  <si>
    <t>Gary Young</t>
  </si>
  <si>
    <t>SCOTER VEER</t>
  </si>
  <si>
    <t>TXN-202608-001727</t>
  </si>
  <si>
    <t>slip_inventory_2026-08.csv row 30; billing_transactions_2022_2026.csv row 45731</t>
  </si>
  <si>
    <t>LP-0206</t>
  </si>
  <si>
    <t>WL-03079</t>
  </si>
  <si>
    <t>Crystal Glover</t>
  </si>
  <si>
    <t>TXN-202608-001771</t>
  </si>
  <si>
    <t>slip_inventory_2026-08.csv row 31; billing_transactions_2022_2026.csv row 45732</t>
  </si>
  <si>
    <t>LP-0208</t>
  </si>
  <si>
    <t>WL-02432</t>
  </si>
  <si>
    <t>James Olson</t>
  </si>
  <si>
    <t>SALISH SONG</t>
  </si>
  <si>
    <t>TXN-202608-001837</t>
  </si>
  <si>
    <t>slip_inventory_2026-08.csv row 33; billing_transactions_2022_2026.csv row 45734</t>
  </si>
  <si>
    <t>LP-0209</t>
  </si>
  <si>
    <t>WL-01517</t>
  </si>
  <si>
    <t>Manuel Abbott</t>
  </si>
  <si>
    <t>TXN-202608-001909</t>
  </si>
  <si>
    <t>slip_inventory_2026-08.csv row 34; billing_transactions_2022_2026.csv row 45735</t>
  </si>
  <si>
    <t>LP-0210</t>
  </si>
  <si>
    <t>WL-02178</t>
  </si>
  <si>
    <t>Thomas Stone</t>
  </si>
  <si>
    <t>COHO SHORE</t>
  </si>
  <si>
    <t>TXN-202608-001956</t>
  </si>
  <si>
    <t>slip_inventory_2026-08.csv row 35; billing_transactions_2022_2026.csv row 45737</t>
  </si>
  <si>
    <t>LP-0212</t>
  </si>
  <si>
    <t>WL-03348</t>
  </si>
  <si>
    <t>Sandra Jackson</t>
  </si>
  <si>
    <t>HERON RUNNER</t>
  </si>
  <si>
    <t>TXN-202608-002030</t>
  </si>
  <si>
    <t>slip_inventory_2026-08.csv row 37; billing_transactions_2022_2026.csv row 45739</t>
  </si>
  <si>
    <t>LP-0213</t>
  </si>
  <si>
    <t>WL-02388</t>
  </si>
  <si>
    <t>Gregory Brady</t>
  </si>
  <si>
    <t>TXN-202608-002082</t>
  </si>
  <si>
    <t>slip_inventory_2026-08.csv row 38; billing_transactions_2022_2026.csv row 45741</t>
  </si>
  <si>
    <t>LP-0214</t>
  </si>
  <si>
    <t>WL-01816</t>
  </si>
  <si>
    <t>Jeanne Bennett</t>
  </si>
  <si>
    <t>BRANT WIND</t>
  </si>
  <si>
    <t>TXN-202608-002126</t>
  </si>
  <si>
    <t>slip_inventory_2026-08.csv row 39; billing_transactions_2022_2026.csv row 45743</t>
  </si>
  <si>
    <t>LP-0215</t>
  </si>
  <si>
    <t>WL-01337</t>
  </si>
  <si>
    <t>Anna Wright</t>
  </si>
  <si>
    <t>TXN-202608-002202</t>
  </si>
  <si>
    <t>slip_inventory_2026-08.csv row 40; billing_transactions_2022_2026.csv row 45744</t>
  </si>
  <si>
    <t>WL-01428</t>
  </si>
  <si>
    <t>Audrey Taylor</t>
  </si>
  <si>
    <t>TXN-202608-002273</t>
  </si>
  <si>
    <t>slip_inventory_2026-08.csv row 41; billing_transactions_2022_2026.csv row 45745</t>
  </si>
  <si>
    <t>LP-0217</t>
  </si>
  <si>
    <t>WL-01497</t>
  </si>
  <si>
    <t>Aaron Ellis</t>
  </si>
  <si>
    <t>SANDERLING STAR</t>
  </si>
  <si>
    <t>TXN-202608-002314</t>
  </si>
  <si>
    <t>slip_inventory_2026-08.csv row 42; billing_transactions_2022_2026.csv row 45747</t>
  </si>
  <si>
    <t>LP-0218</t>
  </si>
  <si>
    <t>WL-01177</t>
  </si>
  <si>
    <t>Sydney Moore</t>
  </si>
  <si>
    <t>SCOTER STAR</t>
  </si>
  <si>
    <t>TXN-202608-002387</t>
  </si>
  <si>
    <t>slip_inventory_2026-08.csv row 43; billing_transactions_2022_2026.csv row 45749</t>
  </si>
  <si>
    <t>LP-0219</t>
  </si>
  <si>
    <t>WL-01324</t>
  </si>
  <si>
    <t>Bradley Baker</t>
  </si>
  <si>
    <t>PINTAIL QUEEN</t>
  </si>
  <si>
    <t>TXN-202608-002429</t>
  </si>
  <si>
    <t>slip_inventory_2026-08.csv row 44; billing_transactions_2022_2026.csv row 45751</t>
  </si>
  <si>
    <t>WL-02659</t>
  </si>
  <si>
    <t>Loretta Murillo</t>
  </si>
  <si>
    <t>TXN-202608-002497</t>
  </si>
  <si>
    <t>slip_inventory_2026-08.csv row 45; billing_transactions_2022_2026.csv row 45753</t>
  </si>
  <si>
    <t>LP-0221</t>
  </si>
  <si>
    <t>WL-03407</t>
  </si>
  <si>
    <t>Allison Anthony</t>
  </si>
  <si>
    <t>TXN-202608-002568</t>
  </si>
  <si>
    <t>slip_inventory_2026-08.csv row 46; billing_transactions_2022_2026.csv row 45755</t>
  </si>
  <si>
    <t>LP-0222</t>
  </si>
  <si>
    <t>WL-01185</t>
  </si>
  <si>
    <t>Stephen Burke</t>
  </si>
  <si>
    <t>SPINDRIFT HARBOR</t>
  </si>
  <si>
    <t>TXN-202608-002641</t>
  </si>
  <si>
    <t>slip_inventory_2026-08.csv row 47; billing_transactions_2022_2026.csv row 45757</t>
  </si>
  <si>
    <t>LP-0223</t>
  </si>
  <si>
    <t>WL-02494</t>
  </si>
  <si>
    <t>Renee Dean</t>
  </si>
  <si>
    <t>TXN-202608-002719</t>
  </si>
  <si>
    <t>slip_inventory_2026-08.csv row 48; billing_transactions_2022_2026.csv row 45758</t>
  </si>
  <si>
    <t>LP-0224</t>
  </si>
  <si>
    <t>WL-01261</t>
  </si>
  <si>
    <t>Anita Rose</t>
  </si>
  <si>
    <t>BRANT ANN</t>
  </si>
  <si>
    <t>TXN-202608-002772</t>
  </si>
  <si>
    <t>slip_inventory_2026-08.csv row 49; billing_transactions_2022_2026.csv row 45760</t>
  </si>
  <si>
    <t>LP-0301</t>
  </si>
  <si>
    <t>WL-03425</t>
  </si>
  <si>
    <t>Miranda Neal</t>
  </si>
  <si>
    <t>TXN-202608-002814</t>
  </si>
  <si>
    <t>slip_inventory_2026-08.csv row 50; billing_transactions_2022_2026.csv row 45761</t>
  </si>
  <si>
    <t>LP-0302</t>
  </si>
  <si>
    <t>WL-03048</t>
  </si>
  <si>
    <t>Brian Campbell</t>
  </si>
  <si>
    <t>TXN-202608-002864</t>
  </si>
  <si>
    <t>slip_inventory_2026-08.csv row 51; billing_transactions_2022_2026.csv row 45762</t>
  </si>
  <si>
    <t>LP-0303</t>
  </si>
  <si>
    <t>WL-02853</t>
  </si>
  <si>
    <t>Adam Stevens</t>
  </si>
  <si>
    <t>TXN-202608-002923</t>
  </si>
  <si>
    <t>slip_inventory_2026-08.csv row 52; billing_transactions_2022_2026.csv row 45763</t>
  </si>
  <si>
    <t>LP-0305</t>
  </si>
  <si>
    <t>WL-03470</t>
  </si>
  <si>
    <t>Nathan Huffman</t>
  </si>
  <si>
    <t>TIDE ROCK</t>
  </si>
  <si>
    <t>TXN-202608-002983</t>
  </si>
  <si>
    <t>slip_inventory_2026-08.csv row 54; billing_transactions_2022_2026.csv row 45764</t>
  </si>
  <si>
    <t>LP-0306</t>
  </si>
  <si>
    <t>WL-02345</t>
  </si>
  <si>
    <t>Brian Wade</t>
  </si>
  <si>
    <t>TXN-202608-003038</t>
  </si>
  <si>
    <t>slip_inventory_2026-08.csv row 55; billing_transactions_2022_2026.csv row 45766</t>
  </si>
  <si>
    <t>LP-0307</t>
  </si>
  <si>
    <t>WL-03230</t>
  </si>
  <si>
    <t>Cory Park</t>
  </si>
  <si>
    <t>SEAL SONG</t>
  </si>
  <si>
    <t>TXN-202608-003083</t>
  </si>
  <si>
    <t>slip_inventory_2026-08.csv row 56; billing_transactions_2022_2026.csv row 45767</t>
  </si>
  <si>
    <t>LP-0309</t>
  </si>
  <si>
    <t>WL-02885</t>
  </si>
  <si>
    <t>James Rivera</t>
  </si>
  <si>
    <t>BRANT PASSAGE</t>
  </si>
  <si>
    <t>TXN-202608-003124</t>
  </si>
  <si>
    <t>slip_inventory_2026-08.csv row 58; billing_transactions_2022_2026.csv row 45768</t>
  </si>
  <si>
    <t>LP-0311</t>
  </si>
  <si>
    <t>WL-01606</t>
  </si>
  <si>
    <t>Joel English</t>
  </si>
  <si>
    <t>COHO GLIDE</t>
  </si>
  <si>
    <t>TXN-202608-003180</t>
  </si>
  <si>
    <t>slip_inventory_2026-08.csv row 60; billing_transactions_2022_2026.csv row 45769</t>
  </si>
  <si>
    <t>LP-0312</t>
  </si>
  <si>
    <t>WL-03333</t>
  </si>
  <si>
    <t>Steven Greene</t>
  </si>
  <si>
    <t>TXN-202608-003234</t>
  </si>
  <si>
    <t>slip_inventory_2026-08.csv row 61; billing_transactions_2022_2026.csv row 45770</t>
  </si>
  <si>
    <t>LP-0313</t>
  </si>
  <si>
    <t>WL-02675</t>
  </si>
  <si>
    <t>Christopher Lopez</t>
  </si>
  <si>
    <t>TXN-202608-003279</t>
  </si>
  <si>
    <t>slip_inventory_2026-08.csv row 62; billing_transactions_2022_2026.csv row 45771</t>
  </si>
  <si>
    <t>LP-0314</t>
  </si>
  <si>
    <t>WL-03274</t>
  </si>
  <si>
    <t>Brenda Matthews</t>
  </si>
  <si>
    <t>TXN-202608-003345</t>
  </si>
  <si>
    <t>slip_inventory_2026-08.csv row 63; billing_transactions_2022_2026.csv row 45773</t>
  </si>
  <si>
    <t>LP-0315</t>
  </si>
  <si>
    <t>WL-02756</t>
  </si>
  <si>
    <t>Gregory Phillips</t>
  </si>
  <si>
    <t>TXN-202608-003397</t>
  </si>
  <si>
    <t>slip_inventory_2026-08.csv row 64; billing_transactions_2022_2026.csv row 45775</t>
  </si>
  <si>
    <t>LP-0316</t>
  </si>
  <si>
    <t>WL-03711</t>
  </si>
  <si>
    <t>Adam Webster</t>
  </si>
  <si>
    <t>TXN-202608-003440</t>
  </si>
  <si>
    <t>slip_inventory_2026-08.csv row 65; billing_transactions_2022_2026.csv row 45776</t>
  </si>
  <si>
    <t>LP-0317</t>
  </si>
  <si>
    <t>WL-02923</t>
  </si>
  <si>
    <t>Randall Cummings</t>
  </si>
  <si>
    <t>TXN-202608-003495</t>
  </si>
  <si>
    <t>slip_inventory_2026-08.csv row 66; billing_transactions_2022_2026.csv row 45778</t>
  </si>
  <si>
    <t>LP-0318</t>
  </si>
  <si>
    <t>WL-03488</t>
  </si>
  <si>
    <t>Albert Hill</t>
  </si>
  <si>
    <t>TXN-202608-003557</t>
  </si>
  <si>
    <t>slip_inventory_2026-08.csv row 67; billing_transactions_2022_2026.csv row 45779</t>
  </si>
  <si>
    <t>LP-0320</t>
  </si>
  <si>
    <t>WL-02524</t>
  </si>
  <si>
    <t>Douglas Herrera</t>
  </si>
  <si>
    <t>TXN-202608-003599</t>
  </si>
  <si>
    <t>slip_inventory_2026-08.csv row 69; billing_transactions_2022_2026.csv row 45781</t>
  </si>
  <si>
    <t>LP-0321</t>
  </si>
  <si>
    <t>WL-03415</t>
  </si>
  <si>
    <t>Jennifer Leonard</t>
  </si>
  <si>
    <t>TXN-202608-003665</t>
  </si>
  <si>
    <t>slip_inventory_2026-08.csv row 70; billing_transactions_2022_2026.csv row 45782</t>
  </si>
  <si>
    <t>LP-0322</t>
  </si>
  <si>
    <t>WL-01554</t>
  </si>
  <si>
    <t>Robert Nolan</t>
  </si>
  <si>
    <t>TXN-202608-003745</t>
  </si>
  <si>
    <t>slip_inventory_2026-08.csv row 71; billing_transactions_2022_2026.csv row 45783</t>
  </si>
  <si>
    <t>LP-0323</t>
  </si>
  <si>
    <t>WL-02461</t>
  </si>
  <si>
    <t>Robert Swanson</t>
  </si>
  <si>
    <t>TXN-202608-003807</t>
  </si>
  <si>
    <t>slip_inventory_2026-08.csv row 72; billing_transactions_2022_2026.csv row 45784</t>
  </si>
  <si>
    <t>LP-0324</t>
  </si>
  <si>
    <t>WL-01462</t>
  </si>
  <si>
    <t>Stephanie Hart</t>
  </si>
  <si>
    <t>TXN-202608-003859</t>
  </si>
  <si>
    <t>slip_inventory_2026-08.csv row 73; billing_transactions_2022_2026.csv row 45786</t>
  </si>
  <si>
    <t>LP-0402</t>
  </si>
  <si>
    <t>WL-01188</t>
  </si>
  <si>
    <t>Dawn Brown</t>
  </si>
  <si>
    <t>TXN-202608-003928</t>
  </si>
  <si>
    <t>slip_inventory_2026-08.csv row 75; billing_transactions_2022_2026.csv row 45788</t>
  </si>
  <si>
    <t>LP-0403</t>
  </si>
  <si>
    <t>WL-01063</t>
  </si>
  <si>
    <t>Donna Mitchell</t>
  </si>
  <si>
    <t>TXN-202608-003987</t>
  </si>
  <si>
    <t>slip_inventory_2026-08.csv row 76; billing_transactions_2022_2026.csv row 45790</t>
  </si>
  <si>
    <t>LP-0404</t>
  </si>
  <si>
    <t>WL-02961</t>
  </si>
  <si>
    <t>Rachel Flores</t>
  </si>
  <si>
    <t>SANDERLING HARBOR</t>
  </si>
  <si>
    <t>TXN-202608-004052</t>
  </si>
  <si>
    <t>slip_inventory_2026-08.csv row 77; billing_transactions_2022_2026.csv row 45792</t>
  </si>
  <si>
    <t>LP-0405</t>
  </si>
  <si>
    <t>WL-02530</t>
  </si>
  <si>
    <t>GRAY ROCK</t>
  </si>
  <si>
    <t>TXN-202608-004087</t>
  </si>
  <si>
    <t>slip_inventory_2026-08.csv row 78; billing_transactions_2022_2026.csv row 45794</t>
  </si>
  <si>
    <t>LP-0406</t>
  </si>
  <si>
    <t>WL-02260</t>
  </si>
  <si>
    <t>Michael King</t>
  </si>
  <si>
    <t>TXN-202608-004132</t>
  </si>
  <si>
    <t>slip_inventory_2026-08.csv row 79; billing_transactions_2022_2026.csv row 45796</t>
  </si>
  <si>
    <t>LP-0407</t>
  </si>
  <si>
    <t>WL-02332</t>
  </si>
  <si>
    <t>Karla Cross</t>
  </si>
  <si>
    <t>POINT PASSAGE</t>
  </si>
  <si>
    <t>TXN-202608-004184</t>
  </si>
  <si>
    <t>slip_inventory_2026-08.csv row 80; billing_transactions_2022_2026.csv row 45797</t>
  </si>
  <si>
    <t>LP-0408</t>
  </si>
  <si>
    <t>WL-03226</t>
  </si>
  <si>
    <t>Kari Snow</t>
  </si>
  <si>
    <t>TXN-202608-004246</t>
  </si>
  <si>
    <t>slip_inventory_2026-08.csv row 81; billing_transactions_2022_2026.csv row 45798</t>
  </si>
  <si>
    <t>LP-0409</t>
  </si>
  <si>
    <t>WL-02688</t>
  </si>
  <si>
    <t>Joseph Cohen</t>
  </si>
  <si>
    <t>MURRE QUEEN</t>
  </si>
  <si>
    <t>TXN-202608-004290</t>
  </si>
  <si>
    <t>slip_inventory_2026-08.csv row 82; billing_transactions_2022_2026.csv row 45799</t>
  </si>
  <si>
    <t>LP-0410</t>
  </si>
  <si>
    <t>WL-02453</t>
  </si>
  <si>
    <t>Kristina Savage</t>
  </si>
  <si>
    <t>TXN-202608-004352</t>
  </si>
  <si>
    <t>slip_inventory_2026-08.csv row 83; billing_transactions_2022_2026.csv row 45801</t>
  </si>
  <si>
    <t>LP-0411</t>
  </si>
  <si>
    <t>WL-01932</t>
  </si>
  <si>
    <t>Clayton Williams</t>
  </si>
  <si>
    <t>TXN-202608-004408</t>
  </si>
  <si>
    <t>slip_inventory_2026-08.csv row 84; billing_transactions_2022_2026.csv row 45802</t>
  </si>
  <si>
    <t>LP-0412</t>
  </si>
  <si>
    <t>WL-01239</t>
  </si>
  <si>
    <t>Edward Cook</t>
  </si>
  <si>
    <t>TXN-202608-004480</t>
  </si>
  <si>
    <t>slip_inventory_2026-08.csv row 85; billing_transactions_2022_2026.csv row 45803</t>
  </si>
  <si>
    <t>WL-02589</t>
  </si>
  <si>
    <t>Tammie Johnson</t>
  </si>
  <si>
    <t>TXN-202608-004524</t>
  </si>
  <si>
    <t>slip_inventory_2026-08.csv row 86; billing_transactions_2022_2026.csv row 45804</t>
  </si>
  <si>
    <t>LP-0415</t>
  </si>
  <si>
    <t>WL-03907</t>
  </si>
  <si>
    <t>Ryan Collins</t>
  </si>
  <si>
    <t>TXN-202608-004586</t>
  </si>
  <si>
    <t>slip_inventory_2026-08.csv row 88; billing_transactions_2022_2026.csv row 45806</t>
  </si>
  <si>
    <t>LP-0416</t>
  </si>
  <si>
    <t>WL-01699</t>
  </si>
  <si>
    <t>Kevin Fuller</t>
  </si>
  <si>
    <t>TXN-202608-004668</t>
  </si>
  <si>
    <t>slip_inventory_2026-08.csv row 89; billing_transactions_2022_2026.csv row 45808</t>
  </si>
  <si>
    <t>LP-0417</t>
  </si>
  <si>
    <t>WL-02689</t>
  </si>
  <si>
    <t>Julie Silva</t>
  </si>
  <si>
    <t>ANCHOR WAKE</t>
  </si>
  <si>
    <t>TXN-202608-004708</t>
  </si>
  <si>
    <t>slip_inventory_2026-08.csv row 90; billing_transactions_2022_2026.csv row 45810</t>
  </si>
  <si>
    <t>LP-0418</t>
  </si>
  <si>
    <t>WL-01703</t>
  </si>
  <si>
    <t>Jorge Avery</t>
  </si>
  <si>
    <t>TXN-202608-004770</t>
  </si>
  <si>
    <t>slip_inventory_2026-08.csv row 91; billing_transactions_2022_2026.csv row 45811</t>
  </si>
  <si>
    <t>LP-0419</t>
  </si>
  <si>
    <t>WL-02926</t>
  </si>
  <si>
    <t>Pamela Harris</t>
  </si>
  <si>
    <t>TXN-202608-004856</t>
  </si>
  <si>
    <t>slip_inventory_2026-08.csv row 92; billing_transactions_2022_2026.csv row 45812</t>
  </si>
  <si>
    <t>LP-0420</t>
  </si>
  <si>
    <t>WL-03294</t>
  </si>
  <si>
    <t>Megan Nguyen</t>
  </si>
  <si>
    <t>TXN-202608-004931</t>
  </si>
  <si>
    <t>slip_inventory_2026-08.csv row 93; billing_transactions_2022_2026.csv row 45814</t>
  </si>
  <si>
    <t>LP-0421</t>
  </si>
  <si>
    <t>WL-03569</t>
  </si>
  <si>
    <t>Mary Hicks</t>
  </si>
  <si>
    <t>TXN-202608-004985</t>
  </si>
  <si>
    <t>slip_inventory_2026-08.csv row 94; billing_transactions_2022_2026.csv row 45816</t>
  </si>
  <si>
    <t>LP-0422</t>
  </si>
  <si>
    <t>WL-02875</t>
  </si>
  <si>
    <t>Frank Beard</t>
  </si>
  <si>
    <t>TXN-202608-005036</t>
  </si>
  <si>
    <t>slip_inventory_2026-08.csv row 95; billing_transactions_2022_2026.csv row 45818</t>
  </si>
  <si>
    <t>LP-0423</t>
  </si>
  <si>
    <t>WL-01778</t>
  </si>
  <si>
    <t>Margaret Brown</t>
  </si>
  <si>
    <t>DRIFT GLIDE</t>
  </si>
  <si>
    <t>TXN-202608-005106</t>
  </si>
  <si>
    <t>slip_inventory_2026-08.csv row 96; billing_transactions_2022_2026.csv row 45820</t>
  </si>
  <si>
    <t>LP-0424</t>
  </si>
  <si>
    <t>WL-02954</t>
  </si>
  <si>
    <t>Michael Perez</t>
  </si>
  <si>
    <t>TXN-202608-005152</t>
  </si>
  <si>
    <t>slip_inventory_2026-08.csv row 97; billing_transactions_2022_2026.csv row 45821</t>
  </si>
  <si>
    <t>LP-0502</t>
  </si>
  <si>
    <t>WL-02634</t>
  </si>
  <si>
    <t>Michelle Cooper</t>
  </si>
  <si>
    <t>KESTREL WAKE</t>
  </si>
  <si>
    <t>TXN-202608-005212</t>
  </si>
  <si>
    <t>slip_inventory_2026-08.csv row 99; billing_transactions_2022_2026.csv row 45822</t>
  </si>
  <si>
    <t>LP-0503</t>
  </si>
  <si>
    <t>WL-03603</t>
  </si>
  <si>
    <t>Steven Sanders</t>
  </si>
  <si>
    <t>PETREL PASSAGE</t>
  </si>
  <si>
    <t>TXN-202608-005253</t>
  </si>
  <si>
    <t>slip_inventory_2026-08.csv row 100; billing_transactions_2022_2026.csv row 45823</t>
  </si>
  <si>
    <t>LP-0504</t>
  </si>
  <si>
    <t>WL-02974</t>
  </si>
  <si>
    <t>Natasha Wilson</t>
  </si>
  <si>
    <t>TXN-202608-005298</t>
  </si>
  <si>
    <t>slip_inventory_2026-08.csv row 101; billing_transactions_2022_2026.csv row 45825</t>
  </si>
  <si>
    <t>LP-0505</t>
  </si>
  <si>
    <t>WL-02433</t>
  </si>
  <si>
    <t>Jordan Casey</t>
  </si>
  <si>
    <t>TXN-202608-005363</t>
  </si>
  <si>
    <t>slip_inventory_2026-08.csv row 102; billing_transactions_2022_2026.csv row 45826</t>
  </si>
  <si>
    <t>LP-0506</t>
  </si>
  <si>
    <t>WL-01135</t>
  </si>
  <si>
    <t>Julia Mills</t>
  </si>
  <si>
    <t>BRANT SOUND</t>
  </si>
  <si>
    <t>TXN-202608-005422</t>
  </si>
  <si>
    <t>slip_inventory_2026-08.csv row 103; billing_transactions_2022_2026.csv row 45828</t>
  </si>
  <si>
    <t>LP-0507</t>
  </si>
  <si>
    <t>WL-03311</t>
  </si>
  <si>
    <t>Shane Lee</t>
  </si>
  <si>
    <t>TXN-202608-005475</t>
  </si>
  <si>
    <t>slip_inventory_2026-08.csv row 104; billing_transactions_2022_2026.csv row 45829</t>
  </si>
  <si>
    <t>LP-0508</t>
  </si>
  <si>
    <t>WL-01855</t>
  </si>
  <si>
    <t>Maria Wright</t>
  </si>
  <si>
    <t>TXN-202608-005521</t>
  </si>
  <si>
    <t>slip_inventory_2026-08.csv row 105; billing_transactions_2022_2026.csv row 45830</t>
  </si>
  <si>
    <t>LP-0509</t>
  </si>
  <si>
    <t>WL-01968</t>
  </si>
  <si>
    <t>Cheryl Lewis</t>
  </si>
  <si>
    <t>TXN-202608-005573</t>
  </si>
  <si>
    <t>slip_inventory_2026-08.csv row 106; billing_transactions_2022_2026.csv row 45831</t>
  </si>
  <si>
    <t>LP-0510</t>
  </si>
  <si>
    <t>WL-03288</t>
  </si>
  <si>
    <t>Jaclyn Ingram</t>
  </si>
  <si>
    <t>TIDE BAY</t>
  </si>
  <si>
    <t>TXN-202608-005641</t>
  </si>
  <si>
    <t>slip_inventory_2026-08.csv row 107; billing_transactions_2022_2026.csv row 45832</t>
  </si>
  <si>
    <t>LP-0511</t>
  </si>
  <si>
    <t>WL-01060</t>
  </si>
  <si>
    <t>Michael Cole</t>
  </si>
  <si>
    <t>TXN-202608-005705</t>
  </si>
  <si>
    <t>slip_inventory_2026-08.csv row 108; billing_transactions_2022_2026.csv row 45833</t>
  </si>
  <si>
    <t>LP-0512</t>
  </si>
  <si>
    <t>WL-02938</t>
  </si>
  <si>
    <t>Micheal Perez</t>
  </si>
  <si>
    <t>TXN-202608-005752</t>
  </si>
  <si>
    <t>slip_inventory_2026-08.csv row 109; billing_transactions_2022_2026.csv row 45835</t>
  </si>
  <si>
    <t>LP-0513</t>
  </si>
  <si>
    <t>WL-01509</t>
  </si>
  <si>
    <t>William Hatfield</t>
  </si>
  <si>
    <t>TIDE QUEEN</t>
  </si>
  <si>
    <t>TXN-202608-005804</t>
  </si>
  <si>
    <t>slip_inventory_2026-08.csv row 110; billing_transactions_2022_2026.csv row 45837</t>
  </si>
  <si>
    <t>LP-0514</t>
  </si>
  <si>
    <t>WL-01036</t>
  </si>
  <si>
    <t>Brandy Rogers</t>
  </si>
  <si>
    <t>TXN-202608-005860</t>
  </si>
  <si>
    <t>slip_inventory_2026-08.csv row 111; billing_transactions_2022_2026.csv row 45839</t>
  </si>
  <si>
    <t>LP-0516</t>
  </si>
  <si>
    <t>WL-03135</t>
  </si>
  <si>
    <t>Mallory Rodgers</t>
  </si>
  <si>
    <t>MURRE HARBOR</t>
  </si>
  <si>
    <t>TXN-202608-005932</t>
  </si>
  <si>
    <t>slip_inventory_2026-08.csv row 113; billing_transactions_2022_2026.csv row 45841</t>
  </si>
  <si>
    <t>LP-0517</t>
  </si>
  <si>
    <t>WL-02716</t>
  </si>
  <si>
    <t>John Nguyen</t>
  </si>
  <si>
    <t>TXN-202608-005973</t>
  </si>
  <si>
    <t>slip_inventory_2026-08.csv row 114; billing_transactions_2022_2026.csv row 45843</t>
  </si>
  <si>
    <t>LP-0518</t>
  </si>
  <si>
    <t>WL-02963</t>
  </si>
  <si>
    <t>Jennifer Liu</t>
  </si>
  <si>
    <t>WIDGEON MOON</t>
  </si>
  <si>
    <t>TXN-202608-006017</t>
  </si>
  <si>
    <t>slip_inventory_2026-08.csv row 115; billing_transactions_2022_2026.csv row 45844</t>
  </si>
  <si>
    <t>LP-0519</t>
  </si>
  <si>
    <t>WL-03181</t>
  </si>
  <si>
    <t>Annette Collins</t>
  </si>
  <si>
    <t>TXN-202608-006076</t>
  </si>
  <si>
    <t>slip_inventory_2026-08.csv row 116; billing_transactions_2022_2026.csv row 45845</t>
  </si>
  <si>
    <t>LP-0520</t>
  </si>
  <si>
    <t>WL-01896</t>
  </si>
  <si>
    <t>Meredith Williams</t>
  </si>
  <si>
    <t>TXN-202608-006145</t>
  </si>
  <si>
    <t>slip_inventory_2026-08.csv row 117; billing_transactions_2022_2026.csv row 45846</t>
  </si>
  <si>
    <t>LP-0521</t>
  </si>
  <si>
    <t>WL-03161</t>
  </si>
  <si>
    <t>Ashley Hall</t>
  </si>
  <si>
    <t>TXN-202608-006211</t>
  </si>
  <si>
    <t>slip_inventory_2026-08.csv row 118; billing_transactions_2022_2026.csv row 45847</t>
  </si>
  <si>
    <t>LP-0522</t>
  </si>
  <si>
    <t>WL-01604</t>
  </si>
  <si>
    <t>Patrick Barnes</t>
  </si>
  <si>
    <t>TXN-202608-006273</t>
  </si>
  <si>
    <t>slip_inventory_2026-08.csv row 119; billing_transactions_2022_2026.csv row 45849</t>
  </si>
  <si>
    <t>LP-0523</t>
  </si>
  <si>
    <t>WL-03212</t>
  </si>
  <si>
    <t>Damon Garcia</t>
  </si>
  <si>
    <t>WIDGEON STAR</t>
  </si>
  <si>
    <t>TXN-202608-006349</t>
  </si>
  <si>
    <t>slip_inventory_2026-08.csv row 120; billing_transactions_2022_2026.csv row 45851</t>
  </si>
  <si>
    <t>LP-0524</t>
  </si>
  <si>
    <t>WL-02695</t>
  </si>
  <si>
    <t>Anthony Hamilton</t>
  </si>
  <si>
    <t>FOUL LIGHT</t>
  </si>
  <si>
    <t>TXN-202608-006427</t>
  </si>
  <si>
    <t>slip_inventory_2026-08.csv row 121; billing_transactions_2022_2026.csv row 45853</t>
  </si>
  <si>
    <t>LP-0601</t>
  </si>
  <si>
    <t>WL-02639</t>
  </si>
  <si>
    <t>Ronald Moore</t>
  </si>
  <si>
    <t>TXN-202608-006491</t>
  </si>
  <si>
    <t>slip_inventory_2026-08.csv row 122; billing_transactions_2022_2026.csv row 45854</t>
  </si>
  <si>
    <t>LP-0602</t>
  </si>
  <si>
    <t>WL-01342</t>
  </si>
  <si>
    <t>Lee Maldonado</t>
  </si>
  <si>
    <t>SCOTER PASSAGE</t>
  </si>
  <si>
    <t>TXN-202608-006543</t>
  </si>
  <si>
    <t>slip_inventory_2026-08.csv row 123; billing_transactions_2022_2026.csv row 45856</t>
  </si>
  <si>
    <t>LP-0603</t>
  </si>
  <si>
    <t>WL-02921</t>
  </si>
  <si>
    <t>Marissa Hatfield</t>
  </si>
  <si>
    <t>TXN-202608-006610</t>
  </si>
  <si>
    <t>slip_inventory_2026-08.csv row 124; billing_transactions_2022_2026.csv row 45858</t>
  </si>
  <si>
    <t>LP-0604</t>
  </si>
  <si>
    <t>WL-02608</t>
  </si>
  <si>
    <t>Timothy Porter</t>
  </si>
  <si>
    <t>TXN-202608-006671</t>
  </si>
  <si>
    <t>slip_inventory_2026-08.csv row 125; billing_transactions_2022_2026.csv row 45859</t>
  </si>
  <si>
    <t>LP-0605</t>
  </si>
  <si>
    <t>WL-01747</t>
  </si>
  <si>
    <t>Andrew Anderson</t>
  </si>
  <si>
    <t>TXN-202608-006755</t>
  </si>
  <si>
    <t>slip_inventory_2026-08.csv row 126; billing_transactions_2022_2026.csv row 45861</t>
  </si>
  <si>
    <t>LP-0606</t>
  </si>
  <si>
    <t>WL-03735</t>
  </si>
  <si>
    <t>Kyle Foster</t>
  </si>
  <si>
    <t>TXN-202608-006821</t>
  </si>
  <si>
    <t>slip_inventory_2026-08.csv row 127; billing_transactions_2022_2026.csv row 45862</t>
  </si>
  <si>
    <t>LP-0607</t>
  </si>
  <si>
    <t>WL-01378</t>
  </si>
  <si>
    <t>Morgan Clark</t>
  </si>
  <si>
    <t>TXN-202608-006901</t>
  </si>
  <si>
    <t>slip_inventory_2026-08.csv row 128; billing_transactions_2022_2026.csv row 45863</t>
  </si>
  <si>
    <t>LP-0608</t>
  </si>
  <si>
    <t>WL-03905</t>
  </si>
  <si>
    <t>Jamie Carpenter</t>
  </si>
  <si>
    <t>TXN-202608-006979</t>
  </si>
  <si>
    <t>slip_inventory_2026-08.csv row 129; billing_transactions_2022_2026.csv row 45865</t>
  </si>
  <si>
    <t>LP-0609</t>
  </si>
  <si>
    <t>WL-01602</t>
  </si>
  <si>
    <t>Micheal Martinez</t>
  </si>
  <si>
    <t>TXN-202608-007046</t>
  </si>
  <si>
    <t>slip_inventory_2026-08.csv row 130; billing_transactions_2022_2026.csv row 45866</t>
  </si>
  <si>
    <t>LP-0610</t>
  </si>
  <si>
    <t>WL-02905</t>
  </si>
  <si>
    <t>James Williams</t>
  </si>
  <si>
    <t>COHO LINE</t>
  </si>
  <si>
    <t>TXN-202608-007099</t>
  </si>
  <si>
    <t>slip_inventory_2026-08.csv row 131; billing_transactions_2022_2026.csv row 45868</t>
  </si>
  <si>
    <t>LP-0611</t>
  </si>
  <si>
    <t>WL-03556</t>
  </si>
  <si>
    <t>Scott Bird</t>
  </si>
  <si>
    <t>TXN-202608-007176</t>
  </si>
  <si>
    <t>slip_inventory_2026-08.csv row 132; billing_transactions_2022_2026.csv row 45869</t>
  </si>
  <si>
    <t>LP-0612</t>
  </si>
  <si>
    <t>WL-01625</t>
  </si>
  <si>
    <t>Albert Rowland</t>
  </si>
  <si>
    <t>TXN-202608-007262</t>
  </si>
  <si>
    <t>slip_inventory_2026-08.csv row 133; billing_transactions_2022_2026.csv row 45871</t>
  </si>
  <si>
    <t>LP-0613</t>
  </si>
  <si>
    <t>WL-03447</t>
  </si>
  <si>
    <t>Matthew Mcdonald</t>
  </si>
  <si>
    <t>TXN-202608-007316</t>
  </si>
  <si>
    <t>slip_inventory_2026-08.csv row 134; billing_transactions_2022_2026.csv row 45872</t>
  </si>
  <si>
    <t>LP-0614</t>
  </si>
  <si>
    <t>WL-01107</t>
  </si>
  <si>
    <t>Dean Gonzalez</t>
  </si>
  <si>
    <t>TXN-202608-007382</t>
  </si>
  <si>
    <t>slip_inventory_2026-08.csv row 135; billing_transactions_2022_2026.csv row 45874</t>
  </si>
  <si>
    <t>LP-0615</t>
  </si>
  <si>
    <t>WL-03818</t>
  </si>
  <si>
    <t>Abigail Brooks</t>
  </si>
  <si>
    <t>TXN-202608-007438</t>
  </si>
  <si>
    <t>slip_inventory_2026-08.csv row 136; billing_transactions_2022_2026.csv row 45875</t>
  </si>
  <si>
    <t>LP-0616</t>
  </si>
  <si>
    <t>WL-03854</t>
  </si>
  <si>
    <t>Brandon Jackson</t>
  </si>
  <si>
    <t>TXN-202608-007500</t>
  </si>
  <si>
    <t>slip_inventory_2026-08.csv row 137; billing_transactions_2022_2026.csv row 45876</t>
  </si>
  <si>
    <t>LP-0617</t>
  </si>
  <si>
    <t>WL-02073</t>
  </si>
  <si>
    <t>Susan Jordan</t>
  </si>
  <si>
    <t>TXN-202608-007544</t>
  </si>
  <si>
    <t>slip_inventory_2026-08.csv row 138; billing_transactions_2022_2026.csv row 45877</t>
  </si>
  <si>
    <t>LP-0618</t>
  </si>
  <si>
    <t>WL-01962</t>
  </si>
  <si>
    <t>Natalie Tyler</t>
  </si>
  <si>
    <t>HALIBUT PASSAGE</t>
  </si>
  <si>
    <t>TXN-202608-007614</t>
  </si>
  <si>
    <t>slip_inventory_2026-08.csv row 139; billing_transactions_2022_2026.csv row 45879</t>
  </si>
  <si>
    <t>LP-0620</t>
  </si>
  <si>
    <t>WL-02410</t>
  </si>
  <si>
    <t>Juan Martin</t>
  </si>
  <si>
    <t>SPINDRIFT BAY</t>
  </si>
  <si>
    <t>TXN-202608-007671</t>
  </si>
  <si>
    <t>slip_inventory_2026-08.csv row 141; billing_transactions_2022_2026.csv row 45880</t>
  </si>
  <si>
    <t>LP-0621</t>
  </si>
  <si>
    <t>WL-02194</t>
  </si>
  <si>
    <t>Victoria Williamson</t>
  </si>
  <si>
    <t>TXN-202608-007743</t>
  </si>
  <si>
    <t>slip_inventory_2026-08.csv row 142; billing_transactions_2022_2026.csv row 45881</t>
  </si>
  <si>
    <t>LP-0622</t>
  </si>
  <si>
    <t>WL-03607</t>
  </si>
  <si>
    <t>Ross Green</t>
  </si>
  <si>
    <t>FOUL WEATHER</t>
  </si>
  <si>
    <t>TXN-202608-007793</t>
  </si>
  <si>
    <t>slip_inventory_2026-08.csv row 143; billing_transactions_2022_2026.csv row 45882</t>
  </si>
  <si>
    <t>LP-0623</t>
  </si>
  <si>
    <t>WL-03096</t>
  </si>
  <si>
    <t>Craig Kelley</t>
  </si>
  <si>
    <t>COHO CREST</t>
  </si>
  <si>
    <t>TXN-202608-007847</t>
  </si>
  <si>
    <t>slip_inventory_2026-08.csv row 144; billing_transactions_2022_2026.csv row 45884</t>
  </si>
  <si>
    <t>LP-0624</t>
  </si>
  <si>
    <t>WL-02951</t>
  </si>
  <si>
    <t>Evelyn Thompson</t>
  </si>
  <si>
    <t>TXN-202608-007933</t>
  </si>
  <si>
    <t>slip_inventory_2026-08.csv row 145; billing_transactions_2022_2026.csv row 45885</t>
  </si>
  <si>
    <t>LP-0701</t>
  </si>
  <si>
    <t>WL-02344</t>
  </si>
  <si>
    <t>Michael Combs</t>
  </si>
  <si>
    <t>FOUL BAY</t>
  </si>
  <si>
    <t>TXN-202608-008015</t>
  </si>
  <si>
    <t>slip_inventory_2026-08.csv row 146; billing_transactions_2022_2026.csv row 45886</t>
  </si>
  <si>
    <t>LP-0702</t>
  </si>
  <si>
    <t>WL-01711</t>
  </si>
  <si>
    <t>Julie Peterson</t>
  </si>
  <si>
    <t>TXN-202608-008093</t>
  </si>
  <si>
    <t>slip_inventory_2026-08.csv row 147; billing_transactions_2022_2026.csv row 45887</t>
  </si>
  <si>
    <t>LP-0703</t>
  </si>
  <si>
    <t>WL-03517</t>
  </si>
  <si>
    <t>Ruth Peters</t>
  </si>
  <si>
    <t>CORMORANT BAY</t>
  </si>
  <si>
    <t>TXN-202608-008150</t>
  </si>
  <si>
    <t>slip_inventory_2026-08.csv row 148; billing_transactions_2022_2026.csv row 45888</t>
  </si>
  <si>
    <t>LP-0704</t>
  </si>
  <si>
    <t>WL-02092</t>
  </si>
  <si>
    <t>Jason Brooks</t>
  </si>
  <si>
    <t>PETREL MIST</t>
  </si>
  <si>
    <t>TXN-202608-008231</t>
  </si>
  <si>
    <t>slip_inventory_2026-08.csv row 149; billing_transactions_2022_2026.csv row 45890</t>
  </si>
  <si>
    <t>LP-0705</t>
  </si>
  <si>
    <t>WL-02327</t>
  </si>
  <si>
    <t>Sarah Hogan</t>
  </si>
  <si>
    <t>OTTER MIST</t>
  </si>
  <si>
    <t>TXN-202608-008302</t>
  </si>
  <si>
    <t>slip_inventory_2026-08.csv row 150; billing_transactions_2022_2026.csv row 45891</t>
  </si>
  <si>
    <t>LP-0706</t>
  </si>
  <si>
    <t>WL-01857</t>
  </si>
  <si>
    <t>Anthony Morales</t>
  </si>
  <si>
    <t>TXN-202608-008377</t>
  </si>
  <si>
    <t>slip_inventory_2026-08.csv row 151; billing_transactions_2022_2026.csv row 45892</t>
  </si>
  <si>
    <t>LP-0707</t>
  </si>
  <si>
    <t>WL-02544</t>
  </si>
  <si>
    <t>Laurie Smith</t>
  </si>
  <si>
    <t>TXN-202608-008427</t>
  </si>
  <si>
    <t>slip_inventory_2026-08.csv row 152; billing_transactions_2022_2026.csv row 45894</t>
  </si>
  <si>
    <t>LP-0708</t>
  </si>
  <si>
    <t>WL-03803</t>
  </si>
  <si>
    <t>Elizabeth Mathews</t>
  </si>
  <si>
    <t>TXN-202608-008507</t>
  </si>
  <si>
    <t>slip_inventory_2026-08.csv row 153; billing_transactions_2022_2026.csv row 45896</t>
  </si>
  <si>
    <t>LP-0709</t>
  </si>
  <si>
    <t>WL-02693</t>
  </si>
  <si>
    <t>Patrick Allen</t>
  </si>
  <si>
    <t>HERON WIND</t>
  </si>
  <si>
    <t>TXN-202608-008563</t>
  </si>
  <si>
    <t>slip_inventory_2026-08.csv row 154; billing_transactions_2022_2026.csv row 45898</t>
  </si>
  <si>
    <t>LP-0710</t>
  </si>
  <si>
    <t>WL-03904</t>
  </si>
  <si>
    <t>Peggy Trevino</t>
  </si>
  <si>
    <t>BRANT SONG</t>
  </si>
  <si>
    <t>TXN-202608-008628</t>
  </si>
  <si>
    <t>slip_inventory_2026-08.csv row 155; billing_transactions_2022_2026.csv row 45900</t>
  </si>
  <si>
    <t>LP-0711</t>
  </si>
  <si>
    <t>WL-01740</t>
  </si>
  <si>
    <t>Lisa Wyatt</t>
  </si>
  <si>
    <t>PINTAIL BAY</t>
  </si>
  <si>
    <t>TXN-202608-008674</t>
  </si>
  <si>
    <t>slip_inventory_2026-08.csv row 156; billing_transactions_2022_2026.csv row 45902</t>
  </si>
  <si>
    <t>LP-0712</t>
  </si>
  <si>
    <t>WL-02936</t>
  </si>
  <si>
    <t>Matthew Spencer</t>
  </si>
  <si>
    <t>TXN-202608-008710</t>
  </si>
  <si>
    <t>slip_inventory_2026-08.csv row 157; billing_transactions_2022_2026.csv row 45904</t>
  </si>
  <si>
    <t>LP-0713</t>
  </si>
  <si>
    <t>WL-03438</t>
  </si>
  <si>
    <t>Stacey Mitchell</t>
  </si>
  <si>
    <t>TXN-202608-008763</t>
  </si>
  <si>
    <t>slip_inventory_2026-08.csv row 158; billing_transactions_2022_2026.csv row 45906</t>
  </si>
  <si>
    <t>LP-0714</t>
  </si>
  <si>
    <t>WL-01437</t>
  </si>
  <si>
    <t>Nicholas Woodward</t>
  </si>
  <si>
    <t>SEAL STAR</t>
  </si>
  <si>
    <t>TXN-202608-008838</t>
  </si>
  <si>
    <t>slip_inventory_2026-08.csv row 159; billing_transactions_2022_2026.csv row 45907</t>
  </si>
  <si>
    <t>LP-0715</t>
  </si>
  <si>
    <t>WL-03454</t>
  </si>
  <si>
    <t>Jason Ramirez</t>
  </si>
  <si>
    <t>SABLE BAY</t>
  </si>
  <si>
    <t>TXN-202608-008888</t>
  </si>
  <si>
    <t>slip_inventory_2026-08.csv row 160; billing_transactions_2022_2026.csv row 45909</t>
  </si>
  <si>
    <t>LP-0716</t>
  </si>
  <si>
    <t>WL-03594</t>
  </si>
  <si>
    <t>Teresa Smith</t>
  </si>
  <si>
    <t>MURRE ANN</t>
  </si>
  <si>
    <t>TXN-202608-008941</t>
  </si>
  <si>
    <t>slip_inventory_2026-08.csv row 161; billing_transactions_2022_2026.csv row 45911</t>
  </si>
  <si>
    <t>LP-0717</t>
  </si>
  <si>
    <t>WL-01315</t>
  </si>
  <si>
    <t>Justin Richardson</t>
  </si>
  <si>
    <t>HERON MIST</t>
  </si>
  <si>
    <t>TXN-202608-008997</t>
  </si>
  <si>
    <t>slip_inventory_2026-08.csv row 162; billing_transactions_2022_2026.csv row 45913</t>
  </si>
  <si>
    <t>LP-0718</t>
  </si>
  <si>
    <t>WL-03399</t>
  </si>
  <si>
    <t>Charles Case</t>
  </si>
  <si>
    <t>TXN-202608-009047</t>
  </si>
  <si>
    <t>slip_inventory_2026-08.csv row 163; billing_transactions_2022_2026.csv row 45915</t>
  </si>
  <si>
    <t>LP-0719</t>
  </si>
  <si>
    <t>WL-02512</t>
  </si>
  <si>
    <t>Natalie Olsen</t>
  </si>
  <si>
    <t>TXN-202608-009113</t>
  </si>
  <si>
    <t>slip_inventory_2026-08.csv row 164; billing_transactions_2022_2026.csv row 45916</t>
  </si>
  <si>
    <t>LP-0720</t>
  </si>
  <si>
    <t>WL-01709</t>
  </si>
  <si>
    <t>Alexander Stephens</t>
  </si>
  <si>
    <t>TXN-202608-009164</t>
  </si>
  <si>
    <t>slip_inventory_2026-08.csv row 165; billing_transactions_2022_2026.csv row 45917</t>
  </si>
  <si>
    <t>LP-0722</t>
  </si>
  <si>
    <t>WL-02525</t>
  </si>
  <si>
    <t>Matthew Wright</t>
  </si>
  <si>
    <t>TXN-202608-009235</t>
  </si>
  <si>
    <t>slip_inventory_2026-08.csv row 167; billing_transactions_2022_2026.csv row 45919</t>
  </si>
  <si>
    <t>LP-0723</t>
  </si>
  <si>
    <t>WL-01106</t>
  </si>
  <si>
    <t>ANCHOR QUEEN</t>
  </si>
  <si>
    <t>TXN-202608-009277</t>
  </si>
  <si>
    <t>slip_inventory_2026-08.csv row 168; billing_transactions_2022_2026.csv row 45920</t>
  </si>
  <si>
    <t>LP-0724</t>
  </si>
  <si>
    <t>WL-01738</t>
  </si>
  <si>
    <t>Zachary Kramer</t>
  </si>
  <si>
    <t>TXN-202608-009317</t>
  </si>
  <si>
    <t>slip_inventory_2026-08.csv row 169; billing_transactions_2022_2026.csv row 45921</t>
  </si>
  <si>
    <t>LP-0801</t>
  </si>
  <si>
    <t>WL-02322</t>
  </si>
  <si>
    <t>Allison Nguyen</t>
  </si>
  <si>
    <t>TXN-202608-009358</t>
  </si>
  <si>
    <t>slip_inventory_2026-08.csv row 170; billing_transactions_2022_2026.csv row 45923</t>
  </si>
  <si>
    <t>LP-0802</t>
  </si>
  <si>
    <t>WL-03526</t>
  </si>
  <si>
    <t>Michael West</t>
  </si>
  <si>
    <t>TXN-202608-009428</t>
  </si>
  <si>
    <t>slip_inventory_2026-08.csv row 171; billing_transactions_2022_2026.csv row 45925</t>
  </si>
  <si>
    <t>LP-0803</t>
  </si>
  <si>
    <t>WL-03367</t>
  </si>
  <si>
    <t>Jill Stevenson</t>
  </si>
  <si>
    <t>SEAL REACH</t>
  </si>
  <si>
    <t>TXN-202608-009493</t>
  </si>
  <si>
    <t>slip_inventory_2026-08.csv row 172; billing_transactions_2022_2026.csv row 45927</t>
  </si>
  <si>
    <t>LP-0805</t>
  </si>
  <si>
    <t>WL-02244</t>
  </si>
  <si>
    <t>Victoria Nash</t>
  </si>
  <si>
    <t>SABLE WAKE</t>
  </si>
  <si>
    <t>TXN-202608-009566</t>
  </si>
  <si>
    <t>slip_inventory_2026-08.csv row 174; billing_transactions_2022_2026.csv row 45928</t>
  </si>
  <si>
    <t>LP-0806</t>
  </si>
  <si>
    <t>WL-02771</t>
  </si>
  <si>
    <t>Lisa Garcia</t>
  </si>
  <si>
    <t>TXN-202608-009636</t>
  </si>
  <si>
    <t>slip_inventory_2026-08.csv row 175; billing_transactions_2022_2026.csv row 45930</t>
  </si>
  <si>
    <t>LP-0807</t>
  </si>
  <si>
    <t>WL-02647</t>
  </si>
  <si>
    <t>Seth Perez</t>
  </si>
  <si>
    <t>COHO RUNNER</t>
  </si>
  <si>
    <t>TXN-202608-009719</t>
  </si>
  <si>
    <t>slip_inventory_2026-08.csv row 176; billing_transactions_2022_2026.csv row 45932</t>
  </si>
  <si>
    <t>LP-0808</t>
  </si>
  <si>
    <t>WL-03318</t>
  </si>
  <si>
    <t>Denise Jordan</t>
  </si>
  <si>
    <t>TXN-202608-009770</t>
  </si>
  <si>
    <t>slip_inventory_2026-08.csv row 177; billing_transactions_2022_2026.csv row 45933</t>
  </si>
  <si>
    <t>LP-0809</t>
  </si>
  <si>
    <t>WL-02205</t>
  </si>
  <si>
    <t>Robert Rivas</t>
  </si>
  <si>
    <t>TXN-202608-009852</t>
  </si>
  <si>
    <t>slip_inventory_2026-08.csv row 178; billing_transactions_2022_2026.csv row 45934</t>
  </si>
  <si>
    <t>LP-0811</t>
  </si>
  <si>
    <t>WL-02097</t>
  </si>
  <si>
    <t>Scott Brooks</t>
  </si>
  <si>
    <t>ANCHOR PASSAGE</t>
  </si>
  <si>
    <t>TXN-202608-009916</t>
  </si>
  <si>
    <t>slip_inventory_2026-08.csv row 180; billing_transactions_2022_2026.csv row 45936</t>
  </si>
  <si>
    <t>LP-0812</t>
  </si>
  <si>
    <t>WL-02511</t>
  </si>
  <si>
    <t>Brett Lee</t>
  </si>
  <si>
    <t>GRAY WEATHER</t>
  </si>
  <si>
    <t>TXN-202608-009999</t>
  </si>
  <si>
    <t>slip_inventory_2026-08.csv row 181; billing_transactions_2022_2026.csv row 45938</t>
  </si>
  <si>
    <t>LP-0813</t>
  </si>
  <si>
    <t>WL-02446</t>
  </si>
  <si>
    <t>Emily Parker</t>
  </si>
  <si>
    <t>TXN-202608-010077</t>
  </si>
  <si>
    <t>slip_inventory_2026-08.csv row 182; billing_transactions_2022_2026.csv row 45940</t>
  </si>
  <si>
    <t>LP-0814</t>
  </si>
  <si>
    <t>WL-02409</t>
  </si>
  <si>
    <t>Danny Sexton</t>
  </si>
  <si>
    <t>TXN-202608-010153</t>
  </si>
  <si>
    <t>slip_inventory_2026-08.csv row 183; billing_transactions_2022_2026.csv row 45941</t>
  </si>
  <si>
    <t>LP-0815</t>
  </si>
  <si>
    <t>WL-01947</t>
  </si>
  <si>
    <t>Teresa Mcdowell</t>
  </si>
  <si>
    <t>CORMORANT ANN</t>
  </si>
  <si>
    <t>TXN-202608-010227</t>
  </si>
  <si>
    <t>slip_inventory_2026-08.csv row 184; billing_transactions_2022_2026.csv row 45943</t>
  </si>
  <si>
    <t>LP-0816</t>
  </si>
  <si>
    <t>WL-03243</t>
  </si>
  <si>
    <t>Jessica Long</t>
  </si>
  <si>
    <t>TXN-202608-010292</t>
  </si>
  <si>
    <t>slip_inventory_2026-08.csv row 185; billing_transactions_2022_2026.csv row 45944</t>
  </si>
  <si>
    <t>LP-0817</t>
  </si>
  <si>
    <t>WL-03630</t>
  </si>
  <si>
    <t>Tiffany Torres</t>
  </si>
  <si>
    <t>SCOTER MIST</t>
  </si>
  <si>
    <t>TXN-202608-010354</t>
  </si>
  <si>
    <t>slip_inventory_2026-08.csv row 186; billing_transactions_2022_2026.csv row 45945</t>
  </si>
  <si>
    <t>LP-0818</t>
  </si>
  <si>
    <t>WL-02906</t>
  </si>
  <si>
    <t>Victor Turner</t>
  </si>
  <si>
    <t>TXN-202608-010428</t>
  </si>
  <si>
    <t>slip_inventory_2026-08.csv row 187; billing_transactions_2022_2026.csv row 45946</t>
  </si>
  <si>
    <t>LP-0819</t>
  </si>
  <si>
    <t>WL-02164</t>
  </si>
  <si>
    <t>Adrienne Thompson</t>
  </si>
  <si>
    <t>TXN-202608-010483</t>
  </si>
  <si>
    <t>slip_inventory_2026-08.csv row 188; billing_transactions_2022_2026.csv row 45947</t>
  </si>
  <si>
    <t>LP-0820</t>
  </si>
  <si>
    <t>WL-01109</t>
  </si>
  <si>
    <t>Patrick Sanchez</t>
  </si>
  <si>
    <t>TXN-202608-010563</t>
  </si>
  <si>
    <t>slip_inventory_2026-08.csv row 189; billing_transactions_2022_2026.csv row 45949</t>
  </si>
  <si>
    <t>LP-0821</t>
  </si>
  <si>
    <t>WL-03375</t>
  </si>
  <si>
    <t>Debra Rogers</t>
  </si>
  <si>
    <t>TXN-202608-010626</t>
  </si>
  <si>
    <t>slip_inventory_2026-08.csv row 190; billing_transactions_2022_2026.csv row 45951</t>
  </si>
  <si>
    <t>LP-0822</t>
  </si>
  <si>
    <t>WL-02728</t>
  </si>
  <si>
    <t>Ralph Archer</t>
  </si>
  <si>
    <t>TXN-202608-010690</t>
  </si>
  <si>
    <t>slip_inventory_2026-08.csv row 191; billing_transactions_2022_2026.csv row 45953</t>
  </si>
  <si>
    <t>LP-0823</t>
  </si>
  <si>
    <t>WL-03320</t>
  </si>
  <si>
    <t>Maria Robinson</t>
  </si>
  <si>
    <t>COHO MOON</t>
  </si>
  <si>
    <t>TXN-202608-010741</t>
  </si>
  <si>
    <t>slip_inventory_2026-08.csv row 192; billing_transactions_2022_2026.csv row 45954</t>
  </si>
  <si>
    <t>LP-0824</t>
  </si>
  <si>
    <t>WL-01024</t>
  </si>
  <si>
    <t>Jennifer Henson</t>
  </si>
  <si>
    <t>TXN-202608-010787</t>
  </si>
  <si>
    <t>slip_inventory_2026-08.csv row 193; billing_transactions_2022_2026.csv row 45956</t>
  </si>
  <si>
    <t>LP-0901</t>
  </si>
  <si>
    <t>WL-02661</t>
  </si>
  <si>
    <t>Angela Poole</t>
  </si>
  <si>
    <t>HERON BAY</t>
  </si>
  <si>
    <t>TXN-202608-010867</t>
  </si>
  <si>
    <t>slip_inventory_2026-08.csv row 194; billing_transactions_2022_2026.csv row 45958</t>
  </si>
  <si>
    <t>LP-0902</t>
  </si>
  <si>
    <t>WL-01872</t>
  </si>
  <si>
    <t>Neil Adkins</t>
  </si>
  <si>
    <t>TXN-202608-010915</t>
  </si>
  <si>
    <t>slip_inventory_2026-08.csv row 195; billing_transactions_2022_2026.csv row 45960</t>
  </si>
  <si>
    <t>LP-0903</t>
  </si>
  <si>
    <t>WL-01193</t>
  </si>
  <si>
    <t>Mindy Medina</t>
  </si>
  <si>
    <t>TXN-202608-010994</t>
  </si>
  <si>
    <t>slip_inventory_2026-08.csv row 196; billing_transactions_2022_2026.csv row 45962</t>
  </si>
  <si>
    <t>LP-0904</t>
  </si>
  <si>
    <t>WL-03771</t>
  </si>
  <si>
    <t>Alexander Cross</t>
  </si>
  <si>
    <t>WIDGEON WAKE</t>
  </si>
  <si>
    <t>TXN-202608-011040</t>
  </si>
  <si>
    <t>slip_inventory_2026-08.csv row 197; billing_transactions_2022_2026.csv row 45963</t>
  </si>
  <si>
    <t>LP-0905</t>
  </si>
  <si>
    <t>WL-01795</t>
  </si>
  <si>
    <t>Emily Alexander</t>
  </si>
  <si>
    <t>TXN-202608-011113</t>
  </si>
  <si>
    <t>slip_inventory_2026-08.csv row 198; billing_transactions_2022_2026.csv row 45965</t>
  </si>
  <si>
    <t>LP-0906</t>
  </si>
  <si>
    <t>WL-03019</t>
  </si>
  <si>
    <t>Denise Bonilla</t>
  </si>
  <si>
    <t>KESTREL QUEEN</t>
  </si>
  <si>
    <t>TXN-202608-011186</t>
  </si>
  <si>
    <t>slip_inventory_2026-08.csv row 199; billing_transactions_2022_2026.csv row 45966</t>
  </si>
  <si>
    <t>LP-0907</t>
  </si>
  <si>
    <t>WL-02873</t>
  </si>
  <si>
    <t>Brittany Wilkerson</t>
  </si>
  <si>
    <t>TXN-202608-011262</t>
  </si>
  <si>
    <t>slip_inventory_2026-08.csv row 200; billing_transactions_2022_2026.csv row 45967</t>
  </si>
  <si>
    <t>LP-0908</t>
  </si>
  <si>
    <t>WL-01005</t>
  </si>
  <si>
    <t>Joseph Sharp</t>
  </si>
  <si>
    <t>TXN-202608-011328</t>
  </si>
  <si>
    <t>slip_inventory_2026-08.csv row 201; billing_transactions_2022_2026.csv row 45968</t>
  </si>
  <si>
    <t>LP-0909</t>
  </si>
  <si>
    <t>WL-01808</t>
  </si>
  <si>
    <t>Jason Shepard</t>
  </si>
  <si>
    <t>PETREL LIGHT</t>
  </si>
  <si>
    <t>TXN-202608-011387</t>
  </si>
  <si>
    <t>slip_inventory_2026-08.csv row 202; billing_transactions_2022_2026.csv row 45969</t>
  </si>
  <si>
    <t>LP-0910</t>
  </si>
  <si>
    <t>WL-01992</t>
  </si>
  <si>
    <t>John Davis</t>
  </si>
  <si>
    <t>TXN-202608-011449</t>
  </si>
  <si>
    <t>slip_inventory_2026-08.csv row 203; billing_transactions_2022_2026.csv row 45970</t>
  </si>
  <si>
    <t>LP-0911</t>
  </si>
  <si>
    <t>WL-01998</t>
  </si>
  <si>
    <t>Katherine Johnson</t>
  </si>
  <si>
    <t>POINT SONG</t>
  </si>
  <si>
    <t>TXN-202608-011512</t>
  </si>
  <si>
    <t>slip_inventory_2026-08.csv row 204; billing_transactions_2022_2026.csv row 45972</t>
  </si>
  <si>
    <t>LP-0912</t>
  </si>
  <si>
    <t>WL-02965</t>
  </si>
  <si>
    <t>Harry Koch</t>
  </si>
  <si>
    <t>TXN-202608-011585</t>
  </si>
  <si>
    <t>slip_inventory_2026-08.csv row 205; billing_transactions_2022_2026.csv row 45974</t>
  </si>
  <si>
    <t>LP-0913</t>
  </si>
  <si>
    <t>WL-02303</t>
  </si>
  <si>
    <t>Christina Hernandez</t>
  </si>
  <si>
    <t>TXN-202608-011646</t>
  </si>
  <si>
    <t>slip_inventory_2026-08.csv row 206; billing_transactions_2022_2026.csv row 45975</t>
  </si>
  <si>
    <t>LP-0914</t>
  </si>
  <si>
    <t>WL-01697</t>
  </si>
  <si>
    <t>Paige Brown</t>
  </si>
  <si>
    <t>TXN-202608-011702</t>
  </si>
  <si>
    <t>slip_inventory_2026-08.csv row 207; billing_transactions_2022_2026.csv row 45976</t>
  </si>
  <si>
    <t>LP-0915</t>
  </si>
  <si>
    <t>WL-01416</t>
  </si>
  <si>
    <t>Carmen Hernandez</t>
  </si>
  <si>
    <t>SCOTER REACH</t>
  </si>
  <si>
    <t>TXN-202608-011766</t>
  </si>
  <si>
    <t>slip_inventory_2026-08.csv row 208; billing_transactions_2022_2026.csv row 45977</t>
  </si>
  <si>
    <t>LP-0917</t>
  </si>
  <si>
    <t>WL-01392</t>
  </si>
  <si>
    <t>Ryan Carr</t>
  </si>
  <si>
    <t>TIDE CREST</t>
  </si>
  <si>
    <t>TXN-202608-011847</t>
  </si>
  <si>
    <t>slip_inventory_2026-08.csv row 210; billing_transactions_2022_2026.csv row 45979</t>
  </si>
  <si>
    <t>LP-0918</t>
  </si>
  <si>
    <t>WL-03842</t>
  </si>
  <si>
    <t>Jennifer Campbell</t>
  </si>
  <si>
    <t>ANCHOR SOUND</t>
  </si>
  <si>
    <t>TXN-202608-011919</t>
  </si>
  <si>
    <t>slip_inventory_2026-08.csv row 211; billing_transactions_2022_2026.csv row 45980</t>
  </si>
  <si>
    <t>LP-0919</t>
  </si>
  <si>
    <t>WL-02994</t>
  </si>
  <si>
    <t>Pamela Wright</t>
  </si>
  <si>
    <t>TXN-202608-011956</t>
  </si>
  <si>
    <t>slip_inventory_2026-08.csv row 212; billing_transactions_2022_2026.csv row 45981</t>
  </si>
  <si>
    <t>LP-0920</t>
  </si>
  <si>
    <t>WL-01174</t>
  </si>
  <si>
    <t>Jason Kim</t>
  </si>
  <si>
    <t>TXN-202608-012022</t>
  </si>
  <si>
    <t>slip_inventory_2026-08.csv row 213; billing_transactions_2022_2026.csv row 45982</t>
  </si>
  <si>
    <t>LP-0921</t>
  </si>
  <si>
    <t>WL-02368</t>
  </si>
  <si>
    <t>Chris Chavez</t>
  </si>
  <si>
    <t>COHO ROSE</t>
  </si>
  <si>
    <t>TXN-202608-012059</t>
  </si>
  <si>
    <t>slip_inventory_2026-08.csv row 214; billing_transactions_2022_2026.csv row 45983</t>
  </si>
  <si>
    <t>LP-0922</t>
  </si>
  <si>
    <t>WL-03260</t>
  </si>
  <si>
    <t>Joel Thomas</t>
  </si>
  <si>
    <t>SPINDRIFT SONG</t>
  </si>
  <si>
    <t>TXN-202608-012124</t>
  </si>
  <si>
    <t>slip_inventory_2026-08.csv row 215; billing_transactions_2022_2026.csv row 45985</t>
  </si>
  <si>
    <t>LP-0923</t>
  </si>
  <si>
    <t>WL-02672</t>
  </si>
  <si>
    <t>Russell Barnes</t>
  </si>
  <si>
    <t>TXN-202608-012196</t>
  </si>
  <si>
    <t>slip_inventory_2026-08.csv row 216; billing_transactions_2022_2026.csv row 45987</t>
  </si>
  <si>
    <t>LP-0924</t>
  </si>
  <si>
    <t>WL-01312</t>
  </si>
  <si>
    <t>Matthew King</t>
  </si>
  <si>
    <t>TXN-202608-012242</t>
  </si>
  <si>
    <t>slip_inventory_2026-08.csv row 217; billing_transactions_2022_2026.csv row 45988</t>
  </si>
  <si>
    <t>LP-1001</t>
  </si>
  <si>
    <t>WL-03184</t>
  </si>
  <si>
    <t>Lindsay Alexander</t>
  </si>
  <si>
    <t>SALISH MIST</t>
  </si>
  <si>
    <t>TXN-202608-012320</t>
  </si>
  <si>
    <t>slip_inventory_2026-08.csv row 218; billing_transactions_2022_2026.csv row 45990</t>
  </si>
  <si>
    <t>LP-1002</t>
  </si>
  <si>
    <t>WL-03393</t>
  </si>
  <si>
    <t>Richard Norris</t>
  </si>
  <si>
    <t>SALISH SOUND</t>
  </si>
  <si>
    <t>TXN-202608-012378</t>
  </si>
  <si>
    <t>slip_inventory_2026-08.csv row 219; billing_transactions_2022_2026.csv row 45991</t>
  </si>
  <si>
    <t>LP-1003</t>
  </si>
  <si>
    <t>WL-01310</t>
  </si>
  <si>
    <t>Donna Weber</t>
  </si>
  <si>
    <t>TXN-202608-012439</t>
  </si>
  <si>
    <t>slip_inventory_2026-08.csv row 220; billing_transactions_2022_2026.csv row 45993</t>
  </si>
  <si>
    <t>LP-1004</t>
  </si>
  <si>
    <t>WL-03418</t>
  </si>
  <si>
    <t>Mary Ford</t>
  </si>
  <si>
    <t>FOUL RUNNER</t>
  </si>
  <si>
    <t>TXN-202608-012506</t>
  </si>
  <si>
    <t>slip_inventory_2026-08.csv row 221; billing_transactions_2022_2026.csv row 45995</t>
  </si>
  <si>
    <t>LP-1005</t>
  </si>
  <si>
    <t>WL-03728</t>
  </si>
  <si>
    <t>Gary Wade</t>
  </si>
  <si>
    <t>TXN-202608-012563</t>
  </si>
  <si>
    <t>slip_inventory_2026-08.csv row 222; billing_transactions_2022_2026.csv row 45997</t>
  </si>
  <si>
    <t>LP-1006</t>
  </si>
  <si>
    <t>WL-02721</t>
  </si>
  <si>
    <t>Carol Scott</t>
  </si>
  <si>
    <t>KESTREL ROCK</t>
  </si>
  <si>
    <t>TXN-202608-012635</t>
  </si>
  <si>
    <t>slip_inventory_2026-08.csv row 223; billing_transactions_2022_2026.csv row 45998</t>
  </si>
  <si>
    <t>LP-1007</t>
  </si>
  <si>
    <t>WL-03683</t>
  </si>
  <si>
    <t>Shawn Carter</t>
  </si>
  <si>
    <t>TXN-202608-012709</t>
  </si>
  <si>
    <t>slip_inventory_2026-08.csv row 224; billing_transactions_2022_2026.csv row 45999</t>
  </si>
  <si>
    <t>LP-1008</t>
  </si>
  <si>
    <t>WL-02719</t>
  </si>
  <si>
    <t>Travis Sexton</t>
  </si>
  <si>
    <t>TXN-202608-012767</t>
  </si>
  <si>
    <t>slip_inventory_2026-08.csv row 225; billing_transactions_2022_2026.csv row 46000</t>
  </si>
  <si>
    <t>LP-1009</t>
  </si>
  <si>
    <t>WL-01829</t>
  </si>
  <si>
    <t>Bradley Franklin</t>
  </si>
  <si>
    <t>TXN-202608-012832</t>
  </si>
  <si>
    <t>slip_inventory_2026-08.csv row 226; billing_transactions_2022_2026.csv row 46002</t>
  </si>
  <si>
    <t>LP-1010</t>
  </si>
  <si>
    <t>WL-01700</t>
  </si>
  <si>
    <t>Sherry Fletcher</t>
  </si>
  <si>
    <t>TXN-202608-012877</t>
  </si>
  <si>
    <t>slip_inventory_2026-08.csv row 227; billing_transactions_2022_2026.csv row 46003</t>
  </si>
  <si>
    <t>LP-1011</t>
  </si>
  <si>
    <t>WL-02925</t>
  </si>
  <si>
    <t>Leslie Marsh</t>
  </si>
  <si>
    <t>TXN-202608-012944</t>
  </si>
  <si>
    <t>slip_inventory_2026-08.csv row 228; billing_transactions_2022_2026.csv row 46004</t>
  </si>
  <si>
    <t>LP-1012</t>
  </si>
  <si>
    <t>WL-02088</t>
  </si>
  <si>
    <t>Yvonne Collins</t>
  </si>
  <si>
    <t>WIDGEON WEATHER</t>
  </si>
  <si>
    <t>TXN-202608-012991</t>
  </si>
  <si>
    <t>slip_inventory_2026-08.csv row 229; billing_transactions_2022_2026.csv row 46005</t>
  </si>
  <si>
    <t>LP-1013</t>
  </si>
  <si>
    <t>WL-01242</t>
  </si>
  <si>
    <t>Melissa Villanueva</t>
  </si>
  <si>
    <t>TXN-202608-013039</t>
  </si>
  <si>
    <t>slip_inventory_2026-08.csv row 230; billing_transactions_2022_2026.csv row 46006</t>
  </si>
  <si>
    <t>LP-1014</t>
  </si>
  <si>
    <t>WL-02535</t>
  </si>
  <si>
    <t>Shari Hess</t>
  </si>
  <si>
    <t>TXN-202608-013099</t>
  </si>
  <si>
    <t>slip_inventory_2026-08.csv row 231; billing_transactions_2022_2026.csv row 46007</t>
  </si>
  <si>
    <t>LP-1016</t>
  </si>
  <si>
    <t>WL-03089</t>
  </si>
  <si>
    <t>Joshua Rivera</t>
  </si>
  <si>
    <t>TXN-202608-013163</t>
  </si>
  <si>
    <t>slip_inventory_2026-08.csv row 233; billing_transactions_2022_2026.csv row 46009</t>
  </si>
  <si>
    <t>LP-1017</t>
  </si>
  <si>
    <t>WL-01838</t>
  </si>
  <si>
    <t>James Gregory</t>
  </si>
  <si>
    <t>TXN-202608-013209</t>
  </si>
  <si>
    <t>slip_inventory_2026-08.csv row 234; billing_transactions_2022_2026.csv row 46010</t>
  </si>
  <si>
    <t>LP-1018</t>
  </si>
  <si>
    <t>WL-01243</t>
  </si>
  <si>
    <t>Christina Rivera</t>
  </si>
  <si>
    <t>TXN-202608-013255</t>
  </si>
  <si>
    <t>slip_inventory_2026-08.csv row 235; billing_transactions_2022_2026.csv row 46012</t>
  </si>
  <si>
    <t>LP-1020</t>
  </si>
  <si>
    <t>WL-01990</t>
  </si>
  <si>
    <t>Michael Taylor</t>
  </si>
  <si>
    <t>TXN-202608-013320</t>
  </si>
  <si>
    <t>slip_inventory_2026-08.csv row 237; billing_transactions_2022_2026.csv row 46013</t>
  </si>
  <si>
    <t>LP-1021</t>
  </si>
  <si>
    <t>WL-02827</t>
  </si>
  <si>
    <t>Kimberly Wilson</t>
  </si>
  <si>
    <t>DRIFT WAKE</t>
  </si>
  <si>
    <t>TXN-202608-013399</t>
  </si>
  <si>
    <t>slip_inventory_2026-08.csv row 238; billing_transactions_2022_2026.csv row 46015</t>
  </si>
  <si>
    <t>LP-1022</t>
  </si>
  <si>
    <t>WL-01807</t>
  </si>
  <si>
    <t>Kathleen Mcdonald</t>
  </si>
  <si>
    <t>TXN-202608-013452</t>
  </si>
  <si>
    <t>slip_inventory_2026-08.csv row 239; billing_transactions_2022_2026.csv row 46016</t>
  </si>
  <si>
    <t>LP-1023</t>
  </si>
  <si>
    <t>WL-01364</t>
  </si>
  <si>
    <t>Patrick Richmond</t>
  </si>
  <si>
    <t>TXN-202608-013502</t>
  </si>
  <si>
    <t>slip_inventory_2026-08.csv row 240; billing_transactions_2022_2026.csv row 46017</t>
  </si>
  <si>
    <t>LP-1024</t>
  </si>
  <si>
    <t>WL-01028</t>
  </si>
  <si>
    <t>Brittany Benson</t>
  </si>
  <si>
    <t>TXN-202608-013548</t>
  </si>
  <si>
    <t>slip_inventory_2026-08.csv row 241; billing_transactions_2022_2026.csv row 46018</t>
  </si>
  <si>
    <t>LP-1102</t>
  </si>
  <si>
    <t>WL-03792</t>
  </si>
  <si>
    <t>Rodney Morris</t>
  </si>
  <si>
    <t>TXN-202608-013588</t>
  </si>
  <si>
    <t>slip_inventory_2026-08.csv row 243; billing_transactions_2022_2026.csv row 46020</t>
  </si>
  <si>
    <t>LP-1103</t>
  </si>
  <si>
    <t>WL-03118</t>
  </si>
  <si>
    <t>Amanda Clayton</t>
  </si>
  <si>
    <t>SCOTER GLIDE</t>
  </si>
  <si>
    <t>TXN-202608-013657</t>
  </si>
  <si>
    <t>slip_inventory_2026-08.csv row 244; billing_transactions_2022_2026.csv row 46022</t>
  </si>
  <si>
    <t>LP-1104</t>
  </si>
  <si>
    <t>WL-03003</t>
  </si>
  <si>
    <t>Trevor Turner</t>
  </si>
  <si>
    <t>TXN-202608-013719</t>
  </si>
  <si>
    <t>slip_inventory_2026-08.csv row 245; billing_transactions_2022_2026.csv row 46023</t>
  </si>
  <si>
    <t>LP-1105</t>
  </si>
  <si>
    <t>WL-02015</t>
  </si>
  <si>
    <t>Kenneth Frazier</t>
  </si>
  <si>
    <t>HERON VEER</t>
  </si>
  <si>
    <t>TXN-202608-013761</t>
  </si>
  <si>
    <t>slip_inventory_2026-08.csv row 246; billing_transactions_2022_2026.csv row 46025</t>
  </si>
  <si>
    <t>LP-1106</t>
  </si>
  <si>
    <t>WL-01668</t>
  </si>
  <si>
    <t>Marisa Alexander</t>
  </si>
  <si>
    <t>BRANT STAR</t>
  </si>
  <si>
    <t>TXN-202608-013807</t>
  </si>
  <si>
    <t>slip_inventory_2026-08.csv row 247; billing_transactions_2022_2026.csv row 46026</t>
  </si>
  <si>
    <t>LP-1107</t>
  </si>
  <si>
    <t>WL-03768</t>
  </si>
  <si>
    <t>Michael Ramirez</t>
  </si>
  <si>
    <t>CORMORANT SOUND</t>
  </si>
  <si>
    <t>TXN-202608-013873</t>
  </si>
  <si>
    <t>slip_inventory_2026-08.csv row 248; billing_transactions_2022_2026.csv row 46028</t>
  </si>
  <si>
    <t>LP-1108</t>
  </si>
  <si>
    <t>WL-02575</t>
  </si>
  <si>
    <t>Victoria Aguirre</t>
  </si>
  <si>
    <t>TXN-202608-013934</t>
  </si>
  <si>
    <t>slip_inventory_2026-08.csv row 249; billing_transactions_2022_2026.csv row 46029</t>
  </si>
  <si>
    <t>LP-1109</t>
  </si>
  <si>
    <t>WL-02691</t>
  </si>
  <si>
    <t>Pamela Le</t>
  </si>
  <si>
    <t>TXN-202608-014015</t>
  </si>
  <si>
    <t>slip_inventory_2026-08.csv row 250; billing_transactions_2022_2026.csv row 46031</t>
  </si>
  <si>
    <t>LP-1110</t>
  </si>
  <si>
    <t>WL-01093</t>
  </si>
  <si>
    <t>John Garcia</t>
  </si>
  <si>
    <t>TXN-202608-014077</t>
  </si>
  <si>
    <t>slip_inventory_2026-08.csv row 251; billing_transactions_2022_2026.csv row 46032</t>
  </si>
  <si>
    <t>LP-1111</t>
  </si>
  <si>
    <t>WL-02766</t>
  </si>
  <si>
    <t>Valerie Macias</t>
  </si>
  <si>
    <t>TXN-202608-014138</t>
  </si>
  <si>
    <t>slip_inventory_2026-08.csv row 252; billing_transactions_2022_2026.csv row 46033</t>
  </si>
  <si>
    <t>LP-1112</t>
  </si>
  <si>
    <t>WL-03706</t>
  </si>
  <si>
    <t>Nicole Richmond</t>
  </si>
  <si>
    <t>TXN-202608-014207</t>
  </si>
  <si>
    <t>slip_inventory_2026-08.csv row 253; billing_transactions_2022_2026.csv row 46035</t>
  </si>
  <si>
    <t>LP-1113</t>
  </si>
  <si>
    <t>WL-02029</t>
  </si>
  <si>
    <t>Whitney Jackson</t>
  </si>
  <si>
    <t>TXN-202608-014275</t>
  </si>
  <si>
    <t>slip_inventory_2026-08.csv row 254; billing_transactions_2022_2026.csv row 46037</t>
  </si>
  <si>
    <t>LP-1114</t>
  </si>
  <si>
    <t>WL-01680</t>
  </si>
  <si>
    <t>Sara Nelson</t>
  </si>
  <si>
    <t>TXN-202608-014329</t>
  </si>
  <si>
    <t>slip_inventory_2026-08.csv row 255; billing_transactions_2022_2026.csv row 46038</t>
  </si>
  <si>
    <t>LP-1115</t>
  </si>
  <si>
    <t>WL-02792</t>
  </si>
  <si>
    <t>Michelle Marsh</t>
  </si>
  <si>
    <t>TXN-202608-014384</t>
  </si>
  <si>
    <t>slip_inventory_2026-08.csv row 256; billing_transactions_2022_2026.csv row 46040</t>
  </si>
  <si>
    <t>LP-1116</t>
  </si>
  <si>
    <t>WL-03453</t>
  </si>
  <si>
    <t>Kelly Johnson</t>
  </si>
  <si>
    <t>TXN-202608-014423</t>
  </si>
  <si>
    <t>slip_inventory_2026-08.csv row 257; billing_transactions_2022_2026.csv row 46042</t>
  </si>
  <si>
    <t>LP-1117</t>
  </si>
  <si>
    <t>WL-01944</t>
  </si>
  <si>
    <t>Tina Wells</t>
  </si>
  <si>
    <t>TXN-202608-014478</t>
  </si>
  <si>
    <t>slip_inventory_2026-08.csv row 258; billing_transactions_2022_2026.csv row 46043</t>
  </si>
  <si>
    <t>LP-1118</t>
  </si>
  <si>
    <t>WL-02489</t>
  </si>
  <si>
    <t>Caitlin Burgess</t>
  </si>
  <si>
    <t>TXN-202608-014536</t>
  </si>
  <si>
    <t>slip_inventory_2026-08.csv row 259; billing_transactions_2022_2026.csv row 46045</t>
  </si>
  <si>
    <t>LP-1119</t>
  </si>
  <si>
    <t>WL-03252</t>
  </si>
  <si>
    <t>John Gregory</t>
  </si>
  <si>
    <t>SANDERLING CREST</t>
  </si>
  <si>
    <t>TXN-202608-014593</t>
  </si>
  <si>
    <t>slip_inventory_2026-08.csv row 260; billing_transactions_2022_2026.csv row 46046</t>
  </si>
  <si>
    <t>LP-1120</t>
  </si>
  <si>
    <t>WL-01021</t>
  </si>
  <si>
    <t>Deborah Freeman</t>
  </si>
  <si>
    <t>DRIFT MIST</t>
  </si>
  <si>
    <t>TXN-202608-014636</t>
  </si>
  <si>
    <t>slip_inventory_2026-08.csv row 261; billing_transactions_2022_2026.csv row 46048</t>
  </si>
  <si>
    <t>SB-0101</t>
  </si>
  <si>
    <t>WL-03060</t>
  </si>
  <si>
    <t>Lisa Johnson</t>
  </si>
  <si>
    <t>DRIFT RUNNER</t>
  </si>
  <si>
    <t>slip_inventory_2026-08.csv row 972; no matching 2026-08-01 monthly posting in supplied export</t>
  </si>
  <si>
    <t>SB-0102</t>
  </si>
  <si>
    <t>WL-02851</t>
  </si>
  <si>
    <t>Andrew Rivera</t>
  </si>
  <si>
    <t>SEAL SHORE</t>
  </si>
  <si>
    <t>slip_inventory_2026-08.csv row 973; no matching 2026-08-01 monthly posting in supplied export</t>
  </si>
  <si>
    <t>SB-0103</t>
  </si>
  <si>
    <t>WL-03155</t>
  </si>
  <si>
    <t>Mark Harvey</t>
  </si>
  <si>
    <t>BRANT CREST</t>
  </si>
  <si>
    <t>slip_inventory_2026-08.csv row 974; no matching 2026-08-01 monthly posting in supplied export</t>
  </si>
  <si>
    <t>SB-0104</t>
  </si>
  <si>
    <t>WL-02079</t>
  </si>
  <si>
    <t>Vicki Wright</t>
  </si>
  <si>
    <t>slip_inventory_2026-08.csv row 975; no matching 2026-08-01 monthly posting in supplied export</t>
  </si>
  <si>
    <t>SB-0106</t>
  </si>
  <si>
    <t>WL-03736</t>
  </si>
  <si>
    <t>Nicole Martinez</t>
  </si>
  <si>
    <t>slip_inventory_2026-08.csv row 977; no matching 2026-08-01 monthly posting in supplied export</t>
  </si>
  <si>
    <t>SB-0107</t>
  </si>
  <si>
    <t>WL-02071</t>
  </si>
  <si>
    <t>Cameron Perry</t>
  </si>
  <si>
    <t>MURRE DANCER</t>
  </si>
  <si>
    <t>slip_inventory_2026-08.csv row 978; no matching 2026-08-01 monthly posting in supplied export</t>
  </si>
  <si>
    <t>SB-0108</t>
  </si>
  <si>
    <t>WL-03452</t>
  </si>
  <si>
    <t>Nicole Wood</t>
  </si>
  <si>
    <t>slip_inventory_2026-08.csv row 979; no matching 2026-08-01 monthly posting in supplied export</t>
  </si>
  <si>
    <t>SB-0109</t>
  </si>
  <si>
    <t>WL-03007</t>
  </si>
  <si>
    <t>Brandy Hart</t>
  </si>
  <si>
    <t>slip_inventory_2026-08.csv row 980; no matching 2026-08-01 monthly posting in supplied export</t>
  </si>
  <si>
    <t>SB-0110</t>
  </si>
  <si>
    <t>WL-02641</t>
  </si>
  <si>
    <t>Denise Miles</t>
  </si>
  <si>
    <t>slip_inventory_2026-08.csv row 981; no matching 2026-08-01 monthly posting in supplied export</t>
  </si>
  <si>
    <t>SB-0111</t>
  </si>
  <si>
    <t>WL-03610</t>
  </si>
  <si>
    <t>David Austin</t>
  </si>
  <si>
    <t>slip_inventory_2026-08.csv row 982; no matching 2026-08-01 monthly posting in supplied export</t>
  </si>
  <si>
    <t>SB-0112</t>
  </si>
  <si>
    <t>WL-03043</t>
  </si>
  <si>
    <t>Donald Jones</t>
  </si>
  <si>
    <t>slip_inventory_2026-08.csv row 983; no matching 2026-08-01 monthly posting in supplied export</t>
  </si>
  <si>
    <t>SB-0113</t>
  </si>
  <si>
    <t>WL-03490</t>
  </si>
  <si>
    <t>Julian Browning</t>
  </si>
  <si>
    <t>slip_inventory_2026-08.csv row 984; no matching 2026-08-01 monthly posting in supplied export</t>
  </si>
  <si>
    <t>SB-0114</t>
  </si>
  <si>
    <t>WL-03362</t>
  </si>
  <si>
    <t>Crystal Porter</t>
  </si>
  <si>
    <t>slip_inventory_2026-08.csv row 985; no matching 2026-08-01 monthly posting in supplied export</t>
  </si>
  <si>
    <t>WL-03018</t>
  </si>
  <si>
    <t>Jessica Duffy</t>
  </si>
  <si>
    <t>slip_inventory_2026-08.csv row 986; no matching 2026-08-01 monthly posting in supplied export</t>
  </si>
  <si>
    <t>SB-0116</t>
  </si>
  <si>
    <t>WL-03839</t>
  </si>
  <si>
    <t>Sonya May</t>
  </si>
  <si>
    <t>slip_inventory_2026-08.csv row 987; no matching 2026-08-01 monthly posting in supplied export</t>
  </si>
  <si>
    <t>SB-0117</t>
  </si>
  <si>
    <t>WL-02959</t>
  </si>
  <si>
    <t>Diamond Zavala</t>
  </si>
  <si>
    <t>slip_inventory_2026-08.csv row 988; no matching 2026-08-01 monthly posting in supplied export</t>
  </si>
  <si>
    <t>SB-0118</t>
  </si>
  <si>
    <t>WL-02380</t>
  </si>
  <si>
    <t>John Escobar</t>
  </si>
  <si>
    <t>SANDERLING GLIDE</t>
  </si>
  <si>
    <t>slip_inventory_2026-08.csv row 989; no matching 2026-08-01 monthly posting in supplied export</t>
  </si>
  <si>
    <t>SB-0119</t>
  </si>
  <si>
    <t>WL-02414</t>
  </si>
  <si>
    <t>Ashley Martinez</t>
  </si>
  <si>
    <t>slip_inventory_2026-08.csv row 990; no matching 2026-08-01 monthly posting in supplied export</t>
  </si>
  <si>
    <t>WL-03833</t>
  </si>
  <si>
    <t>Jenny Miller</t>
  </si>
  <si>
    <t>COHO MIST</t>
  </si>
  <si>
    <t>slip_inventory_2026-08.csv row 991; no matching 2026-08-01 monthly posting in supplied export</t>
  </si>
  <si>
    <t>SB-0121</t>
  </si>
  <si>
    <t>WL-02392</t>
  </si>
  <si>
    <t>Michael Jones</t>
  </si>
  <si>
    <t>slip_inventory_2026-08.csv row 992; no matching 2026-08-01 monthly posting in supplied export</t>
  </si>
  <si>
    <t>SB-0122</t>
  </si>
  <si>
    <t>WL-03856</t>
  </si>
  <si>
    <t>Taylor Ross</t>
  </si>
  <si>
    <t>slip_inventory_2026-08.csv row 993; no matching 2026-08-01 monthly posting in supplied export</t>
  </si>
  <si>
    <t>SB-0201</t>
  </si>
  <si>
    <t>WL-01401</t>
  </si>
  <si>
    <t>Douglas Thompson</t>
  </si>
  <si>
    <t>slip_inventory_2026-08.csv row 996; no matching 2026-08-01 monthly posting in supplied export</t>
  </si>
  <si>
    <t>SB-0202</t>
  </si>
  <si>
    <t>WL-03158</t>
  </si>
  <si>
    <t>Andrea Lopez</t>
  </si>
  <si>
    <t>SALISH ROCK</t>
  </si>
  <si>
    <t>slip_inventory_2026-08.csv row 997; no matching 2026-08-01 monthly posting in supplied export</t>
  </si>
  <si>
    <t>SB-0204</t>
  </si>
  <si>
    <t>WL-01704</t>
  </si>
  <si>
    <t>Justin Horn</t>
  </si>
  <si>
    <t>slip_inventory_2026-08.csv row 999; no matching 2026-08-01 monthly posting in supplied export</t>
  </si>
  <si>
    <t>SB-0205</t>
  </si>
  <si>
    <t>WL-03840</t>
  </si>
  <si>
    <t>David Davis</t>
  </si>
  <si>
    <t>slip_inventory_2026-08.csv row 1000; no matching 2026-08-01 monthly posting in supplied export</t>
  </si>
  <si>
    <t>SB-0206</t>
  </si>
  <si>
    <t>WL-02300</t>
  </si>
  <si>
    <t>Carolyn Murray</t>
  </si>
  <si>
    <t>slip_inventory_2026-08.csv row 1001; no matching 2026-08-01 monthly posting in supplied export</t>
  </si>
  <si>
    <t>SB-0207</t>
  </si>
  <si>
    <t>slip_inventory_2026-08.csv row 1002; no matching 2026-08-01 monthly posting in supplied export</t>
  </si>
  <si>
    <t>SB-0208</t>
  </si>
  <si>
    <t>WL-01383</t>
  </si>
  <si>
    <t>Donna Henderson</t>
  </si>
  <si>
    <t>slip_inventory_2026-08.csv row 1003; no matching 2026-08-01 monthly posting in supplied export</t>
  </si>
  <si>
    <t>SB-0209</t>
  </si>
  <si>
    <t>WL-01114</t>
  </si>
  <si>
    <t>Dustin Lambert</t>
  </si>
  <si>
    <t>slip_inventory_2026-08.csv row 1004; no matching 2026-08-01 monthly posting in supplied export</t>
  </si>
  <si>
    <t>WL-03463</t>
  </si>
  <si>
    <t>Chris Dixon</t>
  </si>
  <si>
    <t>KESTREL WEATHER</t>
  </si>
  <si>
    <t>slip_inventory_2026-08.csv row 1005; no matching 2026-08-01 monthly posting in supplied export</t>
  </si>
  <si>
    <t>SB-0211</t>
  </si>
  <si>
    <t>WL-01011</t>
  </si>
  <si>
    <t>Kristen Hughes</t>
  </si>
  <si>
    <t>slip_inventory_2026-08.csv row 1006; no matching 2026-08-01 monthly posting in supplied export</t>
  </si>
  <si>
    <t>SB-0212</t>
  </si>
  <si>
    <t>WL-02204</t>
  </si>
  <si>
    <t>Julia Hansen</t>
  </si>
  <si>
    <t>slip_inventory_2026-08.csv row 1007; no matching 2026-08-01 monthly posting in supplied export</t>
  </si>
  <si>
    <t>SB-0213</t>
  </si>
  <si>
    <t>WL-01573</t>
  </si>
  <si>
    <t>Benjamin Jimenez</t>
  </si>
  <si>
    <t>slip_inventory_2026-08.csv row 1008; no matching 2026-08-01 monthly posting in supplied export</t>
  </si>
  <si>
    <t>SB-0214</t>
  </si>
  <si>
    <t>WL-01611</t>
  </si>
  <si>
    <t>Joshua Diaz</t>
  </si>
  <si>
    <t>slip_inventory_2026-08.csv row 1009; no matching 2026-08-01 monthly posting in supplied export</t>
  </si>
  <si>
    <t>SB-0215</t>
  </si>
  <si>
    <t>WL-03513</t>
  </si>
  <si>
    <t>Rose Lee</t>
  </si>
  <si>
    <t>slip_inventory_2026-08.csv row 1010; no matching 2026-08-01 monthly posting in supplied export</t>
  </si>
  <si>
    <t>SB-0216</t>
  </si>
  <si>
    <t>WL-01900</t>
  </si>
  <si>
    <t>Nancy Guerrero</t>
  </si>
  <si>
    <t>slip_inventory_2026-08.csv row 1011; no matching 2026-08-01 monthly posting in supplied export</t>
  </si>
  <si>
    <t>SB-0217</t>
  </si>
  <si>
    <t>WL-03724</t>
  </si>
  <si>
    <t>Ryan Garza</t>
  </si>
  <si>
    <t>FOUL GLIDE</t>
  </si>
  <si>
    <t>slip_inventory_2026-08.csv row 1012; no matching 2026-08-01 monthly posting in supplied export</t>
  </si>
  <si>
    <t>SB-0218</t>
  </si>
  <si>
    <t>WL-03103</t>
  </si>
  <si>
    <t>Thomas Roman</t>
  </si>
  <si>
    <t>slip_inventory_2026-08.csv row 1013; no matching 2026-08-01 monthly posting in supplied export</t>
  </si>
  <si>
    <t>SB-0219</t>
  </si>
  <si>
    <t>WL-03588</t>
  </si>
  <si>
    <t>Angela Olson</t>
  </si>
  <si>
    <t>OSPREY WIND</t>
  </si>
  <si>
    <t>slip_inventory_2026-08.csv row 1014; no matching 2026-08-01 monthly posting in supplied export</t>
  </si>
  <si>
    <t>SB-0220</t>
  </si>
  <si>
    <t>WL-02617</t>
  </si>
  <si>
    <t>Shane Lozano</t>
  </si>
  <si>
    <t>slip_inventory_2026-08.csv row 1015; no matching 2026-08-01 monthly posting in supplied export</t>
  </si>
  <si>
    <t>SB-0222</t>
  </si>
  <si>
    <t>WL-02483</t>
  </si>
  <si>
    <t>Benjamin Gomez</t>
  </si>
  <si>
    <t>slip_inventory_2026-08.csv row 1017; no matching 2026-08-01 monthly posting in supplied export</t>
  </si>
  <si>
    <t>SB-0223</t>
  </si>
  <si>
    <t>WL-03116</t>
  </si>
  <si>
    <t>Anthony Kennedy</t>
  </si>
  <si>
    <t>slip_inventory_2026-08.csv row 1018; no matching 2026-08-01 monthly posting in supplied export</t>
  </si>
  <si>
    <t>SB-0224</t>
  </si>
  <si>
    <t>WL-01960</t>
  </si>
  <si>
    <t>Sean Smith</t>
  </si>
  <si>
    <t>PINTAIL ANN</t>
  </si>
  <si>
    <t>slip_inventory_2026-08.csv row 1019; no matching 2026-08-01 monthly posting in supplied export</t>
  </si>
  <si>
    <t>SB-0301</t>
  </si>
  <si>
    <t>WL-03355</t>
  </si>
  <si>
    <t>Sarah King</t>
  </si>
  <si>
    <t>slip_inventory_2026-08.csv row 1020; no matching 2026-08-01 monthly posting in supplied export</t>
  </si>
  <si>
    <t>SB-0302</t>
  </si>
  <si>
    <t>WL-01068</t>
  </si>
  <si>
    <t>Charles Thomas</t>
  </si>
  <si>
    <t>slip_inventory_2026-08.csv row 1021; no matching 2026-08-01 monthly posting in supplied export</t>
  </si>
  <si>
    <t>SB-0303</t>
  </si>
  <si>
    <t>WL-03829</t>
  </si>
  <si>
    <t>Ana Christian</t>
  </si>
  <si>
    <t>slip_inventory_2026-08.csv row 1022; no matching 2026-08-01 monthly posting in supplied export</t>
  </si>
  <si>
    <t>SB-0304</t>
  </si>
  <si>
    <t>WL-03729</t>
  </si>
  <si>
    <t>Sara Jackson</t>
  </si>
  <si>
    <t>slip_inventory_2026-08.csv row 1023; no matching 2026-08-01 monthly posting in supplied export</t>
  </si>
  <si>
    <t>SB-0305</t>
  </si>
  <si>
    <t>WL-03660</t>
  </si>
  <si>
    <t>David Sutton</t>
  </si>
  <si>
    <t>slip_inventory_2026-08.csv row 1024; no matching 2026-08-01 monthly posting in supplied export</t>
  </si>
  <si>
    <t>SB-0306</t>
  </si>
  <si>
    <t>WL-03658</t>
  </si>
  <si>
    <t>William Washington</t>
  </si>
  <si>
    <t>slip_inventory_2026-08.csv row 1025; no matching 2026-08-01 monthly posting in supplied export</t>
  </si>
  <si>
    <t>SB-0307</t>
  </si>
  <si>
    <t>WL-02216</t>
  </si>
  <si>
    <t>Michael Diaz</t>
  </si>
  <si>
    <t>slip_inventory_2026-08.csv row 1026; no matching 2026-08-01 monthly posting in supplied export</t>
  </si>
  <si>
    <t>SB-0308</t>
  </si>
  <si>
    <t>WL-02849</t>
  </si>
  <si>
    <t>Peter Johnson</t>
  </si>
  <si>
    <t>GRAY LIGHT</t>
  </si>
  <si>
    <t>slip_inventory_2026-08.csv row 1027; no matching 2026-08-01 monthly posting in supplied export</t>
  </si>
  <si>
    <t>SB-0309</t>
  </si>
  <si>
    <t>WL-03557</t>
  </si>
  <si>
    <t>Tiffany Smith</t>
  </si>
  <si>
    <t>slip_inventory_2026-08.csv row 1028; no matching 2026-08-01 monthly posting in supplied export</t>
  </si>
  <si>
    <t>SB-0311</t>
  </si>
  <si>
    <t>WL-03282</t>
  </si>
  <si>
    <t>Jillian Curry</t>
  </si>
  <si>
    <t>TIDE REACH</t>
  </si>
  <si>
    <t>slip_inventory_2026-08.csv row 1030; no matching 2026-08-01 monthly posting in supplied export</t>
  </si>
  <si>
    <t>SB-0312</t>
  </si>
  <si>
    <t>WL-02507</t>
  </si>
  <si>
    <t>Erin Morris</t>
  </si>
  <si>
    <t>slip_inventory_2026-08.csv row 1031; no matching 2026-08-01 monthly posting in supplied export</t>
  </si>
  <si>
    <t>SB-0313</t>
  </si>
  <si>
    <t>WL-02129</t>
  </si>
  <si>
    <t>Lisa Palmer</t>
  </si>
  <si>
    <t>slip_inventory_2026-08.csv row 1032; no matching 2026-08-01 monthly posting in supplied export</t>
  </si>
  <si>
    <t>SB-0314</t>
  </si>
  <si>
    <t>WL-03303</t>
  </si>
  <si>
    <t>Eileen Norris</t>
  </si>
  <si>
    <t>slip_inventory_2026-08.csv row 1033; no matching 2026-08-01 monthly posting in supplied export</t>
  </si>
  <si>
    <t>SB-0315</t>
  </si>
  <si>
    <t>WL-02337</t>
  </si>
  <si>
    <t>Brian Taylor</t>
  </si>
  <si>
    <t>slip_inventory_2026-08.csv row 1034; no matching 2026-08-01 monthly posting in supplied export</t>
  </si>
  <si>
    <t>SB-0316</t>
  </si>
  <si>
    <t>WL-02020</t>
  </si>
  <si>
    <t>Jacqueline Daniels</t>
  </si>
  <si>
    <t>FOUL MIST</t>
  </si>
  <si>
    <t>slip_inventory_2026-08.csv row 1035; no matching 2026-08-01 monthly posting in supplied export</t>
  </si>
  <si>
    <t>SB-0317</t>
  </si>
  <si>
    <t>WL-01571</t>
  </si>
  <si>
    <t>Blake Webb</t>
  </si>
  <si>
    <t>slip_inventory_2026-08.csv row 1036; no matching 2026-08-01 monthly posting in supplied export</t>
  </si>
  <si>
    <t>SB-0318</t>
  </si>
  <si>
    <t>WL-03173</t>
  </si>
  <si>
    <t>Timothy Wood</t>
  </si>
  <si>
    <t>slip_inventory_2026-08.csv row 1037; no matching 2026-08-01 monthly posting in supplied export</t>
  </si>
  <si>
    <t>SB-0319</t>
  </si>
  <si>
    <t>WL-02172</t>
  </si>
  <si>
    <t>Anna Bishop</t>
  </si>
  <si>
    <t>slip_inventory_2026-08.csv row 1038; no matching 2026-08-01 monthly posting in supplied export</t>
  </si>
  <si>
    <t>SB-0320</t>
  </si>
  <si>
    <t>WL-01830</t>
  </si>
  <si>
    <t>Robert Patel</t>
  </si>
  <si>
    <t>slip_inventory_2026-08.csv row 1039; no matching 2026-08-01 monthly posting in supplied export</t>
  </si>
  <si>
    <t>SB-0321</t>
  </si>
  <si>
    <t>WL-02472</t>
  </si>
  <si>
    <t>William Martinez</t>
  </si>
  <si>
    <t>slip_inventory_2026-08.csv row 1040; no matching 2026-08-01 monthly posting in supplied export</t>
  </si>
  <si>
    <t>SB-0322</t>
  </si>
  <si>
    <t>WL-02376</t>
  </si>
  <si>
    <t>Steven Robinson</t>
  </si>
  <si>
    <t>slip_inventory_2026-08.csv row 1041; no matching 2026-08-01 monthly posting in supplied export</t>
  </si>
  <si>
    <t>SB-0323</t>
  </si>
  <si>
    <t>WL-03820</t>
  </si>
  <si>
    <t>Thomas Robinson</t>
  </si>
  <si>
    <t>slip_inventory_2026-08.csv row 1042; no matching 2026-08-01 monthly posting in supplied export</t>
  </si>
  <si>
    <t>SB-0324</t>
  </si>
  <si>
    <t>WL-01917</t>
  </si>
  <si>
    <t>Matthew May</t>
  </si>
  <si>
    <t>slip_inventory_2026-08.csv row 1043; no matching 2026-08-01 monthly posting in supplied export</t>
  </si>
  <si>
    <t>SB-0401</t>
  </si>
  <si>
    <t>WL-01395</t>
  </si>
  <si>
    <t>Denise Mitchell</t>
  </si>
  <si>
    <t>slip_inventory_2026-08.csv row 1044; no matching 2026-08-01 monthly posting in supplied export</t>
  </si>
  <si>
    <t>SB-0402</t>
  </si>
  <si>
    <t>WL-03565</t>
  </si>
  <si>
    <t>Brian Rosario</t>
  </si>
  <si>
    <t>HERON HARBOR</t>
  </si>
  <si>
    <t>slip_inventory_2026-08.csv row 1045; no matching 2026-08-01 monthly posting in supplied export</t>
  </si>
  <si>
    <t>SB-0403</t>
  </si>
  <si>
    <t>WL-02892</t>
  </si>
  <si>
    <t>Martha Cook</t>
  </si>
  <si>
    <t>FOUL WAKE</t>
  </si>
  <si>
    <t>slip_inventory_2026-08.csv row 1046; no matching 2026-08-01 monthly posting in supplied export</t>
  </si>
  <si>
    <t>SB-0404</t>
  </si>
  <si>
    <t>WL-02160</t>
  </si>
  <si>
    <t>Alexander Lawrence</t>
  </si>
  <si>
    <t>slip_inventory_2026-08.csv row 1047; no matching 2026-08-01 monthly posting in supplied export</t>
  </si>
  <si>
    <t>SB-0405</t>
  </si>
  <si>
    <t>WL-02223</t>
  </si>
  <si>
    <t>Ashley Wilson</t>
  </si>
  <si>
    <t>FOUL REACH</t>
  </si>
  <si>
    <t>slip_inventory_2026-08.csv row 1048; no matching 2026-08-01 monthly posting in supplied export</t>
  </si>
  <si>
    <t>SB-0406</t>
  </si>
  <si>
    <t>WL-02891</t>
  </si>
  <si>
    <t>Jon Suarez</t>
  </si>
  <si>
    <t>slip_inventory_2026-08.csv row 1049; no matching 2026-08-01 monthly posting in supplied export</t>
  </si>
  <si>
    <t>SB-0407</t>
  </si>
  <si>
    <t>WL-02876</t>
  </si>
  <si>
    <t>Janice Collins</t>
  </si>
  <si>
    <t>SCOTER ANN</t>
  </si>
  <si>
    <t>slip_inventory_2026-08.csv row 1050; no matching 2026-08-01 monthly posting in supplied export</t>
  </si>
  <si>
    <t>SB-0408</t>
  </si>
  <si>
    <t>WL-01281</t>
  </si>
  <si>
    <t>Alexander Ferguson</t>
  </si>
  <si>
    <t>slip_inventory_2026-08.csv row 1051; no matching 2026-08-01 monthly posting in supplied export</t>
  </si>
  <si>
    <t>SB-0409</t>
  </si>
  <si>
    <t>WL-01762</t>
  </si>
  <si>
    <t>John Powell</t>
  </si>
  <si>
    <t>slip_inventory_2026-08.csv row 1052; no matching 2026-08-01 monthly posting in supplied export</t>
  </si>
  <si>
    <t>SB-0410</t>
  </si>
  <si>
    <t>WL-01770</t>
  </si>
  <si>
    <t>Billy Cummings</t>
  </si>
  <si>
    <t>slip_inventory_2026-08.csv row 1053; no matching 2026-08-01 monthly posting in supplied export</t>
  </si>
  <si>
    <t>SB-0411</t>
  </si>
  <si>
    <t>WL-02542</t>
  </si>
  <si>
    <t>Susan Decker</t>
  </si>
  <si>
    <t>slip_inventory_2026-08.csv row 1054; no matching 2026-08-01 monthly posting in supplied export</t>
  </si>
  <si>
    <t>SB-0412</t>
  </si>
  <si>
    <t>WL-03345</t>
  </si>
  <si>
    <t>Cody Jackson</t>
  </si>
  <si>
    <t>FOUL LINE</t>
  </si>
  <si>
    <t>slip_inventory_2026-08.csv row 1055; no matching 2026-08-01 monthly posting in supplied export</t>
  </si>
  <si>
    <t>SB-0413</t>
  </si>
  <si>
    <t>WL-01247</t>
  </si>
  <si>
    <t>Daniel Wallace</t>
  </si>
  <si>
    <t>slip_inventory_2026-08.csv row 1056; no matching 2026-08-01 monthly posting in supplied export</t>
  </si>
  <si>
    <t>SB-0414</t>
  </si>
  <si>
    <t>WL-01769</t>
  </si>
  <si>
    <t>Brenda Cruz</t>
  </si>
  <si>
    <t>slip_inventory_2026-08.csv row 1057; no matching 2026-08-01 monthly posting in supplied export</t>
  </si>
  <si>
    <t>SB-0415</t>
  </si>
  <si>
    <t>WL-03540</t>
  </si>
  <si>
    <t>Julie Crane</t>
  </si>
  <si>
    <t>slip_inventory_2026-08.csv row 1058; no matching 2026-08-01 monthly posting in supplied export</t>
  </si>
  <si>
    <t>SB-0416</t>
  </si>
  <si>
    <t>WL-03324</t>
  </si>
  <si>
    <t>Jacob Hanna</t>
  </si>
  <si>
    <t>slip_inventory_2026-08.csv row 1059; no matching 2026-08-01 monthly posting in supplied export</t>
  </si>
  <si>
    <t>SB-0418</t>
  </si>
  <si>
    <t>WL-03571</t>
  </si>
  <si>
    <t>Rebecca Merritt</t>
  </si>
  <si>
    <t>slip_inventory_2026-08.csv row 1061; no matching 2026-08-01 monthly posting in supplied export</t>
  </si>
  <si>
    <t>SB-0419</t>
  </si>
  <si>
    <t>WL-03076</t>
  </si>
  <si>
    <t>Jennifer Davis</t>
  </si>
  <si>
    <t>OSPREY SONG</t>
  </si>
  <si>
    <t>slip_inventory_2026-08.csv row 1062; no matching 2026-08-01 monthly posting in supplied export</t>
  </si>
  <si>
    <t>SB-0420</t>
  </si>
  <si>
    <t>WL-03473</t>
  </si>
  <si>
    <t>Brian Miller</t>
  </si>
  <si>
    <t>SABLE QUEEN</t>
  </si>
  <si>
    <t>slip_inventory_2026-08.csv row 1063; no matching 2026-08-01 monthly posting in supplied export</t>
  </si>
  <si>
    <t>SB-0421</t>
  </si>
  <si>
    <t>WL-02552</t>
  </si>
  <si>
    <t>Brian Shea</t>
  </si>
  <si>
    <t>slip_inventory_2026-08.csv row 1064; no matching 2026-08-01 monthly posting in supplied export</t>
  </si>
  <si>
    <t>SB-0422</t>
  </si>
  <si>
    <t>WL-02351</t>
  </si>
  <si>
    <t>Kenneth Bradford</t>
  </si>
  <si>
    <t>slip_inventory_2026-08.csv row 1065; no matching 2026-08-01 monthly posting in supplied export</t>
  </si>
  <si>
    <t>SB-0423</t>
  </si>
  <si>
    <t>WL-03606</t>
  </si>
  <si>
    <t>Jared Garcia</t>
  </si>
  <si>
    <t>slip_inventory_2026-08.csv row 1066; no matching 2026-08-01 monthly posting in supplied export</t>
  </si>
  <si>
    <t>SB-0424</t>
  </si>
  <si>
    <t>WL-02295</t>
  </si>
  <si>
    <t>Katie Hall</t>
  </si>
  <si>
    <t>slip_inventory_2026-08.csv row 1067; no matching 2026-08-01 monthly posting in supplied export</t>
  </si>
  <si>
    <t>SB-0502</t>
  </si>
  <si>
    <t>WL-01453</t>
  </si>
  <si>
    <t>Kelly Lee</t>
  </si>
  <si>
    <t>slip_inventory_2026-08.csv row 1069; no matching 2026-08-01 monthly posting in supplied export</t>
  </si>
  <si>
    <t>SB-0503</t>
  </si>
  <si>
    <t>WL-02805</t>
  </si>
  <si>
    <t>Sheila Fuentes</t>
  </si>
  <si>
    <t>slip_inventory_2026-08.csv row 1070; no matching 2026-08-01 monthly posting in supplied export</t>
  </si>
  <si>
    <t>SB-0504</t>
  </si>
  <si>
    <t>WL-03009</t>
  </si>
  <si>
    <t>Dennis Taylor</t>
  </si>
  <si>
    <t>slip_inventory_2026-08.csv row 1071; no matching 2026-08-01 monthly posting in supplied export</t>
  </si>
  <si>
    <t>SB-0505</t>
  </si>
  <si>
    <t>WL-03522</t>
  </si>
  <si>
    <t>Austin Sanchez</t>
  </si>
  <si>
    <t>slip_inventory_2026-08.csv row 1072; no matching 2026-08-01 monthly posting in supplied export</t>
  </si>
  <si>
    <t>SB-0506</t>
  </si>
  <si>
    <t>WL-02067</t>
  </si>
  <si>
    <t>Craig Simon</t>
  </si>
  <si>
    <t>HALIBUT GLIDE</t>
  </si>
  <si>
    <t>slip_inventory_2026-08.csv row 1073; no matching 2026-08-01 monthly posting in supplied export</t>
  </si>
  <si>
    <t>SB-0507</t>
  </si>
  <si>
    <t>WL-03590</t>
  </si>
  <si>
    <t>Dawn Johnson</t>
  </si>
  <si>
    <t>slip_inventory_2026-08.csv row 1074; no matching 2026-08-01 monthly posting in supplied export</t>
  </si>
  <si>
    <t>SB-0509</t>
  </si>
  <si>
    <t>WL-02521</t>
  </si>
  <si>
    <t>Ashley Vance</t>
  </si>
  <si>
    <t>slip_inventory_2026-08.csv row 1076; no matching 2026-08-01 monthly posting in supplied export</t>
  </si>
  <si>
    <t>SB-0510</t>
  </si>
  <si>
    <t>WL-02318</t>
  </si>
  <si>
    <t>Brittany Harris</t>
  </si>
  <si>
    <t>PETREL ROCK</t>
  </si>
  <si>
    <t>slip_inventory_2026-08.csv row 1077; no matching 2026-08-01 monthly posting in supplied export</t>
  </si>
  <si>
    <t>SB-0511</t>
  </si>
  <si>
    <t>WL-01844</t>
  </si>
  <si>
    <t>Jeffrey Pearson</t>
  </si>
  <si>
    <t>SPINDRIFT MIST</t>
  </si>
  <si>
    <t>slip_inventory_2026-08.csv row 1078; no matching 2026-08-01 monthly posting in supplied export</t>
  </si>
  <si>
    <t>SB-0512</t>
  </si>
  <si>
    <t>WL-01253</t>
  </si>
  <si>
    <t>Brandon Sawyer</t>
  </si>
  <si>
    <t>slip_inventory_2026-08.csv row 1079; no matching 2026-08-01 monthly posting in supplied export</t>
  </si>
  <si>
    <t>SB-0514</t>
  </si>
  <si>
    <t>WL-01190</t>
  </si>
  <si>
    <t>James Cortez</t>
  </si>
  <si>
    <t>slip_inventory_2026-08.csv row 1081; no matching 2026-08-01 monthly posting in supplied export</t>
  </si>
  <si>
    <t>SB-0515</t>
  </si>
  <si>
    <t>WL-01458</t>
  </si>
  <si>
    <t>Sean Ruiz</t>
  </si>
  <si>
    <t>slip_inventory_2026-08.csv row 1082; no matching 2026-08-01 monthly posting in supplied export</t>
  </si>
  <si>
    <t>SB-0516</t>
  </si>
  <si>
    <t>WL-02648</t>
  </si>
  <si>
    <t>William Russell</t>
  </si>
  <si>
    <t>slip_inventory_2026-08.csv row 1083; no matching 2026-08-01 monthly posting in supplied export</t>
  </si>
  <si>
    <t>SB-0518</t>
  </si>
  <si>
    <t>WL-02395</t>
  </si>
  <si>
    <t>Scott Ramos</t>
  </si>
  <si>
    <t>SANDERLING ANN</t>
  </si>
  <si>
    <t>slip_inventory_2026-08.csv row 1085; no matching 2026-08-01 monthly posting in supplied export</t>
  </si>
  <si>
    <t>SB-0520</t>
  </si>
  <si>
    <t>WL-02847</t>
  </si>
  <si>
    <t>Julie Johnston</t>
  </si>
  <si>
    <t>slip_inventory_2026-08.csv row 1087; no matching 2026-08-01 monthly posting in supplied export</t>
  </si>
  <si>
    <t>SB-0521</t>
  </si>
  <si>
    <t>WL-03663</t>
  </si>
  <si>
    <t>Jasmine Page</t>
  </si>
  <si>
    <t>slip_inventory_2026-08.csv row 1088; no matching 2026-08-01 monthly posting in supplied export</t>
  </si>
  <si>
    <t>SB-0522</t>
  </si>
  <si>
    <t>WL-03063</t>
  </si>
  <si>
    <t>Natalie Stout</t>
  </si>
  <si>
    <t>slip_inventory_2026-08.csv row 1089; no matching 2026-08-01 monthly posting in supplied export</t>
  </si>
  <si>
    <t>SB-0523</t>
  </si>
  <si>
    <t>WL-03436</t>
  </si>
  <si>
    <t>Katherine Hunter</t>
  </si>
  <si>
    <t>slip_inventory_2026-08.csv row 1090; no matching 2026-08-01 monthly posting in supplied export</t>
  </si>
  <si>
    <t>SB-0524</t>
  </si>
  <si>
    <t>WL-03511</t>
  </si>
  <si>
    <t>Kristen Turner</t>
  </si>
  <si>
    <t>slip_inventory_2026-08.csv row 1091; no matching 2026-08-01 monthly posting in supplied export</t>
  </si>
  <si>
    <t>SB-0601</t>
  </si>
  <si>
    <t>WL-02855</t>
  </si>
  <si>
    <t>Kristy Bernard</t>
  </si>
  <si>
    <t>slip_inventory_2026-08.csv row 1092; no matching 2026-08-01 monthly posting in supplied export</t>
  </si>
  <si>
    <t>SB-0602</t>
  </si>
  <si>
    <t>WL-03696</t>
  </si>
  <si>
    <t>Natalie Duncan</t>
  </si>
  <si>
    <t>slip_inventory_2026-08.csv row 1093; no matching 2026-08-01 monthly posting in supplied export</t>
  </si>
  <si>
    <t>SB-0603</t>
  </si>
  <si>
    <t>WL-01326</t>
  </si>
  <si>
    <t>Kristin Smith</t>
  </si>
  <si>
    <t>slip_inventory_2026-08.csv row 1094; no matching 2026-08-01 monthly posting in supplied export</t>
  </si>
  <si>
    <t>SB-0604</t>
  </si>
  <si>
    <t>WL-03071</t>
  </si>
  <si>
    <t>Kenneth Jones</t>
  </si>
  <si>
    <t>GRAY SHORE</t>
  </si>
  <si>
    <t>slip_inventory_2026-08.csv row 1095; no matching 2026-08-01 monthly posting in supplied export</t>
  </si>
  <si>
    <t>SB-0605</t>
  </si>
  <si>
    <t>WL-02387</t>
  </si>
  <si>
    <t>Scott Roberts</t>
  </si>
  <si>
    <t>slip_inventory_2026-08.csv row 1096; no matching 2026-08-01 monthly posting in supplied export</t>
  </si>
  <si>
    <t>SB-0606</t>
  </si>
  <si>
    <t>WL-02385</t>
  </si>
  <si>
    <t>John Lopez</t>
  </si>
  <si>
    <t>slip_inventory_2026-08.csv row 1097; no matching 2026-08-01 monthly posting in supplied export</t>
  </si>
  <si>
    <t>SB-0607</t>
  </si>
  <si>
    <t>WL-03601</t>
  </si>
  <si>
    <t>Jenny Perez</t>
  </si>
  <si>
    <t>slip_inventory_2026-08.csv row 1098; no matching 2026-08-01 monthly posting in supplied export</t>
  </si>
  <si>
    <t>SB-0609</t>
  </si>
  <si>
    <t>WL-01633</t>
  </si>
  <si>
    <t>Michael Gonzalez</t>
  </si>
  <si>
    <t>slip_inventory_2026-08.csv row 1100; no matching 2026-08-01 monthly posting in supplied export</t>
  </si>
  <si>
    <t>SB-0610</t>
  </si>
  <si>
    <t>WL-02854</t>
  </si>
  <si>
    <t>Michael Martinez</t>
  </si>
  <si>
    <t>ANCHOR STAR</t>
  </si>
  <si>
    <t>slip_inventory_2026-08.csv row 1101; no matching 2026-08-01 monthly posting in supplied export</t>
  </si>
  <si>
    <t>SB-0611</t>
  </si>
  <si>
    <t>WL-02381</t>
  </si>
  <si>
    <t>Gary Waters</t>
  </si>
  <si>
    <t>slip_inventory_2026-08.csv row 1102; no matching 2026-08-01 monthly posting in supplied export</t>
  </si>
  <si>
    <t>SB-0612</t>
  </si>
  <si>
    <t>WL-03514</t>
  </si>
  <si>
    <t>Marvin Davila</t>
  </si>
  <si>
    <t>SEAL LINE</t>
  </si>
  <si>
    <t>slip_inventory_2026-08.csv row 1103; no matching 2026-08-01 monthly posting in supplied export</t>
  </si>
  <si>
    <t>SB-0613</t>
  </si>
  <si>
    <t>WL-03616</t>
  </si>
  <si>
    <t>Martin King</t>
  </si>
  <si>
    <t>slip_inventory_2026-08.csv row 1104; no matching 2026-08-01 monthly posting in supplied export</t>
  </si>
  <si>
    <t>SB-0614</t>
  </si>
  <si>
    <t>WL-01755</t>
  </si>
  <si>
    <t>Joshua Walton</t>
  </si>
  <si>
    <t>BRANT MOON</t>
  </si>
  <si>
    <t>slip_inventory_2026-08.csv row 1105; no matching 2026-08-01 monthly posting in supplied export</t>
  </si>
  <si>
    <t>SB-0615</t>
  </si>
  <si>
    <t>WL-01424</t>
  </si>
  <si>
    <t>Kristen Miller</t>
  </si>
  <si>
    <t>SABLE RUNNER</t>
  </si>
  <si>
    <t>slip_inventory_2026-08.csv row 1106; no matching 2026-08-01 monthly posting in supplied export</t>
  </si>
  <si>
    <t>SB-0616</t>
  </si>
  <si>
    <t>WL-03789</t>
  </si>
  <si>
    <t>Christopher Dorsey</t>
  </si>
  <si>
    <t>COHO DANCER</t>
  </si>
  <si>
    <t>slip_inventory_2026-08.csv row 1107; no matching 2026-08-01 monthly posting in supplied export</t>
  </si>
  <si>
    <t>SB-0617</t>
  </si>
  <si>
    <t>WL-01894</t>
  </si>
  <si>
    <t>Linda Taylor</t>
  </si>
  <si>
    <t>slip_inventory_2026-08.csv row 1108; no matching 2026-08-01 monthly posting in supplied export</t>
  </si>
  <si>
    <t>SB-0619</t>
  </si>
  <si>
    <t>WL-01977</t>
  </si>
  <si>
    <t>Adam Warner</t>
  </si>
  <si>
    <t>slip_inventory_2026-08.csv row 1110; no matching 2026-08-01 monthly posting in supplied export</t>
  </si>
  <si>
    <t>SB-0620</t>
  </si>
  <si>
    <t>WL-01426</t>
  </si>
  <si>
    <t>Glen Owen</t>
  </si>
  <si>
    <t>slip_inventory_2026-08.csv row 1111; no matching 2026-08-01 monthly posting in supplied export</t>
  </si>
  <si>
    <t>SB-0621</t>
  </si>
  <si>
    <t>WL-01415</t>
  </si>
  <si>
    <t>Jeremy Stevens</t>
  </si>
  <si>
    <t>slip_inventory_2026-08.csv row 1112; no matching 2026-08-01 monthly posting in supplied export</t>
  </si>
  <si>
    <t>SB-0622</t>
  </si>
  <si>
    <t>WL-03668</t>
  </si>
  <si>
    <t>Anthony Morris</t>
  </si>
  <si>
    <t>slip_inventory_2026-08.csv row 1113; no matching 2026-08-01 monthly posting in supplied export</t>
  </si>
  <si>
    <t>SB-0623</t>
  </si>
  <si>
    <t>WL-01938</t>
  </si>
  <si>
    <t>Ian Webb</t>
  </si>
  <si>
    <t>SALISH ANN</t>
  </si>
  <si>
    <t>slip_inventory_2026-08.csv row 1114; no matching 2026-08-01 monthly posting in supplied export</t>
  </si>
  <si>
    <t>SB-0624</t>
  </si>
  <si>
    <t>WL-01530</t>
  </si>
  <si>
    <t>Sean Huber</t>
  </si>
  <si>
    <t>slip_inventory_2026-08.csv row 1115; no matching 2026-08-01 monthly posting in supplied export</t>
  </si>
  <si>
    <t>SB-0701</t>
  </si>
  <si>
    <t>WL-02761</t>
  </si>
  <si>
    <t>Timothy Coleman</t>
  </si>
  <si>
    <t>slip_inventory_2026-08.csv row 1116; no matching 2026-08-01 monthly posting in supplied export</t>
  </si>
  <si>
    <t>SB-0702</t>
  </si>
  <si>
    <t>WL-03233</t>
  </si>
  <si>
    <t>Erin Williams</t>
  </si>
  <si>
    <t>slip_inventory_2026-08.csv row 1117; no matching 2026-08-01 monthly posting in supplied export</t>
  </si>
  <si>
    <t>SB-0703</t>
  </si>
  <si>
    <t>slip_inventory_2026-08.csv row 1118; no matching 2026-08-01 monthly posting in supplied export</t>
  </si>
  <si>
    <t>SB-0704</t>
  </si>
  <si>
    <t>WL-02338</t>
  </si>
  <si>
    <t>Deborah Estrada</t>
  </si>
  <si>
    <t>SALISH CREST</t>
  </si>
  <si>
    <t>slip_inventory_2026-08.csv row 1119; no matching 2026-08-01 monthly posting in supplied export</t>
  </si>
  <si>
    <t>SB-0705</t>
  </si>
  <si>
    <t>WL-01922</t>
  </si>
  <si>
    <t>Jodi Holland</t>
  </si>
  <si>
    <t>SALISH WEATHER</t>
  </si>
  <si>
    <t>slip_inventory_2026-08.csv row 1120; no matching 2026-08-01 monthly posting in supplied export</t>
  </si>
  <si>
    <t>SB-0706</t>
  </si>
  <si>
    <t>WL-02346</t>
  </si>
  <si>
    <t>Tammy Thomas</t>
  </si>
  <si>
    <t>HERON CREST</t>
  </si>
  <si>
    <t>slip_inventory_2026-08.csv row 1121; no matching 2026-08-01 monthly posting in supplied export</t>
  </si>
  <si>
    <t>SB-0707</t>
  </si>
  <si>
    <t>WL-01946</t>
  </si>
  <si>
    <t>David Sweeney</t>
  </si>
  <si>
    <t>slip_inventory_2026-08.csv row 1122; no matching 2026-08-01 monthly posting in supplied export</t>
  </si>
  <si>
    <t>SB-0708</t>
  </si>
  <si>
    <t>WL-02065</t>
  </si>
  <si>
    <t>Christopher Torres</t>
  </si>
  <si>
    <t>slip_inventory_2026-08.csv row 1123; no matching 2026-08-01 monthly posting in supplied export</t>
  </si>
  <si>
    <t>SB-0709</t>
  </si>
  <si>
    <t>WL-03577</t>
  </si>
  <si>
    <t>Charles Bell</t>
  </si>
  <si>
    <t>slip_inventory_2026-08.csv row 1124; no matching 2026-08-01 monthly posting in supplied export</t>
  </si>
  <si>
    <t>SB-0710</t>
  </si>
  <si>
    <t>WL-01525</t>
  </si>
  <si>
    <t>Holly Myers</t>
  </si>
  <si>
    <t>slip_inventory_2026-08.csv row 1125; no matching 2026-08-01 monthly posting in supplied export</t>
  </si>
  <si>
    <t>SB-0711</t>
  </si>
  <si>
    <t>WL-03861</t>
  </si>
  <si>
    <t>Joseph Koch</t>
  </si>
  <si>
    <t>slip_inventory_2026-08.csv row 1126; no matching 2026-08-01 monthly posting in supplied export</t>
  </si>
  <si>
    <t>SB-0712</t>
  </si>
  <si>
    <t>WL-03248</t>
  </si>
  <si>
    <t>Theresa Grant</t>
  </si>
  <si>
    <t>slip_inventory_2026-08.csv row 1127; no matching 2026-08-01 monthly posting in supplied export</t>
  </si>
  <si>
    <t>SB-0713</t>
  </si>
  <si>
    <t>WL-03510</t>
  </si>
  <si>
    <t>Kimberly Pearson</t>
  </si>
  <si>
    <t>slip_inventory_2026-08.csv row 1128; no matching 2026-08-01 monthly posting in supplied export</t>
  </si>
  <si>
    <t>SB-0714</t>
  </si>
  <si>
    <t>WL-03165</t>
  </si>
  <si>
    <t>Brendan Durham</t>
  </si>
  <si>
    <t>TIDE DANCER</t>
  </si>
  <si>
    <t>slip_inventory_2026-08.csv row 1129; no matching 2026-08-01 monthly posting in supplied export</t>
  </si>
  <si>
    <t>SB-0715</t>
  </si>
  <si>
    <t>WL-03330</t>
  </si>
  <si>
    <t>Lori Bauer</t>
  </si>
  <si>
    <t>KESTREL SHORE</t>
  </si>
  <si>
    <t>slip_inventory_2026-08.csv row 1130; no matching 2026-08-01 monthly posting in supplied export</t>
  </si>
  <si>
    <t>SB-0716</t>
  </si>
  <si>
    <t>WL-02899</t>
  </si>
  <si>
    <t>Tricia Dixon</t>
  </si>
  <si>
    <t>slip_inventory_2026-08.csv row 1131; no matching 2026-08-01 monthly posting in supplied export</t>
  </si>
  <si>
    <t>SB-0717</t>
  </si>
  <si>
    <t>WL-03661</t>
  </si>
  <si>
    <t>Kenneth Williams</t>
  </si>
  <si>
    <t>slip_inventory_2026-08.csv row 1132; no matching 2026-08-01 monthly posting in supplied export</t>
  </si>
  <si>
    <t>SB-0718</t>
  </si>
  <si>
    <t>WL-01111</t>
  </si>
  <si>
    <t>Monique Carey</t>
  </si>
  <si>
    <t>ANCHOR VEER</t>
  </si>
  <si>
    <t>slip_inventory_2026-08.csv row 1133; no matching 2026-08-01 monthly posting in supplied export</t>
  </si>
  <si>
    <t>SB-0719</t>
  </si>
  <si>
    <t>WL-03199</t>
  </si>
  <si>
    <t>Miguel Tucker</t>
  </si>
  <si>
    <t>MURRE LINE</t>
  </si>
  <si>
    <t>slip_inventory_2026-08.csv row 1134; no matching 2026-08-01 monthly posting in supplied export</t>
  </si>
  <si>
    <t>SB-0720</t>
  </si>
  <si>
    <t>WL-02654</t>
  </si>
  <si>
    <t>Christopher Evans</t>
  </si>
  <si>
    <t>SANDERLING MOON</t>
  </si>
  <si>
    <t>slip_inventory_2026-08.csv row 1135; no matching 2026-08-01 monthly posting in supplied export</t>
  </si>
  <si>
    <t>SB-0721</t>
  </si>
  <si>
    <t>WL-02272</t>
  </si>
  <si>
    <t>Scott Mendoza</t>
  </si>
  <si>
    <t>slip_inventory_2026-08.csv row 1136; no matching 2026-08-01 monthly posting in supplied export</t>
  </si>
  <si>
    <t>SB-0722</t>
  </si>
  <si>
    <t>WL-03331</t>
  </si>
  <si>
    <t>Samuel Lane</t>
  </si>
  <si>
    <t>slip_inventory_2026-08.csv row 1137; no matching 2026-08-01 monthly posting in supplied export</t>
  </si>
  <si>
    <t>SB-0723</t>
  </si>
  <si>
    <t>WL-02427</t>
  </si>
  <si>
    <t>Joseph Crosby</t>
  </si>
  <si>
    <t>SABLE LINE</t>
  </si>
  <si>
    <t>slip_inventory_2026-08.csv row 1138; no matching 2026-08-01 monthly posting in supplied export</t>
  </si>
  <si>
    <t>SB-0724</t>
  </si>
  <si>
    <t>WL-03552</t>
  </si>
  <si>
    <t>Dawn Hammond</t>
  </si>
  <si>
    <t>SALISH BAY</t>
  </si>
  <si>
    <t>slip_inventory_2026-08.csv row 1139; no matching 2026-08-01 monthly posting in supplied export</t>
  </si>
  <si>
    <t>SB-0801</t>
  </si>
  <si>
    <t>WL-01126</t>
  </si>
  <si>
    <t>Jo Hernandez</t>
  </si>
  <si>
    <t>SABLE WEATHER</t>
  </si>
  <si>
    <t>slip_inventory_2026-08.csv row 1140; no matching 2026-08-01 monthly posting in supplied export</t>
  </si>
  <si>
    <t>SB-0802</t>
  </si>
  <si>
    <t>WL-03773</t>
  </si>
  <si>
    <t>David Giles</t>
  </si>
  <si>
    <t>slip_inventory_2026-08.csv row 1141; no matching 2026-08-01 monthly posting in supplied export</t>
  </si>
  <si>
    <t>SB-0803</t>
  </si>
  <si>
    <t>WL-03314</t>
  </si>
  <si>
    <t>Hannah Orozco</t>
  </si>
  <si>
    <t>slip_inventory_2026-08.csv row 1142; no matching 2026-08-01 monthly posting in supplied export</t>
  </si>
  <si>
    <t>SB-0804</t>
  </si>
  <si>
    <t>WL-01349</t>
  </si>
  <si>
    <t>Justin Johnson</t>
  </si>
  <si>
    <t>SCOTER DANCER</t>
  </si>
  <si>
    <t>slip_inventory_2026-08.csv row 1143; no matching 2026-08-01 monthly posting in supplied export</t>
  </si>
  <si>
    <t>SB-0805</t>
  </si>
  <si>
    <t>WL-02163</t>
  </si>
  <si>
    <t>Kimberly Brown</t>
  </si>
  <si>
    <t>slip_inventory_2026-08.csv row 1144; no matching 2026-08-01 monthly posting in supplied export</t>
  </si>
  <si>
    <t>SB-0806</t>
  </si>
  <si>
    <t>WL-03521</t>
  </si>
  <si>
    <t>Penny Nelson</t>
  </si>
  <si>
    <t>OSPREY ANN</t>
  </si>
  <si>
    <t>slip_inventory_2026-08.csv row 1145; no matching 2026-08-01 monthly posting in supplied export</t>
  </si>
  <si>
    <t>SB-0808</t>
  </si>
  <si>
    <t>WL-02924</t>
  </si>
  <si>
    <t>Heather Hall</t>
  </si>
  <si>
    <t>MURRE REACH</t>
  </si>
  <si>
    <t>slip_inventory_2026-08.csv row 1147; no matching 2026-08-01 monthly posting in supplied export</t>
  </si>
  <si>
    <t>SB-0809</t>
  </si>
  <si>
    <t>WL-03219</t>
  </si>
  <si>
    <t>Tara Sanders</t>
  </si>
  <si>
    <t>slip_inventory_2026-08.csv row 1148; no matching 2026-08-01 monthly posting in supplied export</t>
  </si>
  <si>
    <t>SB-0810</t>
  </si>
  <si>
    <t>WL-02815</t>
  </si>
  <si>
    <t>Mark Myers</t>
  </si>
  <si>
    <t>slip_inventory_2026-08.csv row 1149; no matching 2026-08-01 monthly posting in supplied export</t>
  </si>
  <si>
    <t>SB-0812</t>
  </si>
  <si>
    <t>WL-02153</t>
  </si>
  <si>
    <t>Amy Murray</t>
  </si>
  <si>
    <t>slip_inventory_2026-08.csv row 1151; no matching 2026-08-01 monthly posting in supplied export</t>
  </si>
  <si>
    <t>SB-0813</t>
  </si>
  <si>
    <t>WL-01647</t>
  </si>
  <si>
    <t>Robert Shannon</t>
  </si>
  <si>
    <t>slip_inventory_2026-08.csv row 1152; no matching 2026-08-01 monthly posting in supplied export</t>
  </si>
  <si>
    <t>SB-0814</t>
  </si>
  <si>
    <t>WL-01607</t>
  </si>
  <si>
    <t>John Williams</t>
  </si>
  <si>
    <t>slip_inventory_2026-08.csv row 1153; no matching 2026-08-01 monthly posting in supplied export</t>
  </si>
  <si>
    <t>SB-0815</t>
  </si>
  <si>
    <t>WL-01237</t>
  </si>
  <si>
    <t>April Nguyen</t>
  </si>
  <si>
    <t>slip_inventory_2026-08.csv row 1154; no matching 2026-08-01 monthly posting in supplied export</t>
  </si>
  <si>
    <t>SB-0816</t>
  </si>
  <si>
    <t>WL-03446</t>
  </si>
  <si>
    <t>Joshua Weaver</t>
  </si>
  <si>
    <t>slip_inventory_2026-08.csv row 1155; no matching 2026-08-01 monthly posting in supplied export</t>
  </si>
  <si>
    <t>SB-0818</t>
  </si>
  <si>
    <t>WL-03486</t>
  </si>
  <si>
    <t>Mary Murillo</t>
  </si>
  <si>
    <t>HERON ROSE</t>
  </si>
  <si>
    <t>slip_inventory_2026-08.csv row 1157; no matching 2026-08-01 monthly posting in supplied export</t>
  </si>
  <si>
    <t>SB-0819</t>
  </si>
  <si>
    <t>WL-02764</t>
  </si>
  <si>
    <t>Jason Bradley</t>
  </si>
  <si>
    <t>slip_inventory_2026-08.csv row 1158; no matching 2026-08-01 monthly posting in supplied export</t>
  </si>
  <si>
    <t>SB-0820</t>
  </si>
  <si>
    <t>WL-02114</t>
  </si>
  <si>
    <t>Walter Adams</t>
  </si>
  <si>
    <t>slip_inventory_2026-08.csv row 1159; no matching 2026-08-01 monthly posting in supplied export</t>
  </si>
  <si>
    <t>SB-0821</t>
  </si>
  <si>
    <t>WL-01693</t>
  </si>
  <si>
    <t>Michael Price</t>
  </si>
  <si>
    <t>slip_inventory_2026-08.csv row 1160; no matching 2026-08-01 monthly posting in supplied export</t>
  </si>
  <si>
    <t>SB-0822</t>
  </si>
  <si>
    <t>WL-03341</t>
  </si>
  <si>
    <t>Terri Johnston</t>
  </si>
  <si>
    <t>slip_inventory_2026-08.csv row 1161; no matching 2026-08-01 monthly posting in supplied export</t>
  </si>
  <si>
    <t>SB-0824</t>
  </si>
  <si>
    <t>WL-01971</t>
  </si>
  <si>
    <t>Paul Smith</t>
  </si>
  <si>
    <t>slip_inventory_2026-08.csv row 1163; no matching 2026-08-01 monthly posting in supplied export</t>
  </si>
  <si>
    <t>SB-0901</t>
  </si>
  <si>
    <t>WL-03688</t>
  </si>
  <si>
    <t>Gilbert Rodriguez</t>
  </si>
  <si>
    <t>slip_inventory_2026-08.csv row 1164; no matching 2026-08-01 monthly posting in supplied export</t>
  </si>
  <si>
    <t>SB-0903</t>
  </si>
  <si>
    <t>WL-03519</t>
  </si>
  <si>
    <t>Crystal Moore</t>
  </si>
  <si>
    <t>HALIBUT WIND</t>
  </si>
  <si>
    <t>slip_inventory_2026-08.csv row 1166; no matching 2026-08-01 monthly posting in supplied export</t>
  </si>
  <si>
    <t>SB-0904</t>
  </si>
  <si>
    <t>WL-02180</t>
  </si>
  <si>
    <t>Michele Jones</t>
  </si>
  <si>
    <t>MURRE PASSAGE</t>
  </si>
  <si>
    <t>slip_inventory_2026-08.csv row 1167; no matching 2026-08-01 monthly posting in supplied export</t>
  </si>
  <si>
    <t>SB-0905</t>
  </si>
  <si>
    <t>WL-03714</t>
  </si>
  <si>
    <t>Christopher Mitchell</t>
  </si>
  <si>
    <t>slip_inventory_2026-08.csv row 1168; no matching 2026-08-01 monthly posting in supplied export</t>
  </si>
  <si>
    <t>SB-0906</t>
  </si>
  <si>
    <t>WL-01202</t>
  </si>
  <si>
    <t>Kevin Benson</t>
  </si>
  <si>
    <t>slip_inventory_2026-08.csv row 1169; no matching 2026-08-01 monthly posting in supplied export</t>
  </si>
  <si>
    <t>SB-0908</t>
  </si>
  <si>
    <t>WL-03796</t>
  </si>
  <si>
    <t>Christine Johnson</t>
  </si>
  <si>
    <t>slip_inventory_2026-08.csv row 1171; no matching 2026-08-01 monthly posting in supplied export</t>
  </si>
  <si>
    <t>SB-0909</t>
  </si>
  <si>
    <t>WL-01919</t>
  </si>
  <si>
    <t>Glenda Perkins</t>
  </si>
  <si>
    <t>slip_inventory_2026-08.csv row 1172; no matching 2026-08-01 monthly posting in supplied export</t>
  </si>
  <si>
    <t>SB-0910</t>
  </si>
  <si>
    <t>WL-01503</t>
  </si>
  <si>
    <t>Kayla Moore</t>
  </si>
  <si>
    <t>slip_inventory_2026-08.csv row 1173; no matching 2026-08-01 monthly posting in supplied export</t>
  </si>
  <si>
    <t>SB-0911</t>
  </si>
  <si>
    <t>WL-02912</t>
  </si>
  <si>
    <t>Alan Ortiz</t>
  </si>
  <si>
    <t>SANDERLING SONG</t>
  </si>
  <si>
    <t>slip_inventory_2026-08.csv row 1174; no matching 2026-08-01 monthly posting in supplied export</t>
  </si>
  <si>
    <t>SB-0912</t>
  </si>
  <si>
    <t>WL-02350</t>
  </si>
  <si>
    <t>Christy Chambers</t>
  </si>
  <si>
    <t>slip_inventory_2026-08.csv row 1175; no matching 2026-08-01 monthly posting in supplied export</t>
  </si>
  <si>
    <t>SB-0913</t>
  </si>
  <si>
    <t>WL-02119</t>
  </si>
  <si>
    <t>Eric Forbes</t>
  </si>
  <si>
    <t>slip_inventory_2026-08.csv row 1176; no matching 2026-08-01 monthly posting in supplied export</t>
  </si>
  <si>
    <t>SB-0914</t>
  </si>
  <si>
    <t>WL-02602</t>
  </si>
  <si>
    <t>John Shah</t>
  </si>
  <si>
    <t>WIDGEON QUEEN</t>
  </si>
  <si>
    <t>slip_inventory_2026-08.csv row 1177; no matching 2026-08-01 monthly posting in supplied export</t>
  </si>
  <si>
    <t>SB-0915</t>
  </si>
  <si>
    <t>WL-03084</t>
  </si>
  <si>
    <t>slip_inventory_2026-08.csv row 1178; no matching 2026-08-01 monthly posting in supplied export</t>
  </si>
  <si>
    <t>SB-0916</t>
  </si>
  <si>
    <t>WL-03528</t>
  </si>
  <si>
    <t>Gina Hudson</t>
  </si>
  <si>
    <t>slip_inventory_2026-08.csv row 1179; no matching 2026-08-01 monthly posting in supplied export</t>
  </si>
  <si>
    <t>SB-0917</t>
  </si>
  <si>
    <t>WL-01294</t>
  </si>
  <si>
    <t>Peter Jenkins</t>
  </si>
  <si>
    <t>slip_inventory_2026-08.csv row 1180; no matching 2026-08-01 monthly posting in supplied export</t>
  </si>
  <si>
    <t>SB-0918</t>
  </si>
  <si>
    <t>WL-03420</t>
  </si>
  <si>
    <t>Laura Franklin</t>
  </si>
  <si>
    <t>slip_inventory_2026-08.csv row 1181; no matching 2026-08-01 monthly posting in supplied export</t>
  </si>
  <si>
    <t>VB-0101</t>
  </si>
  <si>
    <t>WL-03423</t>
  </si>
  <si>
    <t>Sarah Walker</t>
  </si>
  <si>
    <t>TXN-202608-014676</t>
  </si>
  <si>
    <t>slip_inventory_2026-08.csv row 262; billing_transactions_2022_2026.csv row 46049</t>
  </si>
  <si>
    <t>VB-0102</t>
  </si>
  <si>
    <t>WL-03356</t>
  </si>
  <si>
    <t>Nathaniel Flores</t>
  </si>
  <si>
    <t>TXN-202608-014731</t>
  </si>
  <si>
    <t>slip_inventory_2026-08.csv row 263; billing_transactions_2022_2026.csv row 46050</t>
  </si>
  <si>
    <t>VB-0103</t>
  </si>
  <si>
    <t>WL-03152</t>
  </si>
  <si>
    <t>Kenneth Simmons</t>
  </si>
  <si>
    <t>TXN-202608-014787</t>
  </si>
  <si>
    <t>slip_inventory_2026-08.csv row 264; billing_transactions_2022_2026.csv row 46052</t>
  </si>
  <si>
    <t>VB-0105</t>
  </si>
  <si>
    <t>WL-03843</t>
  </si>
  <si>
    <t>Tricia Davila</t>
  </si>
  <si>
    <t>TXN-202608-014870</t>
  </si>
  <si>
    <t>slip_inventory_2026-08.csv row 266; billing_transactions_2022_2026.csv row 46053</t>
  </si>
  <si>
    <t>VB-0106</t>
  </si>
  <si>
    <t>WL-01252</t>
  </si>
  <si>
    <t>Regina Brown</t>
  </si>
  <si>
    <t>TXN-202608-014949</t>
  </si>
  <si>
    <t>slip_inventory_2026-08.csv row 267; billing_transactions_2022_2026.csv row 46054</t>
  </si>
  <si>
    <t>VB-0107</t>
  </si>
  <si>
    <t>WL-02845</t>
  </si>
  <si>
    <t>Joshua Ortiz</t>
  </si>
  <si>
    <t>TXN-202608-015000</t>
  </si>
  <si>
    <t>slip_inventory_2026-08.csv row 268; billing_transactions_2022_2026.csv row 46056</t>
  </si>
  <si>
    <t>VB-0108</t>
  </si>
  <si>
    <t>WL-03877</t>
  </si>
  <si>
    <t>Jerry Davis</t>
  </si>
  <si>
    <t>TXN-202608-015080</t>
  </si>
  <si>
    <t>slip_inventory_2026-08.csv row 269; billing_transactions_2022_2026.csv row 46058</t>
  </si>
  <si>
    <t>VB-0109</t>
  </si>
  <si>
    <t>WL-02551</t>
  </si>
  <si>
    <t>Nicole Brown</t>
  </si>
  <si>
    <t>TXN-202608-015133</t>
  </si>
  <si>
    <t>slip_inventory_2026-08.csv row 270; billing_transactions_2022_2026.csv row 46059</t>
  </si>
  <si>
    <t>VB-0110</t>
  </si>
  <si>
    <t>WL-01895</t>
  </si>
  <si>
    <t>TXN-202608-015181</t>
  </si>
  <si>
    <t>slip_inventory_2026-08.csv row 271; billing_transactions_2022_2026.csv row 46060</t>
  </si>
  <si>
    <t>VB-0111</t>
  </si>
  <si>
    <t>WL-03639</t>
  </si>
  <si>
    <t>Toni Graves</t>
  </si>
  <si>
    <t>TXN-202608-015251</t>
  </si>
  <si>
    <t>slip_inventory_2026-08.csv row 272; billing_transactions_2022_2026.csv row 46061</t>
  </si>
  <si>
    <t>VB-0112</t>
  </si>
  <si>
    <t>WL-01196</t>
  </si>
  <si>
    <t>Valerie Montgomery</t>
  </si>
  <si>
    <t>TXN-202608-015323</t>
  </si>
  <si>
    <t>slip_inventory_2026-08.csv row 273; billing_transactions_2022_2026.csv row 46063</t>
  </si>
  <si>
    <t>VB-0113</t>
  </si>
  <si>
    <t>WL-01600</t>
  </si>
  <si>
    <t>Kimberly Solomon</t>
  </si>
  <si>
    <t>TXN-202608-015365</t>
  </si>
  <si>
    <t>slip_inventory_2026-08.csv row 274; billing_transactions_2022_2026.csv row 46064</t>
  </si>
  <si>
    <t>VB-0114</t>
  </si>
  <si>
    <t>WL-02156</t>
  </si>
  <si>
    <t>Ariana Jenkins</t>
  </si>
  <si>
    <t>TXN-202608-015430</t>
  </si>
  <si>
    <t>slip_inventory_2026-08.csv row 275; billing_transactions_2022_2026.csv row 46066</t>
  </si>
  <si>
    <t>VB-0115</t>
  </si>
  <si>
    <t>WL-03848</t>
  </si>
  <si>
    <t>Anne Thomas</t>
  </si>
  <si>
    <t>TXN-202608-015500</t>
  </si>
  <si>
    <t>slip_inventory_2026-08.csv row 276; billing_transactions_2022_2026.csv row 46068</t>
  </si>
  <si>
    <t>VB-0116</t>
  </si>
  <si>
    <t>WL-03426</t>
  </si>
  <si>
    <t>Amanda Jackson</t>
  </si>
  <si>
    <t>TXN-202608-015581</t>
  </si>
  <si>
    <t>slip_inventory_2026-08.csv row 277; billing_transactions_2022_2026.csv row 46070</t>
  </si>
  <si>
    <t>VB-0117</t>
  </si>
  <si>
    <t>WL-01706</t>
  </si>
  <si>
    <t>Michael Lee</t>
  </si>
  <si>
    <t>TXN-202608-015658</t>
  </si>
  <si>
    <t>slip_inventory_2026-08.csv row 278; billing_transactions_2022_2026.csv row 46072</t>
  </si>
  <si>
    <t>VB-0118</t>
  </si>
  <si>
    <t>WL-01297</t>
  </si>
  <si>
    <t>Alan Harris</t>
  </si>
  <si>
    <t>TXN-202608-015719</t>
  </si>
  <si>
    <t>slip_inventory_2026-08.csv row 279; billing_transactions_2022_2026.csv row 46074</t>
  </si>
  <si>
    <t>VB-0119</t>
  </si>
  <si>
    <t>WL-01640</t>
  </si>
  <si>
    <t>Tammy Stone</t>
  </si>
  <si>
    <t>TXN-202608-015773</t>
  </si>
  <si>
    <t>slip_inventory_2026-08.csv row 280; billing_transactions_2022_2026.csv row 46075</t>
  </si>
  <si>
    <t>VB-0120</t>
  </si>
  <si>
    <t>WL-02030</t>
  </si>
  <si>
    <t>Adam Carr</t>
  </si>
  <si>
    <t>TXN-202608-015849</t>
  </si>
  <si>
    <t>slip_inventory_2026-08.csv row 281; billing_transactions_2022_2026.csv row 46076</t>
  </si>
  <si>
    <t>VB-0121</t>
  </si>
  <si>
    <t>WL-02857</t>
  </si>
  <si>
    <t>Charles Nichols</t>
  </si>
  <si>
    <t>BRANT LIGHT</t>
  </si>
  <si>
    <t>TXN-202608-015892</t>
  </si>
  <si>
    <t>slip_inventory_2026-08.csv row 282; billing_transactions_2022_2026.csv row 46077</t>
  </si>
  <si>
    <t>VB-0122</t>
  </si>
  <si>
    <t>WL-01705</t>
  </si>
  <si>
    <t>Tracy Walker</t>
  </si>
  <si>
    <t>SEAL LIGHT</t>
  </si>
  <si>
    <t>TXN-202608-015963</t>
  </si>
  <si>
    <t>slip_inventory_2026-08.csv row 283; billing_transactions_2022_2026.csv row 46078</t>
  </si>
  <si>
    <t>VB-0123</t>
  </si>
  <si>
    <t>WL-03171</t>
  </si>
  <si>
    <t>Destiny Tucker</t>
  </si>
  <si>
    <t>TXN-202608-016006</t>
  </si>
  <si>
    <t>slip_inventory_2026-08.csv row 284; billing_transactions_2022_2026.csv row 46079</t>
  </si>
  <si>
    <t>VB-0124</t>
  </si>
  <si>
    <t>WL-03145</t>
  </si>
  <si>
    <t>Connie Hernandez</t>
  </si>
  <si>
    <t>HERON WEATHER</t>
  </si>
  <si>
    <t>TXN-202608-016050</t>
  </si>
  <si>
    <t>slip_inventory_2026-08.csv row 285; billing_transactions_2022_2026.csv row 46080</t>
  </si>
  <si>
    <t>VB-0201</t>
  </si>
  <si>
    <t>WL-01629</t>
  </si>
  <si>
    <t>Mary Parker</t>
  </si>
  <si>
    <t>TXN-202608-016112</t>
  </si>
  <si>
    <t>slip_inventory_2026-08.csv row 286; billing_transactions_2022_2026.csv row 46081</t>
  </si>
  <si>
    <t>VB-0202</t>
  </si>
  <si>
    <t>WL-02677</t>
  </si>
  <si>
    <t>Brandon Cabrera</t>
  </si>
  <si>
    <t>TXN-202608-016174</t>
  </si>
  <si>
    <t>slip_inventory_2026-08.csv row 287; billing_transactions_2022_2026.csv row 46082</t>
  </si>
  <si>
    <t>VB-0203</t>
  </si>
  <si>
    <t>WL-03705</t>
  </si>
  <si>
    <t>Brittany Garcia</t>
  </si>
  <si>
    <t>TXN-202608-016222</t>
  </si>
  <si>
    <t>slip_inventory_2026-08.csv row 288; billing_transactions_2022_2026.csv row 46084</t>
  </si>
  <si>
    <t>VB-0204</t>
  </si>
  <si>
    <t>WL-03015</t>
  </si>
  <si>
    <t>Andrew Osborne</t>
  </si>
  <si>
    <t>TXN-202608-016304</t>
  </si>
  <si>
    <t>slip_inventory_2026-08.csv row 289; billing_transactions_2022_2026.csv row 46086</t>
  </si>
  <si>
    <t>VB-0205</t>
  </si>
  <si>
    <t>WL-02622</t>
  </si>
  <si>
    <t>Laura Murillo</t>
  </si>
  <si>
    <t>TXN-202608-016360</t>
  </si>
  <si>
    <t>slip_inventory_2026-08.csv row 290; billing_transactions_2022_2026.csv row 46088</t>
  </si>
  <si>
    <t>VB-0206</t>
  </si>
  <si>
    <t>WL-01377</t>
  </si>
  <si>
    <t>Rhonda Ferguson</t>
  </si>
  <si>
    <t>TXN-202608-016410</t>
  </si>
  <si>
    <t>slip_inventory_2026-08.csv row 291; billing_transactions_2022_2026.csv row 46089</t>
  </si>
  <si>
    <t>VB-0207</t>
  </si>
  <si>
    <t>WL-03580</t>
  </si>
  <si>
    <t>Rebecca Carson</t>
  </si>
  <si>
    <t>TXN-202608-016464</t>
  </si>
  <si>
    <t>slip_inventory_2026-08.csv row 292; billing_transactions_2022_2026.csv row 46090</t>
  </si>
  <si>
    <t>VB-0208</t>
  </si>
  <si>
    <t>WL-03499</t>
  </si>
  <si>
    <t>Cameron Foster</t>
  </si>
  <si>
    <t>TXN-202608-016515</t>
  </si>
  <si>
    <t>slip_inventory_2026-08.csv row 293; billing_transactions_2022_2026.csv row 46091</t>
  </si>
  <si>
    <t>VB-0209</t>
  </si>
  <si>
    <t>WL-02734</t>
  </si>
  <si>
    <t>Kenneth Lewis</t>
  </si>
  <si>
    <t>GRAY HARBOR</t>
  </si>
  <si>
    <t>TXN-202608-016568</t>
  </si>
  <si>
    <t>slip_inventory_2026-08.csv row 294; billing_transactions_2022_2026.csv row 46092</t>
  </si>
  <si>
    <t>VB-0210</t>
  </si>
  <si>
    <t>WL-02868</t>
  </si>
  <si>
    <t>Michael Lopez</t>
  </si>
  <si>
    <t>DRIFT ANN</t>
  </si>
  <si>
    <t>TXN-202608-016611</t>
  </si>
  <si>
    <t>slip_inventory_2026-08.csv row 295; billing_transactions_2022_2026.csv row 46093</t>
  </si>
  <si>
    <t>VB-0211</t>
  </si>
  <si>
    <t>WL-02206</t>
  </si>
  <si>
    <t>Mary Morris</t>
  </si>
  <si>
    <t>TXN-202608-016682</t>
  </si>
  <si>
    <t>slip_inventory_2026-08.csv row 296; billing_transactions_2022_2026.csv row 46094</t>
  </si>
  <si>
    <t>VB-0212</t>
  </si>
  <si>
    <t>WL-02983</t>
  </si>
  <si>
    <t>Albert Rodriguez</t>
  </si>
  <si>
    <t>TXN-202608-016761</t>
  </si>
  <si>
    <t>slip_inventory_2026-08.csv row 297; billing_transactions_2022_2026.csv row 46096</t>
  </si>
  <si>
    <t>VB-0213</t>
  </si>
  <si>
    <t>WL-01002</t>
  </si>
  <si>
    <t>Virginia Ramirez</t>
  </si>
  <si>
    <t>TXN-202608-016822</t>
  </si>
  <si>
    <t>slip_inventory_2026-08.csv row 298; billing_transactions_2022_2026.csv row 46098</t>
  </si>
  <si>
    <t>VB-0214</t>
  </si>
  <si>
    <t>WL-01871</t>
  </si>
  <si>
    <t>Amber Munoz</t>
  </si>
  <si>
    <t>TXN-202608-016902</t>
  </si>
  <si>
    <t>slip_inventory_2026-08.csv row 299; billing_transactions_2022_2026.csv row 46100</t>
  </si>
  <si>
    <t>VB-0215</t>
  </si>
  <si>
    <t>WL-03364</t>
  </si>
  <si>
    <t>Brenda Patel</t>
  </si>
  <si>
    <t>TXN-202608-016986</t>
  </si>
  <si>
    <t>slip_inventory_2026-08.csv row 300; billing_transactions_2022_2026.csv row 46102</t>
  </si>
  <si>
    <t>VB-0216</t>
  </si>
  <si>
    <t>WL-02253</t>
  </si>
  <si>
    <t>Nathan Parker</t>
  </si>
  <si>
    <t>TXN-202608-017048</t>
  </si>
  <si>
    <t>slip_inventory_2026-08.csv row 301; billing_transactions_2022_2026.csv row 46103</t>
  </si>
  <si>
    <t>VB-0217</t>
  </si>
  <si>
    <t>WL-03383</t>
  </si>
  <si>
    <t>Michelle Potter</t>
  </si>
  <si>
    <t>CORMORANT SONG</t>
  </si>
  <si>
    <t>TXN-202608-017085</t>
  </si>
  <si>
    <t>slip_inventory_2026-08.csv row 302; billing_transactions_2022_2026.csv row 46104</t>
  </si>
  <si>
    <t>VB-0218</t>
  </si>
  <si>
    <t>WL-02534</t>
  </si>
  <si>
    <t>Daniel Erickson</t>
  </si>
  <si>
    <t>TXN-202608-017128</t>
  </si>
  <si>
    <t>slip_inventory_2026-08.csv row 303; billing_transactions_2022_2026.csv row 46105</t>
  </si>
  <si>
    <t>VB-0219</t>
  </si>
  <si>
    <t>WL-02980</t>
  </si>
  <si>
    <t>Elizabeth Dixon</t>
  </si>
  <si>
    <t>TXN-202608-017192</t>
  </si>
  <si>
    <t>slip_inventory_2026-08.csv row 304; billing_transactions_2022_2026.csv row 46106</t>
  </si>
  <si>
    <t>VB-0220</t>
  </si>
  <si>
    <t>WL-02537</t>
  </si>
  <si>
    <t>Calvin Nelson</t>
  </si>
  <si>
    <t>SALISH LIGHT</t>
  </si>
  <si>
    <t>TXN-202608-017235</t>
  </si>
  <si>
    <t>slip_inventory_2026-08.csv row 305; billing_transactions_2022_2026.csv row 46107</t>
  </si>
  <si>
    <t>VB-0221</t>
  </si>
  <si>
    <t>WL-01130</t>
  </si>
  <si>
    <t>Thomas Davis</t>
  </si>
  <si>
    <t>TXN-202608-017306</t>
  </si>
  <si>
    <t>slip_inventory_2026-08.csv row 306; billing_transactions_2022_2026.csv row 46109</t>
  </si>
  <si>
    <t>VB-0222</t>
  </si>
  <si>
    <t>WL-02331</t>
  </si>
  <si>
    <t>Cassandra Gibbs</t>
  </si>
  <si>
    <t>TXN-202608-017366</t>
  </si>
  <si>
    <t>slip_inventory_2026-08.csv row 307; billing_transactions_2022_2026.csv row 46110</t>
  </si>
  <si>
    <t>VB-0223</t>
  </si>
  <si>
    <t>WL-02078</t>
  </si>
  <si>
    <t>Brian Kramer</t>
  </si>
  <si>
    <t>HALIBUT DANCER</t>
  </si>
  <si>
    <t>TXN-202608-017445</t>
  </si>
  <si>
    <t>slip_inventory_2026-08.csv row 308; billing_transactions_2022_2026.csv row 46111</t>
  </si>
  <si>
    <t>WL-01263</t>
  </si>
  <si>
    <t>Sandra Goodwin</t>
  </si>
  <si>
    <t>TXN-202608-017488</t>
  </si>
  <si>
    <t>slip_inventory_2026-08.csv row 309; billing_transactions_2022_2026.csv row 46112</t>
  </si>
  <si>
    <t>VB-0302</t>
  </si>
  <si>
    <t>WL-01447</t>
  </si>
  <si>
    <t>Tim Bailey</t>
  </si>
  <si>
    <t>TXN-202608-017533</t>
  </si>
  <si>
    <t>slip_inventory_2026-08.csv row 311; billing_transactions_2022_2026.csv row 46113</t>
  </si>
  <si>
    <t>VB-0303</t>
  </si>
  <si>
    <t>WL-01339</t>
  </si>
  <si>
    <t>Robert Houston</t>
  </si>
  <si>
    <t>TXN-202608-017584</t>
  </si>
  <si>
    <t>slip_inventory_2026-08.csv row 312; billing_transactions_2022_2026.csv row 46114</t>
  </si>
  <si>
    <t>VB-0304</t>
  </si>
  <si>
    <t>WL-01303</t>
  </si>
  <si>
    <t>Robert Harmon</t>
  </si>
  <si>
    <t>TXN-202608-017650</t>
  </si>
  <si>
    <t>slip_inventory_2026-08.csv row 313; billing_transactions_2022_2026.csv row 46115</t>
  </si>
  <si>
    <t>VB-0305</t>
  </si>
  <si>
    <t>WL-02130</t>
  </si>
  <si>
    <t>Sierra Le</t>
  </si>
  <si>
    <t>TXN-202608-017703</t>
  </si>
  <si>
    <t>slip_inventory_2026-08.csv row 314; billing_transactions_2022_2026.csv row 46117</t>
  </si>
  <si>
    <t>VB-0306</t>
  </si>
  <si>
    <t>WL-03397</t>
  </si>
  <si>
    <t>Jessica Daugherty</t>
  </si>
  <si>
    <t>TXN-202608-017754</t>
  </si>
  <si>
    <t>slip_inventory_2026-08.csv row 315; billing_transactions_2022_2026.csv row 46118</t>
  </si>
  <si>
    <t>VB-0307</t>
  </si>
  <si>
    <t>WL-01379</t>
  </si>
  <si>
    <t>Jacob Wong</t>
  </si>
  <si>
    <t>TXN-202608-017806</t>
  </si>
  <si>
    <t>slip_inventory_2026-08.csv row 316; billing_transactions_2022_2026.csv row 46120</t>
  </si>
  <si>
    <t>VB-0308</t>
  </si>
  <si>
    <t>WL-03564</t>
  </si>
  <si>
    <t>Amy Hernandez</t>
  </si>
  <si>
    <t>TXN-202608-017857</t>
  </si>
  <si>
    <t>slip_inventory_2026-08.csv row 317; billing_transactions_2022_2026.csv row 46122</t>
  </si>
  <si>
    <t>VB-0309</t>
  </si>
  <si>
    <t>WL-02656</t>
  </si>
  <si>
    <t>David Horton</t>
  </si>
  <si>
    <t>TXN-202608-017903</t>
  </si>
  <si>
    <t>slip_inventory_2026-08.csv row 318; billing_transactions_2022_2026.csv row 46123</t>
  </si>
  <si>
    <t>VB-0310</t>
  </si>
  <si>
    <t>WL-03313</t>
  </si>
  <si>
    <t>Jose Jimenez</t>
  </si>
  <si>
    <t>TXN-202608-017965</t>
  </si>
  <si>
    <t>slip_inventory_2026-08.csv row 319; billing_transactions_2022_2026.csv row 46124</t>
  </si>
  <si>
    <t>VB-0311</t>
  </si>
  <si>
    <t>WL-01760</t>
  </si>
  <si>
    <t>Jose Becker</t>
  </si>
  <si>
    <t>TXN-202608-018019</t>
  </si>
  <si>
    <t>slip_inventory_2026-08.csv row 320; billing_transactions_2022_2026.csv row 46125</t>
  </si>
  <si>
    <t>VB-0312</t>
  </si>
  <si>
    <t>WL-03224</t>
  </si>
  <si>
    <t>Catherine Flynn</t>
  </si>
  <si>
    <t>TXN-202608-018068</t>
  </si>
  <si>
    <t>slip_inventory_2026-08.csv row 321; billing_transactions_2022_2026.csv row 46126</t>
  </si>
  <si>
    <t>VB-0314</t>
  </si>
  <si>
    <t>WL-02315</t>
  </si>
  <si>
    <t>Mitchell Mendez</t>
  </si>
  <si>
    <t>TXN-202608-018138</t>
  </si>
  <si>
    <t>slip_inventory_2026-08.csv row 323; billing_transactions_2022_2026.csv row 46128</t>
  </si>
  <si>
    <t>VB-0315</t>
  </si>
  <si>
    <t>WL-03326</t>
  </si>
  <si>
    <t>Christopher Brock</t>
  </si>
  <si>
    <t>SANDERLING MIST</t>
  </si>
  <si>
    <t>TXN-202608-018198</t>
  </si>
  <si>
    <t>slip_inventory_2026-08.csv row 324; billing_transactions_2022_2026.csv row 46129</t>
  </si>
  <si>
    <t>VB-0316</t>
  </si>
  <si>
    <t>WL-03492</t>
  </si>
  <si>
    <t>Lisa Hernandez</t>
  </si>
  <si>
    <t>TXN-202608-018262</t>
  </si>
  <si>
    <t>slip_inventory_2026-08.csv row 325; billing_transactions_2022_2026.csv row 46130</t>
  </si>
  <si>
    <t>VB-0317</t>
  </si>
  <si>
    <t>WL-02173</t>
  </si>
  <si>
    <t>Lisa Parker</t>
  </si>
  <si>
    <t>TXN-202608-018320</t>
  </si>
  <si>
    <t>slip_inventory_2026-08.csv row 326; billing_transactions_2022_2026.csv row 46132</t>
  </si>
  <si>
    <t>VB-0318</t>
  </si>
  <si>
    <t>WL-02255</t>
  </si>
  <si>
    <t>Scott Garcia</t>
  </si>
  <si>
    <t>TXN-202608-018400</t>
  </si>
  <si>
    <t>slip_inventory_2026-08.csv row 327; billing_transactions_2022_2026.csv row 46133</t>
  </si>
  <si>
    <t>VB-0319</t>
  </si>
  <si>
    <t>WL-01381</t>
  </si>
  <si>
    <t>Michael Dickson</t>
  </si>
  <si>
    <t>TXN-202608-018455</t>
  </si>
  <si>
    <t>slip_inventory_2026-08.csv row 328; billing_transactions_2022_2026.csv row 46134</t>
  </si>
  <si>
    <t>VB-0320</t>
  </si>
  <si>
    <t>WL-01254</t>
  </si>
  <si>
    <t>Barbara Jones</t>
  </si>
  <si>
    <t>PETREL WEATHER</t>
  </si>
  <si>
    <t>TXN-202608-018508</t>
  </si>
  <si>
    <t>slip_inventory_2026-08.csv row 329; billing_transactions_2022_2026.csv row 46136</t>
  </si>
  <si>
    <t>VB-0321</t>
  </si>
  <si>
    <t>TXN-202608-018557</t>
  </si>
  <si>
    <t>slip_inventory_2026-08.csv row 330; billing_transactions_2022_2026.csv row 46138</t>
  </si>
  <si>
    <t>VB-0322</t>
  </si>
  <si>
    <t>WL-02256</t>
  </si>
  <si>
    <t>Ryan Johnson</t>
  </si>
  <si>
    <t>TXN-202608-018617</t>
  </si>
  <si>
    <t>slip_inventory_2026-08.csv row 331; billing_transactions_2022_2026.csv row 46140</t>
  </si>
  <si>
    <t>VB-0323</t>
  </si>
  <si>
    <t>WL-01488</t>
  </si>
  <si>
    <t>Stephen Wilcox</t>
  </si>
  <si>
    <t>TXN-202608-018669</t>
  </si>
  <si>
    <t>slip_inventory_2026-08.csv row 332; billing_transactions_2022_2026.csv row 46141</t>
  </si>
  <si>
    <t>VB-0324</t>
  </si>
  <si>
    <t>WL-01311</t>
  </si>
  <si>
    <t>Michael Fox</t>
  </si>
  <si>
    <t>TXN-202608-018725</t>
  </si>
  <si>
    <t>slip_inventory_2026-08.csv row 333; billing_transactions_2022_2026.csv row 46143</t>
  </si>
  <si>
    <t>VB-0401</t>
  </si>
  <si>
    <t>WL-01799</t>
  </si>
  <si>
    <t>Robert Johnson</t>
  </si>
  <si>
    <t>TXN-202608-018802</t>
  </si>
  <si>
    <t>slip_inventory_2026-08.csv row 334; billing_transactions_2022_2026.csv row 46145</t>
  </si>
  <si>
    <t>VB-0402</t>
  </si>
  <si>
    <t>WL-01959</t>
  </si>
  <si>
    <t>Jonathan Moore</t>
  </si>
  <si>
    <t>TXN-202608-018865</t>
  </si>
  <si>
    <t>slip_inventory_2026-08.csv row 335; billing_transactions_2022_2026.csv row 46147</t>
  </si>
  <si>
    <t>VB-0403</t>
  </si>
  <si>
    <t>WL-03548</t>
  </si>
  <si>
    <t>Michael Clark</t>
  </si>
  <si>
    <t>TXN-202608-018940</t>
  </si>
  <si>
    <t>slip_inventory_2026-08.csv row 336; billing_transactions_2022_2026.csv row 46148</t>
  </si>
  <si>
    <t>VB-0405</t>
  </si>
  <si>
    <t>WL-02118</t>
  </si>
  <si>
    <t>Matthew Meyer</t>
  </si>
  <si>
    <t>SANDERLING WAKE</t>
  </si>
  <si>
    <t>TXN-202608-018983</t>
  </si>
  <si>
    <t>slip_inventory_2026-08.csv row 338; billing_transactions_2022_2026.csv row 46149</t>
  </si>
  <si>
    <t>VB-0406</t>
  </si>
  <si>
    <t>WL-01591</t>
  </si>
  <si>
    <t>Chad Yang</t>
  </si>
  <si>
    <t>TXN-202608-019062</t>
  </si>
  <si>
    <t>slip_inventory_2026-08.csv row 339; billing_transactions_2022_2026.csv row 46151</t>
  </si>
  <si>
    <t>VB-0407</t>
  </si>
  <si>
    <t>WL-02731</t>
  </si>
  <si>
    <t>Allison Taylor</t>
  </si>
  <si>
    <t>TXN-202608-019137</t>
  </si>
  <si>
    <t>slip_inventory_2026-08.csv row 340; billing_transactions_2022_2026.csv row 46152</t>
  </si>
  <si>
    <t>VB-0408</t>
  </si>
  <si>
    <t>WL-01061</t>
  </si>
  <si>
    <t>Casey Smith</t>
  </si>
  <si>
    <t>TXN-202608-019207</t>
  </si>
  <si>
    <t>slip_inventory_2026-08.csv row 341; billing_transactions_2022_2026.csv row 46153</t>
  </si>
  <si>
    <t>VB-0409</t>
  </si>
  <si>
    <t>WL-01832</t>
  </si>
  <si>
    <t>Bryan Spencer</t>
  </si>
  <si>
    <t>TXN-202608-019276</t>
  </si>
  <si>
    <t>slip_inventory_2026-08.csv row 342; billing_transactions_2022_2026.csv row 46154</t>
  </si>
  <si>
    <t>VB-0410</t>
  </si>
  <si>
    <t>WL-02745</t>
  </si>
  <si>
    <t>Olivia Baldwin</t>
  </si>
  <si>
    <t>TXN-202608-019357</t>
  </si>
  <si>
    <t>slip_inventory_2026-08.csv row 343; billing_transactions_2022_2026.csv row 46155</t>
  </si>
  <si>
    <t>VB-0411</t>
  </si>
  <si>
    <t>WL-02986</t>
  </si>
  <si>
    <t>Jaime Hernandez</t>
  </si>
  <si>
    <t>TXN-202608-019425</t>
  </si>
  <si>
    <t>slip_inventory_2026-08.csv row 344; billing_transactions_2022_2026.csv row 46157</t>
  </si>
  <si>
    <t>VB-0412</t>
  </si>
  <si>
    <t>WL-02252</t>
  </si>
  <si>
    <t>Donald Mitchell</t>
  </si>
  <si>
    <t>TXN-202608-019500</t>
  </si>
  <si>
    <t>slip_inventory_2026-08.csv row 345; billing_transactions_2022_2026.csv row 46158</t>
  </si>
  <si>
    <t>VB-0413</t>
  </si>
  <si>
    <t>WL-01014</t>
  </si>
  <si>
    <t>Maria Johnson</t>
  </si>
  <si>
    <t>TXN-202608-019561</t>
  </si>
  <si>
    <t>slip_inventory_2026-08.csv row 346; billing_transactions_2022_2026.csv row 46159</t>
  </si>
  <si>
    <t>VB-0414</t>
  </si>
  <si>
    <t>WL-03699</t>
  </si>
  <si>
    <t>Christopher Duncan</t>
  </si>
  <si>
    <t>TXN-202608-019598</t>
  </si>
  <si>
    <t>slip_inventory_2026-08.csv row 347; billing_transactions_2022_2026.csv row 46161</t>
  </si>
  <si>
    <t>VB-0415</t>
  </si>
  <si>
    <t>WL-03507</t>
  </si>
  <si>
    <t>John Chambers</t>
  </si>
  <si>
    <t>TXN-202608-019663</t>
  </si>
  <si>
    <t>slip_inventory_2026-08.csv row 348; billing_transactions_2022_2026.csv row 46162</t>
  </si>
  <si>
    <t>VB-0416</t>
  </si>
  <si>
    <t>WL-03602</t>
  </si>
  <si>
    <t>Michael Horne</t>
  </si>
  <si>
    <t>SEAL MIST</t>
  </si>
  <si>
    <t>TXN-202608-019720</t>
  </si>
  <si>
    <t>slip_inventory_2026-08.csv row 349; billing_transactions_2022_2026.csv row 46163</t>
  </si>
  <si>
    <t>VB-0417</t>
  </si>
  <si>
    <t>WL-03358</t>
  </si>
  <si>
    <t>Jeremiah Cruz</t>
  </si>
  <si>
    <t>TXN-202608-019788</t>
  </si>
  <si>
    <t>slip_inventory_2026-08.csv row 350; billing_transactions_2022_2026.csv row 46164</t>
  </si>
  <si>
    <t>VB-0418</t>
  </si>
  <si>
    <t>WL-03210</t>
  </si>
  <si>
    <t>James Calderon</t>
  </si>
  <si>
    <t>TXN-202608-019868</t>
  </si>
  <si>
    <t>slip_inventory_2026-08.csv row 351; billing_transactions_2022_2026.csv row 46165</t>
  </si>
  <si>
    <t>VB-0419</t>
  </si>
  <si>
    <t>WL-03884</t>
  </si>
  <si>
    <t>Lindsay Williams</t>
  </si>
  <si>
    <t>TXN-202608-019949</t>
  </si>
  <si>
    <t>slip_inventory_2026-08.csv row 352; billing_transactions_2022_2026.csv row 46167</t>
  </si>
  <si>
    <t>VB-0420</t>
  </si>
  <si>
    <t>WL-01215</t>
  </si>
  <si>
    <t>David Harris</t>
  </si>
  <si>
    <t>TXN-202608-020031</t>
  </si>
  <si>
    <t>slip_inventory_2026-08.csv row 353; billing_transactions_2022_2026.csv row 46168</t>
  </si>
  <si>
    <t>VB-0422</t>
  </si>
  <si>
    <t>WL-03830</t>
  </si>
  <si>
    <t>Erica Smith</t>
  </si>
  <si>
    <t>CORMORANT DANCER</t>
  </si>
  <si>
    <t>TXN-202608-020087</t>
  </si>
  <si>
    <t>slip_inventory_2026-08.csv row 355; billing_transactions_2022_2026.csv row 46169</t>
  </si>
  <si>
    <t>VB-0423</t>
  </si>
  <si>
    <t>TXN-202608-020126</t>
  </si>
  <si>
    <t>slip_inventory_2026-08.csv row 356; billing_transactions_2022_2026.csv row 46170</t>
  </si>
  <si>
    <t>VB-0424</t>
  </si>
  <si>
    <t>WL-02816</t>
  </si>
  <si>
    <t>Joel Chang</t>
  </si>
  <si>
    <t>BRANT HARBOR</t>
  </si>
  <si>
    <t>TXN-202608-020181</t>
  </si>
  <si>
    <t>slip_inventory_2026-08.csv row 357; billing_transactions_2022_2026.csv row 46172</t>
  </si>
  <si>
    <t>VB-0501</t>
  </si>
  <si>
    <t>WL-03576</t>
  </si>
  <si>
    <t>Aimee Cooper</t>
  </si>
  <si>
    <t>TXN-202608-020253</t>
  </si>
  <si>
    <t>slip_inventory_2026-08.csv row 358; billing_transactions_2022_2026.csv row 46173</t>
  </si>
  <si>
    <t>VB-0502</t>
  </si>
  <si>
    <t>WL-02127</t>
  </si>
  <si>
    <t>Kimberly Gomez</t>
  </si>
  <si>
    <t>TXN-202608-020310</t>
  </si>
  <si>
    <t>slip_inventory_2026-08.csv row 359; billing_transactions_2022_2026.csv row 46175</t>
  </si>
  <si>
    <t>VB-0504</t>
  </si>
  <si>
    <t>WL-03734</t>
  </si>
  <si>
    <t>Erin Lewis</t>
  </si>
  <si>
    <t>TXN-202608-020377</t>
  </si>
  <si>
    <t>slip_inventory_2026-08.csv row 361; billing_transactions_2022_2026.csv row 46177</t>
  </si>
  <si>
    <t>VB-0505</t>
  </si>
  <si>
    <t>WL-03343</t>
  </si>
  <si>
    <t>Justin Mckinney</t>
  </si>
  <si>
    <t>TXN-202608-020417</t>
  </si>
  <si>
    <t>slip_inventory_2026-08.csv row 362; billing_transactions_2022_2026.csv row 46178</t>
  </si>
  <si>
    <t>VB-0506</t>
  </si>
  <si>
    <t>WL-03154</t>
  </si>
  <si>
    <t>Michael Stevens</t>
  </si>
  <si>
    <t>TXN-202608-020480</t>
  </si>
  <si>
    <t>slip_inventory_2026-08.csv row 363; billing_transactions_2022_2026.csv row 46179</t>
  </si>
  <si>
    <t>WL-01541</t>
  </si>
  <si>
    <t>Rhonda Johnson</t>
  </si>
  <si>
    <t>TXN-202608-020550</t>
  </si>
  <si>
    <t>slip_inventory_2026-08.csv row 364; billing_transactions_2022_2026.csv row 46181</t>
  </si>
  <si>
    <t>VB-0508</t>
  </si>
  <si>
    <t>WL-01834</t>
  </si>
  <si>
    <t>Kevin Baker</t>
  </si>
  <si>
    <t>WIDGEON GLIDE</t>
  </si>
  <si>
    <t>TXN-202608-020609</t>
  </si>
  <si>
    <t>slip_inventory_2026-08.csv row 365; billing_transactions_2022_2026.csv row 46182</t>
  </si>
  <si>
    <t>VB-0509</t>
  </si>
  <si>
    <t>WL-02326</t>
  </si>
  <si>
    <t>Debra Blackwell</t>
  </si>
  <si>
    <t>TXN-202608-020671</t>
  </si>
  <si>
    <t>slip_inventory_2026-08.csv row 366; billing_transactions_2022_2026.csv row 46184</t>
  </si>
  <si>
    <t>VB-0510</t>
  </si>
  <si>
    <t>WL-03831</t>
  </si>
  <si>
    <t>Michael Burns</t>
  </si>
  <si>
    <t>TXN-202608-020741</t>
  </si>
  <si>
    <t>slip_inventory_2026-08.csv row 367; billing_transactions_2022_2026.csv row 46185</t>
  </si>
  <si>
    <t>VB-0511</t>
  </si>
  <si>
    <t>WL-02036</t>
  </si>
  <si>
    <t>Susan Miller</t>
  </si>
  <si>
    <t>TXN-202608-020819</t>
  </si>
  <si>
    <t>slip_inventory_2026-08.csv row 368; billing_transactions_2022_2026.csv row 46186</t>
  </si>
  <si>
    <t>VB-0512</t>
  </si>
  <si>
    <t>WL-02592</t>
  </si>
  <si>
    <t>Stacy Hernandez</t>
  </si>
  <si>
    <t>TXN-202608-020854</t>
  </si>
  <si>
    <t>slip_inventory_2026-08.csv row 369; billing_transactions_2022_2026.csv row 46187</t>
  </si>
  <si>
    <t>VB-0513</t>
  </si>
  <si>
    <t>WL-01169</t>
  </si>
  <si>
    <t>Cheyenne Kim</t>
  </si>
  <si>
    <t>TXN-202608-020904</t>
  </si>
  <si>
    <t>slip_inventory_2026-08.csv row 370; billing_transactions_2022_2026.csv row 46189</t>
  </si>
  <si>
    <t>VB-0514</t>
  </si>
  <si>
    <t>WL-03262</t>
  </si>
  <si>
    <t>Melissa Kerr</t>
  </si>
  <si>
    <t>TXN-202608-020943</t>
  </si>
  <si>
    <t>slip_inventory_2026-08.csv row 371; billing_transactions_2022_2026.csv row 46190</t>
  </si>
  <si>
    <t>VB-0515</t>
  </si>
  <si>
    <t>WL-02590</t>
  </si>
  <si>
    <t>Thomas Anderson</t>
  </si>
  <si>
    <t>TXN-202608-021014</t>
  </si>
  <si>
    <t>slip_inventory_2026-08.csv row 372; billing_transactions_2022_2026.csv row 46192</t>
  </si>
  <si>
    <t>VB-0517</t>
  </si>
  <si>
    <t>WL-03489</t>
  </si>
  <si>
    <t>Alec Padilla</t>
  </si>
  <si>
    <t>POINT STAR</t>
  </si>
  <si>
    <t>TXN-202608-021057</t>
  </si>
  <si>
    <t>slip_inventory_2026-08.csv row 374; billing_transactions_2022_2026.csv row 46194</t>
  </si>
  <si>
    <t>VB-0518</t>
  </si>
  <si>
    <t>WL-01561</t>
  </si>
  <si>
    <t>Brandon Jacobs</t>
  </si>
  <si>
    <t>TXN-202608-021124</t>
  </si>
  <si>
    <t>slip_inventory_2026-08.csv row 375; billing_transactions_2022_2026.csv row 46196</t>
  </si>
  <si>
    <t>VB-0519</t>
  </si>
  <si>
    <t>WL-02751</t>
  </si>
  <si>
    <t>Tracy Austin</t>
  </si>
  <si>
    <t>TXN-202608-021195</t>
  </si>
  <si>
    <t>slip_inventory_2026-08.csv row 376; billing_transactions_2022_2026.csv row 46198</t>
  </si>
  <si>
    <t>VB-0520</t>
  </si>
  <si>
    <t>WL-03010</t>
  </si>
  <si>
    <t>Anthony Fleming</t>
  </si>
  <si>
    <t>TXN-202608-021264</t>
  </si>
  <si>
    <t>slip_inventory_2026-08.csv row 377; billing_transactions_2022_2026.csv row 46200</t>
  </si>
  <si>
    <t>VB-0521</t>
  </si>
  <si>
    <t>WL-02877</t>
  </si>
  <si>
    <t>Sandra Milovich</t>
  </si>
  <si>
    <t>TIDE FLATS</t>
  </si>
  <si>
    <t>TXN-202608-021330</t>
  </si>
  <si>
    <t>slip_inventory_2026-08.csv row 378; billing_transactions_2022_2026.csv row 46201</t>
  </si>
  <si>
    <t>VB-0522</t>
  </si>
  <si>
    <t>WL-03485</t>
  </si>
  <si>
    <t>Timothy Moon</t>
  </si>
  <si>
    <t>TXN-202608-021373</t>
  </si>
  <si>
    <t>slip_inventory_2026-08.csv row 379; billing_transactions_2022_2026.csv row 46203</t>
  </si>
  <si>
    <t>VB-0523</t>
  </si>
  <si>
    <t>WL-01927</t>
  </si>
  <si>
    <t>Mark Mclaughlin</t>
  </si>
  <si>
    <t>TXN-202608-021442</t>
  </si>
  <si>
    <t>slip_inventory_2026-08.csv row 380; billing_transactions_2022_2026.csv row 46204</t>
  </si>
  <si>
    <t>VB-0524</t>
  </si>
  <si>
    <t>WL-02787</t>
  </si>
  <si>
    <t>David Dawson</t>
  </si>
  <si>
    <t>TXN-202608-021527</t>
  </si>
  <si>
    <t>slip_inventory_2026-08.csv row 381; billing_transactions_2022_2026.csv row 46205</t>
  </si>
  <si>
    <t>VB-0601</t>
  </si>
  <si>
    <t>WL-01730</t>
  </si>
  <si>
    <t>Charles Sparks</t>
  </si>
  <si>
    <t>SANDERLING ROSE</t>
  </si>
  <si>
    <t>TXN-202608-021568</t>
  </si>
  <si>
    <t>slip_inventory_2026-08.csv row 382; billing_transactions_2022_2026.csv row 46207</t>
  </si>
  <si>
    <t>VB-0602</t>
  </si>
  <si>
    <t>WL-03241</t>
  </si>
  <si>
    <t>Michael Ford</t>
  </si>
  <si>
    <t>TXN-202608-021618</t>
  </si>
  <si>
    <t>slip_inventory_2026-08.csv row 383; billing_transactions_2022_2026.csv row 46209</t>
  </si>
  <si>
    <t>VB-0603</t>
  </si>
  <si>
    <t>WL-01129</t>
  </si>
  <si>
    <t>Alexander Thompson</t>
  </si>
  <si>
    <t>TXN-202608-021670</t>
  </si>
  <si>
    <t>slip_inventory_2026-08.csv row 384; billing_transactions_2022_2026.csv row 46210</t>
  </si>
  <si>
    <t>VB-0604</t>
  </si>
  <si>
    <t>WL-01999</t>
  </si>
  <si>
    <t>Kristen Williams</t>
  </si>
  <si>
    <t>TXN-202608-021707</t>
  </si>
  <si>
    <t>slip_inventory_2026-08.csv row 385; billing_transactions_2022_2026.csv row 46211</t>
  </si>
  <si>
    <t>VB-0605</t>
  </si>
  <si>
    <t>WL-02890</t>
  </si>
  <si>
    <t>Crystal Morales</t>
  </si>
  <si>
    <t>BRANT BAY</t>
  </si>
  <si>
    <t>TXN-202608-021751</t>
  </si>
  <si>
    <t>slip_inventory_2026-08.csv row 386; billing_transactions_2022_2026.csv row 46212</t>
  </si>
  <si>
    <t>VB-0606</t>
  </si>
  <si>
    <t>WL-02404</t>
  </si>
  <si>
    <t>Samuel King</t>
  </si>
  <si>
    <t>TXN-202608-021833</t>
  </si>
  <si>
    <t>slip_inventory_2026-08.csv row 387; billing_transactions_2022_2026.csv row 46214</t>
  </si>
  <si>
    <t>VB-0607</t>
  </si>
  <si>
    <t>WL-01590</t>
  </si>
  <si>
    <t>Cynthia Gutierrez</t>
  </si>
  <si>
    <t>TXN-202608-021913</t>
  </si>
  <si>
    <t>slip_inventory_2026-08.csv row 388; billing_transactions_2022_2026.csv row 46216</t>
  </si>
  <si>
    <t>VB-0609</t>
  </si>
  <si>
    <t>WL-01547</t>
  </si>
  <si>
    <t>Nicole Burke</t>
  </si>
  <si>
    <t>TXN-202608-021980</t>
  </si>
  <si>
    <t>slip_inventory_2026-08.csv row 390; billing_transactions_2022_2026.csv row 46217</t>
  </si>
  <si>
    <t>VB-0610</t>
  </si>
  <si>
    <t>WL-03058</t>
  </si>
  <si>
    <t>Mary Thomas</t>
  </si>
  <si>
    <t>TXN-202608-022062</t>
  </si>
  <si>
    <t>slip_inventory_2026-08.csv row 391; billing_transactions_2022_2026.csv row 46218</t>
  </si>
  <si>
    <t>VB-0611</t>
  </si>
  <si>
    <t>WL-01330</t>
  </si>
  <si>
    <t>Mark Flynn</t>
  </si>
  <si>
    <t>GRAY CREST</t>
  </si>
  <si>
    <t>TXN-202608-022115</t>
  </si>
  <si>
    <t>slip_inventory_2026-08.csv row 392; billing_transactions_2022_2026.csv row 46219</t>
  </si>
  <si>
    <t>VB-0612</t>
  </si>
  <si>
    <t>WL-03873</t>
  </si>
  <si>
    <t>Michele Clay</t>
  </si>
  <si>
    <t>TXN-202608-022168</t>
  </si>
  <si>
    <t>slip_inventory_2026-08.csv row 393; billing_transactions_2022_2026.csv row 46220</t>
  </si>
  <si>
    <t>VB-0613</t>
  </si>
  <si>
    <t>WL-02467</t>
  </si>
  <si>
    <t>Joseph Davis</t>
  </si>
  <si>
    <t>POINT LINE</t>
  </si>
  <si>
    <t>TXN-202608-022231</t>
  </si>
  <si>
    <t>slip_inventory_2026-08.csv row 394; billing_transactions_2022_2026.csv row 46222</t>
  </si>
  <si>
    <t>VB-0614</t>
  </si>
  <si>
    <t>WL-01843</t>
  </si>
  <si>
    <t>Donna Kim</t>
  </si>
  <si>
    <t>TXN-202608-022302</t>
  </si>
  <si>
    <t>slip_inventory_2026-08.csv row 395; billing_transactions_2022_2026.csv row 46224</t>
  </si>
  <si>
    <t>VB-0615</t>
  </si>
  <si>
    <t>WL-02699</t>
  </si>
  <si>
    <t>Sharon Gonzales</t>
  </si>
  <si>
    <t>TXN-202608-022352</t>
  </si>
  <si>
    <t>slip_inventory_2026-08.csv row 396; billing_transactions_2022_2026.csv row 46226</t>
  </si>
  <si>
    <t>VB-0616</t>
  </si>
  <si>
    <t>WL-01627</t>
  </si>
  <si>
    <t>Paige Cherry</t>
  </si>
  <si>
    <t>TXN-202608-022429</t>
  </si>
  <si>
    <t>slip_inventory_2026-08.csv row 397; billing_transactions_2022_2026.csv row 46227</t>
  </si>
  <si>
    <t>VB-0617</t>
  </si>
  <si>
    <t>WL-02887</t>
  </si>
  <si>
    <t>Shelly Mayer</t>
  </si>
  <si>
    <t>TXN-202608-022511</t>
  </si>
  <si>
    <t>slip_inventory_2026-08.csv row 398; billing_transactions_2022_2026.csv row 46228</t>
  </si>
  <si>
    <t>VB-0618</t>
  </si>
  <si>
    <t>WL-02828</t>
  </si>
  <si>
    <t>Desiree Olsen</t>
  </si>
  <si>
    <t>ANCHOR LINE</t>
  </si>
  <si>
    <t>TXN-202608-022571</t>
  </si>
  <si>
    <t>slip_inventory_2026-08.csv row 399; billing_transactions_2022_2026.csv row 46229</t>
  </si>
  <si>
    <t>VB-0619</t>
  </si>
  <si>
    <t>WL-01841</t>
  </si>
  <si>
    <t>Arthur Jones</t>
  </si>
  <si>
    <t>TXN-202608-022636</t>
  </si>
  <si>
    <t>slip_inventory_2026-08.csv row 400; billing_transactions_2022_2026.csv row 46231</t>
  </si>
  <si>
    <t>VB-0620</t>
  </si>
  <si>
    <t>WL-01226</t>
  </si>
  <si>
    <t>Phyllis Vargas</t>
  </si>
  <si>
    <t>TXN-202608-022704</t>
  </si>
  <si>
    <t>slip_inventory_2026-08.csv row 401; billing_transactions_2022_2026.csv row 46233</t>
  </si>
  <si>
    <t>VB-0621</t>
  </si>
  <si>
    <t>WL-01275</t>
  </si>
  <si>
    <t>Adam Shepherd</t>
  </si>
  <si>
    <t>TXN-202608-022757</t>
  </si>
  <si>
    <t>slip_inventory_2026-08.csv row 402; billing_transactions_2022_2026.csv row 46234</t>
  </si>
  <si>
    <t>VB-0622</t>
  </si>
  <si>
    <t>WL-01083</t>
  </si>
  <si>
    <t>Dennis Schmidt</t>
  </si>
  <si>
    <t>OTTER CREST</t>
  </si>
  <si>
    <t>TXN-202608-022809</t>
  </si>
  <si>
    <t>slip_inventory_2026-08.csv row 403; billing_transactions_2022_2026.csv row 46236</t>
  </si>
  <si>
    <t>VB-0623</t>
  </si>
  <si>
    <t>WL-02748</t>
  </si>
  <si>
    <t>Ross Griffin</t>
  </si>
  <si>
    <t>TXN-202608-022846</t>
  </si>
  <si>
    <t>slip_inventory_2026-08.csv row 404; billing_transactions_2022_2026.csv row 46237</t>
  </si>
  <si>
    <t>VB-0624</t>
  </si>
  <si>
    <t>WL-03304</t>
  </si>
  <si>
    <t>Heather Brown</t>
  </si>
  <si>
    <t>TXN-202608-022928</t>
  </si>
  <si>
    <t>slip_inventory_2026-08.csv row 405; billing_transactions_2022_2026.csv row 46238</t>
  </si>
  <si>
    <t>VB-0701</t>
  </si>
  <si>
    <t>WL-02201</t>
  </si>
  <si>
    <t>Johnathan Gould</t>
  </si>
  <si>
    <t>PINTAIL ROSE</t>
  </si>
  <si>
    <t>TXN-202608-022993</t>
  </si>
  <si>
    <t>slip_inventory_2026-08.csv row 406; billing_transactions_2022_2026.csv row 46239</t>
  </si>
  <si>
    <t>VB-0703</t>
  </si>
  <si>
    <t>WL-01897</t>
  </si>
  <si>
    <t>Raymond Davis</t>
  </si>
  <si>
    <t>TXN-202608-023071</t>
  </si>
  <si>
    <t>slip_inventory_2026-08.csv row 408; billing_transactions_2022_2026.csv row 46241</t>
  </si>
  <si>
    <t>VB-0704</t>
  </si>
  <si>
    <t>WL-02737</t>
  </si>
  <si>
    <t>Kimberly Crosby</t>
  </si>
  <si>
    <t>FOUL SHORE</t>
  </si>
  <si>
    <t>TXN-202608-023148</t>
  </si>
  <si>
    <t>slip_inventory_2026-08.csv row 409; billing_transactions_2022_2026.csv row 46242</t>
  </si>
  <si>
    <t>VB-0705</t>
  </si>
  <si>
    <t>WL-02998</t>
  </si>
  <si>
    <t>Luis Bradley</t>
  </si>
  <si>
    <t>TXN-202608-023204</t>
  </si>
  <si>
    <t>slip_inventory_2026-08.csv row 410; billing_transactions_2022_2026.csv row 46244</t>
  </si>
  <si>
    <t>VB-0706</t>
  </si>
  <si>
    <t>WL-02627</t>
  </si>
  <si>
    <t>Cynthia Campbell</t>
  </si>
  <si>
    <t>TXN-202608-023276</t>
  </si>
  <si>
    <t>slip_inventory_2026-08.csv row 411; billing_transactions_2022_2026.csv row 46245</t>
  </si>
  <si>
    <t>VB-0707</t>
  </si>
  <si>
    <t>TXN-202608-023322</t>
  </si>
  <si>
    <t>slip_inventory_2026-08.csv row 412; billing_transactions_2022_2026.csv row 46246</t>
  </si>
  <si>
    <t>VB-0708</t>
  </si>
  <si>
    <t>WL-01549</t>
  </si>
  <si>
    <t>Zachary Wilson</t>
  </si>
  <si>
    <t>FOUL QUEEN</t>
  </si>
  <si>
    <t>TXN-202608-023395</t>
  </si>
  <si>
    <t>slip_inventory_2026-08.csv row 413; billing_transactions_2022_2026.csv row 46248</t>
  </si>
  <si>
    <t>VB-0709</t>
  </si>
  <si>
    <t>WL-03117</t>
  </si>
  <si>
    <t>Stephanie Hawkins</t>
  </si>
  <si>
    <t>TXN-202608-023466</t>
  </si>
  <si>
    <t>slip_inventory_2026-08.csv row 414; billing_transactions_2022_2026.csv row 46249</t>
  </si>
  <si>
    <t>VB-0710</t>
  </si>
  <si>
    <t>WL-01146</t>
  </si>
  <si>
    <t>Jessica English</t>
  </si>
  <si>
    <t>TXN-202608-023520</t>
  </si>
  <si>
    <t>slip_inventory_2026-08.csv row 415; billing_transactions_2022_2026.csv row 46251</t>
  </si>
  <si>
    <t>VB-0711</t>
  </si>
  <si>
    <t>WL-03156</t>
  </si>
  <si>
    <t>Stephen Riley</t>
  </si>
  <si>
    <t>TXN-202608-023563</t>
  </si>
  <si>
    <t>slip_inventory_2026-08.csv row 416; billing_transactions_2022_2026.csv row 46252</t>
  </si>
  <si>
    <t>VB-0712</t>
  </si>
  <si>
    <t>WL-03530</t>
  </si>
  <si>
    <t>Jay Dominguez</t>
  </si>
  <si>
    <t>TXN-202608-023629</t>
  </si>
  <si>
    <t>slip_inventory_2026-08.csv row 417; billing_transactions_2022_2026.csv row 46253</t>
  </si>
  <si>
    <t>VB-0713</t>
  </si>
  <si>
    <t>WL-01276</t>
  </si>
  <si>
    <t>Nicole Fritz</t>
  </si>
  <si>
    <t>TXN-202608-023683</t>
  </si>
  <si>
    <t>slip_inventory_2026-08.csv row 418; billing_transactions_2022_2026.csv row 46254</t>
  </si>
  <si>
    <t>VB-0714</t>
  </si>
  <si>
    <t>WL-02262</t>
  </si>
  <si>
    <t>James Rice</t>
  </si>
  <si>
    <t>FOUL SOUND</t>
  </si>
  <si>
    <t>TXN-202608-023748</t>
  </si>
  <si>
    <t>slip_inventory_2026-08.csv row 419; billing_transactions_2022_2026.csv row 46255</t>
  </si>
  <si>
    <t>VB-0715</t>
  </si>
  <si>
    <t>WL-02850</t>
  </si>
  <si>
    <t>Edwin Boone</t>
  </si>
  <si>
    <t>KESTREL DANCER</t>
  </si>
  <si>
    <t>TXN-202608-023824</t>
  </si>
  <si>
    <t>slip_inventory_2026-08.csv row 420; billing_transactions_2022_2026.csv row 46256</t>
  </si>
  <si>
    <t>VB-0716</t>
  </si>
  <si>
    <t>WL-02482</t>
  </si>
  <si>
    <t>Emily Taylor</t>
  </si>
  <si>
    <t>TXN-202608-023899</t>
  </si>
  <si>
    <t>slip_inventory_2026-08.csv row 421; billing_transactions_2022_2026.csv row 46258</t>
  </si>
  <si>
    <t>VB-0717</t>
  </si>
  <si>
    <t>WL-01515</t>
  </si>
  <si>
    <t>Andrea Simpson</t>
  </si>
  <si>
    <t>OSPREY STAR</t>
  </si>
  <si>
    <t>TXN-202608-023969</t>
  </si>
  <si>
    <t>slip_inventory_2026-08.csv row 422; billing_transactions_2022_2026.csv row 46260</t>
  </si>
  <si>
    <t>VB-0718</t>
  </si>
  <si>
    <t>WL-02670</t>
  </si>
  <si>
    <t>Sara Hamilton</t>
  </si>
  <si>
    <t>TXN-202608-024052</t>
  </si>
  <si>
    <t>slip_inventory_2026-08.csv row 423; billing_transactions_2022_2026.csv row 46261</t>
  </si>
  <si>
    <t>VB-0719</t>
  </si>
  <si>
    <t>WL-01748</t>
  </si>
  <si>
    <t>Daniel Brown</t>
  </si>
  <si>
    <t>SANDERLING LINE</t>
  </si>
  <si>
    <t>TXN-202608-024133</t>
  </si>
  <si>
    <t>slip_inventory_2026-08.csv row 424; billing_transactions_2022_2026.csv row 46263</t>
  </si>
  <si>
    <t>VB-0720</t>
  </si>
  <si>
    <t>WL-01043</t>
  </si>
  <si>
    <t>Diane James</t>
  </si>
  <si>
    <t>KESTREL HARBOR</t>
  </si>
  <si>
    <t>TXN-202608-024196</t>
  </si>
  <si>
    <t>slip_inventory_2026-08.csv row 425; billing_transactions_2022_2026.csv row 46264</t>
  </si>
  <si>
    <t>VB-0721</t>
  </si>
  <si>
    <t>WL-01272</t>
  </si>
  <si>
    <t>Christopher Dixon</t>
  </si>
  <si>
    <t>BRANT SHORE</t>
  </si>
  <si>
    <t>TXN-202608-024248</t>
  </si>
  <si>
    <t>slip_inventory_2026-08.csv row 426; billing_transactions_2022_2026.csv row 46265</t>
  </si>
  <si>
    <t>VB-0722</t>
  </si>
  <si>
    <t>WL-03066</t>
  </si>
  <si>
    <t>Shawna Cain</t>
  </si>
  <si>
    <t>TXN-202608-024314</t>
  </si>
  <si>
    <t>slip_inventory_2026-08.csv row 427; billing_transactions_2022_2026.csv row 46266</t>
  </si>
  <si>
    <t>VB-0723</t>
  </si>
  <si>
    <t>WL-03192</t>
  </si>
  <si>
    <t>Aaron Johnson</t>
  </si>
  <si>
    <t>COHO LIGHT</t>
  </si>
  <si>
    <t>TXN-202608-024390</t>
  </si>
  <si>
    <t>slip_inventory_2026-08.csv row 428; billing_transactions_2022_2026.csv row 46267</t>
  </si>
  <si>
    <t>VB-0724</t>
  </si>
  <si>
    <t>WL-02714</t>
  </si>
  <si>
    <t>Mitchell Sanchez</t>
  </si>
  <si>
    <t>TXN-202608-024453</t>
  </si>
  <si>
    <t>slip_inventory_2026-08.csv row 429; billing_transactions_2022_2026.csv row 46268</t>
  </si>
  <si>
    <t>VB-0801</t>
  </si>
  <si>
    <t>WL-01099</t>
  </si>
  <si>
    <t>Joseph Cooper</t>
  </si>
  <si>
    <t>TXN-202608-024528</t>
  </si>
  <si>
    <t>slip_inventory_2026-08.csv row 430; billing_transactions_2022_2026.csv row 46269</t>
  </si>
  <si>
    <t>VB-0802</t>
  </si>
  <si>
    <t>WL-03073</t>
  </si>
  <si>
    <t>Donna Silva</t>
  </si>
  <si>
    <t>TXN-202608-024575</t>
  </si>
  <si>
    <t>slip_inventory_2026-08.csv row 431; billing_transactions_2022_2026.csv row 46271</t>
  </si>
  <si>
    <t>VB-0803</t>
  </si>
  <si>
    <t>WL-01889</t>
  </si>
  <si>
    <t>Haley Scott</t>
  </si>
  <si>
    <t>TXN-202608-024658</t>
  </si>
  <si>
    <t>slip_inventory_2026-08.csv row 432; billing_transactions_2022_2026.csv row 46272</t>
  </si>
  <si>
    <t>VB-0804</t>
  </si>
  <si>
    <t>WL-02837</t>
  </si>
  <si>
    <t>Tara Elliott</t>
  </si>
  <si>
    <t>TXN-202608-024724</t>
  </si>
  <si>
    <t>slip_inventory_2026-08.csv row 433; billing_transactions_2022_2026.csv row 46274</t>
  </si>
  <si>
    <t>VB-0805</t>
  </si>
  <si>
    <t>WL-03293</t>
  </si>
  <si>
    <t>Laurie Huerta</t>
  </si>
  <si>
    <t>PETREL DANCER</t>
  </si>
  <si>
    <t>TXN-202608-024764</t>
  </si>
  <si>
    <t>slip_inventory_2026-08.csv row 434; billing_transactions_2022_2026.csv row 46276</t>
  </si>
  <si>
    <t>VB-0806</t>
  </si>
  <si>
    <t>WL-01493</t>
  </si>
  <si>
    <t>Jean Guerra</t>
  </si>
  <si>
    <t>OTTER VEER</t>
  </si>
  <si>
    <t>TXN-202608-024806</t>
  </si>
  <si>
    <t>slip_inventory_2026-08.csv row 435; billing_transactions_2022_2026.csv row 46277</t>
  </si>
  <si>
    <t>VB-0807</t>
  </si>
  <si>
    <t>WL-01492</t>
  </si>
  <si>
    <t>TXN-202608-024843</t>
  </si>
  <si>
    <t>slip_inventory_2026-08.csv row 436; billing_transactions_2022_2026.csv row 46278</t>
  </si>
  <si>
    <t>VB-0808</t>
  </si>
  <si>
    <t>WL-03837</t>
  </si>
  <si>
    <t>John Griffith</t>
  </si>
  <si>
    <t>TXN-202608-024925</t>
  </si>
  <si>
    <t>slip_inventory_2026-08.csv row 437; billing_transactions_2022_2026.csv row 46280</t>
  </si>
  <si>
    <t>VB-0810</t>
  </si>
  <si>
    <t>WL-03458</t>
  </si>
  <si>
    <t>Brittany Wells</t>
  </si>
  <si>
    <t>TXN-202608-024985</t>
  </si>
  <si>
    <t>slip_inventory_2026-08.csv row 439; billing_transactions_2022_2026.csv row 46281</t>
  </si>
  <si>
    <t>VB-0811</t>
  </si>
  <si>
    <t>WL-02419</t>
  </si>
  <si>
    <t>Cameron Aguirre</t>
  </si>
  <si>
    <t>TXN-202608-025051</t>
  </si>
  <si>
    <t>slip_inventory_2026-08.csv row 440; billing_transactions_2022_2026.csv row 46283</t>
  </si>
  <si>
    <t>VB-0812</t>
  </si>
  <si>
    <t>WL-02636</t>
  </si>
  <si>
    <t>Andrew Young</t>
  </si>
  <si>
    <t>TXN-202608-025106</t>
  </si>
  <si>
    <t>slip_inventory_2026-08.csv row 441; billing_transactions_2022_2026.csv row 46284</t>
  </si>
  <si>
    <t>VB-0813</t>
  </si>
  <si>
    <t>WL-03132</t>
  </si>
  <si>
    <t>David Fox</t>
  </si>
  <si>
    <t>TXN-202608-025180</t>
  </si>
  <si>
    <t>slip_inventory_2026-08.csv row 442; billing_transactions_2022_2026.csv row 46285</t>
  </si>
  <si>
    <t>VB-0814</t>
  </si>
  <si>
    <t>WL-03609</t>
  </si>
  <si>
    <t>Daniel Dunn</t>
  </si>
  <si>
    <t>TXN-202608-025221</t>
  </si>
  <si>
    <t>slip_inventory_2026-08.csv row 443; billing_transactions_2022_2026.csv row 46286</t>
  </si>
  <si>
    <t>VB-0815</t>
  </si>
  <si>
    <t>WL-01850</t>
  </si>
  <si>
    <t>Bryce Benjamin</t>
  </si>
  <si>
    <t>TXN-202608-025274</t>
  </si>
  <si>
    <t>slip_inventory_2026-08.csv row 444; billing_transactions_2022_2026.csv row 46287</t>
  </si>
  <si>
    <t>VB-0816</t>
  </si>
  <si>
    <t>WL-02825</t>
  </si>
  <si>
    <t>Dustin Watkins</t>
  </si>
  <si>
    <t>SEAL CREST</t>
  </si>
  <si>
    <t>TXN-202608-025342</t>
  </si>
  <si>
    <t>slip_inventory_2026-08.csv row 445; billing_transactions_2022_2026.csv row 46288</t>
  </si>
  <si>
    <t>VB-0817</t>
  </si>
  <si>
    <t>WL-02072</t>
  </si>
  <si>
    <t>Stephen Hoffman</t>
  </si>
  <si>
    <t>TXN-202608-025421</t>
  </si>
  <si>
    <t>slip_inventory_2026-08.csv row 446; billing_transactions_2022_2026.csv row 46289</t>
  </si>
  <si>
    <t>VB-0818</t>
  </si>
  <si>
    <t>WL-01501</t>
  </si>
  <si>
    <t>Thomas Levine</t>
  </si>
  <si>
    <t>TXN-202608-025469</t>
  </si>
  <si>
    <t>slip_inventory_2026-08.csv row 447; billing_transactions_2022_2026.csv row 46291</t>
  </si>
  <si>
    <t>VB-0819</t>
  </si>
  <si>
    <t>WL-03202</t>
  </si>
  <si>
    <t>TXN-202608-025515</t>
  </si>
  <si>
    <t>slip_inventory_2026-08.csv row 448; billing_transactions_2022_2026.csv row 46293</t>
  </si>
  <si>
    <t>VB-0820</t>
  </si>
  <si>
    <t>WL-01842</t>
  </si>
  <si>
    <t>Amy Thomas</t>
  </si>
  <si>
    <t>TXN-202608-025599</t>
  </si>
  <si>
    <t>slip_inventory_2026-08.csv row 449; billing_transactions_2022_2026.csv row 46295</t>
  </si>
  <si>
    <t>VB-0821</t>
  </si>
  <si>
    <t>WL-02284</t>
  </si>
  <si>
    <t>Tonya Ruiz</t>
  </si>
  <si>
    <t>TXN-202608-025654</t>
  </si>
  <si>
    <t>slip_inventory_2026-08.csv row 450; billing_transactions_2022_2026.csv row 46296</t>
  </si>
  <si>
    <t>VB-0822</t>
  </si>
  <si>
    <t>WL-01320</t>
  </si>
  <si>
    <t>Jesse Jennings</t>
  </si>
  <si>
    <t>TXN-202608-025726</t>
  </si>
  <si>
    <t>slip_inventory_2026-08.csv row 451; billing_transactions_2022_2026.csv row 46297</t>
  </si>
  <si>
    <t>VB-0823</t>
  </si>
  <si>
    <t>WL-01903</t>
  </si>
  <si>
    <t>Andrea Brady</t>
  </si>
  <si>
    <t>TXN-202608-025778</t>
  </si>
  <si>
    <t>slip_inventory_2026-08.csv row 452; billing_transactions_2022_2026.csv row 46298</t>
  </si>
  <si>
    <t>VB-0901</t>
  </si>
  <si>
    <t>WL-02650</t>
  </si>
  <si>
    <t>Alex White</t>
  </si>
  <si>
    <t>TXN-202608-025851</t>
  </si>
  <si>
    <t>slip_inventory_2026-08.csv row 454; billing_transactions_2022_2026.csv row 46300</t>
  </si>
  <si>
    <t>VB-0902</t>
  </si>
  <si>
    <t>WL-01273</t>
  </si>
  <si>
    <t>Eduardo Henry</t>
  </si>
  <si>
    <t>TXN-202608-025912</t>
  </si>
  <si>
    <t>slip_inventory_2026-08.csv row 455; billing_transactions_2022_2026.csv row 46301</t>
  </si>
  <si>
    <t>VB-0903</t>
  </si>
  <si>
    <t>WL-02456</t>
  </si>
  <si>
    <t>Madeline Nunez</t>
  </si>
  <si>
    <t>TXN-202608-025972</t>
  </si>
  <si>
    <t>slip_inventory_2026-08.csv row 456; billing_transactions_2022_2026.csv row 46303</t>
  </si>
  <si>
    <t>WL-02354</t>
  </si>
  <si>
    <t>Makayla Sanchez</t>
  </si>
  <si>
    <t>TXN-202608-026052</t>
  </si>
  <si>
    <t>slip_inventory_2026-08.csv row 457; billing_transactions_2022_2026.csv row 46304</t>
  </si>
  <si>
    <t>VB-0905</t>
  </si>
  <si>
    <t>WL-03101</t>
  </si>
  <si>
    <t>Kristie Cunningham</t>
  </si>
  <si>
    <t>TXN-202608-026105</t>
  </si>
  <si>
    <t>slip_inventory_2026-08.csv row 458; billing_transactions_2022_2026.csv row 46305</t>
  </si>
  <si>
    <t>VB-0906</t>
  </si>
  <si>
    <t>WL-02747</t>
  </si>
  <si>
    <t>Angel Massey</t>
  </si>
  <si>
    <t>TXN-202608-026174</t>
  </si>
  <si>
    <t>slip_inventory_2026-08.csv row 459; billing_transactions_2022_2026.csv row 46307</t>
  </si>
  <si>
    <t>VB-0907</t>
  </si>
  <si>
    <t>WL-03855</t>
  </si>
  <si>
    <t>Peggy Solomon</t>
  </si>
  <si>
    <t>SABLE CREST</t>
  </si>
  <si>
    <t>TXN-202608-026249</t>
  </si>
  <si>
    <t>slip_inventory_2026-08.csv row 460; billing_transactions_2022_2026.csv row 46308</t>
  </si>
  <si>
    <t>VB-0908</t>
  </si>
  <si>
    <t>WL-02711</t>
  </si>
  <si>
    <t>David Baker</t>
  </si>
  <si>
    <t>TXN-202608-026315</t>
  </si>
  <si>
    <t>slip_inventory_2026-08.csv row 461; billing_transactions_2022_2026.csv row 46309</t>
  </si>
  <si>
    <t>VB-0909</t>
  </si>
  <si>
    <t>WL-02313</t>
  </si>
  <si>
    <t>Aaron Bell</t>
  </si>
  <si>
    <t>TXN-202608-026383</t>
  </si>
  <si>
    <t>slip_inventory_2026-08.csv row 462; billing_transactions_2022_2026.csv row 46310</t>
  </si>
  <si>
    <t>VB-0910</t>
  </si>
  <si>
    <t>WL-03308</t>
  </si>
  <si>
    <t>Tanya Hunt</t>
  </si>
  <si>
    <t>SCOTER ROSE</t>
  </si>
  <si>
    <t>TXN-202608-026438</t>
  </si>
  <si>
    <t>slip_inventory_2026-08.csv row 463; billing_transactions_2022_2026.csv row 46312</t>
  </si>
  <si>
    <t>VB-0911</t>
  </si>
  <si>
    <t>WL-01513</t>
  </si>
  <si>
    <t>Jennifer Thomas</t>
  </si>
  <si>
    <t>TXN-202608-026488</t>
  </si>
  <si>
    <t>slip_inventory_2026-08.csv row 464; billing_transactions_2022_2026.csv row 46314</t>
  </si>
  <si>
    <t>VB-0912</t>
  </si>
  <si>
    <t>WL-01027</t>
  </si>
  <si>
    <t>Rachel Jones</t>
  </si>
  <si>
    <t>SEAL ANN</t>
  </si>
  <si>
    <t>TXN-202608-026527</t>
  </si>
  <si>
    <t>slip_inventory_2026-08.csv row 465; billing_transactions_2022_2026.csv row 46316</t>
  </si>
  <si>
    <t>VB-0913</t>
  </si>
  <si>
    <t>WL-03838</t>
  </si>
  <si>
    <t>Sean Cruz</t>
  </si>
  <si>
    <t>TXN-202608-026582</t>
  </si>
  <si>
    <t>slip_inventory_2026-08.csv row 466; billing_transactions_2022_2026.csv row 46318</t>
  </si>
  <si>
    <t>VB-0914</t>
  </si>
  <si>
    <t>WL-02950</t>
  </si>
  <si>
    <t>Travis Young</t>
  </si>
  <si>
    <t>TXN-202608-026661</t>
  </si>
  <si>
    <t>slip_inventory_2026-08.csv row 467; billing_transactions_2022_2026.csv row 46320</t>
  </si>
  <si>
    <t>VB-0915</t>
  </si>
  <si>
    <t>WL-02424</t>
  </si>
  <si>
    <t>Jessica Nguyen</t>
  </si>
  <si>
    <t>TXN-202608-026739</t>
  </si>
  <si>
    <t>slip_inventory_2026-08.csv row 468; billing_transactions_2022_2026.csv row 46321</t>
  </si>
  <si>
    <t>VB-0916</t>
  </si>
  <si>
    <t>WL-01194</t>
  </si>
  <si>
    <t>Kathryn Munoz</t>
  </si>
  <si>
    <t>TXN-202608-026792</t>
  </si>
  <si>
    <t>slip_inventory_2026-08.csv row 469; billing_transactions_2022_2026.csv row 46323</t>
  </si>
  <si>
    <t>VB-0917</t>
  </si>
  <si>
    <t>WL-03422</t>
  </si>
  <si>
    <t>Robin Jones</t>
  </si>
  <si>
    <t>TXN-202608-026843</t>
  </si>
  <si>
    <t>slip_inventory_2026-08.csv row 470; billing_transactions_2022_2026.csv row 46324</t>
  </si>
  <si>
    <t>VB-0918</t>
  </si>
  <si>
    <t>WL-03033</t>
  </si>
  <si>
    <t>Brian Sellers</t>
  </si>
  <si>
    <t>TXN-202608-026923</t>
  </si>
  <si>
    <t>slip_inventory_2026-08.csv row 471; billing_transactions_2022_2026.csv row 46325</t>
  </si>
  <si>
    <t>VB-0919</t>
  </si>
  <si>
    <t>WL-03091</t>
  </si>
  <si>
    <t>Sandra Barber</t>
  </si>
  <si>
    <t>TXN-202608-026985</t>
  </si>
  <si>
    <t>slip_inventory_2026-08.csv row 472; billing_transactions_2022_2026.csv row 46327</t>
  </si>
  <si>
    <t>VB-0920</t>
  </si>
  <si>
    <t>WL-02265</t>
  </si>
  <si>
    <t>Kimberly Bailey</t>
  </si>
  <si>
    <t>TXN-202608-027025</t>
  </si>
  <si>
    <t>slip_inventory_2026-08.csv row 473; billing_transactions_2022_2026.csv row 46329</t>
  </si>
  <si>
    <t>VB-0921</t>
  </si>
  <si>
    <t>WL-03544</t>
  </si>
  <si>
    <t>TXN-202608-027066</t>
  </si>
  <si>
    <t>slip_inventory_2026-08.csv row 474; billing_transactions_2022_2026.csv row 46330</t>
  </si>
  <si>
    <t>VB-0923</t>
  </si>
  <si>
    <t>WL-02666</t>
  </si>
  <si>
    <t>Amber Liu</t>
  </si>
  <si>
    <t>TXN-202608-027119</t>
  </si>
  <si>
    <t>slip_inventory_2026-08.csv row 476; billing_transactions_2022_2026.csv row 46332</t>
  </si>
  <si>
    <t>VB-0924</t>
  </si>
  <si>
    <t>WL-03176</t>
  </si>
  <si>
    <t>Elizabeth Kelly</t>
  </si>
  <si>
    <t>TXN-202608-027201</t>
  </si>
  <si>
    <t>slip_inventory_2026-08.csv row 477; billing_transactions_2022_2026.csv row 46334</t>
  </si>
  <si>
    <t>VB-1001</t>
  </si>
  <si>
    <t>WL-03801</t>
  </si>
  <si>
    <t>Brian Robertson</t>
  </si>
  <si>
    <t>TXN-202608-027264</t>
  </si>
  <si>
    <t>slip_inventory_2026-08.csv row 478; billing_transactions_2022_2026.csv row 46335</t>
  </si>
  <si>
    <t>VB-1002</t>
  </si>
  <si>
    <t>WL-02902</t>
  </si>
  <si>
    <t>Lorraine Schultz</t>
  </si>
  <si>
    <t>TXN-202608-027309</t>
  </si>
  <si>
    <t>slip_inventory_2026-08.csv row 479; billing_transactions_2022_2026.csv row 46336</t>
  </si>
  <si>
    <t>VB-1004</t>
  </si>
  <si>
    <t>WL-03765</t>
  </si>
  <si>
    <t>Joel Schmidt</t>
  </si>
  <si>
    <t>TXN-202608-027352</t>
  </si>
  <si>
    <t>slip_inventory_2026-08.csv row 481; billing_transactions_2022_2026.csv row 46338</t>
  </si>
  <si>
    <t>VB-1005</t>
  </si>
  <si>
    <t>WL-01874</t>
  </si>
  <si>
    <t>Glenda Williams</t>
  </si>
  <si>
    <t>TXN-202608-027398</t>
  </si>
  <si>
    <t>slip_inventory_2026-08.csv row 482; billing_transactions_2022_2026.csv row 46340</t>
  </si>
  <si>
    <t>VB-1006</t>
  </si>
  <si>
    <t>WL-03723</t>
  </si>
  <si>
    <t>Michael Douglas</t>
  </si>
  <si>
    <t>TXN-202608-027475</t>
  </si>
  <si>
    <t>slip_inventory_2026-08.csv row 483; billing_transactions_2022_2026.csv row 46341</t>
  </si>
  <si>
    <t>VB-1007</t>
  </si>
  <si>
    <t>WL-02796</t>
  </si>
  <si>
    <t>Gavin Scott</t>
  </si>
  <si>
    <t>TXN-202608-027529</t>
  </si>
  <si>
    <t>slip_inventory_2026-08.csv row 484; billing_transactions_2022_2026.csv row 46342</t>
  </si>
  <si>
    <t>VB-1008</t>
  </si>
  <si>
    <t>WL-02193</t>
  </si>
  <si>
    <t>Valerie Berg</t>
  </si>
  <si>
    <t>TXN-202608-027580</t>
  </si>
  <si>
    <t>slip_inventory_2026-08.csv row 485; billing_transactions_2022_2026.csv row 46343</t>
  </si>
  <si>
    <t>VB-1009</t>
  </si>
  <si>
    <t>WL-02802</t>
  </si>
  <si>
    <t>Kimberly Poole</t>
  </si>
  <si>
    <t>TXN-202608-027652</t>
  </si>
  <si>
    <t>slip_inventory_2026-08.csv row 486; billing_transactions_2022_2026.csv row 46344</t>
  </si>
  <si>
    <t>VB-1010</t>
  </si>
  <si>
    <t>WL-03077</t>
  </si>
  <si>
    <t>Lisa Jensen</t>
  </si>
  <si>
    <t>TXN-202608-027738</t>
  </si>
  <si>
    <t>slip_inventory_2026-08.csv row 487; billing_transactions_2022_2026.csv row 46346</t>
  </si>
  <si>
    <t>VB-1011</t>
  </si>
  <si>
    <t>WL-01187</t>
  </si>
  <si>
    <t>James Lee</t>
  </si>
  <si>
    <t>TXN-202608-027776</t>
  </si>
  <si>
    <t>slip_inventory_2026-08.csv row 488; billing_transactions_2022_2026.csv row 46347</t>
  </si>
  <si>
    <t>VB-1012</t>
  </si>
  <si>
    <t>WL-01323</t>
  </si>
  <si>
    <t>Melanie Alvarado</t>
  </si>
  <si>
    <t>TXN-202608-027841</t>
  </si>
  <si>
    <t>slip_inventory_2026-08.csv row 489; billing_transactions_2022_2026.csv row 46348</t>
  </si>
  <si>
    <t>VB-1013</t>
  </si>
  <si>
    <t>WL-02105</t>
  </si>
  <si>
    <t>Kenneth Underwood</t>
  </si>
  <si>
    <t>TXN-202608-027911</t>
  </si>
  <si>
    <t>slip_inventory_2026-08.csv row 490; billing_transactions_2022_2026.csv row 46350</t>
  </si>
  <si>
    <t>VB-1014</t>
  </si>
  <si>
    <t>WL-02188</t>
  </si>
  <si>
    <t>Courtney Zamora</t>
  </si>
  <si>
    <t>TXN-202608-027988</t>
  </si>
  <si>
    <t>slip_inventory_2026-08.csv row 491; billing_transactions_2022_2026.csv row 46351</t>
  </si>
  <si>
    <t>VB-1015</t>
  </si>
  <si>
    <t>WL-01478</t>
  </si>
  <si>
    <t>William Thomas</t>
  </si>
  <si>
    <t>TXN-202608-028037</t>
  </si>
  <si>
    <t>slip_inventory_2026-08.csv row 492; billing_transactions_2022_2026.csv row 46352</t>
  </si>
  <si>
    <t>VB-1016</t>
  </si>
  <si>
    <t>WL-03078</t>
  </si>
  <si>
    <t>Rachael Mitchell</t>
  </si>
  <si>
    <t>TXN-202608-028112</t>
  </si>
  <si>
    <t>slip_inventory_2026-08.csv row 493; billing_transactions_2022_2026.csv row 46353</t>
  </si>
  <si>
    <t>VB-1017</t>
  </si>
  <si>
    <t>WL-03104</t>
  </si>
  <si>
    <t>Jill Maldonado</t>
  </si>
  <si>
    <t>TXN-202608-028162</t>
  </si>
  <si>
    <t>slip_inventory_2026-08.csv row 494; billing_transactions_2022_2026.csv row 46355</t>
  </si>
  <si>
    <t>VB-1018</t>
  </si>
  <si>
    <t>WL-02100</t>
  </si>
  <si>
    <t>Michelle Pena</t>
  </si>
  <si>
    <t>POINT QUEEN</t>
  </si>
  <si>
    <t>TXN-202608-028239</t>
  </si>
  <si>
    <t>slip_inventory_2026-08.csv row 495; billing_transactions_2022_2026.csv row 46357</t>
  </si>
  <si>
    <t>VB-1019</t>
  </si>
  <si>
    <t>WL-03674</t>
  </si>
  <si>
    <t>Savannah Scott</t>
  </si>
  <si>
    <t>TXN-202608-028294</t>
  </si>
  <si>
    <t>slip_inventory_2026-08.csv row 496; billing_transactions_2022_2026.csv row 46358</t>
  </si>
  <si>
    <t>VB-1020</t>
  </si>
  <si>
    <t>WL-02112</t>
  </si>
  <si>
    <t>Molly Perez</t>
  </si>
  <si>
    <t>TXN-202608-028380</t>
  </si>
  <si>
    <t>slip_inventory_2026-08.csv row 497; billing_transactions_2022_2026.csv row 46359</t>
  </si>
  <si>
    <t>VB-1021</t>
  </si>
  <si>
    <t>WL-03142</t>
  </si>
  <si>
    <t>Tommy Bennett</t>
  </si>
  <si>
    <t>TXN-202608-028430</t>
  </si>
  <si>
    <t>slip_inventory_2026-08.csv row 498; billing_transactions_2022_2026.csv row 46360</t>
  </si>
  <si>
    <t>VB-1022</t>
  </si>
  <si>
    <t>WL-01981</t>
  </si>
  <si>
    <t>Kathleen Walker</t>
  </si>
  <si>
    <t>TXN-202608-028505</t>
  </si>
  <si>
    <t>slip_inventory_2026-08.csv row 499; billing_transactions_2022_2026.csv row 46361</t>
  </si>
  <si>
    <t>VB-1023</t>
  </si>
  <si>
    <t>WL-01467</t>
  </si>
  <si>
    <t>Walter Soto</t>
  </si>
  <si>
    <t>TXN-202608-028560</t>
  </si>
  <si>
    <t>slip_inventory_2026-08.csv row 500; billing_transactions_2022_2026.csv row 46362</t>
  </si>
  <si>
    <t>VB-1024</t>
  </si>
  <si>
    <t>WL-02463</t>
  </si>
  <si>
    <t>Lauren Oconnor</t>
  </si>
  <si>
    <t>TXN-202608-028608</t>
  </si>
  <si>
    <t>slip_inventory_2026-08.csv row 501; billing_transactions_2022_2026.csv row 46363</t>
  </si>
  <si>
    <t>ACTIVE SLIPS MORE THAN 90 DAYS DELINQUENT</t>
  </si>
  <si>
    <t>July aging ledger dated 2026-07-31 | More-than-90 amount = 91-120 bucket + 120+ bucket</t>
  </si>
  <si>
    <t>Active accounts</t>
  </si>
  <si>
    <t>Total balance</t>
  </si>
  <si>
    <t>Bucket tie-out</t>
  </si>
  <si>
    <t>All six rows are occupied in slip_inventory_2026-08.csv. These six rows tie individually; the full aging workbook is incomplete relative to the 1,086 occupied-slip register and requires a complete invoice-level run as of 2026-08-01.</t>
  </si>
  <si>
    <t>Account</t>
  </si>
  <si>
    <t>Slip</t>
  </si>
  <si>
    <t>Current</t>
  </si>
  <si>
    <t>31-60</t>
  </si>
  <si>
    <t>61-90</t>
  </si>
  <si>
    <t>91-120</t>
  </si>
  <si>
    <t>120+</t>
  </si>
  <si>
    <t>Source Total Due</t>
  </si>
  <si>
    <t>Bucket Sum</t>
  </si>
  <si>
    <t>Tie-Out Variance</t>
  </si>
  <si>
    <t>Amount &gt;90</t>
  </si>
  <si>
    <t>Active</t>
  </si>
  <si>
    <t>AC-LP-0122</t>
  </si>
  <si>
    <t>ar_aging_2026-07-31.xlsx, AR_Aging row 23; slip_inventory_2026-08.csv row 23</t>
  </si>
  <si>
    <t>AC-LP-0402</t>
  </si>
  <si>
    <t>ar_aging_2026-07-31.xlsx, AR_Aging row 68; slip_inventory_2026-08.csv row 75</t>
  </si>
  <si>
    <t>AC-LP-0602</t>
  </si>
  <si>
    <t>ar_aging_2026-07-31.xlsx, AR_Aging row 113; slip_inventory_2026-08.csv row 123</t>
  </si>
  <si>
    <t>AC-LP-0605</t>
  </si>
  <si>
    <t>ar_aging_2026-07-31.xlsx, AR_Aging row 116; slip_inventory_2026-08.csv row 126</t>
  </si>
  <si>
    <t>AC-LP-0713</t>
  </si>
  <si>
    <t>ar_aging_2026-07-31.xlsx, AR_Aging row 147; slip_inventory_2026-08.csv row 158</t>
  </si>
  <si>
    <t>AC-LP-0801</t>
  </si>
  <si>
    <t>ar_aging_2026-07-31.xlsx, AR_Aging row 158; slip_inventory_2026-08.csv row 170</t>
  </si>
  <si>
    <t>Basis and limitation: the source workbook's Summary sheet labels days_90 as 91-120 and days_120_plus as 120+. The six displayed rows' bucket arithmetic ties to source total_due. The workbook contains only 260 accounts, so this is the complete &gt;90 result within the supplied July ledger, not a complete census of all occupied slips. A 2026-08-01 invoice-level aging would identify any balance crossing the threshold overnight.</t>
  </si>
</sst>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yyyy-mm-dd"/>
    <numFmt numFmtId="166" formatCode="0.0"/>
  </numFmts>
  <fonts count="16">
    <font>
      <sz val="11"/>
      <color theme="1"/>
      <name val="Calibri"/>
      <family val="2"/>
      <scheme val="minor"/>
    </font>
    <font>
      <b/>
      <sz val="20"/>
      <color rgb="FFFFFFFF"/>
      <name val="Noto Sans"/>
      <family val="2"/>
    </font>
    <font>
      <sz val="9"/>
      <color rgb="FFDDE7F3"/>
      <name val="Noto Sans"/>
      <family val="2"/>
    </font>
    <font>
      <b/>
      <sz val="11"/>
      <color rgb="FFFFFFFF"/>
      <name val="Noto Sans"/>
      <family val="2"/>
    </font>
    <font>
      <b/>
      <sz val="9"/>
      <color rgb="FF17324D"/>
      <name val="Noto Sans"/>
      <family val="2"/>
    </font>
    <font>
      <b/>
      <sz val="15"/>
      <color rgb="FF17324D"/>
      <name val="Noto Sans"/>
      <family val="2"/>
    </font>
    <font>
      <b/>
      <sz val="14"/>
      <color rgb="FF17324D"/>
      <name val="Noto Sans"/>
      <family val="2"/>
    </font>
    <font>
      <b/>
      <sz val="11"/>
      <color rgb="FF17324D"/>
      <name val="Noto Sans"/>
      <family val="2"/>
    </font>
    <font>
      <b/>
      <sz val="8"/>
      <color rgb="FF17324D"/>
      <name val="Noto Sans"/>
      <family val="2"/>
    </font>
    <font>
      <sz val="9"/>
      <color rgb="FF1F2937"/>
      <name val="Noto Sans"/>
      <family val="2"/>
    </font>
    <font>
      <i/>
      <sz val="8"/>
      <color rgb="FF64748B"/>
      <name val="Noto Sans"/>
      <family val="2"/>
    </font>
    <font>
      <b/>
      <sz val="8"/>
      <color rgb="FF15803D"/>
      <name val="Noto Sans"/>
      <family val="2"/>
    </font>
    <font>
      <b/>
      <sz val="8"/>
      <color rgb="FFFFFFFF"/>
      <name val="Noto Sans"/>
      <family val="2"/>
    </font>
    <font>
      <sz val="8"/>
      <color rgb="FF1F2937"/>
      <name val="Noto Sans"/>
      <family val="2"/>
    </font>
    <font>
      <b/>
      <sz val="8"/>
      <color rgb="FFB42318"/>
      <name val="Noto Sans"/>
      <family val="2"/>
    </font>
    <font>
      <b/>
      <sz val="8"/>
      <color rgb="FF8A5700"/>
      <name val="Noto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E8F0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C66D"/>
        <bgColor indexed="64"/>
      </patternFill>
    </fill>
    <fill>
      <patternFill patternType="solid">
        <fgColor rgb="FFE7F4EA"/>
        <bgColor indexed="64"/>
      </patternFill>
    </fill>
    <fill>
      <patternFill patternType="solid">
        <fgColor rgb="FFFDE8E7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3D6"/>
        <bgColor indexed="64"/>
      </patternFill>
    </fill>
  </fills>
  <borders count="6">
    <border>
      <left/>
      <right/>
      <top/>
      <bottom/>
      <diagonal/>
    </border>
    <border>
      <left style="thin">
        <color rgb="FFCED8E5"/>
      </left>
      <right style="thin">
        <color rgb="FFCED8E5"/>
      </right>
      <top style="thin">
        <color rgb="FFCED8E5"/>
      </top>
      <bottom style="thin">
        <color rgb="FFCED8E5"/>
      </bottom>
      <diagonal/>
    </border>
    <border>
      <left style="thin">
        <color rgb="FFB9D8C1"/>
      </left>
      <right style="thin">
        <color rgb="FFB9D8C1"/>
      </right>
      <top style="thin">
        <color rgb="FFB9D8C1"/>
      </top>
      <bottom style="thin">
        <color rgb="FFB9D8C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8B8B4"/>
      </left>
      <right style="thin">
        <color rgb="FFE8B8B4"/>
      </right>
      <top style="thin">
        <color rgb="FFE8B8B4"/>
      </top>
      <bottom style="thin">
        <color rgb="FFE8B8B4"/>
      </bottom>
      <diagonal/>
    </border>
    <border>
      <left style="thin">
        <color rgb="FFE8C879"/>
      </left>
      <right style="thin">
        <color rgb="FFE8C879"/>
      </right>
      <top style="thin">
        <color rgb="FFE8C879"/>
      </top>
      <bottom style="thin">
        <color rgb="FFE8C87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4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0" xfId="0" applyFont="1" applyAlignment="1">
      <alignment vertical="top" wrapText="1"/>
    </xf>
    <xf numFmtId="0" fontId="11" fillId="7" borderId="2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left" vertical="center" wrapText="1"/>
    </xf>
    <xf numFmtId="0" fontId="13" fillId="0" borderId="3" xfId="0" applyFont="1" applyBorder="1" applyAlignment="1">
      <alignment vertical="top"/>
    </xf>
    <xf numFmtId="0" fontId="13" fillId="0" borderId="3" xfId="0" applyFont="1" applyBorder="1" applyAlignment="1">
      <alignment vertical="top" wrapText="1"/>
    </xf>
    <xf numFmtId="165" fontId="13" fillId="0" borderId="3" xfId="0" applyNumberFormat="1" applyFont="1" applyBorder="1" applyAlignment="1">
      <alignment vertical="top"/>
    </xf>
    <xf numFmtId="0" fontId="14" fillId="8" borderId="4" xfId="0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vertical="top"/>
    </xf>
    <xf numFmtId="0" fontId="13" fillId="9" borderId="3" xfId="0" applyFont="1" applyFill="1" applyBorder="1" applyAlignment="1">
      <alignment vertical="top" wrapText="1"/>
    </xf>
    <xf numFmtId="165" fontId="13" fillId="9" borderId="3" xfId="0" applyNumberFormat="1" applyFont="1" applyFill="1" applyBorder="1" applyAlignment="1">
      <alignment vertical="top"/>
    </xf>
    <xf numFmtId="1" fontId="13" fillId="0" borderId="3" xfId="0" applyNumberFormat="1" applyFont="1" applyBorder="1" applyAlignment="1">
      <alignment vertical="top"/>
    </xf>
    <xf numFmtId="164" fontId="13" fillId="0" borderId="3" xfId="0" applyNumberFormat="1" applyFont="1" applyBorder="1" applyAlignment="1">
      <alignment vertical="top"/>
    </xf>
    <xf numFmtId="164" fontId="4" fillId="4" borderId="1" xfId="0" applyNumberFormat="1" applyFont="1" applyFill="1" applyBorder="1"/>
    <xf numFmtId="166" fontId="13" fillId="0" borderId="3" xfId="0" applyNumberFormat="1" applyFont="1" applyBorder="1" applyAlignment="1">
      <alignment vertical="top"/>
    </xf>
    <xf numFmtId="0" fontId="15" fillId="10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F766E"/>
    <pageSetUpPr fitToPage="1"/>
  </sheetPr>
  <dimension ref="A1:L34"/>
  <sheetViews>
    <sheetView showGridLines="0" tabSelected="1" workbookViewId="0"/>
  </sheetViews>
  <sheetFormatPr defaultRowHeight="15"/>
  <cols>
    <col min="1" max="1" width="2.7109375" customWidth="1"/>
    <col min="2" max="3" width="17.7109375" customWidth="1"/>
    <col min="4" max="4" width="3.7109375" customWidth="1"/>
    <col min="5" max="6" width="17.7109375" customWidth="1"/>
    <col min="7" max="7" width="3.7109375" customWidth="1"/>
    <col min="8" max="9" width="17.7109375" customWidth="1"/>
    <col min="10" max="10" width="3.7109375" customWidth="1"/>
    <col min="11" max="12" width="17.7109375" customWidth="1"/>
  </cols>
  <sheetData>
    <row r="1" spans="1:12" ht="2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>
      <c r="B5" s="4" t="s">
        <v>3</v>
      </c>
      <c r="C5" s="4"/>
      <c r="E5" s="4" t="s">
        <v>4</v>
      </c>
      <c r="F5" s="4"/>
      <c r="H5" s="4" t="s">
        <v>5</v>
      </c>
      <c r="I5" s="4"/>
      <c r="K5" s="4" t="s">
        <v>6</v>
      </c>
      <c r="L5" s="4"/>
    </row>
    <row r="6" spans="1:12">
      <c r="B6" s="5">
        <f>COUNTIF('Queue Exceptions'!$P$11:$P$29,"EXCEPTION")</f>
        <v>19</v>
      </c>
      <c r="C6" s="5"/>
      <c r="E6" s="5">
        <f>COUNTA('Billing Reconciliations'!$A$26:$A$1111)</f>
        <v>1086</v>
      </c>
      <c r="F6" s="5"/>
      <c r="H6" s="5">
        <f>COUNTIF('Billing Reconciliations'!$L$26:$L$1111,"&lt;&gt;")</f>
        <v>769</v>
      </c>
      <c r="I6" s="5"/>
      <c r="K6" s="5">
        <f>COUNTIF(Aging!$M$11:$M$16,"&gt;0")</f>
        <v>6</v>
      </c>
      <c r="L6" s="5"/>
    </row>
    <row r="7" spans="1:12">
      <c r="B7" s="5"/>
      <c r="C7" s="5"/>
      <c r="E7" s="5"/>
      <c r="F7" s="5"/>
      <c r="H7" s="5"/>
      <c r="I7" s="5"/>
      <c r="K7" s="5"/>
      <c r="L7" s="5"/>
    </row>
    <row r="9" spans="1:12">
      <c r="B9" s="4" t="s">
        <v>7</v>
      </c>
      <c r="C9" s="4"/>
      <c r="E9" s="4" t="s">
        <v>8</v>
      </c>
      <c r="F9" s="4"/>
      <c r="H9" s="4" t="s">
        <v>9</v>
      </c>
      <c r="I9" s="4"/>
      <c r="K9" s="4" t="s">
        <v>10</v>
      </c>
      <c r="L9" s="4"/>
    </row>
    <row r="10" spans="1:12">
      <c r="B10" s="6">
        <f>SUMIFS('Billing Reconciliations'!$S$26:$S$1111,'Billing Reconciliations'!$L$26:$L$1111,"&lt;&gt;")</f>
        <v>0</v>
      </c>
      <c r="C10" s="6"/>
      <c r="E10" s="5">
        <f>COUNTIF('Billing Reconciliations'!$T$26:$T$1111,"NO BILL*")</f>
        <v>317</v>
      </c>
      <c r="F10" s="5"/>
      <c r="H10" s="6">
        <f>SUM('Billing Reconciliations'!$S$26:$S$1111)</f>
        <v>-120158.25</v>
      </c>
      <c r="I10" s="6"/>
      <c r="K10" s="6">
        <f>SUM(Aging!$M$11:$M$16)</f>
        <v>4368.0</v>
      </c>
      <c r="L10" s="6"/>
    </row>
    <row r="11" spans="1:12">
      <c r="B11" s="6"/>
      <c r="C11" s="6"/>
      <c r="E11" s="5"/>
      <c r="F11" s="5"/>
      <c r="H11" s="6"/>
      <c r="I11" s="6"/>
      <c r="K11" s="6"/>
      <c r="L11" s="6"/>
    </row>
    <row r="13" spans="1:12">
      <c r="A13" s="7" t="s">
        <v>11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5" spans="1:12" ht="18" customHeight="1">
      <c r="A15" s="8" t="s">
        <v>12</v>
      </c>
      <c r="B15" s="8"/>
      <c r="C15" s="8"/>
      <c r="D15" s="9" t="s">
        <v>13</v>
      </c>
      <c r="E15" s="9"/>
      <c r="F15" s="9"/>
      <c r="G15" s="9"/>
      <c r="H15" s="9"/>
      <c r="I15" s="9"/>
      <c r="J15" s="9"/>
      <c r="K15" s="9"/>
      <c r="L15" s="9"/>
    </row>
    <row r="16" spans="1:12" ht="18" customHeight="1">
      <c r="A16" s="8"/>
      <c r="B16" s="8"/>
      <c r="C16" s="8"/>
      <c r="D16" s="9"/>
      <c r="E16" s="9"/>
      <c r="F16" s="9"/>
      <c r="G16" s="9"/>
      <c r="H16" s="9"/>
      <c r="I16" s="9"/>
      <c r="J16" s="9"/>
      <c r="K16" s="9"/>
      <c r="L16" s="9"/>
    </row>
    <row r="18" spans="1:12" ht="18" customHeight="1">
      <c r="A18" s="8" t="s">
        <v>14</v>
      </c>
      <c r="B18" s="8"/>
      <c r="C18" s="8"/>
      <c r="D18" s="9" t="s">
        <v>15</v>
      </c>
      <c r="E18" s="9"/>
      <c r="F18" s="9"/>
      <c r="G18" s="9"/>
      <c r="H18" s="9"/>
      <c r="I18" s="9"/>
      <c r="J18" s="9"/>
      <c r="K18" s="9"/>
      <c r="L18" s="9"/>
    </row>
    <row r="19" spans="1:12" ht="18" customHeight="1">
      <c r="A19" s="8"/>
      <c r="B19" s="8"/>
      <c r="C19" s="8"/>
      <c r="D19" s="9"/>
      <c r="E19" s="9"/>
      <c r="F19" s="9"/>
      <c r="G19" s="9"/>
      <c r="H19" s="9"/>
      <c r="I19" s="9"/>
      <c r="J19" s="9"/>
      <c r="K19" s="9"/>
      <c r="L19" s="9"/>
    </row>
    <row r="21" spans="1:12" ht="18" customHeight="1">
      <c r="A21" s="8" t="s">
        <v>16</v>
      </c>
      <c r="B21" s="8"/>
      <c r="C21" s="8"/>
      <c r="D21" s="9" t="s">
        <v>17</v>
      </c>
      <c r="E21" s="9"/>
      <c r="F21" s="9"/>
      <c r="G21" s="9"/>
      <c r="H21" s="9"/>
      <c r="I21" s="9"/>
      <c r="J21" s="9"/>
      <c r="K21" s="9"/>
      <c r="L21" s="9"/>
    </row>
    <row r="22" spans="1:12" ht="18" customHeight="1">
      <c r="A22" s="8"/>
      <c r="B22" s="8"/>
      <c r="C22" s="8"/>
      <c r="D22" s="9"/>
      <c r="E22" s="9"/>
      <c r="F22" s="9"/>
      <c r="G22" s="9"/>
      <c r="H22" s="9"/>
      <c r="I22" s="9"/>
      <c r="J22" s="9"/>
      <c r="K22" s="9"/>
      <c r="L22" s="9"/>
    </row>
    <row r="24" spans="1:12" ht="18" customHeight="1">
      <c r="A24" s="8" t="s">
        <v>18</v>
      </c>
      <c r="B24" s="8"/>
      <c r="C24" s="8"/>
      <c r="D24" s="9" t="s">
        <v>19</v>
      </c>
      <c r="E24" s="9"/>
      <c r="F24" s="9"/>
      <c r="G24" s="9"/>
      <c r="H24" s="9"/>
      <c r="I24" s="9"/>
      <c r="J24" s="9"/>
      <c r="K24" s="9"/>
      <c r="L24" s="9"/>
    </row>
    <row r="25" spans="1:12" ht="18" customHeight="1">
      <c r="A25" s="8"/>
      <c r="B25" s="8"/>
      <c r="C25" s="8"/>
      <c r="D25" s="9"/>
      <c r="E25" s="9"/>
      <c r="F25" s="9"/>
      <c r="G25" s="9"/>
      <c r="H25" s="9"/>
      <c r="I25" s="9"/>
      <c r="J25" s="9"/>
      <c r="K25" s="9"/>
      <c r="L25" s="9"/>
    </row>
    <row r="27" spans="1:12" ht="18" customHeight="1">
      <c r="A27" s="8" t="s">
        <v>20</v>
      </c>
      <c r="B27" s="8"/>
      <c r="C27" s="8"/>
      <c r="D27" s="9" t="s">
        <v>21</v>
      </c>
      <c r="E27" s="9"/>
      <c r="F27" s="9"/>
      <c r="G27" s="9"/>
      <c r="H27" s="9"/>
      <c r="I27" s="9"/>
      <c r="J27" s="9"/>
      <c r="K27" s="9"/>
      <c r="L27" s="9"/>
    </row>
    <row r="28" spans="1:12" ht="18" customHeight="1">
      <c r="A28" s="8"/>
      <c r="B28" s="8"/>
      <c r="C28" s="8"/>
      <c r="D28" s="9"/>
      <c r="E28" s="9"/>
      <c r="F28" s="9"/>
      <c r="G28" s="9"/>
      <c r="H28" s="9"/>
      <c r="I28" s="9"/>
      <c r="J28" s="9"/>
      <c r="K28" s="9"/>
      <c r="L28" s="9"/>
    </row>
    <row r="30" spans="1:12" ht="18" customHeight="1">
      <c r="A30" s="8" t="s">
        <v>22</v>
      </c>
      <c r="B30" s="8"/>
      <c r="C30" s="8"/>
      <c r="D30" s="9" t="s">
        <v>23</v>
      </c>
      <c r="E30" s="9"/>
      <c r="F30" s="9"/>
      <c r="G30" s="9"/>
      <c r="H30" s="9"/>
      <c r="I30" s="9"/>
      <c r="J30" s="9"/>
      <c r="K30" s="9"/>
      <c r="L30" s="9"/>
    </row>
    <row r="31" spans="1:12" ht="18" customHeight="1">
      <c r="A31" s="8"/>
      <c r="B31" s="8"/>
      <c r="C31" s="8"/>
      <c r="D31" s="9"/>
      <c r="E31" s="9"/>
      <c r="F31" s="9"/>
      <c r="G31" s="9"/>
      <c r="H31" s="9"/>
      <c r="I31" s="9"/>
      <c r="J31" s="9"/>
      <c r="K31" s="9"/>
      <c r="L31" s="9"/>
    </row>
    <row r="33" spans="1:12">
      <c r="A33" s="10" t="s">
        <v>24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</sheetData>
  <mergeCells count="33">
    <mergeCell ref="A1:L1"/>
    <mergeCell ref="A2:L2"/>
    <mergeCell ref="A4:L4"/>
    <mergeCell ref="B5:C5"/>
    <mergeCell ref="B6:C7"/>
    <mergeCell ref="E5:F5"/>
    <mergeCell ref="E6:F7"/>
    <mergeCell ref="H5:I5"/>
    <mergeCell ref="H6:I7"/>
    <mergeCell ref="K5:L5"/>
    <mergeCell ref="K6:L7"/>
    <mergeCell ref="B9:C9"/>
    <mergeCell ref="B10:C11"/>
    <mergeCell ref="E9:F9"/>
    <mergeCell ref="E10:F11"/>
    <mergeCell ref="H9:I9"/>
    <mergeCell ref="H10:I11"/>
    <mergeCell ref="K9:L9"/>
    <mergeCell ref="K10:L11"/>
    <mergeCell ref="A13:L13"/>
    <mergeCell ref="A15:C16"/>
    <mergeCell ref="D15:L16"/>
    <mergeCell ref="A18:C19"/>
    <mergeCell ref="D18:L19"/>
    <mergeCell ref="A21:C22"/>
    <mergeCell ref="D21:L22"/>
    <mergeCell ref="A24:C25"/>
    <mergeCell ref="D24:L25"/>
    <mergeCell ref="A27:C28"/>
    <mergeCell ref="D27:L28"/>
    <mergeCell ref="A30:C31"/>
    <mergeCell ref="D30:L31"/>
    <mergeCell ref="A33:L34"/>
  </mergeCells>
  <pageMargins left="0.35" right="0.35" top="0.45" bottom="0.45" header="0.3" footer="0.3"/>
  <pageSetup paperSize="1" orientation="landscape"/>
  <headerFooter>
    <oddHeader>&amp;LChaldale Harbor District&amp;CConfidential - Board Review&amp;RAs of 2026-08-01</oddHeader>
    <oddFooter>&amp;LSource-grounded audit&amp;CPage &amp;P of &amp;N&amp;RPrepared 2026-08-01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F766E"/>
    <pageSetUpPr fitToPage="1"/>
  </sheetPr>
  <dimension ref="A1:Q31"/>
  <sheetViews>
    <sheetView showGridLines="0" workbookViewId="0">
      <pane ySplit="10" topLeftCell="A11" activePane="bottomLeft" state="frozen"/>
      <selection pane="bottomLeft"/>
    </sheetView>
  </sheetViews>
  <sheetFormatPr defaultRowHeight="15"/>
  <cols>
    <col min="1" max="1" width="7.7109375" customWidth="1"/>
    <col min="2" max="2" width="15.7109375" customWidth="1"/>
    <col min="3" max="3" width="12.7109375" customWidth="1"/>
    <col min="4" max="4" width="9.7109375" customWidth="1"/>
    <col min="5" max="5" width="19.7109375" customWidth="1"/>
    <col min="6" max="6" width="13.7109375" customWidth="1"/>
    <col min="7" max="7" width="18.7109375" customWidth="1"/>
    <col min="8" max="8" width="11.7109375" customWidth="1"/>
    <col min="9" max="10" width="12.7109375" customWidth="1"/>
    <col min="11" max="11" width="19.7109375" customWidth="1"/>
    <col min="12" max="12" width="18.7109375" customWidth="1"/>
    <col min="13" max="13" width="21.7109375" customWidth="1"/>
    <col min="14" max="14" width="22.7109375" customWidth="1"/>
    <col min="15" max="15" width="25.7109375" customWidth="1"/>
    <col min="16" max="16" width="11.7109375" customWidth="1"/>
    <col min="17" max="17" width="33.7109375" customWidth="1"/>
  </cols>
  <sheetData>
    <row r="1" spans="1:17" ht="28" customHeight="1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2" t="s">
        <v>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7">
      <c r="A4" s="3" t="s">
        <v>27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>
      <c r="A5" s="8" t="s">
        <v>28</v>
      </c>
      <c r="B5" s="9">
        <f>309</f>
        <v>309</v>
      </c>
      <c r="C5" s="8" t="s">
        <v>29</v>
      </c>
      <c r="D5" s="9">
        <f>COUNTIF($P$11:$P$29,"EXCEPTION")</f>
        <v>19</v>
      </c>
      <c r="E5" s="8" t="s">
        <v>30</v>
      </c>
      <c r="F5" s="9">
        <f>COUNTIF($K$11:$K$29,"vessel-fit")</f>
        <v>12</v>
      </c>
      <c r="G5" s="8" t="s">
        <v>31</v>
      </c>
      <c r="H5" s="9">
        <f>COUNTIF($K$11:$K$29,"not-current")</f>
        <v>2</v>
      </c>
      <c r="I5" s="8" t="s">
        <v>32</v>
      </c>
      <c r="J5" s="9">
        <f>COUNTIF($K$11:$K$29,"declined-prior-offer")</f>
        <v>3</v>
      </c>
      <c r="K5" s="8" t="s">
        <v>33</v>
      </c>
      <c r="L5" s="9">
        <f>COUNTIF($K$11:$K$29,"preference-mismatch")</f>
        <v>2</v>
      </c>
      <c r="M5" s="8" t="s">
        <v>34</v>
      </c>
      <c r="N5" s="9">
        <f>COUNTIF($N$11:$N$29,"EXCEPTION*")</f>
        <v>0</v>
      </c>
      <c r="O5" s="11" t="s">
        <v>35</v>
      </c>
      <c r="P5" s="11"/>
      <c r="Q5" s="11"/>
    </row>
    <row r="7" spans="1:17">
      <c r="A7" s="10" t="s">
        <v>36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17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10" spans="1:17" ht="31" customHeight="1">
      <c r="A10" s="12" t="s">
        <v>37</v>
      </c>
      <c r="B10" s="13" t="s">
        <v>38</v>
      </c>
      <c r="C10" s="13" t="s">
        <v>39</v>
      </c>
      <c r="D10" s="12" t="s">
        <v>40</v>
      </c>
      <c r="E10" s="13" t="s">
        <v>41</v>
      </c>
      <c r="F10" s="13" t="s">
        <v>42</v>
      </c>
      <c r="G10" s="13" t="s">
        <v>43</v>
      </c>
      <c r="H10" s="12" t="s">
        <v>44</v>
      </c>
      <c r="I10" s="13" t="s">
        <v>45</v>
      </c>
      <c r="J10" s="13" t="s">
        <v>46</v>
      </c>
      <c r="K10" s="13" t="s">
        <v>47</v>
      </c>
      <c r="L10" s="13" t="s">
        <v>48</v>
      </c>
      <c r="M10" s="13" t="s">
        <v>49</v>
      </c>
      <c r="N10" s="13" t="s">
        <v>50</v>
      </c>
      <c r="O10" s="13" t="s">
        <v>51</v>
      </c>
      <c r="P10" s="12" t="s">
        <v>52</v>
      </c>
      <c r="Q10" s="13" t="s">
        <v>53</v>
      </c>
    </row>
    <row r="11" spans="1:17" ht="54" customHeight="1">
      <c r="A11" s="14">
        <f>RANK.EQ(D11,$D$11:$D$29,1)+COUNTIF($D$11:D11,D11)-1</f>
        <v>1</v>
      </c>
      <c r="B11" s="14" t="s">
        <v>54</v>
      </c>
      <c r="C11" s="14" t="s">
        <v>55</v>
      </c>
      <c r="D11" s="14">
        <v>89</v>
      </c>
      <c r="E11" s="15" t="s">
        <v>56</v>
      </c>
      <c r="F11" s="14" t="s">
        <v>57</v>
      </c>
      <c r="G11" s="15" t="s">
        <v>58</v>
      </c>
      <c r="H11" s="16">
        <v>45941</v>
      </c>
      <c r="I11" s="14" t="s">
        <v>59</v>
      </c>
      <c r="J11" s="14"/>
      <c r="K11" s="15" t="s">
        <v>60</v>
      </c>
      <c r="L11" s="15" t="s">
        <v>61</v>
      </c>
      <c r="M11" s="15" t="s">
        <v>62</v>
      </c>
      <c r="N11" s="15" t="s">
        <v>63</v>
      </c>
      <c r="O11" s="15" t="s">
        <v>64</v>
      </c>
      <c r="P11" s="17" t="s">
        <v>65</v>
      </c>
      <c r="Q11" s="15" t="s">
        <v>66</v>
      </c>
    </row>
    <row r="12" spans="1:17" ht="54" customHeight="1">
      <c r="A12" s="18">
        <f>RANK.EQ(D12,$D$11:$D$29,1)+COUNTIF($D$11:D12,D12)-1</f>
        <v>2</v>
      </c>
      <c r="B12" s="18" t="s">
        <v>67</v>
      </c>
      <c r="C12" s="18" t="s">
        <v>68</v>
      </c>
      <c r="D12" s="18">
        <v>144</v>
      </c>
      <c r="E12" s="19" t="s">
        <v>69</v>
      </c>
      <c r="F12" s="18" t="s">
        <v>57</v>
      </c>
      <c r="G12" s="19" t="s">
        <v>70</v>
      </c>
      <c r="H12" s="20">
        <v>45448</v>
      </c>
      <c r="I12" s="18" t="s">
        <v>71</v>
      </c>
      <c r="J12" s="18"/>
      <c r="K12" s="19" t="s">
        <v>60</v>
      </c>
      <c r="L12" s="19" t="s">
        <v>72</v>
      </c>
      <c r="M12" s="19" t="s">
        <v>62</v>
      </c>
      <c r="N12" s="19" t="s">
        <v>63</v>
      </c>
      <c r="O12" s="19" t="s">
        <v>64</v>
      </c>
      <c r="P12" s="17" t="s">
        <v>65</v>
      </c>
      <c r="Q12" s="19" t="s">
        <v>66</v>
      </c>
    </row>
    <row r="13" spans="1:17" ht="54" customHeight="1">
      <c r="A13" s="14">
        <f>RANK.EQ(D13,$D$11:$D$29,1)+COUNTIF($D$11:D13,D13)-1</f>
        <v>3</v>
      </c>
      <c r="B13" s="14" t="s">
        <v>73</v>
      </c>
      <c r="C13" s="14" t="s">
        <v>74</v>
      </c>
      <c r="D13" s="14">
        <v>695</v>
      </c>
      <c r="E13" s="15" t="s">
        <v>75</v>
      </c>
      <c r="F13" s="14" t="s">
        <v>57</v>
      </c>
      <c r="G13" s="15" t="s">
        <v>76</v>
      </c>
      <c r="H13" s="16">
        <v>44936</v>
      </c>
      <c r="I13" s="14" t="s">
        <v>77</v>
      </c>
      <c r="J13" s="14"/>
      <c r="K13" s="15" t="s">
        <v>60</v>
      </c>
      <c r="L13" s="15" t="s">
        <v>78</v>
      </c>
      <c r="M13" s="15" t="s">
        <v>62</v>
      </c>
      <c r="N13" s="15" t="s">
        <v>63</v>
      </c>
      <c r="O13" s="15" t="s">
        <v>79</v>
      </c>
      <c r="P13" s="17" t="s">
        <v>65</v>
      </c>
      <c r="Q13" s="15" t="s">
        <v>66</v>
      </c>
    </row>
    <row r="14" spans="1:17" ht="54" customHeight="1">
      <c r="A14" s="18">
        <f>RANK.EQ(D14,$D$11:$D$29,1)+COUNTIF($D$11:D14,D14)-1</f>
        <v>4</v>
      </c>
      <c r="B14" s="18" t="s">
        <v>80</v>
      </c>
      <c r="C14" s="18" t="s">
        <v>81</v>
      </c>
      <c r="D14" s="18">
        <v>781</v>
      </c>
      <c r="E14" s="19" t="s">
        <v>82</v>
      </c>
      <c r="F14" s="18" t="s">
        <v>83</v>
      </c>
      <c r="G14" s="19" t="s">
        <v>84</v>
      </c>
      <c r="H14" s="20">
        <v>45092</v>
      </c>
      <c r="I14" s="18" t="s">
        <v>85</v>
      </c>
      <c r="J14" s="18"/>
      <c r="K14" s="19" t="s">
        <v>86</v>
      </c>
      <c r="L14" s="19" t="s">
        <v>87</v>
      </c>
      <c r="M14" s="19" t="s">
        <v>62</v>
      </c>
      <c r="N14" s="19" t="s">
        <v>63</v>
      </c>
      <c r="O14" s="19" t="s">
        <v>88</v>
      </c>
      <c r="P14" s="17" t="s">
        <v>65</v>
      </c>
      <c r="Q14" s="19" t="s">
        <v>66</v>
      </c>
    </row>
    <row r="15" spans="1:17" ht="54" customHeight="1">
      <c r="A15" s="14">
        <f>RANK.EQ(D15,$D$11:$D$29,1)+COUNTIF($D$11:D15,D15)-1</f>
        <v>5</v>
      </c>
      <c r="B15" s="14" t="s">
        <v>89</v>
      </c>
      <c r="C15" s="14" t="s">
        <v>90</v>
      </c>
      <c r="D15" s="14">
        <v>936</v>
      </c>
      <c r="E15" s="15" t="s">
        <v>91</v>
      </c>
      <c r="F15" s="14" t="s">
        <v>57</v>
      </c>
      <c r="G15" s="15" t="s">
        <v>92</v>
      </c>
      <c r="H15" s="16">
        <v>46195</v>
      </c>
      <c r="I15" s="14" t="s">
        <v>93</v>
      </c>
      <c r="J15" s="14"/>
      <c r="K15" s="15" t="s">
        <v>94</v>
      </c>
      <c r="L15" s="15" t="s">
        <v>72</v>
      </c>
      <c r="M15" s="15" t="s">
        <v>62</v>
      </c>
      <c r="N15" s="15" t="s">
        <v>63</v>
      </c>
      <c r="O15" s="15" t="s">
        <v>64</v>
      </c>
      <c r="P15" s="17" t="s">
        <v>65</v>
      </c>
      <c r="Q15" s="15" t="s">
        <v>66</v>
      </c>
    </row>
    <row r="16" spans="1:17" ht="54" customHeight="1">
      <c r="A16" s="18">
        <f>RANK.EQ(D16,$D$11:$D$29,1)+COUNTIF($D$11:D16,D16)-1</f>
        <v>6</v>
      </c>
      <c r="B16" s="18" t="s">
        <v>95</v>
      </c>
      <c r="C16" s="18" t="s">
        <v>96</v>
      </c>
      <c r="D16" s="18">
        <v>950</v>
      </c>
      <c r="E16" s="19" t="s">
        <v>97</v>
      </c>
      <c r="F16" s="18" t="s">
        <v>57</v>
      </c>
      <c r="G16" s="19" t="s">
        <v>98</v>
      </c>
      <c r="H16" s="20">
        <v>45384</v>
      </c>
      <c r="I16" s="18" t="s">
        <v>99</v>
      </c>
      <c r="J16" s="18"/>
      <c r="K16" s="19" t="s">
        <v>60</v>
      </c>
      <c r="L16" s="19" t="s">
        <v>87</v>
      </c>
      <c r="M16" s="19" t="s">
        <v>62</v>
      </c>
      <c r="N16" s="19" t="s">
        <v>63</v>
      </c>
      <c r="O16" s="19" t="s">
        <v>64</v>
      </c>
      <c r="P16" s="17" t="s">
        <v>65</v>
      </c>
      <c r="Q16" s="19" t="s">
        <v>66</v>
      </c>
    </row>
    <row r="17" spans="1:17" ht="54" customHeight="1">
      <c r="A17" s="14">
        <f>RANK.EQ(D17,$D$11:$D$29,1)+COUNTIF($D$11:D17,D17)-1</f>
        <v>7</v>
      </c>
      <c r="B17" s="14" t="s">
        <v>100</v>
      </c>
      <c r="C17" s="14" t="s">
        <v>101</v>
      </c>
      <c r="D17" s="14">
        <v>1285</v>
      </c>
      <c r="E17" s="15" t="s">
        <v>102</v>
      </c>
      <c r="F17" s="14" t="s">
        <v>57</v>
      </c>
      <c r="G17" s="15" t="s">
        <v>103</v>
      </c>
      <c r="H17" s="16">
        <v>45180</v>
      </c>
      <c r="I17" s="14" t="s">
        <v>104</v>
      </c>
      <c r="J17" s="14"/>
      <c r="K17" s="15" t="s">
        <v>105</v>
      </c>
      <c r="L17" s="15" t="s">
        <v>72</v>
      </c>
      <c r="M17" s="15" t="s">
        <v>62</v>
      </c>
      <c r="N17" s="15" t="s">
        <v>63</v>
      </c>
      <c r="O17" s="15" t="s">
        <v>106</v>
      </c>
      <c r="P17" s="17" t="s">
        <v>65</v>
      </c>
      <c r="Q17" s="15" t="s">
        <v>66</v>
      </c>
    </row>
    <row r="18" spans="1:17" ht="54" customHeight="1">
      <c r="A18" s="18">
        <f>RANK.EQ(D18,$D$11:$D$29,1)+COUNTIF($D$11:D18,D18)-1</f>
        <v>8</v>
      </c>
      <c r="B18" s="18" t="s">
        <v>107</v>
      </c>
      <c r="C18" s="18" t="s">
        <v>108</v>
      </c>
      <c r="D18" s="18">
        <v>1298</v>
      </c>
      <c r="E18" s="19" t="s">
        <v>109</v>
      </c>
      <c r="F18" s="18" t="s">
        <v>57</v>
      </c>
      <c r="G18" s="19" t="s">
        <v>110</v>
      </c>
      <c r="H18" s="20">
        <v>45844</v>
      </c>
      <c r="I18" s="18" t="s">
        <v>111</v>
      </c>
      <c r="J18" s="18"/>
      <c r="K18" s="19" t="s">
        <v>60</v>
      </c>
      <c r="L18" s="19" t="s">
        <v>61</v>
      </c>
      <c r="M18" s="19" t="s">
        <v>62</v>
      </c>
      <c r="N18" s="19" t="s">
        <v>63</v>
      </c>
      <c r="O18" s="19" t="s">
        <v>64</v>
      </c>
      <c r="P18" s="17" t="s">
        <v>65</v>
      </c>
      <c r="Q18" s="19" t="s">
        <v>66</v>
      </c>
    </row>
    <row r="19" spans="1:17" ht="54" customHeight="1">
      <c r="A19" s="14">
        <f>RANK.EQ(D19,$D$11:$D$29,1)+COUNTIF($D$11:D19,D19)-1</f>
        <v>9</v>
      </c>
      <c r="B19" s="14" t="s">
        <v>112</v>
      </c>
      <c r="C19" s="14" t="s">
        <v>113</v>
      </c>
      <c r="D19" s="14">
        <v>1598</v>
      </c>
      <c r="E19" s="15" t="s">
        <v>114</v>
      </c>
      <c r="F19" s="14" t="s">
        <v>57</v>
      </c>
      <c r="G19" s="15" t="s">
        <v>115</v>
      </c>
      <c r="H19" s="16">
        <v>45613</v>
      </c>
      <c r="I19" s="14" t="s">
        <v>116</v>
      </c>
      <c r="J19" s="14"/>
      <c r="K19" s="15" t="s">
        <v>60</v>
      </c>
      <c r="L19" s="15" t="s">
        <v>78</v>
      </c>
      <c r="M19" s="15" t="s">
        <v>62</v>
      </c>
      <c r="N19" s="15" t="s">
        <v>63</v>
      </c>
      <c r="O19" s="15" t="s">
        <v>64</v>
      </c>
      <c r="P19" s="17" t="s">
        <v>65</v>
      </c>
      <c r="Q19" s="15" t="s">
        <v>66</v>
      </c>
    </row>
    <row r="20" spans="1:17" ht="54" customHeight="1">
      <c r="A20" s="18">
        <f>RANK.EQ(D20,$D$11:$D$29,1)+COUNTIF($D$11:D20,D20)-1</f>
        <v>10</v>
      </c>
      <c r="B20" s="18" t="s">
        <v>117</v>
      </c>
      <c r="C20" s="18" t="s">
        <v>118</v>
      </c>
      <c r="D20" s="18">
        <v>1618</v>
      </c>
      <c r="E20" s="19" t="s">
        <v>119</v>
      </c>
      <c r="F20" s="18" t="s">
        <v>120</v>
      </c>
      <c r="G20" s="19" t="s">
        <v>121</v>
      </c>
      <c r="H20" s="20">
        <v>45048</v>
      </c>
      <c r="I20" s="18" t="s">
        <v>122</v>
      </c>
      <c r="J20" s="18" t="s">
        <v>123</v>
      </c>
      <c r="K20" s="19" t="s">
        <v>60</v>
      </c>
      <c r="L20" s="19" t="s">
        <v>124</v>
      </c>
      <c r="M20" s="19" t="s">
        <v>125</v>
      </c>
      <c r="N20" s="19" t="s">
        <v>63</v>
      </c>
      <c r="O20" s="19" t="s">
        <v>126</v>
      </c>
      <c r="P20" s="17" t="s">
        <v>65</v>
      </c>
      <c r="Q20" s="19" t="s">
        <v>66</v>
      </c>
    </row>
    <row r="21" spans="1:17" ht="54" customHeight="1">
      <c r="A21" s="14">
        <f>RANK.EQ(D21,$D$11:$D$29,1)+COUNTIF($D$11:D21,D21)-1</f>
        <v>11</v>
      </c>
      <c r="B21" s="14" t="s">
        <v>127</v>
      </c>
      <c r="C21" s="14" t="s">
        <v>128</v>
      </c>
      <c r="D21" s="14">
        <v>1838</v>
      </c>
      <c r="E21" s="15" t="s">
        <v>129</v>
      </c>
      <c r="F21" s="14" t="s">
        <v>57</v>
      </c>
      <c r="G21" s="15" t="s">
        <v>130</v>
      </c>
      <c r="H21" s="16">
        <v>45897</v>
      </c>
      <c r="I21" s="14" t="s">
        <v>131</v>
      </c>
      <c r="J21" s="14"/>
      <c r="K21" s="15" t="s">
        <v>105</v>
      </c>
      <c r="L21" s="15" t="s">
        <v>72</v>
      </c>
      <c r="M21" s="15" t="s">
        <v>62</v>
      </c>
      <c r="N21" s="15" t="s">
        <v>63</v>
      </c>
      <c r="O21" s="15" t="s">
        <v>64</v>
      </c>
      <c r="P21" s="17" t="s">
        <v>65</v>
      </c>
      <c r="Q21" s="15" t="s">
        <v>66</v>
      </c>
    </row>
    <row r="22" spans="1:17" ht="54" customHeight="1">
      <c r="A22" s="18">
        <f>RANK.EQ(D22,$D$11:$D$29,1)+COUNTIF($D$11:D22,D22)-1</f>
        <v>12</v>
      </c>
      <c r="B22" s="18" t="s">
        <v>132</v>
      </c>
      <c r="C22" s="18" t="s">
        <v>133</v>
      </c>
      <c r="D22" s="18">
        <v>1948</v>
      </c>
      <c r="E22" s="19" t="s">
        <v>134</v>
      </c>
      <c r="F22" s="18" t="s">
        <v>57</v>
      </c>
      <c r="G22" s="19" t="s">
        <v>135</v>
      </c>
      <c r="H22" s="20">
        <v>45403</v>
      </c>
      <c r="I22" s="18" t="s">
        <v>136</v>
      </c>
      <c r="J22" s="18"/>
      <c r="K22" s="19" t="s">
        <v>60</v>
      </c>
      <c r="L22" s="19" t="s">
        <v>78</v>
      </c>
      <c r="M22" s="19" t="s">
        <v>62</v>
      </c>
      <c r="N22" s="19" t="s">
        <v>63</v>
      </c>
      <c r="O22" s="19" t="s">
        <v>137</v>
      </c>
      <c r="P22" s="17" t="s">
        <v>65</v>
      </c>
      <c r="Q22" s="19" t="s">
        <v>66</v>
      </c>
    </row>
    <row r="23" spans="1:17" ht="54" customHeight="1">
      <c r="A23" s="14">
        <f>RANK.EQ(D23,$D$11:$D$29,1)+COUNTIF($D$11:D23,D23)-1</f>
        <v>13</v>
      </c>
      <c r="B23" s="14" t="s">
        <v>138</v>
      </c>
      <c r="C23" s="14" t="s">
        <v>139</v>
      </c>
      <c r="D23" s="14">
        <v>2044</v>
      </c>
      <c r="E23" s="15" t="s">
        <v>140</v>
      </c>
      <c r="F23" s="14" t="s">
        <v>57</v>
      </c>
      <c r="G23" s="15" t="s">
        <v>141</v>
      </c>
      <c r="H23" s="16">
        <v>45342</v>
      </c>
      <c r="I23" s="14" t="s">
        <v>142</v>
      </c>
      <c r="J23" s="14" t="s">
        <v>143</v>
      </c>
      <c r="K23" s="15" t="s">
        <v>86</v>
      </c>
      <c r="L23" s="15" t="s">
        <v>124</v>
      </c>
      <c r="M23" s="15" t="s">
        <v>144</v>
      </c>
      <c r="N23" s="15" t="s">
        <v>63</v>
      </c>
      <c r="O23" s="15" t="s">
        <v>145</v>
      </c>
      <c r="P23" s="17" t="s">
        <v>65</v>
      </c>
      <c r="Q23" s="15" t="s">
        <v>66</v>
      </c>
    </row>
    <row r="24" spans="1:17" ht="54" customHeight="1">
      <c r="A24" s="18">
        <f>RANK.EQ(D24,$D$11:$D$29,1)+COUNTIF($D$11:D24,D24)-1</f>
        <v>14</v>
      </c>
      <c r="B24" s="18" t="s">
        <v>146</v>
      </c>
      <c r="C24" s="18" t="s">
        <v>147</v>
      </c>
      <c r="D24" s="18">
        <v>2054</v>
      </c>
      <c r="E24" s="19" t="s">
        <v>148</v>
      </c>
      <c r="F24" s="18" t="s">
        <v>57</v>
      </c>
      <c r="G24" s="19" t="s">
        <v>149</v>
      </c>
      <c r="H24" s="20">
        <v>46023</v>
      </c>
      <c r="I24" s="18" t="s">
        <v>150</v>
      </c>
      <c r="J24" s="18"/>
      <c r="K24" s="19" t="s">
        <v>60</v>
      </c>
      <c r="L24" s="19" t="s">
        <v>87</v>
      </c>
      <c r="M24" s="19" t="s">
        <v>62</v>
      </c>
      <c r="N24" s="19" t="s">
        <v>63</v>
      </c>
      <c r="O24" s="19" t="s">
        <v>64</v>
      </c>
      <c r="P24" s="17" t="s">
        <v>65</v>
      </c>
      <c r="Q24" s="19" t="s">
        <v>66</v>
      </c>
    </row>
    <row r="25" spans="1:17" ht="54" customHeight="1">
      <c r="A25" s="14">
        <f>RANK.EQ(D25,$D$11:$D$29,1)+COUNTIF($D$11:D25,D25)-1</f>
        <v>15</v>
      </c>
      <c r="B25" s="14" t="s">
        <v>151</v>
      </c>
      <c r="C25" s="14" t="s">
        <v>152</v>
      </c>
      <c r="D25" s="14">
        <v>2094</v>
      </c>
      <c r="E25" s="15" t="s">
        <v>153</v>
      </c>
      <c r="F25" s="14" t="s">
        <v>57</v>
      </c>
      <c r="G25" s="15" t="s">
        <v>154</v>
      </c>
      <c r="H25" s="16">
        <v>45866</v>
      </c>
      <c r="I25" s="14" t="s">
        <v>155</v>
      </c>
      <c r="J25" s="14"/>
      <c r="K25" s="15" t="s">
        <v>94</v>
      </c>
      <c r="L25" s="15" t="s">
        <v>61</v>
      </c>
      <c r="M25" s="15" t="s">
        <v>62</v>
      </c>
      <c r="N25" s="15" t="s">
        <v>63</v>
      </c>
      <c r="O25" s="15" t="s">
        <v>64</v>
      </c>
      <c r="P25" s="17" t="s">
        <v>65</v>
      </c>
      <c r="Q25" s="15" t="s">
        <v>66</v>
      </c>
    </row>
    <row r="26" spans="1:17" ht="54" customHeight="1">
      <c r="A26" s="18">
        <f>RANK.EQ(D26,$D$11:$D$29,1)+COUNTIF($D$11:D26,D26)-1</f>
        <v>16</v>
      </c>
      <c r="B26" s="18" t="s">
        <v>156</v>
      </c>
      <c r="C26" s="18" t="s">
        <v>157</v>
      </c>
      <c r="D26" s="18">
        <v>2390</v>
      </c>
      <c r="E26" s="19" t="s">
        <v>158</v>
      </c>
      <c r="F26" s="18" t="s">
        <v>120</v>
      </c>
      <c r="G26" s="19" t="s">
        <v>159</v>
      </c>
      <c r="H26" s="20">
        <v>45601</v>
      </c>
      <c r="I26" s="18" t="s">
        <v>160</v>
      </c>
      <c r="J26" s="18" t="s">
        <v>161</v>
      </c>
      <c r="K26" s="19" t="s">
        <v>105</v>
      </c>
      <c r="L26" s="19" t="s">
        <v>124</v>
      </c>
      <c r="M26" s="19" t="s">
        <v>162</v>
      </c>
      <c r="N26" s="19" t="s">
        <v>63</v>
      </c>
      <c r="O26" s="19" t="s">
        <v>163</v>
      </c>
      <c r="P26" s="17" t="s">
        <v>65</v>
      </c>
      <c r="Q26" s="19" t="s">
        <v>66</v>
      </c>
    </row>
    <row r="27" spans="1:17" ht="54" customHeight="1">
      <c r="A27" s="14">
        <f>RANK.EQ(D27,$D$11:$D$29,1)+COUNTIF($D$11:D27,D27)-1</f>
        <v>17</v>
      </c>
      <c r="B27" s="14" t="s">
        <v>164</v>
      </c>
      <c r="C27" s="14" t="s">
        <v>165</v>
      </c>
      <c r="D27" s="14">
        <v>2523</v>
      </c>
      <c r="E27" s="15" t="s">
        <v>166</v>
      </c>
      <c r="F27" s="14" t="s">
        <v>57</v>
      </c>
      <c r="G27" s="15" t="s">
        <v>167</v>
      </c>
      <c r="H27" s="16">
        <v>45000</v>
      </c>
      <c r="I27" s="14" t="s">
        <v>168</v>
      </c>
      <c r="J27" s="14"/>
      <c r="K27" s="15" t="s">
        <v>60</v>
      </c>
      <c r="L27" s="15" t="s">
        <v>72</v>
      </c>
      <c r="M27" s="15" t="s">
        <v>62</v>
      </c>
      <c r="N27" s="15" t="s">
        <v>63</v>
      </c>
      <c r="O27" s="15" t="s">
        <v>169</v>
      </c>
      <c r="P27" s="17" t="s">
        <v>65</v>
      </c>
      <c r="Q27" s="15" t="s">
        <v>66</v>
      </c>
    </row>
    <row r="28" spans="1:17" ht="54" customHeight="1">
      <c r="A28" s="18">
        <f>RANK.EQ(D28,$D$11:$D$29,1)+COUNTIF($D$11:D28,D28)-1</f>
        <v>18</v>
      </c>
      <c r="B28" s="18" t="s">
        <v>170</v>
      </c>
      <c r="C28" s="18" t="s">
        <v>171</v>
      </c>
      <c r="D28" s="18">
        <v>2844</v>
      </c>
      <c r="E28" s="19" t="s">
        <v>172</v>
      </c>
      <c r="F28" s="18" t="s">
        <v>120</v>
      </c>
      <c r="G28" s="19" t="s">
        <v>173</v>
      </c>
      <c r="H28" s="20">
        <v>45185</v>
      </c>
      <c r="I28" s="18" t="s">
        <v>174</v>
      </c>
      <c r="J28" s="18"/>
      <c r="K28" s="19" t="s">
        <v>60</v>
      </c>
      <c r="L28" s="19" t="s">
        <v>87</v>
      </c>
      <c r="M28" s="19" t="s">
        <v>62</v>
      </c>
      <c r="N28" s="19" t="s">
        <v>63</v>
      </c>
      <c r="O28" s="19" t="s">
        <v>175</v>
      </c>
      <c r="P28" s="17" t="s">
        <v>65</v>
      </c>
      <c r="Q28" s="19" t="s">
        <v>66</v>
      </c>
    </row>
    <row r="29" spans="1:17" ht="54" customHeight="1">
      <c r="A29" s="14">
        <f>RANK.EQ(D29,$D$11:$D$29,1)+COUNTIF($D$11:D29,D29)-1</f>
        <v>19</v>
      </c>
      <c r="B29" s="14" t="s">
        <v>176</v>
      </c>
      <c r="C29" s="14" t="s">
        <v>177</v>
      </c>
      <c r="D29" s="14">
        <v>2896</v>
      </c>
      <c r="E29" s="15" t="s">
        <v>178</v>
      </c>
      <c r="F29" s="14" t="s">
        <v>57</v>
      </c>
      <c r="G29" s="15" t="s">
        <v>58</v>
      </c>
      <c r="H29" s="16">
        <v>46150</v>
      </c>
      <c r="I29" s="14" t="s">
        <v>85</v>
      </c>
      <c r="J29" s="14"/>
      <c r="K29" s="15" t="s">
        <v>60</v>
      </c>
      <c r="L29" s="15" t="s">
        <v>72</v>
      </c>
      <c r="M29" s="15" t="s">
        <v>62</v>
      </c>
      <c r="N29" s="15" t="s">
        <v>63</v>
      </c>
      <c r="O29" s="15" t="s">
        <v>179</v>
      </c>
      <c r="P29" s="17" t="s">
        <v>65</v>
      </c>
      <c r="Q29" s="15" t="s">
        <v>66</v>
      </c>
    </row>
    <row r="31" spans="1:17">
      <c r="A31" s="10" t="s">
        <v>180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</row>
  </sheetData>
  <autoFilter ref="A10:Q29"/>
  <mergeCells count="6">
    <mergeCell ref="A1:Q1"/>
    <mergeCell ref="A2:Q2"/>
    <mergeCell ref="A4:Q4"/>
    <mergeCell ref="O5:Q5"/>
    <mergeCell ref="A7:Q8"/>
    <mergeCell ref="A31:Q31"/>
  </mergeCells>
  <pageMargins left="0.35" right="0.35" top="0.45" bottom="0.55" header="0.3" footer="0.3"/>
  <pageSetup paperSize="3" orientation="landscape"/>
  <headerFooter>
    <oddHeader>&amp;LChaldale Harbor District&amp;CConfidential - Board Review&amp;RAs of 2026-08-01</oddHeader>
    <oddFooter>&amp;LSource-grounded audit&amp;CPage &amp;P of &amp;N&amp;RPrepared 2026-08-01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F766E"/>
    <pageSetUpPr fitToPage="1"/>
  </sheetPr>
  <dimension ref="A1:U1111"/>
  <sheetViews>
    <sheetView showGridLines="0" workbookViewId="0">
      <pane ySplit="25" topLeftCell="A26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11.7109375" customWidth="1"/>
    <col min="4" max="4" width="10.7109375" customWidth="1"/>
    <col min="5" max="5" width="18.7109375" customWidth="1"/>
    <col min="6" max="6" width="20.7109375" customWidth="1"/>
    <col min="7" max="7" width="18.7109375" customWidth="1"/>
    <col min="8" max="8" width="10.7109375" customWidth="1"/>
    <col min="9" max="9" width="12.7109375" customWidth="1"/>
    <col min="10" max="10" width="13.7109375" customWidth="1"/>
    <col min="11" max="11" width="12.7109375" customWidth="1"/>
    <col min="12" max="12" width="20.7109375" customWidth="1"/>
    <col min="13" max="14" width="11.7109375" customWidth="1"/>
    <col min="15" max="16" width="14.7109375" customWidth="1"/>
    <col min="17" max="17" width="12.7109375" customWidth="1"/>
    <col min="18" max="18" width="13.7109375" customWidth="1"/>
    <col min="19" max="19" width="14.7109375" customWidth="1"/>
    <col min="20" max="20" width="22.7109375" customWidth="1"/>
    <col min="21" max="21" width="41.7109375" customWidth="1"/>
  </cols>
  <sheetData>
    <row r="1" spans="1:21" ht="28" customHeight="1">
      <c r="A1" s="1" t="s">
        <v>181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2" t="s">
        <v>182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spans="1:21">
      <c r="A4" s="3" t="s">
        <v>183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6" spans="1:21">
      <c r="A6" s="12" t="s">
        <v>184</v>
      </c>
      <c r="B6" s="12" t="s">
        <v>185</v>
      </c>
      <c r="C6" s="12" t="s">
        <v>186</v>
      </c>
      <c r="D6" s="12" t="s">
        <v>187</v>
      </c>
      <c r="E6" s="12" t="s">
        <v>188</v>
      </c>
      <c r="F6" s="12" t="s">
        <v>189</v>
      </c>
      <c r="G6" s="12" t="s">
        <v>190</v>
      </c>
    </row>
    <row r="7" spans="1:21">
      <c r="A7" s="14" t="s">
        <v>191</v>
      </c>
      <c r="B7" s="21">
        <f>COUNTIF($B$26:$B$1111,A7)</f>
        <v>241</v>
      </c>
      <c r="C7" s="21">
        <f>COUNTIFS($B$26:$B$1111,A7,$L$26:$L$1111,"&lt;&gt;")</f>
        <v>241</v>
      </c>
      <c r="D7" s="21">
        <f>C7-B7</f>
        <v>0</v>
      </c>
      <c r="E7" s="22">
        <f>SUMIF($B$26:$B$1111,A7,$O$26:$O$1111)</f>
        <v>106340.0</v>
      </c>
      <c r="F7" s="22">
        <f>SUMIF($B$26:$B$1111,A7,$P$26:$P$1111)</f>
        <v>106340.0</v>
      </c>
      <c r="G7" s="22">
        <f>SUMIF($B$26:$B$1111,A7,$S$26:$S$1111)</f>
        <v>0.0</v>
      </c>
    </row>
    <row r="8" spans="1:21">
      <c r="A8" s="14" t="s">
        <v>192</v>
      </c>
      <c r="B8" s="21">
        <f>COUNTIF($B$26:$B$1111,A8)</f>
        <v>227</v>
      </c>
      <c r="C8" s="21">
        <f>COUNTIFS($B$26:$B$1111,A8,$L$26:$L$1111,"&lt;&gt;")</f>
        <v>227</v>
      </c>
      <c r="D8" s="21">
        <f>C8-B8</f>
        <v>0</v>
      </c>
      <c r="E8" s="22">
        <f>SUMIF($B$26:$B$1111,A8,$O$26:$O$1111)</f>
        <v>101264.8</v>
      </c>
      <c r="F8" s="22">
        <f>SUMIF($B$26:$B$1111,A8,$P$26:$P$1111)</f>
        <v>101264.8</v>
      </c>
      <c r="G8" s="22">
        <f>SUMIF($B$26:$B$1111,A8,$S$26:$S$1111)</f>
        <v>0.0</v>
      </c>
    </row>
    <row r="9" spans="1:21">
      <c r="A9" s="14" t="s">
        <v>193</v>
      </c>
      <c r="B9" s="21">
        <f>COUNTIF($B$26:$B$1111,A9)</f>
        <v>215</v>
      </c>
      <c r="C9" s="21">
        <f>COUNTIFS($B$26:$B$1111,A9,$L$26:$L$1111,"&lt;&gt;")</f>
        <v>215</v>
      </c>
      <c r="D9" s="21">
        <f>C9-B9</f>
        <v>0</v>
      </c>
      <c r="E9" s="22">
        <f>SUMIF($B$26:$B$1111,A9,$O$26:$O$1111)</f>
        <v>79569.45</v>
      </c>
      <c r="F9" s="22">
        <f>SUMIF($B$26:$B$1111,A9,$P$26:$P$1111)</f>
        <v>79569.45</v>
      </c>
      <c r="G9" s="22">
        <f>SUMIF($B$26:$B$1111,A9,$S$26:$S$1111)</f>
        <v>0.0</v>
      </c>
    </row>
    <row r="10" spans="1:21">
      <c r="A10" s="14" t="s">
        <v>194</v>
      </c>
      <c r="B10" s="21">
        <f>COUNTIF($B$26:$B$1111,A10)</f>
        <v>213</v>
      </c>
      <c r="C10" s="21">
        <f>COUNTIFS($B$26:$B$1111,A10,$L$26:$L$1111,"&lt;&gt;")</f>
        <v>86</v>
      </c>
      <c r="D10" s="21">
        <f>C10-B10</f>
        <v>-127</v>
      </c>
      <c r="E10" s="22">
        <f>SUMIF($B$26:$B$1111,A10,$O$26:$O$1111)</f>
        <v>32585.8</v>
      </c>
      <c r="F10" s="22">
        <f>SUMIF($B$26:$B$1111,A10,$P$26:$P$1111)</f>
        <v>82347.85</v>
      </c>
      <c r="G10" s="22">
        <f>SUMIF($B$26:$B$1111,A10,$S$26:$S$1111)</f>
        <v>-49762.05</v>
      </c>
    </row>
    <row r="11" spans="1:21">
      <c r="A11" s="14" t="s">
        <v>195</v>
      </c>
      <c r="B11" s="21">
        <f>COUNTIF($B$26:$B$1111,A11)</f>
        <v>190</v>
      </c>
      <c r="C11" s="21">
        <f>COUNTIFS($B$26:$B$1111,A11,$L$26:$L$1111,"&lt;&gt;")</f>
        <v>0</v>
      </c>
      <c r="D11" s="21">
        <f>C11-B11</f>
        <v>-190</v>
      </c>
      <c r="E11" s="22">
        <f>SUMIF($B$26:$B$1111,A11,$O$26:$O$1111)</f>
        <v>0.0</v>
      </c>
      <c r="F11" s="22">
        <f>SUMIF($B$26:$B$1111,A11,$P$26:$P$1111)</f>
        <v>70396.2</v>
      </c>
      <c r="G11" s="22">
        <f>SUMIF($B$26:$B$1111,A11,$S$26:$S$1111)</f>
        <v>-70396.2</v>
      </c>
    </row>
    <row r="12" spans="1:21">
      <c r="A12" s="4" t="s">
        <v>196</v>
      </c>
      <c r="B12" s="4">
        <f>SUM(B7:B11)</f>
        <v>1086</v>
      </c>
      <c r="C12" s="4">
        <f>SUM(C7:C11)</f>
        <v>769</v>
      </c>
      <c r="D12" s="4">
        <f>C12-B12</f>
        <v>-317</v>
      </c>
      <c r="E12" s="23">
        <f>SUM(E7:E11)</f>
        <v>319760.05</v>
      </c>
      <c r="F12" s="23">
        <f>SUM(F7:F11)</f>
        <v>439918.3</v>
      </c>
      <c r="G12" s="23">
        <f>SUM(G7:G11)</f>
        <v>-120158.25</v>
      </c>
    </row>
    <row r="14" spans="1:21">
      <c r="A14" s="7" t="s">
        <v>197</v>
      </c>
      <c r="B14" s="7"/>
      <c r="C14" s="7"/>
      <c r="D14" s="7"/>
      <c r="E14" s="7"/>
      <c r="F14" s="7"/>
      <c r="G14" s="7"/>
    </row>
    <row r="15" spans="1:21">
      <c r="A15" s="9" t="s">
        <v>198</v>
      </c>
      <c r="B15" s="9"/>
      <c r="C15" s="9"/>
      <c r="D15" s="9"/>
      <c r="E15" s="9"/>
      <c r="F15" s="9"/>
      <c r="G15" s="9"/>
    </row>
    <row r="16" spans="1:21">
      <c r="A16" s="9"/>
      <c r="B16" s="9"/>
      <c r="C16" s="9"/>
      <c r="D16" s="9"/>
      <c r="E16" s="9"/>
      <c r="F16" s="9"/>
      <c r="G16" s="9"/>
    </row>
    <row r="17" spans="1:21">
      <c r="A17" s="12" t="s">
        <v>199</v>
      </c>
      <c r="B17" s="12"/>
      <c r="C17" s="12" t="s">
        <v>200</v>
      </c>
      <c r="D17" s="12" t="s">
        <v>201</v>
      </c>
      <c r="E17" s="12"/>
      <c r="F17" s="12"/>
      <c r="G17" s="12"/>
    </row>
    <row r="18" spans="1:21" ht="31" customHeight="1">
      <c r="A18" s="14" t="s">
        <v>202</v>
      </c>
      <c r="B18" s="14"/>
      <c r="C18" s="14" t="s">
        <v>203</v>
      </c>
      <c r="D18" s="15" t="s">
        <v>204</v>
      </c>
      <c r="E18" s="15"/>
      <c r="F18" s="15"/>
      <c r="G18" s="15"/>
    </row>
    <row r="19" spans="1:21" ht="31" customHeight="1">
      <c r="A19" s="14" t="s">
        <v>205</v>
      </c>
      <c r="B19" s="14"/>
      <c r="C19" s="14" t="s">
        <v>206</v>
      </c>
      <c r="D19" s="15" t="s">
        <v>207</v>
      </c>
      <c r="E19" s="15"/>
      <c r="F19" s="15"/>
      <c r="G19" s="15"/>
    </row>
    <row r="20" spans="1:21">
      <c r="A20" s="10" t="s">
        <v>208</v>
      </c>
      <c r="B20" s="10"/>
      <c r="C20" s="10"/>
      <c r="D20" s="10"/>
      <c r="E20" s="10"/>
      <c r="F20" s="10"/>
      <c r="G20" s="10"/>
    </row>
    <row r="21" spans="1:21">
      <c r="A21" s="10"/>
      <c r="B21" s="10"/>
      <c r="C21" s="10"/>
      <c r="D21" s="10"/>
      <c r="E21" s="10"/>
      <c r="F21" s="10"/>
      <c r="G21" s="10"/>
    </row>
    <row r="22" spans="1:21">
      <c r="A22" s="10"/>
      <c r="B22" s="10"/>
      <c r="C22" s="10"/>
      <c r="D22" s="10"/>
      <c r="E22" s="10"/>
      <c r="F22" s="10"/>
      <c r="G22" s="10"/>
    </row>
    <row r="25" spans="1:21" ht="34" customHeight="1">
      <c r="A25" s="13" t="s">
        <v>209</v>
      </c>
      <c r="B25" s="13" t="s">
        <v>184</v>
      </c>
      <c r="C25" s="13" t="s">
        <v>210</v>
      </c>
      <c r="D25" s="13" t="s">
        <v>211</v>
      </c>
      <c r="E25" s="13" t="s">
        <v>212</v>
      </c>
      <c r="F25" s="13" t="s">
        <v>213</v>
      </c>
      <c r="G25" s="13" t="s">
        <v>43</v>
      </c>
      <c r="H25" s="12" t="s">
        <v>214</v>
      </c>
      <c r="I25" s="12" t="s">
        <v>215</v>
      </c>
      <c r="J25" s="12" t="s">
        <v>216</v>
      </c>
      <c r="K25" s="12" t="s">
        <v>217</v>
      </c>
      <c r="L25" s="13" t="s">
        <v>218</v>
      </c>
      <c r="M25" s="12" t="s">
        <v>219</v>
      </c>
      <c r="N25" s="12" t="s">
        <v>220</v>
      </c>
      <c r="O25" s="12" t="s">
        <v>188</v>
      </c>
      <c r="P25" s="12" t="s">
        <v>189</v>
      </c>
      <c r="Q25" s="12" t="s">
        <v>221</v>
      </c>
      <c r="R25" s="12" t="s">
        <v>222</v>
      </c>
      <c r="S25" s="12" t="s">
        <v>190</v>
      </c>
      <c r="T25" s="13" t="s">
        <v>223</v>
      </c>
      <c r="U25" s="13" t="s">
        <v>224</v>
      </c>
    </row>
    <row r="26" spans="1:21" ht="28" customHeight="1">
      <c r="A26" s="14" t="s">
        <v>225</v>
      </c>
      <c r="B26" s="14" t="s">
        <v>193</v>
      </c>
      <c r="C26" s="14" t="s">
        <v>226</v>
      </c>
      <c r="D26" s="14" t="s">
        <v>227</v>
      </c>
      <c r="E26" s="14" t="s">
        <v>228</v>
      </c>
      <c r="F26" s="15" t="s">
        <v>229</v>
      </c>
      <c r="G26" s="15" t="s">
        <v>230</v>
      </c>
      <c r="H26" s="24">
        <v>80</v>
      </c>
      <c r="I26" s="24">
        <v>29.3</v>
      </c>
      <c r="J26" s="24">
        <f>MAX(H26,ROUNDUP(I26,0))</f>
        <v>80.0</v>
      </c>
      <c r="K26" s="22">
        <f>IF(C26="covered",10.4,7.55)</f>
        <v>7.55</v>
      </c>
      <c r="L26" s="14" t="s">
        <v>231</v>
      </c>
      <c r="M26" s="24">
        <v>80</v>
      </c>
      <c r="N26" s="22">
        <v>7.55</v>
      </c>
      <c r="O26" s="22">
        <v>604</v>
      </c>
      <c r="P26" s="22">
        <f>J26*K26</f>
        <v>604.0</v>
      </c>
      <c r="Q26" s="22">
        <f>IF(L26="","",N26-K26)</f>
        <v>0.0</v>
      </c>
      <c r="R26" s="24">
        <f>IF(L26="","",M26-J26)</f>
        <v>0.0</v>
      </c>
      <c r="S26" s="22">
        <f>IF(L26="",-P26,O26-P26)</f>
        <v>0.0</v>
      </c>
      <c r="T26" s="11" t="str">
        <f>IF(L26="","NO BILL IN SUPPLIED EXPORT",IF(ABS(Q26)&gt;0.001,"RATE EXCEPTION",IF(ABS(R26)&gt;0.001,"LENGTH EXCEPTION",IF(ABS(S26)&gt;0.01,"AMOUNT EXCEPTION","OK"))))</f>
        <v>OK</v>
      </c>
      <c r="U26" s="15" t="s">
        <v>232</v>
      </c>
    </row>
    <row r="27" spans="1:21" ht="28" customHeight="1">
      <c r="A27" s="18" t="s">
        <v>233</v>
      </c>
      <c r="B27" s="18" t="s">
        <v>193</v>
      </c>
      <c r="C27" s="18" t="s">
        <v>226</v>
      </c>
      <c r="D27" s="18" t="s">
        <v>227</v>
      </c>
      <c r="E27" s="18" t="s">
        <v>234</v>
      </c>
      <c r="F27" s="19" t="s">
        <v>235</v>
      </c>
      <c r="G27" s="19" t="s">
        <v>236</v>
      </c>
      <c r="H27" s="24">
        <v>24</v>
      </c>
      <c r="I27" s="24">
        <v>55.3</v>
      </c>
      <c r="J27" s="24">
        <f>MAX(H27,ROUNDUP(I27,0))</f>
        <v>56</v>
      </c>
      <c r="K27" s="22">
        <f>IF(C27="covered",10.4,7.55)</f>
        <v>7.55</v>
      </c>
      <c r="L27" s="18" t="s">
        <v>237</v>
      </c>
      <c r="M27" s="24">
        <v>56</v>
      </c>
      <c r="N27" s="22">
        <v>7.55</v>
      </c>
      <c r="O27" s="22">
        <v>422.8</v>
      </c>
      <c r="P27" s="22">
        <f>J27*K27</f>
        <v>422.8</v>
      </c>
      <c r="Q27" s="22">
        <f>IF(L27="","",N27-K27)</f>
        <v>0.0</v>
      </c>
      <c r="R27" s="24">
        <f>IF(L27="","",M27-J27)</f>
        <v>0.0</v>
      </c>
      <c r="S27" s="22">
        <f>IF(L27="",-P27,O27-P27)</f>
        <v>0.0</v>
      </c>
      <c r="T27" s="11" t="str">
        <f>IF(L27="","NO BILL IN SUPPLIED EXPORT",IF(ABS(Q27)&gt;0.001,"RATE EXCEPTION",IF(ABS(R27)&gt;0.001,"LENGTH EXCEPTION",IF(ABS(S27)&gt;0.01,"AMOUNT EXCEPTION","OK"))))</f>
        <v>OK</v>
      </c>
      <c r="U27" s="19" t="s">
        <v>238</v>
      </c>
    </row>
    <row r="28" spans="1:21" ht="28" customHeight="1">
      <c r="A28" s="14" t="s">
        <v>239</v>
      </c>
      <c r="B28" s="14" t="s">
        <v>193</v>
      </c>
      <c r="C28" s="14" t="s">
        <v>226</v>
      </c>
      <c r="D28" s="14" t="s">
        <v>227</v>
      </c>
      <c r="E28" s="14" t="s">
        <v>240</v>
      </c>
      <c r="F28" s="15" t="s">
        <v>241</v>
      </c>
      <c r="G28" s="15" t="s">
        <v>242</v>
      </c>
      <c r="H28" s="24">
        <v>36</v>
      </c>
      <c r="I28" s="24">
        <v>42.6</v>
      </c>
      <c r="J28" s="24">
        <f>MAX(H28,ROUNDUP(I28,0))</f>
        <v>43</v>
      </c>
      <c r="K28" s="22">
        <f>IF(C28="covered",10.4,7.55)</f>
        <v>7.55</v>
      </c>
      <c r="L28" s="14" t="s">
        <v>243</v>
      </c>
      <c r="M28" s="24">
        <v>43</v>
      </c>
      <c r="N28" s="22">
        <v>7.55</v>
      </c>
      <c r="O28" s="22">
        <v>324.65</v>
      </c>
      <c r="P28" s="22">
        <f>J28*K28</f>
        <v>324.65</v>
      </c>
      <c r="Q28" s="22">
        <f>IF(L28="","",N28-K28)</f>
        <v>0.0</v>
      </c>
      <c r="R28" s="24">
        <f>IF(L28="","",M28-J28)</f>
        <v>0.0</v>
      </c>
      <c r="S28" s="22">
        <f>IF(L28="",-P28,O28-P28)</f>
        <v>0.0</v>
      </c>
      <c r="T28" s="11" t="str">
        <f>IF(L28="","NO BILL IN SUPPLIED EXPORT",IF(ABS(Q28)&gt;0.001,"RATE EXCEPTION",IF(ABS(R28)&gt;0.001,"LENGTH EXCEPTION",IF(ABS(S28)&gt;0.01,"AMOUNT EXCEPTION","OK"))))</f>
        <v>OK</v>
      </c>
      <c r="U28" s="15" t="s">
        <v>244</v>
      </c>
    </row>
    <row r="29" spans="1:21" ht="28" customHeight="1">
      <c r="A29" s="18" t="s">
        <v>245</v>
      </c>
      <c r="B29" s="18" t="s">
        <v>193</v>
      </c>
      <c r="C29" s="18" t="s">
        <v>226</v>
      </c>
      <c r="D29" s="18" t="s">
        <v>227</v>
      </c>
      <c r="E29" s="18" t="s">
        <v>246</v>
      </c>
      <c r="F29" s="19" t="s">
        <v>247</v>
      </c>
      <c r="G29" s="19" t="s">
        <v>248</v>
      </c>
      <c r="H29" s="24">
        <v>36</v>
      </c>
      <c r="I29" s="24">
        <v>60.2</v>
      </c>
      <c r="J29" s="24">
        <f>MAX(H29,ROUNDUP(I29,0))</f>
        <v>61</v>
      </c>
      <c r="K29" s="22">
        <f>IF(C29="covered",10.4,7.55)</f>
        <v>7.55</v>
      </c>
      <c r="L29" s="18" t="s">
        <v>249</v>
      </c>
      <c r="M29" s="24">
        <v>61</v>
      </c>
      <c r="N29" s="22">
        <v>7.55</v>
      </c>
      <c r="O29" s="22">
        <v>460.55</v>
      </c>
      <c r="P29" s="22">
        <f>J29*K29</f>
        <v>460.55</v>
      </c>
      <c r="Q29" s="22">
        <f>IF(L29="","",N29-K29)</f>
        <v>0.0</v>
      </c>
      <c r="R29" s="24">
        <f>IF(L29="","",M29-J29)</f>
        <v>0.0</v>
      </c>
      <c r="S29" s="22">
        <f>IF(L29="",-P29,O29-P29)</f>
        <v>0.0</v>
      </c>
      <c r="T29" s="11" t="str">
        <f>IF(L29="","NO BILL IN SUPPLIED EXPORT",IF(ABS(Q29)&gt;0.001,"RATE EXCEPTION",IF(ABS(R29)&gt;0.001,"LENGTH EXCEPTION",IF(ABS(S29)&gt;0.01,"AMOUNT EXCEPTION","OK"))))</f>
        <v>OK</v>
      </c>
      <c r="U29" s="19" t="s">
        <v>250</v>
      </c>
    </row>
    <row r="30" spans="1:21" ht="28" customHeight="1">
      <c r="A30" s="14" t="s">
        <v>251</v>
      </c>
      <c r="B30" s="14" t="s">
        <v>193</v>
      </c>
      <c r="C30" s="14" t="s">
        <v>226</v>
      </c>
      <c r="D30" s="14" t="s">
        <v>227</v>
      </c>
      <c r="E30" s="14" t="s">
        <v>252</v>
      </c>
      <c r="F30" s="15" t="s">
        <v>253</v>
      </c>
      <c r="G30" s="15" t="s">
        <v>254</v>
      </c>
      <c r="H30" s="24">
        <v>45</v>
      </c>
      <c r="I30" s="24">
        <v>47.5</v>
      </c>
      <c r="J30" s="24">
        <f>MAX(H30,ROUNDUP(I30,0))</f>
        <v>48</v>
      </c>
      <c r="K30" s="22">
        <f>IF(C30="covered",10.4,7.55)</f>
        <v>7.55</v>
      </c>
      <c r="L30" s="14" t="s">
        <v>255</v>
      </c>
      <c r="M30" s="24">
        <v>48</v>
      </c>
      <c r="N30" s="22">
        <v>7.55</v>
      </c>
      <c r="O30" s="22">
        <v>362.4</v>
      </c>
      <c r="P30" s="22">
        <f>J30*K30</f>
        <v>362.4</v>
      </c>
      <c r="Q30" s="22">
        <f>IF(L30="","",N30-K30)</f>
        <v>0.0</v>
      </c>
      <c r="R30" s="24">
        <f>IF(L30="","",M30-J30)</f>
        <v>0.0</v>
      </c>
      <c r="S30" s="22">
        <f>IF(L30="",-P30,O30-P30)</f>
        <v>0.0</v>
      </c>
      <c r="T30" s="11" t="str">
        <f>IF(L30="","NO BILL IN SUPPLIED EXPORT",IF(ABS(Q30)&gt;0.001,"RATE EXCEPTION",IF(ABS(R30)&gt;0.001,"LENGTH EXCEPTION",IF(ABS(S30)&gt;0.01,"AMOUNT EXCEPTION","OK"))))</f>
        <v>OK</v>
      </c>
      <c r="U30" s="15" t="s">
        <v>256</v>
      </c>
    </row>
    <row r="31" spans="1:21" ht="28" customHeight="1">
      <c r="A31" s="18" t="s">
        <v>104</v>
      </c>
      <c r="B31" s="18" t="s">
        <v>193</v>
      </c>
      <c r="C31" s="18" t="s">
        <v>226</v>
      </c>
      <c r="D31" s="18" t="s">
        <v>227</v>
      </c>
      <c r="E31" s="18" t="s">
        <v>257</v>
      </c>
      <c r="F31" s="19" t="s">
        <v>258</v>
      </c>
      <c r="G31" s="19" t="s">
        <v>259</v>
      </c>
      <c r="H31" s="24">
        <v>28</v>
      </c>
      <c r="I31" s="24">
        <v>23.7</v>
      </c>
      <c r="J31" s="24">
        <f>MAX(H31,ROUNDUP(I31,0))</f>
        <v>28.0</v>
      </c>
      <c r="K31" s="22">
        <f>IF(C31="covered",10.4,7.55)</f>
        <v>7.55</v>
      </c>
      <c r="L31" s="18" t="s">
        <v>260</v>
      </c>
      <c r="M31" s="24">
        <v>28</v>
      </c>
      <c r="N31" s="22">
        <v>7.55</v>
      </c>
      <c r="O31" s="22">
        <v>211.4</v>
      </c>
      <c r="P31" s="22">
        <f>J31*K31</f>
        <v>211.4</v>
      </c>
      <c r="Q31" s="22">
        <f>IF(L31="","",N31-K31)</f>
        <v>0.0</v>
      </c>
      <c r="R31" s="24">
        <f>IF(L31="","",M31-J31)</f>
        <v>0.0</v>
      </c>
      <c r="S31" s="22">
        <f>IF(L31="",-P31,O31-P31)</f>
        <v>0.0</v>
      </c>
      <c r="T31" s="11" t="str">
        <f>IF(L31="","NO BILL IN SUPPLIED EXPORT",IF(ABS(Q31)&gt;0.001,"RATE EXCEPTION",IF(ABS(R31)&gt;0.001,"LENGTH EXCEPTION",IF(ABS(S31)&gt;0.01,"AMOUNT EXCEPTION","OK"))))</f>
        <v>OK</v>
      </c>
      <c r="U31" s="19" t="s">
        <v>261</v>
      </c>
    </row>
    <row r="32" spans="1:21" ht="28" customHeight="1">
      <c r="A32" s="14" t="s">
        <v>262</v>
      </c>
      <c r="B32" s="14" t="s">
        <v>193</v>
      </c>
      <c r="C32" s="14" t="s">
        <v>226</v>
      </c>
      <c r="D32" s="14" t="s">
        <v>227</v>
      </c>
      <c r="E32" s="14" t="s">
        <v>263</v>
      </c>
      <c r="F32" s="15" t="s">
        <v>264</v>
      </c>
      <c r="G32" s="15" t="s">
        <v>265</v>
      </c>
      <c r="H32" s="24">
        <v>40</v>
      </c>
      <c r="I32" s="24">
        <v>59.3</v>
      </c>
      <c r="J32" s="24">
        <f>MAX(H32,ROUNDUP(I32,0))</f>
        <v>60</v>
      </c>
      <c r="K32" s="22">
        <f>IF(C32="covered",10.4,7.55)</f>
        <v>7.55</v>
      </c>
      <c r="L32" s="14" t="s">
        <v>266</v>
      </c>
      <c r="M32" s="24">
        <v>60</v>
      </c>
      <c r="N32" s="22">
        <v>7.55</v>
      </c>
      <c r="O32" s="22">
        <v>453</v>
      </c>
      <c r="P32" s="22">
        <f>J32*K32</f>
        <v>453.0</v>
      </c>
      <c r="Q32" s="22">
        <f>IF(L32="","",N32-K32)</f>
        <v>0.0</v>
      </c>
      <c r="R32" s="24">
        <f>IF(L32="","",M32-J32)</f>
        <v>0.0</v>
      </c>
      <c r="S32" s="22">
        <f>IF(L32="",-P32,O32-P32)</f>
        <v>0.0</v>
      </c>
      <c r="T32" s="11" t="str">
        <f>IF(L32="","NO BILL IN SUPPLIED EXPORT",IF(ABS(Q32)&gt;0.001,"RATE EXCEPTION",IF(ABS(R32)&gt;0.001,"LENGTH EXCEPTION",IF(ABS(S32)&gt;0.01,"AMOUNT EXCEPTION","OK"))))</f>
        <v>OK</v>
      </c>
      <c r="U32" s="15" t="s">
        <v>267</v>
      </c>
    </row>
    <row r="33" spans="1:21" ht="28" customHeight="1">
      <c r="A33" s="18" t="s">
        <v>174</v>
      </c>
      <c r="B33" s="18" t="s">
        <v>193</v>
      </c>
      <c r="C33" s="18" t="s">
        <v>226</v>
      </c>
      <c r="D33" s="18" t="s">
        <v>227</v>
      </c>
      <c r="E33" s="18" t="s">
        <v>268</v>
      </c>
      <c r="F33" s="19" t="s">
        <v>269</v>
      </c>
      <c r="G33" s="19" t="s">
        <v>270</v>
      </c>
      <c r="H33" s="24">
        <v>60</v>
      </c>
      <c r="I33" s="24">
        <v>30.9</v>
      </c>
      <c r="J33" s="24">
        <f>MAX(H33,ROUNDUP(I33,0))</f>
        <v>60.0</v>
      </c>
      <c r="K33" s="22">
        <f>IF(C33="covered",10.4,7.55)</f>
        <v>7.55</v>
      </c>
      <c r="L33" s="18" t="s">
        <v>271</v>
      </c>
      <c r="M33" s="24">
        <v>60</v>
      </c>
      <c r="N33" s="22">
        <v>7.55</v>
      </c>
      <c r="O33" s="22">
        <v>453</v>
      </c>
      <c r="P33" s="22">
        <f>J33*K33</f>
        <v>453.0</v>
      </c>
      <c r="Q33" s="22">
        <f>IF(L33="","",N33-K33)</f>
        <v>0.0</v>
      </c>
      <c r="R33" s="24">
        <f>IF(L33="","",M33-J33)</f>
        <v>0.0</v>
      </c>
      <c r="S33" s="22">
        <f>IF(L33="",-P33,O33-P33)</f>
        <v>0.0</v>
      </c>
      <c r="T33" s="11" t="str">
        <f>IF(L33="","NO BILL IN SUPPLIED EXPORT",IF(ABS(Q33)&gt;0.001,"RATE EXCEPTION",IF(ABS(R33)&gt;0.001,"LENGTH EXCEPTION",IF(ABS(S33)&gt;0.01,"AMOUNT EXCEPTION","OK"))))</f>
        <v>OK</v>
      </c>
      <c r="U33" s="19" t="s">
        <v>272</v>
      </c>
    </row>
    <row r="34" spans="1:21" ht="28" customHeight="1">
      <c r="A34" s="14" t="s">
        <v>273</v>
      </c>
      <c r="B34" s="14" t="s">
        <v>193</v>
      </c>
      <c r="C34" s="14" t="s">
        <v>226</v>
      </c>
      <c r="D34" s="14" t="s">
        <v>227</v>
      </c>
      <c r="E34" s="14" t="s">
        <v>274</v>
      </c>
      <c r="F34" s="15" t="s">
        <v>275</v>
      </c>
      <c r="G34" s="15" t="s">
        <v>276</v>
      </c>
      <c r="H34" s="24">
        <v>28</v>
      </c>
      <c r="I34" s="24">
        <v>36.3</v>
      </c>
      <c r="J34" s="24">
        <f>MAX(H34,ROUNDUP(I34,0))</f>
        <v>37</v>
      </c>
      <c r="K34" s="22">
        <f>IF(C34="covered",10.4,7.55)</f>
        <v>7.55</v>
      </c>
      <c r="L34" s="14" t="s">
        <v>277</v>
      </c>
      <c r="M34" s="24">
        <v>37</v>
      </c>
      <c r="N34" s="22">
        <v>7.55</v>
      </c>
      <c r="O34" s="22">
        <v>279.35</v>
      </c>
      <c r="P34" s="22">
        <f>J34*K34</f>
        <v>279.34999999999997</v>
      </c>
      <c r="Q34" s="22">
        <f>IF(L34="","",N34-K34)</f>
        <v>0.0</v>
      </c>
      <c r="R34" s="24">
        <f>IF(L34="","",M34-J34)</f>
        <v>0.0</v>
      </c>
      <c r="S34" s="22">
        <f>IF(L34="",-P34,O34-P34)</f>
        <v>5.684341886080802e-14</v>
      </c>
      <c r="T34" s="11" t="str">
        <f>IF(L34="","NO BILL IN SUPPLIED EXPORT",IF(ABS(Q34)&gt;0.001,"RATE EXCEPTION",IF(ABS(R34)&gt;0.001,"LENGTH EXCEPTION",IF(ABS(S34)&gt;0.01,"AMOUNT EXCEPTION","OK"))))</f>
        <v>OK</v>
      </c>
      <c r="U34" s="15" t="s">
        <v>278</v>
      </c>
    </row>
    <row r="35" spans="1:21" ht="28" customHeight="1">
      <c r="A35" s="18" t="s">
        <v>279</v>
      </c>
      <c r="B35" s="18" t="s">
        <v>193</v>
      </c>
      <c r="C35" s="18" t="s">
        <v>226</v>
      </c>
      <c r="D35" s="18" t="s">
        <v>227</v>
      </c>
      <c r="E35" s="18" t="s">
        <v>280</v>
      </c>
      <c r="F35" s="19" t="s">
        <v>281</v>
      </c>
      <c r="G35" s="19" t="s">
        <v>282</v>
      </c>
      <c r="H35" s="24">
        <v>28</v>
      </c>
      <c r="I35" s="24">
        <v>43.9</v>
      </c>
      <c r="J35" s="24">
        <f>MAX(H35,ROUNDUP(I35,0))</f>
        <v>44</v>
      </c>
      <c r="K35" s="22">
        <f>IF(C35="covered",10.4,7.55)</f>
        <v>7.55</v>
      </c>
      <c r="L35" s="18" t="s">
        <v>283</v>
      </c>
      <c r="M35" s="24">
        <v>44</v>
      </c>
      <c r="N35" s="22">
        <v>7.55</v>
      </c>
      <c r="O35" s="22">
        <v>332.2</v>
      </c>
      <c r="P35" s="22">
        <f>J35*K35</f>
        <v>332.2</v>
      </c>
      <c r="Q35" s="22">
        <f>IF(L35="","",N35-K35)</f>
        <v>0.0</v>
      </c>
      <c r="R35" s="24">
        <f>IF(L35="","",M35-J35)</f>
        <v>0.0</v>
      </c>
      <c r="S35" s="22">
        <f>IF(L35="",-P35,O35-P35)</f>
        <v>0.0</v>
      </c>
      <c r="T35" s="11" t="str">
        <f>IF(L35="","NO BILL IN SUPPLIED EXPORT",IF(ABS(Q35)&gt;0.001,"RATE EXCEPTION",IF(ABS(R35)&gt;0.001,"LENGTH EXCEPTION",IF(ABS(S35)&gt;0.01,"AMOUNT EXCEPTION","OK"))))</f>
        <v>OK</v>
      </c>
      <c r="U35" s="19" t="s">
        <v>284</v>
      </c>
    </row>
    <row r="36" spans="1:21" ht="28" customHeight="1">
      <c r="A36" s="14" t="s">
        <v>285</v>
      </c>
      <c r="B36" s="14" t="s">
        <v>193</v>
      </c>
      <c r="C36" s="14" t="s">
        <v>226</v>
      </c>
      <c r="D36" s="14" t="s">
        <v>227</v>
      </c>
      <c r="E36" s="14" t="s">
        <v>286</v>
      </c>
      <c r="F36" s="15" t="s">
        <v>287</v>
      </c>
      <c r="G36" s="15" t="s">
        <v>288</v>
      </c>
      <c r="H36" s="24">
        <v>70</v>
      </c>
      <c r="I36" s="24">
        <v>38.7</v>
      </c>
      <c r="J36" s="24">
        <f>MAX(H36,ROUNDUP(I36,0))</f>
        <v>70.0</v>
      </c>
      <c r="K36" s="22">
        <f>IF(C36="covered",10.4,7.55)</f>
        <v>7.55</v>
      </c>
      <c r="L36" s="14" t="s">
        <v>289</v>
      </c>
      <c r="M36" s="24">
        <v>70</v>
      </c>
      <c r="N36" s="22">
        <v>7.55</v>
      </c>
      <c r="O36" s="22">
        <v>528.5</v>
      </c>
      <c r="P36" s="22">
        <f>J36*K36</f>
        <v>528.5</v>
      </c>
      <c r="Q36" s="22">
        <f>IF(L36="","",N36-K36)</f>
        <v>0.0</v>
      </c>
      <c r="R36" s="24">
        <f>IF(L36="","",M36-J36)</f>
        <v>0.0</v>
      </c>
      <c r="S36" s="22">
        <f>IF(L36="",-P36,O36-P36)</f>
        <v>0.0</v>
      </c>
      <c r="T36" s="11" t="str">
        <f>IF(L36="","NO BILL IN SUPPLIED EXPORT",IF(ABS(Q36)&gt;0.001,"RATE EXCEPTION",IF(ABS(R36)&gt;0.001,"LENGTH EXCEPTION",IF(ABS(S36)&gt;0.01,"AMOUNT EXCEPTION","OK"))))</f>
        <v>OK</v>
      </c>
      <c r="U36" s="15" t="s">
        <v>290</v>
      </c>
    </row>
    <row r="37" spans="1:21" ht="28" customHeight="1">
      <c r="A37" s="18" t="s">
        <v>291</v>
      </c>
      <c r="B37" s="18" t="s">
        <v>193</v>
      </c>
      <c r="C37" s="18" t="s">
        <v>226</v>
      </c>
      <c r="D37" s="18" t="s">
        <v>227</v>
      </c>
      <c r="E37" s="18" t="s">
        <v>292</v>
      </c>
      <c r="F37" s="19" t="s">
        <v>293</v>
      </c>
      <c r="G37" s="19" t="s">
        <v>294</v>
      </c>
      <c r="H37" s="24">
        <v>45</v>
      </c>
      <c r="I37" s="24">
        <v>61.3</v>
      </c>
      <c r="J37" s="24">
        <f>MAX(H37,ROUNDUP(I37,0))</f>
        <v>62</v>
      </c>
      <c r="K37" s="22">
        <f>IF(C37="covered",10.4,7.55)</f>
        <v>7.55</v>
      </c>
      <c r="L37" s="18" t="s">
        <v>295</v>
      </c>
      <c r="M37" s="24">
        <v>62</v>
      </c>
      <c r="N37" s="22">
        <v>7.55</v>
      </c>
      <c r="O37" s="22">
        <v>468.1</v>
      </c>
      <c r="P37" s="22">
        <f>J37*K37</f>
        <v>468.09999999999997</v>
      </c>
      <c r="Q37" s="22">
        <f>IF(L37="","",N37-K37)</f>
        <v>0.0</v>
      </c>
      <c r="R37" s="24">
        <f>IF(L37="","",M37-J37)</f>
        <v>0.0</v>
      </c>
      <c r="S37" s="22">
        <f>IF(L37="",-P37,O37-P37)</f>
        <v>5.684341886080802e-14</v>
      </c>
      <c r="T37" s="11" t="str">
        <f>IF(L37="","NO BILL IN SUPPLIED EXPORT",IF(ABS(Q37)&gt;0.001,"RATE EXCEPTION",IF(ABS(R37)&gt;0.001,"LENGTH EXCEPTION",IF(ABS(S37)&gt;0.01,"AMOUNT EXCEPTION","OK"))))</f>
        <v>OK</v>
      </c>
      <c r="U37" s="19" t="s">
        <v>296</v>
      </c>
    </row>
    <row r="38" spans="1:21" ht="28" customHeight="1">
      <c r="A38" s="14" t="s">
        <v>297</v>
      </c>
      <c r="B38" s="14" t="s">
        <v>193</v>
      </c>
      <c r="C38" s="14" t="s">
        <v>226</v>
      </c>
      <c r="D38" s="14" t="s">
        <v>227</v>
      </c>
      <c r="E38" s="14" t="s">
        <v>298</v>
      </c>
      <c r="F38" s="15" t="s">
        <v>299</v>
      </c>
      <c r="G38" s="15" t="s">
        <v>300</v>
      </c>
      <c r="H38" s="24">
        <v>24</v>
      </c>
      <c r="I38" s="24">
        <v>41.6</v>
      </c>
      <c r="J38" s="24">
        <f>MAX(H38,ROUNDUP(I38,0))</f>
        <v>42</v>
      </c>
      <c r="K38" s="22">
        <f>IF(C38="covered",10.4,7.55)</f>
        <v>7.55</v>
      </c>
      <c r="L38" s="14" t="s">
        <v>301</v>
      </c>
      <c r="M38" s="24">
        <v>42</v>
      </c>
      <c r="N38" s="22">
        <v>7.55</v>
      </c>
      <c r="O38" s="22">
        <v>317.1</v>
      </c>
      <c r="P38" s="22">
        <f>J38*K38</f>
        <v>317.09999999999997</v>
      </c>
      <c r="Q38" s="22">
        <f>IF(L38="","",N38-K38)</f>
        <v>0.0</v>
      </c>
      <c r="R38" s="24">
        <f>IF(L38="","",M38-J38)</f>
        <v>0.0</v>
      </c>
      <c r="S38" s="22">
        <f>IF(L38="",-P38,O38-P38)</f>
        <v>5.684341886080802e-14</v>
      </c>
      <c r="T38" s="11" t="str">
        <f>IF(L38="","NO BILL IN SUPPLIED EXPORT",IF(ABS(Q38)&gt;0.001,"RATE EXCEPTION",IF(ABS(R38)&gt;0.001,"LENGTH EXCEPTION",IF(ABS(S38)&gt;0.01,"AMOUNT EXCEPTION","OK"))))</f>
        <v>OK</v>
      </c>
      <c r="U38" s="15" t="s">
        <v>302</v>
      </c>
    </row>
    <row r="39" spans="1:21" ht="28" customHeight="1">
      <c r="A39" s="18" t="s">
        <v>303</v>
      </c>
      <c r="B39" s="18" t="s">
        <v>193</v>
      </c>
      <c r="C39" s="18" t="s">
        <v>226</v>
      </c>
      <c r="D39" s="18" t="s">
        <v>227</v>
      </c>
      <c r="E39" s="18" t="s">
        <v>304</v>
      </c>
      <c r="F39" s="19" t="s">
        <v>305</v>
      </c>
      <c r="G39" s="19" t="s">
        <v>306</v>
      </c>
      <c r="H39" s="24">
        <v>32</v>
      </c>
      <c r="I39" s="24">
        <v>38.4</v>
      </c>
      <c r="J39" s="24">
        <f>MAX(H39,ROUNDUP(I39,0))</f>
        <v>39</v>
      </c>
      <c r="K39" s="22">
        <f>IF(C39="covered",10.4,7.55)</f>
        <v>7.55</v>
      </c>
      <c r="L39" s="18" t="s">
        <v>307</v>
      </c>
      <c r="M39" s="24">
        <v>39</v>
      </c>
      <c r="N39" s="22">
        <v>7.55</v>
      </c>
      <c r="O39" s="22">
        <v>294.45</v>
      </c>
      <c r="P39" s="22">
        <f>J39*K39</f>
        <v>294.45</v>
      </c>
      <c r="Q39" s="22">
        <f>IF(L39="","",N39-K39)</f>
        <v>0.0</v>
      </c>
      <c r="R39" s="24">
        <f>IF(L39="","",M39-J39)</f>
        <v>0.0</v>
      </c>
      <c r="S39" s="22">
        <f>IF(L39="",-P39,O39-P39)</f>
        <v>0.0</v>
      </c>
      <c r="T39" s="11" t="str">
        <f>IF(L39="","NO BILL IN SUPPLIED EXPORT",IF(ABS(Q39)&gt;0.001,"RATE EXCEPTION",IF(ABS(R39)&gt;0.001,"LENGTH EXCEPTION",IF(ABS(S39)&gt;0.01,"AMOUNT EXCEPTION","OK"))))</f>
        <v>OK</v>
      </c>
      <c r="U39" s="19" t="s">
        <v>308</v>
      </c>
    </row>
    <row r="40" spans="1:21" ht="28" customHeight="1">
      <c r="A40" s="14" t="s">
        <v>309</v>
      </c>
      <c r="B40" s="14" t="s">
        <v>193</v>
      </c>
      <c r="C40" s="14" t="s">
        <v>226</v>
      </c>
      <c r="D40" s="14" t="s">
        <v>227</v>
      </c>
      <c r="E40" s="14" t="s">
        <v>310</v>
      </c>
      <c r="F40" s="15" t="s">
        <v>311</v>
      </c>
      <c r="G40" s="15" t="s">
        <v>312</v>
      </c>
      <c r="H40" s="24">
        <v>32</v>
      </c>
      <c r="I40" s="24">
        <v>25.7</v>
      </c>
      <c r="J40" s="24">
        <f>MAX(H40,ROUNDUP(I40,0))</f>
        <v>32.0</v>
      </c>
      <c r="K40" s="22">
        <f>IF(C40="covered",10.4,7.55)</f>
        <v>7.55</v>
      </c>
      <c r="L40" s="14" t="s">
        <v>313</v>
      </c>
      <c r="M40" s="24">
        <v>32</v>
      </c>
      <c r="N40" s="22">
        <v>7.55</v>
      </c>
      <c r="O40" s="22">
        <v>241.6</v>
      </c>
      <c r="P40" s="22">
        <f>J40*K40</f>
        <v>241.6</v>
      </c>
      <c r="Q40" s="22">
        <f>IF(L40="","",N40-K40)</f>
        <v>0.0</v>
      </c>
      <c r="R40" s="24">
        <f>IF(L40="","",M40-J40)</f>
        <v>0.0</v>
      </c>
      <c r="S40" s="22">
        <f>IF(L40="",-P40,O40-P40)</f>
        <v>0.0</v>
      </c>
      <c r="T40" s="11" t="str">
        <f>IF(L40="","NO BILL IN SUPPLIED EXPORT",IF(ABS(Q40)&gt;0.001,"RATE EXCEPTION",IF(ABS(R40)&gt;0.001,"LENGTH EXCEPTION",IF(ABS(S40)&gt;0.01,"AMOUNT EXCEPTION","OK"))))</f>
        <v>OK</v>
      </c>
      <c r="U40" s="15" t="s">
        <v>314</v>
      </c>
    </row>
    <row r="41" spans="1:21" ht="28" customHeight="1">
      <c r="A41" s="18" t="s">
        <v>315</v>
      </c>
      <c r="B41" s="18" t="s">
        <v>193</v>
      </c>
      <c r="C41" s="18" t="s">
        <v>226</v>
      </c>
      <c r="D41" s="18" t="s">
        <v>227</v>
      </c>
      <c r="E41" s="18" t="s">
        <v>316</v>
      </c>
      <c r="F41" s="19" t="s">
        <v>317</v>
      </c>
      <c r="G41" s="19" t="s">
        <v>300</v>
      </c>
      <c r="H41" s="24">
        <v>45</v>
      </c>
      <c r="I41" s="24">
        <v>48.3</v>
      </c>
      <c r="J41" s="24">
        <f>MAX(H41,ROUNDUP(I41,0))</f>
        <v>49</v>
      </c>
      <c r="K41" s="22">
        <f>IF(C41="covered",10.4,7.55)</f>
        <v>7.55</v>
      </c>
      <c r="L41" s="18" t="s">
        <v>318</v>
      </c>
      <c r="M41" s="24">
        <v>49</v>
      </c>
      <c r="N41" s="22">
        <v>7.55</v>
      </c>
      <c r="O41" s="22">
        <v>369.95</v>
      </c>
      <c r="P41" s="22">
        <f>J41*K41</f>
        <v>369.95</v>
      </c>
      <c r="Q41" s="22">
        <f>IF(L41="","",N41-K41)</f>
        <v>0.0</v>
      </c>
      <c r="R41" s="24">
        <f>IF(L41="","",M41-J41)</f>
        <v>0.0</v>
      </c>
      <c r="S41" s="22">
        <f>IF(L41="",-P41,O41-P41)</f>
        <v>0.0</v>
      </c>
      <c r="T41" s="11" t="str">
        <f>IF(L41="","NO BILL IN SUPPLIED EXPORT",IF(ABS(Q41)&gt;0.001,"RATE EXCEPTION",IF(ABS(R41)&gt;0.001,"LENGTH EXCEPTION",IF(ABS(S41)&gt;0.01,"AMOUNT EXCEPTION","OK"))))</f>
        <v>OK</v>
      </c>
      <c r="U41" s="19" t="s">
        <v>319</v>
      </c>
    </row>
    <row r="42" spans="1:21" ht="28" customHeight="1">
      <c r="A42" s="14" t="s">
        <v>320</v>
      </c>
      <c r="B42" s="14" t="s">
        <v>193</v>
      </c>
      <c r="C42" s="14" t="s">
        <v>226</v>
      </c>
      <c r="D42" s="14" t="s">
        <v>227</v>
      </c>
      <c r="E42" s="14" t="s">
        <v>321</v>
      </c>
      <c r="F42" s="15" t="s">
        <v>322</v>
      </c>
      <c r="G42" s="15" t="s">
        <v>323</v>
      </c>
      <c r="H42" s="24">
        <v>32</v>
      </c>
      <c r="I42" s="24">
        <v>48.3</v>
      </c>
      <c r="J42" s="24">
        <f>MAX(H42,ROUNDUP(I42,0))</f>
        <v>49</v>
      </c>
      <c r="K42" s="22">
        <f>IF(C42="covered",10.4,7.55)</f>
        <v>7.55</v>
      </c>
      <c r="L42" s="14" t="s">
        <v>324</v>
      </c>
      <c r="M42" s="24">
        <v>49</v>
      </c>
      <c r="N42" s="22">
        <v>7.55</v>
      </c>
      <c r="O42" s="22">
        <v>369.95</v>
      </c>
      <c r="P42" s="22">
        <f>J42*K42</f>
        <v>369.95</v>
      </c>
      <c r="Q42" s="22">
        <f>IF(L42="","",N42-K42)</f>
        <v>0.0</v>
      </c>
      <c r="R42" s="24">
        <f>IF(L42="","",M42-J42)</f>
        <v>0.0</v>
      </c>
      <c r="S42" s="22">
        <f>IF(L42="",-P42,O42-P42)</f>
        <v>0.0</v>
      </c>
      <c r="T42" s="11" t="str">
        <f>IF(L42="","NO BILL IN SUPPLIED EXPORT",IF(ABS(Q42)&gt;0.001,"RATE EXCEPTION",IF(ABS(R42)&gt;0.001,"LENGTH EXCEPTION",IF(ABS(S42)&gt;0.01,"AMOUNT EXCEPTION","OK"))))</f>
        <v>OK</v>
      </c>
      <c r="U42" s="15" t="s">
        <v>325</v>
      </c>
    </row>
    <row r="43" spans="1:21" ht="28" customHeight="1">
      <c r="A43" s="18" t="s">
        <v>326</v>
      </c>
      <c r="B43" s="18" t="s">
        <v>193</v>
      </c>
      <c r="C43" s="18" t="s">
        <v>226</v>
      </c>
      <c r="D43" s="18" t="s">
        <v>227</v>
      </c>
      <c r="E43" s="18" t="s">
        <v>327</v>
      </c>
      <c r="F43" s="19" t="s">
        <v>328</v>
      </c>
      <c r="G43" s="19" t="s">
        <v>329</v>
      </c>
      <c r="H43" s="24">
        <v>80</v>
      </c>
      <c r="I43" s="24">
        <v>59.3</v>
      </c>
      <c r="J43" s="24">
        <f>MAX(H43,ROUNDUP(I43,0))</f>
        <v>80.0</v>
      </c>
      <c r="K43" s="22">
        <f>IF(C43="covered",10.4,7.55)</f>
        <v>7.55</v>
      </c>
      <c r="L43" s="18" t="s">
        <v>330</v>
      </c>
      <c r="M43" s="24">
        <v>80</v>
      </c>
      <c r="N43" s="22">
        <v>7.55</v>
      </c>
      <c r="O43" s="22">
        <v>604</v>
      </c>
      <c r="P43" s="22">
        <f>J43*K43</f>
        <v>604.0</v>
      </c>
      <c r="Q43" s="22">
        <f>IF(L43="","",N43-K43)</f>
        <v>0.0</v>
      </c>
      <c r="R43" s="24">
        <f>IF(L43="","",M43-J43)</f>
        <v>0.0</v>
      </c>
      <c r="S43" s="22">
        <f>IF(L43="",-P43,O43-P43)</f>
        <v>0.0</v>
      </c>
      <c r="T43" s="11" t="str">
        <f>IF(L43="","NO BILL IN SUPPLIED EXPORT",IF(ABS(Q43)&gt;0.001,"RATE EXCEPTION",IF(ABS(R43)&gt;0.001,"LENGTH EXCEPTION",IF(ABS(S43)&gt;0.01,"AMOUNT EXCEPTION","OK"))))</f>
        <v>OK</v>
      </c>
      <c r="U43" s="19" t="s">
        <v>331</v>
      </c>
    </row>
    <row r="44" spans="1:21" ht="28" customHeight="1">
      <c r="A44" s="14" t="s">
        <v>332</v>
      </c>
      <c r="B44" s="14" t="s">
        <v>193</v>
      </c>
      <c r="C44" s="14" t="s">
        <v>226</v>
      </c>
      <c r="D44" s="14" t="s">
        <v>227</v>
      </c>
      <c r="E44" s="14" t="s">
        <v>333</v>
      </c>
      <c r="F44" s="15" t="s">
        <v>334</v>
      </c>
      <c r="G44" s="15" t="s">
        <v>335</v>
      </c>
      <c r="H44" s="24">
        <v>28</v>
      </c>
      <c r="I44" s="24">
        <v>37.9</v>
      </c>
      <c r="J44" s="24">
        <f>MAX(H44,ROUNDUP(I44,0))</f>
        <v>38</v>
      </c>
      <c r="K44" s="22">
        <f>IF(C44="covered",10.4,7.55)</f>
        <v>7.55</v>
      </c>
      <c r="L44" s="14" t="s">
        <v>336</v>
      </c>
      <c r="M44" s="24">
        <v>38</v>
      </c>
      <c r="N44" s="22">
        <v>7.55</v>
      </c>
      <c r="O44" s="22">
        <v>286.9</v>
      </c>
      <c r="P44" s="22">
        <f>J44*K44</f>
        <v>286.9</v>
      </c>
      <c r="Q44" s="22">
        <f>IF(L44="","",N44-K44)</f>
        <v>0.0</v>
      </c>
      <c r="R44" s="24">
        <f>IF(L44="","",M44-J44)</f>
        <v>0.0</v>
      </c>
      <c r="S44" s="22">
        <f>IF(L44="",-P44,O44-P44)</f>
        <v>0.0</v>
      </c>
      <c r="T44" s="11" t="str">
        <f>IF(L44="","NO BILL IN SUPPLIED EXPORT",IF(ABS(Q44)&gt;0.001,"RATE EXCEPTION",IF(ABS(R44)&gt;0.001,"LENGTH EXCEPTION",IF(ABS(S44)&gt;0.01,"AMOUNT EXCEPTION","OK"))))</f>
        <v>OK</v>
      </c>
      <c r="U44" s="15" t="s">
        <v>337</v>
      </c>
    </row>
    <row r="45" spans="1:21" ht="28" customHeight="1">
      <c r="A45" s="18" t="s">
        <v>338</v>
      </c>
      <c r="B45" s="18" t="s">
        <v>193</v>
      </c>
      <c r="C45" s="18" t="s">
        <v>226</v>
      </c>
      <c r="D45" s="18" t="s">
        <v>227</v>
      </c>
      <c r="E45" s="18" t="s">
        <v>339</v>
      </c>
      <c r="F45" s="19" t="s">
        <v>340</v>
      </c>
      <c r="G45" s="19" t="s">
        <v>341</v>
      </c>
      <c r="H45" s="24">
        <v>70</v>
      </c>
      <c r="I45" s="24">
        <v>25.7</v>
      </c>
      <c r="J45" s="24">
        <f>MAX(H45,ROUNDUP(I45,0))</f>
        <v>70.0</v>
      </c>
      <c r="K45" s="22">
        <f>IF(C45="covered",10.4,7.55)</f>
        <v>7.55</v>
      </c>
      <c r="L45" s="18" t="s">
        <v>342</v>
      </c>
      <c r="M45" s="24">
        <v>70</v>
      </c>
      <c r="N45" s="22">
        <v>7.55</v>
      </c>
      <c r="O45" s="22">
        <v>528.5</v>
      </c>
      <c r="P45" s="22">
        <f>J45*K45</f>
        <v>528.5</v>
      </c>
      <c r="Q45" s="22">
        <f>IF(L45="","",N45-K45)</f>
        <v>0.0</v>
      </c>
      <c r="R45" s="24">
        <f>IF(L45="","",M45-J45)</f>
        <v>0.0</v>
      </c>
      <c r="S45" s="22">
        <f>IF(L45="",-P45,O45-P45)</f>
        <v>0.0</v>
      </c>
      <c r="T45" s="11" t="str">
        <f>IF(L45="","NO BILL IN SUPPLIED EXPORT",IF(ABS(Q45)&gt;0.001,"RATE EXCEPTION",IF(ABS(R45)&gt;0.001,"LENGTH EXCEPTION",IF(ABS(S45)&gt;0.01,"AMOUNT EXCEPTION","OK"))))</f>
        <v>OK</v>
      </c>
      <c r="U45" s="19" t="s">
        <v>343</v>
      </c>
    </row>
    <row r="46" spans="1:21" ht="28" customHeight="1">
      <c r="A46" s="14" t="s">
        <v>344</v>
      </c>
      <c r="B46" s="14" t="s">
        <v>193</v>
      </c>
      <c r="C46" s="14" t="s">
        <v>226</v>
      </c>
      <c r="D46" s="14" t="s">
        <v>227</v>
      </c>
      <c r="E46" s="14" t="s">
        <v>345</v>
      </c>
      <c r="F46" s="15" t="s">
        <v>346</v>
      </c>
      <c r="G46" s="15" t="s">
        <v>347</v>
      </c>
      <c r="H46" s="24">
        <v>28</v>
      </c>
      <c r="I46" s="24">
        <v>44.4</v>
      </c>
      <c r="J46" s="24">
        <f>MAX(H46,ROUNDUP(I46,0))</f>
        <v>45</v>
      </c>
      <c r="K46" s="22">
        <f>IF(C46="covered",10.4,7.55)</f>
        <v>7.55</v>
      </c>
      <c r="L46" s="14" t="s">
        <v>348</v>
      </c>
      <c r="M46" s="24">
        <v>45</v>
      </c>
      <c r="N46" s="22">
        <v>7.55</v>
      </c>
      <c r="O46" s="22">
        <v>339.75</v>
      </c>
      <c r="P46" s="22">
        <f>J46*K46</f>
        <v>339.75</v>
      </c>
      <c r="Q46" s="22">
        <f>IF(L46="","",N46-K46)</f>
        <v>0.0</v>
      </c>
      <c r="R46" s="24">
        <f>IF(L46="","",M46-J46)</f>
        <v>0.0</v>
      </c>
      <c r="S46" s="22">
        <f>IF(L46="",-P46,O46-P46)</f>
        <v>0.0</v>
      </c>
      <c r="T46" s="11" t="str">
        <f>IF(L46="","NO BILL IN SUPPLIED EXPORT",IF(ABS(Q46)&gt;0.001,"RATE EXCEPTION",IF(ABS(R46)&gt;0.001,"LENGTH EXCEPTION",IF(ABS(S46)&gt;0.01,"AMOUNT EXCEPTION","OK"))))</f>
        <v>OK</v>
      </c>
      <c r="U46" s="15" t="s">
        <v>349</v>
      </c>
    </row>
    <row r="47" spans="1:21" ht="28" customHeight="1">
      <c r="A47" s="18" t="s">
        <v>350</v>
      </c>
      <c r="B47" s="18" t="s">
        <v>193</v>
      </c>
      <c r="C47" s="18" t="s">
        <v>226</v>
      </c>
      <c r="D47" s="18" t="s">
        <v>227</v>
      </c>
      <c r="E47" s="18" t="s">
        <v>351</v>
      </c>
      <c r="F47" s="19" t="s">
        <v>352</v>
      </c>
      <c r="G47" s="19" t="s">
        <v>353</v>
      </c>
      <c r="H47" s="24">
        <v>32</v>
      </c>
      <c r="I47" s="24">
        <v>55.7</v>
      </c>
      <c r="J47" s="24">
        <f>MAX(H47,ROUNDUP(I47,0))</f>
        <v>56</v>
      </c>
      <c r="K47" s="22">
        <f>IF(C47="covered",10.4,7.55)</f>
        <v>7.55</v>
      </c>
      <c r="L47" s="18" t="s">
        <v>354</v>
      </c>
      <c r="M47" s="24">
        <v>56</v>
      </c>
      <c r="N47" s="22">
        <v>7.55</v>
      </c>
      <c r="O47" s="22">
        <v>422.8</v>
      </c>
      <c r="P47" s="22">
        <f>J47*K47</f>
        <v>422.8</v>
      </c>
      <c r="Q47" s="22">
        <f>IF(L47="","",N47-K47)</f>
        <v>0.0</v>
      </c>
      <c r="R47" s="24">
        <f>IF(L47="","",M47-J47)</f>
        <v>0.0</v>
      </c>
      <c r="S47" s="22">
        <f>IF(L47="",-P47,O47-P47)</f>
        <v>0.0</v>
      </c>
      <c r="T47" s="11" t="str">
        <f>IF(L47="","NO BILL IN SUPPLIED EXPORT",IF(ABS(Q47)&gt;0.001,"RATE EXCEPTION",IF(ABS(R47)&gt;0.001,"LENGTH EXCEPTION",IF(ABS(S47)&gt;0.01,"AMOUNT EXCEPTION","OK"))))</f>
        <v>OK</v>
      </c>
      <c r="U47" s="19" t="s">
        <v>355</v>
      </c>
    </row>
    <row r="48" spans="1:21" ht="28" customHeight="1">
      <c r="A48" s="14" t="s">
        <v>356</v>
      </c>
      <c r="B48" s="14" t="s">
        <v>193</v>
      </c>
      <c r="C48" s="14" t="s">
        <v>226</v>
      </c>
      <c r="D48" s="14" t="s">
        <v>227</v>
      </c>
      <c r="E48" s="14" t="s">
        <v>357</v>
      </c>
      <c r="F48" s="15" t="s">
        <v>358</v>
      </c>
      <c r="G48" s="15" t="s">
        <v>359</v>
      </c>
      <c r="H48" s="24">
        <v>36</v>
      </c>
      <c r="I48" s="24">
        <v>39.3</v>
      </c>
      <c r="J48" s="24">
        <f>MAX(H48,ROUNDUP(I48,0))</f>
        <v>40</v>
      </c>
      <c r="K48" s="22">
        <f>IF(C48="covered",10.4,7.55)</f>
        <v>7.55</v>
      </c>
      <c r="L48" s="14" t="s">
        <v>360</v>
      </c>
      <c r="M48" s="24">
        <v>40</v>
      </c>
      <c r="N48" s="22">
        <v>7.55</v>
      </c>
      <c r="O48" s="22">
        <v>302</v>
      </c>
      <c r="P48" s="22">
        <f>J48*K48</f>
        <v>302.0</v>
      </c>
      <c r="Q48" s="22">
        <f>IF(L48="","",N48-K48)</f>
        <v>0.0</v>
      </c>
      <c r="R48" s="24">
        <f>IF(L48="","",M48-J48)</f>
        <v>0.0</v>
      </c>
      <c r="S48" s="22">
        <f>IF(L48="",-P48,O48-P48)</f>
        <v>0.0</v>
      </c>
      <c r="T48" s="11" t="str">
        <f>IF(L48="","NO BILL IN SUPPLIED EXPORT",IF(ABS(Q48)&gt;0.001,"RATE EXCEPTION",IF(ABS(R48)&gt;0.001,"LENGTH EXCEPTION",IF(ABS(S48)&gt;0.01,"AMOUNT EXCEPTION","OK"))))</f>
        <v>OK</v>
      </c>
      <c r="U48" s="15" t="s">
        <v>361</v>
      </c>
    </row>
    <row r="49" spans="1:21" ht="28" customHeight="1">
      <c r="A49" s="18" t="s">
        <v>362</v>
      </c>
      <c r="B49" s="18" t="s">
        <v>193</v>
      </c>
      <c r="C49" s="18" t="s">
        <v>226</v>
      </c>
      <c r="D49" s="18" t="s">
        <v>227</v>
      </c>
      <c r="E49" s="18" t="s">
        <v>363</v>
      </c>
      <c r="F49" s="19" t="s">
        <v>364</v>
      </c>
      <c r="G49" s="19" t="s">
        <v>365</v>
      </c>
      <c r="H49" s="24">
        <v>32</v>
      </c>
      <c r="I49" s="24">
        <v>49.2</v>
      </c>
      <c r="J49" s="24">
        <f>MAX(H49,ROUNDUP(I49,0))</f>
        <v>50</v>
      </c>
      <c r="K49" s="22">
        <f>IF(C49="covered",10.4,7.55)</f>
        <v>7.55</v>
      </c>
      <c r="L49" s="18" t="s">
        <v>366</v>
      </c>
      <c r="M49" s="24">
        <v>50</v>
      </c>
      <c r="N49" s="22">
        <v>7.55</v>
      </c>
      <c r="O49" s="22">
        <v>377.5</v>
      </c>
      <c r="P49" s="22">
        <f>J49*K49</f>
        <v>377.5</v>
      </c>
      <c r="Q49" s="22">
        <f>IF(L49="","",N49-K49)</f>
        <v>0.0</v>
      </c>
      <c r="R49" s="24">
        <f>IF(L49="","",M49-J49)</f>
        <v>0.0</v>
      </c>
      <c r="S49" s="22">
        <f>IF(L49="",-P49,O49-P49)</f>
        <v>0.0</v>
      </c>
      <c r="T49" s="11" t="str">
        <f>IF(L49="","NO BILL IN SUPPLIED EXPORT",IF(ABS(Q49)&gt;0.001,"RATE EXCEPTION",IF(ABS(R49)&gt;0.001,"LENGTH EXCEPTION",IF(ABS(S49)&gt;0.01,"AMOUNT EXCEPTION","OK"))))</f>
        <v>OK</v>
      </c>
      <c r="U49" s="19" t="s">
        <v>367</v>
      </c>
    </row>
    <row r="50" spans="1:21" ht="28" customHeight="1">
      <c r="A50" s="14" t="s">
        <v>77</v>
      </c>
      <c r="B50" s="14" t="s">
        <v>193</v>
      </c>
      <c r="C50" s="14" t="s">
        <v>226</v>
      </c>
      <c r="D50" s="14" t="s">
        <v>227</v>
      </c>
      <c r="E50" s="14" t="s">
        <v>368</v>
      </c>
      <c r="F50" s="15" t="s">
        <v>369</v>
      </c>
      <c r="G50" s="15" t="s">
        <v>370</v>
      </c>
      <c r="H50" s="24">
        <v>28</v>
      </c>
      <c r="I50" s="24">
        <v>34.1</v>
      </c>
      <c r="J50" s="24">
        <f>MAX(H50,ROUNDUP(I50,0))</f>
        <v>35</v>
      </c>
      <c r="K50" s="22">
        <f>IF(C50="covered",10.4,7.55)</f>
        <v>7.55</v>
      </c>
      <c r="L50" s="14" t="s">
        <v>371</v>
      </c>
      <c r="M50" s="24">
        <v>35</v>
      </c>
      <c r="N50" s="22">
        <v>7.55</v>
      </c>
      <c r="O50" s="22">
        <v>264.25</v>
      </c>
      <c r="P50" s="22">
        <f>J50*K50</f>
        <v>264.25</v>
      </c>
      <c r="Q50" s="22">
        <f>IF(L50="","",N50-K50)</f>
        <v>0.0</v>
      </c>
      <c r="R50" s="24">
        <f>IF(L50="","",M50-J50)</f>
        <v>0.0</v>
      </c>
      <c r="S50" s="22">
        <f>IF(L50="",-P50,O50-P50)</f>
        <v>0.0</v>
      </c>
      <c r="T50" s="11" t="str">
        <f>IF(L50="","NO BILL IN SUPPLIED EXPORT",IF(ABS(Q50)&gt;0.001,"RATE EXCEPTION",IF(ABS(R50)&gt;0.001,"LENGTH EXCEPTION",IF(ABS(S50)&gt;0.01,"AMOUNT EXCEPTION","OK"))))</f>
        <v>OK</v>
      </c>
      <c r="U50" s="15" t="s">
        <v>372</v>
      </c>
    </row>
    <row r="51" spans="1:21" ht="28" customHeight="1">
      <c r="A51" s="18" t="s">
        <v>373</v>
      </c>
      <c r="B51" s="18" t="s">
        <v>193</v>
      </c>
      <c r="C51" s="18" t="s">
        <v>226</v>
      </c>
      <c r="D51" s="18" t="s">
        <v>227</v>
      </c>
      <c r="E51" s="18" t="s">
        <v>374</v>
      </c>
      <c r="F51" s="19" t="s">
        <v>375</v>
      </c>
      <c r="G51" s="19" t="s">
        <v>376</v>
      </c>
      <c r="H51" s="24">
        <v>40</v>
      </c>
      <c r="I51" s="24">
        <v>21.1</v>
      </c>
      <c r="J51" s="24">
        <f>MAX(H51,ROUNDUP(I51,0))</f>
        <v>40.0</v>
      </c>
      <c r="K51" s="22">
        <f>IF(C51="covered",10.4,7.55)</f>
        <v>7.55</v>
      </c>
      <c r="L51" s="18" t="s">
        <v>377</v>
      </c>
      <c r="M51" s="24">
        <v>40</v>
      </c>
      <c r="N51" s="22">
        <v>7.55</v>
      </c>
      <c r="O51" s="22">
        <v>302</v>
      </c>
      <c r="P51" s="22">
        <f>J51*K51</f>
        <v>302.0</v>
      </c>
      <c r="Q51" s="22">
        <f>IF(L51="","",N51-K51)</f>
        <v>0.0</v>
      </c>
      <c r="R51" s="24">
        <f>IF(L51="","",M51-J51)</f>
        <v>0.0</v>
      </c>
      <c r="S51" s="22">
        <f>IF(L51="",-P51,O51-P51)</f>
        <v>0.0</v>
      </c>
      <c r="T51" s="11" t="str">
        <f>IF(L51="","NO BILL IN SUPPLIED EXPORT",IF(ABS(Q51)&gt;0.001,"RATE EXCEPTION",IF(ABS(R51)&gt;0.001,"LENGTH EXCEPTION",IF(ABS(S51)&gt;0.01,"AMOUNT EXCEPTION","OK"))))</f>
        <v>OK</v>
      </c>
      <c r="U51" s="19" t="s">
        <v>378</v>
      </c>
    </row>
    <row r="52" spans="1:21" ht="28" customHeight="1">
      <c r="A52" s="14" t="s">
        <v>379</v>
      </c>
      <c r="B52" s="14" t="s">
        <v>193</v>
      </c>
      <c r="C52" s="14" t="s">
        <v>226</v>
      </c>
      <c r="D52" s="14" t="s">
        <v>227</v>
      </c>
      <c r="E52" s="14" t="s">
        <v>380</v>
      </c>
      <c r="F52" s="15" t="s">
        <v>381</v>
      </c>
      <c r="G52" s="15" t="s">
        <v>382</v>
      </c>
      <c r="H52" s="24">
        <v>24</v>
      </c>
      <c r="I52" s="24">
        <v>35.2</v>
      </c>
      <c r="J52" s="24">
        <f>MAX(H52,ROUNDUP(I52,0))</f>
        <v>36</v>
      </c>
      <c r="K52" s="22">
        <f>IF(C52="covered",10.4,7.55)</f>
        <v>7.55</v>
      </c>
      <c r="L52" s="14" t="s">
        <v>383</v>
      </c>
      <c r="M52" s="24">
        <v>36</v>
      </c>
      <c r="N52" s="22">
        <v>7.55</v>
      </c>
      <c r="O52" s="22">
        <v>271.8</v>
      </c>
      <c r="P52" s="22">
        <f>J52*K52</f>
        <v>271.8</v>
      </c>
      <c r="Q52" s="22">
        <f>IF(L52="","",N52-K52)</f>
        <v>0.0</v>
      </c>
      <c r="R52" s="24">
        <f>IF(L52="","",M52-J52)</f>
        <v>0.0</v>
      </c>
      <c r="S52" s="22">
        <f>IF(L52="",-P52,O52-P52)</f>
        <v>0.0</v>
      </c>
      <c r="T52" s="11" t="str">
        <f>IF(L52="","NO BILL IN SUPPLIED EXPORT",IF(ABS(Q52)&gt;0.001,"RATE EXCEPTION",IF(ABS(R52)&gt;0.001,"LENGTH EXCEPTION",IF(ABS(S52)&gt;0.01,"AMOUNT EXCEPTION","OK"))))</f>
        <v>OK</v>
      </c>
      <c r="U52" s="15" t="s">
        <v>384</v>
      </c>
    </row>
    <row r="53" spans="1:21" ht="28" customHeight="1">
      <c r="A53" s="18" t="s">
        <v>385</v>
      </c>
      <c r="B53" s="18" t="s">
        <v>193</v>
      </c>
      <c r="C53" s="18" t="s">
        <v>226</v>
      </c>
      <c r="D53" s="18" t="s">
        <v>227</v>
      </c>
      <c r="E53" s="18" t="s">
        <v>386</v>
      </c>
      <c r="F53" s="19" t="s">
        <v>387</v>
      </c>
      <c r="G53" s="19" t="s">
        <v>388</v>
      </c>
      <c r="H53" s="24">
        <v>45</v>
      </c>
      <c r="I53" s="24">
        <v>42.1</v>
      </c>
      <c r="J53" s="24">
        <f>MAX(H53,ROUNDUP(I53,0))</f>
        <v>45.0</v>
      </c>
      <c r="K53" s="22">
        <f>IF(C53="covered",10.4,7.55)</f>
        <v>7.55</v>
      </c>
      <c r="L53" s="18" t="s">
        <v>389</v>
      </c>
      <c r="M53" s="24">
        <v>45</v>
      </c>
      <c r="N53" s="22">
        <v>7.55</v>
      </c>
      <c r="O53" s="22">
        <v>339.75</v>
      </c>
      <c r="P53" s="22">
        <f>J53*K53</f>
        <v>339.75</v>
      </c>
      <c r="Q53" s="22">
        <f>IF(L53="","",N53-K53)</f>
        <v>0.0</v>
      </c>
      <c r="R53" s="24">
        <f>IF(L53="","",M53-J53)</f>
        <v>0.0</v>
      </c>
      <c r="S53" s="22">
        <f>IF(L53="",-P53,O53-P53)</f>
        <v>0.0</v>
      </c>
      <c r="T53" s="11" t="str">
        <f>IF(L53="","NO BILL IN SUPPLIED EXPORT",IF(ABS(Q53)&gt;0.001,"RATE EXCEPTION",IF(ABS(R53)&gt;0.001,"LENGTH EXCEPTION",IF(ABS(S53)&gt;0.01,"AMOUNT EXCEPTION","OK"))))</f>
        <v>OK</v>
      </c>
      <c r="U53" s="19" t="s">
        <v>390</v>
      </c>
    </row>
    <row r="54" spans="1:21" ht="28" customHeight="1">
      <c r="A54" s="14" t="s">
        <v>391</v>
      </c>
      <c r="B54" s="14" t="s">
        <v>193</v>
      </c>
      <c r="C54" s="14" t="s">
        <v>226</v>
      </c>
      <c r="D54" s="14" t="s">
        <v>227</v>
      </c>
      <c r="E54" s="14" t="s">
        <v>392</v>
      </c>
      <c r="F54" s="15" t="s">
        <v>393</v>
      </c>
      <c r="G54" s="15" t="s">
        <v>394</v>
      </c>
      <c r="H54" s="24">
        <v>32</v>
      </c>
      <c r="I54" s="24">
        <v>24.5</v>
      </c>
      <c r="J54" s="24">
        <f>MAX(H54,ROUNDUP(I54,0))</f>
        <v>32.0</v>
      </c>
      <c r="K54" s="22">
        <f>IF(C54="covered",10.4,7.55)</f>
        <v>7.55</v>
      </c>
      <c r="L54" s="14" t="s">
        <v>395</v>
      </c>
      <c r="M54" s="24">
        <v>32</v>
      </c>
      <c r="N54" s="22">
        <v>7.55</v>
      </c>
      <c r="O54" s="22">
        <v>241.6</v>
      </c>
      <c r="P54" s="22">
        <f>J54*K54</f>
        <v>241.6</v>
      </c>
      <c r="Q54" s="22">
        <f>IF(L54="","",N54-K54)</f>
        <v>0.0</v>
      </c>
      <c r="R54" s="24">
        <f>IF(L54="","",M54-J54)</f>
        <v>0.0</v>
      </c>
      <c r="S54" s="22">
        <f>IF(L54="",-P54,O54-P54)</f>
        <v>0.0</v>
      </c>
      <c r="T54" s="11" t="str">
        <f>IF(L54="","NO BILL IN SUPPLIED EXPORT",IF(ABS(Q54)&gt;0.001,"RATE EXCEPTION",IF(ABS(R54)&gt;0.001,"LENGTH EXCEPTION",IF(ABS(S54)&gt;0.01,"AMOUNT EXCEPTION","OK"))))</f>
        <v>OK</v>
      </c>
      <c r="U54" s="15" t="s">
        <v>396</v>
      </c>
    </row>
    <row r="55" spans="1:21" ht="28" customHeight="1">
      <c r="A55" s="18" t="s">
        <v>397</v>
      </c>
      <c r="B55" s="18" t="s">
        <v>193</v>
      </c>
      <c r="C55" s="18" t="s">
        <v>226</v>
      </c>
      <c r="D55" s="18" t="s">
        <v>227</v>
      </c>
      <c r="E55" s="18" t="s">
        <v>398</v>
      </c>
      <c r="F55" s="19" t="s">
        <v>399</v>
      </c>
      <c r="G55" s="19" t="s">
        <v>400</v>
      </c>
      <c r="H55" s="24">
        <v>36</v>
      </c>
      <c r="I55" s="24">
        <v>30.4</v>
      </c>
      <c r="J55" s="24">
        <f>MAX(H55,ROUNDUP(I55,0))</f>
        <v>36.0</v>
      </c>
      <c r="K55" s="22">
        <f>IF(C55="covered",10.4,7.55)</f>
        <v>7.55</v>
      </c>
      <c r="L55" s="18" t="s">
        <v>401</v>
      </c>
      <c r="M55" s="24">
        <v>36</v>
      </c>
      <c r="N55" s="22">
        <v>7.55</v>
      </c>
      <c r="O55" s="22">
        <v>271.8</v>
      </c>
      <c r="P55" s="22">
        <f>J55*K55</f>
        <v>271.8</v>
      </c>
      <c r="Q55" s="22">
        <f>IF(L55="","",N55-K55)</f>
        <v>0.0</v>
      </c>
      <c r="R55" s="24">
        <f>IF(L55="","",M55-J55)</f>
        <v>0.0</v>
      </c>
      <c r="S55" s="22">
        <f>IF(L55="",-P55,O55-P55)</f>
        <v>0.0</v>
      </c>
      <c r="T55" s="11" t="str">
        <f>IF(L55="","NO BILL IN SUPPLIED EXPORT",IF(ABS(Q55)&gt;0.001,"RATE EXCEPTION",IF(ABS(R55)&gt;0.001,"LENGTH EXCEPTION",IF(ABS(S55)&gt;0.01,"AMOUNT EXCEPTION","OK"))))</f>
        <v>OK</v>
      </c>
      <c r="U55" s="19" t="s">
        <v>402</v>
      </c>
    </row>
    <row r="56" spans="1:21" ht="28" customHeight="1">
      <c r="A56" s="14" t="s">
        <v>403</v>
      </c>
      <c r="B56" s="14" t="s">
        <v>193</v>
      </c>
      <c r="C56" s="14" t="s">
        <v>226</v>
      </c>
      <c r="D56" s="14" t="s">
        <v>227</v>
      </c>
      <c r="E56" s="14" t="s">
        <v>404</v>
      </c>
      <c r="F56" s="15" t="s">
        <v>405</v>
      </c>
      <c r="G56" s="15" t="s">
        <v>406</v>
      </c>
      <c r="H56" s="24">
        <v>24</v>
      </c>
      <c r="I56" s="24">
        <v>39.6</v>
      </c>
      <c r="J56" s="24">
        <f>MAX(H56,ROUNDUP(I56,0))</f>
        <v>40</v>
      </c>
      <c r="K56" s="22">
        <f>IF(C56="covered",10.4,7.55)</f>
        <v>7.55</v>
      </c>
      <c r="L56" s="14" t="s">
        <v>407</v>
      </c>
      <c r="M56" s="24">
        <v>40</v>
      </c>
      <c r="N56" s="22">
        <v>7.55</v>
      </c>
      <c r="O56" s="22">
        <v>302</v>
      </c>
      <c r="P56" s="22">
        <f>J56*K56</f>
        <v>302.0</v>
      </c>
      <c r="Q56" s="22">
        <f>IF(L56="","",N56-K56)</f>
        <v>0.0</v>
      </c>
      <c r="R56" s="24">
        <f>IF(L56="","",M56-J56)</f>
        <v>0.0</v>
      </c>
      <c r="S56" s="22">
        <f>IF(L56="",-P56,O56-P56)</f>
        <v>0.0</v>
      </c>
      <c r="T56" s="11" t="str">
        <f>IF(L56="","NO BILL IN SUPPLIED EXPORT",IF(ABS(Q56)&gt;0.001,"RATE EXCEPTION",IF(ABS(R56)&gt;0.001,"LENGTH EXCEPTION",IF(ABS(S56)&gt;0.01,"AMOUNT EXCEPTION","OK"))))</f>
        <v>OK</v>
      </c>
      <c r="U56" s="15" t="s">
        <v>408</v>
      </c>
    </row>
    <row r="57" spans="1:21" ht="28" customHeight="1">
      <c r="A57" s="18" t="s">
        <v>409</v>
      </c>
      <c r="B57" s="18" t="s">
        <v>193</v>
      </c>
      <c r="C57" s="18" t="s">
        <v>226</v>
      </c>
      <c r="D57" s="18" t="s">
        <v>227</v>
      </c>
      <c r="E57" s="18" t="s">
        <v>410</v>
      </c>
      <c r="F57" s="19" t="s">
        <v>411</v>
      </c>
      <c r="G57" s="19" t="s">
        <v>412</v>
      </c>
      <c r="H57" s="24">
        <v>50</v>
      </c>
      <c r="I57" s="24">
        <v>41.5</v>
      </c>
      <c r="J57" s="24">
        <f>MAX(H57,ROUNDUP(I57,0))</f>
        <v>50.0</v>
      </c>
      <c r="K57" s="22">
        <f>IF(C57="covered",10.4,7.55)</f>
        <v>7.55</v>
      </c>
      <c r="L57" s="18" t="s">
        <v>413</v>
      </c>
      <c r="M57" s="24">
        <v>50</v>
      </c>
      <c r="N57" s="22">
        <v>7.55</v>
      </c>
      <c r="O57" s="22">
        <v>377.5</v>
      </c>
      <c r="P57" s="22">
        <f>J57*K57</f>
        <v>377.5</v>
      </c>
      <c r="Q57" s="22">
        <f>IF(L57="","",N57-K57)</f>
        <v>0.0</v>
      </c>
      <c r="R57" s="24">
        <f>IF(L57="","",M57-J57)</f>
        <v>0.0</v>
      </c>
      <c r="S57" s="22">
        <f>IF(L57="",-P57,O57-P57)</f>
        <v>0.0</v>
      </c>
      <c r="T57" s="11" t="str">
        <f>IF(L57="","NO BILL IN SUPPLIED EXPORT",IF(ABS(Q57)&gt;0.001,"RATE EXCEPTION",IF(ABS(R57)&gt;0.001,"LENGTH EXCEPTION",IF(ABS(S57)&gt;0.01,"AMOUNT EXCEPTION","OK"))))</f>
        <v>OK</v>
      </c>
      <c r="U57" s="19" t="s">
        <v>414</v>
      </c>
    </row>
    <row r="58" spans="1:21" ht="28" customHeight="1">
      <c r="A58" s="14" t="s">
        <v>415</v>
      </c>
      <c r="B58" s="14" t="s">
        <v>193</v>
      </c>
      <c r="C58" s="14" t="s">
        <v>226</v>
      </c>
      <c r="D58" s="14" t="s">
        <v>227</v>
      </c>
      <c r="E58" s="14" t="s">
        <v>416</v>
      </c>
      <c r="F58" s="15" t="s">
        <v>417</v>
      </c>
      <c r="G58" s="15" t="s">
        <v>418</v>
      </c>
      <c r="H58" s="24">
        <v>32</v>
      </c>
      <c r="I58" s="24">
        <v>19.5</v>
      </c>
      <c r="J58" s="24">
        <f>MAX(H58,ROUNDUP(I58,0))</f>
        <v>32.0</v>
      </c>
      <c r="K58" s="22">
        <f>IF(C58="covered",10.4,7.55)</f>
        <v>7.55</v>
      </c>
      <c r="L58" s="14" t="s">
        <v>419</v>
      </c>
      <c r="M58" s="24">
        <v>32</v>
      </c>
      <c r="N58" s="22">
        <v>7.55</v>
      </c>
      <c r="O58" s="22">
        <v>241.6</v>
      </c>
      <c r="P58" s="22">
        <f>J58*K58</f>
        <v>241.6</v>
      </c>
      <c r="Q58" s="22">
        <f>IF(L58="","",N58-K58)</f>
        <v>0.0</v>
      </c>
      <c r="R58" s="24">
        <f>IF(L58="","",M58-J58)</f>
        <v>0.0</v>
      </c>
      <c r="S58" s="22">
        <f>IF(L58="",-P58,O58-P58)</f>
        <v>0.0</v>
      </c>
      <c r="T58" s="11" t="str">
        <f>IF(L58="","NO BILL IN SUPPLIED EXPORT",IF(ABS(Q58)&gt;0.001,"RATE EXCEPTION",IF(ABS(R58)&gt;0.001,"LENGTH EXCEPTION",IF(ABS(S58)&gt;0.01,"AMOUNT EXCEPTION","OK"))))</f>
        <v>OK</v>
      </c>
      <c r="U58" s="15" t="s">
        <v>420</v>
      </c>
    </row>
    <row r="59" spans="1:21" ht="28" customHeight="1">
      <c r="A59" s="18" t="s">
        <v>421</v>
      </c>
      <c r="B59" s="18" t="s">
        <v>193</v>
      </c>
      <c r="C59" s="18" t="s">
        <v>226</v>
      </c>
      <c r="D59" s="18" t="s">
        <v>227</v>
      </c>
      <c r="E59" s="18" t="s">
        <v>422</v>
      </c>
      <c r="F59" s="19" t="s">
        <v>423</v>
      </c>
      <c r="G59" s="19" t="s">
        <v>424</v>
      </c>
      <c r="H59" s="24">
        <v>60</v>
      </c>
      <c r="I59" s="24">
        <v>23.2</v>
      </c>
      <c r="J59" s="24">
        <f>MAX(H59,ROUNDUP(I59,0))</f>
        <v>60.0</v>
      </c>
      <c r="K59" s="22">
        <f>IF(C59="covered",10.4,7.55)</f>
        <v>7.55</v>
      </c>
      <c r="L59" s="18" t="s">
        <v>425</v>
      </c>
      <c r="M59" s="24">
        <v>60</v>
      </c>
      <c r="N59" s="22">
        <v>7.55</v>
      </c>
      <c r="O59" s="22">
        <v>453</v>
      </c>
      <c r="P59" s="22">
        <f>J59*K59</f>
        <v>453.0</v>
      </c>
      <c r="Q59" s="22">
        <f>IF(L59="","",N59-K59)</f>
        <v>0.0</v>
      </c>
      <c r="R59" s="24">
        <f>IF(L59="","",M59-J59)</f>
        <v>0.0</v>
      </c>
      <c r="S59" s="22">
        <f>IF(L59="",-P59,O59-P59)</f>
        <v>0.0</v>
      </c>
      <c r="T59" s="11" t="str">
        <f>IF(L59="","NO BILL IN SUPPLIED EXPORT",IF(ABS(Q59)&gt;0.001,"RATE EXCEPTION",IF(ABS(R59)&gt;0.001,"LENGTH EXCEPTION",IF(ABS(S59)&gt;0.01,"AMOUNT EXCEPTION","OK"))))</f>
        <v>OK</v>
      </c>
      <c r="U59" s="19" t="s">
        <v>426</v>
      </c>
    </row>
    <row r="60" spans="1:21" ht="28" customHeight="1">
      <c r="A60" s="14" t="s">
        <v>427</v>
      </c>
      <c r="B60" s="14" t="s">
        <v>193</v>
      </c>
      <c r="C60" s="14" t="s">
        <v>226</v>
      </c>
      <c r="D60" s="14" t="s">
        <v>227</v>
      </c>
      <c r="E60" s="14" t="s">
        <v>428</v>
      </c>
      <c r="F60" s="15" t="s">
        <v>429</v>
      </c>
      <c r="G60" s="15" t="s">
        <v>430</v>
      </c>
      <c r="H60" s="24">
        <v>32</v>
      </c>
      <c r="I60" s="24">
        <v>20.4</v>
      </c>
      <c r="J60" s="24">
        <f>MAX(H60,ROUNDUP(I60,0))</f>
        <v>32.0</v>
      </c>
      <c r="K60" s="22">
        <f>IF(C60="covered",10.4,7.55)</f>
        <v>7.55</v>
      </c>
      <c r="L60" s="14" t="s">
        <v>431</v>
      </c>
      <c r="M60" s="24">
        <v>32</v>
      </c>
      <c r="N60" s="22">
        <v>7.55</v>
      </c>
      <c r="O60" s="22">
        <v>241.6</v>
      </c>
      <c r="P60" s="22">
        <f>J60*K60</f>
        <v>241.6</v>
      </c>
      <c r="Q60" s="22">
        <f>IF(L60="","",N60-K60)</f>
        <v>0.0</v>
      </c>
      <c r="R60" s="24">
        <f>IF(L60="","",M60-J60)</f>
        <v>0.0</v>
      </c>
      <c r="S60" s="22">
        <f>IF(L60="",-P60,O60-P60)</f>
        <v>0.0</v>
      </c>
      <c r="T60" s="11" t="str">
        <f>IF(L60="","NO BILL IN SUPPLIED EXPORT",IF(ABS(Q60)&gt;0.001,"RATE EXCEPTION",IF(ABS(R60)&gt;0.001,"LENGTH EXCEPTION",IF(ABS(S60)&gt;0.01,"AMOUNT EXCEPTION","OK"))))</f>
        <v>OK</v>
      </c>
      <c r="U60" s="15" t="s">
        <v>432</v>
      </c>
    </row>
    <row r="61" spans="1:21" ht="28" customHeight="1">
      <c r="A61" s="18" t="s">
        <v>433</v>
      </c>
      <c r="B61" s="18" t="s">
        <v>193</v>
      </c>
      <c r="C61" s="18" t="s">
        <v>226</v>
      </c>
      <c r="D61" s="18" t="s">
        <v>227</v>
      </c>
      <c r="E61" s="18" t="s">
        <v>434</v>
      </c>
      <c r="F61" s="19" t="s">
        <v>435</v>
      </c>
      <c r="G61" s="19" t="s">
        <v>436</v>
      </c>
      <c r="H61" s="24">
        <v>50</v>
      </c>
      <c r="I61" s="24">
        <v>42.6</v>
      </c>
      <c r="J61" s="24">
        <f>MAX(H61,ROUNDUP(I61,0))</f>
        <v>50.0</v>
      </c>
      <c r="K61" s="22">
        <f>IF(C61="covered",10.4,7.55)</f>
        <v>7.55</v>
      </c>
      <c r="L61" s="18" t="s">
        <v>437</v>
      </c>
      <c r="M61" s="24">
        <v>50</v>
      </c>
      <c r="N61" s="22">
        <v>7.55</v>
      </c>
      <c r="O61" s="22">
        <v>377.5</v>
      </c>
      <c r="P61" s="22">
        <f>J61*K61</f>
        <v>377.5</v>
      </c>
      <c r="Q61" s="22">
        <f>IF(L61="","",N61-K61)</f>
        <v>0.0</v>
      </c>
      <c r="R61" s="24">
        <f>IF(L61="","",M61-J61)</f>
        <v>0.0</v>
      </c>
      <c r="S61" s="22">
        <f>IF(L61="",-P61,O61-P61)</f>
        <v>0.0</v>
      </c>
      <c r="T61" s="11" t="str">
        <f>IF(L61="","NO BILL IN SUPPLIED EXPORT",IF(ABS(Q61)&gt;0.001,"RATE EXCEPTION",IF(ABS(R61)&gt;0.001,"LENGTH EXCEPTION",IF(ABS(S61)&gt;0.01,"AMOUNT EXCEPTION","OK"))))</f>
        <v>OK</v>
      </c>
      <c r="U61" s="19" t="s">
        <v>438</v>
      </c>
    </row>
    <row r="62" spans="1:21" ht="28" customHeight="1">
      <c r="A62" s="14" t="s">
        <v>439</v>
      </c>
      <c r="B62" s="14" t="s">
        <v>193</v>
      </c>
      <c r="C62" s="14" t="s">
        <v>226</v>
      </c>
      <c r="D62" s="14" t="s">
        <v>227</v>
      </c>
      <c r="E62" s="14" t="s">
        <v>440</v>
      </c>
      <c r="F62" s="15" t="s">
        <v>441</v>
      </c>
      <c r="G62" s="15" t="s">
        <v>442</v>
      </c>
      <c r="H62" s="24">
        <v>32</v>
      </c>
      <c r="I62" s="24">
        <v>32.9</v>
      </c>
      <c r="J62" s="24">
        <f>MAX(H62,ROUNDUP(I62,0))</f>
        <v>33</v>
      </c>
      <c r="K62" s="22">
        <f>IF(C62="covered",10.4,7.55)</f>
        <v>7.55</v>
      </c>
      <c r="L62" s="14" t="s">
        <v>443</v>
      </c>
      <c r="M62" s="24">
        <v>33</v>
      </c>
      <c r="N62" s="22">
        <v>7.55</v>
      </c>
      <c r="O62" s="22">
        <v>249.15</v>
      </c>
      <c r="P62" s="22">
        <f>J62*K62</f>
        <v>249.15</v>
      </c>
      <c r="Q62" s="22">
        <f>IF(L62="","",N62-K62)</f>
        <v>0.0</v>
      </c>
      <c r="R62" s="24">
        <f>IF(L62="","",M62-J62)</f>
        <v>0.0</v>
      </c>
      <c r="S62" s="22">
        <f>IF(L62="",-P62,O62-P62)</f>
        <v>0.0</v>
      </c>
      <c r="T62" s="11" t="str">
        <f>IF(L62="","NO BILL IN SUPPLIED EXPORT",IF(ABS(Q62)&gt;0.001,"RATE EXCEPTION",IF(ABS(R62)&gt;0.001,"LENGTH EXCEPTION",IF(ABS(S62)&gt;0.01,"AMOUNT EXCEPTION","OK"))))</f>
        <v>OK</v>
      </c>
      <c r="U62" s="15" t="s">
        <v>444</v>
      </c>
    </row>
    <row r="63" spans="1:21" ht="28" customHeight="1">
      <c r="A63" s="18" t="s">
        <v>445</v>
      </c>
      <c r="B63" s="18" t="s">
        <v>193</v>
      </c>
      <c r="C63" s="18" t="s">
        <v>226</v>
      </c>
      <c r="D63" s="18" t="s">
        <v>227</v>
      </c>
      <c r="E63" s="18" t="s">
        <v>446</v>
      </c>
      <c r="F63" s="19" t="s">
        <v>447</v>
      </c>
      <c r="G63" s="19" t="s">
        <v>448</v>
      </c>
      <c r="H63" s="24">
        <v>36</v>
      </c>
      <c r="I63" s="24">
        <v>23</v>
      </c>
      <c r="J63" s="24">
        <f>MAX(H63,ROUNDUP(I63,0))</f>
        <v>36.0</v>
      </c>
      <c r="K63" s="22">
        <f>IF(C63="covered",10.4,7.55)</f>
        <v>7.55</v>
      </c>
      <c r="L63" s="18" t="s">
        <v>449</v>
      </c>
      <c r="M63" s="24">
        <v>36</v>
      </c>
      <c r="N63" s="22">
        <v>7.55</v>
      </c>
      <c r="O63" s="22">
        <v>271.8</v>
      </c>
      <c r="P63" s="22">
        <f>J63*K63</f>
        <v>271.8</v>
      </c>
      <c r="Q63" s="22">
        <f>IF(L63="","",N63-K63)</f>
        <v>0.0</v>
      </c>
      <c r="R63" s="24">
        <f>IF(L63="","",M63-J63)</f>
        <v>0.0</v>
      </c>
      <c r="S63" s="22">
        <f>IF(L63="",-P63,O63-P63)</f>
        <v>0.0</v>
      </c>
      <c r="T63" s="11" t="str">
        <f>IF(L63="","NO BILL IN SUPPLIED EXPORT",IF(ABS(Q63)&gt;0.001,"RATE EXCEPTION",IF(ABS(R63)&gt;0.001,"LENGTH EXCEPTION",IF(ABS(S63)&gt;0.01,"AMOUNT EXCEPTION","OK"))))</f>
        <v>OK</v>
      </c>
      <c r="U63" s="19" t="s">
        <v>450</v>
      </c>
    </row>
    <row r="64" spans="1:21" ht="28" customHeight="1">
      <c r="A64" s="14" t="s">
        <v>451</v>
      </c>
      <c r="B64" s="14" t="s">
        <v>193</v>
      </c>
      <c r="C64" s="14" t="s">
        <v>226</v>
      </c>
      <c r="D64" s="14" t="s">
        <v>227</v>
      </c>
      <c r="E64" s="14" t="s">
        <v>452</v>
      </c>
      <c r="F64" s="15" t="s">
        <v>453</v>
      </c>
      <c r="G64" s="15" t="s">
        <v>454</v>
      </c>
      <c r="H64" s="24">
        <v>70</v>
      </c>
      <c r="I64" s="24">
        <v>21.3</v>
      </c>
      <c r="J64" s="24">
        <f>MAX(H64,ROUNDUP(I64,0))</f>
        <v>70.0</v>
      </c>
      <c r="K64" s="22">
        <f>IF(C64="covered",10.4,7.55)</f>
        <v>7.55</v>
      </c>
      <c r="L64" s="14" t="s">
        <v>455</v>
      </c>
      <c r="M64" s="24">
        <v>70</v>
      </c>
      <c r="N64" s="22">
        <v>7.55</v>
      </c>
      <c r="O64" s="22">
        <v>528.5</v>
      </c>
      <c r="P64" s="22">
        <f>J64*K64</f>
        <v>528.5</v>
      </c>
      <c r="Q64" s="22">
        <f>IF(L64="","",N64-K64)</f>
        <v>0.0</v>
      </c>
      <c r="R64" s="24">
        <f>IF(L64="","",M64-J64)</f>
        <v>0.0</v>
      </c>
      <c r="S64" s="22">
        <f>IF(L64="",-P64,O64-P64)</f>
        <v>0.0</v>
      </c>
      <c r="T64" s="11" t="str">
        <f>IF(L64="","NO BILL IN SUPPLIED EXPORT",IF(ABS(Q64)&gt;0.001,"RATE EXCEPTION",IF(ABS(R64)&gt;0.001,"LENGTH EXCEPTION",IF(ABS(S64)&gt;0.01,"AMOUNT EXCEPTION","OK"))))</f>
        <v>OK</v>
      </c>
      <c r="U64" s="15" t="s">
        <v>456</v>
      </c>
    </row>
    <row r="65" spans="1:21" ht="28" customHeight="1">
      <c r="A65" s="18" t="s">
        <v>457</v>
      </c>
      <c r="B65" s="18" t="s">
        <v>193</v>
      </c>
      <c r="C65" s="18" t="s">
        <v>226</v>
      </c>
      <c r="D65" s="18" t="s">
        <v>227</v>
      </c>
      <c r="E65" s="18" t="s">
        <v>458</v>
      </c>
      <c r="F65" s="19" t="s">
        <v>459</v>
      </c>
      <c r="G65" s="19" t="s">
        <v>460</v>
      </c>
      <c r="H65" s="24">
        <v>40</v>
      </c>
      <c r="I65" s="24">
        <v>22.1</v>
      </c>
      <c r="J65" s="24">
        <f>MAX(H65,ROUNDUP(I65,0))</f>
        <v>40.0</v>
      </c>
      <c r="K65" s="22">
        <f>IF(C65="covered",10.4,7.55)</f>
        <v>7.55</v>
      </c>
      <c r="L65" s="18" t="s">
        <v>461</v>
      </c>
      <c r="M65" s="24">
        <v>40</v>
      </c>
      <c r="N65" s="22">
        <v>7.55</v>
      </c>
      <c r="O65" s="22">
        <v>302</v>
      </c>
      <c r="P65" s="22">
        <f>J65*K65</f>
        <v>302.0</v>
      </c>
      <c r="Q65" s="22">
        <f>IF(L65="","",N65-K65)</f>
        <v>0.0</v>
      </c>
      <c r="R65" s="24">
        <f>IF(L65="","",M65-J65)</f>
        <v>0.0</v>
      </c>
      <c r="S65" s="22">
        <f>IF(L65="",-P65,O65-P65)</f>
        <v>0.0</v>
      </c>
      <c r="T65" s="11" t="str">
        <f>IF(L65="","NO BILL IN SUPPLIED EXPORT",IF(ABS(Q65)&gt;0.001,"RATE EXCEPTION",IF(ABS(R65)&gt;0.001,"LENGTH EXCEPTION",IF(ABS(S65)&gt;0.01,"AMOUNT EXCEPTION","OK"))))</f>
        <v>OK</v>
      </c>
      <c r="U65" s="19" t="s">
        <v>462</v>
      </c>
    </row>
    <row r="66" spans="1:21" ht="28" customHeight="1">
      <c r="A66" s="14" t="s">
        <v>463</v>
      </c>
      <c r="B66" s="14" t="s">
        <v>193</v>
      </c>
      <c r="C66" s="14" t="s">
        <v>226</v>
      </c>
      <c r="D66" s="14" t="s">
        <v>227</v>
      </c>
      <c r="E66" s="14" t="s">
        <v>464</v>
      </c>
      <c r="F66" s="15" t="s">
        <v>465</v>
      </c>
      <c r="G66" s="15" t="s">
        <v>341</v>
      </c>
      <c r="H66" s="24">
        <v>28</v>
      </c>
      <c r="I66" s="24">
        <v>57.1</v>
      </c>
      <c r="J66" s="24">
        <f>MAX(H66,ROUNDUP(I66,0))</f>
        <v>58</v>
      </c>
      <c r="K66" s="22">
        <f>IF(C66="covered",10.4,7.55)</f>
        <v>7.55</v>
      </c>
      <c r="L66" s="14" t="s">
        <v>466</v>
      </c>
      <c r="M66" s="24">
        <v>58</v>
      </c>
      <c r="N66" s="22">
        <v>7.55</v>
      </c>
      <c r="O66" s="22">
        <v>437.9</v>
      </c>
      <c r="P66" s="22">
        <f>J66*K66</f>
        <v>437.9</v>
      </c>
      <c r="Q66" s="22">
        <f>IF(L66="","",N66-K66)</f>
        <v>0.0</v>
      </c>
      <c r="R66" s="24">
        <f>IF(L66="","",M66-J66)</f>
        <v>0.0</v>
      </c>
      <c r="S66" s="22">
        <f>IF(L66="",-P66,O66-P66)</f>
        <v>0.0</v>
      </c>
      <c r="T66" s="11" t="str">
        <f>IF(L66="","NO BILL IN SUPPLIED EXPORT",IF(ABS(Q66)&gt;0.001,"RATE EXCEPTION",IF(ABS(R66)&gt;0.001,"LENGTH EXCEPTION",IF(ABS(S66)&gt;0.01,"AMOUNT EXCEPTION","OK"))))</f>
        <v>OK</v>
      </c>
      <c r="U66" s="15" t="s">
        <v>467</v>
      </c>
    </row>
    <row r="67" spans="1:21" ht="28" customHeight="1">
      <c r="A67" s="18" t="s">
        <v>468</v>
      </c>
      <c r="B67" s="18" t="s">
        <v>193</v>
      </c>
      <c r="C67" s="18" t="s">
        <v>226</v>
      </c>
      <c r="D67" s="18" t="s">
        <v>227</v>
      </c>
      <c r="E67" s="18" t="s">
        <v>469</v>
      </c>
      <c r="F67" s="19" t="s">
        <v>470</v>
      </c>
      <c r="G67" s="19" t="s">
        <v>471</v>
      </c>
      <c r="H67" s="24">
        <v>24</v>
      </c>
      <c r="I67" s="24">
        <v>29.3</v>
      </c>
      <c r="J67" s="24">
        <f>MAX(H67,ROUNDUP(I67,0))</f>
        <v>30</v>
      </c>
      <c r="K67" s="22">
        <f>IF(C67="covered",10.4,7.55)</f>
        <v>7.55</v>
      </c>
      <c r="L67" s="18" t="s">
        <v>472</v>
      </c>
      <c r="M67" s="24">
        <v>30</v>
      </c>
      <c r="N67" s="22">
        <v>7.55</v>
      </c>
      <c r="O67" s="22">
        <v>226.5</v>
      </c>
      <c r="P67" s="22">
        <f>J67*K67</f>
        <v>226.5</v>
      </c>
      <c r="Q67" s="22">
        <f>IF(L67="","",N67-K67)</f>
        <v>0.0</v>
      </c>
      <c r="R67" s="24">
        <f>IF(L67="","",M67-J67)</f>
        <v>0.0</v>
      </c>
      <c r="S67" s="22">
        <f>IF(L67="",-P67,O67-P67)</f>
        <v>0.0</v>
      </c>
      <c r="T67" s="11" t="str">
        <f>IF(L67="","NO BILL IN SUPPLIED EXPORT",IF(ABS(Q67)&gt;0.001,"RATE EXCEPTION",IF(ABS(R67)&gt;0.001,"LENGTH EXCEPTION",IF(ABS(S67)&gt;0.01,"AMOUNT EXCEPTION","OK"))))</f>
        <v>OK</v>
      </c>
      <c r="U67" s="19" t="s">
        <v>473</v>
      </c>
    </row>
    <row r="68" spans="1:21" ht="28" customHeight="1">
      <c r="A68" s="14" t="s">
        <v>474</v>
      </c>
      <c r="B68" s="14" t="s">
        <v>193</v>
      </c>
      <c r="C68" s="14" t="s">
        <v>226</v>
      </c>
      <c r="D68" s="14" t="s">
        <v>227</v>
      </c>
      <c r="E68" s="14" t="s">
        <v>475</v>
      </c>
      <c r="F68" s="15" t="s">
        <v>476</v>
      </c>
      <c r="G68" s="15" t="s">
        <v>477</v>
      </c>
      <c r="H68" s="24">
        <v>36</v>
      </c>
      <c r="I68" s="24">
        <v>19</v>
      </c>
      <c r="J68" s="24">
        <f>MAX(H68,ROUNDUP(I68,0))</f>
        <v>36.0</v>
      </c>
      <c r="K68" s="22">
        <f>IF(C68="covered",10.4,7.55)</f>
        <v>7.55</v>
      </c>
      <c r="L68" s="14" t="s">
        <v>478</v>
      </c>
      <c r="M68" s="24">
        <v>36</v>
      </c>
      <c r="N68" s="22">
        <v>7.55</v>
      </c>
      <c r="O68" s="22">
        <v>271.8</v>
      </c>
      <c r="P68" s="22">
        <f>J68*K68</f>
        <v>271.8</v>
      </c>
      <c r="Q68" s="22">
        <f>IF(L68="","",N68-K68)</f>
        <v>0.0</v>
      </c>
      <c r="R68" s="24">
        <f>IF(L68="","",M68-J68)</f>
        <v>0.0</v>
      </c>
      <c r="S68" s="22">
        <f>IF(L68="",-P68,O68-P68)</f>
        <v>0.0</v>
      </c>
      <c r="T68" s="11" t="str">
        <f>IF(L68="","NO BILL IN SUPPLIED EXPORT",IF(ABS(Q68)&gt;0.001,"RATE EXCEPTION",IF(ABS(R68)&gt;0.001,"LENGTH EXCEPTION",IF(ABS(S68)&gt;0.01,"AMOUNT EXCEPTION","OK"))))</f>
        <v>OK</v>
      </c>
      <c r="U68" s="15" t="s">
        <v>479</v>
      </c>
    </row>
    <row r="69" spans="1:21" ht="28" customHeight="1">
      <c r="A69" s="18" t="s">
        <v>480</v>
      </c>
      <c r="B69" s="18" t="s">
        <v>193</v>
      </c>
      <c r="C69" s="18" t="s">
        <v>226</v>
      </c>
      <c r="D69" s="18" t="s">
        <v>227</v>
      </c>
      <c r="E69" s="18" t="s">
        <v>481</v>
      </c>
      <c r="F69" s="19" t="s">
        <v>482</v>
      </c>
      <c r="G69" s="19" t="s">
        <v>359</v>
      </c>
      <c r="H69" s="24">
        <v>24</v>
      </c>
      <c r="I69" s="24">
        <v>49.6</v>
      </c>
      <c r="J69" s="24">
        <f>MAX(H69,ROUNDUP(I69,0))</f>
        <v>50</v>
      </c>
      <c r="K69" s="22">
        <f>IF(C69="covered",10.4,7.55)</f>
        <v>7.55</v>
      </c>
      <c r="L69" s="18" t="s">
        <v>483</v>
      </c>
      <c r="M69" s="24">
        <v>50</v>
      </c>
      <c r="N69" s="22">
        <v>7.55</v>
      </c>
      <c r="O69" s="22">
        <v>377.5</v>
      </c>
      <c r="P69" s="22">
        <f>J69*K69</f>
        <v>377.5</v>
      </c>
      <c r="Q69" s="22">
        <f>IF(L69="","",N69-K69)</f>
        <v>0.0</v>
      </c>
      <c r="R69" s="24">
        <f>IF(L69="","",M69-J69)</f>
        <v>0.0</v>
      </c>
      <c r="S69" s="22">
        <f>IF(L69="",-P69,O69-P69)</f>
        <v>0.0</v>
      </c>
      <c r="T69" s="11" t="str">
        <f>IF(L69="","NO BILL IN SUPPLIED EXPORT",IF(ABS(Q69)&gt;0.001,"RATE EXCEPTION",IF(ABS(R69)&gt;0.001,"LENGTH EXCEPTION",IF(ABS(S69)&gt;0.01,"AMOUNT EXCEPTION","OK"))))</f>
        <v>OK</v>
      </c>
      <c r="U69" s="19" t="s">
        <v>484</v>
      </c>
    </row>
    <row r="70" spans="1:21" ht="28" customHeight="1">
      <c r="A70" s="14" t="s">
        <v>485</v>
      </c>
      <c r="B70" s="14" t="s">
        <v>193</v>
      </c>
      <c r="C70" s="14" t="s">
        <v>226</v>
      </c>
      <c r="D70" s="14" t="s">
        <v>227</v>
      </c>
      <c r="E70" s="14" t="s">
        <v>486</v>
      </c>
      <c r="F70" s="15" t="s">
        <v>487</v>
      </c>
      <c r="G70" s="15" t="s">
        <v>488</v>
      </c>
      <c r="H70" s="24">
        <v>40</v>
      </c>
      <c r="I70" s="24">
        <v>49.2</v>
      </c>
      <c r="J70" s="24">
        <f>MAX(H70,ROUNDUP(I70,0))</f>
        <v>50</v>
      </c>
      <c r="K70" s="22">
        <f>IF(C70="covered",10.4,7.55)</f>
        <v>7.55</v>
      </c>
      <c r="L70" s="14" t="s">
        <v>489</v>
      </c>
      <c r="M70" s="24">
        <v>50</v>
      </c>
      <c r="N70" s="22">
        <v>7.55</v>
      </c>
      <c r="O70" s="22">
        <v>377.5</v>
      </c>
      <c r="P70" s="22">
        <f>J70*K70</f>
        <v>377.5</v>
      </c>
      <c r="Q70" s="22">
        <f>IF(L70="","",N70-K70)</f>
        <v>0.0</v>
      </c>
      <c r="R70" s="24">
        <f>IF(L70="","",M70-J70)</f>
        <v>0.0</v>
      </c>
      <c r="S70" s="22">
        <f>IF(L70="",-P70,O70-P70)</f>
        <v>0.0</v>
      </c>
      <c r="T70" s="11" t="str">
        <f>IF(L70="","NO BILL IN SUPPLIED EXPORT",IF(ABS(Q70)&gt;0.001,"RATE EXCEPTION",IF(ABS(R70)&gt;0.001,"LENGTH EXCEPTION",IF(ABS(S70)&gt;0.01,"AMOUNT EXCEPTION","OK"))))</f>
        <v>OK</v>
      </c>
      <c r="U70" s="15" t="s">
        <v>490</v>
      </c>
    </row>
    <row r="71" spans="1:21" ht="28" customHeight="1">
      <c r="A71" s="18" t="s">
        <v>491</v>
      </c>
      <c r="B71" s="18" t="s">
        <v>193</v>
      </c>
      <c r="C71" s="18" t="s">
        <v>226</v>
      </c>
      <c r="D71" s="18" t="s">
        <v>227</v>
      </c>
      <c r="E71" s="18" t="s">
        <v>492</v>
      </c>
      <c r="F71" s="19" t="s">
        <v>493</v>
      </c>
      <c r="G71" s="19" t="s">
        <v>494</v>
      </c>
      <c r="H71" s="24">
        <v>40</v>
      </c>
      <c r="I71" s="24">
        <v>29.4</v>
      </c>
      <c r="J71" s="24">
        <f>MAX(H71,ROUNDUP(I71,0))</f>
        <v>40.0</v>
      </c>
      <c r="K71" s="22">
        <f>IF(C71="covered",10.4,7.55)</f>
        <v>7.55</v>
      </c>
      <c r="L71" s="18" t="s">
        <v>495</v>
      </c>
      <c r="M71" s="24">
        <v>40</v>
      </c>
      <c r="N71" s="22">
        <v>7.55</v>
      </c>
      <c r="O71" s="22">
        <v>302</v>
      </c>
      <c r="P71" s="22">
        <f>J71*K71</f>
        <v>302.0</v>
      </c>
      <c r="Q71" s="22">
        <f>IF(L71="","",N71-K71)</f>
        <v>0.0</v>
      </c>
      <c r="R71" s="24">
        <f>IF(L71="","",M71-J71)</f>
        <v>0.0</v>
      </c>
      <c r="S71" s="22">
        <f>IF(L71="",-P71,O71-P71)</f>
        <v>0.0</v>
      </c>
      <c r="T71" s="11" t="str">
        <f>IF(L71="","NO BILL IN SUPPLIED EXPORT",IF(ABS(Q71)&gt;0.001,"RATE EXCEPTION",IF(ABS(R71)&gt;0.001,"LENGTH EXCEPTION",IF(ABS(S71)&gt;0.01,"AMOUNT EXCEPTION","OK"))))</f>
        <v>OK</v>
      </c>
      <c r="U71" s="19" t="s">
        <v>496</v>
      </c>
    </row>
    <row r="72" spans="1:21" ht="28" customHeight="1">
      <c r="A72" s="14" t="s">
        <v>497</v>
      </c>
      <c r="B72" s="14" t="s">
        <v>193</v>
      </c>
      <c r="C72" s="14" t="s">
        <v>226</v>
      </c>
      <c r="D72" s="14" t="s">
        <v>227</v>
      </c>
      <c r="E72" s="14" t="s">
        <v>498</v>
      </c>
      <c r="F72" s="15" t="s">
        <v>499</v>
      </c>
      <c r="G72" s="15" t="s">
        <v>500</v>
      </c>
      <c r="H72" s="24">
        <v>36</v>
      </c>
      <c r="I72" s="24">
        <v>39.1</v>
      </c>
      <c r="J72" s="24">
        <f>MAX(H72,ROUNDUP(I72,0))</f>
        <v>40</v>
      </c>
      <c r="K72" s="22">
        <f>IF(C72="covered",10.4,7.55)</f>
        <v>7.55</v>
      </c>
      <c r="L72" s="14" t="s">
        <v>501</v>
      </c>
      <c r="M72" s="24">
        <v>40</v>
      </c>
      <c r="N72" s="22">
        <v>7.55</v>
      </c>
      <c r="O72" s="22">
        <v>302</v>
      </c>
      <c r="P72" s="22">
        <f>J72*K72</f>
        <v>302.0</v>
      </c>
      <c r="Q72" s="22">
        <f>IF(L72="","",N72-K72)</f>
        <v>0.0</v>
      </c>
      <c r="R72" s="24">
        <f>IF(L72="","",M72-J72)</f>
        <v>0.0</v>
      </c>
      <c r="S72" s="22">
        <f>IF(L72="",-P72,O72-P72)</f>
        <v>0.0</v>
      </c>
      <c r="T72" s="11" t="str">
        <f>IF(L72="","NO BILL IN SUPPLIED EXPORT",IF(ABS(Q72)&gt;0.001,"RATE EXCEPTION",IF(ABS(R72)&gt;0.001,"LENGTH EXCEPTION",IF(ABS(S72)&gt;0.01,"AMOUNT EXCEPTION","OK"))))</f>
        <v>OK</v>
      </c>
      <c r="U72" s="15" t="s">
        <v>502</v>
      </c>
    </row>
    <row r="73" spans="1:21" ht="28" customHeight="1">
      <c r="A73" s="18" t="s">
        <v>503</v>
      </c>
      <c r="B73" s="18" t="s">
        <v>193</v>
      </c>
      <c r="C73" s="18" t="s">
        <v>226</v>
      </c>
      <c r="D73" s="18" t="s">
        <v>227</v>
      </c>
      <c r="E73" s="18" t="s">
        <v>504</v>
      </c>
      <c r="F73" s="19" t="s">
        <v>505</v>
      </c>
      <c r="G73" s="19" t="s">
        <v>506</v>
      </c>
      <c r="H73" s="24">
        <v>40</v>
      </c>
      <c r="I73" s="24">
        <v>61.9</v>
      </c>
      <c r="J73" s="24">
        <f>MAX(H73,ROUNDUP(I73,0))</f>
        <v>62</v>
      </c>
      <c r="K73" s="22">
        <f>IF(C73="covered",10.4,7.55)</f>
        <v>7.55</v>
      </c>
      <c r="L73" s="18" t="s">
        <v>507</v>
      </c>
      <c r="M73" s="24">
        <v>62</v>
      </c>
      <c r="N73" s="22">
        <v>7.55</v>
      </c>
      <c r="O73" s="22">
        <v>468.1</v>
      </c>
      <c r="P73" s="22">
        <f>J73*K73</f>
        <v>468.09999999999997</v>
      </c>
      <c r="Q73" s="22">
        <f>IF(L73="","",N73-K73)</f>
        <v>0.0</v>
      </c>
      <c r="R73" s="24">
        <f>IF(L73="","",M73-J73)</f>
        <v>0.0</v>
      </c>
      <c r="S73" s="22">
        <f>IF(L73="",-P73,O73-P73)</f>
        <v>5.684341886080802e-14</v>
      </c>
      <c r="T73" s="11" t="str">
        <f>IF(L73="","NO BILL IN SUPPLIED EXPORT",IF(ABS(Q73)&gt;0.001,"RATE EXCEPTION",IF(ABS(R73)&gt;0.001,"LENGTH EXCEPTION",IF(ABS(S73)&gt;0.01,"AMOUNT EXCEPTION","OK"))))</f>
        <v>OK</v>
      </c>
      <c r="U73" s="19" t="s">
        <v>508</v>
      </c>
    </row>
    <row r="74" spans="1:21" ht="28" customHeight="1">
      <c r="A74" s="14" t="s">
        <v>509</v>
      </c>
      <c r="B74" s="14" t="s">
        <v>193</v>
      </c>
      <c r="C74" s="14" t="s">
        <v>226</v>
      </c>
      <c r="D74" s="14" t="s">
        <v>227</v>
      </c>
      <c r="E74" s="14" t="s">
        <v>510</v>
      </c>
      <c r="F74" s="15" t="s">
        <v>511</v>
      </c>
      <c r="G74" s="15" t="s">
        <v>329</v>
      </c>
      <c r="H74" s="24">
        <v>50</v>
      </c>
      <c r="I74" s="24">
        <v>21</v>
      </c>
      <c r="J74" s="24">
        <f>MAX(H74,ROUNDUP(I74,0))</f>
        <v>50.0</v>
      </c>
      <c r="K74" s="22">
        <f>IF(C74="covered",10.4,7.55)</f>
        <v>7.55</v>
      </c>
      <c r="L74" s="14" t="s">
        <v>512</v>
      </c>
      <c r="M74" s="24">
        <v>50</v>
      </c>
      <c r="N74" s="22">
        <v>7.55</v>
      </c>
      <c r="O74" s="22">
        <v>377.5</v>
      </c>
      <c r="P74" s="22">
        <f>J74*K74</f>
        <v>377.5</v>
      </c>
      <c r="Q74" s="22">
        <f>IF(L74="","",N74-K74)</f>
        <v>0.0</v>
      </c>
      <c r="R74" s="24">
        <f>IF(L74="","",M74-J74)</f>
        <v>0.0</v>
      </c>
      <c r="S74" s="22">
        <f>IF(L74="",-P74,O74-P74)</f>
        <v>0.0</v>
      </c>
      <c r="T74" s="11" t="str">
        <f>IF(L74="","NO BILL IN SUPPLIED EXPORT",IF(ABS(Q74)&gt;0.001,"RATE EXCEPTION",IF(ABS(R74)&gt;0.001,"LENGTH EXCEPTION",IF(ABS(S74)&gt;0.01,"AMOUNT EXCEPTION","OK"))))</f>
        <v>OK</v>
      </c>
      <c r="U74" s="15" t="s">
        <v>513</v>
      </c>
    </row>
    <row r="75" spans="1:21" ht="28" customHeight="1">
      <c r="A75" s="18" t="s">
        <v>514</v>
      </c>
      <c r="B75" s="18" t="s">
        <v>193</v>
      </c>
      <c r="C75" s="18" t="s">
        <v>226</v>
      </c>
      <c r="D75" s="18" t="s">
        <v>227</v>
      </c>
      <c r="E75" s="18" t="s">
        <v>515</v>
      </c>
      <c r="F75" s="19" t="s">
        <v>516</v>
      </c>
      <c r="G75" s="19" t="s">
        <v>517</v>
      </c>
      <c r="H75" s="24">
        <v>70</v>
      </c>
      <c r="I75" s="24">
        <v>19.3</v>
      </c>
      <c r="J75" s="24">
        <f>MAX(H75,ROUNDUP(I75,0))</f>
        <v>70.0</v>
      </c>
      <c r="K75" s="22">
        <f>IF(C75="covered",10.4,7.55)</f>
        <v>7.55</v>
      </c>
      <c r="L75" s="18" t="s">
        <v>518</v>
      </c>
      <c r="M75" s="24">
        <v>70</v>
      </c>
      <c r="N75" s="22">
        <v>7.55</v>
      </c>
      <c r="O75" s="22">
        <v>528.5</v>
      </c>
      <c r="P75" s="22">
        <f>J75*K75</f>
        <v>528.5</v>
      </c>
      <c r="Q75" s="22">
        <f>IF(L75="","",N75-K75)</f>
        <v>0.0</v>
      </c>
      <c r="R75" s="24">
        <f>IF(L75="","",M75-J75)</f>
        <v>0.0</v>
      </c>
      <c r="S75" s="22">
        <f>IF(L75="",-P75,O75-P75)</f>
        <v>0.0</v>
      </c>
      <c r="T75" s="11" t="str">
        <f>IF(L75="","NO BILL IN SUPPLIED EXPORT",IF(ABS(Q75)&gt;0.001,"RATE EXCEPTION",IF(ABS(R75)&gt;0.001,"LENGTH EXCEPTION",IF(ABS(S75)&gt;0.01,"AMOUNT EXCEPTION","OK"))))</f>
        <v>OK</v>
      </c>
      <c r="U75" s="19" t="s">
        <v>519</v>
      </c>
    </row>
    <row r="76" spans="1:21" ht="28" customHeight="1">
      <c r="A76" s="14" t="s">
        <v>520</v>
      </c>
      <c r="B76" s="14" t="s">
        <v>193</v>
      </c>
      <c r="C76" s="14" t="s">
        <v>226</v>
      </c>
      <c r="D76" s="14" t="s">
        <v>227</v>
      </c>
      <c r="E76" s="14" t="s">
        <v>521</v>
      </c>
      <c r="F76" s="15" t="s">
        <v>522</v>
      </c>
      <c r="G76" s="15" t="s">
        <v>523</v>
      </c>
      <c r="H76" s="24">
        <v>28</v>
      </c>
      <c r="I76" s="24">
        <v>26.7</v>
      </c>
      <c r="J76" s="24">
        <f>MAX(H76,ROUNDUP(I76,0))</f>
        <v>28.0</v>
      </c>
      <c r="K76" s="22">
        <f>IF(C76="covered",10.4,7.55)</f>
        <v>7.55</v>
      </c>
      <c r="L76" s="14" t="s">
        <v>524</v>
      </c>
      <c r="M76" s="24">
        <v>28</v>
      </c>
      <c r="N76" s="22">
        <v>7.55</v>
      </c>
      <c r="O76" s="22">
        <v>211.4</v>
      </c>
      <c r="P76" s="22">
        <f>J76*K76</f>
        <v>211.4</v>
      </c>
      <c r="Q76" s="22">
        <f>IF(L76="","",N76-K76)</f>
        <v>0.0</v>
      </c>
      <c r="R76" s="24">
        <f>IF(L76="","",M76-J76)</f>
        <v>0.0</v>
      </c>
      <c r="S76" s="22">
        <f>IF(L76="",-P76,O76-P76)</f>
        <v>0.0</v>
      </c>
      <c r="T76" s="11" t="str">
        <f>IF(L76="","NO BILL IN SUPPLIED EXPORT",IF(ABS(Q76)&gt;0.001,"RATE EXCEPTION",IF(ABS(R76)&gt;0.001,"LENGTH EXCEPTION",IF(ABS(S76)&gt;0.01,"AMOUNT EXCEPTION","OK"))))</f>
        <v>OK</v>
      </c>
      <c r="U76" s="15" t="s">
        <v>525</v>
      </c>
    </row>
    <row r="77" spans="1:21" ht="28" customHeight="1">
      <c r="A77" s="18" t="s">
        <v>526</v>
      </c>
      <c r="B77" s="18" t="s">
        <v>193</v>
      </c>
      <c r="C77" s="18" t="s">
        <v>226</v>
      </c>
      <c r="D77" s="18" t="s">
        <v>227</v>
      </c>
      <c r="E77" s="18" t="s">
        <v>527</v>
      </c>
      <c r="F77" s="19" t="s">
        <v>528</v>
      </c>
      <c r="G77" s="19" t="s">
        <v>529</v>
      </c>
      <c r="H77" s="24">
        <v>50</v>
      </c>
      <c r="I77" s="24">
        <v>43.4</v>
      </c>
      <c r="J77" s="24">
        <f>MAX(H77,ROUNDUP(I77,0))</f>
        <v>50.0</v>
      </c>
      <c r="K77" s="22">
        <f>IF(C77="covered",10.4,7.55)</f>
        <v>7.55</v>
      </c>
      <c r="L77" s="18" t="s">
        <v>530</v>
      </c>
      <c r="M77" s="24">
        <v>50</v>
      </c>
      <c r="N77" s="22">
        <v>7.55</v>
      </c>
      <c r="O77" s="22">
        <v>377.5</v>
      </c>
      <c r="P77" s="22">
        <f>J77*K77</f>
        <v>377.5</v>
      </c>
      <c r="Q77" s="22">
        <f>IF(L77="","",N77-K77)</f>
        <v>0.0</v>
      </c>
      <c r="R77" s="24">
        <f>IF(L77="","",M77-J77)</f>
        <v>0.0</v>
      </c>
      <c r="S77" s="22">
        <f>IF(L77="",-P77,O77-P77)</f>
        <v>0.0</v>
      </c>
      <c r="T77" s="11" t="str">
        <f>IF(L77="","NO BILL IN SUPPLIED EXPORT",IF(ABS(Q77)&gt;0.001,"RATE EXCEPTION",IF(ABS(R77)&gt;0.001,"LENGTH EXCEPTION",IF(ABS(S77)&gt;0.01,"AMOUNT EXCEPTION","OK"))))</f>
        <v>OK</v>
      </c>
      <c r="U77" s="19" t="s">
        <v>531</v>
      </c>
    </row>
    <row r="78" spans="1:21" ht="28" customHeight="1">
      <c r="A78" s="14" t="s">
        <v>532</v>
      </c>
      <c r="B78" s="14" t="s">
        <v>193</v>
      </c>
      <c r="C78" s="14" t="s">
        <v>226</v>
      </c>
      <c r="D78" s="14" t="s">
        <v>227</v>
      </c>
      <c r="E78" s="14" t="s">
        <v>533</v>
      </c>
      <c r="F78" s="15" t="s">
        <v>534</v>
      </c>
      <c r="G78" s="15" t="s">
        <v>535</v>
      </c>
      <c r="H78" s="24">
        <v>32</v>
      </c>
      <c r="I78" s="24">
        <v>22.3</v>
      </c>
      <c r="J78" s="24">
        <f>MAX(H78,ROUNDUP(I78,0))</f>
        <v>32.0</v>
      </c>
      <c r="K78" s="22">
        <f>IF(C78="covered",10.4,7.55)</f>
        <v>7.55</v>
      </c>
      <c r="L78" s="14" t="s">
        <v>536</v>
      </c>
      <c r="M78" s="24">
        <v>32</v>
      </c>
      <c r="N78" s="22">
        <v>7.55</v>
      </c>
      <c r="O78" s="22">
        <v>241.6</v>
      </c>
      <c r="P78" s="22">
        <f>J78*K78</f>
        <v>241.6</v>
      </c>
      <c r="Q78" s="22">
        <f>IF(L78="","",N78-K78)</f>
        <v>0.0</v>
      </c>
      <c r="R78" s="24">
        <f>IF(L78="","",M78-J78)</f>
        <v>0.0</v>
      </c>
      <c r="S78" s="22">
        <f>IF(L78="",-P78,O78-P78)</f>
        <v>0.0</v>
      </c>
      <c r="T78" s="11" t="str">
        <f>IF(L78="","NO BILL IN SUPPLIED EXPORT",IF(ABS(Q78)&gt;0.001,"RATE EXCEPTION",IF(ABS(R78)&gt;0.001,"LENGTH EXCEPTION",IF(ABS(S78)&gt;0.01,"AMOUNT EXCEPTION","OK"))))</f>
        <v>OK</v>
      </c>
      <c r="U78" s="15" t="s">
        <v>537</v>
      </c>
    </row>
    <row r="79" spans="1:21" ht="28" customHeight="1">
      <c r="A79" s="18" t="s">
        <v>538</v>
      </c>
      <c r="B79" s="18" t="s">
        <v>193</v>
      </c>
      <c r="C79" s="18" t="s">
        <v>226</v>
      </c>
      <c r="D79" s="18" t="s">
        <v>227</v>
      </c>
      <c r="E79" s="18" t="s">
        <v>539</v>
      </c>
      <c r="F79" s="19" t="s">
        <v>540</v>
      </c>
      <c r="G79" s="19" t="s">
        <v>541</v>
      </c>
      <c r="H79" s="24">
        <v>28</v>
      </c>
      <c r="I79" s="24">
        <v>30.1</v>
      </c>
      <c r="J79" s="24">
        <f>MAX(H79,ROUNDUP(I79,0))</f>
        <v>31</v>
      </c>
      <c r="K79" s="22">
        <f>IF(C79="covered",10.4,7.55)</f>
        <v>7.55</v>
      </c>
      <c r="L79" s="18" t="s">
        <v>542</v>
      </c>
      <c r="M79" s="24">
        <v>31</v>
      </c>
      <c r="N79" s="22">
        <v>7.55</v>
      </c>
      <c r="O79" s="22">
        <v>234.05</v>
      </c>
      <c r="P79" s="22">
        <f>J79*K79</f>
        <v>234.04999999999998</v>
      </c>
      <c r="Q79" s="22">
        <f>IF(L79="","",N79-K79)</f>
        <v>0.0</v>
      </c>
      <c r="R79" s="24">
        <f>IF(L79="","",M79-J79)</f>
        <v>0.0</v>
      </c>
      <c r="S79" s="22">
        <f>IF(L79="",-P79,O79-P79)</f>
        <v>2.842170943040401e-14</v>
      </c>
      <c r="T79" s="11" t="str">
        <f>IF(L79="","NO BILL IN SUPPLIED EXPORT",IF(ABS(Q79)&gt;0.001,"RATE EXCEPTION",IF(ABS(R79)&gt;0.001,"LENGTH EXCEPTION",IF(ABS(S79)&gt;0.01,"AMOUNT EXCEPTION","OK"))))</f>
        <v>OK</v>
      </c>
      <c r="U79" s="19" t="s">
        <v>543</v>
      </c>
    </row>
    <row r="80" spans="1:21" ht="28" customHeight="1">
      <c r="A80" s="14" t="s">
        <v>544</v>
      </c>
      <c r="B80" s="14" t="s">
        <v>193</v>
      </c>
      <c r="C80" s="14" t="s">
        <v>226</v>
      </c>
      <c r="D80" s="14" t="s">
        <v>227</v>
      </c>
      <c r="E80" s="14" t="s">
        <v>545</v>
      </c>
      <c r="F80" s="15" t="s">
        <v>546</v>
      </c>
      <c r="G80" s="15" t="s">
        <v>547</v>
      </c>
      <c r="H80" s="24">
        <v>50</v>
      </c>
      <c r="I80" s="24">
        <v>21.8</v>
      </c>
      <c r="J80" s="24">
        <f>MAX(H80,ROUNDUP(I80,0))</f>
        <v>50.0</v>
      </c>
      <c r="K80" s="22">
        <f>IF(C80="covered",10.4,7.55)</f>
        <v>7.55</v>
      </c>
      <c r="L80" s="14" t="s">
        <v>548</v>
      </c>
      <c r="M80" s="24">
        <v>50</v>
      </c>
      <c r="N80" s="22">
        <v>7.55</v>
      </c>
      <c r="O80" s="22">
        <v>377.5</v>
      </c>
      <c r="P80" s="22">
        <f>J80*K80</f>
        <v>377.5</v>
      </c>
      <c r="Q80" s="22">
        <f>IF(L80="","",N80-K80)</f>
        <v>0.0</v>
      </c>
      <c r="R80" s="24">
        <f>IF(L80="","",M80-J80)</f>
        <v>0.0</v>
      </c>
      <c r="S80" s="22">
        <f>IF(L80="",-P80,O80-P80)</f>
        <v>0.0</v>
      </c>
      <c r="T80" s="11" t="str">
        <f>IF(L80="","NO BILL IN SUPPLIED EXPORT",IF(ABS(Q80)&gt;0.001,"RATE EXCEPTION",IF(ABS(R80)&gt;0.001,"LENGTH EXCEPTION",IF(ABS(S80)&gt;0.01,"AMOUNT EXCEPTION","OK"))))</f>
        <v>OK</v>
      </c>
      <c r="U80" s="15" t="s">
        <v>549</v>
      </c>
    </row>
    <row r="81" spans="1:21" ht="28" customHeight="1">
      <c r="A81" s="18" t="s">
        <v>550</v>
      </c>
      <c r="B81" s="18" t="s">
        <v>193</v>
      </c>
      <c r="C81" s="18" t="s">
        <v>226</v>
      </c>
      <c r="D81" s="18" t="s">
        <v>227</v>
      </c>
      <c r="E81" s="18" t="s">
        <v>551</v>
      </c>
      <c r="F81" s="19" t="s">
        <v>552</v>
      </c>
      <c r="G81" s="19" t="s">
        <v>553</v>
      </c>
      <c r="H81" s="24">
        <v>32</v>
      </c>
      <c r="I81" s="24">
        <v>32.5</v>
      </c>
      <c r="J81" s="24">
        <f>MAX(H81,ROUNDUP(I81,0))</f>
        <v>33</v>
      </c>
      <c r="K81" s="22">
        <f>IF(C81="covered",10.4,7.55)</f>
        <v>7.55</v>
      </c>
      <c r="L81" s="18" t="s">
        <v>554</v>
      </c>
      <c r="M81" s="24">
        <v>33</v>
      </c>
      <c r="N81" s="22">
        <v>7.55</v>
      </c>
      <c r="O81" s="22">
        <v>249.15</v>
      </c>
      <c r="P81" s="22">
        <f>J81*K81</f>
        <v>249.15</v>
      </c>
      <c r="Q81" s="22">
        <f>IF(L81="","",N81-K81)</f>
        <v>0.0</v>
      </c>
      <c r="R81" s="24">
        <f>IF(L81="","",M81-J81)</f>
        <v>0.0</v>
      </c>
      <c r="S81" s="22">
        <f>IF(L81="",-P81,O81-P81)</f>
        <v>0.0</v>
      </c>
      <c r="T81" s="11" t="str">
        <f>IF(L81="","NO BILL IN SUPPLIED EXPORT",IF(ABS(Q81)&gt;0.001,"RATE EXCEPTION",IF(ABS(R81)&gt;0.001,"LENGTH EXCEPTION",IF(ABS(S81)&gt;0.01,"AMOUNT EXCEPTION","OK"))))</f>
        <v>OK</v>
      </c>
      <c r="U81" s="19" t="s">
        <v>555</v>
      </c>
    </row>
    <row r="82" spans="1:21" ht="28" customHeight="1">
      <c r="A82" s="14" t="s">
        <v>556</v>
      </c>
      <c r="B82" s="14" t="s">
        <v>193</v>
      </c>
      <c r="C82" s="14" t="s">
        <v>226</v>
      </c>
      <c r="D82" s="14" t="s">
        <v>227</v>
      </c>
      <c r="E82" s="14" t="s">
        <v>557</v>
      </c>
      <c r="F82" s="15" t="s">
        <v>558</v>
      </c>
      <c r="G82" s="15" t="s">
        <v>559</v>
      </c>
      <c r="H82" s="24">
        <v>24</v>
      </c>
      <c r="I82" s="24">
        <v>43.2</v>
      </c>
      <c r="J82" s="24">
        <f>MAX(H82,ROUNDUP(I82,0))</f>
        <v>44</v>
      </c>
      <c r="K82" s="22">
        <f>IF(C82="covered",10.4,7.55)</f>
        <v>7.55</v>
      </c>
      <c r="L82" s="14" t="s">
        <v>560</v>
      </c>
      <c r="M82" s="24">
        <v>44</v>
      </c>
      <c r="N82" s="22">
        <v>7.55</v>
      </c>
      <c r="O82" s="22">
        <v>332.2</v>
      </c>
      <c r="P82" s="22">
        <f>J82*K82</f>
        <v>332.2</v>
      </c>
      <c r="Q82" s="22">
        <f>IF(L82="","",N82-K82)</f>
        <v>0.0</v>
      </c>
      <c r="R82" s="24">
        <f>IF(L82="","",M82-J82)</f>
        <v>0.0</v>
      </c>
      <c r="S82" s="22">
        <f>IF(L82="",-P82,O82-P82)</f>
        <v>0.0</v>
      </c>
      <c r="T82" s="11" t="str">
        <f>IF(L82="","NO BILL IN SUPPLIED EXPORT",IF(ABS(Q82)&gt;0.001,"RATE EXCEPTION",IF(ABS(R82)&gt;0.001,"LENGTH EXCEPTION",IF(ABS(S82)&gt;0.01,"AMOUNT EXCEPTION","OK"))))</f>
        <v>OK</v>
      </c>
      <c r="U82" s="15" t="s">
        <v>561</v>
      </c>
    </row>
    <row r="83" spans="1:21" ht="28" customHeight="1">
      <c r="A83" s="18" t="s">
        <v>562</v>
      </c>
      <c r="B83" s="18" t="s">
        <v>193</v>
      </c>
      <c r="C83" s="18" t="s">
        <v>226</v>
      </c>
      <c r="D83" s="18" t="s">
        <v>227</v>
      </c>
      <c r="E83" s="18" t="s">
        <v>563</v>
      </c>
      <c r="F83" s="19" t="s">
        <v>564</v>
      </c>
      <c r="G83" s="19" t="s">
        <v>565</v>
      </c>
      <c r="H83" s="24">
        <v>36</v>
      </c>
      <c r="I83" s="24">
        <v>60.1</v>
      </c>
      <c r="J83" s="24">
        <f>MAX(H83,ROUNDUP(I83,0))</f>
        <v>61</v>
      </c>
      <c r="K83" s="22">
        <f>IF(C83="covered",10.4,7.55)</f>
        <v>7.55</v>
      </c>
      <c r="L83" s="18" t="s">
        <v>566</v>
      </c>
      <c r="M83" s="24">
        <v>61</v>
      </c>
      <c r="N83" s="22">
        <v>7.55</v>
      </c>
      <c r="O83" s="22">
        <v>460.55</v>
      </c>
      <c r="P83" s="22">
        <f>J83*K83</f>
        <v>460.55</v>
      </c>
      <c r="Q83" s="22">
        <f>IF(L83="","",N83-K83)</f>
        <v>0.0</v>
      </c>
      <c r="R83" s="24">
        <f>IF(L83="","",M83-J83)</f>
        <v>0.0</v>
      </c>
      <c r="S83" s="22">
        <f>IF(L83="",-P83,O83-P83)</f>
        <v>0.0</v>
      </c>
      <c r="T83" s="11" t="str">
        <f>IF(L83="","NO BILL IN SUPPLIED EXPORT",IF(ABS(Q83)&gt;0.001,"RATE EXCEPTION",IF(ABS(R83)&gt;0.001,"LENGTH EXCEPTION",IF(ABS(S83)&gt;0.01,"AMOUNT EXCEPTION","OK"))))</f>
        <v>OK</v>
      </c>
      <c r="U83" s="19" t="s">
        <v>567</v>
      </c>
    </row>
    <row r="84" spans="1:21" ht="28" customHeight="1">
      <c r="A84" s="14" t="s">
        <v>568</v>
      </c>
      <c r="B84" s="14" t="s">
        <v>193</v>
      </c>
      <c r="C84" s="14" t="s">
        <v>226</v>
      </c>
      <c r="D84" s="14" t="s">
        <v>227</v>
      </c>
      <c r="E84" s="14" t="s">
        <v>569</v>
      </c>
      <c r="F84" s="15" t="s">
        <v>570</v>
      </c>
      <c r="G84" s="15" t="s">
        <v>571</v>
      </c>
      <c r="H84" s="24">
        <v>36</v>
      </c>
      <c r="I84" s="24">
        <v>44.2</v>
      </c>
      <c r="J84" s="24">
        <f>MAX(H84,ROUNDUP(I84,0))</f>
        <v>45</v>
      </c>
      <c r="K84" s="22">
        <f>IF(C84="covered",10.4,7.55)</f>
        <v>7.55</v>
      </c>
      <c r="L84" s="14" t="s">
        <v>572</v>
      </c>
      <c r="M84" s="24">
        <v>45</v>
      </c>
      <c r="N84" s="22">
        <v>7.55</v>
      </c>
      <c r="O84" s="22">
        <v>339.75</v>
      </c>
      <c r="P84" s="22">
        <f>J84*K84</f>
        <v>339.75</v>
      </c>
      <c r="Q84" s="22">
        <f>IF(L84="","",N84-K84)</f>
        <v>0.0</v>
      </c>
      <c r="R84" s="24">
        <f>IF(L84="","",M84-J84)</f>
        <v>0.0</v>
      </c>
      <c r="S84" s="22">
        <f>IF(L84="",-P84,O84-P84)</f>
        <v>0.0</v>
      </c>
      <c r="T84" s="11" t="str">
        <f>IF(L84="","NO BILL IN SUPPLIED EXPORT",IF(ABS(Q84)&gt;0.001,"RATE EXCEPTION",IF(ABS(R84)&gt;0.001,"LENGTH EXCEPTION",IF(ABS(S84)&gt;0.01,"AMOUNT EXCEPTION","OK"))))</f>
        <v>OK</v>
      </c>
      <c r="U84" s="15" t="s">
        <v>573</v>
      </c>
    </row>
    <row r="85" spans="1:21" ht="28" customHeight="1">
      <c r="A85" s="18" t="s">
        <v>574</v>
      </c>
      <c r="B85" s="18" t="s">
        <v>193</v>
      </c>
      <c r="C85" s="18" t="s">
        <v>226</v>
      </c>
      <c r="D85" s="18" t="s">
        <v>227</v>
      </c>
      <c r="E85" s="18" t="s">
        <v>575</v>
      </c>
      <c r="F85" s="19" t="s">
        <v>576</v>
      </c>
      <c r="G85" s="19" t="s">
        <v>529</v>
      </c>
      <c r="H85" s="24">
        <v>32</v>
      </c>
      <c r="I85" s="24">
        <v>37</v>
      </c>
      <c r="J85" s="24">
        <f>MAX(H85,ROUNDUP(I85,0))</f>
        <v>37</v>
      </c>
      <c r="K85" s="22">
        <f>IF(C85="covered",10.4,7.55)</f>
        <v>7.55</v>
      </c>
      <c r="L85" s="18" t="s">
        <v>577</v>
      </c>
      <c r="M85" s="24">
        <v>37</v>
      </c>
      <c r="N85" s="22">
        <v>7.55</v>
      </c>
      <c r="O85" s="22">
        <v>279.35</v>
      </c>
      <c r="P85" s="22">
        <f>J85*K85</f>
        <v>279.34999999999997</v>
      </c>
      <c r="Q85" s="22">
        <f>IF(L85="","",N85-K85)</f>
        <v>0.0</v>
      </c>
      <c r="R85" s="24">
        <f>IF(L85="","",M85-J85)</f>
        <v>0.0</v>
      </c>
      <c r="S85" s="22">
        <f>IF(L85="",-P85,O85-P85)</f>
        <v>5.684341886080802e-14</v>
      </c>
      <c r="T85" s="11" t="str">
        <f>IF(L85="","NO BILL IN SUPPLIED EXPORT",IF(ABS(Q85)&gt;0.001,"RATE EXCEPTION",IF(ABS(R85)&gt;0.001,"LENGTH EXCEPTION",IF(ABS(S85)&gt;0.01,"AMOUNT EXCEPTION","OK"))))</f>
        <v>OK</v>
      </c>
      <c r="U85" s="19" t="s">
        <v>578</v>
      </c>
    </row>
    <row r="86" spans="1:21" ht="28" customHeight="1">
      <c r="A86" s="14" t="s">
        <v>579</v>
      </c>
      <c r="B86" s="14" t="s">
        <v>193</v>
      </c>
      <c r="C86" s="14" t="s">
        <v>226</v>
      </c>
      <c r="D86" s="14" t="s">
        <v>227</v>
      </c>
      <c r="E86" s="14" t="s">
        <v>580</v>
      </c>
      <c r="F86" s="15" t="s">
        <v>581</v>
      </c>
      <c r="G86" s="15" t="s">
        <v>582</v>
      </c>
      <c r="H86" s="24">
        <v>70</v>
      </c>
      <c r="I86" s="24">
        <v>56.8</v>
      </c>
      <c r="J86" s="24">
        <f>MAX(H86,ROUNDUP(I86,0))</f>
        <v>70.0</v>
      </c>
      <c r="K86" s="22">
        <f>IF(C86="covered",10.4,7.55)</f>
        <v>7.55</v>
      </c>
      <c r="L86" s="14" t="s">
        <v>583</v>
      </c>
      <c r="M86" s="24">
        <v>70</v>
      </c>
      <c r="N86" s="22">
        <v>7.55</v>
      </c>
      <c r="O86" s="22">
        <v>528.5</v>
      </c>
      <c r="P86" s="22">
        <f>J86*K86</f>
        <v>528.5</v>
      </c>
      <c r="Q86" s="22">
        <f>IF(L86="","",N86-K86)</f>
        <v>0.0</v>
      </c>
      <c r="R86" s="24">
        <f>IF(L86="","",M86-J86)</f>
        <v>0.0</v>
      </c>
      <c r="S86" s="22">
        <f>IF(L86="",-P86,O86-P86)</f>
        <v>0.0</v>
      </c>
      <c r="T86" s="11" t="str">
        <f>IF(L86="","NO BILL IN SUPPLIED EXPORT",IF(ABS(Q86)&gt;0.001,"RATE EXCEPTION",IF(ABS(R86)&gt;0.001,"LENGTH EXCEPTION",IF(ABS(S86)&gt;0.01,"AMOUNT EXCEPTION","OK"))))</f>
        <v>OK</v>
      </c>
      <c r="U86" s="15" t="s">
        <v>584</v>
      </c>
    </row>
    <row r="87" spans="1:21" ht="28" customHeight="1">
      <c r="A87" s="18" t="s">
        <v>585</v>
      </c>
      <c r="B87" s="18" t="s">
        <v>193</v>
      </c>
      <c r="C87" s="18" t="s">
        <v>226</v>
      </c>
      <c r="D87" s="18" t="s">
        <v>227</v>
      </c>
      <c r="E87" s="18" t="s">
        <v>586</v>
      </c>
      <c r="F87" s="19" t="s">
        <v>587</v>
      </c>
      <c r="G87" s="19" t="s">
        <v>588</v>
      </c>
      <c r="H87" s="24">
        <v>70</v>
      </c>
      <c r="I87" s="24">
        <v>18.7</v>
      </c>
      <c r="J87" s="24">
        <f>MAX(H87,ROUNDUP(I87,0))</f>
        <v>70.0</v>
      </c>
      <c r="K87" s="22">
        <f>IF(C87="covered",10.4,7.55)</f>
        <v>7.55</v>
      </c>
      <c r="L87" s="18" t="s">
        <v>589</v>
      </c>
      <c r="M87" s="24">
        <v>70</v>
      </c>
      <c r="N87" s="22">
        <v>7.55</v>
      </c>
      <c r="O87" s="22">
        <v>528.5</v>
      </c>
      <c r="P87" s="22">
        <f>J87*K87</f>
        <v>528.5</v>
      </c>
      <c r="Q87" s="22">
        <f>IF(L87="","",N87-K87)</f>
        <v>0.0</v>
      </c>
      <c r="R87" s="24">
        <f>IF(L87="","",M87-J87)</f>
        <v>0.0</v>
      </c>
      <c r="S87" s="22">
        <f>IF(L87="",-P87,O87-P87)</f>
        <v>0.0</v>
      </c>
      <c r="T87" s="11" t="str">
        <f>IF(L87="","NO BILL IN SUPPLIED EXPORT",IF(ABS(Q87)&gt;0.001,"RATE EXCEPTION",IF(ABS(R87)&gt;0.001,"LENGTH EXCEPTION",IF(ABS(S87)&gt;0.01,"AMOUNT EXCEPTION","OK"))))</f>
        <v>OK</v>
      </c>
      <c r="U87" s="19" t="s">
        <v>590</v>
      </c>
    </row>
    <row r="88" spans="1:21" ht="28" customHeight="1">
      <c r="A88" s="14" t="s">
        <v>591</v>
      </c>
      <c r="B88" s="14" t="s">
        <v>193</v>
      </c>
      <c r="C88" s="14" t="s">
        <v>226</v>
      </c>
      <c r="D88" s="14" t="s">
        <v>227</v>
      </c>
      <c r="E88" s="14" t="s">
        <v>592</v>
      </c>
      <c r="F88" s="15" t="s">
        <v>593</v>
      </c>
      <c r="G88" s="15" t="s">
        <v>594</v>
      </c>
      <c r="H88" s="24">
        <v>28</v>
      </c>
      <c r="I88" s="24">
        <v>56.7</v>
      </c>
      <c r="J88" s="24">
        <f>MAX(H88,ROUNDUP(I88,0))</f>
        <v>57</v>
      </c>
      <c r="K88" s="22">
        <f>IF(C88="covered",10.4,7.55)</f>
        <v>7.55</v>
      </c>
      <c r="L88" s="14" t="s">
        <v>595</v>
      </c>
      <c r="M88" s="24">
        <v>57</v>
      </c>
      <c r="N88" s="22">
        <v>7.55</v>
      </c>
      <c r="O88" s="22">
        <v>430.35</v>
      </c>
      <c r="P88" s="22">
        <f>J88*K88</f>
        <v>430.34999999999997</v>
      </c>
      <c r="Q88" s="22">
        <f>IF(L88="","",N88-K88)</f>
        <v>0.0</v>
      </c>
      <c r="R88" s="24">
        <f>IF(L88="","",M88-J88)</f>
        <v>0.0</v>
      </c>
      <c r="S88" s="22">
        <f>IF(L88="",-P88,O88-P88)</f>
        <v>5.684341886080802e-14</v>
      </c>
      <c r="T88" s="11" t="str">
        <f>IF(L88="","NO BILL IN SUPPLIED EXPORT",IF(ABS(Q88)&gt;0.001,"RATE EXCEPTION",IF(ABS(R88)&gt;0.001,"LENGTH EXCEPTION",IF(ABS(S88)&gt;0.01,"AMOUNT EXCEPTION","OK"))))</f>
        <v>OK</v>
      </c>
      <c r="U88" s="15" t="s">
        <v>596</v>
      </c>
    </row>
    <row r="89" spans="1:21" ht="28" customHeight="1">
      <c r="A89" s="18" t="s">
        <v>597</v>
      </c>
      <c r="B89" s="18" t="s">
        <v>193</v>
      </c>
      <c r="C89" s="18" t="s">
        <v>226</v>
      </c>
      <c r="D89" s="18" t="s">
        <v>227</v>
      </c>
      <c r="E89" s="18" t="s">
        <v>598</v>
      </c>
      <c r="F89" s="19" t="s">
        <v>599</v>
      </c>
      <c r="G89" s="19" t="s">
        <v>600</v>
      </c>
      <c r="H89" s="24">
        <v>36</v>
      </c>
      <c r="I89" s="24">
        <v>50.2</v>
      </c>
      <c r="J89" s="24">
        <f>MAX(H89,ROUNDUP(I89,0))</f>
        <v>51</v>
      </c>
      <c r="K89" s="22">
        <f>IF(C89="covered",10.4,7.55)</f>
        <v>7.55</v>
      </c>
      <c r="L89" s="18" t="s">
        <v>601</v>
      </c>
      <c r="M89" s="24">
        <v>51</v>
      </c>
      <c r="N89" s="22">
        <v>7.55</v>
      </c>
      <c r="O89" s="22">
        <v>385.05</v>
      </c>
      <c r="P89" s="22">
        <f>J89*K89</f>
        <v>385.05</v>
      </c>
      <c r="Q89" s="22">
        <f>IF(L89="","",N89-K89)</f>
        <v>0.0</v>
      </c>
      <c r="R89" s="24">
        <f>IF(L89="","",M89-J89)</f>
        <v>0.0</v>
      </c>
      <c r="S89" s="22">
        <f>IF(L89="",-P89,O89-P89)</f>
        <v>0.0</v>
      </c>
      <c r="T89" s="11" t="str">
        <f>IF(L89="","NO BILL IN SUPPLIED EXPORT",IF(ABS(Q89)&gt;0.001,"RATE EXCEPTION",IF(ABS(R89)&gt;0.001,"LENGTH EXCEPTION",IF(ABS(S89)&gt;0.01,"AMOUNT EXCEPTION","OK"))))</f>
        <v>OK</v>
      </c>
      <c r="U89" s="19" t="s">
        <v>602</v>
      </c>
    </row>
    <row r="90" spans="1:21" ht="28" customHeight="1">
      <c r="A90" s="14" t="s">
        <v>603</v>
      </c>
      <c r="B90" s="14" t="s">
        <v>193</v>
      </c>
      <c r="C90" s="14" t="s">
        <v>226</v>
      </c>
      <c r="D90" s="14" t="s">
        <v>227</v>
      </c>
      <c r="E90" s="14" t="s">
        <v>604</v>
      </c>
      <c r="F90" s="15" t="s">
        <v>605</v>
      </c>
      <c r="G90" s="15" t="s">
        <v>606</v>
      </c>
      <c r="H90" s="24">
        <v>80</v>
      </c>
      <c r="I90" s="24">
        <v>19.3</v>
      </c>
      <c r="J90" s="24">
        <f>MAX(H90,ROUNDUP(I90,0))</f>
        <v>80.0</v>
      </c>
      <c r="K90" s="22">
        <f>IF(C90="covered",10.4,7.55)</f>
        <v>7.55</v>
      </c>
      <c r="L90" s="14" t="s">
        <v>607</v>
      </c>
      <c r="M90" s="24">
        <v>80</v>
      </c>
      <c r="N90" s="22">
        <v>7.55</v>
      </c>
      <c r="O90" s="22">
        <v>604</v>
      </c>
      <c r="P90" s="22">
        <f>J90*K90</f>
        <v>604.0</v>
      </c>
      <c r="Q90" s="22">
        <f>IF(L90="","",N90-K90)</f>
        <v>0.0</v>
      </c>
      <c r="R90" s="24">
        <f>IF(L90="","",M90-J90)</f>
        <v>0.0</v>
      </c>
      <c r="S90" s="22">
        <f>IF(L90="",-P90,O90-P90)</f>
        <v>0.0</v>
      </c>
      <c r="T90" s="11" t="str">
        <f>IF(L90="","NO BILL IN SUPPLIED EXPORT",IF(ABS(Q90)&gt;0.001,"RATE EXCEPTION",IF(ABS(R90)&gt;0.001,"LENGTH EXCEPTION",IF(ABS(S90)&gt;0.01,"AMOUNT EXCEPTION","OK"))))</f>
        <v>OK</v>
      </c>
      <c r="U90" s="15" t="s">
        <v>608</v>
      </c>
    </row>
    <row r="91" spans="1:21" ht="28" customHeight="1">
      <c r="A91" s="18" t="s">
        <v>609</v>
      </c>
      <c r="B91" s="18" t="s">
        <v>193</v>
      </c>
      <c r="C91" s="18" t="s">
        <v>226</v>
      </c>
      <c r="D91" s="18" t="s">
        <v>227</v>
      </c>
      <c r="E91" s="18" t="s">
        <v>610</v>
      </c>
      <c r="F91" s="19" t="s">
        <v>611</v>
      </c>
      <c r="G91" s="19" t="s">
        <v>612</v>
      </c>
      <c r="H91" s="24">
        <v>28</v>
      </c>
      <c r="I91" s="24">
        <v>50.5</v>
      </c>
      <c r="J91" s="24">
        <f>MAX(H91,ROUNDUP(I91,0))</f>
        <v>51</v>
      </c>
      <c r="K91" s="22">
        <f>IF(C91="covered",10.4,7.55)</f>
        <v>7.55</v>
      </c>
      <c r="L91" s="18" t="s">
        <v>613</v>
      </c>
      <c r="M91" s="24">
        <v>51</v>
      </c>
      <c r="N91" s="22">
        <v>7.55</v>
      </c>
      <c r="O91" s="22">
        <v>385.05</v>
      </c>
      <c r="P91" s="22">
        <f>J91*K91</f>
        <v>385.05</v>
      </c>
      <c r="Q91" s="22">
        <f>IF(L91="","",N91-K91)</f>
        <v>0.0</v>
      </c>
      <c r="R91" s="24">
        <f>IF(L91="","",M91-J91)</f>
        <v>0.0</v>
      </c>
      <c r="S91" s="22">
        <f>IF(L91="",-P91,O91-P91)</f>
        <v>0.0</v>
      </c>
      <c r="T91" s="11" t="str">
        <f>IF(L91="","NO BILL IN SUPPLIED EXPORT",IF(ABS(Q91)&gt;0.001,"RATE EXCEPTION",IF(ABS(R91)&gt;0.001,"LENGTH EXCEPTION",IF(ABS(S91)&gt;0.01,"AMOUNT EXCEPTION","OK"))))</f>
        <v>OK</v>
      </c>
      <c r="U91" s="19" t="s">
        <v>614</v>
      </c>
    </row>
    <row r="92" spans="1:21" ht="28" customHeight="1">
      <c r="A92" s="14" t="s">
        <v>615</v>
      </c>
      <c r="B92" s="14" t="s">
        <v>193</v>
      </c>
      <c r="C92" s="14" t="s">
        <v>226</v>
      </c>
      <c r="D92" s="14" t="s">
        <v>227</v>
      </c>
      <c r="E92" s="14" t="s">
        <v>616</v>
      </c>
      <c r="F92" s="15" t="s">
        <v>617</v>
      </c>
      <c r="G92" s="15" t="s">
        <v>618</v>
      </c>
      <c r="H92" s="24">
        <v>40</v>
      </c>
      <c r="I92" s="24">
        <v>31.6</v>
      </c>
      <c r="J92" s="24">
        <f>MAX(H92,ROUNDUP(I92,0))</f>
        <v>40.0</v>
      </c>
      <c r="K92" s="22">
        <f>IF(C92="covered",10.4,7.55)</f>
        <v>7.55</v>
      </c>
      <c r="L92" s="14" t="s">
        <v>619</v>
      </c>
      <c r="M92" s="24">
        <v>40</v>
      </c>
      <c r="N92" s="22">
        <v>7.55</v>
      </c>
      <c r="O92" s="22">
        <v>302</v>
      </c>
      <c r="P92" s="22">
        <f>J92*K92</f>
        <v>302.0</v>
      </c>
      <c r="Q92" s="22">
        <f>IF(L92="","",N92-K92)</f>
        <v>0.0</v>
      </c>
      <c r="R92" s="24">
        <f>IF(L92="","",M92-J92)</f>
        <v>0.0</v>
      </c>
      <c r="S92" s="22">
        <f>IF(L92="",-P92,O92-P92)</f>
        <v>0.0</v>
      </c>
      <c r="T92" s="11" t="str">
        <f>IF(L92="","NO BILL IN SUPPLIED EXPORT",IF(ABS(Q92)&gt;0.001,"RATE EXCEPTION",IF(ABS(R92)&gt;0.001,"LENGTH EXCEPTION",IF(ABS(S92)&gt;0.01,"AMOUNT EXCEPTION","OK"))))</f>
        <v>OK</v>
      </c>
      <c r="U92" s="15" t="s">
        <v>620</v>
      </c>
    </row>
    <row r="93" spans="1:21" ht="28" customHeight="1">
      <c r="A93" s="18" t="s">
        <v>621</v>
      </c>
      <c r="B93" s="18" t="s">
        <v>193</v>
      </c>
      <c r="C93" s="18" t="s">
        <v>226</v>
      </c>
      <c r="D93" s="18" t="s">
        <v>227</v>
      </c>
      <c r="E93" s="18" t="s">
        <v>622</v>
      </c>
      <c r="F93" s="19" t="s">
        <v>623</v>
      </c>
      <c r="G93" s="19" t="s">
        <v>624</v>
      </c>
      <c r="H93" s="24">
        <v>50</v>
      </c>
      <c r="I93" s="24">
        <v>60</v>
      </c>
      <c r="J93" s="24">
        <f>MAX(H93,ROUNDUP(I93,0))</f>
        <v>60</v>
      </c>
      <c r="K93" s="22">
        <f>IF(C93="covered",10.4,7.55)</f>
        <v>7.55</v>
      </c>
      <c r="L93" s="18" t="s">
        <v>625</v>
      </c>
      <c r="M93" s="24">
        <v>60</v>
      </c>
      <c r="N93" s="22">
        <v>7.55</v>
      </c>
      <c r="O93" s="22">
        <v>453</v>
      </c>
      <c r="P93" s="22">
        <f>J93*K93</f>
        <v>453.0</v>
      </c>
      <c r="Q93" s="22">
        <f>IF(L93="","",N93-K93)</f>
        <v>0.0</v>
      </c>
      <c r="R93" s="24">
        <f>IF(L93="","",M93-J93)</f>
        <v>0.0</v>
      </c>
      <c r="S93" s="22">
        <f>IF(L93="",-P93,O93-P93)</f>
        <v>0.0</v>
      </c>
      <c r="T93" s="11" t="str">
        <f>IF(L93="","NO BILL IN SUPPLIED EXPORT",IF(ABS(Q93)&gt;0.001,"RATE EXCEPTION",IF(ABS(R93)&gt;0.001,"LENGTH EXCEPTION",IF(ABS(S93)&gt;0.01,"AMOUNT EXCEPTION","OK"))))</f>
        <v>OK</v>
      </c>
      <c r="U93" s="19" t="s">
        <v>626</v>
      </c>
    </row>
    <row r="94" spans="1:21" ht="28" customHeight="1">
      <c r="A94" s="14" t="s">
        <v>627</v>
      </c>
      <c r="B94" s="14" t="s">
        <v>193</v>
      </c>
      <c r="C94" s="14" t="s">
        <v>226</v>
      </c>
      <c r="D94" s="14" t="s">
        <v>227</v>
      </c>
      <c r="E94" s="14" t="s">
        <v>628</v>
      </c>
      <c r="F94" s="15" t="s">
        <v>629</v>
      </c>
      <c r="G94" s="15" t="s">
        <v>630</v>
      </c>
      <c r="H94" s="24">
        <v>70</v>
      </c>
      <c r="I94" s="24">
        <v>31.8</v>
      </c>
      <c r="J94" s="24">
        <f>MAX(H94,ROUNDUP(I94,0))</f>
        <v>70.0</v>
      </c>
      <c r="K94" s="22">
        <f>IF(C94="covered",10.4,7.55)</f>
        <v>7.55</v>
      </c>
      <c r="L94" s="14" t="s">
        <v>631</v>
      </c>
      <c r="M94" s="24">
        <v>70</v>
      </c>
      <c r="N94" s="22">
        <v>7.55</v>
      </c>
      <c r="O94" s="22">
        <v>528.5</v>
      </c>
      <c r="P94" s="22">
        <f>J94*K94</f>
        <v>528.5</v>
      </c>
      <c r="Q94" s="22">
        <f>IF(L94="","",N94-K94)</f>
        <v>0.0</v>
      </c>
      <c r="R94" s="24">
        <f>IF(L94="","",M94-J94)</f>
        <v>0.0</v>
      </c>
      <c r="S94" s="22">
        <f>IF(L94="",-P94,O94-P94)</f>
        <v>0.0</v>
      </c>
      <c r="T94" s="11" t="str">
        <f>IF(L94="","NO BILL IN SUPPLIED EXPORT",IF(ABS(Q94)&gt;0.001,"RATE EXCEPTION",IF(ABS(R94)&gt;0.001,"LENGTH EXCEPTION",IF(ABS(S94)&gt;0.01,"AMOUNT EXCEPTION","OK"))))</f>
        <v>OK</v>
      </c>
      <c r="U94" s="15" t="s">
        <v>632</v>
      </c>
    </row>
    <row r="95" spans="1:21" ht="28" customHeight="1">
      <c r="A95" s="18" t="s">
        <v>633</v>
      </c>
      <c r="B95" s="18" t="s">
        <v>193</v>
      </c>
      <c r="C95" s="18" t="s">
        <v>226</v>
      </c>
      <c r="D95" s="18" t="s">
        <v>227</v>
      </c>
      <c r="E95" s="18" t="s">
        <v>634</v>
      </c>
      <c r="F95" s="19" t="s">
        <v>635</v>
      </c>
      <c r="G95" s="19" t="s">
        <v>103</v>
      </c>
      <c r="H95" s="24">
        <v>24</v>
      </c>
      <c r="I95" s="24">
        <v>46.9</v>
      </c>
      <c r="J95" s="24">
        <f>MAX(H95,ROUNDUP(I95,0))</f>
        <v>47</v>
      </c>
      <c r="K95" s="22">
        <f>IF(C95="covered",10.4,7.55)</f>
        <v>7.55</v>
      </c>
      <c r="L95" s="18" t="s">
        <v>636</v>
      </c>
      <c r="M95" s="24">
        <v>47</v>
      </c>
      <c r="N95" s="22">
        <v>7.55</v>
      </c>
      <c r="O95" s="22">
        <v>354.85</v>
      </c>
      <c r="P95" s="22">
        <f>J95*K95</f>
        <v>354.84999999999997</v>
      </c>
      <c r="Q95" s="22">
        <f>IF(L95="","",N95-K95)</f>
        <v>0.0</v>
      </c>
      <c r="R95" s="24">
        <f>IF(L95="","",M95-J95)</f>
        <v>0.0</v>
      </c>
      <c r="S95" s="22">
        <f>IF(L95="",-P95,O95-P95)</f>
        <v>5.684341886080802e-14</v>
      </c>
      <c r="T95" s="11" t="str">
        <f>IF(L95="","NO BILL IN SUPPLIED EXPORT",IF(ABS(Q95)&gt;0.001,"RATE EXCEPTION",IF(ABS(R95)&gt;0.001,"LENGTH EXCEPTION",IF(ABS(S95)&gt;0.01,"AMOUNT EXCEPTION","OK"))))</f>
        <v>OK</v>
      </c>
      <c r="U95" s="19" t="s">
        <v>637</v>
      </c>
    </row>
    <row r="96" spans="1:21" ht="28" customHeight="1">
      <c r="A96" s="14" t="s">
        <v>638</v>
      </c>
      <c r="B96" s="14" t="s">
        <v>193</v>
      </c>
      <c r="C96" s="14" t="s">
        <v>226</v>
      </c>
      <c r="D96" s="14" t="s">
        <v>227</v>
      </c>
      <c r="E96" s="14" t="s">
        <v>639</v>
      </c>
      <c r="F96" s="15" t="s">
        <v>640</v>
      </c>
      <c r="G96" s="15" t="s">
        <v>641</v>
      </c>
      <c r="H96" s="24">
        <v>40</v>
      </c>
      <c r="I96" s="24">
        <v>29.4</v>
      </c>
      <c r="J96" s="24">
        <f>MAX(H96,ROUNDUP(I96,0))</f>
        <v>40.0</v>
      </c>
      <c r="K96" s="22">
        <f>IF(C96="covered",10.4,7.55)</f>
        <v>7.55</v>
      </c>
      <c r="L96" s="14" t="s">
        <v>642</v>
      </c>
      <c r="M96" s="24">
        <v>40</v>
      </c>
      <c r="N96" s="22">
        <v>7.55</v>
      </c>
      <c r="O96" s="22">
        <v>302</v>
      </c>
      <c r="P96" s="22">
        <f>J96*K96</f>
        <v>302.0</v>
      </c>
      <c r="Q96" s="22">
        <f>IF(L96="","",N96-K96)</f>
        <v>0.0</v>
      </c>
      <c r="R96" s="24">
        <f>IF(L96="","",M96-J96)</f>
        <v>0.0</v>
      </c>
      <c r="S96" s="22">
        <f>IF(L96="",-P96,O96-P96)</f>
        <v>0.0</v>
      </c>
      <c r="T96" s="11" t="str">
        <f>IF(L96="","NO BILL IN SUPPLIED EXPORT",IF(ABS(Q96)&gt;0.001,"RATE EXCEPTION",IF(ABS(R96)&gt;0.001,"LENGTH EXCEPTION",IF(ABS(S96)&gt;0.01,"AMOUNT EXCEPTION","OK"))))</f>
        <v>OK</v>
      </c>
      <c r="U96" s="15" t="s">
        <v>643</v>
      </c>
    </row>
    <row r="97" spans="1:21" ht="28" customHeight="1">
      <c r="A97" s="18" t="s">
        <v>644</v>
      </c>
      <c r="B97" s="18" t="s">
        <v>193</v>
      </c>
      <c r="C97" s="18" t="s">
        <v>226</v>
      </c>
      <c r="D97" s="18" t="s">
        <v>227</v>
      </c>
      <c r="E97" s="18" t="s">
        <v>645</v>
      </c>
      <c r="F97" s="19" t="s">
        <v>646</v>
      </c>
      <c r="G97" s="19" t="s">
        <v>647</v>
      </c>
      <c r="H97" s="24">
        <v>45</v>
      </c>
      <c r="I97" s="24">
        <v>31.1</v>
      </c>
      <c r="J97" s="24">
        <f>MAX(H97,ROUNDUP(I97,0))</f>
        <v>45.0</v>
      </c>
      <c r="K97" s="22">
        <f>IF(C97="covered",10.4,7.55)</f>
        <v>7.55</v>
      </c>
      <c r="L97" s="18" t="s">
        <v>648</v>
      </c>
      <c r="M97" s="24">
        <v>45</v>
      </c>
      <c r="N97" s="22">
        <v>7.55</v>
      </c>
      <c r="O97" s="22">
        <v>339.75</v>
      </c>
      <c r="P97" s="22">
        <f>J97*K97</f>
        <v>339.75</v>
      </c>
      <c r="Q97" s="22">
        <f>IF(L97="","",N97-K97)</f>
        <v>0.0</v>
      </c>
      <c r="R97" s="24">
        <f>IF(L97="","",M97-J97)</f>
        <v>0.0</v>
      </c>
      <c r="S97" s="22">
        <f>IF(L97="",-P97,O97-P97)</f>
        <v>0.0</v>
      </c>
      <c r="T97" s="11" t="str">
        <f>IF(L97="","NO BILL IN SUPPLIED EXPORT",IF(ABS(Q97)&gt;0.001,"RATE EXCEPTION",IF(ABS(R97)&gt;0.001,"LENGTH EXCEPTION",IF(ABS(S97)&gt;0.01,"AMOUNT EXCEPTION","OK"))))</f>
        <v>OK</v>
      </c>
      <c r="U97" s="19" t="s">
        <v>649</v>
      </c>
    </row>
    <row r="98" spans="1:21" ht="28" customHeight="1">
      <c r="A98" s="14" t="s">
        <v>650</v>
      </c>
      <c r="B98" s="14" t="s">
        <v>193</v>
      </c>
      <c r="C98" s="14" t="s">
        <v>226</v>
      </c>
      <c r="D98" s="14" t="s">
        <v>227</v>
      </c>
      <c r="E98" s="14" t="s">
        <v>651</v>
      </c>
      <c r="F98" s="15" t="s">
        <v>652</v>
      </c>
      <c r="G98" s="15" t="s">
        <v>653</v>
      </c>
      <c r="H98" s="24">
        <v>28</v>
      </c>
      <c r="I98" s="24">
        <v>59.4</v>
      </c>
      <c r="J98" s="24">
        <f>MAX(H98,ROUNDUP(I98,0))</f>
        <v>60</v>
      </c>
      <c r="K98" s="22">
        <f>IF(C98="covered",10.4,7.55)</f>
        <v>7.55</v>
      </c>
      <c r="L98" s="14" t="s">
        <v>654</v>
      </c>
      <c r="M98" s="24">
        <v>60</v>
      </c>
      <c r="N98" s="22">
        <v>7.55</v>
      </c>
      <c r="O98" s="22">
        <v>453</v>
      </c>
      <c r="P98" s="22">
        <f>J98*K98</f>
        <v>453.0</v>
      </c>
      <c r="Q98" s="22">
        <f>IF(L98="","",N98-K98)</f>
        <v>0.0</v>
      </c>
      <c r="R98" s="24">
        <f>IF(L98="","",M98-J98)</f>
        <v>0.0</v>
      </c>
      <c r="S98" s="22">
        <f>IF(L98="",-P98,O98-P98)</f>
        <v>0.0</v>
      </c>
      <c r="T98" s="11" t="str">
        <f>IF(L98="","NO BILL IN SUPPLIED EXPORT",IF(ABS(Q98)&gt;0.001,"RATE EXCEPTION",IF(ABS(R98)&gt;0.001,"LENGTH EXCEPTION",IF(ABS(S98)&gt;0.01,"AMOUNT EXCEPTION","OK"))))</f>
        <v>OK</v>
      </c>
      <c r="U98" s="15" t="s">
        <v>655</v>
      </c>
    </row>
    <row r="99" spans="1:21" ht="28" customHeight="1">
      <c r="A99" s="18" t="s">
        <v>656</v>
      </c>
      <c r="B99" s="18" t="s">
        <v>193</v>
      </c>
      <c r="C99" s="18" t="s">
        <v>226</v>
      </c>
      <c r="D99" s="18" t="s">
        <v>227</v>
      </c>
      <c r="E99" s="18" t="s">
        <v>657</v>
      </c>
      <c r="F99" s="19" t="s">
        <v>658</v>
      </c>
      <c r="G99" s="19" t="s">
        <v>659</v>
      </c>
      <c r="H99" s="24">
        <v>70</v>
      </c>
      <c r="I99" s="24">
        <v>51.6</v>
      </c>
      <c r="J99" s="24">
        <f>MAX(H99,ROUNDUP(I99,0))</f>
        <v>70.0</v>
      </c>
      <c r="K99" s="22">
        <f>IF(C99="covered",10.4,7.55)</f>
        <v>7.55</v>
      </c>
      <c r="L99" s="18" t="s">
        <v>660</v>
      </c>
      <c r="M99" s="24">
        <v>70</v>
      </c>
      <c r="N99" s="22">
        <v>7.55</v>
      </c>
      <c r="O99" s="22">
        <v>528.5</v>
      </c>
      <c r="P99" s="22">
        <f>J99*K99</f>
        <v>528.5</v>
      </c>
      <c r="Q99" s="22">
        <f>IF(L99="","",N99-K99)</f>
        <v>0.0</v>
      </c>
      <c r="R99" s="24">
        <f>IF(L99="","",M99-J99)</f>
        <v>0.0</v>
      </c>
      <c r="S99" s="22">
        <f>IF(L99="",-P99,O99-P99)</f>
        <v>0.0</v>
      </c>
      <c r="T99" s="11" t="str">
        <f>IF(L99="","NO BILL IN SUPPLIED EXPORT",IF(ABS(Q99)&gt;0.001,"RATE EXCEPTION",IF(ABS(R99)&gt;0.001,"LENGTH EXCEPTION",IF(ABS(S99)&gt;0.01,"AMOUNT EXCEPTION","OK"))))</f>
        <v>OK</v>
      </c>
      <c r="U99" s="19" t="s">
        <v>661</v>
      </c>
    </row>
    <row r="100" spans="1:21" ht="28" customHeight="1">
      <c r="A100" s="14" t="s">
        <v>662</v>
      </c>
      <c r="B100" s="14" t="s">
        <v>193</v>
      </c>
      <c r="C100" s="14" t="s">
        <v>226</v>
      </c>
      <c r="D100" s="14" t="s">
        <v>227</v>
      </c>
      <c r="E100" s="14" t="s">
        <v>663</v>
      </c>
      <c r="F100" s="15" t="s">
        <v>664</v>
      </c>
      <c r="G100" s="15" t="s">
        <v>523</v>
      </c>
      <c r="H100" s="24">
        <v>32</v>
      </c>
      <c r="I100" s="24">
        <v>44.8</v>
      </c>
      <c r="J100" s="24">
        <f>MAX(H100,ROUNDUP(I100,0))</f>
        <v>45</v>
      </c>
      <c r="K100" s="22">
        <f>IF(C100="covered",10.4,7.55)</f>
        <v>7.55</v>
      </c>
      <c r="L100" s="14" t="s">
        <v>665</v>
      </c>
      <c r="M100" s="24">
        <v>45</v>
      </c>
      <c r="N100" s="22">
        <v>7.55</v>
      </c>
      <c r="O100" s="22">
        <v>339.75</v>
      </c>
      <c r="P100" s="22">
        <f>J100*K100</f>
        <v>339.75</v>
      </c>
      <c r="Q100" s="22">
        <f>IF(L100="","",N100-K100)</f>
        <v>0.0</v>
      </c>
      <c r="R100" s="24">
        <f>IF(L100="","",M100-J100)</f>
        <v>0.0</v>
      </c>
      <c r="S100" s="22">
        <f>IF(L100="",-P100,O100-P100)</f>
        <v>0.0</v>
      </c>
      <c r="T100" s="11" t="str">
        <f>IF(L100="","NO BILL IN SUPPLIED EXPORT",IF(ABS(Q100)&gt;0.001,"RATE EXCEPTION",IF(ABS(R100)&gt;0.001,"LENGTH EXCEPTION",IF(ABS(S100)&gt;0.01,"AMOUNT EXCEPTION","OK"))))</f>
        <v>OK</v>
      </c>
      <c r="U100" s="15" t="s">
        <v>666</v>
      </c>
    </row>
    <row r="101" spans="1:21" ht="28" customHeight="1">
      <c r="A101" s="18" t="s">
        <v>667</v>
      </c>
      <c r="B101" s="18" t="s">
        <v>193</v>
      </c>
      <c r="C101" s="18" t="s">
        <v>226</v>
      </c>
      <c r="D101" s="18" t="s">
        <v>227</v>
      </c>
      <c r="E101" s="18" t="s">
        <v>668</v>
      </c>
      <c r="F101" s="19" t="s">
        <v>669</v>
      </c>
      <c r="G101" s="19" t="s">
        <v>382</v>
      </c>
      <c r="H101" s="24">
        <v>70</v>
      </c>
      <c r="I101" s="24">
        <v>26.8</v>
      </c>
      <c r="J101" s="24">
        <f>MAX(H101,ROUNDUP(I101,0))</f>
        <v>70.0</v>
      </c>
      <c r="K101" s="22">
        <f>IF(C101="covered",10.4,7.55)</f>
        <v>7.55</v>
      </c>
      <c r="L101" s="18" t="s">
        <v>670</v>
      </c>
      <c r="M101" s="24">
        <v>70</v>
      </c>
      <c r="N101" s="22">
        <v>7.55</v>
      </c>
      <c r="O101" s="22">
        <v>528.5</v>
      </c>
      <c r="P101" s="22">
        <f>J101*K101</f>
        <v>528.5</v>
      </c>
      <c r="Q101" s="22">
        <f>IF(L101="","",N101-K101)</f>
        <v>0.0</v>
      </c>
      <c r="R101" s="24">
        <f>IF(L101="","",M101-J101)</f>
        <v>0.0</v>
      </c>
      <c r="S101" s="22">
        <f>IF(L101="",-P101,O101-P101)</f>
        <v>0.0</v>
      </c>
      <c r="T101" s="11" t="str">
        <f>IF(L101="","NO BILL IN SUPPLIED EXPORT",IF(ABS(Q101)&gt;0.001,"RATE EXCEPTION",IF(ABS(R101)&gt;0.001,"LENGTH EXCEPTION",IF(ABS(S101)&gt;0.01,"AMOUNT EXCEPTION","OK"))))</f>
        <v>OK</v>
      </c>
      <c r="U101" s="19" t="s">
        <v>671</v>
      </c>
    </row>
    <row r="102" spans="1:21" ht="28" customHeight="1">
      <c r="A102" s="14" t="s">
        <v>672</v>
      </c>
      <c r="B102" s="14" t="s">
        <v>193</v>
      </c>
      <c r="C102" s="14" t="s">
        <v>226</v>
      </c>
      <c r="D102" s="14" t="s">
        <v>227</v>
      </c>
      <c r="E102" s="14" t="s">
        <v>673</v>
      </c>
      <c r="F102" s="15" t="s">
        <v>674</v>
      </c>
      <c r="G102" s="15" t="s">
        <v>675</v>
      </c>
      <c r="H102" s="24">
        <v>70</v>
      </c>
      <c r="I102" s="24">
        <v>42.5</v>
      </c>
      <c r="J102" s="24">
        <f>MAX(H102,ROUNDUP(I102,0))</f>
        <v>70.0</v>
      </c>
      <c r="K102" s="22">
        <f>IF(C102="covered",10.4,7.55)</f>
        <v>7.55</v>
      </c>
      <c r="L102" s="14" t="s">
        <v>676</v>
      </c>
      <c r="M102" s="24">
        <v>70</v>
      </c>
      <c r="N102" s="22">
        <v>7.55</v>
      </c>
      <c r="O102" s="22">
        <v>528.5</v>
      </c>
      <c r="P102" s="22">
        <f>J102*K102</f>
        <v>528.5</v>
      </c>
      <c r="Q102" s="22">
        <f>IF(L102="","",N102-K102)</f>
        <v>0.0</v>
      </c>
      <c r="R102" s="24">
        <f>IF(L102="","",M102-J102)</f>
        <v>0.0</v>
      </c>
      <c r="S102" s="22">
        <f>IF(L102="",-P102,O102-P102)</f>
        <v>0.0</v>
      </c>
      <c r="T102" s="11" t="str">
        <f>IF(L102="","NO BILL IN SUPPLIED EXPORT",IF(ABS(Q102)&gt;0.001,"RATE EXCEPTION",IF(ABS(R102)&gt;0.001,"LENGTH EXCEPTION",IF(ABS(S102)&gt;0.01,"AMOUNT EXCEPTION","OK"))))</f>
        <v>OK</v>
      </c>
      <c r="U102" s="15" t="s">
        <v>677</v>
      </c>
    </row>
    <row r="103" spans="1:21" ht="28" customHeight="1">
      <c r="A103" s="18" t="s">
        <v>678</v>
      </c>
      <c r="B103" s="18" t="s">
        <v>193</v>
      </c>
      <c r="C103" s="18" t="s">
        <v>226</v>
      </c>
      <c r="D103" s="18" t="s">
        <v>227</v>
      </c>
      <c r="E103" s="18" t="s">
        <v>679</v>
      </c>
      <c r="F103" s="19" t="s">
        <v>680</v>
      </c>
      <c r="G103" s="19" t="s">
        <v>681</v>
      </c>
      <c r="H103" s="24">
        <v>70</v>
      </c>
      <c r="I103" s="24">
        <v>58.8</v>
      </c>
      <c r="J103" s="24">
        <f>MAX(H103,ROUNDUP(I103,0))</f>
        <v>70.0</v>
      </c>
      <c r="K103" s="22">
        <f>IF(C103="covered",10.4,7.55)</f>
        <v>7.55</v>
      </c>
      <c r="L103" s="18" t="s">
        <v>682</v>
      </c>
      <c r="M103" s="24">
        <v>70</v>
      </c>
      <c r="N103" s="22">
        <v>7.55</v>
      </c>
      <c r="O103" s="22">
        <v>528.5</v>
      </c>
      <c r="P103" s="22">
        <f>J103*K103</f>
        <v>528.5</v>
      </c>
      <c r="Q103" s="22">
        <f>IF(L103="","",N103-K103)</f>
        <v>0.0</v>
      </c>
      <c r="R103" s="24">
        <f>IF(L103="","",M103-J103)</f>
        <v>0.0</v>
      </c>
      <c r="S103" s="22">
        <f>IF(L103="",-P103,O103-P103)</f>
        <v>0.0</v>
      </c>
      <c r="T103" s="11" t="str">
        <f>IF(L103="","NO BILL IN SUPPLIED EXPORT",IF(ABS(Q103)&gt;0.001,"RATE EXCEPTION",IF(ABS(R103)&gt;0.001,"LENGTH EXCEPTION",IF(ABS(S103)&gt;0.01,"AMOUNT EXCEPTION","OK"))))</f>
        <v>OK</v>
      </c>
      <c r="U103" s="19" t="s">
        <v>683</v>
      </c>
    </row>
    <row r="104" spans="1:21" ht="28" customHeight="1">
      <c r="A104" s="14" t="s">
        <v>123</v>
      </c>
      <c r="B104" s="14" t="s">
        <v>193</v>
      </c>
      <c r="C104" s="14" t="s">
        <v>226</v>
      </c>
      <c r="D104" s="14" t="s">
        <v>227</v>
      </c>
      <c r="E104" s="14" t="s">
        <v>684</v>
      </c>
      <c r="F104" s="15" t="s">
        <v>685</v>
      </c>
      <c r="G104" s="15" t="s">
        <v>686</v>
      </c>
      <c r="H104" s="24">
        <v>40</v>
      </c>
      <c r="I104" s="24">
        <v>20.6</v>
      </c>
      <c r="J104" s="24">
        <f>MAX(H104,ROUNDUP(I104,0))</f>
        <v>40.0</v>
      </c>
      <c r="K104" s="22">
        <f>IF(C104="covered",10.4,7.55)</f>
        <v>7.55</v>
      </c>
      <c r="L104" s="14" t="s">
        <v>687</v>
      </c>
      <c r="M104" s="24">
        <v>40</v>
      </c>
      <c r="N104" s="22">
        <v>7.55</v>
      </c>
      <c r="O104" s="22">
        <v>302</v>
      </c>
      <c r="P104" s="22">
        <f>J104*K104</f>
        <v>302.0</v>
      </c>
      <c r="Q104" s="22">
        <f>IF(L104="","",N104-K104)</f>
        <v>0.0</v>
      </c>
      <c r="R104" s="24">
        <f>IF(L104="","",M104-J104)</f>
        <v>0.0</v>
      </c>
      <c r="S104" s="22">
        <f>IF(L104="",-P104,O104-P104)</f>
        <v>0.0</v>
      </c>
      <c r="T104" s="11" t="str">
        <f>IF(L104="","NO BILL IN SUPPLIED EXPORT",IF(ABS(Q104)&gt;0.001,"RATE EXCEPTION",IF(ABS(R104)&gt;0.001,"LENGTH EXCEPTION",IF(ABS(S104)&gt;0.01,"AMOUNT EXCEPTION","OK"))))</f>
        <v>OK</v>
      </c>
      <c r="U104" s="15" t="s">
        <v>688</v>
      </c>
    </row>
    <row r="105" spans="1:21" ht="28" customHeight="1">
      <c r="A105" s="18" t="s">
        <v>689</v>
      </c>
      <c r="B105" s="18" t="s">
        <v>193</v>
      </c>
      <c r="C105" s="18" t="s">
        <v>226</v>
      </c>
      <c r="D105" s="18" t="s">
        <v>227</v>
      </c>
      <c r="E105" s="18" t="s">
        <v>690</v>
      </c>
      <c r="F105" s="19" t="s">
        <v>691</v>
      </c>
      <c r="G105" s="19" t="s">
        <v>692</v>
      </c>
      <c r="H105" s="24">
        <v>24</v>
      </c>
      <c r="I105" s="24">
        <v>42.4</v>
      </c>
      <c r="J105" s="24">
        <f>MAX(H105,ROUNDUP(I105,0))</f>
        <v>43</v>
      </c>
      <c r="K105" s="22">
        <f>IF(C105="covered",10.4,7.55)</f>
        <v>7.55</v>
      </c>
      <c r="L105" s="18" t="s">
        <v>693</v>
      </c>
      <c r="M105" s="24">
        <v>43</v>
      </c>
      <c r="N105" s="22">
        <v>7.55</v>
      </c>
      <c r="O105" s="22">
        <v>324.65</v>
      </c>
      <c r="P105" s="22">
        <f>J105*K105</f>
        <v>324.65</v>
      </c>
      <c r="Q105" s="22">
        <f>IF(L105="","",N105-K105)</f>
        <v>0.0</v>
      </c>
      <c r="R105" s="24">
        <f>IF(L105="","",M105-J105)</f>
        <v>0.0</v>
      </c>
      <c r="S105" s="22">
        <f>IF(L105="",-P105,O105-P105)</f>
        <v>0.0</v>
      </c>
      <c r="T105" s="11" t="str">
        <f>IF(L105="","NO BILL IN SUPPLIED EXPORT",IF(ABS(Q105)&gt;0.001,"RATE EXCEPTION",IF(ABS(R105)&gt;0.001,"LENGTH EXCEPTION",IF(ABS(S105)&gt;0.01,"AMOUNT EXCEPTION","OK"))))</f>
        <v>OK</v>
      </c>
      <c r="U105" s="19" t="s">
        <v>694</v>
      </c>
    </row>
    <row r="106" spans="1:21" ht="28" customHeight="1">
      <c r="A106" s="14" t="s">
        <v>695</v>
      </c>
      <c r="B106" s="14" t="s">
        <v>193</v>
      </c>
      <c r="C106" s="14" t="s">
        <v>226</v>
      </c>
      <c r="D106" s="14" t="s">
        <v>227</v>
      </c>
      <c r="E106" s="14" t="s">
        <v>696</v>
      </c>
      <c r="F106" s="15" t="s">
        <v>697</v>
      </c>
      <c r="G106" s="15" t="s">
        <v>698</v>
      </c>
      <c r="H106" s="24">
        <v>24</v>
      </c>
      <c r="I106" s="24">
        <v>33.7</v>
      </c>
      <c r="J106" s="24">
        <f>MAX(H106,ROUNDUP(I106,0))</f>
        <v>34</v>
      </c>
      <c r="K106" s="22">
        <f>IF(C106="covered",10.4,7.55)</f>
        <v>7.55</v>
      </c>
      <c r="L106" s="14" t="s">
        <v>699</v>
      </c>
      <c r="M106" s="24">
        <v>34</v>
      </c>
      <c r="N106" s="22">
        <v>7.55</v>
      </c>
      <c r="O106" s="22">
        <v>256.7</v>
      </c>
      <c r="P106" s="22">
        <f>J106*K106</f>
        <v>256.7</v>
      </c>
      <c r="Q106" s="22">
        <f>IF(L106="","",N106-K106)</f>
        <v>0.0</v>
      </c>
      <c r="R106" s="24">
        <f>IF(L106="","",M106-J106)</f>
        <v>0.0</v>
      </c>
      <c r="S106" s="22">
        <f>IF(L106="",-P106,O106-P106)</f>
        <v>0.0</v>
      </c>
      <c r="T106" s="11" t="str">
        <f>IF(L106="","NO BILL IN SUPPLIED EXPORT",IF(ABS(Q106)&gt;0.001,"RATE EXCEPTION",IF(ABS(R106)&gt;0.001,"LENGTH EXCEPTION",IF(ABS(S106)&gt;0.01,"AMOUNT EXCEPTION","OK"))))</f>
        <v>OK</v>
      </c>
      <c r="U106" s="15" t="s">
        <v>700</v>
      </c>
    </row>
    <row r="107" spans="1:21" ht="28" customHeight="1">
      <c r="A107" s="18" t="s">
        <v>701</v>
      </c>
      <c r="B107" s="18" t="s">
        <v>193</v>
      </c>
      <c r="C107" s="18" t="s">
        <v>226</v>
      </c>
      <c r="D107" s="18" t="s">
        <v>227</v>
      </c>
      <c r="E107" s="18" t="s">
        <v>702</v>
      </c>
      <c r="F107" s="19" t="s">
        <v>703</v>
      </c>
      <c r="G107" s="19" t="s">
        <v>704</v>
      </c>
      <c r="H107" s="24">
        <v>28</v>
      </c>
      <c r="I107" s="24">
        <v>56.9</v>
      </c>
      <c r="J107" s="24">
        <f>MAX(H107,ROUNDUP(I107,0))</f>
        <v>57</v>
      </c>
      <c r="K107" s="22">
        <f>IF(C107="covered",10.4,7.55)</f>
        <v>7.55</v>
      </c>
      <c r="L107" s="18" t="s">
        <v>705</v>
      </c>
      <c r="M107" s="24">
        <v>57</v>
      </c>
      <c r="N107" s="22">
        <v>7.55</v>
      </c>
      <c r="O107" s="22">
        <v>430.35</v>
      </c>
      <c r="P107" s="22">
        <f>J107*K107</f>
        <v>430.34999999999997</v>
      </c>
      <c r="Q107" s="22">
        <f>IF(L107="","",N107-K107)</f>
        <v>0.0</v>
      </c>
      <c r="R107" s="24">
        <f>IF(L107="","",M107-J107)</f>
        <v>0.0</v>
      </c>
      <c r="S107" s="22">
        <f>IF(L107="",-P107,O107-P107)</f>
        <v>5.684341886080802e-14</v>
      </c>
      <c r="T107" s="11" t="str">
        <f>IF(L107="","NO BILL IN SUPPLIED EXPORT",IF(ABS(Q107)&gt;0.001,"RATE EXCEPTION",IF(ABS(R107)&gt;0.001,"LENGTH EXCEPTION",IF(ABS(S107)&gt;0.01,"AMOUNT EXCEPTION","OK"))))</f>
        <v>OK</v>
      </c>
      <c r="U107" s="19" t="s">
        <v>706</v>
      </c>
    </row>
    <row r="108" spans="1:21" ht="28" customHeight="1">
      <c r="A108" s="14" t="s">
        <v>707</v>
      </c>
      <c r="B108" s="14" t="s">
        <v>193</v>
      </c>
      <c r="C108" s="14" t="s">
        <v>226</v>
      </c>
      <c r="D108" s="14" t="s">
        <v>227</v>
      </c>
      <c r="E108" s="14" t="s">
        <v>708</v>
      </c>
      <c r="F108" s="15" t="s">
        <v>709</v>
      </c>
      <c r="G108" s="15" t="s">
        <v>710</v>
      </c>
      <c r="H108" s="24">
        <v>24</v>
      </c>
      <c r="I108" s="24">
        <v>58</v>
      </c>
      <c r="J108" s="24">
        <f>MAX(H108,ROUNDUP(I108,0))</f>
        <v>58</v>
      </c>
      <c r="K108" s="22">
        <f>IF(C108="covered",10.4,7.55)</f>
        <v>7.55</v>
      </c>
      <c r="L108" s="14" t="s">
        <v>711</v>
      </c>
      <c r="M108" s="24">
        <v>58</v>
      </c>
      <c r="N108" s="22">
        <v>7.55</v>
      </c>
      <c r="O108" s="22">
        <v>437.9</v>
      </c>
      <c r="P108" s="22">
        <f>J108*K108</f>
        <v>437.9</v>
      </c>
      <c r="Q108" s="22">
        <f>IF(L108="","",N108-K108)</f>
        <v>0.0</v>
      </c>
      <c r="R108" s="24">
        <f>IF(L108="","",M108-J108)</f>
        <v>0.0</v>
      </c>
      <c r="S108" s="22">
        <f>IF(L108="",-P108,O108-P108)</f>
        <v>0.0</v>
      </c>
      <c r="T108" s="11" t="str">
        <f>IF(L108="","NO BILL IN SUPPLIED EXPORT",IF(ABS(Q108)&gt;0.001,"RATE EXCEPTION",IF(ABS(R108)&gt;0.001,"LENGTH EXCEPTION",IF(ABS(S108)&gt;0.01,"AMOUNT EXCEPTION","OK"))))</f>
        <v>OK</v>
      </c>
      <c r="U108" s="15" t="s">
        <v>712</v>
      </c>
    </row>
    <row r="109" spans="1:21" ht="28" customHeight="1">
      <c r="A109" s="18" t="s">
        <v>713</v>
      </c>
      <c r="B109" s="18" t="s">
        <v>193</v>
      </c>
      <c r="C109" s="18" t="s">
        <v>226</v>
      </c>
      <c r="D109" s="18" t="s">
        <v>227</v>
      </c>
      <c r="E109" s="18" t="s">
        <v>714</v>
      </c>
      <c r="F109" s="19" t="s">
        <v>715</v>
      </c>
      <c r="G109" s="19" t="s">
        <v>110</v>
      </c>
      <c r="H109" s="24">
        <v>45</v>
      </c>
      <c r="I109" s="24">
        <v>36.5</v>
      </c>
      <c r="J109" s="24">
        <f>MAX(H109,ROUNDUP(I109,0))</f>
        <v>45.0</v>
      </c>
      <c r="K109" s="22">
        <f>IF(C109="covered",10.4,7.55)</f>
        <v>7.55</v>
      </c>
      <c r="L109" s="18" t="s">
        <v>716</v>
      </c>
      <c r="M109" s="24">
        <v>45</v>
      </c>
      <c r="N109" s="22">
        <v>7.55</v>
      </c>
      <c r="O109" s="22">
        <v>339.75</v>
      </c>
      <c r="P109" s="22">
        <f>J109*K109</f>
        <v>339.75</v>
      </c>
      <c r="Q109" s="22">
        <f>IF(L109="","",N109-K109)</f>
        <v>0.0</v>
      </c>
      <c r="R109" s="24">
        <f>IF(L109="","",M109-J109)</f>
        <v>0.0</v>
      </c>
      <c r="S109" s="22">
        <f>IF(L109="",-P109,O109-P109)</f>
        <v>0.0</v>
      </c>
      <c r="T109" s="11" t="str">
        <f>IF(L109="","NO BILL IN SUPPLIED EXPORT",IF(ABS(Q109)&gt;0.001,"RATE EXCEPTION",IF(ABS(R109)&gt;0.001,"LENGTH EXCEPTION",IF(ABS(S109)&gt;0.01,"AMOUNT EXCEPTION","OK"))))</f>
        <v>OK</v>
      </c>
      <c r="U109" s="19" t="s">
        <v>717</v>
      </c>
    </row>
    <row r="110" spans="1:21" ht="28" customHeight="1">
      <c r="A110" s="14" t="s">
        <v>718</v>
      </c>
      <c r="B110" s="14" t="s">
        <v>193</v>
      </c>
      <c r="C110" s="14" t="s">
        <v>226</v>
      </c>
      <c r="D110" s="14" t="s">
        <v>227</v>
      </c>
      <c r="E110" s="14" t="s">
        <v>719</v>
      </c>
      <c r="F110" s="15" t="s">
        <v>720</v>
      </c>
      <c r="G110" s="15" t="s">
        <v>70</v>
      </c>
      <c r="H110" s="24">
        <v>32</v>
      </c>
      <c r="I110" s="24">
        <v>21.8</v>
      </c>
      <c r="J110" s="24">
        <f>MAX(H110,ROUNDUP(I110,0))</f>
        <v>32.0</v>
      </c>
      <c r="K110" s="22">
        <f>IF(C110="covered",10.4,7.55)</f>
        <v>7.55</v>
      </c>
      <c r="L110" s="14" t="s">
        <v>721</v>
      </c>
      <c r="M110" s="24">
        <v>32</v>
      </c>
      <c r="N110" s="22">
        <v>7.55</v>
      </c>
      <c r="O110" s="22">
        <v>241.6</v>
      </c>
      <c r="P110" s="22">
        <f>J110*K110</f>
        <v>241.6</v>
      </c>
      <c r="Q110" s="22">
        <f>IF(L110="","",N110-K110)</f>
        <v>0.0</v>
      </c>
      <c r="R110" s="24">
        <f>IF(L110="","",M110-J110)</f>
        <v>0.0</v>
      </c>
      <c r="S110" s="22">
        <f>IF(L110="",-P110,O110-P110)</f>
        <v>0.0</v>
      </c>
      <c r="T110" s="11" t="str">
        <f>IF(L110="","NO BILL IN SUPPLIED EXPORT",IF(ABS(Q110)&gt;0.001,"RATE EXCEPTION",IF(ABS(R110)&gt;0.001,"LENGTH EXCEPTION",IF(ABS(S110)&gt;0.01,"AMOUNT EXCEPTION","OK"))))</f>
        <v>OK</v>
      </c>
      <c r="U110" s="15" t="s">
        <v>722</v>
      </c>
    </row>
    <row r="111" spans="1:21" ht="28" customHeight="1">
      <c r="A111" s="18" t="s">
        <v>723</v>
      </c>
      <c r="B111" s="18" t="s">
        <v>193</v>
      </c>
      <c r="C111" s="18" t="s">
        <v>226</v>
      </c>
      <c r="D111" s="18" t="s">
        <v>227</v>
      </c>
      <c r="E111" s="18" t="s">
        <v>724</v>
      </c>
      <c r="F111" s="19" t="s">
        <v>725</v>
      </c>
      <c r="G111" s="19" t="s">
        <v>341</v>
      </c>
      <c r="H111" s="24">
        <v>36</v>
      </c>
      <c r="I111" s="24">
        <v>26.2</v>
      </c>
      <c r="J111" s="24">
        <f>MAX(H111,ROUNDUP(I111,0))</f>
        <v>36.0</v>
      </c>
      <c r="K111" s="22">
        <f>IF(C111="covered",10.4,7.55)</f>
        <v>7.55</v>
      </c>
      <c r="L111" s="18" t="s">
        <v>726</v>
      </c>
      <c r="M111" s="24">
        <v>36</v>
      </c>
      <c r="N111" s="22">
        <v>7.55</v>
      </c>
      <c r="O111" s="22">
        <v>271.8</v>
      </c>
      <c r="P111" s="22">
        <f>J111*K111</f>
        <v>271.8</v>
      </c>
      <c r="Q111" s="22">
        <f>IF(L111="","",N111-K111)</f>
        <v>0.0</v>
      </c>
      <c r="R111" s="24">
        <f>IF(L111="","",M111-J111)</f>
        <v>0.0</v>
      </c>
      <c r="S111" s="22">
        <f>IF(L111="",-P111,O111-P111)</f>
        <v>0.0</v>
      </c>
      <c r="T111" s="11" t="str">
        <f>IF(L111="","NO BILL IN SUPPLIED EXPORT",IF(ABS(Q111)&gt;0.001,"RATE EXCEPTION",IF(ABS(R111)&gt;0.001,"LENGTH EXCEPTION",IF(ABS(S111)&gt;0.01,"AMOUNT EXCEPTION","OK"))))</f>
        <v>OK</v>
      </c>
      <c r="U111" s="19" t="s">
        <v>727</v>
      </c>
    </row>
    <row r="112" spans="1:21" ht="28" customHeight="1">
      <c r="A112" s="14" t="s">
        <v>728</v>
      </c>
      <c r="B112" s="14" t="s">
        <v>193</v>
      </c>
      <c r="C112" s="14" t="s">
        <v>226</v>
      </c>
      <c r="D112" s="14" t="s">
        <v>227</v>
      </c>
      <c r="E112" s="14" t="s">
        <v>729</v>
      </c>
      <c r="F112" s="15" t="s">
        <v>730</v>
      </c>
      <c r="G112" s="15" t="s">
        <v>731</v>
      </c>
      <c r="H112" s="24">
        <v>70</v>
      </c>
      <c r="I112" s="24">
        <v>37.2</v>
      </c>
      <c r="J112" s="24">
        <f>MAX(H112,ROUNDUP(I112,0))</f>
        <v>70.0</v>
      </c>
      <c r="K112" s="22">
        <f>IF(C112="covered",10.4,7.55)</f>
        <v>7.55</v>
      </c>
      <c r="L112" s="14" t="s">
        <v>732</v>
      </c>
      <c r="M112" s="24">
        <v>70</v>
      </c>
      <c r="N112" s="22">
        <v>7.55</v>
      </c>
      <c r="O112" s="22">
        <v>528.5</v>
      </c>
      <c r="P112" s="22">
        <f>J112*K112</f>
        <v>528.5</v>
      </c>
      <c r="Q112" s="22">
        <f>IF(L112="","",N112-K112)</f>
        <v>0.0</v>
      </c>
      <c r="R112" s="24">
        <f>IF(L112="","",M112-J112)</f>
        <v>0.0</v>
      </c>
      <c r="S112" s="22">
        <f>IF(L112="",-P112,O112-P112)</f>
        <v>0.0</v>
      </c>
      <c r="T112" s="11" t="str">
        <f>IF(L112="","NO BILL IN SUPPLIED EXPORT",IF(ABS(Q112)&gt;0.001,"RATE EXCEPTION",IF(ABS(R112)&gt;0.001,"LENGTH EXCEPTION",IF(ABS(S112)&gt;0.01,"AMOUNT EXCEPTION","OK"))))</f>
        <v>OK</v>
      </c>
      <c r="U112" s="15" t="s">
        <v>733</v>
      </c>
    </row>
    <row r="113" spans="1:21" ht="28" customHeight="1">
      <c r="A113" s="18" t="s">
        <v>734</v>
      </c>
      <c r="B113" s="18" t="s">
        <v>193</v>
      </c>
      <c r="C113" s="18" t="s">
        <v>226</v>
      </c>
      <c r="D113" s="18" t="s">
        <v>227</v>
      </c>
      <c r="E113" s="18" t="s">
        <v>735</v>
      </c>
      <c r="F113" s="19" t="s">
        <v>736</v>
      </c>
      <c r="G113" s="19" t="s">
        <v>737</v>
      </c>
      <c r="H113" s="24">
        <v>45</v>
      </c>
      <c r="I113" s="24">
        <v>51.9</v>
      </c>
      <c r="J113" s="24">
        <f>MAX(H113,ROUNDUP(I113,0))</f>
        <v>52</v>
      </c>
      <c r="K113" s="22">
        <f>IF(C113="covered",10.4,7.55)</f>
        <v>7.55</v>
      </c>
      <c r="L113" s="18" t="s">
        <v>738</v>
      </c>
      <c r="M113" s="24">
        <v>52</v>
      </c>
      <c r="N113" s="22">
        <v>7.55</v>
      </c>
      <c r="O113" s="22">
        <v>392.6</v>
      </c>
      <c r="P113" s="22">
        <f>J113*K113</f>
        <v>392.59999999999997</v>
      </c>
      <c r="Q113" s="22">
        <f>IF(L113="","",N113-K113)</f>
        <v>0.0</v>
      </c>
      <c r="R113" s="24">
        <f>IF(L113="","",M113-J113)</f>
        <v>0.0</v>
      </c>
      <c r="S113" s="22">
        <f>IF(L113="",-P113,O113-P113)</f>
        <v>5.684341886080802e-14</v>
      </c>
      <c r="T113" s="11" t="str">
        <f>IF(L113="","NO BILL IN SUPPLIED EXPORT",IF(ABS(Q113)&gt;0.001,"RATE EXCEPTION",IF(ABS(R113)&gt;0.001,"LENGTH EXCEPTION",IF(ABS(S113)&gt;0.01,"AMOUNT EXCEPTION","OK"))))</f>
        <v>OK</v>
      </c>
      <c r="U113" s="19" t="s">
        <v>739</v>
      </c>
    </row>
    <row r="114" spans="1:21" ht="28" customHeight="1">
      <c r="A114" s="14" t="s">
        <v>740</v>
      </c>
      <c r="B114" s="14" t="s">
        <v>193</v>
      </c>
      <c r="C114" s="14" t="s">
        <v>226</v>
      </c>
      <c r="D114" s="14" t="s">
        <v>227</v>
      </c>
      <c r="E114" s="14" t="s">
        <v>741</v>
      </c>
      <c r="F114" s="15" t="s">
        <v>742</v>
      </c>
      <c r="G114" s="15" t="s">
        <v>743</v>
      </c>
      <c r="H114" s="24">
        <v>32</v>
      </c>
      <c r="I114" s="24">
        <v>46.4</v>
      </c>
      <c r="J114" s="24">
        <f>MAX(H114,ROUNDUP(I114,0))</f>
        <v>47</v>
      </c>
      <c r="K114" s="22">
        <f>IF(C114="covered",10.4,7.55)</f>
        <v>7.55</v>
      </c>
      <c r="L114" s="14" t="s">
        <v>744</v>
      </c>
      <c r="M114" s="24">
        <v>47</v>
      </c>
      <c r="N114" s="22">
        <v>7.55</v>
      </c>
      <c r="O114" s="22">
        <v>354.85</v>
      </c>
      <c r="P114" s="22">
        <f>J114*K114</f>
        <v>354.84999999999997</v>
      </c>
      <c r="Q114" s="22">
        <f>IF(L114="","",N114-K114)</f>
        <v>0.0</v>
      </c>
      <c r="R114" s="24">
        <f>IF(L114="","",M114-J114)</f>
        <v>0.0</v>
      </c>
      <c r="S114" s="22">
        <f>IF(L114="",-P114,O114-P114)</f>
        <v>5.684341886080802e-14</v>
      </c>
      <c r="T114" s="11" t="str">
        <f>IF(L114="","NO BILL IN SUPPLIED EXPORT",IF(ABS(Q114)&gt;0.001,"RATE EXCEPTION",IF(ABS(R114)&gt;0.001,"LENGTH EXCEPTION",IF(ABS(S114)&gt;0.01,"AMOUNT EXCEPTION","OK"))))</f>
        <v>OK</v>
      </c>
      <c r="U114" s="15" t="s">
        <v>745</v>
      </c>
    </row>
    <row r="115" spans="1:21" ht="28" customHeight="1">
      <c r="A115" s="18" t="s">
        <v>746</v>
      </c>
      <c r="B115" s="18" t="s">
        <v>193</v>
      </c>
      <c r="C115" s="18" t="s">
        <v>226</v>
      </c>
      <c r="D115" s="18" t="s">
        <v>227</v>
      </c>
      <c r="E115" s="18" t="s">
        <v>747</v>
      </c>
      <c r="F115" s="19" t="s">
        <v>748</v>
      </c>
      <c r="G115" s="19" t="s">
        <v>749</v>
      </c>
      <c r="H115" s="24">
        <v>36</v>
      </c>
      <c r="I115" s="24">
        <v>58.9</v>
      </c>
      <c r="J115" s="24">
        <f>MAX(H115,ROUNDUP(I115,0))</f>
        <v>59</v>
      </c>
      <c r="K115" s="22">
        <f>IF(C115="covered",10.4,7.55)</f>
        <v>7.55</v>
      </c>
      <c r="L115" s="18" t="s">
        <v>750</v>
      </c>
      <c r="M115" s="24">
        <v>59</v>
      </c>
      <c r="N115" s="22">
        <v>7.55</v>
      </c>
      <c r="O115" s="22">
        <v>445.45</v>
      </c>
      <c r="P115" s="22">
        <f>J115*K115</f>
        <v>445.45</v>
      </c>
      <c r="Q115" s="22">
        <f>IF(L115="","",N115-K115)</f>
        <v>0.0</v>
      </c>
      <c r="R115" s="24">
        <f>IF(L115="","",M115-J115)</f>
        <v>0.0</v>
      </c>
      <c r="S115" s="22">
        <f>IF(L115="",-P115,O115-P115)</f>
        <v>0.0</v>
      </c>
      <c r="T115" s="11" t="str">
        <f>IF(L115="","NO BILL IN SUPPLIED EXPORT",IF(ABS(Q115)&gt;0.001,"RATE EXCEPTION",IF(ABS(R115)&gt;0.001,"LENGTH EXCEPTION",IF(ABS(S115)&gt;0.01,"AMOUNT EXCEPTION","OK"))))</f>
        <v>OK</v>
      </c>
      <c r="U115" s="19" t="s">
        <v>751</v>
      </c>
    </row>
    <row r="116" spans="1:21" ht="28" customHeight="1">
      <c r="A116" s="14" t="s">
        <v>752</v>
      </c>
      <c r="B116" s="14" t="s">
        <v>193</v>
      </c>
      <c r="C116" s="14" t="s">
        <v>226</v>
      </c>
      <c r="D116" s="14" t="s">
        <v>227</v>
      </c>
      <c r="E116" s="14" t="s">
        <v>753</v>
      </c>
      <c r="F116" s="15" t="s">
        <v>754</v>
      </c>
      <c r="G116" s="15" t="s">
        <v>755</v>
      </c>
      <c r="H116" s="24">
        <v>28</v>
      </c>
      <c r="I116" s="24">
        <v>54.2</v>
      </c>
      <c r="J116" s="24">
        <f>MAX(H116,ROUNDUP(I116,0))</f>
        <v>55</v>
      </c>
      <c r="K116" s="22">
        <f>IF(C116="covered",10.4,7.55)</f>
        <v>7.55</v>
      </c>
      <c r="L116" s="14" t="s">
        <v>756</v>
      </c>
      <c r="M116" s="24">
        <v>55</v>
      </c>
      <c r="N116" s="22">
        <v>7.55</v>
      </c>
      <c r="O116" s="22">
        <v>415.25</v>
      </c>
      <c r="P116" s="22">
        <f>J116*K116</f>
        <v>415.25</v>
      </c>
      <c r="Q116" s="22">
        <f>IF(L116="","",N116-K116)</f>
        <v>0.0</v>
      </c>
      <c r="R116" s="24">
        <f>IF(L116="","",M116-J116)</f>
        <v>0.0</v>
      </c>
      <c r="S116" s="22">
        <f>IF(L116="",-P116,O116-P116)</f>
        <v>0.0</v>
      </c>
      <c r="T116" s="11" t="str">
        <f>IF(L116="","NO BILL IN SUPPLIED EXPORT",IF(ABS(Q116)&gt;0.001,"RATE EXCEPTION",IF(ABS(R116)&gt;0.001,"LENGTH EXCEPTION",IF(ABS(S116)&gt;0.01,"AMOUNT EXCEPTION","OK"))))</f>
        <v>OK</v>
      </c>
      <c r="U116" s="15" t="s">
        <v>757</v>
      </c>
    </row>
    <row r="117" spans="1:21" ht="28" customHeight="1">
      <c r="A117" s="18" t="s">
        <v>758</v>
      </c>
      <c r="B117" s="18" t="s">
        <v>193</v>
      </c>
      <c r="C117" s="18" t="s">
        <v>226</v>
      </c>
      <c r="D117" s="18" t="s">
        <v>227</v>
      </c>
      <c r="E117" s="18" t="s">
        <v>759</v>
      </c>
      <c r="F117" s="19" t="s">
        <v>760</v>
      </c>
      <c r="G117" s="19" t="s">
        <v>761</v>
      </c>
      <c r="H117" s="24">
        <v>32</v>
      </c>
      <c r="I117" s="24">
        <v>26.2</v>
      </c>
      <c r="J117" s="24">
        <f>MAX(H117,ROUNDUP(I117,0))</f>
        <v>32.0</v>
      </c>
      <c r="K117" s="22">
        <f>IF(C117="covered",10.4,7.55)</f>
        <v>7.55</v>
      </c>
      <c r="L117" s="18" t="s">
        <v>762</v>
      </c>
      <c r="M117" s="24">
        <v>32</v>
      </c>
      <c r="N117" s="22">
        <v>7.55</v>
      </c>
      <c r="O117" s="22">
        <v>241.6</v>
      </c>
      <c r="P117" s="22">
        <f>J117*K117</f>
        <v>241.6</v>
      </c>
      <c r="Q117" s="22">
        <f>IF(L117="","",N117-K117)</f>
        <v>0.0</v>
      </c>
      <c r="R117" s="24">
        <f>IF(L117="","",M117-J117)</f>
        <v>0.0</v>
      </c>
      <c r="S117" s="22">
        <f>IF(L117="",-P117,O117-P117)</f>
        <v>0.0</v>
      </c>
      <c r="T117" s="11" t="str">
        <f>IF(L117="","NO BILL IN SUPPLIED EXPORT",IF(ABS(Q117)&gt;0.001,"RATE EXCEPTION",IF(ABS(R117)&gt;0.001,"LENGTH EXCEPTION",IF(ABS(S117)&gt;0.01,"AMOUNT EXCEPTION","OK"))))</f>
        <v>OK</v>
      </c>
      <c r="U117" s="19" t="s">
        <v>763</v>
      </c>
    </row>
    <row r="118" spans="1:21" ht="28" customHeight="1">
      <c r="A118" s="14" t="s">
        <v>764</v>
      </c>
      <c r="B118" s="14" t="s">
        <v>193</v>
      </c>
      <c r="C118" s="14" t="s">
        <v>226</v>
      </c>
      <c r="D118" s="14" t="s">
        <v>227</v>
      </c>
      <c r="E118" s="14" t="s">
        <v>765</v>
      </c>
      <c r="F118" s="15" t="s">
        <v>766</v>
      </c>
      <c r="G118" s="15" t="s">
        <v>767</v>
      </c>
      <c r="H118" s="24">
        <v>60</v>
      </c>
      <c r="I118" s="24">
        <v>37.4</v>
      </c>
      <c r="J118" s="24">
        <f>MAX(H118,ROUNDUP(I118,0))</f>
        <v>60.0</v>
      </c>
      <c r="K118" s="22">
        <f>IF(C118="covered",10.4,7.55)</f>
        <v>7.55</v>
      </c>
      <c r="L118" s="14" t="s">
        <v>768</v>
      </c>
      <c r="M118" s="24">
        <v>60</v>
      </c>
      <c r="N118" s="22">
        <v>7.55</v>
      </c>
      <c r="O118" s="22">
        <v>453</v>
      </c>
      <c r="P118" s="22">
        <f>J118*K118</f>
        <v>453.0</v>
      </c>
      <c r="Q118" s="22">
        <f>IF(L118="","",N118-K118)</f>
        <v>0.0</v>
      </c>
      <c r="R118" s="24">
        <f>IF(L118="","",M118-J118)</f>
        <v>0.0</v>
      </c>
      <c r="S118" s="22">
        <f>IF(L118="",-P118,O118-P118)</f>
        <v>0.0</v>
      </c>
      <c r="T118" s="11" t="str">
        <f>IF(L118="","NO BILL IN SUPPLIED EXPORT",IF(ABS(Q118)&gt;0.001,"RATE EXCEPTION",IF(ABS(R118)&gt;0.001,"LENGTH EXCEPTION",IF(ABS(S118)&gt;0.01,"AMOUNT EXCEPTION","OK"))))</f>
        <v>OK</v>
      </c>
      <c r="U118" s="15" t="s">
        <v>769</v>
      </c>
    </row>
    <row r="119" spans="1:21" ht="28" customHeight="1">
      <c r="A119" s="18" t="s">
        <v>770</v>
      </c>
      <c r="B119" s="18" t="s">
        <v>193</v>
      </c>
      <c r="C119" s="18" t="s">
        <v>226</v>
      </c>
      <c r="D119" s="18" t="s">
        <v>227</v>
      </c>
      <c r="E119" s="18" t="s">
        <v>771</v>
      </c>
      <c r="F119" s="19" t="s">
        <v>772</v>
      </c>
      <c r="G119" s="19" t="s">
        <v>477</v>
      </c>
      <c r="H119" s="24">
        <v>70</v>
      </c>
      <c r="I119" s="24">
        <v>55.2</v>
      </c>
      <c r="J119" s="24">
        <f>MAX(H119,ROUNDUP(I119,0))</f>
        <v>70.0</v>
      </c>
      <c r="K119" s="22">
        <f>IF(C119="covered",10.4,7.55)</f>
        <v>7.55</v>
      </c>
      <c r="L119" s="18" t="s">
        <v>773</v>
      </c>
      <c r="M119" s="24">
        <v>70</v>
      </c>
      <c r="N119" s="22">
        <v>7.55</v>
      </c>
      <c r="O119" s="22">
        <v>528.5</v>
      </c>
      <c r="P119" s="22">
        <f>J119*K119</f>
        <v>528.5</v>
      </c>
      <c r="Q119" s="22">
        <f>IF(L119="","",N119-K119)</f>
        <v>0.0</v>
      </c>
      <c r="R119" s="24">
        <f>IF(L119="","",M119-J119)</f>
        <v>0.0</v>
      </c>
      <c r="S119" s="22">
        <f>IF(L119="",-P119,O119-P119)</f>
        <v>0.0</v>
      </c>
      <c r="T119" s="11" t="str">
        <f>IF(L119="","NO BILL IN SUPPLIED EXPORT",IF(ABS(Q119)&gt;0.001,"RATE EXCEPTION",IF(ABS(R119)&gt;0.001,"LENGTH EXCEPTION",IF(ABS(S119)&gt;0.01,"AMOUNT EXCEPTION","OK"))))</f>
        <v>OK</v>
      </c>
      <c r="U119" s="19" t="s">
        <v>774</v>
      </c>
    </row>
    <row r="120" spans="1:21" ht="28" customHeight="1">
      <c r="A120" s="14" t="s">
        <v>775</v>
      </c>
      <c r="B120" s="14" t="s">
        <v>193</v>
      </c>
      <c r="C120" s="14" t="s">
        <v>226</v>
      </c>
      <c r="D120" s="14" t="s">
        <v>227</v>
      </c>
      <c r="E120" s="14" t="s">
        <v>776</v>
      </c>
      <c r="F120" s="15" t="s">
        <v>777</v>
      </c>
      <c r="G120" s="15" t="s">
        <v>778</v>
      </c>
      <c r="H120" s="24">
        <v>36</v>
      </c>
      <c r="I120" s="24">
        <v>59.7</v>
      </c>
      <c r="J120" s="24">
        <f>MAX(H120,ROUNDUP(I120,0))</f>
        <v>60</v>
      </c>
      <c r="K120" s="22">
        <f>IF(C120="covered",10.4,7.55)</f>
        <v>7.55</v>
      </c>
      <c r="L120" s="14" t="s">
        <v>779</v>
      </c>
      <c r="M120" s="24">
        <v>60</v>
      </c>
      <c r="N120" s="22">
        <v>7.55</v>
      </c>
      <c r="O120" s="22">
        <v>453</v>
      </c>
      <c r="P120" s="22">
        <f>J120*K120</f>
        <v>453.0</v>
      </c>
      <c r="Q120" s="22">
        <f>IF(L120="","",N120-K120)</f>
        <v>0.0</v>
      </c>
      <c r="R120" s="24">
        <f>IF(L120="","",M120-J120)</f>
        <v>0.0</v>
      </c>
      <c r="S120" s="22">
        <f>IF(L120="",-P120,O120-P120)</f>
        <v>0.0</v>
      </c>
      <c r="T120" s="11" t="str">
        <f>IF(L120="","NO BILL IN SUPPLIED EXPORT",IF(ABS(Q120)&gt;0.001,"RATE EXCEPTION",IF(ABS(R120)&gt;0.001,"LENGTH EXCEPTION",IF(ABS(S120)&gt;0.01,"AMOUNT EXCEPTION","OK"))))</f>
        <v>OK</v>
      </c>
      <c r="U120" s="15" t="s">
        <v>780</v>
      </c>
    </row>
    <row r="121" spans="1:21" ht="28" customHeight="1">
      <c r="A121" s="18" t="s">
        <v>781</v>
      </c>
      <c r="B121" s="18" t="s">
        <v>193</v>
      </c>
      <c r="C121" s="18" t="s">
        <v>226</v>
      </c>
      <c r="D121" s="18" t="s">
        <v>227</v>
      </c>
      <c r="E121" s="18" t="s">
        <v>782</v>
      </c>
      <c r="F121" s="19" t="s">
        <v>453</v>
      </c>
      <c r="G121" s="19" t="s">
        <v>783</v>
      </c>
      <c r="H121" s="24">
        <v>28</v>
      </c>
      <c r="I121" s="24">
        <v>52.5</v>
      </c>
      <c r="J121" s="24">
        <f>MAX(H121,ROUNDUP(I121,0))</f>
        <v>53</v>
      </c>
      <c r="K121" s="22">
        <f>IF(C121="covered",10.4,7.55)</f>
        <v>7.55</v>
      </c>
      <c r="L121" s="18" t="s">
        <v>784</v>
      </c>
      <c r="M121" s="24">
        <v>53</v>
      </c>
      <c r="N121" s="22">
        <v>7.55</v>
      </c>
      <c r="O121" s="22">
        <v>400.15</v>
      </c>
      <c r="P121" s="22">
        <f>J121*K121</f>
        <v>400.15</v>
      </c>
      <c r="Q121" s="22">
        <f>IF(L121="","",N121-K121)</f>
        <v>0.0</v>
      </c>
      <c r="R121" s="24">
        <f>IF(L121="","",M121-J121)</f>
        <v>0.0</v>
      </c>
      <c r="S121" s="22">
        <f>IF(L121="",-P121,O121-P121)</f>
        <v>0.0</v>
      </c>
      <c r="T121" s="11" t="str">
        <f>IF(L121="","NO BILL IN SUPPLIED EXPORT",IF(ABS(Q121)&gt;0.001,"RATE EXCEPTION",IF(ABS(R121)&gt;0.001,"LENGTH EXCEPTION",IF(ABS(S121)&gt;0.01,"AMOUNT EXCEPTION","OK"))))</f>
        <v>OK</v>
      </c>
      <c r="U121" s="19" t="s">
        <v>785</v>
      </c>
    </row>
    <row r="122" spans="1:21" ht="28" customHeight="1">
      <c r="A122" s="14" t="s">
        <v>786</v>
      </c>
      <c r="B122" s="14" t="s">
        <v>193</v>
      </c>
      <c r="C122" s="14" t="s">
        <v>226</v>
      </c>
      <c r="D122" s="14" t="s">
        <v>227</v>
      </c>
      <c r="E122" s="14" t="s">
        <v>787</v>
      </c>
      <c r="F122" s="15" t="s">
        <v>788</v>
      </c>
      <c r="G122" s="15" t="s">
        <v>789</v>
      </c>
      <c r="H122" s="24">
        <v>28</v>
      </c>
      <c r="I122" s="24">
        <v>35.3</v>
      </c>
      <c r="J122" s="24">
        <f>MAX(H122,ROUNDUP(I122,0))</f>
        <v>36</v>
      </c>
      <c r="K122" s="22">
        <f>IF(C122="covered",10.4,7.55)</f>
        <v>7.55</v>
      </c>
      <c r="L122" s="14" t="s">
        <v>790</v>
      </c>
      <c r="M122" s="24">
        <v>36</v>
      </c>
      <c r="N122" s="22">
        <v>7.55</v>
      </c>
      <c r="O122" s="22">
        <v>271.8</v>
      </c>
      <c r="P122" s="22">
        <f>J122*K122</f>
        <v>271.8</v>
      </c>
      <c r="Q122" s="22">
        <f>IF(L122="","",N122-K122)</f>
        <v>0.0</v>
      </c>
      <c r="R122" s="24">
        <f>IF(L122="","",M122-J122)</f>
        <v>0.0</v>
      </c>
      <c r="S122" s="22">
        <f>IF(L122="",-P122,O122-P122)</f>
        <v>0.0</v>
      </c>
      <c r="T122" s="11" t="str">
        <f>IF(L122="","NO BILL IN SUPPLIED EXPORT",IF(ABS(Q122)&gt;0.001,"RATE EXCEPTION",IF(ABS(R122)&gt;0.001,"LENGTH EXCEPTION",IF(ABS(S122)&gt;0.01,"AMOUNT EXCEPTION","OK"))))</f>
        <v>OK</v>
      </c>
      <c r="U122" s="15" t="s">
        <v>791</v>
      </c>
    </row>
    <row r="123" spans="1:21" ht="28" customHeight="1">
      <c r="A123" s="18" t="s">
        <v>792</v>
      </c>
      <c r="B123" s="18" t="s">
        <v>193</v>
      </c>
      <c r="C123" s="18" t="s">
        <v>226</v>
      </c>
      <c r="D123" s="18" t="s">
        <v>227</v>
      </c>
      <c r="E123" s="18" t="s">
        <v>793</v>
      </c>
      <c r="F123" s="19" t="s">
        <v>794</v>
      </c>
      <c r="G123" s="19" t="s">
        <v>795</v>
      </c>
      <c r="H123" s="24">
        <v>60</v>
      </c>
      <c r="I123" s="24">
        <v>43.8</v>
      </c>
      <c r="J123" s="24">
        <f>MAX(H123,ROUNDUP(I123,0))</f>
        <v>60.0</v>
      </c>
      <c r="K123" s="22">
        <f>IF(C123="covered",10.4,7.55)</f>
        <v>7.55</v>
      </c>
      <c r="L123" s="18" t="s">
        <v>796</v>
      </c>
      <c r="M123" s="24">
        <v>60</v>
      </c>
      <c r="N123" s="22">
        <v>7.55</v>
      </c>
      <c r="O123" s="22">
        <v>453</v>
      </c>
      <c r="P123" s="22">
        <f>J123*K123</f>
        <v>453.0</v>
      </c>
      <c r="Q123" s="22">
        <f>IF(L123="","",N123-K123)</f>
        <v>0.0</v>
      </c>
      <c r="R123" s="24">
        <f>IF(L123="","",M123-J123)</f>
        <v>0.0</v>
      </c>
      <c r="S123" s="22">
        <f>IF(L123="",-P123,O123-P123)</f>
        <v>0.0</v>
      </c>
      <c r="T123" s="11" t="str">
        <f>IF(L123="","NO BILL IN SUPPLIED EXPORT",IF(ABS(Q123)&gt;0.001,"RATE EXCEPTION",IF(ABS(R123)&gt;0.001,"LENGTH EXCEPTION",IF(ABS(S123)&gt;0.01,"AMOUNT EXCEPTION","OK"))))</f>
        <v>OK</v>
      </c>
      <c r="U123" s="19" t="s">
        <v>797</v>
      </c>
    </row>
    <row r="124" spans="1:21" ht="28" customHeight="1">
      <c r="A124" s="14" t="s">
        <v>798</v>
      </c>
      <c r="B124" s="14" t="s">
        <v>193</v>
      </c>
      <c r="C124" s="14" t="s">
        <v>226</v>
      </c>
      <c r="D124" s="14" t="s">
        <v>227</v>
      </c>
      <c r="E124" s="14" t="s">
        <v>799</v>
      </c>
      <c r="F124" s="15" t="s">
        <v>800</v>
      </c>
      <c r="G124" s="15" t="s">
        <v>801</v>
      </c>
      <c r="H124" s="24">
        <v>24</v>
      </c>
      <c r="I124" s="24">
        <v>40.1</v>
      </c>
      <c r="J124" s="24">
        <f>MAX(H124,ROUNDUP(I124,0))</f>
        <v>41</v>
      </c>
      <c r="K124" s="22">
        <f>IF(C124="covered",10.4,7.55)</f>
        <v>7.55</v>
      </c>
      <c r="L124" s="14" t="s">
        <v>802</v>
      </c>
      <c r="M124" s="24">
        <v>41</v>
      </c>
      <c r="N124" s="22">
        <v>7.55</v>
      </c>
      <c r="O124" s="22">
        <v>309.55</v>
      </c>
      <c r="P124" s="22">
        <f>J124*K124</f>
        <v>309.55</v>
      </c>
      <c r="Q124" s="22">
        <f>IF(L124="","",N124-K124)</f>
        <v>0.0</v>
      </c>
      <c r="R124" s="24">
        <f>IF(L124="","",M124-J124)</f>
        <v>0.0</v>
      </c>
      <c r="S124" s="22">
        <f>IF(L124="",-P124,O124-P124)</f>
        <v>0.0</v>
      </c>
      <c r="T124" s="11" t="str">
        <f>IF(L124="","NO BILL IN SUPPLIED EXPORT",IF(ABS(Q124)&gt;0.001,"RATE EXCEPTION",IF(ABS(R124)&gt;0.001,"LENGTH EXCEPTION",IF(ABS(S124)&gt;0.01,"AMOUNT EXCEPTION","OK"))))</f>
        <v>OK</v>
      </c>
      <c r="U124" s="15" t="s">
        <v>803</v>
      </c>
    </row>
    <row r="125" spans="1:21" ht="28" customHeight="1">
      <c r="A125" s="18" t="s">
        <v>804</v>
      </c>
      <c r="B125" s="18" t="s">
        <v>193</v>
      </c>
      <c r="C125" s="18" t="s">
        <v>226</v>
      </c>
      <c r="D125" s="18" t="s">
        <v>227</v>
      </c>
      <c r="E125" s="18" t="s">
        <v>805</v>
      </c>
      <c r="F125" s="19" t="s">
        <v>806</v>
      </c>
      <c r="G125" s="19" t="s">
        <v>807</v>
      </c>
      <c r="H125" s="24">
        <v>24</v>
      </c>
      <c r="I125" s="24">
        <v>50.2</v>
      </c>
      <c r="J125" s="24">
        <f>MAX(H125,ROUNDUP(I125,0))</f>
        <v>51</v>
      </c>
      <c r="K125" s="22">
        <f>IF(C125="covered",10.4,7.55)</f>
        <v>7.55</v>
      </c>
      <c r="L125" s="18" t="s">
        <v>808</v>
      </c>
      <c r="M125" s="24">
        <v>51</v>
      </c>
      <c r="N125" s="22">
        <v>7.55</v>
      </c>
      <c r="O125" s="22">
        <v>385.05</v>
      </c>
      <c r="P125" s="22">
        <f>J125*K125</f>
        <v>385.05</v>
      </c>
      <c r="Q125" s="22">
        <f>IF(L125="","",N125-K125)</f>
        <v>0.0</v>
      </c>
      <c r="R125" s="24">
        <f>IF(L125="","",M125-J125)</f>
        <v>0.0</v>
      </c>
      <c r="S125" s="22">
        <f>IF(L125="",-P125,O125-P125)</f>
        <v>0.0</v>
      </c>
      <c r="T125" s="11" t="str">
        <f>IF(L125="","NO BILL IN SUPPLIED EXPORT",IF(ABS(Q125)&gt;0.001,"RATE EXCEPTION",IF(ABS(R125)&gt;0.001,"LENGTH EXCEPTION",IF(ABS(S125)&gt;0.01,"AMOUNT EXCEPTION","OK"))))</f>
        <v>OK</v>
      </c>
      <c r="U125" s="19" t="s">
        <v>809</v>
      </c>
    </row>
    <row r="126" spans="1:21" ht="28" customHeight="1">
      <c r="A126" s="14" t="s">
        <v>810</v>
      </c>
      <c r="B126" s="14" t="s">
        <v>193</v>
      </c>
      <c r="C126" s="14" t="s">
        <v>226</v>
      </c>
      <c r="D126" s="14" t="s">
        <v>227</v>
      </c>
      <c r="E126" s="14" t="s">
        <v>90</v>
      </c>
      <c r="F126" s="15" t="s">
        <v>91</v>
      </c>
      <c r="G126" s="15" t="s">
        <v>92</v>
      </c>
      <c r="H126" s="24">
        <v>24</v>
      </c>
      <c r="I126" s="24">
        <v>61</v>
      </c>
      <c r="J126" s="24">
        <f>MAX(H126,ROUNDUP(I126,0))</f>
        <v>61</v>
      </c>
      <c r="K126" s="22">
        <f>IF(C126="covered",10.4,7.55)</f>
        <v>7.55</v>
      </c>
      <c r="L126" s="14" t="s">
        <v>811</v>
      </c>
      <c r="M126" s="24">
        <v>61</v>
      </c>
      <c r="N126" s="22">
        <v>7.55</v>
      </c>
      <c r="O126" s="22">
        <v>460.55</v>
      </c>
      <c r="P126" s="22">
        <f>J126*K126</f>
        <v>460.55</v>
      </c>
      <c r="Q126" s="22">
        <f>IF(L126="","",N126-K126)</f>
        <v>0.0</v>
      </c>
      <c r="R126" s="24">
        <f>IF(L126="","",M126-J126)</f>
        <v>0.0</v>
      </c>
      <c r="S126" s="22">
        <f>IF(L126="",-P126,O126-P126)</f>
        <v>0.0</v>
      </c>
      <c r="T126" s="11" t="str">
        <f>IF(L126="","NO BILL IN SUPPLIED EXPORT",IF(ABS(Q126)&gt;0.001,"RATE EXCEPTION",IF(ABS(R126)&gt;0.001,"LENGTH EXCEPTION",IF(ABS(S126)&gt;0.01,"AMOUNT EXCEPTION","OK"))))</f>
        <v>OK</v>
      </c>
      <c r="U126" s="15" t="s">
        <v>812</v>
      </c>
    </row>
    <row r="127" spans="1:21" ht="28" customHeight="1">
      <c r="A127" s="18" t="s">
        <v>813</v>
      </c>
      <c r="B127" s="18" t="s">
        <v>193</v>
      </c>
      <c r="C127" s="18" t="s">
        <v>226</v>
      </c>
      <c r="D127" s="18" t="s">
        <v>227</v>
      </c>
      <c r="E127" s="18" t="s">
        <v>814</v>
      </c>
      <c r="F127" s="19" t="s">
        <v>815</v>
      </c>
      <c r="G127" s="19" t="s">
        <v>816</v>
      </c>
      <c r="H127" s="24">
        <v>40</v>
      </c>
      <c r="I127" s="24">
        <v>30.5</v>
      </c>
      <c r="J127" s="24">
        <f>MAX(H127,ROUNDUP(I127,0))</f>
        <v>40.0</v>
      </c>
      <c r="K127" s="22">
        <f>IF(C127="covered",10.4,7.55)</f>
        <v>7.55</v>
      </c>
      <c r="L127" s="18" t="s">
        <v>817</v>
      </c>
      <c r="M127" s="24">
        <v>40</v>
      </c>
      <c r="N127" s="22">
        <v>7.55</v>
      </c>
      <c r="O127" s="22">
        <v>302</v>
      </c>
      <c r="P127" s="22">
        <f>J127*K127</f>
        <v>302.0</v>
      </c>
      <c r="Q127" s="22">
        <f>IF(L127="","",N127-K127)</f>
        <v>0.0</v>
      </c>
      <c r="R127" s="24">
        <f>IF(L127="","",M127-J127)</f>
        <v>0.0</v>
      </c>
      <c r="S127" s="22">
        <f>IF(L127="",-P127,O127-P127)</f>
        <v>0.0</v>
      </c>
      <c r="T127" s="11" t="str">
        <f>IF(L127="","NO BILL IN SUPPLIED EXPORT",IF(ABS(Q127)&gt;0.001,"RATE EXCEPTION",IF(ABS(R127)&gt;0.001,"LENGTH EXCEPTION",IF(ABS(S127)&gt;0.01,"AMOUNT EXCEPTION","OK"))))</f>
        <v>OK</v>
      </c>
      <c r="U127" s="19" t="s">
        <v>818</v>
      </c>
    </row>
    <row r="128" spans="1:21" ht="28" customHeight="1">
      <c r="A128" s="14" t="s">
        <v>819</v>
      </c>
      <c r="B128" s="14" t="s">
        <v>193</v>
      </c>
      <c r="C128" s="14" t="s">
        <v>226</v>
      </c>
      <c r="D128" s="14" t="s">
        <v>227</v>
      </c>
      <c r="E128" s="14" t="s">
        <v>820</v>
      </c>
      <c r="F128" s="15" t="s">
        <v>821</v>
      </c>
      <c r="G128" s="15" t="s">
        <v>822</v>
      </c>
      <c r="H128" s="24">
        <v>24</v>
      </c>
      <c r="I128" s="24">
        <v>38.6</v>
      </c>
      <c r="J128" s="24">
        <f>MAX(H128,ROUNDUP(I128,0))</f>
        <v>39</v>
      </c>
      <c r="K128" s="22">
        <f>IF(C128="covered",10.4,7.55)</f>
        <v>7.55</v>
      </c>
      <c r="L128" s="14" t="s">
        <v>823</v>
      </c>
      <c r="M128" s="24">
        <v>39</v>
      </c>
      <c r="N128" s="22">
        <v>7.55</v>
      </c>
      <c r="O128" s="22">
        <v>294.45</v>
      </c>
      <c r="P128" s="22">
        <f>J128*K128</f>
        <v>294.45</v>
      </c>
      <c r="Q128" s="22">
        <f>IF(L128="","",N128-K128)</f>
        <v>0.0</v>
      </c>
      <c r="R128" s="24">
        <f>IF(L128="","",M128-J128)</f>
        <v>0.0</v>
      </c>
      <c r="S128" s="22">
        <f>IF(L128="",-P128,O128-P128)</f>
        <v>0.0</v>
      </c>
      <c r="T128" s="11" t="str">
        <f>IF(L128="","NO BILL IN SUPPLIED EXPORT",IF(ABS(Q128)&gt;0.001,"RATE EXCEPTION",IF(ABS(R128)&gt;0.001,"LENGTH EXCEPTION",IF(ABS(S128)&gt;0.01,"AMOUNT EXCEPTION","OK"))))</f>
        <v>OK</v>
      </c>
      <c r="U128" s="15" t="s">
        <v>824</v>
      </c>
    </row>
    <row r="129" spans="1:21" ht="28" customHeight="1">
      <c r="A129" s="18" t="s">
        <v>825</v>
      </c>
      <c r="B129" s="18" t="s">
        <v>193</v>
      </c>
      <c r="C129" s="18" t="s">
        <v>226</v>
      </c>
      <c r="D129" s="18" t="s">
        <v>227</v>
      </c>
      <c r="E129" s="18" t="s">
        <v>826</v>
      </c>
      <c r="F129" s="19" t="s">
        <v>827</v>
      </c>
      <c r="G129" s="19" t="s">
        <v>828</v>
      </c>
      <c r="H129" s="24">
        <v>50</v>
      </c>
      <c r="I129" s="24">
        <v>36.8</v>
      </c>
      <c r="J129" s="24">
        <f>MAX(H129,ROUNDUP(I129,0))</f>
        <v>50.0</v>
      </c>
      <c r="K129" s="22">
        <f>IF(C129="covered",10.4,7.55)</f>
        <v>7.55</v>
      </c>
      <c r="L129" s="18" t="s">
        <v>829</v>
      </c>
      <c r="M129" s="24">
        <v>50</v>
      </c>
      <c r="N129" s="22">
        <v>7.55</v>
      </c>
      <c r="O129" s="22">
        <v>377.5</v>
      </c>
      <c r="P129" s="22">
        <f>J129*K129</f>
        <v>377.5</v>
      </c>
      <c r="Q129" s="22">
        <f>IF(L129="","",N129-K129)</f>
        <v>0.0</v>
      </c>
      <c r="R129" s="24">
        <f>IF(L129="","",M129-J129)</f>
        <v>0.0</v>
      </c>
      <c r="S129" s="22">
        <f>IF(L129="",-P129,O129-P129)</f>
        <v>0.0</v>
      </c>
      <c r="T129" s="11" t="str">
        <f>IF(L129="","NO BILL IN SUPPLIED EXPORT",IF(ABS(Q129)&gt;0.001,"RATE EXCEPTION",IF(ABS(R129)&gt;0.001,"LENGTH EXCEPTION",IF(ABS(S129)&gt;0.01,"AMOUNT EXCEPTION","OK"))))</f>
        <v>OK</v>
      </c>
      <c r="U129" s="19" t="s">
        <v>830</v>
      </c>
    </row>
    <row r="130" spans="1:21" ht="28" customHeight="1">
      <c r="A130" s="14" t="s">
        <v>831</v>
      </c>
      <c r="B130" s="14" t="s">
        <v>193</v>
      </c>
      <c r="C130" s="14" t="s">
        <v>226</v>
      </c>
      <c r="D130" s="14" t="s">
        <v>227</v>
      </c>
      <c r="E130" s="14" t="s">
        <v>832</v>
      </c>
      <c r="F130" s="15" t="s">
        <v>833</v>
      </c>
      <c r="G130" s="15" t="s">
        <v>834</v>
      </c>
      <c r="H130" s="24">
        <v>32</v>
      </c>
      <c r="I130" s="24">
        <v>53.2</v>
      </c>
      <c r="J130" s="24">
        <f>MAX(H130,ROUNDUP(I130,0))</f>
        <v>54</v>
      </c>
      <c r="K130" s="22">
        <f>IF(C130="covered",10.4,7.55)</f>
        <v>7.55</v>
      </c>
      <c r="L130" s="14" t="s">
        <v>835</v>
      </c>
      <c r="M130" s="24">
        <v>54</v>
      </c>
      <c r="N130" s="22">
        <v>7.55</v>
      </c>
      <c r="O130" s="22">
        <v>407.7</v>
      </c>
      <c r="P130" s="22">
        <f>J130*K130</f>
        <v>407.7</v>
      </c>
      <c r="Q130" s="22">
        <f>IF(L130="","",N130-K130)</f>
        <v>0.0</v>
      </c>
      <c r="R130" s="24">
        <f>IF(L130="","",M130-J130)</f>
        <v>0.0</v>
      </c>
      <c r="S130" s="22">
        <f>IF(L130="",-P130,O130-P130)</f>
        <v>0.0</v>
      </c>
      <c r="T130" s="11" t="str">
        <f>IF(L130="","NO BILL IN SUPPLIED EXPORT",IF(ABS(Q130)&gt;0.001,"RATE EXCEPTION",IF(ABS(R130)&gt;0.001,"LENGTH EXCEPTION",IF(ABS(S130)&gt;0.01,"AMOUNT EXCEPTION","OK"))))</f>
        <v>OK</v>
      </c>
      <c r="U130" s="15" t="s">
        <v>836</v>
      </c>
    </row>
    <row r="131" spans="1:21" ht="28" customHeight="1">
      <c r="A131" s="18" t="s">
        <v>837</v>
      </c>
      <c r="B131" s="18" t="s">
        <v>193</v>
      </c>
      <c r="C131" s="18" t="s">
        <v>226</v>
      </c>
      <c r="D131" s="18" t="s">
        <v>227</v>
      </c>
      <c r="E131" s="18" t="s">
        <v>838</v>
      </c>
      <c r="F131" s="19" t="s">
        <v>839</v>
      </c>
      <c r="G131" s="19" t="s">
        <v>840</v>
      </c>
      <c r="H131" s="24">
        <v>24</v>
      </c>
      <c r="I131" s="24">
        <v>26.9</v>
      </c>
      <c r="J131" s="24">
        <f>MAX(H131,ROUNDUP(I131,0))</f>
        <v>27</v>
      </c>
      <c r="K131" s="22">
        <f>IF(C131="covered",10.4,7.55)</f>
        <v>7.55</v>
      </c>
      <c r="L131" s="18" t="s">
        <v>841</v>
      </c>
      <c r="M131" s="24">
        <v>27</v>
      </c>
      <c r="N131" s="22">
        <v>7.55</v>
      </c>
      <c r="O131" s="22">
        <v>203.85</v>
      </c>
      <c r="P131" s="22">
        <f>J131*K131</f>
        <v>203.85</v>
      </c>
      <c r="Q131" s="22">
        <f>IF(L131="","",N131-K131)</f>
        <v>0.0</v>
      </c>
      <c r="R131" s="24">
        <f>IF(L131="","",M131-J131)</f>
        <v>0.0</v>
      </c>
      <c r="S131" s="22">
        <f>IF(L131="",-P131,O131-P131)</f>
        <v>0.0</v>
      </c>
      <c r="T131" s="11" t="str">
        <f>IF(L131="","NO BILL IN SUPPLIED EXPORT",IF(ABS(Q131)&gt;0.001,"RATE EXCEPTION",IF(ABS(R131)&gt;0.001,"LENGTH EXCEPTION",IF(ABS(S131)&gt;0.01,"AMOUNT EXCEPTION","OK"))))</f>
        <v>OK</v>
      </c>
      <c r="U131" s="19" t="s">
        <v>842</v>
      </c>
    </row>
    <row r="132" spans="1:21" ht="28" customHeight="1">
      <c r="A132" s="14" t="s">
        <v>843</v>
      </c>
      <c r="B132" s="14" t="s">
        <v>193</v>
      </c>
      <c r="C132" s="14" t="s">
        <v>226</v>
      </c>
      <c r="D132" s="14" t="s">
        <v>227</v>
      </c>
      <c r="E132" s="14" t="s">
        <v>844</v>
      </c>
      <c r="F132" s="15" t="s">
        <v>845</v>
      </c>
      <c r="G132" s="15" t="s">
        <v>541</v>
      </c>
      <c r="H132" s="24">
        <v>50</v>
      </c>
      <c r="I132" s="24">
        <v>38.3</v>
      </c>
      <c r="J132" s="24">
        <f>MAX(H132,ROUNDUP(I132,0))</f>
        <v>50.0</v>
      </c>
      <c r="K132" s="22">
        <f>IF(C132="covered",10.4,7.55)</f>
        <v>7.55</v>
      </c>
      <c r="L132" s="14" t="s">
        <v>846</v>
      </c>
      <c r="M132" s="24">
        <v>50</v>
      </c>
      <c r="N132" s="22">
        <v>7.55</v>
      </c>
      <c r="O132" s="22">
        <v>377.5</v>
      </c>
      <c r="P132" s="22">
        <f>J132*K132</f>
        <v>377.5</v>
      </c>
      <c r="Q132" s="22">
        <f>IF(L132="","",N132-K132)</f>
        <v>0.0</v>
      </c>
      <c r="R132" s="24">
        <f>IF(L132="","",M132-J132)</f>
        <v>0.0</v>
      </c>
      <c r="S132" s="22">
        <f>IF(L132="",-P132,O132-P132)</f>
        <v>0.0</v>
      </c>
      <c r="T132" s="11" t="str">
        <f>IF(L132="","NO BILL IN SUPPLIED EXPORT",IF(ABS(Q132)&gt;0.001,"RATE EXCEPTION",IF(ABS(R132)&gt;0.001,"LENGTH EXCEPTION",IF(ABS(S132)&gt;0.01,"AMOUNT EXCEPTION","OK"))))</f>
        <v>OK</v>
      </c>
      <c r="U132" s="15" t="s">
        <v>847</v>
      </c>
    </row>
    <row r="133" spans="1:21" ht="28" customHeight="1">
      <c r="A133" s="18" t="s">
        <v>848</v>
      </c>
      <c r="B133" s="18" t="s">
        <v>193</v>
      </c>
      <c r="C133" s="18" t="s">
        <v>226</v>
      </c>
      <c r="D133" s="18" t="s">
        <v>227</v>
      </c>
      <c r="E133" s="18" t="s">
        <v>849</v>
      </c>
      <c r="F133" s="19" t="s">
        <v>850</v>
      </c>
      <c r="G133" s="19" t="s">
        <v>851</v>
      </c>
      <c r="H133" s="24">
        <v>36</v>
      </c>
      <c r="I133" s="24">
        <v>26.5</v>
      </c>
      <c r="J133" s="24">
        <f>MAX(H133,ROUNDUP(I133,0))</f>
        <v>36.0</v>
      </c>
      <c r="K133" s="22">
        <f>IF(C133="covered",10.4,7.55)</f>
        <v>7.55</v>
      </c>
      <c r="L133" s="18" t="s">
        <v>852</v>
      </c>
      <c r="M133" s="24">
        <v>36</v>
      </c>
      <c r="N133" s="22">
        <v>7.55</v>
      </c>
      <c r="O133" s="22">
        <v>271.8</v>
      </c>
      <c r="P133" s="22">
        <f>J133*K133</f>
        <v>271.8</v>
      </c>
      <c r="Q133" s="22">
        <f>IF(L133="","",N133-K133)</f>
        <v>0.0</v>
      </c>
      <c r="R133" s="24">
        <f>IF(L133="","",M133-J133)</f>
        <v>0.0</v>
      </c>
      <c r="S133" s="22">
        <f>IF(L133="",-P133,O133-P133)</f>
        <v>0.0</v>
      </c>
      <c r="T133" s="11" t="str">
        <f>IF(L133="","NO BILL IN SUPPLIED EXPORT",IF(ABS(Q133)&gt;0.001,"RATE EXCEPTION",IF(ABS(R133)&gt;0.001,"LENGTH EXCEPTION",IF(ABS(S133)&gt;0.01,"AMOUNT EXCEPTION","OK"))))</f>
        <v>OK</v>
      </c>
      <c r="U133" s="19" t="s">
        <v>853</v>
      </c>
    </row>
    <row r="134" spans="1:21" ht="28" customHeight="1">
      <c r="A134" s="14" t="s">
        <v>854</v>
      </c>
      <c r="B134" s="14" t="s">
        <v>193</v>
      </c>
      <c r="C134" s="14" t="s">
        <v>226</v>
      </c>
      <c r="D134" s="14" t="s">
        <v>227</v>
      </c>
      <c r="E134" s="14" t="s">
        <v>855</v>
      </c>
      <c r="F134" s="15" t="s">
        <v>856</v>
      </c>
      <c r="G134" s="15" t="s">
        <v>370</v>
      </c>
      <c r="H134" s="24">
        <v>24</v>
      </c>
      <c r="I134" s="24">
        <v>57.9</v>
      </c>
      <c r="J134" s="24">
        <f>MAX(H134,ROUNDUP(I134,0))</f>
        <v>58</v>
      </c>
      <c r="K134" s="22">
        <f>IF(C134="covered",10.4,7.55)</f>
        <v>7.55</v>
      </c>
      <c r="L134" s="14" t="s">
        <v>857</v>
      </c>
      <c r="M134" s="24">
        <v>58</v>
      </c>
      <c r="N134" s="22">
        <v>7.55</v>
      </c>
      <c r="O134" s="22">
        <v>437.9</v>
      </c>
      <c r="P134" s="22">
        <f>J134*K134</f>
        <v>437.9</v>
      </c>
      <c r="Q134" s="22">
        <f>IF(L134="","",N134-K134)</f>
        <v>0.0</v>
      </c>
      <c r="R134" s="24">
        <f>IF(L134="","",M134-J134)</f>
        <v>0.0</v>
      </c>
      <c r="S134" s="22">
        <f>IF(L134="",-P134,O134-P134)</f>
        <v>0.0</v>
      </c>
      <c r="T134" s="11" t="str">
        <f>IF(L134="","NO BILL IN SUPPLIED EXPORT",IF(ABS(Q134)&gt;0.001,"RATE EXCEPTION",IF(ABS(R134)&gt;0.001,"LENGTH EXCEPTION",IF(ABS(S134)&gt;0.01,"AMOUNT EXCEPTION","OK"))))</f>
        <v>OK</v>
      </c>
      <c r="U134" s="15" t="s">
        <v>858</v>
      </c>
    </row>
    <row r="135" spans="1:21" ht="28" customHeight="1">
      <c r="A135" s="18" t="s">
        <v>859</v>
      </c>
      <c r="B135" s="18" t="s">
        <v>193</v>
      </c>
      <c r="C135" s="18" t="s">
        <v>226</v>
      </c>
      <c r="D135" s="18" t="s">
        <v>227</v>
      </c>
      <c r="E135" s="18" t="s">
        <v>860</v>
      </c>
      <c r="F135" s="19" t="s">
        <v>861</v>
      </c>
      <c r="G135" s="19" t="s">
        <v>862</v>
      </c>
      <c r="H135" s="24">
        <v>32</v>
      </c>
      <c r="I135" s="24">
        <v>19.2</v>
      </c>
      <c r="J135" s="24">
        <f>MAX(H135,ROUNDUP(I135,0))</f>
        <v>32.0</v>
      </c>
      <c r="K135" s="22">
        <f>IF(C135="covered",10.4,7.55)</f>
        <v>7.55</v>
      </c>
      <c r="L135" s="18" t="s">
        <v>863</v>
      </c>
      <c r="M135" s="24">
        <v>32</v>
      </c>
      <c r="N135" s="22">
        <v>7.55</v>
      </c>
      <c r="O135" s="22">
        <v>241.6</v>
      </c>
      <c r="P135" s="22">
        <f>J135*K135</f>
        <v>241.6</v>
      </c>
      <c r="Q135" s="22">
        <f>IF(L135="","",N135-K135)</f>
        <v>0.0</v>
      </c>
      <c r="R135" s="24">
        <f>IF(L135="","",M135-J135)</f>
        <v>0.0</v>
      </c>
      <c r="S135" s="22">
        <f>IF(L135="",-P135,O135-P135)</f>
        <v>0.0</v>
      </c>
      <c r="T135" s="11" t="str">
        <f>IF(L135="","NO BILL IN SUPPLIED EXPORT",IF(ABS(Q135)&gt;0.001,"RATE EXCEPTION",IF(ABS(R135)&gt;0.001,"LENGTH EXCEPTION",IF(ABS(S135)&gt;0.01,"AMOUNT EXCEPTION","OK"))))</f>
        <v>OK</v>
      </c>
      <c r="U135" s="19" t="s">
        <v>864</v>
      </c>
    </row>
    <row r="136" spans="1:21" ht="28" customHeight="1">
      <c r="A136" s="14" t="s">
        <v>865</v>
      </c>
      <c r="B136" s="14" t="s">
        <v>193</v>
      </c>
      <c r="C136" s="14" t="s">
        <v>226</v>
      </c>
      <c r="D136" s="14" t="s">
        <v>227</v>
      </c>
      <c r="E136" s="14" t="s">
        <v>866</v>
      </c>
      <c r="F136" s="15" t="s">
        <v>867</v>
      </c>
      <c r="G136" s="15" t="s">
        <v>868</v>
      </c>
      <c r="H136" s="24">
        <v>24</v>
      </c>
      <c r="I136" s="24">
        <v>22.8</v>
      </c>
      <c r="J136" s="24">
        <f>MAX(H136,ROUNDUP(I136,0))</f>
        <v>24.0</v>
      </c>
      <c r="K136" s="22">
        <f>IF(C136="covered",10.4,7.55)</f>
        <v>7.55</v>
      </c>
      <c r="L136" s="14" t="s">
        <v>869</v>
      </c>
      <c r="M136" s="24">
        <v>24</v>
      </c>
      <c r="N136" s="22">
        <v>7.55</v>
      </c>
      <c r="O136" s="22">
        <v>181.2</v>
      </c>
      <c r="P136" s="22">
        <f>J136*K136</f>
        <v>181.2</v>
      </c>
      <c r="Q136" s="22">
        <f>IF(L136="","",N136-K136)</f>
        <v>0.0</v>
      </c>
      <c r="R136" s="24">
        <f>IF(L136="","",M136-J136)</f>
        <v>0.0</v>
      </c>
      <c r="S136" s="22">
        <f>IF(L136="",-P136,O136-P136)</f>
        <v>0.0</v>
      </c>
      <c r="T136" s="11" t="str">
        <f>IF(L136="","NO BILL IN SUPPLIED EXPORT",IF(ABS(Q136)&gt;0.001,"RATE EXCEPTION",IF(ABS(R136)&gt;0.001,"LENGTH EXCEPTION",IF(ABS(S136)&gt;0.01,"AMOUNT EXCEPTION","OK"))))</f>
        <v>OK</v>
      </c>
      <c r="U136" s="15" t="s">
        <v>870</v>
      </c>
    </row>
    <row r="137" spans="1:21" ht="28" customHeight="1">
      <c r="A137" s="18" t="s">
        <v>871</v>
      </c>
      <c r="B137" s="18" t="s">
        <v>193</v>
      </c>
      <c r="C137" s="18" t="s">
        <v>226</v>
      </c>
      <c r="D137" s="18" t="s">
        <v>227</v>
      </c>
      <c r="E137" s="18" t="s">
        <v>872</v>
      </c>
      <c r="F137" s="19" t="s">
        <v>873</v>
      </c>
      <c r="G137" s="19" t="s">
        <v>874</v>
      </c>
      <c r="H137" s="24">
        <v>50</v>
      </c>
      <c r="I137" s="24">
        <v>26.9</v>
      </c>
      <c r="J137" s="24">
        <f>MAX(H137,ROUNDUP(I137,0))</f>
        <v>50.0</v>
      </c>
      <c r="K137" s="22">
        <f>IF(C137="covered",10.4,7.55)</f>
        <v>7.55</v>
      </c>
      <c r="L137" s="18" t="s">
        <v>875</v>
      </c>
      <c r="M137" s="24">
        <v>50</v>
      </c>
      <c r="N137" s="22">
        <v>7.55</v>
      </c>
      <c r="O137" s="22">
        <v>377.5</v>
      </c>
      <c r="P137" s="22">
        <f>J137*K137</f>
        <v>377.5</v>
      </c>
      <c r="Q137" s="22">
        <f>IF(L137="","",N137-K137)</f>
        <v>0.0</v>
      </c>
      <c r="R137" s="24">
        <f>IF(L137="","",M137-J137)</f>
        <v>0.0</v>
      </c>
      <c r="S137" s="22">
        <f>IF(L137="",-P137,O137-P137)</f>
        <v>0.0</v>
      </c>
      <c r="T137" s="11" t="str">
        <f>IF(L137="","NO BILL IN SUPPLIED EXPORT",IF(ABS(Q137)&gt;0.001,"RATE EXCEPTION",IF(ABS(R137)&gt;0.001,"LENGTH EXCEPTION",IF(ABS(S137)&gt;0.01,"AMOUNT EXCEPTION","OK"))))</f>
        <v>OK</v>
      </c>
      <c r="U137" s="19" t="s">
        <v>876</v>
      </c>
    </row>
    <row r="138" spans="1:21" ht="28" customHeight="1">
      <c r="A138" s="14" t="s">
        <v>143</v>
      </c>
      <c r="B138" s="14" t="s">
        <v>193</v>
      </c>
      <c r="C138" s="14" t="s">
        <v>226</v>
      </c>
      <c r="D138" s="14" t="s">
        <v>227</v>
      </c>
      <c r="E138" s="14" t="s">
        <v>877</v>
      </c>
      <c r="F138" s="15" t="s">
        <v>878</v>
      </c>
      <c r="G138" s="15" t="s">
        <v>879</v>
      </c>
      <c r="H138" s="24">
        <v>24</v>
      </c>
      <c r="I138" s="24">
        <v>22</v>
      </c>
      <c r="J138" s="24">
        <f>MAX(H138,ROUNDUP(I138,0))</f>
        <v>24.0</v>
      </c>
      <c r="K138" s="22">
        <f>IF(C138="covered",10.4,7.55)</f>
        <v>7.55</v>
      </c>
      <c r="L138" s="14" t="s">
        <v>880</v>
      </c>
      <c r="M138" s="24">
        <v>24</v>
      </c>
      <c r="N138" s="22">
        <v>7.55</v>
      </c>
      <c r="O138" s="22">
        <v>181.2</v>
      </c>
      <c r="P138" s="22">
        <f>J138*K138</f>
        <v>181.2</v>
      </c>
      <c r="Q138" s="22">
        <f>IF(L138="","",N138-K138)</f>
        <v>0.0</v>
      </c>
      <c r="R138" s="24">
        <f>IF(L138="","",M138-J138)</f>
        <v>0.0</v>
      </c>
      <c r="S138" s="22">
        <f>IF(L138="",-P138,O138-P138)</f>
        <v>0.0</v>
      </c>
      <c r="T138" s="11" t="str">
        <f>IF(L138="","NO BILL IN SUPPLIED EXPORT",IF(ABS(Q138)&gt;0.001,"RATE EXCEPTION",IF(ABS(R138)&gt;0.001,"LENGTH EXCEPTION",IF(ABS(S138)&gt;0.01,"AMOUNT EXCEPTION","OK"))))</f>
        <v>OK</v>
      </c>
      <c r="U138" s="15" t="s">
        <v>881</v>
      </c>
    </row>
    <row r="139" spans="1:21" ht="28" customHeight="1">
      <c r="A139" s="18" t="s">
        <v>882</v>
      </c>
      <c r="B139" s="18" t="s">
        <v>193</v>
      </c>
      <c r="C139" s="18" t="s">
        <v>226</v>
      </c>
      <c r="D139" s="18" t="s">
        <v>227</v>
      </c>
      <c r="E139" s="18" t="s">
        <v>883</v>
      </c>
      <c r="F139" s="19" t="s">
        <v>884</v>
      </c>
      <c r="G139" s="19" t="s">
        <v>885</v>
      </c>
      <c r="H139" s="24">
        <v>60</v>
      </c>
      <c r="I139" s="24">
        <v>35</v>
      </c>
      <c r="J139" s="24">
        <f>MAX(H139,ROUNDUP(I139,0))</f>
        <v>60.0</v>
      </c>
      <c r="K139" s="22">
        <f>IF(C139="covered",10.4,7.55)</f>
        <v>7.55</v>
      </c>
      <c r="L139" s="18" t="s">
        <v>886</v>
      </c>
      <c r="M139" s="24">
        <v>60</v>
      </c>
      <c r="N139" s="22">
        <v>7.55</v>
      </c>
      <c r="O139" s="22">
        <v>453</v>
      </c>
      <c r="P139" s="22">
        <f>J139*K139</f>
        <v>453.0</v>
      </c>
      <c r="Q139" s="22">
        <f>IF(L139="","",N139-K139)</f>
        <v>0.0</v>
      </c>
      <c r="R139" s="24">
        <f>IF(L139="","",M139-J139)</f>
        <v>0.0</v>
      </c>
      <c r="S139" s="22">
        <f>IF(L139="",-P139,O139-P139)</f>
        <v>0.0</v>
      </c>
      <c r="T139" s="11" t="str">
        <f>IF(L139="","NO BILL IN SUPPLIED EXPORT",IF(ABS(Q139)&gt;0.001,"RATE EXCEPTION",IF(ABS(R139)&gt;0.001,"LENGTH EXCEPTION",IF(ABS(S139)&gt;0.01,"AMOUNT EXCEPTION","OK"))))</f>
        <v>OK</v>
      </c>
      <c r="U139" s="19" t="s">
        <v>887</v>
      </c>
    </row>
    <row r="140" spans="1:21" ht="28" customHeight="1">
      <c r="A140" s="14" t="s">
        <v>888</v>
      </c>
      <c r="B140" s="14" t="s">
        <v>193</v>
      </c>
      <c r="C140" s="14" t="s">
        <v>226</v>
      </c>
      <c r="D140" s="14" t="s">
        <v>227</v>
      </c>
      <c r="E140" s="14" t="s">
        <v>889</v>
      </c>
      <c r="F140" s="15" t="s">
        <v>890</v>
      </c>
      <c r="G140" s="15" t="s">
        <v>600</v>
      </c>
      <c r="H140" s="24">
        <v>40</v>
      </c>
      <c r="I140" s="24">
        <v>54.9</v>
      </c>
      <c r="J140" s="24">
        <f>MAX(H140,ROUNDUP(I140,0))</f>
        <v>55</v>
      </c>
      <c r="K140" s="22">
        <f>IF(C140="covered",10.4,7.55)</f>
        <v>7.55</v>
      </c>
      <c r="L140" s="14" t="s">
        <v>891</v>
      </c>
      <c r="M140" s="24">
        <v>55</v>
      </c>
      <c r="N140" s="22">
        <v>7.55</v>
      </c>
      <c r="O140" s="22">
        <v>415.25</v>
      </c>
      <c r="P140" s="22">
        <f>J140*K140</f>
        <v>415.25</v>
      </c>
      <c r="Q140" s="22">
        <f>IF(L140="","",N140-K140)</f>
        <v>0.0</v>
      </c>
      <c r="R140" s="24">
        <f>IF(L140="","",M140-J140)</f>
        <v>0.0</v>
      </c>
      <c r="S140" s="22">
        <f>IF(L140="",-P140,O140-P140)</f>
        <v>0.0</v>
      </c>
      <c r="T140" s="11" t="str">
        <f>IF(L140="","NO BILL IN SUPPLIED EXPORT",IF(ABS(Q140)&gt;0.001,"RATE EXCEPTION",IF(ABS(R140)&gt;0.001,"LENGTH EXCEPTION",IF(ABS(S140)&gt;0.01,"AMOUNT EXCEPTION","OK"))))</f>
        <v>OK</v>
      </c>
      <c r="U140" s="15" t="s">
        <v>892</v>
      </c>
    </row>
    <row r="141" spans="1:21" ht="28" customHeight="1">
      <c r="A141" s="18" t="s">
        <v>893</v>
      </c>
      <c r="B141" s="18" t="s">
        <v>193</v>
      </c>
      <c r="C141" s="18" t="s">
        <v>226</v>
      </c>
      <c r="D141" s="18" t="s">
        <v>227</v>
      </c>
      <c r="E141" s="18" t="s">
        <v>894</v>
      </c>
      <c r="F141" s="19" t="s">
        <v>895</v>
      </c>
      <c r="G141" s="19" t="s">
        <v>896</v>
      </c>
      <c r="H141" s="24">
        <v>45</v>
      </c>
      <c r="I141" s="24">
        <v>53.8</v>
      </c>
      <c r="J141" s="24">
        <f>MAX(H141,ROUNDUP(I141,0))</f>
        <v>54</v>
      </c>
      <c r="K141" s="22">
        <f>IF(C141="covered",10.4,7.55)</f>
        <v>7.55</v>
      </c>
      <c r="L141" s="18" t="s">
        <v>897</v>
      </c>
      <c r="M141" s="24">
        <v>54</v>
      </c>
      <c r="N141" s="22">
        <v>7.55</v>
      </c>
      <c r="O141" s="22">
        <v>407.7</v>
      </c>
      <c r="P141" s="22">
        <f>J141*K141</f>
        <v>407.7</v>
      </c>
      <c r="Q141" s="22">
        <f>IF(L141="","",N141-K141)</f>
        <v>0.0</v>
      </c>
      <c r="R141" s="24">
        <f>IF(L141="","",M141-J141)</f>
        <v>0.0</v>
      </c>
      <c r="S141" s="22">
        <f>IF(L141="",-P141,O141-P141)</f>
        <v>0.0</v>
      </c>
      <c r="T141" s="11" t="str">
        <f>IF(L141="","NO BILL IN SUPPLIED EXPORT",IF(ABS(Q141)&gt;0.001,"RATE EXCEPTION",IF(ABS(R141)&gt;0.001,"LENGTH EXCEPTION",IF(ABS(S141)&gt;0.01,"AMOUNT EXCEPTION","OK"))))</f>
        <v>OK</v>
      </c>
      <c r="U141" s="19" t="s">
        <v>898</v>
      </c>
    </row>
    <row r="142" spans="1:21" ht="28" customHeight="1">
      <c r="A142" s="14" t="s">
        <v>899</v>
      </c>
      <c r="B142" s="14" t="s">
        <v>193</v>
      </c>
      <c r="C142" s="14" t="s">
        <v>226</v>
      </c>
      <c r="D142" s="14" t="s">
        <v>227</v>
      </c>
      <c r="E142" s="14" t="s">
        <v>900</v>
      </c>
      <c r="F142" s="15" t="s">
        <v>901</v>
      </c>
      <c r="G142" s="15" t="s">
        <v>902</v>
      </c>
      <c r="H142" s="24">
        <v>24</v>
      </c>
      <c r="I142" s="24">
        <v>40</v>
      </c>
      <c r="J142" s="24">
        <f>MAX(H142,ROUNDUP(I142,0))</f>
        <v>40</v>
      </c>
      <c r="K142" s="22">
        <f>IF(C142="covered",10.4,7.55)</f>
        <v>7.55</v>
      </c>
      <c r="L142" s="14" t="s">
        <v>903</v>
      </c>
      <c r="M142" s="24">
        <v>40</v>
      </c>
      <c r="N142" s="22">
        <v>7.55</v>
      </c>
      <c r="O142" s="22">
        <v>302</v>
      </c>
      <c r="P142" s="22">
        <f>J142*K142</f>
        <v>302.0</v>
      </c>
      <c r="Q142" s="22">
        <f>IF(L142="","",N142-K142)</f>
        <v>0.0</v>
      </c>
      <c r="R142" s="24">
        <f>IF(L142="","",M142-J142)</f>
        <v>0.0</v>
      </c>
      <c r="S142" s="22">
        <f>IF(L142="",-P142,O142-P142)</f>
        <v>0.0</v>
      </c>
      <c r="T142" s="11" t="str">
        <f>IF(L142="","NO BILL IN SUPPLIED EXPORT",IF(ABS(Q142)&gt;0.001,"RATE EXCEPTION",IF(ABS(R142)&gt;0.001,"LENGTH EXCEPTION",IF(ABS(S142)&gt;0.01,"AMOUNT EXCEPTION","OK"))))</f>
        <v>OK</v>
      </c>
      <c r="U142" s="15" t="s">
        <v>904</v>
      </c>
    </row>
    <row r="143" spans="1:21" ht="28" customHeight="1">
      <c r="A143" s="18" t="s">
        <v>99</v>
      </c>
      <c r="B143" s="18" t="s">
        <v>193</v>
      </c>
      <c r="C143" s="18" t="s">
        <v>226</v>
      </c>
      <c r="D143" s="18" t="s">
        <v>227</v>
      </c>
      <c r="E143" s="18" t="s">
        <v>905</v>
      </c>
      <c r="F143" s="19" t="s">
        <v>906</v>
      </c>
      <c r="G143" s="19" t="s">
        <v>907</v>
      </c>
      <c r="H143" s="24">
        <v>28</v>
      </c>
      <c r="I143" s="24">
        <v>42.7</v>
      </c>
      <c r="J143" s="24">
        <f>MAX(H143,ROUNDUP(I143,0))</f>
        <v>43</v>
      </c>
      <c r="K143" s="22">
        <f>IF(C143="covered",10.4,7.55)</f>
        <v>7.55</v>
      </c>
      <c r="L143" s="18" t="s">
        <v>908</v>
      </c>
      <c r="M143" s="24">
        <v>43</v>
      </c>
      <c r="N143" s="22">
        <v>7.55</v>
      </c>
      <c r="O143" s="22">
        <v>324.65</v>
      </c>
      <c r="P143" s="22">
        <f>J143*K143</f>
        <v>324.65</v>
      </c>
      <c r="Q143" s="22">
        <f>IF(L143="","",N143-K143)</f>
        <v>0.0</v>
      </c>
      <c r="R143" s="24">
        <f>IF(L143="","",M143-J143)</f>
        <v>0.0</v>
      </c>
      <c r="S143" s="22">
        <f>IF(L143="",-P143,O143-P143)</f>
        <v>0.0</v>
      </c>
      <c r="T143" s="11" t="str">
        <f>IF(L143="","NO BILL IN SUPPLIED EXPORT",IF(ABS(Q143)&gt;0.001,"RATE EXCEPTION",IF(ABS(R143)&gt;0.001,"LENGTH EXCEPTION",IF(ABS(S143)&gt;0.01,"AMOUNT EXCEPTION","OK"))))</f>
        <v>OK</v>
      </c>
      <c r="U143" s="19" t="s">
        <v>909</v>
      </c>
    </row>
    <row r="144" spans="1:21" ht="28" customHeight="1">
      <c r="A144" s="14" t="s">
        <v>910</v>
      </c>
      <c r="B144" s="14" t="s">
        <v>193</v>
      </c>
      <c r="C144" s="14" t="s">
        <v>226</v>
      </c>
      <c r="D144" s="14" t="s">
        <v>227</v>
      </c>
      <c r="E144" s="14" t="s">
        <v>911</v>
      </c>
      <c r="F144" s="15" t="s">
        <v>912</v>
      </c>
      <c r="G144" s="15" t="s">
        <v>913</v>
      </c>
      <c r="H144" s="24">
        <v>28</v>
      </c>
      <c r="I144" s="24">
        <v>51.6</v>
      </c>
      <c r="J144" s="24">
        <f>MAX(H144,ROUNDUP(I144,0))</f>
        <v>52</v>
      </c>
      <c r="K144" s="22">
        <f>IF(C144="covered",10.4,7.55)</f>
        <v>7.55</v>
      </c>
      <c r="L144" s="14" t="s">
        <v>914</v>
      </c>
      <c r="M144" s="24">
        <v>52</v>
      </c>
      <c r="N144" s="22">
        <v>7.55</v>
      </c>
      <c r="O144" s="22">
        <v>392.6</v>
      </c>
      <c r="P144" s="22">
        <f>J144*K144</f>
        <v>392.59999999999997</v>
      </c>
      <c r="Q144" s="22">
        <f>IF(L144="","",N144-K144)</f>
        <v>0.0</v>
      </c>
      <c r="R144" s="24">
        <f>IF(L144="","",M144-J144)</f>
        <v>0.0</v>
      </c>
      <c r="S144" s="22">
        <f>IF(L144="",-P144,O144-P144)</f>
        <v>5.684341886080802e-14</v>
      </c>
      <c r="T144" s="11" t="str">
        <f>IF(L144="","NO BILL IN SUPPLIED EXPORT",IF(ABS(Q144)&gt;0.001,"RATE EXCEPTION",IF(ABS(R144)&gt;0.001,"LENGTH EXCEPTION",IF(ABS(S144)&gt;0.01,"AMOUNT EXCEPTION","OK"))))</f>
        <v>OK</v>
      </c>
      <c r="U144" s="15" t="s">
        <v>915</v>
      </c>
    </row>
    <row r="145" spans="1:21" ht="28" customHeight="1">
      <c r="A145" s="18" t="s">
        <v>916</v>
      </c>
      <c r="B145" s="18" t="s">
        <v>193</v>
      </c>
      <c r="C145" s="18" t="s">
        <v>226</v>
      </c>
      <c r="D145" s="18" t="s">
        <v>227</v>
      </c>
      <c r="E145" s="18" t="s">
        <v>917</v>
      </c>
      <c r="F145" s="19" t="s">
        <v>918</v>
      </c>
      <c r="G145" s="19" t="s">
        <v>749</v>
      </c>
      <c r="H145" s="24">
        <v>28</v>
      </c>
      <c r="I145" s="24">
        <v>50.3</v>
      </c>
      <c r="J145" s="24">
        <f>MAX(H145,ROUNDUP(I145,0))</f>
        <v>51</v>
      </c>
      <c r="K145" s="22">
        <f>IF(C145="covered",10.4,7.55)</f>
        <v>7.55</v>
      </c>
      <c r="L145" s="18" t="s">
        <v>919</v>
      </c>
      <c r="M145" s="24">
        <v>51</v>
      </c>
      <c r="N145" s="22">
        <v>7.55</v>
      </c>
      <c r="O145" s="22">
        <v>385.05</v>
      </c>
      <c r="P145" s="22">
        <f>J145*K145</f>
        <v>385.05</v>
      </c>
      <c r="Q145" s="22">
        <f>IF(L145="","",N145-K145)</f>
        <v>0.0</v>
      </c>
      <c r="R145" s="24">
        <f>IF(L145="","",M145-J145)</f>
        <v>0.0</v>
      </c>
      <c r="S145" s="22">
        <f>IF(L145="",-P145,O145-P145)</f>
        <v>0.0</v>
      </c>
      <c r="T145" s="11" t="str">
        <f>IF(L145="","NO BILL IN SUPPLIED EXPORT",IF(ABS(Q145)&gt;0.001,"RATE EXCEPTION",IF(ABS(R145)&gt;0.001,"LENGTH EXCEPTION",IF(ABS(S145)&gt;0.01,"AMOUNT EXCEPTION","OK"))))</f>
        <v>OK</v>
      </c>
      <c r="U145" s="19" t="s">
        <v>920</v>
      </c>
    </row>
    <row r="146" spans="1:21" ht="28" customHeight="1">
      <c r="A146" s="14" t="s">
        <v>921</v>
      </c>
      <c r="B146" s="14" t="s">
        <v>193</v>
      </c>
      <c r="C146" s="14" t="s">
        <v>226</v>
      </c>
      <c r="D146" s="14" t="s">
        <v>227</v>
      </c>
      <c r="E146" s="14" t="s">
        <v>922</v>
      </c>
      <c r="F146" s="15" t="s">
        <v>715</v>
      </c>
      <c r="G146" s="15" t="s">
        <v>923</v>
      </c>
      <c r="H146" s="24">
        <v>24</v>
      </c>
      <c r="I146" s="24">
        <v>47</v>
      </c>
      <c r="J146" s="24">
        <f>MAX(H146,ROUNDUP(I146,0))</f>
        <v>47</v>
      </c>
      <c r="K146" s="22">
        <f>IF(C146="covered",10.4,7.55)</f>
        <v>7.55</v>
      </c>
      <c r="L146" s="14" t="s">
        <v>924</v>
      </c>
      <c r="M146" s="24">
        <v>47</v>
      </c>
      <c r="N146" s="22">
        <v>7.55</v>
      </c>
      <c r="O146" s="22">
        <v>354.85</v>
      </c>
      <c r="P146" s="22">
        <f>J146*K146</f>
        <v>354.84999999999997</v>
      </c>
      <c r="Q146" s="22">
        <f>IF(L146="","",N146-K146)</f>
        <v>0.0</v>
      </c>
      <c r="R146" s="24">
        <f>IF(L146="","",M146-J146)</f>
        <v>0.0</v>
      </c>
      <c r="S146" s="22">
        <f>IF(L146="",-P146,O146-P146)</f>
        <v>5.684341886080802e-14</v>
      </c>
      <c r="T146" s="11" t="str">
        <f>IF(L146="","NO BILL IN SUPPLIED EXPORT",IF(ABS(Q146)&gt;0.001,"RATE EXCEPTION",IF(ABS(R146)&gt;0.001,"LENGTH EXCEPTION",IF(ABS(S146)&gt;0.01,"AMOUNT EXCEPTION","OK"))))</f>
        <v>OK</v>
      </c>
      <c r="U146" s="15" t="s">
        <v>925</v>
      </c>
    </row>
    <row r="147" spans="1:21" ht="28" customHeight="1">
      <c r="A147" s="18" t="s">
        <v>926</v>
      </c>
      <c r="B147" s="18" t="s">
        <v>193</v>
      </c>
      <c r="C147" s="18" t="s">
        <v>226</v>
      </c>
      <c r="D147" s="18" t="s">
        <v>227</v>
      </c>
      <c r="E147" s="18" t="s">
        <v>927</v>
      </c>
      <c r="F147" s="19" t="s">
        <v>928</v>
      </c>
      <c r="G147" s="19" t="s">
        <v>929</v>
      </c>
      <c r="H147" s="24">
        <v>45</v>
      </c>
      <c r="I147" s="24">
        <v>53</v>
      </c>
      <c r="J147" s="24">
        <f>MAX(H147,ROUNDUP(I147,0))</f>
        <v>53</v>
      </c>
      <c r="K147" s="22">
        <f>IF(C147="covered",10.4,7.55)</f>
        <v>7.55</v>
      </c>
      <c r="L147" s="18" t="s">
        <v>930</v>
      </c>
      <c r="M147" s="24">
        <v>53</v>
      </c>
      <c r="N147" s="22">
        <v>7.55</v>
      </c>
      <c r="O147" s="22">
        <v>400.15</v>
      </c>
      <c r="P147" s="22">
        <f>J147*K147</f>
        <v>400.15</v>
      </c>
      <c r="Q147" s="22">
        <f>IF(L147="","",N147-K147)</f>
        <v>0.0</v>
      </c>
      <c r="R147" s="24">
        <f>IF(L147="","",M147-J147)</f>
        <v>0.0</v>
      </c>
      <c r="S147" s="22">
        <f>IF(L147="",-P147,O147-P147)</f>
        <v>0.0</v>
      </c>
      <c r="T147" s="11" t="str">
        <f>IF(L147="","NO BILL IN SUPPLIED EXPORT",IF(ABS(Q147)&gt;0.001,"RATE EXCEPTION",IF(ABS(R147)&gt;0.001,"LENGTH EXCEPTION",IF(ABS(S147)&gt;0.01,"AMOUNT EXCEPTION","OK"))))</f>
        <v>OK</v>
      </c>
      <c r="U147" s="19" t="s">
        <v>931</v>
      </c>
    </row>
    <row r="148" spans="1:21" ht="28" customHeight="1">
      <c r="A148" s="14" t="s">
        <v>932</v>
      </c>
      <c r="B148" s="14" t="s">
        <v>193</v>
      </c>
      <c r="C148" s="14" t="s">
        <v>226</v>
      </c>
      <c r="D148" s="14" t="s">
        <v>227</v>
      </c>
      <c r="E148" s="14" t="s">
        <v>933</v>
      </c>
      <c r="F148" s="15" t="s">
        <v>934</v>
      </c>
      <c r="G148" s="15" t="s">
        <v>935</v>
      </c>
      <c r="H148" s="24">
        <v>45</v>
      </c>
      <c r="I148" s="24">
        <v>23.5</v>
      </c>
      <c r="J148" s="24">
        <f>MAX(H148,ROUNDUP(I148,0))</f>
        <v>45.0</v>
      </c>
      <c r="K148" s="22">
        <f>IF(C148="covered",10.4,7.55)</f>
        <v>7.55</v>
      </c>
      <c r="L148" s="14" t="s">
        <v>936</v>
      </c>
      <c r="M148" s="24">
        <v>45</v>
      </c>
      <c r="N148" s="22">
        <v>7.55</v>
      </c>
      <c r="O148" s="22">
        <v>339.75</v>
      </c>
      <c r="P148" s="22">
        <f>J148*K148</f>
        <v>339.75</v>
      </c>
      <c r="Q148" s="22">
        <f>IF(L148="","",N148-K148)</f>
        <v>0.0</v>
      </c>
      <c r="R148" s="24">
        <f>IF(L148="","",M148-J148)</f>
        <v>0.0</v>
      </c>
      <c r="S148" s="22">
        <f>IF(L148="",-P148,O148-P148)</f>
        <v>0.0</v>
      </c>
      <c r="T148" s="11" t="str">
        <f>IF(L148="","NO BILL IN SUPPLIED EXPORT",IF(ABS(Q148)&gt;0.001,"RATE EXCEPTION",IF(ABS(R148)&gt;0.001,"LENGTH EXCEPTION",IF(ABS(S148)&gt;0.01,"AMOUNT EXCEPTION","OK"))))</f>
        <v>OK</v>
      </c>
      <c r="U148" s="15" t="s">
        <v>937</v>
      </c>
    </row>
    <row r="149" spans="1:21" ht="28" customHeight="1">
      <c r="A149" s="18" t="s">
        <v>938</v>
      </c>
      <c r="B149" s="18" t="s">
        <v>193</v>
      </c>
      <c r="C149" s="18" t="s">
        <v>226</v>
      </c>
      <c r="D149" s="18" t="s">
        <v>227</v>
      </c>
      <c r="E149" s="18" t="s">
        <v>939</v>
      </c>
      <c r="F149" s="19" t="s">
        <v>940</v>
      </c>
      <c r="G149" s="19" t="s">
        <v>941</v>
      </c>
      <c r="H149" s="24">
        <v>36</v>
      </c>
      <c r="I149" s="24">
        <v>42.6</v>
      </c>
      <c r="J149" s="24">
        <f>MAX(H149,ROUNDUP(I149,0))</f>
        <v>43</v>
      </c>
      <c r="K149" s="22">
        <f>IF(C149="covered",10.4,7.55)</f>
        <v>7.55</v>
      </c>
      <c r="L149" s="18" t="s">
        <v>942</v>
      </c>
      <c r="M149" s="24">
        <v>43</v>
      </c>
      <c r="N149" s="22">
        <v>7.55</v>
      </c>
      <c r="O149" s="22">
        <v>324.65</v>
      </c>
      <c r="P149" s="22">
        <f>J149*K149</f>
        <v>324.65</v>
      </c>
      <c r="Q149" s="22">
        <f>IF(L149="","",N149-K149)</f>
        <v>0.0</v>
      </c>
      <c r="R149" s="24">
        <f>IF(L149="","",M149-J149)</f>
        <v>0.0</v>
      </c>
      <c r="S149" s="22">
        <f>IF(L149="",-P149,O149-P149)</f>
        <v>0.0</v>
      </c>
      <c r="T149" s="11" t="str">
        <f>IF(L149="","NO BILL IN SUPPLIED EXPORT",IF(ABS(Q149)&gt;0.001,"RATE EXCEPTION",IF(ABS(R149)&gt;0.001,"LENGTH EXCEPTION",IF(ABS(S149)&gt;0.01,"AMOUNT EXCEPTION","OK"))))</f>
        <v>OK</v>
      </c>
      <c r="U149" s="19" t="s">
        <v>943</v>
      </c>
    </row>
    <row r="150" spans="1:21" ht="28" customHeight="1">
      <c r="A150" s="14" t="s">
        <v>944</v>
      </c>
      <c r="B150" s="14" t="s">
        <v>193</v>
      </c>
      <c r="C150" s="14" t="s">
        <v>226</v>
      </c>
      <c r="D150" s="14" t="s">
        <v>227</v>
      </c>
      <c r="E150" s="14" t="s">
        <v>945</v>
      </c>
      <c r="F150" s="15" t="s">
        <v>946</v>
      </c>
      <c r="G150" s="15" t="s">
        <v>173</v>
      </c>
      <c r="H150" s="24">
        <v>70</v>
      </c>
      <c r="I150" s="24">
        <v>27</v>
      </c>
      <c r="J150" s="24">
        <f>MAX(H150,ROUNDUP(I150,0))</f>
        <v>70.0</v>
      </c>
      <c r="K150" s="22">
        <f>IF(C150="covered",10.4,7.55)</f>
        <v>7.55</v>
      </c>
      <c r="L150" s="14" t="s">
        <v>947</v>
      </c>
      <c r="M150" s="24">
        <v>70</v>
      </c>
      <c r="N150" s="22">
        <v>7.55</v>
      </c>
      <c r="O150" s="22">
        <v>528.5</v>
      </c>
      <c r="P150" s="22">
        <f>J150*K150</f>
        <v>528.5</v>
      </c>
      <c r="Q150" s="22">
        <f>IF(L150="","",N150-K150)</f>
        <v>0.0</v>
      </c>
      <c r="R150" s="24">
        <f>IF(L150="","",M150-J150)</f>
        <v>0.0</v>
      </c>
      <c r="S150" s="22">
        <f>IF(L150="",-P150,O150-P150)</f>
        <v>0.0</v>
      </c>
      <c r="T150" s="11" t="str">
        <f>IF(L150="","NO BILL IN SUPPLIED EXPORT",IF(ABS(Q150)&gt;0.001,"RATE EXCEPTION",IF(ABS(R150)&gt;0.001,"LENGTH EXCEPTION",IF(ABS(S150)&gt;0.01,"AMOUNT EXCEPTION","OK"))))</f>
        <v>OK</v>
      </c>
      <c r="U150" s="15" t="s">
        <v>948</v>
      </c>
    </row>
    <row r="151" spans="1:21" ht="28" customHeight="1">
      <c r="A151" s="18" t="s">
        <v>949</v>
      </c>
      <c r="B151" s="18" t="s">
        <v>193</v>
      </c>
      <c r="C151" s="18" t="s">
        <v>226</v>
      </c>
      <c r="D151" s="18" t="s">
        <v>227</v>
      </c>
      <c r="E151" s="18" t="s">
        <v>950</v>
      </c>
      <c r="F151" s="19" t="s">
        <v>951</v>
      </c>
      <c r="G151" s="19" t="s">
        <v>376</v>
      </c>
      <c r="H151" s="24">
        <v>28</v>
      </c>
      <c r="I151" s="24">
        <v>27.3</v>
      </c>
      <c r="J151" s="24">
        <f>MAX(H151,ROUNDUP(I151,0))</f>
        <v>28.0</v>
      </c>
      <c r="K151" s="22">
        <f>IF(C151="covered",10.4,7.55)</f>
        <v>7.55</v>
      </c>
      <c r="L151" s="18" t="s">
        <v>952</v>
      </c>
      <c r="M151" s="24">
        <v>28</v>
      </c>
      <c r="N151" s="22">
        <v>7.55</v>
      </c>
      <c r="O151" s="22">
        <v>211.4</v>
      </c>
      <c r="P151" s="22">
        <f>J151*K151</f>
        <v>211.4</v>
      </c>
      <c r="Q151" s="22">
        <f>IF(L151="","",N151-K151)</f>
        <v>0.0</v>
      </c>
      <c r="R151" s="24">
        <f>IF(L151="","",M151-J151)</f>
        <v>0.0</v>
      </c>
      <c r="S151" s="22">
        <f>IF(L151="",-P151,O151-P151)</f>
        <v>0.0</v>
      </c>
      <c r="T151" s="11" t="str">
        <f>IF(L151="","NO BILL IN SUPPLIED EXPORT",IF(ABS(Q151)&gt;0.001,"RATE EXCEPTION",IF(ABS(R151)&gt;0.001,"LENGTH EXCEPTION",IF(ABS(S151)&gt;0.01,"AMOUNT EXCEPTION","OK"))))</f>
        <v>OK</v>
      </c>
      <c r="U151" s="19" t="s">
        <v>953</v>
      </c>
    </row>
    <row r="152" spans="1:21" ht="28" customHeight="1">
      <c r="A152" s="14" t="s">
        <v>954</v>
      </c>
      <c r="B152" s="14" t="s">
        <v>193</v>
      </c>
      <c r="C152" s="14" t="s">
        <v>226</v>
      </c>
      <c r="D152" s="14" t="s">
        <v>227</v>
      </c>
      <c r="E152" s="14" t="s">
        <v>955</v>
      </c>
      <c r="F152" s="15" t="s">
        <v>956</v>
      </c>
      <c r="G152" s="15" t="s">
        <v>957</v>
      </c>
      <c r="H152" s="24">
        <v>80</v>
      </c>
      <c r="I152" s="24">
        <v>61.6</v>
      </c>
      <c r="J152" s="24">
        <f>MAX(H152,ROUNDUP(I152,0))</f>
        <v>80.0</v>
      </c>
      <c r="K152" s="22">
        <f>IF(C152="covered",10.4,7.55)</f>
        <v>7.55</v>
      </c>
      <c r="L152" s="14" t="s">
        <v>958</v>
      </c>
      <c r="M152" s="24">
        <v>80</v>
      </c>
      <c r="N152" s="22">
        <v>7.55</v>
      </c>
      <c r="O152" s="22">
        <v>604</v>
      </c>
      <c r="P152" s="22">
        <f>J152*K152</f>
        <v>604.0</v>
      </c>
      <c r="Q152" s="22">
        <f>IF(L152="","",N152-K152)</f>
        <v>0.0</v>
      </c>
      <c r="R152" s="24">
        <f>IF(L152="","",M152-J152)</f>
        <v>0.0</v>
      </c>
      <c r="S152" s="22">
        <f>IF(L152="",-P152,O152-P152)</f>
        <v>0.0</v>
      </c>
      <c r="T152" s="11" t="str">
        <f>IF(L152="","NO BILL IN SUPPLIED EXPORT",IF(ABS(Q152)&gt;0.001,"RATE EXCEPTION",IF(ABS(R152)&gt;0.001,"LENGTH EXCEPTION",IF(ABS(S152)&gt;0.01,"AMOUNT EXCEPTION","OK"))))</f>
        <v>OK</v>
      </c>
      <c r="U152" s="15" t="s">
        <v>959</v>
      </c>
    </row>
    <row r="153" spans="1:21" ht="28" customHeight="1">
      <c r="A153" s="18" t="s">
        <v>960</v>
      </c>
      <c r="B153" s="18" t="s">
        <v>193</v>
      </c>
      <c r="C153" s="18" t="s">
        <v>226</v>
      </c>
      <c r="D153" s="18" t="s">
        <v>227</v>
      </c>
      <c r="E153" s="18" t="s">
        <v>961</v>
      </c>
      <c r="F153" s="19" t="s">
        <v>962</v>
      </c>
      <c r="G153" s="19" t="s">
        <v>963</v>
      </c>
      <c r="H153" s="24">
        <v>32</v>
      </c>
      <c r="I153" s="24">
        <v>61.8</v>
      </c>
      <c r="J153" s="24">
        <f>MAX(H153,ROUNDUP(I153,0))</f>
        <v>62</v>
      </c>
      <c r="K153" s="22">
        <f>IF(C153="covered",10.4,7.55)</f>
        <v>7.55</v>
      </c>
      <c r="L153" s="18" t="s">
        <v>964</v>
      </c>
      <c r="M153" s="24">
        <v>62</v>
      </c>
      <c r="N153" s="22">
        <v>7.55</v>
      </c>
      <c r="O153" s="22">
        <v>468.1</v>
      </c>
      <c r="P153" s="22">
        <f>J153*K153</f>
        <v>468.09999999999997</v>
      </c>
      <c r="Q153" s="22">
        <f>IF(L153="","",N153-K153)</f>
        <v>0.0</v>
      </c>
      <c r="R153" s="24">
        <f>IF(L153="","",M153-J153)</f>
        <v>0.0</v>
      </c>
      <c r="S153" s="22">
        <f>IF(L153="",-P153,O153-P153)</f>
        <v>5.684341886080802e-14</v>
      </c>
      <c r="T153" s="11" t="str">
        <f>IF(L153="","NO BILL IN SUPPLIED EXPORT",IF(ABS(Q153)&gt;0.001,"RATE EXCEPTION",IF(ABS(R153)&gt;0.001,"LENGTH EXCEPTION",IF(ABS(S153)&gt;0.01,"AMOUNT EXCEPTION","OK"))))</f>
        <v>OK</v>
      </c>
      <c r="U153" s="19" t="s">
        <v>965</v>
      </c>
    </row>
    <row r="154" spans="1:21" ht="28" customHeight="1">
      <c r="A154" s="14" t="s">
        <v>966</v>
      </c>
      <c r="B154" s="14" t="s">
        <v>193</v>
      </c>
      <c r="C154" s="14" t="s">
        <v>226</v>
      </c>
      <c r="D154" s="14" t="s">
        <v>227</v>
      </c>
      <c r="E154" s="14" t="s">
        <v>967</v>
      </c>
      <c r="F154" s="15" t="s">
        <v>968</v>
      </c>
      <c r="G154" s="15" t="s">
        <v>969</v>
      </c>
      <c r="H154" s="24">
        <v>60</v>
      </c>
      <c r="I154" s="24">
        <v>47.3</v>
      </c>
      <c r="J154" s="24">
        <f>MAX(H154,ROUNDUP(I154,0))</f>
        <v>60.0</v>
      </c>
      <c r="K154" s="22">
        <f>IF(C154="covered",10.4,7.55)</f>
        <v>7.55</v>
      </c>
      <c r="L154" s="14" t="s">
        <v>970</v>
      </c>
      <c r="M154" s="24">
        <v>60</v>
      </c>
      <c r="N154" s="22">
        <v>7.55</v>
      </c>
      <c r="O154" s="22">
        <v>453</v>
      </c>
      <c r="P154" s="22">
        <f>J154*K154</f>
        <v>453.0</v>
      </c>
      <c r="Q154" s="22">
        <f>IF(L154="","",N154-K154)</f>
        <v>0.0</v>
      </c>
      <c r="R154" s="24">
        <f>IF(L154="","",M154-J154)</f>
        <v>0.0</v>
      </c>
      <c r="S154" s="22">
        <f>IF(L154="",-P154,O154-P154)</f>
        <v>0.0</v>
      </c>
      <c r="T154" s="11" t="str">
        <f>IF(L154="","NO BILL IN SUPPLIED EXPORT",IF(ABS(Q154)&gt;0.001,"RATE EXCEPTION",IF(ABS(R154)&gt;0.001,"LENGTH EXCEPTION",IF(ABS(S154)&gt;0.01,"AMOUNT EXCEPTION","OK"))))</f>
        <v>OK</v>
      </c>
      <c r="U154" s="15" t="s">
        <v>971</v>
      </c>
    </row>
    <row r="155" spans="1:21" ht="28" customHeight="1">
      <c r="A155" s="18" t="s">
        <v>972</v>
      </c>
      <c r="B155" s="18" t="s">
        <v>193</v>
      </c>
      <c r="C155" s="18" t="s">
        <v>226</v>
      </c>
      <c r="D155" s="18" t="s">
        <v>227</v>
      </c>
      <c r="E155" s="18" t="s">
        <v>973</v>
      </c>
      <c r="F155" s="19" t="s">
        <v>974</v>
      </c>
      <c r="G155" s="19" t="s">
        <v>975</v>
      </c>
      <c r="H155" s="24">
        <v>45</v>
      </c>
      <c r="I155" s="24">
        <v>24</v>
      </c>
      <c r="J155" s="24">
        <f>MAX(H155,ROUNDUP(I155,0))</f>
        <v>45.0</v>
      </c>
      <c r="K155" s="22">
        <f>IF(C155="covered",10.4,7.55)</f>
        <v>7.55</v>
      </c>
      <c r="L155" s="18" t="s">
        <v>976</v>
      </c>
      <c r="M155" s="24">
        <v>45</v>
      </c>
      <c r="N155" s="22">
        <v>7.55</v>
      </c>
      <c r="O155" s="22">
        <v>339.75</v>
      </c>
      <c r="P155" s="22">
        <f>J155*K155</f>
        <v>339.75</v>
      </c>
      <c r="Q155" s="22">
        <f>IF(L155="","",N155-K155)</f>
        <v>0.0</v>
      </c>
      <c r="R155" s="24">
        <f>IF(L155="","",M155-J155)</f>
        <v>0.0</v>
      </c>
      <c r="S155" s="22">
        <f>IF(L155="",-P155,O155-P155)</f>
        <v>0.0</v>
      </c>
      <c r="T155" s="11" t="str">
        <f>IF(L155="","NO BILL IN SUPPLIED EXPORT",IF(ABS(Q155)&gt;0.001,"RATE EXCEPTION",IF(ABS(R155)&gt;0.001,"LENGTH EXCEPTION",IF(ABS(S155)&gt;0.01,"AMOUNT EXCEPTION","OK"))))</f>
        <v>OK</v>
      </c>
      <c r="U155" s="19" t="s">
        <v>977</v>
      </c>
    </row>
    <row r="156" spans="1:21" ht="28" customHeight="1">
      <c r="A156" s="14" t="s">
        <v>978</v>
      </c>
      <c r="B156" s="14" t="s">
        <v>193</v>
      </c>
      <c r="C156" s="14" t="s">
        <v>226</v>
      </c>
      <c r="D156" s="14" t="s">
        <v>227</v>
      </c>
      <c r="E156" s="14" t="s">
        <v>979</v>
      </c>
      <c r="F156" s="15" t="s">
        <v>980</v>
      </c>
      <c r="G156" s="15" t="s">
        <v>110</v>
      </c>
      <c r="H156" s="24">
        <v>32</v>
      </c>
      <c r="I156" s="24">
        <v>51.2</v>
      </c>
      <c r="J156" s="24">
        <f>MAX(H156,ROUNDUP(I156,0))</f>
        <v>52</v>
      </c>
      <c r="K156" s="22">
        <f>IF(C156="covered",10.4,7.55)</f>
        <v>7.55</v>
      </c>
      <c r="L156" s="14" t="s">
        <v>981</v>
      </c>
      <c r="M156" s="24">
        <v>52</v>
      </c>
      <c r="N156" s="22">
        <v>7.55</v>
      </c>
      <c r="O156" s="22">
        <v>392.6</v>
      </c>
      <c r="P156" s="22">
        <f>J156*K156</f>
        <v>392.59999999999997</v>
      </c>
      <c r="Q156" s="22">
        <f>IF(L156="","",N156-K156)</f>
        <v>0.0</v>
      </c>
      <c r="R156" s="24">
        <f>IF(L156="","",M156-J156)</f>
        <v>0.0</v>
      </c>
      <c r="S156" s="22">
        <f>IF(L156="",-P156,O156-P156)</f>
        <v>5.684341886080802e-14</v>
      </c>
      <c r="T156" s="11" t="str">
        <f>IF(L156="","NO BILL IN SUPPLIED EXPORT",IF(ABS(Q156)&gt;0.001,"RATE EXCEPTION",IF(ABS(R156)&gt;0.001,"LENGTH EXCEPTION",IF(ABS(S156)&gt;0.01,"AMOUNT EXCEPTION","OK"))))</f>
        <v>OK</v>
      </c>
      <c r="U156" s="15" t="s">
        <v>982</v>
      </c>
    </row>
    <row r="157" spans="1:21" ht="28" customHeight="1">
      <c r="A157" s="18" t="s">
        <v>983</v>
      </c>
      <c r="B157" s="18" t="s">
        <v>193</v>
      </c>
      <c r="C157" s="18" t="s">
        <v>226</v>
      </c>
      <c r="D157" s="18" t="s">
        <v>227</v>
      </c>
      <c r="E157" s="18" t="s">
        <v>984</v>
      </c>
      <c r="F157" s="19" t="s">
        <v>985</v>
      </c>
      <c r="G157" s="19" t="s">
        <v>986</v>
      </c>
      <c r="H157" s="24">
        <v>32</v>
      </c>
      <c r="I157" s="24">
        <v>44.2</v>
      </c>
      <c r="J157" s="24">
        <f>MAX(H157,ROUNDUP(I157,0))</f>
        <v>45</v>
      </c>
      <c r="K157" s="22">
        <f>IF(C157="covered",10.4,7.55)</f>
        <v>7.55</v>
      </c>
      <c r="L157" s="18" t="s">
        <v>987</v>
      </c>
      <c r="M157" s="24">
        <v>45</v>
      </c>
      <c r="N157" s="22">
        <v>7.55</v>
      </c>
      <c r="O157" s="22">
        <v>339.75</v>
      </c>
      <c r="P157" s="22">
        <f>J157*K157</f>
        <v>339.75</v>
      </c>
      <c r="Q157" s="22">
        <f>IF(L157="","",N157-K157)</f>
        <v>0.0</v>
      </c>
      <c r="R157" s="24">
        <f>IF(L157="","",M157-J157)</f>
        <v>0.0</v>
      </c>
      <c r="S157" s="22">
        <f>IF(L157="",-P157,O157-P157)</f>
        <v>0.0</v>
      </c>
      <c r="T157" s="11" t="str">
        <f>IF(L157="","NO BILL IN SUPPLIED EXPORT",IF(ABS(Q157)&gt;0.001,"RATE EXCEPTION",IF(ABS(R157)&gt;0.001,"LENGTH EXCEPTION",IF(ABS(S157)&gt;0.01,"AMOUNT EXCEPTION","OK"))))</f>
        <v>OK</v>
      </c>
      <c r="U157" s="19" t="s">
        <v>988</v>
      </c>
    </row>
    <row r="158" spans="1:21" ht="28" customHeight="1">
      <c r="A158" s="14" t="s">
        <v>989</v>
      </c>
      <c r="B158" s="14" t="s">
        <v>193</v>
      </c>
      <c r="C158" s="14" t="s">
        <v>226</v>
      </c>
      <c r="D158" s="14" t="s">
        <v>227</v>
      </c>
      <c r="E158" s="14" t="s">
        <v>990</v>
      </c>
      <c r="F158" s="15" t="s">
        <v>991</v>
      </c>
      <c r="G158" s="15" t="s">
        <v>992</v>
      </c>
      <c r="H158" s="24">
        <v>40</v>
      </c>
      <c r="I158" s="24">
        <v>50.3</v>
      </c>
      <c r="J158" s="24">
        <f>MAX(H158,ROUNDUP(I158,0))</f>
        <v>51</v>
      </c>
      <c r="K158" s="22">
        <f>IF(C158="covered",10.4,7.55)</f>
        <v>7.55</v>
      </c>
      <c r="L158" s="14" t="s">
        <v>993</v>
      </c>
      <c r="M158" s="24">
        <v>51</v>
      </c>
      <c r="N158" s="22">
        <v>7.55</v>
      </c>
      <c r="O158" s="22">
        <v>385.05</v>
      </c>
      <c r="P158" s="22">
        <f>J158*K158</f>
        <v>385.05</v>
      </c>
      <c r="Q158" s="22">
        <f>IF(L158="","",N158-K158)</f>
        <v>0.0</v>
      </c>
      <c r="R158" s="24">
        <f>IF(L158="","",M158-J158)</f>
        <v>0.0</v>
      </c>
      <c r="S158" s="22">
        <f>IF(L158="",-P158,O158-P158)</f>
        <v>0.0</v>
      </c>
      <c r="T158" s="11" t="str">
        <f>IF(L158="","NO BILL IN SUPPLIED EXPORT",IF(ABS(Q158)&gt;0.001,"RATE EXCEPTION",IF(ABS(R158)&gt;0.001,"LENGTH EXCEPTION",IF(ABS(S158)&gt;0.01,"AMOUNT EXCEPTION","OK"))))</f>
        <v>OK</v>
      </c>
      <c r="U158" s="15" t="s">
        <v>994</v>
      </c>
    </row>
    <row r="159" spans="1:21" ht="28" customHeight="1">
      <c r="A159" s="18" t="s">
        <v>995</v>
      </c>
      <c r="B159" s="18" t="s">
        <v>193</v>
      </c>
      <c r="C159" s="18" t="s">
        <v>226</v>
      </c>
      <c r="D159" s="18" t="s">
        <v>227</v>
      </c>
      <c r="E159" s="18" t="s">
        <v>996</v>
      </c>
      <c r="F159" s="19" t="s">
        <v>997</v>
      </c>
      <c r="G159" s="19" t="s">
        <v>998</v>
      </c>
      <c r="H159" s="24">
        <v>36</v>
      </c>
      <c r="I159" s="24">
        <v>42.5</v>
      </c>
      <c r="J159" s="24">
        <f>MAX(H159,ROUNDUP(I159,0))</f>
        <v>43</v>
      </c>
      <c r="K159" s="22">
        <f>IF(C159="covered",10.4,7.55)</f>
        <v>7.55</v>
      </c>
      <c r="L159" s="18" t="s">
        <v>999</v>
      </c>
      <c r="M159" s="24">
        <v>43</v>
      </c>
      <c r="N159" s="22">
        <v>7.55</v>
      </c>
      <c r="O159" s="22">
        <v>324.65</v>
      </c>
      <c r="P159" s="22">
        <f>J159*K159</f>
        <v>324.65</v>
      </c>
      <c r="Q159" s="22">
        <f>IF(L159="","",N159-K159)</f>
        <v>0.0</v>
      </c>
      <c r="R159" s="24">
        <f>IF(L159="","",M159-J159)</f>
        <v>0.0</v>
      </c>
      <c r="S159" s="22">
        <f>IF(L159="",-P159,O159-P159)</f>
        <v>0.0</v>
      </c>
      <c r="T159" s="11" t="str">
        <f>IF(L159="","NO BILL IN SUPPLIED EXPORT",IF(ABS(Q159)&gt;0.001,"RATE EXCEPTION",IF(ABS(R159)&gt;0.001,"LENGTH EXCEPTION",IF(ABS(S159)&gt;0.01,"AMOUNT EXCEPTION","OK"))))</f>
        <v>OK</v>
      </c>
      <c r="U159" s="19" t="s">
        <v>1000</v>
      </c>
    </row>
    <row r="160" spans="1:21" ht="28" customHeight="1">
      <c r="A160" s="14" t="s">
        <v>1001</v>
      </c>
      <c r="B160" s="14" t="s">
        <v>193</v>
      </c>
      <c r="C160" s="14" t="s">
        <v>226</v>
      </c>
      <c r="D160" s="14" t="s">
        <v>227</v>
      </c>
      <c r="E160" s="14" t="s">
        <v>1002</v>
      </c>
      <c r="F160" s="15" t="s">
        <v>1003</v>
      </c>
      <c r="G160" s="15" t="s">
        <v>1004</v>
      </c>
      <c r="H160" s="24">
        <v>50</v>
      </c>
      <c r="I160" s="24">
        <v>44.2</v>
      </c>
      <c r="J160" s="24">
        <f>MAX(H160,ROUNDUP(I160,0))</f>
        <v>50.0</v>
      </c>
      <c r="K160" s="22">
        <f>IF(C160="covered",10.4,7.55)</f>
        <v>7.55</v>
      </c>
      <c r="L160" s="14" t="s">
        <v>1005</v>
      </c>
      <c r="M160" s="24">
        <v>50</v>
      </c>
      <c r="N160" s="22">
        <v>7.55</v>
      </c>
      <c r="O160" s="22">
        <v>377.5</v>
      </c>
      <c r="P160" s="22">
        <f>J160*K160</f>
        <v>377.5</v>
      </c>
      <c r="Q160" s="22">
        <f>IF(L160="","",N160-K160)</f>
        <v>0.0</v>
      </c>
      <c r="R160" s="24">
        <f>IF(L160="","",M160-J160)</f>
        <v>0.0</v>
      </c>
      <c r="S160" s="22">
        <f>IF(L160="",-P160,O160-P160)</f>
        <v>0.0</v>
      </c>
      <c r="T160" s="11" t="str">
        <f>IF(L160="","NO BILL IN SUPPLIED EXPORT",IF(ABS(Q160)&gt;0.001,"RATE EXCEPTION",IF(ABS(R160)&gt;0.001,"LENGTH EXCEPTION",IF(ABS(S160)&gt;0.01,"AMOUNT EXCEPTION","OK"))))</f>
        <v>OK</v>
      </c>
      <c r="U160" s="15" t="s">
        <v>1006</v>
      </c>
    </row>
    <row r="161" spans="1:21" ht="28" customHeight="1">
      <c r="A161" s="18" t="s">
        <v>1007</v>
      </c>
      <c r="B161" s="18" t="s">
        <v>193</v>
      </c>
      <c r="C161" s="18" t="s">
        <v>226</v>
      </c>
      <c r="D161" s="18" t="s">
        <v>227</v>
      </c>
      <c r="E161" s="18" t="s">
        <v>1008</v>
      </c>
      <c r="F161" s="19" t="s">
        <v>1009</v>
      </c>
      <c r="G161" s="19" t="s">
        <v>1010</v>
      </c>
      <c r="H161" s="24">
        <v>28</v>
      </c>
      <c r="I161" s="24">
        <v>23.6</v>
      </c>
      <c r="J161" s="24">
        <f>MAX(H161,ROUNDUP(I161,0))</f>
        <v>28.0</v>
      </c>
      <c r="K161" s="22">
        <f>IF(C161="covered",10.4,7.55)</f>
        <v>7.55</v>
      </c>
      <c r="L161" s="18" t="s">
        <v>1011</v>
      </c>
      <c r="M161" s="24">
        <v>28</v>
      </c>
      <c r="N161" s="22">
        <v>7.55</v>
      </c>
      <c r="O161" s="22">
        <v>211.4</v>
      </c>
      <c r="P161" s="22">
        <f>J161*K161</f>
        <v>211.4</v>
      </c>
      <c r="Q161" s="22">
        <f>IF(L161="","",N161-K161)</f>
        <v>0.0</v>
      </c>
      <c r="R161" s="24">
        <f>IF(L161="","",M161-J161)</f>
        <v>0.0</v>
      </c>
      <c r="S161" s="22">
        <f>IF(L161="",-P161,O161-P161)</f>
        <v>0.0</v>
      </c>
      <c r="T161" s="11" t="str">
        <f>IF(L161="","NO BILL IN SUPPLIED EXPORT",IF(ABS(Q161)&gt;0.001,"RATE EXCEPTION",IF(ABS(R161)&gt;0.001,"LENGTH EXCEPTION",IF(ABS(S161)&gt;0.01,"AMOUNT EXCEPTION","OK"))))</f>
        <v>OK</v>
      </c>
      <c r="U161" s="19" t="s">
        <v>1012</v>
      </c>
    </row>
    <row r="162" spans="1:21" ht="28" customHeight="1">
      <c r="A162" s="14" t="s">
        <v>1013</v>
      </c>
      <c r="B162" s="14" t="s">
        <v>193</v>
      </c>
      <c r="C162" s="14" t="s">
        <v>226</v>
      </c>
      <c r="D162" s="14" t="s">
        <v>227</v>
      </c>
      <c r="E162" s="14" t="s">
        <v>1014</v>
      </c>
      <c r="F162" s="15" t="s">
        <v>1015</v>
      </c>
      <c r="G162" s="15" t="s">
        <v>98</v>
      </c>
      <c r="H162" s="24">
        <v>24</v>
      </c>
      <c r="I162" s="24">
        <v>27.6</v>
      </c>
      <c r="J162" s="24">
        <f>MAX(H162,ROUNDUP(I162,0))</f>
        <v>28</v>
      </c>
      <c r="K162" s="22">
        <f>IF(C162="covered",10.4,7.55)</f>
        <v>7.55</v>
      </c>
      <c r="L162" s="14" t="s">
        <v>1016</v>
      </c>
      <c r="M162" s="24">
        <v>28</v>
      </c>
      <c r="N162" s="22">
        <v>7.55</v>
      </c>
      <c r="O162" s="22">
        <v>211.4</v>
      </c>
      <c r="P162" s="22">
        <f>J162*K162</f>
        <v>211.4</v>
      </c>
      <c r="Q162" s="22">
        <f>IF(L162="","",N162-K162)</f>
        <v>0.0</v>
      </c>
      <c r="R162" s="24">
        <f>IF(L162="","",M162-J162)</f>
        <v>0.0</v>
      </c>
      <c r="S162" s="22">
        <f>IF(L162="",-P162,O162-P162)</f>
        <v>0.0</v>
      </c>
      <c r="T162" s="11" t="str">
        <f>IF(L162="","NO BILL IN SUPPLIED EXPORT",IF(ABS(Q162)&gt;0.001,"RATE EXCEPTION",IF(ABS(R162)&gt;0.001,"LENGTH EXCEPTION",IF(ABS(S162)&gt;0.01,"AMOUNT EXCEPTION","OK"))))</f>
        <v>OK</v>
      </c>
      <c r="U162" s="15" t="s">
        <v>1017</v>
      </c>
    </row>
    <row r="163" spans="1:21" ht="28" customHeight="1">
      <c r="A163" s="18" t="s">
        <v>1018</v>
      </c>
      <c r="B163" s="18" t="s">
        <v>193</v>
      </c>
      <c r="C163" s="18" t="s">
        <v>226</v>
      </c>
      <c r="D163" s="18" t="s">
        <v>227</v>
      </c>
      <c r="E163" s="18" t="s">
        <v>1019</v>
      </c>
      <c r="F163" s="19" t="s">
        <v>1020</v>
      </c>
      <c r="G163" s="19" t="s">
        <v>1021</v>
      </c>
      <c r="H163" s="24">
        <v>32</v>
      </c>
      <c r="I163" s="24">
        <v>50.6</v>
      </c>
      <c r="J163" s="24">
        <f>MAX(H163,ROUNDUP(I163,0))</f>
        <v>51</v>
      </c>
      <c r="K163" s="22">
        <f>IF(C163="covered",10.4,7.55)</f>
        <v>7.55</v>
      </c>
      <c r="L163" s="18" t="s">
        <v>1022</v>
      </c>
      <c r="M163" s="24">
        <v>51</v>
      </c>
      <c r="N163" s="22">
        <v>7.55</v>
      </c>
      <c r="O163" s="22">
        <v>385.05</v>
      </c>
      <c r="P163" s="22">
        <f>J163*K163</f>
        <v>385.05</v>
      </c>
      <c r="Q163" s="22">
        <f>IF(L163="","",N163-K163)</f>
        <v>0.0</v>
      </c>
      <c r="R163" s="24">
        <f>IF(L163="","",M163-J163)</f>
        <v>0.0</v>
      </c>
      <c r="S163" s="22">
        <f>IF(L163="",-P163,O163-P163)</f>
        <v>0.0</v>
      </c>
      <c r="T163" s="11" t="str">
        <f>IF(L163="","NO BILL IN SUPPLIED EXPORT",IF(ABS(Q163)&gt;0.001,"RATE EXCEPTION",IF(ABS(R163)&gt;0.001,"LENGTH EXCEPTION",IF(ABS(S163)&gt;0.01,"AMOUNT EXCEPTION","OK"))))</f>
        <v>OK</v>
      </c>
      <c r="U163" s="19" t="s">
        <v>1023</v>
      </c>
    </row>
    <row r="164" spans="1:21" ht="28" customHeight="1">
      <c r="A164" s="14" t="s">
        <v>1024</v>
      </c>
      <c r="B164" s="14" t="s">
        <v>193</v>
      </c>
      <c r="C164" s="14" t="s">
        <v>226</v>
      </c>
      <c r="D164" s="14" t="s">
        <v>227</v>
      </c>
      <c r="E164" s="14" t="s">
        <v>1025</v>
      </c>
      <c r="F164" s="15" t="s">
        <v>1026</v>
      </c>
      <c r="G164" s="15" t="s">
        <v>1027</v>
      </c>
      <c r="H164" s="24">
        <v>32</v>
      </c>
      <c r="I164" s="24">
        <v>32.3</v>
      </c>
      <c r="J164" s="24">
        <f>MAX(H164,ROUNDUP(I164,0))</f>
        <v>33</v>
      </c>
      <c r="K164" s="22">
        <f>IF(C164="covered",10.4,7.55)</f>
        <v>7.55</v>
      </c>
      <c r="L164" s="14" t="s">
        <v>1028</v>
      </c>
      <c r="M164" s="24">
        <v>33</v>
      </c>
      <c r="N164" s="22">
        <v>7.55</v>
      </c>
      <c r="O164" s="22">
        <v>249.15</v>
      </c>
      <c r="P164" s="22">
        <f>J164*K164</f>
        <v>249.15</v>
      </c>
      <c r="Q164" s="22">
        <f>IF(L164="","",N164-K164)</f>
        <v>0.0</v>
      </c>
      <c r="R164" s="24">
        <f>IF(L164="","",M164-J164)</f>
        <v>0.0</v>
      </c>
      <c r="S164" s="22">
        <f>IF(L164="",-P164,O164-P164)</f>
        <v>0.0</v>
      </c>
      <c r="T164" s="11" t="str">
        <f>IF(L164="","NO BILL IN SUPPLIED EXPORT",IF(ABS(Q164)&gt;0.001,"RATE EXCEPTION",IF(ABS(R164)&gt;0.001,"LENGTH EXCEPTION",IF(ABS(S164)&gt;0.01,"AMOUNT EXCEPTION","OK"))))</f>
        <v>OK</v>
      </c>
      <c r="U164" s="15" t="s">
        <v>1029</v>
      </c>
    </row>
    <row r="165" spans="1:21" ht="28" customHeight="1">
      <c r="A165" s="18" t="s">
        <v>1030</v>
      </c>
      <c r="B165" s="18" t="s">
        <v>193</v>
      </c>
      <c r="C165" s="18" t="s">
        <v>226</v>
      </c>
      <c r="D165" s="18" t="s">
        <v>227</v>
      </c>
      <c r="E165" s="18" t="s">
        <v>1031</v>
      </c>
      <c r="F165" s="19" t="s">
        <v>1032</v>
      </c>
      <c r="G165" s="19" t="s">
        <v>1033</v>
      </c>
      <c r="H165" s="24">
        <v>50</v>
      </c>
      <c r="I165" s="24">
        <v>59.1</v>
      </c>
      <c r="J165" s="24">
        <f>MAX(H165,ROUNDUP(I165,0))</f>
        <v>60</v>
      </c>
      <c r="K165" s="22">
        <f>IF(C165="covered",10.4,7.55)</f>
        <v>7.55</v>
      </c>
      <c r="L165" s="18" t="s">
        <v>1034</v>
      </c>
      <c r="M165" s="24">
        <v>60</v>
      </c>
      <c r="N165" s="22">
        <v>7.55</v>
      </c>
      <c r="O165" s="22">
        <v>453</v>
      </c>
      <c r="P165" s="22">
        <f>J165*K165</f>
        <v>453.0</v>
      </c>
      <c r="Q165" s="22">
        <f>IF(L165="","",N165-K165)</f>
        <v>0.0</v>
      </c>
      <c r="R165" s="24">
        <f>IF(L165="","",M165-J165)</f>
        <v>0.0</v>
      </c>
      <c r="S165" s="22">
        <f>IF(L165="",-P165,O165-P165)</f>
        <v>0.0</v>
      </c>
      <c r="T165" s="11" t="str">
        <f>IF(L165="","NO BILL IN SUPPLIED EXPORT",IF(ABS(Q165)&gt;0.001,"RATE EXCEPTION",IF(ABS(R165)&gt;0.001,"LENGTH EXCEPTION",IF(ABS(S165)&gt;0.01,"AMOUNT EXCEPTION","OK"))))</f>
        <v>OK</v>
      </c>
      <c r="U165" s="19" t="s">
        <v>1035</v>
      </c>
    </row>
    <row r="166" spans="1:21" ht="28" customHeight="1">
      <c r="A166" s="14" t="s">
        <v>1036</v>
      </c>
      <c r="B166" s="14" t="s">
        <v>193</v>
      </c>
      <c r="C166" s="14" t="s">
        <v>226</v>
      </c>
      <c r="D166" s="14" t="s">
        <v>227</v>
      </c>
      <c r="E166" s="14" t="s">
        <v>1037</v>
      </c>
      <c r="F166" s="15" t="s">
        <v>1038</v>
      </c>
      <c r="G166" s="15" t="s">
        <v>1039</v>
      </c>
      <c r="H166" s="24">
        <v>45</v>
      </c>
      <c r="I166" s="24">
        <v>49.1</v>
      </c>
      <c r="J166" s="24">
        <f>MAX(H166,ROUNDUP(I166,0))</f>
        <v>50</v>
      </c>
      <c r="K166" s="22">
        <f>IF(C166="covered",10.4,7.55)</f>
        <v>7.55</v>
      </c>
      <c r="L166" s="14" t="s">
        <v>1040</v>
      </c>
      <c r="M166" s="24">
        <v>50</v>
      </c>
      <c r="N166" s="22">
        <v>7.55</v>
      </c>
      <c r="O166" s="22">
        <v>377.5</v>
      </c>
      <c r="P166" s="22">
        <f>J166*K166</f>
        <v>377.5</v>
      </c>
      <c r="Q166" s="22">
        <f>IF(L166="","",N166-K166)</f>
        <v>0.0</v>
      </c>
      <c r="R166" s="24">
        <f>IF(L166="","",M166-J166)</f>
        <v>0.0</v>
      </c>
      <c r="S166" s="22">
        <f>IF(L166="",-P166,O166-P166)</f>
        <v>0.0</v>
      </c>
      <c r="T166" s="11" t="str">
        <f>IF(L166="","NO BILL IN SUPPLIED EXPORT",IF(ABS(Q166)&gt;0.001,"RATE EXCEPTION",IF(ABS(R166)&gt;0.001,"LENGTH EXCEPTION",IF(ABS(S166)&gt;0.01,"AMOUNT EXCEPTION","OK"))))</f>
        <v>OK</v>
      </c>
      <c r="U166" s="15" t="s">
        <v>1041</v>
      </c>
    </row>
    <row r="167" spans="1:21" ht="28" customHeight="1">
      <c r="A167" s="18" t="s">
        <v>1042</v>
      </c>
      <c r="B167" s="18" t="s">
        <v>193</v>
      </c>
      <c r="C167" s="18" t="s">
        <v>226</v>
      </c>
      <c r="D167" s="18" t="s">
        <v>227</v>
      </c>
      <c r="E167" s="18" t="s">
        <v>1043</v>
      </c>
      <c r="F167" s="19" t="s">
        <v>1044</v>
      </c>
      <c r="G167" s="19" t="s">
        <v>1045</v>
      </c>
      <c r="H167" s="24">
        <v>28</v>
      </c>
      <c r="I167" s="24">
        <v>21.9</v>
      </c>
      <c r="J167" s="24">
        <f>MAX(H167,ROUNDUP(I167,0))</f>
        <v>28.0</v>
      </c>
      <c r="K167" s="22">
        <f>IF(C167="covered",10.4,7.55)</f>
        <v>7.55</v>
      </c>
      <c r="L167" s="18" t="s">
        <v>1046</v>
      </c>
      <c r="M167" s="24">
        <v>28</v>
      </c>
      <c r="N167" s="22">
        <v>7.55</v>
      </c>
      <c r="O167" s="22">
        <v>211.4</v>
      </c>
      <c r="P167" s="22">
        <f>J167*K167</f>
        <v>211.4</v>
      </c>
      <c r="Q167" s="22">
        <f>IF(L167="","",N167-K167)</f>
        <v>0.0</v>
      </c>
      <c r="R167" s="24">
        <f>IF(L167="","",M167-J167)</f>
        <v>0.0</v>
      </c>
      <c r="S167" s="22">
        <f>IF(L167="",-P167,O167-P167)</f>
        <v>0.0</v>
      </c>
      <c r="T167" s="11" t="str">
        <f>IF(L167="","NO BILL IN SUPPLIED EXPORT",IF(ABS(Q167)&gt;0.001,"RATE EXCEPTION",IF(ABS(R167)&gt;0.001,"LENGTH EXCEPTION",IF(ABS(S167)&gt;0.01,"AMOUNT EXCEPTION","OK"))))</f>
        <v>OK</v>
      </c>
      <c r="U167" s="19" t="s">
        <v>1047</v>
      </c>
    </row>
    <row r="168" spans="1:21" ht="28" customHeight="1">
      <c r="A168" s="14" t="s">
        <v>1048</v>
      </c>
      <c r="B168" s="14" t="s">
        <v>193</v>
      </c>
      <c r="C168" s="14" t="s">
        <v>226</v>
      </c>
      <c r="D168" s="14" t="s">
        <v>227</v>
      </c>
      <c r="E168" s="14" t="s">
        <v>1049</v>
      </c>
      <c r="F168" s="15" t="s">
        <v>1050</v>
      </c>
      <c r="G168" s="15" t="s">
        <v>1051</v>
      </c>
      <c r="H168" s="24">
        <v>36</v>
      </c>
      <c r="I168" s="24">
        <v>39.5</v>
      </c>
      <c r="J168" s="24">
        <f>MAX(H168,ROUNDUP(I168,0))</f>
        <v>40</v>
      </c>
      <c r="K168" s="22">
        <f>IF(C168="covered",10.4,7.55)</f>
        <v>7.55</v>
      </c>
      <c r="L168" s="14" t="s">
        <v>1052</v>
      </c>
      <c r="M168" s="24">
        <v>40</v>
      </c>
      <c r="N168" s="22">
        <v>7.55</v>
      </c>
      <c r="O168" s="22">
        <v>302</v>
      </c>
      <c r="P168" s="22">
        <f>J168*K168</f>
        <v>302.0</v>
      </c>
      <c r="Q168" s="22">
        <f>IF(L168="","",N168-K168)</f>
        <v>0.0</v>
      </c>
      <c r="R168" s="24">
        <f>IF(L168="","",M168-J168)</f>
        <v>0.0</v>
      </c>
      <c r="S168" s="22">
        <f>IF(L168="",-P168,O168-P168)</f>
        <v>0.0</v>
      </c>
      <c r="T168" s="11" t="str">
        <f>IF(L168="","NO BILL IN SUPPLIED EXPORT",IF(ABS(Q168)&gt;0.001,"RATE EXCEPTION",IF(ABS(R168)&gt;0.001,"LENGTH EXCEPTION",IF(ABS(S168)&gt;0.01,"AMOUNT EXCEPTION","OK"))))</f>
        <v>OK</v>
      </c>
      <c r="U168" s="15" t="s">
        <v>1053</v>
      </c>
    </row>
    <row r="169" spans="1:21" ht="28" customHeight="1">
      <c r="A169" s="18" t="s">
        <v>1054</v>
      </c>
      <c r="B169" s="18" t="s">
        <v>193</v>
      </c>
      <c r="C169" s="18" t="s">
        <v>226</v>
      </c>
      <c r="D169" s="18" t="s">
        <v>227</v>
      </c>
      <c r="E169" s="18" t="s">
        <v>1055</v>
      </c>
      <c r="F169" s="19" t="s">
        <v>1056</v>
      </c>
      <c r="G169" s="19" t="s">
        <v>1057</v>
      </c>
      <c r="H169" s="24">
        <v>60</v>
      </c>
      <c r="I169" s="24">
        <v>35.8</v>
      </c>
      <c r="J169" s="24">
        <f>MAX(H169,ROUNDUP(I169,0))</f>
        <v>60.0</v>
      </c>
      <c r="K169" s="22">
        <f>IF(C169="covered",10.4,7.55)</f>
        <v>7.55</v>
      </c>
      <c r="L169" s="18" t="s">
        <v>1058</v>
      </c>
      <c r="M169" s="24">
        <v>60</v>
      </c>
      <c r="N169" s="22">
        <v>7.55</v>
      </c>
      <c r="O169" s="22">
        <v>453</v>
      </c>
      <c r="P169" s="22">
        <f>J169*K169</f>
        <v>453.0</v>
      </c>
      <c r="Q169" s="22">
        <f>IF(L169="","",N169-K169)</f>
        <v>0.0</v>
      </c>
      <c r="R169" s="24">
        <f>IF(L169="","",M169-J169)</f>
        <v>0.0</v>
      </c>
      <c r="S169" s="22">
        <f>IF(L169="",-P169,O169-P169)</f>
        <v>0.0</v>
      </c>
      <c r="T169" s="11" t="str">
        <f>IF(L169="","NO BILL IN SUPPLIED EXPORT",IF(ABS(Q169)&gt;0.001,"RATE EXCEPTION",IF(ABS(R169)&gt;0.001,"LENGTH EXCEPTION",IF(ABS(S169)&gt;0.01,"AMOUNT EXCEPTION","OK"))))</f>
        <v>OK</v>
      </c>
      <c r="U169" s="19" t="s">
        <v>1059</v>
      </c>
    </row>
    <row r="170" spans="1:21" ht="28" customHeight="1">
      <c r="A170" s="14" t="s">
        <v>1060</v>
      </c>
      <c r="B170" s="14" t="s">
        <v>193</v>
      </c>
      <c r="C170" s="14" t="s">
        <v>226</v>
      </c>
      <c r="D170" s="14" t="s">
        <v>227</v>
      </c>
      <c r="E170" s="14" t="s">
        <v>1061</v>
      </c>
      <c r="F170" s="15" t="s">
        <v>1062</v>
      </c>
      <c r="G170" s="15" t="s">
        <v>1063</v>
      </c>
      <c r="H170" s="24">
        <v>36</v>
      </c>
      <c r="I170" s="24">
        <v>51.1</v>
      </c>
      <c r="J170" s="24">
        <f>MAX(H170,ROUNDUP(I170,0))</f>
        <v>52</v>
      </c>
      <c r="K170" s="22">
        <f>IF(C170="covered",10.4,7.55)</f>
        <v>7.55</v>
      </c>
      <c r="L170" s="14" t="s">
        <v>1064</v>
      </c>
      <c r="M170" s="24">
        <v>52</v>
      </c>
      <c r="N170" s="22">
        <v>7.55</v>
      </c>
      <c r="O170" s="22">
        <v>392.6</v>
      </c>
      <c r="P170" s="22">
        <f>J170*K170</f>
        <v>392.59999999999997</v>
      </c>
      <c r="Q170" s="22">
        <f>IF(L170="","",N170-K170)</f>
        <v>0.0</v>
      </c>
      <c r="R170" s="24">
        <f>IF(L170="","",M170-J170)</f>
        <v>0.0</v>
      </c>
      <c r="S170" s="22">
        <f>IF(L170="",-P170,O170-P170)</f>
        <v>5.684341886080802e-14</v>
      </c>
      <c r="T170" s="11" t="str">
        <f>IF(L170="","NO BILL IN SUPPLIED EXPORT",IF(ABS(Q170)&gt;0.001,"RATE EXCEPTION",IF(ABS(R170)&gt;0.001,"LENGTH EXCEPTION",IF(ABS(S170)&gt;0.01,"AMOUNT EXCEPTION","OK"))))</f>
        <v>OK</v>
      </c>
      <c r="U170" s="15" t="s">
        <v>1065</v>
      </c>
    </row>
    <row r="171" spans="1:21" ht="28" customHeight="1">
      <c r="A171" s="18" t="s">
        <v>1066</v>
      </c>
      <c r="B171" s="18" t="s">
        <v>193</v>
      </c>
      <c r="C171" s="18" t="s">
        <v>226</v>
      </c>
      <c r="D171" s="18" t="s">
        <v>227</v>
      </c>
      <c r="E171" s="18" t="s">
        <v>1067</v>
      </c>
      <c r="F171" s="19" t="s">
        <v>1068</v>
      </c>
      <c r="G171" s="19" t="s">
        <v>1069</v>
      </c>
      <c r="H171" s="24">
        <v>40</v>
      </c>
      <c r="I171" s="24">
        <v>29.3</v>
      </c>
      <c r="J171" s="24">
        <f>MAX(H171,ROUNDUP(I171,0))</f>
        <v>40.0</v>
      </c>
      <c r="K171" s="22">
        <f>IF(C171="covered",10.4,7.55)</f>
        <v>7.55</v>
      </c>
      <c r="L171" s="18" t="s">
        <v>1070</v>
      </c>
      <c r="M171" s="24">
        <v>40</v>
      </c>
      <c r="N171" s="22">
        <v>7.55</v>
      </c>
      <c r="O171" s="22">
        <v>302</v>
      </c>
      <c r="P171" s="22">
        <f>J171*K171</f>
        <v>302.0</v>
      </c>
      <c r="Q171" s="22">
        <f>IF(L171="","",N171-K171)</f>
        <v>0.0</v>
      </c>
      <c r="R171" s="24">
        <f>IF(L171="","",M171-J171)</f>
        <v>0.0</v>
      </c>
      <c r="S171" s="22">
        <f>IF(L171="",-P171,O171-P171)</f>
        <v>0.0</v>
      </c>
      <c r="T171" s="11" t="str">
        <f>IF(L171="","NO BILL IN SUPPLIED EXPORT",IF(ABS(Q171)&gt;0.001,"RATE EXCEPTION",IF(ABS(R171)&gt;0.001,"LENGTH EXCEPTION",IF(ABS(S171)&gt;0.01,"AMOUNT EXCEPTION","OK"))))</f>
        <v>OK</v>
      </c>
      <c r="U171" s="19" t="s">
        <v>1071</v>
      </c>
    </row>
    <row r="172" spans="1:21" ht="28" customHeight="1">
      <c r="A172" s="14" t="s">
        <v>1072</v>
      </c>
      <c r="B172" s="14" t="s">
        <v>193</v>
      </c>
      <c r="C172" s="14" t="s">
        <v>226</v>
      </c>
      <c r="D172" s="14" t="s">
        <v>227</v>
      </c>
      <c r="E172" s="14" t="s">
        <v>1073</v>
      </c>
      <c r="F172" s="15" t="s">
        <v>1074</v>
      </c>
      <c r="G172" s="15" t="s">
        <v>1075</v>
      </c>
      <c r="H172" s="24">
        <v>24</v>
      </c>
      <c r="I172" s="24">
        <v>46.9</v>
      </c>
      <c r="J172" s="24">
        <f>MAX(H172,ROUNDUP(I172,0))</f>
        <v>47</v>
      </c>
      <c r="K172" s="22">
        <f>IF(C172="covered",10.4,7.55)</f>
        <v>7.55</v>
      </c>
      <c r="L172" s="14" t="s">
        <v>1076</v>
      </c>
      <c r="M172" s="24">
        <v>47</v>
      </c>
      <c r="N172" s="22">
        <v>7.55</v>
      </c>
      <c r="O172" s="22">
        <v>354.85</v>
      </c>
      <c r="P172" s="22">
        <f>J172*K172</f>
        <v>354.84999999999997</v>
      </c>
      <c r="Q172" s="22">
        <f>IF(L172="","",N172-K172)</f>
        <v>0.0</v>
      </c>
      <c r="R172" s="24">
        <f>IF(L172="","",M172-J172)</f>
        <v>0.0</v>
      </c>
      <c r="S172" s="22">
        <f>IF(L172="",-P172,O172-P172)</f>
        <v>5.684341886080802e-14</v>
      </c>
      <c r="T172" s="11" t="str">
        <f>IF(L172="","NO BILL IN SUPPLIED EXPORT",IF(ABS(Q172)&gt;0.001,"RATE EXCEPTION",IF(ABS(R172)&gt;0.001,"LENGTH EXCEPTION",IF(ABS(S172)&gt;0.01,"AMOUNT EXCEPTION","OK"))))</f>
        <v>OK</v>
      </c>
      <c r="U172" s="15" t="s">
        <v>1077</v>
      </c>
    </row>
    <row r="173" spans="1:21" ht="28" customHeight="1">
      <c r="A173" s="18" t="s">
        <v>1078</v>
      </c>
      <c r="B173" s="18" t="s">
        <v>193</v>
      </c>
      <c r="C173" s="18" t="s">
        <v>226</v>
      </c>
      <c r="D173" s="18" t="s">
        <v>227</v>
      </c>
      <c r="E173" s="18" t="s">
        <v>1079</v>
      </c>
      <c r="F173" s="19" t="s">
        <v>1080</v>
      </c>
      <c r="G173" s="19" t="s">
        <v>1081</v>
      </c>
      <c r="H173" s="24">
        <v>32</v>
      </c>
      <c r="I173" s="24">
        <v>54.4</v>
      </c>
      <c r="J173" s="24">
        <f>MAX(H173,ROUNDUP(I173,0))</f>
        <v>55</v>
      </c>
      <c r="K173" s="22">
        <f>IF(C173="covered",10.4,7.55)</f>
        <v>7.55</v>
      </c>
      <c r="L173" s="18" t="s">
        <v>1082</v>
      </c>
      <c r="M173" s="24">
        <v>55</v>
      </c>
      <c r="N173" s="22">
        <v>7.55</v>
      </c>
      <c r="O173" s="22">
        <v>415.25</v>
      </c>
      <c r="P173" s="22">
        <f>J173*K173</f>
        <v>415.25</v>
      </c>
      <c r="Q173" s="22">
        <f>IF(L173="","",N173-K173)</f>
        <v>0.0</v>
      </c>
      <c r="R173" s="24">
        <f>IF(L173="","",M173-J173)</f>
        <v>0.0</v>
      </c>
      <c r="S173" s="22">
        <f>IF(L173="",-P173,O173-P173)</f>
        <v>0.0</v>
      </c>
      <c r="T173" s="11" t="str">
        <f>IF(L173="","NO BILL IN SUPPLIED EXPORT",IF(ABS(Q173)&gt;0.001,"RATE EXCEPTION",IF(ABS(R173)&gt;0.001,"LENGTH EXCEPTION",IF(ABS(S173)&gt;0.01,"AMOUNT EXCEPTION","OK"))))</f>
        <v>OK</v>
      </c>
      <c r="U173" s="19" t="s">
        <v>1083</v>
      </c>
    </row>
    <row r="174" spans="1:21" ht="28" customHeight="1">
      <c r="A174" s="14" t="s">
        <v>1084</v>
      </c>
      <c r="B174" s="14" t="s">
        <v>193</v>
      </c>
      <c r="C174" s="14" t="s">
        <v>226</v>
      </c>
      <c r="D174" s="14" t="s">
        <v>227</v>
      </c>
      <c r="E174" s="14" t="s">
        <v>1085</v>
      </c>
      <c r="F174" s="15" t="s">
        <v>1086</v>
      </c>
      <c r="G174" s="15" t="s">
        <v>353</v>
      </c>
      <c r="H174" s="24">
        <v>50</v>
      </c>
      <c r="I174" s="24">
        <v>53.3</v>
      </c>
      <c r="J174" s="24">
        <f>MAX(H174,ROUNDUP(I174,0))</f>
        <v>54</v>
      </c>
      <c r="K174" s="22">
        <f>IF(C174="covered",10.4,7.55)</f>
        <v>7.55</v>
      </c>
      <c r="L174" s="14" t="s">
        <v>1087</v>
      </c>
      <c r="M174" s="24">
        <v>54</v>
      </c>
      <c r="N174" s="22">
        <v>7.55</v>
      </c>
      <c r="O174" s="22">
        <v>407.7</v>
      </c>
      <c r="P174" s="22">
        <f>J174*K174</f>
        <v>407.7</v>
      </c>
      <c r="Q174" s="22">
        <f>IF(L174="","",N174-K174)</f>
        <v>0.0</v>
      </c>
      <c r="R174" s="24">
        <f>IF(L174="","",M174-J174)</f>
        <v>0.0</v>
      </c>
      <c r="S174" s="22">
        <f>IF(L174="",-P174,O174-P174)</f>
        <v>0.0</v>
      </c>
      <c r="T174" s="11" t="str">
        <f>IF(L174="","NO BILL IN SUPPLIED EXPORT",IF(ABS(Q174)&gt;0.001,"RATE EXCEPTION",IF(ABS(R174)&gt;0.001,"LENGTH EXCEPTION",IF(ABS(S174)&gt;0.01,"AMOUNT EXCEPTION","OK"))))</f>
        <v>OK</v>
      </c>
      <c r="U174" s="15" t="s">
        <v>1088</v>
      </c>
    </row>
    <row r="175" spans="1:21" ht="28" customHeight="1">
      <c r="A175" s="18" t="s">
        <v>1089</v>
      </c>
      <c r="B175" s="18" t="s">
        <v>193</v>
      </c>
      <c r="C175" s="18" t="s">
        <v>226</v>
      </c>
      <c r="D175" s="18" t="s">
        <v>227</v>
      </c>
      <c r="E175" s="18" t="s">
        <v>1090</v>
      </c>
      <c r="F175" s="19" t="s">
        <v>1091</v>
      </c>
      <c r="G175" s="19" t="s">
        <v>1092</v>
      </c>
      <c r="H175" s="24">
        <v>70</v>
      </c>
      <c r="I175" s="24">
        <v>35.8</v>
      </c>
      <c r="J175" s="24">
        <f>MAX(H175,ROUNDUP(I175,0))</f>
        <v>70.0</v>
      </c>
      <c r="K175" s="22">
        <f>IF(C175="covered",10.4,7.55)</f>
        <v>7.55</v>
      </c>
      <c r="L175" s="18" t="s">
        <v>1093</v>
      </c>
      <c r="M175" s="24">
        <v>70</v>
      </c>
      <c r="N175" s="22">
        <v>7.55</v>
      </c>
      <c r="O175" s="22">
        <v>528.5</v>
      </c>
      <c r="P175" s="22">
        <f>J175*K175</f>
        <v>528.5</v>
      </c>
      <c r="Q175" s="22">
        <f>IF(L175="","",N175-K175)</f>
        <v>0.0</v>
      </c>
      <c r="R175" s="24">
        <f>IF(L175="","",M175-J175)</f>
        <v>0.0</v>
      </c>
      <c r="S175" s="22">
        <f>IF(L175="",-P175,O175-P175)</f>
        <v>0.0</v>
      </c>
      <c r="T175" s="11" t="str">
        <f>IF(L175="","NO BILL IN SUPPLIED EXPORT",IF(ABS(Q175)&gt;0.001,"RATE EXCEPTION",IF(ABS(R175)&gt;0.001,"LENGTH EXCEPTION",IF(ABS(S175)&gt;0.01,"AMOUNT EXCEPTION","OK"))))</f>
        <v>OK</v>
      </c>
      <c r="U175" s="19" t="s">
        <v>1094</v>
      </c>
    </row>
    <row r="176" spans="1:21" ht="28" customHeight="1">
      <c r="A176" s="14" t="s">
        <v>1095</v>
      </c>
      <c r="B176" s="14" t="s">
        <v>193</v>
      </c>
      <c r="C176" s="14" t="s">
        <v>226</v>
      </c>
      <c r="D176" s="14" t="s">
        <v>227</v>
      </c>
      <c r="E176" s="14" t="s">
        <v>1096</v>
      </c>
      <c r="F176" s="15" t="s">
        <v>1097</v>
      </c>
      <c r="G176" s="15" t="s">
        <v>1098</v>
      </c>
      <c r="H176" s="24">
        <v>45</v>
      </c>
      <c r="I176" s="24">
        <v>22.3</v>
      </c>
      <c r="J176" s="24">
        <f>MAX(H176,ROUNDUP(I176,0))</f>
        <v>45.0</v>
      </c>
      <c r="K176" s="22">
        <f>IF(C176="covered",10.4,7.55)</f>
        <v>7.55</v>
      </c>
      <c r="L176" s="14" t="s">
        <v>1099</v>
      </c>
      <c r="M176" s="24">
        <v>45</v>
      </c>
      <c r="N176" s="22">
        <v>7.55</v>
      </c>
      <c r="O176" s="22">
        <v>339.75</v>
      </c>
      <c r="P176" s="22">
        <f>J176*K176</f>
        <v>339.75</v>
      </c>
      <c r="Q176" s="22">
        <f>IF(L176="","",N176-K176)</f>
        <v>0.0</v>
      </c>
      <c r="R176" s="24">
        <f>IF(L176="","",M176-J176)</f>
        <v>0.0</v>
      </c>
      <c r="S176" s="22">
        <f>IF(L176="",-P176,O176-P176)</f>
        <v>0.0</v>
      </c>
      <c r="T176" s="11" t="str">
        <f>IF(L176="","NO BILL IN SUPPLIED EXPORT",IF(ABS(Q176)&gt;0.001,"RATE EXCEPTION",IF(ABS(R176)&gt;0.001,"LENGTH EXCEPTION",IF(ABS(S176)&gt;0.01,"AMOUNT EXCEPTION","OK"))))</f>
        <v>OK</v>
      </c>
      <c r="U176" s="15" t="s">
        <v>1100</v>
      </c>
    </row>
    <row r="177" spans="1:21" ht="28" customHeight="1">
      <c r="A177" s="18" t="s">
        <v>1101</v>
      </c>
      <c r="B177" s="18" t="s">
        <v>193</v>
      </c>
      <c r="C177" s="18" t="s">
        <v>226</v>
      </c>
      <c r="D177" s="18" t="s">
        <v>227</v>
      </c>
      <c r="E177" s="18" t="s">
        <v>1102</v>
      </c>
      <c r="F177" s="19" t="s">
        <v>1103</v>
      </c>
      <c r="G177" s="19" t="s">
        <v>828</v>
      </c>
      <c r="H177" s="24">
        <v>70</v>
      </c>
      <c r="I177" s="24">
        <v>53.3</v>
      </c>
      <c r="J177" s="24">
        <f>MAX(H177,ROUNDUP(I177,0))</f>
        <v>70.0</v>
      </c>
      <c r="K177" s="22">
        <f>IF(C177="covered",10.4,7.55)</f>
        <v>7.55</v>
      </c>
      <c r="L177" s="18" t="s">
        <v>1104</v>
      </c>
      <c r="M177" s="24">
        <v>70</v>
      </c>
      <c r="N177" s="22">
        <v>7.55</v>
      </c>
      <c r="O177" s="22">
        <v>528.5</v>
      </c>
      <c r="P177" s="22">
        <f>J177*K177</f>
        <v>528.5</v>
      </c>
      <c r="Q177" s="22">
        <f>IF(L177="","",N177-K177)</f>
        <v>0.0</v>
      </c>
      <c r="R177" s="24">
        <f>IF(L177="","",M177-J177)</f>
        <v>0.0</v>
      </c>
      <c r="S177" s="22">
        <f>IF(L177="",-P177,O177-P177)</f>
        <v>0.0</v>
      </c>
      <c r="T177" s="11" t="str">
        <f>IF(L177="","NO BILL IN SUPPLIED EXPORT",IF(ABS(Q177)&gt;0.001,"RATE EXCEPTION",IF(ABS(R177)&gt;0.001,"LENGTH EXCEPTION",IF(ABS(S177)&gt;0.01,"AMOUNT EXCEPTION","OK"))))</f>
        <v>OK</v>
      </c>
      <c r="U177" s="19" t="s">
        <v>1105</v>
      </c>
    </row>
    <row r="178" spans="1:21" ht="28" customHeight="1">
      <c r="A178" s="14" t="s">
        <v>1106</v>
      </c>
      <c r="B178" s="14" t="s">
        <v>193</v>
      </c>
      <c r="C178" s="14" t="s">
        <v>226</v>
      </c>
      <c r="D178" s="14" t="s">
        <v>227</v>
      </c>
      <c r="E178" s="14" t="s">
        <v>1107</v>
      </c>
      <c r="F178" s="15" t="s">
        <v>1108</v>
      </c>
      <c r="G178" s="15" t="s">
        <v>406</v>
      </c>
      <c r="H178" s="24">
        <v>28</v>
      </c>
      <c r="I178" s="24">
        <v>56.4</v>
      </c>
      <c r="J178" s="24">
        <f>MAX(H178,ROUNDUP(I178,0))</f>
        <v>57</v>
      </c>
      <c r="K178" s="22">
        <f>IF(C178="covered",10.4,7.55)</f>
        <v>7.55</v>
      </c>
      <c r="L178" s="14" t="s">
        <v>1109</v>
      </c>
      <c r="M178" s="24">
        <v>57</v>
      </c>
      <c r="N178" s="22">
        <v>7.55</v>
      </c>
      <c r="O178" s="22">
        <v>430.35</v>
      </c>
      <c r="P178" s="22">
        <f>J178*K178</f>
        <v>430.34999999999997</v>
      </c>
      <c r="Q178" s="22">
        <f>IF(L178="","",N178-K178)</f>
        <v>0.0</v>
      </c>
      <c r="R178" s="24">
        <f>IF(L178="","",M178-J178)</f>
        <v>0.0</v>
      </c>
      <c r="S178" s="22">
        <f>IF(L178="",-P178,O178-P178)</f>
        <v>5.684341886080802e-14</v>
      </c>
      <c r="T178" s="11" t="str">
        <f>IF(L178="","NO BILL IN SUPPLIED EXPORT",IF(ABS(Q178)&gt;0.001,"RATE EXCEPTION",IF(ABS(R178)&gt;0.001,"LENGTH EXCEPTION",IF(ABS(S178)&gt;0.01,"AMOUNT EXCEPTION","OK"))))</f>
        <v>OK</v>
      </c>
      <c r="U178" s="15" t="s">
        <v>1110</v>
      </c>
    </row>
    <row r="179" spans="1:21" ht="28" customHeight="1">
      <c r="A179" s="18" t="s">
        <v>1111</v>
      </c>
      <c r="B179" s="18" t="s">
        <v>193</v>
      </c>
      <c r="C179" s="18" t="s">
        <v>226</v>
      </c>
      <c r="D179" s="18" t="s">
        <v>227</v>
      </c>
      <c r="E179" s="18" t="s">
        <v>1112</v>
      </c>
      <c r="F179" s="19" t="s">
        <v>1113</v>
      </c>
      <c r="G179" s="19" t="s">
        <v>913</v>
      </c>
      <c r="H179" s="24">
        <v>32</v>
      </c>
      <c r="I179" s="24">
        <v>22.4</v>
      </c>
      <c r="J179" s="24">
        <f>MAX(H179,ROUNDUP(I179,0))</f>
        <v>32.0</v>
      </c>
      <c r="K179" s="22">
        <f>IF(C179="covered",10.4,7.55)</f>
        <v>7.55</v>
      </c>
      <c r="L179" s="18" t="s">
        <v>1114</v>
      </c>
      <c r="M179" s="24">
        <v>32</v>
      </c>
      <c r="N179" s="22">
        <v>7.55</v>
      </c>
      <c r="O179" s="22">
        <v>241.6</v>
      </c>
      <c r="P179" s="22">
        <f>J179*K179</f>
        <v>241.6</v>
      </c>
      <c r="Q179" s="22">
        <f>IF(L179="","",N179-K179)</f>
        <v>0.0</v>
      </c>
      <c r="R179" s="24">
        <f>IF(L179="","",M179-J179)</f>
        <v>0.0</v>
      </c>
      <c r="S179" s="22">
        <f>IF(L179="",-P179,O179-P179)</f>
        <v>0.0</v>
      </c>
      <c r="T179" s="11" t="str">
        <f>IF(L179="","NO BILL IN SUPPLIED EXPORT",IF(ABS(Q179)&gt;0.001,"RATE EXCEPTION",IF(ABS(R179)&gt;0.001,"LENGTH EXCEPTION",IF(ABS(S179)&gt;0.01,"AMOUNT EXCEPTION","OK"))))</f>
        <v>OK</v>
      </c>
      <c r="U179" s="19" t="s">
        <v>1115</v>
      </c>
    </row>
    <row r="180" spans="1:21" ht="28" customHeight="1">
      <c r="A180" s="14" t="s">
        <v>1116</v>
      </c>
      <c r="B180" s="14" t="s">
        <v>193</v>
      </c>
      <c r="C180" s="14" t="s">
        <v>226</v>
      </c>
      <c r="D180" s="14" t="s">
        <v>227</v>
      </c>
      <c r="E180" s="14" t="s">
        <v>1117</v>
      </c>
      <c r="F180" s="15" t="s">
        <v>1118</v>
      </c>
      <c r="G180" s="15" t="s">
        <v>1119</v>
      </c>
      <c r="H180" s="24">
        <v>28</v>
      </c>
      <c r="I180" s="24">
        <v>59</v>
      </c>
      <c r="J180" s="24">
        <f>MAX(H180,ROUNDUP(I180,0))</f>
        <v>59</v>
      </c>
      <c r="K180" s="22">
        <f>IF(C180="covered",10.4,7.55)</f>
        <v>7.55</v>
      </c>
      <c r="L180" s="14" t="s">
        <v>1120</v>
      </c>
      <c r="M180" s="24">
        <v>59</v>
      </c>
      <c r="N180" s="22">
        <v>7.55</v>
      </c>
      <c r="O180" s="22">
        <v>445.45</v>
      </c>
      <c r="P180" s="22">
        <f>J180*K180</f>
        <v>445.45</v>
      </c>
      <c r="Q180" s="22">
        <f>IF(L180="","",N180-K180)</f>
        <v>0.0</v>
      </c>
      <c r="R180" s="24">
        <f>IF(L180="","",M180-J180)</f>
        <v>0.0</v>
      </c>
      <c r="S180" s="22">
        <f>IF(L180="",-P180,O180-P180)</f>
        <v>0.0</v>
      </c>
      <c r="T180" s="11" t="str">
        <f>IF(L180="","NO BILL IN SUPPLIED EXPORT",IF(ABS(Q180)&gt;0.001,"RATE EXCEPTION",IF(ABS(R180)&gt;0.001,"LENGTH EXCEPTION",IF(ABS(S180)&gt;0.01,"AMOUNT EXCEPTION","OK"))))</f>
        <v>OK</v>
      </c>
      <c r="U180" s="15" t="s">
        <v>1121</v>
      </c>
    </row>
    <row r="181" spans="1:21" ht="28" customHeight="1">
      <c r="A181" s="18" t="s">
        <v>1122</v>
      </c>
      <c r="B181" s="18" t="s">
        <v>193</v>
      </c>
      <c r="C181" s="18" t="s">
        <v>226</v>
      </c>
      <c r="D181" s="18" t="s">
        <v>227</v>
      </c>
      <c r="E181" s="18" t="s">
        <v>1123</v>
      </c>
      <c r="F181" s="19" t="s">
        <v>1124</v>
      </c>
      <c r="G181" s="19" t="s">
        <v>600</v>
      </c>
      <c r="H181" s="24">
        <v>36</v>
      </c>
      <c r="I181" s="24">
        <v>33.5</v>
      </c>
      <c r="J181" s="24">
        <f>MAX(H181,ROUNDUP(I181,0))</f>
        <v>36.0</v>
      </c>
      <c r="K181" s="22">
        <f>IF(C181="covered",10.4,7.55)</f>
        <v>7.55</v>
      </c>
      <c r="L181" s="18" t="s">
        <v>1125</v>
      </c>
      <c r="M181" s="24">
        <v>36</v>
      </c>
      <c r="N181" s="22">
        <v>7.55</v>
      </c>
      <c r="O181" s="22">
        <v>271.8</v>
      </c>
      <c r="P181" s="22">
        <f>J181*K181</f>
        <v>271.8</v>
      </c>
      <c r="Q181" s="22">
        <f>IF(L181="","",N181-K181)</f>
        <v>0.0</v>
      </c>
      <c r="R181" s="24">
        <f>IF(L181="","",M181-J181)</f>
        <v>0.0</v>
      </c>
      <c r="S181" s="22">
        <f>IF(L181="",-P181,O181-P181)</f>
        <v>0.0</v>
      </c>
      <c r="T181" s="11" t="str">
        <f>IF(L181="","NO BILL IN SUPPLIED EXPORT",IF(ABS(Q181)&gt;0.001,"RATE EXCEPTION",IF(ABS(R181)&gt;0.001,"LENGTH EXCEPTION",IF(ABS(S181)&gt;0.01,"AMOUNT EXCEPTION","OK"))))</f>
        <v>OK</v>
      </c>
      <c r="U181" s="19" t="s">
        <v>1126</v>
      </c>
    </row>
    <row r="182" spans="1:21" ht="28" customHeight="1">
      <c r="A182" s="14" t="s">
        <v>1127</v>
      </c>
      <c r="B182" s="14" t="s">
        <v>193</v>
      </c>
      <c r="C182" s="14" t="s">
        <v>226</v>
      </c>
      <c r="D182" s="14" t="s">
        <v>227</v>
      </c>
      <c r="E182" s="14" t="s">
        <v>1128</v>
      </c>
      <c r="F182" s="15" t="s">
        <v>1129</v>
      </c>
      <c r="G182" s="15" t="s">
        <v>1130</v>
      </c>
      <c r="H182" s="24">
        <v>28</v>
      </c>
      <c r="I182" s="24">
        <v>29.3</v>
      </c>
      <c r="J182" s="24">
        <f>MAX(H182,ROUNDUP(I182,0))</f>
        <v>30</v>
      </c>
      <c r="K182" s="22">
        <f>IF(C182="covered",10.4,7.55)</f>
        <v>7.55</v>
      </c>
      <c r="L182" s="14" t="s">
        <v>1131</v>
      </c>
      <c r="M182" s="24">
        <v>30</v>
      </c>
      <c r="N182" s="22">
        <v>7.55</v>
      </c>
      <c r="O182" s="22">
        <v>226.5</v>
      </c>
      <c r="P182" s="22">
        <f>J182*K182</f>
        <v>226.5</v>
      </c>
      <c r="Q182" s="22">
        <f>IF(L182="","",N182-K182)</f>
        <v>0.0</v>
      </c>
      <c r="R182" s="24">
        <f>IF(L182="","",M182-J182)</f>
        <v>0.0</v>
      </c>
      <c r="S182" s="22">
        <f>IF(L182="",-P182,O182-P182)</f>
        <v>0.0</v>
      </c>
      <c r="T182" s="11" t="str">
        <f>IF(L182="","NO BILL IN SUPPLIED EXPORT",IF(ABS(Q182)&gt;0.001,"RATE EXCEPTION",IF(ABS(R182)&gt;0.001,"LENGTH EXCEPTION",IF(ABS(S182)&gt;0.01,"AMOUNT EXCEPTION","OK"))))</f>
        <v>OK</v>
      </c>
      <c r="U182" s="15" t="s">
        <v>1132</v>
      </c>
    </row>
    <row r="183" spans="1:21" ht="28" customHeight="1">
      <c r="A183" s="18" t="s">
        <v>1133</v>
      </c>
      <c r="B183" s="18" t="s">
        <v>193</v>
      </c>
      <c r="C183" s="18" t="s">
        <v>226</v>
      </c>
      <c r="D183" s="18" t="s">
        <v>227</v>
      </c>
      <c r="E183" s="18" t="s">
        <v>1134</v>
      </c>
      <c r="F183" s="19" t="s">
        <v>1135</v>
      </c>
      <c r="G183" s="19" t="s">
        <v>388</v>
      </c>
      <c r="H183" s="24">
        <v>80</v>
      </c>
      <c r="I183" s="24">
        <v>49.7</v>
      </c>
      <c r="J183" s="24">
        <f>MAX(H183,ROUNDUP(I183,0))</f>
        <v>80.0</v>
      </c>
      <c r="K183" s="22">
        <f>IF(C183="covered",10.4,7.55)</f>
        <v>7.55</v>
      </c>
      <c r="L183" s="18" t="s">
        <v>1136</v>
      </c>
      <c r="M183" s="24">
        <v>80</v>
      </c>
      <c r="N183" s="22">
        <v>7.55</v>
      </c>
      <c r="O183" s="22">
        <v>604</v>
      </c>
      <c r="P183" s="22">
        <f>J183*K183</f>
        <v>604.0</v>
      </c>
      <c r="Q183" s="22">
        <f>IF(L183="","",N183-K183)</f>
        <v>0.0</v>
      </c>
      <c r="R183" s="24">
        <f>IF(L183="","",M183-J183)</f>
        <v>0.0</v>
      </c>
      <c r="S183" s="22">
        <f>IF(L183="",-P183,O183-P183)</f>
        <v>0.0</v>
      </c>
      <c r="T183" s="11" t="str">
        <f>IF(L183="","NO BILL IN SUPPLIED EXPORT",IF(ABS(Q183)&gt;0.001,"RATE EXCEPTION",IF(ABS(R183)&gt;0.001,"LENGTH EXCEPTION",IF(ABS(S183)&gt;0.01,"AMOUNT EXCEPTION","OK"))))</f>
        <v>OK</v>
      </c>
      <c r="U183" s="19" t="s">
        <v>1137</v>
      </c>
    </row>
    <row r="184" spans="1:21" ht="28" customHeight="1">
      <c r="A184" s="14" t="s">
        <v>1138</v>
      </c>
      <c r="B184" s="14" t="s">
        <v>193</v>
      </c>
      <c r="C184" s="14" t="s">
        <v>226</v>
      </c>
      <c r="D184" s="14" t="s">
        <v>227</v>
      </c>
      <c r="E184" s="14" t="s">
        <v>1139</v>
      </c>
      <c r="F184" s="15" t="s">
        <v>1140</v>
      </c>
      <c r="G184" s="15" t="s">
        <v>436</v>
      </c>
      <c r="H184" s="24">
        <v>70</v>
      </c>
      <c r="I184" s="24">
        <v>58.3</v>
      </c>
      <c r="J184" s="24">
        <f>MAX(H184,ROUNDUP(I184,0))</f>
        <v>70.0</v>
      </c>
      <c r="K184" s="22">
        <f>IF(C184="covered",10.4,7.55)</f>
        <v>7.55</v>
      </c>
      <c r="L184" s="14" t="s">
        <v>1141</v>
      </c>
      <c r="M184" s="24">
        <v>70</v>
      </c>
      <c r="N184" s="22">
        <v>7.55</v>
      </c>
      <c r="O184" s="22">
        <v>528.5</v>
      </c>
      <c r="P184" s="22">
        <f>J184*K184</f>
        <v>528.5</v>
      </c>
      <c r="Q184" s="22">
        <f>IF(L184="","",N184-K184)</f>
        <v>0.0</v>
      </c>
      <c r="R184" s="24">
        <f>IF(L184="","",M184-J184)</f>
        <v>0.0</v>
      </c>
      <c r="S184" s="22">
        <f>IF(L184="",-P184,O184-P184)</f>
        <v>0.0</v>
      </c>
      <c r="T184" s="11" t="str">
        <f>IF(L184="","NO BILL IN SUPPLIED EXPORT",IF(ABS(Q184)&gt;0.001,"RATE EXCEPTION",IF(ABS(R184)&gt;0.001,"LENGTH EXCEPTION",IF(ABS(S184)&gt;0.01,"AMOUNT EXCEPTION","OK"))))</f>
        <v>OK</v>
      </c>
      <c r="U184" s="15" t="s">
        <v>1142</v>
      </c>
    </row>
    <row r="185" spans="1:21" ht="28" customHeight="1">
      <c r="A185" s="18" t="s">
        <v>1143</v>
      </c>
      <c r="B185" s="18" t="s">
        <v>193</v>
      </c>
      <c r="C185" s="18" t="s">
        <v>226</v>
      </c>
      <c r="D185" s="18" t="s">
        <v>227</v>
      </c>
      <c r="E185" s="18" t="s">
        <v>1144</v>
      </c>
      <c r="F185" s="19" t="s">
        <v>1145</v>
      </c>
      <c r="G185" s="19" t="s">
        <v>341</v>
      </c>
      <c r="H185" s="24">
        <v>28</v>
      </c>
      <c r="I185" s="24">
        <v>26.3</v>
      </c>
      <c r="J185" s="24">
        <f>MAX(H185,ROUNDUP(I185,0))</f>
        <v>28.0</v>
      </c>
      <c r="K185" s="22">
        <f>IF(C185="covered",10.4,7.55)</f>
        <v>7.55</v>
      </c>
      <c r="L185" s="18" t="s">
        <v>1146</v>
      </c>
      <c r="M185" s="24">
        <v>28</v>
      </c>
      <c r="N185" s="22">
        <v>7.55</v>
      </c>
      <c r="O185" s="22">
        <v>211.4</v>
      </c>
      <c r="P185" s="22">
        <f>J185*K185</f>
        <v>211.4</v>
      </c>
      <c r="Q185" s="22">
        <f>IF(L185="","",N185-K185)</f>
        <v>0.0</v>
      </c>
      <c r="R185" s="24">
        <f>IF(L185="","",M185-J185)</f>
        <v>0.0</v>
      </c>
      <c r="S185" s="22">
        <f>IF(L185="",-P185,O185-P185)</f>
        <v>0.0</v>
      </c>
      <c r="T185" s="11" t="str">
        <f>IF(L185="","NO BILL IN SUPPLIED EXPORT",IF(ABS(Q185)&gt;0.001,"RATE EXCEPTION",IF(ABS(R185)&gt;0.001,"LENGTH EXCEPTION",IF(ABS(S185)&gt;0.01,"AMOUNT EXCEPTION","OK"))))</f>
        <v>OK</v>
      </c>
      <c r="U185" s="19" t="s">
        <v>1147</v>
      </c>
    </row>
    <row r="186" spans="1:21" ht="28" customHeight="1">
      <c r="A186" s="14" t="s">
        <v>1148</v>
      </c>
      <c r="B186" s="14" t="s">
        <v>193</v>
      </c>
      <c r="C186" s="14" t="s">
        <v>226</v>
      </c>
      <c r="D186" s="14" t="s">
        <v>227</v>
      </c>
      <c r="E186" s="14" t="s">
        <v>1149</v>
      </c>
      <c r="F186" s="15" t="s">
        <v>1150</v>
      </c>
      <c r="G186" s="15" t="s">
        <v>783</v>
      </c>
      <c r="H186" s="24">
        <v>70</v>
      </c>
      <c r="I186" s="24">
        <v>61</v>
      </c>
      <c r="J186" s="24">
        <f>MAX(H186,ROUNDUP(I186,0))</f>
        <v>70.0</v>
      </c>
      <c r="K186" s="22">
        <f>IF(C186="covered",10.4,7.55)</f>
        <v>7.55</v>
      </c>
      <c r="L186" s="14" t="s">
        <v>1151</v>
      </c>
      <c r="M186" s="24">
        <v>70</v>
      </c>
      <c r="N186" s="22">
        <v>7.55</v>
      </c>
      <c r="O186" s="22">
        <v>528.5</v>
      </c>
      <c r="P186" s="22">
        <f>J186*K186</f>
        <v>528.5</v>
      </c>
      <c r="Q186" s="22">
        <f>IF(L186="","",N186-K186)</f>
        <v>0.0</v>
      </c>
      <c r="R186" s="24">
        <f>IF(L186="","",M186-J186)</f>
        <v>0.0</v>
      </c>
      <c r="S186" s="22">
        <f>IF(L186="",-P186,O186-P186)</f>
        <v>0.0</v>
      </c>
      <c r="T186" s="11" t="str">
        <f>IF(L186="","NO BILL IN SUPPLIED EXPORT",IF(ABS(Q186)&gt;0.001,"RATE EXCEPTION",IF(ABS(R186)&gt;0.001,"LENGTH EXCEPTION",IF(ABS(S186)&gt;0.01,"AMOUNT EXCEPTION","OK"))))</f>
        <v>OK</v>
      </c>
      <c r="U186" s="15" t="s">
        <v>1152</v>
      </c>
    </row>
    <row r="187" spans="1:21" ht="28" customHeight="1">
      <c r="A187" s="18" t="s">
        <v>1153</v>
      </c>
      <c r="B187" s="18" t="s">
        <v>193</v>
      </c>
      <c r="C187" s="18" t="s">
        <v>226</v>
      </c>
      <c r="D187" s="18" t="s">
        <v>227</v>
      </c>
      <c r="E187" s="18" t="s">
        <v>1154</v>
      </c>
      <c r="F187" s="19" t="s">
        <v>1155</v>
      </c>
      <c r="G187" s="19" t="s">
        <v>1156</v>
      </c>
      <c r="H187" s="24">
        <v>28</v>
      </c>
      <c r="I187" s="24">
        <v>26.4</v>
      </c>
      <c r="J187" s="24">
        <f>MAX(H187,ROUNDUP(I187,0))</f>
        <v>28.0</v>
      </c>
      <c r="K187" s="22">
        <f>IF(C187="covered",10.4,7.55)</f>
        <v>7.55</v>
      </c>
      <c r="L187" s="18" t="s">
        <v>1157</v>
      </c>
      <c r="M187" s="24">
        <v>28</v>
      </c>
      <c r="N187" s="22">
        <v>7.55</v>
      </c>
      <c r="O187" s="22">
        <v>211.4</v>
      </c>
      <c r="P187" s="22">
        <f>J187*K187</f>
        <v>211.4</v>
      </c>
      <c r="Q187" s="22">
        <f>IF(L187="","",N187-K187)</f>
        <v>0.0</v>
      </c>
      <c r="R187" s="24">
        <f>IF(L187="","",M187-J187)</f>
        <v>0.0</v>
      </c>
      <c r="S187" s="22">
        <f>IF(L187="",-P187,O187-P187)</f>
        <v>0.0</v>
      </c>
      <c r="T187" s="11" t="str">
        <f>IF(L187="","NO BILL IN SUPPLIED EXPORT",IF(ABS(Q187)&gt;0.001,"RATE EXCEPTION",IF(ABS(R187)&gt;0.001,"LENGTH EXCEPTION",IF(ABS(S187)&gt;0.01,"AMOUNT EXCEPTION","OK"))))</f>
        <v>OK</v>
      </c>
      <c r="U187" s="19" t="s">
        <v>1158</v>
      </c>
    </row>
    <row r="188" spans="1:21" ht="28" customHeight="1">
      <c r="A188" s="14" t="s">
        <v>1159</v>
      </c>
      <c r="B188" s="14" t="s">
        <v>193</v>
      </c>
      <c r="C188" s="14" t="s">
        <v>226</v>
      </c>
      <c r="D188" s="14" t="s">
        <v>227</v>
      </c>
      <c r="E188" s="14" t="s">
        <v>1160</v>
      </c>
      <c r="F188" s="15" t="s">
        <v>1161</v>
      </c>
      <c r="G188" s="15" t="s">
        <v>1162</v>
      </c>
      <c r="H188" s="24">
        <v>45</v>
      </c>
      <c r="I188" s="24">
        <v>54.3</v>
      </c>
      <c r="J188" s="24">
        <f>MAX(H188,ROUNDUP(I188,0))</f>
        <v>55</v>
      </c>
      <c r="K188" s="22">
        <f>IF(C188="covered",10.4,7.55)</f>
        <v>7.55</v>
      </c>
      <c r="L188" s="14" t="s">
        <v>1163</v>
      </c>
      <c r="M188" s="24">
        <v>55</v>
      </c>
      <c r="N188" s="22">
        <v>7.55</v>
      </c>
      <c r="O188" s="22">
        <v>415.25</v>
      </c>
      <c r="P188" s="22">
        <f>J188*K188</f>
        <v>415.25</v>
      </c>
      <c r="Q188" s="22">
        <f>IF(L188="","",N188-K188)</f>
        <v>0.0</v>
      </c>
      <c r="R188" s="24">
        <f>IF(L188="","",M188-J188)</f>
        <v>0.0</v>
      </c>
      <c r="S188" s="22">
        <f>IF(L188="",-P188,O188-P188)</f>
        <v>0.0</v>
      </c>
      <c r="T188" s="11" t="str">
        <f>IF(L188="","NO BILL IN SUPPLIED EXPORT",IF(ABS(Q188)&gt;0.001,"RATE EXCEPTION",IF(ABS(R188)&gt;0.001,"LENGTH EXCEPTION",IF(ABS(S188)&gt;0.01,"AMOUNT EXCEPTION","OK"))))</f>
        <v>OK</v>
      </c>
      <c r="U188" s="15" t="s">
        <v>1164</v>
      </c>
    </row>
    <row r="189" spans="1:21" ht="28" customHeight="1">
      <c r="A189" s="18" t="s">
        <v>1165</v>
      </c>
      <c r="B189" s="18" t="s">
        <v>193</v>
      </c>
      <c r="C189" s="18" t="s">
        <v>226</v>
      </c>
      <c r="D189" s="18" t="s">
        <v>227</v>
      </c>
      <c r="E189" s="18" t="s">
        <v>1166</v>
      </c>
      <c r="F189" s="19" t="s">
        <v>1167</v>
      </c>
      <c r="G189" s="19" t="s">
        <v>1168</v>
      </c>
      <c r="H189" s="24">
        <v>40</v>
      </c>
      <c r="I189" s="24">
        <v>30.1</v>
      </c>
      <c r="J189" s="24">
        <f>MAX(H189,ROUNDUP(I189,0))</f>
        <v>40.0</v>
      </c>
      <c r="K189" s="22">
        <f>IF(C189="covered",10.4,7.55)</f>
        <v>7.55</v>
      </c>
      <c r="L189" s="18" t="s">
        <v>1169</v>
      </c>
      <c r="M189" s="24">
        <v>40</v>
      </c>
      <c r="N189" s="22">
        <v>7.55</v>
      </c>
      <c r="O189" s="22">
        <v>302</v>
      </c>
      <c r="P189" s="22">
        <f>J189*K189</f>
        <v>302.0</v>
      </c>
      <c r="Q189" s="22">
        <f>IF(L189="","",N189-K189)</f>
        <v>0.0</v>
      </c>
      <c r="R189" s="24">
        <f>IF(L189="","",M189-J189)</f>
        <v>0.0</v>
      </c>
      <c r="S189" s="22">
        <f>IF(L189="",-P189,O189-P189)</f>
        <v>0.0</v>
      </c>
      <c r="T189" s="11" t="str">
        <f>IF(L189="","NO BILL IN SUPPLIED EXPORT",IF(ABS(Q189)&gt;0.001,"RATE EXCEPTION",IF(ABS(R189)&gt;0.001,"LENGTH EXCEPTION",IF(ABS(S189)&gt;0.01,"AMOUNT EXCEPTION","OK"))))</f>
        <v>OK</v>
      </c>
      <c r="U189" s="19" t="s">
        <v>1170</v>
      </c>
    </row>
    <row r="190" spans="1:21" ht="28" customHeight="1">
      <c r="A190" s="14" t="s">
        <v>1171</v>
      </c>
      <c r="B190" s="14" t="s">
        <v>193</v>
      </c>
      <c r="C190" s="14" t="s">
        <v>226</v>
      </c>
      <c r="D190" s="14" t="s">
        <v>227</v>
      </c>
      <c r="E190" s="14" t="s">
        <v>1172</v>
      </c>
      <c r="F190" s="15" t="s">
        <v>1173</v>
      </c>
      <c r="G190" s="15" t="s">
        <v>1174</v>
      </c>
      <c r="H190" s="24">
        <v>50</v>
      </c>
      <c r="I190" s="24">
        <v>41.7</v>
      </c>
      <c r="J190" s="24">
        <f>MAX(H190,ROUNDUP(I190,0))</f>
        <v>50.0</v>
      </c>
      <c r="K190" s="22">
        <f>IF(C190="covered",10.4,7.55)</f>
        <v>7.55</v>
      </c>
      <c r="L190" s="14" t="s">
        <v>1175</v>
      </c>
      <c r="M190" s="24">
        <v>50</v>
      </c>
      <c r="N190" s="22">
        <v>7.55</v>
      </c>
      <c r="O190" s="22">
        <v>377.5</v>
      </c>
      <c r="P190" s="22">
        <f>J190*K190</f>
        <v>377.5</v>
      </c>
      <c r="Q190" s="22">
        <f>IF(L190="","",N190-K190)</f>
        <v>0.0</v>
      </c>
      <c r="R190" s="24">
        <f>IF(L190="","",M190-J190)</f>
        <v>0.0</v>
      </c>
      <c r="S190" s="22">
        <f>IF(L190="",-P190,O190-P190)</f>
        <v>0.0</v>
      </c>
      <c r="T190" s="11" t="str">
        <f>IF(L190="","NO BILL IN SUPPLIED EXPORT",IF(ABS(Q190)&gt;0.001,"RATE EXCEPTION",IF(ABS(R190)&gt;0.001,"LENGTH EXCEPTION",IF(ABS(S190)&gt;0.01,"AMOUNT EXCEPTION","OK"))))</f>
        <v>OK</v>
      </c>
      <c r="U190" s="15" t="s">
        <v>1176</v>
      </c>
    </row>
    <row r="191" spans="1:21" ht="28" customHeight="1">
      <c r="A191" s="18" t="s">
        <v>1177</v>
      </c>
      <c r="B191" s="18" t="s">
        <v>193</v>
      </c>
      <c r="C191" s="18" t="s">
        <v>226</v>
      </c>
      <c r="D191" s="18" t="s">
        <v>227</v>
      </c>
      <c r="E191" s="18" t="s">
        <v>1178</v>
      </c>
      <c r="F191" s="19" t="s">
        <v>1179</v>
      </c>
      <c r="G191" s="19" t="s">
        <v>1180</v>
      </c>
      <c r="H191" s="24">
        <v>80</v>
      </c>
      <c r="I191" s="24">
        <v>39.4</v>
      </c>
      <c r="J191" s="24">
        <f>MAX(H191,ROUNDUP(I191,0))</f>
        <v>80.0</v>
      </c>
      <c r="K191" s="22">
        <f>IF(C191="covered",10.4,7.55)</f>
        <v>7.55</v>
      </c>
      <c r="L191" s="18" t="s">
        <v>1181</v>
      </c>
      <c r="M191" s="24">
        <v>80</v>
      </c>
      <c r="N191" s="22">
        <v>7.55</v>
      </c>
      <c r="O191" s="22">
        <v>604</v>
      </c>
      <c r="P191" s="22">
        <f>J191*K191</f>
        <v>604.0</v>
      </c>
      <c r="Q191" s="22">
        <f>IF(L191="","",N191-K191)</f>
        <v>0.0</v>
      </c>
      <c r="R191" s="24">
        <f>IF(L191="","",M191-J191)</f>
        <v>0.0</v>
      </c>
      <c r="S191" s="22">
        <f>IF(L191="",-P191,O191-P191)</f>
        <v>0.0</v>
      </c>
      <c r="T191" s="11" t="str">
        <f>IF(L191="","NO BILL IN SUPPLIED EXPORT",IF(ABS(Q191)&gt;0.001,"RATE EXCEPTION",IF(ABS(R191)&gt;0.001,"LENGTH EXCEPTION",IF(ABS(S191)&gt;0.01,"AMOUNT EXCEPTION","OK"))))</f>
        <v>OK</v>
      </c>
      <c r="U191" s="19" t="s">
        <v>1182</v>
      </c>
    </row>
    <row r="192" spans="1:21" ht="28" customHeight="1">
      <c r="A192" s="14" t="s">
        <v>1183</v>
      </c>
      <c r="B192" s="14" t="s">
        <v>193</v>
      </c>
      <c r="C192" s="14" t="s">
        <v>226</v>
      </c>
      <c r="D192" s="14" t="s">
        <v>227</v>
      </c>
      <c r="E192" s="14" t="s">
        <v>1184</v>
      </c>
      <c r="F192" s="15" t="s">
        <v>1185</v>
      </c>
      <c r="G192" s="15" t="s">
        <v>1186</v>
      </c>
      <c r="H192" s="24">
        <v>24</v>
      </c>
      <c r="I192" s="24">
        <v>35.5</v>
      </c>
      <c r="J192" s="24">
        <f>MAX(H192,ROUNDUP(I192,0))</f>
        <v>36</v>
      </c>
      <c r="K192" s="22">
        <f>IF(C192="covered",10.4,7.55)</f>
        <v>7.55</v>
      </c>
      <c r="L192" s="14" t="s">
        <v>1187</v>
      </c>
      <c r="M192" s="24">
        <v>36</v>
      </c>
      <c r="N192" s="22">
        <v>7.55</v>
      </c>
      <c r="O192" s="22">
        <v>271.8</v>
      </c>
      <c r="P192" s="22">
        <f>J192*K192</f>
        <v>271.8</v>
      </c>
      <c r="Q192" s="22">
        <f>IF(L192="","",N192-K192)</f>
        <v>0.0</v>
      </c>
      <c r="R192" s="24">
        <f>IF(L192="","",M192-J192)</f>
        <v>0.0</v>
      </c>
      <c r="S192" s="22">
        <f>IF(L192="",-P192,O192-P192)</f>
        <v>0.0</v>
      </c>
      <c r="T192" s="11" t="str">
        <f>IF(L192="","NO BILL IN SUPPLIED EXPORT",IF(ABS(Q192)&gt;0.001,"RATE EXCEPTION",IF(ABS(R192)&gt;0.001,"LENGTH EXCEPTION",IF(ABS(S192)&gt;0.01,"AMOUNT EXCEPTION","OK"))))</f>
        <v>OK</v>
      </c>
      <c r="U192" s="15" t="s">
        <v>1188</v>
      </c>
    </row>
    <row r="193" spans="1:21" ht="28" customHeight="1">
      <c r="A193" s="18" t="s">
        <v>1189</v>
      </c>
      <c r="B193" s="18" t="s">
        <v>193</v>
      </c>
      <c r="C193" s="18" t="s">
        <v>226</v>
      </c>
      <c r="D193" s="18" t="s">
        <v>227</v>
      </c>
      <c r="E193" s="18" t="s">
        <v>1190</v>
      </c>
      <c r="F193" s="19" t="s">
        <v>1191</v>
      </c>
      <c r="G193" s="19" t="s">
        <v>1192</v>
      </c>
      <c r="H193" s="24">
        <v>32</v>
      </c>
      <c r="I193" s="24">
        <v>54.1</v>
      </c>
      <c r="J193" s="24">
        <f>MAX(H193,ROUNDUP(I193,0))</f>
        <v>55</v>
      </c>
      <c r="K193" s="22">
        <f>IF(C193="covered",10.4,7.55)</f>
        <v>7.55</v>
      </c>
      <c r="L193" s="18" t="s">
        <v>1193</v>
      </c>
      <c r="M193" s="24">
        <v>55</v>
      </c>
      <c r="N193" s="22">
        <v>7.55</v>
      </c>
      <c r="O193" s="22">
        <v>415.25</v>
      </c>
      <c r="P193" s="22">
        <f>J193*K193</f>
        <v>415.25</v>
      </c>
      <c r="Q193" s="22">
        <f>IF(L193="","",N193-K193)</f>
        <v>0.0</v>
      </c>
      <c r="R193" s="24">
        <f>IF(L193="","",M193-J193)</f>
        <v>0.0</v>
      </c>
      <c r="S193" s="22">
        <f>IF(L193="",-P193,O193-P193)</f>
        <v>0.0</v>
      </c>
      <c r="T193" s="11" t="str">
        <f>IF(L193="","NO BILL IN SUPPLIED EXPORT",IF(ABS(Q193)&gt;0.001,"RATE EXCEPTION",IF(ABS(R193)&gt;0.001,"LENGTH EXCEPTION",IF(ABS(S193)&gt;0.01,"AMOUNT EXCEPTION","OK"))))</f>
        <v>OK</v>
      </c>
      <c r="U193" s="19" t="s">
        <v>1194</v>
      </c>
    </row>
    <row r="194" spans="1:21" ht="28" customHeight="1">
      <c r="A194" s="14" t="s">
        <v>1195</v>
      </c>
      <c r="B194" s="14" t="s">
        <v>193</v>
      </c>
      <c r="C194" s="14" t="s">
        <v>226</v>
      </c>
      <c r="D194" s="14" t="s">
        <v>227</v>
      </c>
      <c r="E194" s="14" t="s">
        <v>1196</v>
      </c>
      <c r="F194" s="15" t="s">
        <v>1197</v>
      </c>
      <c r="G194" s="15" t="s">
        <v>1198</v>
      </c>
      <c r="H194" s="24">
        <v>24</v>
      </c>
      <c r="I194" s="24">
        <v>35</v>
      </c>
      <c r="J194" s="24">
        <f>MAX(H194,ROUNDUP(I194,0))</f>
        <v>35</v>
      </c>
      <c r="K194" s="22">
        <f>IF(C194="covered",10.4,7.55)</f>
        <v>7.55</v>
      </c>
      <c r="L194" s="14" t="s">
        <v>1199</v>
      </c>
      <c r="M194" s="24">
        <v>35</v>
      </c>
      <c r="N194" s="22">
        <v>7.55</v>
      </c>
      <c r="O194" s="22">
        <v>264.25</v>
      </c>
      <c r="P194" s="22">
        <f>J194*K194</f>
        <v>264.25</v>
      </c>
      <c r="Q194" s="22">
        <f>IF(L194="","",N194-K194)</f>
        <v>0.0</v>
      </c>
      <c r="R194" s="24">
        <f>IF(L194="","",M194-J194)</f>
        <v>0.0</v>
      </c>
      <c r="S194" s="22">
        <f>IF(L194="",-P194,O194-P194)</f>
        <v>0.0</v>
      </c>
      <c r="T194" s="11" t="str">
        <f>IF(L194="","NO BILL IN SUPPLIED EXPORT",IF(ABS(Q194)&gt;0.001,"RATE EXCEPTION",IF(ABS(R194)&gt;0.001,"LENGTH EXCEPTION",IF(ABS(S194)&gt;0.01,"AMOUNT EXCEPTION","OK"))))</f>
        <v>OK</v>
      </c>
      <c r="U194" s="15" t="s">
        <v>1200</v>
      </c>
    </row>
    <row r="195" spans="1:21" ht="28" customHeight="1">
      <c r="A195" s="18" t="s">
        <v>1201</v>
      </c>
      <c r="B195" s="18" t="s">
        <v>193</v>
      </c>
      <c r="C195" s="18" t="s">
        <v>226</v>
      </c>
      <c r="D195" s="18" t="s">
        <v>227</v>
      </c>
      <c r="E195" s="18" t="s">
        <v>1202</v>
      </c>
      <c r="F195" s="19" t="s">
        <v>1203</v>
      </c>
      <c r="G195" s="19" t="s">
        <v>1204</v>
      </c>
      <c r="H195" s="24">
        <v>40</v>
      </c>
      <c r="I195" s="24">
        <v>28.5</v>
      </c>
      <c r="J195" s="24">
        <f>MAX(H195,ROUNDUP(I195,0))</f>
        <v>40.0</v>
      </c>
      <c r="K195" s="22">
        <f>IF(C195="covered",10.4,7.55)</f>
        <v>7.55</v>
      </c>
      <c r="L195" s="18" t="s">
        <v>1205</v>
      </c>
      <c r="M195" s="24">
        <v>40</v>
      </c>
      <c r="N195" s="22">
        <v>7.55</v>
      </c>
      <c r="O195" s="22">
        <v>302</v>
      </c>
      <c r="P195" s="22">
        <f>J195*K195</f>
        <v>302.0</v>
      </c>
      <c r="Q195" s="22">
        <f>IF(L195="","",N195-K195)</f>
        <v>0.0</v>
      </c>
      <c r="R195" s="24">
        <f>IF(L195="","",M195-J195)</f>
        <v>0.0</v>
      </c>
      <c r="S195" s="22">
        <f>IF(L195="",-P195,O195-P195)</f>
        <v>0.0</v>
      </c>
      <c r="T195" s="11" t="str">
        <f>IF(L195="","NO BILL IN SUPPLIED EXPORT",IF(ABS(Q195)&gt;0.001,"RATE EXCEPTION",IF(ABS(R195)&gt;0.001,"LENGTH EXCEPTION",IF(ABS(S195)&gt;0.01,"AMOUNT EXCEPTION","OK"))))</f>
        <v>OK</v>
      </c>
      <c r="U195" s="19" t="s">
        <v>1206</v>
      </c>
    </row>
    <row r="196" spans="1:21" ht="28" customHeight="1">
      <c r="A196" s="14" t="s">
        <v>1207</v>
      </c>
      <c r="B196" s="14" t="s">
        <v>193</v>
      </c>
      <c r="C196" s="14" t="s">
        <v>226</v>
      </c>
      <c r="D196" s="14" t="s">
        <v>227</v>
      </c>
      <c r="E196" s="14" t="s">
        <v>1208</v>
      </c>
      <c r="F196" s="15" t="s">
        <v>1209</v>
      </c>
      <c r="G196" s="15" t="s">
        <v>1210</v>
      </c>
      <c r="H196" s="24">
        <v>60</v>
      </c>
      <c r="I196" s="24">
        <v>49.9</v>
      </c>
      <c r="J196" s="24">
        <f>MAX(H196,ROUNDUP(I196,0))</f>
        <v>60.0</v>
      </c>
      <c r="K196" s="22">
        <f>IF(C196="covered",10.4,7.55)</f>
        <v>7.55</v>
      </c>
      <c r="L196" s="14" t="s">
        <v>1211</v>
      </c>
      <c r="M196" s="24">
        <v>60</v>
      </c>
      <c r="N196" s="22">
        <v>7.55</v>
      </c>
      <c r="O196" s="22">
        <v>453</v>
      </c>
      <c r="P196" s="22">
        <f>J196*K196</f>
        <v>453.0</v>
      </c>
      <c r="Q196" s="22">
        <f>IF(L196="","",N196-K196)</f>
        <v>0.0</v>
      </c>
      <c r="R196" s="24">
        <f>IF(L196="","",M196-J196)</f>
        <v>0.0</v>
      </c>
      <c r="S196" s="22">
        <f>IF(L196="",-P196,O196-P196)</f>
        <v>0.0</v>
      </c>
      <c r="T196" s="11" t="str">
        <f>IF(L196="","NO BILL IN SUPPLIED EXPORT",IF(ABS(Q196)&gt;0.001,"RATE EXCEPTION",IF(ABS(R196)&gt;0.001,"LENGTH EXCEPTION",IF(ABS(S196)&gt;0.01,"AMOUNT EXCEPTION","OK"))))</f>
        <v>OK</v>
      </c>
      <c r="U196" s="15" t="s">
        <v>1212</v>
      </c>
    </row>
    <row r="197" spans="1:21" ht="28" customHeight="1">
      <c r="A197" s="18" t="s">
        <v>1213</v>
      </c>
      <c r="B197" s="18" t="s">
        <v>193</v>
      </c>
      <c r="C197" s="18" t="s">
        <v>226</v>
      </c>
      <c r="D197" s="18" t="s">
        <v>227</v>
      </c>
      <c r="E197" s="18" t="s">
        <v>1214</v>
      </c>
      <c r="F197" s="19" t="s">
        <v>1215</v>
      </c>
      <c r="G197" s="19" t="s">
        <v>1216</v>
      </c>
      <c r="H197" s="24">
        <v>32</v>
      </c>
      <c r="I197" s="24">
        <v>54.2</v>
      </c>
      <c r="J197" s="24">
        <f>MAX(H197,ROUNDUP(I197,0))</f>
        <v>55</v>
      </c>
      <c r="K197" s="22">
        <f>IF(C197="covered",10.4,7.55)</f>
        <v>7.55</v>
      </c>
      <c r="L197" s="18" t="s">
        <v>1217</v>
      </c>
      <c r="M197" s="24">
        <v>55</v>
      </c>
      <c r="N197" s="22">
        <v>7.55</v>
      </c>
      <c r="O197" s="22">
        <v>415.25</v>
      </c>
      <c r="P197" s="22">
        <f>J197*K197</f>
        <v>415.25</v>
      </c>
      <c r="Q197" s="22">
        <f>IF(L197="","",N197-K197)</f>
        <v>0.0</v>
      </c>
      <c r="R197" s="24">
        <f>IF(L197="","",M197-J197)</f>
        <v>0.0</v>
      </c>
      <c r="S197" s="22">
        <f>IF(L197="",-P197,O197-P197)</f>
        <v>0.0</v>
      </c>
      <c r="T197" s="11" t="str">
        <f>IF(L197="","NO BILL IN SUPPLIED EXPORT",IF(ABS(Q197)&gt;0.001,"RATE EXCEPTION",IF(ABS(R197)&gt;0.001,"LENGTH EXCEPTION",IF(ABS(S197)&gt;0.01,"AMOUNT EXCEPTION","OK"))))</f>
        <v>OK</v>
      </c>
      <c r="U197" s="19" t="s">
        <v>1218</v>
      </c>
    </row>
    <row r="198" spans="1:21" ht="28" customHeight="1">
      <c r="A198" s="14" t="s">
        <v>1219</v>
      </c>
      <c r="B198" s="14" t="s">
        <v>193</v>
      </c>
      <c r="C198" s="14" t="s">
        <v>226</v>
      </c>
      <c r="D198" s="14" t="s">
        <v>227</v>
      </c>
      <c r="E198" s="14" t="s">
        <v>1220</v>
      </c>
      <c r="F198" s="15" t="s">
        <v>1221</v>
      </c>
      <c r="G198" s="15" t="s">
        <v>1222</v>
      </c>
      <c r="H198" s="24">
        <v>28</v>
      </c>
      <c r="I198" s="24">
        <v>37.9</v>
      </c>
      <c r="J198" s="24">
        <f>MAX(H198,ROUNDUP(I198,0))</f>
        <v>38</v>
      </c>
      <c r="K198" s="22">
        <f>IF(C198="covered",10.4,7.55)</f>
        <v>7.55</v>
      </c>
      <c r="L198" s="14" t="s">
        <v>1223</v>
      </c>
      <c r="M198" s="24">
        <v>38</v>
      </c>
      <c r="N198" s="22">
        <v>7.55</v>
      </c>
      <c r="O198" s="22">
        <v>286.9</v>
      </c>
      <c r="P198" s="22">
        <f>J198*K198</f>
        <v>286.9</v>
      </c>
      <c r="Q198" s="22">
        <f>IF(L198="","",N198-K198)</f>
        <v>0.0</v>
      </c>
      <c r="R198" s="24">
        <f>IF(L198="","",M198-J198)</f>
        <v>0.0</v>
      </c>
      <c r="S198" s="22">
        <f>IF(L198="",-P198,O198-P198)</f>
        <v>0.0</v>
      </c>
      <c r="T198" s="11" t="str">
        <f>IF(L198="","NO BILL IN SUPPLIED EXPORT",IF(ABS(Q198)&gt;0.001,"RATE EXCEPTION",IF(ABS(R198)&gt;0.001,"LENGTH EXCEPTION",IF(ABS(S198)&gt;0.01,"AMOUNT EXCEPTION","OK"))))</f>
        <v>OK</v>
      </c>
      <c r="U198" s="15" t="s">
        <v>1224</v>
      </c>
    </row>
    <row r="199" spans="1:21" ht="28" customHeight="1">
      <c r="A199" s="18" t="s">
        <v>1225</v>
      </c>
      <c r="B199" s="18" t="s">
        <v>193</v>
      </c>
      <c r="C199" s="18" t="s">
        <v>226</v>
      </c>
      <c r="D199" s="18" t="s">
        <v>227</v>
      </c>
      <c r="E199" s="18" t="s">
        <v>1226</v>
      </c>
      <c r="F199" s="19" t="s">
        <v>1227</v>
      </c>
      <c r="G199" s="19" t="s">
        <v>1228</v>
      </c>
      <c r="H199" s="24">
        <v>80</v>
      </c>
      <c r="I199" s="24">
        <v>46.8</v>
      </c>
      <c r="J199" s="24">
        <f>MAX(H199,ROUNDUP(I199,0))</f>
        <v>80.0</v>
      </c>
      <c r="K199" s="22">
        <f>IF(C199="covered",10.4,7.55)</f>
        <v>7.55</v>
      </c>
      <c r="L199" s="18" t="s">
        <v>1229</v>
      </c>
      <c r="M199" s="24">
        <v>80</v>
      </c>
      <c r="N199" s="22">
        <v>7.55</v>
      </c>
      <c r="O199" s="22">
        <v>604</v>
      </c>
      <c r="P199" s="22">
        <f>J199*K199</f>
        <v>604.0</v>
      </c>
      <c r="Q199" s="22">
        <f>IF(L199="","",N199-K199)</f>
        <v>0.0</v>
      </c>
      <c r="R199" s="24">
        <f>IF(L199="","",M199-J199)</f>
        <v>0.0</v>
      </c>
      <c r="S199" s="22">
        <f>IF(L199="",-P199,O199-P199)</f>
        <v>0.0</v>
      </c>
      <c r="T199" s="11" t="str">
        <f>IF(L199="","NO BILL IN SUPPLIED EXPORT",IF(ABS(Q199)&gt;0.001,"RATE EXCEPTION",IF(ABS(R199)&gt;0.001,"LENGTH EXCEPTION",IF(ABS(S199)&gt;0.01,"AMOUNT EXCEPTION","OK"))))</f>
        <v>OK</v>
      </c>
      <c r="U199" s="19" t="s">
        <v>1230</v>
      </c>
    </row>
    <row r="200" spans="1:21" ht="28" customHeight="1">
      <c r="A200" s="14" t="s">
        <v>1231</v>
      </c>
      <c r="B200" s="14" t="s">
        <v>193</v>
      </c>
      <c r="C200" s="14" t="s">
        <v>226</v>
      </c>
      <c r="D200" s="14" t="s">
        <v>227</v>
      </c>
      <c r="E200" s="14" t="s">
        <v>1232</v>
      </c>
      <c r="F200" s="15" t="s">
        <v>1233</v>
      </c>
      <c r="G200" s="15" t="s">
        <v>1234</v>
      </c>
      <c r="H200" s="24">
        <v>24</v>
      </c>
      <c r="I200" s="24">
        <v>26.2</v>
      </c>
      <c r="J200" s="24">
        <f>MAX(H200,ROUNDUP(I200,0))</f>
        <v>27</v>
      </c>
      <c r="K200" s="22">
        <f>IF(C200="covered",10.4,7.55)</f>
        <v>7.55</v>
      </c>
      <c r="L200" s="14" t="s">
        <v>1235</v>
      </c>
      <c r="M200" s="24">
        <v>27</v>
      </c>
      <c r="N200" s="22">
        <v>7.55</v>
      </c>
      <c r="O200" s="22">
        <v>203.85</v>
      </c>
      <c r="P200" s="22">
        <f>J200*K200</f>
        <v>203.85</v>
      </c>
      <c r="Q200" s="22">
        <f>IF(L200="","",N200-K200)</f>
        <v>0.0</v>
      </c>
      <c r="R200" s="24">
        <f>IF(L200="","",M200-J200)</f>
        <v>0.0</v>
      </c>
      <c r="S200" s="22">
        <f>IF(L200="",-P200,O200-P200)</f>
        <v>0.0</v>
      </c>
      <c r="T200" s="11" t="str">
        <f>IF(L200="","NO BILL IN SUPPLIED EXPORT",IF(ABS(Q200)&gt;0.001,"RATE EXCEPTION",IF(ABS(R200)&gt;0.001,"LENGTH EXCEPTION",IF(ABS(S200)&gt;0.01,"AMOUNT EXCEPTION","OK"))))</f>
        <v>OK</v>
      </c>
      <c r="U200" s="15" t="s">
        <v>1236</v>
      </c>
    </row>
    <row r="201" spans="1:21" ht="28" customHeight="1">
      <c r="A201" s="18" t="s">
        <v>1237</v>
      </c>
      <c r="B201" s="18" t="s">
        <v>193</v>
      </c>
      <c r="C201" s="18" t="s">
        <v>226</v>
      </c>
      <c r="D201" s="18" t="s">
        <v>227</v>
      </c>
      <c r="E201" s="18" t="s">
        <v>1238</v>
      </c>
      <c r="F201" s="19" t="s">
        <v>1239</v>
      </c>
      <c r="G201" s="19" t="s">
        <v>1240</v>
      </c>
      <c r="H201" s="24">
        <v>45</v>
      </c>
      <c r="I201" s="24">
        <v>38.3</v>
      </c>
      <c r="J201" s="24">
        <f>MAX(H201,ROUNDUP(I201,0))</f>
        <v>45.0</v>
      </c>
      <c r="K201" s="22">
        <f>IF(C201="covered",10.4,7.55)</f>
        <v>7.55</v>
      </c>
      <c r="L201" s="18" t="s">
        <v>1241</v>
      </c>
      <c r="M201" s="24">
        <v>45</v>
      </c>
      <c r="N201" s="22">
        <v>7.55</v>
      </c>
      <c r="O201" s="22">
        <v>339.75</v>
      </c>
      <c r="P201" s="22">
        <f>J201*K201</f>
        <v>339.75</v>
      </c>
      <c r="Q201" s="22">
        <f>IF(L201="","",N201-K201)</f>
        <v>0.0</v>
      </c>
      <c r="R201" s="24">
        <f>IF(L201="","",M201-J201)</f>
        <v>0.0</v>
      </c>
      <c r="S201" s="22">
        <f>IF(L201="",-P201,O201-P201)</f>
        <v>0.0</v>
      </c>
      <c r="T201" s="11" t="str">
        <f>IF(L201="","NO BILL IN SUPPLIED EXPORT",IF(ABS(Q201)&gt;0.001,"RATE EXCEPTION",IF(ABS(R201)&gt;0.001,"LENGTH EXCEPTION",IF(ABS(S201)&gt;0.01,"AMOUNT EXCEPTION","OK"))))</f>
        <v>OK</v>
      </c>
      <c r="U201" s="19" t="s">
        <v>1242</v>
      </c>
    </row>
    <row r="202" spans="1:21" ht="28" customHeight="1">
      <c r="A202" s="14" t="s">
        <v>1243</v>
      </c>
      <c r="B202" s="14" t="s">
        <v>193</v>
      </c>
      <c r="C202" s="14" t="s">
        <v>226</v>
      </c>
      <c r="D202" s="14" t="s">
        <v>227</v>
      </c>
      <c r="E202" s="14" t="s">
        <v>1244</v>
      </c>
      <c r="F202" s="15" t="s">
        <v>1245</v>
      </c>
      <c r="G202" s="15" t="s">
        <v>1246</v>
      </c>
      <c r="H202" s="24">
        <v>45</v>
      </c>
      <c r="I202" s="24">
        <v>47</v>
      </c>
      <c r="J202" s="24">
        <f>MAX(H202,ROUNDUP(I202,0))</f>
        <v>47</v>
      </c>
      <c r="K202" s="22">
        <f>IF(C202="covered",10.4,7.55)</f>
        <v>7.55</v>
      </c>
      <c r="L202" s="14" t="s">
        <v>1247</v>
      </c>
      <c r="M202" s="24">
        <v>47</v>
      </c>
      <c r="N202" s="22">
        <v>7.55</v>
      </c>
      <c r="O202" s="22">
        <v>354.85</v>
      </c>
      <c r="P202" s="22">
        <f>J202*K202</f>
        <v>354.84999999999997</v>
      </c>
      <c r="Q202" s="22">
        <f>IF(L202="","",N202-K202)</f>
        <v>0.0</v>
      </c>
      <c r="R202" s="24">
        <f>IF(L202="","",M202-J202)</f>
        <v>0.0</v>
      </c>
      <c r="S202" s="22">
        <f>IF(L202="",-P202,O202-P202)</f>
        <v>5.684341886080802e-14</v>
      </c>
      <c r="T202" s="11" t="str">
        <f>IF(L202="","NO BILL IN SUPPLIED EXPORT",IF(ABS(Q202)&gt;0.001,"RATE EXCEPTION",IF(ABS(R202)&gt;0.001,"LENGTH EXCEPTION",IF(ABS(S202)&gt;0.01,"AMOUNT EXCEPTION","OK"))))</f>
        <v>OK</v>
      </c>
      <c r="U202" s="15" t="s">
        <v>1248</v>
      </c>
    </row>
    <row r="203" spans="1:21" ht="28" customHeight="1">
      <c r="A203" s="18" t="s">
        <v>1249</v>
      </c>
      <c r="B203" s="18" t="s">
        <v>193</v>
      </c>
      <c r="C203" s="18" t="s">
        <v>226</v>
      </c>
      <c r="D203" s="18" t="s">
        <v>227</v>
      </c>
      <c r="E203" s="18" t="s">
        <v>1250</v>
      </c>
      <c r="F203" s="19" t="s">
        <v>1251</v>
      </c>
      <c r="G203" s="19" t="s">
        <v>541</v>
      </c>
      <c r="H203" s="24">
        <v>80</v>
      </c>
      <c r="I203" s="24">
        <v>58.9</v>
      </c>
      <c r="J203" s="24">
        <f>MAX(H203,ROUNDUP(I203,0))</f>
        <v>80.0</v>
      </c>
      <c r="K203" s="22">
        <f>IF(C203="covered",10.4,7.55)</f>
        <v>7.55</v>
      </c>
      <c r="L203" s="18" t="s">
        <v>1252</v>
      </c>
      <c r="M203" s="24">
        <v>80</v>
      </c>
      <c r="N203" s="22">
        <v>7.55</v>
      </c>
      <c r="O203" s="22">
        <v>604</v>
      </c>
      <c r="P203" s="22">
        <f>J203*K203</f>
        <v>604.0</v>
      </c>
      <c r="Q203" s="22">
        <f>IF(L203="","",N203-K203)</f>
        <v>0.0</v>
      </c>
      <c r="R203" s="24">
        <f>IF(L203="","",M203-J203)</f>
        <v>0.0</v>
      </c>
      <c r="S203" s="22">
        <f>IF(L203="",-P203,O203-P203)</f>
        <v>0.0</v>
      </c>
      <c r="T203" s="11" t="str">
        <f>IF(L203="","NO BILL IN SUPPLIED EXPORT",IF(ABS(Q203)&gt;0.001,"RATE EXCEPTION",IF(ABS(R203)&gt;0.001,"LENGTH EXCEPTION",IF(ABS(S203)&gt;0.01,"AMOUNT EXCEPTION","OK"))))</f>
        <v>OK</v>
      </c>
      <c r="U203" s="19" t="s">
        <v>1253</v>
      </c>
    </row>
    <row r="204" spans="1:21" ht="28" customHeight="1">
      <c r="A204" s="14" t="s">
        <v>1254</v>
      </c>
      <c r="B204" s="14" t="s">
        <v>193</v>
      </c>
      <c r="C204" s="14" t="s">
        <v>226</v>
      </c>
      <c r="D204" s="14" t="s">
        <v>227</v>
      </c>
      <c r="E204" s="14" t="s">
        <v>1255</v>
      </c>
      <c r="F204" s="15" t="s">
        <v>1256</v>
      </c>
      <c r="G204" s="15" t="s">
        <v>1257</v>
      </c>
      <c r="H204" s="24">
        <v>40</v>
      </c>
      <c r="I204" s="24">
        <v>52</v>
      </c>
      <c r="J204" s="24">
        <f>MAX(H204,ROUNDUP(I204,0))</f>
        <v>52</v>
      </c>
      <c r="K204" s="22">
        <f>IF(C204="covered",10.4,7.55)</f>
        <v>7.55</v>
      </c>
      <c r="L204" s="14" t="s">
        <v>1258</v>
      </c>
      <c r="M204" s="24">
        <v>52</v>
      </c>
      <c r="N204" s="22">
        <v>7.55</v>
      </c>
      <c r="O204" s="22">
        <v>392.6</v>
      </c>
      <c r="P204" s="22">
        <f>J204*K204</f>
        <v>392.59999999999997</v>
      </c>
      <c r="Q204" s="22">
        <f>IF(L204="","",N204-K204)</f>
        <v>0.0</v>
      </c>
      <c r="R204" s="24">
        <f>IF(L204="","",M204-J204)</f>
        <v>0.0</v>
      </c>
      <c r="S204" s="22">
        <f>IF(L204="",-P204,O204-P204)</f>
        <v>5.684341886080802e-14</v>
      </c>
      <c r="T204" s="11" t="str">
        <f>IF(L204="","NO BILL IN SUPPLIED EXPORT",IF(ABS(Q204)&gt;0.001,"RATE EXCEPTION",IF(ABS(R204)&gt;0.001,"LENGTH EXCEPTION",IF(ABS(S204)&gt;0.01,"AMOUNT EXCEPTION","OK"))))</f>
        <v>OK</v>
      </c>
      <c r="U204" s="15" t="s">
        <v>1259</v>
      </c>
    </row>
    <row r="205" spans="1:21" ht="28" customHeight="1">
      <c r="A205" s="18" t="s">
        <v>1260</v>
      </c>
      <c r="B205" s="18" t="s">
        <v>193</v>
      </c>
      <c r="C205" s="18" t="s">
        <v>226</v>
      </c>
      <c r="D205" s="18" t="s">
        <v>227</v>
      </c>
      <c r="E205" s="18" t="s">
        <v>1261</v>
      </c>
      <c r="F205" s="19" t="s">
        <v>1262</v>
      </c>
      <c r="G205" s="19" t="s">
        <v>692</v>
      </c>
      <c r="H205" s="24">
        <v>40</v>
      </c>
      <c r="I205" s="24">
        <v>34.8</v>
      </c>
      <c r="J205" s="24">
        <f>MAX(H205,ROUNDUP(I205,0))</f>
        <v>40.0</v>
      </c>
      <c r="K205" s="22">
        <f>IF(C205="covered",10.4,7.55)</f>
        <v>7.55</v>
      </c>
      <c r="L205" s="18" t="s">
        <v>1263</v>
      </c>
      <c r="M205" s="24">
        <v>40</v>
      </c>
      <c r="N205" s="22">
        <v>7.55</v>
      </c>
      <c r="O205" s="22">
        <v>302</v>
      </c>
      <c r="P205" s="22">
        <f>J205*K205</f>
        <v>302.0</v>
      </c>
      <c r="Q205" s="22">
        <f>IF(L205="","",N205-K205)</f>
        <v>0.0</v>
      </c>
      <c r="R205" s="24">
        <f>IF(L205="","",M205-J205)</f>
        <v>0.0</v>
      </c>
      <c r="S205" s="22">
        <f>IF(L205="",-P205,O205-P205)</f>
        <v>0.0</v>
      </c>
      <c r="T205" s="11" t="str">
        <f>IF(L205="","NO BILL IN SUPPLIED EXPORT",IF(ABS(Q205)&gt;0.001,"RATE EXCEPTION",IF(ABS(R205)&gt;0.001,"LENGTH EXCEPTION",IF(ABS(S205)&gt;0.01,"AMOUNT EXCEPTION","OK"))))</f>
        <v>OK</v>
      </c>
      <c r="U205" s="19" t="s">
        <v>1264</v>
      </c>
    </row>
    <row r="206" spans="1:21" ht="28" customHeight="1">
      <c r="A206" s="14" t="s">
        <v>1265</v>
      </c>
      <c r="B206" s="14" t="s">
        <v>193</v>
      </c>
      <c r="C206" s="14" t="s">
        <v>226</v>
      </c>
      <c r="D206" s="14" t="s">
        <v>227</v>
      </c>
      <c r="E206" s="14" t="s">
        <v>1266</v>
      </c>
      <c r="F206" s="15" t="s">
        <v>1267</v>
      </c>
      <c r="G206" s="15" t="s">
        <v>92</v>
      </c>
      <c r="H206" s="24">
        <v>45</v>
      </c>
      <c r="I206" s="24">
        <v>24.6</v>
      </c>
      <c r="J206" s="24">
        <f>MAX(H206,ROUNDUP(I206,0))</f>
        <v>45.0</v>
      </c>
      <c r="K206" s="22">
        <f>IF(C206="covered",10.4,7.55)</f>
        <v>7.55</v>
      </c>
      <c r="L206" s="14" t="s">
        <v>1268</v>
      </c>
      <c r="M206" s="24">
        <v>45</v>
      </c>
      <c r="N206" s="22">
        <v>7.55</v>
      </c>
      <c r="O206" s="22">
        <v>339.75</v>
      </c>
      <c r="P206" s="22">
        <f>J206*K206</f>
        <v>339.75</v>
      </c>
      <c r="Q206" s="22">
        <f>IF(L206="","",N206-K206)</f>
        <v>0.0</v>
      </c>
      <c r="R206" s="24">
        <f>IF(L206="","",M206-J206)</f>
        <v>0.0</v>
      </c>
      <c r="S206" s="22">
        <f>IF(L206="",-P206,O206-P206)</f>
        <v>0.0</v>
      </c>
      <c r="T206" s="11" t="str">
        <f>IF(L206="","NO BILL IN SUPPLIED EXPORT",IF(ABS(Q206)&gt;0.001,"RATE EXCEPTION",IF(ABS(R206)&gt;0.001,"LENGTH EXCEPTION",IF(ABS(S206)&gt;0.01,"AMOUNT EXCEPTION","OK"))))</f>
        <v>OK</v>
      </c>
      <c r="U206" s="15" t="s">
        <v>1269</v>
      </c>
    </row>
    <row r="207" spans="1:21" ht="28" customHeight="1">
      <c r="A207" s="18" t="s">
        <v>1270</v>
      </c>
      <c r="B207" s="18" t="s">
        <v>193</v>
      </c>
      <c r="C207" s="18" t="s">
        <v>226</v>
      </c>
      <c r="D207" s="18" t="s">
        <v>227</v>
      </c>
      <c r="E207" s="18" t="s">
        <v>1271</v>
      </c>
      <c r="F207" s="19" t="s">
        <v>1272</v>
      </c>
      <c r="G207" s="19" t="s">
        <v>1246</v>
      </c>
      <c r="H207" s="24">
        <v>70</v>
      </c>
      <c r="I207" s="24">
        <v>53.7</v>
      </c>
      <c r="J207" s="24">
        <f>MAX(H207,ROUNDUP(I207,0))</f>
        <v>70.0</v>
      </c>
      <c r="K207" s="22">
        <f>IF(C207="covered",10.4,7.55)</f>
        <v>7.55</v>
      </c>
      <c r="L207" s="18" t="s">
        <v>1273</v>
      </c>
      <c r="M207" s="24">
        <v>70</v>
      </c>
      <c r="N207" s="22">
        <v>7.55</v>
      </c>
      <c r="O207" s="22">
        <v>528.5</v>
      </c>
      <c r="P207" s="22">
        <f>J207*K207</f>
        <v>528.5</v>
      </c>
      <c r="Q207" s="22">
        <f>IF(L207="","",N207-K207)</f>
        <v>0.0</v>
      </c>
      <c r="R207" s="24">
        <f>IF(L207="","",M207-J207)</f>
        <v>0.0</v>
      </c>
      <c r="S207" s="22">
        <f>IF(L207="",-P207,O207-P207)</f>
        <v>0.0</v>
      </c>
      <c r="T207" s="11" t="str">
        <f>IF(L207="","NO BILL IN SUPPLIED EXPORT",IF(ABS(Q207)&gt;0.001,"RATE EXCEPTION",IF(ABS(R207)&gt;0.001,"LENGTH EXCEPTION",IF(ABS(S207)&gt;0.01,"AMOUNT EXCEPTION","OK"))))</f>
        <v>OK</v>
      </c>
      <c r="U207" s="19" t="s">
        <v>1274</v>
      </c>
    </row>
    <row r="208" spans="1:21" ht="28" customHeight="1">
      <c r="A208" s="14" t="s">
        <v>1275</v>
      </c>
      <c r="B208" s="14" t="s">
        <v>193</v>
      </c>
      <c r="C208" s="14" t="s">
        <v>226</v>
      </c>
      <c r="D208" s="14" t="s">
        <v>227</v>
      </c>
      <c r="E208" s="14" t="s">
        <v>1276</v>
      </c>
      <c r="F208" s="15" t="s">
        <v>1277</v>
      </c>
      <c r="G208" s="15" t="s">
        <v>929</v>
      </c>
      <c r="H208" s="24">
        <v>60</v>
      </c>
      <c r="I208" s="24">
        <v>24</v>
      </c>
      <c r="J208" s="24">
        <f>MAX(H208,ROUNDUP(I208,0))</f>
        <v>60.0</v>
      </c>
      <c r="K208" s="22">
        <f>IF(C208="covered",10.4,7.55)</f>
        <v>7.55</v>
      </c>
      <c r="L208" s="14" t="s">
        <v>1278</v>
      </c>
      <c r="M208" s="24">
        <v>60</v>
      </c>
      <c r="N208" s="22">
        <v>7.55</v>
      </c>
      <c r="O208" s="22">
        <v>453</v>
      </c>
      <c r="P208" s="22">
        <f>J208*K208</f>
        <v>453.0</v>
      </c>
      <c r="Q208" s="22">
        <f>IF(L208="","",N208-K208)</f>
        <v>0.0</v>
      </c>
      <c r="R208" s="24">
        <f>IF(L208="","",M208-J208)</f>
        <v>0.0</v>
      </c>
      <c r="S208" s="22">
        <f>IF(L208="",-P208,O208-P208)</f>
        <v>0.0</v>
      </c>
      <c r="T208" s="11" t="str">
        <f>IF(L208="","NO BILL IN SUPPLIED EXPORT",IF(ABS(Q208)&gt;0.001,"RATE EXCEPTION",IF(ABS(R208)&gt;0.001,"LENGTH EXCEPTION",IF(ABS(S208)&gt;0.01,"AMOUNT EXCEPTION","OK"))))</f>
        <v>OK</v>
      </c>
      <c r="U208" s="15" t="s">
        <v>1279</v>
      </c>
    </row>
    <row r="209" spans="1:21" ht="28" customHeight="1">
      <c r="A209" s="18" t="s">
        <v>1280</v>
      </c>
      <c r="B209" s="18" t="s">
        <v>193</v>
      </c>
      <c r="C209" s="18" t="s">
        <v>226</v>
      </c>
      <c r="D209" s="18" t="s">
        <v>227</v>
      </c>
      <c r="E209" s="18" t="s">
        <v>1281</v>
      </c>
      <c r="F209" s="19" t="s">
        <v>1282</v>
      </c>
      <c r="G209" s="19" t="s">
        <v>1283</v>
      </c>
      <c r="H209" s="24">
        <v>70</v>
      </c>
      <c r="I209" s="24">
        <v>47.4</v>
      </c>
      <c r="J209" s="24">
        <f>MAX(H209,ROUNDUP(I209,0))</f>
        <v>70.0</v>
      </c>
      <c r="K209" s="22">
        <f>IF(C209="covered",10.4,7.55)</f>
        <v>7.55</v>
      </c>
      <c r="L209" s="18" t="s">
        <v>1284</v>
      </c>
      <c r="M209" s="24">
        <v>70</v>
      </c>
      <c r="N209" s="22">
        <v>7.55</v>
      </c>
      <c r="O209" s="22">
        <v>528.5</v>
      </c>
      <c r="P209" s="22">
        <f>J209*K209</f>
        <v>528.5</v>
      </c>
      <c r="Q209" s="22">
        <f>IF(L209="","",N209-K209)</f>
        <v>0.0</v>
      </c>
      <c r="R209" s="24">
        <f>IF(L209="","",M209-J209)</f>
        <v>0.0</v>
      </c>
      <c r="S209" s="22">
        <f>IF(L209="",-P209,O209-P209)</f>
        <v>0.0</v>
      </c>
      <c r="T209" s="11" t="str">
        <f>IF(L209="","NO BILL IN SUPPLIED EXPORT",IF(ABS(Q209)&gt;0.001,"RATE EXCEPTION",IF(ABS(R209)&gt;0.001,"LENGTH EXCEPTION",IF(ABS(S209)&gt;0.01,"AMOUNT EXCEPTION","OK"))))</f>
        <v>OK</v>
      </c>
      <c r="U209" s="19" t="s">
        <v>1285</v>
      </c>
    </row>
    <row r="210" spans="1:21" ht="28" customHeight="1">
      <c r="A210" s="14" t="s">
        <v>1286</v>
      </c>
      <c r="B210" s="14" t="s">
        <v>193</v>
      </c>
      <c r="C210" s="14" t="s">
        <v>226</v>
      </c>
      <c r="D210" s="14" t="s">
        <v>227</v>
      </c>
      <c r="E210" s="14" t="s">
        <v>1287</v>
      </c>
      <c r="F210" s="15" t="s">
        <v>1288</v>
      </c>
      <c r="G210" s="15" t="s">
        <v>1289</v>
      </c>
      <c r="H210" s="24">
        <v>32</v>
      </c>
      <c r="I210" s="24">
        <v>47.2</v>
      </c>
      <c r="J210" s="24">
        <f>MAX(H210,ROUNDUP(I210,0))</f>
        <v>48</v>
      </c>
      <c r="K210" s="22">
        <f>IF(C210="covered",10.4,7.55)</f>
        <v>7.55</v>
      </c>
      <c r="L210" s="14" t="s">
        <v>1290</v>
      </c>
      <c r="M210" s="24">
        <v>48</v>
      </c>
      <c r="N210" s="22">
        <v>7.55</v>
      </c>
      <c r="O210" s="22">
        <v>362.4</v>
      </c>
      <c r="P210" s="22">
        <f>J210*K210</f>
        <v>362.4</v>
      </c>
      <c r="Q210" s="22">
        <f>IF(L210="","",N210-K210)</f>
        <v>0.0</v>
      </c>
      <c r="R210" s="24">
        <f>IF(L210="","",M210-J210)</f>
        <v>0.0</v>
      </c>
      <c r="S210" s="22">
        <f>IF(L210="",-P210,O210-P210)</f>
        <v>0.0</v>
      </c>
      <c r="T210" s="11" t="str">
        <f>IF(L210="","NO BILL IN SUPPLIED EXPORT",IF(ABS(Q210)&gt;0.001,"RATE EXCEPTION",IF(ABS(R210)&gt;0.001,"LENGTH EXCEPTION",IF(ABS(S210)&gt;0.01,"AMOUNT EXCEPTION","OK"))))</f>
        <v>OK</v>
      </c>
      <c r="U210" s="15" t="s">
        <v>1291</v>
      </c>
    </row>
    <row r="211" spans="1:21" ht="28" customHeight="1">
      <c r="A211" s="18" t="s">
        <v>1292</v>
      </c>
      <c r="B211" s="18" t="s">
        <v>193</v>
      </c>
      <c r="C211" s="18" t="s">
        <v>226</v>
      </c>
      <c r="D211" s="18" t="s">
        <v>227</v>
      </c>
      <c r="E211" s="18" t="s">
        <v>1293</v>
      </c>
      <c r="F211" s="19" t="s">
        <v>1294</v>
      </c>
      <c r="G211" s="19" t="s">
        <v>1295</v>
      </c>
      <c r="H211" s="24">
        <v>28</v>
      </c>
      <c r="I211" s="24">
        <v>25.3</v>
      </c>
      <c r="J211" s="24">
        <f>MAX(H211,ROUNDUP(I211,0))</f>
        <v>28.0</v>
      </c>
      <c r="K211" s="22">
        <f>IF(C211="covered",10.4,7.55)</f>
        <v>7.55</v>
      </c>
      <c r="L211" s="18" t="s">
        <v>1296</v>
      </c>
      <c r="M211" s="24">
        <v>28</v>
      </c>
      <c r="N211" s="22">
        <v>7.55</v>
      </c>
      <c r="O211" s="22">
        <v>211.4</v>
      </c>
      <c r="P211" s="22">
        <f>J211*K211</f>
        <v>211.4</v>
      </c>
      <c r="Q211" s="22">
        <f>IF(L211="","",N211-K211)</f>
        <v>0.0</v>
      </c>
      <c r="R211" s="24">
        <f>IF(L211="","",M211-J211)</f>
        <v>0.0</v>
      </c>
      <c r="S211" s="22">
        <f>IF(L211="",-P211,O211-P211)</f>
        <v>0.0</v>
      </c>
      <c r="T211" s="11" t="str">
        <f>IF(L211="","NO BILL IN SUPPLIED EXPORT",IF(ABS(Q211)&gt;0.001,"RATE EXCEPTION",IF(ABS(R211)&gt;0.001,"LENGTH EXCEPTION",IF(ABS(S211)&gt;0.01,"AMOUNT EXCEPTION","OK"))))</f>
        <v>OK</v>
      </c>
      <c r="U211" s="19" t="s">
        <v>1297</v>
      </c>
    </row>
    <row r="212" spans="1:21" ht="28" customHeight="1">
      <c r="A212" s="14" t="s">
        <v>1298</v>
      </c>
      <c r="B212" s="14" t="s">
        <v>193</v>
      </c>
      <c r="C212" s="14" t="s">
        <v>226</v>
      </c>
      <c r="D212" s="14" t="s">
        <v>227</v>
      </c>
      <c r="E212" s="14" t="s">
        <v>1299</v>
      </c>
      <c r="F212" s="15" t="s">
        <v>1300</v>
      </c>
      <c r="G212" s="15" t="s">
        <v>1301</v>
      </c>
      <c r="H212" s="24">
        <v>50</v>
      </c>
      <c r="I212" s="24">
        <v>49.5</v>
      </c>
      <c r="J212" s="24">
        <f>MAX(H212,ROUNDUP(I212,0))</f>
        <v>50.0</v>
      </c>
      <c r="K212" s="22">
        <f>IF(C212="covered",10.4,7.55)</f>
        <v>7.55</v>
      </c>
      <c r="L212" s="14" t="s">
        <v>1302</v>
      </c>
      <c r="M212" s="24">
        <v>50</v>
      </c>
      <c r="N212" s="22">
        <v>7.55</v>
      </c>
      <c r="O212" s="22">
        <v>377.5</v>
      </c>
      <c r="P212" s="22">
        <f>J212*K212</f>
        <v>377.5</v>
      </c>
      <c r="Q212" s="22">
        <f>IF(L212="","",N212-K212)</f>
        <v>0.0</v>
      </c>
      <c r="R212" s="24">
        <f>IF(L212="","",M212-J212)</f>
        <v>0.0</v>
      </c>
      <c r="S212" s="22">
        <f>IF(L212="",-P212,O212-P212)</f>
        <v>0.0</v>
      </c>
      <c r="T212" s="11" t="str">
        <f>IF(L212="","NO BILL IN SUPPLIED EXPORT",IF(ABS(Q212)&gt;0.001,"RATE EXCEPTION",IF(ABS(R212)&gt;0.001,"LENGTH EXCEPTION",IF(ABS(S212)&gt;0.01,"AMOUNT EXCEPTION","OK"))))</f>
        <v>OK</v>
      </c>
      <c r="U212" s="15" t="s">
        <v>1303</v>
      </c>
    </row>
    <row r="213" spans="1:21" ht="28" customHeight="1">
      <c r="A213" s="18" t="s">
        <v>1304</v>
      </c>
      <c r="B213" s="18" t="s">
        <v>193</v>
      </c>
      <c r="C213" s="18" t="s">
        <v>226</v>
      </c>
      <c r="D213" s="18" t="s">
        <v>227</v>
      </c>
      <c r="E213" s="18" t="s">
        <v>1305</v>
      </c>
      <c r="F213" s="19" t="s">
        <v>1306</v>
      </c>
      <c r="G213" s="19" t="s">
        <v>1216</v>
      </c>
      <c r="H213" s="24">
        <v>24</v>
      </c>
      <c r="I213" s="24">
        <v>53.1</v>
      </c>
      <c r="J213" s="24">
        <f>MAX(H213,ROUNDUP(I213,0))</f>
        <v>54</v>
      </c>
      <c r="K213" s="22">
        <f>IF(C213="covered",10.4,7.55)</f>
        <v>7.55</v>
      </c>
      <c r="L213" s="18" t="s">
        <v>1307</v>
      </c>
      <c r="M213" s="24">
        <v>54</v>
      </c>
      <c r="N213" s="22">
        <v>7.55</v>
      </c>
      <c r="O213" s="22">
        <v>407.7</v>
      </c>
      <c r="P213" s="22">
        <f>J213*K213</f>
        <v>407.7</v>
      </c>
      <c r="Q213" s="22">
        <f>IF(L213="","",N213-K213)</f>
        <v>0.0</v>
      </c>
      <c r="R213" s="24">
        <f>IF(L213="","",M213-J213)</f>
        <v>0.0</v>
      </c>
      <c r="S213" s="22">
        <f>IF(L213="",-P213,O213-P213)</f>
        <v>0.0</v>
      </c>
      <c r="T213" s="11" t="str">
        <f>IF(L213="","NO BILL IN SUPPLIED EXPORT",IF(ABS(Q213)&gt;0.001,"RATE EXCEPTION",IF(ABS(R213)&gt;0.001,"LENGTH EXCEPTION",IF(ABS(S213)&gt;0.01,"AMOUNT EXCEPTION","OK"))))</f>
        <v>OK</v>
      </c>
      <c r="U213" s="19" t="s">
        <v>1308</v>
      </c>
    </row>
    <row r="214" spans="1:21" ht="28" customHeight="1">
      <c r="A214" s="14" t="s">
        <v>1309</v>
      </c>
      <c r="B214" s="14" t="s">
        <v>193</v>
      </c>
      <c r="C214" s="14" t="s">
        <v>226</v>
      </c>
      <c r="D214" s="14" t="s">
        <v>227</v>
      </c>
      <c r="E214" s="14" t="s">
        <v>1310</v>
      </c>
      <c r="F214" s="15" t="s">
        <v>1311</v>
      </c>
      <c r="G214" s="15" t="s">
        <v>1312</v>
      </c>
      <c r="H214" s="24">
        <v>24</v>
      </c>
      <c r="I214" s="24">
        <v>48.6</v>
      </c>
      <c r="J214" s="24">
        <f>MAX(H214,ROUNDUP(I214,0))</f>
        <v>49</v>
      </c>
      <c r="K214" s="22">
        <f>IF(C214="covered",10.4,7.55)</f>
        <v>7.55</v>
      </c>
      <c r="L214" s="14" t="s">
        <v>1313</v>
      </c>
      <c r="M214" s="24">
        <v>49</v>
      </c>
      <c r="N214" s="22">
        <v>7.55</v>
      </c>
      <c r="O214" s="22">
        <v>369.95</v>
      </c>
      <c r="P214" s="22">
        <f>J214*K214</f>
        <v>369.95</v>
      </c>
      <c r="Q214" s="22">
        <f>IF(L214="","",N214-K214)</f>
        <v>0.0</v>
      </c>
      <c r="R214" s="24">
        <f>IF(L214="","",M214-J214)</f>
        <v>0.0</v>
      </c>
      <c r="S214" s="22">
        <f>IF(L214="",-P214,O214-P214)</f>
        <v>0.0</v>
      </c>
      <c r="T214" s="11" t="str">
        <f>IF(L214="","NO BILL IN SUPPLIED EXPORT",IF(ABS(Q214)&gt;0.001,"RATE EXCEPTION",IF(ABS(R214)&gt;0.001,"LENGTH EXCEPTION",IF(ABS(S214)&gt;0.01,"AMOUNT EXCEPTION","OK"))))</f>
        <v>OK</v>
      </c>
      <c r="U214" s="15" t="s">
        <v>1314</v>
      </c>
    </row>
    <row r="215" spans="1:21" ht="28" customHeight="1">
      <c r="A215" s="18" t="s">
        <v>1315</v>
      </c>
      <c r="B215" s="18" t="s">
        <v>193</v>
      </c>
      <c r="C215" s="18" t="s">
        <v>226</v>
      </c>
      <c r="D215" s="18" t="s">
        <v>227</v>
      </c>
      <c r="E215" s="18" t="s">
        <v>1316</v>
      </c>
      <c r="F215" s="19" t="s">
        <v>1317</v>
      </c>
      <c r="G215" s="19" t="s">
        <v>84</v>
      </c>
      <c r="H215" s="24">
        <v>24</v>
      </c>
      <c r="I215" s="24">
        <v>29.8</v>
      </c>
      <c r="J215" s="24">
        <f>MAX(H215,ROUNDUP(I215,0))</f>
        <v>30</v>
      </c>
      <c r="K215" s="22">
        <f>IF(C215="covered",10.4,7.55)</f>
        <v>7.55</v>
      </c>
      <c r="L215" s="18" t="s">
        <v>1318</v>
      </c>
      <c r="M215" s="24">
        <v>30</v>
      </c>
      <c r="N215" s="22">
        <v>7.55</v>
      </c>
      <c r="O215" s="22">
        <v>226.5</v>
      </c>
      <c r="P215" s="22">
        <f>J215*K215</f>
        <v>226.5</v>
      </c>
      <c r="Q215" s="22">
        <f>IF(L215="","",N215-K215)</f>
        <v>0.0</v>
      </c>
      <c r="R215" s="24">
        <f>IF(L215="","",M215-J215)</f>
        <v>0.0</v>
      </c>
      <c r="S215" s="22">
        <f>IF(L215="",-P215,O215-P215)</f>
        <v>0.0</v>
      </c>
      <c r="T215" s="11" t="str">
        <f>IF(L215="","NO BILL IN SUPPLIED EXPORT",IF(ABS(Q215)&gt;0.001,"RATE EXCEPTION",IF(ABS(R215)&gt;0.001,"LENGTH EXCEPTION",IF(ABS(S215)&gt;0.01,"AMOUNT EXCEPTION","OK"))))</f>
        <v>OK</v>
      </c>
      <c r="U215" s="19" t="s">
        <v>1319</v>
      </c>
    </row>
    <row r="216" spans="1:21" ht="28" customHeight="1">
      <c r="A216" s="14" t="s">
        <v>1320</v>
      </c>
      <c r="B216" s="14" t="s">
        <v>193</v>
      </c>
      <c r="C216" s="14" t="s">
        <v>226</v>
      </c>
      <c r="D216" s="14" t="s">
        <v>227</v>
      </c>
      <c r="E216" s="14" t="s">
        <v>1321</v>
      </c>
      <c r="F216" s="15" t="s">
        <v>1322</v>
      </c>
      <c r="G216" s="15" t="s">
        <v>1323</v>
      </c>
      <c r="H216" s="24">
        <v>28</v>
      </c>
      <c r="I216" s="24">
        <v>61.3</v>
      </c>
      <c r="J216" s="24">
        <f>MAX(H216,ROUNDUP(I216,0))</f>
        <v>62</v>
      </c>
      <c r="K216" s="22">
        <f>IF(C216="covered",10.4,7.55)</f>
        <v>7.55</v>
      </c>
      <c r="L216" s="14" t="s">
        <v>1324</v>
      </c>
      <c r="M216" s="24">
        <v>62</v>
      </c>
      <c r="N216" s="22">
        <v>7.55</v>
      </c>
      <c r="O216" s="22">
        <v>468.1</v>
      </c>
      <c r="P216" s="22">
        <f>J216*K216</f>
        <v>468.09999999999997</v>
      </c>
      <c r="Q216" s="22">
        <f>IF(L216="","",N216-K216)</f>
        <v>0.0</v>
      </c>
      <c r="R216" s="24">
        <f>IF(L216="","",M216-J216)</f>
        <v>0.0</v>
      </c>
      <c r="S216" s="22">
        <f>IF(L216="",-P216,O216-P216)</f>
        <v>5.684341886080802e-14</v>
      </c>
      <c r="T216" s="11" t="str">
        <f>IF(L216="","NO BILL IN SUPPLIED EXPORT",IF(ABS(Q216)&gt;0.001,"RATE EXCEPTION",IF(ABS(R216)&gt;0.001,"LENGTH EXCEPTION",IF(ABS(S216)&gt;0.01,"AMOUNT EXCEPTION","OK"))))</f>
        <v>OK</v>
      </c>
      <c r="U216" s="15" t="s">
        <v>1325</v>
      </c>
    </row>
    <row r="217" spans="1:21" ht="28" customHeight="1">
      <c r="A217" s="18" t="s">
        <v>1326</v>
      </c>
      <c r="B217" s="18" t="s">
        <v>193</v>
      </c>
      <c r="C217" s="18" t="s">
        <v>226</v>
      </c>
      <c r="D217" s="18" t="s">
        <v>227</v>
      </c>
      <c r="E217" s="18" t="s">
        <v>1327</v>
      </c>
      <c r="F217" s="19" t="s">
        <v>1328</v>
      </c>
      <c r="G217" s="19" t="s">
        <v>1329</v>
      </c>
      <c r="H217" s="24">
        <v>40</v>
      </c>
      <c r="I217" s="24">
        <v>51.4</v>
      </c>
      <c r="J217" s="24">
        <f>MAX(H217,ROUNDUP(I217,0))</f>
        <v>52</v>
      </c>
      <c r="K217" s="22">
        <f>IF(C217="covered",10.4,7.55)</f>
        <v>7.55</v>
      </c>
      <c r="L217" s="18" t="s">
        <v>1330</v>
      </c>
      <c r="M217" s="24">
        <v>52</v>
      </c>
      <c r="N217" s="22">
        <v>7.55</v>
      </c>
      <c r="O217" s="22">
        <v>392.6</v>
      </c>
      <c r="P217" s="22">
        <f>J217*K217</f>
        <v>392.59999999999997</v>
      </c>
      <c r="Q217" s="22">
        <f>IF(L217="","",N217-K217)</f>
        <v>0.0</v>
      </c>
      <c r="R217" s="24">
        <f>IF(L217="","",M217-J217)</f>
        <v>0.0</v>
      </c>
      <c r="S217" s="22">
        <f>IF(L217="",-P217,O217-P217)</f>
        <v>5.684341886080802e-14</v>
      </c>
      <c r="T217" s="11" t="str">
        <f>IF(L217="","NO BILL IN SUPPLIED EXPORT",IF(ABS(Q217)&gt;0.001,"RATE EXCEPTION",IF(ABS(R217)&gt;0.001,"LENGTH EXCEPTION",IF(ABS(S217)&gt;0.01,"AMOUNT EXCEPTION","OK"))))</f>
        <v>OK</v>
      </c>
      <c r="U217" s="19" t="s">
        <v>1331</v>
      </c>
    </row>
    <row r="218" spans="1:21" ht="28" customHeight="1">
      <c r="A218" s="14" t="s">
        <v>1332</v>
      </c>
      <c r="B218" s="14" t="s">
        <v>193</v>
      </c>
      <c r="C218" s="14" t="s">
        <v>226</v>
      </c>
      <c r="D218" s="14" t="s">
        <v>227</v>
      </c>
      <c r="E218" s="14" t="s">
        <v>1333</v>
      </c>
      <c r="F218" s="15" t="s">
        <v>1334</v>
      </c>
      <c r="G218" s="15" t="s">
        <v>1335</v>
      </c>
      <c r="H218" s="24">
        <v>32</v>
      </c>
      <c r="I218" s="24">
        <v>61.9</v>
      </c>
      <c r="J218" s="24">
        <f>MAX(H218,ROUNDUP(I218,0))</f>
        <v>62</v>
      </c>
      <c r="K218" s="22">
        <f>IF(C218="covered",10.4,7.55)</f>
        <v>7.55</v>
      </c>
      <c r="L218" s="14" t="s">
        <v>1336</v>
      </c>
      <c r="M218" s="24">
        <v>62</v>
      </c>
      <c r="N218" s="22">
        <v>7.55</v>
      </c>
      <c r="O218" s="22">
        <v>468.1</v>
      </c>
      <c r="P218" s="22">
        <f>J218*K218</f>
        <v>468.09999999999997</v>
      </c>
      <c r="Q218" s="22">
        <f>IF(L218="","",N218-K218)</f>
        <v>0.0</v>
      </c>
      <c r="R218" s="24">
        <f>IF(L218="","",M218-J218)</f>
        <v>0.0</v>
      </c>
      <c r="S218" s="22">
        <f>IF(L218="",-P218,O218-P218)</f>
        <v>5.684341886080802e-14</v>
      </c>
      <c r="T218" s="11" t="str">
        <f>IF(L218="","NO BILL IN SUPPLIED EXPORT",IF(ABS(Q218)&gt;0.001,"RATE EXCEPTION",IF(ABS(R218)&gt;0.001,"LENGTH EXCEPTION",IF(ABS(S218)&gt;0.01,"AMOUNT EXCEPTION","OK"))))</f>
        <v>OK</v>
      </c>
      <c r="U218" s="15" t="s">
        <v>1337</v>
      </c>
    </row>
    <row r="219" spans="1:21" ht="28" customHeight="1">
      <c r="A219" s="18" t="s">
        <v>1338</v>
      </c>
      <c r="B219" s="18" t="s">
        <v>193</v>
      </c>
      <c r="C219" s="18" t="s">
        <v>226</v>
      </c>
      <c r="D219" s="18" t="s">
        <v>227</v>
      </c>
      <c r="E219" s="18" t="s">
        <v>1339</v>
      </c>
      <c r="F219" s="19" t="s">
        <v>1340</v>
      </c>
      <c r="G219" s="19" t="s">
        <v>1341</v>
      </c>
      <c r="H219" s="24">
        <v>28</v>
      </c>
      <c r="I219" s="24">
        <v>26.2</v>
      </c>
      <c r="J219" s="24">
        <f>MAX(H219,ROUNDUP(I219,0))</f>
        <v>28.0</v>
      </c>
      <c r="K219" s="22">
        <f>IF(C219="covered",10.4,7.55)</f>
        <v>7.55</v>
      </c>
      <c r="L219" s="18" t="s">
        <v>1342</v>
      </c>
      <c r="M219" s="24">
        <v>28</v>
      </c>
      <c r="N219" s="22">
        <v>7.55</v>
      </c>
      <c r="O219" s="22">
        <v>211.4</v>
      </c>
      <c r="P219" s="22">
        <f>J219*K219</f>
        <v>211.4</v>
      </c>
      <c r="Q219" s="22">
        <f>IF(L219="","",N219-K219)</f>
        <v>0.0</v>
      </c>
      <c r="R219" s="24">
        <f>IF(L219="","",M219-J219)</f>
        <v>0.0</v>
      </c>
      <c r="S219" s="22">
        <f>IF(L219="",-P219,O219-P219)</f>
        <v>0.0</v>
      </c>
      <c r="T219" s="11" t="str">
        <f>IF(L219="","NO BILL IN SUPPLIED EXPORT",IF(ABS(Q219)&gt;0.001,"RATE EXCEPTION",IF(ABS(R219)&gt;0.001,"LENGTH EXCEPTION",IF(ABS(S219)&gt;0.01,"AMOUNT EXCEPTION","OK"))))</f>
        <v>OK</v>
      </c>
      <c r="U219" s="19" t="s">
        <v>1343</v>
      </c>
    </row>
    <row r="220" spans="1:21" ht="28" customHeight="1">
      <c r="A220" s="14" t="s">
        <v>1344</v>
      </c>
      <c r="B220" s="14" t="s">
        <v>193</v>
      </c>
      <c r="C220" s="14" t="s">
        <v>226</v>
      </c>
      <c r="D220" s="14" t="s">
        <v>227</v>
      </c>
      <c r="E220" s="14" t="s">
        <v>1345</v>
      </c>
      <c r="F220" s="15" t="s">
        <v>1346</v>
      </c>
      <c r="G220" s="15" t="s">
        <v>1347</v>
      </c>
      <c r="H220" s="24">
        <v>32</v>
      </c>
      <c r="I220" s="24">
        <v>40.6</v>
      </c>
      <c r="J220" s="24">
        <f>MAX(H220,ROUNDUP(I220,0))</f>
        <v>41</v>
      </c>
      <c r="K220" s="22">
        <f>IF(C220="covered",10.4,7.55)</f>
        <v>7.55</v>
      </c>
      <c r="L220" s="14" t="s">
        <v>1348</v>
      </c>
      <c r="M220" s="24">
        <v>41</v>
      </c>
      <c r="N220" s="22">
        <v>7.55</v>
      </c>
      <c r="O220" s="22">
        <v>309.55</v>
      </c>
      <c r="P220" s="22">
        <f>J220*K220</f>
        <v>309.55</v>
      </c>
      <c r="Q220" s="22">
        <f>IF(L220="","",N220-K220)</f>
        <v>0.0</v>
      </c>
      <c r="R220" s="24">
        <f>IF(L220="","",M220-J220)</f>
        <v>0.0</v>
      </c>
      <c r="S220" s="22">
        <f>IF(L220="",-P220,O220-P220)</f>
        <v>0.0</v>
      </c>
      <c r="T220" s="11" t="str">
        <f>IF(L220="","NO BILL IN SUPPLIED EXPORT",IF(ABS(Q220)&gt;0.001,"RATE EXCEPTION",IF(ABS(R220)&gt;0.001,"LENGTH EXCEPTION",IF(ABS(S220)&gt;0.01,"AMOUNT EXCEPTION","OK"))))</f>
        <v>OK</v>
      </c>
      <c r="U220" s="15" t="s">
        <v>1349</v>
      </c>
    </row>
    <row r="221" spans="1:21" ht="28" customHeight="1">
      <c r="A221" s="18" t="s">
        <v>1350</v>
      </c>
      <c r="B221" s="18" t="s">
        <v>193</v>
      </c>
      <c r="C221" s="18" t="s">
        <v>226</v>
      </c>
      <c r="D221" s="18" t="s">
        <v>227</v>
      </c>
      <c r="E221" s="18" t="s">
        <v>1351</v>
      </c>
      <c r="F221" s="19" t="s">
        <v>1352</v>
      </c>
      <c r="G221" s="19" t="s">
        <v>1353</v>
      </c>
      <c r="H221" s="24">
        <v>45</v>
      </c>
      <c r="I221" s="24">
        <v>59.5</v>
      </c>
      <c r="J221" s="24">
        <f>MAX(H221,ROUNDUP(I221,0))</f>
        <v>60</v>
      </c>
      <c r="K221" s="22">
        <f>IF(C221="covered",10.4,7.55)</f>
        <v>7.55</v>
      </c>
      <c r="L221" s="18" t="s">
        <v>1354</v>
      </c>
      <c r="M221" s="24">
        <v>60</v>
      </c>
      <c r="N221" s="22">
        <v>7.55</v>
      </c>
      <c r="O221" s="22">
        <v>453</v>
      </c>
      <c r="P221" s="22">
        <f>J221*K221</f>
        <v>453.0</v>
      </c>
      <c r="Q221" s="22">
        <f>IF(L221="","",N221-K221)</f>
        <v>0.0</v>
      </c>
      <c r="R221" s="24">
        <f>IF(L221="","",M221-J221)</f>
        <v>0.0</v>
      </c>
      <c r="S221" s="22">
        <f>IF(L221="",-P221,O221-P221)</f>
        <v>0.0</v>
      </c>
      <c r="T221" s="11" t="str">
        <f>IF(L221="","NO BILL IN SUPPLIED EXPORT",IF(ABS(Q221)&gt;0.001,"RATE EXCEPTION",IF(ABS(R221)&gt;0.001,"LENGTH EXCEPTION",IF(ABS(S221)&gt;0.01,"AMOUNT EXCEPTION","OK"))))</f>
        <v>OK</v>
      </c>
      <c r="U221" s="19" t="s">
        <v>1355</v>
      </c>
    </row>
    <row r="222" spans="1:21" ht="28" customHeight="1">
      <c r="A222" s="14" t="s">
        <v>1356</v>
      </c>
      <c r="B222" s="14" t="s">
        <v>193</v>
      </c>
      <c r="C222" s="14" t="s">
        <v>226</v>
      </c>
      <c r="D222" s="14" t="s">
        <v>227</v>
      </c>
      <c r="E222" s="14" t="s">
        <v>1357</v>
      </c>
      <c r="F222" s="15" t="s">
        <v>1358</v>
      </c>
      <c r="G222" s="15" t="s">
        <v>1359</v>
      </c>
      <c r="H222" s="24">
        <v>28</v>
      </c>
      <c r="I222" s="24">
        <v>26.7</v>
      </c>
      <c r="J222" s="24">
        <f>MAX(H222,ROUNDUP(I222,0))</f>
        <v>28.0</v>
      </c>
      <c r="K222" s="22">
        <f>IF(C222="covered",10.4,7.55)</f>
        <v>7.55</v>
      </c>
      <c r="L222" s="14" t="s">
        <v>1360</v>
      </c>
      <c r="M222" s="24">
        <v>28</v>
      </c>
      <c r="N222" s="22">
        <v>7.55</v>
      </c>
      <c r="O222" s="22">
        <v>211.4</v>
      </c>
      <c r="P222" s="22">
        <f>J222*K222</f>
        <v>211.4</v>
      </c>
      <c r="Q222" s="22">
        <f>IF(L222="","",N222-K222)</f>
        <v>0.0</v>
      </c>
      <c r="R222" s="24">
        <f>IF(L222="","",M222-J222)</f>
        <v>0.0</v>
      </c>
      <c r="S222" s="22">
        <f>IF(L222="",-P222,O222-P222)</f>
        <v>0.0</v>
      </c>
      <c r="T222" s="11" t="str">
        <f>IF(L222="","NO BILL IN SUPPLIED EXPORT",IF(ABS(Q222)&gt;0.001,"RATE EXCEPTION",IF(ABS(R222)&gt;0.001,"LENGTH EXCEPTION",IF(ABS(S222)&gt;0.01,"AMOUNT EXCEPTION","OK"))))</f>
        <v>OK</v>
      </c>
      <c r="U222" s="15" t="s">
        <v>1361</v>
      </c>
    </row>
    <row r="223" spans="1:21" ht="28" customHeight="1">
      <c r="A223" s="18" t="s">
        <v>1362</v>
      </c>
      <c r="B223" s="18" t="s">
        <v>193</v>
      </c>
      <c r="C223" s="18" t="s">
        <v>226</v>
      </c>
      <c r="D223" s="18" t="s">
        <v>227</v>
      </c>
      <c r="E223" s="18" t="s">
        <v>1363</v>
      </c>
      <c r="F223" s="19" t="s">
        <v>1364</v>
      </c>
      <c r="G223" s="19" t="s">
        <v>1365</v>
      </c>
      <c r="H223" s="24">
        <v>40</v>
      </c>
      <c r="I223" s="24">
        <v>34.4</v>
      </c>
      <c r="J223" s="24">
        <f>MAX(H223,ROUNDUP(I223,0))</f>
        <v>40.0</v>
      </c>
      <c r="K223" s="22">
        <f>IF(C223="covered",10.4,7.55)</f>
        <v>7.55</v>
      </c>
      <c r="L223" s="18" t="s">
        <v>1366</v>
      </c>
      <c r="M223" s="24">
        <v>40</v>
      </c>
      <c r="N223" s="22">
        <v>7.55</v>
      </c>
      <c r="O223" s="22">
        <v>302</v>
      </c>
      <c r="P223" s="22">
        <f>J223*K223</f>
        <v>302.0</v>
      </c>
      <c r="Q223" s="22">
        <f>IF(L223="","",N223-K223)</f>
        <v>0.0</v>
      </c>
      <c r="R223" s="24">
        <f>IF(L223="","",M223-J223)</f>
        <v>0.0</v>
      </c>
      <c r="S223" s="22">
        <f>IF(L223="",-P223,O223-P223)</f>
        <v>0.0</v>
      </c>
      <c r="T223" s="11" t="str">
        <f>IF(L223="","NO BILL IN SUPPLIED EXPORT",IF(ABS(Q223)&gt;0.001,"RATE EXCEPTION",IF(ABS(R223)&gt;0.001,"LENGTH EXCEPTION",IF(ABS(S223)&gt;0.01,"AMOUNT EXCEPTION","OK"))))</f>
        <v>OK</v>
      </c>
      <c r="U223" s="19" t="s">
        <v>1367</v>
      </c>
    </row>
    <row r="224" spans="1:21" ht="28" customHeight="1">
      <c r="A224" s="14" t="s">
        <v>1368</v>
      </c>
      <c r="B224" s="14" t="s">
        <v>193</v>
      </c>
      <c r="C224" s="14" t="s">
        <v>226</v>
      </c>
      <c r="D224" s="14" t="s">
        <v>227</v>
      </c>
      <c r="E224" s="14" t="s">
        <v>1369</v>
      </c>
      <c r="F224" s="15" t="s">
        <v>1370</v>
      </c>
      <c r="G224" s="15" t="s">
        <v>1240</v>
      </c>
      <c r="H224" s="24">
        <v>32</v>
      </c>
      <c r="I224" s="24">
        <v>26.5</v>
      </c>
      <c r="J224" s="24">
        <f>MAX(H224,ROUNDUP(I224,0))</f>
        <v>32.0</v>
      </c>
      <c r="K224" s="22">
        <f>IF(C224="covered",10.4,7.55)</f>
        <v>7.55</v>
      </c>
      <c r="L224" s="14" t="s">
        <v>1371</v>
      </c>
      <c r="M224" s="24">
        <v>32</v>
      </c>
      <c r="N224" s="22">
        <v>7.55</v>
      </c>
      <c r="O224" s="22">
        <v>241.6</v>
      </c>
      <c r="P224" s="22">
        <f>J224*K224</f>
        <v>241.6</v>
      </c>
      <c r="Q224" s="22">
        <f>IF(L224="","",N224-K224)</f>
        <v>0.0</v>
      </c>
      <c r="R224" s="24">
        <f>IF(L224="","",M224-J224)</f>
        <v>0.0</v>
      </c>
      <c r="S224" s="22">
        <f>IF(L224="",-P224,O224-P224)</f>
        <v>0.0</v>
      </c>
      <c r="T224" s="11" t="str">
        <f>IF(L224="","NO BILL IN SUPPLIED EXPORT",IF(ABS(Q224)&gt;0.001,"RATE EXCEPTION",IF(ABS(R224)&gt;0.001,"LENGTH EXCEPTION",IF(ABS(S224)&gt;0.01,"AMOUNT EXCEPTION","OK"))))</f>
        <v>OK</v>
      </c>
      <c r="U224" s="15" t="s">
        <v>1372</v>
      </c>
    </row>
    <row r="225" spans="1:21" ht="28" customHeight="1">
      <c r="A225" s="18" t="s">
        <v>1373</v>
      </c>
      <c r="B225" s="18" t="s">
        <v>193</v>
      </c>
      <c r="C225" s="18" t="s">
        <v>226</v>
      </c>
      <c r="D225" s="18" t="s">
        <v>227</v>
      </c>
      <c r="E225" s="18" t="s">
        <v>1374</v>
      </c>
      <c r="F225" s="19" t="s">
        <v>1375</v>
      </c>
      <c r="G225" s="19" t="s">
        <v>1376</v>
      </c>
      <c r="H225" s="24">
        <v>32</v>
      </c>
      <c r="I225" s="24">
        <v>53.6</v>
      </c>
      <c r="J225" s="24">
        <f>MAX(H225,ROUNDUP(I225,0))</f>
        <v>54</v>
      </c>
      <c r="K225" s="22">
        <f>IF(C225="covered",10.4,7.55)</f>
        <v>7.55</v>
      </c>
      <c r="L225" s="18" t="s">
        <v>1377</v>
      </c>
      <c r="M225" s="24">
        <v>54</v>
      </c>
      <c r="N225" s="22">
        <v>7.55</v>
      </c>
      <c r="O225" s="22">
        <v>407.7</v>
      </c>
      <c r="P225" s="22">
        <f>J225*K225</f>
        <v>407.7</v>
      </c>
      <c r="Q225" s="22">
        <f>IF(L225="","",N225-K225)</f>
        <v>0.0</v>
      </c>
      <c r="R225" s="24">
        <f>IF(L225="","",M225-J225)</f>
        <v>0.0</v>
      </c>
      <c r="S225" s="22">
        <f>IF(L225="",-P225,O225-P225)</f>
        <v>0.0</v>
      </c>
      <c r="T225" s="11" t="str">
        <f>IF(L225="","NO BILL IN SUPPLIED EXPORT",IF(ABS(Q225)&gt;0.001,"RATE EXCEPTION",IF(ABS(R225)&gt;0.001,"LENGTH EXCEPTION",IF(ABS(S225)&gt;0.01,"AMOUNT EXCEPTION","OK"))))</f>
        <v>OK</v>
      </c>
      <c r="U225" s="19" t="s">
        <v>1378</v>
      </c>
    </row>
    <row r="226" spans="1:21" ht="28" customHeight="1">
      <c r="A226" s="14" t="s">
        <v>1379</v>
      </c>
      <c r="B226" s="14" t="s">
        <v>193</v>
      </c>
      <c r="C226" s="14" t="s">
        <v>226</v>
      </c>
      <c r="D226" s="14" t="s">
        <v>227</v>
      </c>
      <c r="E226" s="14" t="s">
        <v>1380</v>
      </c>
      <c r="F226" s="15" t="s">
        <v>1381</v>
      </c>
      <c r="G226" s="15" t="s">
        <v>1382</v>
      </c>
      <c r="H226" s="24">
        <v>50</v>
      </c>
      <c r="I226" s="24">
        <v>19.8</v>
      </c>
      <c r="J226" s="24">
        <f>MAX(H226,ROUNDUP(I226,0))</f>
        <v>50.0</v>
      </c>
      <c r="K226" s="22">
        <f>IF(C226="covered",10.4,7.55)</f>
        <v>7.55</v>
      </c>
      <c r="L226" s="14" t="s">
        <v>1383</v>
      </c>
      <c r="M226" s="24">
        <v>50</v>
      </c>
      <c r="N226" s="22">
        <v>7.55</v>
      </c>
      <c r="O226" s="22">
        <v>377.5</v>
      </c>
      <c r="P226" s="22">
        <f>J226*K226</f>
        <v>377.5</v>
      </c>
      <c r="Q226" s="22">
        <f>IF(L226="","",N226-K226)</f>
        <v>0.0</v>
      </c>
      <c r="R226" s="24">
        <f>IF(L226="","",M226-J226)</f>
        <v>0.0</v>
      </c>
      <c r="S226" s="22">
        <f>IF(L226="",-P226,O226-P226)</f>
        <v>0.0</v>
      </c>
      <c r="T226" s="11" t="str">
        <f>IF(L226="","NO BILL IN SUPPLIED EXPORT",IF(ABS(Q226)&gt;0.001,"RATE EXCEPTION",IF(ABS(R226)&gt;0.001,"LENGTH EXCEPTION",IF(ABS(S226)&gt;0.01,"AMOUNT EXCEPTION","OK"))))</f>
        <v>OK</v>
      </c>
      <c r="U226" s="15" t="s">
        <v>1384</v>
      </c>
    </row>
    <row r="227" spans="1:21" ht="28" customHeight="1">
      <c r="A227" s="18" t="s">
        <v>1385</v>
      </c>
      <c r="B227" s="18" t="s">
        <v>193</v>
      </c>
      <c r="C227" s="18" t="s">
        <v>226</v>
      </c>
      <c r="D227" s="18" t="s">
        <v>227</v>
      </c>
      <c r="E227" s="18" t="s">
        <v>1386</v>
      </c>
      <c r="F227" s="19" t="s">
        <v>1387</v>
      </c>
      <c r="G227" s="19" t="s">
        <v>874</v>
      </c>
      <c r="H227" s="24">
        <v>32</v>
      </c>
      <c r="I227" s="24">
        <v>44.2</v>
      </c>
      <c r="J227" s="24">
        <f>MAX(H227,ROUNDUP(I227,0))</f>
        <v>45</v>
      </c>
      <c r="K227" s="22">
        <f>IF(C227="covered",10.4,7.55)</f>
        <v>7.55</v>
      </c>
      <c r="L227" s="18" t="s">
        <v>1388</v>
      </c>
      <c r="M227" s="24">
        <v>45</v>
      </c>
      <c r="N227" s="22">
        <v>7.55</v>
      </c>
      <c r="O227" s="22">
        <v>339.75</v>
      </c>
      <c r="P227" s="22">
        <f>J227*K227</f>
        <v>339.75</v>
      </c>
      <c r="Q227" s="22">
        <f>IF(L227="","",N227-K227)</f>
        <v>0.0</v>
      </c>
      <c r="R227" s="24">
        <f>IF(L227="","",M227-J227)</f>
        <v>0.0</v>
      </c>
      <c r="S227" s="22">
        <f>IF(L227="",-P227,O227-P227)</f>
        <v>0.0</v>
      </c>
      <c r="T227" s="11" t="str">
        <f>IF(L227="","NO BILL IN SUPPLIED EXPORT",IF(ABS(Q227)&gt;0.001,"RATE EXCEPTION",IF(ABS(R227)&gt;0.001,"LENGTH EXCEPTION",IF(ABS(S227)&gt;0.01,"AMOUNT EXCEPTION","OK"))))</f>
        <v>OK</v>
      </c>
      <c r="U227" s="19" t="s">
        <v>1389</v>
      </c>
    </row>
    <row r="228" spans="1:21" ht="28" customHeight="1">
      <c r="A228" s="14" t="s">
        <v>1390</v>
      </c>
      <c r="B228" s="14" t="s">
        <v>193</v>
      </c>
      <c r="C228" s="14" t="s">
        <v>226</v>
      </c>
      <c r="D228" s="14" t="s">
        <v>227</v>
      </c>
      <c r="E228" s="14" t="s">
        <v>1391</v>
      </c>
      <c r="F228" s="15" t="s">
        <v>1392</v>
      </c>
      <c r="G228" s="15" t="s">
        <v>1393</v>
      </c>
      <c r="H228" s="24">
        <v>32</v>
      </c>
      <c r="I228" s="24">
        <v>40.1</v>
      </c>
      <c r="J228" s="24">
        <f>MAX(H228,ROUNDUP(I228,0))</f>
        <v>41</v>
      </c>
      <c r="K228" s="22">
        <f>IF(C228="covered",10.4,7.55)</f>
        <v>7.55</v>
      </c>
      <c r="L228" s="14" t="s">
        <v>1394</v>
      </c>
      <c r="M228" s="24">
        <v>41</v>
      </c>
      <c r="N228" s="22">
        <v>7.55</v>
      </c>
      <c r="O228" s="22">
        <v>309.55</v>
      </c>
      <c r="P228" s="22">
        <f>J228*K228</f>
        <v>309.55</v>
      </c>
      <c r="Q228" s="22">
        <f>IF(L228="","",N228-K228)</f>
        <v>0.0</v>
      </c>
      <c r="R228" s="24">
        <f>IF(L228="","",M228-J228)</f>
        <v>0.0</v>
      </c>
      <c r="S228" s="22">
        <f>IF(L228="",-P228,O228-P228)</f>
        <v>0.0</v>
      </c>
      <c r="T228" s="11" t="str">
        <f>IF(L228="","NO BILL IN SUPPLIED EXPORT",IF(ABS(Q228)&gt;0.001,"RATE EXCEPTION",IF(ABS(R228)&gt;0.001,"LENGTH EXCEPTION",IF(ABS(S228)&gt;0.01,"AMOUNT EXCEPTION","OK"))))</f>
        <v>OK</v>
      </c>
      <c r="U228" s="15" t="s">
        <v>1395</v>
      </c>
    </row>
    <row r="229" spans="1:21" ht="28" customHeight="1">
      <c r="A229" s="18" t="s">
        <v>1396</v>
      </c>
      <c r="B229" s="18" t="s">
        <v>193</v>
      </c>
      <c r="C229" s="18" t="s">
        <v>226</v>
      </c>
      <c r="D229" s="18" t="s">
        <v>227</v>
      </c>
      <c r="E229" s="18" t="s">
        <v>1397</v>
      </c>
      <c r="F229" s="19" t="s">
        <v>1398</v>
      </c>
      <c r="G229" s="19" t="s">
        <v>1399</v>
      </c>
      <c r="H229" s="24">
        <v>45</v>
      </c>
      <c r="I229" s="24">
        <v>53</v>
      </c>
      <c r="J229" s="24">
        <f>MAX(H229,ROUNDUP(I229,0))</f>
        <v>53</v>
      </c>
      <c r="K229" s="22">
        <f>IF(C229="covered",10.4,7.55)</f>
        <v>7.55</v>
      </c>
      <c r="L229" s="18" t="s">
        <v>1400</v>
      </c>
      <c r="M229" s="24">
        <v>53</v>
      </c>
      <c r="N229" s="22">
        <v>7.55</v>
      </c>
      <c r="O229" s="22">
        <v>400.15</v>
      </c>
      <c r="P229" s="22">
        <f>J229*K229</f>
        <v>400.15</v>
      </c>
      <c r="Q229" s="22">
        <f>IF(L229="","",N229-K229)</f>
        <v>0.0</v>
      </c>
      <c r="R229" s="24">
        <f>IF(L229="","",M229-J229)</f>
        <v>0.0</v>
      </c>
      <c r="S229" s="22">
        <f>IF(L229="",-P229,O229-P229)</f>
        <v>0.0</v>
      </c>
      <c r="T229" s="11" t="str">
        <f>IF(L229="","NO BILL IN SUPPLIED EXPORT",IF(ABS(Q229)&gt;0.001,"RATE EXCEPTION",IF(ABS(R229)&gt;0.001,"LENGTH EXCEPTION",IF(ABS(S229)&gt;0.01,"AMOUNT EXCEPTION","OK"))))</f>
        <v>OK</v>
      </c>
      <c r="U229" s="19" t="s">
        <v>1401</v>
      </c>
    </row>
    <row r="230" spans="1:21" ht="28" customHeight="1">
      <c r="A230" s="14" t="s">
        <v>1402</v>
      </c>
      <c r="B230" s="14" t="s">
        <v>193</v>
      </c>
      <c r="C230" s="14" t="s">
        <v>226</v>
      </c>
      <c r="D230" s="14" t="s">
        <v>227</v>
      </c>
      <c r="E230" s="14" t="s">
        <v>1403</v>
      </c>
      <c r="F230" s="15" t="s">
        <v>1404</v>
      </c>
      <c r="G230" s="15" t="s">
        <v>1405</v>
      </c>
      <c r="H230" s="24">
        <v>40</v>
      </c>
      <c r="I230" s="24">
        <v>21.2</v>
      </c>
      <c r="J230" s="24">
        <f>MAX(H230,ROUNDUP(I230,0))</f>
        <v>40.0</v>
      </c>
      <c r="K230" s="22">
        <f>IF(C230="covered",10.4,7.55)</f>
        <v>7.55</v>
      </c>
      <c r="L230" s="14" t="s">
        <v>1406</v>
      </c>
      <c r="M230" s="24">
        <v>40</v>
      </c>
      <c r="N230" s="22">
        <v>7.55</v>
      </c>
      <c r="O230" s="22">
        <v>302</v>
      </c>
      <c r="P230" s="22">
        <f>J230*K230</f>
        <v>302.0</v>
      </c>
      <c r="Q230" s="22">
        <f>IF(L230="","",N230-K230)</f>
        <v>0.0</v>
      </c>
      <c r="R230" s="24">
        <f>IF(L230="","",M230-J230)</f>
        <v>0.0</v>
      </c>
      <c r="S230" s="22">
        <f>IF(L230="",-P230,O230-P230)</f>
        <v>0.0</v>
      </c>
      <c r="T230" s="11" t="str">
        <f>IF(L230="","NO BILL IN SUPPLIED EXPORT",IF(ABS(Q230)&gt;0.001,"RATE EXCEPTION",IF(ABS(R230)&gt;0.001,"LENGTH EXCEPTION",IF(ABS(S230)&gt;0.01,"AMOUNT EXCEPTION","OK"))))</f>
        <v>OK</v>
      </c>
      <c r="U230" s="15" t="s">
        <v>1407</v>
      </c>
    </row>
    <row r="231" spans="1:21" ht="28" customHeight="1">
      <c r="A231" s="18" t="s">
        <v>1408</v>
      </c>
      <c r="B231" s="18" t="s">
        <v>193</v>
      </c>
      <c r="C231" s="18" t="s">
        <v>226</v>
      </c>
      <c r="D231" s="18" t="s">
        <v>227</v>
      </c>
      <c r="E231" s="18" t="s">
        <v>1409</v>
      </c>
      <c r="F231" s="19" t="s">
        <v>1410</v>
      </c>
      <c r="G231" s="19" t="s">
        <v>418</v>
      </c>
      <c r="H231" s="24">
        <v>40</v>
      </c>
      <c r="I231" s="24">
        <v>34.4</v>
      </c>
      <c r="J231" s="24">
        <f>MAX(H231,ROUNDUP(I231,0))</f>
        <v>40.0</v>
      </c>
      <c r="K231" s="22">
        <f>IF(C231="covered",10.4,7.55)</f>
        <v>7.55</v>
      </c>
      <c r="L231" s="18" t="s">
        <v>1411</v>
      </c>
      <c r="M231" s="24">
        <v>40</v>
      </c>
      <c r="N231" s="22">
        <v>7.55</v>
      </c>
      <c r="O231" s="22">
        <v>302</v>
      </c>
      <c r="P231" s="22">
        <f>J231*K231</f>
        <v>302.0</v>
      </c>
      <c r="Q231" s="22">
        <f>IF(L231="","",N231-K231)</f>
        <v>0.0</v>
      </c>
      <c r="R231" s="24">
        <f>IF(L231="","",M231-J231)</f>
        <v>0.0</v>
      </c>
      <c r="S231" s="22">
        <f>IF(L231="",-P231,O231-P231)</f>
        <v>0.0</v>
      </c>
      <c r="T231" s="11" t="str">
        <f>IF(L231="","NO BILL IN SUPPLIED EXPORT",IF(ABS(Q231)&gt;0.001,"RATE EXCEPTION",IF(ABS(R231)&gt;0.001,"LENGTH EXCEPTION",IF(ABS(S231)&gt;0.01,"AMOUNT EXCEPTION","OK"))))</f>
        <v>OK</v>
      </c>
      <c r="U231" s="19" t="s">
        <v>1412</v>
      </c>
    </row>
    <row r="232" spans="1:21" ht="28" customHeight="1">
      <c r="A232" s="14" t="s">
        <v>1413</v>
      </c>
      <c r="B232" s="14" t="s">
        <v>193</v>
      </c>
      <c r="C232" s="14" t="s">
        <v>226</v>
      </c>
      <c r="D232" s="14" t="s">
        <v>227</v>
      </c>
      <c r="E232" s="14" t="s">
        <v>1414</v>
      </c>
      <c r="F232" s="15" t="s">
        <v>1415</v>
      </c>
      <c r="G232" s="15" t="s">
        <v>1416</v>
      </c>
      <c r="H232" s="24">
        <v>24</v>
      </c>
      <c r="I232" s="24">
        <v>20.7</v>
      </c>
      <c r="J232" s="24">
        <f>MAX(H232,ROUNDUP(I232,0))</f>
        <v>24.0</v>
      </c>
      <c r="K232" s="22">
        <f>IF(C232="covered",10.4,7.55)</f>
        <v>7.55</v>
      </c>
      <c r="L232" s="14" t="s">
        <v>1417</v>
      </c>
      <c r="M232" s="24">
        <v>24</v>
      </c>
      <c r="N232" s="22">
        <v>7.55</v>
      </c>
      <c r="O232" s="22">
        <v>181.2</v>
      </c>
      <c r="P232" s="22">
        <f>J232*K232</f>
        <v>181.2</v>
      </c>
      <c r="Q232" s="22">
        <f>IF(L232="","",N232-K232)</f>
        <v>0.0</v>
      </c>
      <c r="R232" s="24">
        <f>IF(L232="","",M232-J232)</f>
        <v>0.0</v>
      </c>
      <c r="S232" s="22">
        <f>IF(L232="",-P232,O232-P232)</f>
        <v>0.0</v>
      </c>
      <c r="T232" s="11" t="str">
        <f>IF(L232="","NO BILL IN SUPPLIED EXPORT",IF(ABS(Q232)&gt;0.001,"RATE EXCEPTION",IF(ABS(R232)&gt;0.001,"LENGTH EXCEPTION",IF(ABS(S232)&gt;0.01,"AMOUNT EXCEPTION","OK"))))</f>
        <v>OK</v>
      </c>
      <c r="U232" s="15" t="s">
        <v>1418</v>
      </c>
    </row>
    <row r="233" spans="1:21" ht="28" customHeight="1">
      <c r="A233" s="18" t="s">
        <v>1419</v>
      </c>
      <c r="B233" s="18" t="s">
        <v>193</v>
      </c>
      <c r="C233" s="18" t="s">
        <v>226</v>
      </c>
      <c r="D233" s="18" t="s">
        <v>227</v>
      </c>
      <c r="E233" s="18" t="s">
        <v>1420</v>
      </c>
      <c r="F233" s="19" t="s">
        <v>1421</v>
      </c>
      <c r="G233" s="19" t="s">
        <v>1422</v>
      </c>
      <c r="H233" s="24">
        <v>28</v>
      </c>
      <c r="I233" s="24">
        <v>55.1</v>
      </c>
      <c r="J233" s="24">
        <f>MAX(H233,ROUNDUP(I233,0))</f>
        <v>56</v>
      </c>
      <c r="K233" s="22">
        <f>IF(C233="covered",10.4,7.55)</f>
        <v>7.55</v>
      </c>
      <c r="L233" s="18" t="s">
        <v>1423</v>
      </c>
      <c r="M233" s="24">
        <v>56</v>
      </c>
      <c r="N233" s="22">
        <v>7.55</v>
      </c>
      <c r="O233" s="22">
        <v>422.8</v>
      </c>
      <c r="P233" s="22">
        <f>J233*K233</f>
        <v>422.8</v>
      </c>
      <c r="Q233" s="22">
        <f>IF(L233="","",N233-K233)</f>
        <v>0.0</v>
      </c>
      <c r="R233" s="24">
        <f>IF(L233="","",M233-J233)</f>
        <v>0.0</v>
      </c>
      <c r="S233" s="22">
        <f>IF(L233="",-P233,O233-P233)</f>
        <v>0.0</v>
      </c>
      <c r="T233" s="11" t="str">
        <f>IF(L233="","NO BILL IN SUPPLIED EXPORT",IF(ABS(Q233)&gt;0.001,"RATE EXCEPTION",IF(ABS(R233)&gt;0.001,"LENGTH EXCEPTION",IF(ABS(S233)&gt;0.01,"AMOUNT EXCEPTION","OK"))))</f>
        <v>OK</v>
      </c>
      <c r="U233" s="19" t="s">
        <v>1424</v>
      </c>
    </row>
    <row r="234" spans="1:21" ht="28" customHeight="1">
      <c r="A234" s="14" t="s">
        <v>1425</v>
      </c>
      <c r="B234" s="14" t="s">
        <v>193</v>
      </c>
      <c r="C234" s="14" t="s">
        <v>226</v>
      </c>
      <c r="D234" s="14" t="s">
        <v>227</v>
      </c>
      <c r="E234" s="14" t="s">
        <v>1426</v>
      </c>
      <c r="F234" s="15" t="s">
        <v>1427</v>
      </c>
      <c r="G234" s="15" t="s">
        <v>135</v>
      </c>
      <c r="H234" s="24">
        <v>32</v>
      </c>
      <c r="I234" s="24">
        <v>61.8</v>
      </c>
      <c r="J234" s="24">
        <f>MAX(H234,ROUNDUP(I234,0))</f>
        <v>62</v>
      </c>
      <c r="K234" s="22">
        <f>IF(C234="covered",10.4,7.55)</f>
        <v>7.55</v>
      </c>
      <c r="L234" s="14" t="s">
        <v>1428</v>
      </c>
      <c r="M234" s="24">
        <v>62</v>
      </c>
      <c r="N234" s="22">
        <v>7.55</v>
      </c>
      <c r="O234" s="22">
        <v>468.1</v>
      </c>
      <c r="P234" s="22">
        <f>J234*K234</f>
        <v>468.09999999999997</v>
      </c>
      <c r="Q234" s="22">
        <f>IF(L234="","",N234-K234)</f>
        <v>0.0</v>
      </c>
      <c r="R234" s="24">
        <f>IF(L234="","",M234-J234)</f>
        <v>0.0</v>
      </c>
      <c r="S234" s="22">
        <f>IF(L234="",-P234,O234-P234)</f>
        <v>5.684341886080802e-14</v>
      </c>
      <c r="T234" s="11" t="str">
        <f>IF(L234="","NO BILL IN SUPPLIED EXPORT",IF(ABS(Q234)&gt;0.001,"RATE EXCEPTION",IF(ABS(R234)&gt;0.001,"LENGTH EXCEPTION",IF(ABS(S234)&gt;0.01,"AMOUNT EXCEPTION","OK"))))</f>
        <v>OK</v>
      </c>
      <c r="U234" s="15" t="s">
        <v>1429</v>
      </c>
    </row>
    <row r="235" spans="1:21" ht="28" customHeight="1">
      <c r="A235" s="18" t="s">
        <v>1430</v>
      </c>
      <c r="B235" s="18" t="s">
        <v>193</v>
      </c>
      <c r="C235" s="18" t="s">
        <v>226</v>
      </c>
      <c r="D235" s="18" t="s">
        <v>227</v>
      </c>
      <c r="E235" s="18" t="s">
        <v>1431</v>
      </c>
      <c r="F235" s="19" t="s">
        <v>1432</v>
      </c>
      <c r="G235" s="19" t="s">
        <v>1323</v>
      </c>
      <c r="H235" s="24">
        <v>28</v>
      </c>
      <c r="I235" s="24">
        <v>60.8</v>
      </c>
      <c r="J235" s="24">
        <f>MAX(H235,ROUNDUP(I235,0))</f>
        <v>61</v>
      </c>
      <c r="K235" s="22">
        <f>IF(C235="covered",10.4,7.55)</f>
        <v>7.55</v>
      </c>
      <c r="L235" s="18" t="s">
        <v>1433</v>
      </c>
      <c r="M235" s="24">
        <v>61</v>
      </c>
      <c r="N235" s="22">
        <v>7.55</v>
      </c>
      <c r="O235" s="22">
        <v>460.55</v>
      </c>
      <c r="P235" s="22">
        <f>J235*K235</f>
        <v>460.55</v>
      </c>
      <c r="Q235" s="22">
        <f>IF(L235="","",N235-K235)</f>
        <v>0.0</v>
      </c>
      <c r="R235" s="24">
        <f>IF(L235="","",M235-J235)</f>
        <v>0.0</v>
      </c>
      <c r="S235" s="22">
        <f>IF(L235="",-P235,O235-P235)</f>
        <v>0.0</v>
      </c>
      <c r="T235" s="11" t="str">
        <f>IF(L235="","NO BILL IN SUPPLIED EXPORT",IF(ABS(Q235)&gt;0.001,"RATE EXCEPTION",IF(ABS(R235)&gt;0.001,"LENGTH EXCEPTION",IF(ABS(S235)&gt;0.01,"AMOUNT EXCEPTION","OK"))))</f>
        <v>OK</v>
      </c>
      <c r="U235" s="19" t="s">
        <v>1434</v>
      </c>
    </row>
    <row r="236" spans="1:21" ht="28" customHeight="1">
      <c r="A236" s="14" t="s">
        <v>1435</v>
      </c>
      <c r="B236" s="14" t="s">
        <v>193</v>
      </c>
      <c r="C236" s="14" t="s">
        <v>226</v>
      </c>
      <c r="D236" s="14" t="s">
        <v>227</v>
      </c>
      <c r="E236" s="14" t="s">
        <v>1436</v>
      </c>
      <c r="F236" s="15" t="s">
        <v>1437</v>
      </c>
      <c r="G236" s="15" t="s">
        <v>840</v>
      </c>
      <c r="H236" s="24">
        <v>45</v>
      </c>
      <c r="I236" s="24">
        <v>50.6</v>
      </c>
      <c r="J236" s="24">
        <f>MAX(H236,ROUNDUP(I236,0))</f>
        <v>51</v>
      </c>
      <c r="K236" s="22">
        <f>IF(C236="covered",10.4,7.55)</f>
        <v>7.55</v>
      </c>
      <c r="L236" s="14" t="s">
        <v>1438</v>
      </c>
      <c r="M236" s="24">
        <v>51</v>
      </c>
      <c r="N236" s="22">
        <v>7.55</v>
      </c>
      <c r="O236" s="22">
        <v>385.05</v>
      </c>
      <c r="P236" s="22">
        <f>J236*K236</f>
        <v>385.05</v>
      </c>
      <c r="Q236" s="22">
        <f>IF(L236="","",N236-K236)</f>
        <v>0.0</v>
      </c>
      <c r="R236" s="24">
        <f>IF(L236="","",M236-J236)</f>
        <v>0.0</v>
      </c>
      <c r="S236" s="22">
        <f>IF(L236="",-P236,O236-P236)</f>
        <v>0.0</v>
      </c>
      <c r="T236" s="11" t="str">
        <f>IF(L236="","NO BILL IN SUPPLIED EXPORT",IF(ABS(Q236)&gt;0.001,"RATE EXCEPTION",IF(ABS(R236)&gt;0.001,"LENGTH EXCEPTION",IF(ABS(S236)&gt;0.01,"AMOUNT EXCEPTION","OK"))))</f>
        <v>OK</v>
      </c>
      <c r="U236" s="15" t="s">
        <v>1439</v>
      </c>
    </row>
    <row r="237" spans="1:21" ht="28" customHeight="1">
      <c r="A237" s="18" t="s">
        <v>1440</v>
      </c>
      <c r="B237" s="18" t="s">
        <v>193</v>
      </c>
      <c r="C237" s="18" t="s">
        <v>226</v>
      </c>
      <c r="D237" s="18" t="s">
        <v>227</v>
      </c>
      <c r="E237" s="18" t="s">
        <v>1441</v>
      </c>
      <c r="F237" s="19" t="s">
        <v>1442</v>
      </c>
      <c r="G237" s="19" t="s">
        <v>612</v>
      </c>
      <c r="H237" s="24">
        <v>70</v>
      </c>
      <c r="I237" s="24">
        <v>57.5</v>
      </c>
      <c r="J237" s="24">
        <f>MAX(H237,ROUNDUP(I237,0))</f>
        <v>70.0</v>
      </c>
      <c r="K237" s="22">
        <f>IF(C237="covered",10.4,7.55)</f>
        <v>7.55</v>
      </c>
      <c r="L237" s="18" t="s">
        <v>1443</v>
      </c>
      <c r="M237" s="24">
        <v>70</v>
      </c>
      <c r="N237" s="22">
        <v>7.55</v>
      </c>
      <c r="O237" s="22">
        <v>528.5</v>
      </c>
      <c r="P237" s="22">
        <f>J237*K237</f>
        <v>528.5</v>
      </c>
      <c r="Q237" s="22">
        <f>IF(L237="","",N237-K237)</f>
        <v>0.0</v>
      </c>
      <c r="R237" s="24">
        <f>IF(L237="","",M237-J237)</f>
        <v>0.0</v>
      </c>
      <c r="S237" s="22">
        <f>IF(L237="",-P237,O237-P237)</f>
        <v>0.0</v>
      </c>
      <c r="T237" s="11" t="str">
        <f>IF(L237="","NO BILL IN SUPPLIED EXPORT",IF(ABS(Q237)&gt;0.001,"RATE EXCEPTION",IF(ABS(R237)&gt;0.001,"LENGTH EXCEPTION",IF(ABS(S237)&gt;0.01,"AMOUNT EXCEPTION","OK"))))</f>
        <v>OK</v>
      </c>
      <c r="U237" s="19" t="s">
        <v>1444</v>
      </c>
    </row>
    <row r="238" spans="1:21" ht="28" customHeight="1">
      <c r="A238" s="14" t="s">
        <v>1445</v>
      </c>
      <c r="B238" s="14" t="s">
        <v>193</v>
      </c>
      <c r="C238" s="14" t="s">
        <v>226</v>
      </c>
      <c r="D238" s="14" t="s">
        <v>227</v>
      </c>
      <c r="E238" s="14" t="s">
        <v>1446</v>
      </c>
      <c r="F238" s="15" t="s">
        <v>1447</v>
      </c>
      <c r="G238" s="15" t="s">
        <v>1448</v>
      </c>
      <c r="H238" s="24">
        <v>32</v>
      </c>
      <c r="I238" s="24">
        <v>39</v>
      </c>
      <c r="J238" s="24">
        <f>MAX(H238,ROUNDUP(I238,0))</f>
        <v>39</v>
      </c>
      <c r="K238" s="22">
        <f>IF(C238="covered",10.4,7.55)</f>
        <v>7.55</v>
      </c>
      <c r="L238" s="14" t="s">
        <v>1449</v>
      </c>
      <c r="M238" s="24">
        <v>39</v>
      </c>
      <c r="N238" s="22">
        <v>7.55</v>
      </c>
      <c r="O238" s="22">
        <v>294.45</v>
      </c>
      <c r="P238" s="22">
        <f>J238*K238</f>
        <v>294.45</v>
      </c>
      <c r="Q238" s="22">
        <f>IF(L238="","",N238-K238)</f>
        <v>0.0</v>
      </c>
      <c r="R238" s="24">
        <f>IF(L238="","",M238-J238)</f>
        <v>0.0</v>
      </c>
      <c r="S238" s="22">
        <f>IF(L238="",-P238,O238-P238)</f>
        <v>0.0</v>
      </c>
      <c r="T238" s="11" t="str">
        <f>IF(L238="","NO BILL IN SUPPLIED EXPORT",IF(ABS(Q238)&gt;0.001,"RATE EXCEPTION",IF(ABS(R238)&gt;0.001,"LENGTH EXCEPTION",IF(ABS(S238)&gt;0.01,"AMOUNT EXCEPTION","OK"))))</f>
        <v>OK</v>
      </c>
      <c r="U238" s="15" t="s">
        <v>1450</v>
      </c>
    </row>
    <row r="239" spans="1:21" ht="28" customHeight="1">
      <c r="A239" s="18" t="s">
        <v>1451</v>
      </c>
      <c r="B239" s="18" t="s">
        <v>193</v>
      </c>
      <c r="C239" s="18" t="s">
        <v>226</v>
      </c>
      <c r="D239" s="18" t="s">
        <v>227</v>
      </c>
      <c r="E239" s="18" t="s">
        <v>1452</v>
      </c>
      <c r="F239" s="19" t="s">
        <v>1453</v>
      </c>
      <c r="G239" s="19" t="s">
        <v>1454</v>
      </c>
      <c r="H239" s="24">
        <v>60</v>
      </c>
      <c r="I239" s="24">
        <v>26.5</v>
      </c>
      <c r="J239" s="24">
        <f>MAX(H239,ROUNDUP(I239,0))</f>
        <v>60.0</v>
      </c>
      <c r="K239" s="22">
        <f>IF(C239="covered",10.4,7.55)</f>
        <v>7.55</v>
      </c>
      <c r="L239" s="18" t="s">
        <v>1455</v>
      </c>
      <c r="M239" s="24">
        <v>60</v>
      </c>
      <c r="N239" s="22">
        <v>7.55</v>
      </c>
      <c r="O239" s="22">
        <v>453</v>
      </c>
      <c r="P239" s="22">
        <f>J239*K239</f>
        <v>453.0</v>
      </c>
      <c r="Q239" s="22">
        <f>IF(L239="","",N239-K239)</f>
        <v>0.0</v>
      </c>
      <c r="R239" s="24">
        <f>IF(L239="","",M239-J239)</f>
        <v>0.0</v>
      </c>
      <c r="S239" s="22">
        <f>IF(L239="",-P239,O239-P239)</f>
        <v>0.0</v>
      </c>
      <c r="T239" s="11" t="str">
        <f>IF(L239="","NO BILL IN SUPPLIED EXPORT",IF(ABS(Q239)&gt;0.001,"RATE EXCEPTION",IF(ABS(R239)&gt;0.001,"LENGTH EXCEPTION",IF(ABS(S239)&gt;0.01,"AMOUNT EXCEPTION","OK"))))</f>
        <v>OK</v>
      </c>
      <c r="U239" s="19" t="s">
        <v>1456</v>
      </c>
    </row>
    <row r="240" spans="1:21" ht="28" customHeight="1">
      <c r="A240" s="14" t="s">
        <v>1457</v>
      </c>
      <c r="B240" s="14" t="s">
        <v>193</v>
      </c>
      <c r="C240" s="14" t="s">
        <v>226</v>
      </c>
      <c r="D240" s="14" t="s">
        <v>227</v>
      </c>
      <c r="E240" s="14" t="s">
        <v>1458</v>
      </c>
      <c r="F240" s="15" t="s">
        <v>1459</v>
      </c>
      <c r="G240" s="15" t="s">
        <v>1460</v>
      </c>
      <c r="H240" s="24">
        <v>24</v>
      </c>
      <c r="I240" s="24">
        <v>33.7</v>
      </c>
      <c r="J240" s="24">
        <f>MAX(H240,ROUNDUP(I240,0))</f>
        <v>34</v>
      </c>
      <c r="K240" s="22">
        <f>IF(C240="covered",10.4,7.55)</f>
        <v>7.55</v>
      </c>
      <c r="L240" s="14" t="s">
        <v>1461</v>
      </c>
      <c r="M240" s="24">
        <v>34</v>
      </c>
      <c r="N240" s="22">
        <v>7.55</v>
      </c>
      <c r="O240" s="22">
        <v>256.7</v>
      </c>
      <c r="P240" s="22">
        <f>J240*K240</f>
        <v>256.7</v>
      </c>
      <c r="Q240" s="22">
        <f>IF(L240="","",N240-K240)</f>
        <v>0.0</v>
      </c>
      <c r="R240" s="24">
        <f>IF(L240="","",M240-J240)</f>
        <v>0.0</v>
      </c>
      <c r="S240" s="22">
        <f>IF(L240="",-P240,O240-P240)</f>
        <v>0.0</v>
      </c>
      <c r="T240" s="11" t="str">
        <f>IF(L240="","NO BILL IN SUPPLIED EXPORT",IF(ABS(Q240)&gt;0.001,"RATE EXCEPTION",IF(ABS(R240)&gt;0.001,"LENGTH EXCEPTION",IF(ABS(S240)&gt;0.01,"AMOUNT EXCEPTION","OK"))))</f>
        <v>OK</v>
      </c>
      <c r="U240" s="15" t="s">
        <v>1462</v>
      </c>
    </row>
    <row r="241" spans="1:21" ht="28" customHeight="1">
      <c r="A241" s="18" t="s">
        <v>1463</v>
      </c>
      <c r="B241" s="18" t="s">
        <v>194</v>
      </c>
      <c r="C241" s="18" t="s">
        <v>226</v>
      </c>
      <c r="D241" s="18" t="s">
        <v>227</v>
      </c>
      <c r="E241" s="18" t="s">
        <v>1464</v>
      </c>
      <c r="F241" s="19" t="s">
        <v>1465</v>
      </c>
      <c r="G241" s="19" t="s">
        <v>1466</v>
      </c>
      <c r="H241" s="24">
        <v>40</v>
      </c>
      <c r="I241" s="24">
        <v>43.8</v>
      </c>
      <c r="J241" s="24">
        <f>MAX(H241,ROUNDUP(I241,0))</f>
        <v>44</v>
      </c>
      <c r="K241" s="22">
        <f>IF(C241="covered",10.4,7.55)</f>
        <v>7.55</v>
      </c>
      <c r="L241" s="18" t="s">
        <v>1467</v>
      </c>
      <c r="M241" s="24">
        <v>44</v>
      </c>
      <c r="N241" s="22">
        <v>7.55</v>
      </c>
      <c r="O241" s="22">
        <v>332.2</v>
      </c>
      <c r="P241" s="22">
        <f>J241*K241</f>
        <v>332.2</v>
      </c>
      <c r="Q241" s="22">
        <f>IF(L241="","",N241-K241)</f>
        <v>0.0</v>
      </c>
      <c r="R241" s="24">
        <f>IF(L241="","",M241-J241)</f>
        <v>0.0</v>
      </c>
      <c r="S241" s="22">
        <f>IF(L241="",-P241,O241-P241)</f>
        <v>0.0</v>
      </c>
      <c r="T241" s="11" t="str">
        <f>IF(L241="","NO BILL IN SUPPLIED EXPORT",IF(ABS(Q241)&gt;0.001,"RATE EXCEPTION",IF(ABS(R241)&gt;0.001,"LENGTH EXCEPTION",IF(ABS(S241)&gt;0.01,"AMOUNT EXCEPTION","OK"))))</f>
        <v>OK</v>
      </c>
      <c r="U241" s="19" t="s">
        <v>1468</v>
      </c>
    </row>
    <row r="242" spans="1:21" ht="28" customHeight="1">
      <c r="A242" s="14" t="s">
        <v>155</v>
      </c>
      <c r="B242" s="14" t="s">
        <v>194</v>
      </c>
      <c r="C242" s="14" t="s">
        <v>226</v>
      </c>
      <c r="D242" s="14" t="s">
        <v>227</v>
      </c>
      <c r="E242" s="14" t="s">
        <v>1469</v>
      </c>
      <c r="F242" s="15" t="s">
        <v>1470</v>
      </c>
      <c r="G242" s="15" t="s">
        <v>1471</v>
      </c>
      <c r="H242" s="24">
        <v>45</v>
      </c>
      <c r="I242" s="24">
        <v>21.9</v>
      </c>
      <c r="J242" s="24">
        <f>MAX(H242,ROUNDUP(I242,0))</f>
        <v>45.0</v>
      </c>
      <c r="K242" s="22">
        <f>IF(C242="covered",10.4,7.55)</f>
        <v>7.55</v>
      </c>
      <c r="L242" s="14" t="s">
        <v>1472</v>
      </c>
      <c r="M242" s="24">
        <v>45</v>
      </c>
      <c r="N242" s="22">
        <v>7.55</v>
      </c>
      <c r="O242" s="22">
        <v>339.75</v>
      </c>
      <c r="P242" s="22">
        <f>J242*K242</f>
        <v>339.75</v>
      </c>
      <c r="Q242" s="22">
        <f>IF(L242="","",N242-K242)</f>
        <v>0.0</v>
      </c>
      <c r="R242" s="24">
        <f>IF(L242="","",M242-J242)</f>
        <v>0.0</v>
      </c>
      <c r="S242" s="22">
        <f>IF(L242="",-P242,O242-P242)</f>
        <v>0.0</v>
      </c>
      <c r="T242" s="11" t="str">
        <f>IF(L242="","NO BILL IN SUPPLIED EXPORT",IF(ABS(Q242)&gt;0.001,"RATE EXCEPTION",IF(ABS(R242)&gt;0.001,"LENGTH EXCEPTION",IF(ABS(S242)&gt;0.01,"AMOUNT EXCEPTION","OK"))))</f>
        <v>OK</v>
      </c>
      <c r="U242" s="15" t="s">
        <v>1473</v>
      </c>
    </row>
    <row r="243" spans="1:21" ht="28" customHeight="1">
      <c r="A243" s="18" t="s">
        <v>1474</v>
      </c>
      <c r="B243" s="18" t="s">
        <v>194</v>
      </c>
      <c r="C243" s="18" t="s">
        <v>226</v>
      </c>
      <c r="D243" s="18" t="s">
        <v>227</v>
      </c>
      <c r="E243" s="18" t="s">
        <v>1475</v>
      </c>
      <c r="F243" s="19" t="s">
        <v>1476</v>
      </c>
      <c r="G243" s="19" t="s">
        <v>1477</v>
      </c>
      <c r="H243" s="24">
        <v>40</v>
      </c>
      <c r="I243" s="24">
        <v>49.6</v>
      </c>
      <c r="J243" s="24">
        <f>MAX(H243,ROUNDUP(I243,0))</f>
        <v>50</v>
      </c>
      <c r="K243" s="22">
        <f>IF(C243="covered",10.4,7.55)</f>
        <v>7.55</v>
      </c>
      <c r="L243" s="18" t="s">
        <v>1478</v>
      </c>
      <c r="M243" s="24">
        <v>50</v>
      </c>
      <c r="N243" s="22">
        <v>7.55</v>
      </c>
      <c r="O243" s="22">
        <v>377.5</v>
      </c>
      <c r="P243" s="22">
        <f>J243*K243</f>
        <v>377.5</v>
      </c>
      <c r="Q243" s="22">
        <f>IF(L243="","",N243-K243)</f>
        <v>0.0</v>
      </c>
      <c r="R243" s="24">
        <f>IF(L243="","",M243-J243)</f>
        <v>0.0</v>
      </c>
      <c r="S243" s="22">
        <f>IF(L243="",-P243,O243-P243)</f>
        <v>0.0</v>
      </c>
      <c r="T243" s="11" t="str">
        <f>IF(L243="","NO BILL IN SUPPLIED EXPORT",IF(ABS(Q243)&gt;0.001,"RATE EXCEPTION",IF(ABS(R243)&gt;0.001,"LENGTH EXCEPTION",IF(ABS(S243)&gt;0.01,"AMOUNT EXCEPTION","OK"))))</f>
        <v>OK</v>
      </c>
      <c r="U243" s="19" t="s">
        <v>1479</v>
      </c>
    </row>
    <row r="244" spans="1:21" ht="28" customHeight="1">
      <c r="A244" s="14" t="s">
        <v>1480</v>
      </c>
      <c r="B244" s="14" t="s">
        <v>194</v>
      </c>
      <c r="C244" s="14" t="s">
        <v>226</v>
      </c>
      <c r="D244" s="14" t="s">
        <v>227</v>
      </c>
      <c r="E244" s="14" t="s">
        <v>1481</v>
      </c>
      <c r="F244" s="15" t="s">
        <v>1482</v>
      </c>
      <c r="G244" s="15" t="s">
        <v>1483</v>
      </c>
      <c r="H244" s="24">
        <v>60</v>
      </c>
      <c r="I244" s="24">
        <v>35.5</v>
      </c>
      <c r="J244" s="24">
        <f>MAX(H244,ROUNDUP(I244,0))</f>
        <v>60.0</v>
      </c>
      <c r="K244" s="22">
        <f>IF(C244="covered",10.4,7.55)</f>
        <v>7.55</v>
      </c>
      <c r="L244" s="14" t="s">
        <v>1484</v>
      </c>
      <c r="M244" s="24">
        <v>60</v>
      </c>
      <c r="N244" s="22">
        <v>7.55</v>
      </c>
      <c r="O244" s="22">
        <v>453</v>
      </c>
      <c r="P244" s="22">
        <f>J244*K244</f>
        <v>453.0</v>
      </c>
      <c r="Q244" s="22">
        <f>IF(L244="","",N244-K244)</f>
        <v>0.0</v>
      </c>
      <c r="R244" s="24">
        <f>IF(L244="","",M244-J244)</f>
        <v>0.0</v>
      </c>
      <c r="S244" s="22">
        <f>IF(L244="",-P244,O244-P244)</f>
        <v>0.0</v>
      </c>
      <c r="T244" s="11" t="str">
        <f>IF(L244="","NO BILL IN SUPPLIED EXPORT",IF(ABS(Q244)&gt;0.001,"RATE EXCEPTION",IF(ABS(R244)&gt;0.001,"LENGTH EXCEPTION",IF(ABS(S244)&gt;0.01,"AMOUNT EXCEPTION","OK"))))</f>
        <v>OK</v>
      </c>
      <c r="U244" s="15" t="s">
        <v>1485</v>
      </c>
    </row>
    <row r="245" spans="1:21" ht="28" customHeight="1">
      <c r="A245" s="18" t="s">
        <v>1486</v>
      </c>
      <c r="B245" s="18" t="s">
        <v>194</v>
      </c>
      <c r="C245" s="18" t="s">
        <v>226</v>
      </c>
      <c r="D245" s="18" t="s">
        <v>227</v>
      </c>
      <c r="E245" s="18" t="s">
        <v>1487</v>
      </c>
      <c r="F245" s="19" t="s">
        <v>1488</v>
      </c>
      <c r="G245" s="19" t="s">
        <v>1489</v>
      </c>
      <c r="H245" s="24">
        <v>80</v>
      </c>
      <c r="I245" s="24">
        <v>40.5</v>
      </c>
      <c r="J245" s="24">
        <f>MAX(H245,ROUNDUP(I245,0))</f>
        <v>80.0</v>
      </c>
      <c r="K245" s="22">
        <f>IF(C245="covered",10.4,7.55)</f>
        <v>7.55</v>
      </c>
      <c r="L245" s="18" t="s">
        <v>1490</v>
      </c>
      <c r="M245" s="24">
        <v>80</v>
      </c>
      <c r="N245" s="22">
        <v>7.55</v>
      </c>
      <c r="O245" s="22">
        <v>604</v>
      </c>
      <c r="P245" s="22">
        <f>J245*K245</f>
        <v>604.0</v>
      </c>
      <c r="Q245" s="22">
        <f>IF(L245="","",N245-K245)</f>
        <v>0.0</v>
      </c>
      <c r="R245" s="24">
        <f>IF(L245="","",M245-J245)</f>
        <v>0.0</v>
      </c>
      <c r="S245" s="22">
        <f>IF(L245="",-P245,O245-P245)</f>
        <v>0.0</v>
      </c>
      <c r="T245" s="11" t="str">
        <f>IF(L245="","NO BILL IN SUPPLIED EXPORT",IF(ABS(Q245)&gt;0.001,"RATE EXCEPTION",IF(ABS(R245)&gt;0.001,"LENGTH EXCEPTION",IF(ABS(S245)&gt;0.01,"AMOUNT EXCEPTION","OK"))))</f>
        <v>OK</v>
      </c>
      <c r="U245" s="19" t="s">
        <v>1491</v>
      </c>
    </row>
    <row r="246" spans="1:21" ht="28" customHeight="1">
      <c r="A246" s="14" t="s">
        <v>1492</v>
      </c>
      <c r="B246" s="14" t="s">
        <v>194</v>
      </c>
      <c r="C246" s="14" t="s">
        <v>226</v>
      </c>
      <c r="D246" s="14" t="s">
        <v>227</v>
      </c>
      <c r="E246" s="14" t="s">
        <v>1493</v>
      </c>
      <c r="F246" s="15" t="s">
        <v>1494</v>
      </c>
      <c r="G246" s="15" t="s">
        <v>1495</v>
      </c>
      <c r="H246" s="24">
        <v>32</v>
      </c>
      <c r="I246" s="24">
        <v>46.9</v>
      </c>
      <c r="J246" s="24">
        <f>MAX(H246,ROUNDUP(I246,0))</f>
        <v>47</v>
      </c>
      <c r="K246" s="22">
        <f>IF(C246="covered",10.4,7.55)</f>
        <v>7.55</v>
      </c>
      <c r="L246" s="14" t="s">
        <v>1496</v>
      </c>
      <c r="M246" s="24">
        <v>47</v>
      </c>
      <c r="N246" s="22">
        <v>7.55</v>
      </c>
      <c r="O246" s="22">
        <v>354.85</v>
      </c>
      <c r="P246" s="22">
        <f>J246*K246</f>
        <v>354.84999999999997</v>
      </c>
      <c r="Q246" s="22">
        <f>IF(L246="","",N246-K246)</f>
        <v>0.0</v>
      </c>
      <c r="R246" s="24">
        <f>IF(L246="","",M246-J246)</f>
        <v>0.0</v>
      </c>
      <c r="S246" s="22">
        <f>IF(L246="",-P246,O246-P246)</f>
        <v>5.684341886080802e-14</v>
      </c>
      <c r="T246" s="11" t="str">
        <f>IF(L246="","NO BILL IN SUPPLIED EXPORT",IF(ABS(Q246)&gt;0.001,"RATE EXCEPTION",IF(ABS(R246)&gt;0.001,"LENGTH EXCEPTION",IF(ABS(S246)&gt;0.01,"AMOUNT EXCEPTION","OK"))))</f>
        <v>OK</v>
      </c>
      <c r="U246" s="15" t="s">
        <v>1497</v>
      </c>
    </row>
    <row r="247" spans="1:21" ht="28" customHeight="1">
      <c r="A247" s="18" t="s">
        <v>1498</v>
      </c>
      <c r="B247" s="18" t="s">
        <v>194</v>
      </c>
      <c r="C247" s="18" t="s">
        <v>226</v>
      </c>
      <c r="D247" s="18" t="s">
        <v>227</v>
      </c>
      <c r="E247" s="18" t="s">
        <v>1499</v>
      </c>
      <c r="F247" s="19" t="s">
        <v>1500</v>
      </c>
      <c r="G247" s="19" t="s">
        <v>1092</v>
      </c>
      <c r="H247" s="24">
        <v>28</v>
      </c>
      <c r="I247" s="24">
        <v>55</v>
      </c>
      <c r="J247" s="24">
        <f>MAX(H247,ROUNDUP(I247,0))</f>
        <v>55</v>
      </c>
      <c r="K247" s="22">
        <f>IF(C247="covered",10.4,7.55)</f>
        <v>7.55</v>
      </c>
      <c r="L247" s="18" t="s">
        <v>1501</v>
      </c>
      <c r="M247" s="24">
        <v>55</v>
      </c>
      <c r="N247" s="22">
        <v>7.55</v>
      </c>
      <c r="O247" s="22">
        <v>415.25</v>
      </c>
      <c r="P247" s="22">
        <f>J247*K247</f>
        <v>415.25</v>
      </c>
      <c r="Q247" s="22">
        <f>IF(L247="","",N247-K247)</f>
        <v>0.0</v>
      </c>
      <c r="R247" s="24">
        <f>IF(L247="","",M247-J247)</f>
        <v>0.0</v>
      </c>
      <c r="S247" s="22">
        <f>IF(L247="",-P247,O247-P247)</f>
        <v>0.0</v>
      </c>
      <c r="T247" s="11" t="str">
        <f>IF(L247="","NO BILL IN SUPPLIED EXPORT",IF(ABS(Q247)&gt;0.001,"RATE EXCEPTION",IF(ABS(R247)&gt;0.001,"LENGTH EXCEPTION",IF(ABS(S247)&gt;0.01,"AMOUNT EXCEPTION","OK"))))</f>
        <v>OK</v>
      </c>
      <c r="U247" s="19" t="s">
        <v>1502</v>
      </c>
    </row>
    <row r="248" spans="1:21" ht="28" customHeight="1">
      <c r="A248" s="14" t="s">
        <v>1503</v>
      </c>
      <c r="B248" s="14" t="s">
        <v>194</v>
      </c>
      <c r="C248" s="14" t="s">
        <v>226</v>
      </c>
      <c r="D248" s="14" t="s">
        <v>227</v>
      </c>
      <c r="E248" s="14" t="s">
        <v>1504</v>
      </c>
      <c r="F248" s="15" t="s">
        <v>1505</v>
      </c>
      <c r="G248" s="15" t="s">
        <v>1506</v>
      </c>
      <c r="H248" s="24">
        <v>80</v>
      </c>
      <c r="I248" s="24">
        <v>42.1</v>
      </c>
      <c r="J248" s="24">
        <f>MAX(H248,ROUNDUP(I248,0))</f>
        <v>80.0</v>
      </c>
      <c r="K248" s="22">
        <f>IF(C248="covered",10.4,7.55)</f>
        <v>7.55</v>
      </c>
      <c r="L248" s="14" t="s">
        <v>1507</v>
      </c>
      <c r="M248" s="24">
        <v>80</v>
      </c>
      <c r="N248" s="22">
        <v>7.55</v>
      </c>
      <c r="O248" s="22">
        <v>604</v>
      </c>
      <c r="P248" s="22">
        <f>J248*K248</f>
        <v>604.0</v>
      </c>
      <c r="Q248" s="22">
        <f>IF(L248="","",N248-K248)</f>
        <v>0.0</v>
      </c>
      <c r="R248" s="24">
        <f>IF(L248="","",M248-J248)</f>
        <v>0.0</v>
      </c>
      <c r="S248" s="22">
        <f>IF(L248="",-P248,O248-P248)</f>
        <v>0.0</v>
      </c>
      <c r="T248" s="11" t="str">
        <f>IF(L248="","NO BILL IN SUPPLIED EXPORT",IF(ABS(Q248)&gt;0.001,"RATE EXCEPTION",IF(ABS(R248)&gt;0.001,"LENGTH EXCEPTION",IF(ABS(S248)&gt;0.01,"AMOUNT EXCEPTION","OK"))))</f>
        <v>OK</v>
      </c>
      <c r="U248" s="15" t="s">
        <v>1508</v>
      </c>
    </row>
    <row r="249" spans="1:21" ht="28" customHeight="1">
      <c r="A249" s="18" t="s">
        <v>1509</v>
      </c>
      <c r="B249" s="18" t="s">
        <v>194</v>
      </c>
      <c r="C249" s="18" t="s">
        <v>226</v>
      </c>
      <c r="D249" s="18" t="s">
        <v>227</v>
      </c>
      <c r="E249" s="18" t="s">
        <v>1510</v>
      </c>
      <c r="F249" s="19" t="s">
        <v>1511</v>
      </c>
      <c r="G249" s="19" t="s">
        <v>388</v>
      </c>
      <c r="H249" s="24">
        <v>28</v>
      </c>
      <c r="I249" s="24">
        <v>59.8</v>
      </c>
      <c r="J249" s="24">
        <f>MAX(H249,ROUNDUP(I249,0))</f>
        <v>60</v>
      </c>
      <c r="K249" s="22">
        <f>IF(C249="covered",10.4,7.55)</f>
        <v>7.55</v>
      </c>
      <c r="L249" s="18" t="s">
        <v>1512</v>
      </c>
      <c r="M249" s="24">
        <v>60</v>
      </c>
      <c r="N249" s="22">
        <v>7.55</v>
      </c>
      <c r="O249" s="22">
        <v>453</v>
      </c>
      <c r="P249" s="22">
        <f>J249*K249</f>
        <v>453.0</v>
      </c>
      <c r="Q249" s="22">
        <f>IF(L249="","",N249-K249)</f>
        <v>0.0</v>
      </c>
      <c r="R249" s="24">
        <f>IF(L249="","",M249-J249)</f>
        <v>0.0</v>
      </c>
      <c r="S249" s="22">
        <f>IF(L249="",-P249,O249-P249)</f>
        <v>0.0</v>
      </c>
      <c r="T249" s="11" t="str">
        <f>IF(L249="","NO BILL IN SUPPLIED EXPORT",IF(ABS(Q249)&gt;0.001,"RATE EXCEPTION",IF(ABS(R249)&gt;0.001,"LENGTH EXCEPTION",IF(ABS(S249)&gt;0.01,"AMOUNT EXCEPTION","OK"))))</f>
        <v>OK</v>
      </c>
      <c r="U249" s="19" t="s">
        <v>1513</v>
      </c>
    </row>
    <row r="250" spans="1:21" ht="28" customHeight="1">
      <c r="A250" s="14" t="s">
        <v>1514</v>
      </c>
      <c r="B250" s="14" t="s">
        <v>194</v>
      </c>
      <c r="C250" s="14" t="s">
        <v>226</v>
      </c>
      <c r="D250" s="14" t="s">
        <v>227</v>
      </c>
      <c r="E250" s="14" t="s">
        <v>1515</v>
      </c>
      <c r="F250" s="15" t="s">
        <v>1516</v>
      </c>
      <c r="G250" s="15" t="s">
        <v>1517</v>
      </c>
      <c r="H250" s="24">
        <v>32</v>
      </c>
      <c r="I250" s="24">
        <v>19.8</v>
      </c>
      <c r="J250" s="24">
        <f>MAX(H250,ROUNDUP(I250,0))</f>
        <v>32.0</v>
      </c>
      <c r="K250" s="22">
        <f>IF(C250="covered",10.4,7.55)</f>
        <v>7.55</v>
      </c>
      <c r="L250" s="14" t="s">
        <v>1518</v>
      </c>
      <c r="M250" s="24">
        <v>32</v>
      </c>
      <c r="N250" s="22">
        <v>7.55</v>
      </c>
      <c r="O250" s="22">
        <v>241.6</v>
      </c>
      <c r="P250" s="22">
        <f>J250*K250</f>
        <v>241.6</v>
      </c>
      <c r="Q250" s="22">
        <f>IF(L250="","",N250-K250)</f>
        <v>0.0</v>
      </c>
      <c r="R250" s="24">
        <f>IF(L250="","",M250-J250)</f>
        <v>0.0</v>
      </c>
      <c r="S250" s="22">
        <f>IF(L250="",-P250,O250-P250)</f>
        <v>0.0</v>
      </c>
      <c r="T250" s="11" t="str">
        <f>IF(L250="","NO BILL IN SUPPLIED EXPORT",IF(ABS(Q250)&gt;0.001,"RATE EXCEPTION",IF(ABS(R250)&gt;0.001,"LENGTH EXCEPTION",IF(ABS(S250)&gt;0.01,"AMOUNT EXCEPTION","OK"))))</f>
        <v>OK</v>
      </c>
      <c r="U250" s="15" t="s">
        <v>1519</v>
      </c>
    </row>
    <row r="251" spans="1:21" ht="28" customHeight="1">
      <c r="A251" s="18" t="s">
        <v>1520</v>
      </c>
      <c r="B251" s="18" t="s">
        <v>194</v>
      </c>
      <c r="C251" s="18" t="s">
        <v>226</v>
      </c>
      <c r="D251" s="18" t="s">
        <v>227</v>
      </c>
      <c r="E251" s="18" t="s">
        <v>1521</v>
      </c>
      <c r="F251" s="19" t="s">
        <v>1522</v>
      </c>
      <c r="G251" s="19" t="s">
        <v>1523</v>
      </c>
      <c r="H251" s="24">
        <v>45</v>
      </c>
      <c r="I251" s="24">
        <v>45.1</v>
      </c>
      <c r="J251" s="24">
        <f>MAX(H251,ROUNDUP(I251,0))</f>
        <v>46</v>
      </c>
      <c r="K251" s="22">
        <f>IF(C251="covered",10.4,7.55)</f>
        <v>7.55</v>
      </c>
      <c r="L251" s="18" t="s">
        <v>1524</v>
      </c>
      <c r="M251" s="24">
        <v>46</v>
      </c>
      <c r="N251" s="22">
        <v>7.55</v>
      </c>
      <c r="O251" s="22">
        <v>347.3</v>
      </c>
      <c r="P251" s="22">
        <f>J251*K251</f>
        <v>347.3</v>
      </c>
      <c r="Q251" s="22">
        <f>IF(L251="","",N251-K251)</f>
        <v>0.0</v>
      </c>
      <c r="R251" s="24">
        <f>IF(L251="","",M251-J251)</f>
        <v>0.0</v>
      </c>
      <c r="S251" s="22">
        <f>IF(L251="",-P251,O251-P251)</f>
        <v>0.0</v>
      </c>
      <c r="T251" s="11" t="str">
        <f>IF(L251="","NO BILL IN SUPPLIED EXPORT",IF(ABS(Q251)&gt;0.001,"RATE EXCEPTION",IF(ABS(R251)&gt;0.001,"LENGTH EXCEPTION",IF(ABS(S251)&gt;0.01,"AMOUNT EXCEPTION","OK"))))</f>
        <v>OK</v>
      </c>
      <c r="U251" s="19" t="s">
        <v>1525</v>
      </c>
    </row>
    <row r="252" spans="1:21" ht="28" customHeight="1">
      <c r="A252" s="14" t="s">
        <v>1526</v>
      </c>
      <c r="B252" s="14" t="s">
        <v>194</v>
      </c>
      <c r="C252" s="14" t="s">
        <v>226</v>
      </c>
      <c r="D252" s="14" t="s">
        <v>227</v>
      </c>
      <c r="E252" s="14" t="s">
        <v>1527</v>
      </c>
      <c r="F252" s="15" t="s">
        <v>1528</v>
      </c>
      <c r="G252" s="15" t="s">
        <v>1529</v>
      </c>
      <c r="H252" s="24">
        <v>24</v>
      </c>
      <c r="I252" s="24">
        <v>36.6</v>
      </c>
      <c r="J252" s="24">
        <f>MAX(H252,ROUNDUP(I252,0))</f>
        <v>37</v>
      </c>
      <c r="K252" s="22">
        <f>IF(C252="covered",10.4,7.55)</f>
        <v>7.55</v>
      </c>
      <c r="L252" s="14" t="s">
        <v>1530</v>
      </c>
      <c r="M252" s="24">
        <v>37</v>
      </c>
      <c r="N252" s="22">
        <v>7.55</v>
      </c>
      <c r="O252" s="22">
        <v>279.35</v>
      </c>
      <c r="P252" s="22">
        <f>J252*K252</f>
        <v>279.34999999999997</v>
      </c>
      <c r="Q252" s="22">
        <f>IF(L252="","",N252-K252)</f>
        <v>0.0</v>
      </c>
      <c r="R252" s="24">
        <f>IF(L252="","",M252-J252)</f>
        <v>0.0</v>
      </c>
      <c r="S252" s="22">
        <f>IF(L252="",-P252,O252-P252)</f>
        <v>5.684341886080802e-14</v>
      </c>
      <c r="T252" s="11" t="str">
        <f>IF(L252="","NO BILL IN SUPPLIED EXPORT",IF(ABS(Q252)&gt;0.001,"RATE EXCEPTION",IF(ABS(R252)&gt;0.001,"LENGTH EXCEPTION",IF(ABS(S252)&gt;0.01,"AMOUNT EXCEPTION","OK"))))</f>
        <v>OK</v>
      </c>
      <c r="U252" s="15" t="s">
        <v>1531</v>
      </c>
    </row>
    <row r="253" spans="1:21" ht="28" customHeight="1">
      <c r="A253" s="18" t="s">
        <v>1532</v>
      </c>
      <c r="B253" s="18" t="s">
        <v>194</v>
      </c>
      <c r="C253" s="18" t="s">
        <v>226</v>
      </c>
      <c r="D253" s="18" t="s">
        <v>227</v>
      </c>
      <c r="E253" s="18" t="s">
        <v>1533</v>
      </c>
      <c r="F253" s="19" t="s">
        <v>1534</v>
      </c>
      <c r="G253" s="19" t="s">
        <v>1535</v>
      </c>
      <c r="H253" s="24">
        <v>50</v>
      </c>
      <c r="I253" s="24">
        <v>26.4</v>
      </c>
      <c r="J253" s="24">
        <f>MAX(H253,ROUNDUP(I253,0))</f>
        <v>50.0</v>
      </c>
      <c r="K253" s="22">
        <f>IF(C253="covered",10.4,7.55)</f>
        <v>7.55</v>
      </c>
      <c r="L253" s="18" t="s">
        <v>1536</v>
      </c>
      <c r="M253" s="24">
        <v>50</v>
      </c>
      <c r="N253" s="22">
        <v>7.55</v>
      </c>
      <c r="O253" s="22">
        <v>377.5</v>
      </c>
      <c r="P253" s="22">
        <f>J253*K253</f>
        <v>377.5</v>
      </c>
      <c r="Q253" s="22">
        <f>IF(L253="","",N253-K253)</f>
        <v>0.0</v>
      </c>
      <c r="R253" s="24">
        <f>IF(L253="","",M253-J253)</f>
        <v>0.0</v>
      </c>
      <c r="S253" s="22">
        <f>IF(L253="",-P253,O253-P253)</f>
        <v>0.0</v>
      </c>
      <c r="T253" s="11" t="str">
        <f>IF(L253="","NO BILL IN SUPPLIED EXPORT",IF(ABS(Q253)&gt;0.001,"RATE EXCEPTION",IF(ABS(R253)&gt;0.001,"LENGTH EXCEPTION",IF(ABS(S253)&gt;0.01,"AMOUNT EXCEPTION","OK"))))</f>
        <v>OK</v>
      </c>
      <c r="U253" s="19" t="s">
        <v>1537</v>
      </c>
    </row>
    <row r="254" spans="1:21" ht="28" customHeight="1">
      <c r="A254" s="14" t="s">
        <v>1538</v>
      </c>
      <c r="B254" s="14" t="s">
        <v>194</v>
      </c>
      <c r="C254" s="14" t="s">
        <v>226</v>
      </c>
      <c r="D254" s="14" t="s">
        <v>227</v>
      </c>
      <c r="E254" s="14" t="s">
        <v>1539</v>
      </c>
      <c r="F254" s="15" t="s">
        <v>1540</v>
      </c>
      <c r="G254" s="15" t="s">
        <v>1541</v>
      </c>
      <c r="H254" s="24">
        <v>32</v>
      </c>
      <c r="I254" s="24">
        <v>49.4</v>
      </c>
      <c r="J254" s="24">
        <f>MAX(H254,ROUNDUP(I254,0))</f>
        <v>50</v>
      </c>
      <c r="K254" s="22">
        <f>IF(C254="covered",10.4,7.55)</f>
        <v>7.55</v>
      </c>
      <c r="L254" s="14" t="s">
        <v>1542</v>
      </c>
      <c r="M254" s="24">
        <v>50</v>
      </c>
      <c r="N254" s="22">
        <v>7.55</v>
      </c>
      <c r="O254" s="22">
        <v>377.5</v>
      </c>
      <c r="P254" s="22">
        <f>J254*K254</f>
        <v>377.5</v>
      </c>
      <c r="Q254" s="22">
        <f>IF(L254="","",N254-K254)</f>
        <v>0.0</v>
      </c>
      <c r="R254" s="24">
        <f>IF(L254="","",M254-J254)</f>
        <v>0.0</v>
      </c>
      <c r="S254" s="22">
        <f>IF(L254="",-P254,O254-P254)</f>
        <v>0.0</v>
      </c>
      <c r="T254" s="11" t="str">
        <f>IF(L254="","NO BILL IN SUPPLIED EXPORT",IF(ABS(Q254)&gt;0.001,"RATE EXCEPTION",IF(ABS(R254)&gt;0.001,"LENGTH EXCEPTION",IF(ABS(S254)&gt;0.01,"AMOUNT EXCEPTION","OK"))))</f>
        <v>OK</v>
      </c>
      <c r="U254" s="15" t="s">
        <v>1543</v>
      </c>
    </row>
    <row r="255" spans="1:21" ht="28" customHeight="1">
      <c r="A255" s="18" t="s">
        <v>1544</v>
      </c>
      <c r="B255" s="18" t="s">
        <v>194</v>
      </c>
      <c r="C255" s="18" t="s">
        <v>226</v>
      </c>
      <c r="D255" s="18" t="s">
        <v>227</v>
      </c>
      <c r="E255" s="18" t="s">
        <v>1545</v>
      </c>
      <c r="F255" s="19" t="s">
        <v>1546</v>
      </c>
      <c r="G255" s="19" t="s">
        <v>1547</v>
      </c>
      <c r="H255" s="24">
        <v>50</v>
      </c>
      <c r="I255" s="24">
        <v>50</v>
      </c>
      <c r="J255" s="24">
        <f>MAX(H255,ROUNDUP(I255,0))</f>
        <v>50.0</v>
      </c>
      <c r="K255" s="22">
        <f>IF(C255="covered",10.4,7.55)</f>
        <v>7.55</v>
      </c>
      <c r="L255" s="18" t="s">
        <v>1548</v>
      </c>
      <c r="M255" s="24">
        <v>50</v>
      </c>
      <c r="N255" s="22">
        <v>7.55</v>
      </c>
      <c r="O255" s="22">
        <v>377.5</v>
      </c>
      <c r="P255" s="22">
        <f>J255*K255</f>
        <v>377.5</v>
      </c>
      <c r="Q255" s="22">
        <f>IF(L255="","",N255-K255)</f>
        <v>0.0</v>
      </c>
      <c r="R255" s="24">
        <f>IF(L255="","",M255-J255)</f>
        <v>0.0</v>
      </c>
      <c r="S255" s="22">
        <f>IF(L255="",-P255,O255-P255)</f>
        <v>0.0</v>
      </c>
      <c r="T255" s="11" t="str">
        <f>IF(L255="","NO BILL IN SUPPLIED EXPORT",IF(ABS(Q255)&gt;0.001,"RATE EXCEPTION",IF(ABS(R255)&gt;0.001,"LENGTH EXCEPTION",IF(ABS(S255)&gt;0.01,"AMOUNT EXCEPTION","OK"))))</f>
        <v>OK</v>
      </c>
      <c r="U255" s="19" t="s">
        <v>1549</v>
      </c>
    </row>
    <row r="256" spans="1:21" ht="28" customHeight="1">
      <c r="A256" s="14" t="s">
        <v>1550</v>
      </c>
      <c r="B256" s="14" t="s">
        <v>194</v>
      </c>
      <c r="C256" s="14" t="s">
        <v>226</v>
      </c>
      <c r="D256" s="14" t="s">
        <v>227</v>
      </c>
      <c r="E256" s="14" t="s">
        <v>1551</v>
      </c>
      <c r="F256" s="15" t="s">
        <v>1552</v>
      </c>
      <c r="G256" s="15" t="s">
        <v>963</v>
      </c>
      <c r="H256" s="24">
        <v>60</v>
      </c>
      <c r="I256" s="24">
        <v>53.9</v>
      </c>
      <c r="J256" s="24">
        <f>MAX(H256,ROUNDUP(I256,0))</f>
        <v>60.0</v>
      </c>
      <c r="K256" s="22">
        <f>IF(C256="covered",10.4,7.55)</f>
        <v>7.55</v>
      </c>
      <c r="L256" s="14" t="s">
        <v>1553</v>
      </c>
      <c r="M256" s="24">
        <v>60</v>
      </c>
      <c r="N256" s="22">
        <v>7.55</v>
      </c>
      <c r="O256" s="22">
        <v>453</v>
      </c>
      <c r="P256" s="22">
        <f>J256*K256</f>
        <v>453.0</v>
      </c>
      <c r="Q256" s="22">
        <f>IF(L256="","",N256-K256)</f>
        <v>0.0</v>
      </c>
      <c r="R256" s="24">
        <f>IF(L256="","",M256-J256)</f>
        <v>0.0</v>
      </c>
      <c r="S256" s="22">
        <f>IF(L256="",-P256,O256-P256)</f>
        <v>0.0</v>
      </c>
      <c r="T256" s="11" t="str">
        <f>IF(L256="","NO BILL IN SUPPLIED EXPORT",IF(ABS(Q256)&gt;0.001,"RATE EXCEPTION",IF(ABS(R256)&gt;0.001,"LENGTH EXCEPTION",IF(ABS(S256)&gt;0.01,"AMOUNT EXCEPTION","OK"))))</f>
        <v>OK</v>
      </c>
      <c r="U256" s="15" t="s">
        <v>1554</v>
      </c>
    </row>
    <row r="257" spans="1:21" ht="28" customHeight="1">
      <c r="A257" s="18" t="s">
        <v>1555</v>
      </c>
      <c r="B257" s="18" t="s">
        <v>194</v>
      </c>
      <c r="C257" s="18" t="s">
        <v>226</v>
      </c>
      <c r="D257" s="18" t="s">
        <v>227</v>
      </c>
      <c r="E257" s="18" t="s">
        <v>1556</v>
      </c>
      <c r="F257" s="19" t="s">
        <v>1557</v>
      </c>
      <c r="G257" s="19" t="s">
        <v>370</v>
      </c>
      <c r="H257" s="24">
        <v>28</v>
      </c>
      <c r="I257" s="24">
        <v>37.9</v>
      </c>
      <c r="J257" s="24">
        <f>MAX(H257,ROUNDUP(I257,0))</f>
        <v>38</v>
      </c>
      <c r="K257" s="22">
        <f>IF(C257="covered",10.4,7.55)</f>
        <v>7.55</v>
      </c>
      <c r="L257" s="18" t="s">
        <v>1558</v>
      </c>
      <c r="M257" s="24">
        <v>38</v>
      </c>
      <c r="N257" s="22">
        <v>7.55</v>
      </c>
      <c r="O257" s="22">
        <v>286.9</v>
      </c>
      <c r="P257" s="22">
        <f>J257*K257</f>
        <v>286.9</v>
      </c>
      <c r="Q257" s="22">
        <f>IF(L257="","",N257-K257)</f>
        <v>0.0</v>
      </c>
      <c r="R257" s="24">
        <f>IF(L257="","",M257-J257)</f>
        <v>0.0</v>
      </c>
      <c r="S257" s="22">
        <f>IF(L257="",-P257,O257-P257)</f>
        <v>0.0</v>
      </c>
      <c r="T257" s="11" t="str">
        <f>IF(L257="","NO BILL IN SUPPLIED EXPORT",IF(ABS(Q257)&gt;0.001,"RATE EXCEPTION",IF(ABS(R257)&gt;0.001,"LENGTH EXCEPTION",IF(ABS(S257)&gt;0.01,"AMOUNT EXCEPTION","OK"))))</f>
        <v>OK</v>
      </c>
      <c r="U257" s="19" t="s">
        <v>1559</v>
      </c>
    </row>
    <row r="258" spans="1:21" ht="28" customHeight="1">
      <c r="A258" s="14" t="s">
        <v>1560</v>
      </c>
      <c r="B258" s="14" t="s">
        <v>194</v>
      </c>
      <c r="C258" s="14" t="s">
        <v>226</v>
      </c>
      <c r="D258" s="14" t="s">
        <v>227</v>
      </c>
      <c r="E258" s="14" t="s">
        <v>1561</v>
      </c>
      <c r="F258" s="15" t="s">
        <v>1562</v>
      </c>
      <c r="G258" s="15" t="s">
        <v>1563</v>
      </c>
      <c r="H258" s="24">
        <v>32</v>
      </c>
      <c r="I258" s="24">
        <v>49.8</v>
      </c>
      <c r="J258" s="24">
        <f>MAX(H258,ROUNDUP(I258,0))</f>
        <v>50</v>
      </c>
      <c r="K258" s="22">
        <f>IF(C258="covered",10.4,7.55)</f>
        <v>7.55</v>
      </c>
      <c r="L258" s="14" t="s">
        <v>1564</v>
      </c>
      <c r="M258" s="24">
        <v>50</v>
      </c>
      <c r="N258" s="22">
        <v>7.55</v>
      </c>
      <c r="O258" s="22">
        <v>377.5</v>
      </c>
      <c r="P258" s="22">
        <f>J258*K258</f>
        <v>377.5</v>
      </c>
      <c r="Q258" s="22">
        <f>IF(L258="","",N258-K258)</f>
        <v>0.0</v>
      </c>
      <c r="R258" s="24">
        <f>IF(L258="","",M258-J258)</f>
        <v>0.0</v>
      </c>
      <c r="S258" s="22">
        <f>IF(L258="",-P258,O258-P258)</f>
        <v>0.0</v>
      </c>
      <c r="T258" s="11" t="str">
        <f>IF(L258="","NO BILL IN SUPPLIED EXPORT",IF(ABS(Q258)&gt;0.001,"RATE EXCEPTION",IF(ABS(R258)&gt;0.001,"LENGTH EXCEPTION",IF(ABS(S258)&gt;0.01,"AMOUNT EXCEPTION","OK"))))</f>
        <v>OK</v>
      </c>
      <c r="U258" s="15" t="s">
        <v>1565</v>
      </c>
    </row>
    <row r="259" spans="1:21" ht="28" customHeight="1">
      <c r="A259" s="18" t="s">
        <v>1566</v>
      </c>
      <c r="B259" s="18" t="s">
        <v>194</v>
      </c>
      <c r="C259" s="18" t="s">
        <v>226</v>
      </c>
      <c r="D259" s="18" t="s">
        <v>227</v>
      </c>
      <c r="E259" s="18" t="s">
        <v>1567</v>
      </c>
      <c r="F259" s="19" t="s">
        <v>1568</v>
      </c>
      <c r="G259" s="19" t="s">
        <v>1045</v>
      </c>
      <c r="H259" s="24">
        <v>32</v>
      </c>
      <c r="I259" s="24">
        <v>40.7</v>
      </c>
      <c r="J259" s="24">
        <f>MAX(H259,ROUNDUP(I259,0))</f>
        <v>41</v>
      </c>
      <c r="K259" s="22">
        <f>IF(C259="covered",10.4,7.55)</f>
        <v>7.55</v>
      </c>
      <c r="L259" s="18" t="s">
        <v>1569</v>
      </c>
      <c r="M259" s="24">
        <v>41</v>
      </c>
      <c r="N259" s="22">
        <v>7.55</v>
      </c>
      <c r="O259" s="22">
        <v>309.55</v>
      </c>
      <c r="P259" s="22">
        <f>J259*K259</f>
        <v>309.55</v>
      </c>
      <c r="Q259" s="22">
        <f>IF(L259="","",N259-K259)</f>
        <v>0.0</v>
      </c>
      <c r="R259" s="24">
        <f>IF(L259="","",M259-J259)</f>
        <v>0.0</v>
      </c>
      <c r="S259" s="22">
        <f>IF(L259="",-P259,O259-P259)</f>
        <v>0.0</v>
      </c>
      <c r="T259" s="11" t="str">
        <f>IF(L259="","NO BILL IN SUPPLIED EXPORT",IF(ABS(Q259)&gt;0.001,"RATE EXCEPTION",IF(ABS(R259)&gt;0.001,"LENGTH EXCEPTION",IF(ABS(S259)&gt;0.01,"AMOUNT EXCEPTION","OK"))))</f>
        <v>OK</v>
      </c>
      <c r="U259" s="19" t="s">
        <v>1570</v>
      </c>
    </row>
    <row r="260" spans="1:21" ht="28" customHeight="1">
      <c r="A260" s="14" t="s">
        <v>1571</v>
      </c>
      <c r="B260" s="14" t="s">
        <v>194</v>
      </c>
      <c r="C260" s="14" t="s">
        <v>226</v>
      </c>
      <c r="D260" s="14" t="s">
        <v>227</v>
      </c>
      <c r="E260" s="14" t="s">
        <v>1572</v>
      </c>
      <c r="F260" s="15" t="s">
        <v>1573</v>
      </c>
      <c r="G260" s="15" t="s">
        <v>1574</v>
      </c>
      <c r="H260" s="24">
        <v>32</v>
      </c>
      <c r="I260" s="24">
        <v>26.5</v>
      </c>
      <c r="J260" s="24">
        <f>MAX(H260,ROUNDUP(I260,0))</f>
        <v>32.0</v>
      </c>
      <c r="K260" s="22">
        <f>IF(C260="covered",10.4,7.55)</f>
        <v>7.55</v>
      </c>
      <c r="L260" s="14" t="s">
        <v>1575</v>
      </c>
      <c r="M260" s="24">
        <v>32</v>
      </c>
      <c r="N260" s="22">
        <v>7.55</v>
      </c>
      <c r="O260" s="22">
        <v>241.6</v>
      </c>
      <c r="P260" s="22">
        <f>J260*K260</f>
        <v>241.6</v>
      </c>
      <c r="Q260" s="22">
        <f>IF(L260="","",N260-K260)</f>
        <v>0.0</v>
      </c>
      <c r="R260" s="24">
        <f>IF(L260="","",M260-J260)</f>
        <v>0.0</v>
      </c>
      <c r="S260" s="22">
        <f>IF(L260="",-P260,O260-P260)</f>
        <v>0.0</v>
      </c>
      <c r="T260" s="11" t="str">
        <f>IF(L260="","NO BILL IN SUPPLIED EXPORT",IF(ABS(Q260)&gt;0.001,"RATE EXCEPTION",IF(ABS(R260)&gt;0.001,"LENGTH EXCEPTION",IF(ABS(S260)&gt;0.01,"AMOUNT EXCEPTION","OK"))))</f>
        <v>OK</v>
      </c>
      <c r="U260" s="15" t="s">
        <v>1576</v>
      </c>
    </row>
    <row r="261" spans="1:21" ht="28" customHeight="1">
      <c r="A261" s="18" t="s">
        <v>1577</v>
      </c>
      <c r="B261" s="18" t="s">
        <v>194</v>
      </c>
      <c r="C261" s="18" t="s">
        <v>226</v>
      </c>
      <c r="D261" s="18" t="s">
        <v>227</v>
      </c>
      <c r="E261" s="18" t="s">
        <v>1578</v>
      </c>
      <c r="F261" s="19" t="s">
        <v>1579</v>
      </c>
      <c r="G261" s="19" t="s">
        <v>1580</v>
      </c>
      <c r="H261" s="24">
        <v>80</v>
      </c>
      <c r="I261" s="24">
        <v>40.2</v>
      </c>
      <c r="J261" s="24">
        <f>MAX(H261,ROUNDUP(I261,0))</f>
        <v>80.0</v>
      </c>
      <c r="K261" s="22">
        <f>IF(C261="covered",10.4,7.55)</f>
        <v>7.55</v>
      </c>
      <c r="L261" s="18" t="s">
        <v>1581</v>
      </c>
      <c r="M261" s="24">
        <v>80</v>
      </c>
      <c r="N261" s="22">
        <v>7.55</v>
      </c>
      <c r="O261" s="22">
        <v>604</v>
      </c>
      <c r="P261" s="22">
        <f>J261*K261</f>
        <v>604.0</v>
      </c>
      <c r="Q261" s="22">
        <f>IF(L261="","",N261-K261)</f>
        <v>0.0</v>
      </c>
      <c r="R261" s="24">
        <f>IF(L261="","",M261-J261)</f>
        <v>0.0</v>
      </c>
      <c r="S261" s="22">
        <f>IF(L261="",-P261,O261-P261)</f>
        <v>0.0</v>
      </c>
      <c r="T261" s="11" t="str">
        <f>IF(L261="","NO BILL IN SUPPLIED EXPORT",IF(ABS(Q261)&gt;0.001,"RATE EXCEPTION",IF(ABS(R261)&gt;0.001,"LENGTH EXCEPTION",IF(ABS(S261)&gt;0.01,"AMOUNT EXCEPTION","OK"))))</f>
        <v>OK</v>
      </c>
      <c r="U261" s="19" t="s">
        <v>1582</v>
      </c>
    </row>
    <row r="262" spans="1:21" ht="28" customHeight="1">
      <c r="A262" s="14" t="s">
        <v>1583</v>
      </c>
      <c r="B262" s="14" t="s">
        <v>194</v>
      </c>
      <c r="C262" s="14" t="s">
        <v>226</v>
      </c>
      <c r="D262" s="14" t="s">
        <v>227</v>
      </c>
      <c r="E262" s="14" t="s">
        <v>1584</v>
      </c>
      <c r="F262" s="15" t="s">
        <v>1585</v>
      </c>
      <c r="G262" s="15" t="s">
        <v>1586</v>
      </c>
      <c r="H262" s="24">
        <v>32</v>
      </c>
      <c r="I262" s="24">
        <v>36.5</v>
      </c>
      <c r="J262" s="24">
        <f>MAX(H262,ROUNDUP(I262,0))</f>
        <v>37</v>
      </c>
      <c r="K262" s="22">
        <f>IF(C262="covered",10.4,7.55)</f>
        <v>7.55</v>
      </c>
      <c r="L262" s="14" t="s">
        <v>1587</v>
      </c>
      <c r="M262" s="24">
        <v>37</v>
      </c>
      <c r="N262" s="22">
        <v>7.55</v>
      </c>
      <c r="O262" s="22">
        <v>279.35</v>
      </c>
      <c r="P262" s="22">
        <f>J262*K262</f>
        <v>279.34999999999997</v>
      </c>
      <c r="Q262" s="22">
        <f>IF(L262="","",N262-K262)</f>
        <v>0.0</v>
      </c>
      <c r="R262" s="24">
        <f>IF(L262="","",M262-J262)</f>
        <v>0.0</v>
      </c>
      <c r="S262" s="22">
        <f>IF(L262="",-P262,O262-P262)</f>
        <v>5.684341886080802e-14</v>
      </c>
      <c r="T262" s="11" t="str">
        <f>IF(L262="","NO BILL IN SUPPLIED EXPORT",IF(ABS(Q262)&gt;0.001,"RATE EXCEPTION",IF(ABS(R262)&gt;0.001,"LENGTH EXCEPTION",IF(ABS(S262)&gt;0.01,"AMOUNT EXCEPTION","OK"))))</f>
        <v>OK</v>
      </c>
      <c r="U262" s="15" t="s">
        <v>1588</v>
      </c>
    </row>
    <row r="263" spans="1:21" ht="28" customHeight="1">
      <c r="A263" s="18" t="s">
        <v>1589</v>
      </c>
      <c r="B263" s="18" t="s">
        <v>194</v>
      </c>
      <c r="C263" s="18" t="s">
        <v>226</v>
      </c>
      <c r="D263" s="18" t="s">
        <v>227</v>
      </c>
      <c r="E263" s="18" t="s">
        <v>1590</v>
      </c>
      <c r="F263" s="19" t="s">
        <v>1591</v>
      </c>
      <c r="G263" s="19" t="s">
        <v>1592</v>
      </c>
      <c r="H263" s="24">
        <v>80</v>
      </c>
      <c r="I263" s="24">
        <v>58.2</v>
      </c>
      <c r="J263" s="24">
        <f>MAX(H263,ROUNDUP(I263,0))</f>
        <v>80.0</v>
      </c>
      <c r="K263" s="22">
        <f>IF(C263="covered",10.4,7.55)</f>
        <v>7.55</v>
      </c>
      <c r="L263" s="18" t="s">
        <v>1593</v>
      </c>
      <c r="M263" s="24">
        <v>80</v>
      </c>
      <c r="N263" s="22">
        <v>7.55</v>
      </c>
      <c r="O263" s="22">
        <v>604</v>
      </c>
      <c r="P263" s="22">
        <f>J263*K263</f>
        <v>604.0</v>
      </c>
      <c r="Q263" s="22">
        <f>IF(L263="","",N263-K263)</f>
        <v>0.0</v>
      </c>
      <c r="R263" s="24">
        <f>IF(L263="","",M263-J263)</f>
        <v>0.0</v>
      </c>
      <c r="S263" s="22">
        <f>IF(L263="",-P263,O263-P263)</f>
        <v>0.0</v>
      </c>
      <c r="T263" s="11" t="str">
        <f>IF(L263="","NO BILL IN SUPPLIED EXPORT",IF(ABS(Q263)&gt;0.001,"RATE EXCEPTION",IF(ABS(R263)&gt;0.001,"LENGTH EXCEPTION",IF(ABS(S263)&gt;0.01,"AMOUNT EXCEPTION","OK"))))</f>
        <v>OK</v>
      </c>
      <c r="U263" s="19" t="s">
        <v>1594</v>
      </c>
    </row>
    <row r="264" spans="1:21" ht="28" customHeight="1">
      <c r="A264" s="14" t="s">
        <v>1595</v>
      </c>
      <c r="B264" s="14" t="s">
        <v>194</v>
      </c>
      <c r="C264" s="14" t="s">
        <v>226</v>
      </c>
      <c r="D264" s="14" t="s">
        <v>227</v>
      </c>
      <c r="E264" s="14" t="s">
        <v>1596</v>
      </c>
      <c r="F264" s="15" t="s">
        <v>1597</v>
      </c>
      <c r="G264" s="15" t="s">
        <v>1598</v>
      </c>
      <c r="H264" s="24">
        <v>32</v>
      </c>
      <c r="I264" s="24">
        <v>25.1</v>
      </c>
      <c r="J264" s="24">
        <f>MAX(H264,ROUNDUP(I264,0))</f>
        <v>32.0</v>
      </c>
      <c r="K264" s="22">
        <f>IF(C264="covered",10.4,7.55)</f>
        <v>7.55</v>
      </c>
      <c r="L264" s="14" t="s">
        <v>1599</v>
      </c>
      <c r="M264" s="24">
        <v>32</v>
      </c>
      <c r="N264" s="22">
        <v>7.55</v>
      </c>
      <c r="O264" s="22">
        <v>241.6</v>
      </c>
      <c r="P264" s="22">
        <f>J264*K264</f>
        <v>241.6</v>
      </c>
      <c r="Q264" s="22">
        <f>IF(L264="","",N264-K264)</f>
        <v>0.0</v>
      </c>
      <c r="R264" s="24">
        <f>IF(L264="","",M264-J264)</f>
        <v>0.0</v>
      </c>
      <c r="S264" s="22">
        <f>IF(L264="",-P264,O264-P264)</f>
        <v>0.0</v>
      </c>
      <c r="T264" s="11" t="str">
        <f>IF(L264="","NO BILL IN SUPPLIED EXPORT",IF(ABS(Q264)&gt;0.001,"RATE EXCEPTION",IF(ABS(R264)&gt;0.001,"LENGTH EXCEPTION",IF(ABS(S264)&gt;0.01,"AMOUNT EXCEPTION","OK"))))</f>
        <v>OK</v>
      </c>
      <c r="U264" s="15" t="s">
        <v>1600</v>
      </c>
    </row>
    <row r="265" spans="1:21" ht="28" customHeight="1">
      <c r="A265" s="18" t="s">
        <v>1601</v>
      </c>
      <c r="B265" s="18" t="s">
        <v>194</v>
      </c>
      <c r="C265" s="18" t="s">
        <v>226</v>
      </c>
      <c r="D265" s="18" t="s">
        <v>227</v>
      </c>
      <c r="E265" s="18" t="s">
        <v>1602</v>
      </c>
      <c r="F265" s="19" t="s">
        <v>1603</v>
      </c>
      <c r="G265" s="19" t="s">
        <v>1156</v>
      </c>
      <c r="H265" s="24">
        <v>50</v>
      </c>
      <c r="I265" s="24">
        <v>43.1</v>
      </c>
      <c r="J265" s="24">
        <f>MAX(H265,ROUNDUP(I265,0))</f>
        <v>50.0</v>
      </c>
      <c r="K265" s="22">
        <f>IF(C265="covered",10.4,7.55)</f>
        <v>7.55</v>
      </c>
      <c r="L265" s="18" t="s">
        <v>1604</v>
      </c>
      <c r="M265" s="24">
        <v>50</v>
      </c>
      <c r="N265" s="22">
        <v>7.55</v>
      </c>
      <c r="O265" s="22">
        <v>377.5</v>
      </c>
      <c r="P265" s="22">
        <f>J265*K265</f>
        <v>377.5</v>
      </c>
      <c r="Q265" s="22">
        <f>IF(L265="","",N265-K265)</f>
        <v>0.0</v>
      </c>
      <c r="R265" s="24">
        <f>IF(L265="","",M265-J265)</f>
        <v>0.0</v>
      </c>
      <c r="S265" s="22">
        <f>IF(L265="",-P265,O265-P265)</f>
        <v>0.0</v>
      </c>
      <c r="T265" s="11" t="str">
        <f>IF(L265="","NO BILL IN SUPPLIED EXPORT",IF(ABS(Q265)&gt;0.001,"RATE EXCEPTION",IF(ABS(R265)&gt;0.001,"LENGTH EXCEPTION",IF(ABS(S265)&gt;0.01,"AMOUNT EXCEPTION","OK"))))</f>
        <v>OK</v>
      </c>
      <c r="U265" s="19" t="s">
        <v>1605</v>
      </c>
    </row>
    <row r="266" spans="1:21" ht="28" customHeight="1">
      <c r="A266" s="14" t="s">
        <v>1606</v>
      </c>
      <c r="B266" s="14" t="s">
        <v>194</v>
      </c>
      <c r="C266" s="14" t="s">
        <v>226</v>
      </c>
      <c r="D266" s="14" t="s">
        <v>227</v>
      </c>
      <c r="E266" s="14" t="s">
        <v>1607</v>
      </c>
      <c r="F266" s="15" t="s">
        <v>1608</v>
      </c>
      <c r="G266" s="15" t="s">
        <v>1609</v>
      </c>
      <c r="H266" s="24">
        <v>24</v>
      </c>
      <c r="I266" s="24">
        <v>55.9</v>
      </c>
      <c r="J266" s="24">
        <f>MAX(H266,ROUNDUP(I266,0))</f>
        <v>56</v>
      </c>
      <c r="K266" s="22">
        <f>IF(C266="covered",10.4,7.55)</f>
        <v>7.55</v>
      </c>
      <c r="L266" s="14" t="s">
        <v>1610</v>
      </c>
      <c r="M266" s="24">
        <v>56</v>
      </c>
      <c r="N266" s="22">
        <v>7.55</v>
      </c>
      <c r="O266" s="22">
        <v>422.8</v>
      </c>
      <c r="P266" s="22">
        <f>J266*K266</f>
        <v>422.8</v>
      </c>
      <c r="Q266" s="22">
        <f>IF(L266="","",N266-K266)</f>
        <v>0.0</v>
      </c>
      <c r="R266" s="24">
        <f>IF(L266="","",M266-J266)</f>
        <v>0.0</v>
      </c>
      <c r="S266" s="22">
        <f>IF(L266="",-P266,O266-P266)</f>
        <v>0.0</v>
      </c>
      <c r="T266" s="11" t="str">
        <f>IF(L266="","NO BILL IN SUPPLIED EXPORT",IF(ABS(Q266)&gt;0.001,"RATE EXCEPTION",IF(ABS(R266)&gt;0.001,"LENGTH EXCEPTION",IF(ABS(S266)&gt;0.01,"AMOUNT EXCEPTION","OK"))))</f>
        <v>OK</v>
      </c>
      <c r="U266" s="15" t="s">
        <v>1611</v>
      </c>
    </row>
    <row r="267" spans="1:21" ht="28" customHeight="1">
      <c r="A267" s="18" t="s">
        <v>1612</v>
      </c>
      <c r="B267" s="18" t="s">
        <v>194</v>
      </c>
      <c r="C267" s="18" t="s">
        <v>226</v>
      </c>
      <c r="D267" s="18" t="s">
        <v>227</v>
      </c>
      <c r="E267" s="18" t="s">
        <v>1613</v>
      </c>
      <c r="F267" s="19" t="s">
        <v>1614</v>
      </c>
      <c r="G267" s="19" t="s">
        <v>1609</v>
      </c>
      <c r="H267" s="24">
        <v>24</v>
      </c>
      <c r="I267" s="24">
        <v>52.2</v>
      </c>
      <c r="J267" s="24">
        <f>MAX(H267,ROUNDUP(I267,0))</f>
        <v>53</v>
      </c>
      <c r="K267" s="22">
        <f>IF(C267="covered",10.4,7.55)</f>
        <v>7.55</v>
      </c>
      <c r="L267" s="18" t="s">
        <v>1615</v>
      </c>
      <c r="M267" s="24">
        <v>53</v>
      </c>
      <c r="N267" s="22">
        <v>7.55</v>
      </c>
      <c r="O267" s="22">
        <v>400.15</v>
      </c>
      <c r="P267" s="22">
        <f>J267*K267</f>
        <v>400.15</v>
      </c>
      <c r="Q267" s="22">
        <f>IF(L267="","",N267-K267)</f>
        <v>0.0</v>
      </c>
      <c r="R267" s="24">
        <f>IF(L267="","",M267-J267)</f>
        <v>0.0</v>
      </c>
      <c r="S267" s="22">
        <f>IF(L267="",-P267,O267-P267)</f>
        <v>0.0</v>
      </c>
      <c r="T267" s="11" t="str">
        <f>IF(L267="","NO BILL IN SUPPLIED EXPORT",IF(ABS(Q267)&gt;0.001,"RATE EXCEPTION",IF(ABS(R267)&gt;0.001,"LENGTH EXCEPTION",IF(ABS(S267)&gt;0.01,"AMOUNT EXCEPTION","OK"))))</f>
        <v>OK</v>
      </c>
      <c r="U267" s="19" t="s">
        <v>1616</v>
      </c>
    </row>
    <row r="268" spans="1:21" ht="28" customHeight="1">
      <c r="A268" s="14" t="s">
        <v>1617</v>
      </c>
      <c r="B268" s="14" t="s">
        <v>194</v>
      </c>
      <c r="C268" s="14" t="s">
        <v>226</v>
      </c>
      <c r="D268" s="14" t="s">
        <v>227</v>
      </c>
      <c r="E268" s="14" t="s">
        <v>1618</v>
      </c>
      <c r="F268" s="15" t="s">
        <v>1619</v>
      </c>
      <c r="G268" s="15" t="s">
        <v>1620</v>
      </c>
      <c r="H268" s="24">
        <v>24</v>
      </c>
      <c r="I268" s="24">
        <v>57.6</v>
      </c>
      <c r="J268" s="24">
        <f>MAX(H268,ROUNDUP(I268,0))</f>
        <v>58</v>
      </c>
      <c r="K268" s="22">
        <f>IF(C268="covered",10.4,7.55)</f>
        <v>7.55</v>
      </c>
      <c r="L268" s="14" t="s">
        <v>1621</v>
      </c>
      <c r="M268" s="24">
        <v>58</v>
      </c>
      <c r="N268" s="22">
        <v>7.55</v>
      </c>
      <c r="O268" s="22">
        <v>437.9</v>
      </c>
      <c r="P268" s="22">
        <f>J268*K268</f>
        <v>437.9</v>
      </c>
      <c r="Q268" s="22">
        <f>IF(L268="","",N268-K268)</f>
        <v>0.0</v>
      </c>
      <c r="R268" s="24">
        <f>IF(L268="","",M268-J268)</f>
        <v>0.0</v>
      </c>
      <c r="S268" s="22">
        <f>IF(L268="",-P268,O268-P268)</f>
        <v>0.0</v>
      </c>
      <c r="T268" s="11" t="str">
        <f>IF(L268="","NO BILL IN SUPPLIED EXPORT",IF(ABS(Q268)&gt;0.001,"RATE EXCEPTION",IF(ABS(R268)&gt;0.001,"LENGTH EXCEPTION",IF(ABS(S268)&gt;0.01,"AMOUNT EXCEPTION","OK"))))</f>
        <v>OK</v>
      </c>
      <c r="U268" s="15" t="s">
        <v>1622</v>
      </c>
    </row>
    <row r="269" spans="1:21" ht="28" customHeight="1">
      <c r="A269" s="18" t="s">
        <v>1623</v>
      </c>
      <c r="B269" s="18" t="s">
        <v>194</v>
      </c>
      <c r="C269" s="18" t="s">
        <v>226</v>
      </c>
      <c r="D269" s="18" t="s">
        <v>227</v>
      </c>
      <c r="E269" s="18" t="s">
        <v>1624</v>
      </c>
      <c r="F269" s="19" t="s">
        <v>1625</v>
      </c>
      <c r="G269" s="19" t="s">
        <v>1626</v>
      </c>
      <c r="H269" s="24">
        <v>40</v>
      </c>
      <c r="I269" s="24">
        <v>36</v>
      </c>
      <c r="J269" s="24">
        <f>MAX(H269,ROUNDUP(I269,0))</f>
        <v>40.0</v>
      </c>
      <c r="K269" s="22">
        <f>IF(C269="covered",10.4,7.55)</f>
        <v>7.55</v>
      </c>
      <c r="L269" s="18" t="s">
        <v>1627</v>
      </c>
      <c r="M269" s="24">
        <v>40</v>
      </c>
      <c r="N269" s="22">
        <v>7.55</v>
      </c>
      <c r="O269" s="22">
        <v>302</v>
      </c>
      <c r="P269" s="22">
        <f>J269*K269</f>
        <v>302.0</v>
      </c>
      <c r="Q269" s="22">
        <f>IF(L269="","",N269-K269)</f>
        <v>0.0</v>
      </c>
      <c r="R269" s="24">
        <f>IF(L269="","",M269-J269)</f>
        <v>0.0</v>
      </c>
      <c r="S269" s="22">
        <f>IF(L269="",-P269,O269-P269)</f>
        <v>0.0</v>
      </c>
      <c r="T269" s="11" t="str">
        <f>IF(L269="","NO BILL IN SUPPLIED EXPORT",IF(ABS(Q269)&gt;0.001,"RATE EXCEPTION",IF(ABS(R269)&gt;0.001,"LENGTH EXCEPTION",IF(ABS(S269)&gt;0.01,"AMOUNT EXCEPTION","OK"))))</f>
        <v>OK</v>
      </c>
      <c r="U269" s="19" t="s">
        <v>1628</v>
      </c>
    </row>
    <row r="270" spans="1:21" ht="28" customHeight="1">
      <c r="A270" s="14" t="s">
        <v>1629</v>
      </c>
      <c r="B270" s="14" t="s">
        <v>194</v>
      </c>
      <c r="C270" s="14" t="s">
        <v>226</v>
      </c>
      <c r="D270" s="14" t="s">
        <v>227</v>
      </c>
      <c r="E270" s="14" t="s">
        <v>1630</v>
      </c>
      <c r="F270" s="15" t="s">
        <v>1631</v>
      </c>
      <c r="G270" s="15" t="s">
        <v>1535</v>
      </c>
      <c r="H270" s="24">
        <v>40</v>
      </c>
      <c r="I270" s="24">
        <v>30.9</v>
      </c>
      <c r="J270" s="24">
        <f>MAX(H270,ROUNDUP(I270,0))</f>
        <v>40.0</v>
      </c>
      <c r="K270" s="22">
        <f>IF(C270="covered",10.4,7.55)</f>
        <v>7.55</v>
      </c>
      <c r="L270" s="14" t="s">
        <v>1632</v>
      </c>
      <c r="M270" s="24">
        <v>40</v>
      </c>
      <c r="N270" s="22">
        <v>7.55</v>
      </c>
      <c r="O270" s="22">
        <v>302</v>
      </c>
      <c r="P270" s="22">
        <f>J270*K270</f>
        <v>302.0</v>
      </c>
      <c r="Q270" s="22">
        <f>IF(L270="","",N270-K270)</f>
        <v>0.0</v>
      </c>
      <c r="R270" s="24">
        <f>IF(L270="","",M270-J270)</f>
        <v>0.0</v>
      </c>
      <c r="S270" s="22">
        <f>IF(L270="",-P270,O270-P270)</f>
        <v>0.0</v>
      </c>
      <c r="T270" s="11" t="str">
        <f>IF(L270="","NO BILL IN SUPPLIED EXPORT",IF(ABS(Q270)&gt;0.001,"RATE EXCEPTION",IF(ABS(R270)&gt;0.001,"LENGTH EXCEPTION",IF(ABS(S270)&gt;0.01,"AMOUNT EXCEPTION","OK"))))</f>
        <v>OK</v>
      </c>
      <c r="U270" s="15" t="s">
        <v>1633</v>
      </c>
    </row>
    <row r="271" spans="1:21" ht="28" customHeight="1">
      <c r="A271" s="18" t="s">
        <v>1634</v>
      </c>
      <c r="B271" s="18" t="s">
        <v>194</v>
      </c>
      <c r="C271" s="18" t="s">
        <v>226</v>
      </c>
      <c r="D271" s="18" t="s">
        <v>227</v>
      </c>
      <c r="E271" s="18" t="s">
        <v>1635</v>
      </c>
      <c r="F271" s="19" t="s">
        <v>1636</v>
      </c>
      <c r="G271" s="19" t="s">
        <v>647</v>
      </c>
      <c r="H271" s="24">
        <v>28</v>
      </c>
      <c r="I271" s="24">
        <v>22.7</v>
      </c>
      <c r="J271" s="24">
        <f>MAX(H271,ROUNDUP(I271,0))</f>
        <v>28.0</v>
      </c>
      <c r="K271" s="22">
        <f>IF(C271="covered",10.4,7.55)</f>
        <v>7.55</v>
      </c>
      <c r="L271" s="18" t="s">
        <v>1637</v>
      </c>
      <c r="M271" s="24">
        <v>28</v>
      </c>
      <c r="N271" s="22">
        <v>7.55</v>
      </c>
      <c r="O271" s="22">
        <v>211.4</v>
      </c>
      <c r="P271" s="22">
        <f>J271*K271</f>
        <v>211.4</v>
      </c>
      <c r="Q271" s="22">
        <f>IF(L271="","",N271-K271)</f>
        <v>0.0</v>
      </c>
      <c r="R271" s="24">
        <f>IF(L271="","",M271-J271)</f>
        <v>0.0</v>
      </c>
      <c r="S271" s="22">
        <f>IF(L271="",-P271,O271-P271)</f>
        <v>0.0</v>
      </c>
      <c r="T271" s="11" t="str">
        <f>IF(L271="","NO BILL IN SUPPLIED EXPORT",IF(ABS(Q271)&gt;0.001,"RATE EXCEPTION",IF(ABS(R271)&gt;0.001,"LENGTH EXCEPTION",IF(ABS(S271)&gt;0.01,"AMOUNT EXCEPTION","OK"))))</f>
        <v>OK</v>
      </c>
      <c r="U271" s="19" t="s">
        <v>1638</v>
      </c>
    </row>
    <row r="272" spans="1:21" ht="28" customHeight="1">
      <c r="A272" s="14" t="s">
        <v>1639</v>
      </c>
      <c r="B272" s="14" t="s">
        <v>194</v>
      </c>
      <c r="C272" s="14" t="s">
        <v>226</v>
      </c>
      <c r="D272" s="14" t="s">
        <v>227</v>
      </c>
      <c r="E272" s="14" t="s">
        <v>1640</v>
      </c>
      <c r="F272" s="15" t="s">
        <v>1641</v>
      </c>
      <c r="G272" s="15" t="s">
        <v>1642</v>
      </c>
      <c r="H272" s="24">
        <v>60</v>
      </c>
      <c r="I272" s="24">
        <v>31.8</v>
      </c>
      <c r="J272" s="24">
        <f>MAX(H272,ROUNDUP(I272,0))</f>
        <v>60.0</v>
      </c>
      <c r="K272" s="22">
        <f>IF(C272="covered",10.4,7.55)</f>
        <v>7.55</v>
      </c>
      <c r="L272" s="14" t="s">
        <v>1643</v>
      </c>
      <c r="M272" s="24">
        <v>60</v>
      </c>
      <c r="N272" s="22">
        <v>7.55</v>
      </c>
      <c r="O272" s="22">
        <v>453</v>
      </c>
      <c r="P272" s="22">
        <f>J272*K272</f>
        <v>453.0</v>
      </c>
      <c r="Q272" s="22">
        <f>IF(L272="","",N272-K272)</f>
        <v>0.0</v>
      </c>
      <c r="R272" s="24">
        <f>IF(L272="","",M272-J272)</f>
        <v>0.0</v>
      </c>
      <c r="S272" s="22">
        <f>IF(L272="",-P272,O272-P272)</f>
        <v>0.0</v>
      </c>
      <c r="T272" s="11" t="str">
        <f>IF(L272="","NO BILL IN SUPPLIED EXPORT",IF(ABS(Q272)&gt;0.001,"RATE EXCEPTION",IF(ABS(R272)&gt;0.001,"LENGTH EXCEPTION",IF(ABS(S272)&gt;0.01,"AMOUNT EXCEPTION","OK"))))</f>
        <v>OK</v>
      </c>
      <c r="U272" s="15" t="s">
        <v>1644</v>
      </c>
    </row>
    <row r="273" spans="1:21" ht="28" customHeight="1">
      <c r="A273" s="18" t="s">
        <v>1645</v>
      </c>
      <c r="B273" s="18" t="s">
        <v>194</v>
      </c>
      <c r="C273" s="18" t="s">
        <v>226</v>
      </c>
      <c r="D273" s="18" t="s">
        <v>227</v>
      </c>
      <c r="E273" s="18" t="s">
        <v>1646</v>
      </c>
      <c r="F273" s="19" t="s">
        <v>1647</v>
      </c>
      <c r="G273" s="19" t="s">
        <v>167</v>
      </c>
      <c r="H273" s="24">
        <v>28</v>
      </c>
      <c r="I273" s="24">
        <v>28.3</v>
      </c>
      <c r="J273" s="24">
        <f>MAX(H273,ROUNDUP(I273,0))</f>
        <v>29</v>
      </c>
      <c r="K273" s="22">
        <f>IF(C273="covered",10.4,7.55)</f>
        <v>7.55</v>
      </c>
      <c r="L273" s="18" t="s">
        <v>1648</v>
      </c>
      <c r="M273" s="24">
        <v>29</v>
      </c>
      <c r="N273" s="22">
        <v>7.55</v>
      </c>
      <c r="O273" s="22">
        <v>218.95</v>
      </c>
      <c r="P273" s="22">
        <f>J273*K273</f>
        <v>218.95</v>
      </c>
      <c r="Q273" s="22">
        <f>IF(L273="","",N273-K273)</f>
        <v>0.0</v>
      </c>
      <c r="R273" s="24">
        <f>IF(L273="","",M273-J273)</f>
        <v>0.0</v>
      </c>
      <c r="S273" s="22">
        <f>IF(L273="",-P273,O273-P273)</f>
        <v>0.0</v>
      </c>
      <c r="T273" s="11" t="str">
        <f>IF(L273="","NO BILL IN SUPPLIED EXPORT",IF(ABS(Q273)&gt;0.001,"RATE EXCEPTION",IF(ABS(R273)&gt;0.001,"LENGTH EXCEPTION",IF(ABS(S273)&gt;0.01,"AMOUNT EXCEPTION","OK"))))</f>
        <v>OK</v>
      </c>
      <c r="U273" s="19" t="s">
        <v>1649</v>
      </c>
    </row>
    <row r="274" spans="1:21" ht="28" customHeight="1">
      <c r="A274" s="14" t="s">
        <v>1650</v>
      </c>
      <c r="B274" s="14" t="s">
        <v>194</v>
      </c>
      <c r="C274" s="14" t="s">
        <v>226</v>
      </c>
      <c r="D274" s="14" t="s">
        <v>227</v>
      </c>
      <c r="E274" s="14" t="s">
        <v>1651</v>
      </c>
      <c r="F274" s="15" t="s">
        <v>1652</v>
      </c>
      <c r="G274" s="15" t="s">
        <v>341</v>
      </c>
      <c r="H274" s="24">
        <v>24</v>
      </c>
      <c r="I274" s="24">
        <v>25.2</v>
      </c>
      <c r="J274" s="24">
        <f>MAX(H274,ROUNDUP(I274,0))</f>
        <v>26</v>
      </c>
      <c r="K274" s="22">
        <f>IF(C274="covered",10.4,7.55)</f>
        <v>7.55</v>
      </c>
      <c r="L274" s="14" t="s">
        <v>1653</v>
      </c>
      <c r="M274" s="24">
        <v>26</v>
      </c>
      <c r="N274" s="22">
        <v>7.55</v>
      </c>
      <c r="O274" s="22">
        <v>196.3</v>
      </c>
      <c r="P274" s="22">
        <f>J274*K274</f>
        <v>196.29999999999998</v>
      </c>
      <c r="Q274" s="22">
        <f>IF(L274="","",N274-K274)</f>
        <v>0.0</v>
      </c>
      <c r="R274" s="24">
        <f>IF(L274="","",M274-J274)</f>
        <v>0.0</v>
      </c>
      <c r="S274" s="22">
        <f>IF(L274="",-P274,O274-P274)</f>
        <v>2.842170943040401e-14</v>
      </c>
      <c r="T274" s="11" t="str">
        <f>IF(L274="","NO BILL IN SUPPLIED EXPORT",IF(ABS(Q274)&gt;0.001,"RATE EXCEPTION",IF(ABS(R274)&gt;0.001,"LENGTH EXCEPTION",IF(ABS(S274)&gt;0.01,"AMOUNT EXCEPTION","OK"))))</f>
        <v>OK</v>
      </c>
      <c r="U274" s="15" t="s">
        <v>1654</v>
      </c>
    </row>
    <row r="275" spans="1:21" ht="28" customHeight="1">
      <c r="A275" s="18" t="s">
        <v>1655</v>
      </c>
      <c r="B275" s="18" t="s">
        <v>194</v>
      </c>
      <c r="C275" s="18" t="s">
        <v>226</v>
      </c>
      <c r="D275" s="18" t="s">
        <v>227</v>
      </c>
      <c r="E275" s="18" t="s">
        <v>1656</v>
      </c>
      <c r="F275" s="19" t="s">
        <v>1657</v>
      </c>
      <c r="G275" s="19" t="s">
        <v>998</v>
      </c>
      <c r="H275" s="24">
        <v>28</v>
      </c>
      <c r="I275" s="24">
        <v>33.7</v>
      </c>
      <c r="J275" s="24">
        <f>MAX(H275,ROUNDUP(I275,0))</f>
        <v>34</v>
      </c>
      <c r="K275" s="22">
        <f>IF(C275="covered",10.4,7.55)</f>
        <v>7.55</v>
      </c>
      <c r="L275" s="18" t="s">
        <v>1658</v>
      </c>
      <c r="M275" s="24">
        <v>34</v>
      </c>
      <c r="N275" s="22">
        <v>7.55</v>
      </c>
      <c r="O275" s="22">
        <v>256.7</v>
      </c>
      <c r="P275" s="22">
        <f>J275*K275</f>
        <v>256.7</v>
      </c>
      <c r="Q275" s="22">
        <f>IF(L275="","",N275-K275)</f>
        <v>0.0</v>
      </c>
      <c r="R275" s="24">
        <f>IF(L275="","",M275-J275)</f>
        <v>0.0</v>
      </c>
      <c r="S275" s="22">
        <f>IF(L275="",-P275,O275-P275)</f>
        <v>0.0</v>
      </c>
      <c r="T275" s="11" t="str">
        <f>IF(L275="","NO BILL IN SUPPLIED EXPORT",IF(ABS(Q275)&gt;0.001,"RATE EXCEPTION",IF(ABS(R275)&gt;0.001,"LENGTH EXCEPTION",IF(ABS(S275)&gt;0.01,"AMOUNT EXCEPTION","OK"))))</f>
        <v>OK</v>
      </c>
      <c r="U275" s="19" t="s">
        <v>1659</v>
      </c>
    </row>
    <row r="276" spans="1:21" ht="28" customHeight="1">
      <c r="A276" s="14" t="s">
        <v>1660</v>
      </c>
      <c r="B276" s="14" t="s">
        <v>194</v>
      </c>
      <c r="C276" s="14" t="s">
        <v>226</v>
      </c>
      <c r="D276" s="14" t="s">
        <v>227</v>
      </c>
      <c r="E276" s="14" t="s">
        <v>1661</v>
      </c>
      <c r="F276" s="15" t="s">
        <v>1662</v>
      </c>
      <c r="G276" s="15" t="s">
        <v>1663</v>
      </c>
      <c r="H276" s="24">
        <v>80</v>
      </c>
      <c r="I276" s="24">
        <v>42.5</v>
      </c>
      <c r="J276" s="24">
        <f>MAX(H276,ROUNDUP(I276,0))</f>
        <v>80.0</v>
      </c>
      <c r="K276" s="22">
        <f>IF(C276="covered",10.4,7.55)</f>
        <v>7.55</v>
      </c>
      <c r="L276" s="14" t="s">
        <v>1664</v>
      </c>
      <c r="M276" s="24">
        <v>80</v>
      </c>
      <c r="N276" s="22">
        <v>7.55</v>
      </c>
      <c r="O276" s="22">
        <v>604</v>
      </c>
      <c r="P276" s="22">
        <f>J276*K276</f>
        <v>604.0</v>
      </c>
      <c r="Q276" s="22">
        <f>IF(L276="","",N276-K276)</f>
        <v>0.0</v>
      </c>
      <c r="R276" s="24">
        <f>IF(L276="","",M276-J276)</f>
        <v>0.0</v>
      </c>
      <c r="S276" s="22">
        <f>IF(L276="",-P276,O276-P276)</f>
        <v>0.0</v>
      </c>
      <c r="T276" s="11" t="str">
        <f>IF(L276="","NO BILL IN SUPPLIED EXPORT",IF(ABS(Q276)&gt;0.001,"RATE EXCEPTION",IF(ABS(R276)&gt;0.001,"LENGTH EXCEPTION",IF(ABS(S276)&gt;0.01,"AMOUNT EXCEPTION","OK"))))</f>
        <v>OK</v>
      </c>
      <c r="U276" s="15" t="s">
        <v>1665</v>
      </c>
    </row>
    <row r="277" spans="1:21" ht="28" customHeight="1">
      <c r="A277" s="18" t="s">
        <v>1666</v>
      </c>
      <c r="B277" s="18" t="s">
        <v>194</v>
      </c>
      <c r="C277" s="18" t="s">
        <v>226</v>
      </c>
      <c r="D277" s="18" t="s">
        <v>227</v>
      </c>
      <c r="E277" s="18" t="s">
        <v>1667</v>
      </c>
      <c r="F277" s="19" t="s">
        <v>1668</v>
      </c>
      <c r="G277" s="19" t="s">
        <v>975</v>
      </c>
      <c r="H277" s="24">
        <v>80</v>
      </c>
      <c r="I277" s="24">
        <v>58.7</v>
      </c>
      <c r="J277" s="24">
        <f>MAX(H277,ROUNDUP(I277,0))</f>
        <v>80.0</v>
      </c>
      <c r="K277" s="22">
        <f>IF(C277="covered",10.4,7.55)</f>
        <v>7.55</v>
      </c>
      <c r="L277" s="18" t="s">
        <v>1669</v>
      </c>
      <c r="M277" s="24">
        <v>80</v>
      </c>
      <c r="N277" s="22">
        <v>7.55</v>
      </c>
      <c r="O277" s="22">
        <v>604</v>
      </c>
      <c r="P277" s="22">
        <f>J277*K277</f>
        <v>604.0</v>
      </c>
      <c r="Q277" s="22">
        <f>IF(L277="","",N277-K277)</f>
        <v>0.0</v>
      </c>
      <c r="R277" s="24">
        <f>IF(L277="","",M277-J277)</f>
        <v>0.0</v>
      </c>
      <c r="S277" s="22">
        <f>IF(L277="",-P277,O277-P277)</f>
        <v>0.0</v>
      </c>
      <c r="T277" s="11" t="str">
        <f>IF(L277="","NO BILL IN SUPPLIED EXPORT",IF(ABS(Q277)&gt;0.001,"RATE EXCEPTION",IF(ABS(R277)&gt;0.001,"LENGTH EXCEPTION",IF(ABS(S277)&gt;0.01,"AMOUNT EXCEPTION","OK"))))</f>
        <v>OK</v>
      </c>
      <c r="U277" s="19" t="s">
        <v>1670</v>
      </c>
    </row>
    <row r="278" spans="1:21" ht="28" customHeight="1">
      <c r="A278" s="14" t="s">
        <v>1671</v>
      </c>
      <c r="B278" s="14" t="s">
        <v>194</v>
      </c>
      <c r="C278" s="14" t="s">
        <v>226</v>
      </c>
      <c r="D278" s="14" t="s">
        <v>227</v>
      </c>
      <c r="E278" s="14" t="s">
        <v>1672</v>
      </c>
      <c r="F278" s="15" t="s">
        <v>1673</v>
      </c>
      <c r="G278" s="15" t="s">
        <v>1674</v>
      </c>
      <c r="H278" s="24">
        <v>60</v>
      </c>
      <c r="I278" s="24">
        <v>56.1</v>
      </c>
      <c r="J278" s="24">
        <f>MAX(H278,ROUNDUP(I278,0))</f>
        <v>60.0</v>
      </c>
      <c r="K278" s="22">
        <f>IF(C278="covered",10.4,7.55)</f>
        <v>7.55</v>
      </c>
      <c r="L278" s="14" t="s">
        <v>1675</v>
      </c>
      <c r="M278" s="24">
        <v>60</v>
      </c>
      <c r="N278" s="22">
        <v>7.55</v>
      </c>
      <c r="O278" s="22">
        <v>453</v>
      </c>
      <c r="P278" s="22">
        <f>J278*K278</f>
        <v>453.0</v>
      </c>
      <c r="Q278" s="22">
        <f>IF(L278="","",N278-K278)</f>
        <v>0.0</v>
      </c>
      <c r="R278" s="24">
        <f>IF(L278="","",M278-J278)</f>
        <v>0.0</v>
      </c>
      <c r="S278" s="22">
        <f>IF(L278="",-P278,O278-P278)</f>
        <v>0.0</v>
      </c>
      <c r="T278" s="11" t="str">
        <f>IF(L278="","NO BILL IN SUPPLIED EXPORT",IF(ABS(Q278)&gt;0.001,"RATE EXCEPTION",IF(ABS(R278)&gt;0.001,"LENGTH EXCEPTION",IF(ABS(S278)&gt;0.01,"AMOUNT EXCEPTION","OK"))))</f>
        <v>OK</v>
      </c>
      <c r="U278" s="15" t="s">
        <v>1676</v>
      </c>
    </row>
    <row r="279" spans="1:21" ht="28" customHeight="1">
      <c r="A279" s="18" t="s">
        <v>1677</v>
      </c>
      <c r="B279" s="18" t="s">
        <v>194</v>
      </c>
      <c r="C279" s="18" t="s">
        <v>226</v>
      </c>
      <c r="D279" s="18" t="s">
        <v>227</v>
      </c>
      <c r="E279" s="18" t="s">
        <v>1678</v>
      </c>
      <c r="F279" s="19" t="s">
        <v>1679</v>
      </c>
      <c r="G279" s="19" t="s">
        <v>1680</v>
      </c>
      <c r="H279" s="24">
        <v>60</v>
      </c>
      <c r="I279" s="24">
        <v>54.9</v>
      </c>
      <c r="J279" s="24">
        <f>MAX(H279,ROUNDUP(I279,0))</f>
        <v>60.0</v>
      </c>
      <c r="K279" s="22">
        <f>IF(C279="covered",10.4,7.55)</f>
        <v>7.55</v>
      </c>
      <c r="L279" s="18" t="s">
        <v>1681</v>
      </c>
      <c r="M279" s="24">
        <v>60</v>
      </c>
      <c r="N279" s="22">
        <v>7.55</v>
      </c>
      <c r="O279" s="22">
        <v>453</v>
      </c>
      <c r="P279" s="22">
        <f>J279*K279</f>
        <v>453.0</v>
      </c>
      <c r="Q279" s="22">
        <f>IF(L279="","",N279-K279)</f>
        <v>0.0</v>
      </c>
      <c r="R279" s="24">
        <f>IF(L279="","",M279-J279)</f>
        <v>0.0</v>
      </c>
      <c r="S279" s="22">
        <f>IF(L279="",-P279,O279-P279)</f>
        <v>0.0</v>
      </c>
      <c r="T279" s="11" t="str">
        <f>IF(L279="","NO BILL IN SUPPLIED EXPORT",IF(ABS(Q279)&gt;0.001,"RATE EXCEPTION",IF(ABS(R279)&gt;0.001,"LENGTH EXCEPTION",IF(ABS(S279)&gt;0.01,"AMOUNT EXCEPTION","OK"))))</f>
        <v>OK</v>
      </c>
      <c r="U279" s="19" t="s">
        <v>1682</v>
      </c>
    </row>
    <row r="280" spans="1:21" ht="28" customHeight="1">
      <c r="A280" s="14" t="s">
        <v>1683</v>
      </c>
      <c r="B280" s="14" t="s">
        <v>194</v>
      </c>
      <c r="C280" s="14" t="s">
        <v>226</v>
      </c>
      <c r="D280" s="14" t="s">
        <v>227</v>
      </c>
      <c r="E280" s="14" t="s">
        <v>1684</v>
      </c>
      <c r="F280" s="15" t="s">
        <v>1685</v>
      </c>
      <c r="G280" s="15" t="s">
        <v>1686</v>
      </c>
      <c r="H280" s="24">
        <v>80</v>
      </c>
      <c r="I280" s="24">
        <v>31.6</v>
      </c>
      <c r="J280" s="24">
        <f>MAX(H280,ROUNDUP(I280,0))</f>
        <v>80.0</v>
      </c>
      <c r="K280" s="22">
        <f>IF(C280="covered",10.4,7.55)</f>
        <v>7.55</v>
      </c>
      <c r="L280" s="14" t="s">
        <v>1687</v>
      </c>
      <c r="M280" s="24">
        <v>80</v>
      </c>
      <c r="N280" s="22">
        <v>7.55</v>
      </c>
      <c r="O280" s="22">
        <v>604</v>
      </c>
      <c r="P280" s="22">
        <f>J280*K280</f>
        <v>604.0</v>
      </c>
      <c r="Q280" s="22">
        <f>IF(L280="","",N280-K280)</f>
        <v>0.0</v>
      </c>
      <c r="R280" s="24">
        <f>IF(L280="","",M280-J280)</f>
        <v>0.0</v>
      </c>
      <c r="S280" s="22">
        <f>IF(L280="",-P280,O280-P280)</f>
        <v>0.0</v>
      </c>
      <c r="T280" s="11" t="str">
        <f>IF(L280="","NO BILL IN SUPPLIED EXPORT",IF(ABS(Q280)&gt;0.001,"RATE EXCEPTION",IF(ABS(R280)&gt;0.001,"LENGTH EXCEPTION",IF(ABS(S280)&gt;0.01,"AMOUNT EXCEPTION","OK"))))</f>
        <v>OK</v>
      </c>
      <c r="U280" s="15" t="s">
        <v>1688</v>
      </c>
    </row>
    <row r="281" spans="1:21" ht="28" customHeight="1">
      <c r="A281" s="18" t="s">
        <v>1689</v>
      </c>
      <c r="B281" s="18" t="s">
        <v>194</v>
      </c>
      <c r="C281" s="18" t="s">
        <v>226</v>
      </c>
      <c r="D281" s="18" t="s">
        <v>227</v>
      </c>
      <c r="E281" s="18" t="s">
        <v>1690</v>
      </c>
      <c r="F281" s="19" t="s">
        <v>1691</v>
      </c>
      <c r="G281" s="19" t="s">
        <v>1692</v>
      </c>
      <c r="H281" s="24">
        <v>60</v>
      </c>
      <c r="I281" s="24">
        <v>29.9</v>
      </c>
      <c r="J281" s="24">
        <f>MAX(H281,ROUNDUP(I281,0))</f>
        <v>60.0</v>
      </c>
      <c r="K281" s="22">
        <f>IF(C281="covered",10.4,7.55)</f>
        <v>7.55</v>
      </c>
      <c r="L281" s="18" t="s">
        <v>1693</v>
      </c>
      <c r="M281" s="24">
        <v>60</v>
      </c>
      <c r="N281" s="22">
        <v>7.55</v>
      </c>
      <c r="O281" s="22">
        <v>453</v>
      </c>
      <c r="P281" s="22">
        <f>J281*K281</f>
        <v>453.0</v>
      </c>
      <c r="Q281" s="22">
        <f>IF(L281="","",N281-K281)</f>
        <v>0.0</v>
      </c>
      <c r="R281" s="24">
        <f>IF(L281="","",M281-J281)</f>
        <v>0.0</v>
      </c>
      <c r="S281" s="22">
        <f>IF(L281="",-P281,O281-P281)</f>
        <v>0.0</v>
      </c>
      <c r="T281" s="11" t="str">
        <f>IF(L281="","NO BILL IN SUPPLIED EXPORT",IF(ABS(Q281)&gt;0.001,"RATE EXCEPTION",IF(ABS(R281)&gt;0.001,"LENGTH EXCEPTION",IF(ABS(S281)&gt;0.01,"AMOUNT EXCEPTION","OK"))))</f>
        <v>OK</v>
      </c>
      <c r="U281" s="19" t="s">
        <v>1694</v>
      </c>
    </row>
    <row r="282" spans="1:21" ht="28" customHeight="1">
      <c r="A282" s="14" t="s">
        <v>1695</v>
      </c>
      <c r="B282" s="14" t="s">
        <v>194</v>
      </c>
      <c r="C282" s="14" t="s">
        <v>226</v>
      </c>
      <c r="D282" s="14" t="s">
        <v>227</v>
      </c>
      <c r="E282" s="14" t="s">
        <v>1696</v>
      </c>
      <c r="F282" s="15" t="s">
        <v>1697</v>
      </c>
      <c r="G282" s="15" t="s">
        <v>1698</v>
      </c>
      <c r="H282" s="24">
        <v>28</v>
      </c>
      <c r="I282" s="24">
        <v>45.5</v>
      </c>
      <c r="J282" s="24">
        <f>MAX(H282,ROUNDUP(I282,0))</f>
        <v>46</v>
      </c>
      <c r="K282" s="22">
        <f>IF(C282="covered",10.4,7.55)</f>
        <v>7.55</v>
      </c>
      <c r="L282" s="14" t="s">
        <v>1699</v>
      </c>
      <c r="M282" s="24">
        <v>46</v>
      </c>
      <c r="N282" s="22">
        <v>7.55</v>
      </c>
      <c r="O282" s="22">
        <v>347.3</v>
      </c>
      <c r="P282" s="22">
        <f>J282*K282</f>
        <v>347.3</v>
      </c>
      <c r="Q282" s="22">
        <f>IF(L282="","",N282-K282)</f>
        <v>0.0</v>
      </c>
      <c r="R282" s="24">
        <f>IF(L282="","",M282-J282)</f>
        <v>0.0</v>
      </c>
      <c r="S282" s="22">
        <f>IF(L282="",-P282,O282-P282)</f>
        <v>0.0</v>
      </c>
      <c r="T282" s="11" t="str">
        <f>IF(L282="","NO BILL IN SUPPLIED EXPORT",IF(ABS(Q282)&gt;0.001,"RATE EXCEPTION",IF(ABS(R282)&gt;0.001,"LENGTH EXCEPTION",IF(ABS(S282)&gt;0.01,"AMOUNT EXCEPTION","OK"))))</f>
        <v>OK</v>
      </c>
      <c r="U282" s="15" t="s">
        <v>1700</v>
      </c>
    </row>
    <row r="283" spans="1:21" ht="28" customHeight="1">
      <c r="A283" s="18" t="s">
        <v>1701</v>
      </c>
      <c r="B283" s="18" t="s">
        <v>194</v>
      </c>
      <c r="C283" s="18" t="s">
        <v>226</v>
      </c>
      <c r="D283" s="18" t="s">
        <v>227</v>
      </c>
      <c r="E283" s="18" t="s">
        <v>1702</v>
      </c>
      <c r="F283" s="19" t="s">
        <v>1703</v>
      </c>
      <c r="G283" s="19" t="s">
        <v>1704</v>
      </c>
      <c r="H283" s="24">
        <v>24</v>
      </c>
      <c r="I283" s="24">
        <v>32.4</v>
      </c>
      <c r="J283" s="24">
        <f>MAX(H283,ROUNDUP(I283,0))</f>
        <v>33</v>
      </c>
      <c r="K283" s="22">
        <f>IF(C283="covered",10.4,7.55)</f>
        <v>7.55</v>
      </c>
      <c r="L283" s="18" t="s">
        <v>1705</v>
      </c>
      <c r="M283" s="24">
        <v>33</v>
      </c>
      <c r="N283" s="22">
        <v>7.55</v>
      </c>
      <c r="O283" s="22">
        <v>249.15</v>
      </c>
      <c r="P283" s="22">
        <f>J283*K283</f>
        <v>249.15</v>
      </c>
      <c r="Q283" s="22">
        <f>IF(L283="","",N283-K283)</f>
        <v>0.0</v>
      </c>
      <c r="R283" s="24">
        <f>IF(L283="","",M283-J283)</f>
        <v>0.0</v>
      </c>
      <c r="S283" s="22">
        <f>IF(L283="",-P283,O283-P283)</f>
        <v>0.0</v>
      </c>
      <c r="T283" s="11" t="str">
        <f>IF(L283="","NO BILL IN SUPPLIED EXPORT",IF(ABS(Q283)&gt;0.001,"RATE EXCEPTION",IF(ABS(R283)&gt;0.001,"LENGTH EXCEPTION",IF(ABS(S283)&gt;0.01,"AMOUNT EXCEPTION","OK"))))</f>
        <v>OK</v>
      </c>
      <c r="U283" s="19" t="s">
        <v>1706</v>
      </c>
    </row>
    <row r="284" spans="1:21" ht="28" customHeight="1">
      <c r="A284" s="14" t="s">
        <v>1707</v>
      </c>
      <c r="B284" s="14" t="s">
        <v>194</v>
      </c>
      <c r="C284" s="14" t="s">
        <v>226</v>
      </c>
      <c r="D284" s="14" t="s">
        <v>227</v>
      </c>
      <c r="E284" s="14" t="s">
        <v>1708</v>
      </c>
      <c r="F284" s="15" t="s">
        <v>1709</v>
      </c>
      <c r="G284" s="15" t="s">
        <v>1710</v>
      </c>
      <c r="H284" s="24">
        <v>28</v>
      </c>
      <c r="I284" s="24">
        <v>55.3</v>
      </c>
      <c r="J284" s="24">
        <f>MAX(H284,ROUNDUP(I284,0))</f>
        <v>56</v>
      </c>
      <c r="K284" s="22">
        <f>IF(C284="covered",10.4,7.55)</f>
        <v>7.55</v>
      </c>
      <c r="L284" s="14" t="s">
        <v>1711</v>
      </c>
      <c r="M284" s="24">
        <v>56</v>
      </c>
      <c r="N284" s="22">
        <v>7.55</v>
      </c>
      <c r="O284" s="22">
        <v>422.8</v>
      </c>
      <c r="P284" s="22">
        <f>J284*K284</f>
        <v>422.8</v>
      </c>
      <c r="Q284" s="22">
        <f>IF(L284="","",N284-K284)</f>
        <v>0.0</v>
      </c>
      <c r="R284" s="24">
        <f>IF(L284="","",M284-J284)</f>
        <v>0.0</v>
      </c>
      <c r="S284" s="22">
        <f>IF(L284="",-P284,O284-P284)</f>
        <v>0.0</v>
      </c>
      <c r="T284" s="11" t="str">
        <f>IF(L284="","NO BILL IN SUPPLIED EXPORT",IF(ABS(Q284)&gt;0.001,"RATE EXCEPTION",IF(ABS(R284)&gt;0.001,"LENGTH EXCEPTION",IF(ABS(S284)&gt;0.01,"AMOUNT EXCEPTION","OK"))))</f>
        <v>OK</v>
      </c>
      <c r="U284" s="15" t="s">
        <v>1712</v>
      </c>
    </row>
    <row r="285" spans="1:21" ht="28" customHeight="1">
      <c r="A285" s="18" t="s">
        <v>1713</v>
      </c>
      <c r="B285" s="18" t="s">
        <v>194</v>
      </c>
      <c r="C285" s="18" t="s">
        <v>226</v>
      </c>
      <c r="D285" s="18" t="s">
        <v>227</v>
      </c>
      <c r="E285" s="18" t="s">
        <v>1714</v>
      </c>
      <c r="F285" s="19" t="s">
        <v>1715</v>
      </c>
      <c r="G285" s="19" t="s">
        <v>957</v>
      </c>
      <c r="H285" s="24">
        <v>28</v>
      </c>
      <c r="I285" s="24">
        <v>29.9</v>
      </c>
      <c r="J285" s="24">
        <f>MAX(H285,ROUNDUP(I285,0))</f>
        <v>30</v>
      </c>
      <c r="K285" s="22">
        <f>IF(C285="covered",10.4,7.55)</f>
        <v>7.55</v>
      </c>
      <c r="L285" s="18" t="s">
        <v>1716</v>
      </c>
      <c r="M285" s="24">
        <v>30</v>
      </c>
      <c r="N285" s="22">
        <v>7.55</v>
      </c>
      <c r="O285" s="22">
        <v>226.5</v>
      </c>
      <c r="P285" s="22">
        <f>J285*K285</f>
        <v>226.5</v>
      </c>
      <c r="Q285" s="22">
        <f>IF(L285="","",N285-K285)</f>
        <v>0.0</v>
      </c>
      <c r="R285" s="24">
        <f>IF(L285="","",M285-J285)</f>
        <v>0.0</v>
      </c>
      <c r="S285" s="22">
        <f>IF(L285="",-P285,O285-P285)</f>
        <v>0.0</v>
      </c>
      <c r="T285" s="11" t="str">
        <f>IF(L285="","NO BILL IN SUPPLIED EXPORT",IF(ABS(Q285)&gt;0.001,"RATE EXCEPTION",IF(ABS(R285)&gt;0.001,"LENGTH EXCEPTION",IF(ABS(S285)&gt;0.01,"AMOUNT EXCEPTION","OK"))))</f>
        <v>OK</v>
      </c>
      <c r="U285" s="19" t="s">
        <v>1717</v>
      </c>
    </row>
    <row r="286" spans="1:21" ht="28" customHeight="1">
      <c r="A286" s="14" t="s">
        <v>1718</v>
      </c>
      <c r="B286" s="14" t="s">
        <v>194</v>
      </c>
      <c r="C286" s="14" t="s">
        <v>226</v>
      </c>
      <c r="D286" s="14" t="s">
        <v>227</v>
      </c>
      <c r="E286" s="14" t="s">
        <v>1719</v>
      </c>
      <c r="F286" s="15" t="s">
        <v>1720</v>
      </c>
      <c r="G286" s="15" t="s">
        <v>1234</v>
      </c>
      <c r="H286" s="24">
        <v>32</v>
      </c>
      <c r="I286" s="24">
        <v>35.3</v>
      </c>
      <c r="J286" s="24">
        <f>MAX(H286,ROUNDUP(I286,0))</f>
        <v>36</v>
      </c>
      <c r="K286" s="22">
        <f>IF(C286="covered",10.4,7.55)</f>
        <v>7.55</v>
      </c>
      <c r="L286" s="14" t="s">
        <v>1721</v>
      </c>
      <c r="M286" s="24">
        <v>36</v>
      </c>
      <c r="N286" s="22">
        <v>7.55</v>
      </c>
      <c r="O286" s="22">
        <v>271.8</v>
      </c>
      <c r="P286" s="22">
        <f>J286*K286</f>
        <v>271.8</v>
      </c>
      <c r="Q286" s="22">
        <f>IF(L286="","",N286-K286)</f>
        <v>0.0</v>
      </c>
      <c r="R286" s="24">
        <f>IF(L286="","",M286-J286)</f>
        <v>0.0</v>
      </c>
      <c r="S286" s="22">
        <f>IF(L286="",-P286,O286-P286)</f>
        <v>0.0</v>
      </c>
      <c r="T286" s="11" t="str">
        <f>IF(L286="","NO BILL IN SUPPLIED EXPORT",IF(ABS(Q286)&gt;0.001,"RATE EXCEPTION",IF(ABS(R286)&gt;0.001,"LENGTH EXCEPTION",IF(ABS(S286)&gt;0.01,"AMOUNT EXCEPTION","OK"))))</f>
        <v>OK</v>
      </c>
      <c r="U286" s="15" t="s">
        <v>1722</v>
      </c>
    </row>
    <row r="287" spans="1:21" ht="28" customHeight="1">
      <c r="A287" s="18" t="s">
        <v>1723</v>
      </c>
      <c r="B287" s="18" t="s">
        <v>194</v>
      </c>
      <c r="C287" s="18" t="s">
        <v>226</v>
      </c>
      <c r="D287" s="18" t="s">
        <v>227</v>
      </c>
      <c r="E287" s="18" t="s">
        <v>1724</v>
      </c>
      <c r="F287" s="19" t="s">
        <v>1725</v>
      </c>
      <c r="G287" s="19" t="s">
        <v>1663</v>
      </c>
      <c r="H287" s="24">
        <v>80</v>
      </c>
      <c r="I287" s="24">
        <v>60</v>
      </c>
      <c r="J287" s="24">
        <f>MAX(H287,ROUNDUP(I287,0))</f>
        <v>80.0</v>
      </c>
      <c r="K287" s="22">
        <f>IF(C287="covered",10.4,7.55)</f>
        <v>7.55</v>
      </c>
      <c r="L287" s="18" t="s">
        <v>1726</v>
      </c>
      <c r="M287" s="24">
        <v>80</v>
      </c>
      <c r="N287" s="22">
        <v>7.55</v>
      </c>
      <c r="O287" s="22">
        <v>604</v>
      </c>
      <c r="P287" s="22">
        <f>J287*K287</f>
        <v>604.0</v>
      </c>
      <c r="Q287" s="22">
        <f>IF(L287="","",N287-K287)</f>
        <v>0.0</v>
      </c>
      <c r="R287" s="24">
        <f>IF(L287="","",M287-J287)</f>
        <v>0.0</v>
      </c>
      <c r="S287" s="22">
        <f>IF(L287="",-P287,O287-P287)</f>
        <v>0.0</v>
      </c>
      <c r="T287" s="11" t="str">
        <f>IF(L287="","NO BILL IN SUPPLIED EXPORT",IF(ABS(Q287)&gt;0.001,"RATE EXCEPTION",IF(ABS(R287)&gt;0.001,"LENGTH EXCEPTION",IF(ABS(S287)&gt;0.01,"AMOUNT EXCEPTION","OK"))))</f>
        <v>OK</v>
      </c>
      <c r="U287" s="19" t="s">
        <v>1727</v>
      </c>
    </row>
    <row r="288" spans="1:21" ht="28" customHeight="1">
      <c r="A288" s="14" t="s">
        <v>1728</v>
      </c>
      <c r="B288" s="14" t="s">
        <v>194</v>
      </c>
      <c r="C288" s="14" t="s">
        <v>226</v>
      </c>
      <c r="D288" s="14" t="s">
        <v>227</v>
      </c>
      <c r="E288" s="14" t="s">
        <v>1729</v>
      </c>
      <c r="F288" s="15" t="s">
        <v>1730</v>
      </c>
      <c r="G288" s="15" t="s">
        <v>1731</v>
      </c>
      <c r="H288" s="24">
        <v>32</v>
      </c>
      <c r="I288" s="24">
        <v>46.9</v>
      </c>
      <c r="J288" s="24">
        <f>MAX(H288,ROUNDUP(I288,0))</f>
        <v>47</v>
      </c>
      <c r="K288" s="22">
        <f>IF(C288="covered",10.4,7.55)</f>
        <v>7.55</v>
      </c>
      <c r="L288" s="14" t="s">
        <v>1732</v>
      </c>
      <c r="M288" s="24">
        <v>47</v>
      </c>
      <c r="N288" s="22">
        <v>7.55</v>
      </c>
      <c r="O288" s="22">
        <v>354.85</v>
      </c>
      <c r="P288" s="22">
        <f>J288*K288</f>
        <v>354.84999999999997</v>
      </c>
      <c r="Q288" s="22">
        <f>IF(L288="","",N288-K288)</f>
        <v>0.0</v>
      </c>
      <c r="R288" s="24">
        <f>IF(L288="","",M288-J288)</f>
        <v>0.0</v>
      </c>
      <c r="S288" s="22">
        <f>IF(L288="",-P288,O288-P288)</f>
        <v>5.684341886080802e-14</v>
      </c>
      <c r="T288" s="11" t="str">
        <f>IF(L288="","NO BILL IN SUPPLIED EXPORT",IF(ABS(Q288)&gt;0.001,"RATE EXCEPTION",IF(ABS(R288)&gt;0.001,"LENGTH EXCEPTION",IF(ABS(S288)&gt;0.01,"AMOUNT EXCEPTION","OK"))))</f>
        <v>OK</v>
      </c>
      <c r="U288" s="15" t="s">
        <v>1733</v>
      </c>
    </row>
    <row r="289" spans="1:21" ht="28" customHeight="1">
      <c r="A289" s="18" t="s">
        <v>1734</v>
      </c>
      <c r="B289" s="18" t="s">
        <v>194</v>
      </c>
      <c r="C289" s="18" t="s">
        <v>226</v>
      </c>
      <c r="D289" s="18" t="s">
        <v>227</v>
      </c>
      <c r="E289" s="18" t="s">
        <v>1735</v>
      </c>
      <c r="F289" s="19" t="s">
        <v>1736</v>
      </c>
      <c r="G289" s="19" t="s">
        <v>418</v>
      </c>
      <c r="H289" s="24">
        <v>32</v>
      </c>
      <c r="I289" s="24">
        <v>41.2</v>
      </c>
      <c r="J289" s="24">
        <f>MAX(H289,ROUNDUP(I289,0))</f>
        <v>42</v>
      </c>
      <c r="K289" s="22">
        <f>IF(C289="covered",10.4,7.55)</f>
        <v>7.55</v>
      </c>
      <c r="L289" s="18" t="s">
        <v>1737</v>
      </c>
      <c r="M289" s="24">
        <v>42</v>
      </c>
      <c r="N289" s="22">
        <v>7.55</v>
      </c>
      <c r="O289" s="22">
        <v>317.1</v>
      </c>
      <c r="P289" s="22">
        <f>J289*K289</f>
        <v>317.09999999999997</v>
      </c>
      <c r="Q289" s="22">
        <f>IF(L289="","",N289-K289)</f>
        <v>0.0</v>
      </c>
      <c r="R289" s="24">
        <f>IF(L289="","",M289-J289)</f>
        <v>0.0</v>
      </c>
      <c r="S289" s="22">
        <f>IF(L289="",-P289,O289-P289)</f>
        <v>5.684341886080802e-14</v>
      </c>
      <c r="T289" s="11" t="str">
        <f>IF(L289="","NO BILL IN SUPPLIED EXPORT",IF(ABS(Q289)&gt;0.001,"RATE EXCEPTION",IF(ABS(R289)&gt;0.001,"LENGTH EXCEPTION",IF(ABS(S289)&gt;0.01,"AMOUNT EXCEPTION","OK"))))</f>
        <v>OK</v>
      </c>
      <c r="U289" s="19" t="s">
        <v>1738</v>
      </c>
    </row>
    <row r="290" spans="1:21" ht="28" customHeight="1">
      <c r="A290" s="14" t="s">
        <v>1739</v>
      </c>
      <c r="B290" s="14" t="s">
        <v>194</v>
      </c>
      <c r="C290" s="14" t="s">
        <v>226</v>
      </c>
      <c r="D290" s="14" t="s">
        <v>227</v>
      </c>
      <c r="E290" s="14" t="s">
        <v>1740</v>
      </c>
      <c r="F290" s="15" t="s">
        <v>1741</v>
      </c>
      <c r="G290" s="15" t="s">
        <v>1742</v>
      </c>
      <c r="H290" s="24">
        <v>60</v>
      </c>
      <c r="I290" s="24">
        <v>51.5</v>
      </c>
      <c r="J290" s="24">
        <f>MAX(H290,ROUNDUP(I290,0))</f>
        <v>60.0</v>
      </c>
      <c r="K290" s="22">
        <f>IF(C290="covered",10.4,7.55)</f>
        <v>7.55</v>
      </c>
      <c r="L290" s="14" t="s">
        <v>1743</v>
      </c>
      <c r="M290" s="24">
        <v>60</v>
      </c>
      <c r="N290" s="22">
        <v>7.55</v>
      </c>
      <c r="O290" s="22">
        <v>453</v>
      </c>
      <c r="P290" s="22">
        <f>J290*K290</f>
        <v>453.0</v>
      </c>
      <c r="Q290" s="22">
        <f>IF(L290="","",N290-K290)</f>
        <v>0.0</v>
      </c>
      <c r="R290" s="24">
        <f>IF(L290="","",M290-J290)</f>
        <v>0.0</v>
      </c>
      <c r="S290" s="22">
        <f>IF(L290="",-P290,O290-P290)</f>
        <v>0.0</v>
      </c>
      <c r="T290" s="11" t="str">
        <f>IF(L290="","NO BILL IN SUPPLIED EXPORT",IF(ABS(Q290)&gt;0.001,"RATE EXCEPTION",IF(ABS(R290)&gt;0.001,"LENGTH EXCEPTION",IF(ABS(S290)&gt;0.01,"AMOUNT EXCEPTION","OK"))))</f>
        <v>OK</v>
      </c>
      <c r="U290" s="15" t="s">
        <v>1744</v>
      </c>
    </row>
    <row r="291" spans="1:21" ht="28" customHeight="1">
      <c r="A291" s="18" t="s">
        <v>1745</v>
      </c>
      <c r="B291" s="18" t="s">
        <v>194</v>
      </c>
      <c r="C291" s="18" t="s">
        <v>226</v>
      </c>
      <c r="D291" s="18" t="s">
        <v>227</v>
      </c>
      <c r="E291" s="18" t="s">
        <v>1746</v>
      </c>
      <c r="F291" s="19" t="s">
        <v>1747</v>
      </c>
      <c r="G291" s="19" t="s">
        <v>242</v>
      </c>
      <c r="H291" s="24">
        <v>40</v>
      </c>
      <c r="I291" s="24">
        <v>48.5</v>
      </c>
      <c r="J291" s="24">
        <f>MAX(H291,ROUNDUP(I291,0))</f>
        <v>49</v>
      </c>
      <c r="K291" s="22">
        <f>IF(C291="covered",10.4,7.55)</f>
        <v>7.55</v>
      </c>
      <c r="L291" s="18" t="s">
        <v>1748</v>
      </c>
      <c r="M291" s="24">
        <v>49</v>
      </c>
      <c r="N291" s="22">
        <v>7.55</v>
      </c>
      <c r="O291" s="22">
        <v>369.95</v>
      </c>
      <c r="P291" s="22">
        <f>J291*K291</f>
        <v>369.95</v>
      </c>
      <c r="Q291" s="22">
        <f>IF(L291="","",N291-K291)</f>
        <v>0.0</v>
      </c>
      <c r="R291" s="24">
        <f>IF(L291="","",M291-J291)</f>
        <v>0.0</v>
      </c>
      <c r="S291" s="22">
        <f>IF(L291="",-P291,O291-P291)</f>
        <v>0.0</v>
      </c>
      <c r="T291" s="11" t="str">
        <f>IF(L291="","NO BILL IN SUPPLIED EXPORT",IF(ABS(Q291)&gt;0.001,"RATE EXCEPTION",IF(ABS(R291)&gt;0.001,"LENGTH EXCEPTION",IF(ABS(S291)&gt;0.01,"AMOUNT EXCEPTION","OK"))))</f>
        <v>OK</v>
      </c>
      <c r="U291" s="19" t="s">
        <v>1749</v>
      </c>
    </row>
    <row r="292" spans="1:21" ht="28" customHeight="1">
      <c r="A292" s="14" t="s">
        <v>1750</v>
      </c>
      <c r="B292" s="14" t="s">
        <v>194</v>
      </c>
      <c r="C292" s="14" t="s">
        <v>226</v>
      </c>
      <c r="D292" s="14" t="s">
        <v>227</v>
      </c>
      <c r="E292" s="14" t="s">
        <v>1751</v>
      </c>
      <c r="F292" s="15" t="s">
        <v>1752</v>
      </c>
      <c r="G292" s="15" t="s">
        <v>1592</v>
      </c>
      <c r="H292" s="24">
        <v>36</v>
      </c>
      <c r="I292" s="24">
        <v>20.4</v>
      </c>
      <c r="J292" s="24">
        <f>MAX(H292,ROUNDUP(I292,0))</f>
        <v>36.0</v>
      </c>
      <c r="K292" s="22">
        <f>IF(C292="covered",10.4,7.55)</f>
        <v>7.55</v>
      </c>
      <c r="L292" s="14" t="s">
        <v>1753</v>
      </c>
      <c r="M292" s="24">
        <v>36</v>
      </c>
      <c r="N292" s="22">
        <v>7.55</v>
      </c>
      <c r="O292" s="22">
        <v>271.8</v>
      </c>
      <c r="P292" s="22">
        <f>J292*K292</f>
        <v>271.8</v>
      </c>
      <c r="Q292" s="22">
        <f>IF(L292="","",N292-K292)</f>
        <v>0.0</v>
      </c>
      <c r="R292" s="24">
        <f>IF(L292="","",M292-J292)</f>
        <v>0.0</v>
      </c>
      <c r="S292" s="22">
        <f>IF(L292="",-P292,O292-P292)</f>
        <v>0.0</v>
      </c>
      <c r="T292" s="11" t="str">
        <f>IF(L292="","NO BILL IN SUPPLIED EXPORT",IF(ABS(Q292)&gt;0.001,"RATE EXCEPTION",IF(ABS(R292)&gt;0.001,"LENGTH EXCEPTION",IF(ABS(S292)&gt;0.01,"AMOUNT EXCEPTION","OK"))))</f>
        <v>OK</v>
      </c>
      <c r="U292" s="15" t="s">
        <v>1754</v>
      </c>
    </row>
    <row r="293" spans="1:21" ht="28" customHeight="1">
      <c r="A293" s="18" t="s">
        <v>1755</v>
      </c>
      <c r="B293" s="18" t="s">
        <v>194</v>
      </c>
      <c r="C293" s="18" t="s">
        <v>226</v>
      </c>
      <c r="D293" s="18" t="s">
        <v>227</v>
      </c>
      <c r="E293" s="18" t="s">
        <v>1756</v>
      </c>
      <c r="F293" s="19" t="s">
        <v>1757</v>
      </c>
      <c r="G293" s="19" t="s">
        <v>1758</v>
      </c>
      <c r="H293" s="24">
        <v>70</v>
      </c>
      <c r="I293" s="24">
        <v>51.7</v>
      </c>
      <c r="J293" s="24">
        <f>MAX(H293,ROUNDUP(I293,0))</f>
        <v>70.0</v>
      </c>
      <c r="K293" s="22">
        <f>IF(C293="covered",10.4,7.55)</f>
        <v>7.55</v>
      </c>
      <c r="L293" s="18" t="s">
        <v>1759</v>
      </c>
      <c r="M293" s="24">
        <v>70</v>
      </c>
      <c r="N293" s="22">
        <v>7.55</v>
      </c>
      <c r="O293" s="22">
        <v>528.5</v>
      </c>
      <c r="P293" s="22">
        <f>J293*K293</f>
        <v>528.5</v>
      </c>
      <c r="Q293" s="22">
        <f>IF(L293="","",N293-K293)</f>
        <v>0.0</v>
      </c>
      <c r="R293" s="24">
        <f>IF(L293="","",M293-J293)</f>
        <v>0.0</v>
      </c>
      <c r="S293" s="22">
        <f>IF(L293="",-P293,O293-P293)</f>
        <v>0.0</v>
      </c>
      <c r="T293" s="11" t="str">
        <f>IF(L293="","NO BILL IN SUPPLIED EXPORT",IF(ABS(Q293)&gt;0.001,"RATE EXCEPTION",IF(ABS(R293)&gt;0.001,"LENGTH EXCEPTION",IF(ABS(S293)&gt;0.01,"AMOUNT EXCEPTION","OK"))))</f>
        <v>OK</v>
      </c>
      <c r="U293" s="19" t="s">
        <v>1760</v>
      </c>
    </row>
    <row r="294" spans="1:21" ht="28" customHeight="1">
      <c r="A294" s="14" t="s">
        <v>1761</v>
      </c>
      <c r="B294" s="14" t="s">
        <v>194</v>
      </c>
      <c r="C294" s="14" t="s">
        <v>226</v>
      </c>
      <c r="D294" s="14" t="s">
        <v>227</v>
      </c>
      <c r="E294" s="14" t="s">
        <v>1762</v>
      </c>
      <c r="F294" s="15" t="s">
        <v>1763</v>
      </c>
      <c r="G294" s="15" t="s">
        <v>1764</v>
      </c>
      <c r="H294" s="24">
        <v>32</v>
      </c>
      <c r="I294" s="24">
        <v>60.7</v>
      </c>
      <c r="J294" s="24">
        <f>MAX(H294,ROUNDUP(I294,0))</f>
        <v>61</v>
      </c>
      <c r="K294" s="22">
        <f>IF(C294="covered",10.4,7.55)</f>
        <v>7.55</v>
      </c>
      <c r="L294" s="14" t="s">
        <v>1765</v>
      </c>
      <c r="M294" s="24">
        <v>61</v>
      </c>
      <c r="N294" s="22">
        <v>7.55</v>
      </c>
      <c r="O294" s="22">
        <v>460.55</v>
      </c>
      <c r="P294" s="22">
        <f>J294*K294</f>
        <v>460.55</v>
      </c>
      <c r="Q294" s="22">
        <f>IF(L294="","",N294-K294)</f>
        <v>0.0</v>
      </c>
      <c r="R294" s="24">
        <f>IF(L294="","",M294-J294)</f>
        <v>0.0</v>
      </c>
      <c r="S294" s="22">
        <f>IF(L294="",-P294,O294-P294)</f>
        <v>0.0</v>
      </c>
      <c r="T294" s="11" t="str">
        <f>IF(L294="","NO BILL IN SUPPLIED EXPORT",IF(ABS(Q294)&gt;0.001,"RATE EXCEPTION",IF(ABS(R294)&gt;0.001,"LENGTH EXCEPTION",IF(ABS(S294)&gt;0.01,"AMOUNT EXCEPTION","OK"))))</f>
        <v>OK</v>
      </c>
      <c r="U294" s="15" t="s">
        <v>1766</v>
      </c>
    </row>
    <row r="295" spans="1:21" ht="28" customHeight="1">
      <c r="A295" s="18" t="s">
        <v>1767</v>
      </c>
      <c r="B295" s="18" t="s">
        <v>194</v>
      </c>
      <c r="C295" s="18" t="s">
        <v>226</v>
      </c>
      <c r="D295" s="18" t="s">
        <v>227</v>
      </c>
      <c r="E295" s="18" t="s">
        <v>1768</v>
      </c>
      <c r="F295" s="19" t="s">
        <v>1769</v>
      </c>
      <c r="G295" s="19" t="s">
        <v>1598</v>
      </c>
      <c r="H295" s="24">
        <v>32</v>
      </c>
      <c r="I295" s="24">
        <v>58.4</v>
      </c>
      <c r="J295" s="24">
        <f>MAX(H295,ROUNDUP(I295,0))</f>
        <v>59</v>
      </c>
      <c r="K295" s="22">
        <f>IF(C295="covered",10.4,7.55)</f>
        <v>7.55</v>
      </c>
      <c r="L295" s="18" t="s">
        <v>1770</v>
      </c>
      <c r="M295" s="24">
        <v>59</v>
      </c>
      <c r="N295" s="22">
        <v>7.55</v>
      </c>
      <c r="O295" s="22">
        <v>445.45</v>
      </c>
      <c r="P295" s="22">
        <f>J295*K295</f>
        <v>445.45</v>
      </c>
      <c r="Q295" s="22">
        <f>IF(L295="","",N295-K295)</f>
        <v>0.0</v>
      </c>
      <c r="R295" s="24">
        <f>IF(L295="","",M295-J295)</f>
        <v>0.0</v>
      </c>
      <c r="S295" s="22">
        <f>IF(L295="",-P295,O295-P295)</f>
        <v>0.0</v>
      </c>
      <c r="T295" s="11" t="str">
        <f>IF(L295="","NO BILL IN SUPPLIED EXPORT",IF(ABS(Q295)&gt;0.001,"RATE EXCEPTION",IF(ABS(R295)&gt;0.001,"LENGTH EXCEPTION",IF(ABS(S295)&gt;0.01,"AMOUNT EXCEPTION","OK"))))</f>
        <v>OK</v>
      </c>
      <c r="U295" s="19" t="s">
        <v>1771</v>
      </c>
    </row>
    <row r="296" spans="1:21" ht="28" customHeight="1">
      <c r="A296" s="14" t="s">
        <v>1772</v>
      </c>
      <c r="B296" s="14" t="s">
        <v>194</v>
      </c>
      <c r="C296" s="14" t="s">
        <v>226</v>
      </c>
      <c r="D296" s="14" t="s">
        <v>227</v>
      </c>
      <c r="E296" s="14" t="s">
        <v>1773</v>
      </c>
      <c r="F296" s="15" t="s">
        <v>1774</v>
      </c>
      <c r="G296" s="15" t="s">
        <v>698</v>
      </c>
      <c r="H296" s="24">
        <v>32</v>
      </c>
      <c r="I296" s="24">
        <v>25.6</v>
      </c>
      <c r="J296" s="24">
        <f>MAX(H296,ROUNDUP(I296,0))</f>
        <v>32.0</v>
      </c>
      <c r="K296" s="22">
        <f>IF(C296="covered",10.4,7.55)</f>
        <v>7.55</v>
      </c>
      <c r="L296" s="14" t="s">
        <v>1775</v>
      </c>
      <c r="M296" s="24">
        <v>32</v>
      </c>
      <c r="N296" s="22">
        <v>7.55</v>
      </c>
      <c r="O296" s="22">
        <v>241.6</v>
      </c>
      <c r="P296" s="22">
        <f>J296*K296</f>
        <v>241.6</v>
      </c>
      <c r="Q296" s="22">
        <f>IF(L296="","",N296-K296)</f>
        <v>0.0</v>
      </c>
      <c r="R296" s="24">
        <f>IF(L296="","",M296-J296)</f>
        <v>0.0</v>
      </c>
      <c r="S296" s="22">
        <f>IF(L296="",-P296,O296-P296)</f>
        <v>0.0</v>
      </c>
      <c r="T296" s="11" t="str">
        <f>IF(L296="","NO BILL IN SUPPLIED EXPORT",IF(ABS(Q296)&gt;0.001,"RATE EXCEPTION",IF(ABS(R296)&gt;0.001,"LENGTH EXCEPTION",IF(ABS(S296)&gt;0.01,"AMOUNT EXCEPTION","OK"))))</f>
        <v>OK</v>
      </c>
      <c r="U296" s="15" t="s">
        <v>1776</v>
      </c>
    </row>
    <row r="297" spans="1:21" ht="28" customHeight="1">
      <c r="A297" s="18" t="s">
        <v>1777</v>
      </c>
      <c r="B297" s="18" t="s">
        <v>194</v>
      </c>
      <c r="C297" s="18" t="s">
        <v>226</v>
      </c>
      <c r="D297" s="18" t="s">
        <v>227</v>
      </c>
      <c r="E297" s="18" t="s">
        <v>1778</v>
      </c>
      <c r="F297" s="19" t="s">
        <v>1779</v>
      </c>
      <c r="G297" s="19" t="s">
        <v>294</v>
      </c>
      <c r="H297" s="24">
        <v>32</v>
      </c>
      <c r="I297" s="24">
        <v>58.8</v>
      </c>
      <c r="J297" s="24">
        <f>MAX(H297,ROUNDUP(I297,0))</f>
        <v>59</v>
      </c>
      <c r="K297" s="22">
        <f>IF(C297="covered",10.4,7.55)</f>
        <v>7.55</v>
      </c>
      <c r="L297" s="18" t="s">
        <v>1780</v>
      </c>
      <c r="M297" s="24">
        <v>59</v>
      </c>
      <c r="N297" s="22">
        <v>7.55</v>
      </c>
      <c r="O297" s="22">
        <v>445.45</v>
      </c>
      <c r="P297" s="22">
        <f>J297*K297</f>
        <v>445.45</v>
      </c>
      <c r="Q297" s="22">
        <f>IF(L297="","",N297-K297)</f>
        <v>0.0</v>
      </c>
      <c r="R297" s="24">
        <f>IF(L297="","",M297-J297)</f>
        <v>0.0</v>
      </c>
      <c r="S297" s="22">
        <f>IF(L297="",-P297,O297-P297)</f>
        <v>0.0</v>
      </c>
      <c r="T297" s="11" t="str">
        <f>IF(L297="","NO BILL IN SUPPLIED EXPORT",IF(ABS(Q297)&gt;0.001,"RATE EXCEPTION",IF(ABS(R297)&gt;0.001,"LENGTH EXCEPTION",IF(ABS(S297)&gt;0.01,"AMOUNT EXCEPTION","OK"))))</f>
        <v>OK</v>
      </c>
      <c r="U297" s="19" t="s">
        <v>1781</v>
      </c>
    </row>
    <row r="298" spans="1:21" ht="28" customHeight="1">
      <c r="A298" s="14" t="s">
        <v>1782</v>
      </c>
      <c r="B298" s="14" t="s">
        <v>194</v>
      </c>
      <c r="C298" s="14" t="s">
        <v>226</v>
      </c>
      <c r="D298" s="14" t="s">
        <v>227</v>
      </c>
      <c r="E298" s="14" t="s">
        <v>1783</v>
      </c>
      <c r="F298" s="15" t="s">
        <v>1784</v>
      </c>
      <c r="G298" s="15" t="s">
        <v>659</v>
      </c>
      <c r="H298" s="24">
        <v>28</v>
      </c>
      <c r="I298" s="24">
        <v>32.1</v>
      </c>
      <c r="J298" s="24">
        <f>MAX(H298,ROUNDUP(I298,0))</f>
        <v>33</v>
      </c>
      <c r="K298" s="22">
        <f>IF(C298="covered",10.4,7.55)</f>
        <v>7.55</v>
      </c>
      <c r="L298" s="14" t="s">
        <v>1785</v>
      </c>
      <c r="M298" s="24">
        <v>33</v>
      </c>
      <c r="N298" s="22">
        <v>7.55</v>
      </c>
      <c r="O298" s="22">
        <v>249.15</v>
      </c>
      <c r="P298" s="22">
        <f>J298*K298</f>
        <v>249.15</v>
      </c>
      <c r="Q298" s="22">
        <f>IF(L298="","",N298-K298)</f>
        <v>0.0</v>
      </c>
      <c r="R298" s="24">
        <f>IF(L298="","",M298-J298)</f>
        <v>0.0</v>
      </c>
      <c r="S298" s="22">
        <f>IF(L298="",-P298,O298-P298)</f>
        <v>0.0</v>
      </c>
      <c r="T298" s="11" t="str">
        <f>IF(L298="","NO BILL IN SUPPLIED EXPORT",IF(ABS(Q298)&gt;0.001,"RATE EXCEPTION",IF(ABS(R298)&gt;0.001,"LENGTH EXCEPTION",IF(ABS(S298)&gt;0.01,"AMOUNT EXCEPTION","OK"))))</f>
        <v>OK</v>
      </c>
      <c r="U298" s="15" t="s">
        <v>1786</v>
      </c>
    </row>
    <row r="299" spans="1:21" ht="28" customHeight="1">
      <c r="A299" s="18" t="s">
        <v>1787</v>
      </c>
      <c r="B299" s="18" t="s">
        <v>194</v>
      </c>
      <c r="C299" s="18" t="s">
        <v>226</v>
      </c>
      <c r="D299" s="18" t="s">
        <v>227</v>
      </c>
      <c r="E299" s="18" t="s">
        <v>1788</v>
      </c>
      <c r="F299" s="19" t="s">
        <v>1789</v>
      </c>
      <c r="G299" s="19" t="s">
        <v>1790</v>
      </c>
      <c r="H299" s="24">
        <v>36</v>
      </c>
      <c r="I299" s="24">
        <v>42.3</v>
      </c>
      <c r="J299" s="24">
        <f>MAX(H299,ROUNDUP(I299,0))</f>
        <v>43</v>
      </c>
      <c r="K299" s="22">
        <f>IF(C299="covered",10.4,7.55)</f>
        <v>7.55</v>
      </c>
      <c r="L299" s="18" t="s">
        <v>1791</v>
      </c>
      <c r="M299" s="24">
        <v>43</v>
      </c>
      <c r="N299" s="22">
        <v>7.55</v>
      </c>
      <c r="O299" s="22">
        <v>324.65</v>
      </c>
      <c r="P299" s="22">
        <f>J299*K299</f>
        <v>324.65</v>
      </c>
      <c r="Q299" s="22">
        <f>IF(L299="","",N299-K299)</f>
        <v>0.0</v>
      </c>
      <c r="R299" s="24">
        <f>IF(L299="","",M299-J299)</f>
        <v>0.0</v>
      </c>
      <c r="S299" s="22">
        <f>IF(L299="",-P299,O299-P299)</f>
        <v>0.0</v>
      </c>
      <c r="T299" s="11" t="str">
        <f>IF(L299="","NO BILL IN SUPPLIED EXPORT",IF(ABS(Q299)&gt;0.001,"RATE EXCEPTION",IF(ABS(R299)&gt;0.001,"LENGTH EXCEPTION",IF(ABS(S299)&gt;0.01,"AMOUNT EXCEPTION","OK"))))</f>
        <v>OK</v>
      </c>
      <c r="U299" s="19" t="s">
        <v>1792</v>
      </c>
    </row>
    <row r="300" spans="1:21" ht="28" customHeight="1">
      <c r="A300" s="14" t="s">
        <v>1793</v>
      </c>
      <c r="B300" s="14" t="s">
        <v>194</v>
      </c>
      <c r="C300" s="14" t="s">
        <v>226</v>
      </c>
      <c r="D300" s="14" t="s">
        <v>227</v>
      </c>
      <c r="E300" s="14" t="s">
        <v>1794</v>
      </c>
      <c r="F300" s="15" t="s">
        <v>1795</v>
      </c>
      <c r="G300" s="15" t="s">
        <v>1796</v>
      </c>
      <c r="H300" s="24">
        <v>45</v>
      </c>
      <c r="I300" s="24">
        <v>58</v>
      </c>
      <c r="J300" s="24">
        <f>MAX(H300,ROUNDUP(I300,0))</f>
        <v>58</v>
      </c>
      <c r="K300" s="22">
        <f>IF(C300="covered",10.4,7.55)</f>
        <v>7.55</v>
      </c>
      <c r="L300" s="14" t="s">
        <v>1797</v>
      </c>
      <c r="M300" s="24">
        <v>58</v>
      </c>
      <c r="N300" s="22">
        <v>7.55</v>
      </c>
      <c r="O300" s="22">
        <v>437.9</v>
      </c>
      <c r="P300" s="22">
        <f>J300*K300</f>
        <v>437.9</v>
      </c>
      <c r="Q300" s="22">
        <f>IF(L300="","",N300-K300)</f>
        <v>0.0</v>
      </c>
      <c r="R300" s="24">
        <f>IF(L300="","",M300-J300)</f>
        <v>0.0</v>
      </c>
      <c r="S300" s="22">
        <f>IF(L300="",-P300,O300-P300)</f>
        <v>0.0</v>
      </c>
      <c r="T300" s="11" t="str">
        <f>IF(L300="","NO BILL IN SUPPLIED EXPORT",IF(ABS(Q300)&gt;0.001,"RATE EXCEPTION",IF(ABS(R300)&gt;0.001,"LENGTH EXCEPTION",IF(ABS(S300)&gt;0.01,"AMOUNT EXCEPTION","OK"))))</f>
        <v>OK</v>
      </c>
      <c r="U300" s="15" t="s">
        <v>1798</v>
      </c>
    </row>
    <row r="301" spans="1:21" ht="28" customHeight="1">
      <c r="A301" s="18" t="s">
        <v>1799</v>
      </c>
      <c r="B301" s="18" t="s">
        <v>194</v>
      </c>
      <c r="C301" s="18" t="s">
        <v>226</v>
      </c>
      <c r="D301" s="18" t="s">
        <v>227</v>
      </c>
      <c r="E301" s="18" t="s">
        <v>1800</v>
      </c>
      <c r="F301" s="19" t="s">
        <v>1801</v>
      </c>
      <c r="G301" s="19" t="s">
        <v>975</v>
      </c>
      <c r="H301" s="24">
        <v>45</v>
      </c>
      <c r="I301" s="24">
        <v>30.1</v>
      </c>
      <c r="J301" s="24">
        <f>MAX(H301,ROUNDUP(I301,0))</f>
        <v>45.0</v>
      </c>
      <c r="K301" s="22">
        <f>IF(C301="covered",10.4,7.55)</f>
        <v>7.55</v>
      </c>
      <c r="L301" s="18" t="s">
        <v>1802</v>
      </c>
      <c r="M301" s="24">
        <v>45</v>
      </c>
      <c r="N301" s="22">
        <v>7.55</v>
      </c>
      <c r="O301" s="22">
        <v>339.75</v>
      </c>
      <c r="P301" s="22">
        <f>J301*K301</f>
        <v>339.75</v>
      </c>
      <c r="Q301" s="22">
        <f>IF(L301="","",N301-K301)</f>
        <v>0.0</v>
      </c>
      <c r="R301" s="24">
        <f>IF(L301="","",M301-J301)</f>
        <v>0.0</v>
      </c>
      <c r="S301" s="22">
        <f>IF(L301="",-P301,O301-P301)</f>
        <v>0.0</v>
      </c>
      <c r="T301" s="11" t="str">
        <f>IF(L301="","NO BILL IN SUPPLIED EXPORT",IF(ABS(Q301)&gt;0.001,"RATE EXCEPTION",IF(ABS(R301)&gt;0.001,"LENGTH EXCEPTION",IF(ABS(S301)&gt;0.01,"AMOUNT EXCEPTION","OK"))))</f>
        <v>OK</v>
      </c>
      <c r="U301" s="19" t="s">
        <v>1803</v>
      </c>
    </row>
    <row r="302" spans="1:21" ht="28" customHeight="1">
      <c r="A302" s="14" t="s">
        <v>1804</v>
      </c>
      <c r="B302" s="14" t="s">
        <v>194</v>
      </c>
      <c r="C302" s="14" t="s">
        <v>226</v>
      </c>
      <c r="D302" s="14" t="s">
        <v>227</v>
      </c>
      <c r="E302" s="14" t="s">
        <v>1805</v>
      </c>
      <c r="F302" s="15" t="s">
        <v>1806</v>
      </c>
      <c r="G302" s="15" t="s">
        <v>698</v>
      </c>
      <c r="H302" s="24">
        <v>80</v>
      </c>
      <c r="I302" s="24">
        <v>54.2</v>
      </c>
      <c r="J302" s="24">
        <f>MAX(H302,ROUNDUP(I302,0))</f>
        <v>80.0</v>
      </c>
      <c r="K302" s="22">
        <f>IF(C302="covered",10.4,7.55)</f>
        <v>7.55</v>
      </c>
      <c r="L302" s="14" t="s">
        <v>1807</v>
      </c>
      <c r="M302" s="24">
        <v>80</v>
      </c>
      <c r="N302" s="22">
        <v>7.55</v>
      </c>
      <c r="O302" s="22">
        <v>604</v>
      </c>
      <c r="P302" s="22">
        <f>J302*K302</f>
        <v>604.0</v>
      </c>
      <c r="Q302" s="22">
        <f>IF(L302="","",N302-K302)</f>
        <v>0.0</v>
      </c>
      <c r="R302" s="24">
        <f>IF(L302="","",M302-J302)</f>
        <v>0.0</v>
      </c>
      <c r="S302" s="22">
        <f>IF(L302="",-P302,O302-P302)</f>
        <v>0.0</v>
      </c>
      <c r="T302" s="11" t="str">
        <f>IF(L302="","NO BILL IN SUPPLIED EXPORT",IF(ABS(Q302)&gt;0.001,"RATE EXCEPTION",IF(ABS(R302)&gt;0.001,"LENGTH EXCEPTION",IF(ABS(S302)&gt;0.01,"AMOUNT EXCEPTION","OK"))))</f>
        <v>OK</v>
      </c>
      <c r="U302" s="15" t="s">
        <v>1808</v>
      </c>
    </row>
    <row r="303" spans="1:21" ht="28" customHeight="1">
      <c r="A303" s="18" t="s">
        <v>1809</v>
      </c>
      <c r="B303" s="18" t="s">
        <v>194</v>
      </c>
      <c r="C303" s="18" t="s">
        <v>226</v>
      </c>
      <c r="D303" s="18" t="s">
        <v>227</v>
      </c>
      <c r="E303" s="18" t="s">
        <v>1810</v>
      </c>
      <c r="F303" s="19" t="s">
        <v>1811</v>
      </c>
      <c r="G303" s="19" t="s">
        <v>76</v>
      </c>
      <c r="H303" s="24">
        <v>45</v>
      </c>
      <c r="I303" s="24">
        <v>40.3</v>
      </c>
      <c r="J303" s="24">
        <f>MAX(H303,ROUNDUP(I303,0))</f>
        <v>45.0</v>
      </c>
      <c r="K303" s="22">
        <f>IF(C303="covered",10.4,7.55)</f>
        <v>7.55</v>
      </c>
      <c r="L303" s="18" t="s">
        <v>1812</v>
      </c>
      <c r="M303" s="24">
        <v>45</v>
      </c>
      <c r="N303" s="22">
        <v>7.55</v>
      </c>
      <c r="O303" s="22">
        <v>339.75</v>
      </c>
      <c r="P303" s="22">
        <f>J303*K303</f>
        <v>339.75</v>
      </c>
      <c r="Q303" s="22">
        <f>IF(L303="","",N303-K303)</f>
        <v>0.0</v>
      </c>
      <c r="R303" s="24">
        <f>IF(L303="","",M303-J303)</f>
        <v>0.0</v>
      </c>
      <c r="S303" s="22">
        <f>IF(L303="",-P303,O303-P303)</f>
        <v>0.0</v>
      </c>
      <c r="T303" s="11" t="str">
        <f>IF(L303="","NO BILL IN SUPPLIED EXPORT",IF(ABS(Q303)&gt;0.001,"RATE EXCEPTION",IF(ABS(R303)&gt;0.001,"LENGTH EXCEPTION",IF(ABS(S303)&gt;0.01,"AMOUNT EXCEPTION","OK"))))</f>
        <v>OK</v>
      </c>
      <c r="U303" s="19" t="s">
        <v>1813</v>
      </c>
    </row>
    <row r="304" spans="1:21" ht="28" customHeight="1">
      <c r="A304" s="14" t="s">
        <v>1814</v>
      </c>
      <c r="B304" s="14" t="s">
        <v>194</v>
      </c>
      <c r="C304" s="14" t="s">
        <v>226</v>
      </c>
      <c r="D304" s="14" t="s">
        <v>227</v>
      </c>
      <c r="E304" s="14" t="s">
        <v>1815</v>
      </c>
      <c r="F304" s="15" t="s">
        <v>1816</v>
      </c>
      <c r="G304" s="15" t="s">
        <v>1817</v>
      </c>
      <c r="H304" s="24">
        <v>24</v>
      </c>
      <c r="I304" s="24">
        <v>33.6</v>
      </c>
      <c r="J304" s="24">
        <f>MAX(H304,ROUNDUP(I304,0))</f>
        <v>34</v>
      </c>
      <c r="K304" s="22">
        <f>IF(C304="covered",10.4,7.55)</f>
        <v>7.55</v>
      </c>
      <c r="L304" s="14" t="s">
        <v>1818</v>
      </c>
      <c r="M304" s="24">
        <v>34</v>
      </c>
      <c r="N304" s="22">
        <v>7.55</v>
      </c>
      <c r="O304" s="22">
        <v>256.7</v>
      </c>
      <c r="P304" s="22">
        <f>J304*K304</f>
        <v>256.7</v>
      </c>
      <c r="Q304" s="22">
        <f>IF(L304="","",N304-K304)</f>
        <v>0.0</v>
      </c>
      <c r="R304" s="24">
        <f>IF(L304="","",M304-J304)</f>
        <v>0.0</v>
      </c>
      <c r="S304" s="22">
        <f>IF(L304="",-P304,O304-P304)</f>
        <v>0.0</v>
      </c>
      <c r="T304" s="11" t="str">
        <f>IF(L304="","NO BILL IN SUPPLIED EXPORT",IF(ABS(Q304)&gt;0.001,"RATE EXCEPTION",IF(ABS(R304)&gt;0.001,"LENGTH EXCEPTION",IF(ABS(S304)&gt;0.01,"AMOUNT EXCEPTION","OK"))))</f>
        <v>OK</v>
      </c>
      <c r="U304" s="15" t="s">
        <v>1819</v>
      </c>
    </row>
    <row r="305" spans="1:21" ht="28" customHeight="1">
      <c r="A305" s="18" t="s">
        <v>1820</v>
      </c>
      <c r="B305" s="18" t="s">
        <v>194</v>
      </c>
      <c r="C305" s="18" t="s">
        <v>226</v>
      </c>
      <c r="D305" s="18" t="s">
        <v>227</v>
      </c>
      <c r="E305" s="18" t="s">
        <v>1821</v>
      </c>
      <c r="F305" s="19" t="s">
        <v>1822</v>
      </c>
      <c r="G305" s="19" t="s">
        <v>1823</v>
      </c>
      <c r="H305" s="24">
        <v>32</v>
      </c>
      <c r="I305" s="24">
        <v>26.3</v>
      </c>
      <c r="J305" s="24">
        <f>MAX(H305,ROUNDUP(I305,0))</f>
        <v>32.0</v>
      </c>
      <c r="K305" s="22">
        <f>IF(C305="covered",10.4,7.55)</f>
        <v>7.55</v>
      </c>
      <c r="L305" s="18" t="s">
        <v>1824</v>
      </c>
      <c r="M305" s="24">
        <v>32</v>
      </c>
      <c r="N305" s="22">
        <v>7.55</v>
      </c>
      <c r="O305" s="22">
        <v>241.6</v>
      </c>
      <c r="P305" s="22">
        <f>J305*K305</f>
        <v>241.6</v>
      </c>
      <c r="Q305" s="22">
        <f>IF(L305="","",N305-K305)</f>
        <v>0.0</v>
      </c>
      <c r="R305" s="24">
        <f>IF(L305="","",M305-J305)</f>
        <v>0.0</v>
      </c>
      <c r="S305" s="22">
        <f>IF(L305="",-P305,O305-P305)</f>
        <v>0.0</v>
      </c>
      <c r="T305" s="11" t="str">
        <f>IF(L305="","NO BILL IN SUPPLIED EXPORT",IF(ABS(Q305)&gt;0.001,"RATE EXCEPTION",IF(ABS(R305)&gt;0.001,"LENGTH EXCEPTION",IF(ABS(S305)&gt;0.01,"AMOUNT EXCEPTION","OK"))))</f>
        <v>OK</v>
      </c>
      <c r="U305" s="19" t="s">
        <v>1825</v>
      </c>
    </row>
    <row r="306" spans="1:21" ht="28" customHeight="1">
      <c r="A306" s="14" t="s">
        <v>1826</v>
      </c>
      <c r="B306" s="14" t="s">
        <v>194</v>
      </c>
      <c r="C306" s="14" t="s">
        <v>226</v>
      </c>
      <c r="D306" s="14" t="s">
        <v>227</v>
      </c>
      <c r="E306" s="14" t="s">
        <v>1827</v>
      </c>
      <c r="F306" s="15" t="s">
        <v>1828</v>
      </c>
      <c r="G306" s="15" t="s">
        <v>1168</v>
      </c>
      <c r="H306" s="24">
        <v>60</v>
      </c>
      <c r="I306" s="24">
        <v>38.1</v>
      </c>
      <c r="J306" s="24">
        <f>MAX(H306,ROUNDUP(I306,0))</f>
        <v>60.0</v>
      </c>
      <c r="K306" s="22">
        <f>IF(C306="covered",10.4,7.55)</f>
        <v>7.55</v>
      </c>
      <c r="L306" s="14" t="s">
        <v>1829</v>
      </c>
      <c r="M306" s="24">
        <v>60</v>
      </c>
      <c r="N306" s="22">
        <v>7.55</v>
      </c>
      <c r="O306" s="22">
        <v>453</v>
      </c>
      <c r="P306" s="22">
        <f>J306*K306</f>
        <v>453.0</v>
      </c>
      <c r="Q306" s="22">
        <f>IF(L306="","",N306-K306)</f>
        <v>0.0</v>
      </c>
      <c r="R306" s="24">
        <f>IF(L306="","",M306-J306)</f>
        <v>0.0</v>
      </c>
      <c r="S306" s="22">
        <f>IF(L306="",-P306,O306-P306)</f>
        <v>0.0</v>
      </c>
      <c r="T306" s="11" t="str">
        <f>IF(L306="","NO BILL IN SUPPLIED EXPORT",IF(ABS(Q306)&gt;0.001,"RATE EXCEPTION",IF(ABS(R306)&gt;0.001,"LENGTH EXCEPTION",IF(ABS(S306)&gt;0.01,"AMOUNT EXCEPTION","OK"))))</f>
        <v>OK</v>
      </c>
      <c r="U306" s="15" t="s">
        <v>1830</v>
      </c>
    </row>
    <row r="307" spans="1:21" ht="28" customHeight="1">
      <c r="A307" s="18" t="s">
        <v>1831</v>
      </c>
      <c r="B307" s="18" t="s">
        <v>194</v>
      </c>
      <c r="C307" s="18" t="s">
        <v>226</v>
      </c>
      <c r="D307" s="18" t="s">
        <v>227</v>
      </c>
      <c r="E307" s="18" t="s">
        <v>1832</v>
      </c>
      <c r="F307" s="19" t="s">
        <v>1833</v>
      </c>
      <c r="G307" s="19" t="s">
        <v>154</v>
      </c>
      <c r="H307" s="24">
        <v>45</v>
      </c>
      <c r="I307" s="24">
        <v>31.8</v>
      </c>
      <c r="J307" s="24">
        <f>MAX(H307,ROUNDUP(I307,0))</f>
        <v>45.0</v>
      </c>
      <c r="K307" s="22">
        <f>IF(C307="covered",10.4,7.55)</f>
        <v>7.55</v>
      </c>
      <c r="L307" s="18" t="s">
        <v>1834</v>
      </c>
      <c r="M307" s="24">
        <v>45</v>
      </c>
      <c r="N307" s="22">
        <v>7.55</v>
      </c>
      <c r="O307" s="22">
        <v>339.75</v>
      </c>
      <c r="P307" s="22">
        <f>J307*K307</f>
        <v>339.75</v>
      </c>
      <c r="Q307" s="22">
        <f>IF(L307="","",N307-K307)</f>
        <v>0.0</v>
      </c>
      <c r="R307" s="24">
        <f>IF(L307="","",M307-J307)</f>
        <v>0.0</v>
      </c>
      <c r="S307" s="22">
        <f>IF(L307="",-P307,O307-P307)</f>
        <v>0.0</v>
      </c>
      <c r="T307" s="11" t="str">
        <f>IF(L307="","NO BILL IN SUPPLIED EXPORT",IF(ABS(Q307)&gt;0.001,"RATE EXCEPTION",IF(ABS(R307)&gt;0.001,"LENGTH EXCEPTION",IF(ABS(S307)&gt;0.01,"AMOUNT EXCEPTION","OK"))))</f>
        <v>OK</v>
      </c>
      <c r="U307" s="19" t="s">
        <v>1835</v>
      </c>
    </row>
    <row r="308" spans="1:21" ht="28" customHeight="1">
      <c r="A308" s="14" t="s">
        <v>1836</v>
      </c>
      <c r="B308" s="14" t="s">
        <v>194</v>
      </c>
      <c r="C308" s="14" t="s">
        <v>226</v>
      </c>
      <c r="D308" s="14" t="s">
        <v>227</v>
      </c>
      <c r="E308" s="14" t="s">
        <v>1837</v>
      </c>
      <c r="F308" s="15" t="s">
        <v>1838</v>
      </c>
      <c r="G308" s="15" t="s">
        <v>436</v>
      </c>
      <c r="H308" s="24">
        <v>28</v>
      </c>
      <c r="I308" s="24">
        <v>61.4</v>
      </c>
      <c r="J308" s="24">
        <f>MAX(H308,ROUNDUP(I308,0))</f>
        <v>62</v>
      </c>
      <c r="K308" s="22">
        <f>IF(C308="covered",10.4,7.55)</f>
        <v>7.55</v>
      </c>
      <c r="L308" s="14" t="s">
        <v>1839</v>
      </c>
      <c r="M308" s="24">
        <v>62</v>
      </c>
      <c r="N308" s="22">
        <v>7.55</v>
      </c>
      <c r="O308" s="22">
        <v>468.1</v>
      </c>
      <c r="P308" s="22">
        <f>J308*K308</f>
        <v>468.09999999999997</v>
      </c>
      <c r="Q308" s="22">
        <f>IF(L308="","",N308-K308)</f>
        <v>0.0</v>
      </c>
      <c r="R308" s="24">
        <f>IF(L308="","",M308-J308)</f>
        <v>0.0</v>
      </c>
      <c r="S308" s="22">
        <f>IF(L308="",-P308,O308-P308)</f>
        <v>5.684341886080802e-14</v>
      </c>
      <c r="T308" s="11" t="str">
        <f>IF(L308="","NO BILL IN SUPPLIED EXPORT",IF(ABS(Q308)&gt;0.001,"RATE EXCEPTION",IF(ABS(R308)&gt;0.001,"LENGTH EXCEPTION",IF(ABS(S308)&gt;0.01,"AMOUNT EXCEPTION","OK"))))</f>
        <v>OK</v>
      </c>
      <c r="U308" s="15" t="s">
        <v>1840</v>
      </c>
    </row>
    <row r="309" spans="1:21" ht="28" customHeight="1">
      <c r="A309" s="18" t="s">
        <v>1841</v>
      </c>
      <c r="B309" s="18" t="s">
        <v>194</v>
      </c>
      <c r="C309" s="18" t="s">
        <v>226</v>
      </c>
      <c r="D309" s="18" t="s">
        <v>227</v>
      </c>
      <c r="E309" s="18" t="s">
        <v>1842</v>
      </c>
      <c r="F309" s="19" t="s">
        <v>1843</v>
      </c>
      <c r="G309" s="19" t="s">
        <v>1844</v>
      </c>
      <c r="H309" s="24">
        <v>45</v>
      </c>
      <c r="I309" s="24">
        <v>23.5</v>
      </c>
      <c r="J309" s="24">
        <f>MAX(H309,ROUNDUP(I309,0))</f>
        <v>45.0</v>
      </c>
      <c r="K309" s="22">
        <f>IF(C309="covered",10.4,7.55)</f>
        <v>7.55</v>
      </c>
      <c r="L309" s="18" t="s">
        <v>1845</v>
      </c>
      <c r="M309" s="24">
        <v>45</v>
      </c>
      <c r="N309" s="22">
        <v>7.55</v>
      </c>
      <c r="O309" s="22">
        <v>339.75</v>
      </c>
      <c r="P309" s="22">
        <f>J309*K309</f>
        <v>339.75</v>
      </c>
      <c r="Q309" s="22">
        <f>IF(L309="","",N309-K309)</f>
        <v>0.0</v>
      </c>
      <c r="R309" s="24">
        <f>IF(L309="","",M309-J309)</f>
        <v>0.0</v>
      </c>
      <c r="S309" s="22">
        <f>IF(L309="",-P309,O309-P309)</f>
        <v>0.0</v>
      </c>
      <c r="T309" s="11" t="str">
        <f>IF(L309="","NO BILL IN SUPPLIED EXPORT",IF(ABS(Q309)&gt;0.001,"RATE EXCEPTION",IF(ABS(R309)&gt;0.001,"LENGTH EXCEPTION",IF(ABS(S309)&gt;0.01,"AMOUNT EXCEPTION","OK"))))</f>
        <v>OK</v>
      </c>
      <c r="U309" s="19" t="s">
        <v>1846</v>
      </c>
    </row>
    <row r="310" spans="1:21" ht="28" customHeight="1">
      <c r="A310" s="14" t="s">
        <v>1847</v>
      </c>
      <c r="B310" s="14" t="s">
        <v>194</v>
      </c>
      <c r="C310" s="14" t="s">
        <v>226</v>
      </c>
      <c r="D310" s="14" t="s">
        <v>227</v>
      </c>
      <c r="E310" s="14" t="s">
        <v>1848</v>
      </c>
      <c r="F310" s="15" t="s">
        <v>1849</v>
      </c>
      <c r="G310" s="15" t="s">
        <v>1850</v>
      </c>
      <c r="H310" s="24">
        <v>28</v>
      </c>
      <c r="I310" s="24">
        <v>21</v>
      </c>
      <c r="J310" s="24">
        <f>MAX(H310,ROUNDUP(I310,0))</f>
        <v>28.0</v>
      </c>
      <c r="K310" s="22">
        <f>IF(C310="covered",10.4,7.55)</f>
        <v>7.55</v>
      </c>
      <c r="L310" s="14" t="s">
        <v>1851</v>
      </c>
      <c r="M310" s="24">
        <v>28</v>
      </c>
      <c r="N310" s="22">
        <v>7.55</v>
      </c>
      <c r="O310" s="22">
        <v>211.4</v>
      </c>
      <c r="P310" s="22">
        <f>J310*K310</f>
        <v>211.4</v>
      </c>
      <c r="Q310" s="22">
        <f>IF(L310="","",N310-K310)</f>
        <v>0.0</v>
      </c>
      <c r="R310" s="24">
        <f>IF(L310="","",M310-J310)</f>
        <v>0.0</v>
      </c>
      <c r="S310" s="22">
        <f>IF(L310="",-P310,O310-P310)</f>
        <v>0.0</v>
      </c>
      <c r="T310" s="11" t="str">
        <f>IF(L310="","NO BILL IN SUPPLIED EXPORT",IF(ABS(Q310)&gt;0.001,"RATE EXCEPTION",IF(ABS(R310)&gt;0.001,"LENGTH EXCEPTION",IF(ABS(S310)&gt;0.01,"AMOUNT EXCEPTION","OK"))))</f>
        <v>OK</v>
      </c>
      <c r="U310" s="15" t="s">
        <v>1852</v>
      </c>
    </row>
    <row r="311" spans="1:21" ht="28" customHeight="1">
      <c r="A311" s="18" t="s">
        <v>1853</v>
      </c>
      <c r="B311" s="18" t="s">
        <v>194</v>
      </c>
      <c r="C311" s="18" t="s">
        <v>226</v>
      </c>
      <c r="D311" s="18" t="s">
        <v>227</v>
      </c>
      <c r="E311" s="18" t="s">
        <v>1854</v>
      </c>
      <c r="F311" s="19" t="s">
        <v>1855</v>
      </c>
      <c r="G311" s="19" t="s">
        <v>1856</v>
      </c>
      <c r="H311" s="24">
        <v>45</v>
      </c>
      <c r="I311" s="24">
        <v>55.5</v>
      </c>
      <c r="J311" s="24">
        <f>MAX(H311,ROUNDUP(I311,0))</f>
        <v>56</v>
      </c>
      <c r="K311" s="22">
        <f>IF(C311="covered",10.4,7.55)</f>
        <v>7.55</v>
      </c>
      <c r="L311" s="18" t="s">
        <v>1857</v>
      </c>
      <c r="M311" s="24">
        <v>56</v>
      </c>
      <c r="N311" s="22">
        <v>7.55</v>
      </c>
      <c r="O311" s="22">
        <v>422.8</v>
      </c>
      <c r="P311" s="22">
        <f>J311*K311</f>
        <v>422.8</v>
      </c>
      <c r="Q311" s="22">
        <f>IF(L311="","",N311-K311)</f>
        <v>0.0</v>
      </c>
      <c r="R311" s="24">
        <f>IF(L311="","",M311-J311)</f>
        <v>0.0</v>
      </c>
      <c r="S311" s="22">
        <f>IF(L311="",-P311,O311-P311)</f>
        <v>0.0</v>
      </c>
      <c r="T311" s="11" t="str">
        <f>IF(L311="","NO BILL IN SUPPLIED EXPORT",IF(ABS(Q311)&gt;0.001,"RATE EXCEPTION",IF(ABS(R311)&gt;0.001,"LENGTH EXCEPTION",IF(ABS(S311)&gt;0.01,"AMOUNT EXCEPTION","OK"))))</f>
        <v>OK</v>
      </c>
      <c r="U311" s="19" t="s">
        <v>1858</v>
      </c>
    </row>
    <row r="312" spans="1:21" ht="28" customHeight="1">
      <c r="A312" s="14" t="s">
        <v>1859</v>
      </c>
      <c r="B312" s="14" t="s">
        <v>194</v>
      </c>
      <c r="C312" s="14" t="s">
        <v>226</v>
      </c>
      <c r="D312" s="14" t="s">
        <v>227</v>
      </c>
      <c r="E312" s="14" t="s">
        <v>1860</v>
      </c>
      <c r="F312" s="15" t="s">
        <v>1861</v>
      </c>
      <c r="G312" s="15" t="s">
        <v>1862</v>
      </c>
      <c r="H312" s="24">
        <v>70</v>
      </c>
      <c r="I312" s="24">
        <v>40.2</v>
      </c>
      <c r="J312" s="24">
        <f>MAX(H312,ROUNDUP(I312,0))</f>
        <v>70.0</v>
      </c>
      <c r="K312" s="22">
        <f>IF(C312="covered",10.4,7.55)</f>
        <v>7.55</v>
      </c>
      <c r="L312" s="14" t="s">
        <v>1863</v>
      </c>
      <c r="M312" s="24">
        <v>70</v>
      </c>
      <c r="N312" s="22">
        <v>7.55</v>
      </c>
      <c r="O312" s="22">
        <v>528.5</v>
      </c>
      <c r="P312" s="22">
        <f>J312*K312</f>
        <v>528.5</v>
      </c>
      <c r="Q312" s="22">
        <f>IF(L312="","",N312-K312)</f>
        <v>0.0</v>
      </c>
      <c r="R312" s="24">
        <f>IF(L312="","",M312-J312)</f>
        <v>0.0</v>
      </c>
      <c r="S312" s="22">
        <f>IF(L312="",-P312,O312-P312)</f>
        <v>0.0</v>
      </c>
      <c r="T312" s="11" t="str">
        <f>IF(L312="","NO BILL IN SUPPLIED EXPORT",IF(ABS(Q312)&gt;0.001,"RATE EXCEPTION",IF(ABS(R312)&gt;0.001,"LENGTH EXCEPTION",IF(ABS(S312)&gt;0.01,"AMOUNT EXCEPTION","OK"))))</f>
        <v>OK</v>
      </c>
      <c r="U312" s="15" t="s">
        <v>1864</v>
      </c>
    </row>
    <row r="313" spans="1:21" ht="28" customHeight="1">
      <c r="A313" s="18" t="s">
        <v>1865</v>
      </c>
      <c r="B313" s="18" t="s">
        <v>194</v>
      </c>
      <c r="C313" s="18" t="s">
        <v>226</v>
      </c>
      <c r="D313" s="18" t="s">
        <v>227</v>
      </c>
      <c r="E313" s="18" t="s">
        <v>1866</v>
      </c>
      <c r="F313" s="19" t="s">
        <v>1867</v>
      </c>
      <c r="G313" s="19" t="s">
        <v>1868</v>
      </c>
      <c r="H313" s="24">
        <v>32</v>
      </c>
      <c r="I313" s="24">
        <v>48.1</v>
      </c>
      <c r="J313" s="24">
        <f>MAX(H313,ROUNDUP(I313,0))</f>
        <v>49</v>
      </c>
      <c r="K313" s="22">
        <f>IF(C313="covered",10.4,7.55)</f>
        <v>7.55</v>
      </c>
      <c r="L313" s="18" t="s">
        <v>1869</v>
      </c>
      <c r="M313" s="24">
        <v>49</v>
      </c>
      <c r="N313" s="22">
        <v>7.55</v>
      </c>
      <c r="O313" s="22">
        <v>369.95</v>
      </c>
      <c r="P313" s="22">
        <f>J313*K313</f>
        <v>369.95</v>
      </c>
      <c r="Q313" s="22">
        <f>IF(L313="","",N313-K313)</f>
        <v>0.0</v>
      </c>
      <c r="R313" s="24">
        <f>IF(L313="","",M313-J313)</f>
        <v>0.0</v>
      </c>
      <c r="S313" s="22">
        <f>IF(L313="",-P313,O313-P313)</f>
        <v>0.0</v>
      </c>
      <c r="T313" s="11" t="str">
        <f>IF(L313="","NO BILL IN SUPPLIED EXPORT",IF(ABS(Q313)&gt;0.001,"RATE EXCEPTION",IF(ABS(R313)&gt;0.001,"LENGTH EXCEPTION",IF(ABS(S313)&gt;0.01,"AMOUNT EXCEPTION","OK"))))</f>
        <v>OK</v>
      </c>
      <c r="U313" s="19" t="s">
        <v>1870</v>
      </c>
    </row>
    <row r="314" spans="1:21" ht="28" customHeight="1">
      <c r="A314" s="14" t="s">
        <v>1871</v>
      </c>
      <c r="B314" s="14" t="s">
        <v>194</v>
      </c>
      <c r="C314" s="14" t="s">
        <v>226</v>
      </c>
      <c r="D314" s="14" t="s">
        <v>227</v>
      </c>
      <c r="E314" s="14" t="s">
        <v>1872</v>
      </c>
      <c r="F314" s="15" t="s">
        <v>1873</v>
      </c>
      <c r="G314" s="15" t="s">
        <v>1874</v>
      </c>
      <c r="H314" s="24">
        <v>24</v>
      </c>
      <c r="I314" s="24">
        <v>35.1</v>
      </c>
      <c r="J314" s="24">
        <f>MAX(H314,ROUNDUP(I314,0))</f>
        <v>36</v>
      </c>
      <c r="K314" s="22">
        <f>IF(C314="covered",10.4,7.55)</f>
        <v>7.55</v>
      </c>
      <c r="L314" s="14" t="s">
        <v>1875</v>
      </c>
      <c r="M314" s="24">
        <v>36</v>
      </c>
      <c r="N314" s="22">
        <v>7.55</v>
      </c>
      <c r="O314" s="22">
        <v>271.8</v>
      </c>
      <c r="P314" s="22">
        <f>J314*K314</f>
        <v>271.8</v>
      </c>
      <c r="Q314" s="22">
        <f>IF(L314="","",N314-K314)</f>
        <v>0.0</v>
      </c>
      <c r="R314" s="24">
        <f>IF(L314="","",M314-J314)</f>
        <v>0.0</v>
      </c>
      <c r="S314" s="22">
        <f>IF(L314="",-P314,O314-P314)</f>
        <v>0.0</v>
      </c>
      <c r="T314" s="11" t="str">
        <f>IF(L314="","NO BILL IN SUPPLIED EXPORT",IF(ABS(Q314)&gt;0.001,"RATE EXCEPTION",IF(ABS(R314)&gt;0.001,"LENGTH EXCEPTION",IF(ABS(S314)&gt;0.01,"AMOUNT EXCEPTION","OK"))))</f>
        <v>OK</v>
      </c>
      <c r="U314" s="15" t="s">
        <v>1876</v>
      </c>
    </row>
    <row r="315" spans="1:21" ht="28" customHeight="1">
      <c r="A315" s="18" t="s">
        <v>1877</v>
      </c>
      <c r="B315" s="18" t="s">
        <v>194</v>
      </c>
      <c r="C315" s="18" t="s">
        <v>226</v>
      </c>
      <c r="D315" s="18" t="s">
        <v>227</v>
      </c>
      <c r="E315" s="18" t="s">
        <v>1878</v>
      </c>
      <c r="F315" s="19" t="s">
        <v>1879</v>
      </c>
      <c r="G315" s="19" t="s">
        <v>1880</v>
      </c>
      <c r="H315" s="24">
        <v>60</v>
      </c>
      <c r="I315" s="24">
        <v>24.7</v>
      </c>
      <c r="J315" s="24">
        <f>MAX(H315,ROUNDUP(I315,0))</f>
        <v>60.0</v>
      </c>
      <c r="K315" s="22">
        <f>IF(C315="covered",10.4,7.55)</f>
        <v>7.55</v>
      </c>
      <c r="L315" s="18" t="s">
        <v>1881</v>
      </c>
      <c r="M315" s="24">
        <v>60</v>
      </c>
      <c r="N315" s="22">
        <v>7.55</v>
      </c>
      <c r="O315" s="22">
        <v>453</v>
      </c>
      <c r="P315" s="22">
        <f>J315*K315</f>
        <v>453.0</v>
      </c>
      <c r="Q315" s="22">
        <f>IF(L315="","",N315-K315)</f>
        <v>0.0</v>
      </c>
      <c r="R315" s="24">
        <f>IF(L315="","",M315-J315)</f>
        <v>0.0</v>
      </c>
      <c r="S315" s="22">
        <f>IF(L315="",-P315,O315-P315)</f>
        <v>0.0</v>
      </c>
      <c r="T315" s="11" t="str">
        <f>IF(L315="","NO BILL IN SUPPLIED EXPORT",IF(ABS(Q315)&gt;0.001,"RATE EXCEPTION",IF(ABS(R315)&gt;0.001,"LENGTH EXCEPTION",IF(ABS(S315)&gt;0.01,"AMOUNT EXCEPTION","OK"))))</f>
        <v>OK</v>
      </c>
      <c r="U315" s="19" t="s">
        <v>1882</v>
      </c>
    </row>
    <row r="316" spans="1:21" ht="28" customHeight="1">
      <c r="A316" s="14" t="s">
        <v>1883</v>
      </c>
      <c r="B316" s="14" t="s">
        <v>194</v>
      </c>
      <c r="C316" s="14" t="s">
        <v>226</v>
      </c>
      <c r="D316" s="14" t="s">
        <v>227</v>
      </c>
      <c r="E316" s="14" t="s">
        <v>1884</v>
      </c>
      <c r="F316" s="15" t="s">
        <v>1885</v>
      </c>
      <c r="G316" s="15" t="s">
        <v>1886</v>
      </c>
      <c r="H316" s="24">
        <v>45</v>
      </c>
      <c r="I316" s="24">
        <v>31.7</v>
      </c>
      <c r="J316" s="24">
        <f>MAX(H316,ROUNDUP(I316,0))</f>
        <v>45.0</v>
      </c>
      <c r="K316" s="22">
        <f>IF(C316="covered",10.4,7.55)</f>
        <v>7.55</v>
      </c>
      <c r="L316" s="14" t="s">
        <v>1887</v>
      </c>
      <c r="M316" s="24">
        <v>45</v>
      </c>
      <c r="N316" s="22">
        <v>7.55</v>
      </c>
      <c r="O316" s="22">
        <v>339.75</v>
      </c>
      <c r="P316" s="22">
        <f>J316*K316</f>
        <v>339.75</v>
      </c>
      <c r="Q316" s="22">
        <f>IF(L316="","",N316-K316)</f>
        <v>0.0</v>
      </c>
      <c r="R316" s="24">
        <f>IF(L316="","",M316-J316)</f>
        <v>0.0</v>
      </c>
      <c r="S316" s="22">
        <f>IF(L316="",-P316,O316-P316)</f>
        <v>0.0</v>
      </c>
      <c r="T316" s="11" t="str">
        <f>IF(L316="","NO BILL IN SUPPLIED EXPORT",IF(ABS(Q316)&gt;0.001,"RATE EXCEPTION",IF(ABS(R316)&gt;0.001,"LENGTH EXCEPTION",IF(ABS(S316)&gt;0.01,"AMOUNT EXCEPTION","OK"))))</f>
        <v>OK</v>
      </c>
      <c r="U316" s="15" t="s">
        <v>1888</v>
      </c>
    </row>
    <row r="317" spans="1:21" ht="28" customHeight="1">
      <c r="A317" s="18" t="s">
        <v>1889</v>
      </c>
      <c r="B317" s="18" t="s">
        <v>194</v>
      </c>
      <c r="C317" s="18" t="s">
        <v>226</v>
      </c>
      <c r="D317" s="18" t="s">
        <v>227</v>
      </c>
      <c r="E317" s="18" t="s">
        <v>1890</v>
      </c>
      <c r="F317" s="19" t="s">
        <v>1891</v>
      </c>
      <c r="G317" s="19" t="s">
        <v>1892</v>
      </c>
      <c r="H317" s="24">
        <v>24</v>
      </c>
      <c r="I317" s="24">
        <v>47.9</v>
      </c>
      <c r="J317" s="24">
        <f>MAX(H317,ROUNDUP(I317,0))</f>
        <v>48</v>
      </c>
      <c r="K317" s="22">
        <f>IF(C317="covered",10.4,7.55)</f>
        <v>7.55</v>
      </c>
      <c r="L317" s="18" t="s">
        <v>1893</v>
      </c>
      <c r="M317" s="24">
        <v>48</v>
      </c>
      <c r="N317" s="22">
        <v>7.55</v>
      </c>
      <c r="O317" s="22">
        <v>362.4</v>
      </c>
      <c r="P317" s="22">
        <f>J317*K317</f>
        <v>362.4</v>
      </c>
      <c r="Q317" s="22">
        <f>IF(L317="","",N317-K317)</f>
        <v>0.0</v>
      </c>
      <c r="R317" s="24">
        <f>IF(L317="","",M317-J317)</f>
        <v>0.0</v>
      </c>
      <c r="S317" s="22">
        <f>IF(L317="",-P317,O317-P317)</f>
        <v>0.0</v>
      </c>
      <c r="T317" s="11" t="str">
        <f>IF(L317="","NO BILL IN SUPPLIED EXPORT",IF(ABS(Q317)&gt;0.001,"RATE EXCEPTION",IF(ABS(R317)&gt;0.001,"LENGTH EXCEPTION",IF(ABS(S317)&gt;0.01,"AMOUNT EXCEPTION","OK"))))</f>
        <v>OK</v>
      </c>
      <c r="U317" s="19" t="s">
        <v>1894</v>
      </c>
    </row>
    <row r="318" spans="1:21" ht="28" customHeight="1">
      <c r="A318" s="14" t="s">
        <v>1895</v>
      </c>
      <c r="B318" s="14" t="s">
        <v>194</v>
      </c>
      <c r="C318" s="14" t="s">
        <v>226</v>
      </c>
      <c r="D318" s="14" t="s">
        <v>227</v>
      </c>
      <c r="E318" s="14" t="s">
        <v>1896</v>
      </c>
      <c r="F318" s="15" t="s">
        <v>1897</v>
      </c>
      <c r="G318" s="15" t="s">
        <v>571</v>
      </c>
      <c r="H318" s="24">
        <v>32</v>
      </c>
      <c r="I318" s="24">
        <v>23.7</v>
      </c>
      <c r="J318" s="24">
        <f>MAX(H318,ROUNDUP(I318,0))</f>
        <v>32.0</v>
      </c>
      <c r="K318" s="22">
        <f>IF(C318="covered",10.4,7.55)</f>
        <v>7.55</v>
      </c>
      <c r="L318" s="14" t="s">
        <v>1898</v>
      </c>
      <c r="M318" s="24">
        <v>32</v>
      </c>
      <c r="N318" s="22">
        <v>7.55</v>
      </c>
      <c r="O318" s="22">
        <v>241.6</v>
      </c>
      <c r="P318" s="22">
        <f>J318*K318</f>
        <v>241.6</v>
      </c>
      <c r="Q318" s="22">
        <f>IF(L318="","",N318-K318)</f>
        <v>0.0</v>
      </c>
      <c r="R318" s="24">
        <f>IF(L318="","",M318-J318)</f>
        <v>0.0</v>
      </c>
      <c r="S318" s="22">
        <f>IF(L318="",-P318,O318-P318)</f>
        <v>0.0</v>
      </c>
      <c r="T318" s="11" t="str">
        <f>IF(L318="","NO BILL IN SUPPLIED EXPORT",IF(ABS(Q318)&gt;0.001,"RATE EXCEPTION",IF(ABS(R318)&gt;0.001,"LENGTH EXCEPTION",IF(ABS(S318)&gt;0.01,"AMOUNT EXCEPTION","OK"))))</f>
        <v>OK</v>
      </c>
      <c r="U318" s="15" t="s">
        <v>1899</v>
      </c>
    </row>
    <row r="319" spans="1:21" ht="28" customHeight="1">
      <c r="A319" s="18" t="s">
        <v>1900</v>
      </c>
      <c r="B319" s="18" t="s">
        <v>194</v>
      </c>
      <c r="C319" s="18" t="s">
        <v>226</v>
      </c>
      <c r="D319" s="18" t="s">
        <v>227</v>
      </c>
      <c r="E319" s="18" t="s">
        <v>1901</v>
      </c>
      <c r="F319" s="19" t="s">
        <v>1902</v>
      </c>
      <c r="G319" s="19" t="s">
        <v>436</v>
      </c>
      <c r="H319" s="24">
        <v>32</v>
      </c>
      <c r="I319" s="24">
        <v>52.8</v>
      </c>
      <c r="J319" s="24">
        <f>MAX(H319,ROUNDUP(I319,0))</f>
        <v>53</v>
      </c>
      <c r="K319" s="22">
        <f>IF(C319="covered",10.4,7.55)</f>
        <v>7.55</v>
      </c>
      <c r="L319" s="18" t="s">
        <v>1903</v>
      </c>
      <c r="M319" s="24">
        <v>53</v>
      </c>
      <c r="N319" s="22">
        <v>7.55</v>
      </c>
      <c r="O319" s="22">
        <v>400.15</v>
      </c>
      <c r="P319" s="22">
        <f>J319*K319</f>
        <v>400.15</v>
      </c>
      <c r="Q319" s="22">
        <f>IF(L319="","",N319-K319)</f>
        <v>0.0</v>
      </c>
      <c r="R319" s="24">
        <f>IF(L319="","",M319-J319)</f>
        <v>0.0</v>
      </c>
      <c r="S319" s="22">
        <f>IF(L319="",-P319,O319-P319)</f>
        <v>0.0</v>
      </c>
      <c r="T319" s="11" t="str">
        <f>IF(L319="","NO BILL IN SUPPLIED EXPORT",IF(ABS(Q319)&gt;0.001,"RATE EXCEPTION",IF(ABS(R319)&gt;0.001,"LENGTH EXCEPTION",IF(ABS(S319)&gt;0.01,"AMOUNT EXCEPTION","OK"))))</f>
        <v>OK</v>
      </c>
      <c r="U319" s="19" t="s">
        <v>1904</v>
      </c>
    </row>
    <row r="320" spans="1:21" ht="28" customHeight="1">
      <c r="A320" s="14" t="s">
        <v>1905</v>
      </c>
      <c r="B320" s="14" t="s">
        <v>194</v>
      </c>
      <c r="C320" s="14" t="s">
        <v>226</v>
      </c>
      <c r="D320" s="14" t="s">
        <v>227</v>
      </c>
      <c r="E320" s="14" t="s">
        <v>1906</v>
      </c>
      <c r="F320" s="15" t="s">
        <v>1907</v>
      </c>
      <c r="G320" s="15" t="s">
        <v>1908</v>
      </c>
      <c r="H320" s="24">
        <v>24</v>
      </c>
      <c r="I320" s="24">
        <v>28.3</v>
      </c>
      <c r="J320" s="24">
        <f>MAX(H320,ROUNDUP(I320,0))</f>
        <v>29</v>
      </c>
      <c r="K320" s="22">
        <f>IF(C320="covered",10.4,7.55)</f>
        <v>7.55</v>
      </c>
      <c r="L320" s="14" t="s">
        <v>1909</v>
      </c>
      <c r="M320" s="24">
        <v>29</v>
      </c>
      <c r="N320" s="22">
        <v>7.55</v>
      </c>
      <c r="O320" s="22">
        <v>218.95</v>
      </c>
      <c r="P320" s="22">
        <f>J320*K320</f>
        <v>218.95</v>
      </c>
      <c r="Q320" s="22">
        <f>IF(L320="","",N320-K320)</f>
        <v>0.0</v>
      </c>
      <c r="R320" s="24">
        <f>IF(L320="","",M320-J320)</f>
        <v>0.0</v>
      </c>
      <c r="S320" s="22">
        <f>IF(L320="",-P320,O320-P320)</f>
        <v>0.0</v>
      </c>
      <c r="T320" s="11" t="str">
        <f>IF(L320="","NO BILL IN SUPPLIED EXPORT",IF(ABS(Q320)&gt;0.001,"RATE EXCEPTION",IF(ABS(R320)&gt;0.001,"LENGTH EXCEPTION",IF(ABS(S320)&gt;0.01,"AMOUNT EXCEPTION","OK"))))</f>
        <v>OK</v>
      </c>
      <c r="U320" s="15" t="s">
        <v>1910</v>
      </c>
    </row>
    <row r="321" spans="1:21" ht="28" customHeight="1">
      <c r="A321" s="18" t="s">
        <v>1911</v>
      </c>
      <c r="B321" s="18" t="s">
        <v>194</v>
      </c>
      <c r="C321" s="18" t="s">
        <v>226</v>
      </c>
      <c r="D321" s="18" t="s">
        <v>227</v>
      </c>
      <c r="E321" s="18" t="s">
        <v>1912</v>
      </c>
      <c r="F321" s="19" t="s">
        <v>1913</v>
      </c>
      <c r="G321" s="19" t="s">
        <v>1914</v>
      </c>
      <c r="H321" s="24">
        <v>32</v>
      </c>
      <c r="I321" s="24">
        <v>27</v>
      </c>
      <c r="J321" s="24">
        <f>MAX(H321,ROUNDUP(I321,0))</f>
        <v>32.0</v>
      </c>
      <c r="K321" s="22">
        <f>IF(C321="covered",10.4,7.55)</f>
        <v>7.55</v>
      </c>
      <c r="L321" s="18" t="s">
        <v>1915</v>
      </c>
      <c r="M321" s="24">
        <v>32</v>
      </c>
      <c r="N321" s="22">
        <v>7.55</v>
      </c>
      <c r="O321" s="22">
        <v>241.6</v>
      </c>
      <c r="P321" s="22">
        <f>J321*K321</f>
        <v>241.6</v>
      </c>
      <c r="Q321" s="22">
        <f>IF(L321="","",N321-K321)</f>
        <v>0.0</v>
      </c>
      <c r="R321" s="24">
        <f>IF(L321="","",M321-J321)</f>
        <v>0.0</v>
      </c>
      <c r="S321" s="22">
        <f>IF(L321="",-P321,O321-P321)</f>
        <v>0.0</v>
      </c>
      <c r="T321" s="11" t="str">
        <f>IF(L321="","NO BILL IN SUPPLIED EXPORT",IF(ABS(Q321)&gt;0.001,"RATE EXCEPTION",IF(ABS(R321)&gt;0.001,"LENGTH EXCEPTION",IF(ABS(S321)&gt;0.01,"AMOUNT EXCEPTION","OK"))))</f>
        <v>OK</v>
      </c>
      <c r="U321" s="19" t="s">
        <v>1916</v>
      </c>
    </row>
    <row r="322" spans="1:21" ht="28" customHeight="1">
      <c r="A322" s="14" t="s">
        <v>1917</v>
      </c>
      <c r="B322" s="14" t="s">
        <v>194</v>
      </c>
      <c r="C322" s="14" t="s">
        <v>226</v>
      </c>
      <c r="D322" s="14" t="s">
        <v>227</v>
      </c>
      <c r="E322" s="14" t="s">
        <v>1918</v>
      </c>
      <c r="F322" s="15" t="s">
        <v>1919</v>
      </c>
      <c r="G322" s="15" t="s">
        <v>1920</v>
      </c>
      <c r="H322" s="24">
        <v>28</v>
      </c>
      <c r="I322" s="24">
        <v>18.5</v>
      </c>
      <c r="J322" s="24">
        <f>MAX(H322,ROUNDUP(I322,0))</f>
        <v>28.0</v>
      </c>
      <c r="K322" s="22">
        <f>IF(C322="covered",10.4,7.55)</f>
        <v>7.55</v>
      </c>
      <c r="L322" s="14" t="s">
        <v>1921</v>
      </c>
      <c r="M322" s="24">
        <v>28</v>
      </c>
      <c r="N322" s="22">
        <v>7.55</v>
      </c>
      <c r="O322" s="22">
        <v>211.4</v>
      </c>
      <c r="P322" s="22">
        <f>J322*K322</f>
        <v>211.4</v>
      </c>
      <c r="Q322" s="22">
        <f>IF(L322="","",N322-K322)</f>
        <v>0.0</v>
      </c>
      <c r="R322" s="24">
        <f>IF(L322="","",M322-J322)</f>
        <v>0.0</v>
      </c>
      <c r="S322" s="22">
        <f>IF(L322="",-P322,O322-P322)</f>
        <v>0.0</v>
      </c>
      <c r="T322" s="11" t="str">
        <f>IF(L322="","NO BILL IN SUPPLIED EXPORT",IF(ABS(Q322)&gt;0.001,"RATE EXCEPTION",IF(ABS(R322)&gt;0.001,"LENGTH EXCEPTION",IF(ABS(S322)&gt;0.01,"AMOUNT EXCEPTION","OK"))))</f>
        <v>OK</v>
      </c>
      <c r="U322" s="15" t="s">
        <v>1922</v>
      </c>
    </row>
    <row r="323" spans="1:21" ht="28" customHeight="1">
      <c r="A323" s="18" t="s">
        <v>1923</v>
      </c>
      <c r="B323" s="18" t="s">
        <v>194</v>
      </c>
      <c r="C323" s="18" t="s">
        <v>226</v>
      </c>
      <c r="D323" s="18" t="s">
        <v>227</v>
      </c>
      <c r="E323" s="18" t="s">
        <v>1924</v>
      </c>
      <c r="F323" s="19" t="s">
        <v>1925</v>
      </c>
      <c r="G323" s="19" t="s">
        <v>1926</v>
      </c>
      <c r="H323" s="24">
        <v>80</v>
      </c>
      <c r="I323" s="24">
        <v>46.6</v>
      </c>
      <c r="J323" s="24">
        <f>MAX(H323,ROUNDUP(I323,0))</f>
        <v>80.0</v>
      </c>
      <c r="K323" s="22">
        <f>IF(C323="covered",10.4,7.55)</f>
        <v>7.55</v>
      </c>
      <c r="L323" s="18" t="s">
        <v>1927</v>
      </c>
      <c r="M323" s="24">
        <v>80</v>
      </c>
      <c r="N323" s="22">
        <v>7.55</v>
      </c>
      <c r="O323" s="22">
        <v>604</v>
      </c>
      <c r="P323" s="22">
        <f>J323*K323</f>
        <v>604.0</v>
      </c>
      <c r="Q323" s="22">
        <f>IF(L323="","",N323-K323)</f>
        <v>0.0</v>
      </c>
      <c r="R323" s="24">
        <f>IF(L323="","",M323-J323)</f>
        <v>0.0</v>
      </c>
      <c r="S323" s="22">
        <f>IF(L323="",-P323,O323-P323)</f>
        <v>0.0</v>
      </c>
      <c r="T323" s="11" t="str">
        <f>IF(L323="","NO BILL IN SUPPLIED EXPORT",IF(ABS(Q323)&gt;0.001,"RATE EXCEPTION",IF(ABS(R323)&gt;0.001,"LENGTH EXCEPTION",IF(ABS(S323)&gt;0.01,"AMOUNT EXCEPTION","OK"))))</f>
        <v>OK</v>
      </c>
      <c r="U323" s="19" t="s">
        <v>1928</v>
      </c>
    </row>
    <row r="324" spans="1:21" ht="28" customHeight="1">
      <c r="A324" s="14" t="s">
        <v>1929</v>
      </c>
      <c r="B324" s="14" t="s">
        <v>194</v>
      </c>
      <c r="C324" s="14" t="s">
        <v>226</v>
      </c>
      <c r="D324" s="14" t="s">
        <v>227</v>
      </c>
      <c r="E324" s="14" t="s">
        <v>1930</v>
      </c>
      <c r="F324" s="15" t="s">
        <v>1931</v>
      </c>
      <c r="G324" s="15" t="s">
        <v>1932</v>
      </c>
      <c r="H324" s="24">
        <v>80</v>
      </c>
      <c r="I324" s="24">
        <v>40.9</v>
      </c>
      <c r="J324" s="24">
        <f>MAX(H324,ROUNDUP(I324,0))</f>
        <v>80.0</v>
      </c>
      <c r="K324" s="22">
        <f>IF(C324="covered",10.4,7.55)</f>
        <v>7.55</v>
      </c>
      <c r="L324" s="14" t="s">
        <v>1933</v>
      </c>
      <c r="M324" s="24">
        <v>80</v>
      </c>
      <c r="N324" s="22">
        <v>7.55</v>
      </c>
      <c r="O324" s="22">
        <v>604</v>
      </c>
      <c r="P324" s="22">
        <f>J324*K324</f>
        <v>604.0</v>
      </c>
      <c r="Q324" s="22">
        <f>IF(L324="","",N324-K324)</f>
        <v>0.0</v>
      </c>
      <c r="R324" s="24">
        <f>IF(L324="","",M324-J324)</f>
        <v>0.0</v>
      </c>
      <c r="S324" s="22">
        <f>IF(L324="",-P324,O324-P324)</f>
        <v>0.0</v>
      </c>
      <c r="T324" s="11" t="str">
        <f>IF(L324="","NO BILL IN SUPPLIED EXPORT",IF(ABS(Q324)&gt;0.001,"RATE EXCEPTION",IF(ABS(R324)&gt;0.001,"LENGTH EXCEPTION",IF(ABS(S324)&gt;0.01,"AMOUNT EXCEPTION","OK"))))</f>
        <v>OK</v>
      </c>
      <c r="U324" s="15" t="s">
        <v>1934</v>
      </c>
    </row>
    <row r="325" spans="1:21" ht="28" customHeight="1">
      <c r="A325" s="18" t="s">
        <v>1935</v>
      </c>
      <c r="B325" s="18" t="s">
        <v>194</v>
      </c>
      <c r="C325" s="18" t="s">
        <v>226</v>
      </c>
      <c r="D325" s="18" t="s">
        <v>227</v>
      </c>
      <c r="E325" s="18" t="s">
        <v>1936</v>
      </c>
      <c r="F325" s="19" t="s">
        <v>1937</v>
      </c>
      <c r="G325" s="19" t="s">
        <v>1938</v>
      </c>
      <c r="H325" s="24">
        <v>32</v>
      </c>
      <c r="I325" s="24">
        <v>42</v>
      </c>
      <c r="J325" s="24">
        <f>MAX(H325,ROUNDUP(I325,0))</f>
        <v>42</v>
      </c>
      <c r="K325" s="22">
        <f>IF(C325="covered",10.4,7.55)</f>
        <v>7.55</v>
      </c>
      <c r="L325" s="18" t="s">
        <v>1939</v>
      </c>
      <c r="M325" s="24">
        <v>42</v>
      </c>
      <c r="N325" s="22">
        <v>7.55</v>
      </c>
      <c r="O325" s="22">
        <v>317.1</v>
      </c>
      <c r="P325" s="22">
        <f>J325*K325</f>
        <v>317.09999999999997</v>
      </c>
      <c r="Q325" s="22">
        <f>IF(L325="","",N325-K325)</f>
        <v>0.0</v>
      </c>
      <c r="R325" s="24">
        <f>IF(L325="","",M325-J325)</f>
        <v>0.0</v>
      </c>
      <c r="S325" s="22">
        <f>IF(L325="",-P325,O325-P325)</f>
        <v>5.684341886080802e-14</v>
      </c>
      <c r="T325" s="11" t="str">
        <f>IF(L325="","NO BILL IN SUPPLIED EXPORT",IF(ABS(Q325)&gt;0.001,"RATE EXCEPTION",IF(ABS(R325)&gt;0.001,"LENGTH EXCEPTION",IF(ABS(S325)&gt;0.01,"AMOUNT EXCEPTION","OK"))))</f>
        <v>OK</v>
      </c>
      <c r="U325" s="19" t="s">
        <v>1940</v>
      </c>
    </row>
    <row r="326" spans="1:21" ht="28" customHeight="1">
      <c r="A326" s="14" t="s">
        <v>1941</v>
      </c>
      <c r="B326" s="14" t="s">
        <v>194</v>
      </c>
      <c r="C326" s="14" t="s">
        <v>226</v>
      </c>
      <c r="D326" s="14" t="s">
        <v>227</v>
      </c>
      <c r="E326" s="14" t="s">
        <v>1942</v>
      </c>
      <c r="F326" s="15" t="s">
        <v>1943</v>
      </c>
      <c r="G326" s="15" t="s">
        <v>1944</v>
      </c>
      <c r="H326" s="24">
        <v>40</v>
      </c>
      <c r="I326" s="24">
        <v>22.6</v>
      </c>
      <c r="J326" s="24">
        <f>MAX(H326,ROUNDUP(I326,0))</f>
        <v>40.0</v>
      </c>
      <c r="K326" s="22">
        <f>IF(C326="covered",10.4,7.55)</f>
        <v>7.55</v>
      </c>
      <c r="L326" s="14" t="s">
        <v>1945</v>
      </c>
      <c r="M326" s="24">
        <v>40</v>
      </c>
      <c r="N326" s="22">
        <v>7.55</v>
      </c>
      <c r="O326" s="22">
        <v>302</v>
      </c>
      <c r="P326" s="22">
        <f>J326*K326</f>
        <v>302.0</v>
      </c>
      <c r="Q326" s="22">
        <f>IF(L326="","",N326-K326)</f>
        <v>0.0</v>
      </c>
      <c r="R326" s="24">
        <f>IF(L326="","",M326-J326)</f>
        <v>0.0</v>
      </c>
      <c r="S326" s="22">
        <f>IF(L326="",-P326,O326-P326)</f>
        <v>0.0</v>
      </c>
      <c r="T326" s="11" t="str">
        <f>IF(L326="","NO BILL IN SUPPLIED EXPORT",IF(ABS(Q326)&gt;0.001,"RATE EXCEPTION",IF(ABS(R326)&gt;0.001,"LENGTH EXCEPTION",IF(ABS(S326)&gt;0.01,"AMOUNT EXCEPTION","OK"))))</f>
        <v>OK</v>
      </c>
      <c r="U326" s="15" t="s">
        <v>1946</v>
      </c>
    </row>
    <row r="327" spans="1:21" ht="28" customHeight="1">
      <c r="A327" s="18" t="s">
        <v>1947</v>
      </c>
      <c r="B327" s="18" t="s">
        <v>194</v>
      </c>
      <c r="C327" s="18" t="s">
        <v>226</v>
      </c>
      <c r="D327" s="18" t="s">
        <v>227</v>
      </c>
      <c r="E327" s="18" t="s">
        <v>1948</v>
      </c>
      <c r="F327" s="19" t="s">
        <v>1949</v>
      </c>
      <c r="G327" s="19" t="s">
        <v>1950</v>
      </c>
      <c r="H327" s="24">
        <v>60</v>
      </c>
      <c r="I327" s="24">
        <v>36.5</v>
      </c>
      <c r="J327" s="24">
        <f>MAX(H327,ROUNDUP(I327,0))</f>
        <v>60.0</v>
      </c>
      <c r="K327" s="22">
        <f>IF(C327="covered",10.4,7.55)</f>
        <v>7.55</v>
      </c>
      <c r="L327" s="18"/>
      <c r="M327" s="24"/>
      <c r="N327" s="22"/>
      <c r="O327" s="22"/>
      <c r="P327" s="22">
        <f>J327*K327</f>
        <v>453.0</v>
      </c>
      <c r="Q327" s="22">
        <f>IF(L327="","",N327-K327)</f>
        <v/>
      </c>
      <c r="R327" s="24">
        <f>IF(L327="","",M327-J327)</f>
        <v/>
      </c>
      <c r="S327" s="22">
        <f>IF(L327="",-P327,O327-P327)</f>
        <v>-453.0</v>
      </c>
      <c r="T327" s="25" t="str">
        <f>IF(L327="","NO BILL IN SUPPLIED EXPORT",IF(ABS(Q327)&gt;0.001,"RATE EXCEPTION",IF(ABS(R327)&gt;0.001,"LENGTH EXCEPTION",IF(ABS(S327)&gt;0.01,"AMOUNT EXCEPTION","OK"))))</f>
        <v>NO BILL IN SUPPLIED EXPORT</v>
      </c>
      <c r="U327" s="19" t="s">
        <v>1951</v>
      </c>
    </row>
    <row r="328" spans="1:21" ht="28" customHeight="1">
      <c r="A328" s="14" t="s">
        <v>1952</v>
      </c>
      <c r="B328" s="14" t="s">
        <v>194</v>
      </c>
      <c r="C328" s="14" t="s">
        <v>226</v>
      </c>
      <c r="D328" s="14" t="s">
        <v>227</v>
      </c>
      <c r="E328" s="14" t="s">
        <v>1953</v>
      </c>
      <c r="F328" s="15" t="s">
        <v>1954</v>
      </c>
      <c r="G328" s="15" t="s">
        <v>1955</v>
      </c>
      <c r="H328" s="24">
        <v>32</v>
      </c>
      <c r="I328" s="24">
        <v>43.9</v>
      </c>
      <c r="J328" s="24">
        <f>MAX(H328,ROUNDUP(I328,0))</f>
        <v>44</v>
      </c>
      <c r="K328" s="22">
        <f>IF(C328="covered",10.4,7.55)</f>
        <v>7.55</v>
      </c>
      <c r="L328" s="14"/>
      <c r="M328" s="24"/>
      <c r="N328" s="22"/>
      <c r="O328" s="22"/>
      <c r="P328" s="22">
        <f>J328*K328</f>
        <v>332.2</v>
      </c>
      <c r="Q328" s="22">
        <f>IF(L328="","",N328-K328)</f>
        <v/>
      </c>
      <c r="R328" s="24">
        <f>IF(L328="","",M328-J328)</f>
        <v/>
      </c>
      <c r="S328" s="22">
        <f>IF(L328="",-P328,O328-P328)</f>
        <v>-332.2</v>
      </c>
      <c r="T328" s="25" t="str">
        <f>IF(L328="","NO BILL IN SUPPLIED EXPORT",IF(ABS(Q328)&gt;0.001,"RATE EXCEPTION",IF(ABS(R328)&gt;0.001,"LENGTH EXCEPTION",IF(ABS(S328)&gt;0.01,"AMOUNT EXCEPTION","OK"))))</f>
        <v>NO BILL IN SUPPLIED EXPORT</v>
      </c>
      <c r="U328" s="15" t="s">
        <v>1956</v>
      </c>
    </row>
    <row r="329" spans="1:21" ht="28" customHeight="1">
      <c r="A329" s="18" t="s">
        <v>1957</v>
      </c>
      <c r="B329" s="18" t="s">
        <v>194</v>
      </c>
      <c r="C329" s="18" t="s">
        <v>226</v>
      </c>
      <c r="D329" s="18" t="s">
        <v>227</v>
      </c>
      <c r="E329" s="18" t="s">
        <v>1958</v>
      </c>
      <c r="F329" s="19" t="s">
        <v>1959</v>
      </c>
      <c r="G329" s="19" t="s">
        <v>1960</v>
      </c>
      <c r="H329" s="24">
        <v>50</v>
      </c>
      <c r="I329" s="24">
        <v>25.2</v>
      </c>
      <c r="J329" s="24">
        <f>MAX(H329,ROUNDUP(I329,0))</f>
        <v>50.0</v>
      </c>
      <c r="K329" s="22">
        <f>IF(C329="covered",10.4,7.55)</f>
        <v>7.55</v>
      </c>
      <c r="L329" s="18"/>
      <c r="M329" s="24"/>
      <c r="N329" s="22"/>
      <c r="O329" s="22"/>
      <c r="P329" s="22">
        <f>J329*K329</f>
        <v>377.5</v>
      </c>
      <c r="Q329" s="22">
        <f>IF(L329="","",N329-K329)</f>
        <v/>
      </c>
      <c r="R329" s="24">
        <f>IF(L329="","",M329-J329)</f>
        <v/>
      </c>
      <c r="S329" s="22">
        <f>IF(L329="",-P329,O329-P329)</f>
        <v>-377.5</v>
      </c>
      <c r="T329" s="25" t="str">
        <f>IF(L329="","NO BILL IN SUPPLIED EXPORT",IF(ABS(Q329)&gt;0.001,"RATE EXCEPTION",IF(ABS(R329)&gt;0.001,"LENGTH EXCEPTION",IF(ABS(S329)&gt;0.01,"AMOUNT EXCEPTION","OK"))))</f>
        <v>NO BILL IN SUPPLIED EXPORT</v>
      </c>
      <c r="U329" s="19" t="s">
        <v>1961</v>
      </c>
    </row>
    <row r="330" spans="1:21" ht="28" customHeight="1">
      <c r="A330" s="14" t="s">
        <v>1962</v>
      </c>
      <c r="B330" s="14" t="s">
        <v>194</v>
      </c>
      <c r="C330" s="14" t="s">
        <v>226</v>
      </c>
      <c r="D330" s="14" t="s">
        <v>227</v>
      </c>
      <c r="E330" s="14" t="s">
        <v>55</v>
      </c>
      <c r="F330" s="15" t="s">
        <v>56</v>
      </c>
      <c r="G330" s="15" t="s">
        <v>58</v>
      </c>
      <c r="H330" s="24">
        <v>60</v>
      </c>
      <c r="I330" s="24">
        <v>54.3</v>
      </c>
      <c r="J330" s="24">
        <f>MAX(H330,ROUNDUP(I330,0))</f>
        <v>60.0</v>
      </c>
      <c r="K330" s="22">
        <f>IF(C330="covered",10.4,7.55)</f>
        <v>7.55</v>
      </c>
      <c r="L330" s="14"/>
      <c r="M330" s="24"/>
      <c r="N330" s="22"/>
      <c r="O330" s="22"/>
      <c r="P330" s="22">
        <f>J330*K330</f>
        <v>453.0</v>
      </c>
      <c r="Q330" s="22">
        <f>IF(L330="","",N330-K330)</f>
        <v/>
      </c>
      <c r="R330" s="24">
        <f>IF(L330="","",M330-J330)</f>
        <v/>
      </c>
      <c r="S330" s="22">
        <f>IF(L330="",-P330,O330-P330)</f>
        <v>-453.0</v>
      </c>
      <c r="T330" s="25" t="str">
        <f>IF(L330="","NO BILL IN SUPPLIED EXPORT",IF(ABS(Q330)&gt;0.001,"RATE EXCEPTION",IF(ABS(R330)&gt;0.001,"LENGTH EXCEPTION",IF(ABS(S330)&gt;0.01,"AMOUNT EXCEPTION","OK"))))</f>
        <v>NO BILL IN SUPPLIED EXPORT</v>
      </c>
      <c r="U330" s="15" t="s">
        <v>1963</v>
      </c>
    </row>
    <row r="331" spans="1:21" ht="28" customHeight="1">
      <c r="A331" s="18" t="s">
        <v>1964</v>
      </c>
      <c r="B331" s="18" t="s">
        <v>194</v>
      </c>
      <c r="C331" s="18" t="s">
        <v>226</v>
      </c>
      <c r="D331" s="18" t="s">
        <v>227</v>
      </c>
      <c r="E331" s="18" t="s">
        <v>1965</v>
      </c>
      <c r="F331" s="19" t="s">
        <v>1966</v>
      </c>
      <c r="G331" s="19" t="s">
        <v>1967</v>
      </c>
      <c r="H331" s="24">
        <v>45</v>
      </c>
      <c r="I331" s="24">
        <v>25.2</v>
      </c>
      <c r="J331" s="24">
        <f>MAX(H331,ROUNDUP(I331,0))</f>
        <v>45.0</v>
      </c>
      <c r="K331" s="22">
        <f>IF(C331="covered",10.4,7.55)</f>
        <v>7.55</v>
      </c>
      <c r="L331" s="18"/>
      <c r="M331" s="24"/>
      <c r="N331" s="22"/>
      <c r="O331" s="22"/>
      <c r="P331" s="22">
        <f>J331*K331</f>
        <v>339.75</v>
      </c>
      <c r="Q331" s="22">
        <f>IF(L331="","",N331-K331)</f>
        <v/>
      </c>
      <c r="R331" s="24">
        <f>IF(L331="","",M331-J331)</f>
        <v/>
      </c>
      <c r="S331" s="22">
        <f>IF(L331="",-P331,O331-P331)</f>
        <v>-339.75</v>
      </c>
      <c r="T331" s="25" t="str">
        <f>IF(L331="","NO BILL IN SUPPLIED EXPORT",IF(ABS(Q331)&gt;0.001,"RATE EXCEPTION",IF(ABS(R331)&gt;0.001,"LENGTH EXCEPTION",IF(ABS(S331)&gt;0.01,"AMOUNT EXCEPTION","OK"))))</f>
        <v>NO BILL IN SUPPLIED EXPORT</v>
      </c>
      <c r="U331" s="19" t="s">
        <v>1968</v>
      </c>
    </row>
    <row r="332" spans="1:21" ht="28" customHeight="1">
      <c r="A332" s="14" t="s">
        <v>1969</v>
      </c>
      <c r="B332" s="14" t="s">
        <v>194</v>
      </c>
      <c r="C332" s="14" t="s">
        <v>226</v>
      </c>
      <c r="D332" s="14" t="s">
        <v>227</v>
      </c>
      <c r="E332" s="14" t="s">
        <v>1970</v>
      </c>
      <c r="F332" s="15" t="s">
        <v>1971</v>
      </c>
      <c r="G332" s="15" t="s">
        <v>1972</v>
      </c>
      <c r="H332" s="24">
        <v>24</v>
      </c>
      <c r="I332" s="24">
        <v>38.3</v>
      </c>
      <c r="J332" s="24">
        <f>MAX(H332,ROUNDUP(I332,0))</f>
        <v>39</v>
      </c>
      <c r="K332" s="22">
        <f>IF(C332="covered",10.4,7.55)</f>
        <v>7.55</v>
      </c>
      <c r="L332" s="14"/>
      <c r="M332" s="24"/>
      <c r="N332" s="22"/>
      <c r="O332" s="22"/>
      <c r="P332" s="22">
        <f>J332*K332</f>
        <v>294.45</v>
      </c>
      <c r="Q332" s="22">
        <f>IF(L332="","",N332-K332)</f>
        <v/>
      </c>
      <c r="R332" s="24">
        <f>IF(L332="","",M332-J332)</f>
        <v/>
      </c>
      <c r="S332" s="22">
        <f>IF(L332="",-P332,O332-P332)</f>
        <v>-294.45</v>
      </c>
      <c r="T332" s="25" t="str">
        <f>IF(L332="","NO BILL IN SUPPLIED EXPORT",IF(ABS(Q332)&gt;0.001,"RATE EXCEPTION",IF(ABS(R332)&gt;0.001,"LENGTH EXCEPTION",IF(ABS(S332)&gt;0.01,"AMOUNT EXCEPTION","OK"))))</f>
        <v>NO BILL IN SUPPLIED EXPORT</v>
      </c>
      <c r="U332" s="15" t="s">
        <v>1973</v>
      </c>
    </row>
    <row r="333" spans="1:21" ht="28" customHeight="1">
      <c r="A333" s="18" t="s">
        <v>1974</v>
      </c>
      <c r="B333" s="18" t="s">
        <v>194</v>
      </c>
      <c r="C333" s="18" t="s">
        <v>226</v>
      </c>
      <c r="D333" s="18" t="s">
        <v>227</v>
      </c>
      <c r="E333" s="18" t="s">
        <v>1975</v>
      </c>
      <c r="F333" s="19" t="s">
        <v>1976</v>
      </c>
      <c r="G333" s="19" t="s">
        <v>1977</v>
      </c>
      <c r="H333" s="24">
        <v>70</v>
      </c>
      <c r="I333" s="24">
        <v>25.9</v>
      </c>
      <c r="J333" s="24">
        <f>MAX(H333,ROUNDUP(I333,0))</f>
        <v>70.0</v>
      </c>
      <c r="K333" s="22">
        <f>IF(C333="covered",10.4,7.55)</f>
        <v>7.55</v>
      </c>
      <c r="L333" s="18"/>
      <c r="M333" s="24"/>
      <c r="N333" s="22"/>
      <c r="O333" s="22"/>
      <c r="P333" s="22">
        <f>J333*K333</f>
        <v>528.5</v>
      </c>
      <c r="Q333" s="22">
        <f>IF(L333="","",N333-K333)</f>
        <v/>
      </c>
      <c r="R333" s="24">
        <f>IF(L333="","",M333-J333)</f>
        <v/>
      </c>
      <c r="S333" s="22">
        <f>IF(L333="",-P333,O333-P333)</f>
        <v>-528.5</v>
      </c>
      <c r="T333" s="25" t="str">
        <f>IF(L333="","NO BILL IN SUPPLIED EXPORT",IF(ABS(Q333)&gt;0.001,"RATE EXCEPTION",IF(ABS(R333)&gt;0.001,"LENGTH EXCEPTION",IF(ABS(S333)&gt;0.01,"AMOUNT EXCEPTION","OK"))))</f>
        <v>NO BILL IN SUPPLIED EXPORT</v>
      </c>
      <c r="U333" s="19" t="s">
        <v>1978</v>
      </c>
    </row>
    <row r="334" spans="1:21" ht="28" customHeight="1">
      <c r="A334" s="14" t="s">
        <v>1979</v>
      </c>
      <c r="B334" s="14" t="s">
        <v>194</v>
      </c>
      <c r="C334" s="14" t="s">
        <v>226</v>
      </c>
      <c r="D334" s="14" t="s">
        <v>227</v>
      </c>
      <c r="E334" s="14" t="s">
        <v>1980</v>
      </c>
      <c r="F334" s="15" t="s">
        <v>1981</v>
      </c>
      <c r="G334" s="15" t="s">
        <v>975</v>
      </c>
      <c r="H334" s="24">
        <v>45</v>
      </c>
      <c r="I334" s="24">
        <v>35.6</v>
      </c>
      <c r="J334" s="24">
        <f>MAX(H334,ROUNDUP(I334,0))</f>
        <v>45.0</v>
      </c>
      <c r="K334" s="22">
        <f>IF(C334="covered",10.4,7.55)</f>
        <v>7.55</v>
      </c>
      <c r="L334" s="14"/>
      <c r="M334" s="24"/>
      <c r="N334" s="22"/>
      <c r="O334" s="22"/>
      <c r="P334" s="22">
        <f>J334*K334</f>
        <v>339.75</v>
      </c>
      <c r="Q334" s="22">
        <f>IF(L334="","",N334-K334)</f>
        <v/>
      </c>
      <c r="R334" s="24">
        <f>IF(L334="","",M334-J334)</f>
        <v/>
      </c>
      <c r="S334" s="22">
        <f>IF(L334="",-P334,O334-P334)</f>
        <v>-339.75</v>
      </c>
      <c r="T334" s="25" t="str">
        <f>IF(L334="","NO BILL IN SUPPLIED EXPORT",IF(ABS(Q334)&gt;0.001,"RATE EXCEPTION",IF(ABS(R334)&gt;0.001,"LENGTH EXCEPTION",IF(ABS(S334)&gt;0.01,"AMOUNT EXCEPTION","OK"))))</f>
        <v>NO BILL IN SUPPLIED EXPORT</v>
      </c>
      <c r="U334" s="15" t="s">
        <v>1982</v>
      </c>
    </row>
    <row r="335" spans="1:21" ht="28" customHeight="1">
      <c r="A335" s="18" t="s">
        <v>1983</v>
      </c>
      <c r="B335" s="18" t="s">
        <v>194</v>
      </c>
      <c r="C335" s="18" t="s">
        <v>226</v>
      </c>
      <c r="D335" s="18" t="s">
        <v>227</v>
      </c>
      <c r="E335" s="18" t="s">
        <v>1984</v>
      </c>
      <c r="F335" s="19" t="s">
        <v>1985</v>
      </c>
      <c r="G335" s="19" t="s">
        <v>1376</v>
      </c>
      <c r="H335" s="24">
        <v>70</v>
      </c>
      <c r="I335" s="24">
        <v>28.7</v>
      </c>
      <c r="J335" s="24">
        <f>MAX(H335,ROUNDUP(I335,0))</f>
        <v>70.0</v>
      </c>
      <c r="K335" s="22">
        <f>IF(C335="covered",10.4,7.55)</f>
        <v>7.55</v>
      </c>
      <c r="L335" s="18"/>
      <c r="M335" s="24"/>
      <c r="N335" s="22"/>
      <c r="O335" s="22"/>
      <c r="P335" s="22">
        <f>J335*K335</f>
        <v>528.5</v>
      </c>
      <c r="Q335" s="22">
        <f>IF(L335="","",N335-K335)</f>
        <v/>
      </c>
      <c r="R335" s="24">
        <f>IF(L335="","",M335-J335)</f>
        <v/>
      </c>
      <c r="S335" s="22">
        <f>IF(L335="",-P335,O335-P335)</f>
        <v>-528.5</v>
      </c>
      <c r="T335" s="25" t="str">
        <f>IF(L335="","NO BILL IN SUPPLIED EXPORT",IF(ABS(Q335)&gt;0.001,"RATE EXCEPTION",IF(ABS(R335)&gt;0.001,"LENGTH EXCEPTION",IF(ABS(S335)&gt;0.01,"AMOUNT EXCEPTION","OK"))))</f>
        <v>NO BILL IN SUPPLIED EXPORT</v>
      </c>
      <c r="U335" s="19" t="s">
        <v>1986</v>
      </c>
    </row>
    <row r="336" spans="1:21" ht="28" customHeight="1">
      <c r="A336" s="14" t="s">
        <v>1987</v>
      </c>
      <c r="B336" s="14" t="s">
        <v>194</v>
      </c>
      <c r="C336" s="14" t="s">
        <v>226</v>
      </c>
      <c r="D336" s="14" t="s">
        <v>227</v>
      </c>
      <c r="E336" s="14" t="s">
        <v>1988</v>
      </c>
      <c r="F336" s="15" t="s">
        <v>1989</v>
      </c>
      <c r="G336" s="15" t="s">
        <v>1382</v>
      </c>
      <c r="H336" s="24">
        <v>32</v>
      </c>
      <c r="I336" s="24">
        <v>37</v>
      </c>
      <c r="J336" s="24">
        <f>MAX(H336,ROUNDUP(I336,0))</f>
        <v>37</v>
      </c>
      <c r="K336" s="22">
        <f>IF(C336="covered",10.4,7.55)</f>
        <v>7.55</v>
      </c>
      <c r="L336" s="14"/>
      <c r="M336" s="24"/>
      <c r="N336" s="22"/>
      <c r="O336" s="22"/>
      <c r="P336" s="22">
        <f>J336*K336</f>
        <v>279.34999999999997</v>
      </c>
      <c r="Q336" s="22">
        <f>IF(L336="","",N336-K336)</f>
        <v/>
      </c>
      <c r="R336" s="24">
        <f>IF(L336="","",M336-J336)</f>
        <v/>
      </c>
      <c r="S336" s="22">
        <f>IF(L336="",-P336,O336-P336)</f>
        <v>-279.34999999999997</v>
      </c>
      <c r="T336" s="25" t="str">
        <f>IF(L336="","NO BILL IN SUPPLIED EXPORT",IF(ABS(Q336)&gt;0.001,"RATE EXCEPTION",IF(ABS(R336)&gt;0.001,"LENGTH EXCEPTION",IF(ABS(S336)&gt;0.01,"AMOUNT EXCEPTION","OK"))))</f>
        <v>NO BILL IN SUPPLIED EXPORT</v>
      </c>
      <c r="U336" s="15" t="s">
        <v>1990</v>
      </c>
    </row>
    <row r="337" spans="1:21" ht="28" customHeight="1">
      <c r="A337" s="18" t="s">
        <v>1991</v>
      </c>
      <c r="B337" s="18" t="s">
        <v>194</v>
      </c>
      <c r="C337" s="18" t="s">
        <v>226</v>
      </c>
      <c r="D337" s="18" t="s">
        <v>227</v>
      </c>
      <c r="E337" s="18" t="s">
        <v>1992</v>
      </c>
      <c r="F337" s="19" t="s">
        <v>1993</v>
      </c>
      <c r="G337" s="19" t="s">
        <v>1994</v>
      </c>
      <c r="H337" s="24">
        <v>32</v>
      </c>
      <c r="I337" s="24">
        <v>51.6</v>
      </c>
      <c r="J337" s="24">
        <f>MAX(H337,ROUNDUP(I337,0))</f>
        <v>52</v>
      </c>
      <c r="K337" s="22">
        <f>IF(C337="covered",10.4,7.55)</f>
        <v>7.55</v>
      </c>
      <c r="L337" s="18"/>
      <c r="M337" s="24"/>
      <c r="N337" s="22"/>
      <c r="O337" s="22"/>
      <c r="P337" s="22">
        <f>J337*K337</f>
        <v>392.59999999999997</v>
      </c>
      <c r="Q337" s="22">
        <f>IF(L337="","",N337-K337)</f>
        <v/>
      </c>
      <c r="R337" s="24">
        <f>IF(L337="","",M337-J337)</f>
        <v/>
      </c>
      <c r="S337" s="22">
        <f>IF(L337="",-P337,O337-P337)</f>
        <v>-392.59999999999997</v>
      </c>
      <c r="T337" s="25" t="str">
        <f>IF(L337="","NO BILL IN SUPPLIED EXPORT",IF(ABS(Q337)&gt;0.001,"RATE EXCEPTION",IF(ABS(R337)&gt;0.001,"LENGTH EXCEPTION",IF(ABS(S337)&gt;0.01,"AMOUNT EXCEPTION","OK"))))</f>
        <v>NO BILL IN SUPPLIED EXPORT</v>
      </c>
      <c r="U337" s="19" t="s">
        <v>1995</v>
      </c>
    </row>
    <row r="338" spans="1:21" ht="28" customHeight="1">
      <c r="A338" s="14" t="s">
        <v>1996</v>
      </c>
      <c r="B338" s="14" t="s">
        <v>194</v>
      </c>
      <c r="C338" s="14" t="s">
        <v>226</v>
      </c>
      <c r="D338" s="14" t="s">
        <v>227</v>
      </c>
      <c r="E338" s="14" t="s">
        <v>1997</v>
      </c>
      <c r="F338" s="15" t="s">
        <v>1998</v>
      </c>
      <c r="G338" s="15" t="s">
        <v>1999</v>
      </c>
      <c r="H338" s="24">
        <v>40</v>
      </c>
      <c r="I338" s="24">
        <v>32.5</v>
      </c>
      <c r="J338" s="24">
        <f>MAX(H338,ROUNDUP(I338,0))</f>
        <v>40.0</v>
      </c>
      <c r="K338" s="22">
        <f>IF(C338="covered",10.4,7.55)</f>
        <v>7.55</v>
      </c>
      <c r="L338" s="14"/>
      <c r="M338" s="24"/>
      <c r="N338" s="22"/>
      <c r="O338" s="22"/>
      <c r="P338" s="22">
        <f>J338*K338</f>
        <v>302.0</v>
      </c>
      <c r="Q338" s="22">
        <f>IF(L338="","",N338-K338)</f>
        <v/>
      </c>
      <c r="R338" s="24">
        <f>IF(L338="","",M338-J338)</f>
        <v/>
      </c>
      <c r="S338" s="22">
        <f>IF(L338="",-P338,O338-P338)</f>
        <v>-302.0</v>
      </c>
      <c r="T338" s="25" t="str">
        <f>IF(L338="","NO BILL IN SUPPLIED EXPORT",IF(ABS(Q338)&gt;0.001,"RATE EXCEPTION",IF(ABS(R338)&gt;0.001,"LENGTH EXCEPTION",IF(ABS(S338)&gt;0.01,"AMOUNT EXCEPTION","OK"))))</f>
        <v>NO BILL IN SUPPLIED EXPORT</v>
      </c>
      <c r="U338" s="15" t="s">
        <v>2000</v>
      </c>
    </row>
    <row r="339" spans="1:21" ht="28" customHeight="1">
      <c r="A339" s="18" t="s">
        <v>2001</v>
      </c>
      <c r="B339" s="18" t="s">
        <v>194</v>
      </c>
      <c r="C339" s="18" t="s">
        <v>226</v>
      </c>
      <c r="D339" s="18" t="s">
        <v>227</v>
      </c>
      <c r="E339" s="18" t="s">
        <v>2002</v>
      </c>
      <c r="F339" s="19" t="s">
        <v>2003</v>
      </c>
      <c r="G339" s="19" t="s">
        <v>376</v>
      </c>
      <c r="H339" s="24">
        <v>32</v>
      </c>
      <c r="I339" s="24">
        <v>18.1</v>
      </c>
      <c r="J339" s="24">
        <f>MAX(H339,ROUNDUP(I339,0))</f>
        <v>32.0</v>
      </c>
      <c r="K339" s="22">
        <f>IF(C339="covered",10.4,7.55)</f>
        <v>7.55</v>
      </c>
      <c r="L339" s="18"/>
      <c r="M339" s="24"/>
      <c r="N339" s="22"/>
      <c r="O339" s="22"/>
      <c r="P339" s="22">
        <f>J339*K339</f>
        <v>241.6</v>
      </c>
      <c r="Q339" s="22">
        <f>IF(L339="","",N339-K339)</f>
        <v/>
      </c>
      <c r="R339" s="24">
        <f>IF(L339="","",M339-J339)</f>
        <v/>
      </c>
      <c r="S339" s="22">
        <f>IF(L339="",-P339,O339-P339)</f>
        <v>-241.6</v>
      </c>
      <c r="T339" s="25" t="str">
        <f>IF(L339="","NO BILL IN SUPPLIED EXPORT",IF(ABS(Q339)&gt;0.001,"RATE EXCEPTION",IF(ABS(R339)&gt;0.001,"LENGTH EXCEPTION",IF(ABS(S339)&gt;0.01,"AMOUNT EXCEPTION","OK"))))</f>
        <v>NO BILL IN SUPPLIED EXPORT</v>
      </c>
      <c r="U339" s="19" t="s">
        <v>2004</v>
      </c>
    </row>
    <row r="340" spans="1:21" ht="28" customHeight="1">
      <c r="A340" s="14" t="s">
        <v>2005</v>
      </c>
      <c r="B340" s="14" t="s">
        <v>194</v>
      </c>
      <c r="C340" s="14" t="s">
        <v>226</v>
      </c>
      <c r="D340" s="14" t="s">
        <v>227</v>
      </c>
      <c r="E340" s="14" t="s">
        <v>2006</v>
      </c>
      <c r="F340" s="15" t="s">
        <v>2007</v>
      </c>
      <c r="G340" s="15" t="s">
        <v>2008</v>
      </c>
      <c r="H340" s="24">
        <v>70</v>
      </c>
      <c r="I340" s="24">
        <v>52.3</v>
      </c>
      <c r="J340" s="24">
        <f>MAX(H340,ROUNDUP(I340,0))</f>
        <v>70.0</v>
      </c>
      <c r="K340" s="22">
        <f>IF(C340="covered",10.4,7.55)</f>
        <v>7.55</v>
      </c>
      <c r="L340" s="14"/>
      <c r="M340" s="24"/>
      <c r="N340" s="22"/>
      <c r="O340" s="22"/>
      <c r="P340" s="22">
        <f>J340*K340</f>
        <v>528.5</v>
      </c>
      <c r="Q340" s="22">
        <f>IF(L340="","",N340-K340)</f>
        <v/>
      </c>
      <c r="R340" s="24">
        <f>IF(L340="","",M340-J340)</f>
        <v/>
      </c>
      <c r="S340" s="22">
        <f>IF(L340="",-P340,O340-P340)</f>
        <v>-528.5</v>
      </c>
      <c r="T340" s="25" t="str">
        <f>IF(L340="","NO BILL IN SUPPLIED EXPORT",IF(ABS(Q340)&gt;0.001,"RATE EXCEPTION",IF(ABS(R340)&gt;0.001,"LENGTH EXCEPTION",IF(ABS(S340)&gt;0.01,"AMOUNT EXCEPTION","OK"))))</f>
        <v>NO BILL IN SUPPLIED EXPORT</v>
      </c>
      <c r="U340" s="15" t="s">
        <v>2009</v>
      </c>
    </row>
    <row r="341" spans="1:21" ht="28" customHeight="1">
      <c r="A341" s="18" t="s">
        <v>2010</v>
      </c>
      <c r="B341" s="18" t="s">
        <v>194</v>
      </c>
      <c r="C341" s="18" t="s">
        <v>226</v>
      </c>
      <c r="D341" s="18" t="s">
        <v>227</v>
      </c>
      <c r="E341" s="18" t="s">
        <v>2011</v>
      </c>
      <c r="F341" s="19" t="s">
        <v>2012</v>
      </c>
      <c r="G341" s="19" t="s">
        <v>1580</v>
      </c>
      <c r="H341" s="24">
        <v>24</v>
      </c>
      <c r="I341" s="24">
        <v>46.9</v>
      </c>
      <c r="J341" s="24">
        <f>MAX(H341,ROUNDUP(I341,0))</f>
        <v>47</v>
      </c>
      <c r="K341" s="22">
        <f>IF(C341="covered",10.4,7.55)</f>
        <v>7.55</v>
      </c>
      <c r="L341" s="18"/>
      <c r="M341" s="24"/>
      <c r="N341" s="22"/>
      <c r="O341" s="22"/>
      <c r="P341" s="22">
        <f>J341*K341</f>
        <v>354.84999999999997</v>
      </c>
      <c r="Q341" s="22">
        <f>IF(L341="","",N341-K341)</f>
        <v/>
      </c>
      <c r="R341" s="24">
        <f>IF(L341="","",M341-J341)</f>
        <v/>
      </c>
      <c r="S341" s="22">
        <f>IF(L341="",-P341,O341-P341)</f>
        <v>-354.84999999999997</v>
      </c>
      <c r="T341" s="25" t="str">
        <f>IF(L341="","NO BILL IN SUPPLIED EXPORT",IF(ABS(Q341)&gt;0.001,"RATE EXCEPTION",IF(ABS(R341)&gt;0.001,"LENGTH EXCEPTION",IF(ABS(S341)&gt;0.01,"AMOUNT EXCEPTION","OK"))))</f>
        <v>NO BILL IN SUPPLIED EXPORT</v>
      </c>
      <c r="U341" s="19" t="s">
        <v>2013</v>
      </c>
    </row>
    <row r="342" spans="1:21" ht="28" customHeight="1">
      <c r="A342" s="14" t="s">
        <v>2014</v>
      </c>
      <c r="B342" s="14" t="s">
        <v>194</v>
      </c>
      <c r="C342" s="14" t="s">
        <v>226</v>
      </c>
      <c r="D342" s="14" t="s">
        <v>227</v>
      </c>
      <c r="E342" s="14" t="s">
        <v>2015</v>
      </c>
      <c r="F342" s="15" t="s">
        <v>2016</v>
      </c>
      <c r="G342" s="15" t="s">
        <v>167</v>
      </c>
      <c r="H342" s="24">
        <v>80</v>
      </c>
      <c r="I342" s="24">
        <v>54.3</v>
      </c>
      <c r="J342" s="24">
        <f>MAX(H342,ROUNDUP(I342,0))</f>
        <v>80.0</v>
      </c>
      <c r="K342" s="22">
        <f>IF(C342="covered",10.4,7.55)</f>
        <v>7.55</v>
      </c>
      <c r="L342" s="14"/>
      <c r="M342" s="24"/>
      <c r="N342" s="22"/>
      <c r="O342" s="22"/>
      <c r="P342" s="22">
        <f>J342*K342</f>
        <v>604.0</v>
      </c>
      <c r="Q342" s="22">
        <f>IF(L342="","",N342-K342)</f>
        <v/>
      </c>
      <c r="R342" s="24">
        <f>IF(L342="","",M342-J342)</f>
        <v/>
      </c>
      <c r="S342" s="22">
        <f>IF(L342="",-P342,O342-P342)</f>
        <v>-604.0</v>
      </c>
      <c r="T342" s="25" t="str">
        <f>IF(L342="","NO BILL IN SUPPLIED EXPORT",IF(ABS(Q342)&gt;0.001,"RATE EXCEPTION",IF(ABS(R342)&gt;0.001,"LENGTH EXCEPTION",IF(ABS(S342)&gt;0.01,"AMOUNT EXCEPTION","OK"))))</f>
        <v>NO BILL IN SUPPLIED EXPORT</v>
      </c>
      <c r="U342" s="15" t="s">
        <v>2017</v>
      </c>
    </row>
    <row r="343" spans="1:21" ht="28" customHeight="1">
      <c r="A343" s="18" t="s">
        <v>2018</v>
      </c>
      <c r="B343" s="18" t="s">
        <v>194</v>
      </c>
      <c r="C343" s="18" t="s">
        <v>226</v>
      </c>
      <c r="D343" s="18" t="s">
        <v>227</v>
      </c>
      <c r="E343" s="18" t="s">
        <v>2019</v>
      </c>
      <c r="F343" s="19" t="s">
        <v>2020</v>
      </c>
      <c r="G343" s="19" t="s">
        <v>2021</v>
      </c>
      <c r="H343" s="24">
        <v>40</v>
      </c>
      <c r="I343" s="24">
        <v>33.7</v>
      </c>
      <c r="J343" s="24">
        <f>MAX(H343,ROUNDUP(I343,0))</f>
        <v>40.0</v>
      </c>
      <c r="K343" s="22">
        <f>IF(C343="covered",10.4,7.55)</f>
        <v>7.55</v>
      </c>
      <c r="L343" s="18"/>
      <c r="M343" s="24"/>
      <c r="N343" s="22"/>
      <c r="O343" s="22"/>
      <c r="P343" s="22">
        <f>J343*K343</f>
        <v>302.0</v>
      </c>
      <c r="Q343" s="22">
        <f>IF(L343="","",N343-K343)</f>
        <v/>
      </c>
      <c r="R343" s="24">
        <f>IF(L343="","",M343-J343)</f>
        <v/>
      </c>
      <c r="S343" s="22">
        <f>IF(L343="",-P343,O343-P343)</f>
        <v>-302.0</v>
      </c>
      <c r="T343" s="25" t="str">
        <f>IF(L343="","NO BILL IN SUPPLIED EXPORT",IF(ABS(Q343)&gt;0.001,"RATE EXCEPTION",IF(ABS(R343)&gt;0.001,"LENGTH EXCEPTION",IF(ABS(S343)&gt;0.01,"AMOUNT EXCEPTION","OK"))))</f>
        <v>NO BILL IN SUPPLIED EXPORT</v>
      </c>
      <c r="U343" s="19" t="s">
        <v>2022</v>
      </c>
    </row>
    <row r="344" spans="1:21" ht="28" customHeight="1">
      <c r="A344" s="14" t="s">
        <v>2023</v>
      </c>
      <c r="B344" s="14" t="s">
        <v>194</v>
      </c>
      <c r="C344" s="14" t="s">
        <v>226</v>
      </c>
      <c r="D344" s="14" t="s">
        <v>227</v>
      </c>
      <c r="E344" s="14" t="s">
        <v>2024</v>
      </c>
      <c r="F344" s="15" t="s">
        <v>2025</v>
      </c>
      <c r="G344" s="15" t="s">
        <v>2026</v>
      </c>
      <c r="H344" s="24">
        <v>70</v>
      </c>
      <c r="I344" s="24">
        <v>61.4</v>
      </c>
      <c r="J344" s="24">
        <f>MAX(H344,ROUNDUP(I344,0))</f>
        <v>70.0</v>
      </c>
      <c r="K344" s="22">
        <f>IF(C344="covered",10.4,7.55)</f>
        <v>7.55</v>
      </c>
      <c r="L344" s="14"/>
      <c r="M344" s="24"/>
      <c r="N344" s="22"/>
      <c r="O344" s="22"/>
      <c r="P344" s="22">
        <f>J344*K344</f>
        <v>528.5</v>
      </c>
      <c r="Q344" s="22">
        <f>IF(L344="","",N344-K344)</f>
        <v/>
      </c>
      <c r="R344" s="24">
        <f>IF(L344="","",M344-J344)</f>
        <v/>
      </c>
      <c r="S344" s="22">
        <f>IF(L344="",-P344,O344-P344)</f>
        <v>-528.5</v>
      </c>
      <c r="T344" s="25" t="str">
        <f>IF(L344="","NO BILL IN SUPPLIED EXPORT",IF(ABS(Q344)&gt;0.001,"RATE EXCEPTION",IF(ABS(R344)&gt;0.001,"LENGTH EXCEPTION",IF(ABS(S344)&gt;0.01,"AMOUNT EXCEPTION","OK"))))</f>
        <v>NO BILL IN SUPPLIED EXPORT</v>
      </c>
      <c r="U344" s="15" t="s">
        <v>2027</v>
      </c>
    </row>
    <row r="345" spans="1:21" ht="28" customHeight="1">
      <c r="A345" s="18" t="s">
        <v>2028</v>
      </c>
      <c r="B345" s="18" t="s">
        <v>194</v>
      </c>
      <c r="C345" s="18" t="s">
        <v>226</v>
      </c>
      <c r="D345" s="18" t="s">
        <v>227</v>
      </c>
      <c r="E345" s="18" t="s">
        <v>2029</v>
      </c>
      <c r="F345" s="19" t="s">
        <v>2030</v>
      </c>
      <c r="G345" s="19" t="s">
        <v>2031</v>
      </c>
      <c r="H345" s="24">
        <v>80</v>
      </c>
      <c r="I345" s="24">
        <v>19.9</v>
      </c>
      <c r="J345" s="24">
        <f>MAX(H345,ROUNDUP(I345,0))</f>
        <v>80.0</v>
      </c>
      <c r="K345" s="22">
        <f>IF(C345="covered",10.4,7.55)</f>
        <v>7.55</v>
      </c>
      <c r="L345" s="18"/>
      <c r="M345" s="24"/>
      <c r="N345" s="22"/>
      <c r="O345" s="22"/>
      <c r="P345" s="22">
        <f>J345*K345</f>
        <v>604.0</v>
      </c>
      <c r="Q345" s="22">
        <f>IF(L345="","",N345-K345)</f>
        <v/>
      </c>
      <c r="R345" s="24">
        <f>IF(L345="","",M345-J345)</f>
        <v/>
      </c>
      <c r="S345" s="22">
        <f>IF(L345="",-P345,O345-P345)</f>
        <v>-604.0</v>
      </c>
      <c r="T345" s="25" t="str">
        <f>IF(L345="","NO BILL IN SUPPLIED EXPORT",IF(ABS(Q345)&gt;0.001,"RATE EXCEPTION",IF(ABS(R345)&gt;0.001,"LENGTH EXCEPTION",IF(ABS(S345)&gt;0.01,"AMOUNT EXCEPTION","OK"))))</f>
        <v>NO BILL IN SUPPLIED EXPORT</v>
      </c>
      <c r="U345" s="19" t="s">
        <v>2032</v>
      </c>
    </row>
    <row r="346" spans="1:21" ht="28" customHeight="1">
      <c r="A346" s="14" t="s">
        <v>2033</v>
      </c>
      <c r="B346" s="14" t="s">
        <v>194</v>
      </c>
      <c r="C346" s="14" t="s">
        <v>226</v>
      </c>
      <c r="D346" s="14" t="s">
        <v>227</v>
      </c>
      <c r="E346" s="14" t="s">
        <v>2034</v>
      </c>
      <c r="F346" s="15" t="s">
        <v>2035</v>
      </c>
      <c r="G346" s="15" t="s">
        <v>2036</v>
      </c>
      <c r="H346" s="24">
        <v>28</v>
      </c>
      <c r="I346" s="24">
        <v>46.7</v>
      </c>
      <c r="J346" s="24">
        <f>MAX(H346,ROUNDUP(I346,0))</f>
        <v>47</v>
      </c>
      <c r="K346" s="22">
        <f>IF(C346="covered",10.4,7.55)</f>
        <v>7.55</v>
      </c>
      <c r="L346" s="14"/>
      <c r="M346" s="24"/>
      <c r="N346" s="22"/>
      <c r="O346" s="22"/>
      <c r="P346" s="22">
        <f>J346*K346</f>
        <v>354.84999999999997</v>
      </c>
      <c r="Q346" s="22">
        <f>IF(L346="","",N346-K346)</f>
        <v/>
      </c>
      <c r="R346" s="24">
        <f>IF(L346="","",M346-J346)</f>
        <v/>
      </c>
      <c r="S346" s="22">
        <f>IF(L346="",-P346,O346-P346)</f>
        <v>-354.84999999999997</v>
      </c>
      <c r="T346" s="25" t="str">
        <f>IF(L346="","NO BILL IN SUPPLIED EXPORT",IF(ABS(Q346)&gt;0.001,"RATE EXCEPTION",IF(ABS(R346)&gt;0.001,"LENGTH EXCEPTION",IF(ABS(S346)&gt;0.01,"AMOUNT EXCEPTION","OK"))))</f>
        <v>NO BILL IN SUPPLIED EXPORT</v>
      </c>
      <c r="U346" s="15" t="s">
        <v>2037</v>
      </c>
    </row>
    <row r="347" spans="1:21" ht="28" customHeight="1">
      <c r="A347" s="18" t="s">
        <v>2038</v>
      </c>
      <c r="B347" s="18" t="s">
        <v>194</v>
      </c>
      <c r="C347" s="18" t="s">
        <v>226</v>
      </c>
      <c r="D347" s="18" t="s">
        <v>227</v>
      </c>
      <c r="E347" s="18" t="s">
        <v>2039</v>
      </c>
      <c r="F347" s="19" t="s">
        <v>2040</v>
      </c>
      <c r="G347" s="19" t="s">
        <v>2041</v>
      </c>
      <c r="H347" s="24">
        <v>28</v>
      </c>
      <c r="I347" s="24">
        <v>41.9</v>
      </c>
      <c r="J347" s="24">
        <f>MAX(H347,ROUNDUP(I347,0))</f>
        <v>42</v>
      </c>
      <c r="K347" s="22">
        <f>IF(C347="covered",10.4,7.55)</f>
        <v>7.55</v>
      </c>
      <c r="L347" s="18"/>
      <c r="M347" s="24"/>
      <c r="N347" s="22"/>
      <c r="O347" s="22"/>
      <c r="P347" s="22">
        <f>J347*K347</f>
        <v>317.09999999999997</v>
      </c>
      <c r="Q347" s="22">
        <f>IF(L347="","",N347-K347)</f>
        <v/>
      </c>
      <c r="R347" s="24">
        <f>IF(L347="","",M347-J347)</f>
        <v/>
      </c>
      <c r="S347" s="22">
        <f>IF(L347="",-P347,O347-P347)</f>
        <v>-317.09999999999997</v>
      </c>
      <c r="T347" s="25" t="str">
        <f>IF(L347="","NO BILL IN SUPPLIED EXPORT",IF(ABS(Q347)&gt;0.001,"RATE EXCEPTION",IF(ABS(R347)&gt;0.001,"LENGTH EXCEPTION",IF(ABS(S347)&gt;0.01,"AMOUNT EXCEPTION","OK"))))</f>
        <v>NO BILL IN SUPPLIED EXPORT</v>
      </c>
      <c r="U347" s="19" t="s">
        <v>2042</v>
      </c>
    </row>
    <row r="348" spans="1:21" ht="28" customHeight="1">
      <c r="A348" s="14" t="s">
        <v>2043</v>
      </c>
      <c r="B348" s="14" t="s">
        <v>194</v>
      </c>
      <c r="C348" s="14" t="s">
        <v>226</v>
      </c>
      <c r="D348" s="14" t="s">
        <v>227</v>
      </c>
      <c r="E348" s="14" t="s">
        <v>2044</v>
      </c>
      <c r="F348" s="15" t="s">
        <v>2045</v>
      </c>
      <c r="G348" s="15" t="s">
        <v>1471</v>
      </c>
      <c r="H348" s="24">
        <v>32</v>
      </c>
      <c r="I348" s="24">
        <v>19.1</v>
      </c>
      <c r="J348" s="24">
        <f>MAX(H348,ROUNDUP(I348,0))</f>
        <v>32.0</v>
      </c>
      <c r="K348" s="22">
        <f>IF(C348="covered",10.4,7.55)</f>
        <v>7.55</v>
      </c>
      <c r="L348" s="14"/>
      <c r="M348" s="24"/>
      <c r="N348" s="22"/>
      <c r="O348" s="22"/>
      <c r="P348" s="22">
        <f>J348*K348</f>
        <v>241.6</v>
      </c>
      <c r="Q348" s="22">
        <f>IF(L348="","",N348-K348)</f>
        <v/>
      </c>
      <c r="R348" s="24">
        <f>IF(L348="","",M348-J348)</f>
        <v/>
      </c>
      <c r="S348" s="22">
        <f>IF(L348="",-P348,O348-P348)</f>
        <v>-241.6</v>
      </c>
      <c r="T348" s="25" t="str">
        <f>IF(L348="","NO BILL IN SUPPLIED EXPORT",IF(ABS(Q348)&gt;0.001,"RATE EXCEPTION",IF(ABS(R348)&gt;0.001,"LENGTH EXCEPTION",IF(ABS(S348)&gt;0.01,"AMOUNT EXCEPTION","OK"))))</f>
        <v>NO BILL IN SUPPLIED EXPORT</v>
      </c>
      <c r="U348" s="15" t="s">
        <v>2046</v>
      </c>
    </row>
    <row r="349" spans="1:21" ht="28" customHeight="1">
      <c r="A349" s="18" t="s">
        <v>2047</v>
      </c>
      <c r="B349" s="18" t="s">
        <v>194</v>
      </c>
      <c r="C349" s="18" t="s">
        <v>226</v>
      </c>
      <c r="D349" s="18" t="s">
        <v>227</v>
      </c>
      <c r="E349" s="18" t="s">
        <v>2048</v>
      </c>
      <c r="F349" s="19" t="s">
        <v>2049</v>
      </c>
      <c r="G349" s="19" t="s">
        <v>1045</v>
      </c>
      <c r="H349" s="24">
        <v>70</v>
      </c>
      <c r="I349" s="24">
        <v>30.9</v>
      </c>
      <c r="J349" s="24">
        <f>MAX(H349,ROUNDUP(I349,0))</f>
        <v>70.0</v>
      </c>
      <c r="K349" s="22">
        <f>IF(C349="covered",10.4,7.55)</f>
        <v>7.55</v>
      </c>
      <c r="L349" s="18"/>
      <c r="M349" s="24"/>
      <c r="N349" s="22"/>
      <c r="O349" s="22"/>
      <c r="P349" s="22">
        <f>J349*K349</f>
        <v>528.5</v>
      </c>
      <c r="Q349" s="22">
        <f>IF(L349="","",N349-K349)</f>
        <v/>
      </c>
      <c r="R349" s="24">
        <f>IF(L349="","",M349-J349)</f>
        <v/>
      </c>
      <c r="S349" s="22">
        <f>IF(L349="",-P349,O349-P349)</f>
        <v>-528.5</v>
      </c>
      <c r="T349" s="25" t="str">
        <f>IF(L349="","NO BILL IN SUPPLIED EXPORT",IF(ABS(Q349)&gt;0.001,"RATE EXCEPTION",IF(ABS(R349)&gt;0.001,"LENGTH EXCEPTION",IF(ABS(S349)&gt;0.01,"AMOUNT EXCEPTION","OK"))))</f>
        <v>NO BILL IN SUPPLIED EXPORT</v>
      </c>
      <c r="U349" s="19" t="s">
        <v>2050</v>
      </c>
    </row>
    <row r="350" spans="1:21" ht="28" customHeight="1">
      <c r="A350" s="14" t="s">
        <v>2051</v>
      </c>
      <c r="B350" s="14" t="s">
        <v>194</v>
      </c>
      <c r="C350" s="14" t="s">
        <v>226</v>
      </c>
      <c r="D350" s="14" t="s">
        <v>227</v>
      </c>
      <c r="E350" s="14" t="s">
        <v>2052</v>
      </c>
      <c r="F350" s="15" t="s">
        <v>2053</v>
      </c>
      <c r="G350" s="15" t="s">
        <v>1626</v>
      </c>
      <c r="H350" s="24">
        <v>70</v>
      </c>
      <c r="I350" s="24">
        <v>41.2</v>
      </c>
      <c r="J350" s="24">
        <f>MAX(H350,ROUNDUP(I350,0))</f>
        <v>70.0</v>
      </c>
      <c r="K350" s="22">
        <f>IF(C350="covered",10.4,7.55)</f>
        <v>7.55</v>
      </c>
      <c r="L350" s="14"/>
      <c r="M350" s="24"/>
      <c r="N350" s="22"/>
      <c r="O350" s="22"/>
      <c r="P350" s="22">
        <f>J350*K350</f>
        <v>528.5</v>
      </c>
      <c r="Q350" s="22">
        <f>IF(L350="","",N350-K350)</f>
        <v/>
      </c>
      <c r="R350" s="24">
        <f>IF(L350="","",M350-J350)</f>
        <v/>
      </c>
      <c r="S350" s="22">
        <f>IF(L350="",-P350,O350-P350)</f>
        <v>-528.5</v>
      </c>
      <c r="T350" s="25" t="str">
        <f>IF(L350="","NO BILL IN SUPPLIED EXPORT",IF(ABS(Q350)&gt;0.001,"RATE EXCEPTION",IF(ABS(R350)&gt;0.001,"LENGTH EXCEPTION",IF(ABS(S350)&gt;0.01,"AMOUNT EXCEPTION","OK"))))</f>
        <v>NO BILL IN SUPPLIED EXPORT</v>
      </c>
      <c r="U350" s="15" t="s">
        <v>2054</v>
      </c>
    </row>
    <row r="351" spans="1:21" ht="28" customHeight="1">
      <c r="A351" s="18" t="s">
        <v>2055</v>
      </c>
      <c r="B351" s="18" t="s">
        <v>194</v>
      </c>
      <c r="C351" s="18" t="s">
        <v>226</v>
      </c>
      <c r="D351" s="18" t="s">
        <v>227</v>
      </c>
      <c r="E351" s="18" t="s">
        <v>2056</v>
      </c>
      <c r="F351" s="19" t="s">
        <v>2057</v>
      </c>
      <c r="G351" s="19" t="s">
        <v>442</v>
      </c>
      <c r="H351" s="24">
        <v>24</v>
      </c>
      <c r="I351" s="24">
        <v>60.9</v>
      </c>
      <c r="J351" s="24">
        <f>MAX(H351,ROUNDUP(I351,0))</f>
        <v>61</v>
      </c>
      <c r="K351" s="22">
        <f>IF(C351="covered",10.4,7.55)</f>
        <v>7.55</v>
      </c>
      <c r="L351" s="18"/>
      <c r="M351" s="24"/>
      <c r="N351" s="22"/>
      <c r="O351" s="22"/>
      <c r="P351" s="22">
        <f>J351*K351</f>
        <v>460.55</v>
      </c>
      <c r="Q351" s="22">
        <f>IF(L351="","",N351-K351)</f>
        <v/>
      </c>
      <c r="R351" s="24">
        <f>IF(L351="","",M351-J351)</f>
        <v/>
      </c>
      <c r="S351" s="22">
        <f>IF(L351="",-P351,O351-P351)</f>
        <v>-460.55</v>
      </c>
      <c r="T351" s="25" t="str">
        <f>IF(L351="","NO BILL IN SUPPLIED EXPORT",IF(ABS(Q351)&gt;0.001,"RATE EXCEPTION",IF(ABS(R351)&gt;0.001,"LENGTH EXCEPTION",IF(ABS(S351)&gt;0.01,"AMOUNT EXCEPTION","OK"))))</f>
        <v>NO BILL IN SUPPLIED EXPORT</v>
      </c>
      <c r="U351" s="19" t="s">
        <v>2058</v>
      </c>
    </row>
    <row r="352" spans="1:21" ht="28" customHeight="1">
      <c r="A352" s="14" t="s">
        <v>2059</v>
      </c>
      <c r="B352" s="14" t="s">
        <v>194</v>
      </c>
      <c r="C352" s="14" t="s">
        <v>226</v>
      </c>
      <c r="D352" s="14" t="s">
        <v>227</v>
      </c>
      <c r="E352" s="14" t="s">
        <v>2060</v>
      </c>
      <c r="F352" s="15" t="s">
        <v>2061</v>
      </c>
      <c r="G352" s="15" t="s">
        <v>2062</v>
      </c>
      <c r="H352" s="24">
        <v>60</v>
      </c>
      <c r="I352" s="24">
        <v>31.3</v>
      </c>
      <c r="J352" s="24">
        <f>MAX(H352,ROUNDUP(I352,0))</f>
        <v>60.0</v>
      </c>
      <c r="K352" s="22">
        <f>IF(C352="covered",10.4,7.55)</f>
        <v>7.55</v>
      </c>
      <c r="L352" s="14"/>
      <c r="M352" s="24"/>
      <c r="N352" s="22"/>
      <c r="O352" s="22"/>
      <c r="P352" s="22">
        <f>J352*K352</f>
        <v>453.0</v>
      </c>
      <c r="Q352" s="22">
        <f>IF(L352="","",N352-K352)</f>
        <v/>
      </c>
      <c r="R352" s="24">
        <f>IF(L352="","",M352-J352)</f>
        <v/>
      </c>
      <c r="S352" s="22">
        <f>IF(L352="",-P352,O352-P352)</f>
        <v>-453.0</v>
      </c>
      <c r="T352" s="25" t="str">
        <f>IF(L352="","NO BILL IN SUPPLIED EXPORT",IF(ABS(Q352)&gt;0.001,"RATE EXCEPTION",IF(ABS(R352)&gt;0.001,"LENGTH EXCEPTION",IF(ABS(S352)&gt;0.01,"AMOUNT EXCEPTION","OK"))))</f>
        <v>NO BILL IN SUPPLIED EXPORT</v>
      </c>
      <c r="U352" s="15" t="s">
        <v>2063</v>
      </c>
    </row>
    <row r="353" spans="1:21" ht="28" customHeight="1">
      <c r="A353" s="18" t="s">
        <v>2064</v>
      </c>
      <c r="B353" s="18" t="s">
        <v>194</v>
      </c>
      <c r="C353" s="18" t="s">
        <v>226</v>
      </c>
      <c r="D353" s="18" t="s">
        <v>227</v>
      </c>
      <c r="E353" s="18" t="s">
        <v>2065</v>
      </c>
      <c r="F353" s="19" t="s">
        <v>2066</v>
      </c>
      <c r="G353" s="19" t="s">
        <v>488</v>
      </c>
      <c r="H353" s="24">
        <v>60</v>
      </c>
      <c r="I353" s="24">
        <v>29.8</v>
      </c>
      <c r="J353" s="24">
        <f>MAX(H353,ROUNDUP(I353,0))</f>
        <v>60.0</v>
      </c>
      <c r="K353" s="22">
        <f>IF(C353="covered",10.4,7.55)</f>
        <v>7.55</v>
      </c>
      <c r="L353" s="18"/>
      <c r="M353" s="24"/>
      <c r="N353" s="22"/>
      <c r="O353" s="22"/>
      <c r="P353" s="22">
        <f>J353*K353</f>
        <v>453.0</v>
      </c>
      <c r="Q353" s="22">
        <f>IF(L353="","",N353-K353)</f>
        <v/>
      </c>
      <c r="R353" s="24">
        <f>IF(L353="","",M353-J353)</f>
        <v/>
      </c>
      <c r="S353" s="22">
        <f>IF(L353="",-P353,O353-P353)</f>
        <v>-453.0</v>
      </c>
      <c r="T353" s="25" t="str">
        <f>IF(L353="","NO BILL IN SUPPLIED EXPORT",IF(ABS(Q353)&gt;0.001,"RATE EXCEPTION",IF(ABS(R353)&gt;0.001,"LENGTH EXCEPTION",IF(ABS(S353)&gt;0.01,"AMOUNT EXCEPTION","OK"))))</f>
        <v>NO BILL IN SUPPLIED EXPORT</v>
      </c>
      <c r="U353" s="19" t="s">
        <v>2067</v>
      </c>
    </row>
    <row r="354" spans="1:21" ht="28" customHeight="1">
      <c r="A354" s="14" t="s">
        <v>2068</v>
      </c>
      <c r="B354" s="14" t="s">
        <v>194</v>
      </c>
      <c r="C354" s="14" t="s">
        <v>226</v>
      </c>
      <c r="D354" s="14" t="s">
        <v>227</v>
      </c>
      <c r="E354" s="14" t="s">
        <v>2069</v>
      </c>
      <c r="F354" s="15" t="s">
        <v>2070</v>
      </c>
      <c r="G354" s="15" t="s">
        <v>2071</v>
      </c>
      <c r="H354" s="24">
        <v>70</v>
      </c>
      <c r="I354" s="24">
        <v>53.7</v>
      </c>
      <c r="J354" s="24">
        <f>MAX(H354,ROUNDUP(I354,0))</f>
        <v>70.0</v>
      </c>
      <c r="K354" s="22">
        <f>IF(C354="covered",10.4,7.55)</f>
        <v>7.55</v>
      </c>
      <c r="L354" s="14"/>
      <c r="M354" s="24"/>
      <c r="N354" s="22"/>
      <c r="O354" s="22"/>
      <c r="P354" s="22">
        <f>J354*K354</f>
        <v>528.5</v>
      </c>
      <c r="Q354" s="22">
        <f>IF(L354="","",N354-K354)</f>
        <v/>
      </c>
      <c r="R354" s="24">
        <f>IF(L354="","",M354-J354)</f>
        <v/>
      </c>
      <c r="S354" s="22">
        <f>IF(L354="",-P354,O354-P354)</f>
        <v>-528.5</v>
      </c>
      <c r="T354" s="25" t="str">
        <f>IF(L354="","NO BILL IN SUPPLIED EXPORT",IF(ABS(Q354)&gt;0.001,"RATE EXCEPTION",IF(ABS(R354)&gt;0.001,"LENGTH EXCEPTION",IF(ABS(S354)&gt;0.01,"AMOUNT EXCEPTION","OK"))))</f>
        <v>NO BILL IN SUPPLIED EXPORT</v>
      </c>
      <c r="U354" s="15" t="s">
        <v>2072</v>
      </c>
    </row>
    <row r="355" spans="1:21" ht="28" customHeight="1">
      <c r="A355" s="18" t="s">
        <v>2073</v>
      </c>
      <c r="B355" s="18" t="s">
        <v>194</v>
      </c>
      <c r="C355" s="18" t="s">
        <v>226</v>
      </c>
      <c r="D355" s="18" t="s">
        <v>227</v>
      </c>
      <c r="E355" s="18" t="s">
        <v>2074</v>
      </c>
      <c r="F355" s="19" t="s">
        <v>2075</v>
      </c>
      <c r="G355" s="19" t="s">
        <v>594</v>
      </c>
      <c r="H355" s="24">
        <v>24</v>
      </c>
      <c r="I355" s="24">
        <v>28.3</v>
      </c>
      <c r="J355" s="24">
        <f>MAX(H355,ROUNDUP(I355,0))</f>
        <v>29</v>
      </c>
      <c r="K355" s="22">
        <f>IF(C355="covered",10.4,7.55)</f>
        <v>7.55</v>
      </c>
      <c r="L355" s="18"/>
      <c r="M355" s="24"/>
      <c r="N355" s="22"/>
      <c r="O355" s="22"/>
      <c r="P355" s="22">
        <f>J355*K355</f>
        <v>218.95</v>
      </c>
      <c r="Q355" s="22">
        <f>IF(L355="","",N355-K355)</f>
        <v/>
      </c>
      <c r="R355" s="24">
        <f>IF(L355="","",M355-J355)</f>
        <v/>
      </c>
      <c r="S355" s="22">
        <f>IF(L355="",-P355,O355-P355)</f>
        <v>-218.95</v>
      </c>
      <c r="T355" s="25" t="str">
        <f>IF(L355="","NO BILL IN SUPPLIED EXPORT",IF(ABS(Q355)&gt;0.001,"RATE EXCEPTION",IF(ABS(R355)&gt;0.001,"LENGTH EXCEPTION",IF(ABS(S355)&gt;0.01,"AMOUNT EXCEPTION","OK"))))</f>
        <v>NO BILL IN SUPPLIED EXPORT</v>
      </c>
      <c r="U355" s="19" t="s">
        <v>2076</v>
      </c>
    </row>
    <row r="356" spans="1:21" ht="28" customHeight="1">
      <c r="A356" s="14" t="s">
        <v>122</v>
      </c>
      <c r="B356" s="14" t="s">
        <v>194</v>
      </c>
      <c r="C356" s="14" t="s">
        <v>226</v>
      </c>
      <c r="D356" s="14" t="s">
        <v>227</v>
      </c>
      <c r="E356" s="14" t="s">
        <v>2077</v>
      </c>
      <c r="F356" s="15" t="s">
        <v>2078</v>
      </c>
      <c r="G356" s="15" t="s">
        <v>1758</v>
      </c>
      <c r="H356" s="24">
        <v>32</v>
      </c>
      <c r="I356" s="24">
        <v>41.9</v>
      </c>
      <c r="J356" s="24">
        <f>MAX(H356,ROUNDUP(I356,0))</f>
        <v>42</v>
      </c>
      <c r="K356" s="22">
        <f>IF(C356="covered",10.4,7.55)</f>
        <v>7.55</v>
      </c>
      <c r="L356" s="14"/>
      <c r="M356" s="24"/>
      <c r="N356" s="22"/>
      <c r="O356" s="22"/>
      <c r="P356" s="22">
        <f>J356*K356</f>
        <v>317.09999999999997</v>
      </c>
      <c r="Q356" s="22">
        <f>IF(L356="","",N356-K356)</f>
        <v/>
      </c>
      <c r="R356" s="24">
        <f>IF(L356="","",M356-J356)</f>
        <v/>
      </c>
      <c r="S356" s="22">
        <f>IF(L356="",-P356,O356-P356)</f>
        <v>-317.09999999999997</v>
      </c>
      <c r="T356" s="25" t="str">
        <f>IF(L356="","NO BILL IN SUPPLIED EXPORT",IF(ABS(Q356)&gt;0.001,"RATE EXCEPTION",IF(ABS(R356)&gt;0.001,"LENGTH EXCEPTION",IF(ABS(S356)&gt;0.01,"AMOUNT EXCEPTION","OK"))))</f>
        <v>NO BILL IN SUPPLIED EXPORT</v>
      </c>
      <c r="U356" s="15" t="s">
        <v>2079</v>
      </c>
    </row>
    <row r="357" spans="1:21" ht="28" customHeight="1">
      <c r="A357" s="18" t="s">
        <v>2080</v>
      </c>
      <c r="B357" s="18" t="s">
        <v>194</v>
      </c>
      <c r="C357" s="18" t="s">
        <v>226</v>
      </c>
      <c r="D357" s="18" t="s">
        <v>227</v>
      </c>
      <c r="E357" s="18" t="s">
        <v>2081</v>
      </c>
      <c r="F357" s="19" t="s">
        <v>2082</v>
      </c>
      <c r="G357" s="19" t="s">
        <v>879</v>
      </c>
      <c r="H357" s="24">
        <v>32</v>
      </c>
      <c r="I357" s="24">
        <v>21</v>
      </c>
      <c r="J357" s="24">
        <f>MAX(H357,ROUNDUP(I357,0))</f>
        <v>32.0</v>
      </c>
      <c r="K357" s="22">
        <f>IF(C357="covered",10.4,7.55)</f>
        <v>7.55</v>
      </c>
      <c r="L357" s="18"/>
      <c r="M357" s="24"/>
      <c r="N357" s="22"/>
      <c r="O357" s="22"/>
      <c r="P357" s="22">
        <f>J357*K357</f>
        <v>241.6</v>
      </c>
      <c r="Q357" s="22">
        <f>IF(L357="","",N357-K357)</f>
        <v/>
      </c>
      <c r="R357" s="24">
        <f>IF(L357="","",M357-J357)</f>
        <v/>
      </c>
      <c r="S357" s="22">
        <f>IF(L357="",-P357,O357-P357)</f>
        <v>-241.6</v>
      </c>
      <c r="T357" s="25" t="str">
        <f>IF(L357="","NO BILL IN SUPPLIED EXPORT",IF(ABS(Q357)&gt;0.001,"RATE EXCEPTION",IF(ABS(R357)&gt;0.001,"LENGTH EXCEPTION",IF(ABS(S357)&gt;0.01,"AMOUNT EXCEPTION","OK"))))</f>
        <v>NO BILL IN SUPPLIED EXPORT</v>
      </c>
      <c r="U357" s="19" t="s">
        <v>2083</v>
      </c>
    </row>
    <row r="358" spans="1:21" ht="28" customHeight="1">
      <c r="A358" s="14" t="s">
        <v>2084</v>
      </c>
      <c r="B358" s="14" t="s">
        <v>194</v>
      </c>
      <c r="C358" s="14" t="s">
        <v>226</v>
      </c>
      <c r="D358" s="14" t="s">
        <v>227</v>
      </c>
      <c r="E358" s="14" t="s">
        <v>2085</v>
      </c>
      <c r="F358" s="15" t="s">
        <v>2086</v>
      </c>
      <c r="G358" s="15" t="s">
        <v>110</v>
      </c>
      <c r="H358" s="24">
        <v>28</v>
      </c>
      <c r="I358" s="24">
        <v>30.7</v>
      </c>
      <c r="J358" s="24">
        <f>MAX(H358,ROUNDUP(I358,0))</f>
        <v>31</v>
      </c>
      <c r="K358" s="22">
        <f>IF(C358="covered",10.4,7.55)</f>
        <v>7.55</v>
      </c>
      <c r="L358" s="14"/>
      <c r="M358" s="24"/>
      <c r="N358" s="22"/>
      <c r="O358" s="22"/>
      <c r="P358" s="22">
        <f>J358*K358</f>
        <v>234.04999999999998</v>
      </c>
      <c r="Q358" s="22">
        <f>IF(L358="","",N358-K358)</f>
        <v/>
      </c>
      <c r="R358" s="24">
        <f>IF(L358="","",M358-J358)</f>
        <v/>
      </c>
      <c r="S358" s="22">
        <f>IF(L358="",-P358,O358-P358)</f>
        <v>-234.04999999999998</v>
      </c>
      <c r="T358" s="25" t="str">
        <f>IF(L358="","NO BILL IN SUPPLIED EXPORT",IF(ABS(Q358)&gt;0.001,"RATE EXCEPTION",IF(ABS(R358)&gt;0.001,"LENGTH EXCEPTION",IF(ABS(S358)&gt;0.01,"AMOUNT EXCEPTION","OK"))))</f>
        <v>NO BILL IN SUPPLIED EXPORT</v>
      </c>
      <c r="U358" s="15" t="s">
        <v>2087</v>
      </c>
    </row>
    <row r="359" spans="1:21" ht="28" customHeight="1">
      <c r="A359" s="18" t="s">
        <v>2088</v>
      </c>
      <c r="B359" s="18" t="s">
        <v>194</v>
      </c>
      <c r="C359" s="18" t="s">
        <v>226</v>
      </c>
      <c r="D359" s="18" t="s">
        <v>227</v>
      </c>
      <c r="E359" s="18" t="s">
        <v>2089</v>
      </c>
      <c r="F359" s="19" t="s">
        <v>2090</v>
      </c>
      <c r="G359" s="19" t="s">
        <v>2091</v>
      </c>
      <c r="H359" s="24">
        <v>32</v>
      </c>
      <c r="I359" s="24">
        <v>55.7</v>
      </c>
      <c r="J359" s="24">
        <f>MAX(H359,ROUNDUP(I359,0))</f>
        <v>56</v>
      </c>
      <c r="K359" s="22">
        <f>IF(C359="covered",10.4,7.55)</f>
        <v>7.55</v>
      </c>
      <c r="L359" s="18"/>
      <c r="M359" s="24"/>
      <c r="N359" s="22"/>
      <c r="O359" s="22"/>
      <c r="P359" s="22">
        <f>J359*K359</f>
        <v>422.8</v>
      </c>
      <c r="Q359" s="22">
        <f>IF(L359="","",N359-K359)</f>
        <v/>
      </c>
      <c r="R359" s="24">
        <f>IF(L359="","",M359-J359)</f>
        <v/>
      </c>
      <c r="S359" s="22">
        <f>IF(L359="",-P359,O359-P359)</f>
        <v>-422.8</v>
      </c>
      <c r="T359" s="25" t="str">
        <f>IF(L359="","NO BILL IN SUPPLIED EXPORT",IF(ABS(Q359)&gt;0.001,"RATE EXCEPTION",IF(ABS(R359)&gt;0.001,"LENGTH EXCEPTION",IF(ABS(S359)&gt;0.01,"AMOUNT EXCEPTION","OK"))))</f>
        <v>NO BILL IN SUPPLIED EXPORT</v>
      </c>
      <c r="U359" s="19" t="s">
        <v>2092</v>
      </c>
    </row>
    <row r="360" spans="1:21" ht="28" customHeight="1">
      <c r="A360" s="14" t="s">
        <v>2093</v>
      </c>
      <c r="B360" s="14" t="s">
        <v>194</v>
      </c>
      <c r="C360" s="14" t="s">
        <v>226</v>
      </c>
      <c r="D360" s="14" t="s">
        <v>227</v>
      </c>
      <c r="E360" s="14" t="s">
        <v>2094</v>
      </c>
      <c r="F360" s="15" t="s">
        <v>2095</v>
      </c>
      <c r="G360" s="15" t="s">
        <v>969</v>
      </c>
      <c r="H360" s="24">
        <v>24</v>
      </c>
      <c r="I360" s="24">
        <v>58.3</v>
      </c>
      <c r="J360" s="24">
        <f>MAX(H360,ROUNDUP(I360,0))</f>
        <v>59</v>
      </c>
      <c r="K360" s="22">
        <f>IF(C360="covered",10.4,7.55)</f>
        <v>7.55</v>
      </c>
      <c r="L360" s="14"/>
      <c r="M360" s="24"/>
      <c r="N360" s="22"/>
      <c r="O360" s="22"/>
      <c r="P360" s="22">
        <f>J360*K360</f>
        <v>445.45</v>
      </c>
      <c r="Q360" s="22">
        <f>IF(L360="","",N360-K360)</f>
        <v/>
      </c>
      <c r="R360" s="24">
        <f>IF(L360="","",M360-J360)</f>
        <v/>
      </c>
      <c r="S360" s="22">
        <f>IF(L360="",-P360,O360-P360)</f>
        <v>-445.45</v>
      </c>
      <c r="T360" s="25" t="str">
        <f>IF(L360="","NO BILL IN SUPPLIED EXPORT",IF(ABS(Q360)&gt;0.001,"RATE EXCEPTION",IF(ABS(R360)&gt;0.001,"LENGTH EXCEPTION",IF(ABS(S360)&gt;0.01,"AMOUNT EXCEPTION","OK"))))</f>
        <v>NO BILL IN SUPPLIED EXPORT</v>
      </c>
      <c r="U360" s="15" t="s">
        <v>2096</v>
      </c>
    </row>
    <row r="361" spans="1:21" ht="28" customHeight="1">
      <c r="A361" s="18" t="s">
        <v>2097</v>
      </c>
      <c r="B361" s="18" t="s">
        <v>194</v>
      </c>
      <c r="C361" s="18" t="s">
        <v>226</v>
      </c>
      <c r="D361" s="18" t="s">
        <v>227</v>
      </c>
      <c r="E361" s="18" t="s">
        <v>2098</v>
      </c>
      <c r="F361" s="19" t="s">
        <v>2099</v>
      </c>
      <c r="G361" s="19" t="s">
        <v>1039</v>
      </c>
      <c r="H361" s="24">
        <v>32</v>
      </c>
      <c r="I361" s="24">
        <v>50.2</v>
      </c>
      <c r="J361" s="24">
        <f>MAX(H361,ROUNDUP(I361,0))</f>
        <v>51</v>
      </c>
      <c r="K361" s="22">
        <f>IF(C361="covered",10.4,7.55)</f>
        <v>7.55</v>
      </c>
      <c r="L361" s="18"/>
      <c r="M361" s="24"/>
      <c r="N361" s="22"/>
      <c r="O361" s="22"/>
      <c r="P361" s="22">
        <f>J361*K361</f>
        <v>385.05</v>
      </c>
      <c r="Q361" s="22">
        <f>IF(L361="","",N361-K361)</f>
        <v/>
      </c>
      <c r="R361" s="24">
        <f>IF(L361="","",M361-J361)</f>
        <v/>
      </c>
      <c r="S361" s="22">
        <f>IF(L361="",-P361,O361-P361)</f>
        <v>-385.05</v>
      </c>
      <c r="T361" s="25" t="str">
        <f>IF(L361="","NO BILL IN SUPPLIED EXPORT",IF(ABS(Q361)&gt;0.001,"RATE EXCEPTION",IF(ABS(R361)&gt;0.001,"LENGTH EXCEPTION",IF(ABS(S361)&gt;0.01,"AMOUNT EXCEPTION","OK"))))</f>
        <v>NO BILL IN SUPPLIED EXPORT</v>
      </c>
      <c r="U361" s="19" t="s">
        <v>2100</v>
      </c>
    </row>
    <row r="362" spans="1:21" ht="28" customHeight="1">
      <c r="A362" s="14" t="s">
        <v>2101</v>
      </c>
      <c r="B362" s="14" t="s">
        <v>194</v>
      </c>
      <c r="C362" s="14" t="s">
        <v>226</v>
      </c>
      <c r="D362" s="14" t="s">
        <v>227</v>
      </c>
      <c r="E362" s="14" t="s">
        <v>2102</v>
      </c>
      <c r="F362" s="15" t="s">
        <v>2103</v>
      </c>
      <c r="G362" s="15" t="s">
        <v>2104</v>
      </c>
      <c r="H362" s="24">
        <v>24</v>
      </c>
      <c r="I362" s="24">
        <v>30.5</v>
      </c>
      <c r="J362" s="24">
        <f>MAX(H362,ROUNDUP(I362,0))</f>
        <v>31</v>
      </c>
      <c r="K362" s="22">
        <f>IF(C362="covered",10.4,7.55)</f>
        <v>7.55</v>
      </c>
      <c r="L362" s="14"/>
      <c r="M362" s="24"/>
      <c r="N362" s="22"/>
      <c r="O362" s="22"/>
      <c r="P362" s="22">
        <f>J362*K362</f>
        <v>234.04999999999998</v>
      </c>
      <c r="Q362" s="22">
        <f>IF(L362="","",N362-K362)</f>
        <v/>
      </c>
      <c r="R362" s="24">
        <f>IF(L362="","",M362-J362)</f>
        <v/>
      </c>
      <c r="S362" s="22">
        <f>IF(L362="",-P362,O362-P362)</f>
        <v>-234.04999999999998</v>
      </c>
      <c r="T362" s="25" t="str">
        <f>IF(L362="","NO BILL IN SUPPLIED EXPORT",IF(ABS(Q362)&gt;0.001,"RATE EXCEPTION",IF(ABS(R362)&gt;0.001,"LENGTH EXCEPTION",IF(ABS(S362)&gt;0.01,"AMOUNT EXCEPTION","OK"))))</f>
        <v>NO BILL IN SUPPLIED EXPORT</v>
      </c>
      <c r="U362" s="15" t="s">
        <v>2105</v>
      </c>
    </row>
    <row r="363" spans="1:21" ht="28" customHeight="1">
      <c r="A363" s="18" t="s">
        <v>2106</v>
      </c>
      <c r="B363" s="18" t="s">
        <v>194</v>
      </c>
      <c r="C363" s="18" t="s">
        <v>226</v>
      </c>
      <c r="D363" s="18" t="s">
        <v>227</v>
      </c>
      <c r="E363" s="18" t="s">
        <v>2107</v>
      </c>
      <c r="F363" s="19" t="s">
        <v>2108</v>
      </c>
      <c r="G363" s="19" t="s">
        <v>2109</v>
      </c>
      <c r="H363" s="24">
        <v>45</v>
      </c>
      <c r="I363" s="24">
        <v>28.6</v>
      </c>
      <c r="J363" s="24">
        <f>MAX(H363,ROUNDUP(I363,0))</f>
        <v>45.0</v>
      </c>
      <c r="K363" s="22">
        <f>IF(C363="covered",10.4,7.55)</f>
        <v>7.55</v>
      </c>
      <c r="L363" s="18"/>
      <c r="M363" s="24"/>
      <c r="N363" s="22"/>
      <c r="O363" s="22"/>
      <c r="P363" s="22">
        <f>J363*K363</f>
        <v>339.75</v>
      </c>
      <c r="Q363" s="22">
        <f>IF(L363="","",N363-K363)</f>
        <v/>
      </c>
      <c r="R363" s="24">
        <f>IF(L363="","",M363-J363)</f>
        <v/>
      </c>
      <c r="S363" s="22">
        <f>IF(L363="",-P363,O363-P363)</f>
        <v>-339.75</v>
      </c>
      <c r="T363" s="25" t="str">
        <f>IF(L363="","NO BILL IN SUPPLIED EXPORT",IF(ABS(Q363)&gt;0.001,"RATE EXCEPTION",IF(ABS(R363)&gt;0.001,"LENGTH EXCEPTION",IF(ABS(S363)&gt;0.01,"AMOUNT EXCEPTION","OK"))))</f>
        <v>NO BILL IN SUPPLIED EXPORT</v>
      </c>
      <c r="U363" s="19" t="s">
        <v>2110</v>
      </c>
    </row>
    <row r="364" spans="1:21" ht="28" customHeight="1">
      <c r="A364" s="14" t="s">
        <v>2111</v>
      </c>
      <c r="B364" s="14" t="s">
        <v>194</v>
      </c>
      <c r="C364" s="14" t="s">
        <v>226</v>
      </c>
      <c r="D364" s="14" t="s">
        <v>227</v>
      </c>
      <c r="E364" s="14" t="s">
        <v>2112</v>
      </c>
      <c r="F364" s="15" t="s">
        <v>2113</v>
      </c>
      <c r="G364" s="15" t="s">
        <v>834</v>
      </c>
      <c r="H364" s="24">
        <v>70</v>
      </c>
      <c r="I364" s="24">
        <v>39.9</v>
      </c>
      <c r="J364" s="24">
        <f>MAX(H364,ROUNDUP(I364,0))</f>
        <v>70.0</v>
      </c>
      <c r="K364" s="22">
        <f>IF(C364="covered",10.4,7.55)</f>
        <v>7.55</v>
      </c>
      <c r="L364" s="14"/>
      <c r="M364" s="24"/>
      <c r="N364" s="22"/>
      <c r="O364" s="22"/>
      <c r="P364" s="22">
        <f>J364*K364</f>
        <v>528.5</v>
      </c>
      <c r="Q364" s="22">
        <f>IF(L364="","",N364-K364)</f>
        <v/>
      </c>
      <c r="R364" s="24">
        <f>IF(L364="","",M364-J364)</f>
        <v/>
      </c>
      <c r="S364" s="22">
        <f>IF(L364="",-P364,O364-P364)</f>
        <v>-528.5</v>
      </c>
      <c r="T364" s="25" t="str">
        <f>IF(L364="","NO BILL IN SUPPLIED EXPORT",IF(ABS(Q364)&gt;0.001,"RATE EXCEPTION",IF(ABS(R364)&gt;0.001,"LENGTH EXCEPTION",IF(ABS(S364)&gt;0.01,"AMOUNT EXCEPTION","OK"))))</f>
        <v>NO BILL IN SUPPLIED EXPORT</v>
      </c>
      <c r="U364" s="15" t="s">
        <v>2114</v>
      </c>
    </row>
    <row r="365" spans="1:21" ht="28" customHeight="1">
      <c r="A365" s="18" t="s">
        <v>2115</v>
      </c>
      <c r="B365" s="18" t="s">
        <v>194</v>
      </c>
      <c r="C365" s="18" t="s">
        <v>226</v>
      </c>
      <c r="D365" s="18" t="s">
        <v>227</v>
      </c>
      <c r="E365" s="18" t="s">
        <v>2116</v>
      </c>
      <c r="F365" s="19" t="s">
        <v>2117</v>
      </c>
      <c r="G365" s="19" t="s">
        <v>2118</v>
      </c>
      <c r="H365" s="24">
        <v>28</v>
      </c>
      <c r="I365" s="24">
        <v>36.1</v>
      </c>
      <c r="J365" s="24">
        <f>MAX(H365,ROUNDUP(I365,0))</f>
        <v>37</v>
      </c>
      <c r="K365" s="22">
        <f>IF(C365="covered",10.4,7.55)</f>
        <v>7.55</v>
      </c>
      <c r="L365" s="18"/>
      <c r="M365" s="24"/>
      <c r="N365" s="22"/>
      <c r="O365" s="22"/>
      <c r="P365" s="22">
        <f>J365*K365</f>
        <v>279.34999999999997</v>
      </c>
      <c r="Q365" s="22">
        <f>IF(L365="","",N365-K365)</f>
        <v/>
      </c>
      <c r="R365" s="24">
        <f>IF(L365="","",M365-J365)</f>
        <v/>
      </c>
      <c r="S365" s="22">
        <f>IF(L365="",-P365,O365-P365)</f>
        <v>-279.34999999999997</v>
      </c>
      <c r="T365" s="25" t="str">
        <f>IF(L365="","NO BILL IN SUPPLIED EXPORT",IF(ABS(Q365)&gt;0.001,"RATE EXCEPTION",IF(ABS(R365)&gt;0.001,"LENGTH EXCEPTION",IF(ABS(S365)&gt;0.01,"AMOUNT EXCEPTION","OK"))))</f>
        <v>NO BILL IN SUPPLIED EXPORT</v>
      </c>
      <c r="U365" s="19" t="s">
        <v>2119</v>
      </c>
    </row>
    <row r="366" spans="1:21" ht="28" customHeight="1">
      <c r="A366" s="14" t="s">
        <v>2120</v>
      </c>
      <c r="B366" s="14" t="s">
        <v>194</v>
      </c>
      <c r="C366" s="14" t="s">
        <v>226</v>
      </c>
      <c r="D366" s="14" t="s">
        <v>227</v>
      </c>
      <c r="E366" s="14" t="s">
        <v>2121</v>
      </c>
      <c r="F366" s="15" t="s">
        <v>2122</v>
      </c>
      <c r="G366" s="15" t="s">
        <v>541</v>
      </c>
      <c r="H366" s="24">
        <v>60</v>
      </c>
      <c r="I366" s="24">
        <v>53.2</v>
      </c>
      <c r="J366" s="24">
        <f>MAX(H366,ROUNDUP(I366,0))</f>
        <v>60.0</v>
      </c>
      <c r="K366" s="22">
        <f>IF(C366="covered",10.4,7.55)</f>
        <v>7.55</v>
      </c>
      <c r="L366" s="14"/>
      <c r="M366" s="24"/>
      <c r="N366" s="22"/>
      <c r="O366" s="22"/>
      <c r="P366" s="22">
        <f>J366*K366</f>
        <v>453.0</v>
      </c>
      <c r="Q366" s="22">
        <f>IF(L366="","",N366-K366)</f>
        <v/>
      </c>
      <c r="R366" s="24">
        <f>IF(L366="","",M366-J366)</f>
        <v/>
      </c>
      <c r="S366" s="22">
        <f>IF(L366="",-P366,O366-P366)</f>
        <v>-453.0</v>
      </c>
      <c r="T366" s="25" t="str">
        <f>IF(L366="","NO BILL IN SUPPLIED EXPORT",IF(ABS(Q366)&gt;0.001,"RATE EXCEPTION",IF(ABS(R366)&gt;0.001,"LENGTH EXCEPTION",IF(ABS(S366)&gt;0.01,"AMOUNT EXCEPTION","OK"))))</f>
        <v>NO BILL IN SUPPLIED EXPORT</v>
      </c>
      <c r="U366" s="15" t="s">
        <v>2123</v>
      </c>
    </row>
    <row r="367" spans="1:21" ht="28" customHeight="1">
      <c r="A367" s="18" t="s">
        <v>2124</v>
      </c>
      <c r="B367" s="18" t="s">
        <v>194</v>
      </c>
      <c r="C367" s="18" t="s">
        <v>226</v>
      </c>
      <c r="D367" s="18" t="s">
        <v>227</v>
      </c>
      <c r="E367" s="18" t="s">
        <v>2125</v>
      </c>
      <c r="F367" s="19" t="s">
        <v>2126</v>
      </c>
      <c r="G367" s="19" t="s">
        <v>1972</v>
      </c>
      <c r="H367" s="24">
        <v>70</v>
      </c>
      <c r="I367" s="24">
        <v>34.2</v>
      </c>
      <c r="J367" s="24">
        <f>MAX(H367,ROUNDUP(I367,0))</f>
        <v>70.0</v>
      </c>
      <c r="K367" s="22">
        <f>IF(C367="covered",10.4,7.55)</f>
        <v>7.55</v>
      </c>
      <c r="L367" s="18"/>
      <c r="M367" s="24"/>
      <c r="N367" s="22"/>
      <c r="O367" s="22"/>
      <c r="P367" s="22">
        <f>J367*K367</f>
        <v>528.5</v>
      </c>
      <c r="Q367" s="22">
        <f>IF(L367="","",N367-K367)</f>
        <v/>
      </c>
      <c r="R367" s="24">
        <f>IF(L367="","",M367-J367)</f>
        <v/>
      </c>
      <c r="S367" s="22">
        <f>IF(L367="",-P367,O367-P367)</f>
        <v>-528.5</v>
      </c>
      <c r="T367" s="25" t="str">
        <f>IF(L367="","NO BILL IN SUPPLIED EXPORT",IF(ABS(Q367)&gt;0.001,"RATE EXCEPTION",IF(ABS(R367)&gt;0.001,"LENGTH EXCEPTION",IF(ABS(S367)&gt;0.01,"AMOUNT EXCEPTION","OK"))))</f>
        <v>NO BILL IN SUPPLIED EXPORT</v>
      </c>
      <c r="U367" s="19" t="s">
        <v>2127</v>
      </c>
    </row>
    <row r="368" spans="1:21" ht="28" customHeight="1">
      <c r="A368" s="14" t="s">
        <v>2128</v>
      </c>
      <c r="B368" s="14" t="s">
        <v>194</v>
      </c>
      <c r="C368" s="14" t="s">
        <v>226</v>
      </c>
      <c r="D368" s="14" t="s">
        <v>227</v>
      </c>
      <c r="E368" s="14" t="s">
        <v>2129</v>
      </c>
      <c r="F368" s="15" t="s">
        <v>2130</v>
      </c>
      <c r="G368" s="15" t="s">
        <v>2131</v>
      </c>
      <c r="H368" s="24">
        <v>32</v>
      </c>
      <c r="I368" s="24">
        <v>36.4</v>
      </c>
      <c r="J368" s="24">
        <f>MAX(H368,ROUNDUP(I368,0))</f>
        <v>37</v>
      </c>
      <c r="K368" s="22">
        <f>IF(C368="covered",10.4,7.55)</f>
        <v>7.55</v>
      </c>
      <c r="L368" s="14"/>
      <c r="M368" s="24"/>
      <c r="N368" s="22"/>
      <c r="O368" s="22"/>
      <c r="P368" s="22">
        <f>J368*K368</f>
        <v>279.34999999999997</v>
      </c>
      <c r="Q368" s="22">
        <f>IF(L368="","",N368-K368)</f>
        <v/>
      </c>
      <c r="R368" s="24">
        <f>IF(L368="","",M368-J368)</f>
        <v/>
      </c>
      <c r="S368" s="22">
        <f>IF(L368="",-P368,O368-P368)</f>
        <v>-279.34999999999997</v>
      </c>
      <c r="T368" s="25" t="str">
        <f>IF(L368="","NO BILL IN SUPPLIED EXPORT",IF(ABS(Q368)&gt;0.001,"RATE EXCEPTION",IF(ABS(R368)&gt;0.001,"LENGTH EXCEPTION",IF(ABS(S368)&gt;0.01,"AMOUNT EXCEPTION","OK"))))</f>
        <v>NO BILL IN SUPPLIED EXPORT</v>
      </c>
      <c r="U368" s="15" t="s">
        <v>2132</v>
      </c>
    </row>
    <row r="369" spans="1:21" ht="28" customHeight="1">
      <c r="A369" s="18" t="s">
        <v>2133</v>
      </c>
      <c r="B369" s="18" t="s">
        <v>194</v>
      </c>
      <c r="C369" s="18" t="s">
        <v>226</v>
      </c>
      <c r="D369" s="18" t="s">
        <v>227</v>
      </c>
      <c r="E369" s="18" t="s">
        <v>2134</v>
      </c>
      <c r="F369" s="19" t="s">
        <v>2135</v>
      </c>
      <c r="G369" s="19" t="s">
        <v>1477</v>
      </c>
      <c r="H369" s="24">
        <v>32</v>
      </c>
      <c r="I369" s="24">
        <v>53.6</v>
      </c>
      <c r="J369" s="24">
        <f>MAX(H369,ROUNDUP(I369,0))</f>
        <v>54</v>
      </c>
      <c r="K369" s="22">
        <f>IF(C369="covered",10.4,7.55)</f>
        <v>7.55</v>
      </c>
      <c r="L369" s="18"/>
      <c r="M369" s="24"/>
      <c r="N369" s="22"/>
      <c r="O369" s="22"/>
      <c r="P369" s="22">
        <f>J369*K369</f>
        <v>407.7</v>
      </c>
      <c r="Q369" s="22">
        <f>IF(L369="","",N369-K369)</f>
        <v/>
      </c>
      <c r="R369" s="24">
        <f>IF(L369="","",M369-J369)</f>
        <v/>
      </c>
      <c r="S369" s="22">
        <f>IF(L369="",-P369,O369-P369)</f>
        <v>-407.7</v>
      </c>
      <c r="T369" s="25" t="str">
        <f>IF(L369="","NO BILL IN SUPPLIED EXPORT",IF(ABS(Q369)&gt;0.001,"RATE EXCEPTION",IF(ABS(R369)&gt;0.001,"LENGTH EXCEPTION",IF(ABS(S369)&gt;0.01,"AMOUNT EXCEPTION","OK"))))</f>
        <v>NO BILL IN SUPPLIED EXPORT</v>
      </c>
      <c r="U369" s="19" t="s">
        <v>2136</v>
      </c>
    </row>
    <row r="370" spans="1:21" ht="28" customHeight="1">
      <c r="A370" s="14" t="s">
        <v>2137</v>
      </c>
      <c r="B370" s="14" t="s">
        <v>194</v>
      </c>
      <c r="C370" s="14" t="s">
        <v>226</v>
      </c>
      <c r="D370" s="14" t="s">
        <v>227</v>
      </c>
      <c r="E370" s="14" t="s">
        <v>2138</v>
      </c>
      <c r="F370" s="15" t="s">
        <v>2139</v>
      </c>
      <c r="G370" s="15" t="s">
        <v>998</v>
      </c>
      <c r="H370" s="24">
        <v>50</v>
      </c>
      <c r="I370" s="24">
        <v>43.6</v>
      </c>
      <c r="J370" s="24">
        <f>MAX(H370,ROUNDUP(I370,0))</f>
        <v>50.0</v>
      </c>
      <c r="K370" s="22">
        <f>IF(C370="covered",10.4,7.55)</f>
        <v>7.55</v>
      </c>
      <c r="L370" s="14"/>
      <c r="M370" s="24"/>
      <c r="N370" s="22"/>
      <c r="O370" s="22"/>
      <c r="P370" s="22">
        <f>J370*K370</f>
        <v>377.5</v>
      </c>
      <c r="Q370" s="22">
        <f>IF(L370="","",N370-K370)</f>
        <v/>
      </c>
      <c r="R370" s="24">
        <f>IF(L370="","",M370-J370)</f>
        <v/>
      </c>
      <c r="S370" s="22">
        <f>IF(L370="",-P370,O370-P370)</f>
        <v>-377.5</v>
      </c>
      <c r="T370" s="25" t="str">
        <f>IF(L370="","NO BILL IN SUPPLIED EXPORT",IF(ABS(Q370)&gt;0.001,"RATE EXCEPTION",IF(ABS(R370)&gt;0.001,"LENGTH EXCEPTION",IF(ABS(S370)&gt;0.01,"AMOUNT EXCEPTION","OK"))))</f>
        <v>NO BILL IN SUPPLIED EXPORT</v>
      </c>
      <c r="U370" s="15" t="s">
        <v>2140</v>
      </c>
    </row>
    <row r="371" spans="1:21" ht="28" customHeight="1">
      <c r="A371" s="18" t="s">
        <v>2141</v>
      </c>
      <c r="B371" s="18" t="s">
        <v>194</v>
      </c>
      <c r="C371" s="18" t="s">
        <v>226</v>
      </c>
      <c r="D371" s="18" t="s">
        <v>227</v>
      </c>
      <c r="E371" s="18" t="s">
        <v>2142</v>
      </c>
      <c r="F371" s="19" t="s">
        <v>2143</v>
      </c>
      <c r="G371" s="19" t="s">
        <v>2144</v>
      </c>
      <c r="H371" s="24">
        <v>24</v>
      </c>
      <c r="I371" s="24">
        <v>58.6</v>
      </c>
      <c r="J371" s="24">
        <f>MAX(H371,ROUNDUP(I371,0))</f>
        <v>59</v>
      </c>
      <c r="K371" s="22">
        <f>IF(C371="covered",10.4,7.55)</f>
        <v>7.55</v>
      </c>
      <c r="L371" s="18"/>
      <c r="M371" s="24"/>
      <c r="N371" s="22"/>
      <c r="O371" s="22"/>
      <c r="P371" s="22">
        <f>J371*K371</f>
        <v>445.45</v>
      </c>
      <c r="Q371" s="22">
        <f>IF(L371="","",N371-K371)</f>
        <v/>
      </c>
      <c r="R371" s="24">
        <f>IF(L371="","",M371-J371)</f>
        <v/>
      </c>
      <c r="S371" s="22">
        <f>IF(L371="",-P371,O371-P371)</f>
        <v>-445.45</v>
      </c>
      <c r="T371" s="25" t="str">
        <f>IF(L371="","NO BILL IN SUPPLIED EXPORT",IF(ABS(Q371)&gt;0.001,"RATE EXCEPTION",IF(ABS(R371)&gt;0.001,"LENGTH EXCEPTION",IF(ABS(S371)&gt;0.01,"AMOUNT EXCEPTION","OK"))))</f>
        <v>NO BILL IN SUPPLIED EXPORT</v>
      </c>
      <c r="U371" s="19" t="s">
        <v>2145</v>
      </c>
    </row>
    <row r="372" spans="1:21" ht="28" customHeight="1">
      <c r="A372" s="14" t="s">
        <v>2146</v>
      </c>
      <c r="B372" s="14" t="s">
        <v>194</v>
      </c>
      <c r="C372" s="14" t="s">
        <v>226</v>
      </c>
      <c r="D372" s="14" t="s">
        <v>227</v>
      </c>
      <c r="E372" s="14" t="s">
        <v>2147</v>
      </c>
      <c r="F372" s="15" t="s">
        <v>2148</v>
      </c>
      <c r="G372" s="15" t="s">
        <v>2149</v>
      </c>
      <c r="H372" s="24">
        <v>80</v>
      </c>
      <c r="I372" s="24">
        <v>33.4</v>
      </c>
      <c r="J372" s="24">
        <f>MAX(H372,ROUNDUP(I372,0))</f>
        <v>80.0</v>
      </c>
      <c r="K372" s="22">
        <f>IF(C372="covered",10.4,7.55)</f>
        <v>7.55</v>
      </c>
      <c r="L372" s="14"/>
      <c r="M372" s="24"/>
      <c r="N372" s="22"/>
      <c r="O372" s="22"/>
      <c r="P372" s="22">
        <f>J372*K372</f>
        <v>604.0</v>
      </c>
      <c r="Q372" s="22">
        <f>IF(L372="","",N372-K372)</f>
        <v/>
      </c>
      <c r="R372" s="24">
        <f>IF(L372="","",M372-J372)</f>
        <v/>
      </c>
      <c r="S372" s="22">
        <f>IF(L372="",-P372,O372-P372)</f>
        <v>-604.0</v>
      </c>
      <c r="T372" s="25" t="str">
        <f>IF(L372="","NO BILL IN SUPPLIED EXPORT",IF(ABS(Q372)&gt;0.001,"RATE EXCEPTION",IF(ABS(R372)&gt;0.001,"LENGTH EXCEPTION",IF(ABS(S372)&gt;0.01,"AMOUNT EXCEPTION","OK"))))</f>
        <v>NO BILL IN SUPPLIED EXPORT</v>
      </c>
      <c r="U372" s="15" t="s">
        <v>2150</v>
      </c>
    </row>
    <row r="373" spans="1:21" ht="28" customHeight="1">
      <c r="A373" s="18" t="s">
        <v>2151</v>
      </c>
      <c r="B373" s="18" t="s">
        <v>194</v>
      </c>
      <c r="C373" s="18" t="s">
        <v>226</v>
      </c>
      <c r="D373" s="18" t="s">
        <v>227</v>
      </c>
      <c r="E373" s="18" t="s">
        <v>2152</v>
      </c>
      <c r="F373" s="19" t="s">
        <v>2153</v>
      </c>
      <c r="G373" s="19" t="s">
        <v>1405</v>
      </c>
      <c r="H373" s="24">
        <v>24</v>
      </c>
      <c r="I373" s="24">
        <v>39.3</v>
      </c>
      <c r="J373" s="24">
        <f>MAX(H373,ROUNDUP(I373,0))</f>
        <v>40</v>
      </c>
      <c r="K373" s="22">
        <f>IF(C373="covered",10.4,7.55)</f>
        <v>7.55</v>
      </c>
      <c r="L373" s="18"/>
      <c r="M373" s="24"/>
      <c r="N373" s="22"/>
      <c r="O373" s="22"/>
      <c r="P373" s="22">
        <f>J373*K373</f>
        <v>302.0</v>
      </c>
      <c r="Q373" s="22">
        <f>IF(L373="","",N373-K373)</f>
        <v/>
      </c>
      <c r="R373" s="24">
        <f>IF(L373="","",M373-J373)</f>
        <v/>
      </c>
      <c r="S373" s="22">
        <f>IF(L373="",-P373,O373-P373)</f>
        <v>-302.0</v>
      </c>
      <c r="T373" s="25" t="str">
        <f>IF(L373="","NO BILL IN SUPPLIED EXPORT",IF(ABS(Q373)&gt;0.001,"RATE EXCEPTION",IF(ABS(R373)&gt;0.001,"LENGTH EXCEPTION",IF(ABS(S373)&gt;0.01,"AMOUNT EXCEPTION","OK"))))</f>
        <v>NO BILL IN SUPPLIED EXPORT</v>
      </c>
      <c r="U373" s="19" t="s">
        <v>2154</v>
      </c>
    </row>
    <row r="374" spans="1:21" ht="28" customHeight="1">
      <c r="A374" s="14" t="s">
        <v>2155</v>
      </c>
      <c r="B374" s="14" t="s">
        <v>194</v>
      </c>
      <c r="C374" s="14" t="s">
        <v>226</v>
      </c>
      <c r="D374" s="14" t="s">
        <v>227</v>
      </c>
      <c r="E374" s="14" t="s">
        <v>2156</v>
      </c>
      <c r="F374" s="15" t="s">
        <v>2157</v>
      </c>
      <c r="G374" s="15" t="s">
        <v>2158</v>
      </c>
      <c r="H374" s="24">
        <v>70</v>
      </c>
      <c r="I374" s="24">
        <v>28.7</v>
      </c>
      <c r="J374" s="24">
        <f>MAX(H374,ROUNDUP(I374,0))</f>
        <v>70.0</v>
      </c>
      <c r="K374" s="22">
        <f>IF(C374="covered",10.4,7.55)</f>
        <v>7.55</v>
      </c>
      <c r="L374" s="14"/>
      <c r="M374" s="24"/>
      <c r="N374" s="22"/>
      <c r="O374" s="22"/>
      <c r="P374" s="22">
        <f>J374*K374</f>
        <v>528.5</v>
      </c>
      <c r="Q374" s="22">
        <f>IF(L374="","",N374-K374)</f>
        <v/>
      </c>
      <c r="R374" s="24">
        <f>IF(L374="","",M374-J374)</f>
        <v/>
      </c>
      <c r="S374" s="22">
        <f>IF(L374="",-P374,O374-P374)</f>
        <v>-528.5</v>
      </c>
      <c r="T374" s="25" t="str">
        <f>IF(L374="","NO BILL IN SUPPLIED EXPORT",IF(ABS(Q374)&gt;0.001,"RATE EXCEPTION",IF(ABS(R374)&gt;0.001,"LENGTH EXCEPTION",IF(ABS(S374)&gt;0.01,"AMOUNT EXCEPTION","OK"))))</f>
        <v>NO BILL IN SUPPLIED EXPORT</v>
      </c>
      <c r="U374" s="15" t="s">
        <v>2159</v>
      </c>
    </row>
    <row r="375" spans="1:21" ht="28" customHeight="1">
      <c r="A375" s="18" t="s">
        <v>2160</v>
      </c>
      <c r="B375" s="18" t="s">
        <v>194</v>
      </c>
      <c r="C375" s="18" t="s">
        <v>226</v>
      </c>
      <c r="D375" s="18" t="s">
        <v>227</v>
      </c>
      <c r="E375" s="18" t="s">
        <v>2161</v>
      </c>
      <c r="F375" s="19" t="s">
        <v>2162</v>
      </c>
      <c r="G375" s="19" t="s">
        <v>2163</v>
      </c>
      <c r="H375" s="24">
        <v>36</v>
      </c>
      <c r="I375" s="24">
        <v>43.8</v>
      </c>
      <c r="J375" s="24">
        <f>MAX(H375,ROUNDUP(I375,0))</f>
        <v>44</v>
      </c>
      <c r="K375" s="22">
        <f>IF(C375="covered",10.4,7.55)</f>
        <v>7.55</v>
      </c>
      <c r="L375" s="18"/>
      <c r="M375" s="24"/>
      <c r="N375" s="22"/>
      <c r="O375" s="22"/>
      <c r="P375" s="22">
        <f>J375*K375</f>
        <v>332.2</v>
      </c>
      <c r="Q375" s="22">
        <f>IF(L375="","",N375-K375)</f>
        <v/>
      </c>
      <c r="R375" s="24">
        <f>IF(L375="","",M375-J375)</f>
        <v/>
      </c>
      <c r="S375" s="22">
        <f>IF(L375="",-P375,O375-P375)</f>
        <v>-332.2</v>
      </c>
      <c r="T375" s="25" t="str">
        <f>IF(L375="","NO BILL IN SUPPLIED EXPORT",IF(ABS(Q375)&gt;0.001,"RATE EXCEPTION",IF(ABS(R375)&gt;0.001,"LENGTH EXCEPTION",IF(ABS(S375)&gt;0.01,"AMOUNT EXCEPTION","OK"))))</f>
        <v>NO BILL IN SUPPLIED EXPORT</v>
      </c>
      <c r="U375" s="19" t="s">
        <v>2164</v>
      </c>
    </row>
    <row r="376" spans="1:21" ht="28" customHeight="1">
      <c r="A376" s="14" t="s">
        <v>2165</v>
      </c>
      <c r="B376" s="14" t="s">
        <v>194</v>
      </c>
      <c r="C376" s="14" t="s">
        <v>226</v>
      </c>
      <c r="D376" s="14" t="s">
        <v>227</v>
      </c>
      <c r="E376" s="14" t="s">
        <v>2166</v>
      </c>
      <c r="F376" s="15" t="s">
        <v>2167</v>
      </c>
      <c r="G376" s="15" t="s">
        <v>2168</v>
      </c>
      <c r="H376" s="24">
        <v>45</v>
      </c>
      <c r="I376" s="24">
        <v>40.5</v>
      </c>
      <c r="J376" s="24">
        <f>MAX(H376,ROUNDUP(I376,0))</f>
        <v>45.0</v>
      </c>
      <c r="K376" s="22">
        <f>IF(C376="covered",10.4,7.55)</f>
        <v>7.55</v>
      </c>
      <c r="L376" s="14"/>
      <c r="M376" s="24"/>
      <c r="N376" s="22"/>
      <c r="O376" s="22"/>
      <c r="P376" s="22">
        <f>J376*K376</f>
        <v>339.75</v>
      </c>
      <c r="Q376" s="22">
        <f>IF(L376="","",N376-K376)</f>
        <v/>
      </c>
      <c r="R376" s="24">
        <f>IF(L376="","",M376-J376)</f>
        <v/>
      </c>
      <c r="S376" s="22">
        <f>IF(L376="",-P376,O376-P376)</f>
        <v>-339.75</v>
      </c>
      <c r="T376" s="25" t="str">
        <f>IF(L376="","NO BILL IN SUPPLIED EXPORT",IF(ABS(Q376)&gt;0.001,"RATE EXCEPTION",IF(ABS(R376)&gt;0.001,"LENGTH EXCEPTION",IF(ABS(S376)&gt;0.01,"AMOUNT EXCEPTION","OK"))))</f>
        <v>NO BILL IN SUPPLIED EXPORT</v>
      </c>
      <c r="U376" s="15" t="s">
        <v>2169</v>
      </c>
    </row>
    <row r="377" spans="1:21" ht="28" customHeight="1">
      <c r="A377" s="18" t="s">
        <v>2170</v>
      </c>
      <c r="B377" s="18" t="s">
        <v>194</v>
      </c>
      <c r="C377" s="18" t="s">
        <v>226</v>
      </c>
      <c r="D377" s="18" t="s">
        <v>227</v>
      </c>
      <c r="E377" s="18" t="s">
        <v>2171</v>
      </c>
      <c r="F377" s="19" t="s">
        <v>2172</v>
      </c>
      <c r="G377" s="19" t="s">
        <v>2173</v>
      </c>
      <c r="H377" s="24">
        <v>45</v>
      </c>
      <c r="I377" s="24">
        <v>48.3</v>
      </c>
      <c r="J377" s="24">
        <f>MAX(H377,ROUNDUP(I377,0))</f>
        <v>49</v>
      </c>
      <c r="K377" s="22">
        <f>IF(C377="covered",10.4,7.55)</f>
        <v>7.55</v>
      </c>
      <c r="L377" s="18"/>
      <c r="M377" s="24"/>
      <c r="N377" s="22"/>
      <c r="O377" s="22"/>
      <c r="P377" s="22">
        <f>J377*K377</f>
        <v>369.95</v>
      </c>
      <c r="Q377" s="22">
        <f>IF(L377="","",N377-K377)</f>
        <v/>
      </c>
      <c r="R377" s="24">
        <f>IF(L377="","",M377-J377)</f>
        <v/>
      </c>
      <c r="S377" s="22">
        <f>IF(L377="",-P377,O377-P377)</f>
        <v>-369.95</v>
      </c>
      <c r="T377" s="25" t="str">
        <f>IF(L377="","NO BILL IN SUPPLIED EXPORT",IF(ABS(Q377)&gt;0.001,"RATE EXCEPTION",IF(ABS(R377)&gt;0.001,"LENGTH EXCEPTION",IF(ABS(S377)&gt;0.01,"AMOUNT EXCEPTION","OK"))))</f>
        <v>NO BILL IN SUPPLIED EXPORT</v>
      </c>
      <c r="U377" s="19" t="s">
        <v>2174</v>
      </c>
    </row>
    <row r="378" spans="1:21" ht="28" customHeight="1">
      <c r="A378" s="14" t="s">
        <v>2175</v>
      </c>
      <c r="B378" s="14" t="s">
        <v>194</v>
      </c>
      <c r="C378" s="14" t="s">
        <v>226</v>
      </c>
      <c r="D378" s="14" t="s">
        <v>227</v>
      </c>
      <c r="E378" s="14" t="s">
        <v>2176</v>
      </c>
      <c r="F378" s="15" t="s">
        <v>2177</v>
      </c>
      <c r="G378" s="15" t="s">
        <v>2178</v>
      </c>
      <c r="H378" s="24">
        <v>80</v>
      </c>
      <c r="I378" s="24">
        <v>45</v>
      </c>
      <c r="J378" s="24">
        <f>MAX(H378,ROUNDUP(I378,0))</f>
        <v>80.0</v>
      </c>
      <c r="K378" s="22">
        <f>IF(C378="covered",10.4,7.55)</f>
        <v>7.55</v>
      </c>
      <c r="L378" s="14"/>
      <c r="M378" s="24"/>
      <c r="N378" s="22"/>
      <c r="O378" s="22"/>
      <c r="P378" s="22">
        <f>J378*K378</f>
        <v>604.0</v>
      </c>
      <c r="Q378" s="22">
        <f>IF(L378="","",N378-K378)</f>
        <v/>
      </c>
      <c r="R378" s="24">
        <f>IF(L378="","",M378-J378)</f>
        <v/>
      </c>
      <c r="S378" s="22">
        <f>IF(L378="",-P378,O378-P378)</f>
        <v>-604.0</v>
      </c>
      <c r="T378" s="25" t="str">
        <f>IF(L378="","NO BILL IN SUPPLIED EXPORT",IF(ABS(Q378)&gt;0.001,"RATE EXCEPTION",IF(ABS(R378)&gt;0.001,"LENGTH EXCEPTION",IF(ABS(S378)&gt;0.01,"AMOUNT EXCEPTION","OK"))))</f>
        <v>NO BILL IN SUPPLIED EXPORT</v>
      </c>
      <c r="U378" s="15" t="s">
        <v>2179</v>
      </c>
    </row>
    <row r="379" spans="1:21" ht="28" customHeight="1">
      <c r="A379" s="18" t="s">
        <v>2180</v>
      </c>
      <c r="B379" s="18" t="s">
        <v>194</v>
      </c>
      <c r="C379" s="18" t="s">
        <v>226</v>
      </c>
      <c r="D379" s="18" t="s">
        <v>227</v>
      </c>
      <c r="E379" s="18" t="s">
        <v>2181</v>
      </c>
      <c r="F379" s="19" t="s">
        <v>2182</v>
      </c>
      <c r="G379" s="19" t="s">
        <v>2183</v>
      </c>
      <c r="H379" s="24">
        <v>28</v>
      </c>
      <c r="I379" s="24">
        <v>40.5</v>
      </c>
      <c r="J379" s="24">
        <f>MAX(H379,ROUNDUP(I379,0))</f>
        <v>41</v>
      </c>
      <c r="K379" s="22">
        <f>IF(C379="covered",10.4,7.55)</f>
        <v>7.55</v>
      </c>
      <c r="L379" s="18"/>
      <c r="M379" s="24"/>
      <c r="N379" s="22"/>
      <c r="O379" s="22"/>
      <c r="P379" s="22">
        <f>J379*K379</f>
        <v>309.55</v>
      </c>
      <c r="Q379" s="22">
        <f>IF(L379="","",N379-K379)</f>
        <v/>
      </c>
      <c r="R379" s="24">
        <f>IF(L379="","",M379-J379)</f>
        <v/>
      </c>
      <c r="S379" s="22">
        <f>IF(L379="",-P379,O379-P379)</f>
        <v>-309.55</v>
      </c>
      <c r="T379" s="25" t="str">
        <f>IF(L379="","NO BILL IN SUPPLIED EXPORT",IF(ABS(Q379)&gt;0.001,"RATE EXCEPTION",IF(ABS(R379)&gt;0.001,"LENGTH EXCEPTION",IF(ABS(S379)&gt;0.01,"AMOUNT EXCEPTION","OK"))))</f>
        <v>NO BILL IN SUPPLIED EXPORT</v>
      </c>
      <c r="U379" s="19" t="s">
        <v>2184</v>
      </c>
    </row>
    <row r="380" spans="1:21" ht="28" customHeight="1">
      <c r="A380" s="14" t="s">
        <v>2185</v>
      </c>
      <c r="B380" s="14" t="s">
        <v>194</v>
      </c>
      <c r="C380" s="14" t="s">
        <v>226</v>
      </c>
      <c r="D380" s="14" t="s">
        <v>227</v>
      </c>
      <c r="E380" s="14" t="s">
        <v>2186</v>
      </c>
      <c r="F380" s="15" t="s">
        <v>2187</v>
      </c>
      <c r="G380" s="15" t="s">
        <v>2188</v>
      </c>
      <c r="H380" s="24">
        <v>24</v>
      </c>
      <c r="I380" s="24">
        <v>34.6</v>
      </c>
      <c r="J380" s="24">
        <f>MAX(H380,ROUNDUP(I380,0))</f>
        <v>35</v>
      </c>
      <c r="K380" s="22">
        <f>IF(C380="covered",10.4,7.55)</f>
        <v>7.55</v>
      </c>
      <c r="L380" s="14"/>
      <c r="M380" s="24"/>
      <c r="N380" s="22"/>
      <c r="O380" s="22"/>
      <c r="P380" s="22">
        <f>J380*K380</f>
        <v>264.25</v>
      </c>
      <c r="Q380" s="22">
        <f>IF(L380="","",N380-K380)</f>
        <v/>
      </c>
      <c r="R380" s="24">
        <f>IF(L380="","",M380-J380)</f>
        <v/>
      </c>
      <c r="S380" s="22">
        <f>IF(L380="",-P380,O380-P380)</f>
        <v>-264.25</v>
      </c>
      <c r="T380" s="25" t="str">
        <f>IF(L380="","NO BILL IN SUPPLIED EXPORT",IF(ABS(Q380)&gt;0.001,"RATE EXCEPTION",IF(ABS(R380)&gt;0.001,"LENGTH EXCEPTION",IF(ABS(S380)&gt;0.01,"AMOUNT EXCEPTION","OK"))))</f>
        <v>NO BILL IN SUPPLIED EXPORT</v>
      </c>
      <c r="U380" s="15" t="s">
        <v>2189</v>
      </c>
    </row>
    <row r="381" spans="1:21" ht="28" customHeight="1">
      <c r="A381" s="18" t="s">
        <v>2190</v>
      </c>
      <c r="B381" s="18" t="s">
        <v>194</v>
      </c>
      <c r="C381" s="18" t="s">
        <v>226</v>
      </c>
      <c r="D381" s="18" t="s">
        <v>227</v>
      </c>
      <c r="E381" s="18" t="s">
        <v>2191</v>
      </c>
      <c r="F381" s="19" t="s">
        <v>2192</v>
      </c>
      <c r="G381" s="19" t="s">
        <v>686</v>
      </c>
      <c r="H381" s="24">
        <v>24</v>
      </c>
      <c r="I381" s="24">
        <v>27.9</v>
      </c>
      <c r="J381" s="24">
        <f>MAX(H381,ROUNDUP(I381,0))</f>
        <v>28</v>
      </c>
      <c r="K381" s="22">
        <f>IF(C381="covered",10.4,7.55)</f>
        <v>7.55</v>
      </c>
      <c r="L381" s="18"/>
      <c r="M381" s="24"/>
      <c r="N381" s="22"/>
      <c r="O381" s="22"/>
      <c r="P381" s="22">
        <f>J381*K381</f>
        <v>211.4</v>
      </c>
      <c r="Q381" s="22">
        <f>IF(L381="","",N381-K381)</f>
        <v/>
      </c>
      <c r="R381" s="24">
        <f>IF(L381="","",M381-J381)</f>
        <v/>
      </c>
      <c r="S381" s="22">
        <f>IF(L381="",-P381,O381-P381)</f>
        <v>-211.4</v>
      </c>
      <c r="T381" s="25" t="str">
        <f>IF(L381="","NO BILL IN SUPPLIED EXPORT",IF(ABS(Q381)&gt;0.001,"RATE EXCEPTION",IF(ABS(R381)&gt;0.001,"LENGTH EXCEPTION",IF(ABS(S381)&gt;0.01,"AMOUNT EXCEPTION","OK"))))</f>
        <v>NO BILL IN SUPPLIED EXPORT</v>
      </c>
      <c r="U381" s="19" t="s">
        <v>2193</v>
      </c>
    </row>
    <row r="382" spans="1:21" ht="28" customHeight="1">
      <c r="A382" s="14" t="s">
        <v>2194</v>
      </c>
      <c r="B382" s="14" t="s">
        <v>194</v>
      </c>
      <c r="C382" s="14" t="s">
        <v>226</v>
      </c>
      <c r="D382" s="14" t="s">
        <v>227</v>
      </c>
      <c r="E382" s="14" t="s">
        <v>2195</v>
      </c>
      <c r="F382" s="15" t="s">
        <v>2196</v>
      </c>
      <c r="G382" s="15" t="s">
        <v>2197</v>
      </c>
      <c r="H382" s="24">
        <v>60</v>
      </c>
      <c r="I382" s="24">
        <v>49.7</v>
      </c>
      <c r="J382" s="24">
        <f>MAX(H382,ROUNDUP(I382,0))</f>
        <v>60.0</v>
      </c>
      <c r="K382" s="22">
        <f>IF(C382="covered",10.4,7.55)</f>
        <v>7.55</v>
      </c>
      <c r="L382" s="14"/>
      <c r="M382" s="24"/>
      <c r="N382" s="22"/>
      <c r="O382" s="22"/>
      <c r="P382" s="22">
        <f>J382*K382</f>
        <v>453.0</v>
      </c>
      <c r="Q382" s="22">
        <f>IF(L382="","",N382-K382)</f>
        <v/>
      </c>
      <c r="R382" s="24">
        <f>IF(L382="","",M382-J382)</f>
        <v/>
      </c>
      <c r="S382" s="22">
        <f>IF(L382="",-P382,O382-P382)</f>
        <v>-453.0</v>
      </c>
      <c r="T382" s="25" t="str">
        <f>IF(L382="","NO BILL IN SUPPLIED EXPORT",IF(ABS(Q382)&gt;0.001,"RATE EXCEPTION",IF(ABS(R382)&gt;0.001,"LENGTH EXCEPTION",IF(ABS(S382)&gt;0.01,"AMOUNT EXCEPTION","OK"))))</f>
        <v>NO BILL IN SUPPLIED EXPORT</v>
      </c>
      <c r="U382" s="15" t="s">
        <v>2198</v>
      </c>
    </row>
    <row r="383" spans="1:21" ht="28" customHeight="1">
      <c r="A383" s="18" t="s">
        <v>2199</v>
      </c>
      <c r="B383" s="18" t="s">
        <v>194</v>
      </c>
      <c r="C383" s="18" t="s">
        <v>226</v>
      </c>
      <c r="D383" s="18" t="s">
        <v>227</v>
      </c>
      <c r="E383" s="18" t="s">
        <v>2200</v>
      </c>
      <c r="F383" s="19" t="s">
        <v>2201</v>
      </c>
      <c r="G383" s="19" t="s">
        <v>2168</v>
      </c>
      <c r="H383" s="24">
        <v>50</v>
      </c>
      <c r="I383" s="24">
        <v>42</v>
      </c>
      <c r="J383" s="24">
        <f>MAX(H383,ROUNDUP(I383,0))</f>
        <v>50.0</v>
      </c>
      <c r="K383" s="22">
        <f>IF(C383="covered",10.4,7.55)</f>
        <v>7.55</v>
      </c>
      <c r="L383" s="18"/>
      <c r="M383" s="24"/>
      <c r="N383" s="22"/>
      <c r="O383" s="22"/>
      <c r="P383" s="22">
        <f>J383*K383</f>
        <v>377.5</v>
      </c>
      <c r="Q383" s="22">
        <f>IF(L383="","",N383-K383)</f>
        <v/>
      </c>
      <c r="R383" s="24">
        <f>IF(L383="","",M383-J383)</f>
        <v/>
      </c>
      <c r="S383" s="22">
        <f>IF(L383="",-P383,O383-P383)</f>
        <v>-377.5</v>
      </c>
      <c r="T383" s="25" t="str">
        <f>IF(L383="","NO BILL IN SUPPLIED EXPORT",IF(ABS(Q383)&gt;0.001,"RATE EXCEPTION",IF(ABS(R383)&gt;0.001,"LENGTH EXCEPTION",IF(ABS(S383)&gt;0.01,"AMOUNT EXCEPTION","OK"))))</f>
        <v>NO BILL IN SUPPLIED EXPORT</v>
      </c>
      <c r="U383" s="19" t="s">
        <v>2202</v>
      </c>
    </row>
    <row r="384" spans="1:21" ht="28" customHeight="1">
      <c r="A384" s="14" t="s">
        <v>2203</v>
      </c>
      <c r="B384" s="14" t="s">
        <v>194</v>
      </c>
      <c r="C384" s="14" t="s">
        <v>226</v>
      </c>
      <c r="D384" s="14" t="s">
        <v>227</v>
      </c>
      <c r="E384" s="14" t="s">
        <v>2204</v>
      </c>
      <c r="F384" s="15" t="s">
        <v>2205</v>
      </c>
      <c r="G384" s="15" t="s">
        <v>692</v>
      </c>
      <c r="H384" s="24">
        <v>50</v>
      </c>
      <c r="I384" s="24">
        <v>37.4</v>
      </c>
      <c r="J384" s="24">
        <f>MAX(H384,ROUNDUP(I384,0))</f>
        <v>50.0</v>
      </c>
      <c r="K384" s="22">
        <f>IF(C384="covered",10.4,7.55)</f>
        <v>7.55</v>
      </c>
      <c r="L384" s="14"/>
      <c r="M384" s="24"/>
      <c r="N384" s="22"/>
      <c r="O384" s="22"/>
      <c r="P384" s="22">
        <f>J384*K384</f>
        <v>377.5</v>
      </c>
      <c r="Q384" s="22">
        <f>IF(L384="","",N384-K384)</f>
        <v/>
      </c>
      <c r="R384" s="24">
        <f>IF(L384="","",M384-J384)</f>
        <v/>
      </c>
      <c r="S384" s="22">
        <f>IF(L384="",-P384,O384-P384)</f>
        <v>-377.5</v>
      </c>
      <c r="T384" s="25" t="str">
        <f>IF(L384="","NO BILL IN SUPPLIED EXPORT",IF(ABS(Q384)&gt;0.001,"RATE EXCEPTION",IF(ABS(R384)&gt;0.001,"LENGTH EXCEPTION",IF(ABS(S384)&gt;0.01,"AMOUNT EXCEPTION","OK"))))</f>
        <v>NO BILL IN SUPPLIED EXPORT</v>
      </c>
      <c r="U384" s="15" t="s">
        <v>2206</v>
      </c>
    </row>
    <row r="385" spans="1:21" ht="28" customHeight="1">
      <c r="A385" s="18" t="s">
        <v>2207</v>
      </c>
      <c r="B385" s="18" t="s">
        <v>194</v>
      </c>
      <c r="C385" s="18" t="s">
        <v>226</v>
      </c>
      <c r="D385" s="18" t="s">
        <v>227</v>
      </c>
      <c r="E385" s="18" t="s">
        <v>2208</v>
      </c>
      <c r="F385" s="19" t="s">
        <v>2209</v>
      </c>
      <c r="G385" s="19" t="s">
        <v>2210</v>
      </c>
      <c r="H385" s="24">
        <v>50</v>
      </c>
      <c r="I385" s="24">
        <v>59.7</v>
      </c>
      <c r="J385" s="24">
        <f>MAX(H385,ROUNDUP(I385,0))</f>
        <v>60</v>
      </c>
      <c r="K385" s="22">
        <f>IF(C385="covered",10.4,7.55)</f>
        <v>7.55</v>
      </c>
      <c r="L385" s="18"/>
      <c r="M385" s="24"/>
      <c r="N385" s="22"/>
      <c r="O385" s="22"/>
      <c r="P385" s="22">
        <f>J385*K385</f>
        <v>453.0</v>
      </c>
      <c r="Q385" s="22">
        <f>IF(L385="","",N385-K385)</f>
        <v/>
      </c>
      <c r="R385" s="24">
        <f>IF(L385="","",M385-J385)</f>
        <v/>
      </c>
      <c r="S385" s="22">
        <f>IF(L385="",-P385,O385-P385)</f>
        <v>-453.0</v>
      </c>
      <c r="T385" s="25" t="str">
        <f>IF(L385="","NO BILL IN SUPPLIED EXPORT",IF(ABS(Q385)&gt;0.001,"RATE EXCEPTION",IF(ABS(R385)&gt;0.001,"LENGTH EXCEPTION",IF(ABS(S385)&gt;0.01,"AMOUNT EXCEPTION","OK"))))</f>
        <v>NO BILL IN SUPPLIED EXPORT</v>
      </c>
      <c r="U385" s="19" t="s">
        <v>2211</v>
      </c>
    </row>
    <row r="386" spans="1:21" ht="28" customHeight="1">
      <c r="A386" s="14" t="s">
        <v>2212</v>
      </c>
      <c r="B386" s="14" t="s">
        <v>194</v>
      </c>
      <c r="C386" s="14" t="s">
        <v>226</v>
      </c>
      <c r="D386" s="14" t="s">
        <v>227</v>
      </c>
      <c r="E386" s="14" t="s">
        <v>2213</v>
      </c>
      <c r="F386" s="15" t="s">
        <v>2214</v>
      </c>
      <c r="G386" s="15" t="s">
        <v>2215</v>
      </c>
      <c r="H386" s="24">
        <v>32</v>
      </c>
      <c r="I386" s="24">
        <v>39.4</v>
      </c>
      <c r="J386" s="24">
        <f>MAX(H386,ROUNDUP(I386,0))</f>
        <v>40</v>
      </c>
      <c r="K386" s="22">
        <f>IF(C386="covered",10.4,7.55)</f>
        <v>7.55</v>
      </c>
      <c r="L386" s="14"/>
      <c r="M386" s="24"/>
      <c r="N386" s="22"/>
      <c r="O386" s="22"/>
      <c r="P386" s="22">
        <f>J386*K386</f>
        <v>302.0</v>
      </c>
      <c r="Q386" s="22">
        <f>IF(L386="","",N386-K386)</f>
        <v/>
      </c>
      <c r="R386" s="24">
        <f>IF(L386="","",M386-J386)</f>
        <v/>
      </c>
      <c r="S386" s="22">
        <f>IF(L386="",-P386,O386-P386)</f>
        <v>-302.0</v>
      </c>
      <c r="T386" s="25" t="str">
        <f>IF(L386="","NO BILL IN SUPPLIED EXPORT",IF(ABS(Q386)&gt;0.001,"RATE EXCEPTION",IF(ABS(R386)&gt;0.001,"LENGTH EXCEPTION",IF(ABS(S386)&gt;0.01,"AMOUNT EXCEPTION","OK"))))</f>
        <v>NO BILL IN SUPPLIED EXPORT</v>
      </c>
      <c r="U386" s="15" t="s">
        <v>2216</v>
      </c>
    </row>
    <row r="387" spans="1:21" ht="28" customHeight="1">
      <c r="A387" s="18" t="s">
        <v>2217</v>
      </c>
      <c r="B387" s="18" t="s">
        <v>194</v>
      </c>
      <c r="C387" s="18" t="s">
        <v>226</v>
      </c>
      <c r="D387" s="18" t="s">
        <v>227</v>
      </c>
      <c r="E387" s="18" t="s">
        <v>2218</v>
      </c>
      <c r="F387" s="19" t="s">
        <v>2219</v>
      </c>
      <c r="G387" s="19" t="s">
        <v>347</v>
      </c>
      <c r="H387" s="24">
        <v>45</v>
      </c>
      <c r="I387" s="24">
        <v>37</v>
      </c>
      <c r="J387" s="24">
        <f>MAX(H387,ROUNDUP(I387,0))</f>
        <v>45.0</v>
      </c>
      <c r="K387" s="22">
        <f>IF(C387="covered",10.4,7.55)</f>
        <v>7.55</v>
      </c>
      <c r="L387" s="18"/>
      <c r="M387" s="24"/>
      <c r="N387" s="22"/>
      <c r="O387" s="22"/>
      <c r="P387" s="22">
        <f>J387*K387</f>
        <v>339.75</v>
      </c>
      <c r="Q387" s="22">
        <f>IF(L387="","",N387-K387)</f>
        <v/>
      </c>
      <c r="R387" s="24">
        <f>IF(L387="","",M387-J387)</f>
        <v/>
      </c>
      <c r="S387" s="22">
        <f>IF(L387="",-P387,O387-P387)</f>
        <v>-339.75</v>
      </c>
      <c r="T387" s="25" t="str">
        <f>IF(L387="","NO BILL IN SUPPLIED EXPORT",IF(ABS(Q387)&gt;0.001,"RATE EXCEPTION",IF(ABS(R387)&gt;0.001,"LENGTH EXCEPTION",IF(ABS(S387)&gt;0.01,"AMOUNT EXCEPTION","OK"))))</f>
        <v>NO BILL IN SUPPLIED EXPORT</v>
      </c>
      <c r="U387" s="19" t="s">
        <v>2220</v>
      </c>
    </row>
    <row r="388" spans="1:21" ht="28" customHeight="1">
      <c r="A388" s="14" t="s">
        <v>2221</v>
      </c>
      <c r="B388" s="14" t="s">
        <v>194</v>
      </c>
      <c r="C388" s="14" t="s">
        <v>226</v>
      </c>
      <c r="D388" s="14" t="s">
        <v>227</v>
      </c>
      <c r="E388" s="14" t="s">
        <v>2222</v>
      </c>
      <c r="F388" s="15" t="s">
        <v>2223</v>
      </c>
      <c r="G388" s="15" t="s">
        <v>2224</v>
      </c>
      <c r="H388" s="24">
        <v>45</v>
      </c>
      <c r="I388" s="24">
        <v>46.2</v>
      </c>
      <c r="J388" s="24">
        <f>MAX(H388,ROUNDUP(I388,0))</f>
        <v>47</v>
      </c>
      <c r="K388" s="22">
        <f>IF(C388="covered",10.4,7.55)</f>
        <v>7.55</v>
      </c>
      <c r="L388" s="14"/>
      <c r="M388" s="24"/>
      <c r="N388" s="22"/>
      <c r="O388" s="22"/>
      <c r="P388" s="22">
        <f>J388*K388</f>
        <v>354.84999999999997</v>
      </c>
      <c r="Q388" s="22">
        <f>IF(L388="","",N388-K388)</f>
        <v/>
      </c>
      <c r="R388" s="24">
        <f>IF(L388="","",M388-J388)</f>
        <v/>
      </c>
      <c r="S388" s="22">
        <f>IF(L388="",-P388,O388-P388)</f>
        <v>-354.84999999999997</v>
      </c>
      <c r="T388" s="25" t="str">
        <f>IF(L388="","NO BILL IN SUPPLIED EXPORT",IF(ABS(Q388)&gt;0.001,"RATE EXCEPTION",IF(ABS(R388)&gt;0.001,"LENGTH EXCEPTION",IF(ABS(S388)&gt;0.01,"AMOUNT EXCEPTION","OK"))))</f>
        <v>NO BILL IN SUPPLIED EXPORT</v>
      </c>
      <c r="U388" s="15" t="s">
        <v>2225</v>
      </c>
    </row>
    <row r="389" spans="1:21" ht="28" customHeight="1">
      <c r="A389" s="18" t="s">
        <v>2226</v>
      </c>
      <c r="B389" s="18" t="s">
        <v>194</v>
      </c>
      <c r="C389" s="18" t="s">
        <v>226</v>
      </c>
      <c r="D389" s="18" t="s">
        <v>227</v>
      </c>
      <c r="E389" s="18" t="s">
        <v>2227</v>
      </c>
      <c r="F389" s="19" t="s">
        <v>2228</v>
      </c>
      <c r="G389" s="19" t="s">
        <v>2229</v>
      </c>
      <c r="H389" s="24">
        <v>45</v>
      </c>
      <c r="I389" s="24">
        <v>59.8</v>
      </c>
      <c r="J389" s="24">
        <f>MAX(H389,ROUNDUP(I389,0))</f>
        <v>60</v>
      </c>
      <c r="K389" s="22">
        <f>IF(C389="covered",10.4,7.55)</f>
        <v>7.55</v>
      </c>
      <c r="L389" s="18"/>
      <c r="M389" s="24"/>
      <c r="N389" s="22"/>
      <c r="O389" s="22"/>
      <c r="P389" s="22">
        <f>J389*K389</f>
        <v>453.0</v>
      </c>
      <c r="Q389" s="22">
        <f>IF(L389="","",N389-K389)</f>
        <v/>
      </c>
      <c r="R389" s="24">
        <f>IF(L389="","",M389-J389)</f>
        <v/>
      </c>
      <c r="S389" s="22">
        <f>IF(L389="",-P389,O389-P389)</f>
        <v>-453.0</v>
      </c>
      <c r="T389" s="25" t="str">
        <f>IF(L389="","NO BILL IN SUPPLIED EXPORT",IF(ABS(Q389)&gt;0.001,"RATE EXCEPTION",IF(ABS(R389)&gt;0.001,"LENGTH EXCEPTION",IF(ABS(S389)&gt;0.01,"AMOUNT EXCEPTION","OK"))))</f>
        <v>NO BILL IN SUPPLIED EXPORT</v>
      </c>
      <c r="U389" s="19" t="s">
        <v>2230</v>
      </c>
    </row>
    <row r="390" spans="1:21" ht="28" customHeight="1">
      <c r="A390" s="14" t="s">
        <v>2231</v>
      </c>
      <c r="B390" s="14" t="s">
        <v>194</v>
      </c>
      <c r="C390" s="14" t="s">
        <v>226</v>
      </c>
      <c r="D390" s="14" t="s">
        <v>227</v>
      </c>
      <c r="E390" s="14" t="s">
        <v>2232</v>
      </c>
      <c r="F390" s="15" t="s">
        <v>2233</v>
      </c>
      <c r="G390" s="15" t="s">
        <v>2234</v>
      </c>
      <c r="H390" s="24">
        <v>40</v>
      </c>
      <c r="I390" s="24">
        <v>31.6</v>
      </c>
      <c r="J390" s="24">
        <f>MAX(H390,ROUNDUP(I390,0))</f>
        <v>40.0</v>
      </c>
      <c r="K390" s="22">
        <f>IF(C390="covered",10.4,7.55)</f>
        <v>7.55</v>
      </c>
      <c r="L390" s="14"/>
      <c r="M390" s="24"/>
      <c r="N390" s="22"/>
      <c r="O390" s="22"/>
      <c r="P390" s="22">
        <f>J390*K390</f>
        <v>302.0</v>
      </c>
      <c r="Q390" s="22">
        <f>IF(L390="","",N390-K390)</f>
        <v/>
      </c>
      <c r="R390" s="24">
        <f>IF(L390="","",M390-J390)</f>
        <v/>
      </c>
      <c r="S390" s="22">
        <f>IF(L390="",-P390,O390-P390)</f>
        <v>-302.0</v>
      </c>
      <c r="T390" s="25" t="str">
        <f>IF(L390="","NO BILL IN SUPPLIED EXPORT",IF(ABS(Q390)&gt;0.001,"RATE EXCEPTION",IF(ABS(R390)&gt;0.001,"LENGTH EXCEPTION",IF(ABS(S390)&gt;0.01,"AMOUNT EXCEPTION","OK"))))</f>
        <v>NO BILL IN SUPPLIED EXPORT</v>
      </c>
      <c r="U390" s="15" t="s">
        <v>2235</v>
      </c>
    </row>
    <row r="391" spans="1:21" ht="28" customHeight="1">
      <c r="A391" s="18" t="s">
        <v>2236</v>
      </c>
      <c r="B391" s="18" t="s">
        <v>194</v>
      </c>
      <c r="C391" s="18" t="s">
        <v>226</v>
      </c>
      <c r="D391" s="18" t="s">
        <v>227</v>
      </c>
      <c r="E391" s="18" t="s">
        <v>2237</v>
      </c>
      <c r="F391" s="19" t="s">
        <v>2238</v>
      </c>
      <c r="G391" s="19" t="s">
        <v>2239</v>
      </c>
      <c r="H391" s="24">
        <v>28</v>
      </c>
      <c r="I391" s="24">
        <v>38.3</v>
      </c>
      <c r="J391" s="24">
        <f>MAX(H391,ROUNDUP(I391,0))</f>
        <v>39</v>
      </c>
      <c r="K391" s="22">
        <f>IF(C391="covered",10.4,7.55)</f>
        <v>7.55</v>
      </c>
      <c r="L391" s="18"/>
      <c r="M391" s="24"/>
      <c r="N391" s="22"/>
      <c r="O391" s="22"/>
      <c r="P391" s="22">
        <f>J391*K391</f>
        <v>294.45</v>
      </c>
      <c r="Q391" s="22">
        <f>IF(L391="","",N391-K391)</f>
        <v/>
      </c>
      <c r="R391" s="24">
        <f>IF(L391="","",M391-J391)</f>
        <v/>
      </c>
      <c r="S391" s="22">
        <f>IF(L391="",-P391,O391-P391)</f>
        <v>-294.45</v>
      </c>
      <c r="T391" s="25" t="str">
        <f>IF(L391="","NO BILL IN SUPPLIED EXPORT",IF(ABS(Q391)&gt;0.001,"RATE EXCEPTION",IF(ABS(R391)&gt;0.001,"LENGTH EXCEPTION",IF(ABS(S391)&gt;0.01,"AMOUNT EXCEPTION","OK"))))</f>
        <v>NO BILL IN SUPPLIED EXPORT</v>
      </c>
      <c r="U391" s="19" t="s">
        <v>2240</v>
      </c>
    </row>
    <row r="392" spans="1:21" ht="28" customHeight="1">
      <c r="A392" s="14" t="s">
        <v>2241</v>
      </c>
      <c r="B392" s="14" t="s">
        <v>194</v>
      </c>
      <c r="C392" s="14" t="s">
        <v>226</v>
      </c>
      <c r="D392" s="14" t="s">
        <v>227</v>
      </c>
      <c r="E392" s="14" t="s">
        <v>2242</v>
      </c>
      <c r="F392" s="15" t="s">
        <v>2243</v>
      </c>
      <c r="G392" s="15" t="s">
        <v>1663</v>
      </c>
      <c r="H392" s="24">
        <v>36</v>
      </c>
      <c r="I392" s="24">
        <v>55.4</v>
      </c>
      <c r="J392" s="24">
        <f>MAX(H392,ROUNDUP(I392,0))</f>
        <v>56</v>
      </c>
      <c r="K392" s="22">
        <f>IF(C392="covered",10.4,7.55)</f>
        <v>7.55</v>
      </c>
      <c r="L392" s="14"/>
      <c r="M392" s="24"/>
      <c r="N392" s="22"/>
      <c r="O392" s="22"/>
      <c r="P392" s="22">
        <f>J392*K392</f>
        <v>422.8</v>
      </c>
      <c r="Q392" s="22">
        <f>IF(L392="","",N392-K392)</f>
        <v/>
      </c>
      <c r="R392" s="24">
        <f>IF(L392="","",M392-J392)</f>
        <v/>
      </c>
      <c r="S392" s="22">
        <f>IF(L392="",-P392,O392-P392)</f>
        <v>-422.8</v>
      </c>
      <c r="T392" s="25" t="str">
        <f>IF(L392="","NO BILL IN SUPPLIED EXPORT",IF(ABS(Q392)&gt;0.001,"RATE EXCEPTION",IF(ABS(R392)&gt;0.001,"LENGTH EXCEPTION",IF(ABS(S392)&gt;0.01,"AMOUNT EXCEPTION","OK"))))</f>
        <v>NO BILL IN SUPPLIED EXPORT</v>
      </c>
      <c r="U392" s="15" t="s">
        <v>2244</v>
      </c>
    </row>
    <row r="393" spans="1:21" ht="28" customHeight="1">
      <c r="A393" s="18" t="s">
        <v>2245</v>
      </c>
      <c r="B393" s="18" t="s">
        <v>194</v>
      </c>
      <c r="C393" s="18" t="s">
        <v>226</v>
      </c>
      <c r="D393" s="18" t="s">
        <v>227</v>
      </c>
      <c r="E393" s="18" t="s">
        <v>2246</v>
      </c>
      <c r="F393" s="19" t="s">
        <v>2247</v>
      </c>
      <c r="G393" s="19" t="s">
        <v>2248</v>
      </c>
      <c r="H393" s="24">
        <v>45</v>
      </c>
      <c r="I393" s="24">
        <v>57.4</v>
      </c>
      <c r="J393" s="24">
        <f>MAX(H393,ROUNDUP(I393,0))</f>
        <v>58</v>
      </c>
      <c r="K393" s="22">
        <f>IF(C393="covered",10.4,7.55)</f>
        <v>7.55</v>
      </c>
      <c r="L393" s="18"/>
      <c r="M393" s="24"/>
      <c r="N393" s="22"/>
      <c r="O393" s="22"/>
      <c r="P393" s="22">
        <f>J393*K393</f>
        <v>437.9</v>
      </c>
      <c r="Q393" s="22">
        <f>IF(L393="","",N393-K393)</f>
        <v/>
      </c>
      <c r="R393" s="24">
        <f>IF(L393="","",M393-J393)</f>
        <v/>
      </c>
      <c r="S393" s="22">
        <f>IF(L393="",-P393,O393-P393)</f>
        <v>-437.9</v>
      </c>
      <c r="T393" s="25" t="str">
        <f>IF(L393="","NO BILL IN SUPPLIED EXPORT",IF(ABS(Q393)&gt;0.001,"RATE EXCEPTION",IF(ABS(R393)&gt;0.001,"LENGTH EXCEPTION",IF(ABS(S393)&gt;0.01,"AMOUNT EXCEPTION","OK"))))</f>
        <v>NO BILL IN SUPPLIED EXPORT</v>
      </c>
      <c r="U393" s="19" t="s">
        <v>2249</v>
      </c>
    </row>
    <row r="394" spans="1:21" ht="28" customHeight="1">
      <c r="A394" s="14" t="s">
        <v>2250</v>
      </c>
      <c r="B394" s="14" t="s">
        <v>194</v>
      </c>
      <c r="C394" s="14" t="s">
        <v>226</v>
      </c>
      <c r="D394" s="14" t="s">
        <v>227</v>
      </c>
      <c r="E394" s="14" t="s">
        <v>2251</v>
      </c>
      <c r="F394" s="15" t="s">
        <v>2252</v>
      </c>
      <c r="G394" s="15" t="s">
        <v>2253</v>
      </c>
      <c r="H394" s="24">
        <v>28</v>
      </c>
      <c r="I394" s="24">
        <v>43.1</v>
      </c>
      <c r="J394" s="24">
        <f>MAX(H394,ROUNDUP(I394,0))</f>
        <v>44</v>
      </c>
      <c r="K394" s="22">
        <f>IF(C394="covered",10.4,7.55)</f>
        <v>7.55</v>
      </c>
      <c r="L394" s="14"/>
      <c r="M394" s="24"/>
      <c r="N394" s="22"/>
      <c r="O394" s="22"/>
      <c r="P394" s="22">
        <f>J394*K394</f>
        <v>332.2</v>
      </c>
      <c r="Q394" s="22">
        <f>IF(L394="","",N394-K394)</f>
        <v/>
      </c>
      <c r="R394" s="24">
        <f>IF(L394="","",M394-J394)</f>
        <v/>
      </c>
      <c r="S394" s="22">
        <f>IF(L394="",-P394,O394-P394)</f>
        <v>-332.2</v>
      </c>
      <c r="T394" s="25" t="str">
        <f>IF(L394="","NO BILL IN SUPPLIED EXPORT",IF(ABS(Q394)&gt;0.001,"RATE EXCEPTION",IF(ABS(R394)&gt;0.001,"LENGTH EXCEPTION",IF(ABS(S394)&gt;0.01,"AMOUNT EXCEPTION","OK"))))</f>
        <v>NO BILL IN SUPPLIED EXPORT</v>
      </c>
      <c r="U394" s="15" t="s">
        <v>2254</v>
      </c>
    </row>
    <row r="395" spans="1:21" ht="28" customHeight="1">
      <c r="A395" s="18" t="s">
        <v>2255</v>
      </c>
      <c r="B395" s="18" t="s">
        <v>194</v>
      </c>
      <c r="C395" s="18" t="s">
        <v>226</v>
      </c>
      <c r="D395" s="18" t="s">
        <v>227</v>
      </c>
      <c r="E395" s="18" t="s">
        <v>2256</v>
      </c>
      <c r="F395" s="19" t="s">
        <v>2257</v>
      </c>
      <c r="G395" s="19" t="s">
        <v>992</v>
      </c>
      <c r="H395" s="24">
        <v>70</v>
      </c>
      <c r="I395" s="24">
        <v>29.2</v>
      </c>
      <c r="J395" s="24">
        <f>MAX(H395,ROUNDUP(I395,0))</f>
        <v>70.0</v>
      </c>
      <c r="K395" s="22">
        <f>IF(C395="covered",10.4,7.55)</f>
        <v>7.55</v>
      </c>
      <c r="L395" s="18"/>
      <c r="M395" s="24"/>
      <c r="N395" s="22"/>
      <c r="O395" s="22"/>
      <c r="P395" s="22">
        <f>J395*K395</f>
        <v>528.5</v>
      </c>
      <c r="Q395" s="22">
        <f>IF(L395="","",N395-K395)</f>
        <v/>
      </c>
      <c r="R395" s="24">
        <f>IF(L395="","",M395-J395)</f>
        <v/>
      </c>
      <c r="S395" s="22">
        <f>IF(L395="",-P395,O395-P395)</f>
        <v>-528.5</v>
      </c>
      <c r="T395" s="25" t="str">
        <f>IF(L395="","NO BILL IN SUPPLIED EXPORT",IF(ABS(Q395)&gt;0.001,"RATE EXCEPTION",IF(ABS(R395)&gt;0.001,"LENGTH EXCEPTION",IF(ABS(S395)&gt;0.01,"AMOUNT EXCEPTION","OK"))))</f>
        <v>NO BILL IN SUPPLIED EXPORT</v>
      </c>
      <c r="U395" s="19" t="s">
        <v>2258</v>
      </c>
    </row>
    <row r="396" spans="1:21" ht="28" customHeight="1">
      <c r="A396" s="14" t="s">
        <v>2259</v>
      </c>
      <c r="B396" s="14" t="s">
        <v>194</v>
      </c>
      <c r="C396" s="14" t="s">
        <v>226</v>
      </c>
      <c r="D396" s="14" t="s">
        <v>227</v>
      </c>
      <c r="E396" s="14" t="s">
        <v>2260</v>
      </c>
      <c r="F396" s="15" t="s">
        <v>2261</v>
      </c>
      <c r="G396" s="15" t="s">
        <v>1790</v>
      </c>
      <c r="H396" s="24">
        <v>70</v>
      </c>
      <c r="I396" s="24">
        <v>30.5</v>
      </c>
      <c r="J396" s="24">
        <f>MAX(H396,ROUNDUP(I396,0))</f>
        <v>70.0</v>
      </c>
      <c r="K396" s="22">
        <f>IF(C396="covered",10.4,7.55)</f>
        <v>7.55</v>
      </c>
      <c r="L396" s="14"/>
      <c r="M396" s="24"/>
      <c r="N396" s="22"/>
      <c r="O396" s="22"/>
      <c r="P396" s="22">
        <f>J396*K396</f>
        <v>528.5</v>
      </c>
      <c r="Q396" s="22">
        <f>IF(L396="","",N396-K396)</f>
        <v/>
      </c>
      <c r="R396" s="24">
        <f>IF(L396="","",M396-J396)</f>
        <v/>
      </c>
      <c r="S396" s="22">
        <f>IF(L396="",-P396,O396-P396)</f>
        <v>-528.5</v>
      </c>
      <c r="T396" s="25" t="str">
        <f>IF(L396="","NO BILL IN SUPPLIED EXPORT",IF(ABS(Q396)&gt;0.001,"RATE EXCEPTION",IF(ABS(R396)&gt;0.001,"LENGTH EXCEPTION",IF(ABS(S396)&gt;0.01,"AMOUNT EXCEPTION","OK"))))</f>
        <v>NO BILL IN SUPPLIED EXPORT</v>
      </c>
      <c r="U396" s="15" t="s">
        <v>2262</v>
      </c>
    </row>
    <row r="397" spans="1:21" ht="28" customHeight="1">
      <c r="A397" s="18" t="s">
        <v>2263</v>
      </c>
      <c r="B397" s="18" t="s">
        <v>194</v>
      </c>
      <c r="C397" s="18" t="s">
        <v>226</v>
      </c>
      <c r="D397" s="18" t="s">
        <v>227</v>
      </c>
      <c r="E397" s="18" t="s">
        <v>2264</v>
      </c>
      <c r="F397" s="19" t="s">
        <v>2265</v>
      </c>
      <c r="G397" s="19" t="s">
        <v>477</v>
      </c>
      <c r="H397" s="24">
        <v>45</v>
      </c>
      <c r="I397" s="24">
        <v>34.6</v>
      </c>
      <c r="J397" s="24">
        <f>MAX(H397,ROUNDUP(I397,0))</f>
        <v>45.0</v>
      </c>
      <c r="K397" s="22">
        <f>IF(C397="covered",10.4,7.55)</f>
        <v>7.55</v>
      </c>
      <c r="L397" s="18"/>
      <c r="M397" s="24"/>
      <c r="N397" s="22"/>
      <c r="O397" s="22"/>
      <c r="P397" s="22">
        <f>J397*K397</f>
        <v>339.75</v>
      </c>
      <c r="Q397" s="22">
        <f>IF(L397="","",N397-K397)</f>
        <v/>
      </c>
      <c r="R397" s="24">
        <f>IF(L397="","",M397-J397)</f>
        <v/>
      </c>
      <c r="S397" s="22">
        <f>IF(L397="",-P397,O397-P397)</f>
        <v>-339.75</v>
      </c>
      <c r="T397" s="25" t="str">
        <f>IF(L397="","NO BILL IN SUPPLIED EXPORT",IF(ABS(Q397)&gt;0.001,"RATE EXCEPTION",IF(ABS(R397)&gt;0.001,"LENGTH EXCEPTION",IF(ABS(S397)&gt;0.01,"AMOUNT EXCEPTION","OK"))))</f>
        <v>NO BILL IN SUPPLIED EXPORT</v>
      </c>
      <c r="U397" s="19" t="s">
        <v>2266</v>
      </c>
    </row>
    <row r="398" spans="1:21" ht="28" customHeight="1">
      <c r="A398" s="14" t="s">
        <v>2267</v>
      </c>
      <c r="B398" s="14" t="s">
        <v>194</v>
      </c>
      <c r="C398" s="14" t="s">
        <v>226</v>
      </c>
      <c r="D398" s="14" t="s">
        <v>227</v>
      </c>
      <c r="E398" s="14" t="s">
        <v>2268</v>
      </c>
      <c r="F398" s="15" t="s">
        <v>2269</v>
      </c>
      <c r="G398" s="15" t="s">
        <v>2270</v>
      </c>
      <c r="H398" s="24">
        <v>28</v>
      </c>
      <c r="I398" s="24">
        <v>48.3</v>
      </c>
      <c r="J398" s="24">
        <f>MAX(H398,ROUNDUP(I398,0))</f>
        <v>49</v>
      </c>
      <c r="K398" s="22">
        <f>IF(C398="covered",10.4,7.55)</f>
        <v>7.55</v>
      </c>
      <c r="L398" s="14"/>
      <c r="M398" s="24"/>
      <c r="N398" s="22"/>
      <c r="O398" s="22"/>
      <c r="P398" s="22">
        <f>J398*K398</f>
        <v>369.95</v>
      </c>
      <c r="Q398" s="22">
        <f>IF(L398="","",N398-K398)</f>
        <v/>
      </c>
      <c r="R398" s="24">
        <f>IF(L398="","",M398-J398)</f>
        <v/>
      </c>
      <c r="S398" s="22">
        <f>IF(L398="",-P398,O398-P398)</f>
        <v>-369.95</v>
      </c>
      <c r="T398" s="25" t="str">
        <f>IF(L398="","NO BILL IN SUPPLIED EXPORT",IF(ABS(Q398)&gt;0.001,"RATE EXCEPTION",IF(ABS(R398)&gt;0.001,"LENGTH EXCEPTION",IF(ABS(S398)&gt;0.01,"AMOUNT EXCEPTION","OK"))))</f>
        <v>NO BILL IN SUPPLIED EXPORT</v>
      </c>
      <c r="U398" s="15" t="s">
        <v>2271</v>
      </c>
    </row>
    <row r="399" spans="1:21" ht="28" customHeight="1">
      <c r="A399" s="18" t="s">
        <v>2272</v>
      </c>
      <c r="B399" s="18" t="s">
        <v>194</v>
      </c>
      <c r="C399" s="18" t="s">
        <v>226</v>
      </c>
      <c r="D399" s="18" t="s">
        <v>227</v>
      </c>
      <c r="E399" s="18" t="s">
        <v>2273</v>
      </c>
      <c r="F399" s="19" t="s">
        <v>2274</v>
      </c>
      <c r="G399" s="19" t="s">
        <v>2275</v>
      </c>
      <c r="H399" s="24">
        <v>28</v>
      </c>
      <c r="I399" s="24">
        <v>48.7</v>
      </c>
      <c r="J399" s="24">
        <f>MAX(H399,ROUNDUP(I399,0))</f>
        <v>49</v>
      </c>
      <c r="K399" s="22">
        <f>IF(C399="covered",10.4,7.55)</f>
        <v>7.55</v>
      </c>
      <c r="L399" s="18"/>
      <c r="M399" s="24"/>
      <c r="N399" s="22"/>
      <c r="O399" s="22"/>
      <c r="P399" s="22">
        <f>J399*K399</f>
        <v>369.95</v>
      </c>
      <c r="Q399" s="22">
        <f>IF(L399="","",N399-K399)</f>
        <v/>
      </c>
      <c r="R399" s="24">
        <f>IF(L399="","",M399-J399)</f>
        <v/>
      </c>
      <c r="S399" s="22">
        <f>IF(L399="",-P399,O399-P399)</f>
        <v>-369.95</v>
      </c>
      <c r="T399" s="25" t="str">
        <f>IF(L399="","NO BILL IN SUPPLIED EXPORT",IF(ABS(Q399)&gt;0.001,"RATE EXCEPTION",IF(ABS(R399)&gt;0.001,"LENGTH EXCEPTION",IF(ABS(S399)&gt;0.01,"AMOUNT EXCEPTION","OK"))))</f>
        <v>NO BILL IN SUPPLIED EXPORT</v>
      </c>
      <c r="U399" s="19" t="s">
        <v>2276</v>
      </c>
    </row>
    <row r="400" spans="1:21" ht="28" customHeight="1">
      <c r="A400" s="14" t="s">
        <v>2277</v>
      </c>
      <c r="B400" s="14" t="s">
        <v>194</v>
      </c>
      <c r="C400" s="14" t="s">
        <v>226</v>
      </c>
      <c r="D400" s="14" t="s">
        <v>227</v>
      </c>
      <c r="E400" s="14" t="s">
        <v>2278</v>
      </c>
      <c r="F400" s="15" t="s">
        <v>2279</v>
      </c>
      <c r="G400" s="15" t="s">
        <v>2280</v>
      </c>
      <c r="H400" s="24">
        <v>70</v>
      </c>
      <c r="I400" s="24">
        <v>33.1</v>
      </c>
      <c r="J400" s="24">
        <f>MAX(H400,ROUNDUP(I400,0))</f>
        <v>70.0</v>
      </c>
      <c r="K400" s="22">
        <f>IF(C400="covered",10.4,7.55)</f>
        <v>7.55</v>
      </c>
      <c r="L400" s="14"/>
      <c r="M400" s="24"/>
      <c r="N400" s="22"/>
      <c r="O400" s="22"/>
      <c r="P400" s="22">
        <f>J400*K400</f>
        <v>528.5</v>
      </c>
      <c r="Q400" s="22">
        <f>IF(L400="","",N400-K400)</f>
        <v/>
      </c>
      <c r="R400" s="24">
        <f>IF(L400="","",M400-J400)</f>
        <v/>
      </c>
      <c r="S400" s="22">
        <f>IF(L400="",-P400,O400-P400)</f>
        <v>-528.5</v>
      </c>
      <c r="T400" s="25" t="str">
        <f>IF(L400="","NO BILL IN SUPPLIED EXPORT",IF(ABS(Q400)&gt;0.001,"RATE EXCEPTION",IF(ABS(R400)&gt;0.001,"LENGTH EXCEPTION",IF(ABS(S400)&gt;0.01,"AMOUNT EXCEPTION","OK"))))</f>
        <v>NO BILL IN SUPPLIED EXPORT</v>
      </c>
      <c r="U400" s="15" t="s">
        <v>2281</v>
      </c>
    </row>
    <row r="401" spans="1:21" ht="28" customHeight="1">
      <c r="A401" s="18" t="s">
        <v>2282</v>
      </c>
      <c r="B401" s="18" t="s">
        <v>194</v>
      </c>
      <c r="C401" s="18" t="s">
        <v>226</v>
      </c>
      <c r="D401" s="18" t="s">
        <v>227</v>
      </c>
      <c r="E401" s="18" t="s">
        <v>2283</v>
      </c>
      <c r="F401" s="19" t="s">
        <v>2284</v>
      </c>
      <c r="G401" s="19" t="s">
        <v>1823</v>
      </c>
      <c r="H401" s="24">
        <v>70</v>
      </c>
      <c r="I401" s="24">
        <v>55.9</v>
      </c>
      <c r="J401" s="24">
        <f>MAX(H401,ROUNDUP(I401,0))</f>
        <v>70.0</v>
      </c>
      <c r="K401" s="22">
        <f>IF(C401="covered",10.4,7.55)</f>
        <v>7.55</v>
      </c>
      <c r="L401" s="18"/>
      <c r="M401" s="24"/>
      <c r="N401" s="22"/>
      <c r="O401" s="22"/>
      <c r="P401" s="22">
        <f>J401*K401</f>
        <v>528.5</v>
      </c>
      <c r="Q401" s="22">
        <f>IF(L401="","",N401-K401)</f>
        <v/>
      </c>
      <c r="R401" s="24">
        <f>IF(L401="","",M401-J401)</f>
        <v/>
      </c>
      <c r="S401" s="22">
        <f>IF(L401="",-P401,O401-P401)</f>
        <v>-528.5</v>
      </c>
      <c r="T401" s="25" t="str">
        <f>IF(L401="","NO BILL IN SUPPLIED EXPORT",IF(ABS(Q401)&gt;0.001,"RATE EXCEPTION",IF(ABS(R401)&gt;0.001,"LENGTH EXCEPTION",IF(ABS(S401)&gt;0.01,"AMOUNT EXCEPTION","OK"))))</f>
        <v>NO BILL IN SUPPLIED EXPORT</v>
      </c>
      <c r="U401" s="19" t="s">
        <v>2285</v>
      </c>
    </row>
    <row r="402" spans="1:21" ht="28" customHeight="1">
      <c r="A402" s="14" t="s">
        <v>2286</v>
      </c>
      <c r="B402" s="14" t="s">
        <v>194</v>
      </c>
      <c r="C402" s="14" t="s">
        <v>226</v>
      </c>
      <c r="D402" s="14" t="s">
        <v>227</v>
      </c>
      <c r="E402" s="14" t="s">
        <v>2287</v>
      </c>
      <c r="F402" s="15" t="s">
        <v>2288</v>
      </c>
      <c r="G402" s="15" t="s">
        <v>2062</v>
      </c>
      <c r="H402" s="24">
        <v>60</v>
      </c>
      <c r="I402" s="24">
        <v>56.6</v>
      </c>
      <c r="J402" s="24">
        <f>MAX(H402,ROUNDUP(I402,0))</f>
        <v>60.0</v>
      </c>
      <c r="K402" s="22">
        <f>IF(C402="covered",10.4,7.55)</f>
        <v>7.55</v>
      </c>
      <c r="L402" s="14"/>
      <c r="M402" s="24"/>
      <c r="N402" s="22"/>
      <c r="O402" s="22"/>
      <c r="P402" s="22">
        <f>J402*K402</f>
        <v>453.0</v>
      </c>
      <c r="Q402" s="22">
        <f>IF(L402="","",N402-K402)</f>
        <v/>
      </c>
      <c r="R402" s="24">
        <f>IF(L402="","",M402-J402)</f>
        <v/>
      </c>
      <c r="S402" s="22">
        <f>IF(L402="",-P402,O402-P402)</f>
        <v>-453.0</v>
      </c>
      <c r="T402" s="25" t="str">
        <f>IF(L402="","NO BILL IN SUPPLIED EXPORT",IF(ABS(Q402)&gt;0.001,"RATE EXCEPTION",IF(ABS(R402)&gt;0.001,"LENGTH EXCEPTION",IF(ABS(S402)&gt;0.01,"AMOUNT EXCEPTION","OK"))))</f>
        <v>NO BILL IN SUPPLIED EXPORT</v>
      </c>
      <c r="U402" s="15" t="s">
        <v>2289</v>
      </c>
    </row>
    <row r="403" spans="1:21" ht="28" customHeight="1">
      <c r="A403" s="18" t="s">
        <v>2290</v>
      </c>
      <c r="B403" s="18" t="s">
        <v>194</v>
      </c>
      <c r="C403" s="18" t="s">
        <v>226</v>
      </c>
      <c r="D403" s="18" t="s">
        <v>227</v>
      </c>
      <c r="E403" s="18" t="s">
        <v>2291</v>
      </c>
      <c r="F403" s="19" t="s">
        <v>2292</v>
      </c>
      <c r="G403" s="19" t="s">
        <v>743</v>
      </c>
      <c r="H403" s="24">
        <v>70</v>
      </c>
      <c r="I403" s="24">
        <v>56</v>
      </c>
      <c r="J403" s="24">
        <f>MAX(H403,ROUNDUP(I403,0))</f>
        <v>70.0</v>
      </c>
      <c r="K403" s="22">
        <f>IF(C403="covered",10.4,7.55)</f>
        <v>7.55</v>
      </c>
      <c r="L403" s="18"/>
      <c r="M403" s="24"/>
      <c r="N403" s="22"/>
      <c r="O403" s="22"/>
      <c r="P403" s="22">
        <f>J403*K403</f>
        <v>528.5</v>
      </c>
      <c r="Q403" s="22">
        <f>IF(L403="","",N403-K403)</f>
        <v/>
      </c>
      <c r="R403" s="24">
        <f>IF(L403="","",M403-J403)</f>
        <v/>
      </c>
      <c r="S403" s="22">
        <f>IF(L403="",-P403,O403-P403)</f>
        <v>-528.5</v>
      </c>
      <c r="T403" s="25" t="str">
        <f>IF(L403="","NO BILL IN SUPPLIED EXPORT",IF(ABS(Q403)&gt;0.001,"RATE EXCEPTION",IF(ABS(R403)&gt;0.001,"LENGTH EXCEPTION",IF(ABS(S403)&gt;0.01,"AMOUNT EXCEPTION","OK"))))</f>
        <v>NO BILL IN SUPPLIED EXPORT</v>
      </c>
      <c r="U403" s="19" t="s">
        <v>2293</v>
      </c>
    </row>
    <row r="404" spans="1:21" ht="28" customHeight="1">
      <c r="A404" s="14" t="s">
        <v>2294</v>
      </c>
      <c r="B404" s="14" t="s">
        <v>194</v>
      </c>
      <c r="C404" s="14" t="s">
        <v>226</v>
      </c>
      <c r="D404" s="14" t="s">
        <v>227</v>
      </c>
      <c r="E404" s="14" t="s">
        <v>2295</v>
      </c>
      <c r="F404" s="15" t="s">
        <v>2296</v>
      </c>
      <c r="G404" s="15" t="s">
        <v>834</v>
      </c>
      <c r="H404" s="24">
        <v>24</v>
      </c>
      <c r="I404" s="24">
        <v>43.9</v>
      </c>
      <c r="J404" s="24">
        <f>MAX(H404,ROUNDUP(I404,0))</f>
        <v>44</v>
      </c>
      <c r="K404" s="22">
        <f>IF(C404="covered",10.4,7.55)</f>
        <v>7.55</v>
      </c>
      <c r="L404" s="14"/>
      <c r="M404" s="24"/>
      <c r="N404" s="22"/>
      <c r="O404" s="22"/>
      <c r="P404" s="22">
        <f>J404*K404</f>
        <v>332.2</v>
      </c>
      <c r="Q404" s="22">
        <f>IF(L404="","",N404-K404)</f>
        <v/>
      </c>
      <c r="R404" s="24">
        <f>IF(L404="","",M404-J404)</f>
        <v/>
      </c>
      <c r="S404" s="22">
        <f>IF(L404="",-P404,O404-P404)</f>
        <v>-332.2</v>
      </c>
      <c r="T404" s="25" t="str">
        <f>IF(L404="","NO BILL IN SUPPLIED EXPORT",IF(ABS(Q404)&gt;0.001,"RATE EXCEPTION",IF(ABS(R404)&gt;0.001,"LENGTH EXCEPTION",IF(ABS(S404)&gt;0.01,"AMOUNT EXCEPTION","OK"))))</f>
        <v>NO BILL IN SUPPLIED EXPORT</v>
      </c>
      <c r="U404" s="15" t="s">
        <v>2297</v>
      </c>
    </row>
    <row r="405" spans="1:21" ht="28" customHeight="1">
      <c r="A405" s="18" t="s">
        <v>2298</v>
      </c>
      <c r="B405" s="18" t="s">
        <v>194</v>
      </c>
      <c r="C405" s="18" t="s">
        <v>226</v>
      </c>
      <c r="D405" s="18" t="s">
        <v>227</v>
      </c>
      <c r="E405" s="18" t="s">
        <v>2299</v>
      </c>
      <c r="F405" s="19" t="s">
        <v>2300</v>
      </c>
      <c r="G405" s="19" t="s">
        <v>2301</v>
      </c>
      <c r="H405" s="24">
        <v>28</v>
      </c>
      <c r="I405" s="24">
        <v>57.9</v>
      </c>
      <c r="J405" s="24">
        <f>MAX(H405,ROUNDUP(I405,0))</f>
        <v>58</v>
      </c>
      <c r="K405" s="22">
        <f>IF(C405="covered",10.4,7.55)</f>
        <v>7.55</v>
      </c>
      <c r="L405" s="18"/>
      <c r="M405" s="24"/>
      <c r="N405" s="22"/>
      <c r="O405" s="22"/>
      <c r="P405" s="22">
        <f>J405*K405</f>
        <v>437.9</v>
      </c>
      <c r="Q405" s="22">
        <f>IF(L405="","",N405-K405)</f>
        <v/>
      </c>
      <c r="R405" s="24">
        <f>IF(L405="","",M405-J405)</f>
        <v/>
      </c>
      <c r="S405" s="22">
        <f>IF(L405="",-P405,O405-P405)</f>
        <v>-437.9</v>
      </c>
      <c r="T405" s="25" t="str">
        <f>IF(L405="","NO BILL IN SUPPLIED EXPORT",IF(ABS(Q405)&gt;0.001,"RATE EXCEPTION",IF(ABS(R405)&gt;0.001,"LENGTH EXCEPTION",IF(ABS(S405)&gt;0.01,"AMOUNT EXCEPTION","OK"))))</f>
        <v>NO BILL IN SUPPLIED EXPORT</v>
      </c>
      <c r="U405" s="19" t="s">
        <v>2302</v>
      </c>
    </row>
    <row r="406" spans="1:21" ht="28" customHeight="1">
      <c r="A406" s="14" t="s">
        <v>2303</v>
      </c>
      <c r="B406" s="14" t="s">
        <v>194</v>
      </c>
      <c r="C406" s="14" t="s">
        <v>226</v>
      </c>
      <c r="D406" s="14" t="s">
        <v>227</v>
      </c>
      <c r="E406" s="14" t="s">
        <v>2304</v>
      </c>
      <c r="F406" s="15" t="s">
        <v>2305</v>
      </c>
      <c r="G406" s="15" t="s">
        <v>2306</v>
      </c>
      <c r="H406" s="24">
        <v>24</v>
      </c>
      <c r="I406" s="24">
        <v>48.4</v>
      </c>
      <c r="J406" s="24">
        <f>MAX(H406,ROUNDUP(I406,0))</f>
        <v>49</v>
      </c>
      <c r="K406" s="22">
        <f>IF(C406="covered",10.4,7.55)</f>
        <v>7.55</v>
      </c>
      <c r="L406" s="14"/>
      <c r="M406" s="24"/>
      <c r="N406" s="22"/>
      <c r="O406" s="22"/>
      <c r="P406" s="22">
        <f>J406*K406</f>
        <v>369.95</v>
      </c>
      <c r="Q406" s="22">
        <f>IF(L406="","",N406-K406)</f>
        <v/>
      </c>
      <c r="R406" s="24">
        <f>IF(L406="","",M406-J406)</f>
        <v/>
      </c>
      <c r="S406" s="22">
        <f>IF(L406="",-P406,O406-P406)</f>
        <v>-369.95</v>
      </c>
      <c r="T406" s="25" t="str">
        <f>IF(L406="","NO BILL IN SUPPLIED EXPORT",IF(ABS(Q406)&gt;0.001,"RATE EXCEPTION",IF(ABS(R406)&gt;0.001,"LENGTH EXCEPTION",IF(ABS(S406)&gt;0.01,"AMOUNT EXCEPTION","OK"))))</f>
        <v>NO BILL IN SUPPLIED EXPORT</v>
      </c>
      <c r="U406" s="15" t="s">
        <v>2307</v>
      </c>
    </row>
    <row r="407" spans="1:21" ht="28" customHeight="1">
      <c r="A407" s="18" t="s">
        <v>2308</v>
      </c>
      <c r="B407" s="18" t="s">
        <v>194</v>
      </c>
      <c r="C407" s="18" t="s">
        <v>226</v>
      </c>
      <c r="D407" s="18" t="s">
        <v>227</v>
      </c>
      <c r="E407" s="18" t="s">
        <v>2309</v>
      </c>
      <c r="F407" s="19" t="s">
        <v>2310</v>
      </c>
      <c r="G407" s="19" t="s">
        <v>2311</v>
      </c>
      <c r="H407" s="24">
        <v>24</v>
      </c>
      <c r="I407" s="24">
        <v>27.3</v>
      </c>
      <c r="J407" s="24">
        <f>MAX(H407,ROUNDUP(I407,0))</f>
        <v>28</v>
      </c>
      <c r="K407" s="22">
        <f>IF(C407="covered",10.4,7.55)</f>
        <v>7.55</v>
      </c>
      <c r="L407" s="18"/>
      <c r="M407" s="24"/>
      <c r="N407" s="22"/>
      <c r="O407" s="22"/>
      <c r="P407" s="22">
        <f>J407*K407</f>
        <v>211.4</v>
      </c>
      <c r="Q407" s="22">
        <f>IF(L407="","",N407-K407)</f>
        <v/>
      </c>
      <c r="R407" s="24">
        <f>IF(L407="","",M407-J407)</f>
        <v/>
      </c>
      <c r="S407" s="22">
        <f>IF(L407="",-P407,O407-P407)</f>
        <v>-211.4</v>
      </c>
      <c r="T407" s="25" t="str">
        <f>IF(L407="","NO BILL IN SUPPLIED EXPORT",IF(ABS(Q407)&gt;0.001,"RATE EXCEPTION",IF(ABS(R407)&gt;0.001,"LENGTH EXCEPTION",IF(ABS(S407)&gt;0.01,"AMOUNT EXCEPTION","OK"))))</f>
        <v>NO BILL IN SUPPLIED EXPORT</v>
      </c>
      <c r="U407" s="19" t="s">
        <v>2312</v>
      </c>
    </row>
    <row r="408" spans="1:21" ht="28" customHeight="1">
      <c r="A408" s="14" t="s">
        <v>2313</v>
      </c>
      <c r="B408" s="14" t="s">
        <v>194</v>
      </c>
      <c r="C408" s="14" t="s">
        <v>226</v>
      </c>
      <c r="D408" s="14" t="s">
        <v>227</v>
      </c>
      <c r="E408" s="14" t="s">
        <v>2314</v>
      </c>
      <c r="F408" s="15" t="s">
        <v>2315</v>
      </c>
      <c r="G408" s="15" t="s">
        <v>2178</v>
      </c>
      <c r="H408" s="24">
        <v>60</v>
      </c>
      <c r="I408" s="24">
        <v>29.8</v>
      </c>
      <c r="J408" s="24">
        <f>MAX(H408,ROUNDUP(I408,0))</f>
        <v>60.0</v>
      </c>
      <c r="K408" s="22">
        <f>IF(C408="covered",10.4,7.55)</f>
        <v>7.55</v>
      </c>
      <c r="L408" s="14"/>
      <c r="M408" s="24"/>
      <c r="N408" s="22"/>
      <c r="O408" s="22"/>
      <c r="P408" s="22">
        <f>J408*K408</f>
        <v>453.0</v>
      </c>
      <c r="Q408" s="22">
        <f>IF(L408="","",N408-K408)</f>
        <v/>
      </c>
      <c r="R408" s="24">
        <f>IF(L408="","",M408-J408)</f>
        <v/>
      </c>
      <c r="S408" s="22">
        <f>IF(L408="",-P408,O408-P408)</f>
        <v>-453.0</v>
      </c>
      <c r="T408" s="25" t="str">
        <f>IF(L408="","NO BILL IN SUPPLIED EXPORT",IF(ABS(Q408)&gt;0.001,"RATE EXCEPTION",IF(ABS(R408)&gt;0.001,"LENGTH EXCEPTION",IF(ABS(S408)&gt;0.01,"AMOUNT EXCEPTION","OK"))))</f>
        <v>NO BILL IN SUPPLIED EXPORT</v>
      </c>
      <c r="U408" s="15" t="s">
        <v>2316</v>
      </c>
    </row>
    <row r="409" spans="1:21" ht="28" customHeight="1">
      <c r="A409" s="18" t="s">
        <v>2317</v>
      </c>
      <c r="B409" s="18" t="s">
        <v>194</v>
      </c>
      <c r="C409" s="18" t="s">
        <v>226</v>
      </c>
      <c r="D409" s="18" t="s">
        <v>227</v>
      </c>
      <c r="E409" s="18" t="s">
        <v>2318</v>
      </c>
      <c r="F409" s="19" t="s">
        <v>2319</v>
      </c>
      <c r="G409" s="19" t="s">
        <v>2320</v>
      </c>
      <c r="H409" s="24">
        <v>24</v>
      </c>
      <c r="I409" s="24">
        <v>45.8</v>
      </c>
      <c r="J409" s="24">
        <f>MAX(H409,ROUNDUP(I409,0))</f>
        <v>46</v>
      </c>
      <c r="K409" s="22">
        <f>IF(C409="covered",10.4,7.55)</f>
        <v>7.55</v>
      </c>
      <c r="L409" s="18"/>
      <c r="M409" s="24"/>
      <c r="N409" s="22"/>
      <c r="O409" s="22"/>
      <c r="P409" s="22">
        <f>J409*K409</f>
        <v>347.3</v>
      </c>
      <c r="Q409" s="22">
        <f>IF(L409="","",N409-K409)</f>
        <v/>
      </c>
      <c r="R409" s="24">
        <f>IF(L409="","",M409-J409)</f>
        <v/>
      </c>
      <c r="S409" s="22">
        <f>IF(L409="",-P409,O409-P409)</f>
        <v>-347.3</v>
      </c>
      <c r="T409" s="25" t="str">
        <f>IF(L409="","NO BILL IN SUPPLIED EXPORT",IF(ABS(Q409)&gt;0.001,"RATE EXCEPTION",IF(ABS(R409)&gt;0.001,"LENGTH EXCEPTION",IF(ABS(S409)&gt;0.01,"AMOUNT EXCEPTION","OK"))))</f>
        <v>NO BILL IN SUPPLIED EXPORT</v>
      </c>
      <c r="U409" s="19" t="s">
        <v>2321</v>
      </c>
    </row>
    <row r="410" spans="1:21" ht="28" customHeight="1">
      <c r="A410" s="14" t="s">
        <v>116</v>
      </c>
      <c r="B410" s="14" t="s">
        <v>194</v>
      </c>
      <c r="C410" s="14" t="s">
        <v>226</v>
      </c>
      <c r="D410" s="14" t="s">
        <v>227</v>
      </c>
      <c r="E410" s="14" t="s">
        <v>2322</v>
      </c>
      <c r="F410" s="15" t="s">
        <v>2323</v>
      </c>
      <c r="G410" s="15" t="s">
        <v>2324</v>
      </c>
      <c r="H410" s="24">
        <v>36</v>
      </c>
      <c r="I410" s="24">
        <v>59.7</v>
      </c>
      <c r="J410" s="24">
        <f>MAX(H410,ROUNDUP(I410,0))</f>
        <v>60</v>
      </c>
      <c r="K410" s="22">
        <f>IF(C410="covered",10.4,7.55)</f>
        <v>7.55</v>
      </c>
      <c r="L410" s="14"/>
      <c r="M410" s="24"/>
      <c r="N410" s="22"/>
      <c r="O410" s="22"/>
      <c r="P410" s="22">
        <f>J410*K410</f>
        <v>453.0</v>
      </c>
      <c r="Q410" s="22">
        <f>IF(L410="","",N410-K410)</f>
        <v/>
      </c>
      <c r="R410" s="24">
        <f>IF(L410="","",M410-J410)</f>
        <v/>
      </c>
      <c r="S410" s="22">
        <f>IF(L410="",-P410,O410-P410)</f>
        <v>-453.0</v>
      </c>
      <c r="T410" s="25" t="str">
        <f>IF(L410="","NO BILL IN SUPPLIED EXPORT",IF(ABS(Q410)&gt;0.001,"RATE EXCEPTION",IF(ABS(R410)&gt;0.001,"LENGTH EXCEPTION",IF(ABS(S410)&gt;0.01,"AMOUNT EXCEPTION","OK"))))</f>
        <v>NO BILL IN SUPPLIED EXPORT</v>
      </c>
      <c r="U410" s="15" t="s">
        <v>2325</v>
      </c>
    </row>
    <row r="411" spans="1:21" ht="28" customHeight="1">
      <c r="A411" s="18" t="s">
        <v>2326</v>
      </c>
      <c r="B411" s="18" t="s">
        <v>194</v>
      </c>
      <c r="C411" s="18" t="s">
        <v>226</v>
      </c>
      <c r="D411" s="18" t="s">
        <v>227</v>
      </c>
      <c r="E411" s="18" t="s">
        <v>2327</v>
      </c>
      <c r="F411" s="19" t="s">
        <v>2328</v>
      </c>
      <c r="G411" s="19" t="s">
        <v>1886</v>
      </c>
      <c r="H411" s="24">
        <v>36</v>
      </c>
      <c r="I411" s="24">
        <v>59.9</v>
      </c>
      <c r="J411" s="24">
        <f>MAX(H411,ROUNDUP(I411,0))</f>
        <v>60</v>
      </c>
      <c r="K411" s="22">
        <f>IF(C411="covered",10.4,7.55)</f>
        <v>7.55</v>
      </c>
      <c r="L411" s="18"/>
      <c r="M411" s="24"/>
      <c r="N411" s="22"/>
      <c r="O411" s="22"/>
      <c r="P411" s="22">
        <f>J411*K411</f>
        <v>453.0</v>
      </c>
      <c r="Q411" s="22">
        <f>IF(L411="","",N411-K411)</f>
        <v/>
      </c>
      <c r="R411" s="24">
        <f>IF(L411="","",M411-J411)</f>
        <v/>
      </c>
      <c r="S411" s="22">
        <f>IF(L411="",-P411,O411-P411)</f>
        <v>-453.0</v>
      </c>
      <c r="T411" s="25" t="str">
        <f>IF(L411="","NO BILL IN SUPPLIED EXPORT",IF(ABS(Q411)&gt;0.001,"RATE EXCEPTION",IF(ABS(R411)&gt;0.001,"LENGTH EXCEPTION",IF(ABS(S411)&gt;0.01,"AMOUNT EXCEPTION","OK"))))</f>
        <v>NO BILL IN SUPPLIED EXPORT</v>
      </c>
      <c r="U411" s="19" t="s">
        <v>2329</v>
      </c>
    </row>
    <row r="412" spans="1:21" ht="28" customHeight="1">
      <c r="A412" s="14" t="s">
        <v>2330</v>
      </c>
      <c r="B412" s="14" t="s">
        <v>194</v>
      </c>
      <c r="C412" s="14" t="s">
        <v>226</v>
      </c>
      <c r="D412" s="14" t="s">
        <v>227</v>
      </c>
      <c r="E412" s="14" t="s">
        <v>2331</v>
      </c>
      <c r="F412" s="15" t="s">
        <v>2332</v>
      </c>
      <c r="G412" s="15" t="s">
        <v>2333</v>
      </c>
      <c r="H412" s="24">
        <v>32</v>
      </c>
      <c r="I412" s="24">
        <v>49.7</v>
      </c>
      <c r="J412" s="24">
        <f>MAX(H412,ROUNDUP(I412,0))</f>
        <v>50</v>
      </c>
      <c r="K412" s="22">
        <f>IF(C412="covered",10.4,7.55)</f>
        <v>7.55</v>
      </c>
      <c r="L412" s="14"/>
      <c r="M412" s="24"/>
      <c r="N412" s="22"/>
      <c r="O412" s="22"/>
      <c r="P412" s="22">
        <f>J412*K412</f>
        <v>377.5</v>
      </c>
      <c r="Q412" s="22">
        <f>IF(L412="","",N412-K412)</f>
        <v/>
      </c>
      <c r="R412" s="24">
        <f>IF(L412="","",M412-J412)</f>
        <v/>
      </c>
      <c r="S412" s="22">
        <f>IF(L412="",-P412,O412-P412)</f>
        <v>-377.5</v>
      </c>
      <c r="T412" s="25" t="str">
        <f>IF(L412="","NO BILL IN SUPPLIED EXPORT",IF(ABS(Q412)&gt;0.001,"RATE EXCEPTION",IF(ABS(R412)&gt;0.001,"LENGTH EXCEPTION",IF(ABS(S412)&gt;0.01,"AMOUNT EXCEPTION","OK"))))</f>
        <v>NO BILL IN SUPPLIED EXPORT</v>
      </c>
      <c r="U412" s="15" t="s">
        <v>2334</v>
      </c>
    </row>
    <row r="413" spans="1:21" ht="28" customHeight="1">
      <c r="A413" s="18" t="s">
        <v>2335</v>
      </c>
      <c r="B413" s="18" t="s">
        <v>194</v>
      </c>
      <c r="C413" s="18" t="s">
        <v>226</v>
      </c>
      <c r="D413" s="18" t="s">
        <v>227</v>
      </c>
      <c r="E413" s="18" t="s">
        <v>2336</v>
      </c>
      <c r="F413" s="19" t="s">
        <v>2337</v>
      </c>
      <c r="G413" s="19" t="s">
        <v>2338</v>
      </c>
      <c r="H413" s="24">
        <v>50</v>
      </c>
      <c r="I413" s="24">
        <v>38.9</v>
      </c>
      <c r="J413" s="24">
        <f>MAX(H413,ROUNDUP(I413,0))</f>
        <v>50.0</v>
      </c>
      <c r="K413" s="22">
        <f>IF(C413="covered",10.4,7.55)</f>
        <v>7.55</v>
      </c>
      <c r="L413" s="18"/>
      <c r="M413" s="24"/>
      <c r="N413" s="22"/>
      <c r="O413" s="22"/>
      <c r="P413" s="22">
        <f>J413*K413</f>
        <v>377.5</v>
      </c>
      <c r="Q413" s="22">
        <f>IF(L413="","",N413-K413)</f>
        <v/>
      </c>
      <c r="R413" s="24">
        <f>IF(L413="","",M413-J413)</f>
        <v/>
      </c>
      <c r="S413" s="22">
        <f>IF(L413="",-P413,O413-P413)</f>
        <v>-377.5</v>
      </c>
      <c r="T413" s="25" t="str">
        <f>IF(L413="","NO BILL IN SUPPLIED EXPORT",IF(ABS(Q413)&gt;0.001,"RATE EXCEPTION",IF(ABS(R413)&gt;0.001,"LENGTH EXCEPTION",IF(ABS(S413)&gt;0.01,"AMOUNT EXCEPTION","OK"))))</f>
        <v>NO BILL IN SUPPLIED EXPORT</v>
      </c>
      <c r="U413" s="19" t="s">
        <v>2339</v>
      </c>
    </row>
    <row r="414" spans="1:21" ht="28" customHeight="1">
      <c r="A414" s="14" t="s">
        <v>2340</v>
      </c>
      <c r="B414" s="14" t="s">
        <v>194</v>
      </c>
      <c r="C414" s="14" t="s">
        <v>226</v>
      </c>
      <c r="D414" s="14" t="s">
        <v>227</v>
      </c>
      <c r="E414" s="14" t="s">
        <v>2341</v>
      </c>
      <c r="F414" s="15" t="s">
        <v>2342</v>
      </c>
      <c r="G414" s="15" t="s">
        <v>400</v>
      </c>
      <c r="H414" s="24">
        <v>45</v>
      </c>
      <c r="I414" s="24">
        <v>53.3</v>
      </c>
      <c r="J414" s="24">
        <f>MAX(H414,ROUNDUP(I414,0))</f>
        <v>54</v>
      </c>
      <c r="K414" s="22">
        <f>IF(C414="covered",10.4,7.55)</f>
        <v>7.55</v>
      </c>
      <c r="L414" s="14"/>
      <c r="M414" s="24"/>
      <c r="N414" s="22"/>
      <c r="O414" s="22"/>
      <c r="P414" s="22">
        <f>J414*K414</f>
        <v>407.7</v>
      </c>
      <c r="Q414" s="22">
        <f>IF(L414="","",N414-K414)</f>
        <v/>
      </c>
      <c r="R414" s="24">
        <f>IF(L414="","",M414-J414)</f>
        <v/>
      </c>
      <c r="S414" s="22">
        <f>IF(L414="",-P414,O414-P414)</f>
        <v>-407.7</v>
      </c>
      <c r="T414" s="25" t="str">
        <f>IF(L414="","NO BILL IN SUPPLIED EXPORT",IF(ABS(Q414)&gt;0.001,"RATE EXCEPTION",IF(ABS(R414)&gt;0.001,"LENGTH EXCEPTION",IF(ABS(S414)&gt;0.01,"AMOUNT EXCEPTION","OK"))))</f>
        <v>NO BILL IN SUPPLIED EXPORT</v>
      </c>
      <c r="U414" s="15" t="s">
        <v>2343</v>
      </c>
    </row>
    <row r="415" spans="1:21" ht="28" customHeight="1">
      <c r="A415" s="18" t="s">
        <v>2344</v>
      </c>
      <c r="B415" s="18" t="s">
        <v>194</v>
      </c>
      <c r="C415" s="18" t="s">
        <v>226</v>
      </c>
      <c r="D415" s="18" t="s">
        <v>227</v>
      </c>
      <c r="E415" s="18" t="s">
        <v>2345</v>
      </c>
      <c r="F415" s="19" t="s">
        <v>2346</v>
      </c>
      <c r="G415" s="19" t="s">
        <v>2347</v>
      </c>
      <c r="H415" s="24">
        <v>45</v>
      </c>
      <c r="I415" s="24">
        <v>25.5</v>
      </c>
      <c r="J415" s="24">
        <f>MAX(H415,ROUNDUP(I415,0))</f>
        <v>45.0</v>
      </c>
      <c r="K415" s="22">
        <f>IF(C415="covered",10.4,7.55)</f>
        <v>7.55</v>
      </c>
      <c r="L415" s="18"/>
      <c r="M415" s="24"/>
      <c r="N415" s="22"/>
      <c r="O415" s="22"/>
      <c r="P415" s="22">
        <f>J415*K415</f>
        <v>339.75</v>
      </c>
      <c r="Q415" s="22">
        <f>IF(L415="","",N415-K415)</f>
        <v/>
      </c>
      <c r="R415" s="24">
        <f>IF(L415="","",M415-J415)</f>
        <v/>
      </c>
      <c r="S415" s="22">
        <f>IF(L415="",-P415,O415-P415)</f>
        <v>-339.75</v>
      </c>
      <c r="T415" s="25" t="str">
        <f>IF(L415="","NO BILL IN SUPPLIED EXPORT",IF(ABS(Q415)&gt;0.001,"RATE EXCEPTION",IF(ABS(R415)&gt;0.001,"LENGTH EXCEPTION",IF(ABS(S415)&gt;0.01,"AMOUNT EXCEPTION","OK"))))</f>
        <v>NO BILL IN SUPPLIED EXPORT</v>
      </c>
      <c r="U415" s="19" t="s">
        <v>2348</v>
      </c>
    </row>
    <row r="416" spans="1:21" ht="28" customHeight="1">
      <c r="A416" s="14" t="s">
        <v>2349</v>
      </c>
      <c r="B416" s="14" t="s">
        <v>194</v>
      </c>
      <c r="C416" s="14" t="s">
        <v>226</v>
      </c>
      <c r="D416" s="14" t="s">
        <v>227</v>
      </c>
      <c r="E416" s="14" t="s">
        <v>2350</v>
      </c>
      <c r="F416" s="15" t="s">
        <v>2351</v>
      </c>
      <c r="G416" s="15" t="s">
        <v>2352</v>
      </c>
      <c r="H416" s="24">
        <v>24</v>
      </c>
      <c r="I416" s="24">
        <v>50.9</v>
      </c>
      <c r="J416" s="24">
        <f>MAX(H416,ROUNDUP(I416,0))</f>
        <v>51</v>
      </c>
      <c r="K416" s="22">
        <f>IF(C416="covered",10.4,7.55)</f>
        <v>7.55</v>
      </c>
      <c r="L416" s="14"/>
      <c r="M416" s="24"/>
      <c r="N416" s="22"/>
      <c r="O416" s="22"/>
      <c r="P416" s="22">
        <f>J416*K416</f>
        <v>385.05</v>
      </c>
      <c r="Q416" s="22">
        <f>IF(L416="","",N416-K416)</f>
        <v/>
      </c>
      <c r="R416" s="24">
        <f>IF(L416="","",M416-J416)</f>
        <v/>
      </c>
      <c r="S416" s="22">
        <f>IF(L416="",-P416,O416-P416)</f>
        <v>-385.05</v>
      </c>
      <c r="T416" s="25" t="str">
        <f>IF(L416="","NO BILL IN SUPPLIED EXPORT",IF(ABS(Q416)&gt;0.001,"RATE EXCEPTION",IF(ABS(R416)&gt;0.001,"LENGTH EXCEPTION",IF(ABS(S416)&gt;0.01,"AMOUNT EXCEPTION","OK"))))</f>
        <v>NO BILL IN SUPPLIED EXPORT</v>
      </c>
      <c r="U416" s="15" t="s">
        <v>2353</v>
      </c>
    </row>
    <row r="417" spans="1:21" ht="28" customHeight="1">
      <c r="A417" s="18" t="s">
        <v>2354</v>
      </c>
      <c r="B417" s="18" t="s">
        <v>194</v>
      </c>
      <c r="C417" s="18" t="s">
        <v>226</v>
      </c>
      <c r="D417" s="18" t="s">
        <v>227</v>
      </c>
      <c r="E417" s="18" t="s">
        <v>2355</v>
      </c>
      <c r="F417" s="19" t="s">
        <v>2356</v>
      </c>
      <c r="G417" s="19" t="s">
        <v>1027</v>
      </c>
      <c r="H417" s="24">
        <v>40</v>
      </c>
      <c r="I417" s="24">
        <v>29</v>
      </c>
      <c r="J417" s="24">
        <f>MAX(H417,ROUNDUP(I417,0))</f>
        <v>40.0</v>
      </c>
      <c r="K417" s="22">
        <f>IF(C417="covered",10.4,7.55)</f>
        <v>7.55</v>
      </c>
      <c r="L417" s="18"/>
      <c r="M417" s="24"/>
      <c r="N417" s="22"/>
      <c r="O417" s="22"/>
      <c r="P417" s="22">
        <f>J417*K417</f>
        <v>302.0</v>
      </c>
      <c r="Q417" s="22">
        <f>IF(L417="","",N417-K417)</f>
        <v/>
      </c>
      <c r="R417" s="24">
        <f>IF(L417="","",M417-J417)</f>
        <v/>
      </c>
      <c r="S417" s="22">
        <f>IF(L417="",-P417,O417-P417)</f>
        <v>-302.0</v>
      </c>
      <c r="T417" s="25" t="str">
        <f>IF(L417="","NO BILL IN SUPPLIED EXPORT",IF(ABS(Q417)&gt;0.001,"RATE EXCEPTION",IF(ABS(R417)&gt;0.001,"LENGTH EXCEPTION",IF(ABS(S417)&gt;0.01,"AMOUNT EXCEPTION","OK"))))</f>
        <v>NO BILL IN SUPPLIED EXPORT</v>
      </c>
      <c r="U417" s="19" t="s">
        <v>2357</v>
      </c>
    </row>
    <row r="418" spans="1:21" ht="28" customHeight="1">
      <c r="A418" s="14" t="s">
        <v>2358</v>
      </c>
      <c r="B418" s="14" t="s">
        <v>194</v>
      </c>
      <c r="C418" s="14" t="s">
        <v>226</v>
      </c>
      <c r="D418" s="14" t="s">
        <v>227</v>
      </c>
      <c r="E418" s="14" t="s">
        <v>2359</v>
      </c>
      <c r="F418" s="15" t="s">
        <v>2360</v>
      </c>
      <c r="G418" s="15" t="s">
        <v>1156</v>
      </c>
      <c r="H418" s="24">
        <v>50</v>
      </c>
      <c r="I418" s="24">
        <v>25.9</v>
      </c>
      <c r="J418" s="24">
        <f>MAX(H418,ROUNDUP(I418,0))</f>
        <v>50.0</v>
      </c>
      <c r="K418" s="22">
        <f>IF(C418="covered",10.4,7.55)</f>
        <v>7.55</v>
      </c>
      <c r="L418" s="14"/>
      <c r="M418" s="24"/>
      <c r="N418" s="22"/>
      <c r="O418" s="22"/>
      <c r="P418" s="22">
        <f>J418*K418</f>
        <v>377.5</v>
      </c>
      <c r="Q418" s="22">
        <f>IF(L418="","",N418-K418)</f>
        <v/>
      </c>
      <c r="R418" s="24">
        <f>IF(L418="","",M418-J418)</f>
        <v/>
      </c>
      <c r="S418" s="22">
        <f>IF(L418="",-P418,O418-P418)</f>
        <v>-377.5</v>
      </c>
      <c r="T418" s="25" t="str">
        <f>IF(L418="","NO BILL IN SUPPLIED EXPORT",IF(ABS(Q418)&gt;0.001,"RATE EXCEPTION",IF(ABS(R418)&gt;0.001,"LENGTH EXCEPTION",IF(ABS(S418)&gt;0.01,"AMOUNT EXCEPTION","OK"))))</f>
        <v>NO BILL IN SUPPLIED EXPORT</v>
      </c>
      <c r="U418" s="15" t="s">
        <v>2361</v>
      </c>
    </row>
    <row r="419" spans="1:21" ht="28" customHeight="1">
      <c r="A419" s="18" t="s">
        <v>2362</v>
      </c>
      <c r="B419" s="18" t="s">
        <v>194</v>
      </c>
      <c r="C419" s="18" t="s">
        <v>226</v>
      </c>
      <c r="D419" s="18" t="s">
        <v>227</v>
      </c>
      <c r="E419" s="18" t="s">
        <v>2363</v>
      </c>
      <c r="F419" s="19" t="s">
        <v>2364</v>
      </c>
      <c r="G419" s="19" t="s">
        <v>2365</v>
      </c>
      <c r="H419" s="24">
        <v>32</v>
      </c>
      <c r="I419" s="24">
        <v>36.5</v>
      </c>
      <c r="J419" s="24">
        <f>MAX(H419,ROUNDUP(I419,0))</f>
        <v>37</v>
      </c>
      <c r="K419" s="22">
        <f>IF(C419="covered",10.4,7.55)</f>
        <v>7.55</v>
      </c>
      <c r="L419" s="18"/>
      <c r="M419" s="24"/>
      <c r="N419" s="22"/>
      <c r="O419" s="22"/>
      <c r="P419" s="22">
        <f>J419*K419</f>
        <v>279.34999999999997</v>
      </c>
      <c r="Q419" s="22">
        <f>IF(L419="","",N419-K419)</f>
        <v/>
      </c>
      <c r="R419" s="24">
        <f>IF(L419="","",M419-J419)</f>
        <v/>
      </c>
      <c r="S419" s="22">
        <f>IF(L419="",-P419,O419-P419)</f>
        <v>-279.34999999999997</v>
      </c>
      <c r="T419" s="25" t="str">
        <f>IF(L419="","NO BILL IN SUPPLIED EXPORT",IF(ABS(Q419)&gt;0.001,"RATE EXCEPTION",IF(ABS(R419)&gt;0.001,"LENGTH EXCEPTION",IF(ABS(S419)&gt;0.01,"AMOUNT EXCEPTION","OK"))))</f>
        <v>NO BILL IN SUPPLIED EXPORT</v>
      </c>
      <c r="U419" s="19" t="s">
        <v>2366</v>
      </c>
    </row>
    <row r="420" spans="1:21" ht="28" customHeight="1">
      <c r="A420" s="14" t="s">
        <v>2367</v>
      </c>
      <c r="B420" s="14" t="s">
        <v>194</v>
      </c>
      <c r="C420" s="14" t="s">
        <v>226</v>
      </c>
      <c r="D420" s="14" t="s">
        <v>227</v>
      </c>
      <c r="E420" s="14" t="s">
        <v>2368</v>
      </c>
      <c r="F420" s="15" t="s">
        <v>2369</v>
      </c>
      <c r="G420" s="15" t="s">
        <v>2370</v>
      </c>
      <c r="H420" s="24">
        <v>32</v>
      </c>
      <c r="I420" s="24">
        <v>59</v>
      </c>
      <c r="J420" s="24">
        <f>MAX(H420,ROUNDUP(I420,0))</f>
        <v>59</v>
      </c>
      <c r="K420" s="22">
        <f>IF(C420="covered",10.4,7.55)</f>
        <v>7.55</v>
      </c>
      <c r="L420" s="14"/>
      <c r="M420" s="24"/>
      <c r="N420" s="22"/>
      <c r="O420" s="22"/>
      <c r="P420" s="22">
        <f>J420*K420</f>
        <v>445.45</v>
      </c>
      <c r="Q420" s="22">
        <f>IF(L420="","",N420-K420)</f>
        <v/>
      </c>
      <c r="R420" s="24">
        <f>IF(L420="","",M420-J420)</f>
        <v/>
      </c>
      <c r="S420" s="22">
        <f>IF(L420="",-P420,O420-P420)</f>
        <v>-445.45</v>
      </c>
      <c r="T420" s="25" t="str">
        <f>IF(L420="","NO BILL IN SUPPLIED EXPORT",IF(ABS(Q420)&gt;0.001,"RATE EXCEPTION",IF(ABS(R420)&gt;0.001,"LENGTH EXCEPTION",IF(ABS(S420)&gt;0.01,"AMOUNT EXCEPTION","OK"))))</f>
        <v>NO BILL IN SUPPLIED EXPORT</v>
      </c>
      <c r="U420" s="15" t="s">
        <v>2371</v>
      </c>
    </row>
    <row r="421" spans="1:21" ht="28" customHeight="1">
      <c r="A421" s="18" t="s">
        <v>2372</v>
      </c>
      <c r="B421" s="18" t="s">
        <v>194</v>
      </c>
      <c r="C421" s="18" t="s">
        <v>226</v>
      </c>
      <c r="D421" s="18" t="s">
        <v>227</v>
      </c>
      <c r="E421" s="18" t="s">
        <v>165</v>
      </c>
      <c r="F421" s="19" t="s">
        <v>166</v>
      </c>
      <c r="G421" s="19" t="s">
        <v>167</v>
      </c>
      <c r="H421" s="24">
        <v>28</v>
      </c>
      <c r="I421" s="24">
        <v>53.1</v>
      </c>
      <c r="J421" s="24">
        <f>MAX(H421,ROUNDUP(I421,0))</f>
        <v>54</v>
      </c>
      <c r="K421" s="22">
        <f>IF(C421="covered",10.4,7.55)</f>
        <v>7.55</v>
      </c>
      <c r="L421" s="18"/>
      <c r="M421" s="24"/>
      <c r="N421" s="22"/>
      <c r="O421" s="22"/>
      <c r="P421" s="22">
        <f>J421*K421</f>
        <v>407.7</v>
      </c>
      <c r="Q421" s="22">
        <f>IF(L421="","",N421-K421)</f>
        <v/>
      </c>
      <c r="R421" s="24">
        <f>IF(L421="","",M421-J421)</f>
        <v/>
      </c>
      <c r="S421" s="22">
        <f>IF(L421="",-P421,O421-P421)</f>
        <v>-407.7</v>
      </c>
      <c r="T421" s="25" t="str">
        <f>IF(L421="","NO BILL IN SUPPLIED EXPORT",IF(ABS(Q421)&gt;0.001,"RATE EXCEPTION",IF(ABS(R421)&gt;0.001,"LENGTH EXCEPTION",IF(ABS(S421)&gt;0.01,"AMOUNT EXCEPTION","OK"))))</f>
        <v>NO BILL IN SUPPLIED EXPORT</v>
      </c>
      <c r="U421" s="19" t="s">
        <v>2373</v>
      </c>
    </row>
    <row r="422" spans="1:21" ht="28" customHeight="1">
      <c r="A422" s="14" t="s">
        <v>2374</v>
      </c>
      <c r="B422" s="14" t="s">
        <v>194</v>
      </c>
      <c r="C422" s="14" t="s">
        <v>226</v>
      </c>
      <c r="D422" s="14" t="s">
        <v>227</v>
      </c>
      <c r="E422" s="14" t="s">
        <v>2375</v>
      </c>
      <c r="F422" s="15" t="s">
        <v>2376</v>
      </c>
      <c r="G422" s="15" t="s">
        <v>2377</v>
      </c>
      <c r="H422" s="24">
        <v>24</v>
      </c>
      <c r="I422" s="24">
        <v>45.4</v>
      </c>
      <c r="J422" s="24">
        <f>MAX(H422,ROUNDUP(I422,0))</f>
        <v>46</v>
      </c>
      <c r="K422" s="22">
        <f>IF(C422="covered",10.4,7.55)</f>
        <v>7.55</v>
      </c>
      <c r="L422" s="14"/>
      <c r="M422" s="24"/>
      <c r="N422" s="22"/>
      <c r="O422" s="22"/>
      <c r="P422" s="22">
        <f>J422*K422</f>
        <v>347.3</v>
      </c>
      <c r="Q422" s="22">
        <f>IF(L422="","",N422-K422)</f>
        <v/>
      </c>
      <c r="R422" s="24">
        <f>IF(L422="","",M422-J422)</f>
        <v/>
      </c>
      <c r="S422" s="22">
        <f>IF(L422="",-P422,O422-P422)</f>
        <v>-347.3</v>
      </c>
      <c r="T422" s="25" t="str">
        <f>IF(L422="","NO BILL IN SUPPLIED EXPORT",IF(ABS(Q422)&gt;0.001,"RATE EXCEPTION",IF(ABS(R422)&gt;0.001,"LENGTH EXCEPTION",IF(ABS(S422)&gt;0.01,"AMOUNT EXCEPTION","OK"))))</f>
        <v>NO BILL IN SUPPLIED EXPORT</v>
      </c>
      <c r="U422" s="15" t="s">
        <v>2378</v>
      </c>
    </row>
    <row r="423" spans="1:21" ht="28" customHeight="1">
      <c r="A423" s="18" t="s">
        <v>2379</v>
      </c>
      <c r="B423" s="18" t="s">
        <v>194</v>
      </c>
      <c r="C423" s="18" t="s">
        <v>226</v>
      </c>
      <c r="D423" s="18" t="s">
        <v>227</v>
      </c>
      <c r="E423" s="18" t="s">
        <v>2380</v>
      </c>
      <c r="F423" s="19" t="s">
        <v>2381</v>
      </c>
      <c r="G423" s="19" t="s">
        <v>2382</v>
      </c>
      <c r="H423" s="24">
        <v>32</v>
      </c>
      <c r="I423" s="24">
        <v>55.2</v>
      </c>
      <c r="J423" s="24">
        <f>MAX(H423,ROUNDUP(I423,0))</f>
        <v>56</v>
      </c>
      <c r="K423" s="22">
        <f>IF(C423="covered",10.4,7.55)</f>
        <v>7.55</v>
      </c>
      <c r="L423" s="18"/>
      <c r="M423" s="24"/>
      <c r="N423" s="22"/>
      <c r="O423" s="22"/>
      <c r="P423" s="22">
        <f>J423*K423</f>
        <v>422.8</v>
      </c>
      <c r="Q423" s="22">
        <f>IF(L423="","",N423-K423)</f>
        <v/>
      </c>
      <c r="R423" s="24">
        <f>IF(L423="","",M423-J423)</f>
        <v/>
      </c>
      <c r="S423" s="22">
        <f>IF(L423="",-P423,O423-P423)</f>
        <v>-422.8</v>
      </c>
      <c r="T423" s="25" t="str">
        <f>IF(L423="","NO BILL IN SUPPLIED EXPORT",IF(ABS(Q423)&gt;0.001,"RATE EXCEPTION",IF(ABS(R423)&gt;0.001,"LENGTH EXCEPTION",IF(ABS(S423)&gt;0.01,"AMOUNT EXCEPTION","OK"))))</f>
        <v>NO BILL IN SUPPLIED EXPORT</v>
      </c>
      <c r="U423" s="19" t="s">
        <v>2383</v>
      </c>
    </row>
    <row r="424" spans="1:21" ht="28" customHeight="1">
      <c r="A424" s="14" t="s">
        <v>2384</v>
      </c>
      <c r="B424" s="14" t="s">
        <v>194</v>
      </c>
      <c r="C424" s="14" t="s">
        <v>226</v>
      </c>
      <c r="D424" s="14" t="s">
        <v>227</v>
      </c>
      <c r="E424" s="14" t="s">
        <v>2385</v>
      </c>
      <c r="F424" s="15" t="s">
        <v>2386</v>
      </c>
      <c r="G424" s="15" t="s">
        <v>2224</v>
      </c>
      <c r="H424" s="24">
        <v>24</v>
      </c>
      <c r="I424" s="24">
        <v>61.5</v>
      </c>
      <c r="J424" s="24">
        <f>MAX(H424,ROUNDUP(I424,0))</f>
        <v>62</v>
      </c>
      <c r="K424" s="22">
        <f>IF(C424="covered",10.4,7.55)</f>
        <v>7.55</v>
      </c>
      <c r="L424" s="14"/>
      <c r="M424" s="24"/>
      <c r="N424" s="22"/>
      <c r="O424" s="22"/>
      <c r="P424" s="22">
        <f>J424*K424</f>
        <v>468.09999999999997</v>
      </c>
      <c r="Q424" s="22">
        <f>IF(L424="","",N424-K424)</f>
        <v/>
      </c>
      <c r="R424" s="24">
        <f>IF(L424="","",M424-J424)</f>
        <v/>
      </c>
      <c r="S424" s="22">
        <f>IF(L424="",-P424,O424-P424)</f>
        <v>-468.09999999999997</v>
      </c>
      <c r="T424" s="25" t="str">
        <f>IF(L424="","NO BILL IN SUPPLIED EXPORT",IF(ABS(Q424)&gt;0.001,"RATE EXCEPTION",IF(ABS(R424)&gt;0.001,"LENGTH EXCEPTION",IF(ABS(S424)&gt;0.01,"AMOUNT EXCEPTION","OK"))))</f>
        <v>NO BILL IN SUPPLIED EXPORT</v>
      </c>
      <c r="U424" s="15" t="s">
        <v>2387</v>
      </c>
    </row>
    <row r="425" spans="1:21" ht="28" customHeight="1">
      <c r="A425" s="18" t="s">
        <v>2388</v>
      </c>
      <c r="B425" s="18" t="s">
        <v>194</v>
      </c>
      <c r="C425" s="18" t="s">
        <v>226</v>
      </c>
      <c r="D425" s="18" t="s">
        <v>227</v>
      </c>
      <c r="E425" s="18" t="s">
        <v>2389</v>
      </c>
      <c r="F425" s="19" t="s">
        <v>2390</v>
      </c>
      <c r="G425" s="19" t="s">
        <v>70</v>
      </c>
      <c r="H425" s="24">
        <v>24</v>
      </c>
      <c r="I425" s="24">
        <v>56.4</v>
      </c>
      <c r="J425" s="24">
        <f>MAX(H425,ROUNDUP(I425,0))</f>
        <v>57</v>
      </c>
      <c r="K425" s="22">
        <f>IF(C425="covered",10.4,7.55)</f>
        <v>7.55</v>
      </c>
      <c r="L425" s="18"/>
      <c r="M425" s="24"/>
      <c r="N425" s="22"/>
      <c r="O425" s="22"/>
      <c r="P425" s="22">
        <f>J425*K425</f>
        <v>430.34999999999997</v>
      </c>
      <c r="Q425" s="22">
        <f>IF(L425="","",N425-K425)</f>
        <v/>
      </c>
      <c r="R425" s="24">
        <f>IF(L425="","",M425-J425)</f>
        <v/>
      </c>
      <c r="S425" s="22">
        <f>IF(L425="",-P425,O425-P425)</f>
        <v>-430.34999999999997</v>
      </c>
      <c r="T425" s="25" t="str">
        <f>IF(L425="","NO BILL IN SUPPLIED EXPORT",IF(ABS(Q425)&gt;0.001,"RATE EXCEPTION",IF(ABS(R425)&gt;0.001,"LENGTH EXCEPTION",IF(ABS(S425)&gt;0.01,"AMOUNT EXCEPTION","OK"))))</f>
        <v>NO BILL IN SUPPLIED EXPORT</v>
      </c>
      <c r="U425" s="19" t="s">
        <v>2391</v>
      </c>
    </row>
    <row r="426" spans="1:21" ht="28" customHeight="1">
      <c r="A426" s="14" t="s">
        <v>2392</v>
      </c>
      <c r="B426" s="14" t="s">
        <v>194</v>
      </c>
      <c r="C426" s="14" t="s">
        <v>226</v>
      </c>
      <c r="D426" s="14" t="s">
        <v>227</v>
      </c>
      <c r="E426" s="14" t="s">
        <v>2393</v>
      </c>
      <c r="F426" s="15" t="s">
        <v>2394</v>
      </c>
      <c r="G426" s="15" t="s">
        <v>2395</v>
      </c>
      <c r="H426" s="24">
        <v>50</v>
      </c>
      <c r="I426" s="24">
        <v>61.6</v>
      </c>
      <c r="J426" s="24">
        <f>MAX(H426,ROUNDUP(I426,0))</f>
        <v>62</v>
      </c>
      <c r="K426" s="22">
        <f>IF(C426="covered",10.4,7.55)</f>
        <v>7.55</v>
      </c>
      <c r="L426" s="14"/>
      <c r="M426" s="24"/>
      <c r="N426" s="22"/>
      <c r="O426" s="22"/>
      <c r="P426" s="22">
        <f>J426*K426</f>
        <v>468.09999999999997</v>
      </c>
      <c r="Q426" s="22">
        <f>IF(L426="","",N426-K426)</f>
        <v/>
      </c>
      <c r="R426" s="24">
        <f>IF(L426="","",M426-J426)</f>
        <v/>
      </c>
      <c r="S426" s="22">
        <f>IF(L426="",-P426,O426-P426)</f>
        <v>-468.09999999999997</v>
      </c>
      <c r="T426" s="25" t="str">
        <f>IF(L426="","NO BILL IN SUPPLIED EXPORT",IF(ABS(Q426)&gt;0.001,"RATE EXCEPTION",IF(ABS(R426)&gt;0.001,"LENGTH EXCEPTION",IF(ABS(S426)&gt;0.01,"AMOUNT EXCEPTION","OK"))))</f>
        <v>NO BILL IN SUPPLIED EXPORT</v>
      </c>
      <c r="U426" s="15" t="s">
        <v>2396</v>
      </c>
    </row>
    <row r="427" spans="1:21" ht="28" customHeight="1">
      <c r="A427" s="18" t="s">
        <v>2397</v>
      </c>
      <c r="B427" s="18" t="s">
        <v>194</v>
      </c>
      <c r="C427" s="18" t="s">
        <v>226</v>
      </c>
      <c r="D427" s="18" t="s">
        <v>227</v>
      </c>
      <c r="E427" s="18" t="s">
        <v>2398</v>
      </c>
      <c r="F427" s="19" t="s">
        <v>2399</v>
      </c>
      <c r="G427" s="19" t="s">
        <v>641</v>
      </c>
      <c r="H427" s="24">
        <v>36</v>
      </c>
      <c r="I427" s="24">
        <v>53.5</v>
      </c>
      <c r="J427" s="24">
        <f>MAX(H427,ROUNDUP(I427,0))</f>
        <v>54</v>
      </c>
      <c r="K427" s="22">
        <f>IF(C427="covered",10.4,7.55)</f>
        <v>7.55</v>
      </c>
      <c r="L427" s="18"/>
      <c r="M427" s="24"/>
      <c r="N427" s="22"/>
      <c r="O427" s="22"/>
      <c r="P427" s="22">
        <f>J427*K427</f>
        <v>407.7</v>
      </c>
      <c r="Q427" s="22">
        <f>IF(L427="","",N427-K427)</f>
        <v/>
      </c>
      <c r="R427" s="24">
        <f>IF(L427="","",M427-J427)</f>
        <v/>
      </c>
      <c r="S427" s="22">
        <f>IF(L427="",-P427,O427-P427)</f>
        <v>-407.7</v>
      </c>
      <c r="T427" s="25" t="str">
        <f>IF(L427="","NO BILL IN SUPPLIED EXPORT",IF(ABS(Q427)&gt;0.001,"RATE EXCEPTION",IF(ABS(R427)&gt;0.001,"LENGTH EXCEPTION",IF(ABS(S427)&gt;0.01,"AMOUNT EXCEPTION","OK"))))</f>
        <v>NO BILL IN SUPPLIED EXPORT</v>
      </c>
      <c r="U427" s="19" t="s">
        <v>2400</v>
      </c>
    </row>
    <row r="428" spans="1:21" ht="28" customHeight="1">
      <c r="A428" s="14" t="s">
        <v>2401</v>
      </c>
      <c r="B428" s="14" t="s">
        <v>194</v>
      </c>
      <c r="C428" s="14" t="s">
        <v>226</v>
      </c>
      <c r="D428" s="14" t="s">
        <v>227</v>
      </c>
      <c r="E428" s="14" t="s">
        <v>2402</v>
      </c>
      <c r="F428" s="15" t="s">
        <v>2403</v>
      </c>
      <c r="G428" s="15" t="s">
        <v>2404</v>
      </c>
      <c r="H428" s="24">
        <v>28</v>
      </c>
      <c r="I428" s="24">
        <v>35.7</v>
      </c>
      <c r="J428" s="24">
        <f>MAX(H428,ROUNDUP(I428,0))</f>
        <v>36</v>
      </c>
      <c r="K428" s="22">
        <f>IF(C428="covered",10.4,7.55)</f>
        <v>7.55</v>
      </c>
      <c r="L428" s="14"/>
      <c r="M428" s="24"/>
      <c r="N428" s="22"/>
      <c r="O428" s="22"/>
      <c r="P428" s="22">
        <f>J428*K428</f>
        <v>271.8</v>
      </c>
      <c r="Q428" s="22">
        <f>IF(L428="","",N428-K428)</f>
        <v/>
      </c>
      <c r="R428" s="24">
        <f>IF(L428="","",M428-J428)</f>
        <v/>
      </c>
      <c r="S428" s="22">
        <f>IF(L428="",-P428,O428-P428)</f>
        <v>-271.8</v>
      </c>
      <c r="T428" s="25" t="str">
        <f>IF(L428="","NO BILL IN SUPPLIED EXPORT",IF(ABS(Q428)&gt;0.001,"RATE EXCEPTION",IF(ABS(R428)&gt;0.001,"LENGTH EXCEPTION",IF(ABS(S428)&gt;0.01,"AMOUNT EXCEPTION","OK"))))</f>
        <v>NO BILL IN SUPPLIED EXPORT</v>
      </c>
      <c r="U428" s="15" t="s">
        <v>2405</v>
      </c>
    </row>
    <row r="429" spans="1:21" ht="28" customHeight="1">
      <c r="A429" s="18" t="s">
        <v>2406</v>
      </c>
      <c r="B429" s="18" t="s">
        <v>194</v>
      </c>
      <c r="C429" s="18" t="s">
        <v>226</v>
      </c>
      <c r="D429" s="18" t="s">
        <v>227</v>
      </c>
      <c r="E429" s="18" t="s">
        <v>2407</v>
      </c>
      <c r="F429" s="19" t="s">
        <v>2408</v>
      </c>
      <c r="G429" s="19" t="s">
        <v>2253</v>
      </c>
      <c r="H429" s="24">
        <v>32</v>
      </c>
      <c r="I429" s="24">
        <v>46.7</v>
      </c>
      <c r="J429" s="24">
        <f>MAX(H429,ROUNDUP(I429,0))</f>
        <v>47</v>
      </c>
      <c r="K429" s="22">
        <f>IF(C429="covered",10.4,7.55)</f>
        <v>7.55</v>
      </c>
      <c r="L429" s="18"/>
      <c r="M429" s="24"/>
      <c r="N429" s="22"/>
      <c r="O429" s="22"/>
      <c r="P429" s="22">
        <f>J429*K429</f>
        <v>354.84999999999997</v>
      </c>
      <c r="Q429" s="22">
        <f>IF(L429="","",N429-K429)</f>
        <v/>
      </c>
      <c r="R429" s="24">
        <f>IF(L429="","",M429-J429)</f>
        <v/>
      </c>
      <c r="S429" s="22">
        <f>IF(L429="",-P429,O429-P429)</f>
        <v>-354.84999999999997</v>
      </c>
      <c r="T429" s="25" t="str">
        <f>IF(L429="","NO BILL IN SUPPLIED EXPORT",IF(ABS(Q429)&gt;0.001,"RATE EXCEPTION",IF(ABS(R429)&gt;0.001,"LENGTH EXCEPTION",IF(ABS(S429)&gt;0.01,"AMOUNT EXCEPTION","OK"))))</f>
        <v>NO BILL IN SUPPLIED EXPORT</v>
      </c>
      <c r="U429" s="19" t="s">
        <v>2409</v>
      </c>
    </row>
    <row r="430" spans="1:21" ht="28" customHeight="1">
      <c r="A430" s="14" t="s">
        <v>2410</v>
      </c>
      <c r="B430" s="14" t="s">
        <v>194</v>
      </c>
      <c r="C430" s="14" t="s">
        <v>226</v>
      </c>
      <c r="D430" s="14" t="s">
        <v>227</v>
      </c>
      <c r="E430" s="14" t="s">
        <v>2411</v>
      </c>
      <c r="F430" s="15" t="s">
        <v>2412</v>
      </c>
      <c r="G430" s="15" t="s">
        <v>698</v>
      </c>
      <c r="H430" s="24">
        <v>70</v>
      </c>
      <c r="I430" s="24">
        <v>47.4</v>
      </c>
      <c r="J430" s="24">
        <f>MAX(H430,ROUNDUP(I430,0))</f>
        <v>70.0</v>
      </c>
      <c r="K430" s="22">
        <f>IF(C430="covered",10.4,7.55)</f>
        <v>7.55</v>
      </c>
      <c r="L430" s="14"/>
      <c r="M430" s="24"/>
      <c r="N430" s="22"/>
      <c r="O430" s="22"/>
      <c r="P430" s="22">
        <f>J430*K430</f>
        <v>528.5</v>
      </c>
      <c r="Q430" s="22">
        <f>IF(L430="","",N430-K430)</f>
        <v/>
      </c>
      <c r="R430" s="24">
        <f>IF(L430="","",M430-J430)</f>
        <v/>
      </c>
      <c r="S430" s="22">
        <f>IF(L430="",-P430,O430-P430)</f>
        <v>-528.5</v>
      </c>
      <c r="T430" s="25" t="str">
        <f>IF(L430="","NO BILL IN SUPPLIED EXPORT",IF(ABS(Q430)&gt;0.001,"RATE EXCEPTION",IF(ABS(R430)&gt;0.001,"LENGTH EXCEPTION",IF(ABS(S430)&gt;0.01,"AMOUNT EXCEPTION","OK"))))</f>
        <v>NO BILL IN SUPPLIED EXPORT</v>
      </c>
      <c r="U430" s="15" t="s">
        <v>2413</v>
      </c>
    </row>
    <row r="431" spans="1:21" ht="28" customHeight="1">
      <c r="A431" s="18" t="s">
        <v>2414</v>
      </c>
      <c r="B431" s="18" t="s">
        <v>194</v>
      </c>
      <c r="C431" s="18" t="s">
        <v>226</v>
      </c>
      <c r="D431" s="18" t="s">
        <v>227</v>
      </c>
      <c r="E431" s="18" t="s">
        <v>2415</v>
      </c>
      <c r="F431" s="19" t="s">
        <v>2416</v>
      </c>
      <c r="G431" s="19" t="s">
        <v>2417</v>
      </c>
      <c r="H431" s="24">
        <v>70</v>
      </c>
      <c r="I431" s="24">
        <v>26.3</v>
      </c>
      <c r="J431" s="24">
        <f>MAX(H431,ROUNDUP(I431,0))</f>
        <v>70.0</v>
      </c>
      <c r="K431" s="22">
        <f>IF(C431="covered",10.4,7.55)</f>
        <v>7.55</v>
      </c>
      <c r="L431" s="18"/>
      <c r="M431" s="24"/>
      <c r="N431" s="22"/>
      <c r="O431" s="22"/>
      <c r="P431" s="22">
        <f>J431*K431</f>
        <v>528.5</v>
      </c>
      <c r="Q431" s="22">
        <f>IF(L431="","",N431-K431)</f>
        <v/>
      </c>
      <c r="R431" s="24">
        <f>IF(L431="","",M431-J431)</f>
        <v/>
      </c>
      <c r="S431" s="22">
        <f>IF(L431="",-P431,O431-P431)</f>
        <v>-528.5</v>
      </c>
      <c r="T431" s="25" t="str">
        <f>IF(L431="","NO BILL IN SUPPLIED EXPORT",IF(ABS(Q431)&gt;0.001,"RATE EXCEPTION",IF(ABS(R431)&gt;0.001,"LENGTH EXCEPTION",IF(ABS(S431)&gt;0.01,"AMOUNT EXCEPTION","OK"))))</f>
        <v>NO BILL IN SUPPLIED EXPORT</v>
      </c>
      <c r="U431" s="19" t="s">
        <v>2418</v>
      </c>
    </row>
    <row r="432" spans="1:21" ht="28" customHeight="1">
      <c r="A432" s="14" t="s">
        <v>2419</v>
      </c>
      <c r="B432" s="14" t="s">
        <v>194</v>
      </c>
      <c r="C432" s="14" t="s">
        <v>226</v>
      </c>
      <c r="D432" s="14" t="s">
        <v>227</v>
      </c>
      <c r="E432" s="14" t="s">
        <v>2420</v>
      </c>
      <c r="F432" s="15" t="s">
        <v>2421</v>
      </c>
      <c r="G432" s="15" t="s">
        <v>778</v>
      </c>
      <c r="H432" s="24">
        <v>32</v>
      </c>
      <c r="I432" s="24">
        <v>47.2</v>
      </c>
      <c r="J432" s="24">
        <f>MAX(H432,ROUNDUP(I432,0))</f>
        <v>48</v>
      </c>
      <c r="K432" s="22">
        <f>IF(C432="covered",10.4,7.55)</f>
        <v>7.55</v>
      </c>
      <c r="L432" s="14"/>
      <c r="M432" s="24"/>
      <c r="N432" s="22"/>
      <c r="O432" s="22"/>
      <c r="P432" s="22">
        <f>J432*K432</f>
        <v>362.4</v>
      </c>
      <c r="Q432" s="22">
        <f>IF(L432="","",N432-K432)</f>
        <v/>
      </c>
      <c r="R432" s="24">
        <f>IF(L432="","",M432-J432)</f>
        <v/>
      </c>
      <c r="S432" s="22">
        <f>IF(L432="",-P432,O432-P432)</f>
        <v>-362.4</v>
      </c>
      <c r="T432" s="25" t="str">
        <f>IF(L432="","NO BILL IN SUPPLIED EXPORT",IF(ABS(Q432)&gt;0.001,"RATE EXCEPTION",IF(ABS(R432)&gt;0.001,"LENGTH EXCEPTION",IF(ABS(S432)&gt;0.01,"AMOUNT EXCEPTION","OK"))))</f>
        <v>NO BILL IN SUPPLIED EXPORT</v>
      </c>
      <c r="U432" s="15" t="s">
        <v>2422</v>
      </c>
    </row>
    <row r="433" spans="1:21" ht="28" customHeight="1">
      <c r="A433" s="18" t="s">
        <v>2423</v>
      </c>
      <c r="B433" s="18" t="s">
        <v>194</v>
      </c>
      <c r="C433" s="18" t="s">
        <v>226</v>
      </c>
      <c r="D433" s="18" t="s">
        <v>227</v>
      </c>
      <c r="E433" s="18" t="s">
        <v>2424</v>
      </c>
      <c r="F433" s="19" t="s">
        <v>2425</v>
      </c>
      <c r="G433" s="19" t="s">
        <v>2426</v>
      </c>
      <c r="H433" s="24">
        <v>60</v>
      </c>
      <c r="I433" s="24">
        <v>36.7</v>
      </c>
      <c r="J433" s="24">
        <f>MAX(H433,ROUNDUP(I433,0))</f>
        <v>60.0</v>
      </c>
      <c r="K433" s="22">
        <f>IF(C433="covered",10.4,7.55)</f>
        <v>7.55</v>
      </c>
      <c r="L433" s="18"/>
      <c r="M433" s="24"/>
      <c r="N433" s="22"/>
      <c r="O433" s="22"/>
      <c r="P433" s="22">
        <f>J433*K433</f>
        <v>453.0</v>
      </c>
      <c r="Q433" s="22">
        <f>IF(L433="","",N433-K433)</f>
        <v/>
      </c>
      <c r="R433" s="24">
        <f>IF(L433="","",M433-J433)</f>
        <v/>
      </c>
      <c r="S433" s="22">
        <f>IF(L433="",-P433,O433-P433)</f>
        <v>-453.0</v>
      </c>
      <c r="T433" s="25" t="str">
        <f>IF(L433="","NO BILL IN SUPPLIED EXPORT",IF(ABS(Q433)&gt;0.001,"RATE EXCEPTION",IF(ABS(R433)&gt;0.001,"LENGTH EXCEPTION",IF(ABS(S433)&gt;0.01,"AMOUNT EXCEPTION","OK"))))</f>
        <v>NO BILL IN SUPPLIED EXPORT</v>
      </c>
      <c r="U433" s="19" t="s">
        <v>2427</v>
      </c>
    </row>
    <row r="434" spans="1:21" ht="28" customHeight="1">
      <c r="A434" s="14" t="s">
        <v>2428</v>
      </c>
      <c r="B434" s="14" t="s">
        <v>194</v>
      </c>
      <c r="C434" s="14" t="s">
        <v>226</v>
      </c>
      <c r="D434" s="14" t="s">
        <v>227</v>
      </c>
      <c r="E434" s="14" t="s">
        <v>2429</v>
      </c>
      <c r="F434" s="15" t="s">
        <v>2430</v>
      </c>
      <c r="G434" s="15" t="s">
        <v>1353</v>
      </c>
      <c r="H434" s="24">
        <v>24</v>
      </c>
      <c r="I434" s="24">
        <v>19</v>
      </c>
      <c r="J434" s="24">
        <f>MAX(H434,ROUNDUP(I434,0))</f>
        <v>24.0</v>
      </c>
      <c r="K434" s="22">
        <f>IF(C434="covered",10.4,7.55)</f>
        <v>7.55</v>
      </c>
      <c r="L434" s="14"/>
      <c r="M434" s="24"/>
      <c r="N434" s="22"/>
      <c r="O434" s="22"/>
      <c r="P434" s="22">
        <f>J434*K434</f>
        <v>181.2</v>
      </c>
      <c r="Q434" s="22">
        <f>IF(L434="","",N434-K434)</f>
        <v/>
      </c>
      <c r="R434" s="24">
        <f>IF(L434="","",M434-J434)</f>
        <v/>
      </c>
      <c r="S434" s="22">
        <f>IF(L434="",-P434,O434-P434)</f>
        <v>-181.2</v>
      </c>
      <c r="T434" s="25" t="str">
        <f>IF(L434="","NO BILL IN SUPPLIED EXPORT",IF(ABS(Q434)&gt;0.001,"RATE EXCEPTION",IF(ABS(R434)&gt;0.001,"LENGTH EXCEPTION",IF(ABS(S434)&gt;0.01,"AMOUNT EXCEPTION","OK"))))</f>
        <v>NO BILL IN SUPPLIED EXPORT</v>
      </c>
      <c r="U434" s="15" t="s">
        <v>2431</v>
      </c>
    </row>
    <row r="435" spans="1:21" ht="28" customHeight="1">
      <c r="A435" s="18" t="s">
        <v>2432</v>
      </c>
      <c r="B435" s="18" t="s">
        <v>194</v>
      </c>
      <c r="C435" s="18" t="s">
        <v>226</v>
      </c>
      <c r="D435" s="18" t="s">
        <v>227</v>
      </c>
      <c r="E435" s="18" t="s">
        <v>2433</v>
      </c>
      <c r="F435" s="19" t="s">
        <v>2434</v>
      </c>
      <c r="G435" s="19" t="s">
        <v>500</v>
      </c>
      <c r="H435" s="24">
        <v>36</v>
      </c>
      <c r="I435" s="24">
        <v>25.8</v>
      </c>
      <c r="J435" s="24">
        <f>MAX(H435,ROUNDUP(I435,0))</f>
        <v>36.0</v>
      </c>
      <c r="K435" s="22">
        <f>IF(C435="covered",10.4,7.55)</f>
        <v>7.55</v>
      </c>
      <c r="L435" s="18"/>
      <c r="M435" s="24"/>
      <c r="N435" s="22"/>
      <c r="O435" s="22"/>
      <c r="P435" s="22">
        <f>J435*K435</f>
        <v>271.8</v>
      </c>
      <c r="Q435" s="22">
        <f>IF(L435="","",N435-K435)</f>
        <v/>
      </c>
      <c r="R435" s="24">
        <f>IF(L435="","",M435-J435)</f>
        <v/>
      </c>
      <c r="S435" s="22">
        <f>IF(L435="",-P435,O435-P435)</f>
        <v>-271.8</v>
      </c>
      <c r="T435" s="25" t="str">
        <f>IF(L435="","NO BILL IN SUPPLIED EXPORT",IF(ABS(Q435)&gt;0.001,"RATE EXCEPTION",IF(ABS(R435)&gt;0.001,"LENGTH EXCEPTION",IF(ABS(S435)&gt;0.01,"AMOUNT EXCEPTION","OK"))))</f>
        <v>NO BILL IN SUPPLIED EXPORT</v>
      </c>
      <c r="U435" s="19" t="s">
        <v>2435</v>
      </c>
    </row>
    <row r="436" spans="1:21" ht="28" customHeight="1">
      <c r="A436" s="14" t="s">
        <v>2436</v>
      </c>
      <c r="B436" s="14" t="s">
        <v>194</v>
      </c>
      <c r="C436" s="14" t="s">
        <v>226</v>
      </c>
      <c r="D436" s="14" t="s">
        <v>227</v>
      </c>
      <c r="E436" s="14" t="s">
        <v>2437</v>
      </c>
      <c r="F436" s="15" t="s">
        <v>2438</v>
      </c>
      <c r="G436" s="15" t="s">
        <v>2439</v>
      </c>
      <c r="H436" s="24">
        <v>32</v>
      </c>
      <c r="I436" s="24">
        <v>58.4</v>
      </c>
      <c r="J436" s="24">
        <f>MAX(H436,ROUNDUP(I436,0))</f>
        <v>59</v>
      </c>
      <c r="K436" s="22">
        <f>IF(C436="covered",10.4,7.55)</f>
        <v>7.55</v>
      </c>
      <c r="L436" s="14"/>
      <c r="M436" s="24"/>
      <c r="N436" s="22"/>
      <c r="O436" s="22"/>
      <c r="P436" s="22">
        <f>J436*K436</f>
        <v>445.45</v>
      </c>
      <c r="Q436" s="22">
        <f>IF(L436="","",N436-K436)</f>
        <v/>
      </c>
      <c r="R436" s="24">
        <f>IF(L436="","",M436-J436)</f>
        <v/>
      </c>
      <c r="S436" s="22">
        <f>IF(L436="",-P436,O436-P436)</f>
        <v>-445.45</v>
      </c>
      <c r="T436" s="25" t="str">
        <f>IF(L436="","NO BILL IN SUPPLIED EXPORT",IF(ABS(Q436)&gt;0.001,"RATE EXCEPTION",IF(ABS(R436)&gt;0.001,"LENGTH EXCEPTION",IF(ABS(S436)&gt;0.01,"AMOUNT EXCEPTION","OK"))))</f>
        <v>NO BILL IN SUPPLIED EXPORT</v>
      </c>
      <c r="U436" s="15" t="s">
        <v>2440</v>
      </c>
    </row>
    <row r="437" spans="1:21" ht="28" customHeight="1">
      <c r="A437" s="18" t="s">
        <v>2441</v>
      </c>
      <c r="B437" s="18" t="s">
        <v>194</v>
      </c>
      <c r="C437" s="18" t="s">
        <v>226</v>
      </c>
      <c r="D437" s="18" t="s">
        <v>227</v>
      </c>
      <c r="E437" s="18" t="s">
        <v>2442</v>
      </c>
      <c r="F437" s="19" t="s">
        <v>2443</v>
      </c>
      <c r="G437" s="19" t="s">
        <v>2215</v>
      </c>
      <c r="H437" s="24">
        <v>32</v>
      </c>
      <c r="I437" s="24">
        <v>31.4</v>
      </c>
      <c r="J437" s="24">
        <f>MAX(H437,ROUNDUP(I437,0))</f>
        <v>32.0</v>
      </c>
      <c r="K437" s="22">
        <f>IF(C437="covered",10.4,7.55)</f>
        <v>7.55</v>
      </c>
      <c r="L437" s="18"/>
      <c r="M437" s="24"/>
      <c r="N437" s="22"/>
      <c r="O437" s="22"/>
      <c r="P437" s="22">
        <f>J437*K437</f>
        <v>241.6</v>
      </c>
      <c r="Q437" s="22">
        <f>IF(L437="","",N437-K437)</f>
        <v/>
      </c>
      <c r="R437" s="24">
        <f>IF(L437="","",M437-J437)</f>
        <v/>
      </c>
      <c r="S437" s="22">
        <f>IF(L437="",-P437,O437-P437)</f>
        <v>-241.6</v>
      </c>
      <c r="T437" s="25" t="str">
        <f>IF(L437="","NO BILL IN SUPPLIED EXPORT",IF(ABS(Q437)&gt;0.001,"RATE EXCEPTION",IF(ABS(R437)&gt;0.001,"LENGTH EXCEPTION",IF(ABS(S437)&gt;0.01,"AMOUNT EXCEPTION","OK"))))</f>
        <v>NO BILL IN SUPPLIED EXPORT</v>
      </c>
      <c r="U437" s="19" t="s">
        <v>2444</v>
      </c>
    </row>
    <row r="438" spans="1:21" ht="28" customHeight="1">
      <c r="A438" s="14" t="s">
        <v>2445</v>
      </c>
      <c r="B438" s="14" t="s">
        <v>194</v>
      </c>
      <c r="C438" s="14" t="s">
        <v>226</v>
      </c>
      <c r="D438" s="14" t="s">
        <v>227</v>
      </c>
      <c r="E438" s="14" t="s">
        <v>2446</v>
      </c>
      <c r="F438" s="15" t="s">
        <v>2447</v>
      </c>
      <c r="G438" s="15" t="s">
        <v>1874</v>
      </c>
      <c r="H438" s="24">
        <v>60</v>
      </c>
      <c r="I438" s="24">
        <v>29.1</v>
      </c>
      <c r="J438" s="24">
        <f>MAX(H438,ROUNDUP(I438,0))</f>
        <v>60.0</v>
      </c>
      <c r="K438" s="22">
        <f>IF(C438="covered",10.4,7.55)</f>
        <v>7.55</v>
      </c>
      <c r="L438" s="14"/>
      <c r="M438" s="24"/>
      <c r="N438" s="22"/>
      <c r="O438" s="22"/>
      <c r="P438" s="22">
        <f>J438*K438</f>
        <v>453.0</v>
      </c>
      <c r="Q438" s="22">
        <f>IF(L438="","",N438-K438)</f>
        <v/>
      </c>
      <c r="R438" s="24">
        <f>IF(L438="","",M438-J438)</f>
        <v/>
      </c>
      <c r="S438" s="22">
        <f>IF(L438="",-P438,O438-P438)</f>
        <v>-453.0</v>
      </c>
      <c r="T438" s="25" t="str">
        <f>IF(L438="","NO BILL IN SUPPLIED EXPORT",IF(ABS(Q438)&gt;0.001,"RATE EXCEPTION",IF(ABS(R438)&gt;0.001,"LENGTH EXCEPTION",IF(ABS(S438)&gt;0.01,"AMOUNT EXCEPTION","OK"))))</f>
        <v>NO BILL IN SUPPLIED EXPORT</v>
      </c>
      <c r="U438" s="15" t="s">
        <v>2448</v>
      </c>
    </row>
    <row r="439" spans="1:21" ht="28" customHeight="1">
      <c r="A439" s="18" t="s">
        <v>2449</v>
      </c>
      <c r="B439" s="18" t="s">
        <v>194</v>
      </c>
      <c r="C439" s="18" t="s">
        <v>226</v>
      </c>
      <c r="D439" s="18" t="s">
        <v>227</v>
      </c>
      <c r="E439" s="18" t="s">
        <v>2450</v>
      </c>
      <c r="F439" s="19" t="s">
        <v>2451</v>
      </c>
      <c r="G439" s="19" t="s">
        <v>2452</v>
      </c>
      <c r="H439" s="24">
        <v>60</v>
      </c>
      <c r="I439" s="24">
        <v>58.3</v>
      </c>
      <c r="J439" s="24">
        <f>MAX(H439,ROUNDUP(I439,0))</f>
        <v>60.0</v>
      </c>
      <c r="K439" s="22">
        <f>IF(C439="covered",10.4,7.55)</f>
        <v>7.55</v>
      </c>
      <c r="L439" s="18"/>
      <c r="M439" s="24"/>
      <c r="N439" s="22"/>
      <c r="O439" s="22"/>
      <c r="P439" s="22">
        <f>J439*K439</f>
        <v>453.0</v>
      </c>
      <c r="Q439" s="22">
        <f>IF(L439="","",N439-K439)</f>
        <v/>
      </c>
      <c r="R439" s="24">
        <f>IF(L439="","",M439-J439)</f>
        <v/>
      </c>
      <c r="S439" s="22">
        <f>IF(L439="",-P439,O439-P439)</f>
        <v>-453.0</v>
      </c>
      <c r="T439" s="25" t="str">
        <f>IF(L439="","NO BILL IN SUPPLIED EXPORT",IF(ABS(Q439)&gt;0.001,"RATE EXCEPTION",IF(ABS(R439)&gt;0.001,"LENGTH EXCEPTION",IF(ABS(S439)&gt;0.01,"AMOUNT EXCEPTION","OK"))))</f>
        <v>NO BILL IN SUPPLIED EXPORT</v>
      </c>
      <c r="U439" s="19" t="s">
        <v>2453</v>
      </c>
    </row>
    <row r="440" spans="1:21" ht="28" customHeight="1">
      <c r="A440" s="14" t="s">
        <v>2454</v>
      </c>
      <c r="B440" s="14" t="s">
        <v>194</v>
      </c>
      <c r="C440" s="14" t="s">
        <v>226</v>
      </c>
      <c r="D440" s="14" t="s">
        <v>227</v>
      </c>
      <c r="E440" s="14" t="s">
        <v>2455</v>
      </c>
      <c r="F440" s="15" t="s">
        <v>2456</v>
      </c>
      <c r="G440" s="15" t="s">
        <v>149</v>
      </c>
      <c r="H440" s="24">
        <v>45</v>
      </c>
      <c r="I440" s="24">
        <v>47.5</v>
      </c>
      <c r="J440" s="24">
        <f>MAX(H440,ROUNDUP(I440,0))</f>
        <v>48</v>
      </c>
      <c r="K440" s="22">
        <f>IF(C440="covered",10.4,7.55)</f>
        <v>7.55</v>
      </c>
      <c r="L440" s="14"/>
      <c r="M440" s="24"/>
      <c r="N440" s="22"/>
      <c r="O440" s="22"/>
      <c r="P440" s="22">
        <f>J440*K440</f>
        <v>362.4</v>
      </c>
      <c r="Q440" s="22">
        <f>IF(L440="","",N440-K440)</f>
        <v/>
      </c>
      <c r="R440" s="24">
        <f>IF(L440="","",M440-J440)</f>
        <v/>
      </c>
      <c r="S440" s="22">
        <f>IF(L440="",-P440,O440-P440)</f>
        <v>-362.4</v>
      </c>
      <c r="T440" s="25" t="str">
        <f>IF(L440="","NO BILL IN SUPPLIED EXPORT",IF(ABS(Q440)&gt;0.001,"RATE EXCEPTION",IF(ABS(R440)&gt;0.001,"LENGTH EXCEPTION",IF(ABS(S440)&gt;0.01,"AMOUNT EXCEPTION","OK"))))</f>
        <v>NO BILL IN SUPPLIED EXPORT</v>
      </c>
      <c r="U440" s="15" t="s">
        <v>2457</v>
      </c>
    </row>
    <row r="441" spans="1:21" ht="28" customHeight="1">
      <c r="A441" s="18" t="s">
        <v>2458</v>
      </c>
      <c r="B441" s="18" t="s">
        <v>194</v>
      </c>
      <c r="C441" s="18" t="s">
        <v>226</v>
      </c>
      <c r="D441" s="18" t="s">
        <v>227</v>
      </c>
      <c r="E441" s="18" t="s">
        <v>2459</v>
      </c>
      <c r="F441" s="19" t="s">
        <v>2460</v>
      </c>
      <c r="G441" s="19" t="s">
        <v>2461</v>
      </c>
      <c r="H441" s="24">
        <v>45</v>
      </c>
      <c r="I441" s="24">
        <v>27.2</v>
      </c>
      <c r="J441" s="24">
        <f>MAX(H441,ROUNDUP(I441,0))</f>
        <v>45.0</v>
      </c>
      <c r="K441" s="22">
        <f>IF(C441="covered",10.4,7.55)</f>
        <v>7.55</v>
      </c>
      <c r="L441" s="18"/>
      <c r="M441" s="24"/>
      <c r="N441" s="22"/>
      <c r="O441" s="22"/>
      <c r="P441" s="22">
        <f>J441*K441</f>
        <v>339.75</v>
      </c>
      <c r="Q441" s="22">
        <f>IF(L441="","",N441-K441)</f>
        <v/>
      </c>
      <c r="R441" s="24">
        <f>IF(L441="","",M441-J441)</f>
        <v/>
      </c>
      <c r="S441" s="22">
        <f>IF(L441="",-P441,O441-P441)</f>
        <v>-339.75</v>
      </c>
      <c r="T441" s="25" t="str">
        <f>IF(L441="","NO BILL IN SUPPLIED EXPORT",IF(ABS(Q441)&gt;0.001,"RATE EXCEPTION",IF(ABS(R441)&gt;0.001,"LENGTH EXCEPTION",IF(ABS(S441)&gt;0.01,"AMOUNT EXCEPTION","OK"))))</f>
        <v>NO BILL IN SUPPLIED EXPORT</v>
      </c>
      <c r="U441" s="19" t="s">
        <v>2462</v>
      </c>
    </row>
    <row r="442" spans="1:21" ht="28" customHeight="1">
      <c r="A442" s="14" t="s">
        <v>2463</v>
      </c>
      <c r="B442" s="14" t="s">
        <v>194</v>
      </c>
      <c r="C442" s="14" t="s">
        <v>226</v>
      </c>
      <c r="D442" s="14" t="s">
        <v>227</v>
      </c>
      <c r="E442" s="14" t="s">
        <v>2464</v>
      </c>
      <c r="F442" s="15" t="s">
        <v>2465</v>
      </c>
      <c r="G442" s="15" t="s">
        <v>1495</v>
      </c>
      <c r="H442" s="24">
        <v>80</v>
      </c>
      <c r="I442" s="24">
        <v>51.7</v>
      </c>
      <c r="J442" s="24">
        <f>MAX(H442,ROUNDUP(I442,0))</f>
        <v>80.0</v>
      </c>
      <c r="K442" s="22">
        <f>IF(C442="covered",10.4,7.55)</f>
        <v>7.55</v>
      </c>
      <c r="L442" s="14"/>
      <c r="M442" s="24"/>
      <c r="N442" s="22"/>
      <c r="O442" s="22"/>
      <c r="P442" s="22">
        <f>J442*K442</f>
        <v>604.0</v>
      </c>
      <c r="Q442" s="22">
        <f>IF(L442="","",N442-K442)</f>
        <v/>
      </c>
      <c r="R442" s="24">
        <f>IF(L442="","",M442-J442)</f>
        <v/>
      </c>
      <c r="S442" s="22">
        <f>IF(L442="",-P442,O442-P442)</f>
        <v>-604.0</v>
      </c>
      <c r="T442" s="25" t="str">
        <f>IF(L442="","NO BILL IN SUPPLIED EXPORT",IF(ABS(Q442)&gt;0.001,"RATE EXCEPTION",IF(ABS(R442)&gt;0.001,"LENGTH EXCEPTION",IF(ABS(S442)&gt;0.01,"AMOUNT EXCEPTION","OK"))))</f>
        <v>NO BILL IN SUPPLIED EXPORT</v>
      </c>
      <c r="U442" s="15" t="s">
        <v>2466</v>
      </c>
    </row>
    <row r="443" spans="1:21" ht="28" customHeight="1">
      <c r="A443" s="18" t="s">
        <v>2467</v>
      </c>
      <c r="B443" s="18" t="s">
        <v>194</v>
      </c>
      <c r="C443" s="18" t="s">
        <v>226</v>
      </c>
      <c r="D443" s="18" t="s">
        <v>227</v>
      </c>
      <c r="E443" s="18" t="s">
        <v>2468</v>
      </c>
      <c r="F443" s="19" t="s">
        <v>2469</v>
      </c>
      <c r="G443" s="19" t="s">
        <v>2470</v>
      </c>
      <c r="H443" s="24">
        <v>80</v>
      </c>
      <c r="I443" s="24">
        <v>48</v>
      </c>
      <c r="J443" s="24">
        <f>MAX(H443,ROUNDUP(I443,0))</f>
        <v>80.0</v>
      </c>
      <c r="K443" s="22">
        <f>IF(C443="covered",10.4,7.55)</f>
        <v>7.55</v>
      </c>
      <c r="L443" s="18"/>
      <c r="M443" s="24"/>
      <c r="N443" s="22"/>
      <c r="O443" s="22"/>
      <c r="P443" s="22">
        <f>J443*K443</f>
        <v>604.0</v>
      </c>
      <c r="Q443" s="22">
        <f>IF(L443="","",N443-K443)</f>
        <v/>
      </c>
      <c r="R443" s="24">
        <f>IF(L443="","",M443-J443)</f>
        <v/>
      </c>
      <c r="S443" s="22">
        <f>IF(L443="",-P443,O443-P443)</f>
        <v>-604.0</v>
      </c>
      <c r="T443" s="25" t="str">
        <f>IF(L443="","NO BILL IN SUPPLIED EXPORT",IF(ABS(Q443)&gt;0.001,"RATE EXCEPTION",IF(ABS(R443)&gt;0.001,"LENGTH EXCEPTION",IF(ABS(S443)&gt;0.01,"AMOUNT EXCEPTION","OK"))))</f>
        <v>NO BILL IN SUPPLIED EXPORT</v>
      </c>
      <c r="U443" s="19" t="s">
        <v>2471</v>
      </c>
    </row>
    <row r="444" spans="1:21" ht="28" customHeight="1">
      <c r="A444" s="14" t="s">
        <v>136</v>
      </c>
      <c r="B444" s="14" t="s">
        <v>194</v>
      </c>
      <c r="C444" s="14" t="s">
        <v>226</v>
      </c>
      <c r="D444" s="14" t="s">
        <v>227</v>
      </c>
      <c r="E444" s="14" t="s">
        <v>2472</v>
      </c>
      <c r="F444" s="15" t="s">
        <v>2473</v>
      </c>
      <c r="G444" s="15" t="s">
        <v>1932</v>
      </c>
      <c r="H444" s="24">
        <v>60</v>
      </c>
      <c r="I444" s="24">
        <v>27.1</v>
      </c>
      <c r="J444" s="24">
        <f>MAX(H444,ROUNDUP(I444,0))</f>
        <v>60.0</v>
      </c>
      <c r="K444" s="22">
        <f>IF(C444="covered",10.4,7.55)</f>
        <v>7.55</v>
      </c>
      <c r="L444" s="14"/>
      <c r="M444" s="24"/>
      <c r="N444" s="22"/>
      <c r="O444" s="22"/>
      <c r="P444" s="22">
        <f>J444*K444</f>
        <v>453.0</v>
      </c>
      <c r="Q444" s="22">
        <f>IF(L444="","",N444-K444)</f>
        <v/>
      </c>
      <c r="R444" s="24">
        <f>IF(L444="","",M444-J444)</f>
        <v/>
      </c>
      <c r="S444" s="22">
        <f>IF(L444="",-P444,O444-P444)</f>
        <v>-453.0</v>
      </c>
      <c r="T444" s="25" t="str">
        <f>IF(L444="","NO BILL IN SUPPLIED EXPORT",IF(ABS(Q444)&gt;0.001,"RATE EXCEPTION",IF(ABS(R444)&gt;0.001,"LENGTH EXCEPTION",IF(ABS(S444)&gt;0.01,"AMOUNT EXCEPTION","OK"))))</f>
        <v>NO BILL IN SUPPLIED EXPORT</v>
      </c>
      <c r="U444" s="15" t="s">
        <v>2474</v>
      </c>
    </row>
    <row r="445" spans="1:21" ht="28" customHeight="1">
      <c r="A445" s="18" t="s">
        <v>2475</v>
      </c>
      <c r="B445" s="18" t="s">
        <v>194</v>
      </c>
      <c r="C445" s="18" t="s">
        <v>226</v>
      </c>
      <c r="D445" s="18" t="s">
        <v>227</v>
      </c>
      <c r="E445" s="18" t="s">
        <v>2476</v>
      </c>
      <c r="F445" s="19" t="s">
        <v>2477</v>
      </c>
      <c r="G445" s="19" t="s">
        <v>2478</v>
      </c>
      <c r="H445" s="24">
        <v>32</v>
      </c>
      <c r="I445" s="24">
        <v>30.6</v>
      </c>
      <c r="J445" s="24">
        <f>MAX(H445,ROUNDUP(I445,0))</f>
        <v>32.0</v>
      </c>
      <c r="K445" s="22">
        <f>IF(C445="covered",10.4,7.55)</f>
        <v>7.55</v>
      </c>
      <c r="L445" s="18"/>
      <c r="M445" s="24"/>
      <c r="N445" s="22"/>
      <c r="O445" s="22"/>
      <c r="P445" s="22">
        <f>J445*K445</f>
        <v>241.6</v>
      </c>
      <c r="Q445" s="22">
        <f>IF(L445="","",N445-K445)</f>
        <v/>
      </c>
      <c r="R445" s="24">
        <f>IF(L445="","",M445-J445)</f>
        <v/>
      </c>
      <c r="S445" s="22">
        <f>IF(L445="",-P445,O445-P445)</f>
        <v>-241.6</v>
      </c>
      <c r="T445" s="25" t="str">
        <f>IF(L445="","NO BILL IN SUPPLIED EXPORT",IF(ABS(Q445)&gt;0.001,"RATE EXCEPTION",IF(ABS(R445)&gt;0.001,"LENGTH EXCEPTION",IF(ABS(S445)&gt;0.01,"AMOUNT EXCEPTION","OK"))))</f>
        <v>NO BILL IN SUPPLIED EXPORT</v>
      </c>
      <c r="U445" s="19" t="s">
        <v>2479</v>
      </c>
    </row>
    <row r="446" spans="1:21" ht="28" customHeight="1">
      <c r="A446" s="14" t="s">
        <v>2480</v>
      </c>
      <c r="B446" s="14" t="s">
        <v>194</v>
      </c>
      <c r="C446" s="14" t="s">
        <v>226</v>
      </c>
      <c r="D446" s="14" t="s">
        <v>227</v>
      </c>
      <c r="E446" s="14" t="s">
        <v>2481</v>
      </c>
      <c r="F446" s="15" t="s">
        <v>2482</v>
      </c>
      <c r="G446" s="15" t="s">
        <v>1731</v>
      </c>
      <c r="H446" s="24">
        <v>70</v>
      </c>
      <c r="I446" s="24">
        <v>50.8</v>
      </c>
      <c r="J446" s="24">
        <f>MAX(H446,ROUNDUP(I446,0))</f>
        <v>70.0</v>
      </c>
      <c r="K446" s="22">
        <f>IF(C446="covered",10.4,7.55)</f>
        <v>7.55</v>
      </c>
      <c r="L446" s="14"/>
      <c r="M446" s="24"/>
      <c r="N446" s="22"/>
      <c r="O446" s="22"/>
      <c r="P446" s="22">
        <f>J446*K446</f>
        <v>528.5</v>
      </c>
      <c r="Q446" s="22">
        <f>IF(L446="","",N446-K446)</f>
        <v/>
      </c>
      <c r="R446" s="24">
        <f>IF(L446="","",M446-J446)</f>
        <v/>
      </c>
      <c r="S446" s="22">
        <f>IF(L446="",-P446,O446-P446)</f>
        <v>-528.5</v>
      </c>
      <c r="T446" s="25" t="str">
        <f>IF(L446="","NO BILL IN SUPPLIED EXPORT",IF(ABS(Q446)&gt;0.001,"RATE EXCEPTION",IF(ABS(R446)&gt;0.001,"LENGTH EXCEPTION",IF(ABS(S446)&gt;0.01,"AMOUNT EXCEPTION","OK"))))</f>
        <v>NO BILL IN SUPPLIED EXPORT</v>
      </c>
      <c r="U446" s="15" t="s">
        <v>2483</v>
      </c>
    </row>
    <row r="447" spans="1:21" ht="28" customHeight="1">
      <c r="A447" s="18" t="s">
        <v>2484</v>
      </c>
      <c r="B447" s="18" t="s">
        <v>194</v>
      </c>
      <c r="C447" s="18" t="s">
        <v>226</v>
      </c>
      <c r="D447" s="18" t="s">
        <v>227</v>
      </c>
      <c r="E447" s="18" t="s">
        <v>2485</v>
      </c>
      <c r="F447" s="19" t="s">
        <v>2486</v>
      </c>
      <c r="G447" s="19" t="s">
        <v>2487</v>
      </c>
      <c r="H447" s="24">
        <v>24</v>
      </c>
      <c r="I447" s="24">
        <v>31.6</v>
      </c>
      <c r="J447" s="24">
        <f>MAX(H447,ROUNDUP(I447,0))</f>
        <v>32</v>
      </c>
      <c r="K447" s="22">
        <f>IF(C447="covered",10.4,7.55)</f>
        <v>7.55</v>
      </c>
      <c r="L447" s="18"/>
      <c r="M447" s="24"/>
      <c r="N447" s="22"/>
      <c r="O447" s="22"/>
      <c r="P447" s="22">
        <f>J447*K447</f>
        <v>241.6</v>
      </c>
      <c r="Q447" s="22">
        <f>IF(L447="","",N447-K447)</f>
        <v/>
      </c>
      <c r="R447" s="24">
        <f>IF(L447="","",M447-J447)</f>
        <v/>
      </c>
      <c r="S447" s="22">
        <f>IF(L447="",-P447,O447-P447)</f>
        <v>-241.6</v>
      </c>
      <c r="T447" s="25" t="str">
        <f>IF(L447="","NO BILL IN SUPPLIED EXPORT",IF(ABS(Q447)&gt;0.001,"RATE EXCEPTION",IF(ABS(R447)&gt;0.001,"LENGTH EXCEPTION",IF(ABS(S447)&gt;0.01,"AMOUNT EXCEPTION","OK"))))</f>
        <v>NO BILL IN SUPPLIED EXPORT</v>
      </c>
      <c r="U447" s="19" t="s">
        <v>2488</v>
      </c>
    </row>
    <row r="448" spans="1:21" ht="28" customHeight="1">
      <c r="A448" s="14" t="s">
        <v>111</v>
      </c>
      <c r="B448" s="14" t="s">
        <v>194</v>
      </c>
      <c r="C448" s="14" t="s">
        <v>226</v>
      </c>
      <c r="D448" s="14" t="s">
        <v>227</v>
      </c>
      <c r="E448" s="14" t="s">
        <v>2489</v>
      </c>
      <c r="F448" s="15" t="s">
        <v>2490</v>
      </c>
      <c r="G448" s="15" t="s">
        <v>500</v>
      </c>
      <c r="H448" s="24">
        <v>32</v>
      </c>
      <c r="I448" s="24">
        <v>22.5</v>
      </c>
      <c r="J448" s="24">
        <f>MAX(H448,ROUNDUP(I448,0))</f>
        <v>32.0</v>
      </c>
      <c r="K448" s="22">
        <f>IF(C448="covered",10.4,7.55)</f>
        <v>7.55</v>
      </c>
      <c r="L448" s="14"/>
      <c r="M448" s="24"/>
      <c r="N448" s="22"/>
      <c r="O448" s="22"/>
      <c r="P448" s="22">
        <f>J448*K448</f>
        <v>241.6</v>
      </c>
      <c r="Q448" s="22">
        <f>IF(L448="","",N448-K448)</f>
        <v/>
      </c>
      <c r="R448" s="24">
        <f>IF(L448="","",M448-J448)</f>
        <v/>
      </c>
      <c r="S448" s="22">
        <f>IF(L448="",-P448,O448-P448)</f>
        <v>-241.6</v>
      </c>
      <c r="T448" s="25" t="str">
        <f>IF(L448="","NO BILL IN SUPPLIED EXPORT",IF(ABS(Q448)&gt;0.001,"RATE EXCEPTION",IF(ABS(R448)&gt;0.001,"LENGTH EXCEPTION",IF(ABS(S448)&gt;0.01,"AMOUNT EXCEPTION","OK"))))</f>
        <v>NO BILL IN SUPPLIED EXPORT</v>
      </c>
      <c r="U448" s="15" t="s">
        <v>2491</v>
      </c>
    </row>
    <row r="449" spans="1:21" ht="28" customHeight="1">
      <c r="A449" s="18" t="s">
        <v>2492</v>
      </c>
      <c r="B449" s="18" t="s">
        <v>194</v>
      </c>
      <c r="C449" s="18" t="s">
        <v>226</v>
      </c>
      <c r="D449" s="18" t="s">
        <v>227</v>
      </c>
      <c r="E449" s="18" t="s">
        <v>2493</v>
      </c>
      <c r="F449" s="19" t="s">
        <v>2494</v>
      </c>
      <c r="G449" s="19" t="s">
        <v>923</v>
      </c>
      <c r="H449" s="24">
        <v>24</v>
      </c>
      <c r="I449" s="24">
        <v>51</v>
      </c>
      <c r="J449" s="24">
        <f>MAX(H449,ROUNDUP(I449,0))</f>
        <v>51</v>
      </c>
      <c r="K449" s="22">
        <f>IF(C449="covered",10.4,7.55)</f>
        <v>7.55</v>
      </c>
      <c r="L449" s="18"/>
      <c r="M449" s="24"/>
      <c r="N449" s="22"/>
      <c r="O449" s="22"/>
      <c r="P449" s="22">
        <f>J449*K449</f>
        <v>385.05</v>
      </c>
      <c r="Q449" s="22">
        <f>IF(L449="","",N449-K449)</f>
        <v/>
      </c>
      <c r="R449" s="24">
        <f>IF(L449="","",M449-J449)</f>
        <v/>
      </c>
      <c r="S449" s="22">
        <f>IF(L449="",-P449,O449-P449)</f>
        <v>-385.05</v>
      </c>
      <c r="T449" s="25" t="str">
        <f>IF(L449="","NO BILL IN SUPPLIED EXPORT",IF(ABS(Q449)&gt;0.001,"RATE EXCEPTION",IF(ABS(R449)&gt;0.001,"LENGTH EXCEPTION",IF(ABS(S449)&gt;0.01,"AMOUNT EXCEPTION","OK"))))</f>
        <v>NO BILL IN SUPPLIED EXPORT</v>
      </c>
      <c r="U449" s="19" t="s">
        <v>2495</v>
      </c>
    </row>
    <row r="450" spans="1:21" ht="28" customHeight="1">
      <c r="A450" s="14" t="s">
        <v>2496</v>
      </c>
      <c r="B450" s="14" t="s">
        <v>194</v>
      </c>
      <c r="C450" s="14" t="s">
        <v>226</v>
      </c>
      <c r="D450" s="14" t="s">
        <v>227</v>
      </c>
      <c r="E450" s="14" t="s">
        <v>2497</v>
      </c>
      <c r="F450" s="15" t="s">
        <v>2498</v>
      </c>
      <c r="G450" s="15" t="s">
        <v>1674</v>
      </c>
      <c r="H450" s="24">
        <v>45</v>
      </c>
      <c r="I450" s="24">
        <v>42.1</v>
      </c>
      <c r="J450" s="24">
        <f>MAX(H450,ROUNDUP(I450,0))</f>
        <v>45.0</v>
      </c>
      <c r="K450" s="22">
        <f>IF(C450="covered",10.4,7.55)</f>
        <v>7.55</v>
      </c>
      <c r="L450" s="14"/>
      <c r="M450" s="24"/>
      <c r="N450" s="22"/>
      <c r="O450" s="22"/>
      <c r="P450" s="22">
        <f>J450*K450</f>
        <v>339.75</v>
      </c>
      <c r="Q450" s="22">
        <f>IF(L450="","",N450-K450)</f>
        <v/>
      </c>
      <c r="R450" s="24">
        <f>IF(L450="","",M450-J450)</f>
        <v/>
      </c>
      <c r="S450" s="22">
        <f>IF(L450="",-P450,O450-P450)</f>
        <v>-339.75</v>
      </c>
      <c r="T450" s="25" t="str">
        <f>IF(L450="","NO BILL IN SUPPLIED EXPORT",IF(ABS(Q450)&gt;0.001,"RATE EXCEPTION",IF(ABS(R450)&gt;0.001,"LENGTH EXCEPTION",IF(ABS(S450)&gt;0.01,"AMOUNT EXCEPTION","OK"))))</f>
        <v>NO BILL IN SUPPLIED EXPORT</v>
      </c>
      <c r="U450" s="15" t="s">
        <v>2499</v>
      </c>
    </row>
    <row r="451" spans="1:21" ht="28" customHeight="1">
      <c r="A451" s="18" t="s">
        <v>2500</v>
      </c>
      <c r="B451" s="18" t="s">
        <v>194</v>
      </c>
      <c r="C451" s="18" t="s">
        <v>226</v>
      </c>
      <c r="D451" s="18" t="s">
        <v>227</v>
      </c>
      <c r="E451" s="18" t="s">
        <v>2501</v>
      </c>
      <c r="F451" s="19" t="s">
        <v>2502</v>
      </c>
      <c r="G451" s="19" t="s">
        <v>2503</v>
      </c>
      <c r="H451" s="24">
        <v>32</v>
      </c>
      <c r="I451" s="24">
        <v>19.8</v>
      </c>
      <c r="J451" s="24">
        <f>MAX(H451,ROUNDUP(I451,0))</f>
        <v>32.0</v>
      </c>
      <c r="K451" s="22">
        <f>IF(C451="covered",10.4,7.55)</f>
        <v>7.55</v>
      </c>
      <c r="L451" s="18"/>
      <c r="M451" s="24"/>
      <c r="N451" s="22"/>
      <c r="O451" s="22"/>
      <c r="P451" s="22">
        <f>J451*K451</f>
        <v>241.6</v>
      </c>
      <c r="Q451" s="22">
        <f>IF(L451="","",N451-K451)</f>
        <v/>
      </c>
      <c r="R451" s="24">
        <f>IF(L451="","",M451-J451)</f>
        <v/>
      </c>
      <c r="S451" s="22">
        <f>IF(L451="",-P451,O451-P451)</f>
        <v>-241.6</v>
      </c>
      <c r="T451" s="25" t="str">
        <f>IF(L451="","NO BILL IN SUPPLIED EXPORT",IF(ABS(Q451)&gt;0.001,"RATE EXCEPTION",IF(ABS(R451)&gt;0.001,"LENGTH EXCEPTION",IF(ABS(S451)&gt;0.01,"AMOUNT EXCEPTION","OK"))))</f>
        <v>NO BILL IN SUPPLIED EXPORT</v>
      </c>
      <c r="U451" s="19" t="s">
        <v>2504</v>
      </c>
    </row>
    <row r="452" spans="1:21" ht="28" customHeight="1">
      <c r="A452" s="14" t="s">
        <v>2505</v>
      </c>
      <c r="B452" s="14" t="s">
        <v>194</v>
      </c>
      <c r="C452" s="14" t="s">
        <v>226</v>
      </c>
      <c r="D452" s="14" t="s">
        <v>227</v>
      </c>
      <c r="E452" s="14" t="s">
        <v>2506</v>
      </c>
      <c r="F452" s="15" t="s">
        <v>2507</v>
      </c>
      <c r="G452" s="15" t="s">
        <v>2508</v>
      </c>
      <c r="H452" s="24">
        <v>45</v>
      </c>
      <c r="I452" s="24">
        <v>28.5</v>
      </c>
      <c r="J452" s="24">
        <f>MAX(H452,ROUNDUP(I452,0))</f>
        <v>45.0</v>
      </c>
      <c r="K452" s="22">
        <f>IF(C452="covered",10.4,7.55)</f>
        <v>7.55</v>
      </c>
      <c r="L452" s="14"/>
      <c r="M452" s="24"/>
      <c r="N452" s="22"/>
      <c r="O452" s="22"/>
      <c r="P452" s="22">
        <f>J452*K452</f>
        <v>339.75</v>
      </c>
      <c r="Q452" s="22">
        <f>IF(L452="","",N452-K452)</f>
        <v/>
      </c>
      <c r="R452" s="24">
        <f>IF(L452="","",M452-J452)</f>
        <v/>
      </c>
      <c r="S452" s="22">
        <f>IF(L452="",-P452,O452-P452)</f>
        <v>-339.75</v>
      </c>
      <c r="T452" s="25" t="str">
        <f>IF(L452="","NO BILL IN SUPPLIED EXPORT",IF(ABS(Q452)&gt;0.001,"RATE EXCEPTION",IF(ABS(R452)&gt;0.001,"LENGTH EXCEPTION",IF(ABS(S452)&gt;0.01,"AMOUNT EXCEPTION","OK"))))</f>
        <v>NO BILL IN SUPPLIED EXPORT</v>
      </c>
      <c r="U452" s="15" t="s">
        <v>2509</v>
      </c>
    </row>
    <row r="453" spans="1:21" ht="28" customHeight="1">
      <c r="A453" s="18" t="s">
        <v>2510</v>
      </c>
      <c r="B453" s="18" t="s">
        <v>194</v>
      </c>
      <c r="C453" s="18" t="s">
        <v>226</v>
      </c>
      <c r="D453" s="18" t="s">
        <v>227</v>
      </c>
      <c r="E453" s="18" t="s">
        <v>2511</v>
      </c>
      <c r="F453" s="19" t="s">
        <v>2512</v>
      </c>
      <c r="G453" s="19" t="s">
        <v>488</v>
      </c>
      <c r="H453" s="24">
        <v>28</v>
      </c>
      <c r="I453" s="24">
        <v>35</v>
      </c>
      <c r="J453" s="24">
        <f>MAX(H453,ROUNDUP(I453,0))</f>
        <v>35</v>
      </c>
      <c r="K453" s="22">
        <f>IF(C453="covered",10.4,7.55)</f>
        <v>7.55</v>
      </c>
      <c r="L453" s="18"/>
      <c r="M453" s="24"/>
      <c r="N453" s="22"/>
      <c r="O453" s="22"/>
      <c r="P453" s="22">
        <f>J453*K453</f>
        <v>264.25</v>
      </c>
      <c r="Q453" s="22">
        <f>IF(L453="","",N453-K453)</f>
        <v/>
      </c>
      <c r="R453" s="24">
        <f>IF(L453="","",M453-J453)</f>
        <v/>
      </c>
      <c r="S453" s="22">
        <f>IF(L453="",-P453,O453-P453)</f>
        <v>-264.25</v>
      </c>
      <c r="T453" s="25" t="str">
        <f>IF(L453="","NO BILL IN SUPPLIED EXPORT",IF(ABS(Q453)&gt;0.001,"RATE EXCEPTION",IF(ABS(R453)&gt;0.001,"LENGTH EXCEPTION",IF(ABS(S453)&gt;0.01,"AMOUNT EXCEPTION","OK"))))</f>
        <v>NO BILL IN SUPPLIED EXPORT</v>
      </c>
      <c r="U453" s="19" t="s">
        <v>2513</v>
      </c>
    </row>
    <row r="454" spans="1:21" ht="28" customHeight="1">
      <c r="A454" s="14" t="s">
        <v>2514</v>
      </c>
      <c r="B454" s="14" t="s">
        <v>191</v>
      </c>
      <c r="C454" s="14" t="s">
        <v>2515</v>
      </c>
      <c r="D454" s="14" t="s">
        <v>227</v>
      </c>
      <c r="E454" s="14" t="s">
        <v>2516</v>
      </c>
      <c r="F454" s="15" t="s">
        <v>2517</v>
      </c>
      <c r="G454" s="15" t="s">
        <v>2518</v>
      </c>
      <c r="H454" s="24">
        <v>24</v>
      </c>
      <c r="I454" s="24">
        <v>51</v>
      </c>
      <c r="J454" s="24">
        <f>MAX(H454,ROUNDUP(I454,0))</f>
        <v>51</v>
      </c>
      <c r="K454" s="22">
        <f>IF(C454="covered",10.4,7.55)</f>
        <v>10.4</v>
      </c>
      <c r="L454" s="14" t="s">
        <v>2519</v>
      </c>
      <c r="M454" s="24">
        <v>51</v>
      </c>
      <c r="N454" s="22">
        <v>10.4</v>
      </c>
      <c r="O454" s="22">
        <v>530.4</v>
      </c>
      <c r="P454" s="22">
        <f>J454*K454</f>
        <v>530.4</v>
      </c>
      <c r="Q454" s="22">
        <f>IF(L454="","",N454-K454)</f>
        <v>0.0</v>
      </c>
      <c r="R454" s="24">
        <f>IF(L454="","",M454-J454)</f>
        <v>0.0</v>
      </c>
      <c r="S454" s="22">
        <f>IF(L454="",-P454,O454-P454)</f>
        <v>0.0</v>
      </c>
      <c r="T454" s="11" t="str">
        <f>IF(L454="","NO BILL IN SUPPLIED EXPORT",IF(ABS(Q454)&gt;0.001,"RATE EXCEPTION",IF(ABS(R454)&gt;0.001,"LENGTH EXCEPTION",IF(ABS(S454)&gt;0.01,"AMOUNT EXCEPTION","OK"))))</f>
        <v>OK</v>
      </c>
      <c r="U454" s="15" t="s">
        <v>2520</v>
      </c>
    </row>
    <row r="455" spans="1:21" ht="28" customHeight="1">
      <c r="A455" s="18" t="s">
        <v>2521</v>
      </c>
      <c r="B455" s="18" t="s">
        <v>191</v>
      </c>
      <c r="C455" s="18" t="s">
        <v>2515</v>
      </c>
      <c r="D455" s="18" t="s">
        <v>227</v>
      </c>
      <c r="E455" s="18" t="s">
        <v>2522</v>
      </c>
      <c r="F455" s="19" t="s">
        <v>2523</v>
      </c>
      <c r="G455" s="19" t="s">
        <v>2524</v>
      </c>
      <c r="H455" s="24">
        <v>40</v>
      </c>
      <c r="I455" s="24">
        <v>21.9</v>
      </c>
      <c r="J455" s="24">
        <f>MAX(H455,ROUNDUP(I455,0))</f>
        <v>40.0</v>
      </c>
      <c r="K455" s="22">
        <f>IF(C455="covered",10.4,7.55)</f>
        <v>10.4</v>
      </c>
      <c r="L455" s="18" t="s">
        <v>2525</v>
      </c>
      <c r="M455" s="24">
        <v>40</v>
      </c>
      <c r="N455" s="22">
        <v>10.4</v>
      </c>
      <c r="O455" s="22">
        <v>416</v>
      </c>
      <c r="P455" s="22">
        <f>J455*K455</f>
        <v>416.0</v>
      </c>
      <c r="Q455" s="22">
        <f>IF(L455="","",N455-K455)</f>
        <v>0.0</v>
      </c>
      <c r="R455" s="24">
        <f>IF(L455="","",M455-J455)</f>
        <v>0.0</v>
      </c>
      <c r="S455" s="22">
        <f>IF(L455="",-P455,O455-P455)</f>
        <v>0.0</v>
      </c>
      <c r="T455" s="11" t="str">
        <f>IF(L455="","NO BILL IN SUPPLIED EXPORT",IF(ABS(Q455)&gt;0.001,"RATE EXCEPTION",IF(ABS(R455)&gt;0.001,"LENGTH EXCEPTION",IF(ABS(S455)&gt;0.01,"AMOUNT EXCEPTION","OK"))))</f>
        <v>OK</v>
      </c>
      <c r="U455" s="19" t="s">
        <v>2526</v>
      </c>
    </row>
    <row r="456" spans="1:21" ht="28" customHeight="1">
      <c r="A456" s="14" t="s">
        <v>2527</v>
      </c>
      <c r="B456" s="14" t="s">
        <v>191</v>
      </c>
      <c r="C456" s="14" t="s">
        <v>2515</v>
      </c>
      <c r="D456" s="14" t="s">
        <v>227</v>
      </c>
      <c r="E456" s="14" t="s">
        <v>2528</v>
      </c>
      <c r="F456" s="15" t="s">
        <v>2529</v>
      </c>
      <c r="G456" s="15" t="s">
        <v>2530</v>
      </c>
      <c r="H456" s="24">
        <v>28</v>
      </c>
      <c r="I456" s="24">
        <v>32.7</v>
      </c>
      <c r="J456" s="24">
        <f>MAX(H456,ROUNDUP(I456,0))</f>
        <v>33</v>
      </c>
      <c r="K456" s="22">
        <f>IF(C456="covered",10.4,7.55)</f>
        <v>10.4</v>
      </c>
      <c r="L456" s="14" t="s">
        <v>2531</v>
      </c>
      <c r="M456" s="24">
        <v>33</v>
      </c>
      <c r="N456" s="22">
        <v>10.4</v>
      </c>
      <c r="O456" s="22">
        <v>343.2</v>
      </c>
      <c r="P456" s="22">
        <f>J456*K456</f>
        <v>343.2</v>
      </c>
      <c r="Q456" s="22">
        <f>IF(L456="","",N456-K456)</f>
        <v>0.0</v>
      </c>
      <c r="R456" s="24">
        <f>IF(L456="","",M456-J456)</f>
        <v>0.0</v>
      </c>
      <c r="S456" s="22">
        <f>IF(L456="",-P456,O456-P456)</f>
        <v>0.0</v>
      </c>
      <c r="T456" s="11" t="str">
        <f>IF(L456="","NO BILL IN SUPPLIED EXPORT",IF(ABS(Q456)&gt;0.001,"RATE EXCEPTION",IF(ABS(R456)&gt;0.001,"LENGTH EXCEPTION",IF(ABS(S456)&gt;0.01,"AMOUNT EXCEPTION","OK"))))</f>
        <v>OK</v>
      </c>
      <c r="U456" s="15" t="s">
        <v>2532</v>
      </c>
    </row>
    <row r="457" spans="1:21" ht="28" customHeight="1">
      <c r="A457" s="18" t="s">
        <v>2533</v>
      </c>
      <c r="B457" s="18" t="s">
        <v>191</v>
      </c>
      <c r="C457" s="18" t="s">
        <v>2515</v>
      </c>
      <c r="D457" s="18" t="s">
        <v>227</v>
      </c>
      <c r="E457" s="18" t="s">
        <v>2534</v>
      </c>
      <c r="F457" s="19" t="s">
        <v>2535</v>
      </c>
      <c r="G457" s="19" t="s">
        <v>2536</v>
      </c>
      <c r="H457" s="24">
        <v>24</v>
      </c>
      <c r="I457" s="24">
        <v>42.8</v>
      </c>
      <c r="J457" s="24">
        <f>MAX(H457,ROUNDUP(I457,0))</f>
        <v>43</v>
      </c>
      <c r="K457" s="22">
        <f>IF(C457="covered",10.4,7.55)</f>
        <v>10.4</v>
      </c>
      <c r="L457" s="18" t="s">
        <v>2537</v>
      </c>
      <c r="M457" s="24">
        <v>43</v>
      </c>
      <c r="N457" s="22">
        <v>10.4</v>
      </c>
      <c r="O457" s="22">
        <v>447.2</v>
      </c>
      <c r="P457" s="22">
        <f>J457*K457</f>
        <v>447.2</v>
      </c>
      <c r="Q457" s="22">
        <f>IF(L457="","",N457-K457)</f>
        <v>0.0</v>
      </c>
      <c r="R457" s="24">
        <f>IF(L457="","",M457-J457)</f>
        <v>0.0</v>
      </c>
      <c r="S457" s="22">
        <f>IF(L457="",-P457,O457-P457)</f>
        <v>0.0</v>
      </c>
      <c r="T457" s="11" t="str">
        <f>IF(L457="","NO BILL IN SUPPLIED EXPORT",IF(ABS(Q457)&gt;0.001,"RATE EXCEPTION",IF(ABS(R457)&gt;0.001,"LENGTH EXCEPTION",IF(ABS(S457)&gt;0.01,"AMOUNT EXCEPTION","OK"))))</f>
        <v>OK</v>
      </c>
      <c r="U457" s="19" t="s">
        <v>2538</v>
      </c>
    </row>
    <row r="458" spans="1:21" ht="28" customHeight="1">
      <c r="A458" s="14" t="s">
        <v>2539</v>
      </c>
      <c r="B458" s="14" t="s">
        <v>191</v>
      </c>
      <c r="C458" s="14" t="s">
        <v>2515</v>
      </c>
      <c r="D458" s="14" t="s">
        <v>227</v>
      </c>
      <c r="E458" s="14" t="s">
        <v>2540</v>
      </c>
      <c r="F458" s="15" t="s">
        <v>2541</v>
      </c>
      <c r="G458" s="15" t="s">
        <v>675</v>
      </c>
      <c r="H458" s="24">
        <v>36</v>
      </c>
      <c r="I458" s="24">
        <v>39</v>
      </c>
      <c r="J458" s="24">
        <f>MAX(H458,ROUNDUP(I458,0))</f>
        <v>39</v>
      </c>
      <c r="K458" s="22">
        <f>IF(C458="covered",10.4,7.55)</f>
        <v>10.4</v>
      </c>
      <c r="L458" s="14" t="s">
        <v>2542</v>
      </c>
      <c r="M458" s="24">
        <v>39</v>
      </c>
      <c r="N458" s="22">
        <v>10.4</v>
      </c>
      <c r="O458" s="22">
        <v>405.6</v>
      </c>
      <c r="P458" s="22">
        <f>J458*K458</f>
        <v>405.6</v>
      </c>
      <c r="Q458" s="22">
        <f>IF(L458="","",N458-K458)</f>
        <v>0.0</v>
      </c>
      <c r="R458" s="24">
        <f>IF(L458="","",M458-J458)</f>
        <v>0.0</v>
      </c>
      <c r="S458" s="22">
        <f>IF(L458="",-P458,O458-P458)</f>
        <v>0.0</v>
      </c>
      <c r="T458" s="11" t="str">
        <f>IF(L458="","NO BILL IN SUPPLIED EXPORT",IF(ABS(Q458)&gt;0.001,"RATE EXCEPTION",IF(ABS(R458)&gt;0.001,"LENGTH EXCEPTION",IF(ABS(S458)&gt;0.01,"AMOUNT EXCEPTION","OK"))))</f>
        <v>OK</v>
      </c>
      <c r="U458" s="15" t="s">
        <v>2543</v>
      </c>
    </row>
    <row r="459" spans="1:21" ht="28" customHeight="1">
      <c r="A459" s="18" t="s">
        <v>2544</v>
      </c>
      <c r="B459" s="18" t="s">
        <v>191</v>
      </c>
      <c r="C459" s="18" t="s">
        <v>2515</v>
      </c>
      <c r="D459" s="18" t="s">
        <v>227</v>
      </c>
      <c r="E459" s="18" t="s">
        <v>2545</v>
      </c>
      <c r="F459" s="19" t="s">
        <v>2546</v>
      </c>
      <c r="G459" s="19" t="s">
        <v>2547</v>
      </c>
      <c r="H459" s="24">
        <v>24</v>
      </c>
      <c r="I459" s="24">
        <v>39</v>
      </c>
      <c r="J459" s="24">
        <f>MAX(H459,ROUNDUP(I459,0))</f>
        <v>39</v>
      </c>
      <c r="K459" s="22">
        <f>IF(C459="covered",10.4,7.55)</f>
        <v>10.4</v>
      </c>
      <c r="L459" s="18" t="s">
        <v>2548</v>
      </c>
      <c r="M459" s="24">
        <v>39</v>
      </c>
      <c r="N459" s="22">
        <v>10.4</v>
      </c>
      <c r="O459" s="22">
        <v>405.6</v>
      </c>
      <c r="P459" s="22">
        <f>J459*K459</f>
        <v>405.6</v>
      </c>
      <c r="Q459" s="22">
        <f>IF(L459="","",N459-K459)</f>
        <v>0.0</v>
      </c>
      <c r="R459" s="24">
        <f>IF(L459="","",M459-J459)</f>
        <v>0.0</v>
      </c>
      <c r="S459" s="22">
        <f>IF(L459="",-P459,O459-P459)</f>
        <v>0.0</v>
      </c>
      <c r="T459" s="11" t="str">
        <f>IF(L459="","NO BILL IN SUPPLIED EXPORT",IF(ABS(Q459)&gt;0.001,"RATE EXCEPTION",IF(ABS(R459)&gt;0.001,"LENGTH EXCEPTION",IF(ABS(S459)&gt;0.01,"AMOUNT EXCEPTION","OK"))))</f>
        <v>OK</v>
      </c>
      <c r="U459" s="19" t="s">
        <v>2549</v>
      </c>
    </row>
    <row r="460" spans="1:21" ht="28" customHeight="1">
      <c r="A460" s="14" t="s">
        <v>2550</v>
      </c>
      <c r="B460" s="14" t="s">
        <v>191</v>
      </c>
      <c r="C460" s="14" t="s">
        <v>2515</v>
      </c>
      <c r="D460" s="14" t="s">
        <v>227</v>
      </c>
      <c r="E460" s="14" t="s">
        <v>2551</v>
      </c>
      <c r="F460" s="15" t="s">
        <v>2552</v>
      </c>
      <c r="G460" s="15" t="s">
        <v>2553</v>
      </c>
      <c r="H460" s="24">
        <v>24</v>
      </c>
      <c r="I460" s="24">
        <v>30.4</v>
      </c>
      <c r="J460" s="24">
        <f>MAX(H460,ROUNDUP(I460,0))</f>
        <v>31</v>
      </c>
      <c r="K460" s="22">
        <f>IF(C460="covered",10.4,7.55)</f>
        <v>10.4</v>
      </c>
      <c r="L460" s="14" t="s">
        <v>2554</v>
      </c>
      <c r="M460" s="24">
        <v>31</v>
      </c>
      <c r="N460" s="22">
        <v>10.4</v>
      </c>
      <c r="O460" s="22">
        <v>322.4</v>
      </c>
      <c r="P460" s="22">
        <f>J460*K460</f>
        <v>322.40000000000003</v>
      </c>
      <c r="Q460" s="22">
        <f>IF(L460="","",N460-K460)</f>
        <v>0.0</v>
      </c>
      <c r="R460" s="24">
        <f>IF(L460="","",M460-J460)</f>
        <v>0.0</v>
      </c>
      <c r="S460" s="22">
        <f>IF(L460="",-P460,O460-P460)</f>
        <v>-5.684341886080802e-14</v>
      </c>
      <c r="T460" s="11" t="str">
        <f>IF(L460="","NO BILL IN SUPPLIED EXPORT",IF(ABS(Q460)&gt;0.001,"RATE EXCEPTION",IF(ABS(R460)&gt;0.001,"LENGTH EXCEPTION",IF(ABS(S460)&gt;0.01,"AMOUNT EXCEPTION","OK"))))</f>
        <v>OK</v>
      </c>
      <c r="U460" s="15" t="s">
        <v>2555</v>
      </c>
    </row>
    <row r="461" spans="1:21" ht="28" customHeight="1">
      <c r="A461" s="18" t="s">
        <v>2556</v>
      </c>
      <c r="B461" s="18" t="s">
        <v>191</v>
      </c>
      <c r="C461" s="18" t="s">
        <v>2515</v>
      </c>
      <c r="D461" s="18" t="s">
        <v>227</v>
      </c>
      <c r="E461" s="18" t="s">
        <v>2557</v>
      </c>
      <c r="F461" s="19" t="s">
        <v>2558</v>
      </c>
      <c r="G461" s="19" t="s">
        <v>1329</v>
      </c>
      <c r="H461" s="24">
        <v>32</v>
      </c>
      <c r="I461" s="24">
        <v>23.4</v>
      </c>
      <c r="J461" s="24">
        <f>MAX(H461,ROUNDUP(I461,0))</f>
        <v>32.0</v>
      </c>
      <c r="K461" s="22">
        <f>IF(C461="covered",10.4,7.55)</f>
        <v>10.4</v>
      </c>
      <c r="L461" s="18" t="s">
        <v>2559</v>
      </c>
      <c r="M461" s="24">
        <v>32</v>
      </c>
      <c r="N461" s="22">
        <v>10.4</v>
      </c>
      <c r="O461" s="22">
        <v>332.8</v>
      </c>
      <c r="P461" s="22">
        <f>J461*K461</f>
        <v>332.8</v>
      </c>
      <c r="Q461" s="22">
        <f>IF(L461="","",N461-K461)</f>
        <v>0.0</v>
      </c>
      <c r="R461" s="24">
        <f>IF(L461="","",M461-J461)</f>
        <v>0.0</v>
      </c>
      <c r="S461" s="22">
        <f>IF(L461="",-P461,O461-P461)</f>
        <v>0.0</v>
      </c>
      <c r="T461" s="11" t="str">
        <f>IF(L461="","NO BILL IN SUPPLIED EXPORT",IF(ABS(Q461)&gt;0.001,"RATE EXCEPTION",IF(ABS(R461)&gt;0.001,"LENGTH EXCEPTION",IF(ABS(S461)&gt;0.01,"AMOUNT EXCEPTION","OK"))))</f>
        <v>OK</v>
      </c>
      <c r="U461" s="19" t="s">
        <v>2560</v>
      </c>
    </row>
    <row r="462" spans="1:21" ht="28" customHeight="1">
      <c r="A462" s="14" t="s">
        <v>2561</v>
      </c>
      <c r="B462" s="14" t="s">
        <v>191</v>
      </c>
      <c r="C462" s="14" t="s">
        <v>2515</v>
      </c>
      <c r="D462" s="14" t="s">
        <v>227</v>
      </c>
      <c r="E462" s="14" t="s">
        <v>2562</v>
      </c>
      <c r="F462" s="15" t="s">
        <v>2563</v>
      </c>
      <c r="G462" s="15" t="s">
        <v>1926</v>
      </c>
      <c r="H462" s="24">
        <v>32</v>
      </c>
      <c r="I462" s="24">
        <v>20.8</v>
      </c>
      <c r="J462" s="24">
        <f>MAX(H462,ROUNDUP(I462,0))</f>
        <v>32.0</v>
      </c>
      <c r="K462" s="22">
        <f>IF(C462="covered",10.4,7.55)</f>
        <v>10.4</v>
      </c>
      <c r="L462" s="14" t="s">
        <v>2564</v>
      </c>
      <c r="M462" s="24">
        <v>32</v>
      </c>
      <c r="N462" s="22">
        <v>10.4</v>
      </c>
      <c r="O462" s="22">
        <v>332.8</v>
      </c>
      <c r="P462" s="22">
        <f>J462*K462</f>
        <v>332.8</v>
      </c>
      <c r="Q462" s="22">
        <f>IF(L462="","",N462-K462)</f>
        <v>0.0</v>
      </c>
      <c r="R462" s="24">
        <f>IF(L462="","",M462-J462)</f>
        <v>0.0</v>
      </c>
      <c r="S462" s="22">
        <f>IF(L462="",-P462,O462-P462)</f>
        <v>0.0</v>
      </c>
      <c r="T462" s="11" t="str">
        <f>IF(L462="","NO BILL IN SUPPLIED EXPORT",IF(ABS(Q462)&gt;0.001,"RATE EXCEPTION",IF(ABS(R462)&gt;0.001,"LENGTH EXCEPTION",IF(ABS(S462)&gt;0.01,"AMOUNT EXCEPTION","OK"))))</f>
        <v>OK</v>
      </c>
      <c r="U462" s="15" t="s">
        <v>2565</v>
      </c>
    </row>
    <row r="463" spans="1:21" ht="28" customHeight="1">
      <c r="A463" s="18" t="s">
        <v>2566</v>
      </c>
      <c r="B463" s="18" t="s">
        <v>191</v>
      </c>
      <c r="C463" s="18" t="s">
        <v>2515</v>
      </c>
      <c r="D463" s="18" t="s">
        <v>227</v>
      </c>
      <c r="E463" s="18" t="s">
        <v>2567</v>
      </c>
      <c r="F463" s="19" t="s">
        <v>2568</v>
      </c>
      <c r="G463" s="19" t="s">
        <v>2569</v>
      </c>
      <c r="H463" s="24">
        <v>28</v>
      </c>
      <c r="I463" s="24">
        <v>26</v>
      </c>
      <c r="J463" s="24">
        <f>MAX(H463,ROUNDUP(I463,0))</f>
        <v>28.0</v>
      </c>
      <c r="K463" s="22">
        <f>IF(C463="covered",10.4,7.55)</f>
        <v>10.4</v>
      </c>
      <c r="L463" s="18" t="s">
        <v>2570</v>
      </c>
      <c r="M463" s="24">
        <v>28</v>
      </c>
      <c r="N463" s="22">
        <v>10.4</v>
      </c>
      <c r="O463" s="22">
        <v>291.2</v>
      </c>
      <c r="P463" s="22">
        <f>J463*K463</f>
        <v>291.2</v>
      </c>
      <c r="Q463" s="22">
        <f>IF(L463="","",N463-K463)</f>
        <v>0.0</v>
      </c>
      <c r="R463" s="24">
        <f>IF(L463="","",M463-J463)</f>
        <v>0.0</v>
      </c>
      <c r="S463" s="22">
        <f>IF(L463="",-P463,O463-P463)</f>
        <v>0.0</v>
      </c>
      <c r="T463" s="11" t="str">
        <f>IF(L463="","NO BILL IN SUPPLIED EXPORT",IF(ABS(Q463)&gt;0.001,"RATE EXCEPTION",IF(ABS(R463)&gt;0.001,"LENGTH EXCEPTION",IF(ABS(S463)&gt;0.01,"AMOUNT EXCEPTION","OK"))))</f>
        <v>OK</v>
      </c>
      <c r="U463" s="19" t="s">
        <v>2571</v>
      </c>
    </row>
    <row r="464" spans="1:21" ht="28" customHeight="1">
      <c r="A464" s="14" t="s">
        <v>2572</v>
      </c>
      <c r="B464" s="14" t="s">
        <v>191</v>
      </c>
      <c r="C464" s="14" t="s">
        <v>2515</v>
      </c>
      <c r="D464" s="14" t="s">
        <v>227</v>
      </c>
      <c r="E464" s="14" t="s">
        <v>2573</v>
      </c>
      <c r="F464" s="15" t="s">
        <v>2574</v>
      </c>
      <c r="G464" s="15" t="s">
        <v>2575</v>
      </c>
      <c r="H464" s="24">
        <v>40</v>
      </c>
      <c r="I464" s="24">
        <v>53.5</v>
      </c>
      <c r="J464" s="24">
        <f>MAX(H464,ROUNDUP(I464,0))</f>
        <v>54</v>
      </c>
      <c r="K464" s="22">
        <f>IF(C464="covered",10.4,7.55)</f>
        <v>10.4</v>
      </c>
      <c r="L464" s="14" t="s">
        <v>2576</v>
      </c>
      <c r="M464" s="24">
        <v>54</v>
      </c>
      <c r="N464" s="22">
        <v>10.4</v>
      </c>
      <c r="O464" s="22">
        <v>561.6</v>
      </c>
      <c r="P464" s="22">
        <f>J464*K464</f>
        <v>561.6</v>
      </c>
      <c r="Q464" s="22">
        <f>IF(L464="","",N464-K464)</f>
        <v>0.0</v>
      </c>
      <c r="R464" s="24">
        <f>IF(L464="","",M464-J464)</f>
        <v>0.0</v>
      </c>
      <c r="S464" s="22">
        <f>IF(L464="",-P464,O464-P464)</f>
        <v>0.0</v>
      </c>
      <c r="T464" s="11" t="str">
        <f>IF(L464="","NO BILL IN SUPPLIED EXPORT",IF(ABS(Q464)&gt;0.001,"RATE EXCEPTION",IF(ABS(R464)&gt;0.001,"LENGTH EXCEPTION",IF(ABS(S464)&gt;0.01,"AMOUNT EXCEPTION","OK"))))</f>
        <v>OK</v>
      </c>
      <c r="U464" s="15" t="s">
        <v>2577</v>
      </c>
    </row>
    <row r="465" spans="1:21" ht="28" customHeight="1">
      <c r="A465" s="18" t="s">
        <v>2578</v>
      </c>
      <c r="B465" s="18" t="s">
        <v>191</v>
      </c>
      <c r="C465" s="18" t="s">
        <v>2515</v>
      </c>
      <c r="D465" s="18" t="s">
        <v>227</v>
      </c>
      <c r="E465" s="18" t="s">
        <v>2579</v>
      </c>
      <c r="F465" s="19" t="s">
        <v>2580</v>
      </c>
      <c r="G465" s="19" t="s">
        <v>2173</v>
      </c>
      <c r="H465" s="24">
        <v>36</v>
      </c>
      <c r="I465" s="24">
        <v>26</v>
      </c>
      <c r="J465" s="24">
        <f>MAX(H465,ROUNDUP(I465,0))</f>
        <v>36.0</v>
      </c>
      <c r="K465" s="22">
        <f>IF(C465="covered",10.4,7.55)</f>
        <v>10.4</v>
      </c>
      <c r="L465" s="18" t="s">
        <v>2581</v>
      </c>
      <c r="M465" s="24">
        <v>36</v>
      </c>
      <c r="N465" s="22">
        <v>10.4</v>
      </c>
      <c r="O465" s="22">
        <v>374.4</v>
      </c>
      <c r="P465" s="22">
        <f>J465*K465</f>
        <v>374.40000000000003</v>
      </c>
      <c r="Q465" s="22">
        <f>IF(L465="","",N465-K465)</f>
        <v>0.0</v>
      </c>
      <c r="R465" s="24">
        <f>IF(L465="","",M465-J465)</f>
        <v>0.0</v>
      </c>
      <c r="S465" s="22">
        <f>IF(L465="",-P465,O465-P465)</f>
        <v>-5.684341886080802e-14</v>
      </c>
      <c r="T465" s="11" t="str">
        <f>IF(L465="","NO BILL IN SUPPLIED EXPORT",IF(ABS(Q465)&gt;0.001,"RATE EXCEPTION",IF(ABS(R465)&gt;0.001,"LENGTH EXCEPTION",IF(ABS(S465)&gt;0.01,"AMOUNT EXCEPTION","OK"))))</f>
        <v>OK</v>
      </c>
      <c r="U465" s="19" t="s">
        <v>2582</v>
      </c>
    </row>
    <row r="466" spans="1:21" ht="28" customHeight="1">
      <c r="A466" s="14" t="s">
        <v>2583</v>
      </c>
      <c r="B466" s="14" t="s">
        <v>191</v>
      </c>
      <c r="C466" s="14" t="s">
        <v>2515</v>
      </c>
      <c r="D466" s="14" t="s">
        <v>227</v>
      </c>
      <c r="E466" s="14" t="s">
        <v>2584</v>
      </c>
      <c r="F466" s="15" t="s">
        <v>2585</v>
      </c>
      <c r="G466" s="15" t="s">
        <v>2163</v>
      </c>
      <c r="H466" s="24">
        <v>24</v>
      </c>
      <c r="I466" s="24">
        <v>28.2</v>
      </c>
      <c r="J466" s="24">
        <f>MAX(H466,ROUNDUP(I466,0))</f>
        <v>29</v>
      </c>
      <c r="K466" s="22">
        <f>IF(C466="covered",10.4,7.55)</f>
        <v>10.4</v>
      </c>
      <c r="L466" s="14" t="s">
        <v>2586</v>
      </c>
      <c r="M466" s="24">
        <v>29</v>
      </c>
      <c r="N466" s="22">
        <v>10.4</v>
      </c>
      <c r="O466" s="22">
        <v>301.6</v>
      </c>
      <c r="P466" s="22">
        <f>J466*K466</f>
        <v>301.6</v>
      </c>
      <c r="Q466" s="22">
        <f>IF(L466="","",N466-K466)</f>
        <v>0.0</v>
      </c>
      <c r="R466" s="24">
        <f>IF(L466="","",M466-J466)</f>
        <v>0.0</v>
      </c>
      <c r="S466" s="22">
        <f>IF(L466="",-P466,O466-P466)</f>
        <v>0.0</v>
      </c>
      <c r="T466" s="11" t="str">
        <f>IF(L466="","NO BILL IN SUPPLIED EXPORT",IF(ABS(Q466)&gt;0.001,"RATE EXCEPTION",IF(ABS(R466)&gt;0.001,"LENGTH EXCEPTION",IF(ABS(S466)&gt;0.01,"AMOUNT EXCEPTION","OK"))))</f>
        <v>OK</v>
      </c>
      <c r="U466" s="15" t="s">
        <v>2587</v>
      </c>
    </row>
    <row r="467" spans="1:21" ht="28" customHeight="1">
      <c r="A467" s="18" t="s">
        <v>2588</v>
      </c>
      <c r="B467" s="18" t="s">
        <v>191</v>
      </c>
      <c r="C467" s="18" t="s">
        <v>2515</v>
      </c>
      <c r="D467" s="18" t="s">
        <v>227</v>
      </c>
      <c r="E467" s="18" t="s">
        <v>2589</v>
      </c>
      <c r="F467" s="19" t="s">
        <v>2590</v>
      </c>
      <c r="G467" s="19" t="s">
        <v>2591</v>
      </c>
      <c r="H467" s="24">
        <v>28</v>
      </c>
      <c r="I467" s="24">
        <v>18.8</v>
      </c>
      <c r="J467" s="24">
        <f>MAX(H467,ROUNDUP(I467,0))</f>
        <v>28.0</v>
      </c>
      <c r="K467" s="22">
        <f>IF(C467="covered",10.4,7.55)</f>
        <v>10.4</v>
      </c>
      <c r="L467" s="18" t="s">
        <v>2592</v>
      </c>
      <c r="M467" s="24">
        <v>28</v>
      </c>
      <c r="N467" s="22">
        <v>10.4</v>
      </c>
      <c r="O467" s="22">
        <v>291.2</v>
      </c>
      <c r="P467" s="22">
        <f>J467*K467</f>
        <v>291.2</v>
      </c>
      <c r="Q467" s="22">
        <f>IF(L467="","",N467-K467)</f>
        <v>0.0</v>
      </c>
      <c r="R467" s="24">
        <f>IF(L467="","",M467-J467)</f>
        <v>0.0</v>
      </c>
      <c r="S467" s="22">
        <f>IF(L467="",-P467,O467-P467)</f>
        <v>0.0</v>
      </c>
      <c r="T467" s="11" t="str">
        <f>IF(L467="","NO BILL IN SUPPLIED EXPORT",IF(ABS(Q467)&gt;0.001,"RATE EXCEPTION",IF(ABS(R467)&gt;0.001,"LENGTH EXCEPTION",IF(ABS(S467)&gt;0.01,"AMOUNT EXCEPTION","OK"))))</f>
        <v>OK</v>
      </c>
      <c r="U467" s="19" t="s">
        <v>2593</v>
      </c>
    </row>
    <row r="468" spans="1:21" ht="28" customHeight="1">
      <c r="A468" s="14" t="s">
        <v>2594</v>
      </c>
      <c r="B468" s="14" t="s">
        <v>191</v>
      </c>
      <c r="C468" s="14" t="s">
        <v>2515</v>
      </c>
      <c r="D468" s="14" t="s">
        <v>227</v>
      </c>
      <c r="E468" s="14" t="s">
        <v>2595</v>
      </c>
      <c r="F468" s="15" t="s">
        <v>2596</v>
      </c>
      <c r="G468" s="15" t="s">
        <v>2597</v>
      </c>
      <c r="H468" s="24">
        <v>28</v>
      </c>
      <c r="I468" s="24">
        <v>19.2</v>
      </c>
      <c r="J468" s="24">
        <f>MAX(H468,ROUNDUP(I468,0))</f>
        <v>28.0</v>
      </c>
      <c r="K468" s="22">
        <f>IF(C468="covered",10.4,7.55)</f>
        <v>10.4</v>
      </c>
      <c r="L468" s="14" t="s">
        <v>2598</v>
      </c>
      <c r="M468" s="24">
        <v>28</v>
      </c>
      <c r="N468" s="22">
        <v>10.4</v>
      </c>
      <c r="O468" s="22">
        <v>291.2</v>
      </c>
      <c r="P468" s="22">
        <f>J468*K468</f>
        <v>291.2</v>
      </c>
      <c r="Q468" s="22">
        <f>IF(L468="","",N468-K468)</f>
        <v>0.0</v>
      </c>
      <c r="R468" s="24">
        <f>IF(L468="","",M468-J468)</f>
        <v>0.0</v>
      </c>
      <c r="S468" s="22">
        <f>IF(L468="",-P468,O468-P468)</f>
        <v>0.0</v>
      </c>
      <c r="T468" s="11" t="str">
        <f>IF(L468="","NO BILL IN SUPPLIED EXPORT",IF(ABS(Q468)&gt;0.001,"RATE EXCEPTION",IF(ABS(R468)&gt;0.001,"LENGTH EXCEPTION",IF(ABS(S468)&gt;0.01,"AMOUNT EXCEPTION","OK"))))</f>
        <v>OK</v>
      </c>
      <c r="U468" s="15" t="s">
        <v>2599</v>
      </c>
    </row>
    <row r="469" spans="1:21" ht="28" customHeight="1">
      <c r="A469" s="18" t="s">
        <v>2600</v>
      </c>
      <c r="B469" s="18" t="s">
        <v>191</v>
      </c>
      <c r="C469" s="18" t="s">
        <v>2515</v>
      </c>
      <c r="D469" s="18" t="s">
        <v>227</v>
      </c>
      <c r="E469" s="18" t="s">
        <v>2601</v>
      </c>
      <c r="F469" s="19" t="s">
        <v>2602</v>
      </c>
      <c r="G469" s="19" t="s">
        <v>2603</v>
      </c>
      <c r="H469" s="24">
        <v>32</v>
      </c>
      <c r="I469" s="24">
        <v>28.7</v>
      </c>
      <c r="J469" s="24">
        <f>MAX(H469,ROUNDUP(I469,0))</f>
        <v>32.0</v>
      </c>
      <c r="K469" s="22">
        <f>IF(C469="covered",10.4,7.55)</f>
        <v>10.4</v>
      </c>
      <c r="L469" s="18" t="s">
        <v>2604</v>
      </c>
      <c r="M469" s="24">
        <v>32</v>
      </c>
      <c r="N469" s="22">
        <v>10.4</v>
      </c>
      <c r="O469" s="22">
        <v>332.8</v>
      </c>
      <c r="P469" s="22">
        <f>J469*K469</f>
        <v>332.8</v>
      </c>
      <c r="Q469" s="22">
        <f>IF(L469="","",N469-K469)</f>
        <v>0.0</v>
      </c>
      <c r="R469" s="24">
        <f>IF(L469="","",M469-J469)</f>
        <v>0.0</v>
      </c>
      <c r="S469" s="22">
        <f>IF(L469="",-P469,O469-P469)</f>
        <v>0.0</v>
      </c>
      <c r="T469" s="11" t="str">
        <f>IF(L469="","NO BILL IN SUPPLIED EXPORT",IF(ABS(Q469)&gt;0.001,"RATE EXCEPTION",IF(ABS(R469)&gt;0.001,"LENGTH EXCEPTION",IF(ABS(S469)&gt;0.01,"AMOUNT EXCEPTION","OK"))))</f>
        <v>OK</v>
      </c>
      <c r="U469" s="19" t="s">
        <v>2605</v>
      </c>
    </row>
    <row r="470" spans="1:21" ht="28" customHeight="1">
      <c r="A470" s="14" t="s">
        <v>2606</v>
      </c>
      <c r="B470" s="14" t="s">
        <v>191</v>
      </c>
      <c r="C470" s="14" t="s">
        <v>2515</v>
      </c>
      <c r="D470" s="14" t="s">
        <v>227</v>
      </c>
      <c r="E470" s="14" t="s">
        <v>2607</v>
      </c>
      <c r="F470" s="15" t="s">
        <v>2608</v>
      </c>
      <c r="G470" s="15" t="s">
        <v>941</v>
      </c>
      <c r="H470" s="24">
        <v>24</v>
      </c>
      <c r="I470" s="24">
        <v>22.1</v>
      </c>
      <c r="J470" s="24">
        <f>MAX(H470,ROUNDUP(I470,0))</f>
        <v>24.0</v>
      </c>
      <c r="K470" s="22">
        <f>IF(C470="covered",10.4,7.55)</f>
        <v>10.4</v>
      </c>
      <c r="L470" s="14" t="s">
        <v>2609</v>
      </c>
      <c r="M470" s="24">
        <v>24</v>
      </c>
      <c r="N470" s="22">
        <v>10.4</v>
      </c>
      <c r="O470" s="22">
        <v>249.6</v>
      </c>
      <c r="P470" s="22">
        <f>J470*K470</f>
        <v>249.60000000000002</v>
      </c>
      <c r="Q470" s="22">
        <f>IF(L470="","",N470-K470)</f>
        <v>0.0</v>
      </c>
      <c r="R470" s="24">
        <f>IF(L470="","",M470-J470)</f>
        <v>0.0</v>
      </c>
      <c r="S470" s="22">
        <f>IF(L470="",-P470,O470-P470)</f>
        <v>-2.842170943040401e-14</v>
      </c>
      <c r="T470" s="11" t="str">
        <f>IF(L470="","NO BILL IN SUPPLIED EXPORT",IF(ABS(Q470)&gt;0.001,"RATE EXCEPTION",IF(ABS(R470)&gt;0.001,"LENGTH EXCEPTION",IF(ABS(S470)&gt;0.01,"AMOUNT EXCEPTION","OK"))))</f>
        <v>OK</v>
      </c>
      <c r="U470" s="15" t="s">
        <v>2610</v>
      </c>
    </row>
    <row r="471" spans="1:21" ht="28" customHeight="1">
      <c r="A471" s="18" t="s">
        <v>2611</v>
      </c>
      <c r="B471" s="18" t="s">
        <v>191</v>
      </c>
      <c r="C471" s="18" t="s">
        <v>2515</v>
      </c>
      <c r="D471" s="18" t="s">
        <v>227</v>
      </c>
      <c r="E471" s="18" t="s">
        <v>2612</v>
      </c>
      <c r="F471" s="19" t="s">
        <v>2613</v>
      </c>
      <c r="G471" s="19" t="s">
        <v>2452</v>
      </c>
      <c r="H471" s="24">
        <v>24</v>
      </c>
      <c r="I471" s="24">
        <v>43.5</v>
      </c>
      <c r="J471" s="24">
        <f>MAX(H471,ROUNDUP(I471,0))</f>
        <v>44</v>
      </c>
      <c r="K471" s="22">
        <f>IF(C471="covered",10.4,7.55)</f>
        <v>10.4</v>
      </c>
      <c r="L471" s="18" t="s">
        <v>2614</v>
      </c>
      <c r="M471" s="24">
        <v>44</v>
      </c>
      <c r="N471" s="22">
        <v>10.4</v>
      </c>
      <c r="O471" s="22">
        <v>457.6</v>
      </c>
      <c r="P471" s="22">
        <f>J471*K471</f>
        <v>457.6</v>
      </c>
      <c r="Q471" s="22">
        <f>IF(L471="","",N471-K471)</f>
        <v>0.0</v>
      </c>
      <c r="R471" s="24">
        <f>IF(L471="","",M471-J471)</f>
        <v>0.0</v>
      </c>
      <c r="S471" s="22">
        <f>IF(L471="",-P471,O471-P471)</f>
        <v>0.0</v>
      </c>
      <c r="T471" s="11" t="str">
        <f>IF(L471="","NO BILL IN SUPPLIED EXPORT",IF(ABS(Q471)&gt;0.001,"RATE EXCEPTION",IF(ABS(R471)&gt;0.001,"LENGTH EXCEPTION",IF(ABS(S471)&gt;0.01,"AMOUNT EXCEPTION","OK"))))</f>
        <v>OK</v>
      </c>
      <c r="U471" s="19" t="s">
        <v>2615</v>
      </c>
    </row>
    <row r="472" spans="1:21" ht="28" customHeight="1">
      <c r="A472" s="14" t="s">
        <v>2616</v>
      </c>
      <c r="B472" s="14" t="s">
        <v>191</v>
      </c>
      <c r="C472" s="14" t="s">
        <v>2515</v>
      </c>
      <c r="D472" s="14" t="s">
        <v>227</v>
      </c>
      <c r="E472" s="14" t="s">
        <v>2617</v>
      </c>
      <c r="F472" s="15" t="s">
        <v>2618</v>
      </c>
      <c r="G472" s="15" t="s">
        <v>2619</v>
      </c>
      <c r="H472" s="24">
        <v>32</v>
      </c>
      <c r="I472" s="24">
        <v>30.8</v>
      </c>
      <c r="J472" s="24">
        <f>MAX(H472,ROUNDUP(I472,0))</f>
        <v>32.0</v>
      </c>
      <c r="K472" s="22">
        <f>IF(C472="covered",10.4,7.55)</f>
        <v>10.4</v>
      </c>
      <c r="L472" s="14" t="s">
        <v>2620</v>
      </c>
      <c r="M472" s="24">
        <v>32</v>
      </c>
      <c r="N472" s="22">
        <v>10.4</v>
      </c>
      <c r="O472" s="22">
        <v>332.8</v>
      </c>
      <c r="P472" s="22">
        <f>J472*K472</f>
        <v>332.8</v>
      </c>
      <c r="Q472" s="22">
        <f>IF(L472="","",N472-K472)</f>
        <v>0.0</v>
      </c>
      <c r="R472" s="24">
        <f>IF(L472="","",M472-J472)</f>
        <v>0.0</v>
      </c>
      <c r="S472" s="22">
        <f>IF(L472="",-P472,O472-P472)</f>
        <v>0.0</v>
      </c>
      <c r="T472" s="11" t="str">
        <f>IF(L472="","NO BILL IN SUPPLIED EXPORT",IF(ABS(Q472)&gt;0.001,"RATE EXCEPTION",IF(ABS(R472)&gt;0.001,"LENGTH EXCEPTION",IF(ABS(S472)&gt;0.01,"AMOUNT EXCEPTION","OK"))))</f>
        <v>OK</v>
      </c>
      <c r="U472" s="15" t="s">
        <v>2621</v>
      </c>
    </row>
    <row r="473" spans="1:21" ht="28" customHeight="1">
      <c r="A473" s="18" t="s">
        <v>2622</v>
      </c>
      <c r="B473" s="18" t="s">
        <v>191</v>
      </c>
      <c r="C473" s="18" t="s">
        <v>2515</v>
      </c>
      <c r="D473" s="18" t="s">
        <v>227</v>
      </c>
      <c r="E473" s="18" t="s">
        <v>2623</v>
      </c>
      <c r="F473" s="19" t="s">
        <v>2624</v>
      </c>
      <c r="G473" s="19" t="s">
        <v>2625</v>
      </c>
      <c r="H473" s="24">
        <v>32</v>
      </c>
      <c r="I473" s="24">
        <v>51.3</v>
      </c>
      <c r="J473" s="24">
        <f>MAX(H473,ROUNDUP(I473,0))</f>
        <v>52</v>
      </c>
      <c r="K473" s="22">
        <f>IF(C473="covered",10.4,7.55)</f>
        <v>10.4</v>
      </c>
      <c r="L473" s="18" t="s">
        <v>2626</v>
      </c>
      <c r="M473" s="24">
        <v>52</v>
      </c>
      <c r="N473" s="22">
        <v>10.4</v>
      </c>
      <c r="O473" s="22">
        <v>540.8</v>
      </c>
      <c r="P473" s="22">
        <f>J473*K473</f>
        <v>540.8000000000001</v>
      </c>
      <c r="Q473" s="22">
        <f>IF(L473="","",N473-K473)</f>
        <v>0.0</v>
      </c>
      <c r="R473" s="24">
        <f>IF(L473="","",M473-J473)</f>
        <v>0.0</v>
      </c>
      <c r="S473" s="22">
        <f>IF(L473="",-P473,O473-P473)</f>
        <v>-1.1368683772161603e-13</v>
      </c>
      <c r="T473" s="11" t="str">
        <f>IF(L473="","NO BILL IN SUPPLIED EXPORT",IF(ABS(Q473)&gt;0.001,"RATE EXCEPTION",IF(ABS(R473)&gt;0.001,"LENGTH EXCEPTION",IF(ABS(S473)&gt;0.01,"AMOUNT EXCEPTION","OK"))))</f>
        <v>OK</v>
      </c>
      <c r="U473" s="19" t="s">
        <v>2627</v>
      </c>
    </row>
    <row r="474" spans="1:21" ht="28" customHeight="1">
      <c r="A474" s="14" t="s">
        <v>2628</v>
      </c>
      <c r="B474" s="14" t="s">
        <v>191</v>
      </c>
      <c r="C474" s="14" t="s">
        <v>2515</v>
      </c>
      <c r="D474" s="14" t="s">
        <v>227</v>
      </c>
      <c r="E474" s="14" t="s">
        <v>2629</v>
      </c>
      <c r="F474" s="15" t="s">
        <v>2630</v>
      </c>
      <c r="G474" s="15" t="s">
        <v>2631</v>
      </c>
      <c r="H474" s="24">
        <v>36</v>
      </c>
      <c r="I474" s="24">
        <v>48.2</v>
      </c>
      <c r="J474" s="24">
        <f>MAX(H474,ROUNDUP(I474,0))</f>
        <v>49</v>
      </c>
      <c r="K474" s="22">
        <f>IF(C474="covered",10.4,7.55)</f>
        <v>10.4</v>
      </c>
      <c r="L474" s="14" t="s">
        <v>2632</v>
      </c>
      <c r="M474" s="24">
        <v>49</v>
      </c>
      <c r="N474" s="22">
        <v>10.4</v>
      </c>
      <c r="O474" s="22">
        <v>509.6</v>
      </c>
      <c r="P474" s="22">
        <f>J474*K474</f>
        <v>509.6</v>
      </c>
      <c r="Q474" s="22">
        <f>IF(L474="","",N474-K474)</f>
        <v>0.0</v>
      </c>
      <c r="R474" s="24">
        <f>IF(L474="","",M474-J474)</f>
        <v>0.0</v>
      </c>
      <c r="S474" s="22">
        <f>IF(L474="",-P474,O474-P474)</f>
        <v>0.0</v>
      </c>
      <c r="T474" s="11" t="str">
        <f>IF(L474="","NO BILL IN SUPPLIED EXPORT",IF(ABS(Q474)&gt;0.001,"RATE EXCEPTION",IF(ABS(R474)&gt;0.001,"LENGTH EXCEPTION",IF(ABS(S474)&gt;0.01,"AMOUNT EXCEPTION","OK"))))</f>
        <v>OK</v>
      </c>
      <c r="U474" s="15" t="s">
        <v>2633</v>
      </c>
    </row>
    <row r="475" spans="1:21" ht="28" customHeight="1">
      <c r="A475" s="18" t="s">
        <v>2634</v>
      </c>
      <c r="B475" s="18" t="s">
        <v>191</v>
      </c>
      <c r="C475" s="18" t="s">
        <v>2515</v>
      </c>
      <c r="D475" s="18" t="s">
        <v>227</v>
      </c>
      <c r="E475" s="18" t="s">
        <v>2635</v>
      </c>
      <c r="F475" s="19" t="s">
        <v>2636</v>
      </c>
      <c r="G475" s="19" t="s">
        <v>2637</v>
      </c>
      <c r="H475" s="24">
        <v>32</v>
      </c>
      <c r="I475" s="24">
        <v>25.3</v>
      </c>
      <c r="J475" s="24">
        <f>MAX(H475,ROUNDUP(I475,0))</f>
        <v>32.0</v>
      </c>
      <c r="K475" s="22">
        <f>IF(C475="covered",10.4,7.55)</f>
        <v>10.4</v>
      </c>
      <c r="L475" s="18" t="s">
        <v>2638</v>
      </c>
      <c r="M475" s="24">
        <v>32</v>
      </c>
      <c r="N475" s="22">
        <v>10.4</v>
      </c>
      <c r="O475" s="22">
        <v>332.8</v>
      </c>
      <c r="P475" s="22">
        <f>J475*K475</f>
        <v>332.8</v>
      </c>
      <c r="Q475" s="22">
        <f>IF(L475="","",N475-K475)</f>
        <v>0.0</v>
      </c>
      <c r="R475" s="24">
        <f>IF(L475="","",M475-J475)</f>
        <v>0.0</v>
      </c>
      <c r="S475" s="22">
        <f>IF(L475="",-P475,O475-P475)</f>
        <v>0.0</v>
      </c>
      <c r="T475" s="11" t="str">
        <f>IF(L475="","NO BILL IN SUPPLIED EXPORT",IF(ABS(Q475)&gt;0.001,"RATE EXCEPTION",IF(ABS(R475)&gt;0.001,"LENGTH EXCEPTION",IF(ABS(S475)&gt;0.01,"AMOUNT EXCEPTION","OK"))))</f>
        <v>OK</v>
      </c>
      <c r="U475" s="19" t="s">
        <v>2639</v>
      </c>
    </row>
    <row r="476" spans="1:21" ht="28" customHeight="1">
      <c r="A476" s="14" t="s">
        <v>2640</v>
      </c>
      <c r="B476" s="14" t="s">
        <v>191</v>
      </c>
      <c r="C476" s="14" t="s">
        <v>2515</v>
      </c>
      <c r="D476" s="14" t="s">
        <v>227</v>
      </c>
      <c r="E476" s="14" t="s">
        <v>2641</v>
      </c>
      <c r="F476" s="15" t="s">
        <v>2642</v>
      </c>
      <c r="G476" s="15" t="s">
        <v>471</v>
      </c>
      <c r="H476" s="24">
        <v>28</v>
      </c>
      <c r="I476" s="24">
        <v>38.8</v>
      </c>
      <c r="J476" s="24">
        <f>MAX(H476,ROUNDUP(I476,0))</f>
        <v>39</v>
      </c>
      <c r="K476" s="22">
        <f>IF(C476="covered",10.4,7.55)</f>
        <v>10.4</v>
      </c>
      <c r="L476" s="14" t="s">
        <v>2643</v>
      </c>
      <c r="M476" s="24">
        <v>39</v>
      </c>
      <c r="N476" s="22">
        <v>10.4</v>
      </c>
      <c r="O476" s="22">
        <v>405.6</v>
      </c>
      <c r="P476" s="22">
        <f>J476*K476</f>
        <v>405.6</v>
      </c>
      <c r="Q476" s="22">
        <f>IF(L476="","",N476-K476)</f>
        <v>0.0</v>
      </c>
      <c r="R476" s="24">
        <f>IF(L476="","",M476-J476)</f>
        <v>0.0</v>
      </c>
      <c r="S476" s="22">
        <f>IF(L476="",-P476,O476-P476)</f>
        <v>0.0</v>
      </c>
      <c r="T476" s="11" t="str">
        <f>IF(L476="","NO BILL IN SUPPLIED EXPORT",IF(ABS(Q476)&gt;0.001,"RATE EXCEPTION",IF(ABS(R476)&gt;0.001,"LENGTH EXCEPTION",IF(ABS(S476)&gt;0.01,"AMOUNT EXCEPTION","OK"))))</f>
        <v>OK</v>
      </c>
      <c r="U476" s="15" t="s">
        <v>2644</v>
      </c>
    </row>
    <row r="477" spans="1:21" ht="28" customHeight="1">
      <c r="A477" s="18" t="s">
        <v>2645</v>
      </c>
      <c r="B477" s="18" t="s">
        <v>191</v>
      </c>
      <c r="C477" s="18" t="s">
        <v>2515</v>
      </c>
      <c r="D477" s="18" t="s">
        <v>227</v>
      </c>
      <c r="E477" s="18" t="s">
        <v>2646</v>
      </c>
      <c r="F477" s="19" t="s">
        <v>2647</v>
      </c>
      <c r="G477" s="19" t="s">
        <v>1192</v>
      </c>
      <c r="H477" s="24">
        <v>36</v>
      </c>
      <c r="I477" s="24">
        <v>51.3</v>
      </c>
      <c r="J477" s="24">
        <f>MAX(H477,ROUNDUP(I477,0))</f>
        <v>52</v>
      </c>
      <c r="K477" s="22">
        <f>IF(C477="covered",10.4,7.55)</f>
        <v>10.4</v>
      </c>
      <c r="L477" s="18" t="s">
        <v>2648</v>
      </c>
      <c r="M477" s="24">
        <v>52</v>
      </c>
      <c r="N477" s="22">
        <v>10.4</v>
      </c>
      <c r="O477" s="22">
        <v>540.8</v>
      </c>
      <c r="P477" s="22">
        <f>J477*K477</f>
        <v>540.8000000000001</v>
      </c>
      <c r="Q477" s="22">
        <f>IF(L477="","",N477-K477)</f>
        <v>0.0</v>
      </c>
      <c r="R477" s="24">
        <f>IF(L477="","",M477-J477)</f>
        <v>0.0</v>
      </c>
      <c r="S477" s="22">
        <f>IF(L477="",-P477,O477-P477)</f>
        <v>-1.1368683772161603e-13</v>
      </c>
      <c r="T477" s="11" t="str">
        <f>IF(L477="","NO BILL IN SUPPLIED EXPORT",IF(ABS(Q477)&gt;0.001,"RATE EXCEPTION",IF(ABS(R477)&gt;0.001,"LENGTH EXCEPTION",IF(ABS(S477)&gt;0.01,"AMOUNT EXCEPTION","OK"))))</f>
        <v>OK</v>
      </c>
      <c r="U477" s="19" t="s">
        <v>2649</v>
      </c>
    </row>
    <row r="478" spans="1:21" ht="28" customHeight="1">
      <c r="A478" s="14" t="s">
        <v>2650</v>
      </c>
      <c r="B478" s="14" t="s">
        <v>191</v>
      </c>
      <c r="C478" s="14" t="s">
        <v>2515</v>
      </c>
      <c r="D478" s="14" t="s">
        <v>227</v>
      </c>
      <c r="E478" s="14" t="s">
        <v>2651</v>
      </c>
      <c r="F478" s="15" t="s">
        <v>2652</v>
      </c>
      <c r="G478" s="15" t="s">
        <v>2653</v>
      </c>
      <c r="H478" s="24">
        <v>36</v>
      </c>
      <c r="I478" s="24">
        <v>37.5</v>
      </c>
      <c r="J478" s="24">
        <f>MAX(H478,ROUNDUP(I478,0))</f>
        <v>38</v>
      </c>
      <c r="K478" s="22">
        <f>IF(C478="covered",10.4,7.55)</f>
        <v>10.4</v>
      </c>
      <c r="L478" s="14" t="s">
        <v>2654</v>
      </c>
      <c r="M478" s="24">
        <v>38</v>
      </c>
      <c r="N478" s="22">
        <v>10.4</v>
      </c>
      <c r="O478" s="22">
        <v>395.2</v>
      </c>
      <c r="P478" s="22">
        <f>J478*K478</f>
        <v>395.2</v>
      </c>
      <c r="Q478" s="22">
        <f>IF(L478="","",N478-K478)</f>
        <v>0.0</v>
      </c>
      <c r="R478" s="24">
        <f>IF(L478="","",M478-J478)</f>
        <v>0.0</v>
      </c>
      <c r="S478" s="22">
        <f>IF(L478="",-P478,O478-P478)</f>
        <v>0.0</v>
      </c>
      <c r="T478" s="11" t="str">
        <f>IF(L478="","NO BILL IN SUPPLIED EXPORT",IF(ABS(Q478)&gt;0.001,"RATE EXCEPTION",IF(ABS(R478)&gt;0.001,"LENGTH EXCEPTION",IF(ABS(S478)&gt;0.01,"AMOUNT EXCEPTION","OK"))))</f>
        <v>OK</v>
      </c>
      <c r="U478" s="15" t="s">
        <v>2655</v>
      </c>
    </row>
    <row r="479" spans="1:21" ht="28" customHeight="1">
      <c r="A479" s="18" t="s">
        <v>2656</v>
      </c>
      <c r="B479" s="18" t="s">
        <v>191</v>
      </c>
      <c r="C479" s="18" t="s">
        <v>2515</v>
      </c>
      <c r="D479" s="18" t="s">
        <v>227</v>
      </c>
      <c r="E479" s="18" t="s">
        <v>2657</v>
      </c>
      <c r="F479" s="19" t="s">
        <v>2658</v>
      </c>
      <c r="G479" s="19" t="s">
        <v>300</v>
      </c>
      <c r="H479" s="24">
        <v>28</v>
      </c>
      <c r="I479" s="24">
        <v>28.3</v>
      </c>
      <c r="J479" s="24">
        <f>MAX(H479,ROUNDUP(I479,0))</f>
        <v>29</v>
      </c>
      <c r="K479" s="22">
        <f>IF(C479="covered",10.4,7.55)</f>
        <v>10.4</v>
      </c>
      <c r="L479" s="18" t="s">
        <v>2659</v>
      </c>
      <c r="M479" s="24">
        <v>29</v>
      </c>
      <c r="N479" s="22">
        <v>10.4</v>
      </c>
      <c r="O479" s="22">
        <v>301.6</v>
      </c>
      <c r="P479" s="22">
        <f>J479*K479</f>
        <v>301.6</v>
      </c>
      <c r="Q479" s="22">
        <f>IF(L479="","",N479-K479)</f>
        <v>0.0</v>
      </c>
      <c r="R479" s="24">
        <f>IF(L479="","",M479-J479)</f>
        <v>0.0</v>
      </c>
      <c r="S479" s="22">
        <f>IF(L479="",-P479,O479-P479)</f>
        <v>0.0</v>
      </c>
      <c r="T479" s="11" t="str">
        <f>IF(L479="","NO BILL IN SUPPLIED EXPORT",IF(ABS(Q479)&gt;0.001,"RATE EXCEPTION",IF(ABS(R479)&gt;0.001,"LENGTH EXCEPTION",IF(ABS(S479)&gt;0.01,"AMOUNT EXCEPTION","OK"))))</f>
        <v>OK</v>
      </c>
      <c r="U479" s="19" t="s">
        <v>2660</v>
      </c>
    </row>
    <row r="480" spans="1:21" ht="28" customHeight="1">
      <c r="A480" s="14" t="s">
        <v>2661</v>
      </c>
      <c r="B480" s="14" t="s">
        <v>191</v>
      </c>
      <c r="C480" s="14" t="s">
        <v>2515</v>
      </c>
      <c r="D480" s="14" t="s">
        <v>227</v>
      </c>
      <c r="E480" s="14" t="s">
        <v>2662</v>
      </c>
      <c r="F480" s="15" t="s">
        <v>2663</v>
      </c>
      <c r="G480" s="15" t="s">
        <v>2324</v>
      </c>
      <c r="H480" s="24">
        <v>28</v>
      </c>
      <c r="I480" s="24">
        <v>35.6</v>
      </c>
      <c r="J480" s="24">
        <f>MAX(H480,ROUNDUP(I480,0))</f>
        <v>36</v>
      </c>
      <c r="K480" s="22">
        <f>IF(C480="covered",10.4,7.55)</f>
        <v>10.4</v>
      </c>
      <c r="L480" s="14" t="s">
        <v>2664</v>
      </c>
      <c r="M480" s="24">
        <v>36</v>
      </c>
      <c r="N480" s="22">
        <v>10.4</v>
      </c>
      <c r="O480" s="22">
        <v>374.4</v>
      </c>
      <c r="P480" s="22">
        <f>J480*K480</f>
        <v>374.40000000000003</v>
      </c>
      <c r="Q480" s="22">
        <f>IF(L480="","",N480-K480)</f>
        <v>0.0</v>
      </c>
      <c r="R480" s="24">
        <f>IF(L480="","",M480-J480)</f>
        <v>0.0</v>
      </c>
      <c r="S480" s="22">
        <f>IF(L480="",-P480,O480-P480)</f>
        <v>-5.684341886080802e-14</v>
      </c>
      <c r="T480" s="11" t="str">
        <f>IF(L480="","NO BILL IN SUPPLIED EXPORT",IF(ABS(Q480)&gt;0.001,"RATE EXCEPTION",IF(ABS(R480)&gt;0.001,"LENGTH EXCEPTION",IF(ABS(S480)&gt;0.01,"AMOUNT EXCEPTION","OK"))))</f>
        <v>OK</v>
      </c>
      <c r="U480" s="15" t="s">
        <v>2665</v>
      </c>
    </row>
    <row r="481" spans="1:21" ht="28" customHeight="1">
      <c r="A481" s="18" t="s">
        <v>2666</v>
      </c>
      <c r="B481" s="18" t="s">
        <v>191</v>
      </c>
      <c r="C481" s="18" t="s">
        <v>2515</v>
      </c>
      <c r="D481" s="18" t="s">
        <v>227</v>
      </c>
      <c r="E481" s="18" t="s">
        <v>2667</v>
      </c>
      <c r="F481" s="19" t="s">
        <v>2668</v>
      </c>
      <c r="G481" s="19" t="s">
        <v>2669</v>
      </c>
      <c r="H481" s="24">
        <v>40</v>
      </c>
      <c r="I481" s="24">
        <v>23</v>
      </c>
      <c r="J481" s="24">
        <f>MAX(H481,ROUNDUP(I481,0))</f>
        <v>40.0</v>
      </c>
      <c r="K481" s="22">
        <f>IF(C481="covered",10.4,7.55)</f>
        <v>10.4</v>
      </c>
      <c r="L481" s="18" t="s">
        <v>2670</v>
      </c>
      <c r="M481" s="24">
        <v>40</v>
      </c>
      <c r="N481" s="22">
        <v>10.4</v>
      </c>
      <c r="O481" s="22">
        <v>416</v>
      </c>
      <c r="P481" s="22">
        <f>J481*K481</f>
        <v>416.0</v>
      </c>
      <c r="Q481" s="22">
        <f>IF(L481="","",N481-K481)</f>
        <v>0.0</v>
      </c>
      <c r="R481" s="24">
        <f>IF(L481="","",M481-J481)</f>
        <v>0.0</v>
      </c>
      <c r="S481" s="22">
        <f>IF(L481="",-P481,O481-P481)</f>
        <v>0.0</v>
      </c>
      <c r="T481" s="11" t="str">
        <f>IF(L481="","NO BILL IN SUPPLIED EXPORT",IF(ABS(Q481)&gt;0.001,"RATE EXCEPTION",IF(ABS(R481)&gt;0.001,"LENGTH EXCEPTION",IF(ABS(S481)&gt;0.01,"AMOUNT EXCEPTION","OK"))))</f>
        <v>OK</v>
      </c>
      <c r="U481" s="19" t="s">
        <v>2671</v>
      </c>
    </row>
    <row r="482" spans="1:21" ht="28" customHeight="1">
      <c r="A482" s="14" t="s">
        <v>2672</v>
      </c>
      <c r="B482" s="14" t="s">
        <v>191</v>
      </c>
      <c r="C482" s="14" t="s">
        <v>2515</v>
      </c>
      <c r="D482" s="14" t="s">
        <v>227</v>
      </c>
      <c r="E482" s="14" t="s">
        <v>2673</v>
      </c>
      <c r="F482" s="15" t="s">
        <v>2674</v>
      </c>
      <c r="G482" s="15" t="s">
        <v>382</v>
      </c>
      <c r="H482" s="24">
        <v>24</v>
      </c>
      <c r="I482" s="24">
        <v>41.4</v>
      </c>
      <c r="J482" s="24">
        <f>MAX(H482,ROUNDUP(I482,0))</f>
        <v>42</v>
      </c>
      <c r="K482" s="22">
        <f>IF(C482="covered",10.4,7.55)</f>
        <v>10.4</v>
      </c>
      <c r="L482" s="14" t="s">
        <v>2675</v>
      </c>
      <c r="M482" s="24">
        <v>42</v>
      </c>
      <c r="N482" s="22">
        <v>10.4</v>
      </c>
      <c r="O482" s="22">
        <v>436.8</v>
      </c>
      <c r="P482" s="22">
        <f>J482*K482</f>
        <v>436.8</v>
      </c>
      <c r="Q482" s="22">
        <f>IF(L482="","",N482-K482)</f>
        <v>0.0</v>
      </c>
      <c r="R482" s="24">
        <f>IF(L482="","",M482-J482)</f>
        <v>0.0</v>
      </c>
      <c r="S482" s="22">
        <f>IF(L482="",-P482,O482-P482)</f>
        <v>0.0</v>
      </c>
      <c r="T482" s="11" t="str">
        <f>IF(L482="","NO BILL IN SUPPLIED EXPORT",IF(ABS(Q482)&gt;0.001,"RATE EXCEPTION",IF(ABS(R482)&gt;0.001,"LENGTH EXCEPTION",IF(ABS(S482)&gt;0.01,"AMOUNT EXCEPTION","OK"))))</f>
        <v>OK</v>
      </c>
      <c r="U482" s="15" t="s">
        <v>2676</v>
      </c>
    </row>
    <row r="483" spans="1:21" ht="28" customHeight="1">
      <c r="A483" s="18" t="s">
        <v>2677</v>
      </c>
      <c r="B483" s="18" t="s">
        <v>191</v>
      </c>
      <c r="C483" s="18" t="s">
        <v>2515</v>
      </c>
      <c r="D483" s="18" t="s">
        <v>227</v>
      </c>
      <c r="E483" s="18" t="s">
        <v>2678</v>
      </c>
      <c r="F483" s="19" t="s">
        <v>2679</v>
      </c>
      <c r="G483" s="19" t="s">
        <v>2680</v>
      </c>
      <c r="H483" s="24">
        <v>32</v>
      </c>
      <c r="I483" s="24">
        <v>35.9</v>
      </c>
      <c r="J483" s="24">
        <f>MAX(H483,ROUNDUP(I483,0))</f>
        <v>36</v>
      </c>
      <c r="K483" s="22">
        <f>IF(C483="covered",10.4,7.55)</f>
        <v>10.4</v>
      </c>
      <c r="L483" s="18" t="s">
        <v>2681</v>
      </c>
      <c r="M483" s="24">
        <v>36</v>
      </c>
      <c r="N483" s="22">
        <v>10.4</v>
      </c>
      <c r="O483" s="22">
        <v>374.4</v>
      </c>
      <c r="P483" s="22">
        <f>J483*K483</f>
        <v>374.40000000000003</v>
      </c>
      <c r="Q483" s="22">
        <f>IF(L483="","",N483-K483)</f>
        <v>0.0</v>
      </c>
      <c r="R483" s="24">
        <f>IF(L483="","",M483-J483)</f>
        <v>0.0</v>
      </c>
      <c r="S483" s="22">
        <f>IF(L483="",-P483,O483-P483)</f>
        <v>-5.684341886080802e-14</v>
      </c>
      <c r="T483" s="11" t="str">
        <f>IF(L483="","NO BILL IN SUPPLIED EXPORT",IF(ABS(Q483)&gt;0.001,"RATE EXCEPTION",IF(ABS(R483)&gt;0.001,"LENGTH EXCEPTION",IF(ABS(S483)&gt;0.01,"AMOUNT EXCEPTION","OK"))))</f>
        <v>OK</v>
      </c>
      <c r="U483" s="19" t="s">
        <v>2682</v>
      </c>
    </row>
    <row r="484" spans="1:21" ht="28" customHeight="1">
      <c r="A484" s="14" t="s">
        <v>2683</v>
      </c>
      <c r="B484" s="14" t="s">
        <v>191</v>
      </c>
      <c r="C484" s="14" t="s">
        <v>2515</v>
      </c>
      <c r="D484" s="14" t="s">
        <v>227</v>
      </c>
      <c r="E484" s="14" t="s">
        <v>2684</v>
      </c>
      <c r="F484" s="15" t="s">
        <v>2685</v>
      </c>
      <c r="G484" s="15" t="s">
        <v>2470</v>
      </c>
      <c r="H484" s="24">
        <v>32</v>
      </c>
      <c r="I484" s="24">
        <v>19.8</v>
      </c>
      <c r="J484" s="24">
        <f>MAX(H484,ROUNDUP(I484,0))</f>
        <v>32.0</v>
      </c>
      <c r="K484" s="22">
        <f>IF(C484="covered",10.4,7.55)</f>
        <v>10.4</v>
      </c>
      <c r="L484" s="14" t="s">
        <v>2686</v>
      </c>
      <c r="M484" s="24">
        <v>32</v>
      </c>
      <c r="N484" s="22">
        <v>10.4</v>
      </c>
      <c r="O484" s="22">
        <v>332.8</v>
      </c>
      <c r="P484" s="22">
        <f>J484*K484</f>
        <v>332.8</v>
      </c>
      <c r="Q484" s="22">
        <f>IF(L484="","",N484-K484)</f>
        <v>0.0</v>
      </c>
      <c r="R484" s="24">
        <f>IF(L484="","",M484-J484)</f>
        <v>0.0</v>
      </c>
      <c r="S484" s="22">
        <f>IF(L484="",-P484,O484-P484)</f>
        <v>0.0</v>
      </c>
      <c r="T484" s="11" t="str">
        <f>IF(L484="","NO BILL IN SUPPLIED EXPORT",IF(ABS(Q484)&gt;0.001,"RATE EXCEPTION",IF(ABS(R484)&gt;0.001,"LENGTH EXCEPTION",IF(ABS(S484)&gt;0.01,"AMOUNT EXCEPTION","OK"))))</f>
        <v>OK</v>
      </c>
      <c r="U484" s="15" t="s">
        <v>2687</v>
      </c>
    </row>
    <row r="485" spans="1:21" ht="28" customHeight="1">
      <c r="A485" s="18" t="s">
        <v>2688</v>
      </c>
      <c r="B485" s="18" t="s">
        <v>191</v>
      </c>
      <c r="C485" s="18" t="s">
        <v>2515</v>
      </c>
      <c r="D485" s="18" t="s">
        <v>227</v>
      </c>
      <c r="E485" s="18" t="s">
        <v>2689</v>
      </c>
      <c r="F485" s="19" t="s">
        <v>2690</v>
      </c>
      <c r="G485" s="19" t="s">
        <v>2691</v>
      </c>
      <c r="H485" s="24">
        <v>40</v>
      </c>
      <c r="I485" s="24">
        <v>24.8</v>
      </c>
      <c r="J485" s="24">
        <f>MAX(H485,ROUNDUP(I485,0))</f>
        <v>40.0</v>
      </c>
      <c r="K485" s="22">
        <f>IF(C485="covered",10.4,7.55)</f>
        <v>10.4</v>
      </c>
      <c r="L485" s="18" t="s">
        <v>2692</v>
      </c>
      <c r="M485" s="24">
        <v>40</v>
      </c>
      <c r="N485" s="22">
        <v>10.4</v>
      </c>
      <c r="O485" s="22">
        <v>416</v>
      </c>
      <c r="P485" s="22">
        <f>J485*K485</f>
        <v>416.0</v>
      </c>
      <c r="Q485" s="22">
        <f>IF(L485="","",N485-K485)</f>
        <v>0.0</v>
      </c>
      <c r="R485" s="24">
        <f>IF(L485="","",M485-J485)</f>
        <v>0.0</v>
      </c>
      <c r="S485" s="22">
        <f>IF(L485="",-P485,O485-P485)</f>
        <v>0.0</v>
      </c>
      <c r="T485" s="11" t="str">
        <f>IF(L485="","NO BILL IN SUPPLIED EXPORT",IF(ABS(Q485)&gt;0.001,"RATE EXCEPTION",IF(ABS(R485)&gt;0.001,"LENGTH EXCEPTION",IF(ABS(S485)&gt;0.01,"AMOUNT EXCEPTION","OK"))))</f>
        <v>OK</v>
      </c>
      <c r="U485" s="19" t="s">
        <v>2693</v>
      </c>
    </row>
    <row r="486" spans="1:21" ht="28" customHeight="1">
      <c r="A486" s="14" t="s">
        <v>2694</v>
      </c>
      <c r="B486" s="14" t="s">
        <v>191</v>
      </c>
      <c r="C486" s="14" t="s">
        <v>2515</v>
      </c>
      <c r="D486" s="14" t="s">
        <v>227</v>
      </c>
      <c r="E486" s="14" t="s">
        <v>2695</v>
      </c>
      <c r="F486" s="15" t="s">
        <v>2696</v>
      </c>
      <c r="G486" s="15" t="s">
        <v>2697</v>
      </c>
      <c r="H486" s="24">
        <v>24</v>
      </c>
      <c r="I486" s="24">
        <v>57.4</v>
      </c>
      <c r="J486" s="24">
        <f>MAX(H486,ROUNDUP(I486,0))</f>
        <v>58</v>
      </c>
      <c r="K486" s="22">
        <f>IF(C486="covered",10.4,7.55)</f>
        <v>10.4</v>
      </c>
      <c r="L486" s="14" t="s">
        <v>2698</v>
      </c>
      <c r="M486" s="24">
        <v>58</v>
      </c>
      <c r="N486" s="22">
        <v>10.4</v>
      </c>
      <c r="O486" s="22">
        <v>603.2</v>
      </c>
      <c r="P486" s="22">
        <f>J486*K486</f>
        <v>603.2</v>
      </c>
      <c r="Q486" s="22">
        <f>IF(L486="","",N486-K486)</f>
        <v>0.0</v>
      </c>
      <c r="R486" s="24">
        <f>IF(L486="","",M486-J486)</f>
        <v>0.0</v>
      </c>
      <c r="S486" s="22">
        <f>IF(L486="",-P486,O486-P486)</f>
        <v>0.0</v>
      </c>
      <c r="T486" s="11" t="str">
        <f>IF(L486="","NO BILL IN SUPPLIED EXPORT",IF(ABS(Q486)&gt;0.001,"RATE EXCEPTION",IF(ABS(R486)&gt;0.001,"LENGTH EXCEPTION",IF(ABS(S486)&gt;0.01,"AMOUNT EXCEPTION","OK"))))</f>
        <v>OK</v>
      </c>
      <c r="U486" s="15" t="s">
        <v>2699</v>
      </c>
    </row>
    <row r="487" spans="1:21" ht="28" customHeight="1">
      <c r="A487" s="18" t="s">
        <v>2700</v>
      </c>
      <c r="B487" s="18" t="s">
        <v>191</v>
      </c>
      <c r="C487" s="18" t="s">
        <v>2515</v>
      </c>
      <c r="D487" s="18" t="s">
        <v>227</v>
      </c>
      <c r="E487" s="18" t="s">
        <v>2701</v>
      </c>
      <c r="F487" s="19" t="s">
        <v>2702</v>
      </c>
      <c r="G487" s="19" t="s">
        <v>1535</v>
      </c>
      <c r="H487" s="24">
        <v>40</v>
      </c>
      <c r="I487" s="24">
        <v>49.7</v>
      </c>
      <c r="J487" s="24">
        <f>MAX(H487,ROUNDUP(I487,0))</f>
        <v>50</v>
      </c>
      <c r="K487" s="22">
        <f>IF(C487="covered",10.4,7.55)</f>
        <v>10.4</v>
      </c>
      <c r="L487" s="18" t="s">
        <v>2703</v>
      </c>
      <c r="M487" s="24">
        <v>50</v>
      </c>
      <c r="N487" s="22">
        <v>10.4</v>
      </c>
      <c r="O487" s="22">
        <v>520</v>
      </c>
      <c r="P487" s="22">
        <f>J487*K487</f>
        <v>520.0</v>
      </c>
      <c r="Q487" s="22">
        <f>IF(L487="","",N487-K487)</f>
        <v>0.0</v>
      </c>
      <c r="R487" s="24">
        <f>IF(L487="","",M487-J487)</f>
        <v>0.0</v>
      </c>
      <c r="S487" s="22">
        <f>IF(L487="",-P487,O487-P487)</f>
        <v>0.0</v>
      </c>
      <c r="T487" s="11" t="str">
        <f>IF(L487="","NO BILL IN SUPPLIED EXPORT",IF(ABS(Q487)&gt;0.001,"RATE EXCEPTION",IF(ABS(R487)&gt;0.001,"LENGTH EXCEPTION",IF(ABS(S487)&gt;0.01,"AMOUNT EXCEPTION","OK"))))</f>
        <v>OK</v>
      </c>
      <c r="U487" s="19" t="s">
        <v>2704</v>
      </c>
    </row>
    <row r="488" spans="1:21" ht="28" customHeight="1">
      <c r="A488" s="14" t="s">
        <v>2705</v>
      </c>
      <c r="B488" s="14" t="s">
        <v>191</v>
      </c>
      <c r="C488" s="14" t="s">
        <v>2515</v>
      </c>
      <c r="D488" s="14" t="s">
        <v>227</v>
      </c>
      <c r="E488" s="14" t="s">
        <v>2706</v>
      </c>
      <c r="F488" s="15" t="s">
        <v>2707</v>
      </c>
      <c r="G488" s="15" t="s">
        <v>2708</v>
      </c>
      <c r="H488" s="24">
        <v>28</v>
      </c>
      <c r="I488" s="24">
        <v>31</v>
      </c>
      <c r="J488" s="24">
        <f>MAX(H488,ROUNDUP(I488,0))</f>
        <v>31</v>
      </c>
      <c r="K488" s="22">
        <f>IF(C488="covered",10.4,7.55)</f>
        <v>10.4</v>
      </c>
      <c r="L488" s="14" t="s">
        <v>2709</v>
      </c>
      <c r="M488" s="24">
        <v>31</v>
      </c>
      <c r="N488" s="22">
        <v>10.4</v>
      </c>
      <c r="O488" s="22">
        <v>322.4</v>
      </c>
      <c r="P488" s="22">
        <f>J488*K488</f>
        <v>322.40000000000003</v>
      </c>
      <c r="Q488" s="22">
        <f>IF(L488="","",N488-K488)</f>
        <v>0.0</v>
      </c>
      <c r="R488" s="24">
        <f>IF(L488="","",M488-J488)</f>
        <v>0.0</v>
      </c>
      <c r="S488" s="22">
        <f>IF(L488="",-P488,O488-P488)</f>
        <v>-5.684341886080802e-14</v>
      </c>
      <c r="T488" s="11" t="str">
        <f>IF(L488="","NO BILL IN SUPPLIED EXPORT",IF(ABS(Q488)&gt;0.001,"RATE EXCEPTION",IF(ABS(R488)&gt;0.001,"LENGTH EXCEPTION",IF(ABS(S488)&gt;0.01,"AMOUNT EXCEPTION","OK"))))</f>
        <v>OK</v>
      </c>
      <c r="U488" s="15" t="s">
        <v>2710</v>
      </c>
    </row>
    <row r="489" spans="1:21" ht="28" customHeight="1">
      <c r="A489" s="18" t="s">
        <v>2711</v>
      </c>
      <c r="B489" s="18" t="s">
        <v>191</v>
      </c>
      <c r="C489" s="18" t="s">
        <v>2515</v>
      </c>
      <c r="D489" s="18" t="s">
        <v>227</v>
      </c>
      <c r="E489" s="18" t="s">
        <v>2712</v>
      </c>
      <c r="F489" s="19" t="s">
        <v>2713</v>
      </c>
      <c r="G489" s="19" t="s">
        <v>692</v>
      </c>
      <c r="H489" s="24">
        <v>28</v>
      </c>
      <c r="I489" s="24">
        <v>26.3</v>
      </c>
      <c r="J489" s="24">
        <f>MAX(H489,ROUNDUP(I489,0))</f>
        <v>28.0</v>
      </c>
      <c r="K489" s="22">
        <f>IF(C489="covered",10.4,7.55)</f>
        <v>10.4</v>
      </c>
      <c r="L489" s="18" t="s">
        <v>2714</v>
      </c>
      <c r="M489" s="24">
        <v>28</v>
      </c>
      <c r="N489" s="22">
        <v>10.4</v>
      </c>
      <c r="O489" s="22">
        <v>291.2</v>
      </c>
      <c r="P489" s="22">
        <f>J489*K489</f>
        <v>291.2</v>
      </c>
      <c r="Q489" s="22">
        <f>IF(L489="","",N489-K489)</f>
        <v>0.0</v>
      </c>
      <c r="R489" s="24">
        <f>IF(L489="","",M489-J489)</f>
        <v>0.0</v>
      </c>
      <c r="S489" s="22">
        <f>IF(L489="",-P489,O489-P489)</f>
        <v>0.0</v>
      </c>
      <c r="T489" s="11" t="str">
        <f>IF(L489="","NO BILL IN SUPPLIED EXPORT",IF(ABS(Q489)&gt;0.001,"RATE EXCEPTION",IF(ABS(R489)&gt;0.001,"LENGTH EXCEPTION",IF(ABS(S489)&gt;0.01,"AMOUNT EXCEPTION","OK"))))</f>
        <v>OK</v>
      </c>
      <c r="U489" s="19" t="s">
        <v>2715</v>
      </c>
    </row>
    <row r="490" spans="1:21" ht="28" customHeight="1">
      <c r="A490" s="14" t="s">
        <v>71</v>
      </c>
      <c r="B490" s="14" t="s">
        <v>191</v>
      </c>
      <c r="C490" s="14" t="s">
        <v>2515</v>
      </c>
      <c r="D490" s="14" t="s">
        <v>227</v>
      </c>
      <c r="E490" s="14" t="s">
        <v>2716</v>
      </c>
      <c r="F490" s="15" t="s">
        <v>2717</v>
      </c>
      <c r="G490" s="15" t="s">
        <v>1574</v>
      </c>
      <c r="H490" s="24">
        <v>32</v>
      </c>
      <c r="I490" s="24">
        <v>57</v>
      </c>
      <c r="J490" s="24">
        <f>MAX(H490,ROUNDUP(I490,0))</f>
        <v>57</v>
      </c>
      <c r="K490" s="22">
        <f>IF(C490="covered",10.4,7.55)</f>
        <v>10.4</v>
      </c>
      <c r="L490" s="14" t="s">
        <v>2718</v>
      </c>
      <c r="M490" s="24">
        <v>57</v>
      </c>
      <c r="N490" s="22">
        <v>10.4</v>
      </c>
      <c r="O490" s="22">
        <v>592.8</v>
      </c>
      <c r="P490" s="22">
        <f>J490*K490</f>
        <v>592.8000000000001</v>
      </c>
      <c r="Q490" s="22">
        <f>IF(L490="","",N490-K490)</f>
        <v>0.0</v>
      </c>
      <c r="R490" s="24">
        <f>IF(L490="","",M490-J490)</f>
        <v>0.0</v>
      </c>
      <c r="S490" s="22">
        <f>IF(L490="",-P490,O490-P490)</f>
        <v>-1.1368683772161603e-13</v>
      </c>
      <c r="T490" s="11" t="str">
        <f>IF(L490="","NO BILL IN SUPPLIED EXPORT",IF(ABS(Q490)&gt;0.001,"RATE EXCEPTION",IF(ABS(R490)&gt;0.001,"LENGTH EXCEPTION",IF(ABS(S490)&gt;0.01,"AMOUNT EXCEPTION","OK"))))</f>
        <v>OK</v>
      </c>
      <c r="U490" s="15" t="s">
        <v>2719</v>
      </c>
    </row>
    <row r="491" spans="1:21" ht="28" customHeight="1">
      <c r="A491" s="18" t="s">
        <v>2720</v>
      </c>
      <c r="B491" s="18" t="s">
        <v>191</v>
      </c>
      <c r="C491" s="18" t="s">
        <v>2515</v>
      </c>
      <c r="D491" s="18" t="s">
        <v>227</v>
      </c>
      <c r="E491" s="18" t="s">
        <v>2721</v>
      </c>
      <c r="F491" s="19" t="s">
        <v>2722</v>
      </c>
      <c r="G491" s="19" t="s">
        <v>2723</v>
      </c>
      <c r="H491" s="24">
        <v>40</v>
      </c>
      <c r="I491" s="24">
        <v>58.7</v>
      </c>
      <c r="J491" s="24">
        <f>MAX(H491,ROUNDUP(I491,0))</f>
        <v>59</v>
      </c>
      <c r="K491" s="22">
        <f>IF(C491="covered",10.4,7.55)</f>
        <v>10.4</v>
      </c>
      <c r="L491" s="18" t="s">
        <v>2724</v>
      </c>
      <c r="M491" s="24">
        <v>59</v>
      </c>
      <c r="N491" s="22">
        <v>10.4</v>
      </c>
      <c r="O491" s="22">
        <v>613.6</v>
      </c>
      <c r="P491" s="22">
        <f>J491*K491</f>
        <v>613.6</v>
      </c>
      <c r="Q491" s="22">
        <f>IF(L491="","",N491-K491)</f>
        <v>0.0</v>
      </c>
      <c r="R491" s="24">
        <f>IF(L491="","",M491-J491)</f>
        <v>0.0</v>
      </c>
      <c r="S491" s="22">
        <f>IF(L491="",-P491,O491-P491)</f>
        <v>0.0</v>
      </c>
      <c r="T491" s="11" t="str">
        <f>IF(L491="","NO BILL IN SUPPLIED EXPORT",IF(ABS(Q491)&gt;0.001,"RATE EXCEPTION",IF(ABS(R491)&gt;0.001,"LENGTH EXCEPTION",IF(ABS(S491)&gt;0.01,"AMOUNT EXCEPTION","OK"))))</f>
        <v>OK</v>
      </c>
      <c r="U491" s="19" t="s">
        <v>2725</v>
      </c>
    </row>
    <row r="492" spans="1:21" ht="28" customHeight="1">
      <c r="A492" s="14" t="s">
        <v>2726</v>
      </c>
      <c r="B492" s="14" t="s">
        <v>191</v>
      </c>
      <c r="C492" s="14" t="s">
        <v>2515</v>
      </c>
      <c r="D492" s="14" t="s">
        <v>227</v>
      </c>
      <c r="E492" s="14" t="s">
        <v>2727</v>
      </c>
      <c r="F492" s="15" t="s">
        <v>2728</v>
      </c>
      <c r="G492" s="15" t="s">
        <v>2729</v>
      </c>
      <c r="H492" s="24">
        <v>24</v>
      </c>
      <c r="I492" s="24">
        <v>41.6</v>
      </c>
      <c r="J492" s="24">
        <f>MAX(H492,ROUNDUP(I492,0))</f>
        <v>42</v>
      </c>
      <c r="K492" s="22">
        <f>IF(C492="covered",10.4,7.55)</f>
        <v>10.4</v>
      </c>
      <c r="L492" s="14" t="s">
        <v>2730</v>
      </c>
      <c r="M492" s="24">
        <v>42</v>
      </c>
      <c r="N492" s="22">
        <v>10.4</v>
      </c>
      <c r="O492" s="22">
        <v>436.8</v>
      </c>
      <c r="P492" s="22">
        <f>J492*K492</f>
        <v>436.8</v>
      </c>
      <c r="Q492" s="22">
        <f>IF(L492="","",N492-K492)</f>
        <v>0.0</v>
      </c>
      <c r="R492" s="24">
        <f>IF(L492="","",M492-J492)</f>
        <v>0.0</v>
      </c>
      <c r="S492" s="22">
        <f>IF(L492="",-P492,O492-P492)</f>
        <v>0.0</v>
      </c>
      <c r="T492" s="11" t="str">
        <f>IF(L492="","NO BILL IN SUPPLIED EXPORT",IF(ABS(Q492)&gt;0.001,"RATE EXCEPTION",IF(ABS(R492)&gt;0.001,"LENGTH EXCEPTION",IF(ABS(S492)&gt;0.01,"AMOUNT EXCEPTION","OK"))))</f>
        <v>OK</v>
      </c>
      <c r="U492" s="15" t="s">
        <v>2731</v>
      </c>
    </row>
    <row r="493" spans="1:21" ht="28" customHeight="1">
      <c r="A493" s="18" t="s">
        <v>2732</v>
      </c>
      <c r="B493" s="18" t="s">
        <v>191</v>
      </c>
      <c r="C493" s="18" t="s">
        <v>2515</v>
      </c>
      <c r="D493" s="18" t="s">
        <v>227</v>
      </c>
      <c r="E493" s="18" t="s">
        <v>2733</v>
      </c>
      <c r="F493" s="19" t="s">
        <v>2734</v>
      </c>
      <c r="G493" s="19" t="s">
        <v>2735</v>
      </c>
      <c r="H493" s="24">
        <v>28</v>
      </c>
      <c r="I493" s="24">
        <v>46.9</v>
      </c>
      <c r="J493" s="24">
        <f>MAX(H493,ROUNDUP(I493,0))</f>
        <v>47</v>
      </c>
      <c r="K493" s="22">
        <f>IF(C493="covered",10.4,7.55)</f>
        <v>10.4</v>
      </c>
      <c r="L493" s="18" t="s">
        <v>2736</v>
      </c>
      <c r="M493" s="24">
        <v>47</v>
      </c>
      <c r="N493" s="22">
        <v>10.4</v>
      </c>
      <c r="O493" s="22">
        <v>488.8</v>
      </c>
      <c r="P493" s="22">
        <f>J493*K493</f>
        <v>488.8</v>
      </c>
      <c r="Q493" s="22">
        <f>IF(L493="","",N493-K493)</f>
        <v>0.0</v>
      </c>
      <c r="R493" s="24">
        <f>IF(L493="","",M493-J493)</f>
        <v>0.0</v>
      </c>
      <c r="S493" s="22">
        <f>IF(L493="",-P493,O493-P493)</f>
        <v>0.0</v>
      </c>
      <c r="T493" s="11" t="str">
        <f>IF(L493="","NO BILL IN SUPPLIED EXPORT",IF(ABS(Q493)&gt;0.001,"RATE EXCEPTION",IF(ABS(R493)&gt;0.001,"LENGTH EXCEPTION",IF(ABS(S493)&gt;0.01,"AMOUNT EXCEPTION","OK"))))</f>
        <v>OK</v>
      </c>
      <c r="U493" s="19" t="s">
        <v>2737</v>
      </c>
    </row>
    <row r="494" spans="1:21" ht="28" customHeight="1">
      <c r="A494" s="14" t="s">
        <v>85</v>
      </c>
      <c r="B494" s="14" t="s">
        <v>191</v>
      </c>
      <c r="C494" s="14" t="s">
        <v>2515</v>
      </c>
      <c r="D494" s="14" t="s">
        <v>227</v>
      </c>
      <c r="E494" s="14" t="s">
        <v>2738</v>
      </c>
      <c r="F494" s="15" t="s">
        <v>2739</v>
      </c>
      <c r="G494" s="15" t="s">
        <v>2680</v>
      </c>
      <c r="H494" s="24">
        <v>28</v>
      </c>
      <c r="I494" s="24">
        <v>45.1</v>
      </c>
      <c r="J494" s="24">
        <f>MAX(H494,ROUNDUP(I494,0))</f>
        <v>46</v>
      </c>
      <c r="K494" s="22">
        <f>IF(C494="covered",10.4,7.55)</f>
        <v>10.4</v>
      </c>
      <c r="L494" s="14" t="s">
        <v>2740</v>
      </c>
      <c r="M494" s="24">
        <v>46</v>
      </c>
      <c r="N494" s="22">
        <v>10.4</v>
      </c>
      <c r="O494" s="22">
        <v>478.4</v>
      </c>
      <c r="P494" s="22">
        <f>J494*K494</f>
        <v>478.40000000000003</v>
      </c>
      <c r="Q494" s="22">
        <f>IF(L494="","",N494-K494)</f>
        <v>0.0</v>
      </c>
      <c r="R494" s="24">
        <f>IF(L494="","",M494-J494)</f>
        <v>0.0</v>
      </c>
      <c r="S494" s="22">
        <f>IF(L494="",-P494,O494-P494)</f>
        <v>-5.684341886080802e-14</v>
      </c>
      <c r="T494" s="11" t="str">
        <f>IF(L494="","NO BILL IN SUPPLIED EXPORT",IF(ABS(Q494)&gt;0.001,"RATE EXCEPTION",IF(ABS(R494)&gt;0.001,"LENGTH EXCEPTION",IF(ABS(S494)&gt;0.01,"AMOUNT EXCEPTION","OK"))))</f>
        <v>OK</v>
      </c>
      <c r="U494" s="15" t="s">
        <v>2741</v>
      </c>
    </row>
    <row r="495" spans="1:21" ht="28" customHeight="1">
      <c r="A495" s="18" t="s">
        <v>2742</v>
      </c>
      <c r="B495" s="18" t="s">
        <v>191</v>
      </c>
      <c r="C495" s="18" t="s">
        <v>2515</v>
      </c>
      <c r="D495" s="18" t="s">
        <v>227</v>
      </c>
      <c r="E495" s="18" t="s">
        <v>2743</v>
      </c>
      <c r="F495" s="19" t="s">
        <v>2744</v>
      </c>
      <c r="G495" s="19" t="s">
        <v>1598</v>
      </c>
      <c r="H495" s="24">
        <v>24</v>
      </c>
      <c r="I495" s="24">
        <v>57.8</v>
      </c>
      <c r="J495" s="24">
        <f>MAX(H495,ROUNDUP(I495,0))</f>
        <v>58</v>
      </c>
      <c r="K495" s="22">
        <f>IF(C495="covered",10.4,7.55)</f>
        <v>10.4</v>
      </c>
      <c r="L495" s="18" t="s">
        <v>2745</v>
      </c>
      <c r="M495" s="24">
        <v>58</v>
      </c>
      <c r="N495" s="22">
        <v>10.4</v>
      </c>
      <c r="O495" s="22">
        <v>603.2</v>
      </c>
      <c r="P495" s="22">
        <f>J495*K495</f>
        <v>603.2</v>
      </c>
      <c r="Q495" s="22">
        <f>IF(L495="","",N495-K495)</f>
        <v>0.0</v>
      </c>
      <c r="R495" s="24">
        <f>IF(L495="","",M495-J495)</f>
        <v>0.0</v>
      </c>
      <c r="S495" s="22">
        <f>IF(L495="",-P495,O495-P495)</f>
        <v>0.0</v>
      </c>
      <c r="T495" s="11" t="str">
        <f>IF(L495="","NO BILL IN SUPPLIED EXPORT",IF(ABS(Q495)&gt;0.001,"RATE EXCEPTION",IF(ABS(R495)&gt;0.001,"LENGTH EXCEPTION",IF(ABS(S495)&gt;0.01,"AMOUNT EXCEPTION","OK"))))</f>
        <v>OK</v>
      </c>
      <c r="U495" s="19" t="s">
        <v>2746</v>
      </c>
    </row>
    <row r="496" spans="1:21" ht="28" customHeight="1">
      <c r="A496" s="14" t="s">
        <v>2747</v>
      </c>
      <c r="B496" s="14" t="s">
        <v>191</v>
      </c>
      <c r="C496" s="14" t="s">
        <v>2515</v>
      </c>
      <c r="D496" s="14" t="s">
        <v>227</v>
      </c>
      <c r="E496" s="14" t="s">
        <v>2748</v>
      </c>
      <c r="F496" s="15" t="s">
        <v>2749</v>
      </c>
      <c r="G496" s="15" t="s">
        <v>2750</v>
      </c>
      <c r="H496" s="24">
        <v>36</v>
      </c>
      <c r="I496" s="24">
        <v>25.5</v>
      </c>
      <c r="J496" s="24">
        <f>MAX(H496,ROUNDUP(I496,0))</f>
        <v>36.0</v>
      </c>
      <c r="K496" s="22">
        <f>IF(C496="covered",10.4,7.55)</f>
        <v>10.4</v>
      </c>
      <c r="L496" s="14" t="s">
        <v>2751</v>
      </c>
      <c r="M496" s="24">
        <v>36</v>
      </c>
      <c r="N496" s="22">
        <v>10.4</v>
      </c>
      <c r="O496" s="22">
        <v>374.4</v>
      </c>
      <c r="P496" s="22">
        <f>J496*K496</f>
        <v>374.40000000000003</v>
      </c>
      <c r="Q496" s="22">
        <f>IF(L496="","",N496-K496)</f>
        <v>0.0</v>
      </c>
      <c r="R496" s="24">
        <f>IF(L496="","",M496-J496)</f>
        <v>0.0</v>
      </c>
      <c r="S496" s="22">
        <f>IF(L496="",-P496,O496-P496)</f>
        <v>-5.684341886080802e-14</v>
      </c>
      <c r="T496" s="11" t="str">
        <f>IF(L496="","NO BILL IN SUPPLIED EXPORT",IF(ABS(Q496)&gt;0.001,"RATE EXCEPTION",IF(ABS(R496)&gt;0.001,"LENGTH EXCEPTION",IF(ABS(S496)&gt;0.01,"AMOUNT EXCEPTION","OK"))))</f>
        <v>OK</v>
      </c>
      <c r="U496" s="15" t="s">
        <v>2752</v>
      </c>
    </row>
    <row r="497" spans="1:21" ht="28" customHeight="1">
      <c r="A497" s="18" t="s">
        <v>2753</v>
      </c>
      <c r="B497" s="18" t="s">
        <v>191</v>
      </c>
      <c r="C497" s="18" t="s">
        <v>2515</v>
      </c>
      <c r="D497" s="18" t="s">
        <v>227</v>
      </c>
      <c r="E497" s="18" t="s">
        <v>2754</v>
      </c>
      <c r="F497" s="19" t="s">
        <v>2755</v>
      </c>
      <c r="G497" s="19" t="s">
        <v>523</v>
      </c>
      <c r="H497" s="24">
        <v>24</v>
      </c>
      <c r="I497" s="24">
        <v>49.8</v>
      </c>
      <c r="J497" s="24">
        <f>MAX(H497,ROUNDUP(I497,0))</f>
        <v>50</v>
      </c>
      <c r="K497" s="22">
        <f>IF(C497="covered",10.4,7.55)</f>
        <v>10.4</v>
      </c>
      <c r="L497" s="18" t="s">
        <v>2756</v>
      </c>
      <c r="M497" s="24">
        <v>50</v>
      </c>
      <c r="N497" s="22">
        <v>10.4</v>
      </c>
      <c r="O497" s="22">
        <v>520</v>
      </c>
      <c r="P497" s="22">
        <f>J497*K497</f>
        <v>520.0</v>
      </c>
      <c r="Q497" s="22">
        <f>IF(L497="","",N497-K497)</f>
        <v>0.0</v>
      </c>
      <c r="R497" s="24">
        <f>IF(L497="","",M497-J497)</f>
        <v>0.0</v>
      </c>
      <c r="S497" s="22">
        <f>IF(L497="",-P497,O497-P497)</f>
        <v>0.0</v>
      </c>
      <c r="T497" s="11" t="str">
        <f>IF(L497="","NO BILL IN SUPPLIED EXPORT",IF(ABS(Q497)&gt;0.001,"RATE EXCEPTION",IF(ABS(R497)&gt;0.001,"LENGTH EXCEPTION",IF(ABS(S497)&gt;0.01,"AMOUNT EXCEPTION","OK"))))</f>
        <v>OK</v>
      </c>
      <c r="U497" s="19" t="s">
        <v>2757</v>
      </c>
    </row>
    <row r="498" spans="1:21" ht="28" customHeight="1">
      <c r="A498" s="14" t="s">
        <v>2758</v>
      </c>
      <c r="B498" s="14" t="s">
        <v>191</v>
      </c>
      <c r="C498" s="14" t="s">
        <v>2515</v>
      </c>
      <c r="D498" s="14" t="s">
        <v>227</v>
      </c>
      <c r="E498" s="14" t="s">
        <v>2759</v>
      </c>
      <c r="F498" s="15" t="s">
        <v>2760</v>
      </c>
      <c r="G498" s="15" t="s">
        <v>2761</v>
      </c>
      <c r="H498" s="24">
        <v>40</v>
      </c>
      <c r="I498" s="24">
        <v>26.7</v>
      </c>
      <c r="J498" s="24">
        <f>MAX(H498,ROUNDUP(I498,0))</f>
        <v>40.0</v>
      </c>
      <c r="K498" s="22">
        <f>IF(C498="covered",10.4,7.55)</f>
        <v>10.4</v>
      </c>
      <c r="L498" s="14" t="s">
        <v>2762</v>
      </c>
      <c r="M498" s="24">
        <v>40</v>
      </c>
      <c r="N498" s="22">
        <v>10.4</v>
      </c>
      <c r="O498" s="22">
        <v>416</v>
      </c>
      <c r="P498" s="22">
        <f>J498*K498</f>
        <v>416.0</v>
      </c>
      <c r="Q498" s="22">
        <f>IF(L498="","",N498-K498)</f>
        <v>0.0</v>
      </c>
      <c r="R498" s="24">
        <f>IF(L498="","",M498-J498)</f>
        <v>0.0</v>
      </c>
      <c r="S498" s="22">
        <f>IF(L498="",-P498,O498-P498)</f>
        <v>0.0</v>
      </c>
      <c r="T498" s="11" t="str">
        <f>IF(L498="","NO BILL IN SUPPLIED EXPORT",IF(ABS(Q498)&gt;0.001,"RATE EXCEPTION",IF(ABS(R498)&gt;0.001,"LENGTH EXCEPTION",IF(ABS(S498)&gt;0.01,"AMOUNT EXCEPTION","OK"))))</f>
        <v>OK</v>
      </c>
      <c r="U498" s="15" t="s">
        <v>2763</v>
      </c>
    </row>
    <row r="499" spans="1:21" ht="28" customHeight="1">
      <c r="A499" s="18" t="s">
        <v>2764</v>
      </c>
      <c r="B499" s="18" t="s">
        <v>191</v>
      </c>
      <c r="C499" s="18" t="s">
        <v>2515</v>
      </c>
      <c r="D499" s="18" t="s">
        <v>227</v>
      </c>
      <c r="E499" s="18" t="s">
        <v>2765</v>
      </c>
      <c r="F499" s="19" t="s">
        <v>2766</v>
      </c>
      <c r="G499" s="19" t="s">
        <v>778</v>
      </c>
      <c r="H499" s="24">
        <v>28</v>
      </c>
      <c r="I499" s="24">
        <v>18.4</v>
      </c>
      <c r="J499" s="24">
        <f>MAX(H499,ROUNDUP(I499,0))</f>
        <v>28.0</v>
      </c>
      <c r="K499" s="22">
        <f>IF(C499="covered",10.4,7.55)</f>
        <v>10.4</v>
      </c>
      <c r="L499" s="18" t="s">
        <v>2767</v>
      </c>
      <c r="M499" s="24">
        <v>28</v>
      </c>
      <c r="N499" s="22">
        <v>10.4</v>
      </c>
      <c r="O499" s="22">
        <v>291.2</v>
      </c>
      <c r="P499" s="22">
        <f>J499*K499</f>
        <v>291.2</v>
      </c>
      <c r="Q499" s="22">
        <f>IF(L499="","",N499-K499)</f>
        <v>0.0</v>
      </c>
      <c r="R499" s="24">
        <f>IF(L499="","",M499-J499)</f>
        <v>0.0</v>
      </c>
      <c r="S499" s="22">
        <f>IF(L499="",-P499,O499-P499)</f>
        <v>0.0</v>
      </c>
      <c r="T499" s="11" t="str">
        <f>IF(L499="","NO BILL IN SUPPLIED EXPORT",IF(ABS(Q499)&gt;0.001,"RATE EXCEPTION",IF(ABS(R499)&gt;0.001,"LENGTH EXCEPTION",IF(ABS(S499)&gt;0.01,"AMOUNT EXCEPTION","OK"))))</f>
        <v>OK</v>
      </c>
      <c r="U499" s="19" t="s">
        <v>2768</v>
      </c>
    </row>
    <row r="500" spans="1:21" ht="28" customHeight="1">
      <c r="A500" s="14" t="s">
        <v>2769</v>
      </c>
      <c r="B500" s="14" t="s">
        <v>191</v>
      </c>
      <c r="C500" s="14" t="s">
        <v>2515</v>
      </c>
      <c r="D500" s="14" t="s">
        <v>227</v>
      </c>
      <c r="E500" s="14" t="s">
        <v>2770</v>
      </c>
      <c r="F500" s="15" t="s">
        <v>2771</v>
      </c>
      <c r="G500" s="15" t="s">
        <v>471</v>
      </c>
      <c r="H500" s="24">
        <v>32</v>
      </c>
      <c r="I500" s="24">
        <v>37.3</v>
      </c>
      <c r="J500" s="24">
        <f>MAX(H500,ROUNDUP(I500,0))</f>
        <v>38</v>
      </c>
      <c r="K500" s="22">
        <f>IF(C500="covered",10.4,7.55)</f>
        <v>10.4</v>
      </c>
      <c r="L500" s="14" t="s">
        <v>2772</v>
      </c>
      <c r="M500" s="24">
        <v>38</v>
      </c>
      <c r="N500" s="22">
        <v>10.4</v>
      </c>
      <c r="O500" s="22">
        <v>395.2</v>
      </c>
      <c r="P500" s="22">
        <f>J500*K500</f>
        <v>395.2</v>
      </c>
      <c r="Q500" s="22">
        <f>IF(L500="","",N500-K500)</f>
        <v>0.0</v>
      </c>
      <c r="R500" s="24">
        <f>IF(L500="","",M500-J500)</f>
        <v>0.0</v>
      </c>
      <c r="S500" s="22">
        <f>IF(L500="",-P500,O500-P500)</f>
        <v>0.0</v>
      </c>
      <c r="T500" s="11" t="str">
        <f>IF(L500="","NO BILL IN SUPPLIED EXPORT",IF(ABS(Q500)&gt;0.001,"RATE EXCEPTION",IF(ABS(R500)&gt;0.001,"LENGTH EXCEPTION",IF(ABS(S500)&gt;0.01,"AMOUNT EXCEPTION","OK"))))</f>
        <v>OK</v>
      </c>
      <c r="U500" s="15" t="s">
        <v>2773</v>
      </c>
    </row>
    <row r="501" spans="1:21" ht="28" customHeight="1">
      <c r="A501" s="18" t="s">
        <v>2774</v>
      </c>
      <c r="B501" s="18" t="s">
        <v>191</v>
      </c>
      <c r="C501" s="18" t="s">
        <v>2515</v>
      </c>
      <c r="D501" s="18" t="s">
        <v>227</v>
      </c>
      <c r="E501" s="18" t="s">
        <v>2775</v>
      </c>
      <c r="F501" s="19" t="s">
        <v>2776</v>
      </c>
      <c r="G501" s="19" t="s">
        <v>1920</v>
      </c>
      <c r="H501" s="24">
        <v>32</v>
      </c>
      <c r="I501" s="24">
        <v>54</v>
      </c>
      <c r="J501" s="24">
        <f>MAX(H501,ROUNDUP(I501,0))</f>
        <v>54</v>
      </c>
      <c r="K501" s="22">
        <f>IF(C501="covered",10.4,7.55)</f>
        <v>10.4</v>
      </c>
      <c r="L501" s="18" t="s">
        <v>2777</v>
      </c>
      <c r="M501" s="24">
        <v>54</v>
      </c>
      <c r="N501" s="22">
        <v>10.4</v>
      </c>
      <c r="O501" s="22">
        <v>561.6</v>
      </c>
      <c r="P501" s="22">
        <f>J501*K501</f>
        <v>561.6</v>
      </c>
      <c r="Q501" s="22">
        <f>IF(L501="","",N501-K501)</f>
        <v>0.0</v>
      </c>
      <c r="R501" s="24">
        <f>IF(L501="","",M501-J501)</f>
        <v>0.0</v>
      </c>
      <c r="S501" s="22">
        <f>IF(L501="",-P501,O501-P501)</f>
        <v>0.0</v>
      </c>
      <c r="T501" s="11" t="str">
        <f>IF(L501="","NO BILL IN SUPPLIED EXPORT",IF(ABS(Q501)&gt;0.001,"RATE EXCEPTION",IF(ABS(R501)&gt;0.001,"LENGTH EXCEPTION",IF(ABS(S501)&gt;0.01,"AMOUNT EXCEPTION","OK"))))</f>
        <v>OK</v>
      </c>
      <c r="U501" s="19" t="s">
        <v>2778</v>
      </c>
    </row>
    <row r="502" spans="1:21" ht="28" customHeight="1">
      <c r="A502" s="14" t="s">
        <v>2779</v>
      </c>
      <c r="B502" s="14" t="s">
        <v>191</v>
      </c>
      <c r="C502" s="14" t="s">
        <v>2515</v>
      </c>
      <c r="D502" s="14" t="s">
        <v>227</v>
      </c>
      <c r="E502" s="14" t="s">
        <v>2780</v>
      </c>
      <c r="F502" s="15" t="s">
        <v>2781</v>
      </c>
      <c r="G502" s="15" t="s">
        <v>2782</v>
      </c>
      <c r="H502" s="24">
        <v>32</v>
      </c>
      <c r="I502" s="24">
        <v>19.4</v>
      </c>
      <c r="J502" s="24">
        <f>MAX(H502,ROUNDUP(I502,0))</f>
        <v>32.0</v>
      </c>
      <c r="K502" s="22">
        <f>IF(C502="covered",10.4,7.55)</f>
        <v>10.4</v>
      </c>
      <c r="L502" s="14" t="s">
        <v>2783</v>
      </c>
      <c r="M502" s="24">
        <v>32</v>
      </c>
      <c r="N502" s="22">
        <v>10.4</v>
      </c>
      <c r="O502" s="22">
        <v>332.8</v>
      </c>
      <c r="P502" s="22">
        <f>J502*K502</f>
        <v>332.8</v>
      </c>
      <c r="Q502" s="22">
        <f>IF(L502="","",N502-K502)</f>
        <v>0.0</v>
      </c>
      <c r="R502" s="24">
        <f>IF(L502="","",M502-J502)</f>
        <v>0.0</v>
      </c>
      <c r="S502" s="22">
        <f>IF(L502="",-P502,O502-P502)</f>
        <v>0.0</v>
      </c>
      <c r="T502" s="11" t="str">
        <f>IF(L502="","NO BILL IN SUPPLIED EXPORT",IF(ABS(Q502)&gt;0.001,"RATE EXCEPTION",IF(ABS(R502)&gt;0.001,"LENGTH EXCEPTION",IF(ABS(S502)&gt;0.01,"AMOUNT EXCEPTION","OK"))))</f>
        <v>OK</v>
      </c>
      <c r="U502" s="15" t="s">
        <v>2784</v>
      </c>
    </row>
    <row r="503" spans="1:21" ht="28" customHeight="1">
      <c r="A503" s="18" t="s">
        <v>2785</v>
      </c>
      <c r="B503" s="18" t="s">
        <v>191</v>
      </c>
      <c r="C503" s="18" t="s">
        <v>2515</v>
      </c>
      <c r="D503" s="18" t="s">
        <v>227</v>
      </c>
      <c r="E503" s="18" t="s">
        <v>2786</v>
      </c>
      <c r="F503" s="19" t="s">
        <v>2787</v>
      </c>
      <c r="G503" s="19" t="s">
        <v>242</v>
      </c>
      <c r="H503" s="24">
        <v>32</v>
      </c>
      <c r="I503" s="24">
        <v>54.1</v>
      </c>
      <c r="J503" s="24">
        <f>MAX(H503,ROUNDUP(I503,0))</f>
        <v>55</v>
      </c>
      <c r="K503" s="22">
        <f>IF(C503="covered",10.4,7.55)</f>
        <v>10.4</v>
      </c>
      <c r="L503" s="18" t="s">
        <v>2788</v>
      </c>
      <c r="M503" s="24">
        <v>55</v>
      </c>
      <c r="N503" s="22">
        <v>10.4</v>
      </c>
      <c r="O503" s="22">
        <v>572</v>
      </c>
      <c r="P503" s="22">
        <f>J503*K503</f>
        <v>572.0</v>
      </c>
      <c r="Q503" s="22">
        <f>IF(L503="","",N503-K503)</f>
        <v>0.0</v>
      </c>
      <c r="R503" s="24">
        <f>IF(L503="","",M503-J503)</f>
        <v>0.0</v>
      </c>
      <c r="S503" s="22">
        <f>IF(L503="",-P503,O503-P503)</f>
        <v>0.0</v>
      </c>
      <c r="T503" s="11" t="str">
        <f>IF(L503="","NO BILL IN SUPPLIED EXPORT",IF(ABS(Q503)&gt;0.001,"RATE EXCEPTION",IF(ABS(R503)&gt;0.001,"LENGTH EXCEPTION",IF(ABS(S503)&gt;0.01,"AMOUNT EXCEPTION","OK"))))</f>
        <v>OK</v>
      </c>
      <c r="U503" s="19" t="s">
        <v>2789</v>
      </c>
    </row>
    <row r="504" spans="1:21" ht="28" customHeight="1">
      <c r="A504" s="14" t="s">
        <v>2790</v>
      </c>
      <c r="B504" s="14" t="s">
        <v>191</v>
      </c>
      <c r="C504" s="14" t="s">
        <v>2515</v>
      </c>
      <c r="D504" s="14" t="s">
        <v>227</v>
      </c>
      <c r="E504" s="14" t="s">
        <v>2791</v>
      </c>
      <c r="F504" s="15" t="s">
        <v>2792</v>
      </c>
      <c r="G504" s="15" t="s">
        <v>2793</v>
      </c>
      <c r="H504" s="24">
        <v>36</v>
      </c>
      <c r="I504" s="24">
        <v>60.7</v>
      </c>
      <c r="J504" s="24">
        <f>MAX(H504,ROUNDUP(I504,0))</f>
        <v>61</v>
      </c>
      <c r="K504" s="22">
        <f>IF(C504="covered",10.4,7.55)</f>
        <v>10.4</v>
      </c>
      <c r="L504" s="14" t="s">
        <v>2794</v>
      </c>
      <c r="M504" s="24">
        <v>61</v>
      </c>
      <c r="N504" s="22">
        <v>10.4</v>
      </c>
      <c r="O504" s="22">
        <v>634.4</v>
      </c>
      <c r="P504" s="22">
        <f>J504*K504</f>
        <v>634.4</v>
      </c>
      <c r="Q504" s="22">
        <f>IF(L504="","",N504-K504)</f>
        <v>0.0</v>
      </c>
      <c r="R504" s="24">
        <f>IF(L504="","",M504-J504)</f>
        <v>0.0</v>
      </c>
      <c r="S504" s="22">
        <f>IF(L504="",-P504,O504-P504)</f>
        <v>0.0</v>
      </c>
      <c r="T504" s="11" t="str">
        <f>IF(L504="","NO BILL IN SUPPLIED EXPORT",IF(ABS(Q504)&gt;0.001,"RATE EXCEPTION",IF(ABS(R504)&gt;0.001,"LENGTH EXCEPTION",IF(ABS(S504)&gt;0.01,"AMOUNT EXCEPTION","OK"))))</f>
        <v>OK</v>
      </c>
      <c r="U504" s="15" t="s">
        <v>2795</v>
      </c>
    </row>
    <row r="505" spans="1:21" ht="28" customHeight="1">
      <c r="A505" s="18" t="s">
        <v>2796</v>
      </c>
      <c r="B505" s="18" t="s">
        <v>191</v>
      </c>
      <c r="C505" s="18" t="s">
        <v>2515</v>
      </c>
      <c r="D505" s="18" t="s">
        <v>227</v>
      </c>
      <c r="E505" s="18" t="s">
        <v>2797</v>
      </c>
      <c r="F505" s="19" t="s">
        <v>2798</v>
      </c>
      <c r="G505" s="19" t="s">
        <v>2799</v>
      </c>
      <c r="H505" s="24">
        <v>40</v>
      </c>
      <c r="I505" s="24">
        <v>42.3</v>
      </c>
      <c r="J505" s="24">
        <f>MAX(H505,ROUNDUP(I505,0))</f>
        <v>43</v>
      </c>
      <c r="K505" s="22">
        <f>IF(C505="covered",10.4,7.55)</f>
        <v>10.4</v>
      </c>
      <c r="L505" s="18" t="s">
        <v>2800</v>
      </c>
      <c r="M505" s="24">
        <v>43</v>
      </c>
      <c r="N505" s="22">
        <v>10.4</v>
      </c>
      <c r="O505" s="22">
        <v>447.2</v>
      </c>
      <c r="P505" s="22">
        <f>J505*K505</f>
        <v>447.2</v>
      </c>
      <c r="Q505" s="22">
        <f>IF(L505="","",N505-K505)</f>
        <v>0.0</v>
      </c>
      <c r="R505" s="24">
        <f>IF(L505="","",M505-J505)</f>
        <v>0.0</v>
      </c>
      <c r="S505" s="22">
        <f>IF(L505="",-P505,O505-P505)</f>
        <v>0.0</v>
      </c>
      <c r="T505" s="11" t="str">
        <f>IF(L505="","NO BILL IN SUPPLIED EXPORT",IF(ABS(Q505)&gt;0.001,"RATE EXCEPTION",IF(ABS(R505)&gt;0.001,"LENGTH EXCEPTION",IF(ABS(S505)&gt;0.01,"AMOUNT EXCEPTION","OK"))))</f>
        <v>OK</v>
      </c>
      <c r="U505" s="19" t="s">
        <v>2801</v>
      </c>
    </row>
    <row r="506" spans="1:21" ht="28" customHeight="1">
      <c r="A506" s="14" t="s">
        <v>2802</v>
      </c>
      <c r="B506" s="14" t="s">
        <v>191</v>
      </c>
      <c r="C506" s="14" t="s">
        <v>2515</v>
      </c>
      <c r="D506" s="14" t="s">
        <v>227</v>
      </c>
      <c r="E506" s="14" t="s">
        <v>2803</v>
      </c>
      <c r="F506" s="15" t="s">
        <v>2804</v>
      </c>
      <c r="G506" s="15" t="s">
        <v>2805</v>
      </c>
      <c r="H506" s="24">
        <v>24</v>
      </c>
      <c r="I506" s="24">
        <v>23.9</v>
      </c>
      <c r="J506" s="24">
        <f>MAX(H506,ROUNDUP(I506,0))</f>
        <v>24.0</v>
      </c>
      <c r="K506" s="22">
        <f>IF(C506="covered",10.4,7.55)</f>
        <v>10.4</v>
      </c>
      <c r="L506" s="14" t="s">
        <v>2806</v>
      </c>
      <c r="M506" s="24">
        <v>24</v>
      </c>
      <c r="N506" s="22">
        <v>10.4</v>
      </c>
      <c r="O506" s="22">
        <v>249.6</v>
      </c>
      <c r="P506" s="22">
        <f>J506*K506</f>
        <v>249.60000000000002</v>
      </c>
      <c r="Q506" s="22">
        <f>IF(L506="","",N506-K506)</f>
        <v>0.0</v>
      </c>
      <c r="R506" s="24">
        <f>IF(L506="","",M506-J506)</f>
        <v>0.0</v>
      </c>
      <c r="S506" s="22">
        <f>IF(L506="",-P506,O506-P506)</f>
        <v>-2.842170943040401e-14</v>
      </c>
      <c r="T506" s="11" t="str">
        <f>IF(L506="","NO BILL IN SUPPLIED EXPORT",IF(ABS(Q506)&gt;0.001,"RATE EXCEPTION",IF(ABS(R506)&gt;0.001,"LENGTH EXCEPTION",IF(ABS(S506)&gt;0.01,"AMOUNT EXCEPTION","OK"))))</f>
        <v>OK</v>
      </c>
      <c r="U506" s="15" t="s">
        <v>2807</v>
      </c>
    </row>
    <row r="507" spans="1:21" ht="28" customHeight="1">
      <c r="A507" s="18" t="s">
        <v>2808</v>
      </c>
      <c r="B507" s="18" t="s">
        <v>191</v>
      </c>
      <c r="C507" s="18" t="s">
        <v>2515</v>
      </c>
      <c r="D507" s="18" t="s">
        <v>227</v>
      </c>
      <c r="E507" s="18" t="s">
        <v>2809</v>
      </c>
      <c r="F507" s="19" t="s">
        <v>2810</v>
      </c>
      <c r="G507" s="19" t="s">
        <v>2036</v>
      </c>
      <c r="H507" s="24">
        <v>24</v>
      </c>
      <c r="I507" s="24">
        <v>31.1</v>
      </c>
      <c r="J507" s="24">
        <f>MAX(H507,ROUNDUP(I507,0))</f>
        <v>32</v>
      </c>
      <c r="K507" s="22">
        <f>IF(C507="covered",10.4,7.55)</f>
        <v>10.4</v>
      </c>
      <c r="L507" s="18" t="s">
        <v>2811</v>
      </c>
      <c r="M507" s="24">
        <v>32</v>
      </c>
      <c r="N507" s="22">
        <v>10.4</v>
      </c>
      <c r="O507" s="22">
        <v>332.8</v>
      </c>
      <c r="P507" s="22">
        <f>J507*K507</f>
        <v>332.8</v>
      </c>
      <c r="Q507" s="22">
        <f>IF(L507="","",N507-K507)</f>
        <v>0.0</v>
      </c>
      <c r="R507" s="24">
        <f>IF(L507="","",M507-J507)</f>
        <v>0.0</v>
      </c>
      <c r="S507" s="22">
        <f>IF(L507="",-P507,O507-P507)</f>
        <v>0.0</v>
      </c>
      <c r="T507" s="11" t="str">
        <f>IF(L507="","NO BILL IN SUPPLIED EXPORT",IF(ABS(Q507)&gt;0.001,"RATE EXCEPTION",IF(ABS(R507)&gt;0.001,"LENGTH EXCEPTION",IF(ABS(S507)&gt;0.01,"AMOUNT EXCEPTION","OK"))))</f>
        <v>OK</v>
      </c>
      <c r="U507" s="19" t="s">
        <v>2812</v>
      </c>
    </row>
    <row r="508" spans="1:21" ht="28" customHeight="1">
      <c r="A508" s="14" t="s">
        <v>2813</v>
      </c>
      <c r="B508" s="14" t="s">
        <v>191</v>
      </c>
      <c r="C508" s="14" t="s">
        <v>2515</v>
      </c>
      <c r="D508" s="14" t="s">
        <v>227</v>
      </c>
      <c r="E508" s="14" t="s">
        <v>2814</v>
      </c>
      <c r="F508" s="15" t="s">
        <v>2815</v>
      </c>
      <c r="G508" s="15" t="s">
        <v>2637</v>
      </c>
      <c r="H508" s="24">
        <v>32</v>
      </c>
      <c r="I508" s="24">
        <v>24.8</v>
      </c>
      <c r="J508" s="24">
        <f>MAX(H508,ROUNDUP(I508,0))</f>
        <v>32.0</v>
      </c>
      <c r="K508" s="22">
        <f>IF(C508="covered",10.4,7.55)</f>
        <v>10.4</v>
      </c>
      <c r="L508" s="14" t="s">
        <v>2816</v>
      </c>
      <c r="M508" s="24">
        <v>32</v>
      </c>
      <c r="N508" s="22">
        <v>10.4</v>
      </c>
      <c r="O508" s="22">
        <v>332.8</v>
      </c>
      <c r="P508" s="22">
        <f>J508*K508</f>
        <v>332.8</v>
      </c>
      <c r="Q508" s="22">
        <f>IF(L508="","",N508-K508)</f>
        <v>0.0</v>
      </c>
      <c r="R508" s="24">
        <f>IF(L508="","",M508-J508)</f>
        <v>0.0</v>
      </c>
      <c r="S508" s="22">
        <f>IF(L508="",-P508,O508-P508)</f>
        <v>0.0</v>
      </c>
      <c r="T508" s="11" t="str">
        <f>IF(L508="","NO BILL IN SUPPLIED EXPORT",IF(ABS(Q508)&gt;0.001,"RATE EXCEPTION",IF(ABS(R508)&gt;0.001,"LENGTH EXCEPTION",IF(ABS(S508)&gt;0.01,"AMOUNT EXCEPTION","OK"))))</f>
        <v>OK</v>
      </c>
      <c r="U508" s="15" t="s">
        <v>2817</v>
      </c>
    </row>
    <row r="509" spans="1:21" ht="28" customHeight="1">
      <c r="A509" s="18" t="s">
        <v>2818</v>
      </c>
      <c r="B509" s="18" t="s">
        <v>191</v>
      </c>
      <c r="C509" s="18" t="s">
        <v>2515</v>
      </c>
      <c r="D509" s="18" t="s">
        <v>227</v>
      </c>
      <c r="E509" s="18" t="s">
        <v>2819</v>
      </c>
      <c r="F509" s="19" t="s">
        <v>2820</v>
      </c>
      <c r="G509" s="19" t="s">
        <v>1938</v>
      </c>
      <c r="H509" s="24">
        <v>32</v>
      </c>
      <c r="I509" s="24">
        <v>26.3</v>
      </c>
      <c r="J509" s="24">
        <f>MAX(H509,ROUNDUP(I509,0))</f>
        <v>32.0</v>
      </c>
      <c r="K509" s="22">
        <f>IF(C509="covered",10.4,7.55)</f>
        <v>10.4</v>
      </c>
      <c r="L509" s="18" t="s">
        <v>2821</v>
      </c>
      <c r="M509" s="24">
        <v>32</v>
      </c>
      <c r="N509" s="22">
        <v>10.4</v>
      </c>
      <c r="O509" s="22">
        <v>332.8</v>
      </c>
      <c r="P509" s="22">
        <f>J509*K509</f>
        <v>332.8</v>
      </c>
      <c r="Q509" s="22">
        <f>IF(L509="","",N509-K509)</f>
        <v>0.0</v>
      </c>
      <c r="R509" s="24">
        <f>IF(L509="","",M509-J509)</f>
        <v>0.0</v>
      </c>
      <c r="S509" s="22">
        <f>IF(L509="",-P509,O509-P509)</f>
        <v>0.0</v>
      </c>
      <c r="T509" s="11" t="str">
        <f>IF(L509="","NO BILL IN SUPPLIED EXPORT",IF(ABS(Q509)&gt;0.001,"RATE EXCEPTION",IF(ABS(R509)&gt;0.001,"LENGTH EXCEPTION",IF(ABS(S509)&gt;0.01,"AMOUNT EXCEPTION","OK"))))</f>
        <v>OK</v>
      </c>
      <c r="U509" s="19" t="s">
        <v>2822</v>
      </c>
    </row>
    <row r="510" spans="1:21" ht="28" customHeight="1">
      <c r="A510" s="14" t="s">
        <v>2823</v>
      </c>
      <c r="B510" s="14" t="s">
        <v>191</v>
      </c>
      <c r="C510" s="14" t="s">
        <v>2515</v>
      </c>
      <c r="D510" s="14" t="s">
        <v>227</v>
      </c>
      <c r="E510" s="14" t="s">
        <v>2824</v>
      </c>
      <c r="F510" s="15" t="s">
        <v>2825</v>
      </c>
      <c r="G510" s="15" t="s">
        <v>306</v>
      </c>
      <c r="H510" s="24">
        <v>24</v>
      </c>
      <c r="I510" s="24">
        <v>31.6</v>
      </c>
      <c r="J510" s="24">
        <f>MAX(H510,ROUNDUP(I510,0))</f>
        <v>32</v>
      </c>
      <c r="K510" s="22">
        <f>IF(C510="covered",10.4,7.55)</f>
        <v>10.4</v>
      </c>
      <c r="L510" s="14" t="s">
        <v>2826</v>
      </c>
      <c r="M510" s="24">
        <v>32</v>
      </c>
      <c r="N510" s="22">
        <v>10.4</v>
      </c>
      <c r="O510" s="22">
        <v>332.8</v>
      </c>
      <c r="P510" s="22">
        <f>J510*K510</f>
        <v>332.8</v>
      </c>
      <c r="Q510" s="22">
        <f>IF(L510="","",N510-K510)</f>
        <v>0.0</v>
      </c>
      <c r="R510" s="24">
        <f>IF(L510="","",M510-J510)</f>
        <v>0.0</v>
      </c>
      <c r="S510" s="22">
        <f>IF(L510="",-P510,O510-P510)</f>
        <v>0.0</v>
      </c>
      <c r="T510" s="11" t="str">
        <f>IF(L510="","NO BILL IN SUPPLIED EXPORT",IF(ABS(Q510)&gt;0.001,"RATE EXCEPTION",IF(ABS(R510)&gt;0.001,"LENGTH EXCEPTION",IF(ABS(S510)&gt;0.01,"AMOUNT EXCEPTION","OK"))))</f>
        <v>OK</v>
      </c>
      <c r="U510" s="15" t="s">
        <v>2827</v>
      </c>
    </row>
    <row r="511" spans="1:21" ht="28" customHeight="1">
      <c r="A511" s="18" t="s">
        <v>2828</v>
      </c>
      <c r="B511" s="18" t="s">
        <v>191</v>
      </c>
      <c r="C511" s="18" t="s">
        <v>2515</v>
      </c>
      <c r="D511" s="18" t="s">
        <v>227</v>
      </c>
      <c r="E511" s="18" t="s">
        <v>2829</v>
      </c>
      <c r="F511" s="19" t="s">
        <v>2830</v>
      </c>
      <c r="G511" s="19" t="s">
        <v>2352</v>
      </c>
      <c r="H511" s="24">
        <v>40</v>
      </c>
      <c r="I511" s="24">
        <v>53.5</v>
      </c>
      <c r="J511" s="24">
        <f>MAX(H511,ROUNDUP(I511,0))</f>
        <v>54</v>
      </c>
      <c r="K511" s="22">
        <f>IF(C511="covered",10.4,7.55)</f>
        <v>10.4</v>
      </c>
      <c r="L511" s="18" t="s">
        <v>2831</v>
      </c>
      <c r="M511" s="24">
        <v>54</v>
      </c>
      <c r="N511" s="22">
        <v>10.4</v>
      </c>
      <c r="O511" s="22">
        <v>561.6</v>
      </c>
      <c r="P511" s="22">
        <f>J511*K511</f>
        <v>561.6</v>
      </c>
      <c r="Q511" s="22">
        <f>IF(L511="","",N511-K511)</f>
        <v>0.0</v>
      </c>
      <c r="R511" s="24">
        <f>IF(L511="","",M511-J511)</f>
        <v>0.0</v>
      </c>
      <c r="S511" s="22">
        <f>IF(L511="",-P511,O511-P511)</f>
        <v>0.0</v>
      </c>
      <c r="T511" s="11" t="str">
        <f>IF(L511="","NO BILL IN SUPPLIED EXPORT",IF(ABS(Q511)&gt;0.001,"RATE EXCEPTION",IF(ABS(R511)&gt;0.001,"LENGTH EXCEPTION",IF(ABS(S511)&gt;0.01,"AMOUNT EXCEPTION","OK"))))</f>
        <v>OK</v>
      </c>
      <c r="U511" s="19" t="s">
        <v>2832</v>
      </c>
    </row>
    <row r="512" spans="1:21" ht="28" customHeight="1">
      <c r="A512" s="14" t="s">
        <v>2833</v>
      </c>
      <c r="B512" s="14" t="s">
        <v>191</v>
      </c>
      <c r="C512" s="14" t="s">
        <v>2515</v>
      </c>
      <c r="D512" s="14" t="s">
        <v>227</v>
      </c>
      <c r="E512" s="14" t="s">
        <v>2834</v>
      </c>
      <c r="F512" s="15" t="s">
        <v>2835</v>
      </c>
      <c r="G512" s="15" t="s">
        <v>704</v>
      </c>
      <c r="H512" s="24">
        <v>40</v>
      </c>
      <c r="I512" s="24">
        <v>22.7</v>
      </c>
      <c r="J512" s="24">
        <f>MAX(H512,ROUNDUP(I512,0))</f>
        <v>40.0</v>
      </c>
      <c r="K512" s="22">
        <f>IF(C512="covered",10.4,7.55)</f>
        <v>10.4</v>
      </c>
      <c r="L512" s="14" t="s">
        <v>2836</v>
      </c>
      <c r="M512" s="24">
        <v>40</v>
      </c>
      <c r="N512" s="22">
        <v>10.4</v>
      </c>
      <c r="O512" s="22">
        <v>416</v>
      </c>
      <c r="P512" s="22">
        <f>J512*K512</f>
        <v>416.0</v>
      </c>
      <c r="Q512" s="22">
        <f>IF(L512="","",N512-K512)</f>
        <v>0.0</v>
      </c>
      <c r="R512" s="24">
        <f>IF(L512="","",M512-J512)</f>
        <v>0.0</v>
      </c>
      <c r="S512" s="22">
        <f>IF(L512="",-P512,O512-P512)</f>
        <v>0.0</v>
      </c>
      <c r="T512" s="11" t="str">
        <f>IF(L512="","NO BILL IN SUPPLIED EXPORT",IF(ABS(Q512)&gt;0.001,"RATE EXCEPTION",IF(ABS(R512)&gt;0.001,"LENGTH EXCEPTION",IF(ABS(S512)&gt;0.01,"AMOUNT EXCEPTION","OK"))))</f>
        <v>OK</v>
      </c>
      <c r="U512" s="15" t="s">
        <v>2837</v>
      </c>
    </row>
    <row r="513" spans="1:21" ht="28" customHeight="1">
      <c r="A513" s="18" t="s">
        <v>2838</v>
      </c>
      <c r="B513" s="18" t="s">
        <v>191</v>
      </c>
      <c r="C513" s="18" t="s">
        <v>2515</v>
      </c>
      <c r="D513" s="18" t="s">
        <v>227</v>
      </c>
      <c r="E513" s="18" t="s">
        <v>2839</v>
      </c>
      <c r="F513" s="19" t="s">
        <v>2840</v>
      </c>
      <c r="G513" s="19" t="s">
        <v>1162</v>
      </c>
      <c r="H513" s="24">
        <v>32</v>
      </c>
      <c r="I513" s="24">
        <v>34.5</v>
      </c>
      <c r="J513" s="24">
        <f>MAX(H513,ROUNDUP(I513,0))</f>
        <v>35</v>
      </c>
      <c r="K513" s="22">
        <f>IF(C513="covered",10.4,7.55)</f>
        <v>10.4</v>
      </c>
      <c r="L513" s="18" t="s">
        <v>2841</v>
      </c>
      <c r="M513" s="24">
        <v>35</v>
      </c>
      <c r="N513" s="22">
        <v>10.4</v>
      </c>
      <c r="O513" s="22">
        <v>364</v>
      </c>
      <c r="P513" s="22">
        <f>J513*K513</f>
        <v>364.0</v>
      </c>
      <c r="Q513" s="22">
        <f>IF(L513="","",N513-K513)</f>
        <v>0.0</v>
      </c>
      <c r="R513" s="24">
        <f>IF(L513="","",M513-J513)</f>
        <v>0.0</v>
      </c>
      <c r="S513" s="22">
        <f>IF(L513="",-P513,O513-P513)</f>
        <v>0.0</v>
      </c>
      <c r="T513" s="11" t="str">
        <f>IF(L513="","NO BILL IN SUPPLIED EXPORT",IF(ABS(Q513)&gt;0.001,"RATE EXCEPTION",IF(ABS(R513)&gt;0.001,"LENGTH EXCEPTION",IF(ABS(S513)&gt;0.01,"AMOUNT EXCEPTION","OK"))))</f>
        <v>OK</v>
      </c>
      <c r="U513" s="19" t="s">
        <v>2842</v>
      </c>
    </row>
    <row r="514" spans="1:21" ht="28" customHeight="1">
      <c r="A514" s="14" t="s">
        <v>2843</v>
      </c>
      <c r="B514" s="14" t="s">
        <v>191</v>
      </c>
      <c r="C514" s="14" t="s">
        <v>2515</v>
      </c>
      <c r="D514" s="14" t="s">
        <v>227</v>
      </c>
      <c r="E514" s="14" t="s">
        <v>2844</v>
      </c>
      <c r="F514" s="15" t="s">
        <v>2845</v>
      </c>
      <c r="G514" s="15" t="s">
        <v>1222</v>
      </c>
      <c r="H514" s="24">
        <v>24</v>
      </c>
      <c r="I514" s="24">
        <v>53.4</v>
      </c>
      <c r="J514" s="24">
        <f>MAX(H514,ROUNDUP(I514,0))</f>
        <v>54</v>
      </c>
      <c r="K514" s="22">
        <f>IF(C514="covered",10.4,7.55)</f>
        <v>10.4</v>
      </c>
      <c r="L514" s="14" t="s">
        <v>2846</v>
      </c>
      <c r="M514" s="24">
        <v>54</v>
      </c>
      <c r="N514" s="22">
        <v>10.4</v>
      </c>
      <c r="O514" s="22">
        <v>561.6</v>
      </c>
      <c r="P514" s="22">
        <f>J514*K514</f>
        <v>561.6</v>
      </c>
      <c r="Q514" s="22">
        <f>IF(L514="","",N514-K514)</f>
        <v>0.0</v>
      </c>
      <c r="R514" s="24">
        <f>IF(L514="","",M514-J514)</f>
        <v>0.0</v>
      </c>
      <c r="S514" s="22">
        <f>IF(L514="",-P514,O514-P514)</f>
        <v>0.0</v>
      </c>
      <c r="T514" s="11" t="str">
        <f>IF(L514="","NO BILL IN SUPPLIED EXPORT",IF(ABS(Q514)&gt;0.001,"RATE EXCEPTION",IF(ABS(R514)&gt;0.001,"LENGTH EXCEPTION",IF(ABS(S514)&gt;0.01,"AMOUNT EXCEPTION","OK"))))</f>
        <v>OK</v>
      </c>
      <c r="U514" s="15" t="s">
        <v>2847</v>
      </c>
    </row>
    <row r="515" spans="1:21" ht="28" customHeight="1">
      <c r="A515" s="18" t="s">
        <v>2848</v>
      </c>
      <c r="B515" s="18" t="s">
        <v>191</v>
      </c>
      <c r="C515" s="18" t="s">
        <v>2515</v>
      </c>
      <c r="D515" s="18" t="s">
        <v>227</v>
      </c>
      <c r="E515" s="18" t="s">
        <v>2849</v>
      </c>
      <c r="F515" s="19" t="s">
        <v>2850</v>
      </c>
      <c r="G515" s="19" t="s">
        <v>1598</v>
      </c>
      <c r="H515" s="24">
        <v>28</v>
      </c>
      <c r="I515" s="24">
        <v>34.2</v>
      </c>
      <c r="J515" s="24">
        <f>MAX(H515,ROUNDUP(I515,0))</f>
        <v>35</v>
      </c>
      <c r="K515" s="22">
        <f>IF(C515="covered",10.4,7.55)</f>
        <v>10.4</v>
      </c>
      <c r="L515" s="18" t="s">
        <v>2851</v>
      </c>
      <c r="M515" s="24">
        <v>35</v>
      </c>
      <c r="N515" s="22">
        <v>10.4</v>
      </c>
      <c r="O515" s="22">
        <v>364</v>
      </c>
      <c r="P515" s="22">
        <f>J515*K515</f>
        <v>364.0</v>
      </c>
      <c r="Q515" s="22">
        <f>IF(L515="","",N515-K515)</f>
        <v>0.0</v>
      </c>
      <c r="R515" s="24">
        <f>IF(L515="","",M515-J515)</f>
        <v>0.0</v>
      </c>
      <c r="S515" s="22">
        <f>IF(L515="",-P515,O515-P515)</f>
        <v>0.0</v>
      </c>
      <c r="T515" s="11" t="str">
        <f>IF(L515="","NO BILL IN SUPPLIED EXPORT",IF(ABS(Q515)&gt;0.001,"RATE EXCEPTION",IF(ABS(R515)&gt;0.001,"LENGTH EXCEPTION",IF(ABS(S515)&gt;0.01,"AMOUNT EXCEPTION","OK"))))</f>
        <v>OK</v>
      </c>
      <c r="U515" s="19" t="s">
        <v>2852</v>
      </c>
    </row>
    <row r="516" spans="1:21" ht="28" customHeight="1">
      <c r="A516" s="14" t="s">
        <v>2853</v>
      </c>
      <c r="B516" s="14" t="s">
        <v>191</v>
      </c>
      <c r="C516" s="14" t="s">
        <v>2515</v>
      </c>
      <c r="D516" s="14" t="s">
        <v>227</v>
      </c>
      <c r="E516" s="14" t="s">
        <v>2854</v>
      </c>
      <c r="F516" s="15" t="s">
        <v>2855</v>
      </c>
      <c r="G516" s="15" t="s">
        <v>659</v>
      </c>
      <c r="H516" s="24">
        <v>24</v>
      </c>
      <c r="I516" s="24">
        <v>57.4</v>
      </c>
      <c r="J516" s="24">
        <f>MAX(H516,ROUNDUP(I516,0))</f>
        <v>58</v>
      </c>
      <c r="K516" s="22">
        <f>IF(C516="covered",10.4,7.55)</f>
        <v>10.4</v>
      </c>
      <c r="L516" s="14" t="s">
        <v>2856</v>
      </c>
      <c r="M516" s="24">
        <v>58</v>
      </c>
      <c r="N516" s="22">
        <v>10.4</v>
      </c>
      <c r="O516" s="22">
        <v>603.2</v>
      </c>
      <c r="P516" s="22">
        <f>J516*K516</f>
        <v>603.2</v>
      </c>
      <c r="Q516" s="22">
        <f>IF(L516="","",N516-K516)</f>
        <v>0.0</v>
      </c>
      <c r="R516" s="24">
        <f>IF(L516="","",M516-J516)</f>
        <v>0.0</v>
      </c>
      <c r="S516" s="22">
        <f>IF(L516="",-P516,O516-P516)</f>
        <v>0.0</v>
      </c>
      <c r="T516" s="11" t="str">
        <f>IF(L516="","NO BILL IN SUPPLIED EXPORT",IF(ABS(Q516)&gt;0.001,"RATE EXCEPTION",IF(ABS(R516)&gt;0.001,"LENGTH EXCEPTION",IF(ABS(S516)&gt;0.01,"AMOUNT EXCEPTION","OK"))))</f>
        <v>OK</v>
      </c>
      <c r="U516" s="15" t="s">
        <v>2857</v>
      </c>
    </row>
    <row r="517" spans="1:21" ht="28" customHeight="1">
      <c r="A517" s="18" t="s">
        <v>2858</v>
      </c>
      <c r="B517" s="18" t="s">
        <v>191</v>
      </c>
      <c r="C517" s="18" t="s">
        <v>2515</v>
      </c>
      <c r="D517" s="18" t="s">
        <v>227</v>
      </c>
      <c r="E517" s="18" t="s">
        <v>2859</v>
      </c>
      <c r="F517" s="19" t="s">
        <v>2860</v>
      </c>
      <c r="G517" s="19" t="s">
        <v>986</v>
      </c>
      <c r="H517" s="24">
        <v>24</v>
      </c>
      <c r="I517" s="24">
        <v>48.5</v>
      </c>
      <c r="J517" s="24">
        <f>MAX(H517,ROUNDUP(I517,0))</f>
        <v>49</v>
      </c>
      <c r="K517" s="22">
        <f>IF(C517="covered",10.4,7.55)</f>
        <v>10.4</v>
      </c>
      <c r="L517" s="18" t="s">
        <v>2861</v>
      </c>
      <c r="M517" s="24">
        <v>49</v>
      </c>
      <c r="N517" s="22">
        <v>10.4</v>
      </c>
      <c r="O517" s="22">
        <v>509.6</v>
      </c>
      <c r="P517" s="22">
        <f>J517*K517</f>
        <v>509.6</v>
      </c>
      <c r="Q517" s="22">
        <f>IF(L517="","",N517-K517)</f>
        <v>0.0</v>
      </c>
      <c r="R517" s="24">
        <f>IF(L517="","",M517-J517)</f>
        <v>0.0</v>
      </c>
      <c r="S517" s="22">
        <f>IF(L517="",-P517,O517-P517)</f>
        <v>0.0</v>
      </c>
      <c r="T517" s="11" t="str">
        <f>IF(L517="","NO BILL IN SUPPLIED EXPORT",IF(ABS(Q517)&gt;0.001,"RATE EXCEPTION",IF(ABS(R517)&gt;0.001,"LENGTH EXCEPTION",IF(ABS(S517)&gt;0.01,"AMOUNT EXCEPTION","OK"))))</f>
        <v>OK</v>
      </c>
      <c r="U517" s="19" t="s">
        <v>2862</v>
      </c>
    </row>
    <row r="518" spans="1:21" ht="28" customHeight="1">
      <c r="A518" s="14" t="s">
        <v>2863</v>
      </c>
      <c r="B518" s="14" t="s">
        <v>191</v>
      </c>
      <c r="C518" s="14" t="s">
        <v>2515</v>
      </c>
      <c r="D518" s="14" t="s">
        <v>227</v>
      </c>
      <c r="E518" s="14" t="s">
        <v>2864</v>
      </c>
      <c r="F518" s="15" t="s">
        <v>2865</v>
      </c>
      <c r="G518" s="15" t="s">
        <v>1168</v>
      </c>
      <c r="H518" s="24">
        <v>32</v>
      </c>
      <c r="I518" s="24">
        <v>44.5</v>
      </c>
      <c r="J518" s="24">
        <f>MAX(H518,ROUNDUP(I518,0))</f>
        <v>45</v>
      </c>
      <c r="K518" s="22">
        <f>IF(C518="covered",10.4,7.55)</f>
        <v>10.4</v>
      </c>
      <c r="L518" s="14" t="s">
        <v>2866</v>
      </c>
      <c r="M518" s="24">
        <v>45</v>
      </c>
      <c r="N518" s="22">
        <v>10.4</v>
      </c>
      <c r="O518" s="22">
        <v>468</v>
      </c>
      <c r="P518" s="22">
        <f>J518*K518</f>
        <v>468.0</v>
      </c>
      <c r="Q518" s="22">
        <f>IF(L518="","",N518-K518)</f>
        <v>0.0</v>
      </c>
      <c r="R518" s="24">
        <f>IF(L518="","",M518-J518)</f>
        <v>0.0</v>
      </c>
      <c r="S518" s="22">
        <f>IF(L518="",-P518,O518-P518)</f>
        <v>0.0</v>
      </c>
      <c r="T518" s="11" t="str">
        <f>IF(L518="","NO BILL IN SUPPLIED EXPORT",IF(ABS(Q518)&gt;0.001,"RATE EXCEPTION",IF(ABS(R518)&gt;0.001,"LENGTH EXCEPTION",IF(ABS(S518)&gt;0.01,"AMOUNT EXCEPTION","OK"))))</f>
        <v>OK</v>
      </c>
      <c r="U518" s="15" t="s">
        <v>2867</v>
      </c>
    </row>
    <row r="519" spans="1:21" ht="28" customHeight="1">
      <c r="A519" s="18" t="s">
        <v>2868</v>
      </c>
      <c r="B519" s="18" t="s">
        <v>191</v>
      </c>
      <c r="C519" s="18" t="s">
        <v>2515</v>
      </c>
      <c r="D519" s="18" t="s">
        <v>227</v>
      </c>
      <c r="E519" s="18" t="s">
        <v>2869</v>
      </c>
      <c r="F519" s="19" t="s">
        <v>2870</v>
      </c>
      <c r="G519" s="19" t="s">
        <v>517</v>
      </c>
      <c r="H519" s="24">
        <v>28</v>
      </c>
      <c r="I519" s="24">
        <v>36.5</v>
      </c>
      <c r="J519" s="24">
        <f>MAX(H519,ROUNDUP(I519,0))</f>
        <v>37</v>
      </c>
      <c r="K519" s="22">
        <f>IF(C519="covered",10.4,7.55)</f>
        <v>10.4</v>
      </c>
      <c r="L519" s="18" t="s">
        <v>2871</v>
      </c>
      <c r="M519" s="24">
        <v>37</v>
      </c>
      <c r="N519" s="22">
        <v>10.4</v>
      </c>
      <c r="O519" s="22">
        <v>384.8</v>
      </c>
      <c r="P519" s="22">
        <f>J519*K519</f>
        <v>384.8</v>
      </c>
      <c r="Q519" s="22">
        <f>IF(L519="","",N519-K519)</f>
        <v>0.0</v>
      </c>
      <c r="R519" s="24">
        <f>IF(L519="","",M519-J519)</f>
        <v>0.0</v>
      </c>
      <c r="S519" s="22">
        <f>IF(L519="",-P519,O519-P519)</f>
        <v>0.0</v>
      </c>
      <c r="T519" s="11" t="str">
        <f>IF(L519="","NO BILL IN SUPPLIED EXPORT",IF(ABS(Q519)&gt;0.001,"RATE EXCEPTION",IF(ABS(R519)&gt;0.001,"LENGTH EXCEPTION",IF(ABS(S519)&gt;0.01,"AMOUNT EXCEPTION","OK"))))</f>
        <v>OK</v>
      </c>
      <c r="U519" s="19" t="s">
        <v>2872</v>
      </c>
    </row>
    <row r="520" spans="1:21" ht="28" customHeight="1">
      <c r="A520" s="14" t="s">
        <v>2873</v>
      </c>
      <c r="B520" s="14" t="s">
        <v>191</v>
      </c>
      <c r="C520" s="14" t="s">
        <v>2515</v>
      </c>
      <c r="D520" s="14" t="s">
        <v>227</v>
      </c>
      <c r="E520" s="14" t="s">
        <v>2874</v>
      </c>
      <c r="F520" s="15" t="s">
        <v>2875</v>
      </c>
      <c r="G520" s="15" t="s">
        <v>1228</v>
      </c>
      <c r="H520" s="24">
        <v>24</v>
      </c>
      <c r="I520" s="24">
        <v>46.9</v>
      </c>
      <c r="J520" s="24">
        <f>MAX(H520,ROUNDUP(I520,0))</f>
        <v>47</v>
      </c>
      <c r="K520" s="22">
        <f>IF(C520="covered",10.4,7.55)</f>
        <v>10.4</v>
      </c>
      <c r="L520" s="14" t="s">
        <v>2876</v>
      </c>
      <c r="M520" s="24">
        <v>47</v>
      </c>
      <c r="N520" s="22">
        <v>10.4</v>
      </c>
      <c r="O520" s="22">
        <v>488.8</v>
      </c>
      <c r="P520" s="22">
        <f>J520*K520</f>
        <v>488.8</v>
      </c>
      <c r="Q520" s="22">
        <f>IF(L520="","",N520-K520)</f>
        <v>0.0</v>
      </c>
      <c r="R520" s="24">
        <f>IF(L520="","",M520-J520)</f>
        <v>0.0</v>
      </c>
      <c r="S520" s="22">
        <f>IF(L520="",-P520,O520-P520)</f>
        <v>0.0</v>
      </c>
      <c r="T520" s="11" t="str">
        <f>IF(L520="","NO BILL IN SUPPLIED EXPORT",IF(ABS(Q520)&gt;0.001,"RATE EXCEPTION",IF(ABS(R520)&gt;0.001,"LENGTH EXCEPTION",IF(ABS(S520)&gt;0.01,"AMOUNT EXCEPTION","OK"))))</f>
        <v>OK</v>
      </c>
      <c r="U520" s="15" t="s">
        <v>2877</v>
      </c>
    </row>
    <row r="521" spans="1:21" ht="28" customHeight="1">
      <c r="A521" s="18" t="s">
        <v>2878</v>
      </c>
      <c r="B521" s="18" t="s">
        <v>191</v>
      </c>
      <c r="C521" s="18" t="s">
        <v>2515</v>
      </c>
      <c r="D521" s="18" t="s">
        <v>227</v>
      </c>
      <c r="E521" s="18" t="s">
        <v>2879</v>
      </c>
      <c r="F521" s="19" t="s">
        <v>2880</v>
      </c>
      <c r="G521" s="19" t="s">
        <v>2881</v>
      </c>
      <c r="H521" s="24">
        <v>24</v>
      </c>
      <c r="I521" s="24">
        <v>27.2</v>
      </c>
      <c r="J521" s="24">
        <f>MAX(H521,ROUNDUP(I521,0))</f>
        <v>28</v>
      </c>
      <c r="K521" s="22">
        <f>IF(C521="covered",10.4,7.55)</f>
        <v>10.4</v>
      </c>
      <c r="L521" s="18" t="s">
        <v>2882</v>
      </c>
      <c r="M521" s="24">
        <v>28</v>
      </c>
      <c r="N521" s="22">
        <v>10.4</v>
      </c>
      <c r="O521" s="22">
        <v>291.2</v>
      </c>
      <c r="P521" s="22">
        <f>J521*K521</f>
        <v>291.2</v>
      </c>
      <c r="Q521" s="22">
        <f>IF(L521="","",N521-K521)</f>
        <v>0.0</v>
      </c>
      <c r="R521" s="24">
        <f>IF(L521="","",M521-J521)</f>
        <v>0.0</v>
      </c>
      <c r="S521" s="22">
        <f>IF(L521="",-P521,O521-P521)</f>
        <v>0.0</v>
      </c>
      <c r="T521" s="11" t="str">
        <f>IF(L521="","NO BILL IN SUPPLIED EXPORT",IF(ABS(Q521)&gt;0.001,"RATE EXCEPTION",IF(ABS(R521)&gt;0.001,"LENGTH EXCEPTION",IF(ABS(S521)&gt;0.01,"AMOUNT EXCEPTION","OK"))))</f>
        <v>OK</v>
      </c>
      <c r="U521" s="19" t="s">
        <v>2883</v>
      </c>
    </row>
    <row r="522" spans="1:21" ht="28" customHeight="1">
      <c r="A522" s="14" t="s">
        <v>2884</v>
      </c>
      <c r="B522" s="14" t="s">
        <v>191</v>
      </c>
      <c r="C522" s="14" t="s">
        <v>2515</v>
      </c>
      <c r="D522" s="14" t="s">
        <v>227</v>
      </c>
      <c r="E522" s="14" t="s">
        <v>2885</v>
      </c>
      <c r="F522" s="15" t="s">
        <v>1597</v>
      </c>
      <c r="G522" s="15" t="s">
        <v>2886</v>
      </c>
      <c r="H522" s="24">
        <v>24</v>
      </c>
      <c r="I522" s="24">
        <v>34.5</v>
      </c>
      <c r="J522" s="24">
        <f>MAX(H522,ROUNDUP(I522,0))</f>
        <v>35</v>
      </c>
      <c r="K522" s="22">
        <f>IF(C522="covered",10.4,7.55)</f>
        <v>10.4</v>
      </c>
      <c r="L522" s="14" t="s">
        <v>2887</v>
      </c>
      <c r="M522" s="24">
        <v>35</v>
      </c>
      <c r="N522" s="22">
        <v>10.4</v>
      </c>
      <c r="O522" s="22">
        <v>364</v>
      </c>
      <c r="P522" s="22">
        <f>J522*K522</f>
        <v>364.0</v>
      </c>
      <c r="Q522" s="22">
        <f>IF(L522="","",N522-K522)</f>
        <v>0.0</v>
      </c>
      <c r="R522" s="24">
        <f>IF(L522="","",M522-J522)</f>
        <v>0.0</v>
      </c>
      <c r="S522" s="22">
        <f>IF(L522="",-P522,O522-P522)</f>
        <v>0.0</v>
      </c>
      <c r="T522" s="11" t="str">
        <f>IF(L522="","NO BILL IN SUPPLIED EXPORT",IF(ABS(Q522)&gt;0.001,"RATE EXCEPTION",IF(ABS(R522)&gt;0.001,"LENGTH EXCEPTION",IF(ABS(S522)&gt;0.01,"AMOUNT EXCEPTION","OK"))))</f>
        <v>OK</v>
      </c>
      <c r="U522" s="15" t="s">
        <v>2888</v>
      </c>
    </row>
    <row r="523" spans="1:21" ht="28" customHeight="1">
      <c r="A523" s="18" t="s">
        <v>2889</v>
      </c>
      <c r="B523" s="18" t="s">
        <v>191</v>
      </c>
      <c r="C523" s="18" t="s">
        <v>2515</v>
      </c>
      <c r="D523" s="18" t="s">
        <v>227</v>
      </c>
      <c r="E523" s="18" t="s">
        <v>2890</v>
      </c>
      <c r="F523" s="19" t="s">
        <v>2891</v>
      </c>
      <c r="G523" s="19" t="s">
        <v>851</v>
      </c>
      <c r="H523" s="24">
        <v>24</v>
      </c>
      <c r="I523" s="24">
        <v>59.6</v>
      </c>
      <c r="J523" s="24">
        <f>MAX(H523,ROUNDUP(I523,0))</f>
        <v>60</v>
      </c>
      <c r="K523" s="22">
        <f>IF(C523="covered",10.4,7.55)</f>
        <v>10.4</v>
      </c>
      <c r="L523" s="18" t="s">
        <v>2892</v>
      </c>
      <c r="M523" s="24">
        <v>60</v>
      </c>
      <c r="N523" s="22">
        <v>10.4</v>
      </c>
      <c r="O523" s="22">
        <v>624</v>
      </c>
      <c r="P523" s="22">
        <f>J523*K523</f>
        <v>624.0</v>
      </c>
      <c r="Q523" s="22">
        <f>IF(L523="","",N523-K523)</f>
        <v>0.0</v>
      </c>
      <c r="R523" s="24">
        <f>IF(L523="","",M523-J523)</f>
        <v>0.0</v>
      </c>
      <c r="S523" s="22">
        <f>IF(L523="",-P523,O523-P523)</f>
        <v>0.0</v>
      </c>
      <c r="T523" s="11" t="str">
        <f>IF(L523="","NO BILL IN SUPPLIED EXPORT",IF(ABS(Q523)&gt;0.001,"RATE EXCEPTION",IF(ABS(R523)&gt;0.001,"LENGTH EXCEPTION",IF(ABS(S523)&gt;0.01,"AMOUNT EXCEPTION","OK"))))</f>
        <v>OK</v>
      </c>
      <c r="U523" s="19" t="s">
        <v>2893</v>
      </c>
    </row>
    <row r="524" spans="1:21" ht="28" customHeight="1">
      <c r="A524" s="14" t="s">
        <v>2894</v>
      </c>
      <c r="B524" s="14" t="s">
        <v>191</v>
      </c>
      <c r="C524" s="14" t="s">
        <v>2515</v>
      </c>
      <c r="D524" s="14" t="s">
        <v>227</v>
      </c>
      <c r="E524" s="14" t="s">
        <v>2895</v>
      </c>
      <c r="F524" s="15" t="s">
        <v>2896</v>
      </c>
      <c r="G524" s="15" t="s">
        <v>2897</v>
      </c>
      <c r="H524" s="24">
        <v>28</v>
      </c>
      <c r="I524" s="24">
        <v>38.4</v>
      </c>
      <c r="J524" s="24">
        <f>MAX(H524,ROUNDUP(I524,0))</f>
        <v>39</v>
      </c>
      <c r="K524" s="22">
        <f>IF(C524="covered",10.4,7.55)</f>
        <v>10.4</v>
      </c>
      <c r="L524" s="14" t="s">
        <v>2898</v>
      </c>
      <c r="M524" s="24">
        <v>39</v>
      </c>
      <c r="N524" s="22">
        <v>10.4</v>
      </c>
      <c r="O524" s="22">
        <v>405.6</v>
      </c>
      <c r="P524" s="22">
        <f>J524*K524</f>
        <v>405.6</v>
      </c>
      <c r="Q524" s="22">
        <f>IF(L524="","",N524-K524)</f>
        <v>0.0</v>
      </c>
      <c r="R524" s="24">
        <f>IF(L524="","",M524-J524)</f>
        <v>0.0</v>
      </c>
      <c r="S524" s="22">
        <f>IF(L524="",-P524,O524-P524)</f>
        <v>0.0</v>
      </c>
      <c r="T524" s="11" t="str">
        <f>IF(L524="","NO BILL IN SUPPLIED EXPORT",IF(ABS(Q524)&gt;0.001,"RATE EXCEPTION",IF(ABS(R524)&gt;0.001,"LENGTH EXCEPTION",IF(ABS(S524)&gt;0.01,"AMOUNT EXCEPTION","OK"))))</f>
        <v>OK</v>
      </c>
      <c r="U524" s="15" t="s">
        <v>2899</v>
      </c>
    </row>
    <row r="525" spans="1:21" ht="28" customHeight="1">
      <c r="A525" s="18" t="s">
        <v>2900</v>
      </c>
      <c r="B525" s="18" t="s">
        <v>191</v>
      </c>
      <c r="C525" s="18" t="s">
        <v>2515</v>
      </c>
      <c r="D525" s="18" t="s">
        <v>227</v>
      </c>
      <c r="E525" s="18" t="s">
        <v>2901</v>
      </c>
      <c r="F525" s="19" t="s">
        <v>2902</v>
      </c>
      <c r="G525" s="19" t="s">
        <v>2881</v>
      </c>
      <c r="H525" s="24">
        <v>40</v>
      </c>
      <c r="I525" s="24">
        <v>23.9</v>
      </c>
      <c r="J525" s="24">
        <f>MAX(H525,ROUNDUP(I525,0))</f>
        <v>40.0</v>
      </c>
      <c r="K525" s="22">
        <f>IF(C525="covered",10.4,7.55)</f>
        <v>10.4</v>
      </c>
      <c r="L525" s="18" t="s">
        <v>2903</v>
      </c>
      <c r="M525" s="24">
        <v>40</v>
      </c>
      <c r="N525" s="22">
        <v>10.4</v>
      </c>
      <c r="O525" s="22">
        <v>416</v>
      </c>
      <c r="P525" s="22">
        <f>J525*K525</f>
        <v>416.0</v>
      </c>
      <c r="Q525" s="22">
        <f>IF(L525="","",N525-K525)</f>
        <v>0.0</v>
      </c>
      <c r="R525" s="24">
        <f>IF(L525="","",M525-J525)</f>
        <v>0.0</v>
      </c>
      <c r="S525" s="22">
        <f>IF(L525="",-P525,O525-P525)</f>
        <v>0.0</v>
      </c>
      <c r="T525" s="11" t="str">
        <f>IF(L525="","NO BILL IN SUPPLIED EXPORT",IF(ABS(Q525)&gt;0.001,"RATE EXCEPTION",IF(ABS(R525)&gt;0.001,"LENGTH EXCEPTION",IF(ABS(S525)&gt;0.01,"AMOUNT EXCEPTION","OK"))))</f>
        <v>OK</v>
      </c>
      <c r="U525" s="19" t="s">
        <v>2904</v>
      </c>
    </row>
    <row r="526" spans="1:21" ht="28" customHeight="1">
      <c r="A526" s="14" t="s">
        <v>2905</v>
      </c>
      <c r="B526" s="14" t="s">
        <v>191</v>
      </c>
      <c r="C526" s="14" t="s">
        <v>2515</v>
      </c>
      <c r="D526" s="14" t="s">
        <v>227</v>
      </c>
      <c r="E526" s="14" t="s">
        <v>2906</v>
      </c>
      <c r="F526" s="15" t="s">
        <v>2907</v>
      </c>
      <c r="G526" s="15" t="s">
        <v>2908</v>
      </c>
      <c r="H526" s="24">
        <v>32</v>
      </c>
      <c r="I526" s="24">
        <v>48.1</v>
      </c>
      <c r="J526" s="24">
        <f>MAX(H526,ROUNDUP(I526,0))</f>
        <v>49</v>
      </c>
      <c r="K526" s="22">
        <f>IF(C526="covered",10.4,7.55)</f>
        <v>10.4</v>
      </c>
      <c r="L526" s="14" t="s">
        <v>2909</v>
      </c>
      <c r="M526" s="24">
        <v>49</v>
      </c>
      <c r="N526" s="22">
        <v>10.4</v>
      </c>
      <c r="O526" s="22">
        <v>509.6</v>
      </c>
      <c r="P526" s="22">
        <f>J526*K526</f>
        <v>509.6</v>
      </c>
      <c r="Q526" s="22">
        <f>IF(L526="","",N526-K526)</f>
        <v>0.0</v>
      </c>
      <c r="R526" s="24">
        <f>IF(L526="","",M526-J526)</f>
        <v>0.0</v>
      </c>
      <c r="S526" s="22">
        <f>IF(L526="",-P526,O526-P526)</f>
        <v>0.0</v>
      </c>
      <c r="T526" s="11" t="str">
        <f>IF(L526="","NO BILL IN SUPPLIED EXPORT",IF(ABS(Q526)&gt;0.001,"RATE EXCEPTION",IF(ABS(R526)&gt;0.001,"LENGTH EXCEPTION",IF(ABS(S526)&gt;0.01,"AMOUNT EXCEPTION","OK"))))</f>
        <v>OK</v>
      </c>
      <c r="U526" s="15" t="s">
        <v>2910</v>
      </c>
    </row>
    <row r="527" spans="1:21" ht="28" customHeight="1">
      <c r="A527" s="18" t="s">
        <v>2911</v>
      </c>
      <c r="B527" s="18" t="s">
        <v>191</v>
      </c>
      <c r="C527" s="18" t="s">
        <v>2515</v>
      </c>
      <c r="D527" s="18" t="s">
        <v>227</v>
      </c>
      <c r="E527" s="18" t="s">
        <v>2912</v>
      </c>
      <c r="F527" s="19" t="s">
        <v>2913</v>
      </c>
      <c r="G527" s="19" t="s">
        <v>2333</v>
      </c>
      <c r="H527" s="24">
        <v>24</v>
      </c>
      <c r="I527" s="24">
        <v>39.7</v>
      </c>
      <c r="J527" s="24">
        <f>MAX(H527,ROUNDUP(I527,0))</f>
        <v>40</v>
      </c>
      <c r="K527" s="22">
        <f>IF(C527="covered",10.4,7.55)</f>
        <v>10.4</v>
      </c>
      <c r="L527" s="18" t="s">
        <v>2914</v>
      </c>
      <c r="M527" s="24">
        <v>40</v>
      </c>
      <c r="N527" s="22">
        <v>10.4</v>
      </c>
      <c r="O527" s="22">
        <v>416</v>
      </c>
      <c r="P527" s="22">
        <f>J527*K527</f>
        <v>416.0</v>
      </c>
      <c r="Q527" s="22">
        <f>IF(L527="","",N527-K527)</f>
        <v>0.0</v>
      </c>
      <c r="R527" s="24">
        <f>IF(L527="","",M527-J527)</f>
        <v>0.0</v>
      </c>
      <c r="S527" s="22">
        <f>IF(L527="",-P527,O527-P527)</f>
        <v>0.0</v>
      </c>
      <c r="T527" s="11" t="str">
        <f>IF(L527="","NO BILL IN SUPPLIED EXPORT",IF(ABS(Q527)&gt;0.001,"RATE EXCEPTION",IF(ABS(R527)&gt;0.001,"LENGTH EXCEPTION",IF(ABS(S527)&gt;0.01,"AMOUNT EXCEPTION","OK"))))</f>
        <v>OK</v>
      </c>
      <c r="U527" s="19" t="s">
        <v>2915</v>
      </c>
    </row>
    <row r="528" spans="1:21" ht="28" customHeight="1">
      <c r="A528" s="14" t="s">
        <v>2916</v>
      </c>
      <c r="B528" s="14" t="s">
        <v>191</v>
      </c>
      <c r="C528" s="14" t="s">
        <v>2515</v>
      </c>
      <c r="D528" s="14" t="s">
        <v>227</v>
      </c>
      <c r="E528" s="14" t="s">
        <v>2917</v>
      </c>
      <c r="F528" s="15" t="s">
        <v>2918</v>
      </c>
      <c r="G528" s="15" t="s">
        <v>659</v>
      </c>
      <c r="H528" s="24">
        <v>24</v>
      </c>
      <c r="I528" s="24">
        <v>24.6</v>
      </c>
      <c r="J528" s="24">
        <f>MAX(H528,ROUNDUP(I528,0))</f>
        <v>25</v>
      </c>
      <c r="K528" s="22">
        <f>IF(C528="covered",10.4,7.55)</f>
        <v>10.4</v>
      </c>
      <c r="L528" s="14" t="s">
        <v>2919</v>
      </c>
      <c r="M528" s="24">
        <v>25</v>
      </c>
      <c r="N528" s="22">
        <v>10.4</v>
      </c>
      <c r="O528" s="22">
        <v>260</v>
      </c>
      <c r="P528" s="22">
        <f>J528*K528</f>
        <v>260.0</v>
      </c>
      <c r="Q528" s="22">
        <f>IF(L528="","",N528-K528)</f>
        <v>0.0</v>
      </c>
      <c r="R528" s="24">
        <f>IF(L528="","",M528-J528)</f>
        <v>0.0</v>
      </c>
      <c r="S528" s="22">
        <f>IF(L528="",-P528,O528-P528)</f>
        <v>0.0</v>
      </c>
      <c r="T528" s="11" t="str">
        <f>IF(L528="","NO BILL IN SUPPLIED EXPORT",IF(ABS(Q528)&gt;0.001,"RATE EXCEPTION",IF(ABS(R528)&gt;0.001,"LENGTH EXCEPTION",IF(ABS(S528)&gt;0.01,"AMOUNT EXCEPTION","OK"))))</f>
        <v>OK</v>
      </c>
      <c r="U528" s="15" t="s">
        <v>2920</v>
      </c>
    </row>
    <row r="529" spans="1:21" ht="28" customHeight="1">
      <c r="A529" s="18" t="s">
        <v>2921</v>
      </c>
      <c r="B529" s="18" t="s">
        <v>191</v>
      </c>
      <c r="C529" s="18" t="s">
        <v>2515</v>
      </c>
      <c r="D529" s="18" t="s">
        <v>227</v>
      </c>
      <c r="E529" s="18" t="s">
        <v>2922</v>
      </c>
      <c r="F529" s="19" t="s">
        <v>2923</v>
      </c>
      <c r="G529" s="19" t="s">
        <v>1823</v>
      </c>
      <c r="H529" s="24">
        <v>32</v>
      </c>
      <c r="I529" s="24">
        <v>41.2</v>
      </c>
      <c r="J529" s="24">
        <f>MAX(H529,ROUNDUP(I529,0))</f>
        <v>42</v>
      </c>
      <c r="K529" s="22">
        <f>IF(C529="covered",10.4,7.55)</f>
        <v>10.4</v>
      </c>
      <c r="L529" s="18" t="s">
        <v>2924</v>
      </c>
      <c r="M529" s="24">
        <v>42</v>
      </c>
      <c r="N529" s="22">
        <v>10.4</v>
      </c>
      <c r="O529" s="22">
        <v>436.8</v>
      </c>
      <c r="P529" s="22">
        <f>J529*K529</f>
        <v>436.8</v>
      </c>
      <c r="Q529" s="22">
        <f>IF(L529="","",N529-K529)</f>
        <v>0.0</v>
      </c>
      <c r="R529" s="24">
        <f>IF(L529="","",M529-J529)</f>
        <v>0.0</v>
      </c>
      <c r="S529" s="22">
        <f>IF(L529="",-P529,O529-P529)</f>
        <v>0.0</v>
      </c>
      <c r="T529" s="11" t="str">
        <f>IF(L529="","NO BILL IN SUPPLIED EXPORT",IF(ABS(Q529)&gt;0.001,"RATE EXCEPTION",IF(ABS(R529)&gt;0.001,"LENGTH EXCEPTION",IF(ABS(S529)&gt;0.01,"AMOUNT EXCEPTION","OK"))))</f>
        <v>OK</v>
      </c>
      <c r="U529" s="19" t="s">
        <v>2925</v>
      </c>
    </row>
    <row r="530" spans="1:21" ht="28" customHeight="1">
      <c r="A530" s="14" t="s">
        <v>131</v>
      </c>
      <c r="B530" s="14" t="s">
        <v>191</v>
      </c>
      <c r="C530" s="14" t="s">
        <v>2515</v>
      </c>
      <c r="D530" s="14" t="s">
        <v>227</v>
      </c>
      <c r="E530" s="14" t="s">
        <v>2926</v>
      </c>
      <c r="F530" s="15" t="s">
        <v>2927</v>
      </c>
      <c r="G530" s="15" t="s">
        <v>2382</v>
      </c>
      <c r="H530" s="24">
        <v>28</v>
      </c>
      <c r="I530" s="24">
        <v>23.7</v>
      </c>
      <c r="J530" s="24">
        <f>MAX(H530,ROUNDUP(I530,0))</f>
        <v>28.0</v>
      </c>
      <c r="K530" s="22">
        <f>IF(C530="covered",10.4,7.55)</f>
        <v>10.4</v>
      </c>
      <c r="L530" s="14" t="s">
        <v>2928</v>
      </c>
      <c r="M530" s="24">
        <v>28</v>
      </c>
      <c r="N530" s="22">
        <v>10.4</v>
      </c>
      <c r="O530" s="22">
        <v>291.2</v>
      </c>
      <c r="P530" s="22">
        <f>J530*K530</f>
        <v>291.2</v>
      </c>
      <c r="Q530" s="22">
        <f>IF(L530="","",N530-K530)</f>
        <v>0.0</v>
      </c>
      <c r="R530" s="24">
        <f>IF(L530="","",M530-J530)</f>
        <v>0.0</v>
      </c>
      <c r="S530" s="22">
        <f>IF(L530="",-P530,O530-P530)</f>
        <v>0.0</v>
      </c>
      <c r="T530" s="11" t="str">
        <f>IF(L530="","NO BILL IN SUPPLIED EXPORT",IF(ABS(Q530)&gt;0.001,"RATE EXCEPTION",IF(ABS(R530)&gt;0.001,"LENGTH EXCEPTION",IF(ABS(S530)&gt;0.01,"AMOUNT EXCEPTION","OK"))))</f>
        <v>OK</v>
      </c>
      <c r="U530" s="15" t="s">
        <v>2929</v>
      </c>
    </row>
    <row r="531" spans="1:21" ht="28" customHeight="1">
      <c r="A531" s="18" t="s">
        <v>2930</v>
      </c>
      <c r="B531" s="18" t="s">
        <v>191</v>
      </c>
      <c r="C531" s="18" t="s">
        <v>2515</v>
      </c>
      <c r="D531" s="18" t="s">
        <v>227</v>
      </c>
      <c r="E531" s="18" t="s">
        <v>2931</v>
      </c>
      <c r="F531" s="19" t="s">
        <v>2932</v>
      </c>
      <c r="G531" s="19" t="s">
        <v>1580</v>
      </c>
      <c r="H531" s="24">
        <v>24</v>
      </c>
      <c r="I531" s="24">
        <v>35.9</v>
      </c>
      <c r="J531" s="24">
        <f>MAX(H531,ROUNDUP(I531,0))</f>
        <v>36</v>
      </c>
      <c r="K531" s="22">
        <f>IF(C531="covered",10.4,7.55)</f>
        <v>10.4</v>
      </c>
      <c r="L531" s="18" t="s">
        <v>2933</v>
      </c>
      <c r="M531" s="24">
        <v>36</v>
      </c>
      <c r="N531" s="22">
        <v>10.4</v>
      </c>
      <c r="O531" s="22">
        <v>374.4</v>
      </c>
      <c r="P531" s="22">
        <f>J531*K531</f>
        <v>374.40000000000003</v>
      </c>
      <c r="Q531" s="22">
        <f>IF(L531="","",N531-K531)</f>
        <v>0.0</v>
      </c>
      <c r="R531" s="24">
        <f>IF(L531="","",M531-J531)</f>
        <v>0.0</v>
      </c>
      <c r="S531" s="22">
        <f>IF(L531="",-P531,O531-P531)</f>
        <v>-5.684341886080802e-14</v>
      </c>
      <c r="T531" s="11" t="str">
        <f>IF(L531="","NO BILL IN SUPPLIED EXPORT",IF(ABS(Q531)&gt;0.001,"RATE EXCEPTION",IF(ABS(R531)&gt;0.001,"LENGTH EXCEPTION",IF(ABS(S531)&gt;0.01,"AMOUNT EXCEPTION","OK"))))</f>
        <v>OK</v>
      </c>
      <c r="U531" s="19" t="s">
        <v>2934</v>
      </c>
    </row>
    <row r="532" spans="1:21" ht="28" customHeight="1">
      <c r="A532" s="14" t="s">
        <v>2935</v>
      </c>
      <c r="B532" s="14" t="s">
        <v>191</v>
      </c>
      <c r="C532" s="14" t="s">
        <v>2515</v>
      </c>
      <c r="D532" s="14" t="s">
        <v>227</v>
      </c>
      <c r="E532" s="14" t="s">
        <v>2936</v>
      </c>
      <c r="F532" s="15" t="s">
        <v>2937</v>
      </c>
      <c r="G532" s="15" t="s">
        <v>2178</v>
      </c>
      <c r="H532" s="24">
        <v>24</v>
      </c>
      <c r="I532" s="24">
        <v>47.8</v>
      </c>
      <c r="J532" s="24">
        <f>MAX(H532,ROUNDUP(I532,0))</f>
        <v>48</v>
      </c>
      <c r="K532" s="22">
        <f>IF(C532="covered",10.4,7.55)</f>
        <v>10.4</v>
      </c>
      <c r="L532" s="14" t="s">
        <v>2938</v>
      </c>
      <c r="M532" s="24">
        <v>48</v>
      </c>
      <c r="N532" s="22">
        <v>10.4</v>
      </c>
      <c r="O532" s="22">
        <v>499.2</v>
      </c>
      <c r="P532" s="22">
        <f>J532*K532</f>
        <v>499.20000000000005</v>
      </c>
      <c r="Q532" s="22">
        <f>IF(L532="","",N532-K532)</f>
        <v>0.0</v>
      </c>
      <c r="R532" s="24">
        <f>IF(L532="","",M532-J532)</f>
        <v>0.0</v>
      </c>
      <c r="S532" s="22">
        <f>IF(L532="",-P532,O532-P532)</f>
        <v>-5.684341886080802e-14</v>
      </c>
      <c r="T532" s="11" t="str">
        <f>IF(L532="","NO BILL IN SUPPLIED EXPORT",IF(ABS(Q532)&gt;0.001,"RATE EXCEPTION",IF(ABS(R532)&gt;0.001,"LENGTH EXCEPTION",IF(ABS(S532)&gt;0.01,"AMOUNT EXCEPTION","OK"))))</f>
        <v>OK</v>
      </c>
      <c r="U532" s="15" t="s">
        <v>2939</v>
      </c>
    </row>
    <row r="533" spans="1:21" ht="28" customHeight="1">
      <c r="A533" s="18" t="s">
        <v>2940</v>
      </c>
      <c r="B533" s="18" t="s">
        <v>191</v>
      </c>
      <c r="C533" s="18" t="s">
        <v>2515</v>
      </c>
      <c r="D533" s="18" t="s">
        <v>227</v>
      </c>
      <c r="E533" s="18" t="s">
        <v>2941</v>
      </c>
      <c r="F533" s="19" t="s">
        <v>2942</v>
      </c>
      <c r="G533" s="19" t="s">
        <v>2943</v>
      </c>
      <c r="H533" s="24">
        <v>40</v>
      </c>
      <c r="I533" s="24">
        <v>60.9</v>
      </c>
      <c r="J533" s="24">
        <f>MAX(H533,ROUNDUP(I533,0))</f>
        <v>61</v>
      </c>
      <c r="K533" s="22">
        <f>IF(C533="covered",10.4,7.55)</f>
        <v>10.4</v>
      </c>
      <c r="L533" s="18" t="s">
        <v>2944</v>
      </c>
      <c r="M533" s="24">
        <v>61</v>
      </c>
      <c r="N533" s="22">
        <v>10.4</v>
      </c>
      <c r="O533" s="22">
        <v>634.4</v>
      </c>
      <c r="P533" s="22">
        <f>J533*K533</f>
        <v>634.4</v>
      </c>
      <c r="Q533" s="22">
        <f>IF(L533="","",N533-K533)</f>
        <v>0.0</v>
      </c>
      <c r="R533" s="24">
        <f>IF(L533="","",M533-J533)</f>
        <v>0.0</v>
      </c>
      <c r="S533" s="22">
        <f>IF(L533="",-P533,O533-P533)</f>
        <v>0.0</v>
      </c>
      <c r="T533" s="11" t="str">
        <f>IF(L533="","NO BILL IN SUPPLIED EXPORT",IF(ABS(Q533)&gt;0.001,"RATE EXCEPTION",IF(ABS(R533)&gt;0.001,"LENGTH EXCEPTION",IF(ABS(S533)&gt;0.01,"AMOUNT EXCEPTION","OK"))))</f>
        <v>OK</v>
      </c>
      <c r="U533" s="19" t="s">
        <v>2945</v>
      </c>
    </row>
    <row r="534" spans="1:21" ht="28" customHeight="1">
      <c r="A534" s="14" t="s">
        <v>2946</v>
      </c>
      <c r="B534" s="14" t="s">
        <v>191</v>
      </c>
      <c r="C534" s="14" t="s">
        <v>2515</v>
      </c>
      <c r="D534" s="14" t="s">
        <v>227</v>
      </c>
      <c r="E534" s="14" t="s">
        <v>2947</v>
      </c>
      <c r="F534" s="15" t="s">
        <v>2948</v>
      </c>
      <c r="G534" s="15" t="s">
        <v>288</v>
      </c>
      <c r="H534" s="24">
        <v>24</v>
      </c>
      <c r="I534" s="24">
        <v>43.7</v>
      </c>
      <c r="J534" s="24">
        <f>MAX(H534,ROUNDUP(I534,0))</f>
        <v>44</v>
      </c>
      <c r="K534" s="22">
        <f>IF(C534="covered",10.4,7.55)</f>
        <v>10.4</v>
      </c>
      <c r="L534" s="14" t="s">
        <v>2949</v>
      </c>
      <c r="M534" s="24">
        <v>44</v>
      </c>
      <c r="N534" s="22">
        <v>10.4</v>
      </c>
      <c r="O534" s="22">
        <v>457.6</v>
      </c>
      <c r="P534" s="22">
        <f>J534*K534</f>
        <v>457.6</v>
      </c>
      <c r="Q534" s="22">
        <f>IF(L534="","",N534-K534)</f>
        <v>0.0</v>
      </c>
      <c r="R534" s="24">
        <f>IF(L534="","",M534-J534)</f>
        <v>0.0</v>
      </c>
      <c r="S534" s="22">
        <f>IF(L534="",-P534,O534-P534)</f>
        <v>0.0</v>
      </c>
      <c r="T534" s="11" t="str">
        <f>IF(L534="","NO BILL IN SUPPLIED EXPORT",IF(ABS(Q534)&gt;0.001,"RATE EXCEPTION",IF(ABS(R534)&gt;0.001,"LENGTH EXCEPTION",IF(ABS(S534)&gt;0.01,"AMOUNT EXCEPTION","OK"))))</f>
        <v>OK</v>
      </c>
      <c r="U534" s="15" t="s">
        <v>2950</v>
      </c>
    </row>
    <row r="535" spans="1:21" ht="28" customHeight="1">
      <c r="A535" s="18" t="s">
        <v>2951</v>
      </c>
      <c r="B535" s="18" t="s">
        <v>191</v>
      </c>
      <c r="C535" s="18" t="s">
        <v>2515</v>
      </c>
      <c r="D535" s="18" t="s">
        <v>227</v>
      </c>
      <c r="E535" s="18" t="s">
        <v>2952</v>
      </c>
      <c r="F535" s="19" t="s">
        <v>2953</v>
      </c>
      <c r="G535" s="19" t="s">
        <v>2637</v>
      </c>
      <c r="H535" s="24">
        <v>24</v>
      </c>
      <c r="I535" s="24">
        <v>44.4</v>
      </c>
      <c r="J535" s="24">
        <f>MAX(H535,ROUNDUP(I535,0))</f>
        <v>45</v>
      </c>
      <c r="K535" s="22">
        <f>IF(C535="covered",10.4,7.55)</f>
        <v>10.4</v>
      </c>
      <c r="L535" s="18" t="s">
        <v>2954</v>
      </c>
      <c r="M535" s="24">
        <v>45</v>
      </c>
      <c r="N535" s="22">
        <v>10.4</v>
      </c>
      <c r="O535" s="22">
        <v>468</v>
      </c>
      <c r="P535" s="22">
        <f>J535*K535</f>
        <v>468.0</v>
      </c>
      <c r="Q535" s="22">
        <f>IF(L535="","",N535-K535)</f>
        <v>0.0</v>
      </c>
      <c r="R535" s="24">
        <f>IF(L535="","",M535-J535)</f>
        <v>0.0</v>
      </c>
      <c r="S535" s="22">
        <f>IF(L535="",-P535,O535-P535)</f>
        <v>0.0</v>
      </c>
      <c r="T535" s="11" t="str">
        <f>IF(L535="","NO BILL IN SUPPLIED EXPORT",IF(ABS(Q535)&gt;0.001,"RATE EXCEPTION",IF(ABS(R535)&gt;0.001,"LENGTH EXCEPTION",IF(ABS(S535)&gt;0.01,"AMOUNT EXCEPTION","OK"))))</f>
        <v>OK</v>
      </c>
      <c r="U535" s="19" t="s">
        <v>2955</v>
      </c>
    </row>
    <row r="536" spans="1:21" ht="28" customHeight="1">
      <c r="A536" s="14" t="s">
        <v>2956</v>
      </c>
      <c r="B536" s="14" t="s">
        <v>191</v>
      </c>
      <c r="C536" s="14" t="s">
        <v>2515</v>
      </c>
      <c r="D536" s="14" t="s">
        <v>227</v>
      </c>
      <c r="E536" s="14" t="s">
        <v>2957</v>
      </c>
      <c r="F536" s="15" t="s">
        <v>2958</v>
      </c>
      <c r="G536" s="15" t="s">
        <v>1880</v>
      </c>
      <c r="H536" s="24">
        <v>36</v>
      </c>
      <c r="I536" s="24">
        <v>28.9</v>
      </c>
      <c r="J536" s="24">
        <f>MAX(H536,ROUNDUP(I536,0))</f>
        <v>36.0</v>
      </c>
      <c r="K536" s="22">
        <f>IF(C536="covered",10.4,7.55)</f>
        <v>10.4</v>
      </c>
      <c r="L536" s="14" t="s">
        <v>2959</v>
      </c>
      <c r="M536" s="24">
        <v>36</v>
      </c>
      <c r="N536" s="22">
        <v>10.4</v>
      </c>
      <c r="O536" s="22">
        <v>374.4</v>
      </c>
      <c r="P536" s="22">
        <f>J536*K536</f>
        <v>374.40000000000003</v>
      </c>
      <c r="Q536" s="22">
        <f>IF(L536="","",N536-K536)</f>
        <v>0.0</v>
      </c>
      <c r="R536" s="24">
        <f>IF(L536="","",M536-J536)</f>
        <v>0.0</v>
      </c>
      <c r="S536" s="22">
        <f>IF(L536="",-P536,O536-P536)</f>
        <v>-5.684341886080802e-14</v>
      </c>
      <c r="T536" s="11" t="str">
        <f>IF(L536="","NO BILL IN SUPPLIED EXPORT",IF(ABS(Q536)&gt;0.001,"RATE EXCEPTION",IF(ABS(R536)&gt;0.001,"LENGTH EXCEPTION",IF(ABS(S536)&gt;0.01,"AMOUNT EXCEPTION","OK"))))</f>
        <v>OK</v>
      </c>
      <c r="U536" s="15" t="s">
        <v>2960</v>
      </c>
    </row>
    <row r="537" spans="1:21" ht="28" customHeight="1">
      <c r="A537" s="18" t="s">
        <v>2961</v>
      </c>
      <c r="B537" s="18" t="s">
        <v>191</v>
      </c>
      <c r="C537" s="18" t="s">
        <v>2515</v>
      </c>
      <c r="D537" s="18" t="s">
        <v>227</v>
      </c>
      <c r="E537" s="18" t="s">
        <v>2962</v>
      </c>
      <c r="F537" s="19" t="s">
        <v>2963</v>
      </c>
      <c r="G537" s="19" t="s">
        <v>2301</v>
      </c>
      <c r="H537" s="24">
        <v>28</v>
      </c>
      <c r="I537" s="24">
        <v>25.1</v>
      </c>
      <c r="J537" s="24">
        <f>MAX(H537,ROUNDUP(I537,0))</f>
        <v>28.0</v>
      </c>
      <c r="K537" s="22">
        <f>IF(C537="covered",10.4,7.55)</f>
        <v>10.4</v>
      </c>
      <c r="L537" s="18" t="s">
        <v>2964</v>
      </c>
      <c r="M537" s="24">
        <v>28</v>
      </c>
      <c r="N537" s="22">
        <v>10.4</v>
      </c>
      <c r="O537" s="22">
        <v>291.2</v>
      </c>
      <c r="P537" s="22">
        <f>J537*K537</f>
        <v>291.2</v>
      </c>
      <c r="Q537" s="22">
        <f>IF(L537="","",N537-K537)</f>
        <v>0.0</v>
      </c>
      <c r="R537" s="24">
        <f>IF(L537="","",M537-J537)</f>
        <v>0.0</v>
      </c>
      <c r="S537" s="22">
        <f>IF(L537="",-P537,O537-P537)</f>
        <v>0.0</v>
      </c>
      <c r="T537" s="11" t="str">
        <f>IF(L537="","NO BILL IN SUPPLIED EXPORT",IF(ABS(Q537)&gt;0.001,"RATE EXCEPTION",IF(ABS(R537)&gt;0.001,"LENGTH EXCEPTION",IF(ABS(S537)&gt;0.01,"AMOUNT EXCEPTION","OK"))))</f>
        <v>OK</v>
      </c>
      <c r="U537" s="19" t="s">
        <v>2965</v>
      </c>
    </row>
    <row r="538" spans="1:21" ht="28" customHeight="1">
      <c r="A538" s="14" t="s">
        <v>2966</v>
      </c>
      <c r="B538" s="14" t="s">
        <v>191</v>
      </c>
      <c r="C538" s="14" t="s">
        <v>2515</v>
      </c>
      <c r="D538" s="14" t="s">
        <v>227</v>
      </c>
      <c r="E538" s="14" t="s">
        <v>2967</v>
      </c>
      <c r="F538" s="15" t="s">
        <v>2968</v>
      </c>
      <c r="G538" s="15" t="s">
        <v>248</v>
      </c>
      <c r="H538" s="24">
        <v>32</v>
      </c>
      <c r="I538" s="24">
        <v>33.5</v>
      </c>
      <c r="J538" s="24">
        <f>MAX(H538,ROUNDUP(I538,0))</f>
        <v>34</v>
      </c>
      <c r="K538" s="22">
        <f>IF(C538="covered",10.4,7.55)</f>
        <v>10.4</v>
      </c>
      <c r="L538" s="14" t="s">
        <v>2969</v>
      </c>
      <c r="M538" s="24">
        <v>34</v>
      </c>
      <c r="N538" s="22">
        <v>10.4</v>
      </c>
      <c r="O538" s="22">
        <v>353.6</v>
      </c>
      <c r="P538" s="22">
        <f>J538*K538</f>
        <v>353.6</v>
      </c>
      <c r="Q538" s="22">
        <f>IF(L538="","",N538-K538)</f>
        <v>0.0</v>
      </c>
      <c r="R538" s="24">
        <f>IF(L538="","",M538-J538)</f>
        <v>0.0</v>
      </c>
      <c r="S538" s="22">
        <f>IF(L538="",-P538,O538-P538)</f>
        <v>0.0</v>
      </c>
      <c r="T538" s="11" t="str">
        <f>IF(L538="","NO BILL IN SUPPLIED EXPORT",IF(ABS(Q538)&gt;0.001,"RATE EXCEPTION",IF(ABS(R538)&gt;0.001,"LENGTH EXCEPTION",IF(ABS(S538)&gt;0.01,"AMOUNT EXCEPTION","OK"))))</f>
        <v>OK</v>
      </c>
      <c r="U538" s="15" t="s">
        <v>2970</v>
      </c>
    </row>
    <row r="539" spans="1:21" ht="28" customHeight="1">
      <c r="A539" s="18" t="s">
        <v>2971</v>
      </c>
      <c r="B539" s="18" t="s">
        <v>191</v>
      </c>
      <c r="C539" s="18" t="s">
        <v>2515</v>
      </c>
      <c r="D539" s="18" t="s">
        <v>227</v>
      </c>
      <c r="E539" s="18" t="s">
        <v>2972</v>
      </c>
      <c r="F539" s="19" t="s">
        <v>2973</v>
      </c>
      <c r="G539" s="19" t="s">
        <v>2974</v>
      </c>
      <c r="H539" s="24">
        <v>40</v>
      </c>
      <c r="I539" s="24">
        <v>34.6</v>
      </c>
      <c r="J539" s="24">
        <f>MAX(H539,ROUNDUP(I539,0))</f>
        <v>40.0</v>
      </c>
      <c r="K539" s="22">
        <f>IF(C539="covered",10.4,7.55)</f>
        <v>10.4</v>
      </c>
      <c r="L539" s="18" t="s">
        <v>2975</v>
      </c>
      <c r="M539" s="24">
        <v>40</v>
      </c>
      <c r="N539" s="22">
        <v>10.4</v>
      </c>
      <c r="O539" s="22">
        <v>416</v>
      </c>
      <c r="P539" s="22">
        <f>J539*K539</f>
        <v>416.0</v>
      </c>
      <c r="Q539" s="22">
        <f>IF(L539="","",N539-K539)</f>
        <v>0.0</v>
      </c>
      <c r="R539" s="24">
        <f>IF(L539="","",M539-J539)</f>
        <v>0.0</v>
      </c>
      <c r="S539" s="22">
        <f>IF(L539="",-P539,O539-P539)</f>
        <v>0.0</v>
      </c>
      <c r="T539" s="11" t="str">
        <f>IF(L539="","NO BILL IN SUPPLIED EXPORT",IF(ABS(Q539)&gt;0.001,"RATE EXCEPTION",IF(ABS(R539)&gt;0.001,"LENGTH EXCEPTION",IF(ABS(S539)&gt;0.01,"AMOUNT EXCEPTION","OK"))))</f>
        <v>OK</v>
      </c>
      <c r="U539" s="19" t="s">
        <v>2976</v>
      </c>
    </row>
    <row r="540" spans="1:21" ht="28" customHeight="1">
      <c r="A540" s="14" t="s">
        <v>2977</v>
      </c>
      <c r="B540" s="14" t="s">
        <v>191</v>
      </c>
      <c r="C540" s="14" t="s">
        <v>2515</v>
      </c>
      <c r="D540" s="14" t="s">
        <v>227</v>
      </c>
      <c r="E540" s="14" t="s">
        <v>2978</v>
      </c>
      <c r="F540" s="15" t="s">
        <v>2979</v>
      </c>
      <c r="G540" s="15" t="s">
        <v>2306</v>
      </c>
      <c r="H540" s="24">
        <v>28</v>
      </c>
      <c r="I540" s="24">
        <v>28.5</v>
      </c>
      <c r="J540" s="24">
        <f>MAX(H540,ROUNDUP(I540,0))</f>
        <v>29</v>
      </c>
      <c r="K540" s="22">
        <f>IF(C540="covered",10.4,7.55)</f>
        <v>10.4</v>
      </c>
      <c r="L540" s="14" t="s">
        <v>2980</v>
      </c>
      <c r="M540" s="24">
        <v>29</v>
      </c>
      <c r="N540" s="22">
        <v>10.4</v>
      </c>
      <c r="O540" s="22">
        <v>301.6</v>
      </c>
      <c r="P540" s="22">
        <f>J540*K540</f>
        <v>301.6</v>
      </c>
      <c r="Q540" s="22">
        <f>IF(L540="","",N540-K540)</f>
        <v>0.0</v>
      </c>
      <c r="R540" s="24">
        <f>IF(L540="","",M540-J540)</f>
        <v>0.0</v>
      </c>
      <c r="S540" s="22">
        <f>IF(L540="",-P540,O540-P540)</f>
        <v>0.0</v>
      </c>
      <c r="T540" s="11" t="str">
        <f>IF(L540="","NO BILL IN SUPPLIED EXPORT",IF(ABS(Q540)&gt;0.001,"RATE EXCEPTION",IF(ABS(R540)&gt;0.001,"LENGTH EXCEPTION",IF(ABS(S540)&gt;0.01,"AMOUNT EXCEPTION","OK"))))</f>
        <v>OK</v>
      </c>
      <c r="U540" s="15" t="s">
        <v>2981</v>
      </c>
    </row>
    <row r="541" spans="1:21" ht="28" customHeight="1">
      <c r="A541" s="18" t="s">
        <v>2982</v>
      </c>
      <c r="B541" s="18" t="s">
        <v>191</v>
      </c>
      <c r="C541" s="18" t="s">
        <v>2515</v>
      </c>
      <c r="D541" s="18" t="s">
        <v>227</v>
      </c>
      <c r="E541" s="18" t="s">
        <v>2983</v>
      </c>
      <c r="F541" s="19" t="s">
        <v>2984</v>
      </c>
      <c r="G541" s="19" t="s">
        <v>2985</v>
      </c>
      <c r="H541" s="24">
        <v>32</v>
      </c>
      <c r="I541" s="24">
        <v>53.6</v>
      </c>
      <c r="J541" s="24">
        <f>MAX(H541,ROUNDUP(I541,0))</f>
        <v>54</v>
      </c>
      <c r="K541" s="22">
        <f>IF(C541="covered",10.4,7.55)</f>
        <v>10.4</v>
      </c>
      <c r="L541" s="18" t="s">
        <v>2986</v>
      </c>
      <c r="M541" s="24">
        <v>54</v>
      </c>
      <c r="N541" s="22">
        <v>10.4</v>
      </c>
      <c r="O541" s="22">
        <v>561.6</v>
      </c>
      <c r="P541" s="22">
        <f>J541*K541</f>
        <v>561.6</v>
      </c>
      <c r="Q541" s="22">
        <f>IF(L541="","",N541-K541)</f>
        <v>0.0</v>
      </c>
      <c r="R541" s="24">
        <f>IF(L541="","",M541-J541)</f>
        <v>0.0</v>
      </c>
      <c r="S541" s="22">
        <f>IF(L541="",-P541,O541-P541)</f>
        <v>0.0</v>
      </c>
      <c r="T541" s="11" t="str">
        <f>IF(L541="","NO BILL IN SUPPLIED EXPORT",IF(ABS(Q541)&gt;0.001,"RATE EXCEPTION",IF(ABS(R541)&gt;0.001,"LENGTH EXCEPTION",IF(ABS(S541)&gt;0.01,"AMOUNT EXCEPTION","OK"))))</f>
        <v>OK</v>
      </c>
      <c r="U541" s="19" t="s">
        <v>2987</v>
      </c>
    </row>
    <row r="542" spans="1:21" ht="28" customHeight="1">
      <c r="A542" s="14" t="s">
        <v>2988</v>
      </c>
      <c r="B542" s="14" t="s">
        <v>191</v>
      </c>
      <c r="C542" s="14" t="s">
        <v>2515</v>
      </c>
      <c r="D542" s="14" t="s">
        <v>227</v>
      </c>
      <c r="E542" s="14" t="s">
        <v>2989</v>
      </c>
      <c r="F542" s="15" t="s">
        <v>2990</v>
      </c>
      <c r="G542" s="15" t="s">
        <v>2991</v>
      </c>
      <c r="H542" s="24">
        <v>24</v>
      </c>
      <c r="I542" s="24">
        <v>34</v>
      </c>
      <c r="J542" s="24">
        <f>MAX(H542,ROUNDUP(I542,0))</f>
        <v>34</v>
      </c>
      <c r="K542" s="22">
        <f>IF(C542="covered",10.4,7.55)</f>
        <v>10.4</v>
      </c>
      <c r="L542" s="14" t="s">
        <v>2992</v>
      </c>
      <c r="M542" s="24">
        <v>34</v>
      </c>
      <c r="N542" s="22">
        <v>10.4</v>
      </c>
      <c r="O542" s="22">
        <v>353.6</v>
      </c>
      <c r="P542" s="22">
        <f>J542*K542</f>
        <v>353.6</v>
      </c>
      <c r="Q542" s="22">
        <f>IF(L542="","",N542-K542)</f>
        <v>0.0</v>
      </c>
      <c r="R542" s="24">
        <f>IF(L542="","",M542-J542)</f>
        <v>0.0</v>
      </c>
      <c r="S542" s="22">
        <f>IF(L542="",-P542,O542-P542)</f>
        <v>0.0</v>
      </c>
      <c r="T542" s="11" t="str">
        <f>IF(L542="","NO BILL IN SUPPLIED EXPORT",IF(ABS(Q542)&gt;0.001,"RATE EXCEPTION",IF(ABS(R542)&gt;0.001,"LENGTH EXCEPTION",IF(ABS(S542)&gt;0.01,"AMOUNT EXCEPTION","OK"))))</f>
        <v>OK</v>
      </c>
      <c r="U542" s="15" t="s">
        <v>2993</v>
      </c>
    </row>
    <row r="543" spans="1:21" ht="28" customHeight="1">
      <c r="A543" s="18" t="s">
        <v>2994</v>
      </c>
      <c r="B543" s="18" t="s">
        <v>191</v>
      </c>
      <c r="C543" s="18" t="s">
        <v>2515</v>
      </c>
      <c r="D543" s="18" t="s">
        <v>227</v>
      </c>
      <c r="E543" s="18" t="s">
        <v>2995</v>
      </c>
      <c r="F543" s="19" t="s">
        <v>2996</v>
      </c>
      <c r="G543" s="19" t="s">
        <v>1283</v>
      </c>
      <c r="H543" s="24">
        <v>28</v>
      </c>
      <c r="I543" s="24">
        <v>57.8</v>
      </c>
      <c r="J543" s="24">
        <f>MAX(H543,ROUNDUP(I543,0))</f>
        <v>58</v>
      </c>
      <c r="K543" s="22">
        <f>IF(C543="covered",10.4,7.55)</f>
        <v>10.4</v>
      </c>
      <c r="L543" s="18" t="s">
        <v>2997</v>
      </c>
      <c r="M543" s="24">
        <v>58</v>
      </c>
      <c r="N543" s="22">
        <v>10.4</v>
      </c>
      <c r="O543" s="22">
        <v>603.2</v>
      </c>
      <c r="P543" s="22">
        <f>J543*K543</f>
        <v>603.2</v>
      </c>
      <c r="Q543" s="22">
        <f>IF(L543="","",N543-K543)</f>
        <v>0.0</v>
      </c>
      <c r="R543" s="24">
        <f>IF(L543="","",M543-J543)</f>
        <v>0.0</v>
      </c>
      <c r="S543" s="22">
        <f>IF(L543="",-P543,O543-P543)</f>
        <v>0.0</v>
      </c>
      <c r="T543" s="11" t="str">
        <f>IF(L543="","NO BILL IN SUPPLIED EXPORT",IF(ABS(Q543)&gt;0.001,"RATE EXCEPTION",IF(ABS(R543)&gt;0.001,"LENGTH EXCEPTION",IF(ABS(S543)&gt;0.01,"AMOUNT EXCEPTION","OK"))))</f>
        <v>OK</v>
      </c>
      <c r="U543" s="19" t="s">
        <v>2998</v>
      </c>
    </row>
    <row r="544" spans="1:21" ht="28" customHeight="1">
      <c r="A544" s="14" t="s">
        <v>2999</v>
      </c>
      <c r="B544" s="14" t="s">
        <v>191</v>
      </c>
      <c r="C544" s="14" t="s">
        <v>2515</v>
      </c>
      <c r="D544" s="14" t="s">
        <v>227</v>
      </c>
      <c r="E544" s="14" t="s">
        <v>3000</v>
      </c>
      <c r="F544" s="15" t="s">
        <v>3001</v>
      </c>
      <c r="G544" s="15" t="s">
        <v>1844</v>
      </c>
      <c r="H544" s="24">
        <v>28</v>
      </c>
      <c r="I544" s="24">
        <v>57.9</v>
      </c>
      <c r="J544" s="24">
        <f>MAX(H544,ROUNDUP(I544,0))</f>
        <v>58</v>
      </c>
      <c r="K544" s="22">
        <f>IF(C544="covered",10.4,7.55)</f>
        <v>10.4</v>
      </c>
      <c r="L544" s="14" t="s">
        <v>3002</v>
      </c>
      <c r="M544" s="24">
        <v>58</v>
      </c>
      <c r="N544" s="22">
        <v>10.4</v>
      </c>
      <c r="O544" s="22">
        <v>603.2</v>
      </c>
      <c r="P544" s="22">
        <f>J544*K544</f>
        <v>603.2</v>
      </c>
      <c r="Q544" s="22">
        <f>IF(L544="","",N544-K544)</f>
        <v>0.0</v>
      </c>
      <c r="R544" s="24">
        <f>IF(L544="","",M544-J544)</f>
        <v>0.0</v>
      </c>
      <c r="S544" s="22">
        <f>IF(L544="",-P544,O544-P544)</f>
        <v>0.0</v>
      </c>
      <c r="T544" s="11" t="str">
        <f>IF(L544="","NO BILL IN SUPPLIED EXPORT",IF(ABS(Q544)&gt;0.001,"RATE EXCEPTION",IF(ABS(R544)&gt;0.001,"LENGTH EXCEPTION",IF(ABS(S544)&gt;0.01,"AMOUNT EXCEPTION","OK"))))</f>
        <v>OK</v>
      </c>
      <c r="U544" s="15" t="s">
        <v>3003</v>
      </c>
    </row>
    <row r="545" spans="1:21" ht="28" customHeight="1">
      <c r="A545" s="18" t="s">
        <v>3004</v>
      </c>
      <c r="B545" s="18" t="s">
        <v>191</v>
      </c>
      <c r="C545" s="18" t="s">
        <v>2515</v>
      </c>
      <c r="D545" s="18" t="s">
        <v>227</v>
      </c>
      <c r="E545" s="18" t="s">
        <v>3005</v>
      </c>
      <c r="F545" s="19" t="s">
        <v>3006</v>
      </c>
      <c r="G545" s="19" t="s">
        <v>3007</v>
      </c>
      <c r="H545" s="24">
        <v>24</v>
      </c>
      <c r="I545" s="24">
        <v>46.7</v>
      </c>
      <c r="J545" s="24">
        <f>MAX(H545,ROUNDUP(I545,0))</f>
        <v>47</v>
      </c>
      <c r="K545" s="22">
        <f>IF(C545="covered",10.4,7.55)</f>
        <v>10.4</v>
      </c>
      <c r="L545" s="18" t="s">
        <v>3008</v>
      </c>
      <c r="M545" s="24">
        <v>47</v>
      </c>
      <c r="N545" s="22">
        <v>10.4</v>
      </c>
      <c r="O545" s="22">
        <v>488.8</v>
      </c>
      <c r="P545" s="22">
        <f>J545*K545</f>
        <v>488.8</v>
      </c>
      <c r="Q545" s="22">
        <f>IF(L545="","",N545-K545)</f>
        <v>0.0</v>
      </c>
      <c r="R545" s="24">
        <f>IF(L545="","",M545-J545)</f>
        <v>0.0</v>
      </c>
      <c r="S545" s="22">
        <f>IF(L545="",-P545,O545-P545)</f>
        <v>0.0</v>
      </c>
      <c r="T545" s="11" t="str">
        <f>IF(L545="","NO BILL IN SUPPLIED EXPORT",IF(ABS(Q545)&gt;0.001,"RATE EXCEPTION",IF(ABS(R545)&gt;0.001,"LENGTH EXCEPTION",IF(ABS(S545)&gt;0.01,"AMOUNT EXCEPTION","OK"))))</f>
        <v>OK</v>
      </c>
      <c r="U545" s="19" t="s">
        <v>3009</v>
      </c>
    </row>
    <row r="546" spans="1:21" ht="28" customHeight="1">
      <c r="A546" s="14" t="s">
        <v>3010</v>
      </c>
      <c r="B546" s="14" t="s">
        <v>191</v>
      </c>
      <c r="C546" s="14" t="s">
        <v>2515</v>
      </c>
      <c r="D546" s="14" t="s">
        <v>227</v>
      </c>
      <c r="E546" s="14" t="s">
        <v>3011</v>
      </c>
      <c r="F546" s="15" t="s">
        <v>3012</v>
      </c>
      <c r="G546" s="15" t="s">
        <v>1460</v>
      </c>
      <c r="H546" s="24">
        <v>32</v>
      </c>
      <c r="I546" s="24">
        <v>41</v>
      </c>
      <c r="J546" s="24">
        <f>MAX(H546,ROUNDUP(I546,0))</f>
        <v>41</v>
      </c>
      <c r="K546" s="22">
        <f>IF(C546="covered",10.4,7.55)</f>
        <v>10.4</v>
      </c>
      <c r="L546" s="14" t="s">
        <v>3013</v>
      </c>
      <c r="M546" s="24">
        <v>41</v>
      </c>
      <c r="N546" s="22">
        <v>10.4</v>
      </c>
      <c r="O546" s="22">
        <v>426.4</v>
      </c>
      <c r="P546" s="22">
        <f>J546*K546</f>
        <v>426.40000000000003</v>
      </c>
      <c r="Q546" s="22">
        <f>IF(L546="","",N546-K546)</f>
        <v>0.0</v>
      </c>
      <c r="R546" s="24">
        <f>IF(L546="","",M546-J546)</f>
        <v>0.0</v>
      </c>
      <c r="S546" s="22">
        <f>IF(L546="",-P546,O546-P546)</f>
        <v>-5.684341886080802e-14</v>
      </c>
      <c r="T546" s="11" t="str">
        <f>IF(L546="","NO BILL IN SUPPLIED EXPORT",IF(ABS(Q546)&gt;0.001,"RATE EXCEPTION",IF(ABS(R546)&gt;0.001,"LENGTH EXCEPTION",IF(ABS(S546)&gt;0.01,"AMOUNT EXCEPTION","OK"))))</f>
        <v>OK</v>
      </c>
      <c r="U546" s="15" t="s">
        <v>3014</v>
      </c>
    </row>
    <row r="547" spans="1:21" ht="28" customHeight="1">
      <c r="A547" s="18" t="s">
        <v>3015</v>
      </c>
      <c r="B547" s="18" t="s">
        <v>191</v>
      </c>
      <c r="C547" s="18" t="s">
        <v>2515</v>
      </c>
      <c r="D547" s="18" t="s">
        <v>227</v>
      </c>
      <c r="E547" s="18" t="s">
        <v>3016</v>
      </c>
      <c r="F547" s="19" t="s">
        <v>3017</v>
      </c>
      <c r="G547" s="19" t="s">
        <v>1289</v>
      </c>
      <c r="H547" s="24">
        <v>24</v>
      </c>
      <c r="I547" s="24">
        <v>56.6</v>
      </c>
      <c r="J547" s="24">
        <f>MAX(H547,ROUNDUP(I547,0))</f>
        <v>57</v>
      </c>
      <c r="K547" s="22">
        <f>IF(C547="covered",10.4,7.55)</f>
        <v>10.4</v>
      </c>
      <c r="L547" s="18" t="s">
        <v>3018</v>
      </c>
      <c r="M547" s="24">
        <v>57</v>
      </c>
      <c r="N547" s="22">
        <v>10.4</v>
      </c>
      <c r="O547" s="22">
        <v>592.8</v>
      </c>
      <c r="P547" s="22">
        <f>J547*K547</f>
        <v>592.8000000000001</v>
      </c>
      <c r="Q547" s="22">
        <f>IF(L547="","",N547-K547)</f>
        <v>0.0</v>
      </c>
      <c r="R547" s="24">
        <f>IF(L547="","",M547-J547)</f>
        <v>0.0</v>
      </c>
      <c r="S547" s="22">
        <f>IF(L547="",-P547,O547-P547)</f>
        <v>-1.1368683772161603e-13</v>
      </c>
      <c r="T547" s="11" t="str">
        <f>IF(L547="","NO BILL IN SUPPLIED EXPORT",IF(ABS(Q547)&gt;0.001,"RATE EXCEPTION",IF(ABS(R547)&gt;0.001,"LENGTH EXCEPTION",IF(ABS(S547)&gt;0.01,"AMOUNT EXCEPTION","OK"))))</f>
        <v>OK</v>
      </c>
      <c r="U547" s="19" t="s">
        <v>3019</v>
      </c>
    </row>
    <row r="548" spans="1:21" ht="28" customHeight="1">
      <c r="A548" s="14" t="s">
        <v>3020</v>
      </c>
      <c r="B548" s="14" t="s">
        <v>191</v>
      </c>
      <c r="C548" s="14" t="s">
        <v>2515</v>
      </c>
      <c r="D548" s="14" t="s">
        <v>227</v>
      </c>
      <c r="E548" s="14" t="s">
        <v>3021</v>
      </c>
      <c r="F548" s="15" t="s">
        <v>3022</v>
      </c>
      <c r="G548" s="15" t="s">
        <v>460</v>
      </c>
      <c r="H548" s="24">
        <v>32</v>
      </c>
      <c r="I548" s="24">
        <v>50</v>
      </c>
      <c r="J548" s="24">
        <f>MAX(H548,ROUNDUP(I548,0))</f>
        <v>50</v>
      </c>
      <c r="K548" s="22">
        <f>IF(C548="covered",10.4,7.55)</f>
        <v>10.4</v>
      </c>
      <c r="L548" s="14" t="s">
        <v>3023</v>
      </c>
      <c r="M548" s="24">
        <v>50</v>
      </c>
      <c r="N548" s="22">
        <v>10.4</v>
      </c>
      <c r="O548" s="22">
        <v>520</v>
      </c>
      <c r="P548" s="22">
        <f>J548*K548</f>
        <v>520.0</v>
      </c>
      <c r="Q548" s="22">
        <f>IF(L548="","",N548-K548)</f>
        <v>0.0</v>
      </c>
      <c r="R548" s="24">
        <f>IF(L548="","",M548-J548)</f>
        <v>0.0</v>
      </c>
      <c r="S548" s="22">
        <f>IF(L548="",-P548,O548-P548)</f>
        <v>0.0</v>
      </c>
      <c r="T548" s="11" t="str">
        <f>IF(L548="","NO BILL IN SUPPLIED EXPORT",IF(ABS(Q548)&gt;0.001,"RATE EXCEPTION",IF(ABS(R548)&gt;0.001,"LENGTH EXCEPTION",IF(ABS(S548)&gt;0.01,"AMOUNT EXCEPTION","OK"))))</f>
        <v>OK</v>
      </c>
      <c r="U548" s="15" t="s">
        <v>3024</v>
      </c>
    </row>
    <row r="549" spans="1:21" ht="28" customHeight="1">
      <c r="A549" s="18" t="s">
        <v>3025</v>
      </c>
      <c r="B549" s="18" t="s">
        <v>191</v>
      </c>
      <c r="C549" s="18" t="s">
        <v>2515</v>
      </c>
      <c r="D549" s="18" t="s">
        <v>227</v>
      </c>
      <c r="E549" s="18" t="s">
        <v>3026</v>
      </c>
      <c r="F549" s="19" t="s">
        <v>3027</v>
      </c>
      <c r="G549" s="19" t="s">
        <v>3028</v>
      </c>
      <c r="H549" s="24">
        <v>36</v>
      </c>
      <c r="I549" s="24">
        <v>58.7</v>
      </c>
      <c r="J549" s="24">
        <f>MAX(H549,ROUNDUP(I549,0))</f>
        <v>59</v>
      </c>
      <c r="K549" s="22">
        <f>IF(C549="covered",10.4,7.55)</f>
        <v>10.4</v>
      </c>
      <c r="L549" s="18" t="s">
        <v>3029</v>
      </c>
      <c r="M549" s="24">
        <v>59</v>
      </c>
      <c r="N549" s="22">
        <v>10.4</v>
      </c>
      <c r="O549" s="22">
        <v>613.6</v>
      </c>
      <c r="P549" s="22">
        <f>J549*K549</f>
        <v>613.6</v>
      </c>
      <c r="Q549" s="22">
        <f>IF(L549="","",N549-K549)</f>
        <v>0.0</v>
      </c>
      <c r="R549" s="24">
        <f>IF(L549="","",M549-J549)</f>
        <v>0.0</v>
      </c>
      <c r="S549" s="22">
        <f>IF(L549="",-P549,O549-P549)</f>
        <v>0.0</v>
      </c>
      <c r="T549" s="11" t="str">
        <f>IF(L549="","NO BILL IN SUPPLIED EXPORT",IF(ABS(Q549)&gt;0.001,"RATE EXCEPTION",IF(ABS(R549)&gt;0.001,"LENGTH EXCEPTION",IF(ABS(S549)&gt;0.01,"AMOUNT EXCEPTION","OK"))))</f>
        <v>OK</v>
      </c>
      <c r="U549" s="19" t="s">
        <v>3030</v>
      </c>
    </row>
    <row r="550" spans="1:21" ht="28" customHeight="1">
      <c r="A550" s="14" t="s">
        <v>3031</v>
      </c>
      <c r="B550" s="14" t="s">
        <v>191</v>
      </c>
      <c r="C550" s="14" t="s">
        <v>2515</v>
      </c>
      <c r="D550" s="14" t="s">
        <v>227</v>
      </c>
      <c r="E550" s="14" t="s">
        <v>3032</v>
      </c>
      <c r="F550" s="15" t="s">
        <v>3033</v>
      </c>
      <c r="G550" s="15" t="s">
        <v>1204</v>
      </c>
      <c r="H550" s="24">
        <v>40</v>
      </c>
      <c r="I550" s="24">
        <v>23.7</v>
      </c>
      <c r="J550" s="24">
        <f>MAX(H550,ROUNDUP(I550,0))</f>
        <v>40.0</v>
      </c>
      <c r="K550" s="22">
        <f>IF(C550="covered",10.4,7.55)</f>
        <v>10.4</v>
      </c>
      <c r="L550" s="14" t="s">
        <v>3034</v>
      </c>
      <c r="M550" s="24">
        <v>40</v>
      </c>
      <c r="N550" s="22">
        <v>10.4</v>
      </c>
      <c r="O550" s="22">
        <v>416</v>
      </c>
      <c r="P550" s="22">
        <f>J550*K550</f>
        <v>416.0</v>
      </c>
      <c r="Q550" s="22">
        <f>IF(L550="","",N550-K550)</f>
        <v>0.0</v>
      </c>
      <c r="R550" s="24">
        <f>IF(L550="","",M550-J550)</f>
        <v>0.0</v>
      </c>
      <c r="S550" s="22">
        <f>IF(L550="",-P550,O550-P550)</f>
        <v>0.0</v>
      </c>
      <c r="T550" s="11" t="str">
        <f>IF(L550="","NO BILL IN SUPPLIED EXPORT",IF(ABS(Q550)&gt;0.001,"RATE EXCEPTION",IF(ABS(R550)&gt;0.001,"LENGTH EXCEPTION",IF(ABS(S550)&gt;0.01,"AMOUNT EXCEPTION","OK"))))</f>
        <v>OK</v>
      </c>
      <c r="U550" s="15" t="s">
        <v>3035</v>
      </c>
    </row>
    <row r="551" spans="1:21" ht="28" customHeight="1">
      <c r="A551" s="18" t="s">
        <v>3036</v>
      </c>
      <c r="B551" s="18" t="s">
        <v>191</v>
      </c>
      <c r="C551" s="18" t="s">
        <v>2515</v>
      </c>
      <c r="D551" s="18" t="s">
        <v>227</v>
      </c>
      <c r="E551" s="18" t="s">
        <v>3037</v>
      </c>
      <c r="F551" s="19" t="s">
        <v>3038</v>
      </c>
      <c r="G551" s="19" t="s">
        <v>3028</v>
      </c>
      <c r="H551" s="24">
        <v>40</v>
      </c>
      <c r="I551" s="24">
        <v>19</v>
      </c>
      <c r="J551" s="24">
        <f>MAX(H551,ROUNDUP(I551,0))</f>
        <v>40.0</v>
      </c>
      <c r="K551" s="22">
        <f>IF(C551="covered",10.4,7.55)</f>
        <v>10.4</v>
      </c>
      <c r="L551" s="18" t="s">
        <v>3039</v>
      </c>
      <c r="M551" s="24">
        <v>40</v>
      </c>
      <c r="N551" s="22">
        <v>10.4</v>
      </c>
      <c r="O551" s="22">
        <v>416</v>
      </c>
      <c r="P551" s="22">
        <f>J551*K551</f>
        <v>416.0</v>
      </c>
      <c r="Q551" s="22">
        <f>IF(L551="","",N551-K551)</f>
        <v>0.0</v>
      </c>
      <c r="R551" s="24">
        <f>IF(L551="","",M551-J551)</f>
        <v>0.0</v>
      </c>
      <c r="S551" s="22">
        <f>IF(L551="",-P551,O551-P551)</f>
        <v>0.0</v>
      </c>
      <c r="T551" s="11" t="str">
        <f>IF(L551="","NO BILL IN SUPPLIED EXPORT",IF(ABS(Q551)&gt;0.001,"RATE EXCEPTION",IF(ABS(R551)&gt;0.001,"LENGTH EXCEPTION",IF(ABS(S551)&gt;0.01,"AMOUNT EXCEPTION","OK"))))</f>
        <v>OK</v>
      </c>
      <c r="U551" s="19" t="s">
        <v>3040</v>
      </c>
    </row>
    <row r="552" spans="1:21" ht="28" customHeight="1">
      <c r="A552" s="14" t="s">
        <v>3041</v>
      </c>
      <c r="B552" s="14" t="s">
        <v>191</v>
      </c>
      <c r="C552" s="14" t="s">
        <v>2515</v>
      </c>
      <c r="D552" s="14" t="s">
        <v>227</v>
      </c>
      <c r="E552" s="14" t="s">
        <v>3042</v>
      </c>
      <c r="F552" s="15" t="s">
        <v>3043</v>
      </c>
      <c r="G552" s="15" t="s">
        <v>3044</v>
      </c>
      <c r="H552" s="24">
        <v>24</v>
      </c>
      <c r="I552" s="24">
        <v>40.2</v>
      </c>
      <c r="J552" s="24">
        <f>MAX(H552,ROUNDUP(I552,0))</f>
        <v>41</v>
      </c>
      <c r="K552" s="22">
        <f>IF(C552="covered",10.4,7.55)</f>
        <v>10.4</v>
      </c>
      <c r="L552" s="14" t="s">
        <v>3045</v>
      </c>
      <c r="M552" s="24">
        <v>41</v>
      </c>
      <c r="N552" s="22">
        <v>10.4</v>
      </c>
      <c r="O552" s="22">
        <v>426.4</v>
      </c>
      <c r="P552" s="22">
        <f>J552*K552</f>
        <v>426.40000000000003</v>
      </c>
      <c r="Q552" s="22">
        <f>IF(L552="","",N552-K552)</f>
        <v>0.0</v>
      </c>
      <c r="R552" s="24">
        <f>IF(L552="","",M552-J552)</f>
        <v>0.0</v>
      </c>
      <c r="S552" s="22">
        <f>IF(L552="",-P552,O552-P552)</f>
        <v>-5.684341886080802e-14</v>
      </c>
      <c r="T552" s="11" t="str">
        <f>IF(L552="","NO BILL IN SUPPLIED EXPORT",IF(ABS(Q552)&gt;0.001,"RATE EXCEPTION",IF(ABS(R552)&gt;0.001,"LENGTH EXCEPTION",IF(ABS(S552)&gt;0.01,"AMOUNT EXCEPTION","OK"))))</f>
        <v>OK</v>
      </c>
      <c r="U552" s="15" t="s">
        <v>3046</v>
      </c>
    </row>
    <row r="553" spans="1:21" ht="28" customHeight="1">
      <c r="A553" s="18" t="s">
        <v>3047</v>
      </c>
      <c r="B553" s="18" t="s">
        <v>191</v>
      </c>
      <c r="C553" s="18" t="s">
        <v>2515</v>
      </c>
      <c r="D553" s="18" t="s">
        <v>227</v>
      </c>
      <c r="E553" s="18" t="s">
        <v>3048</v>
      </c>
      <c r="F553" s="19" t="s">
        <v>3049</v>
      </c>
      <c r="G553" s="19" t="s">
        <v>1856</v>
      </c>
      <c r="H553" s="24">
        <v>28</v>
      </c>
      <c r="I553" s="24">
        <v>23.3</v>
      </c>
      <c r="J553" s="24">
        <f>MAX(H553,ROUNDUP(I553,0))</f>
        <v>28.0</v>
      </c>
      <c r="K553" s="22">
        <f>IF(C553="covered",10.4,7.55)</f>
        <v>10.4</v>
      </c>
      <c r="L553" s="18" t="s">
        <v>3050</v>
      </c>
      <c r="M553" s="24">
        <v>28</v>
      </c>
      <c r="N553" s="22">
        <v>10.4</v>
      </c>
      <c r="O553" s="22">
        <v>291.2</v>
      </c>
      <c r="P553" s="22">
        <f>J553*K553</f>
        <v>291.2</v>
      </c>
      <c r="Q553" s="22">
        <f>IF(L553="","",N553-K553)</f>
        <v>0.0</v>
      </c>
      <c r="R553" s="24">
        <f>IF(L553="","",M553-J553)</f>
        <v>0.0</v>
      </c>
      <c r="S553" s="22">
        <f>IF(L553="",-P553,O553-P553)</f>
        <v>0.0</v>
      </c>
      <c r="T553" s="11" t="str">
        <f>IF(L553="","NO BILL IN SUPPLIED EXPORT",IF(ABS(Q553)&gt;0.001,"RATE EXCEPTION",IF(ABS(R553)&gt;0.001,"LENGTH EXCEPTION",IF(ABS(S553)&gt;0.01,"AMOUNT EXCEPTION","OK"))))</f>
        <v>OK</v>
      </c>
      <c r="U553" s="19" t="s">
        <v>3051</v>
      </c>
    </row>
    <row r="554" spans="1:21" ht="28" customHeight="1">
      <c r="A554" s="14" t="s">
        <v>3052</v>
      </c>
      <c r="B554" s="14" t="s">
        <v>191</v>
      </c>
      <c r="C554" s="14" t="s">
        <v>2515</v>
      </c>
      <c r="D554" s="14" t="s">
        <v>227</v>
      </c>
      <c r="E554" s="14" t="s">
        <v>3053</v>
      </c>
      <c r="F554" s="15" t="s">
        <v>3054</v>
      </c>
      <c r="G554" s="15" t="s">
        <v>3055</v>
      </c>
      <c r="H554" s="24">
        <v>40</v>
      </c>
      <c r="I554" s="24">
        <v>18.9</v>
      </c>
      <c r="J554" s="24">
        <f>MAX(H554,ROUNDUP(I554,0))</f>
        <v>40.0</v>
      </c>
      <c r="K554" s="22">
        <f>IF(C554="covered",10.4,7.55)</f>
        <v>10.4</v>
      </c>
      <c r="L554" s="14" t="s">
        <v>3056</v>
      </c>
      <c r="M554" s="24">
        <v>40</v>
      </c>
      <c r="N554" s="22">
        <v>10.4</v>
      </c>
      <c r="O554" s="22">
        <v>416</v>
      </c>
      <c r="P554" s="22">
        <f>J554*K554</f>
        <v>416.0</v>
      </c>
      <c r="Q554" s="22">
        <f>IF(L554="","",N554-K554)</f>
        <v>0.0</v>
      </c>
      <c r="R554" s="24">
        <f>IF(L554="","",M554-J554)</f>
        <v>0.0</v>
      </c>
      <c r="S554" s="22">
        <f>IF(L554="",-P554,O554-P554)</f>
        <v>0.0</v>
      </c>
      <c r="T554" s="11" t="str">
        <f>IF(L554="","NO BILL IN SUPPLIED EXPORT",IF(ABS(Q554)&gt;0.001,"RATE EXCEPTION",IF(ABS(R554)&gt;0.001,"LENGTH EXCEPTION",IF(ABS(S554)&gt;0.01,"AMOUNT EXCEPTION","OK"))))</f>
        <v>OK</v>
      </c>
      <c r="U554" s="15" t="s">
        <v>3057</v>
      </c>
    </row>
    <row r="555" spans="1:21" ht="28" customHeight="1">
      <c r="A555" s="18" t="s">
        <v>3058</v>
      </c>
      <c r="B555" s="18" t="s">
        <v>191</v>
      </c>
      <c r="C555" s="18" t="s">
        <v>2515</v>
      </c>
      <c r="D555" s="18" t="s">
        <v>227</v>
      </c>
      <c r="E555" s="18" t="s">
        <v>3059</v>
      </c>
      <c r="F555" s="19" t="s">
        <v>3060</v>
      </c>
      <c r="G555" s="19" t="s">
        <v>149</v>
      </c>
      <c r="H555" s="24">
        <v>36</v>
      </c>
      <c r="I555" s="24">
        <v>55</v>
      </c>
      <c r="J555" s="24">
        <f>MAX(H555,ROUNDUP(I555,0))</f>
        <v>55</v>
      </c>
      <c r="K555" s="22">
        <f>IF(C555="covered",10.4,7.55)</f>
        <v>10.4</v>
      </c>
      <c r="L555" s="18" t="s">
        <v>3061</v>
      </c>
      <c r="M555" s="24">
        <v>55</v>
      </c>
      <c r="N555" s="22">
        <v>10.4</v>
      </c>
      <c r="O555" s="22">
        <v>572</v>
      </c>
      <c r="P555" s="22">
        <f>J555*K555</f>
        <v>572.0</v>
      </c>
      <c r="Q555" s="22">
        <f>IF(L555="","",N555-K555)</f>
        <v>0.0</v>
      </c>
      <c r="R555" s="24">
        <f>IF(L555="","",M555-J555)</f>
        <v>0.0</v>
      </c>
      <c r="S555" s="22">
        <f>IF(L555="",-P555,O555-P555)</f>
        <v>0.0</v>
      </c>
      <c r="T555" s="11" t="str">
        <f>IF(L555="","NO BILL IN SUPPLIED EXPORT",IF(ABS(Q555)&gt;0.001,"RATE EXCEPTION",IF(ABS(R555)&gt;0.001,"LENGTH EXCEPTION",IF(ABS(S555)&gt;0.01,"AMOUNT EXCEPTION","OK"))))</f>
        <v>OK</v>
      </c>
      <c r="U555" s="19" t="s">
        <v>3062</v>
      </c>
    </row>
    <row r="556" spans="1:21" ht="28" customHeight="1">
      <c r="A556" s="14" t="s">
        <v>3063</v>
      </c>
      <c r="B556" s="14" t="s">
        <v>191</v>
      </c>
      <c r="C556" s="14" t="s">
        <v>2515</v>
      </c>
      <c r="D556" s="14" t="s">
        <v>227</v>
      </c>
      <c r="E556" s="14" t="s">
        <v>3064</v>
      </c>
      <c r="F556" s="15" t="s">
        <v>3065</v>
      </c>
      <c r="G556" s="15" t="s">
        <v>3066</v>
      </c>
      <c r="H556" s="24">
        <v>36</v>
      </c>
      <c r="I556" s="24">
        <v>34.6</v>
      </c>
      <c r="J556" s="24">
        <f>MAX(H556,ROUNDUP(I556,0))</f>
        <v>36.0</v>
      </c>
      <c r="K556" s="22">
        <f>IF(C556="covered",10.4,7.55)</f>
        <v>10.4</v>
      </c>
      <c r="L556" s="14" t="s">
        <v>3067</v>
      </c>
      <c r="M556" s="24">
        <v>36</v>
      </c>
      <c r="N556" s="22">
        <v>10.4</v>
      </c>
      <c r="O556" s="22">
        <v>374.4</v>
      </c>
      <c r="P556" s="22">
        <f>J556*K556</f>
        <v>374.40000000000003</v>
      </c>
      <c r="Q556" s="22">
        <f>IF(L556="","",N556-K556)</f>
        <v>0.0</v>
      </c>
      <c r="R556" s="24">
        <f>IF(L556="","",M556-J556)</f>
        <v>0.0</v>
      </c>
      <c r="S556" s="22">
        <f>IF(L556="",-P556,O556-P556)</f>
        <v>-5.684341886080802e-14</v>
      </c>
      <c r="T556" s="11" t="str">
        <f>IF(L556="","NO BILL IN SUPPLIED EXPORT",IF(ABS(Q556)&gt;0.001,"RATE EXCEPTION",IF(ABS(R556)&gt;0.001,"LENGTH EXCEPTION",IF(ABS(S556)&gt;0.01,"AMOUNT EXCEPTION","OK"))))</f>
        <v>OK</v>
      </c>
      <c r="U556" s="15" t="s">
        <v>3068</v>
      </c>
    </row>
    <row r="557" spans="1:21" ht="28" customHeight="1">
      <c r="A557" s="18" t="s">
        <v>3069</v>
      </c>
      <c r="B557" s="18" t="s">
        <v>191</v>
      </c>
      <c r="C557" s="18" t="s">
        <v>2515</v>
      </c>
      <c r="D557" s="18" t="s">
        <v>227</v>
      </c>
      <c r="E557" s="18" t="s">
        <v>3070</v>
      </c>
      <c r="F557" s="19" t="s">
        <v>3071</v>
      </c>
      <c r="G557" s="19" t="s">
        <v>115</v>
      </c>
      <c r="H557" s="24">
        <v>32</v>
      </c>
      <c r="I557" s="24">
        <v>36.5</v>
      </c>
      <c r="J557" s="24">
        <f>MAX(H557,ROUNDUP(I557,0))</f>
        <v>37</v>
      </c>
      <c r="K557" s="22">
        <f>IF(C557="covered",10.4,7.55)</f>
        <v>10.4</v>
      </c>
      <c r="L557" s="18" t="s">
        <v>3072</v>
      </c>
      <c r="M557" s="24">
        <v>37</v>
      </c>
      <c r="N557" s="22">
        <v>10.4</v>
      </c>
      <c r="O557" s="22">
        <v>384.8</v>
      </c>
      <c r="P557" s="22">
        <f>J557*K557</f>
        <v>384.8</v>
      </c>
      <c r="Q557" s="22">
        <f>IF(L557="","",N557-K557)</f>
        <v>0.0</v>
      </c>
      <c r="R557" s="24">
        <f>IF(L557="","",M557-J557)</f>
        <v>0.0</v>
      </c>
      <c r="S557" s="22">
        <f>IF(L557="",-P557,O557-P557)</f>
        <v>0.0</v>
      </c>
      <c r="T557" s="11" t="str">
        <f>IF(L557="","NO BILL IN SUPPLIED EXPORT",IF(ABS(Q557)&gt;0.001,"RATE EXCEPTION",IF(ABS(R557)&gt;0.001,"LENGTH EXCEPTION",IF(ABS(S557)&gt;0.01,"AMOUNT EXCEPTION","OK"))))</f>
        <v>OK</v>
      </c>
      <c r="U557" s="19" t="s">
        <v>3073</v>
      </c>
    </row>
    <row r="558" spans="1:21" ht="28" customHeight="1">
      <c r="A558" s="14" t="s">
        <v>3074</v>
      </c>
      <c r="B558" s="14" t="s">
        <v>191</v>
      </c>
      <c r="C558" s="14" t="s">
        <v>2515</v>
      </c>
      <c r="D558" s="14" t="s">
        <v>227</v>
      </c>
      <c r="E558" s="14" t="s">
        <v>3075</v>
      </c>
      <c r="F558" s="15" t="s">
        <v>3076</v>
      </c>
      <c r="G558" s="15" t="s">
        <v>778</v>
      </c>
      <c r="H558" s="24">
        <v>32</v>
      </c>
      <c r="I558" s="24">
        <v>38.5</v>
      </c>
      <c r="J558" s="24">
        <f>MAX(H558,ROUNDUP(I558,0))</f>
        <v>39</v>
      </c>
      <c r="K558" s="22">
        <f>IF(C558="covered",10.4,7.55)</f>
        <v>10.4</v>
      </c>
      <c r="L558" s="14" t="s">
        <v>3077</v>
      </c>
      <c r="M558" s="24">
        <v>39</v>
      </c>
      <c r="N558" s="22">
        <v>10.4</v>
      </c>
      <c r="O558" s="22">
        <v>405.6</v>
      </c>
      <c r="P558" s="22">
        <f>J558*K558</f>
        <v>405.6</v>
      </c>
      <c r="Q558" s="22">
        <f>IF(L558="","",N558-K558)</f>
        <v>0.0</v>
      </c>
      <c r="R558" s="24">
        <f>IF(L558="","",M558-J558)</f>
        <v>0.0</v>
      </c>
      <c r="S558" s="22">
        <f>IF(L558="",-P558,O558-P558)</f>
        <v>0.0</v>
      </c>
      <c r="T558" s="11" t="str">
        <f>IF(L558="","NO BILL IN SUPPLIED EXPORT",IF(ABS(Q558)&gt;0.001,"RATE EXCEPTION",IF(ABS(R558)&gt;0.001,"LENGTH EXCEPTION",IF(ABS(S558)&gt;0.01,"AMOUNT EXCEPTION","OK"))))</f>
        <v>OK</v>
      </c>
      <c r="U558" s="15" t="s">
        <v>3078</v>
      </c>
    </row>
    <row r="559" spans="1:21" ht="28" customHeight="1">
      <c r="A559" s="18" t="s">
        <v>3079</v>
      </c>
      <c r="B559" s="18" t="s">
        <v>191</v>
      </c>
      <c r="C559" s="18" t="s">
        <v>2515</v>
      </c>
      <c r="D559" s="18" t="s">
        <v>227</v>
      </c>
      <c r="E559" s="18" t="s">
        <v>3080</v>
      </c>
      <c r="F559" s="19" t="s">
        <v>3081</v>
      </c>
      <c r="G559" s="19" t="s">
        <v>1880</v>
      </c>
      <c r="H559" s="24">
        <v>40</v>
      </c>
      <c r="I559" s="24">
        <v>39.5</v>
      </c>
      <c r="J559" s="24">
        <f>MAX(H559,ROUNDUP(I559,0))</f>
        <v>40.0</v>
      </c>
      <c r="K559" s="22">
        <f>IF(C559="covered",10.4,7.55)</f>
        <v>10.4</v>
      </c>
      <c r="L559" s="18" t="s">
        <v>3082</v>
      </c>
      <c r="M559" s="24">
        <v>40</v>
      </c>
      <c r="N559" s="22">
        <v>10.4</v>
      </c>
      <c r="O559" s="22">
        <v>416</v>
      </c>
      <c r="P559" s="22">
        <f>J559*K559</f>
        <v>416.0</v>
      </c>
      <c r="Q559" s="22">
        <f>IF(L559="","",N559-K559)</f>
        <v>0.0</v>
      </c>
      <c r="R559" s="24">
        <f>IF(L559="","",M559-J559)</f>
        <v>0.0</v>
      </c>
      <c r="S559" s="22">
        <f>IF(L559="",-P559,O559-P559)</f>
        <v>0.0</v>
      </c>
      <c r="T559" s="11" t="str">
        <f>IF(L559="","NO BILL IN SUPPLIED EXPORT",IF(ABS(Q559)&gt;0.001,"RATE EXCEPTION",IF(ABS(R559)&gt;0.001,"LENGTH EXCEPTION",IF(ABS(S559)&gt;0.01,"AMOUNT EXCEPTION","OK"))))</f>
        <v>OK</v>
      </c>
      <c r="U559" s="19" t="s">
        <v>3083</v>
      </c>
    </row>
    <row r="560" spans="1:21" ht="28" customHeight="1">
      <c r="A560" s="14" t="s">
        <v>3084</v>
      </c>
      <c r="B560" s="14" t="s">
        <v>191</v>
      </c>
      <c r="C560" s="14" t="s">
        <v>2515</v>
      </c>
      <c r="D560" s="14" t="s">
        <v>227</v>
      </c>
      <c r="E560" s="14" t="s">
        <v>3085</v>
      </c>
      <c r="F560" s="15" t="s">
        <v>3086</v>
      </c>
      <c r="G560" s="15" t="s">
        <v>1710</v>
      </c>
      <c r="H560" s="24">
        <v>40</v>
      </c>
      <c r="I560" s="24">
        <v>60.6</v>
      </c>
      <c r="J560" s="24">
        <f>MAX(H560,ROUNDUP(I560,0))</f>
        <v>61</v>
      </c>
      <c r="K560" s="22">
        <f>IF(C560="covered",10.4,7.55)</f>
        <v>10.4</v>
      </c>
      <c r="L560" s="14" t="s">
        <v>3087</v>
      </c>
      <c r="M560" s="24">
        <v>61</v>
      </c>
      <c r="N560" s="22">
        <v>10.4</v>
      </c>
      <c r="O560" s="22">
        <v>634.4</v>
      </c>
      <c r="P560" s="22">
        <f>J560*K560</f>
        <v>634.4</v>
      </c>
      <c r="Q560" s="22">
        <f>IF(L560="","",N560-K560)</f>
        <v>0.0</v>
      </c>
      <c r="R560" s="24">
        <f>IF(L560="","",M560-J560)</f>
        <v>0.0</v>
      </c>
      <c r="S560" s="22">
        <f>IF(L560="",-P560,O560-P560)</f>
        <v>0.0</v>
      </c>
      <c r="T560" s="11" t="str">
        <f>IF(L560="","NO BILL IN SUPPLIED EXPORT",IF(ABS(Q560)&gt;0.001,"RATE EXCEPTION",IF(ABS(R560)&gt;0.001,"LENGTH EXCEPTION",IF(ABS(S560)&gt;0.01,"AMOUNT EXCEPTION","OK"))))</f>
        <v>OK</v>
      </c>
      <c r="U560" s="15" t="s">
        <v>3088</v>
      </c>
    </row>
    <row r="561" spans="1:21" ht="28" customHeight="1">
      <c r="A561" s="18" t="s">
        <v>3089</v>
      </c>
      <c r="B561" s="18" t="s">
        <v>191</v>
      </c>
      <c r="C561" s="18" t="s">
        <v>2515</v>
      </c>
      <c r="D561" s="18" t="s">
        <v>227</v>
      </c>
      <c r="E561" s="18" t="s">
        <v>3090</v>
      </c>
      <c r="F561" s="19" t="s">
        <v>3091</v>
      </c>
      <c r="G561" s="19" t="s">
        <v>3092</v>
      </c>
      <c r="H561" s="24">
        <v>24</v>
      </c>
      <c r="I561" s="24">
        <v>24.2</v>
      </c>
      <c r="J561" s="24">
        <f>MAX(H561,ROUNDUP(I561,0))</f>
        <v>25</v>
      </c>
      <c r="K561" s="22">
        <f>IF(C561="covered",10.4,7.55)</f>
        <v>10.4</v>
      </c>
      <c r="L561" s="18" t="s">
        <v>3093</v>
      </c>
      <c r="M561" s="24">
        <v>25</v>
      </c>
      <c r="N561" s="22">
        <v>10.4</v>
      </c>
      <c r="O561" s="22">
        <v>260</v>
      </c>
      <c r="P561" s="22">
        <f>J561*K561</f>
        <v>260.0</v>
      </c>
      <c r="Q561" s="22">
        <f>IF(L561="","",N561-K561)</f>
        <v>0.0</v>
      </c>
      <c r="R561" s="24">
        <f>IF(L561="","",M561-J561)</f>
        <v>0.0</v>
      </c>
      <c r="S561" s="22">
        <f>IF(L561="",-P561,O561-P561)</f>
        <v>0.0</v>
      </c>
      <c r="T561" s="11" t="str">
        <f>IF(L561="","NO BILL IN SUPPLIED EXPORT",IF(ABS(Q561)&gt;0.001,"RATE EXCEPTION",IF(ABS(R561)&gt;0.001,"LENGTH EXCEPTION",IF(ABS(S561)&gt;0.01,"AMOUNT EXCEPTION","OK"))))</f>
        <v>OK</v>
      </c>
      <c r="U561" s="19" t="s">
        <v>3094</v>
      </c>
    </row>
    <row r="562" spans="1:21" ht="28" customHeight="1">
      <c r="A562" s="14" t="s">
        <v>3095</v>
      </c>
      <c r="B562" s="14" t="s">
        <v>191</v>
      </c>
      <c r="C562" s="14" t="s">
        <v>2515</v>
      </c>
      <c r="D562" s="14" t="s">
        <v>227</v>
      </c>
      <c r="E562" s="14" t="s">
        <v>3096</v>
      </c>
      <c r="F562" s="15" t="s">
        <v>3097</v>
      </c>
      <c r="G562" s="15" t="s">
        <v>3098</v>
      </c>
      <c r="H562" s="24">
        <v>28</v>
      </c>
      <c r="I562" s="24">
        <v>24.6</v>
      </c>
      <c r="J562" s="24">
        <f>MAX(H562,ROUNDUP(I562,0))</f>
        <v>28.0</v>
      </c>
      <c r="K562" s="22">
        <f>IF(C562="covered",10.4,7.55)</f>
        <v>10.4</v>
      </c>
      <c r="L562" s="14" t="s">
        <v>3099</v>
      </c>
      <c r="M562" s="24">
        <v>28</v>
      </c>
      <c r="N562" s="22">
        <v>10.4</v>
      </c>
      <c r="O562" s="22">
        <v>291.2</v>
      </c>
      <c r="P562" s="22">
        <f>J562*K562</f>
        <v>291.2</v>
      </c>
      <c r="Q562" s="22">
        <f>IF(L562="","",N562-K562)</f>
        <v>0.0</v>
      </c>
      <c r="R562" s="24">
        <f>IF(L562="","",M562-J562)</f>
        <v>0.0</v>
      </c>
      <c r="S562" s="22">
        <f>IF(L562="",-P562,O562-P562)</f>
        <v>0.0</v>
      </c>
      <c r="T562" s="11" t="str">
        <f>IF(L562="","NO BILL IN SUPPLIED EXPORT",IF(ABS(Q562)&gt;0.001,"RATE EXCEPTION",IF(ABS(R562)&gt;0.001,"LENGTH EXCEPTION",IF(ABS(S562)&gt;0.01,"AMOUNT EXCEPTION","OK"))))</f>
        <v>OK</v>
      </c>
      <c r="U562" s="15" t="s">
        <v>3100</v>
      </c>
    </row>
    <row r="563" spans="1:21" ht="28" customHeight="1">
      <c r="A563" s="18" t="s">
        <v>3101</v>
      </c>
      <c r="B563" s="18" t="s">
        <v>191</v>
      </c>
      <c r="C563" s="18" t="s">
        <v>2515</v>
      </c>
      <c r="D563" s="18" t="s">
        <v>227</v>
      </c>
      <c r="E563" s="18" t="s">
        <v>3102</v>
      </c>
      <c r="F563" s="19" t="s">
        <v>3103</v>
      </c>
      <c r="G563" s="19" t="s">
        <v>2163</v>
      </c>
      <c r="H563" s="24">
        <v>24</v>
      </c>
      <c r="I563" s="24">
        <v>29.3</v>
      </c>
      <c r="J563" s="24">
        <f>MAX(H563,ROUNDUP(I563,0))</f>
        <v>30</v>
      </c>
      <c r="K563" s="22">
        <f>IF(C563="covered",10.4,7.55)</f>
        <v>10.4</v>
      </c>
      <c r="L563" s="18" t="s">
        <v>3104</v>
      </c>
      <c r="M563" s="24">
        <v>30</v>
      </c>
      <c r="N563" s="22">
        <v>10.4</v>
      </c>
      <c r="O563" s="22">
        <v>312</v>
      </c>
      <c r="P563" s="22">
        <f>J563*K563</f>
        <v>312.0</v>
      </c>
      <c r="Q563" s="22">
        <f>IF(L563="","",N563-K563)</f>
        <v>0.0</v>
      </c>
      <c r="R563" s="24">
        <f>IF(L563="","",M563-J563)</f>
        <v>0.0</v>
      </c>
      <c r="S563" s="22">
        <f>IF(L563="",-P563,O563-P563)</f>
        <v>0.0</v>
      </c>
      <c r="T563" s="11" t="str">
        <f>IF(L563="","NO BILL IN SUPPLIED EXPORT",IF(ABS(Q563)&gt;0.001,"RATE EXCEPTION",IF(ABS(R563)&gt;0.001,"LENGTH EXCEPTION",IF(ABS(S563)&gt;0.01,"AMOUNT EXCEPTION","OK"))))</f>
        <v>OK</v>
      </c>
      <c r="U563" s="19" t="s">
        <v>3105</v>
      </c>
    </row>
    <row r="564" spans="1:21" ht="28" customHeight="1">
      <c r="A564" s="14" t="s">
        <v>3106</v>
      </c>
      <c r="B564" s="14" t="s">
        <v>191</v>
      </c>
      <c r="C564" s="14" t="s">
        <v>2515</v>
      </c>
      <c r="D564" s="14" t="s">
        <v>227</v>
      </c>
      <c r="E564" s="14" t="s">
        <v>3107</v>
      </c>
      <c r="F564" s="15" t="s">
        <v>3108</v>
      </c>
      <c r="G564" s="15" t="s">
        <v>3109</v>
      </c>
      <c r="H564" s="24">
        <v>36</v>
      </c>
      <c r="I564" s="24">
        <v>57.7</v>
      </c>
      <c r="J564" s="24">
        <f>MAX(H564,ROUNDUP(I564,0))</f>
        <v>58</v>
      </c>
      <c r="K564" s="22">
        <f>IF(C564="covered",10.4,7.55)</f>
        <v>10.4</v>
      </c>
      <c r="L564" s="14" t="s">
        <v>3110</v>
      </c>
      <c r="M564" s="24">
        <v>58</v>
      </c>
      <c r="N564" s="22">
        <v>10.4</v>
      </c>
      <c r="O564" s="22">
        <v>603.2</v>
      </c>
      <c r="P564" s="22">
        <f>J564*K564</f>
        <v>603.2</v>
      </c>
      <c r="Q564" s="22">
        <f>IF(L564="","",N564-K564)</f>
        <v>0.0</v>
      </c>
      <c r="R564" s="24">
        <f>IF(L564="","",M564-J564)</f>
        <v>0.0</v>
      </c>
      <c r="S564" s="22">
        <f>IF(L564="",-P564,O564-P564)</f>
        <v>0.0</v>
      </c>
      <c r="T564" s="11" t="str">
        <f>IF(L564="","NO BILL IN SUPPLIED EXPORT",IF(ABS(Q564)&gt;0.001,"RATE EXCEPTION",IF(ABS(R564)&gt;0.001,"LENGTH EXCEPTION",IF(ABS(S564)&gt;0.01,"AMOUNT EXCEPTION","OK"))))</f>
        <v>OK</v>
      </c>
      <c r="U564" s="15" t="s">
        <v>3111</v>
      </c>
    </row>
    <row r="565" spans="1:21" ht="28" customHeight="1">
      <c r="A565" s="18" t="s">
        <v>3112</v>
      </c>
      <c r="B565" s="18" t="s">
        <v>191</v>
      </c>
      <c r="C565" s="18" t="s">
        <v>2515</v>
      </c>
      <c r="D565" s="18" t="s">
        <v>227</v>
      </c>
      <c r="E565" s="18" t="s">
        <v>3113</v>
      </c>
      <c r="F565" s="19" t="s">
        <v>3114</v>
      </c>
      <c r="G565" s="19" t="s">
        <v>2524</v>
      </c>
      <c r="H565" s="24">
        <v>28</v>
      </c>
      <c r="I565" s="24">
        <v>32.2</v>
      </c>
      <c r="J565" s="24">
        <f>MAX(H565,ROUNDUP(I565,0))</f>
        <v>33</v>
      </c>
      <c r="K565" s="22">
        <f>IF(C565="covered",10.4,7.55)</f>
        <v>10.4</v>
      </c>
      <c r="L565" s="18" t="s">
        <v>3115</v>
      </c>
      <c r="M565" s="24">
        <v>33</v>
      </c>
      <c r="N565" s="22">
        <v>10.4</v>
      </c>
      <c r="O565" s="22">
        <v>343.2</v>
      </c>
      <c r="P565" s="22">
        <f>J565*K565</f>
        <v>343.2</v>
      </c>
      <c r="Q565" s="22">
        <f>IF(L565="","",N565-K565)</f>
        <v>0.0</v>
      </c>
      <c r="R565" s="24">
        <f>IF(L565="","",M565-J565)</f>
        <v>0.0</v>
      </c>
      <c r="S565" s="22">
        <f>IF(L565="",-P565,O565-P565)</f>
        <v>0.0</v>
      </c>
      <c r="T565" s="11" t="str">
        <f>IF(L565="","NO BILL IN SUPPLIED EXPORT",IF(ABS(Q565)&gt;0.001,"RATE EXCEPTION",IF(ABS(R565)&gt;0.001,"LENGTH EXCEPTION",IF(ABS(S565)&gt;0.01,"AMOUNT EXCEPTION","OK"))))</f>
        <v>OK</v>
      </c>
      <c r="U565" s="19" t="s">
        <v>3116</v>
      </c>
    </row>
    <row r="566" spans="1:21" ht="28" customHeight="1">
      <c r="A566" s="14" t="s">
        <v>3117</v>
      </c>
      <c r="B566" s="14" t="s">
        <v>191</v>
      </c>
      <c r="C566" s="14" t="s">
        <v>2515</v>
      </c>
      <c r="D566" s="14" t="s">
        <v>227</v>
      </c>
      <c r="E566" s="14" t="s">
        <v>3118</v>
      </c>
      <c r="F566" s="15" t="s">
        <v>3119</v>
      </c>
      <c r="G566" s="15" t="s">
        <v>2991</v>
      </c>
      <c r="H566" s="24">
        <v>40</v>
      </c>
      <c r="I566" s="24">
        <v>51</v>
      </c>
      <c r="J566" s="24">
        <f>MAX(H566,ROUNDUP(I566,0))</f>
        <v>51</v>
      </c>
      <c r="K566" s="22">
        <f>IF(C566="covered",10.4,7.55)</f>
        <v>10.4</v>
      </c>
      <c r="L566" s="14" t="s">
        <v>3120</v>
      </c>
      <c r="M566" s="24">
        <v>51</v>
      </c>
      <c r="N566" s="22">
        <v>10.4</v>
      </c>
      <c r="O566" s="22">
        <v>530.4</v>
      </c>
      <c r="P566" s="22">
        <f>J566*K566</f>
        <v>530.4</v>
      </c>
      <c r="Q566" s="22">
        <f>IF(L566="","",N566-K566)</f>
        <v>0.0</v>
      </c>
      <c r="R566" s="24">
        <f>IF(L566="","",M566-J566)</f>
        <v>0.0</v>
      </c>
      <c r="S566" s="22">
        <f>IF(L566="",-P566,O566-P566)</f>
        <v>0.0</v>
      </c>
      <c r="T566" s="11" t="str">
        <f>IF(L566="","NO BILL IN SUPPLIED EXPORT",IF(ABS(Q566)&gt;0.001,"RATE EXCEPTION",IF(ABS(R566)&gt;0.001,"LENGTH EXCEPTION",IF(ABS(S566)&gt;0.01,"AMOUNT EXCEPTION","OK"))))</f>
        <v>OK</v>
      </c>
      <c r="U566" s="15" t="s">
        <v>3121</v>
      </c>
    </row>
    <row r="567" spans="1:21" ht="28" customHeight="1">
      <c r="A567" s="18" t="s">
        <v>3122</v>
      </c>
      <c r="B567" s="18" t="s">
        <v>191</v>
      </c>
      <c r="C567" s="18" t="s">
        <v>2515</v>
      </c>
      <c r="D567" s="18" t="s">
        <v>227</v>
      </c>
      <c r="E567" s="18" t="s">
        <v>3123</v>
      </c>
      <c r="F567" s="19" t="s">
        <v>3124</v>
      </c>
      <c r="G567" s="19" t="s">
        <v>2197</v>
      </c>
      <c r="H567" s="24">
        <v>24</v>
      </c>
      <c r="I567" s="24">
        <v>50.9</v>
      </c>
      <c r="J567" s="24">
        <f>MAX(H567,ROUNDUP(I567,0))</f>
        <v>51</v>
      </c>
      <c r="K567" s="22">
        <f>IF(C567="covered",10.4,7.55)</f>
        <v>10.4</v>
      </c>
      <c r="L567" s="18" t="s">
        <v>3125</v>
      </c>
      <c r="M567" s="24">
        <v>51</v>
      </c>
      <c r="N567" s="22">
        <v>10.4</v>
      </c>
      <c r="O567" s="22">
        <v>530.4</v>
      </c>
      <c r="P567" s="22">
        <f>J567*K567</f>
        <v>530.4</v>
      </c>
      <c r="Q567" s="22">
        <f>IF(L567="","",N567-K567)</f>
        <v>0.0</v>
      </c>
      <c r="R567" s="24">
        <f>IF(L567="","",M567-J567)</f>
        <v>0.0</v>
      </c>
      <c r="S567" s="22">
        <f>IF(L567="",-P567,O567-P567)</f>
        <v>0.0</v>
      </c>
      <c r="T567" s="11" t="str">
        <f>IF(L567="","NO BILL IN SUPPLIED EXPORT",IF(ABS(Q567)&gt;0.001,"RATE EXCEPTION",IF(ABS(R567)&gt;0.001,"LENGTH EXCEPTION",IF(ABS(S567)&gt;0.01,"AMOUNT EXCEPTION","OK"))))</f>
        <v>OK</v>
      </c>
      <c r="U567" s="19" t="s">
        <v>3126</v>
      </c>
    </row>
    <row r="568" spans="1:21" ht="28" customHeight="1">
      <c r="A568" s="14" t="s">
        <v>3127</v>
      </c>
      <c r="B568" s="14" t="s">
        <v>191</v>
      </c>
      <c r="C568" s="14" t="s">
        <v>2515</v>
      </c>
      <c r="D568" s="14" t="s">
        <v>227</v>
      </c>
      <c r="E568" s="14" t="s">
        <v>3128</v>
      </c>
      <c r="F568" s="15" t="s">
        <v>3129</v>
      </c>
      <c r="G568" s="15" t="s">
        <v>1999</v>
      </c>
      <c r="H568" s="24">
        <v>24</v>
      </c>
      <c r="I568" s="24">
        <v>61.2</v>
      </c>
      <c r="J568" s="24">
        <f>MAX(H568,ROUNDUP(I568,0))</f>
        <v>62</v>
      </c>
      <c r="K568" s="22">
        <f>IF(C568="covered",10.4,7.55)</f>
        <v>10.4</v>
      </c>
      <c r="L568" s="14" t="s">
        <v>3130</v>
      </c>
      <c r="M568" s="24">
        <v>62</v>
      </c>
      <c r="N568" s="22">
        <v>10.4</v>
      </c>
      <c r="O568" s="22">
        <v>644.8</v>
      </c>
      <c r="P568" s="22">
        <f>J568*K568</f>
        <v>644.8000000000001</v>
      </c>
      <c r="Q568" s="22">
        <f>IF(L568="","",N568-K568)</f>
        <v>0.0</v>
      </c>
      <c r="R568" s="24">
        <f>IF(L568="","",M568-J568)</f>
        <v>0.0</v>
      </c>
      <c r="S568" s="22">
        <f>IF(L568="",-P568,O568-P568)</f>
        <v>-1.1368683772161603e-13</v>
      </c>
      <c r="T568" s="11" t="str">
        <f>IF(L568="","NO BILL IN SUPPLIED EXPORT",IF(ABS(Q568)&gt;0.001,"RATE EXCEPTION",IF(ABS(R568)&gt;0.001,"LENGTH EXCEPTION",IF(ABS(S568)&gt;0.01,"AMOUNT EXCEPTION","OK"))))</f>
        <v>OK</v>
      </c>
      <c r="U568" s="15" t="s">
        <v>3131</v>
      </c>
    </row>
    <row r="569" spans="1:21" ht="28" customHeight="1">
      <c r="A569" s="18" t="s">
        <v>3132</v>
      </c>
      <c r="B569" s="18" t="s">
        <v>191</v>
      </c>
      <c r="C569" s="18" t="s">
        <v>2515</v>
      </c>
      <c r="D569" s="18" t="s">
        <v>227</v>
      </c>
      <c r="E569" s="18" t="s">
        <v>3133</v>
      </c>
      <c r="F569" s="19" t="s">
        <v>3134</v>
      </c>
      <c r="G569" s="19" t="s">
        <v>294</v>
      </c>
      <c r="H569" s="24">
        <v>40</v>
      </c>
      <c r="I569" s="24">
        <v>30.7</v>
      </c>
      <c r="J569" s="24">
        <f>MAX(H569,ROUNDUP(I569,0))</f>
        <v>40.0</v>
      </c>
      <c r="K569" s="22">
        <f>IF(C569="covered",10.4,7.55)</f>
        <v>10.4</v>
      </c>
      <c r="L569" s="18" t="s">
        <v>3135</v>
      </c>
      <c r="M569" s="24">
        <v>40</v>
      </c>
      <c r="N569" s="22">
        <v>10.4</v>
      </c>
      <c r="O569" s="22">
        <v>416</v>
      </c>
      <c r="P569" s="22">
        <f>J569*K569</f>
        <v>416.0</v>
      </c>
      <c r="Q569" s="22">
        <f>IF(L569="","",N569-K569)</f>
        <v>0.0</v>
      </c>
      <c r="R569" s="24">
        <f>IF(L569="","",M569-J569)</f>
        <v>0.0</v>
      </c>
      <c r="S569" s="22">
        <f>IF(L569="",-P569,O569-P569)</f>
        <v>0.0</v>
      </c>
      <c r="T569" s="11" t="str">
        <f>IF(L569="","NO BILL IN SUPPLIED EXPORT",IF(ABS(Q569)&gt;0.001,"RATE EXCEPTION",IF(ABS(R569)&gt;0.001,"LENGTH EXCEPTION",IF(ABS(S569)&gt;0.01,"AMOUNT EXCEPTION","OK"))))</f>
        <v>OK</v>
      </c>
      <c r="U569" s="19" t="s">
        <v>3136</v>
      </c>
    </row>
    <row r="570" spans="1:21" ht="28" customHeight="1">
      <c r="A570" s="14" t="s">
        <v>3137</v>
      </c>
      <c r="B570" s="14" t="s">
        <v>191</v>
      </c>
      <c r="C570" s="14" t="s">
        <v>2515</v>
      </c>
      <c r="D570" s="14" t="s">
        <v>227</v>
      </c>
      <c r="E570" s="14" t="s">
        <v>3138</v>
      </c>
      <c r="F570" s="15" t="s">
        <v>3139</v>
      </c>
      <c r="G570" s="15" t="s">
        <v>2793</v>
      </c>
      <c r="H570" s="24">
        <v>28</v>
      </c>
      <c r="I570" s="24">
        <v>22.6</v>
      </c>
      <c r="J570" s="24">
        <f>MAX(H570,ROUNDUP(I570,0))</f>
        <v>28.0</v>
      </c>
      <c r="K570" s="22">
        <f>IF(C570="covered",10.4,7.55)</f>
        <v>10.4</v>
      </c>
      <c r="L570" s="14" t="s">
        <v>3140</v>
      </c>
      <c r="M570" s="24">
        <v>28</v>
      </c>
      <c r="N570" s="22">
        <v>10.4</v>
      </c>
      <c r="O570" s="22">
        <v>291.2</v>
      </c>
      <c r="P570" s="22">
        <f>J570*K570</f>
        <v>291.2</v>
      </c>
      <c r="Q570" s="22">
        <f>IF(L570="","",N570-K570)</f>
        <v>0.0</v>
      </c>
      <c r="R570" s="24">
        <f>IF(L570="","",M570-J570)</f>
        <v>0.0</v>
      </c>
      <c r="S570" s="22">
        <f>IF(L570="",-P570,O570-P570)</f>
        <v>0.0</v>
      </c>
      <c r="T570" s="11" t="str">
        <f>IF(L570="","NO BILL IN SUPPLIED EXPORT",IF(ABS(Q570)&gt;0.001,"RATE EXCEPTION",IF(ABS(R570)&gt;0.001,"LENGTH EXCEPTION",IF(ABS(S570)&gt;0.01,"AMOUNT EXCEPTION","OK"))))</f>
        <v>OK</v>
      </c>
      <c r="U570" s="15" t="s">
        <v>3141</v>
      </c>
    </row>
    <row r="571" spans="1:21" ht="28" customHeight="1">
      <c r="A571" s="18" t="s">
        <v>3142</v>
      </c>
      <c r="B571" s="18" t="s">
        <v>191</v>
      </c>
      <c r="C571" s="18" t="s">
        <v>2515</v>
      </c>
      <c r="D571" s="18" t="s">
        <v>227</v>
      </c>
      <c r="E571" s="18" t="s">
        <v>3143</v>
      </c>
      <c r="F571" s="19" t="s">
        <v>3144</v>
      </c>
      <c r="G571" s="19" t="s">
        <v>1063</v>
      </c>
      <c r="H571" s="24">
        <v>24</v>
      </c>
      <c r="I571" s="24">
        <v>37.3</v>
      </c>
      <c r="J571" s="24">
        <f>MAX(H571,ROUNDUP(I571,0))</f>
        <v>38</v>
      </c>
      <c r="K571" s="22">
        <f>IF(C571="covered",10.4,7.55)</f>
        <v>10.4</v>
      </c>
      <c r="L571" s="18" t="s">
        <v>3145</v>
      </c>
      <c r="M571" s="24">
        <v>38</v>
      </c>
      <c r="N571" s="22">
        <v>10.4</v>
      </c>
      <c r="O571" s="22">
        <v>395.2</v>
      </c>
      <c r="P571" s="22">
        <f>J571*K571</f>
        <v>395.2</v>
      </c>
      <c r="Q571" s="22">
        <f>IF(L571="","",N571-K571)</f>
        <v>0.0</v>
      </c>
      <c r="R571" s="24">
        <f>IF(L571="","",M571-J571)</f>
        <v>0.0</v>
      </c>
      <c r="S571" s="22">
        <f>IF(L571="",-P571,O571-P571)</f>
        <v>0.0</v>
      </c>
      <c r="T571" s="11" t="str">
        <f>IF(L571="","NO BILL IN SUPPLIED EXPORT",IF(ABS(Q571)&gt;0.001,"RATE EXCEPTION",IF(ABS(R571)&gt;0.001,"LENGTH EXCEPTION",IF(ABS(S571)&gt;0.01,"AMOUNT EXCEPTION","OK"))))</f>
        <v>OK</v>
      </c>
      <c r="U571" s="19" t="s">
        <v>3146</v>
      </c>
    </row>
    <row r="572" spans="1:21" ht="28" customHeight="1">
      <c r="A572" s="14" t="s">
        <v>3147</v>
      </c>
      <c r="B572" s="14" t="s">
        <v>191</v>
      </c>
      <c r="C572" s="14" t="s">
        <v>2515</v>
      </c>
      <c r="D572" s="14" t="s">
        <v>227</v>
      </c>
      <c r="E572" s="14" t="s">
        <v>3148</v>
      </c>
      <c r="F572" s="15" t="s">
        <v>3149</v>
      </c>
      <c r="G572" s="15" t="s">
        <v>3150</v>
      </c>
      <c r="H572" s="24">
        <v>28</v>
      </c>
      <c r="I572" s="24">
        <v>34.5</v>
      </c>
      <c r="J572" s="24">
        <f>MAX(H572,ROUNDUP(I572,0))</f>
        <v>35</v>
      </c>
      <c r="K572" s="22">
        <f>IF(C572="covered",10.4,7.55)</f>
        <v>10.4</v>
      </c>
      <c r="L572" s="14" t="s">
        <v>3151</v>
      </c>
      <c r="M572" s="24">
        <v>35</v>
      </c>
      <c r="N572" s="22">
        <v>10.4</v>
      </c>
      <c r="O572" s="22">
        <v>364</v>
      </c>
      <c r="P572" s="22">
        <f>J572*K572</f>
        <v>364.0</v>
      </c>
      <c r="Q572" s="22">
        <f>IF(L572="","",N572-K572)</f>
        <v>0.0</v>
      </c>
      <c r="R572" s="24">
        <f>IF(L572="","",M572-J572)</f>
        <v>0.0</v>
      </c>
      <c r="S572" s="22">
        <f>IF(L572="",-P572,O572-P572)</f>
        <v>0.0</v>
      </c>
      <c r="T572" s="11" t="str">
        <f>IF(L572="","NO BILL IN SUPPLIED EXPORT",IF(ABS(Q572)&gt;0.001,"RATE EXCEPTION",IF(ABS(R572)&gt;0.001,"LENGTH EXCEPTION",IF(ABS(S572)&gt;0.01,"AMOUNT EXCEPTION","OK"))))</f>
        <v>OK</v>
      </c>
      <c r="U572" s="15" t="s">
        <v>3152</v>
      </c>
    </row>
    <row r="573" spans="1:21" ht="28" customHeight="1">
      <c r="A573" s="18" t="s">
        <v>3153</v>
      </c>
      <c r="B573" s="18" t="s">
        <v>191</v>
      </c>
      <c r="C573" s="18" t="s">
        <v>2515</v>
      </c>
      <c r="D573" s="18" t="s">
        <v>227</v>
      </c>
      <c r="E573" s="18" t="s">
        <v>3154</v>
      </c>
      <c r="F573" s="19" t="s">
        <v>3155</v>
      </c>
      <c r="G573" s="19" t="s">
        <v>2735</v>
      </c>
      <c r="H573" s="24">
        <v>24</v>
      </c>
      <c r="I573" s="24">
        <v>60.7</v>
      </c>
      <c r="J573" s="24">
        <f>MAX(H573,ROUNDUP(I573,0))</f>
        <v>61</v>
      </c>
      <c r="K573" s="22">
        <f>IF(C573="covered",10.4,7.55)</f>
        <v>10.4</v>
      </c>
      <c r="L573" s="18" t="s">
        <v>3156</v>
      </c>
      <c r="M573" s="24">
        <v>61</v>
      </c>
      <c r="N573" s="22">
        <v>10.4</v>
      </c>
      <c r="O573" s="22">
        <v>634.4</v>
      </c>
      <c r="P573" s="22">
        <f>J573*K573</f>
        <v>634.4</v>
      </c>
      <c r="Q573" s="22">
        <f>IF(L573="","",N573-K573)</f>
        <v>0.0</v>
      </c>
      <c r="R573" s="24">
        <f>IF(L573="","",M573-J573)</f>
        <v>0.0</v>
      </c>
      <c r="S573" s="22">
        <f>IF(L573="",-P573,O573-P573)</f>
        <v>0.0</v>
      </c>
      <c r="T573" s="11" t="str">
        <f>IF(L573="","NO BILL IN SUPPLIED EXPORT",IF(ABS(Q573)&gt;0.001,"RATE EXCEPTION",IF(ABS(R573)&gt;0.001,"LENGTH EXCEPTION",IF(ABS(S573)&gt;0.01,"AMOUNT EXCEPTION","OK"))))</f>
        <v>OK</v>
      </c>
      <c r="U573" s="19" t="s">
        <v>3157</v>
      </c>
    </row>
    <row r="574" spans="1:21" ht="28" customHeight="1">
      <c r="A574" s="14" t="s">
        <v>3158</v>
      </c>
      <c r="B574" s="14" t="s">
        <v>191</v>
      </c>
      <c r="C574" s="14" t="s">
        <v>2515</v>
      </c>
      <c r="D574" s="14" t="s">
        <v>227</v>
      </c>
      <c r="E574" s="14" t="s">
        <v>3159</v>
      </c>
      <c r="F574" s="15" t="s">
        <v>3160</v>
      </c>
      <c r="G574" s="15" t="s">
        <v>2311</v>
      </c>
      <c r="H574" s="24">
        <v>32</v>
      </c>
      <c r="I574" s="24">
        <v>18.6</v>
      </c>
      <c r="J574" s="24">
        <f>MAX(H574,ROUNDUP(I574,0))</f>
        <v>32.0</v>
      </c>
      <c r="K574" s="22">
        <f>IF(C574="covered",10.4,7.55)</f>
        <v>10.4</v>
      </c>
      <c r="L574" s="14" t="s">
        <v>3161</v>
      </c>
      <c r="M574" s="24">
        <v>32</v>
      </c>
      <c r="N574" s="22">
        <v>10.4</v>
      </c>
      <c r="O574" s="22">
        <v>332.8</v>
      </c>
      <c r="P574" s="22">
        <f>J574*K574</f>
        <v>332.8</v>
      </c>
      <c r="Q574" s="22">
        <f>IF(L574="","",N574-K574)</f>
        <v>0.0</v>
      </c>
      <c r="R574" s="24">
        <f>IF(L574="","",M574-J574)</f>
        <v>0.0</v>
      </c>
      <c r="S574" s="22">
        <f>IF(L574="",-P574,O574-P574)</f>
        <v>0.0</v>
      </c>
      <c r="T574" s="11" t="str">
        <f>IF(L574="","NO BILL IN SUPPLIED EXPORT",IF(ABS(Q574)&gt;0.001,"RATE EXCEPTION",IF(ABS(R574)&gt;0.001,"LENGTH EXCEPTION",IF(ABS(S574)&gt;0.01,"AMOUNT EXCEPTION","OK"))))</f>
        <v>OK</v>
      </c>
      <c r="U574" s="15" t="s">
        <v>3162</v>
      </c>
    </row>
    <row r="575" spans="1:21" ht="28" customHeight="1">
      <c r="A575" s="18" t="s">
        <v>3163</v>
      </c>
      <c r="B575" s="18" t="s">
        <v>191</v>
      </c>
      <c r="C575" s="18" t="s">
        <v>2515</v>
      </c>
      <c r="D575" s="18" t="s">
        <v>227</v>
      </c>
      <c r="E575" s="18" t="s">
        <v>3164</v>
      </c>
      <c r="F575" s="19" t="s">
        <v>3165</v>
      </c>
      <c r="G575" s="19" t="s">
        <v>1950</v>
      </c>
      <c r="H575" s="24">
        <v>24</v>
      </c>
      <c r="I575" s="24">
        <v>52.8</v>
      </c>
      <c r="J575" s="24">
        <f>MAX(H575,ROUNDUP(I575,0))</f>
        <v>53</v>
      </c>
      <c r="K575" s="22">
        <f>IF(C575="covered",10.4,7.55)</f>
        <v>10.4</v>
      </c>
      <c r="L575" s="18" t="s">
        <v>3166</v>
      </c>
      <c r="M575" s="24">
        <v>53</v>
      </c>
      <c r="N575" s="22">
        <v>10.4</v>
      </c>
      <c r="O575" s="22">
        <v>551.2</v>
      </c>
      <c r="P575" s="22">
        <f>J575*K575</f>
        <v>551.2</v>
      </c>
      <c r="Q575" s="22">
        <f>IF(L575="","",N575-K575)</f>
        <v>0.0</v>
      </c>
      <c r="R575" s="24">
        <f>IF(L575="","",M575-J575)</f>
        <v>0.0</v>
      </c>
      <c r="S575" s="22">
        <f>IF(L575="",-P575,O575-P575)</f>
        <v>0.0</v>
      </c>
      <c r="T575" s="11" t="str">
        <f>IF(L575="","NO BILL IN SUPPLIED EXPORT",IF(ABS(Q575)&gt;0.001,"RATE EXCEPTION",IF(ABS(R575)&gt;0.001,"LENGTH EXCEPTION",IF(ABS(S575)&gt;0.01,"AMOUNT EXCEPTION","OK"))))</f>
        <v>OK</v>
      </c>
      <c r="U575" s="19" t="s">
        <v>3167</v>
      </c>
    </row>
    <row r="576" spans="1:21" ht="28" customHeight="1">
      <c r="A576" s="14" t="s">
        <v>3168</v>
      </c>
      <c r="B576" s="14" t="s">
        <v>191</v>
      </c>
      <c r="C576" s="14" t="s">
        <v>2515</v>
      </c>
      <c r="D576" s="14" t="s">
        <v>227</v>
      </c>
      <c r="E576" s="14" t="s">
        <v>3169</v>
      </c>
      <c r="F576" s="15" t="s">
        <v>3170</v>
      </c>
      <c r="G576" s="15" t="s">
        <v>1156</v>
      </c>
      <c r="H576" s="24">
        <v>28</v>
      </c>
      <c r="I576" s="24">
        <v>18.7</v>
      </c>
      <c r="J576" s="24">
        <f>MAX(H576,ROUNDUP(I576,0))</f>
        <v>28.0</v>
      </c>
      <c r="K576" s="22">
        <f>IF(C576="covered",10.4,7.55)</f>
        <v>10.4</v>
      </c>
      <c r="L576" s="14" t="s">
        <v>3171</v>
      </c>
      <c r="M576" s="24">
        <v>28</v>
      </c>
      <c r="N576" s="22">
        <v>10.4</v>
      </c>
      <c r="O576" s="22">
        <v>291.2</v>
      </c>
      <c r="P576" s="22">
        <f>J576*K576</f>
        <v>291.2</v>
      </c>
      <c r="Q576" s="22">
        <f>IF(L576="","",N576-K576)</f>
        <v>0.0</v>
      </c>
      <c r="R576" s="24">
        <f>IF(L576="","",M576-J576)</f>
        <v>0.0</v>
      </c>
      <c r="S576" s="22">
        <f>IF(L576="",-P576,O576-P576)</f>
        <v>0.0</v>
      </c>
      <c r="T576" s="11" t="str">
        <f>IF(L576="","NO BILL IN SUPPLIED EXPORT",IF(ABS(Q576)&gt;0.001,"RATE EXCEPTION",IF(ABS(R576)&gt;0.001,"LENGTH EXCEPTION",IF(ABS(S576)&gt;0.01,"AMOUNT EXCEPTION","OK"))))</f>
        <v>OK</v>
      </c>
      <c r="U576" s="15" t="s">
        <v>3172</v>
      </c>
    </row>
    <row r="577" spans="1:21" ht="28" customHeight="1">
      <c r="A577" s="18" t="s">
        <v>3173</v>
      </c>
      <c r="B577" s="18" t="s">
        <v>191</v>
      </c>
      <c r="C577" s="18" t="s">
        <v>2515</v>
      </c>
      <c r="D577" s="18" t="s">
        <v>227</v>
      </c>
      <c r="E577" s="18" t="s">
        <v>3174</v>
      </c>
      <c r="F577" s="19" t="s">
        <v>3175</v>
      </c>
      <c r="G577" s="19" t="s">
        <v>359</v>
      </c>
      <c r="H577" s="24">
        <v>36</v>
      </c>
      <c r="I577" s="24">
        <v>37.5</v>
      </c>
      <c r="J577" s="24">
        <f>MAX(H577,ROUNDUP(I577,0))</f>
        <v>38</v>
      </c>
      <c r="K577" s="22">
        <f>IF(C577="covered",10.4,7.55)</f>
        <v>10.4</v>
      </c>
      <c r="L577" s="18" t="s">
        <v>3176</v>
      </c>
      <c r="M577" s="24">
        <v>38</v>
      </c>
      <c r="N577" s="22">
        <v>10.4</v>
      </c>
      <c r="O577" s="22">
        <v>395.2</v>
      </c>
      <c r="P577" s="22">
        <f>J577*K577</f>
        <v>395.2</v>
      </c>
      <c r="Q577" s="22">
        <f>IF(L577="","",N577-K577)</f>
        <v>0.0</v>
      </c>
      <c r="R577" s="24">
        <f>IF(L577="","",M577-J577)</f>
        <v>0.0</v>
      </c>
      <c r="S577" s="22">
        <f>IF(L577="",-P577,O577-P577)</f>
        <v>0.0</v>
      </c>
      <c r="T577" s="11" t="str">
        <f>IF(L577="","NO BILL IN SUPPLIED EXPORT",IF(ABS(Q577)&gt;0.001,"RATE EXCEPTION",IF(ABS(R577)&gt;0.001,"LENGTH EXCEPTION",IF(ABS(S577)&gt;0.01,"AMOUNT EXCEPTION","OK"))))</f>
        <v>OK</v>
      </c>
      <c r="U577" s="19" t="s">
        <v>3177</v>
      </c>
    </row>
    <row r="578" spans="1:21" ht="28" customHeight="1">
      <c r="A578" s="14" t="s">
        <v>3178</v>
      </c>
      <c r="B578" s="14" t="s">
        <v>191</v>
      </c>
      <c r="C578" s="14" t="s">
        <v>2515</v>
      </c>
      <c r="D578" s="14" t="s">
        <v>227</v>
      </c>
      <c r="E578" s="14" t="s">
        <v>3179</v>
      </c>
      <c r="F578" s="15" t="s">
        <v>3180</v>
      </c>
      <c r="G578" s="15" t="s">
        <v>3109</v>
      </c>
      <c r="H578" s="24">
        <v>24</v>
      </c>
      <c r="I578" s="24">
        <v>51.4</v>
      </c>
      <c r="J578" s="24">
        <f>MAX(H578,ROUNDUP(I578,0))</f>
        <v>52</v>
      </c>
      <c r="K578" s="22">
        <f>IF(C578="covered",10.4,7.55)</f>
        <v>10.4</v>
      </c>
      <c r="L578" s="14" t="s">
        <v>3181</v>
      </c>
      <c r="M578" s="24">
        <v>52</v>
      </c>
      <c r="N578" s="22">
        <v>10.4</v>
      </c>
      <c r="O578" s="22">
        <v>540.8</v>
      </c>
      <c r="P578" s="22">
        <f>J578*K578</f>
        <v>540.8000000000001</v>
      </c>
      <c r="Q578" s="22">
        <f>IF(L578="","",N578-K578)</f>
        <v>0.0</v>
      </c>
      <c r="R578" s="24">
        <f>IF(L578="","",M578-J578)</f>
        <v>0.0</v>
      </c>
      <c r="S578" s="22">
        <f>IF(L578="",-P578,O578-P578)</f>
        <v>-1.1368683772161603e-13</v>
      </c>
      <c r="T578" s="11" t="str">
        <f>IF(L578="","NO BILL IN SUPPLIED EXPORT",IF(ABS(Q578)&gt;0.001,"RATE EXCEPTION",IF(ABS(R578)&gt;0.001,"LENGTH EXCEPTION",IF(ABS(S578)&gt;0.01,"AMOUNT EXCEPTION","OK"))))</f>
        <v>OK</v>
      </c>
      <c r="U578" s="15" t="s">
        <v>3182</v>
      </c>
    </row>
    <row r="579" spans="1:21" ht="28" customHeight="1">
      <c r="A579" s="18" t="s">
        <v>3183</v>
      </c>
      <c r="B579" s="18" t="s">
        <v>191</v>
      </c>
      <c r="C579" s="18" t="s">
        <v>2515</v>
      </c>
      <c r="D579" s="18" t="s">
        <v>227</v>
      </c>
      <c r="E579" s="18" t="s">
        <v>3184</v>
      </c>
      <c r="F579" s="19" t="s">
        <v>3185</v>
      </c>
      <c r="G579" s="19" t="s">
        <v>1955</v>
      </c>
      <c r="H579" s="24">
        <v>28</v>
      </c>
      <c r="I579" s="24">
        <v>35.6</v>
      </c>
      <c r="J579" s="24">
        <f>MAX(H579,ROUNDUP(I579,0))</f>
        <v>36</v>
      </c>
      <c r="K579" s="22">
        <f>IF(C579="covered",10.4,7.55)</f>
        <v>10.4</v>
      </c>
      <c r="L579" s="18" t="s">
        <v>3186</v>
      </c>
      <c r="M579" s="24">
        <v>36</v>
      </c>
      <c r="N579" s="22">
        <v>10.4</v>
      </c>
      <c r="O579" s="22">
        <v>374.4</v>
      </c>
      <c r="P579" s="22">
        <f>J579*K579</f>
        <v>374.40000000000003</v>
      </c>
      <c r="Q579" s="22">
        <f>IF(L579="","",N579-K579)</f>
        <v>0.0</v>
      </c>
      <c r="R579" s="24">
        <f>IF(L579="","",M579-J579)</f>
        <v>0.0</v>
      </c>
      <c r="S579" s="22">
        <f>IF(L579="",-P579,O579-P579)</f>
        <v>-5.684341886080802e-14</v>
      </c>
      <c r="T579" s="11" t="str">
        <f>IF(L579="","NO BILL IN SUPPLIED EXPORT",IF(ABS(Q579)&gt;0.001,"RATE EXCEPTION",IF(ABS(R579)&gt;0.001,"LENGTH EXCEPTION",IF(ABS(S579)&gt;0.01,"AMOUNT EXCEPTION","OK"))))</f>
        <v>OK</v>
      </c>
      <c r="U579" s="19" t="s">
        <v>3187</v>
      </c>
    </row>
    <row r="580" spans="1:21" ht="28" customHeight="1">
      <c r="A580" s="14" t="s">
        <v>3188</v>
      </c>
      <c r="B580" s="14" t="s">
        <v>191</v>
      </c>
      <c r="C580" s="14" t="s">
        <v>2515</v>
      </c>
      <c r="D580" s="14" t="s">
        <v>227</v>
      </c>
      <c r="E580" s="14" t="s">
        <v>3189</v>
      </c>
      <c r="F580" s="15" t="s">
        <v>3190</v>
      </c>
      <c r="G580" s="15" t="s">
        <v>3191</v>
      </c>
      <c r="H580" s="24">
        <v>32</v>
      </c>
      <c r="I580" s="24">
        <v>30.1</v>
      </c>
      <c r="J580" s="24">
        <f>MAX(H580,ROUNDUP(I580,0))</f>
        <v>32.0</v>
      </c>
      <c r="K580" s="22">
        <f>IF(C580="covered",10.4,7.55)</f>
        <v>10.4</v>
      </c>
      <c r="L580" s="14" t="s">
        <v>3192</v>
      </c>
      <c r="M580" s="24">
        <v>32</v>
      </c>
      <c r="N580" s="22">
        <v>10.4</v>
      </c>
      <c r="O580" s="22">
        <v>332.8</v>
      </c>
      <c r="P580" s="22">
        <f>J580*K580</f>
        <v>332.8</v>
      </c>
      <c r="Q580" s="22">
        <f>IF(L580="","",N580-K580)</f>
        <v>0.0</v>
      </c>
      <c r="R580" s="24">
        <f>IF(L580="","",M580-J580)</f>
        <v>0.0</v>
      </c>
      <c r="S580" s="22">
        <f>IF(L580="",-P580,O580-P580)</f>
        <v>0.0</v>
      </c>
      <c r="T580" s="11" t="str">
        <f>IF(L580="","NO BILL IN SUPPLIED EXPORT",IF(ABS(Q580)&gt;0.001,"RATE EXCEPTION",IF(ABS(R580)&gt;0.001,"LENGTH EXCEPTION",IF(ABS(S580)&gt;0.01,"AMOUNT EXCEPTION","OK"))))</f>
        <v>OK</v>
      </c>
      <c r="U580" s="15" t="s">
        <v>3193</v>
      </c>
    </row>
    <row r="581" spans="1:21" ht="28" customHeight="1">
      <c r="A581" s="18" t="s">
        <v>3194</v>
      </c>
      <c r="B581" s="18" t="s">
        <v>191</v>
      </c>
      <c r="C581" s="18" t="s">
        <v>2515</v>
      </c>
      <c r="D581" s="18" t="s">
        <v>227</v>
      </c>
      <c r="E581" s="18" t="s">
        <v>3195</v>
      </c>
      <c r="F581" s="19" t="s">
        <v>3196</v>
      </c>
      <c r="G581" s="19" t="s">
        <v>3197</v>
      </c>
      <c r="H581" s="24">
        <v>32</v>
      </c>
      <c r="I581" s="24">
        <v>40.5</v>
      </c>
      <c r="J581" s="24">
        <f>MAX(H581,ROUNDUP(I581,0))</f>
        <v>41</v>
      </c>
      <c r="K581" s="22">
        <f>IF(C581="covered",10.4,7.55)</f>
        <v>10.4</v>
      </c>
      <c r="L581" s="18" t="s">
        <v>3198</v>
      </c>
      <c r="M581" s="24">
        <v>41</v>
      </c>
      <c r="N581" s="22">
        <v>10.4</v>
      </c>
      <c r="O581" s="22">
        <v>426.4</v>
      </c>
      <c r="P581" s="22">
        <f>J581*K581</f>
        <v>426.40000000000003</v>
      </c>
      <c r="Q581" s="22">
        <f>IF(L581="","",N581-K581)</f>
        <v>0.0</v>
      </c>
      <c r="R581" s="24">
        <f>IF(L581="","",M581-J581)</f>
        <v>0.0</v>
      </c>
      <c r="S581" s="22">
        <f>IF(L581="",-P581,O581-P581)</f>
        <v>-5.684341886080802e-14</v>
      </c>
      <c r="T581" s="11" t="str">
        <f>IF(L581="","NO BILL IN SUPPLIED EXPORT",IF(ABS(Q581)&gt;0.001,"RATE EXCEPTION",IF(ABS(R581)&gt;0.001,"LENGTH EXCEPTION",IF(ABS(S581)&gt;0.01,"AMOUNT EXCEPTION","OK"))))</f>
        <v>OK</v>
      </c>
      <c r="U581" s="19" t="s">
        <v>3199</v>
      </c>
    </row>
    <row r="582" spans="1:21" ht="28" customHeight="1">
      <c r="A582" s="14" t="s">
        <v>3200</v>
      </c>
      <c r="B582" s="14" t="s">
        <v>191</v>
      </c>
      <c r="C582" s="14" t="s">
        <v>2515</v>
      </c>
      <c r="D582" s="14" t="s">
        <v>227</v>
      </c>
      <c r="E582" s="14" t="s">
        <v>3201</v>
      </c>
      <c r="F582" s="15" t="s">
        <v>3202</v>
      </c>
      <c r="G582" s="15" t="s">
        <v>1081</v>
      </c>
      <c r="H582" s="24">
        <v>40</v>
      </c>
      <c r="I582" s="24">
        <v>22</v>
      </c>
      <c r="J582" s="24">
        <f>MAX(H582,ROUNDUP(I582,0))</f>
        <v>40.0</v>
      </c>
      <c r="K582" s="22">
        <f>IF(C582="covered",10.4,7.55)</f>
        <v>10.4</v>
      </c>
      <c r="L582" s="14" t="s">
        <v>3203</v>
      </c>
      <c r="M582" s="24">
        <v>40</v>
      </c>
      <c r="N582" s="22">
        <v>10.4</v>
      </c>
      <c r="O582" s="22">
        <v>416</v>
      </c>
      <c r="P582" s="22">
        <f>J582*K582</f>
        <v>416.0</v>
      </c>
      <c r="Q582" s="22">
        <f>IF(L582="","",N582-K582)</f>
        <v>0.0</v>
      </c>
      <c r="R582" s="24">
        <f>IF(L582="","",M582-J582)</f>
        <v>0.0</v>
      </c>
      <c r="S582" s="22">
        <f>IF(L582="",-P582,O582-P582)</f>
        <v>0.0</v>
      </c>
      <c r="T582" s="11" t="str">
        <f>IF(L582="","NO BILL IN SUPPLIED EXPORT",IF(ABS(Q582)&gt;0.001,"RATE EXCEPTION",IF(ABS(R582)&gt;0.001,"LENGTH EXCEPTION",IF(ABS(S582)&gt;0.01,"AMOUNT EXCEPTION","OK"))))</f>
        <v>OK</v>
      </c>
      <c r="U582" s="15" t="s">
        <v>3204</v>
      </c>
    </row>
    <row r="583" spans="1:21" ht="28" customHeight="1">
      <c r="A583" s="18" t="s">
        <v>3205</v>
      </c>
      <c r="B583" s="18" t="s">
        <v>191</v>
      </c>
      <c r="C583" s="18" t="s">
        <v>2515</v>
      </c>
      <c r="D583" s="18" t="s">
        <v>227</v>
      </c>
      <c r="E583" s="18" t="s">
        <v>3206</v>
      </c>
      <c r="F583" s="19" t="s">
        <v>3207</v>
      </c>
      <c r="G583" s="19" t="s">
        <v>3208</v>
      </c>
      <c r="H583" s="24">
        <v>32</v>
      </c>
      <c r="I583" s="24">
        <v>39.4</v>
      </c>
      <c r="J583" s="24">
        <f>MAX(H583,ROUNDUP(I583,0))</f>
        <v>40</v>
      </c>
      <c r="K583" s="22">
        <f>IF(C583="covered",10.4,7.55)</f>
        <v>10.4</v>
      </c>
      <c r="L583" s="18" t="s">
        <v>3209</v>
      </c>
      <c r="M583" s="24">
        <v>40</v>
      </c>
      <c r="N583" s="22">
        <v>10.4</v>
      </c>
      <c r="O583" s="22">
        <v>416</v>
      </c>
      <c r="P583" s="22">
        <f>J583*K583</f>
        <v>416.0</v>
      </c>
      <c r="Q583" s="22">
        <f>IF(L583="","",N583-K583)</f>
        <v>0.0</v>
      </c>
      <c r="R583" s="24">
        <f>IF(L583="","",M583-J583)</f>
        <v>0.0</v>
      </c>
      <c r="S583" s="22">
        <f>IF(L583="",-P583,O583-P583)</f>
        <v>0.0</v>
      </c>
      <c r="T583" s="11" t="str">
        <f>IF(L583="","NO BILL IN SUPPLIED EXPORT",IF(ABS(Q583)&gt;0.001,"RATE EXCEPTION",IF(ABS(R583)&gt;0.001,"LENGTH EXCEPTION",IF(ABS(S583)&gt;0.01,"AMOUNT EXCEPTION","OK"))))</f>
        <v>OK</v>
      </c>
      <c r="U583" s="19" t="s">
        <v>3210</v>
      </c>
    </row>
    <row r="584" spans="1:21" ht="28" customHeight="1">
      <c r="A584" s="14" t="s">
        <v>3211</v>
      </c>
      <c r="B584" s="14" t="s">
        <v>191</v>
      </c>
      <c r="C584" s="14" t="s">
        <v>2515</v>
      </c>
      <c r="D584" s="14" t="s">
        <v>227</v>
      </c>
      <c r="E584" s="14" t="s">
        <v>3212</v>
      </c>
      <c r="F584" s="15" t="s">
        <v>3213</v>
      </c>
      <c r="G584" s="15" t="s">
        <v>3214</v>
      </c>
      <c r="H584" s="24">
        <v>32</v>
      </c>
      <c r="I584" s="24">
        <v>53.9</v>
      </c>
      <c r="J584" s="24">
        <f>MAX(H584,ROUNDUP(I584,0))</f>
        <v>54</v>
      </c>
      <c r="K584" s="22">
        <f>IF(C584="covered",10.4,7.55)</f>
        <v>10.4</v>
      </c>
      <c r="L584" s="14" t="s">
        <v>3215</v>
      </c>
      <c r="M584" s="24">
        <v>54</v>
      </c>
      <c r="N584" s="22">
        <v>10.4</v>
      </c>
      <c r="O584" s="22">
        <v>561.6</v>
      </c>
      <c r="P584" s="22">
        <f>J584*K584</f>
        <v>561.6</v>
      </c>
      <c r="Q584" s="22">
        <f>IF(L584="","",N584-K584)</f>
        <v>0.0</v>
      </c>
      <c r="R584" s="24">
        <f>IF(L584="","",M584-J584)</f>
        <v>0.0</v>
      </c>
      <c r="S584" s="22">
        <f>IF(L584="",-P584,O584-P584)</f>
        <v>0.0</v>
      </c>
      <c r="T584" s="11" t="str">
        <f>IF(L584="","NO BILL IN SUPPLIED EXPORT",IF(ABS(Q584)&gt;0.001,"RATE EXCEPTION",IF(ABS(R584)&gt;0.001,"LENGTH EXCEPTION",IF(ABS(S584)&gt;0.01,"AMOUNT EXCEPTION","OK"))))</f>
        <v>OK</v>
      </c>
      <c r="U584" s="15" t="s">
        <v>3216</v>
      </c>
    </row>
    <row r="585" spans="1:21" ht="28" customHeight="1">
      <c r="A585" s="18" t="s">
        <v>3217</v>
      </c>
      <c r="B585" s="18" t="s">
        <v>191</v>
      </c>
      <c r="C585" s="18" t="s">
        <v>2515</v>
      </c>
      <c r="D585" s="18" t="s">
        <v>227</v>
      </c>
      <c r="E585" s="18" t="s">
        <v>3218</v>
      </c>
      <c r="F585" s="19" t="s">
        <v>3219</v>
      </c>
      <c r="G585" s="19" t="s">
        <v>2426</v>
      </c>
      <c r="H585" s="24">
        <v>40</v>
      </c>
      <c r="I585" s="24">
        <v>49.8</v>
      </c>
      <c r="J585" s="24">
        <f>MAX(H585,ROUNDUP(I585,0))</f>
        <v>50</v>
      </c>
      <c r="K585" s="22">
        <f>IF(C585="covered",10.4,7.55)</f>
        <v>10.4</v>
      </c>
      <c r="L585" s="18" t="s">
        <v>3220</v>
      </c>
      <c r="M585" s="24">
        <v>50</v>
      </c>
      <c r="N585" s="22">
        <v>10.4</v>
      </c>
      <c r="O585" s="22">
        <v>520</v>
      </c>
      <c r="P585" s="22">
        <f>J585*K585</f>
        <v>520.0</v>
      </c>
      <c r="Q585" s="22">
        <f>IF(L585="","",N585-K585)</f>
        <v>0.0</v>
      </c>
      <c r="R585" s="24">
        <f>IF(L585="","",M585-J585)</f>
        <v>0.0</v>
      </c>
      <c r="S585" s="22">
        <f>IF(L585="",-P585,O585-P585)</f>
        <v>0.0</v>
      </c>
      <c r="T585" s="11" t="str">
        <f>IF(L585="","NO BILL IN SUPPLIED EXPORT",IF(ABS(Q585)&gt;0.001,"RATE EXCEPTION",IF(ABS(R585)&gt;0.001,"LENGTH EXCEPTION",IF(ABS(S585)&gt;0.01,"AMOUNT EXCEPTION","OK"))))</f>
        <v>OK</v>
      </c>
      <c r="U585" s="19" t="s">
        <v>3221</v>
      </c>
    </row>
    <row r="586" spans="1:21" ht="28" customHeight="1">
      <c r="A586" s="14" t="s">
        <v>3222</v>
      </c>
      <c r="B586" s="14" t="s">
        <v>191</v>
      </c>
      <c r="C586" s="14" t="s">
        <v>2515</v>
      </c>
      <c r="D586" s="14" t="s">
        <v>227</v>
      </c>
      <c r="E586" s="14" t="s">
        <v>3223</v>
      </c>
      <c r="F586" s="15" t="s">
        <v>3224</v>
      </c>
      <c r="G586" s="15" t="s">
        <v>3225</v>
      </c>
      <c r="H586" s="24">
        <v>24</v>
      </c>
      <c r="I586" s="24">
        <v>43.4</v>
      </c>
      <c r="J586" s="24">
        <f>MAX(H586,ROUNDUP(I586,0))</f>
        <v>44</v>
      </c>
      <c r="K586" s="22">
        <f>IF(C586="covered",10.4,7.55)</f>
        <v>10.4</v>
      </c>
      <c r="L586" s="14" t="s">
        <v>3226</v>
      </c>
      <c r="M586" s="24">
        <v>44</v>
      </c>
      <c r="N586" s="22">
        <v>10.4</v>
      </c>
      <c r="O586" s="22">
        <v>457.6</v>
      </c>
      <c r="P586" s="22">
        <f>J586*K586</f>
        <v>457.6</v>
      </c>
      <c r="Q586" s="22">
        <f>IF(L586="","",N586-K586)</f>
        <v>0.0</v>
      </c>
      <c r="R586" s="24">
        <f>IF(L586="","",M586-J586)</f>
        <v>0.0</v>
      </c>
      <c r="S586" s="22">
        <f>IF(L586="",-P586,O586-P586)</f>
        <v>0.0</v>
      </c>
      <c r="T586" s="11" t="str">
        <f>IF(L586="","NO BILL IN SUPPLIED EXPORT",IF(ABS(Q586)&gt;0.001,"RATE EXCEPTION",IF(ABS(R586)&gt;0.001,"LENGTH EXCEPTION",IF(ABS(S586)&gt;0.01,"AMOUNT EXCEPTION","OK"))))</f>
        <v>OK</v>
      </c>
      <c r="U586" s="15" t="s">
        <v>3227</v>
      </c>
    </row>
    <row r="587" spans="1:21" ht="28" customHeight="1">
      <c r="A587" s="18" t="s">
        <v>3228</v>
      </c>
      <c r="B587" s="18" t="s">
        <v>191</v>
      </c>
      <c r="C587" s="18" t="s">
        <v>2515</v>
      </c>
      <c r="D587" s="18" t="s">
        <v>227</v>
      </c>
      <c r="E587" s="18" t="s">
        <v>3229</v>
      </c>
      <c r="F587" s="19" t="s">
        <v>3230</v>
      </c>
      <c r="G587" s="19" t="s">
        <v>488</v>
      </c>
      <c r="H587" s="24">
        <v>32</v>
      </c>
      <c r="I587" s="24">
        <v>51.4</v>
      </c>
      <c r="J587" s="24">
        <f>MAX(H587,ROUNDUP(I587,0))</f>
        <v>52</v>
      </c>
      <c r="K587" s="22">
        <f>IF(C587="covered",10.4,7.55)</f>
        <v>10.4</v>
      </c>
      <c r="L587" s="18" t="s">
        <v>3231</v>
      </c>
      <c r="M587" s="24">
        <v>52</v>
      </c>
      <c r="N587" s="22">
        <v>10.4</v>
      </c>
      <c r="O587" s="22">
        <v>540.8</v>
      </c>
      <c r="P587" s="22">
        <f>J587*K587</f>
        <v>540.8000000000001</v>
      </c>
      <c r="Q587" s="22">
        <f>IF(L587="","",N587-K587)</f>
        <v>0.0</v>
      </c>
      <c r="R587" s="24">
        <f>IF(L587="","",M587-J587)</f>
        <v>0.0</v>
      </c>
      <c r="S587" s="22">
        <f>IF(L587="",-P587,O587-P587)</f>
        <v>-1.1368683772161603e-13</v>
      </c>
      <c r="T587" s="11" t="str">
        <f>IF(L587="","NO BILL IN SUPPLIED EXPORT",IF(ABS(Q587)&gt;0.001,"RATE EXCEPTION",IF(ABS(R587)&gt;0.001,"LENGTH EXCEPTION",IF(ABS(S587)&gt;0.01,"AMOUNT EXCEPTION","OK"))))</f>
        <v>OK</v>
      </c>
      <c r="U587" s="19" t="s">
        <v>3232</v>
      </c>
    </row>
    <row r="588" spans="1:21" ht="28" customHeight="1">
      <c r="A588" s="14" t="s">
        <v>3233</v>
      </c>
      <c r="B588" s="14" t="s">
        <v>191</v>
      </c>
      <c r="C588" s="14" t="s">
        <v>2515</v>
      </c>
      <c r="D588" s="14" t="s">
        <v>227</v>
      </c>
      <c r="E588" s="14" t="s">
        <v>3234</v>
      </c>
      <c r="F588" s="15" t="s">
        <v>3235</v>
      </c>
      <c r="G588" s="15" t="s">
        <v>3236</v>
      </c>
      <c r="H588" s="24">
        <v>40</v>
      </c>
      <c r="I588" s="24">
        <v>58.9</v>
      </c>
      <c r="J588" s="24">
        <f>MAX(H588,ROUNDUP(I588,0))</f>
        <v>59</v>
      </c>
      <c r="K588" s="22">
        <f>IF(C588="covered",10.4,7.55)</f>
        <v>10.4</v>
      </c>
      <c r="L588" s="14" t="s">
        <v>3237</v>
      </c>
      <c r="M588" s="24">
        <v>59</v>
      </c>
      <c r="N588" s="22">
        <v>10.4</v>
      </c>
      <c r="O588" s="22">
        <v>613.6</v>
      </c>
      <c r="P588" s="22">
        <f>J588*K588</f>
        <v>613.6</v>
      </c>
      <c r="Q588" s="22">
        <f>IF(L588="","",N588-K588)</f>
        <v>0.0</v>
      </c>
      <c r="R588" s="24">
        <f>IF(L588="","",M588-J588)</f>
        <v>0.0</v>
      </c>
      <c r="S588" s="22">
        <f>IF(L588="",-P588,O588-P588)</f>
        <v>0.0</v>
      </c>
      <c r="T588" s="11" t="str">
        <f>IF(L588="","NO BILL IN SUPPLIED EXPORT",IF(ABS(Q588)&gt;0.001,"RATE EXCEPTION",IF(ABS(R588)&gt;0.001,"LENGTH EXCEPTION",IF(ABS(S588)&gt;0.01,"AMOUNT EXCEPTION","OK"))))</f>
        <v>OK</v>
      </c>
      <c r="U588" s="15" t="s">
        <v>3238</v>
      </c>
    </row>
    <row r="589" spans="1:21" ht="28" customHeight="1">
      <c r="A589" s="18" t="s">
        <v>3239</v>
      </c>
      <c r="B589" s="18" t="s">
        <v>191</v>
      </c>
      <c r="C589" s="18" t="s">
        <v>2515</v>
      </c>
      <c r="D589" s="18" t="s">
        <v>227</v>
      </c>
      <c r="E589" s="18" t="s">
        <v>3240</v>
      </c>
      <c r="F589" s="19" t="s">
        <v>3241</v>
      </c>
      <c r="G589" s="19" t="s">
        <v>3242</v>
      </c>
      <c r="H589" s="24">
        <v>28</v>
      </c>
      <c r="I589" s="24">
        <v>52.4</v>
      </c>
      <c r="J589" s="24">
        <f>MAX(H589,ROUNDUP(I589,0))</f>
        <v>53</v>
      </c>
      <c r="K589" s="22">
        <f>IF(C589="covered",10.4,7.55)</f>
        <v>10.4</v>
      </c>
      <c r="L589" s="18" t="s">
        <v>3243</v>
      </c>
      <c r="M589" s="24">
        <v>53</v>
      </c>
      <c r="N589" s="22">
        <v>10.4</v>
      </c>
      <c r="O589" s="22">
        <v>551.2</v>
      </c>
      <c r="P589" s="22">
        <f>J589*K589</f>
        <v>551.2</v>
      </c>
      <c r="Q589" s="22">
        <f>IF(L589="","",N589-K589)</f>
        <v>0.0</v>
      </c>
      <c r="R589" s="24">
        <f>IF(L589="","",M589-J589)</f>
        <v>0.0</v>
      </c>
      <c r="S589" s="22">
        <f>IF(L589="",-P589,O589-P589)</f>
        <v>0.0</v>
      </c>
      <c r="T589" s="11" t="str">
        <f>IF(L589="","NO BILL IN SUPPLIED EXPORT",IF(ABS(Q589)&gt;0.001,"RATE EXCEPTION",IF(ABS(R589)&gt;0.001,"LENGTH EXCEPTION",IF(ABS(S589)&gt;0.01,"AMOUNT EXCEPTION","OK"))))</f>
        <v>OK</v>
      </c>
      <c r="U589" s="19" t="s">
        <v>3244</v>
      </c>
    </row>
    <row r="590" spans="1:21" ht="28" customHeight="1">
      <c r="A590" s="14" t="s">
        <v>3245</v>
      </c>
      <c r="B590" s="14" t="s">
        <v>191</v>
      </c>
      <c r="C590" s="14" t="s">
        <v>2515</v>
      </c>
      <c r="D590" s="14" t="s">
        <v>227</v>
      </c>
      <c r="E590" s="14" t="s">
        <v>3246</v>
      </c>
      <c r="F590" s="15" t="s">
        <v>3247</v>
      </c>
      <c r="G590" s="15" t="s">
        <v>3248</v>
      </c>
      <c r="H590" s="24">
        <v>24</v>
      </c>
      <c r="I590" s="24">
        <v>43.6</v>
      </c>
      <c r="J590" s="24">
        <f>MAX(H590,ROUNDUP(I590,0))</f>
        <v>44</v>
      </c>
      <c r="K590" s="22">
        <f>IF(C590="covered",10.4,7.55)</f>
        <v>10.4</v>
      </c>
      <c r="L590" s="14" t="s">
        <v>3249</v>
      </c>
      <c r="M590" s="24">
        <v>44</v>
      </c>
      <c r="N590" s="22">
        <v>10.4</v>
      </c>
      <c r="O590" s="22">
        <v>457.6</v>
      </c>
      <c r="P590" s="22">
        <f>J590*K590</f>
        <v>457.6</v>
      </c>
      <c r="Q590" s="22">
        <f>IF(L590="","",N590-K590)</f>
        <v>0.0</v>
      </c>
      <c r="R590" s="24">
        <f>IF(L590="","",M590-J590)</f>
        <v>0.0</v>
      </c>
      <c r="S590" s="22">
        <f>IF(L590="",-P590,O590-P590)</f>
        <v>0.0</v>
      </c>
      <c r="T590" s="11" t="str">
        <f>IF(L590="","NO BILL IN SUPPLIED EXPORT",IF(ABS(Q590)&gt;0.001,"RATE EXCEPTION",IF(ABS(R590)&gt;0.001,"LENGTH EXCEPTION",IF(ABS(S590)&gt;0.01,"AMOUNT EXCEPTION","OK"))))</f>
        <v>OK</v>
      </c>
      <c r="U590" s="15" t="s">
        <v>3250</v>
      </c>
    </row>
    <row r="591" spans="1:21" ht="28" customHeight="1">
      <c r="A591" s="18" t="s">
        <v>3251</v>
      </c>
      <c r="B591" s="18" t="s">
        <v>191</v>
      </c>
      <c r="C591" s="18" t="s">
        <v>2515</v>
      </c>
      <c r="D591" s="18" t="s">
        <v>227</v>
      </c>
      <c r="E591" s="18" t="s">
        <v>3252</v>
      </c>
      <c r="F591" s="19" t="s">
        <v>3253</v>
      </c>
      <c r="G591" s="19" t="s">
        <v>1790</v>
      </c>
      <c r="H591" s="24">
        <v>28</v>
      </c>
      <c r="I591" s="24">
        <v>43.6</v>
      </c>
      <c r="J591" s="24">
        <f>MAX(H591,ROUNDUP(I591,0))</f>
        <v>44</v>
      </c>
      <c r="K591" s="22">
        <f>IF(C591="covered",10.4,7.55)</f>
        <v>10.4</v>
      </c>
      <c r="L591" s="18" t="s">
        <v>3254</v>
      </c>
      <c r="M591" s="24">
        <v>44</v>
      </c>
      <c r="N591" s="22">
        <v>10.4</v>
      </c>
      <c r="O591" s="22">
        <v>457.6</v>
      </c>
      <c r="P591" s="22">
        <f>J591*K591</f>
        <v>457.6</v>
      </c>
      <c r="Q591" s="22">
        <f>IF(L591="","",N591-K591)</f>
        <v>0.0</v>
      </c>
      <c r="R591" s="24">
        <f>IF(L591="","",M591-J591)</f>
        <v>0.0</v>
      </c>
      <c r="S591" s="22">
        <f>IF(L591="",-P591,O591-P591)</f>
        <v>0.0</v>
      </c>
      <c r="T591" s="11" t="str">
        <f>IF(L591="","NO BILL IN SUPPLIED EXPORT",IF(ABS(Q591)&gt;0.001,"RATE EXCEPTION",IF(ABS(R591)&gt;0.001,"LENGTH EXCEPTION",IF(ABS(S591)&gt;0.01,"AMOUNT EXCEPTION","OK"))))</f>
        <v>OK</v>
      </c>
      <c r="U591" s="19" t="s">
        <v>3255</v>
      </c>
    </row>
    <row r="592" spans="1:21" ht="28" customHeight="1">
      <c r="A592" s="14" t="s">
        <v>3256</v>
      </c>
      <c r="B592" s="14" t="s">
        <v>191</v>
      </c>
      <c r="C592" s="14" t="s">
        <v>2515</v>
      </c>
      <c r="D592" s="14" t="s">
        <v>227</v>
      </c>
      <c r="E592" s="14" t="s">
        <v>3257</v>
      </c>
      <c r="F592" s="15" t="s">
        <v>3258</v>
      </c>
      <c r="G592" s="15" t="s">
        <v>2158</v>
      </c>
      <c r="H592" s="24">
        <v>28</v>
      </c>
      <c r="I592" s="24">
        <v>45.6</v>
      </c>
      <c r="J592" s="24">
        <f>MAX(H592,ROUNDUP(I592,0))</f>
        <v>46</v>
      </c>
      <c r="K592" s="22">
        <f>IF(C592="covered",10.4,7.55)</f>
        <v>10.4</v>
      </c>
      <c r="L592" s="14" t="s">
        <v>3259</v>
      </c>
      <c r="M592" s="24">
        <v>46</v>
      </c>
      <c r="N592" s="22">
        <v>10.4</v>
      </c>
      <c r="O592" s="22">
        <v>478.4</v>
      </c>
      <c r="P592" s="22">
        <f>J592*K592</f>
        <v>478.40000000000003</v>
      </c>
      <c r="Q592" s="22">
        <f>IF(L592="","",N592-K592)</f>
        <v>0.0</v>
      </c>
      <c r="R592" s="24">
        <f>IF(L592="","",M592-J592)</f>
        <v>0.0</v>
      </c>
      <c r="S592" s="22">
        <f>IF(L592="",-P592,O592-P592)</f>
        <v>-5.684341886080802e-14</v>
      </c>
      <c r="T592" s="11" t="str">
        <f>IF(L592="","NO BILL IN SUPPLIED EXPORT",IF(ABS(Q592)&gt;0.001,"RATE EXCEPTION",IF(ABS(R592)&gt;0.001,"LENGTH EXCEPTION",IF(ABS(S592)&gt;0.01,"AMOUNT EXCEPTION","OK"))))</f>
        <v>OK</v>
      </c>
      <c r="U592" s="15" t="s">
        <v>3260</v>
      </c>
    </row>
    <row r="593" spans="1:21" ht="28" customHeight="1">
      <c r="A593" s="18" t="s">
        <v>3261</v>
      </c>
      <c r="B593" s="18" t="s">
        <v>191</v>
      </c>
      <c r="C593" s="18" t="s">
        <v>2515</v>
      </c>
      <c r="D593" s="18" t="s">
        <v>227</v>
      </c>
      <c r="E593" s="18" t="s">
        <v>3262</v>
      </c>
      <c r="F593" s="19" t="s">
        <v>3263</v>
      </c>
      <c r="G593" s="19" t="s">
        <v>1477</v>
      </c>
      <c r="H593" s="24">
        <v>32</v>
      </c>
      <c r="I593" s="24">
        <v>43.3</v>
      </c>
      <c r="J593" s="24">
        <f>MAX(H593,ROUNDUP(I593,0))</f>
        <v>44</v>
      </c>
      <c r="K593" s="22">
        <f>IF(C593="covered",10.4,7.55)</f>
        <v>10.4</v>
      </c>
      <c r="L593" s="18" t="s">
        <v>3264</v>
      </c>
      <c r="M593" s="24">
        <v>44</v>
      </c>
      <c r="N593" s="22">
        <v>10.4</v>
      </c>
      <c r="O593" s="22">
        <v>457.6</v>
      </c>
      <c r="P593" s="22">
        <f>J593*K593</f>
        <v>457.6</v>
      </c>
      <c r="Q593" s="22">
        <f>IF(L593="","",N593-K593)</f>
        <v>0.0</v>
      </c>
      <c r="R593" s="24">
        <f>IF(L593="","",M593-J593)</f>
        <v>0.0</v>
      </c>
      <c r="S593" s="22">
        <f>IF(L593="",-P593,O593-P593)</f>
        <v>0.0</v>
      </c>
      <c r="T593" s="11" t="str">
        <f>IF(L593="","NO BILL IN SUPPLIED EXPORT",IF(ABS(Q593)&gt;0.001,"RATE EXCEPTION",IF(ABS(R593)&gt;0.001,"LENGTH EXCEPTION",IF(ABS(S593)&gt;0.01,"AMOUNT EXCEPTION","OK"))))</f>
        <v>OK</v>
      </c>
      <c r="U593" s="19" t="s">
        <v>3265</v>
      </c>
    </row>
    <row r="594" spans="1:21" ht="28" customHeight="1">
      <c r="A594" s="14" t="s">
        <v>3266</v>
      </c>
      <c r="B594" s="14" t="s">
        <v>191</v>
      </c>
      <c r="C594" s="14" t="s">
        <v>2515</v>
      </c>
      <c r="D594" s="14" t="s">
        <v>227</v>
      </c>
      <c r="E594" s="14" t="s">
        <v>3267</v>
      </c>
      <c r="F594" s="15" t="s">
        <v>3268</v>
      </c>
      <c r="G594" s="15" t="s">
        <v>3269</v>
      </c>
      <c r="H594" s="24">
        <v>28</v>
      </c>
      <c r="I594" s="24">
        <v>45.7</v>
      </c>
      <c r="J594" s="24">
        <f>MAX(H594,ROUNDUP(I594,0))</f>
        <v>46</v>
      </c>
      <c r="K594" s="22">
        <f>IF(C594="covered",10.4,7.55)</f>
        <v>10.4</v>
      </c>
      <c r="L594" s="14" t="s">
        <v>3270</v>
      </c>
      <c r="M594" s="24">
        <v>46</v>
      </c>
      <c r="N594" s="22">
        <v>10.4</v>
      </c>
      <c r="O594" s="22">
        <v>478.4</v>
      </c>
      <c r="P594" s="22">
        <f>J594*K594</f>
        <v>478.40000000000003</v>
      </c>
      <c r="Q594" s="22">
        <f>IF(L594="","",N594-K594)</f>
        <v>0.0</v>
      </c>
      <c r="R594" s="24">
        <f>IF(L594="","",M594-J594)</f>
        <v>0.0</v>
      </c>
      <c r="S594" s="22">
        <f>IF(L594="",-P594,O594-P594)</f>
        <v>-5.684341886080802e-14</v>
      </c>
      <c r="T594" s="11" t="str">
        <f>IF(L594="","NO BILL IN SUPPLIED EXPORT",IF(ABS(Q594)&gt;0.001,"RATE EXCEPTION",IF(ABS(R594)&gt;0.001,"LENGTH EXCEPTION",IF(ABS(S594)&gt;0.01,"AMOUNT EXCEPTION","OK"))))</f>
        <v>OK</v>
      </c>
      <c r="U594" s="15" t="s">
        <v>3271</v>
      </c>
    </row>
    <row r="595" spans="1:21" ht="28" customHeight="1">
      <c r="A595" s="18" t="s">
        <v>3272</v>
      </c>
      <c r="B595" s="18" t="s">
        <v>191</v>
      </c>
      <c r="C595" s="18" t="s">
        <v>2515</v>
      </c>
      <c r="D595" s="18" t="s">
        <v>227</v>
      </c>
      <c r="E595" s="18" t="s">
        <v>3273</v>
      </c>
      <c r="F595" s="19" t="s">
        <v>3274</v>
      </c>
      <c r="G595" s="19" t="s">
        <v>3275</v>
      </c>
      <c r="H595" s="24">
        <v>28</v>
      </c>
      <c r="I595" s="24">
        <v>33.7</v>
      </c>
      <c r="J595" s="24">
        <f>MAX(H595,ROUNDUP(I595,0))</f>
        <v>34</v>
      </c>
      <c r="K595" s="22">
        <f>IF(C595="covered",10.4,7.55)</f>
        <v>10.4</v>
      </c>
      <c r="L595" s="18" t="s">
        <v>3276</v>
      </c>
      <c r="M595" s="24">
        <v>34</v>
      </c>
      <c r="N595" s="22">
        <v>10.4</v>
      </c>
      <c r="O595" s="22">
        <v>353.6</v>
      </c>
      <c r="P595" s="22">
        <f>J595*K595</f>
        <v>353.6</v>
      </c>
      <c r="Q595" s="22">
        <f>IF(L595="","",N595-K595)</f>
        <v>0.0</v>
      </c>
      <c r="R595" s="24">
        <f>IF(L595="","",M595-J595)</f>
        <v>0.0</v>
      </c>
      <c r="S595" s="22">
        <f>IF(L595="",-P595,O595-P595)</f>
        <v>0.0</v>
      </c>
      <c r="T595" s="11" t="str">
        <f>IF(L595="","NO BILL IN SUPPLIED EXPORT",IF(ABS(Q595)&gt;0.001,"RATE EXCEPTION",IF(ABS(R595)&gt;0.001,"LENGTH EXCEPTION",IF(ABS(S595)&gt;0.01,"AMOUNT EXCEPTION","OK"))))</f>
        <v>OK</v>
      </c>
      <c r="U595" s="19" t="s">
        <v>3277</v>
      </c>
    </row>
    <row r="596" spans="1:21" ht="28" customHeight="1">
      <c r="A596" s="14" t="s">
        <v>3278</v>
      </c>
      <c r="B596" s="14" t="s">
        <v>191</v>
      </c>
      <c r="C596" s="14" t="s">
        <v>2515</v>
      </c>
      <c r="D596" s="14" t="s">
        <v>227</v>
      </c>
      <c r="E596" s="14" t="s">
        <v>3279</v>
      </c>
      <c r="F596" s="15" t="s">
        <v>3280</v>
      </c>
      <c r="G596" s="15" t="s">
        <v>3281</v>
      </c>
      <c r="H596" s="24">
        <v>36</v>
      </c>
      <c r="I596" s="24">
        <v>43.4</v>
      </c>
      <c r="J596" s="24">
        <f>MAX(H596,ROUNDUP(I596,0))</f>
        <v>44</v>
      </c>
      <c r="K596" s="22">
        <f>IF(C596="covered",10.4,7.55)</f>
        <v>10.4</v>
      </c>
      <c r="L596" s="14" t="s">
        <v>3282</v>
      </c>
      <c r="M596" s="24">
        <v>44</v>
      </c>
      <c r="N596" s="22">
        <v>10.4</v>
      </c>
      <c r="O596" s="22">
        <v>457.6</v>
      </c>
      <c r="P596" s="22">
        <f>J596*K596</f>
        <v>457.6</v>
      </c>
      <c r="Q596" s="22">
        <f>IF(L596="","",N596-K596)</f>
        <v>0.0</v>
      </c>
      <c r="R596" s="24">
        <f>IF(L596="","",M596-J596)</f>
        <v>0.0</v>
      </c>
      <c r="S596" s="22">
        <f>IF(L596="",-P596,O596-P596)</f>
        <v>0.0</v>
      </c>
      <c r="T596" s="11" t="str">
        <f>IF(L596="","NO BILL IN SUPPLIED EXPORT",IF(ABS(Q596)&gt;0.001,"RATE EXCEPTION",IF(ABS(R596)&gt;0.001,"LENGTH EXCEPTION",IF(ABS(S596)&gt;0.01,"AMOUNT EXCEPTION","OK"))))</f>
        <v>OK</v>
      </c>
      <c r="U596" s="15" t="s">
        <v>3283</v>
      </c>
    </row>
    <row r="597" spans="1:21" ht="28" customHeight="1">
      <c r="A597" s="18" t="s">
        <v>3284</v>
      </c>
      <c r="B597" s="18" t="s">
        <v>191</v>
      </c>
      <c r="C597" s="18" t="s">
        <v>2515</v>
      </c>
      <c r="D597" s="18" t="s">
        <v>227</v>
      </c>
      <c r="E597" s="18" t="s">
        <v>3285</v>
      </c>
      <c r="F597" s="19" t="s">
        <v>3286</v>
      </c>
      <c r="G597" s="19" t="s">
        <v>3248</v>
      </c>
      <c r="H597" s="24">
        <v>36</v>
      </c>
      <c r="I597" s="24">
        <v>36.1</v>
      </c>
      <c r="J597" s="24">
        <f>MAX(H597,ROUNDUP(I597,0))</f>
        <v>37</v>
      </c>
      <c r="K597" s="22">
        <f>IF(C597="covered",10.4,7.55)</f>
        <v>10.4</v>
      </c>
      <c r="L597" s="18" t="s">
        <v>3287</v>
      </c>
      <c r="M597" s="24">
        <v>37</v>
      </c>
      <c r="N597" s="22">
        <v>10.4</v>
      </c>
      <c r="O597" s="22">
        <v>384.8</v>
      </c>
      <c r="P597" s="22">
        <f>J597*K597</f>
        <v>384.8</v>
      </c>
      <c r="Q597" s="22">
        <f>IF(L597="","",N597-K597)</f>
        <v>0.0</v>
      </c>
      <c r="R597" s="24">
        <f>IF(L597="","",M597-J597)</f>
        <v>0.0</v>
      </c>
      <c r="S597" s="22">
        <f>IF(L597="",-P597,O597-P597)</f>
        <v>0.0</v>
      </c>
      <c r="T597" s="11" t="str">
        <f>IF(L597="","NO BILL IN SUPPLIED EXPORT",IF(ABS(Q597)&gt;0.001,"RATE EXCEPTION",IF(ABS(R597)&gt;0.001,"LENGTH EXCEPTION",IF(ABS(S597)&gt;0.01,"AMOUNT EXCEPTION","OK"))))</f>
        <v>OK</v>
      </c>
      <c r="U597" s="19" t="s">
        <v>3288</v>
      </c>
    </row>
    <row r="598" spans="1:21" ht="28" customHeight="1">
      <c r="A598" s="14" t="s">
        <v>3289</v>
      </c>
      <c r="B598" s="14" t="s">
        <v>191</v>
      </c>
      <c r="C598" s="14" t="s">
        <v>2515</v>
      </c>
      <c r="D598" s="14" t="s">
        <v>227</v>
      </c>
      <c r="E598" s="14" t="s">
        <v>3290</v>
      </c>
      <c r="F598" s="15" t="s">
        <v>3291</v>
      </c>
      <c r="G598" s="15" t="s">
        <v>907</v>
      </c>
      <c r="H598" s="24">
        <v>40</v>
      </c>
      <c r="I598" s="24">
        <v>39.1</v>
      </c>
      <c r="J598" s="24">
        <f>MAX(H598,ROUNDUP(I598,0))</f>
        <v>40.0</v>
      </c>
      <c r="K598" s="22">
        <f>IF(C598="covered",10.4,7.55)</f>
        <v>10.4</v>
      </c>
      <c r="L598" s="14" t="s">
        <v>3292</v>
      </c>
      <c r="M598" s="24">
        <v>40</v>
      </c>
      <c r="N598" s="22">
        <v>10.4</v>
      </c>
      <c r="O598" s="22">
        <v>416</v>
      </c>
      <c r="P598" s="22">
        <f>J598*K598</f>
        <v>416.0</v>
      </c>
      <c r="Q598" s="22">
        <f>IF(L598="","",N598-K598)</f>
        <v>0.0</v>
      </c>
      <c r="R598" s="24">
        <f>IF(L598="","",M598-J598)</f>
        <v>0.0</v>
      </c>
      <c r="S598" s="22">
        <f>IF(L598="",-P598,O598-P598)</f>
        <v>0.0</v>
      </c>
      <c r="T598" s="11" t="str">
        <f>IF(L598="","NO BILL IN SUPPLIED EXPORT",IF(ABS(Q598)&gt;0.001,"RATE EXCEPTION",IF(ABS(R598)&gt;0.001,"LENGTH EXCEPTION",IF(ABS(S598)&gt;0.01,"AMOUNT EXCEPTION","OK"))))</f>
        <v>OK</v>
      </c>
      <c r="U598" s="15" t="s">
        <v>3293</v>
      </c>
    </row>
    <row r="599" spans="1:21" ht="28" customHeight="1">
      <c r="A599" s="18" t="s">
        <v>3294</v>
      </c>
      <c r="B599" s="18" t="s">
        <v>191</v>
      </c>
      <c r="C599" s="18" t="s">
        <v>2515</v>
      </c>
      <c r="D599" s="18" t="s">
        <v>227</v>
      </c>
      <c r="E599" s="18" t="s">
        <v>3295</v>
      </c>
      <c r="F599" s="19" t="s">
        <v>3296</v>
      </c>
      <c r="G599" s="19" t="s">
        <v>3297</v>
      </c>
      <c r="H599" s="24">
        <v>24</v>
      </c>
      <c r="I599" s="24">
        <v>31.9</v>
      </c>
      <c r="J599" s="24">
        <f>MAX(H599,ROUNDUP(I599,0))</f>
        <v>32</v>
      </c>
      <c r="K599" s="22">
        <f>IF(C599="covered",10.4,7.55)</f>
        <v>10.4</v>
      </c>
      <c r="L599" s="18" t="s">
        <v>3298</v>
      </c>
      <c r="M599" s="24">
        <v>32</v>
      </c>
      <c r="N599" s="22">
        <v>10.4</v>
      </c>
      <c r="O599" s="22">
        <v>332.8</v>
      </c>
      <c r="P599" s="22">
        <f>J599*K599</f>
        <v>332.8</v>
      </c>
      <c r="Q599" s="22">
        <f>IF(L599="","",N599-K599)</f>
        <v>0.0</v>
      </c>
      <c r="R599" s="24">
        <f>IF(L599="","",M599-J599)</f>
        <v>0.0</v>
      </c>
      <c r="S599" s="22">
        <f>IF(L599="",-P599,O599-P599)</f>
        <v>0.0</v>
      </c>
      <c r="T599" s="11" t="str">
        <f>IF(L599="","NO BILL IN SUPPLIED EXPORT",IF(ABS(Q599)&gt;0.001,"RATE EXCEPTION",IF(ABS(R599)&gt;0.001,"LENGTH EXCEPTION",IF(ABS(S599)&gt;0.01,"AMOUNT EXCEPTION","OK"))))</f>
        <v>OK</v>
      </c>
      <c r="U599" s="19" t="s">
        <v>3299</v>
      </c>
    </row>
    <row r="600" spans="1:21" ht="28" customHeight="1">
      <c r="A600" s="14" t="s">
        <v>3300</v>
      </c>
      <c r="B600" s="14" t="s">
        <v>191</v>
      </c>
      <c r="C600" s="14" t="s">
        <v>2515</v>
      </c>
      <c r="D600" s="14" t="s">
        <v>227</v>
      </c>
      <c r="E600" s="14" t="s">
        <v>3301</v>
      </c>
      <c r="F600" s="15" t="s">
        <v>3302</v>
      </c>
      <c r="G600" s="15" t="s">
        <v>3303</v>
      </c>
      <c r="H600" s="24">
        <v>32</v>
      </c>
      <c r="I600" s="24">
        <v>55.9</v>
      </c>
      <c r="J600" s="24">
        <f>MAX(H600,ROUNDUP(I600,0))</f>
        <v>56</v>
      </c>
      <c r="K600" s="22">
        <f>IF(C600="covered",10.4,7.55)</f>
        <v>10.4</v>
      </c>
      <c r="L600" s="14" t="s">
        <v>3304</v>
      </c>
      <c r="M600" s="24">
        <v>56</v>
      </c>
      <c r="N600" s="22">
        <v>10.4</v>
      </c>
      <c r="O600" s="22">
        <v>582.4</v>
      </c>
      <c r="P600" s="22">
        <f>J600*K600</f>
        <v>582.4</v>
      </c>
      <c r="Q600" s="22">
        <f>IF(L600="","",N600-K600)</f>
        <v>0.0</v>
      </c>
      <c r="R600" s="24">
        <f>IF(L600="","",M600-J600)</f>
        <v>0.0</v>
      </c>
      <c r="S600" s="22">
        <f>IF(L600="",-P600,O600-P600)</f>
        <v>0.0</v>
      </c>
      <c r="T600" s="11" t="str">
        <f>IF(L600="","NO BILL IN SUPPLIED EXPORT",IF(ABS(Q600)&gt;0.001,"RATE EXCEPTION",IF(ABS(R600)&gt;0.001,"LENGTH EXCEPTION",IF(ABS(S600)&gt;0.01,"AMOUNT EXCEPTION","OK"))))</f>
        <v>OK</v>
      </c>
      <c r="U600" s="15" t="s">
        <v>3305</v>
      </c>
    </row>
    <row r="601" spans="1:21" ht="28" customHeight="1">
      <c r="A601" s="18" t="s">
        <v>3306</v>
      </c>
      <c r="B601" s="18" t="s">
        <v>191</v>
      </c>
      <c r="C601" s="18" t="s">
        <v>2515</v>
      </c>
      <c r="D601" s="18" t="s">
        <v>227</v>
      </c>
      <c r="E601" s="18" t="s">
        <v>3307</v>
      </c>
      <c r="F601" s="19" t="s">
        <v>3308</v>
      </c>
      <c r="G601" s="19" t="s">
        <v>3309</v>
      </c>
      <c r="H601" s="24">
        <v>24</v>
      </c>
      <c r="I601" s="24">
        <v>40.5</v>
      </c>
      <c r="J601" s="24">
        <f>MAX(H601,ROUNDUP(I601,0))</f>
        <v>41</v>
      </c>
      <c r="K601" s="22">
        <f>IF(C601="covered",10.4,7.55)</f>
        <v>10.4</v>
      </c>
      <c r="L601" s="18" t="s">
        <v>3310</v>
      </c>
      <c r="M601" s="24">
        <v>41</v>
      </c>
      <c r="N601" s="22">
        <v>10.4</v>
      </c>
      <c r="O601" s="22">
        <v>426.4</v>
      </c>
      <c r="P601" s="22">
        <f>J601*K601</f>
        <v>426.40000000000003</v>
      </c>
      <c r="Q601" s="22">
        <f>IF(L601="","",N601-K601)</f>
        <v>0.0</v>
      </c>
      <c r="R601" s="24">
        <f>IF(L601="","",M601-J601)</f>
        <v>0.0</v>
      </c>
      <c r="S601" s="22">
        <f>IF(L601="",-P601,O601-P601)</f>
        <v>-5.684341886080802e-14</v>
      </c>
      <c r="T601" s="11" t="str">
        <f>IF(L601="","NO BILL IN SUPPLIED EXPORT",IF(ABS(Q601)&gt;0.001,"RATE EXCEPTION",IF(ABS(R601)&gt;0.001,"LENGTH EXCEPTION",IF(ABS(S601)&gt;0.01,"AMOUNT EXCEPTION","OK"))))</f>
        <v>OK</v>
      </c>
      <c r="U601" s="19" t="s">
        <v>3311</v>
      </c>
    </row>
    <row r="602" spans="1:21" ht="28" customHeight="1">
      <c r="A602" s="14" t="s">
        <v>3312</v>
      </c>
      <c r="B602" s="14" t="s">
        <v>191</v>
      </c>
      <c r="C602" s="14" t="s">
        <v>2515</v>
      </c>
      <c r="D602" s="14" t="s">
        <v>227</v>
      </c>
      <c r="E602" s="14" t="s">
        <v>3313</v>
      </c>
      <c r="F602" s="15" t="s">
        <v>3314</v>
      </c>
      <c r="G602" s="15" t="s">
        <v>3315</v>
      </c>
      <c r="H602" s="24">
        <v>24</v>
      </c>
      <c r="I602" s="24">
        <v>55.2</v>
      </c>
      <c r="J602" s="24">
        <f>MAX(H602,ROUNDUP(I602,0))</f>
        <v>56</v>
      </c>
      <c r="K602" s="22">
        <f>IF(C602="covered",10.4,7.55)</f>
        <v>10.4</v>
      </c>
      <c r="L602" s="14" t="s">
        <v>3316</v>
      </c>
      <c r="M602" s="24">
        <v>56</v>
      </c>
      <c r="N602" s="22">
        <v>10.4</v>
      </c>
      <c r="O602" s="22">
        <v>582.4</v>
      </c>
      <c r="P602" s="22">
        <f>J602*K602</f>
        <v>582.4</v>
      </c>
      <c r="Q602" s="22">
        <f>IF(L602="","",N602-K602)</f>
        <v>0.0</v>
      </c>
      <c r="R602" s="24">
        <f>IF(L602="","",M602-J602)</f>
        <v>0.0</v>
      </c>
      <c r="S602" s="22">
        <f>IF(L602="",-P602,O602-P602)</f>
        <v>0.0</v>
      </c>
      <c r="T602" s="11" t="str">
        <f>IF(L602="","NO BILL IN SUPPLIED EXPORT",IF(ABS(Q602)&gt;0.001,"RATE EXCEPTION",IF(ABS(R602)&gt;0.001,"LENGTH EXCEPTION",IF(ABS(S602)&gt;0.01,"AMOUNT EXCEPTION","OK"))))</f>
        <v>OK</v>
      </c>
      <c r="U602" s="15" t="s">
        <v>3317</v>
      </c>
    </row>
    <row r="603" spans="1:21" ht="28" customHeight="1">
      <c r="A603" s="18" t="s">
        <v>3318</v>
      </c>
      <c r="B603" s="18" t="s">
        <v>191</v>
      </c>
      <c r="C603" s="18" t="s">
        <v>2515</v>
      </c>
      <c r="D603" s="18" t="s">
        <v>227</v>
      </c>
      <c r="E603" s="18" t="s">
        <v>3319</v>
      </c>
      <c r="F603" s="19" t="s">
        <v>3320</v>
      </c>
      <c r="G603" s="19" t="s">
        <v>3309</v>
      </c>
      <c r="H603" s="24">
        <v>32</v>
      </c>
      <c r="I603" s="24">
        <v>25.4</v>
      </c>
      <c r="J603" s="24">
        <f>MAX(H603,ROUNDUP(I603,0))</f>
        <v>32.0</v>
      </c>
      <c r="K603" s="22">
        <f>IF(C603="covered",10.4,7.55)</f>
        <v>10.4</v>
      </c>
      <c r="L603" s="18" t="s">
        <v>3321</v>
      </c>
      <c r="M603" s="24">
        <v>32</v>
      </c>
      <c r="N603" s="22">
        <v>10.4</v>
      </c>
      <c r="O603" s="22">
        <v>332.8</v>
      </c>
      <c r="P603" s="22">
        <f>J603*K603</f>
        <v>332.8</v>
      </c>
      <c r="Q603" s="22">
        <f>IF(L603="","",N603-K603)</f>
        <v>0.0</v>
      </c>
      <c r="R603" s="24">
        <f>IF(L603="","",M603-J603)</f>
        <v>0.0</v>
      </c>
      <c r="S603" s="22">
        <f>IF(L603="",-P603,O603-P603)</f>
        <v>0.0</v>
      </c>
      <c r="T603" s="11" t="str">
        <f>IF(L603="","NO BILL IN SUPPLIED EXPORT",IF(ABS(Q603)&gt;0.001,"RATE EXCEPTION",IF(ABS(R603)&gt;0.001,"LENGTH EXCEPTION",IF(ABS(S603)&gt;0.01,"AMOUNT EXCEPTION","OK"))))</f>
        <v>OK</v>
      </c>
      <c r="U603" s="19" t="s">
        <v>3322</v>
      </c>
    </row>
    <row r="604" spans="1:21" ht="28" customHeight="1">
      <c r="A604" s="14" t="s">
        <v>3323</v>
      </c>
      <c r="B604" s="14" t="s">
        <v>191</v>
      </c>
      <c r="C604" s="14" t="s">
        <v>2515</v>
      </c>
      <c r="D604" s="14" t="s">
        <v>227</v>
      </c>
      <c r="E604" s="14" t="s">
        <v>3324</v>
      </c>
      <c r="F604" s="15" t="s">
        <v>3325</v>
      </c>
      <c r="G604" s="15" t="s">
        <v>907</v>
      </c>
      <c r="H604" s="24">
        <v>32</v>
      </c>
      <c r="I604" s="24">
        <v>32.7</v>
      </c>
      <c r="J604" s="24">
        <f>MAX(H604,ROUNDUP(I604,0))</f>
        <v>33</v>
      </c>
      <c r="K604" s="22">
        <f>IF(C604="covered",10.4,7.55)</f>
        <v>10.4</v>
      </c>
      <c r="L604" s="14" t="s">
        <v>3326</v>
      </c>
      <c r="M604" s="24">
        <v>33</v>
      </c>
      <c r="N604" s="22">
        <v>10.4</v>
      </c>
      <c r="O604" s="22">
        <v>343.2</v>
      </c>
      <c r="P604" s="22">
        <f>J604*K604</f>
        <v>343.2</v>
      </c>
      <c r="Q604" s="22">
        <f>IF(L604="","",N604-K604)</f>
        <v>0.0</v>
      </c>
      <c r="R604" s="24">
        <f>IF(L604="","",M604-J604)</f>
        <v>0.0</v>
      </c>
      <c r="S604" s="22">
        <f>IF(L604="",-P604,O604-P604)</f>
        <v>0.0</v>
      </c>
      <c r="T604" s="11" t="str">
        <f>IF(L604="","NO BILL IN SUPPLIED EXPORT",IF(ABS(Q604)&gt;0.001,"RATE EXCEPTION",IF(ABS(R604)&gt;0.001,"LENGTH EXCEPTION",IF(ABS(S604)&gt;0.01,"AMOUNT EXCEPTION","OK"))))</f>
        <v>OK</v>
      </c>
      <c r="U604" s="15" t="s">
        <v>3327</v>
      </c>
    </row>
    <row r="605" spans="1:21" ht="28" customHeight="1">
      <c r="A605" s="18" t="s">
        <v>3328</v>
      </c>
      <c r="B605" s="18" t="s">
        <v>191</v>
      </c>
      <c r="C605" s="18" t="s">
        <v>2515</v>
      </c>
      <c r="D605" s="18" t="s">
        <v>227</v>
      </c>
      <c r="E605" s="18" t="s">
        <v>3329</v>
      </c>
      <c r="F605" s="19" t="s">
        <v>3330</v>
      </c>
      <c r="G605" s="19" t="s">
        <v>2653</v>
      </c>
      <c r="H605" s="24">
        <v>32</v>
      </c>
      <c r="I605" s="24">
        <v>53.5</v>
      </c>
      <c r="J605" s="24">
        <f>MAX(H605,ROUNDUP(I605,0))</f>
        <v>54</v>
      </c>
      <c r="K605" s="22">
        <f>IF(C605="covered",10.4,7.55)</f>
        <v>10.4</v>
      </c>
      <c r="L605" s="18" t="s">
        <v>3331</v>
      </c>
      <c r="M605" s="24">
        <v>54</v>
      </c>
      <c r="N605" s="22">
        <v>10.4</v>
      </c>
      <c r="O605" s="22">
        <v>561.6</v>
      </c>
      <c r="P605" s="22">
        <f>J605*K605</f>
        <v>561.6</v>
      </c>
      <c r="Q605" s="22">
        <f>IF(L605="","",N605-K605)</f>
        <v>0.0</v>
      </c>
      <c r="R605" s="24">
        <f>IF(L605="","",M605-J605)</f>
        <v>0.0</v>
      </c>
      <c r="S605" s="22">
        <f>IF(L605="",-P605,O605-P605)</f>
        <v>0.0</v>
      </c>
      <c r="T605" s="11" t="str">
        <f>IF(L605="","NO BILL IN SUPPLIED EXPORT",IF(ABS(Q605)&gt;0.001,"RATE EXCEPTION",IF(ABS(R605)&gt;0.001,"LENGTH EXCEPTION",IF(ABS(S605)&gt;0.01,"AMOUNT EXCEPTION","OK"))))</f>
        <v>OK</v>
      </c>
      <c r="U605" s="19" t="s">
        <v>3332</v>
      </c>
    </row>
    <row r="606" spans="1:21" ht="28" customHeight="1">
      <c r="A606" s="14" t="s">
        <v>3333</v>
      </c>
      <c r="B606" s="14" t="s">
        <v>191</v>
      </c>
      <c r="C606" s="14" t="s">
        <v>2515</v>
      </c>
      <c r="D606" s="14" t="s">
        <v>227</v>
      </c>
      <c r="E606" s="14" t="s">
        <v>3334</v>
      </c>
      <c r="F606" s="15" t="s">
        <v>3335</v>
      </c>
      <c r="G606" s="15" t="s">
        <v>3055</v>
      </c>
      <c r="H606" s="24">
        <v>24</v>
      </c>
      <c r="I606" s="24">
        <v>59.7</v>
      </c>
      <c r="J606" s="24">
        <f>MAX(H606,ROUNDUP(I606,0))</f>
        <v>60</v>
      </c>
      <c r="K606" s="22">
        <f>IF(C606="covered",10.4,7.55)</f>
        <v>10.4</v>
      </c>
      <c r="L606" s="14" t="s">
        <v>3336</v>
      </c>
      <c r="M606" s="24">
        <v>60</v>
      </c>
      <c r="N606" s="22">
        <v>10.4</v>
      </c>
      <c r="O606" s="22">
        <v>624</v>
      </c>
      <c r="P606" s="22">
        <f>J606*K606</f>
        <v>624.0</v>
      </c>
      <c r="Q606" s="22">
        <f>IF(L606="","",N606-K606)</f>
        <v>0.0</v>
      </c>
      <c r="R606" s="24">
        <f>IF(L606="","",M606-J606)</f>
        <v>0.0</v>
      </c>
      <c r="S606" s="22">
        <f>IF(L606="",-P606,O606-P606)</f>
        <v>0.0</v>
      </c>
      <c r="T606" s="11" t="str">
        <f>IF(L606="","NO BILL IN SUPPLIED EXPORT",IF(ABS(Q606)&gt;0.001,"RATE EXCEPTION",IF(ABS(R606)&gt;0.001,"LENGTH EXCEPTION",IF(ABS(S606)&gt;0.01,"AMOUNT EXCEPTION","OK"))))</f>
        <v>OK</v>
      </c>
      <c r="U606" s="15" t="s">
        <v>3337</v>
      </c>
    </row>
    <row r="607" spans="1:21" ht="28" customHeight="1">
      <c r="A607" s="18" t="s">
        <v>3338</v>
      </c>
      <c r="B607" s="18" t="s">
        <v>191</v>
      </c>
      <c r="C607" s="18" t="s">
        <v>2515</v>
      </c>
      <c r="D607" s="18" t="s">
        <v>227</v>
      </c>
      <c r="E607" s="18" t="s">
        <v>3339</v>
      </c>
      <c r="F607" s="19" t="s">
        <v>2979</v>
      </c>
      <c r="G607" s="19" t="s">
        <v>3340</v>
      </c>
      <c r="H607" s="24">
        <v>28</v>
      </c>
      <c r="I607" s="24">
        <v>37.7</v>
      </c>
      <c r="J607" s="24">
        <f>MAX(H607,ROUNDUP(I607,0))</f>
        <v>38</v>
      </c>
      <c r="K607" s="22">
        <f>IF(C607="covered",10.4,7.55)</f>
        <v>10.4</v>
      </c>
      <c r="L607" s="18" t="s">
        <v>3341</v>
      </c>
      <c r="M607" s="24">
        <v>38</v>
      </c>
      <c r="N607" s="22">
        <v>10.4</v>
      </c>
      <c r="O607" s="22">
        <v>395.2</v>
      </c>
      <c r="P607" s="22">
        <f>J607*K607</f>
        <v>395.2</v>
      </c>
      <c r="Q607" s="22">
        <f>IF(L607="","",N607-K607)</f>
        <v>0.0</v>
      </c>
      <c r="R607" s="24">
        <f>IF(L607="","",M607-J607)</f>
        <v>0.0</v>
      </c>
      <c r="S607" s="22">
        <f>IF(L607="",-P607,O607-P607)</f>
        <v>0.0</v>
      </c>
      <c r="T607" s="11" t="str">
        <f>IF(L607="","NO BILL IN SUPPLIED EXPORT",IF(ABS(Q607)&gt;0.001,"RATE EXCEPTION",IF(ABS(R607)&gt;0.001,"LENGTH EXCEPTION",IF(ABS(S607)&gt;0.01,"AMOUNT EXCEPTION","OK"))))</f>
        <v>OK</v>
      </c>
      <c r="U607" s="19" t="s">
        <v>3342</v>
      </c>
    </row>
    <row r="608" spans="1:21" ht="28" customHeight="1">
      <c r="A608" s="14" t="s">
        <v>3343</v>
      </c>
      <c r="B608" s="14" t="s">
        <v>191</v>
      </c>
      <c r="C608" s="14" t="s">
        <v>2515</v>
      </c>
      <c r="D608" s="14" t="s">
        <v>227</v>
      </c>
      <c r="E608" s="14" t="s">
        <v>3344</v>
      </c>
      <c r="F608" s="15" t="s">
        <v>3345</v>
      </c>
      <c r="G608" s="15" t="s">
        <v>2508</v>
      </c>
      <c r="H608" s="24">
        <v>28</v>
      </c>
      <c r="I608" s="24">
        <v>56.3</v>
      </c>
      <c r="J608" s="24">
        <f>MAX(H608,ROUNDUP(I608,0))</f>
        <v>57</v>
      </c>
      <c r="K608" s="22">
        <f>IF(C608="covered",10.4,7.55)</f>
        <v>10.4</v>
      </c>
      <c r="L608" s="14" t="s">
        <v>3346</v>
      </c>
      <c r="M608" s="24">
        <v>57</v>
      </c>
      <c r="N608" s="22">
        <v>10.4</v>
      </c>
      <c r="O608" s="22">
        <v>592.8</v>
      </c>
      <c r="P608" s="22">
        <f>J608*K608</f>
        <v>592.8000000000001</v>
      </c>
      <c r="Q608" s="22">
        <f>IF(L608="","",N608-K608)</f>
        <v>0.0</v>
      </c>
      <c r="R608" s="24">
        <f>IF(L608="","",M608-J608)</f>
        <v>0.0</v>
      </c>
      <c r="S608" s="22">
        <f>IF(L608="",-P608,O608-P608)</f>
        <v>-1.1368683772161603e-13</v>
      </c>
      <c r="T608" s="11" t="str">
        <f>IF(L608="","NO BILL IN SUPPLIED EXPORT",IF(ABS(Q608)&gt;0.001,"RATE EXCEPTION",IF(ABS(R608)&gt;0.001,"LENGTH EXCEPTION",IF(ABS(S608)&gt;0.01,"AMOUNT EXCEPTION","OK"))))</f>
        <v>OK</v>
      </c>
      <c r="U608" s="15" t="s">
        <v>3347</v>
      </c>
    </row>
    <row r="609" spans="1:21" ht="28" customHeight="1">
      <c r="A609" s="18" t="s">
        <v>3348</v>
      </c>
      <c r="B609" s="18" t="s">
        <v>191</v>
      </c>
      <c r="C609" s="18" t="s">
        <v>2515</v>
      </c>
      <c r="D609" s="18" t="s">
        <v>227</v>
      </c>
      <c r="E609" s="18" t="s">
        <v>3349</v>
      </c>
      <c r="F609" s="19" t="s">
        <v>3350</v>
      </c>
      <c r="G609" s="19" t="s">
        <v>1563</v>
      </c>
      <c r="H609" s="24">
        <v>36</v>
      </c>
      <c r="I609" s="24">
        <v>46.1</v>
      </c>
      <c r="J609" s="24">
        <f>MAX(H609,ROUNDUP(I609,0))</f>
        <v>47</v>
      </c>
      <c r="K609" s="22">
        <f>IF(C609="covered",10.4,7.55)</f>
        <v>10.4</v>
      </c>
      <c r="L609" s="18" t="s">
        <v>3351</v>
      </c>
      <c r="M609" s="24">
        <v>47</v>
      </c>
      <c r="N609" s="22">
        <v>10.4</v>
      </c>
      <c r="O609" s="22">
        <v>488.8</v>
      </c>
      <c r="P609" s="22">
        <f>J609*K609</f>
        <v>488.8</v>
      </c>
      <c r="Q609" s="22">
        <f>IF(L609="","",N609-K609)</f>
        <v>0.0</v>
      </c>
      <c r="R609" s="24">
        <f>IF(L609="","",M609-J609)</f>
        <v>0.0</v>
      </c>
      <c r="S609" s="22">
        <f>IF(L609="",-P609,O609-P609)</f>
        <v>0.0</v>
      </c>
      <c r="T609" s="11" t="str">
        <f>IF(L609="","NO BILL IN SUPPLIED EXPORT",IF(ABS(Q609)&gt;0.001,"RATE EXCEPTION",IF(ABS(R609)&gt;0.001,"LENGTH EXCEPTION",IF(ABS(S609)&gt;0.01,"AMOUNT EXCEPTION","OK"))))</f>
        <v>OK</v>
      </c>
      <c r="U609" s="19" t="s">
        <v>3352</v>
      </c>
    </row>
    <row r="610" spans="1:21" ht="28" customHeight="1">
      <c r="A610" s="14" t="s">
        <v>3353</v>
      </c>
      <c r="B610" s="14" t="s">
        <v>191</v>
      </c>
      <c r="C610" s="14" t="s">
        <v>2515</v>
      </c>
      <c r="D610" s="14" t="s">
        <v>227</v>
      </c>
      <c r="E610" s="14" t="s">
        <v>3354</v>
      </c>
      <c r="F610" s="15" t="s">
        <v>3355</v>
      </c>
      <c r="G610" s="15" t="s">
        <v>1580</v>
      </c>
      <c r="H610" s="24">
        <v>40</v>
      </c>
      <c r="I610" s="24">
        <v>35.1</v>
      </c>
      <c r="J610" s="24">
        <f>MAX(H610,ROUNDUP(I610,0))</f>
        <v>40.0</v>
      </c>
      <c r="K610" s="22">
        <f>IF(C610="covered",10.4,7.55)</f>
        <v>10.4</v>
      </c>
      <c r="L610" s="14" t="s">
        <v>3356</v>
      </c>
      <c r="M610" s="24">
        <v>40</v>
      </c>
      <c r="N610" s="22">
        <v>10.4</v>
      </c>
      <c r="O610" s="22">
        <v>416</v>
      </c>
      <c r="P610" s="22">
        <f>J610*K610</f>
        <v>416.0</v>
      </c>
      <c r="Q610" s="22">
        <f>IF(L610="","",N610-K610)</f>
        <v>0.0</v>
      </c>
      <c r="R610" s="24">
        <f>IF(L610="","",M610-J610)</f>
        <v>0.0</v>
      </c>
      <c r="S610" s="22">
        <f>IF(L610="",-P610,O610-P610)</f>
        <v>0.0</v>
      </c>
      <c r="T610" s="11" t="str">
        <f>IF(L610="","NO BILL IN SUPPLIED EXPORT",IF(ABS(Q610)&gt;0.001,"RATE EXCEPTION",IF(ABS(R610)&gt;0.001,"LENGTH EXCEPTION",IF(ABS(S610)&gt;0.01,"AMOUNT EXCEPTION","OK"))))</f>
        <v>OK</v>
      </c>
      <c r="U610" s="15" t="s">
        <v>3357</v>
      </c>
    </row>
    <row r="611" spans="1:21" ht="28" customHeight="1">
      <c r="A611" s="18" t="s">
        <v>3358</v>
      </c>
      <c r="B611" s="18" t="s">
        <v>191</v>
      </c>
      <c r="C611" s="18" t="s">
        <v>2515</v>
      </c>
      <c r="D611" s="18" t="s">
        <v>227</v>
      </c>
      <c r="E611" s="18" t="s">
        <v>3359</v>
      </c>
      <c r="F611" s="19" t="s">
        <v>3360</v>
      </c>
      <c r="G611" s="19" t="s">
        <v>3361</v>
      </c>
      <c r="H611" s="24">
        <v>28</v>
      </c>
      <c r="I611" s="24">
        <v>47.8</v>
      </c>
      <c r="J611" s="24">
        <f>MAX(H611,ROUNDUP(I611,0))</f>
        <v>48</v>
      </c>
      <c r="K611" s="22">
        <f>IF(C611="covered",10.4,7.55)</f>
        <v>10.4</v>
      </c>
      <c r="L611" s="18" t="s">
        <v>3362</v>
      </c>
      <c r="M611" s="24">
        <v>48</v>
      </c>
      <c r="N611" s="22">
        <v>10.4</v>
      </c>
      <c r="O611" s="22">
        <v>499.2</v>
      </c>
      <c r="P611" s="22">
        <f>J611*K611</f>
        <v>499.20000000000005</v>
      </c>
      <c r="Q611" s="22">
        <f>IF(L611="","",N611-K611)</f>
        <v>0.0</v>
      </c>
      <c r="R611" s="24">
        <f>IF(L611="","",M611-J611)</f>
        <v>0.0</v>
      </c>
      <c r="S611" s="22">
        <f>IF(L611="",-P611,O611-P611)</f>
        <v>-5.684341886080802e-14</v>
      </c>
      <c r="T611" s="11" t="str">
        <f>IF(L611="","NO BILL IN SUPPLIED EXPORT",IF(ABS(Q611)&gt;0.001,"RATE EXCEPTION",IF(ABS(R611)&gt;0.001,"LENGTH EXCEPTION",IF(ABS(S611)&gt;0.01,"AMOUNT EXCEPTION","OK"))))</f>
        <v>OK</v>
      </c>
      <c r="U611" s="19" t="s">
        <v>3363</v>
      </c>
    </row>
    <row r="612" spans="1:21" ht="28" customHeight="1">
      <c r="A612" s="14" t="s">
        <v>3364</v>
      </c>
      <c r="B612" s="14" t="s">
        <v>191</v>
      </c>
      <c r="C612" s="14" t="s">
        <v>2515</v>
      </c>
      <c r="D612" s="14" t="s">
        <v>227</v>
      </c>
      <c r="E612" s="14" t="s">
        <v>3365</v>
      </c>
      <c r="F612" s="15" t="s">
        <v>3366</v>
      </c>
      <c r="G612" s="15" t="s">
        <v>3367</v>
      </c>
      <c r="H612" s="24">
        <v>36</v>
      </c>
      <c r="I612" s="24">
        <v>39.6</v>
      </c>
      <c r="J612" s="24">
        <f>MAX(H612,ROUNDUP(I612,0))</f>
        <v>40</v>
      </c>
      <c r="K612" s="22">
        <f>IF(C612="covered",10.4,7.55)</f>
        <v>10.4</v>
      </c>
      <c r="L612" s="14" t="s">
        <v>3368</v>
      </c>
      <c r="M612" s="24">
        <v>40</v>
      </c>
      <c r="N612" s="22">
        <v>10.4</v>
      </c>
      <c r="O612" s="22">
        <v>416</v>
      </c>
      <c r="P612" s="22">
        <f>J612*K612</f>
        <v>416.0</v>
      </c>
      <c r="Q612" s="22">
        <f>IF(L612="","",N612-K612)</f>
        <v>0.0</v>
      </c>
      <c r="R612" s="24">
        <f>IF(L612="","",M612-J612)</f>
        <v>0.0</v>
      </c>
      <c r="S612" s="22">
        <f>IF(L612="",-P612,O612-P612)</f>
        <v>0.0</v>
      </c>
      <c r="T612" s="11" t="str">
        <f>IF(L612="","NO BILL IN SUPPLIED EXPORT",IF(ABS(Q612)&gt;0.001,"RATE EXCEPTION",IF(ABS(R612)&gt;0.001,"LENGTH EXCEPTION",IF(ABS(S612)&gt;0.01,"AMOUNT EXCEPTION","OK"))))</f>
        <v>OK</v>
      </c>
      <c r="U612" s="15" t="s">
        <v>3369</v>
      </c>
    </row>
    <row r="613" spans="1:21" ht="28" customHeight="1">
      <c r="A613" s="18" t="s">
        <v>3370</v>
      </c>
      <c r="B613" s="18" t="s">
        <v>191</v>
      </c>
      <c r="C613" s="18" t="s">
        <v>2515</v>
      </c>
      <c r="D613" s="18" t="s">
        <v>227</v>
      </c>
      <c r="E613" s="18" t="s">
        <v>3371</v>
      </c>
      <c r="F613" s="19" t="s">
        <v>3372</v>
      </c>
      <c r="G613" s="19" t="s">
        <v>737</v>
      </c>
      <c r="H613" s="24">
        <v>36</v>
      </c>
      <c r="I613" s="24">
        <v>55.1</v>
      </c>
      <c r="J613" s="24">
        <f>MAX(H613,ROUNDUP(I613,0))</f>
        <v>56</v>
      </c>
      <c r="K613" s="22">
        <f>IF(C613="covered",10.4,7.55)</f>
        <v>10.4</v>
      </c>
      <c r="L613" s="18" t="s">
        <v>3373</v>
      </c>
      <c r="M613" s="24">
        <v>56</v>
      </c>
      <c r="N613" s="22">
        <v>10.4</v>
      </c>
      <c r="O613" s="22">
        <v>582.4</v>
      </c>
      <c r="P613" s="22">
        <f>J613*K613</f>
        <v>582.4</v>
      </c>
      <c r="Q613" s="22">
        <f>IF(L613="","",N613-K613)</f>
        <v>0.0</v>
      </c>
      <c r="R613" s="24">
        <f>IF(L613="","",M613-J613)</f>
        <v>0.0</v>
      </c>
      <c r="S613" s="22">
        <f>IF(L613="",-P613,O613-P613)</f>
        <v>0.0</v>
      </c>
      <c r="T613" s="11" t="str">
        <f>IF(L613="","NO BILL IN SUPPLIED EXPORT",IF(ABS(Q613)&gt;0.001,"RATE EXCEPTION",IF(ABS(R613)&gt;0.001,"LENGTH EXCEPTION",IF(ABS(S613)&gt;0.01,"AMOUNT EXCEPTION","OK"))))</f>
        <v>OK</v>
      </c>
      <c r="U613" s="19" t="s">
        <v>3374</v>
      </c>
    </row>
    <row r="614" spans="1:21" ht="28" customHeight="1">
      <c r="A614" s="14" t="s">
        <v>3375</v>
      </c>
      <c r="B614" s="14" t="s">
        <v>191</v>
      </c>
      <c r="C614" s="14" t="s">
        <v>2515</v>
      </c>
      <c r="D614" s="14" t="s">
        <v>227</v>
      </c>
      <c r="E614" s="14" t="s">
        <v>3376</v>
      </c>
      <c r="F614" s="15" t="s">
        <v>3377</v>
      </c>
      <c r="G614" s="15" t="s">
        <v>3378</v>
      </c>
      <c r="H614" s="24">
        <v>24</v>
      </c>
      <c r="I614" s="24">
        <v>40.6</v>
      </c>
      <c r="J614" s="24">
        <f>MAX(H614,ROUNDUP(I614,0))</f>
        <v>41</v>
      </c>
      <c r="K614" s="22">
        <f>IF(C614="covered",10.4,7.55)</f>
        <v>10.4</v>
      </c>
      <c r="L614" s="14" t="s">
        <v>3379</v>
      </c>
      <c r="M614" s="24">
        <v>41</v>
      </c>
      <c r="N614" s="22">
        <v>10.4</v>
      </c>
      <c r="O614" s="22">
        <v>426.4</v>
      </c>
      <c r="P614" s="22">
        <f>J614*K614</f>
        <v>426.40000000000003</v>
      </c>
      <c r="Q614" s="22">
        <f>IF(L614="","",N614-K614)</f>
        <v>0.0</v>
      </c>
      <c r="R614" s="24">
        <f>IF(L614="","",M614-J614)</f>
        <v>0.0</v>
      </c>
      <c r="S614" s="22">
        <f>IF(L614="",-P614,O614-P614)</f>
        <v>-5.684341886080802e-14</v>
      </c>
      <c r="T614" s="11" t="str">
        <f>IF(L614="","NO BILL IN SUPPLIED EXPORT",IF(ABS(Q614)&gt;0.001,"RATE EXCEPTION",IF(ABS(R614)&gt;0.001,"LENGTH EXCEPTION",IF(ABS(S614)&gt;0.01,"AMOUNT EXCEPTION","OK"))))</f>
        <v>OK</v>
      </c>
      <c r="U614" s="15" t="s">
        <v>3380</v>
      </c>
    </row>
    <row r="615" spans="1:21" ht="28" customHeight="1">
      <c r="A615" s="18" t="s">
        <v>3381</v>
      </c>
      <c r="B615" s="18" t="s">
        <v>191</v>
      </c>
      <c r="C615" s="18" t="s">
        <v>2515</v>
      </c>
      <c r="D615" s="18" t="s">
        <v>227</v>
      </c>
      <c r="E615" s="18" t="s">
        <v>3382</v>
      </c>
      <c r="F615" s="19" t="s">
        <v>3383</v>
      </c>
      <c r="G615" s="19" t="s">
        <v>2761</v>
      </c>
      <c r="H615" s="24">
        <v>40</v>
      </c>
      <c r="I615" s="24">
        <v>42.3</v>
      </c>
      <c r="J615" s="24">
        <f>MAX(H615,ROUNDUP(I615,0))</f>
        <v>43</v>
      </c>
      <c r="K615" s="22">
        <f>IF(C615="covered",10.4,7.55)</f>
        <v>10.4</v>
      </c>
      <c r="L615" s="18" t="s">
        <v>3384</v>
      </c>
      <c r="M615" s="24">
        <v>43</v>
      </c>
      <c r="N615" s="22">
        <v>10.4</v>
      </c>
      <c r="O615" s="22">
        <v>447.2</v>
      </c>
      <c r="P615" s="22">
        <f>J615*K615</f>
        <v>447.2</v>
      </c>
      <c r="Q615" s="22">
        <f>IF(L615="","",N615-K615)</f>
        <v>0.0</v>
      </c>
      <c r="R615" s="24">
        <f>IF(L615="","",M615-J615)</f>
        <v>0.0</v>
      </c>
      <c r="S615" s="22">
        <f>IF(L615="",-P615,O615-P615)</f>
        <v>0.0</v>
      </c>
      <c r="T615" s="11" t="str">
        <f>IF(L615="","NO BILL IN SUPPLIED EXPORT",IF(ABS(Q615)&gt;0.001,"RATE EXCEPTION",IF(ABS(R615)&gt;0.001,"LENGTH EXCEPTION",IF(ABS(S615)&gt;0.01,"AMOUNT EXCEPTION","OK"))))</f>
        <v>OK</v>
      </c>
      <c r="U615" s="19" t="s">
        <v>3385</v>
      </c>
    </row>
    <row r="616" spans="1:21" ht="28" customHeight="1">
      <c r="A616" s="14" t="s">
        <v>3386</v>
      </c>
      <c r="B616" s="14" t="s">
        <v>191</v>
      </c>
      <c r="C616" s="14" t="s">
        <v>2515</v>
      </c>
      <c r="D616" s="14" t="s">
        <v>227</v>
      </c>
      <c r="E616" s="14" t="s">
        <v>3387</v>
      </c>
      <c r="F616" s="15" t="s">
        <v>3388</v>
      </c>
      <c r="G616" s="15" t="s">
        <v>3281</v>
      </c>
      <c r="H616" s="24">
        <v>28</v>
      </c>
      <c r="I616" s="24">
        <v>34.3</v>
      </c>
      <c r="J616" s="24">
        <f>MAX(H616,ROUNDUP(I616,0))</f>
        <v>35</v>
      </c>
      <c r="K616" s="22">
        <f>IF(C616="covered",10.4,7.55)</f>
        <v>10.4</v>
      </c>
      <c r="L616" s="14" t="s">
        <v>3389</v>
      </c>
      <c r="M616" s="24">
        <v>35</v>
      </c>
      <c r="N616" s="22">
        <v>10.4</v>
      </c>
      <c r="O616" s="22">
        <v>364</v>
      </c>
      <c r="P616" s="22">
        <f>J616*K616</f>
        <v>364.0</v>
      </c>
      <c r="Q616" s="22">
        <f>IF(L616="","",N616-K616)</f>
        <v>0.0</v>
      </c>
      <c r="R616" s="24">
        <f>IF(L616="","",M616-J616)</f>
        <v>0.0</v>
      </c>
      <c r="S616" s="22">
        <f>IF(L616="",-P616,O616-P616)</f>
        <v>0.0</v>
      </c>
      <c r="T616" s="11" t="str">
        <f>IF(L616="","NO BILL IN SUPPLIED EXPORT",IF(ABS(Q616)&gt;0.001,"RATE EXCEPTION",IF(ABS(R616)&gt;0.001,"LENGTH EXCEPTION",IF(ABS(S616)&gt;0.01,"AMOUNT EXCEPTION","OK"))))</f>
        <v>OK</v>
      </c>
      <c r="U616" s="15" t="s">
        <v>3390</v>
      </c>
    </row>
    <row r="617" spans="1:21" ht="28" customHeight="1">
      <c r="A617" s="18" t="s">
        <v>3391</v>
      </c>
      <c r="B617" s="18" t="s">
        <v>191</v>
      </c>
      <c r="C617" s="18" t="s">
        <v>2515</v>
      </c>
      <c r="D617" s="18" t="s">
        <v>227</v>
      </c>
      <c r="E617" s="18" t="s">
        <v>3392</v>
      </c>
      <c r="F617" s="19" t="s">
        <v>3393</v>
      </c>
      <c r="G617" s="19" t="s">
        <v>3394</v>
      </c>
      <c r="H617" s="24">
        <v>36</v>
      </c>
      <c r="I617" s="24">
        <v>51.3</v>
      </c>
      <c r="J617" s="24">
        <f>MAX(H617,ROUNDUP(I617,0))</f>
        <v>52</v>
      </c>
      <c r="K617" s="22">
        <f>IF(C617="covered",10.4,7.55)</f>
        <v>10.4</v>
      </c>
      <c r="L617" s="18" t="s">
        <v>3395</v>
      </c>
      <c r="M617" s="24">
        <v>52</v>
      </c>
      <c r="N617" s="22">
        <v>10.4</v>
      </c>
      <c r="O617" s="22">
        <v>540.8</v>
      </c>
      <c r="P617" s="22">
        <f>J617*K617</f>
        <v>540.8000000000001</v>
      </c>
      <c r="Q617" s="22">
        <f>IF(L617="","",N617-K617)</f>
        <v>0.0</v>
      </c>
      <c r="R617" s="24">
        <f>IF(L617="","",M617-J617)</f>
        <v>0.0</v>
      </c>
      <c r="S617" s="22">
        <f>IF(L617="",-P617,O617-P617)</f>
        <v>-1.1368683772161603e-13</v>
      </c>
      <c r="T617" s="11" t="str">
        <f>IF(L617="","NO BILL IN SUPPLIED EXPORT",IF(ABS(Q617)&gt;0.001,"RATE EXCEPTION",IF(ABS(R617)&gt;0.001,"LENGTH EXCEPTION",IF(ABS(S617)&gt;0.01,"AMOUNT EXCEPTION","OK"))))</f>
        <v>OK</v>
      </c>
      <c r="U617" s="19" t="s">
        <v>3396</v>
      </c>
    </row>
    <row r="618" spans="1:21" ht="28" customHeight="1">
      <c r="A618" s="14" t="s">
        <v>3397</v>
      </c>
      <c r="B618" s="14" t="s">
        <v>191</v>
      </c>
      <c r="C618" s="14" t="s">
        <v>2515</v>
      </c>
      <c r="D618" s="14" t="s">
        <v>227</v>
      </c>
      <c r="E618" s="14" t="s">
        <v>3398</v>
      </c>
      <c r="F618" s="15" t="s">
        <v>3399</v>
      </c>
      <c r="G618" s="15" t="s">
        <v>3400</v>
      </c>
      <c r="H618" s="24">
        <v>28</v>
      </c>
      <c r="I618" s="24">
        <v>25.6</v>
      </c>
      <c r="J618" s="24">
        <f>MAX(H618,ROUNDUP(I618,0))</f>
        <v>28.0</v>
      </c>
      <c r="K618" s="22">
        <f>IF(C618="covered",10.4,7.55)</f>
        <v>10.4</v>
      </c>
      <c r="L618" s="14" t="s">
        <v>3401</v>
      </c>
      <c r="M618" s="24">
        <v>28</v>
      </c>
      <c r="N618" s="22">
        <v>10.4</v>
      </c>
      <c r="O618" s="22">
        <v>291.2</v>
      </c>
      <c r="P618" s="22">
        <f>J618*K618</f>
        <v>291.2</v>
      </c>
      <c r="Q618" s="22">
        <f>IF(L618="","",N618-K618)</f>
        <v>0.0</v>
      </c>
      <c r="R618" s="24">
        <f>IF(L618="","",M618-J618)</f>
        <v>0.0</v>
      </c>
      <c r="S618" s="22">
        <f>IF(L618="",-P618,O618-P618)</f>
        <v>0.0</v>
      </c>
      <c r="T618" s="11" t="str">
        <f>IF(L618="","NO BILL IN SUPPLIED EXPORT",IF(ABS(Q618)&gt;0.001,"RATE EXCEPTION",IF(ABS(R618)&gt;0.001,"LENGTH EXCEPTION",IF(ABS(S618)&gt;0.01,"AMOUNT EXCEPTION","OK"))))</f>
        <v>OK</v>
      </c>
      <c r="U618" s="15" t="s">
        <v>3402</v>
      </c>
    </row>
    <row r="619" spans="1:21" ht="28" customHeight="1">
      <c r="A619" s="18" t="s">
        <v>3403</v>
      </c>
      <c r="B619" s="18" t="s">
        <v>191</v>
      </c>
      <c r="C619" s="18" t="s">
        <v>2515</v>
      </c>
      <c r="D619" s="18" t="s">
        <v>227</v>
      </c>
      <c r="E619" s="18" t="s">
        <v>3404</v>
      </c>
      <c r="F619" s="19" t="s">
        <v>3405</v>
      </c>
      <c r="G619" s="19" t="s">
        <v>807</v>
      </c>
      <c r="H619" s="24">
        <v>32</v>
      </c>
      <c r="I619" s="24">
        <v>37.5</v>
      </c>
      <c r="J619" s="24">
        <f>MAX(H619,ROUNDUP(I619,0))</f>
        <v>38</v>
      </c>
      <c r="K619" s="22">
        <f>IF(C619="covered",10.4,7.55)</f>
        <v>10.4</v>
      </c>
      <c r="L619" s="18" t="s">
        <v>3406</v>
      </c>
      <c r="M619" s="24">
        <v>38</v>
      </c>
      <c r="N619" s="22">
        <v>10.4</v>
      </c>
      <c r="O619" s="22">
        <v>395.2</v>
      </c>
      <c r="P619" s="22">
        <f>J619*K619</f>
        <v>395.2</v>
      </c>
      <c r="Q619" s="22">
        <f>IF(L619="","",N619-K619)</f>
        <v>0.0</v>
      </c>
      <c r="R619" s="24">
        <f>IF(L619="","",M619-J619)</f>
        <v>0.0</v>
      </c>
      <c r="S619" s="22">
        <f>IF(L619="",-P619,O619-P619)</f>
        <v>0.0</v>
      </c>
      <c r="T619" s="11" t="str">
        <f>IF(L619="","NO BILL IN SUPPLIED EXPORT",IF(ABS(Q619)&gt;0.001,"RATE EXCEPTION",IF(ABS(R619)&gt;0.001,"LENGTH EXCEPTION",IF(ABS(S619)&gt;0.01,"AMOUNT EXCEPTION","OK"))))</f>
        <v>OK</v>
      </c>
      <c r="U619" s="19" t="s">
        <v>3407</v>
      </c>
    </row>
    <row r="620" spans="1:21" ht="28" customHeight="1">
      <c r="A620" s="14" t="s">
        <v>3408</v>
      </c>
      <c r="B620" s="14" t="s">
        <v>191</v>
      </c>
      <c r="C620" s="14" t="s">
        <v>2515</v>
      </c>
      <c r="D620" s="14" t="s">
        <v>227</v>
      </c>
      <c r="E620" s="14" t="s">
        <v>3409</v>
      </c>
      <c r="F620" s="15" t="s">
        <v>3410</v>
      </c>
      <c r="G620" s="15" t="s">
        <v>2426</v>
      </c>
      <c r="H620" s="24">
        <v>32</v>
      </c>
      <c r="I620" s="24">
        <v>34.5</v>
      </c>
      <c r="J620" s="24">
        <f>MAX(H620,ROUNDUP(I620,0))</f>
        <v>35</v>
      </c>
      <c r="K620" s="22">
        <f>IF(C620="covered",10.4,7.55)</f>
        <v>10.4</v>
      </c>
      <c r="L620" s="14" t="s">
        <v>3411</v>
      </c>
      <c r="M620" s="24">
        <v>35</v>
      </c>
      <c r="N620" s="22">
        <v>10.4</v>
      </c>
      <c r="O620" s="22">
        <v>364</v>
      </c>
      <c r="P620" s="22">
        <f>J620*K620</f>
        <v>364.0</v>
      </c>
      <c r="Q620" s="22">
        <f>IF(L620="","",N620-K620)</f>
        <v>0.0</v>
      </c>
      <c r="R620" s="24">
        <f>IF(L620="","",M620-J620)</f>
        <v>0.0</v>
      </c>
      <c r="S620" s="22">
        <f>IF(L620="",-P620,O620-P620)</f>
        <v>0.0</v>
      </c>
      <c r="T620" s="11" t="str">
        <f>IF(L620="","NO BILL IN SUPPLIED EXPORT",IF(ABS(Q620)&gt;0.001,"RATE EXCEPTION",IF(ABS(R620)&gt;0.001,"LENGTH EXCEPTION",IF(ABS(S620)&gt;0.01,"AMOUNT EXCEPTION","OK"))))</f>
        <v>OK</v>
      </c>
      <c r="U620" s="15" t="s">
        <v>3412</v>
      </c>
    </row>
    <row r="621" spans="1:21" ht="28" customHeight="1">
      <c r="A621" s="18" t="s">
        <v>3413</v>
      </c>
      <c r="B621" s="18" t="s">
        <v>191</v>
      </c>
      <c r="C621" s="18" t="s">
        <v>2515</v>
      </c>
      <c r="D621" s="18" t="s">
        <v>227</v>
      </c>
      <c r="E621" s="18" t="s">
        <v>3414</v>
      </c>
      <c r="F621" s="19" t="s">
        <v>3415</v>
      </c>
      <c r="G621" s="19" t="s">
        <v>3416</v>
      </c>
      <c r="H621" s="24">
        <v>24</v>
      </c>
      <c r="I621" s="24">
        <v>49.8</v>
      </c>
      <c r="J621" s="24">
        <f>MAX(H621,ROUNDUP(I621,0))</f>
        <v>50</v>
      </c>
      <c r="K621" s="22">
        <f>IF(C621="covered",10.4,7.55)</f>
        <v>10.4</v>
      </c>
      <c r="L621" s="18" t="s">
        <v>3417</v>
      </c>
      <c r="M621" s="24">
        <v>50</v>
      </c>
      <c r="N621" s="22">
        <v>10.4</v>
      </c>
      <c r="O621" s="22">
        <v>520</v>
      </c>
      <c r="P621" s="22">
        <f>J621*K621</f>
        <v>520.0</v>
      </c>
      <c r="Q621" s="22">
        <f>IF(L621="","",N621-K621)</f>
        <v>0.0</v>
      </c>
      <c r="R621" s="24">
        <f>IF(L621="","",M621-J621)</f>
        <v>0.0</v>
      </c>
      <c r="S621" s="22">
        <f>IF(L621="",-P621,O621-P621)</f>
        <v>0.0</v>
      </c>
      <c r="T621" s="11" t="str">
        <f>IF(L621="","NO BILL IN SUPPLIED EXPORT",IF(ABS(Q621)&gt;0.001,"RATE EXCEPTION",IF(ABS(R621)&gt;0.001,"LENGTH EXCEPTION",IF(ABS(S621)&gt;0.01,"AMOUNT EXCEPTION","OK"))))</f>
        <v>OK</v>
      </c>
      <c r="U621" s="19" t="s">
        <v>3418</v>
      </c>
    </row>
    <row r="622" spans="1:21" ht="28" customHeight="1">
      <c r="A622" s="14" t="s">
        <v>3419</v>
      </c>
      <c r="B622" s="14" t="s">
        <v>191</v>
      </c>
      <c r="C622" s="14" t="s">
        <v>2515</v>
      </c>
      <c r="D622" s="14" t="s">
        <v>227</v>
      </c>
      <c r="E622" s="14" t="s">
        <v>3420</v>
      </c>
      <c r="F622" s="15" t="s">
        <v>3421</v>
      </c>
      <c r="G622" s="15" t="s">
        <v>400</v>
      </c>
      <c r="H622" s="24">
        <v>28</v>
      </c>
      <c r="I622" s="24">
        <v>47.4</v>
      </c>
      <c r="J622" s="24">
        <f>MAX(H622,ROUNDUP(I622,0))</f>
        <v>48</v>
      </c>
      <c r="K622" s="22">
        <f>IF(C622="covered",10.4,7.55)</f>
        <v>10.4</v>
      </c>
      <c r="L622" s="14" t="s">
        <v>3422</v>
      </c>
      <c r="M622" s="24">
        <v>48</v>
      </c>
      <c r="N622" s="22">
        <v>10.4</v>
      </c>
      <c r="O622" s="22">
        <v>499.2</v>
      </c>
      <c r="P622" s="22">
        <f>J622*K622</f>
        <v>499.20000000000005</v>
      </c>
      <c r="Q622" s="22">
        <f>IF(L622="","",N622-K622)</f>
        <v>0.0</v>
      </c>
      <c r="R622" s="24">
        <f>IF(L622="","",M622-J622)</f>
        <v>0.0</v>
      </c>
      <c r="S622" s="22">
        <f>IF(L622="",-P622,O622-P622)</f>
        <v>-5.684341886080802e-14</v>
      </c>
      <c r="T622" s="11" t="str">
        <f>IF(L622="","NO BILL IN SUPPLIED EXPORT",IF(ABS(Q622)&gt;0.001,"RATE EXCEPTION",IF(ABS(R622)&gt;0.001,"LENGTH EXCEPTION",IF(ABS(S622)&gt;0.01,"AMOUNT EXCEPTION","OK"))))</f>
        <v>OK</v>
      </c>
      <c r="U622" s="15" t="s">
        <v>3423</v>
      </c>
    </row>
    <row r="623" spans="1:21" ht="28" customHeight="1">
      <c r="A623" s="18" t="s">
        <v>3424</v>
      </c>
      <c r="B623" s="18" t="s">
        <v>191</v>
      </c>
      <c r="C623" s="18" t="s">
        <v>2515</v>
      </c>
      <c r="D623" s="18" t="s">
        <v>227</v>
      </c>
      <c r="E623" s="18" t="s">
        <v>3425</v>
      </c>
      <c r="F623" s="19" t="s">
        <v>3426</v>
      </c>
      <c r="G623" s="19" t="s">
        <v>3427</v>
      </c>
      <c r="H623" s="24">
        <v>32</v>
      </c>
      <c r="I623" s="24">
        <v>22.2</v>
      </c>
      <c r="J623" s="24">
        <f>MAX(H623,ROUNDUP(I623,0))</f>
        <v>32.0</v>
      </c>
      <c r="K623" s="22">
        <f>IF(C623="covered",10.4,7.55)</f>
        <v>10.4</v>
      </c>
      <c r="L623" s="18" t="s">
        <v>3428</v>
      </c>
      <c r="M623" s="24">
        <v>32</v>
      </c>
      <c r="N623" s="22">
        <v>10.4</v>
      </c>
      <c r="O623" s="22">
        <v>332.8</v>
      </c>
      <c r="P623" s="22">
        <f>J623*K623</f>
        <v>332.8</v>
      </c>
      <c r="Q623" s="22">
        <f>IF(L623="","",N623-K623)</f>
        <v>0.0</v>
      </c>
      <c r="R623" s="24">
        <f>IF(L623="","",M623-J623)</f>
        <v>0.0</v>
      </c>
      <c r="S623" s="22">
        <f>IF(L623="",-P623,O623-P623)</f>
        <v>0.0</v>
      </c>
      <c r="T623" s="11" t="str">
        <f>IF(L623="","NO BILL IN SUPPLIED EXPORT",IF(ABS(Q623)&gt;0.001,"RATE EXCEPTION",IF(ABS(R623)&gt;0.001,"LENGTH EXCEPTION",IF(ABS(S623)&gt;0.01,"AMOUNT EXCEPTION","OK"))))</f>
        <v>OK</v>
      </c>
      <c r="U623" s="19" t="s">
        <v>3429</v>
      </c>
    </row>
    <row r="624" spans="1:21" ht="28" customHeight="1">
      <c r="A624" s="14" t="s">
        <v>3430</v>
      </c>
      <c r="B624" s="14" t="s">
        <v>191</v>
      </c>
      <c r="C624" s="14" t="s">
        <v>2515</v>
      </c>
      <c r="D624" s="14" t="s">
        <v>227</v>
      </c>
      <c r="E624" s="14" t="s">
        <v>3431</v>
      </c>
      <c r="F624" s="15" t="s">
        <v>3432</v>
      </c>
      <c r="G624" s="15" t="s">
        <v>675</v>
      </c>
      <c r="H624" s="24">
        <v>28</v>
      </c>
      <c r="I624" s="24">
        <v>60.9</v>
      </c>
      <c r="J624" s="24">
        <f>MAX(H624,ROUNDUP(I624,0))</f>
        <v>61</v>
      </c>
      <c r="K624" s="22">
        <f>IF(C624="covered",10.4,7.55)</f>
        <v>10.4</v>
      </c>
      <c r="L624" s="14" t="s">
        <v>3433</v>
      </c>
      <c r="M624" s="24">
        <v>61</v>
      </c>
      <c r="N624" s="22">
        <v>10.4</v>
      </c>
      <c r="O624" s="22">
        <v>634.4</v>
      </c>
      <c r="P624" s="22">
        <f>J624*K624</f>
        <v>634.4</v>
      </c>
      <c r="Q624" s="22">
        <f>IF(L624="","",N624-K624)</f>
        <v>0.0</v>
      </c>
      <c r="R624" s="24">
        <f>IF(L624="","",M624-J624)</f>
        <v>0.0</v>
      </c>
      <c r="S624" s="22">
        <f>IF(L624="",-P624,O624-P624)</f>
        <v>0.0</v>
      </c>
      <c r="T624" s="11" t="str">
        <f>IF(L624="","NO BILL IN SUPPLIED EXPORT",IF(ABS(Q624)&gt;0.001,"RATE EXCEPTION",IF(ABS(R624)&gt;0.001,"LENGTH EXCEPTION",IF(ABS(S624)&gt;0.01,"AMOUNT EXCEPTION","OK"))))</f>
        <v>OK</v>
      </c>
      <c r="U624" s="15" t="s">
        <v>3434</v>
      </c>
    </row>
    <row r="625" spans="1:21" ht="28" customHeight="1">
      <c r="A625" s="18" t="s">
        <v>3435</v>
      </c>
      <c r="B625" s="18" t="s">
        <v>191</v>
      </c>
      <c r="C625" s="18" t="s">
        <v>2515</v>
      </c>
      <c r="D625" s="18" t="s">
        <v>227</v>
      </c>
      <c r="E625" s="18" t="s">
        <v>3436</v>
      </c>
      <c r="F625" s="19" t="s">
        <v>3437</v>
      </c>
      <c r="G625" s="19" t="s">
        <v>1844</v>
      </c>
      <c r="H625" s="24">
        <v>32</v>
      </c>
      <c r="I625" s="24">
        <v>19.1</v>
      </c>
      <c r="J625" s="24">
        <f>MAX(H625,ROUNDUP(I625,0))</f>
        <v>32.0</v>
      </c>
      <c r="K625" s="22">
        <f>IF(C625="covered",10.4,7.55)</f>
        <v>10.4</v>
      </c>
      <c r="L625" s="18" t="s">
        <v>3438</v>
      </c>
      <c r="M625" s="24">
        <v>32</v>
      </c>
      <c r="N625" s="22">
        <v>10.4</v>
      </c>
      <c r="O625" s="22">
        <v>332.8</v>
      </c>
      <c r="P625" s="22">
        <f>J625*K625</f>
        <v>332.8</v>
      </c>
      <c r="Q625" s="22">
        <f>IF(L625="","",N625-K625)</f>
        <v>0.0</v>
      </c>
      <c r="R625" s="24">
        <f>IF(L625="","",M625-J625)</f>
        <v>0.0</v>
      </c>
      <c r="S625" s="22">
        <f>IF(L625="",-P625,O625-P625)</f>
        <v>0.0</v>
      </c>
      <c r="T625" s="11" t="str">
        <f>IF(L625="","NO BILL IN SUPPLIED EXPORT",IF(ABS(Q625)&gt;0.001,"RATE EXCEPTION",IF(ABS(R625)&gt;0.001,"LENGTH EXCEPTION",IF(ABS(S625)&gt;0.01,"AMOUNT EXCEPTION","OK"))))</f>
        <v>OK</v>
      </c>
      <c r="U625" s="19" t="s">
        <v>3439</v>
      </c>
    </row>
    <row r="626" spans="1:21" ht="28" customHeight="1">
      <c r="A626" s="14" t="s">
        <v>3440</v>
      </c>
      <c r="B626" s="14" t="s">
        <v>191</v>
      </c>
      <c r="C626" s="14" t="s">
        <v>2515</v>
      </c>
      <c r="D626" s="14" t="s">
        <v>227</v>
      </c>
      <c r="E626" s="14" t="s">
        <v>3441</v>
      </c>
      <c r="F626" s="15" t="s">
        <v>3442</v>
      </c>
      <c r="G626" s="15" t="s">
        <v>365</v>
      </c>
      <c r="H626" s="24">
        <v>32</v>
      </c>
      <c r="I626" s="24">
        <v>43.9</v>
      </c>
      <c r="J626" s="24">
        <f>MAX(H626,ROUNDUP(I626,0))</f>
        <v>44</v>
      </c>
      <c r="K626" s="22">
        <f>IF(C626="covered",10.4,7.55)</f>
        <v>10.4</v>
      </c>
      <c r="L626" s="14" t="s">
        <v>3443</v>
      </c>
      <c r="M626" s="24">
        <v>44</v>
      </c>
      <c r="N626" s="22">
        <v>10.4</v>
      </c>
      <c r="O626" s="22">
        <v>457.6</v>
      </c>
      <c r="P626" s="22">
        <f>J626*K626</f>
        <v>457.6</v>
      </c>
      <c r="Q626" s="22">
        <f>IF(L626="","",N626-K626)</f>
        <v>0.0</v>
      </c>
      <c r="R626" s="24">
        <f>IF(L626="","",M626-J626)</f>
        <v>0.0</v>
      </c>
      <c r="S626" s="22">
        <f>IF(L626="",-P626,O626-P626)</f>
        <v>0.0</v>
      </c>
      <c r="T626" s="11" t="str">
        <f>IF(L626="","NO BILL IN SUPPLIED EXPORT",IF(ABS(Q626)&gt;0.001,"RATE EXCEPTION",IF(ABS(R626)&gt;0.001,"LENGTH EXCEPTION",IF(ABS(S626)&gt;0.01,"AMOUNT EXCEPTION","OK"))))</f>
        <v>OK</v>
      </c>
      <c r="U626" s="15" t="s">
        <v>3444</v>
      </c>
    </row>
    <row r="627" spans="1:21" ht="28" customHeight="1">
      <c r="A627" s="18" t="s">
        <v>3445</v>
      </c>
      <c r="B627" s="18" t="s">
        <v>191</v>
      </c>
      <c r="C627" s="18" t="s">
        <v>2515</v>
      </c>
      <c r="D627" s="18" t="s">
        <v>227</v>
      </c>
      <c r="E627" s="18" t="s">
        <v>3446</v>
      </c>
      <c r="F627" s="19" t="s">
        <v>3447</v>
      </c>
      <c r="G627" s="19" t="s">
        <v>115</v>
      </c>
      <c r="H627" s="24">
        <v>28</v>
      </c>
      <c r="I627" s="24">
        <v>53.2</v>
      </c>
      <c r="J627" s="24">
        <f>MAX(H627,ROUNDUP(I627,0))</f>
        <v>54</v>
      </c>
      <c r="K627" s="22">
        <f>IF(C627="covered",10.4,7.55)</f>
        <v>10.4</v>
      </c>
      <c r="L627" s="18" t="s">
        <v>3448</v>
      </c>
      <c r="M627" s="24">
        <v>54</v>
      </c>
      <c r="N627" s="22">
        <v>10.4</v>
      </c>
      <c r="O627" s="22">
        <v>561.6</v>
      </c>
      <c r="P627" s="22">
        <f>J627*K627</f>
        <v>561.6</v>
      </c>
      <c r="Q627" s="22">
        <f>IF(L627="","",N627-K627)</f>
        <v>0.0</v>
      </c>
      <c r="R627" s="24">
        <f>IF(L627="","",M627-J627)</f>
        <v>0.0</v>
      </c>
      <c r="S627" s="22">
        <f>IF(L627="",-P627,O627-P627)</f>
        <v>0.0</v>
      </c>
      <c r="T627" s="11" t="str">
        <f>IF(L627="","NO BILL IN SUPPLIED EXPORT",IF(ABS(Q627)&gt;0.001,"RATE EXCEPTION",IF(ABS(R627)&gt;0.001,"LENGTH EXCEPTION",IF(ABS(S627)&gt;0.01,"AMOUNT EXCEPTION","OK"))))</f>
        <v>OK</v>
      </c>
      <c r="U627" s="19" t="s">
        <v>3449</v>
      </c>
    </row>
    <row r="628" spans="1:21" ht="28" customHeight="1">
      <c r="A628" s="14" t="s">
        <v>3450</v>
      </c>
      <c r="B628" s="14" t="s">
        <v>191</v>
      </c>
      <c r="C628" s="14" t="s">
        <v>2515</v>
      </c>
      <c r="D628" s="14" t="s">
        <v>227</v>
      </c>
      <c r="E628" s="14" t="s">
        <v>3451</v>
      </c>
      <c r="F628" s="15" t="s">
        <v>3452</v>
      </c>
      <c r="G628" s="15" t="s">
        <v>1210</v>
      </c>
      <c r="H628" s="24">
        <v>36</v>
      </c>
      <c r="I628" s="24">
        <v>60.7</v>
      </c>
      <c r="J628" s="24">
        <f>MAX(H628,ROUNDUP(I628,0))</f>
        <v>61</v>
      </c>
      <c r="K628" s="22">
        <f>IF(C628="covered",10.4,7.55)</f>
        <v>10.4</v>
      </c>
      <c r="L628" s="14" t="s">
        <v>3453</v>
      </c>
      <c r="M628" s="24">
        <v>61</v>
      </c>
      <c r="N628" s="22">
        <v>10.4</v>
      </c>
      <c r="O628" s="22">
        <v>634.4</v>
      </c>
      <c r="P628" s="22">
        <f>J628*K628</f>
        <v>634.4</v>
      </c>
      <c r="Q628" s="22">
        <f>IF(L628="","",N628-K628)</f>
        <v>0.0</v>
      </c>
      <c r="R628" s="24">
        <f>IF(L628="","",M628-J628)</f>
        <v>0.0</v>
      </c>
      <c r="S628" s="22">
        <f>IF(L628="",-P628,O628-P628)</f>
        <v>0.0</v>
      </c>
      <c r="T628" s="11" t="str">
        <f>IF(L628="","NO BILL IN SUPPLIED EXPORT",IF(ABS(Q628)&gt;0.001,"RATE EXCEPTION",IF(ABS(R628)&gt;0.001,"LENGTH EXCEPTION",IF(ABS(S628)&gt;0.01,"AMOUNT EXCEPTION","OK"))))</f>
        <v>OK</v>
      </c>
      <c r="U628" s="15" t="s">
        <v>3454</v>
      </c>
    </row>
    <row r="629" spans="1:21" ht="28" customHeight="1">
      <c r="A629" s="18" t="s">
        <v>3455</v>
      </c>
      <c r="B629" s="18" t="s">
        <v>191</v>
      </c>
      <c r="C629" s="18" t="s">
        <v>2515</v>
      </c>
      <c r="D629" s="18" t="s">
        <v>227</v>
      </c>
      <c r="E629" s="18" t="s">
        <v>3456</v>
      </c>
      <c r="F629" s="19" t="s">
        <v>3457</v>
      </c>
      <c r="G629" s="19" t="s">
        <v>3458</v>
      </c>
      <c r="H629" s="24">
        <v>24</v>
      </c>
      <c r="I629" s="24">
        <v>42.5</v>
      </c>
      <c r="J629" s="24">
        <f>MAX(H629,ROUNDUP(I629,0))</f>
        <v>43</v>
      </c>
      <c r="K629" s="22">
        <f>IF(C629="covered",10.4,7.55)</f>
        <v>10.4</v>
      </c>
      <c r="L629" s="18" t="s">
        <v>3459</v>
      </c>
      <c r="M629" s="24">
        <v>43</v>
      </c>
      <c r="N629" s="22">
        <v>10.4</v>
      </c>
      <c r="O629" s="22">
        <v>447.2</v>
      </c>
      <c r="P629" s="22">
        <f>J629*K629</f>
        <v>447.2</v>
      </c>
      <c r="Q629" s="22">
        <f>IF(L629="","",N629-K629)</f>
        <v>0.0</v>
      </c>
      <c r="R629" s="24">
        <f>IF(L629="","",M629-J629)</f>
        <v>0.0</v>
      </c>
      <c r="S629" s="22">
        <f>IF(L629="",-P629,O629-P629)</f>
        <v>0.0</v>
      </c>
      <c r="T629" s="11" t="str">
        <f>IF(L629="","NO BILL IN SUPPLIED EXPORT",IF(ABS(Q629)&gt;0.001,"RATE EXCEPTION",IF(ABS(R629)&gt;0.001,"LENGTH EXCEPTION",IF(ABS(S629)&gt;0.01,"AMOUNT EXCEPTION","OK"))))</f>
        <v>OK</v>
      </c>
      <c r="U629" s="19" t="s">
        <v>3460</v>
      </c>
    </row>
    <row r="630" spans="1:21" ht="28" customHeight="1">
      <c r="A630" s="14" t="s">
        <v>3461</v>
      </c>
      <c r="B630" s="14" t="s">
        <v>191</v>
      </c>
      <c r="C630" s="14" t="s">
        <v>2515</v>
      </c>
      <c r="D630" s="14" t="s">
        <v>227</v>
      </c>
      <c r="E630" s="14" t="s">
        <v>3462</v>
      </c>
      <c r="F630" s="15" t="s">
        <v>3463</v>
      </c>
      <c r="G630" s="15" t="s">
        <v>2306</v>
      </c>
      <c r="H630" s="24">
        <v>40</v>
      </c>
      <c r="I630" s="24">
        <v>48.1</v>
      </c>
      <c r="J630" s="24">
        <f>MAX(H630,ROUNDUP(I630,0))</f>
        <v>49</v>
      </c>
      <c r="K630" s="22">
        <f>IF(C630="covered",10.4,7.55)</f>
        <v>10.4</v>
      </c>
      <c r="L630" s="14" t="s">
        <v>3464</v>
      </c>
      <c r="M630" s="24">
        <v>49</v>
      </c>
      <c r="N630" s="22">
        <v>10.4</v>
      </c>
      <c r="O630" s="22">
        <v>509.6</v>
      </c>
      <c r="P630" s="22">
        <f>J630*K630</f>
        <v>509.6</v>
      </c>
      <c r="Q630" s="22">
        <f>IF(L630="","",N630-K630)</f>
        <v>0.0</v>
      </c>
      <c r="R630" s="24">
        <f>IF(L630="","",M630-J630)</f>
        <v>0.0</v>
      </c>
      <c r="S630" s="22">
        <f>IF(L630="",-P630,O630-P630)</f>
        <v>0.0</v>
      </c>
      <c r="T630" s="11" t="str">
        <f>IF(L630="","NO BILL IN SUPPLIED EXPORT",IF(ABS(Q630)&gt;0.001,"RATE EXCEPTION",IF(ABS(R630)&gt;0.001,"LENGTH EXCEPTION",IF(ABS(S630)&gt;0.01,"AMOUNT EXCEPTION","OK"))))</f>
        <v>OK</v>
      </c>
      <c r="U630" s="15" t="s">
        <v>3465</v>
      </c>
    </row>
    <row r="631" spans="1:21" ht="28" customHeight="1">
      <c r="A631" s="18" t="s">
        <v>3466</v>
      </c>
      <c r="B631" s="18" t="s">
        <v>191</v>
      </c>
      <c r="C631" s="18" t="s">
        <v>2515</v>
      </c>
      <c r="D631" s="18" t="s">
        <v>227</v>
      </c>
      <c r="E631" s="18" t="s">
        <v>3467</v>
      </c>
      <c r="F631" s="19" t="s">
        <v>3468</v>
      </c>
      <c r="G631" s="19" t="s">
        <v>3469</v>
      </c>
      <c r="H631" s="24">
        <v>40</v>
      </c>
      <c r="I631" s="24">
        <v>24.3</v>
      </c>
      <c r="J631" s="24">
        <f>MAX(H631,ROUNDUP(I631,0))</f>
        <v>40.0</v>
      </c>
      <c r="K631" s="22">
        <f>IF(C631="covered",10.4,7.55)</f>
        <v>10.4</v>
      </c>
      <c r="L631" s="18" t="s">
        <v>3470</v>
      </c>
      <c r="M631" s="24">
        <v>40</v>
      </c>
      <c r="N631" s="22">
        <v>10.4</v>
      </c>
      <c r="O631" s="22">
        <v>416</v>
      </c>
      <c r="P631" s="22">
        <f>J631*K631</f>
        <v>416.0</v>
      </c>
      <c r="Q631" s="22">
        <f>IF(L631="","",N631-K631)</f>
        <v>0.0</v>
      </c>
      <c r="R631" s="24">
        <f>IF(L631="","",M631-J631)</f>
        <v>0.0</v>
      </c>
      <c r="S631" s="22">
        <f>IF(L631="",-P631,O631-P631)</f>
        <v>0.0</v>
      </c>
      <c r="T631" s="11" t="str">
        <f>IF(L631="","NO BILL IN SUPPLIED EXPORT",IF(ABS(Q631)&gt;0.001,"RATE EXCEPTION",IF(ABS(R631)&gt;0.001,"LENGTH EXCEPTION",IF(ABS(S631)&gt;0.01,"AMOUNT EXCEPTION","OK"))))</f>
        <v>OK</v>
      </c>
      <c r="U631" s="19" t="s">
        <v>3471</v>
      </c>
    </row>
    <row r="632" spans="1:21" ht="28" customHeight="1">
      <c r="A632" s="14" t="s">
        <v>3472</v>
      </c>
      <c r="B632" s="14" t="s">
        <v>191</v>
      </c>
      <c r="C632" s="14" t="s">
        <v>2515</v>
      </c>
      <c r="D632" s="14" t="s">
        <v>227</v>
      </c>
      <c r="E632" s="14" t="s">
        <v>3473</v>
      </c>
      <c r="F632" s="15" t="s">
        <v>3474</v>
      </c>
      <c r="G632" s="15" t="s">
        <v>1856</v>
      </c>
      <c r="H632" s="24">
        <v>32</v>
      </c>
      <c r="I632" s="24">
        <v>57.6</v>
      </c>
      <c r="J632" s="24">
        <f>MAX(H632,ROUNDUP(I632,0))</f>
        <v>58</v>
      </c>
      <c r="K632" s="22">
        <f>IF(C632="covered",10.4,7.55)</f>
        <v>10.4</v>
      </c>
      <c r="L632" s="14" t="s">
        <v>3475</v>
      </c>
      <c r="M632" s="24">
        <v>58</v>
      </c>
      <c r="N632" s="22">
        <v>10.4</v>
      </c>
      <c r="O632" s="22">
        <v>603.2</v>
      </c>
      <c r="P632" s="22">
        <f>J632*K632</f>
        <v>603.2</v>
      </c>
      <c r="Q632" s="22">
        <f>IF(L632="","",N632-K632)</f>
        <v>0.0</v>
      </c>
      <c r="R632" s="24">
        <f>IF(L632="","",M632-J632)</f>
        <v>0.0</v>
      </c>
      <c r="S632" s="22">
        <f>IF(L632="",-P632,O632-P632)</f>
        <v>0.0</v>
      </c>
      <c r="T632" s="11" t="str">
        <f>IF(L632="","NO BILL IN SUPPLIED EXPORT",IF(ABS(Q632)&gt;0.001,"RATE EXCEPTION",IF(ABS(R632)&gt;0.001,"LENGTH EXCEPTION",IF(ABS(S632)&gt;0.01,"AMOUNT EXCEPTION","OK"))))</f>
        <v>OK</v>
      </c>
      <c r="U632" s="15" t="s">
        <v>3476</v>
      </c>
    </row>
    <row r="633" spans="1:21" ht="28" customHeight="1">
      <c r="A633" s="18" t="s">
        <v>3477</v>
      </c>
      <c r="B633" s="18" t="s">
        <v>191</v>
      </c>
      <c r="C633" s="18" t="s">
        <v>2515</v>
      </c>
      <c r="D633" s="18" t="s">
        <v>227</v>
      </c>
      <c r="E633" s="18" t="s">
        <v>3478</v>
      </c>
      <c r="F633" s="19" t="s">
        <v>3479</v>
      </c>
      <c r="G633" s="19" t="s">
        <v>618</v>
      </c>
      <c r="H633" s="24">
        <v>36</v>
      </c>
      <c r="I633" s="24">
        <v>20.2</v>
      </c>
      <c r="J633" s="24">
        <f>MAX(H633,ROUNDUP(I633,0))</f>
        <v>36.0</v>
      </c>
      <c r="K633" s="22">
        <f>IF(C633="covered",10.4,7.55)</f>
        <v>10.4</v>
      </c>
      <c r="L633" s="18" t="s">
        <v>3480</v>
      </c>
      <c r="M633" s="24">
        <v>36</v>
      </c>
      <c r="N633" s="22">
        <v>10.4</v>
      </c>
      <c r="O633" s="22">
        <v>374.4</v>
      </c>
      <c r="P633" s="22">
        <f>J633*K633</f>
        <v>374.40000000000003</v>
      </c>
      <c r="Q633" s="22">
        <f>IF(L633="","",N633-K633)</f>
        <v>0.0</v>
      </c>
      <c r="R633" s="24">
        <f>IF(L633="","",M633-J633)</f>
        <v>0.0</v>
      </c>
      <c r="S633" s="22">
        <f>IF(L633="",-P633,O633-P633)</f>
        <v>-5.684341886080802e-14</v>
      </c>
      <c r="T633" s="11" t="str">
        <f>IF(L633="","NO BILL IN SUPPLIED EXPORT",IF(ABS(Q633)&gt;0.001,"RATE EXCEPTION",IF(ABS(R633)&gt;0.001,"LENGTH EXCEPTION",IF(ABS(S633)&gt;0.01,"AMOUNT EXCEPTION","OK"))))</f>
        <v>OK</v>
      </c>
      <c r="U633" s="19" t="s">
        <v>3481</v>
      </c>
    </row>
    <row r="634" spans="1:21" ht="28" customHeight="1">
      <c r="A634" s="14" t="s">
        <v>3482</v>
      </c>
      <c r="B634" s="14" t="s">
        <v>191</v>
      </c>
      <c r="C634" s="14" t="s">
        <v>2515</v>
      </c>
      <c r="D634" s="14" t="s">
        <v>227</v>
      </c>
      <c r="E634" s="14" t="s">
        <v>3483</v>
      </c>
      <c r="F634" s="15" t="s">
        <v>3484</v>
      </c>
      <c r="G634" s="15" t="s">
        <v>3485</v>
      </c>
      <c r="H634" s="24">
        <v>32</v>
      </c>
      <c r="I634" s="24">
        <v>61.6</v>
      </c>
      <c r="J634" s="24">
        <f>MAX(H634,ROUNDUP(I634,0))</f>
        <v>62</v>
      </c>
      <c r="K634" s="22">
        <f>IF(C634="covered",10.4,7.55)</f>
        <v>10.4</v>
      </c>
      <c r="L634" s="14" t="s">
        <v>3486</v>
      </c>
      <c r="M634" s="24">
        <v>62</v>
      </c>
      <c r="N634" s="22">
        <v>10.4</v>
      </c>
      <c r="O634" s="22">
        <v>644.8</v>
      </c>
      <c r="P634" s="22">
        <f>J634*K634</f>
        <v>644.8000000000001</v>
      </c>
      <c r="Q634" s="22">
        <f>IF(L634="","",N634-K634)</f>
        <v>0.0</v>
      </c>
      <c r="R634" s="24">
        <f>IF(L634="","",M634-J634)</f>
        <v>0.0</v>
      </c>
      <c r="S634" s="22">
        <f>IF(L634="",-P634,O634-P634)</f>
        <v>-1.1368683772161603e-13</v>
      </c>
      <c r="T634" s="11" t="str">
        <f>IF(L634="","NO BILL IN SUPPLIED EXPORT",IF(ABS(Q634)&gt;0.001,"RATE EXCEPTION",IF(ABS(R634)&gt;0.001,"LENGTH EXCEPTION",IF(ABS(S634)&gt;0.01,"AMOUNT EXCEPTION","OK"))))</f>
        <v>OK</v>
      </c>
      <c r="U634" s="15" t="s">
        <v>3487</v>
      </c>
    </row>
    <row r="635" spans="1:21" ht="28" customHeight="1">
      <c r="A635" s="18" t="s">
        <v>3488</v>
      </c>
      <c r="B635" s="18" t="s">
        <v>191</v>
      </c>
      <c r="C635" s="18" t="s">
        <v>2515</v>
      </c>
      <c r="D635" s="18" t="s">
        <v>227</v>
      </c>
      <c r="E635" s="18" t="s">
        <v>3489</v>
      </c>
      <c r="F635" s="19" t="s">
        <v>3490</v>
      </c>
      <c r="G635" s="19" t="s">
        <v>2761</v>
      </c>
      <c r="H635" s="24">
        <v>36</v>
      </c>
      <c r="I635" s="24">
        <v>53.6</v>
      </c>
      <c r="J635" s="24">
        <f>MAX(H635,ROUNDUP(I635,0))</f>
        <v>54</v>
      </c>
      <c r="K635" s="22">
        <f>IF(C635="covered",10.4,7.55)</f>
        <v>10.4</v>
      </c>
      <c r="L635" s="18" t="s">
        <v>3491</v>
      </c>
      <c r="M635" s="24">
        <v>54</v>
      </c>
      <c r="N635" s="22">
        <v>10.4</v>
      </c>
      <c r="O635" s="22">
        <v>561.6</v>
      </c>
      <c r="P635" s="22">
        <f>J635*K635</f>
        <v>561.6</v>
      </c>
      <c r="Q635" s="22">
        <f>IF(L635="","",N635-K635)</f>
        <v>0.0</v>
      </c>
      <c r="R635" s="24">
        <f>IF(L635="","",M635-J635)</f>
        <v>0.0</v>
      </c>
      <c r="S635" s="22">
        <f>IF(L635="",-P635,O635-P635)</f>
        <v>0.0</v>
      </c>
      <c r="T635" s="11" t="str">
        <f>IF(L635="","NO BILL IN SUPPLIED EXPORT",IF(ABS(Q635)&gt;0.001,"RATE EXCEPTION",IF(ABS(R635)&gt;0.001,"LENGTH EXCEPTION",IF(ABS(S635)&gt;0.01,"AMOUNT EXCEPTION","OK"))))</f>
        <v>OK</v>
      </c>
      <c r="U635" s="19" t="s">
        <v>3492</v>
      </c>
    </row>
    <row r="636" spans="1:21" ht="28" customHeight="1">
      <c r="A636" s="14" t="s">
        <v>3493</v>
      </c>
      <c r="B636" s="14" t="s">
        <v>191</v>
      </c>
      <c r="C636" s="14" t="s">
        <v>2515</v>
      </c>
      <c r="D636" s="14" t="s">
        <v>227</v>
      </c>
      <c r="E636" s="14" t="s">
        <v>3494</v>
      </c>
      <c r="F636" s="15" t="s">
        <v>3495</v>
      </c>
      <c r="G636" s="15" t="s">
        <v>3496</v>
      </c>
      <c r="H636" s="24">
        <v>28</v>
      </c>
      <c r="I636" s="24">
        <v>57.3</v>
      </c>
      <c r="J636" s="24">
        <f>MAX(H636,ROUNDUP(I636,0))</f>
        <v>58</v>
      </c>
      <c r="K636" s="22">
        <f>IF(C636="covered",10.4,7.55)</f>
        <v>10.4</v>
      </c>
      <c r="L636" s="14" t="s">
        <v>3497</v>
      </c>
      <c r="M636" s="24">
        <v>58</v>
      </c>
      <c r="N636" s="22">
        <v>10.4</v>
      </c>
      <c r="O636" s="22">
        <v>603.2</v>
      </c>
      <c r="P636" s="22">
        <f>J636*K636</f>
        <v>603.2</v>
      </c>
      <c r="Q636" s="22">
        <f>IF(L636="","",N636-K636)</f>
        <v>0.0</v>
      </c>
      <c r="R636" s="24">
        <f>IF(L636="","",M636-J636)</f>
        <v>0.0</v>
      </c>
      <c r="S636" s="22">
        <f>IF(L636="",-P636,O636-P636)</f>
        <v>0.0</v>
      </c>
      <c r="T636" s="11" t="str">
        <f>IF(L636="","NO BILL IN SUPPLIED EXPORT",IF(ABS(Q636)&gt;0.001,"RATE EXCEPTION",IF(ABS(R636)&gt;0.001,"LENGTH EXCEPTION",IF(ABS(S636)&gt;0.01,"AMOUNT EXCEPTION","OK"))))</f>
        <v>OK</v>
      </c>
      <c r="U636" s="15" t="s">
        <v>3498</v>
      </c>
    </row>
    <row r="637" spans="1:21" ht="28" customHeight="1">
      <c r="A637" s="18" t="s">
        <v>3499</v>
      </c>
      <c r="B637" s="18" t="s">
        <v>191</v>
      </c>
      <c r="C637" s="18" t="s">
        <v>2515</v>
      </c>
      <c r="D637" s="18" t="s">
        <v>227</v>
      </c>
      <c r="E637" s="18" t="s">
        <v>3500</v>
      </c>
      <c r="F637" s="19" t="s">
        <v>3501</v>
      </c>
      <c r="G637" s="19" t="s">
        <v>1393</v>
      </c>
      <c r="H637" s="24">
        <v>24</v>
      </c>
      <c r="I637" s="24">
        <v>45.7</v>
      </c>
      <c r="J637" s="24">
        <f>MAX(H637,ROUNDUP(I637,0))</f>
        <v>46</v>
      </c>
      <c r="K637" s="22">
        <f>IF(C637="covered",10.4,7.55)</f>
        <v>10.4</v>
      </c>
      <c r="L637" s="18" t="s">
        <v>3502</v>
      </c>
      <c r="M637" s="24">
        <v>46</v>
      </c>
      <c r="N637" s="22">
        <v>10.4</v>
      </c>
      <c r="O637" s="22">
        <v>478.4</v>
      </c>
      <c r="P637" s="22">
        <f>J637*K637</f>
        <v>478.40000000000003</v>
      </c>
      <c r="Q637" s="22">
        <f>IF(L637="","",N637-K637)</f>
        <v>0.0</v>
      </c>
      <c r="R637" s="24">
        <f>IF(L637="","",M637-J637)</f>
        <v>0.0</v>
      </c>
      <c r="S637" s="22">
        <f>IF(L637="",-P637,O637-P637)</f>
        <v>-5.684341886080802e-14</v>
      </c>
      <c r="T637" s="11" t="str">
        <f>IF(L637="","NO BILL IN SUPPLIED EXPORT",IF(ABS(Q637)&gt;0.001,"RATE EXCEPTION",IF(ABS(R637)&gt;0.001,"LENGTH EXCEPTION",IF(ABS(S637)&gt;0.01,"AMOUNT EXCEPTION","OK"))))</f>
        <v>OK</v>
      </c>
      <c r="U637" s="19" t="s">
        <v>3503</v>
      </c>
    </row>
    <row r="638" spans="1:21" ht="28" customHeight="1">
      <c r="A638" s="14" t="s">
        <v>3504</v>
      </c>
      <c r="B638" s="14" t="s">
        <v>191</v>
      </c>
      <c r="C638" s="14" t="s">
        <v>2515</v>
      </c>
      <c r="D638" s="14" t="s">
        <v>227</v>
      </c>
      <c r="E638" s="14" t="s">
        <v>3505</v>
      </c>
      <c r="F638" s="15" t="s">
        <v>3506</v>
      </c>
      <c r="G638" s="15" t="s">
        <v>2547</v>
      </c>
      <c r="H638" s="24">
        <v>28</v>
      </c>
      <c r="I638" s="24">
        <v>49.9</v>
      </c>
      <c r="J638" s="24">
        <f>MAX(H638,ROUNDUP(I638,0))</f>
        <v>50</v>
      </c>
      <c r="K638" s="22">
        <f>IF(C638="covered",10.4,7.55)</f>
        <v>10.4</v>
      </c>
      <c r="L638" s="14" t="s">
        <v>3507</v>
      </c>
      <c r="M638" s="24">
        <v>50</v>
      </c>
      <c r="N638" s="22">
        <v>10.4</v>
      </c>
      <c r="O638" s="22">
        <v>520</v>
      </c>
      <c r="P638" s="22">
        <f>J638*K638</f>
        <v>520.0</v>
      </c>
      <c r="Q638" s="22">
        <f>IF(L638="","",N638-K638)</f>
        <v>0.0</v>
      </c>
      <c r="R638" s="24">
        <f>IF(L638="","",M638-J638)</f>
        <v>0.0</v>
      </c>
      <c r="S638" s="22">
        <f>IF(L638="",-P638,O638-P638)</f>
        <v>0.0</v>
      </c>
      <c r="T638" s="11" t="str">
        <f>IF(L638="","NO BILL IN SUPPLIED EXPORT",IF(ABS(Q638)&gt;0.001,"RATE EXCEPTION",IF(ABS(R638)&gt;0.001,"LENGTH EXCEPTION",IF(ABS(S638)&gt;0.01,"AMOUNT EXCEPTION","OK"))))</f>
        <v>OK</v>
      </c>
      <c r="U638" s="15" t="s">
        <v>3508</v>
      </c>
    </row>
    <row r="639" spans="1:21" ht="28" customHeight="1">
      <c r="A639" s="18" t="s">
        <v>3509</v>
      </c>
      <c r="B639" s="18" t="s">
        <v>191</v>
      </c>
      <c r="C639" s="18" t="s">
        <v>2515</v>
      </c>
      <c r="D639" s="18" t="s">
        <v>227</v>
      </c>
      <c r="E639" s="18" t="s">
        <v>3510</v>
      </c>
      <c r="F639" s="19" t="s">
        <v>3511</v>
      </c>
      <c r="G639" s="19" t="s">
        <v>3512</v>
      </c>
      <c r="H639" s="24">
        <v>24</v>
      </c>
      <c r="I639" s="24">
        <v>46.7</v>
      </c>
      <c r="J639" s="24">
        <f>MAX(H639,ROUNDUP(I639,0))</f>
        <v>47</v>
      </c>
      <c r="K639" s="22">
        <f>IF(C639="covered",10.4,7.55)</f>
        <v>10.4</v>
      </c>
      <c r="L639" s="18" t="s">
        <v>3513</v>
      </c>
      <c r="M639" s="24">
        <v>47</v>
      </c>
      <c r="N639" s="22">
        <v>10.4</v>
      </c>
      <c r="O639" s="22">
        <v>488.8</v>
      </c>
      <c r="P639" s="22">
        <f>J639*K639</f>
        <v>488.8</v>
      </c>
      <c r="Q639" s="22">
        <f>IF(L639="","",N639-K639)</f>
        <v>0.0</v>
      </c>
      <c r="R639" s="24">
        <f>IF(L639="","",M639-J639)</f>
        <v>0.0</v>
      </c>
      <c r="S639" s="22">
        <f>IF(L639="",-P639,O639-P639)</f>
        <v>0.0</v>
      </c>
      <c r="T639" s="11" t="str">
        <f>IF(L639="","NO BILL IN SUPPLIED EXPORT",IF(ABS(Q639)&gt;0.001,"RATE EXCEPTION",IF(ABS(R639)&gt;0.001,"LENGTH EXCEPTION",IF(ABS(S639)&gt;0.01,"AMOUNT EXCEPTION","OK"))))</f>
        <v>OK</v>
      </c>
      <c r="U639" s="19" t="s">
        <v>3514</v>
      </c>
    </row>
    <row r="640" spans="1:21" ht="28" customHeight="1">
      <c r="A640" s="14" t="s">
        <v>3515</v>
      </c>
      <c r="B640" s="14" t="s">
        <v>191</v>
      </c>
      <c r="C640" s="14" t="s">
        <v>2515</v>
      </c>
      <c r="D640" s="14" t="s">
        <v>227</v>
      </c>
      <c r="E640" s="14" t="s">
        <v>3516</v>
      </c>
      <c r="F640" s="15" t="s">
        <v>3517</v>
      </c>
      <c r="G640" s="15" t="s">
        <v>1240</v>
      </c>
      <c r="H640" s="24">
        <v>28</v>
      </c>
      <c r="I640" s="24">
        <v>38</v>
      </c>
      <c r="J640" s="24">
        <f>MAX(H640,ROUNDUP(I640,0))</f>
        <v>38</v>
      </c>
      <c r="K640" s="22">
        <f>IF(C640="covered",10.4,7.55)</f>
        <v>10.4</v>
      </c>
      <c r="L640" s="14" t="s">
        <v>3518</v>
      </c>
      <c r="M640" s="24">
        <v>38</v>
      </c>
      <c r="N640" s="22">
        <v>10.4</v>
      </c>
      <c r="O640" s="22">
        <v>395.2</v>
      </c>
      <c r="P640" s="22">
        <f>J640*K640</f>
        <v>395.2</v>
      </c>
      <c r="Q640" s="22">
        <f>IF(L640="","",N640-K640)</f>
        <v>0.0</v>
      </c>
      <c r="R640" s="24">
        <f>IF(L640="","",M640-J640)</f>
        <v>0.0</v>
      </c>
      <c r="S640" s="22">
        <f>IF(L640="",-P640,O640-P640)</f>
        <v>0.0</v>
      </c>
      <c r="T640" s="11" t="str">
        <f>IF(L640="","NO BILL IN SUPPLIED EXPORT",IF(ABS(Q640)&gt;0.001,"RATE EXCEPTION",IF(ABS(R640)&gt;0.001,"LENGTH EXCEPTION",IF(ABS(S640)&gt;0.01,"AMOUNT EXCEPTION","OK"))))</f>
        <v>OK</v>
      </c>
      <c r="U640" s="15" t="s">
        <v>3519</v>
      </c>
    </row>
    <row r="641" spans="1:21" ht="28" customHeight="1">
      <c r="A641" s="18" t="s">
        <v>3520</v>
      </c>
      <c r="B641" s="18" t="s">
        <v>191</v>
      </c>
      <c r="C641" s="18" t="s">
        <v>2515</v>
      </c>
      <c r="D641" s="18" t="s">
        <v>227</v>
      </c>
      <c r="E641" s="18" t="s">
        <v>3521</v>
      </c>
      <c r="F641" s="19" t="s">
        <v>3522</v>
      </c>
      <c r="G641" s="19" t="s">
        <v>3523</v>
      </c>
      <c r="H641" s="24">
        <v>24</v>
      </c>
      <c r="I641" s="24">
        <v>43.3</v>
      </c>
      <c r="J641" s="24">
        <f>MAX(H641,ROUNDUP(I641,0))</f>
        <v>44</v>
      </c>
      <c r="K641" s="22">
        <f>IF(C641="covered",10.4,7.55)</f>
        <v>10.4</v>
      </c>
      <c r="L641" s="18" t="s">
        <v>3524</v>
      </c>
      <c r="M641" s="24">
        <v>44</v>
      </c>
      <c r="N641" s="22">
        <v>10.4</v>
      </c>
      <c r="O641" s="22">
        <v>457.6</v>
      </c>
      <c r="P641" s="22">
        <f>J641*K641</f>
        <v>457.6</v>
      </c>
      <c r="Q641" s="22">
        <f>IF(L641="","",N641-K641)</f>
        <v>0.0</v>
      </c>
      <c r="R641" s="24">
        <f>IF(L641="","",M641-J641)</f>
        <v>0.0</v>
      </c>
      <c r="S641" s="22">
        <f>IF(L641="",-P641,O641-P641)</f>
        <v>0.0</v>
      </c>
      <c r="T641" s="11" t="str">
        <f>IF(L641="","NO BILL IN SUPPLIED EXPORT",IF(ABS(Q641)&gt;0.001,"RATE EXCEPTION",IF(ABS(R641)&gt;0.001,"LENGTH EXCEPTION",IF(ABS(S641)&gt;0.01,"AMOUNT EXCEPTION","OK"))))</f>
        <v>OK</v>
      </c>
      <c r="U641" s="19" t="s">
        <v>3525</v>
      </c>
    </row>
    <row r="642" spans="1:21" ht="28" customHeight="1">
      <c r="A642" s="14" t="s">
        <v>3526</v>
      </c>
      <c r="B642" s="14" t="s">
        <v>191</v>
      </c>
      <c r="C642" s="14" t="s">
        <v>2515</v>
      </c>
      <c r="D642" s="14" t="s">
        <v>227</v>
      </c>
      <c r="E642" s="14" t="s">
        <v>3527</v>
      </c>
      <c r="F642" s="15" t="s">
        <v>3528</v>
      </c>
      <c r="G642" s="15" t="s">
        <v>2943</v>
      </c>
      <c r="H642" s="24">
        <v>32</v>
      </c>
      <c r="I642" s="24">
        <v>32.6</v>
      </c>
      <c r="J642" s="24">
        <f>MAX(H642,ROUNDUP(I642,0))</f>
        <v>33</v>
      </c>
      <c r="K642" s="22">
        <f>IF(C642="covered",10.4,7.55)</f>
        <v>10.4</v>
      </c>
      <c r="L642" s="14" t="s">
        <v>3529</v>
      </c>
      <c r="M642" s="24">
        <v>33</v>
      </c>
      <c r="N642" s="22">
        <v>10.4</v>
      </c>
      <c r="O642" s="22">
        <v>343.2</v>
      </c>
      <c r="P642" s="22">
        <f>J642*K642</f>
        <v>343.2</v>
      </c>
      <c r="Q642" s="22">
        <f>IF(L642="","",N642-K642)</f>
        <v>0.0</v>
      </c>
      <c r="R642" s="24">
        <f>IF(L642="","",M642-J642)</f>
        <v>0.0</v>
      </c>
      <c r="S642" s="22">
        <f>IF(L642="",-P642,O642-P642)</f>
        <v>0.0</v>
      </c>
      <c r="T642" s="11" t="str">
        <f>IF(L642="","NO BILL IN SUPPLIED EXPORT",IF(ABS(Q642)&gt;0.001,"RATE EXCEPTION",IF(ABS(R642)&gt;0.001,"LENGTH EXCEPTION",IF(ABS(S642)&gt;0.01,"AMOUNT EXCEPTION","OK"))))</f>
        <v>OK</v>
      </c>
      <c r="U642" s="15" t="s">
        <v>3530</v>
      </c>
    </row>
    <row r="643" spans="1:21" ht="28" customHeight="1">
      <c r="A643" s="18" t="s">
        <v>3531</v>
      </c>
      <c r="B643" s="18" t="s">
        <v>191</v>
      </c>
      <c r="C643" s="18" t="s">
        <v>2515</v>
      </c>
      <c r="D643" s="18" t="s">
        <v>227</v>
      </c>
      <c r="E643" s="18" t="s">
        <v>3532</v>
      </c>
      <c r="F643" s="19" t="s">
        <v>3533</v>
      </c>
      <c r="G643" s="19" t="s">
        <v>353</v>
      </c>
      <c r="H643" s="24">
        <v>32</v>
      </c>
      <c r="I643" s="24">
        <v>43.1</v>
      </c>
      <c r="J643" s="24">
        <f>MAX(H643,ROUNDUP(I643,0))</f>
        <v>44</v>
      </c>
      <c r="K643" s="22">
        <f>IF(C643="covered",10.4,7.55)</f>
        <v>10.4</v>
      </c>
      <c r="L643" s="18" t="s">
        <v>3534</v>
      </c>
      <c r="M643" s="24">
        <v>44</v>
      </c>
      <c r="N643" s="22">
        <v>10.4</v>
      </c>
      <c r="O643" s="22">
        <v>457.6</v>
      </c>
      <c r="P643" s="22">
        <f>J643*K643</f>
        <v>457.6</v>
      </c>
      <c r="Q643" s="22">
        <f>IF(L643="","",N643-K643)</f>
        <v>0.0</v>
      </c>
      <c r="R643" s="24">
        <f>IF(L643="","",M643-J643)</f>
        <v>0.0</v>
      </c>
      <c r="S643" s="22">
        <f>IF(L643="",-P643,O643-P643)</f>
        <v>0.0</v>
      </c>
      <c r="T643" s="11" t="str">
        <f>IF(L643="","NO BILL IN SUPPLIED EXPORT",IF(ABS(Q643)&gt;0.001,"RATE EXCEPTION",IF(ABS(R643)&gt;0.001,"LENGTH EXCEPTION",IF(ABS(S643)&gt;0.01,"AMOUNT EXCEPTION","OK"))))</f>
        <v>OK</v>
      </c>
      <c r="U643" s="19" t="s">
        <v>3535</v>
      </c>
    </row>
    <row r="644" spans="1:21" ht="28" customHeight="1">
      <c r="A644" s="14" t="s">
        <v>3536</v>
      </c>
      <c r="B644" s="14" t="s">
        <v>191</v>
      </c>
      <c r="C644" s="14" t="s">
        <v>2515</v>
      </c>
      <c r="D644" s="14" t="s">
        <v>227</v>
      </c>
      <c r="E644" s="14" t="s">
        <v>3537</v>
      </c>
      <c r="F644" s="15" t="s">
        <v>3538</v>
      </c>
      <c r="G644" s="15" t="s">
        <v>547</v>
      </c>
      <c r="H644" s="24">
        <v>40</v>
      </c>
      <c r="I644" s="24">
        <v>35.1</v>
      </c>
      <c r="J644" s="24">
        <f>MAX(H644,ROUNDUP(I644,0))</f>
        <v>40.0</v>
      </c>
      <c r="K644" s="22">
        <f>IF(C644="covered",10.4,7.55)</f>
        <v>10.4</v>
      </c>
      <c r="L644" s="14" t="s">
        <v>3539</v>
      </c>
      <c r="M644" s="24">
        <v>40</v>
      </c>
      <c r="N644" s="22">
        <v>10.4</v>
      </c>
      <c r="O644" s="22">
        <v>416</v>
      </c>
      <c r="P644" s="22">
        <f>J644*K644</f>
        <v>416.0</v>
      </c>
      <c r="Q644" s="22">
        <f>IF(L644="","",N644-K644)</f>
        <v>0.0</v>
      </c>
      <c r="R644" s="24">
        <f>IF(L644="","",M644-J644)</f>
        <v>0.0</v>
      </c>
      <c r="S644" s="22">
        <f>IF(L644="",-P644,O644-P644)</f>
        <v>0.0</v>
      </c>
      <c r="T644" s="11" t="str">
        <f>IF(L644="","NO BILL IN SUPPLIED EXPORT",IF(ABS(Q644)&gt;0.001,"RATE EXCEPTION",IF(ABS(R644)&gt;0.001,"LENGTH EXCEPTION",IF(ABS(S644)&gt;0.01,"AMOUNT EXCEPTION","OK"))))</f>
        <v>OK</v>
      </c>
      <c r="U644" s="15" t="s">
        <v>3540</v>
      </c>
    </row>
    <row r="645" spans="1:21" ht="28" customHeight="1">
      <c r="A645" s="18" t="s">
        <v>3541</v>
      </c>
      <c r="B645" s="18" t="s">
        <v>191</v>
      </c>
      <c r="C645" s="18" t="s">
        <v>2515</v>
      </c>
      <c r="D645" s="18" t="s">
        <v>227</v>
      </c>
      <c r="E645" s="18" t="s">
        <v>3542</v>
      </c>
      <c r="F645" s="19" t="s">
        <v>3543</v>
      </c>
      <c r="G645" s="19" t="s">
        <v>3544</v>
      </c>
      <c r="H645" s="24">
        <v>32</v>
      </c>
      <c r="I645" s="24">
        <v>35.1</v>
      </c>
      <c r="J645" s="24">
        <f>MAX(H645,ROUNDUP(I645,0))</f>
        <v>36</v>
      </c>
      <c r="K645" s="22">
        <f>IF(C645="covered",10.4,7.55)</f>
        <v>10.4</v>
      </c>
      <c r="L645" s="18" t="s">
        <v>3545</v>
      </c>
      <c r="M645" s="24">
        <v>36</v>
      </c>
      <c r="N645" s="22">
        <v>10.4</v>
      </c>
      <c r="O645" s="22">
        <v>374.4</v>
      </c>
      <c r="P645" s="22">
        <f>J645*K645</f>
        <v>374.40000000000003</v>
      </c>
      <c r="Q645" s="22">
        <f>IF(L645="","",N645-K645)</f>
        <v>0.0</v>
      </c>
      <c r="R645" s="24">
        <f>IF(L645="","",M645-J645)</f>
        <v>0.0</v>
      </c>
      <c r="S645" s="22">
        <f>IF(L645="",-P645,O645-P645)</f>
        <v>-5.684341886080802e-14</v>
      </c>
      <c r="T645" s="11" t="str">
        <f>IF(L645="","NO BILL IN SUPPLIED EXPORT",IF(ABS(Q645)&gt;0.001,"RATE EXCEPTION",IF(ABS(R645)&gt;0.001,"LENGTH EXCEPTION",IF(ABS(S645)&gt;0.01,"AMOUNT EXCEPTION","OK"))))</f>
        <v>OK</v>
      </c>
      <c r="U645" s="19" t="s">
        <v>3546</v>
      </c>
    </row>
    <row r="646" spans="1:21" ht="28" customHeight="1">
      <c r="A646" s="14" t="s">
        <v>3547</v>
      </c>
      <c r="B646" s="14" t="s">
        <v>191</v>
      </c>
      <c r="C646" s="14" t="s">
        <v>2515</v>
      </c>
      <c r="D646" s="14" t="s">
        <v>227</v>
      </c>
      <c r="E646" s="14" t="s">
        <v>3548</v>
      </c>
      <c r="F646" s="15" t="s">
        <v>3549</v>
      </c>
      <c r="G646" s="15" t="s">
        <v>3550</v>
      </c>
      <c r="H646" s="24">
        <v>36</v>
      </c>
      <c r="I646" s="24">
        <v>34.5</v>
      </c>
      <c r="J646" s="24">
        <f>MAX(H646,ROUNDUP(I646,0))</f>
        <v>36.0</v>
      </c>
      <c r="K646" s="22">
        <f>IF(C646="covered",10.4,7.55)</f>
        <v>10.4</v>
      </c>
      <c r="L646" s="14" t="s">
        <v>3551</v>
      </c>
      <c r="M646" s="24">
        <v>36</v>
      </c>
      <c r="N646" s="22">
        <v>10.4</v>
      </c>
      <c r="O646" s="22">
        <v>374.4</v>
      </c>
      <c r="P646" s="22">
        <f>J646*K646</f>
        <v>374.40000000000003</v>
      </c>
      <c r="Q646" s="22">
        <f>IF(L646="","",N646-K646)</f>
        <v>0.0</v>
      </c>
      <c r="R646" s="24">
        <f>IF(L646="","",M646-J646)</f>
        <v>0.0</v>
      </c>
      <c r="S646" s="22">
        <f>IF(L646="",-P646,O646-P646)</f>
        <v>-5.684341886080802e-14</v>
      </c>
      <c r="T646" s="11" t="str">
        <f>IF(L646="","NO BILL IN SUPPLIED EXPORT",IF(ABS(Q646)&gt;0.001,"RATE EXCEPTION",IF(ABS(R646)&gt;0.001,"LENGTH EXCEPTION",IF(ABS(S646)&gt;0.01,"AMOUNT EXCEPTION","OK"))))</f>
        <v>OK</v>
      </c>
      <c r="U646" s="15" t="s">
        <v>3552</v>
      </c>
    </row>
    <row r="647" spans="1:21" ht="28" customHeight="1">
      <c r="A647" s="18" t="s">
        <v>3553</v>
      </c>
      <c r="B647" s="18" t="s">
        <v>191</v>
      </c>
      <c r="C647" s="18" t="s">
        <v>2515</v>
      </c>
      <c r="D647" s="18" t="s">
        <v>227</v>
      </c>
      <c r="E647" s="18" t="s">
        <v>3554</v>
      </c>
      <c r="F647" s="19" t="s">
        <v>3555</v>
      </c>
      <c r="G647" s="19" t="s">
        <v>3556</v>
      </c>
      <c r="H647" s="24">
        <v>36</v>
      </c>
      <c r="I647" s="24">
        <v>58.2</v>
      </c>
      <c r="J647" s="24">
        <f>MAX(H647,ROUNDUP(I647,0))</f>
        <v>59</v>
      </c>
      <c r="K647" s="22">
        <f>IF(C647="covered",10.4,7.55)</f>
        <v>10.4</v>
      </c>
      <c r="L647" s="18" t="s">
        <v>3557</v>
      </c>
      <c r="M647" s="24">
        <v>59</v>
      </c>
      <c r="N647" s="22">
        <v>10.4</v>
      </c>
      <c r="O647" s="22">
        <v>613.6</v>
      </c>
      <c r="P647" s="22">
        <f>J647*K647</f>
        <v>613.6</v>
      </c>
      <c r="Q647" s="22">
        <f>IF(L647="","",N647-K647)</f>
        <v>0.0</v>
      </c>
      <c r="R647" s="24">
        <f>IF(L647="","",M647-J647)</f>
        <v>0.0</v>
      </c>
      <c r="S647" s="22">
        <f>IF(L647="",-P647,O647-P647)</f>
        <v>0.0</v>
      </c>
      <c r="T647" s="11" t="str">
        <f>IF(L647="","NO BILL IN SUPPLIED EXPORT",IF(ABS(Q647)&gt;0.001,"RATE EXCEPTION",IF(ABS(R647)&gt;0.001,"LENGTH EXCEPTION",IF(ABS(S647)&gt;0.01,"AMOUNT EXCEPTION","OK"))))</f>
        <v>OK</v>
      </c>
      <c r="U647" s="19" t="s">
        <v>3558</v>
      </c>
    </row>
    <row r="648" spans="1:21" ht="28" customHeight="1">
      <c r="A648" s="14" t="s">
        <v>3559</v>
      </c>
      <c r="B648" s="14" t="s">
        <v>191</v>
      </c>
      <c r="C648" s="14" t="s">
        <v>2515</v>
      </c>
      <c r="D648" s="14" t="s">
        <v>227</v>
      </c>
      <c r="E648" s="14" t="s">
        <v>3560</v>
      </c>
      <c r="F648" s="15" t="s">
        <v>3561</v>
      </c>
      <c r="G648" s="15" t="s">
        <v>2104</v>
      </c>
      <c r="H648" s="24">
        <v>32</v>
      </c>
      <c r="I648" s="24">
        <v>24.5</v>
      </c>
      <c r="J648" s="24">
        <f>MAX(H648,ROUNDUP(I648,0))</f>
        <v>32.0</v>
      </c>
      <c r="K648" s="22">
        <f>IF(C648="covered",10.4,7.55)</f>
        <v>10.4</v>
      </c>
      <c r="L648" s="14" t="s">
        <v>3562</v>
      </c>
      <c r="M648" s="24">
        <v>32</v>
      </c>
      <c r="N648" s="22">
        <v>10.4</v>
      </c>
      <c r="O648" s="22">
        <v>332.8</v>
      </c>
      <c r="P648" s="22">
        <f>J648*K648</f>
        <v>332.8</v>
      </c>
      <c r="Q648" s="22">
        <f>IF(L648="","",N648-K648)</f>
        <v>0.0</v>
      </c>
      <c r="R648" s="24">
        <f>IF(L648="","",M648-J648)</f>
        <v>0.0</v>
      </c>
      <c r="S648" s="22">
        <f>IF(L648="",-P648,O648-P648)</f>
        <v>0.0</v>
      </c>
      <c r="T648" s="11" t="str">
        <f>IF(L648="","NO BILL IN SUPPLIED EXPORT",IF(ABS(Q648)&gt;0.001,"RATE EXCEPTION",IF(ABS(R648)&gt;0.001,"LENGTH EXCEPTION",IF(ABS(S648)&gt;0.01,"AMOUNT EXCEPTION","OK"))))</f>
        <v>OK</v>
      </c>
      <c r="U648" s="15" t="s">
        <v>3563</v>
      </c>
    </row>
    <row r="649" spans="1:21" ht="28" customHeight="1">
      <c r="A649" s="18" t="s">
        <v>3564</v>
      </c>
      <c r="B649" s="18" t="s">
        <v>191</v>
      </c>
      <c r="C649" s="18" t="s">
        <v>2515</v>
      </c>
      <c r="D649" s="18" t="s">
        <v>227</v>
      </c>
      <c r="E649" s="18" t="s">
        <v>3565</v>
      </c>
      <c r="F649" s="19" t="s">
        <v>3566</v>
      </c>
      <c r="G649" s="19" t="s">
        <v>2248</v>
      </c>
      <c r="H649" s="24">
        <v>28</v>
      </c>
      <c r="I649" s="24">
        <v>38.3</v>
      </c>
      <c r="J649" s="24">
        <f>MAX(H649,ROUNDUP(I649,0))</f>
        <v>39</v>
      </c>
      <c r="K649" s="22">
        <f>IF(C649="covered",10.4,7.55)</f>
        <v>10.4</v>
      </c>
      <c r="L649" s="18" t="s">
        <v>3567</v>
      </c>
      <c r="M649" s="24">
        <v>39</v>
      </c>
      <c r="N649" s="22">
        <v>10.4</v>
      </c>
      <c r="O649" s="22">
        <v>405.6</v>
      </c>
      <c r="P649" s="22">
        <f>J649*K649</f>
        <v>405.6</v>
      </c>
      <c r="Q649" s="22">
        <f>IF(L649="","",N649-K649)</f>
        <v>0.0</v>
      </c>
      <c r="R649" s="24">
        <f>IF(L649="","",M649-J649)</f>
        <v>0.0</v>
      </c>
      <c r="S649" s="22">
        <f>IF(L649="",-P649,O649-P649)</f>
        <v>0.0</v>
      </c>
      <c r="T649" s="11" t="str">
        <f>IF(L649="","NO BILL IN SUPPLIED EXPORT",IF(ABS(Q649)&gt;0.001,"RATE EXCEPTION",IF(ABS(R649)&gt;0.001,"LENGTH EXCEPTION",IF(ABS(S649)&gt;0.01,"AMOUNT EXCEPTION","OK"))))</f>
        <v>OK</v>
      </c>
      <c r="U649" s="19" t="s">
        <v>3568</v>
      </c>
    </row>
    <row r="650" spans="1:21" ht="28" customHeight="1">
      <c r="A650" s="14" t="s">
        <v>3569</v>
      </c>
      <c r="B650" s="14" t="s">
        <v>191</v>
      </c>
      <c r="C650" s="14" t="s">
        <v>2515</v>
      </c>
      <c r="D650" s="14" t="s">
        <v>227</v>
      </c>
      <c r="E650" s="14" t="s">
        <v>3570</v>
      </c>
      <c r="F650" s="15" t="s">
        <v>3571</v>
      </c>
      <c r="G650" s="15" t="s">
        <v>3572</v>
      </c>
      <c r="H650" s="24">
        <v>28</v>
      </c>
      <c r="I650" s="24">
        <v>24.8</v>
      </c>
      <c r="J650" s="24">
        <f>MAX(H650,ROUNDUP(I650,0))</f>
        <v>28.0</v>
      </c>
      <c r="K650" s="22">
        <f>IF(C650="covered",10.4,7.55)</f>
        <v>10.4</v>
      </c>
      <c r="L650" s="14" t="s">
        <v>3573</v>
      </c>
      <c r="M650" s="24">
        <v>28</v>
      </c>
      <c r="N650" s="22">
        <v>10.4</v>
      </c>
      <c r="O650" s="22">
        <v>291.2</v>
      </c>
      <c r="P650" s="22">
        <f>J650*K650</f>
        <v>291.2</v>
      </c>
      <c r="Q650" s="22">
        <f>IF(L650="","",N650-K650)</f>
        <v>0.0</v>
      </c>
      <c r="R650" s="24">
        <f>IF(L650="","",M650-J650)</f>
        <v>0.0</v>
      </c>
      <c r="S650" s="22">
        <f>IF(L650="",-P650,O650-P650)</f>
        <v>0.0</v>
      </c>
      <c r="T650" s="11" t="str">
        <f>IF(L650="","NO BILL IN SUPPLIED EXPORT",IF(ABS(Q650)&gt;0.001,"RATE EXCEPTION",IF(ABS(R650)&gt;0.001,"LENGTH EXCEPTION",IF(ABS(S650)&gt;0.01,"AMOUNT EXCEPTION","OK"))))</f>
        <v>OK</v>
      </c>
      <c r="U650" s="15" t="s">
        <v>3574</v>
      </c>
    </row>
    <row r="651" spans="1:21" ht="28" customHeight="1">
      <c r="A651" s="18" t="s">
        <v>3575</v>
      </c>
      <c r="B651" s="18" t="s">
        <v>191</v>
      </c>
      <c r="C651" s="18" t="s">
        <v>2515</v>
      </c>
      <c r="D651" s="18" t="s">
        <v>227</v>
      </c>
      <c r="E651" s="18" t="s">
        <v>3576</v>
      </c>
      <c r="F651" s="19" t="s">
        <v>3577</v>
      </c>
      <c r="G651" s="19" t="s">
        <v>3578</v>
      </c>
      <c r="H651" s="24">
        <v>24</v>
      </c>
      <c r="I651" s="24">
        <v>58</v>
      </c>
      <c r="J651" s="24">
        <f>MAX(H651,ROUNDUP(I651,0))</f>
        <v>58</v>
      </c>
      <c r="K651" s="22">
        <f>IF(C651="covered",10.4,7.55)</f>
        <v>10.4</v>
      </c>
      <c r="L651" s="18" t="s">
        <v>3579</v>
      </c>
      <c r="M651" s="24">
        <v>58</v>
      </c>
      <c r="N651" s="22">
        <v>10.4</v>
      </c>
      <c r="O651" s="22">
        <v>603.2</v>
      </c>
      <c r="P651" s="22">
        <f>J651*K651</f>
        <v>603.2</v>
      </c>
      <c r="Q651" s="22">
        <f>IF(L651="","",N651-K651)</f>
        <v>0.0</v>
      </c>
      <c r="R651" s="24">
        <f>IF(L651="","",M651-J651)</f>
        <v>0.0</v>
      </c>
      <c r="S651" s="22">
        <f>IF(L651="",-P651,O651-P651)</f>
        <v>0.0</v>
      </c>
      <c r="T651" s="11" t="str">
        <f>IF(L651="","NO BILL IN SUPPLIED EXPORT",IF(ABS(Q651)&gt;0.001,"RATE EXCEPTION",IF(ABS(R651)&gt;0.001,"LENGTH EXCEPTION",IF(ABS(S651)&gt;0.01,"AMOUNT EXCEPTION","OK"))))</f>
        <v>OK</v>
      </c>
      <c r="U651" s="19" t="s">
        <v>3580</v>
      </c>
    </row>
    <row r="652" spans="1:21" ht="28" customHeight="1">
      <c r="A652" s="14" t="s">
        <v>3581</v>
      </c>
      <c r="B652" s="14" t="s">
        <v>191</v>
      </c>
      <c r="C652" s="14" t="s">
        <v>2515</v>
      </c>
      <c r="D652" s="14" t="s">
        <v>227</v>
      </c>
      <c r="E652" s="14" t="s">
        <v>3582</v>
      </c>
      <c r="F652" s="15" t="s">
        <v>3583</v>
      </c>
      <c r="G652" s="15" t="s">
        <v>2404</v>
      </c>
      <c r="H652" s="24">
        <v>24</v>
      </c>
      <c r="I652" s="24">
        <v>21</v>
      </c>
      <c r="J652" s="24">
        <f>MAX(H652,ROUNDUP(I652,0))</f>
        <v>24.0</v>
      </c>
      <c r="K652" s="22">
        <f>IF(C652="covered",10.4,7.55)</f>
        <v>10.4</v>
      </c>
      <c r="L652" s="14" t="s">
        <v>3584</v>
      </c>
      <c r="M652" s="24">
        <v>24</v>
      </c>
      <c r="N652" s="22">
        <v>10.4</v>
      </c>
      <c r="O652" s="22">
        <v>249.6</v>
      </c>
      <c r="P652" s="22">
        <f>J652*K652</f>
        <v>249.60000000000002</v>
      </c>
      <c r="Q652" s="22">
        <f>IF(L652="","",N652-K652)</f>
        <v>0.0</v>
      </c>
      <c r="R652" s="24">
        <f>IF(L652="","",M652-J652)</f>
        <v>0.0</v>
      </c>
      <c r="S652" s="22">
        <f>IF(L652="",-P652,O652-P652)</f>
        <v>-2.842170943040401e-14</v>
      </c>
      <c r="T652" s="11" t="str">
        <f>IF(L652="","NO BILL IN SUPPLIED EXPORT",IF(ABS(Q652)&gt;0.001,"RATE EXCEPTION",IF(ABS(R652)&gt;0.001,"LENGTH EXCEPTION",IF(ABS(S652)&gt;0.01,"AMOUNT EXCEPTION","OK"))))</f>
        <v>OK</v>
      </c>
      <c r="U652" s="15" t="s">
        <v>3585</v>
      </c>
    </row>
    <row r="653" spans="1:21" ht="28" customHeight="1">
      <c r="A653" s="18" t="s">
        <v>3586</v>
      </c>
      <c r="B653" s="18" t="s">
        <v>191</v>
      </c>
      <c r="C653" s="18" t="s">
        <v>2515</v>
      </c>
      <c r="D653" s="18" t="s">
        <v>227</v>
      </c>
      <c r="E653" s="18" t="s">
        <v>3587</v>
      </c>
      <c r="F653" s="19" t="s">
        <v>3588</v>
      </c>
      <c r="G653" s="19" t="s">
        <v>2723</v>
      </c>
      <c r="H653" s="24">
        <v>28</v>
      </c>
      <c r="I653" s="24">
        <v>59.9</v>
      </c>
      <c r="J653" s="24">
        <f>MAX(H653,ROUNDUP(I653,0))</f>
        <v>60</v>
      </c>
      <c r="K653" s="22">
        <f>IF(C653="covered",10.4,7.55)</f>
        <v>10.4</v>
      </c>
      <c r="L653" s="18" t="s">
        <v>3589</v>
      </c>
      <c r="M653" s="24">
        <v>60</v>
      </c>
      <c r="N653" s="22">
        <v>10.4</v>
      </c>
      <c r="O653" s="22">
        <v>624</v>
      </c>
      <c r="P653" s="22">
        <f>J653*K653</f>
        <v>624.0</v>
      </c>
      <c r="Q653" s="22">
        <f>IF(L653="","",N653-K653)</f>
        <v>0.0</v>
      </c>
      <c r="R653" s="24">
        <f>IF(L653="","",M653-J653)</f>
        <v>0.0</v>
      </c>
      <c r="S653" s="22">
        <f>IF(L653="",-P653,O653-P653)</f>
        <v>0.0</v>
      </c>
      <c r="T653" s="11" t="str">
        <f>IF(L653="","NO BILL IN SUPPLIED EXPORT",IF(ABS(Q653)&gt;0.001,"RATE EXCEPTION",IF(ABS(R653)&gt;0.001,"LENGTH EXCEPTION",IF(ABS(S653)&gt;0.01,"AMOUNT EXCEPTION","OK"))))</f>
        <v>OK</v>
      </c>
      <c r="U653" s="19" t="s">
        <v>3590</v>
      </c>
    </row>
    <row r="654" spans="1:21" ht="28" customHeight="1">
      <c r="A654" s="14" t="s">
        <v>3591</v>
      </c>
      <c r="B654" s="14" t="s">
        <v>191</v>
      </c>
      <c r="C654" s="14" t="s">
        <v>2515</v>
      </c>
      <c r="D654" s="14" t="s">
        <v>227</v>
      </c>
      <c r="E654" s="14" t="s">
        <v>3592</v>
      </c>
      <c r="F654" s="15" t="s">
        <v>3593</v>
      </c>
      <c r="G654" s="15" t="s">
        <v>3594</v>
      </c>
      <c r="H654" s="24">
        <v>40</v>
      </c>
      <c r="I654" s="24">
        <v>54.4</v>
      </c>
      <c r="J654" s="24">
        <f>MAX(H654,ROUNDUP(I654,0))</f>
        <v>55</v>
      </c>
      <c r="K654" s="22">
        <f>IF(C654="covered",10.4,7.55)</f>
        <v>10.4</v>
      </c>
      <c r="L654" s="14" t="s">
        <v>3595</v>
      </c>
      <c r="M654" s="24">
        <v>55</v>
      </c>
      <c r="N654" s="22">
        <v>10.4</v>
      </c>
      <c r="O654" s="22">
        <v>572</v>
      </c>
      <c r="P654" s="22">
        <f>J654*K654</f>
        <v>572.0</v>
      </c>
      <c r="Q654" s="22">
        <f>IF(L654="","",N654-K654)</f>
        <v>0.0</v>
      </c>
      <c r="R654" s="24">
        <f>IF(L654="","",M654-J654)</f>
        <v>0.0</v>
      </c>
      <c r="S654" s="22">
        <f>IF(L654="",-P654,O654-P654)</f>
        <v>0.0</v>
      </c>
      <c r="T654" s="11" t="str">
        <f>IF(L654="","NO BILL IN SUPPLIED EXPORT",IF(ABS(Q654)&gt;0.001,"RATE EXCEPTION",IF(ABS(R654)&gt;0.001,"LENGTH EXCEPTION",IF(ABS(S654)&gt;0.01,"AMOUNT EXCEPTION","OK"))))</f>
        <v>OK</v>
      </c>
      <c r="U654" s="15" t="s">
        <v>3596</v>
      </c>
    </row>
    <row r="655" spans="1:21" ht="28" customHeight="1">
      <c r="A655" s="18" t="s">
        <v>3597</v>
      </c>
      <c r="B655" s="18" t="s">
        <v>191</v>
      </c>
      <c r="C655" s="18" t="s">
        <v>2515</v>
      </c>
      <c r="D655" s="18" t="s">
        <v>227</v>
      </c>
      <c r="E655" s="18" t="s">
        <v>3598</v>
      </c>
      <c r="F655" s="19" t="s">
        <v>3599</v>
      </c>
      <c r="G655" s="19" t="s">
        <v>3600</v>
      </c>
      <c r="H655" s="24">
        <v>32</v>
      </c>
      <c r="I655" s="24">
        <v>62</v>
      </c>
      <c r="J655" s="24">
        <f>MAX(H655,ROUNDUP(I655,0))</f>
        <v>62</v>
      </c>
      <c r="K655" s="22">
        <f>IF(C655="covered",10.4,7.55)</f>
        <v>10.4</v>
      </c>
      <c r="L655" s="18" t="s">
        <v>3601</v>
      </c>
      <c r="M655" s="24">
        <v>62</v>
      </c>
      <c r="N655" s="22">
        <v>10.4</v>
      </c>
      <c r="O655" s="22">
        <v>644.8</v>
      </c>
      <c r="P655" s="22">
        <f>J655*K655</f>
        <v>644.8000000000001</v>
      </c>
      <c r="Q655" s="22">
        <f>IF(L655="","",N655-K655)</f>
        <v>0.0</v>
      </c>
      <c r="R655" s="24">
        <f>IF(L655="","",M655-J655)</f>
        <v>0.0</v>
      </c>
      <c r="S655" s="22">
        <f>IF(L655="",-P655,O655-P655)</f>
        <v>-1.1368683772161603e-13</v>
      </c>
      <c r="T655" s="11" t="str">
        <f>IF(L655="","NO BILL IN SUPPLIED EXPORT",IF(ABS(Q655)&gt;0.001,"RATE EXCEPTION",IF(ABS(R655)&gt;0.001,"LENGTH EXCEPTION",IF(ABS(S655)&gt;0.01,"AMOUNT EXCEPTION","OK"))))</f>
        <v>OK</v>
      </c>
      <c r="U655" s="19" t="s">
        <v>3602</v>
      </c>
    </row>
    <row r="656" spans="1:21" ht="28" customHeight="1">
      <c r="A656" s="14" t="s">
        <v>3603</v>
      </c>
      <c r="B656" s="14" t="s">
        <v>191</v>
      </c>
      <c r="C656" s="14" t="s">
        <v>2515</v>
      </c>
      <c r="D656" s="14" t="s">
        <v>227</v>
      </c>
      <c r="E656" s="14" t="s">
        <v>3604</v>
      </c>
      <c r="F656" s="15" t="s">
        <v>3605</v>
      </c>
      <c r="G656" s="15" t="s">
        <v>1063</v>
      </c>
      <c r="H656" s="24">
        <v>28</v>
      </c>
      <c r="I656" s="24">
        <v>56.2</v>
      </c>
      <c r="J656" s="24">
        <f>MAX(H656,ROUNDUP(I656,0))</f>
        <v>57</v>
      </c>
      <c r="K656" s="22">
        <f>IF(C656="covered",10.4,7.55)</f>
        <v>10.4</v>
      </c>
      <c r="L656" s="14" t="s">
        <v>3606</v>
      </c>
      <c r="M656" s="24">
        <v>57</v>
      </c>
      <c r="N656" s="22">
        <v>10.4</v>
      </c>
      <c r="O656" s="22">
        <v>592.8</v>
      </c>
      <c r="P656" s="22">
        <f>J656*K656</f>
        <v>592.8000000000001</v>
      </c>
      <c r="Q656" s="22">
        <f>IF(L656="","",N656-K656)</f>
        <v>0.0</v>
      </c>
      <c r="R656" s="24">
        <f>IF(L656="","",M656-J656)</f>
        <v>0.0</v>
      </c>
      <c r="S656" s="22">
        <f>IF(L656="",-P656,O656-P656)</f>
        <v>-1.1368683772161603e-13</v>
      </c>
      <c r="T656" s="11" t="str">
        <f>IF(L656="","NO BILL IN SUPPLIED EXPORT",IF(ABS(Q656)&gt;0.001,"RATE EXCEPTION",IF(ABS(R656)&gt;0.001,"LENGTH EXCEPTION",IF(ABS(S656)&gt;0.01,"AMOUNT EXCEPTION","OK"))))</f>
        <v>OK</v>
      </c>
      <c r="U656" s="15" t="s">
        <v>3607</v>
      </c>
    </row>
    <row r="657" spans="1:21" ht="28" customHeight="1">
      <c r="A657" s="18" t="s">
        <v>3608</v>
      </c>
      <c r="B657" s="18" t="s">
        <v>191</v>
      </c>
      <c r="C657" s="18" t="s">
        <v>2515</v>
      </c>
      <c r="D657" s="18" t="s">
        <v>227</v>
      </c>
      <c r="E657" s="18" t="s">
        <v>3609</v>
      </c>
      <c r="F657" s="19" t="s">
        <v>3610</v>
      </c>
      <c r="G657" s="19" t="s">
        <v>3611</v>
      </c>
      <c r="H657" s="24">
        <v>24</v>
      </c>
      <c r="I657" s="24">
        <v>33.9</v>
      </c>
      <c r="J657" s="24">
        <f>MAX(H657,ROUNDUP(I657,0))</f>
        <v>34</v>
      </c>
      <c r="K657" s="22">
        <f>IF(C657="covered",10.4,7.55)</f>
        <v>10.4</v>
      </c>
      <c r="L657" s="18" t="s">
        <v>3612</v>
      </c>
      <c r="M657" s="24">
        <v>34</v>
      </c>
      <c r="N657" s="22">
        <v>10.4</v>
      </c>
      <c r="O657" s="22">
        <v>353.6</v>
      </c>
      <c r="P657" s="22">
        <f>J657*K657</f>
        <v>353.6</v>
      </c>
      <c r="Q657" s="22">
        <f>IF(L657="","",N657-K657)</f>
        <v>0.0</v>
      </c>
      <c r="R657" s="24">
        <f>IF(L657="","",M657-J657)</f>
        <v>0.0</v>
      </c>
      <c r="S657" s="22">
        <f>IF(L657="",-P657,O657-P657)</f>
        <v>0.0</v>
      </c>
      <c r="T657" s="11" t="str">
        <f>IF(L657="","NO BILL IN SUPPLIED EXPORT",IF(ABS(Q657)&gt;0.001,"RATE EXCEPTION",IF(ABS(R657)&gt;0.001,"LENGTH EXCEPTION",IF(ABS(S657)&gt;0.01,"AMOUNT EXCEPTION","OK"))))</f>
        <v>OK</v>
      </c>
      <c r="U657" s="19" t="s">
        <v>3613</v>
      </c>
    </row>
    <row r="658" spans="1:21" ht="28" customHeight="1">
      <c r="A658" s="14" t="s">
        <v>3614</v>
      </c>
      <c r="B658" s="14" t="s">
        <v>191</v>
      </c>
      <c r="C658" s="14" t="s">
        <v>2515</v>
      </c>
      <c r="D658" s="14" t="s">
        <v>227</v>
      </c>
      <c r="E658" s="14" t="s">
        <v>3615</v>
      </c>
      <c r="F658" s="15" t="s">
        <v>3616</v>
      </c>
      <c r="G658" s="15" t="s">
        <v>692</v>
      </c>
      <c r="H658" s="24">
        <v>28</v>
      </c>
      <c r="I658" s="24">
        <v>38</v>
      </c>
      <c r="J658" s="24">
        <f>MAX(H658,ROUNDUP(I658,0))</f>
        <v>38</v>
      </c>
      <c r="K658" s="22">
        <f>IF(C658="covered",10.4,7.55)</f>
        <v>10.4</v>
      </c>
      <c r="L658" s="14" t="s">
        <v>3617</v>
      </c>
      <c r="M658" s="24">
        <v>38</v>
      </c>
      <c r="N658" s="22">
        <v>10.4</v>
      </c>
      <c r="O658" s="22">
        <v>395.2</v>
      </c>
      <c r="P658" s="22">
        <f>J658*K658</f>
        <v>395.2</v>
      </c>
      <c r="Q658" s="22">
        <f>IF(L658="","",N658-K658)</f>
        <v>0.0</v>
      </c>
      <c r="R658" s="24">
        <f>IF(L658="","",M658-J658)</f>
        <v>0.0</v>
      </c>
      <c r="S658" s="22">
        <f>IF(L658="",-P658,O658-P658)</f>
        <v>0.0</v>
      </c>
      <c r="T658" s="11" t="str">
        <f>IF(L658="","NO BILL IN SUPPLIED EXPORT",IF(ABS(Q658)&gt;0.001,"RATE EXCEPTION",IF(ABS(R658)&gt;0.001,"LENGTH EXCEPTION",IF(ABS(S658)&gt;0.01,"AMOUNT EXCEPTION","OK"))))</f>
        <v>OK</v>
      </c>
      <c r="U658" s="15" t="s">
        <v>3618</v>
      </c>
    </row>
    <row r="659" spans="1:21" ht="28" customHeight="1">
      <c r="A659" s="18" t="s">
        <v>3619</v>
      </c>
      <c r="B659" s="18" t="s">
        <v>191</v>
      </c>
      <c r="C659" s="18" t="s">
        <v>2515</v>
      </c>
      <c r="D659" s="18" t="s">
        <v>227</v>
      </c>
      <c r="E659" s="18" t="s">
        <v>3620</v>
      </c>
      <c r="F659" s="19" t="s">
        <v>3621</v>
      </c>
      <c r="G659" s="19" t="s">
        <v>3622</v>
      </c>
      <c r="H659" s="24">
        <v>36</v>
      </c>
      <c r="I659" s="24">
        <v>19.5</v>
      </c>
      <c r="J659" s="24">
        <f>MAX(H659,ROUNDUP(I659,0))</f>
        <v>36.0</v>
      </c>
      <c r="K659" s="22">
        <f>IF(C659="covered",10.4,7.55)</f>
        <v>10.4</v>
      </c>
      <c r="L659" s="18" t="s">
        <v>3623</v>
      </c>
      <c r="M659" s="24">
        <v>36</v>
      </c>
      <c r="N659" s="22">
        <v>10.4</v>
      </c>
      <c r="O659" s="22">
        <v>374.4</v>
      </c>
      <c r="P659" s="22">
        <f>J659*K659</f>
        <v>374.40000000000003</v>
      </c>
      <c r="Q659" s="22">
        <f>IF(L659="","",N659-K659)</f>
        <v>0.0</v>
      </c>
      <c r="R659" s="24">
        <f>IF(L659="","",M659-J659)</f>
        <v>0.0</v>
      </c>
      <c r="S659" s="22">
        <f>IF(L659="",-P659,O659-P659)</f>
        <v>-5.684341886080802e-14</v>
      </c>
      <c r="T659" s="11" t="str">
        <f>IF(L659="","NO BILL IN SUPPLIED EXPORT",IF(ABS(Q659)&gt;0.001,"RATE EXCEPTION",IF(ABS(R659)&gt;0.001,"LENGTH EXCEPTION",IF(ABS(S659)&gt;0.01,"AMOUNT EXCEPTION","OK"))))</f>
        <v>OK</v>
      </c>
      <c r="U659" s="19" t="s">
        <v>3624</v>
      </c>
    </row>
    <row r="660" spans="1:21" ht="28" customHeight="1">
      <c r="A660" s="14" t="s">
        <v>3625</v>
      </c>
      <c r="B660" s="14" t="s">
        <v>191</v>
      </c>
      <c r="C660" s="14" t="s">
        <v>2515</v>
      </c>
      <c r="D660" s="14" t="s">
        <v>227</v>
      </c>
      <c r="E660" s="14" t="s">
        <v>3626</v>
      </c>
      <c r="F660" s="15" t="s">
        <v>3627</v>
      </c>
      <c r="G660" s="15" t="s">
        <v>3007</v>
      </c>
      <c r="H660" s="24">
        <v>32</v>
      </c>
      <c r="I660" s="24">
        <v>57.9</v>
      </c>
      <c r="J660" s="24">
        <f>MAX(H660,ROUNDUP(I660,0))</f>
        <v>58</v>
      </c>
      <c r="K660" s="22">
        <f>IF(C660="covered",10.4,7.55)</f>
        <v>10.4</v>
      </c>
      <c r="L660" s="14" t="s">
        <v>3628</v>
      </c>
      <c r="M660" s="24">
        <v>58</v>
      </c>
      <c r="N660" s="22">
        <v>10.4</v>
      </c>
      <c r="O660" s="22">
        <v>603.2</v>
      </c>
      <c r="P660" s="22">
        <f>J660*K660</f>
        <v>603.2</v>
      </c>
      <c r="Q660" s="22">
        <f>IF(L660="","",N660-K660)</f>
        <v>0.0</v>
      </c>
      <c r="R660" s="24">
        <f>IF(L660="","",M660-J660)</f>
        <v>0.0</v>
      </c>
      <c r="S660" s="22">
        <f>IF(L660="",-P660,O660-P660)</f>
        <v>0.0</v>
      </c>
      <c r="T660" s="11" t="str">
        <f>IF(L660="","NO BILL IN SUPPLIED EXPORT",IF(ABS(Q660)&gt;0.001,"RATE EXCEPTION",IF(ABS(R660)&gt;0.001,"LENGTH EXCEPTION",IF(ABS(S660)&gt;0.01,"AMOUNT EXCEPTION","OK"))))</f>
        <v>OK</v>
      </c>
      <c r="U660" s="15" t="s">
        <v>3629</v>
      </c>
    </row>
    <row r="661" spans="1:21" ht="28" customHeight="1">
      <c r="A661" s="18" t="s">
        <v>3630</v>
      </c>
      <c r="B661" s="18" t="s">
        <v>191</v>
      </c>
      <c r="C661" s="18" t="s">
        <v>2515</v>
      </c>
      <c r="D661" s="18" t="s">
        <v>227</v>
      </c>
      <c r="E661" s="18" t="s">
        <v>3631</v>
      </c>
      <c r="F661" s="19" t="s">
        <v>3632</v>
      </c>
      <c r="G661" s="19" t="s">
        <v>3394</v>
      </c>
      <c r="H661" s="24">
        <v>32</v>
      </c>
      <c r="I661" s="24">
        <v>58.9</v>
      </c>
      <c r="J661" s="24">
        <f>MAX(H661,ROUNDUP(I661,0))</f>
        <v>59</v>
      </c>
      <c r="K661" s="22">
        <f>IF(C661="covered",10.4,7.55)</f>
        <v>10.4</v>
      </c>
      <c r="L661" s="18" t="s">
        <v>3633</v>
      </c>
      <c r="M661" s="24">
        <v>59</v>
      </c>
      <c r="N661" s="22">
        <v>10.4</v>
      </c>
      <c r="O661" s="22">
        <v>613.6</v>
      </c>
      <c r="P661" s="22">
        <f>J661*K661</f>
        <v>613.6</v>
      </c>
      <c r="Q661" s="22">
        <f>IF(L661="","",N661-K661)</f>
        <v>0.0</v>
      </c>
      <c r="R661" s="24">
        <f>IF(L661="","",M661-J661)</f>
        <v>0.0</v>
      </c>
      <c r="S661" s="22">
        <f>IF(L661="",-P661,O661-P661)</f>
        <v>0.0</v>
      </c>
      <c r="T661" s="11" t="str">
        <f>IF(L661="","NO BILL IN SUPPLIED EXPORT",IF(ABS(Q661)&gt;0.001,"RATE EXCEPTION",IF(ABS(R661)&gt;0.001,"LENGTH EXCEPTION",IF(ABS(S661)&gt;0.01,"AMOUNT EXCEPTION","OK"))))</f>
        <v>OK</v>
      </c>
      <c r="U661" s="19" t="s">
        <v>3634</v>
      </c>
    </row>
    <row r="662" spans="1:21" ht="28" customHeight="1">
      <c r="A662" s="14" t="s">
        <v>3635</v>
      </c>
      <c r="B662" s="14" t="s">
        <v>191</v>
      </c>
      <c r="C662" s="14" t="s">
        <v>2515</v>
      </c>
      <c r="D662" s="14" t="s">
        <v>227</v>
      </c>
      <c r="E662" s="14" t="s">
        <v>3636</v>
      </c>
      <c r="F662" s="15" t="s">
        <v>3637</v>
      </c>
      <c r="G662" s="15" t="s">
        <v>3275</v>
      </c>
      <c r="H662" s="24">
        <v>32</v>
      </c>
      <c r="I662" s="24">
        <v>19.3</v>
      </c>
      <c r="J662" s="24">
        <f>MAX(H662,ROUNDUP(I662,0))</f>
        <v>32.0</v>
      </c>
      <c r="K662" s="22">
        <f>IF(C662="covered",10.4,7.55)</f>
        <v>10.4</v>
      </c>
      <c r="L662" s="14" t="s">
        <v>3638</v>
      </c>
      <c r="M662" s="24">
        <v>32</v>
      </c>
      <c r="N662" s="22">
        <v>10.4</v>
      </c>
      <c r="O662" s="22">
        <v>332.8</v>
      </c>
      <c r="P662" s="22">
        <f>J662*K662</f>
        <v>332.8</v>
      </c>
      <c r="Q662" s="22">
        <f>IF(L662="","",N662-K662)</f>
        <v>0.0</v>
      </c>
      <c r="R662" s="24">
        <f>IF(L662="","",M662-J662)</f>
        <v>0.0</v>
      </c>
      <c r="S662" s="22">
        <f>IF(L662="",-P662,O662-P662)</f>
        <v>0.0</v>
      </c>
      <c r="T662" s="11" t="str">
        <f>IF(L662="","NO BILL IN SUPPLIED EXPORT",IF(ABS(Q662)&gt;0.001,"RATE EXCEPTION",IF(ABS(R662)&gt;0.001,"LENGTH EXCEPTION",IF(ABS(S662)&gt;0.01,"AMOUNT EXCEPTION","OK"))))</f>
        <v>OK</v>
      </c>
      <c r="U662" s="15" t="s">
        <v>3639</v>
      </c>
    </row>
    <row r="663" spans="1:21" ht="28" customHeight="1">
      <c r="A663" s="18" t="s">
        <v>3640</v>
      </c>
      <c r="B663" s="18" t="s">
        <v>191</v>
      </c>
      <c r="C663" s="18" t="s">
        <v>2515</v>
      </c>
      <c r="D663" s="18" t="s">
        <v>227</v>
      </c>
      <c r="E663" s="18" t="s">
        <v>3641</v>
      </c>
      <c r="F663" s="19" t="s">
        <v>3642</v>
      </c>
      <c r="G663" s="19" t="s">
        <v>1174</v>
      </c>
      <c r="H663" s="24">
        <v>32</v>
      </c>
      <c r="I663" s="24">
        <v>61.8</v>
      </c>
      <c r="J663" s="24">
        <f>MAX(H663,ROUNDUP(I663,0))</f>
        <v>62</v>
      </c>
      <c r="K663" s="22">
        <f>IF(C663="covered",10.4,7.55)</f>
        <v>10.4</v>
      </c>
      <c r="L663" s="18" t="s">
        <v>3643</v>
      </c>
      <c r="M663" s="24">
        <v>62</v>
      </c>
      <c r="N663" s="22">
        <v>10.4</v>
      </c>
      <c r="O663" s="22">
        <v>644.8</v>
      </c>
      <c r="P663" s="22">
        <f>J663*K663</f>
        <v>644.8000000000001</v>
      </c>
      <c r="Q663" s="22">
        <f>IF(L663="","",N663-K663)</f>
        <v>0.0</v>
      </c>
      <c r="R663" s="24">
        <f>IF(L663="","",M663-J663)</f>
        <v>0.0</v>
      </c>
      <c r="S663" s="22">
        <f>IF(L663="",-P663,O663-P663)</f>
        <v>-1.1368683772161603e-13</v>
      </c>
      <c r="T663" s="11" t="str">
        <f>IF(L663="","NO BILL IN SUPPLIED EXPORT",IF(ABS(Q663)&gt;0.001,"RATE EXCEPTION",IF(ABS(R663)&gt;0.001,"LENGTH EXCEPTION",IF(ABS(S663)&gt;0.01,"AMOUNT EXCEPTION","OK"))))</f>
        <v>OK</v>
      </c>
      <c r="U663" s="19" t="s">
        <v>3644</v>
      </c>
    </row>
    <row r="664" spans="1:21" ht="28" customHeight="1">
      <c r="A664" s="14" t="s">
        <v>3645</v>
      </c>
      <c r="B664" s="14" t="s">
        <v>191</v>
      </c>
      <c r="C664" s="14" t="s">
        <v>2515</v>
      </c>
      <c r="D664" s="14" t="s">
        <v>227</v>
      </c>
      <c r="E664" s="14" t="s">
        <v>3646</v>
      </c>
      <c r="F664" s="15" t="s">
        <v>3647</v>
      </c>
      <c r="G664" s="15" t="s">
        <v>2158</v>
      </c>
      <c r="H664" s="24">
        <v>24</v>
      </c>
      <c r="I664" s="24">
        <v>40.9</v>
      </c>
      <c r="J664" s="24">
        <f>MAX(H664,ROUNDUP(I664,0))</f>
        <v>41</v>
      </c>
      <c r="K664" s="22">
        <f>IF(C664="covered",10.4,7.55)</f>
        <v>10.4</v>
      </c>
      <c r="L664" s="14" t="s">
        <v>3648</v>
      </c>
      <c r="M664" s="24">
        <v>41</v>
      </c>
      <c r="N664" s="22">
        <v>10.4</v>
      </c>
      <c r="O664" s="22">
        <v>426.4</v>
      </c>
      <c r="P664" s="22">
        <f>J664*K664</f>
        <v>426.40000000000003</v>
      </c>
      <c r="Q664" s="22">
        <f>IF(L664="","",N664-K664)</f>
        <v>0.0</v>
      </c>
      <c r="R664" s="24">
        <f>IF(L664="","",M664-J664)</f>
        <v>0.0</v>
      </c>
      <c r="S664" s="22">
        <f>IF(L664="",-P664,O664-P664)</f>
        <v>-5.684341886080802e-14</v>
      </c>
      <c r="T664" s="11" t="str">
        <f>IF(L664="","NO BILL IN SUPPLIED EXPORT",IF(ABS(Q664)&gt;0.001,"RATE EXCEPTION",IF(ABS(R664)&gt;0.001,"LENGTH EXCEPTION",IF(ABS(S664)&gt;0.01,"AMOUNT EXCEPTION","OK"))))</f>
        <v>OK</v>
      </c>
      <c r="U664" s="15" t="s">
        <v>3649</v>
      </c>
    </row>
    <row r="665" spans="1:21" ht="28" customHeight="1">
      <c r="A665" s="18" t="s">
        <v>3650</v>
      </c>
      <c r="B665" s="18" t="s">
        <v>191</v>
      </c>
      <c r="C665" s="18" t="s">
        <v>2515</v>
      </c>
      <c r="D665" s="18" t="s">
        <v>227</v>
      </c>
      <c r="E665" s="18" t="s">
        <v>3651</v>
      </c>
      <c r="F665" s="19" t="s">
        <v>3652</v>
      </c>
      <c r="G665" s="19" t="s">
        <v>3653</v>
      </c>
      <c r="H665" s="24">
        <v>28</v>
      </c>
      <c r="I665" s="24">
        <v>28.7</v>
      </c>
      <c r="J665" s="24">
        <f>MAX(H665,ROUNDUP(I665,0))</f>
        <v>29</v>
      </c>
      <c r="K665" s="22">
        <f>IF(C665="covered",10.4,7.55)</f>
        <v>10.4</v>
      </c>
      <c r="L665" s="18" t="s">
        <v>3654</v>
      </c>
      <c r="M665" s="24">
        <v>29</v>
      </c>
      <c r="N665" s="22">
        <v>10.4</v>
      </c>
      <c r="O665" s="22">
        <v>301.6</v>
      </c>
      <c r="P665" s="22">
        <f>J665*K665</f>
        <v>301.6</v>
      </c>
      <c r="Q665" s="22">
        <f>IF(L665="","",N665-K665)</f>
        <v>0.0</v>
      </c>
      <c r="R665" s="24">
        <f>IF(L665="","",M665-J665)</f>
        <v>0.0</v>
      </c>
      <c r="S665" s="22">
        <f>IF(L665="",-P665,O665-P665)</f>
        <v>0.0</v>
      </c>
      <c r="T665" s="11" t="str">
        <f>IF(L665="","NO BILL IN SUPPLIED EXPORT",IF(ABS(Q665)&gt;0.001,"RATE EXCEPTION",IF(ABS(R665)&gt;0.001,"LENGTH EXCEPTION",IF(ABS(S665)&gt;0.01,"AMOUNT EXCEPTION","OK"))))</f>
        <v>OK</v>
      </c>
      <c r="U665" s="19" t="s">
        <v>3655</v>
      </c>
    </row>
    <row r="666" spans="1:21" ht="28" customHeight="1">
      <c r="A666" s="14" t="s">
        <v>3656</v>
      </c>
      <c r="B666" s="14" t="s">
        <v>191</v>
      </c>
      <c r="C666" s="14" t="s">
        <v>2515</v>
      </c>
      <c r="D666" s="14" t="s">
        <v>227</v>
      </c>
      <c r="E666" s="14" t="s">
        <v>3657</v>
      </c>
      <c r="F666" s="15" t="s">
        <v>3658</v>
      </c>
      <c r="G666" s="15" t="s">
        <v>2503</v>
      </c>
      <c r="H666" s="24">
        <v>28</v>
      </c>
      <c r="I666" s="24">
        <v>19.5</v>
      </c>
      <c r="J666" s="24">
        <f>MAX(H666,ROUNDUP(I666,0))</f>
        <v>28.0</v>
      </c>
      <c r="K666" s="22">
        <f>IF(C666="covered",10.4,7.55)</f>
        <v>10.4</v>
      </c>
      <c r="L666" s="14" t="s">
        <v>3659</v>
      </c>
      <c r="M666" s="24">
        <v>28</v>
      </c>
      <c r="N666" s="22">
        <v>10.4</v>
      </c>
      <c r="O666" s="22">
        <v>291.2</v>
      </c>
      <c r="P666" s="22">
        <f>J666*K666</f>
        <v>291.2</v>
      </c>
      <c r="Q666" s="22">
        <f>IF(L666="","",N666-K666)</f>
        <v>0.0</v>
      </c>
      <c r="R666" s="24">
        <f>IF(L666="","",M666-J666)</f>
        <v>0.0</v>
      </c>
      <c r="S666" s="22">
        <f>IF(L666="",-P666,O666-P666)</f>
        <v>0.0</v>
      </c>
      <c r="T666" s="11" t="str">
        <f>IF(L666="","NO BILL IN SUPPLIED EXPORT",IF(ABS(Q666)&gt;0.001,"RATE EXCEPTION",IF(ABS(R666)&gt;0.001,"LENGTH EXCEPTION",IF(ABS(S666)&gt;0.01,"AMOUNT EXCEPTION","OK"))))</f>
        <v>OK</v>
      </c>
      <c r="U666" s="15" t="s">
        <v>3660</v>
      </c>
    </row>
    <row r="667" spans="1:21" ht="28" customHeight="1">
      <c r="A667" s="18" t="s">
        <v>3661</v>
      </c>
      <c r="B667" s="18" t="s">
        <v>191</v>
      </c>
      <c r="C667" s="18" t="s">
        <v>2515</v>
      </c>
      <c r="D667" s="18" t="s">
        <v>227</v>
      </c>
      <c r="E667" s="18" t="s">
        <v>3662</v>
      </c>
      <c r="F667" s="19" t="s">
        <v>3663</v>
      </c>
      <c r="G667" s="19" t="s">
        <v>3275</v>
      </c>
      <c r="H667" s="24">
        <v>24</v>
      </c>
      <c r="I667" s="24">
        <v>19.4</v>
      </c>
      <c r="J667" s="24">
        <f>MAX(H667,ROUNDUP(I667,0))</f>
        <v>24.0</v>
      </c>
      <c r="K667" s="22">
        <f>IF(C667="covered",10.4,7.55)</f>
        <v>10.4</v>
      </c>
      <c r="L667" s="18" t="s">
        <v>3664</v>
      </c>
      <c r="M667" s="24">
        <v>24</v>
      </c>
      <c r="N667" s="22">
        <v>10.4</v>
      </c>
      <c r="O667" s="22">
        <v>249.6</v>
      </c>
      <c r="P667" s="22">
        <f>J667*K667</f>
        <v>249.60000000000002</v>
      </c>
      <c r="Q667" s="22">
        <f>IF(L667="","",N667-K667)</f>
        <v>0.0</v>
      </c>
      <c r="R667" s="24">
        <f>IF(L667="","",M667-J667)</f>
        <v>0.0</v>
      </c>
      <c r="S667" s="22">
        <f>IF(L667="",-P667,O667-P667)</f>
        <v>-2.842170943040401e-14</v>
      </c>
      <c r="T667" s="11" t="str">
        <f>IF(L667="","NO BILL IN SUPPLIED EXPORT",IF(ABS(Q667)&gt;0.001,"RATE EXCEPTION",IF(ABS(R667)&gt;0.001,"LENGTH EXCEPTION",IF(ABS(S667)&gt;0.01,"AMOUNT EXCEPTION","OK"))))</f>
        <v>OK</v>
      </c>
      <c r="U667" s="19" t="s">
        <v>3665</v>
      </c>
    </row>
    <row r="668" spans="1:21" ht="28" customHeight="1">
      <c r="A668" s="14" t="s">
        <v>3666</v>
      </c>
      <c r="B668" s="14" t="s">
        <v>191</v>
      </c>
      <c r="C668" s="14" t="s">
        <v>2515</v>
      </c>
      <c r="D668" s="14" t="s">
        <v>227</v>
      </c>
      <c r="E668" s="14" t="s">
        <v>3667</v>
      </c>
      <c r="F668" s="15" t="s">
        <v>3668</v>
      </c>
      <c r="G668" s="15" t="s">
        <v>1216</v>
      </c>
      <c r="H668" s="24">
        <v>28</v>
      </c>
      <c r="I668" s="24">
        <v>25.9</v>
      </c>
      <c r="J668" s="24">
        <f>MAX(H668,ROUNDUP(I668,0))</f>
        <v>28.0</v>
      </c>
      <c r="K668" s="22">
        <f>IF(C668="covered",10.4,7.55)</f>
        <v>10.4</v>
      </c>
      <c r="L668" s="14" t="s">
        <v>3669</v>
      </c>
      <c r="M668" s="24">
        <v>28</v>
      </c>
      <c r="N668" s="22">
        <v>10.4</v>
      </c>
      <c r="O668" s="22">
        <v>291.2</v>
      </c>
      <c r="P668" s="22">
        <f>J668*K668</f>
        <v>291.2</v>
      </c>
      <c r="Q668" s="22">
        <f>IF(L668="","",N668-K668)</f>
        <v>0.0</v>
      </c>
      <c r="R668" s="24">
        <f>IF(L668="","",M668-J668)</f>
        <v>0.0</v>
      </c>
      <c r="S668" s="22">
        <f>IF(L668="",-P668,O668-P668)</f>
        <v>0.0</v>
      </c>
      <c r="T668" s="11" t="str">
        <f>IF(L668="","NO BILL IN SUPPLIED EXPORT",IF(ABS(Q668)&gt;0.001,"RATE EXCEPTION",IF(ABS(R668)&gt;0.001,"LENGTH EXCEPTION",IF(ABS(S668)&gt;0.01,"AMOUNT EXCEPTION","OK"))))</f>
        <v>OK</v>
      </c>
      <c r="U668" s="15" t="s">
        <v>3670</v>
      </c>
    </row>
    <row r="669" spans="1:21" ht="28" customHeight="1">
      <c r="A669" s="18" t="s">
        <v>3671</v>
      </c>
      <c r="B669" s="18" t="s">
        <v>191</v>
      </c>
      <c r="C669" s="18" t="s">
        <v>2515</v>
      </c>
      <c r="D669" s="18" t="s">
        <v>227</v>
      </c>
      <c r="E669" s="18" t="s">
        <v>3672</v>
      </c>
      <c r="F669" s="19" t="s">
        <v>3673</v>
      </c>
      <c r="G669" s="19" t="s">
        <v>1541</v>
      </c>
      <c r="H669" s="24">
        <v>32</v>
      </c>
      <c r="I669" s="24">
        <v>55.1</v>
      </c>
      <c r="J669" s="24">
        <f>MAX(H669,ROUNDUP(I669,0))</f>
        <v>56</v>
      </c>
      <c r="K669" s="22">
        <f>IF(C669="covered",10.4,7.55)</f>
        <v>10.4</v>
      </c>
      <c r="L669" s="18" t="s">
        <v>3674</v>
      </c>
      <c r="M669" s="24">
        <v>56</v>
      </c>
      <c r="N669" s="22">
        <v>10.4</v>
      </c>
      <c r="O669" s="22">
        <v>582.4</v>
      </c>
      <c r="P669" s="22">
        <f>J669*K669</f>
        <v>582.4</v>
      </c>
      <c r="Q669" s="22">
        <f>IF(L669="","",N669-K669)</f>
        <v>0.0</v>
      </c>
      <c r="R669" s="24">
        <f>IF(L669="","",M669-J669)</f>
        <v>0.0</v>
      </c>
      <c r="S669" s="22">
        <f>IF(L669="",-P669,O669-P669)</f>
        <v>0.0</v>
      </c>
      <c r="T669" s="11" t="str">
        <f>IF(L669="","NO BILL IN SUPPLIED EXPORT",IF(ABS(Q669)&gt;0.001,"RATE EXCEPTION",IF(ABS(R669)&gt;0.001,"LENGTH EXCEPTION",IF(ABS(S669)&gt;0.01,"AMOUNT EXCEPTION","OK"))))</f>
        <v>OK</v>
      </c>
      <c r="U669" s="19" t="s">
        <v>3675</v>
      </c>
    </row>
    <row r="670" spans="1:21" ht="28" customHeight="1">
      <c r="A670" s="14" t="s">
        <v>3676</v>
      </c>
      <c r="B670" s="14" t="s">
        <v>191</v>
      </c>
      <c r="C670" s="14" t="s">
        <v>2515</v>
      </c>
      <c r="D670" s="14" t="s">
        <v>227</v>
      </c>
      <c r="E670" s="14" t="s">
        <v>3677</v>
      </c>
      <c r="F670" s="15" t="s">
        <v>3678</v>
      </c>
      <c r="G670" s="15" t="s">
        <v>1506</v>
      </c>
      <c r="H670" s="24">
        <v>32</v>
      </c>
      <c r="I670" s="24">
        <v>53.2</v>
      </c>
      <c r="J670" s="24">
        <f>MAX(H670,ROUNDUP(I670,0))</f>
        <v>54</v>
      </c>
      <c r="K670" s="22">
        <f>IF(C670="covered",10.4,7.55)</f>
        <v>10.4</v>
      </c>
      <c r="L670" s="14" t="s">
        <v>3679</v>
      </c>
      <c r="M670" s="24">
        <v>54</v>
      </c>
      <c r="N670" s="22">
        <v>10.4</v>
      </c>
      <c r="O670" s="22">
        <v>561.6</v>
      </c>
      <c r="P670" s="22">
        <f>J670*K670</f>
        <v>561.6</v>
      </c>
      <c r="Q670" s="22">
        <f>IF(L670="","",N670-K670)</f>
        <v>0.0</v>
      </c>
      <c r="R670" s="24">
        <f>IF(L670="","",M670-J670)</f>
        <v>0.0</v>
      </c>
      <c r="S670" s="22">
        <f>IF(L670="",-P670,O670-P670)</f>
        <v>0.0</v>
      </c>
      <c r="T670" s="11" t="str">
        <f>IF(L670="","NO BILL IN SUPPLIED EXPORT",IF(ABS(Q670)&gt;0.001,"RATE EXCEPTION",IF(ABS(R670)&gt;0.001,"LENGTH EXCEPTION",IF(ABS(S670)&gt;0.01,"AMOUNT EXCEPTION","OK"))))</f>
        <v>OK</v>
      </c>
      <c r="U670" s="15" t="s">
        <v>3680</v>
      </c>
    </row>
    <row r="671" spans="1:21" ht="28" customHeight="1">
      <c r="A671" s="18" t="s">
        <v>3681</v>
      </c>
      <c r="B671" s="18" t="s">
        <v>191</v>
      </c>
      <c r="C671" s="18" t="s">
        <v>2515</v>
      </c>
      <c r="D671" s="18" t="s">
        <v>227</v>
      </c>
      <c r="E671" s="18" t="s">
        <v>3682</v>
      </c>
      <c r="F671" s="19" t="s">
        <v>3683</v>
      </c>
      <c r="G671" s="19" t="s">
        <v>1010</v>
      </c>
      <c r="H671" s="24">
        <v>32</v>
      </c>
      <c r="I671" s="24">
        <v>25.1</v>
      </c>
      <c r="J671" s="24">
        <f>MAX(H671,ROUNDUP(I671,0))</f>
        <v>32.0</v>
      </c>
      <c r="K671" s="22">
        <f>IF(C671="covered",10.4,7.55)</f>
        <v>10.4</v>
      </c>
      <c r="L671" s="18" t="s">
        <v>3684</v>
      </c>
      <c r="M671" s="24">
        <v>32</v>
      </c>
      <c r="N671" s="22">
        <v>10.4</v>
      </c>
      <c r="O671" s="22">
        <v>332.8</v>
      </c>
      <c r="P671" s="22">
        <f>J671*K671</f>
        <v>332.8</v>
      </c>
      <c r="Q671" s="22">
        <f>IF(L671="","",N671-K671)</f>
        <v>0.0</v>
      </c>
      <c r="R671" s="24">
        <f>IF(L671="","",M671-J671)</f>
        <v>0.0</v>
      </c>
      <c r="S671" s="22">
        <f>IF(L671="",-P671,O671-P671)</f>
        <v>0.0</v>
      </c>
      <c r="T671" s="11" t="str">
        <f>IF(L671="","NO BILL IN SUPPLIED EXPORT",IF(ABS(Q671)&gt;0.001,"RATE EXCEPTION",IF(ABS(R671)&gt;0.001,"LENGTH EXCEPTION",IF(ABS(S671)&gt;0.01,"AMOUNT EXCEPTION","OK"))))</f>
        <v>OK</v>
      </c>
      <c r="U671" s="19" t="s">
        <v>3685</v>
      </c>
    </row>
    <row r="672" spans="1:21" ht="28" customHeight="1">
      <c r="A672" s="14" t="s">
        <v>3686</v>
      </c>
      <c r="B672" s="14" t="s">
        <v>191</v>
      </c>
      <c r="C672" s="14" t="s">
        <v>2515</v>
      </c>
      <c r="D672" s="14" t="s">
        <v>227</v>
      </c>
      <c r="E672" s="14" t="s">
        <v>3687</v>
      </c>
      <c r="F672" s="15" t="s">
        <v>3688</v>
      </c>
      <c r="G672" s="15" t="s">
        <v>3689</v>
      </c>
      <c r="H672" s="24">
        <v>24</v>
      </c>
      <c r="I672" s="24">
        <v>36.2</v>
      </c>
      <c r="J672" s="24">
        <f>MAX(H672,ROUNDUP(I672,0))</f>
        <v>37</v>
      </c>
      <c r="K672" s="22">
        <f>IF(C672="covered",10.4,7.55)</f>
        <v>10.4</v>
      </c>
      <c r="L672" s="14" t="s">
        <v>3690</v>
      </c>
      <c r="M672" s="24">
        <v>37</v>
      </c>
      <c r="N672" s="22">
        <v>10.4</v>
      </c>
      <c r="O672" s="22">
        <v>384.8</v>
      </c>
      <c r="P672" s="22">
        <f>J672*K672</f>
        <v>384.8</v>
      </c>
      <c r="Q672" s="22">
        <f>IF(L672="","",N672-K672)</f>
        <v>0.0</v>
      </c>
      <c r="R672" s="24">
        <f>IF(L672="","",M672-J672)</f>
        <v>0.0</v>
      </c>
      <c r="S672" s="22">
        <f>IF(L672="",-P672,O672-P672)</f>
        <v>0.0</v>
      </c>
      <c r="T672" s="11" t="str">
        <f>IF(L672="","NO BILL IN SUPPLIED EXPORT",IF(ABS(Q672)&gt;0.001,"RATE EXCEPTION",IF(ABS(R672)&gt;0.001,"LENGTH EXCEPTION",IF(ABS(S672)&gt;0.01,"AMOUNT EXCEPTION","OK"))))</f>
        <v>OK</v>
      </c>
      <c r="U672" s="15" t="s">
        <v>3691</v>
      </c>
    </row>
    <row r="673" spans="1:21" ht="28" customHeight="1">
      <c r="A673" s="18" t="s">
        <v>3692</v>
      </c>
      <c r="B673" s="18" t="s">
        <v>191</v>
      </c>
      <c r="C673" s="18" t="s">
        <v>2515</v>
      </c>
      <c r="D673" s="18" t="s">
        <v>227</v>
      </c>
      <c r="E673" s="18" t="s">
        <v>3693</v>
      </c>
      <c r="F673" s="19" t="s">
        <v>3694</v>
      </c>
      <c r="G673" s="19" t="s">
        <v>1506</v>
      </c>
      <c r="H673" s="24">
        <v>24</v>
      </c>
      <c r="I673" s="24">
        <v>28.7</v>
      </c>
      <c r="J673" s="24">
        <f>MAX(H673,ROUNDUP(I673,0))</f>
        <v>29</v>
      </c>
      <c r="K673" s="22">
        <f>IF(C673="covered",10.4,7.55)</f>
        <v>10.4</v>
      </c>
      <c r="L673" s="18" t="s">
        <v>3695</v>
      </c>
      <c r="M673" s="24">
        <v>29</v>
      </c>
      <c r="N673" s="22">
        <v>10.4</v>
      </c>
      <c r="O673" s="22">
        <v>301.6</v>
      </c>
      <c r="P673" s="22">
        <f>J673*K673</f>
        <v>301.6</v>
      </c>
      <c r="Q673" s="22">
        <f>IF(L673="","",N673-K673)</f>
        <v>0.0</v>
      </c>
      <c r="R673" s="24">
        <f>IF(L673="","",M673-J673)</f>
        <v>0.0</v>
      </c>
      <c r="S673" s="22">
        <f>IF(L673="",-P673,O673-P673)</f>
        <v>0.0</v>
      </c>
      <c r="T673" s="11" t="str">
        <f>IF(L673="","NO BILL IN SUPPLIED EXPORT",IF(ABS(Q673)&gt;0.001,"RATE EXCEPTION",IF(ABS(R673)&gt;0.001,"LENGTH EXCEPTION",IF(ABS(S673)&gt;0.01,"AMOUNT EXCEPTION","OK"))))</f>
        <v>OK</v>
      </c>
      <c r="U673" s="19" t="s">
        <v>3696</v>
      </c>
    </row>
    <row r="674" spans="1:21" ht="28" customHeight="1">
      <c r="A674" s="14" t="s">
        <v>3697</v>
      </c>
      <c r="B674" s="14" t="s">
        <v>191</v>
      </c>
      <c r="C674" s="14" t="s">
        <v>2515</v>
      </c>
      <c r="D674" s="14" t="s">
        <v>227</v>
      </c>
      <c r="E674" s="14" t="s">
        <v>3698</v>
      </c>
      <c r="F674" s="15" t="s">
        <v>3699</v>
      </c>
      <c r="G674" s="15" t="s">
        <v>2426</v>
      </c>
      <c r="H674" s="24">
        <v>24</v>
      </c>
      <c r="I674" s="24">
        <v>20</v>
      </c>
      <c r="J674" s="24">
        <f>MAX(H674,ROUNDUP(I674,0))</f>
        <v>24.0</v>
      </c>
      <c r="K674" s="22">
        <f>IF(C674="covered",10.4,7.55)</f>
        <v>10.4</v>
      </c>
      <c r="L674" s="14" t="s">
        <v>3700</v>
      </c>
      <c r="M674" s="24">
        <v>24</v>
      </c>
      <c r="N674" s="22">
        <v>10.4</v>
      </c>
      <c r="O674" s="22">
        <v>249.6</v>
      </c>
      <c r="P674" s="22">
        <f>J674*K674</f>
        <v>249.60000000000002</v>
      </c>
      <c r="Q674" s="22">
        <f>IF(L674="","",N674-K674)</f>
        <v>0.0</v>
      </c>
      <c r="R674" s="24">
        <f>IF(L674="","",M674-J674)</f>
        <v>0.0</v>
      </c>
      <c r="S674" s="22">
        <f>IF(L674="",-P674,O674-P674)</f>
        <v>-2.842170943040401e-14</v>
      </c>
      <c r="T674" s="11" t="str">
        <f>IF(L674="","NO BILL IN SUPPLIED EXPORT",IF(ABS(Q674)&gt;0.001,"RATE EXCEPTION",IF(ABS(R674)&gt;0.001,"LENGTH EXCEPTION",IF(ABS(S674)&gt;0.01,"AMOUNT EXCEPTION","OK"))))</f>
        <v>OK</v>
      </c>
      <c r="U674" s="15" t="s">
        <v>3701</v>
      </c>
    </row>
    <row r="675" spans="1:21" ht="28" customHeight="1">
      <c r="A675" s="18" t="s">
        <v>3702</v>
      </c>
      <c r="B675" s="18" t="s">
        <v>191</v>
      </c>
      <c r="C675" s="18" t="s">
        <v>2515</v>
      </c>
      <c r="D675" s="18" t="s">
        <v>227</v>
      </c>
      <c r="E675" s="18" t="s">
        <v>3703</v>
      </c>
      <c r="F675" s="19" t="s">
        <v>3704</v>
      </c>
      <c r="G675" s="19" t="s">
        <v>1908</v>
      </c>
      <c r="H675" s="24">
        <v>32</v>
      </c>
      <c r="I675" s="24">
        <v>53.7</v>
      </c>
      <c r="J675" s="24">
        <f>MAX(H675,ROUNDUP(I675,0))</f>
        <v>54</v>
      </c>
      <c r="K675" s="22">
        <f>IF(C675="covered",10.4,7.55)</f>
        <v>10.4</v>
      </c>
      <c r="L675" s="18" t="s">
        <v>3705</v>
      </c>
      <c r="M675" s="24">
        <v>54</v>
      </c>
      <c r="N675" s="22">
        <v>10.4</v>
      </c>
      <c r="O675" s="22">
        <v>561.6</v>
      </c>
      <c r="P675" s="22">
        <f>J675*K675</f>
        <v>561.6</v>
      </c>
      <c r="Q675" s="22">
        <f>IF(L675="","",N675-K675)</f>
        <v>0.0</v>
      </c>
      <c r="R675" s="24">
        <f>IF(L675="","",M675-J675)</f>
        <v>0.0</v>
      </c>
      <c r="S675" s="22">
        <f>IF(L675="",-P675,O675-P675)</f>
        <v>0.0</v>
      </c>
      <c r="T675" s="11" t="str">
        <f>IF(L675="","NO BILL IN SUPPLIED EXPORT",IF(ABS(Q675)&gt;0.001,"RATE EXCEPTION",IF(ABS(R675)&gt;0.001,"LENGTH EXCEPTION",IF(ABS(S675)&gt;0.01,"AMOUNT EXCEPTION","OK"))))</f>
        <v>OK</v>
      </c>
      <c r="U675" s="19" t="s">
        <v>3706</v>
      </c>
    </row>
    <row r="676" spans="1:21" ht="28" customHeight="1">
      <c r="A676" s="14" t="s">
        <v>3707</v>
      </c>
      <c r="B676" s="14" t="s">
        <v>191</v>
      </c>
      <c r="C676" s="14" t="s">
        <v>2515</v>
      </c>
      <c r="D676" s="14" t="s">
        <v>227</v>
      </c>
      <c r="E676" s="14" t="s">
        <v>3708</v>
      </c>
      <c r="F676" s="15" t="s">
        <v>3709</v>
      </c>
      <c r="G676" s="15" t="s">
        <v>1033</v>
      </c>
      <c r="H676" s="24">
        <v>28</v>
      </c>
      <c r="I676" s="24">
        <v>54.9</v>
      </c>
      <c r="J676" s="24">
        <f>MAX(H676,ROUNDUP(I676,0))</f>
        <v>55</v>
      </c>
      <c r="K676" s="22">
        <f>IF(C676="covered",10.4,7.55)</f>
        <v>10.4</v>
      </c>
      <c r="L676" s="14" t="s">
        <v>3710</v>
      </c>
      <c r="M676" s="24">
        <v>55</v>
      </c>
      <c r="N676" s="22">
        <v>10.4</v>
      </c>
      <c r="O676" s="22">
        <v>572</v>
      </c>
      <c r="P676" s="22">
        <f>J676*K676</f>
        <v>572.0</v>
      </c>
      <c r="Q676" s="22">
        <f>IF(L676="","",N676-K676)</f>
        <v>0.0</v>
      </c>
      <c r="R676" s="24">
        <f>IF(L676="","",M676-J676)</f>
        <v>0.0</v>
      </c>
      <c r="S676" s="22">
        <f>IF(L676="",-P676,O676-P676)</f>
        <v>0.0</v>
      </c>
      <c r="T676" s="11" t="str">
        <f>IF(L676="","NO BILL IN SUPPLIED EXPORT",IF(ABS(Q676)&gt;0.001,"RATE EXCEPTION",IF(ABS(R676)&gt;0.001,"LENGTH EXCEPTION",IF(ABS(S676)&gt;0.01,"AMOUNT EXCEPTION","OK"))))</f>
        <v>OK</v>
      </c>
      <c r="U676" s="15" t="s">
        <v>3711</v>
      </c>
    </row>
    <row r="677" spans="1:21" ht="28" customHeight="1">
      <c r="A677" s="18" t="s">
        <v>3712</v>
      </c>
      <c r="B677" s="18" t="s">
        <v>191</v>
      </c>
      <c r="C677" s="18" t="s">
        <v>2515</v>
      </c>
      <c r="D677" s="18" t="s">
        <v>227</v>
      </c>
      <c r="E677" s="18" t="s">
        <v>3713</v>
      </c>
      <c r="F677" s="19" t="s">
        <v>3714</v>
      </c>
      <c r="G677" s="19" t="s">
        <v>3715</v>
      </c>
      <c r="H677" s="24">
        <v>32</v>
      </c>
      <c r="I677" s="24">
        <v>23.2</v>
      </c>
      <c r="J677" s="24">
        <f>MAX(H677,ROUNDUP(I677,0))</f>
        <v>32.0</v>
      </c>
      <c r="K677" s="22">
        <f>IF(C677="covered",10.4,7.55)</f>
        <v>10.4</v>
      </c>
      <c r="L677" s="18" t="s">
        <v>3716</v>
      </c>
      <c r="M677" s="24">
        <v>32</v>
      </c>
      <c r="N677" s="22">
        <v>10.4</v>
      </c>
      <c r="O677" s="22">
        <v>332.8</v>
      </c>
      <c r="P677" s="22">
        <f>J677*K677</f>
        <v>332.8</v>
      </c>
      <c r="Q677" s="22">
        <f>IF(L677="","",N677-K677)</f>
        <v>0.0</v>
      </c>
      <c r="R677" s="24">
        <f>IF(L677="","",M677-J677)</f>
        <v>0.0</v>
      </c>
      <c r="S677" s="22">
        <f>IF(L677="",-P677,O677-P677)</f>
        <v>0.0</v>
      </c>
      <c r="T677" s="11" t="str">
        <f>IF(L677="","NO BILL IN SUPPLIED EXPORT",IF(ABS(Q677)&gt;0.001,"RATE EXCEPTION",IF(ABS(R677)&gt;0.001,"LENGTH EXCEPTION",IF(ABS(S677)&gt;0.01,"AMOUNT EXCEPTION","OK"))))</f>
        <v>OK</v>
      </c>
      <c r="U677" s="19" t="s">
        <v>3717</v>
      </c>
    </row>
    <row r="678" spans="1:21" ht="28" customHeight="1">
      <c r="A678" s="14" t="s">
        <v>3718</v>
      </c>
      <c r="B678" s="14" t="s">
        <v>191</v>
      </c>
      <c r="C678" s="14" t="s">
        <v>2515</v>
      </c>
      <c r="D678" s="14" t="s">
        <v>227</v>
      </c>
      <c r="E678" s="14" t="s">
        <v>3719</v>
      </c>
      <c r="F678" s="15" t="s">
        <v>3720</v>
      </c>
      <c r="G678" s="15" t="s">
        <v>896</v>
      </c>
      <c r="H678" s="24">
        <v>32</v>
      </c>
      <c r="I678" s="24">
        <v>53.6</v>
      </c>
      <c r="J678" s="24">
        <f>MAX(H678,ROUNDUP(I678,0))</f>
        <v>54</v>
      </c>
      <c r="K678" s="22">
        <f>IF(C678="covered",10.4,7.55)</f>
        <v>10.4</v>
      </c>
      <c r="L678" s="14" t="s">
        <v>3721</v>
      </c>
      <c r="M678" s="24">
        <v>54</v>
      </c>
      <c r="N678" s="22">
        <v>10.4</v>
      </c>
      <c r="O678" s="22">
        <v>561.6</v>
      </c>
      <c r="P678" s="22">
        <f>J678*K678</f>
        <v>561.6</v>
      </c>
      <c r="Q678" s="22">
        <f>IF(L678="","",N678-K678)</f>
        <v>0.0</v>
      </c>
      <c r="R678" s="24">
        <f>IF(L678="","",M678-J678)</f>
        <v>0.0</v>
      </c>
      <c r="S678" s="22">
        <f>IF(L678="",-P678,O678-P678)</f>
        <v>0.0</v>
      </c>
      <c r="T678" s="11" t="str">
        <f>IF(L678="","NO BILL IN SUPPLIED EXPORT",IF(ABS(Q678)&gt;0.001,"RATE EXCEPTION",IF(ABS(R678)&gt;0.001,"LENGTH EXCEPTION",IF(ABS(S678)&gt;0.01,"AMOUNT EXCEPTION","OK"))))</f>
        <v>OK</v>
      </c>
      <c r="U678" s="15" t="s">
        <v>3722</v>
      </c>
    </row>
    <row r="679" spans="1:21" ht="28" customHeight="1">
      <c r="A679" s="18" t="s">
        <v>3723</v>
      </c>
      <c r="B679" s="18" t="s">
        <v>191</v>
      </c>
      <c r="C679" s="18" t="s">
        <v>2515</v>
      </c>
      <c r="D679" s="18" t="s">
        <v>227</v>
      </c>
      <c r="E679" s="18" t="s">
        <v>3724</v>
      </c>
      <c r="F679" s="19" t="s">
        <v>3725</v>
      </c>
      <c r="G679" s="19" t="s">
        <v>3726</v>
      </c>
      <c r="H679" s="24">
        <v>36</v>
      </c>
      <c r="I679" s="24">
        <v>48.9</v>
      </c>
      <c r="J679" s="24">
        <f>MAX(H679,ROUNDUP(I679,0))</f>
        <v>49</v>
      </c>
      <c r="K679" s="22">
        <f>IF(C679="covered",10.4,7.55)</f>
        <v>10.4</v>
      </c>
      <c r="L679" s="18" t="s">
        <v>3727</v>
      </c>
      <c r="M679" s="24">
        <v>49</v>
      </c>
      <c r="N679" s="22">
        <v>10.4</v>
      </c>
      <c r="O679" s="22">
        <v>509.6</v>
      </c>
      <c r="P679" s="22">
        <f>J679*K679</f>
        <v>509.6</v>
      </c>
      <c r="Q679" s="22">
        <f>IF(L679="","",N679-K679)</f>
        <v>0.0</v>
      </c>
      <c r="R679" s="24">
        <f>IF(L679="","",M679-J679)</f>
        <v>0.0</v>
      </c>
      <c r="S679" s="22">
        <f>IF(L679="",-P679,O679-P679)</f>
        <v>0.0</v>
      </c>
      <c r="T679" s="11" t="str">
        <f>IF(L679="","NO BILL IN SUPPLIED EXPORT",IF(ABS(Q679)&gt;0.001,"RATE EXCEPTION",IF(ABS(R679)&gt;0.001,"LENGTH EXCEPTION",IF(ABS(S679)&gt;0.01,"AMOUNT EXCEPTION","OK"))))</f>
        <v>OK</v>
      </c>
      <c r="U679" s="19" t="s">
        <v>3728</v>
      </c>
    </row>
    <row r="680" spans="1:21" ht="28" customHeight="1">
      <c r="A680" s="14" t="s">
        <v>3729</v>
      </c>
      <c r="B680" s="14" t="s">
        <v>191</v>
      </c>
      <c r="C680" s="14" t="s">
        <v>2515</v>
      </c>
      <c r="D680" s="14" t="s">
        <v>227</v>
      </c>
      <c r="E680" s="14" t="s">
        <v>3730</v>
      </c>
      <c r="F680" s="15" t="s">
        <v>3731</v>
      </c>
      <c r="G680" s="15" t="s">
        <v>3732</v>
      </c>
      <c r="H680" s="24">
        <v>24</v>
      </c>
      <c r="I680" s="24">
        <v>18.6</v>
      </c>
      <c r="J680" s="24">
        <f>MAX(H680,ROUNDUP(I680,0))</f>
        <v>24.0</v>
      </c>
      <c r="K680" s="22">
        <f>IF(C680="covered",10.4,7.55)</f>
        <v>10.4</v>
      </c>
      <c r="L680" s="14" t="s">
        <v>3733</v>
      </c>
      <c r="M680" s="24">
        <v>24</v>
      </c>
      <c r="N680" s="22">
        <v>10.4</v>
      </c>
      <c r="O680" s="22">
        <v>249.6</v>
      </c>
      <c r="P680" s="22">
        <f>J680*K680</f>
        <v>249.60000000000002</v>
      </c>
      <c r="Q680" s="22">
        <f>IF(L680="","",N680-K680)</f>
        <v>0.0</v>
      </c>
      <c r="R680" s="24">
        <f>IF(L680="","",M680-J680)</f>
        <v>0.0</v>
      </c>
      <c r="S680" s="22">
        <f>IF(L680="",-P680,O680-P680)</f>
        <v>-2.842170943040401e-14</v>
      </c>
      <c r="T680" s="11" t="str">
        <f>IF(L680="","NO BILL IN SUPPLIED EXPORT",IF(ABS(Q680)&gt;0.001,"RATE EXCEPTION",IF(ABS(R680)&gt;0.001,"LENGTH EXCEPTION",IF(ABS(S680)&gt;0.01,"AMOUNT EXCEPTION","OK"))))</f>
        <v>OK</v>
      </c>
      <c r="U680" s="15" t="s">
        <v>3734</v>
      </c>
    </row>
    <row r="681" spans="1:21" ht="28" customHeight="1">
      <c r="A681" s="18" t="s">
        <v>3735</v>
      </c>
      <c r="B681" s="18" t="s">
        <v>191</v>
      </c>
      <c r="C681" s="18" t="s">
        <v>2515</v>
      </c>
      <c r="D681" s="18" t="s">
        <v>227</v>
      </c>
      <c r="E681" s="18" t="s">
        <v>3736</v>
      </c>
      <c r="F681" s="19" t="s">
        <v>3737</v>
      </c>
      <c r="G681" s="19" t="s">
        <v>3738</v>
      </c>
      <c r="H681" s="24">
        <v>28</v>
      </c>
      <c r="I681" s="24">
        <v>47.6</v>
      </c>
      <c r="J681" s="24">
        <f>MAX(H681,ROUNDUP(I681,0))</f>
        <v>48</v>
      </c>
      <c r="K681" s="22">
        <f>IF(C681="covered",10.4,7.55)</f>
        <v>10.4</v>
      </c>
      <c r="L681" s="18" t="s">
        <v>3739</v>
      </c>
      <c r="M681" s="24">
        <v>48</v>
      </c>
      <c r="N681" s="22">
        <v>10.4</v>
      </c>
      <c r="O681" s="22">
        <v>499.2</v>
      </c>
      <c r="P681" s="22">
        <f>J681*K681</f>
        <v>499.20000000000005</v>
      </c>
      <c r="Q681" s="22">
        <f>IF(L681="","",N681-K681)</f>
        <v>0.0</v>
      </c>
      <c r="R681" s="24">
        <f>IF(L681="","",M681-J681)</f>
        <v>0.0</v>
      </c>
      <c r="S681" s="22">
        <f>IF(L681="",-P681,O681-P681)</f>
        <v>-5.684341886080802e-14</v>
      </c>
      <c r="T681" s="11" t="str">
        <f>IF(L681="","NO BILL IN SUPPLIED EXPORT",IF(ABS(Q681)&gt;0.001,"RATE EXCEPTION",IF(ABS(R681)&gt;0.001,"LENGTH EXCEPTION",IF(ABS(S681)&gt;0.01,"AMOUNT EXCEPTION","OK"))))</f>
        <v>OK</v>
      </c>
      <c r="U681" s="19" t="s">
        <v>3740</v>
      </c>
    </row>
    <row r="682" spans="1:21" ht="28" customHeight="1">
      <c r="A682" s="14" t="s">
        <v>3741</v>
      </c>
      <c r="B682" s="14" t="s">
        <v>191</v>
      </c>
      <c r="C682" s="14" t="s">
        <v>2515</v>
      </c>
      <c r="D682" s="14" t="s">
        <v>227</v>
      </c>
      <c r="E682" s="14" t="s">
        <v>3742</v>
      </c>
      <c r="F682" s="15" t="s">
        <v>3743</v>
      </c>
      <c r="G682" s="15" t="s">
        <v>2793</v>
      </c>
      <c r="H682" s="24">
        <v>32</v>
      </c>
      <c r="I682" s="24">
        <v>30.9</v>
      </c>
      <c r="J682" s="24">
        <f>MAX(H682,ROUNDUP(I682,0))</f>
        <v>32.0</v>
      </c>
      <c r="K682" s="22">
        <f>IF(C682="covered",10.4,7.55)</f>
        <v>10.4</v>
      </c>
      <c r="L682" s="14" t="s">
        <v>3744</v>
      </c>
      <c r="M682" s="24">
        <v>32</v>
      </c>
      <c r="N682" s="22">
        <v>10.4</v>
      </c>
      <c r="O682" s="22">
        <v>332.8</v>
      </c>
      <c r="P682" s="22">
        <f>J682*K682</f>
        <v>332.8</v>
      </c>
      <c r="Q682" s="22">
        <f>IF(L682="","",N682-K682)</f>
        <v>0.0</v>
      </c>
      <c r="R682" s="24">
        <f>IF(L682="","",M682-J682)</f>
        <v>0.0</v>
      </c>
      <c r="S682" s="22">
        <f>IF(L682="",-P682,O682-P682)</f>
        <v>0.0</v>
      </c>
      <c r="T682" s="11" t="str">
        <f>IF(L682="","NO BILL IN SUPPLIED EXPORT",IF(ABS(Q682)&gt;0.001,"RATE EXCEPTION",IF(ABS(R682)&gt;0.001,"LENGTH EXCEPTION",IF(ABS(S682)&gt;0.01,"AMOUNT EXCEPTION","OK"))))</f>
        <v>OK</v>
      </c>
      <c r="U682" s="15" t="s">
        <v>3745</v>
      </c>
    </row>
    <row r="683" spans="1:21" ht="28" customHeight="1">
      <c r="A683" s="18" t="s">
        <v>3746</v>
      </c>
      <c r="B683" s="18" t="s">
        <v>191</v>
      </c>
      <c r="C683" s="18" t="s">
        <v>2515</v>
      </c>
      <c r="D683" s="18" t="s">
        <v>227</v>
      </c>
      <c r="E683" s="18" t="s">
        <v>3747</v>
      </c>
      <c r="F683" s="19" t="s">
        <v>3748</v>
      </c>
      <c r="G683" s="19" t="s">
        <v>471</v>
      </c>
      <c r="H683" s="24">
        <v>24</v>
      </c>
      <c r="I683" s="24">
        <v>29.2</v>
      </c>
      <c r="J683" s="24">
        <f>MAX(H683,ROUNDUP(I683,0))</f>
        <v>30</v>
      </c>
      <c r="K683" s="22">
        <f>IF(C683="covered",10.4,7.55)</f>
        <v>10.4</v>
      </c>
      <c r="L683" s="18" t="s">
        <v>3749</v>
      </c>
      <c r="M683" s="24">
        <v>30</v>
      </c>
      <c r="N683" s="22">
        <v>10.4</v>
      </c>
      <c r="O683" s="22">
        <v>312</v>
      </c>
      <c r="P683" s="22">
        <f>J683*K683</f>
        <v>312.0</v>
      </c>
      <c r="Q683" s="22">
        <f>IF(L683="","",N683-K683)</f>
        <v>0.0</v>
      </c>
      <c r="R683" s="24">
        <f>IF(L683="","",M683-J683)</f>
        <v>0.0</v>
      </c>
      <c r="S683" s="22">
        <f>IF(L683="",-P683,O683-P683)</f>
        <v>0.0</v>
      </c>
      <c r="T683" s="11" t="str">
        <f>IF(L683="","NO BILL IN SUPPLIED EXPORT",IF(ABS(Q683)&gt;0.001,"RATE EXCEPTION",IF(ABS(R683)&gt;0.001,"LENGTH EXCEPTION",IF(ABS(S683)&gt;0.01,"AMOUNT EXCEPTION","OK"))))</f>
        <v>OK</v>
      </c>
      <c r="U683" s="19" t="s">
        <v>3750</v>
      </c>
    </row>
    <row r="684" spans="1:21" ht="28" customHeight="1">
      <c r="A684" s="14" t="s">
        <v>3751</v>
      </c>
      <c r="B684" s="14" t="s">
        <v>191</v>
      </c>
      <c r="C684" s="14" t="s">
        <v>2515</v>
      </c>
      <c r="D684" s="14" t="s">
        <v>227</v>
      </c>
      <c r="E684" s="14" t="s">
        <v>3752</v>
      </c>
      <c r="F684" s="15" t="s">
        <v>3753</v>
      </c>
      <c r="G684" s="15" t="s">
        <v>1198</v>
      </c>
      <c r="H684" s="24">
        <v>24</v>
      </c>
      <c r="I684" s="24">
        <v>34.1</v>
      </c>
      <c r="J684" s="24">
        <f>MAX(H684,ROUNDUP(I684,0))</f>
        <v>35</v>
      </c>
      <c r="K684" s="22">
        <f>IF(C684="covered",10.4,7.55)</f>
        <v>10.4</v>
      </c>
      <c r="L684" s="14" t="s">
        <v>3754</v>
      </c>
      <c r="M684" s="24">
        <v>35</v>
      </c>
      <c r="N684" s="22">
        <v>10.4</v>
      </c>
      <c r="O684" s="22">
        <v>364</v>
      </c>
      <c r="P684" s="22">
        <f>J684*K684</f>
        <v>364.0</v>
      </c>
      <c r="Q684" s="22">
        <f>IF(L684="","",N684-K684)</f>
        <v>0.0</v>
      </c>
      <c r="R684" s="24">
        <f>IF(L684="","",M684-J684)</f>
        <v>0.0</v>
      </c>
      <c r="S684" s="22">
        <f>IF(L684="",-P684,O684-P684)</f>
        <v>0.0</v>
      </c>
      <c r="T684" s="11" t="str">
        <f>IF(L684="","NO BILL IN SUPPLIED EXPORT",IF(ABS(Q684)&gt;0.001,"RATE EXCEPTION",IF(ABS(R684)&gt;0.001,"LENGTH EXCEPTION",IF(ABS(S684)&gt;0.01,"AMOUNT EXCEPTION","OK"))))</f>
        <v>OK</v>
      </c>
      <c r="U684" s="15" t="s">
        <v>3755</v>
      </c>
    </row>
    <row r="685" spans="1:21" ht="28" customHeight="1">
      <c r="A685" s="18" t="s">
        <v>3756</v>
      </c>
      <c r="B685" s="18" t="s">
        <v>191</v>
      </c>
      <c r="C685" s="18" t="s">
        <v>2515</v>
      </c>
      <c r="D685" s="18" t="s">
        <v>227</v>
      </c>
      <c r="E685" s="18" t="s">
        <v>3757</v>
      </c>
      <c r="F685" s="19" t="s">
        <v>3758</v>
      </c>
      <c r="G685" s="19" t="s">
        <v>1955</v>
      </c>
      <c r="H685" s="24">
        <v>32</v>
      </c>
      <c r="I685" s="24">
        <v>54.5</v>
      </c>
      <c r="J685" s="24">
        <f>MAX(H685,ROUNDUP(I685,0))</f>
        <v>55</v>
      </c>
      <c r="K685" s="22">
        <f>IF(C685="covered",10.4,7.55)</f>
        <v>10.4</v>
      </c>
      <c r="L685" s="18" t="s">
        <v>3759</v>
      </c>
      <c r="M685" s="24">
        <v>55</v>
      </c>
      <c r="N685" s="22">
        <v>10.4</v>
      </c>
      <c r="O685" s="22">
        <v>572</v>
      </c>
      <c r="P685" s="22">
        <f>J685*K685</f>
        <v>572.0</v>
      </c>
      <c r="Q685" s="22">
        <f>IF(L685="","",N685-K685)</f>
        <v>0.0</v>
      </c>
      <c r="R685" s="24">
        <f>IF(L685="","",M685-J685)</f>
        <v>0.0</v>
      </c>
      <c r="S685" s="22">
        <f>IF(L685="",-P685,O685-P685)</f>
        <v>0.0</v>
      </c>
      <c r="T685" s="11" t="str">
        <f>IF(L685="","NO BILL IN SUPPLIED EXPORT",IF(ABS(Q685)&gt;0.001,"RATE EXCEPTION",IF(ABS(R685)&gt;0.001,"LENGTH EXCEPTION",IF(ABS(S685)&gt;0.01,"AMOUNT EXCEPTION","OK"))))</f>
        <v>OK</v>
      </c>
      <c r="U685" s="19" t="s">
        <v>3760</v>
      </c>
    </row>
    <row r="686" spans="1:21" ht="28" customHeight="1">
      <c r="A686" s="14" t="s">
        <v>3761</v>
      </c>
      <c r="B686" s="14" t="s">
        <v>191</v>
      </c>
      <c r="C686" s="14" t="s">
        <v>2515</v>
      </c>
      <c r="D686" s="14" t="s">
        <v>227</v>
      </c>
      <c r="E686" s="14" t="s">
        <v>3762</v>
      </c>
      <c r="F686" s="15" t="s">
        <v>3763</v>
      </c>
      <c r="G686" s="15" t="s">
        <v>3236</v>
      </c>
      <c r="H686" s="24">
        <v>40</v>
      </c>
      <c r="I686" s="24">
        <v>34.5</v>
      </c>
      <c r="J686" s="24">
        <f>MAX(H686,ROUNDUP(I686,0))</f>
        <v>40.0</v>
      </c>
      <c r="K686" s="22">
        <f>IF(C686="covered",10.4,7.55)</f>
        <v>10.4</v>
      </c>
      <c r="L686" s="14" t="s">
        <v>3764</v>
      </c>
      <c r="M686" s="24">
        <v>40</v>
      </c>
      <c r="N686" s="22">
        <v>10.4</v>
      </c>
      <c r="O686" s="22">
        <v>416</v>
      </c>
      <c r="P686" s="22">
        <f>J686*K686</f>
        <v>416.0</v>
      </c>
      <c r="Q686" s="22">
        <f>IF(L686="","",N686-K686)</f>
        <v>0.0</v>
      </c>
      <c r="R686" s="24">
        <f>IF(L686="","",M686-J686)</f>
        <v>0.0</v>
      </c>
      <c r="S686" s="22">
        <f>IF(L686="",-P686,O686-P686)</f>
        <v>0.0</v>
      </c>
      <c r="T686" s="11" t="str">
        <f>IF(L686="","NO BILL IN SUPPLIED EXPORT",IF(ABS(Q686)&gt;0.001,"RATE EXCEPTION",IF(ABS(R686)&gt;0.001,"LENGTH EXCEPTION",IF(ABS(S686)&gt;0.01,"AMOUNT EXCEPTION","OK"))))</f>
        <v>OK</v>
      </c>
      <c r="U686" s="15" t="s">
        <v>3765</v>
      </c>
    </row>
    <row r="687" spans="1:21" ht="28" customHeight="1">
      <c r="A687" s="18" t="s">
        <v>3766</v>
      </c>
      <c r="B687" s="18" t="s">
        <v>191</v>
      </c>
      <c r="C687" s="18" t="s">
        <v>2515</v>
      </c>
      <c r="D687" s="18" t="s">
        <v>227</v>
      </c>
      <c r="E687" s="18" t="s">
        <v>3767</v>
      </c>
      <c r="F687" s="19" t="s">
        <v>3768</v>
      </c>
      <c r="G687" s="19" t="s">
        <v>230</v>
      </c>
      <c r="H687" s="24">
        <v>24</v>
      </c>
      <c r="I687" s="24">
        <v>18</v>
      </c>
      <c r="J687" s="24">
        <f>MAX(H687,ROUNDUP(I687,0))</f>
        <v>24.0</v>
      </c>
      <c r="K687" s="22">
        <f>IF(C687="covered",10.4,7.55)</f>
        <v>10.4</v>
      </c>
      <c r="L687" s="18" t="s">
        <v>3769</v>
      </c>
      <c r="M687" s="24">
        <v>24</v>
      </c>
      <c r="N687" s="22">
        <v>10.4</v>
      </c>
      <c r="O687" s="22">
        <v>249.6</v>
      </c>
      <c r="P687" s="22">
        <f>J687*K687</f>
        <v>249.60000000000002</v>
      </c>
      <c r="Q687" s="22">
        <f>IF(L687="","",N687-K687)</f>
        <v>0.0</v>
      </c>
      <c r="R687" s="24">
        <f>IF(L687="","",M687-J687)</f>
        <v>0.0</v>
      </c>
      <c r="S687" s="22">
        <f>IF(L687="",-P687,O687-P687)</f>
        <v>-2.842170943040401e-14</v>
      </c>
      <c r="T687" s="11" t="str">
        <f>IF(L687="","NO BILL IN SUPPLIED EXPORT",IF(ABS(Q687)&gt;0.001,"RATE EXCEPTION",IF(ABS(R687)&gt;0.001,"LENGTH EXCEPTION",IF(ABS(S687)&gt;0.01,"AMOUNT EXCEPTION","OK"))))</f>
        <v>OK</v>
      </c>
      <c r="U687" s="19" t="s">
        <v>3770</v>
      </c>
    </row>
    <row r="688" spans="1:21" ht="28" customHeight="1">
      <c r="A688" s="14" t="s">
        <v>3771</v>
      </c>
      <c r="B688" s="14" t="s">
        <v>191</v>
      </c>
      <c r="C688" s="14" t="s">
        <v>2515</v>
      </c>
      <c r="D688" s="14" t="s">
        <v>227</v>
      </c>
      <c r="E688" s="14" t="s">
        <v>3772</v>
      </c>
      <c r="F688" s="15" t="s">
        <v>3773</v>
      </c>
      <c r="G688" s="15" t="s">
        <v>653</v>
      </c>
      <c r="H688" s="24">
        <v>32</v>
      </c>
      <c r="I688" s="24">
        <v>21.4</v>
      </c>
      <c r="J688" s="24">
        <f>MAX(H688,ROUNDUP(I688,0))</f>
        <v>32.0</v>
      </c>
      <c r="K688" s="22">
        <f>IF(C688="covered",10.4,7.55)</f>
        <v>10.4</v>
      </c>
      <c r="L688" s="14" t="s">
        <v>3774</v>
      </c>
      <c r="M688" s="24">
        <v>32</v>
      </c>
      <c r="N688" s="22">
        <v>10.4</v>
      </c>
      <c r="O688" s="22">
        <v>332.8</v>
      </c>
      <c r="P688" s="22">
        <f>J688*K688</f>
        <v>332.8</v>
      </c>
      <c r="Q688" s="22">
        <f>IF(L688="","",N688-K688)</f>
        <v>0.0</v>
      </c>
      <c r="R688" s="24">
        <f>IF(L688="","",M688-J688)</f>
        <v>0.0</v>
      </c>
      <c r="S688" s="22">
        <f>IF(L688="",-P688,O688-P688)</f>
        <v>0.0</v>
      </c>
      <c r="T688" s="11" t="str">
        <f>IF(L688="","NO BILL IN SUPPLIED EXPORT",IF(ABS(Q688)&gt;0.001,"RATE EXCEPTION",IF(ABS(R688)&gt;0.001,"LENGTH EXCEPTION",IF(ABS(S688)&gt;0.01,"AMOUNT EXCEPTION","OK"))))</f>
        <v>OK</v>
      </c>
      <c r="U688" s="15" t="s">
        <v>3775</v>
      </c>
    </row>
    <row r="689" spans="1:21" ht="28" customHeight="1">
      <c r="A689" s="18" t="s">
        <v>3776</v>
      </c>
      <c r="B689" s="18" t="s">
        <v>191</v>
      </c>
      <c r="C689" s="18" t="s">
        <v>2515</v>
      </c>
      <c r="D689" s="18" t="s">
        <v>227</v>
      </c>
      <c r="E689" s="18" t="s">
        <v>3777</v>
      </c>
      <c r="F689" s="19" t="s">
        <v>3778</v>
      </c>
      <c r="G689" s="19" t="s">
        <v>1399</v>
      </c>
      <c r="H689" s="24">
        <v>28</v>
      </c>
      <c r="I689" s="24">
        <v>58.7</v>
      </c>
      <c r="J689" s="24">
        <f>MAX(H689,ROUNDUP(I689,0))</f>
        <v>59</v>
      </c>
      <c r="K689" s="22">
        <f>IF(C689="covered",10.4,7.55)</f>
        <v>10.4</v>
      </c>
      <c r="L689" s="18" t="s">
        <v>3779</v>
      </c>
      <c r="M689" s="24">
        <v>59</v>
      </c>
      <c r="N689" s="22">
        <v>10.4</v>
      </c>
      <c r="O689" s="22">
        <v>613.6</v>
      </c>
      <c r="P689" s="22">
        <f>J689*K689</f>
        <v>613.6</v>
      </c>
      <c r="Q689" s="22">
        <f>IF(L689="","",N689-K689)</f>
        <v>0.0</v>
      </c>
      <c r="R689" s="24">
        <f>IF(L689="","",M689-J689)</f>
        <v>0.0</v>
      </c>
      <c r="S689" s="22">
        <f>IF(L689="",-P689,O689-P689)</f>
        <v>0.0</v>
      </c>
      <c r="T689" s="11" t="str">
        <f>IF(L689="","NO BILL IN SUPPLIED EXPORT",IF(ABS(Q689)&gt;0.001,"RATE EXCEPTION",IF(ABS(R689)&gt;0.001,"LENGTH EXCEPTION",IF(ABS(S689)&gt;0.01,"AMOUNT EXCEPTION","OK"))))</f>
        <v>OK</v>
      </c>
      <c r="U689" s="19" t="s">
        <v>3780</v>
      </c>
    </row>
    <row r="690" spans="1:21" ht="28" customHeight="1">
      <c r="A690" s="14" t="s">
        <v>3781</v>
      </c>
      <c r="B690" s="14" t="s">
        <v>191</v>
      </c>
      <c r="C690" s="14" t="s">
        <v>2515</v>
      </c>
      <c r="D690" s="14" t="s">
        <v>227</v>
      </c>
      <c r="E690" s="14" t="s">
        <v>3782</v>
      </c>
      <c r="F690" s="15" t="s">
        <v>3783</v>
      </c>
      <c r="G690" s="15" t="s">
        <v>600</v>
      </c>
      <c r="H690" s="24">
        <v>28</v>
      </c>
      <c r="I690" s="24">
        <v>36.8</v>
      </c>
      <c r="J690" s="24">
        <f>MAX(H690,ROUNDUP(I690,0))</f>
        <v>37</v>
      </c>
      <c r="K690" s="22">
        <f>IF(C690="covered",10.4,7.55)</f>
        <v>10.4</v>
      </c>
      <c r="L690" s="14" t="s">
        <v>3784</v>
      </c>
      <c r="M690" s="24">
        <v>37</v>
      </c>
      <c r="N690" s="22">
        <v>10.4</v>
      </c>
      <c r="O690" s="22">
        <v>384.8</v>
      </c>
      <c r="P690" s="22">
        <f>J690*K690</f>
        <v>384.8</v>
      </c>
      <c r="Q690" s="22">
        <f>IF(L690="","",N690-K690)</f>
        <v>0.0</v>
      </c>
      <c r="R690" s="24">
        <f>IF(L690="","",M690-J690)</f>
        <v>0.0</v>
      </c>
      <c r="S690" s="22">
        <f>IF(L690="",-P690,O690-P690)</f>
        <v>0.0</v>
      </c>
      <c r="T690" s="11" t="str">
        <f>IF(L690="","NO BILL IN SUPPLIED EXPORT",IF(ABS(Q690)&gt;0.001,"RATE EXCEPTION",IF(ABS(R690)&gt;0.001,"LENGTH EXCEPTION",IF(ABS(S690)&gt;0.01,"AMOUNT EXCEPTION","OK"))))</f>
        <v>OK</v>
      </c>
      <c r="U690" s="15" t="s">
        <v>3785</v>
      </c>
    </row>
    <row r="691" spans="1:21" ht="28" customHeight="1">
      <c r="A691" s="18" t="s">
        <v>3786</v>
      </c>
      <c r="B691" s="18" t="s">
        <v>191</v>
      </c>
      <c r="C691" s="18" t="s">
        <v>2515</v>
      </c>
      <c r="D691" s="18" t="s">
        <v>227</v>
      </c>
      <c r="E691" s="18" t="s">
        <v>3787</v>
      </c>
      <c r="F691" s="19" t="s">
        <v>3788</v>
      </c>
      <c r="G691" s="19" t="s">
        <v>698</v>
      </c>
      <c r="H691" s="24">
        <v>24</v>
      </c>
      <c r="I691" s="24">
        <v>62</v>
      </c>
      <c r="J691" s="24">
        <f>MAX(H691,ROUNDUP(I691,0))</f>
        <v>62</v>
      </c>
      <c r="K691" s="22">
        <f>IF(C691="covered",10.4,7.55)</f>
        <v>10.4</v>
      </c>
      <c r="L691" s="18" t="s">
        <v>3789</v>
      </c>
      <c r="M691" s="24">
        <v>62</v>
      </c>
      <c r="N691" s="22">
        <v>10.4</v>
      </c>
      <c r="O691" s="22">
        <v>644.8</v>
      </c>
      <c r="P691" s="22">
        <f>J691*K691</f>
        <v>644.8000000000001</v>
      </c>
      <c r="Q691" s="22">
        <f>IF(L691="","",N691-K691)</f>
        <v>0.0</v>
      </c>
      <c r="R691" s="24">
        <f>IF(L691="","",M691-J691)</f>
        <v>0.0</v>
      </c>
      <c r="S691" s="22">
        <f>IF(L691="",-P691,O691-P691)</f>
        <v>-1.1368683772161603e-13</v>
      </c>
      <c r="T691" s="11" t="str">
        <f>IF(L691="","NO BILL IN SUPPLIED EXPORT",IF(ABS(Q691)&gt;0.001,"RATE EXCEPTION",IF(ABS(R691)&gt;0.001,"LENGTH EXCEPTION",IF(ABS(S691)&gt;0.01,"AMOUNT EXCEPTION","OK"))))</f>
        <v>OK</v>
      </c>
      <c r="U691" s="19" t="s">
        <v>3790</v>
      </c>
    </row>
    <row r="692" spans="1:21" ht="28" customHeight="1">
      <c r="A692" s="14" t="s">
        <v>3791</v>
      </c>
      <c r="B692" s="14" t="s">
        <v>191</v>
      </c>
      <c r="C692" s="14" t="s">
        <v>2515</v>
      </c>
      <c r="D692" s="14" t="s">
        <v>227</v>
      </c>
      <c r="E692" s="14" t="s">
        <v>3792</v>
      </c>
      <c r="F692" s="15" t="s">
        <v>3793</v>
      </c>
      <c r="G692" s="15" t="s">
        <v>3236</v>
      </c>
      <c r="H692" s="24">
        <v>24</v>
      </c>
      <c r="I692" s="24">
        <v>59.8</v>
      </c>
      <c r="J692" s="24">
        <f>MAX(H692,ROUNDUP(I692,0))</f>
        <v>60</v>
      </c>
      <c r="K692" s="22">
        <f>IF(C692="covered",10.4,7.55)</f>
        <v>10.4</v>
      </c>
      <c r="L692" s="14" t="s">
        <v>3794</v>
      </c>
      <c r="M692" s="24">
        <v>60</v>
      </c>
      <c r="N692" s="22">
        <v>10.4</v>
      </c>
      <c r="O692" s="22">
        <v>624</v>
      </c>
      <c r="P692" s="22">
        <f>J692*K692</f>
        <v>624.0</v>
      </c>
      <c r="Q692" s="22">
        <f>IF(L692="","",N692-K692)</f>
        <v>0.0</v>
      </c>
      <c r="R692" s="24">
        <f>IF(L692="","",M692-J692)</f>
        <v>0.0</v>
      </c>
      <c r="S692" s="22">
        <f>IF(L692="",-P692,O692-P692)</f>
        <v>0.0</v>
      </c>
      <c r="T692" s="11" t="str">
        <f>IF(L692="","NO BILL IN SUPPLIED EXPORT",IF(ABS(Q692)&gt;0.001,"RATE EXCEPTION",IF(ABS(R692)&gt;0.001,"LENGTH EXCEPTION",IF(ABS(S692)&gt;0.01,"AMOUNT EXCEPTION","OK"))))</f>
        <v>OK</v>
      </c>
      <c r="U692" s="15" t="s">
        <v>3795</v>
      </c>
    </row>
    <row r="693" spans="1:21" ht="28" customHeight="1">
      <c r="A693" s="18" t="s">
        <v>3796</v>
      </c>
      <c r="B693" s="18" t="s">
        <v>191</v>
      </c>
      <c r="C693" s="18" t="s">
        <v>2515</v>
      </c>
      <c r="D693" s="18" t="s">
        <v>227</v>
      </c>
      <c r="E693" s="18" t="s">
        <v>3797</v>
      </c>
      <c r="F693" s="19" t="s">
        <v>3798</v>
      </c>
      <c r="G693" s="19" t="s">
        <v>3799</v>
      </c>
      <c r="H693" s="24">
        <v>32</v>
      </c>
      <c r="I693" s="24">
        <v>41.3</v>
      </c>
      <c r="J693" s="24">
        <f>MAX(H693,ROUNDUP(I693,0))</f>
        <v>42</v>
      </c>
      <c r="K693" s="22">
        <f>IF(C693="covered",10.4,7.55)</f>
        <v>10.4</v>
      </c>
      <c r="L693" s="18" t="s">
        <v>3800</v>
      </c>
      <c r="M693" s="24">
        <v>42</v>
      </c>
      <c r="N693" s="22">
        <v>10.4</v>
      </c>
      <c r="O693" s="22">
        <v>436.8</v>
      </c>
      <c r="P693" s="22">
        <f>J693*K693</f>
        <v>436.8</v>
      </c>
      <c r="Q693" s="22">
        <f>IF(L693="","",N693-K693)</f>
        <v>0.0</v>
      </c>
      <c r="R693" s="24">
        <f>IF(L693="","",M693-J693)</f>
        <v>0.0</v>
      </c>
      <c r="S693" s="22">
        <f>IF(L693="",-P693,O693-P693)</f>
        <v>0.0</v>
      </c>
      <c r="T693" s="11" t="str">
        <f>IF(L693="","NO BILL IN SUPPLIED EXPORT",IF(ABS(Q693)&gt;0.001,"RATE EXCEPTION",IF(ABS(R693)&gt;0.001,"LENGTH EXCEPTION",IF(ABS(S693)&gt;0.01,"AMOUNT EXCEPTION","OK"))))</f>
        <v>OK</v>
      </c>
      <c r="U693" s="19" t="s">
        <v>3801</v>
      </c>
    </row>
    <row r="694" spans="1:21" ht="28" customHeight="1">
      <c r="A694" s="14" t="s">
        <v>3802</v>
      </c>
      <c r="B694" s="14" t="s">
        <v>191</v>
      </c>
      <c r="C694" s="14" t="s">
        <v>2515</v>
      </c>
      <c r="D694" s="14" t="s">
        <v>227</v>
      </c>
      <c r="E694" s="14" t="s">
        <v>3803</v>
      </c>
      <c r="F694" s="15" t="s">
        <v>3804</v>
      </c>
      <c r="G694" s="15" t="s">
        <v>3805</v>
      </c>
      <c r="H694" s="24">
        <v>32</v>
      </c>
      <c r="I694" s="24">
        <v>24.1</v>
      </c>
      <c r="J694" s="24">
        <f>MAX(H694,ROUNDUP(I694,0))</f>
        <v>32.0</v>
      </c>
      <c r="K694" s="22">
        <f>IF(C694="covered",10.4,7.55)</f>
        <v>10.4</v>
      </c>
      <c r="L694" s="14" t="s">
        <v>3806</v>
      </c>
      <c r="M694" s="24">
        <v>32</v>
      </c>
      <c r="N694" s="22">
        <v>10.4</v>
      </c>
      <c r="O694" s="22">
        <v>332.8</v>
      </c>
      <c r="P694" s="22">
        <f>J694*K694</f>
        <v>332.8</v>
      </c>
      <c r="Q694" s="22">
        <f>IF(L694="","",N694-K694)</f>
        <v>0.0</v>
      </c>
      <c r="R694" s="24">
        <f>IF(L694="","",M694-J694)</f>
        <v>0.0</v>
      </c>
      <c r="S694" s="22">
        <f>IF(L694="",-P694,O694-P694)</f>
        <v>0.0</v>
      </c>
      <c r="T694" s="11" t="str">
        <f>IF(L694="","NO BILL IN SUPPLIED EXPORT",IF(ABS(Q694)&gt;0.001,"RATE EXCEPTION",IF(ABS(R694)&gt;0.001,"LENGTH EXCEPTION",IF(ABS(S694)&gt;0.01,"AMOUNT EXCEPTION","OK"))))</f>
        <v>OK</v>
      </c>
      <c r="U694" s="15" t="s">
        <v>3807</v>
      </c>
    </row>
    <row r="695" spans="1:21" ht="28" customHeight="1">
      <c r="A695" s="18" t="s">
        <v>3808</v>
      </c>
      <c r="B695" s="18" t="s">
        <v>195</v>
      </c>
      <c r="C695" s="18" t="s">
        <v>226</v>
      </c>
      <c r="D695" s="18" t="s">
        <v>227</v>
      </c>
      <c r="E695" s="18" t="s">
        <v>3809</v>
      </c>
      <c r="F695" s="19" t="s">
        <v>3810</v>
      </c>
      <c r="G695" s="19" t="s">
        <v>3811</v>
      </c>
      <c r="H695" s="24">
        <v>70</v>
      </c>
      <c r="I695" s="24">
        <v>27.6</v>
      </c>
      <c r="J695" s="24">
        <f>MAX(H695,ROUNDUP(I695,0))</f>
        <v>70.0</v>
      </c>
      <c r="K695" s="22">
        <f>IF(C695="covered",10.4,7.55)</f>
        <v>7.55</v>
      </c>
      <c r="L695" s="18"/>
      <c r="M695" s="24"/>
      <c r="N695" s="22"/>
      <c r="O695" s="22"/>
      <c r="P695" s="22">
        <f>J695*K695</f>
        <v>528.5</v>
      </c>
      <c r="Q695" s="22">
        <f>IF(L695="","",N695-K695)</f>
        <v/>
      </c>
      <c r="R695" s="24">
        <f>IF(L695="","",M695-J695)</f>
        <v/>
      </c>
      <c r="S695" s="22">
        <f>IF(L695="",-P695,O695-P695)</f>
        <v>-528.5</v>
      </c>
      <c r="T695" s="25" t="str">
        <f>IF(L695="","NO BILL IN SUPPLIED EXPORT",IF(ABS(Q695)&gt;0.001,"RATE EXCEPTION",IF(ABS(R695)&gt;0.001,"LENGTH EXCEPTION",IF(ABS(S695)&gt;0.01,"AMOUNT EXCEPTION","OK"))))</f>
        <v>NO BILL IN SUPPLIED EXPORT</v>
      </c>
      <c r="U695" s="19" t="s">
        <v>3812</v>
      </c>
    </row>
    <row r="696" spans="1:21" ht="28" customHeight="1">
      <c r="A696" s="14" t="s">
        <v>3813</v>
      </c>
      <c r="B696" s="14" t="s">
        <v>195</v>
      </c>
      <c r="C696" s="14" t="s">
        <v>226</v>
      </c>
      <c r="D696" s="14" t="s">
        <v>227</v>
      </c>
      <c r="E696" s="14" t="s">
        <v>3814</v>
      </c>
      <c r="F696" s="15" t="s">
        <v>3815</v>
      </c>
      <c r="G696" s="15" t="s">
        <v>3816</v>
      </c>
      <c r="H696" s="24">
        <v>32</v>
      </c>
      <c r="I696" s="24">
        <v>44.3</v>
      </c>
      <c r="J696" s="24">
        <f>MAX(H696,ROUNDUP(I696,0))</f>
        <v>45</v>
      </c>
      <c r="K696" s="22">
        <f>IF(C696="covered",10.4,7.55)</f>
        <v>7.55</v>
      </c>
      <c r="L696" s="14"/>
      <c r="M696" s="24"/>
      <c r="N696" s="22"/>
      <c r="O696" s="22"/>
      <c r="P696" s="22">
        <f>J696*K696</f>
        <v>339.75</v>
      </c>
      <c r="Q696" s="22">
        <f>IF(L696="","",N696-K696)</f>
        <v/>
      </c>
      <c r="R696" s="24">
        <f>IF(L696="","",M696-J696)</f>
        <v/>
      </c>
      <c r="S696" s="22">
        <f>IF(L696="",-P696,O696-P696)</f>
        <v>-339.75</v>
      </c>
      <c r="T696" s="25" t="str">
        <f>IF(L696="","NO BILL IN SUPPLIED EXPORT",IF(ABS(Q696)&gt;0.001,"RATE EXCEPTION",IF(ABS(R696)&gt;0.001,"LENGTH EXCEPTION",IF(ABS(S696)&gt;0.01,"AMOUNT EXCEPTION","OK"))))</f>
        <v>NO BILL IN SUPPLIED EXPORT</v>
      </c>
      <c r="U696" s="15" t="s">
        <v>3817</v>
      </c>
    </row>
    <row r="697" spans="1:21" ht="28" customHeight="1">
      <c r="A697" s="18" t="s">
        <v>3818</v>
      </c>
      <c r="B697" s="18" t="s">
        <v>195</v>
      </c>
      <c r="C697" s="18" t="s">
        <v>226</v>
      </c>
      <c r="D697" s="18" t="s">
        <v>227</v>
      </c>
      <c r="E697" s="18" t="s">
        <v>3819</v>
      </c>
      <c r="F697" s="19" t="s">
        <v>3820</v>
      </c>
      <c r="G697" s="19" t="s">
        <v>3821</v>
      </c>
      <c r="H697" s="24">
        <v>36</v>
      </c>
      <c r="I697" s="24">
        <v>55.5</v>
      </c>
      <c r="J697" s="24">
        <f>MAX(H697,ROUNDUP(I697,0))</f>
        <v>56</v>
      </c>
      <c r="K697" s="22">
        <f>IF(C697="covered",10.4,7.55)</f>
        <v>7.55</v>
      </c>
      <c r="L697" s="18"/>
      <c r="M697" s="24"/>
      <c r="N697" s="22"/>
      <c r="O697" s="22"/>
      <c r="P697" s="22">
        <f>J697*K697</f>
        <v>422.8</v>
      </c>
      <c r="Q697" s="22">
        <f>IF(L697="","",N697-K697)</f>
        <v/>
      </c>
      <c r="R697" s="24">
        <f>IF(L697="","",M697-J697)</f>
        <v/>
      </c>
      <c r="S697" s="22">
        <f>IF(L697="",-P697,O697-P697)</f>
        <v>-422.8</v>
      </c>
      <c r="T697" s="25" t="str">
        <f>IF(L697="","NO BILL IN SUPPLIED EXPORT",IF(ABS(Q697)&gt;0.001,"RATE EXCEPTION",IF(ABS(R697)&gt;0.001,"LENGTH EXCEPTION",IF(ABS(S697)&gt;0.01,"AMOUNT EXCEPTION","OK"))))</f>
        <v>NO BILL IN SUPPLIED EXPORT</v>
      </c>
      <c r="U697" s="19" t="s">
        <v>3822</v>
      </c>
    </row>
    <row r="698" spans="1:21" ht="28" customHeight="1">
      <c r="A698" s="14" t="s">
        <v>3823</v>
      </c>
      <c r="B698" s="14" t="s">
        <v>195</v>
      </c>
      <c r="C698" s="14" t="s">
        <v>226</v>
      </c>
      <c r="D698" s="14" t="s">
        <v>227</v>
      </c>
      <c r="E698" s="14" t="s">
        <v>3824</v>
      </c>
      <c r="F698" s="15" t="s">
        <v>3825</v>
      </c>
      <c r="G698" s="15" t="s">
        <v>2301</v>
      </c>
      <c r="H698" s="24">
        <v>50</v>
      </c>
      <c r="I698" s="24">
        <v>52.4</v>
      </c>
      <c r="J698" s="24">
        <f>MAX(H698,ROUNDUP(I698,0))</f>
        <v>53</v>
      </c>
      <c r="K698" s="22">
        <f>IF(C698="covered",10.4,7.55)</f>
        <v>7.55</v>
      </c>
      <c r="L698" s="14"/>
      <c r="M698" s="24"/>
      <c r="N698" s="22"/>
      <c r="O698" s="22"/>
      <c r="P698" s="22">
        <f>J698*K698</f>
        <v>400.15</v>
      </c>
      <c r="Q698" s="22">
        <f>IF(L698="","",N698-K698)</f>
        <v/>
      </c>
      <c r="R698" s="24">
        <f>IF(L698="","",M698-J698)</f>
        <v/>
      </c>
      <c r="S698" s="22">
        <f>IF(L698="",-P698,O698-P698)</f>
        <v>-400.15</v>
      </c>
      <c r="T698" s="25" t="str">
        <f>IF(L698="","NO BILL IN SUPPLIED EXPORT",IF(ABS(Q698)&gt;0.001,"RATE EXCEPTION",IF(ABS(R698)&gt;0.001,"LENGTH EXCEPTION",IF(ABS(S698)&gt;0.01,"AMOUNT EXCEPTION","OK"))))</f>
        <v>NO BILL IN SUPPLIED EXPORT</v>
      </c>
      <c r="U698" s="15" t="s">
        <v>3826</v>
      </c>
    </row>
    <row r="699" spans="1:21" ht="28" customHeight="1">
      <c r="A699" s="18" t="s">
        <v>3827</v>
      </c>
      <c r="B699" s="18" t="s">
        <v>195</v>
      </c>
      <c r="C699" s="18" t="s">
        <v>226</v>
      </c>
      <c r="D699" s="18" t="s">
        <v>227</v>
      </c>
      <c r="E699" s="18" t="s">
        <v>3828</v>
      </c>
      <c r="F699" s="19" t="s">
        <v>3829</v>
      </c>
      <c r="G699" s="19" t="s">
        <v>2881</v>
      </c>
      <c r="H699" s="24">
        <v>28</v>
      </c>
      <c r="I699" s="24">
        <v>36.9</v>
      </c>
      <c r="J699" s="24">
        <f>MAX(H699,ROUNDUP(I699,0))</f>
        <v>37</v>
      </c>
      <c r="K699" s="22">
        <f>IF(C699="covered",10.4,7.55)</f>
        <v>7.55</v>
      </c>
      <c r="L699" s="18"/>
      <c r="M699" s="24"/>
      <c r="N699" s="22"/>
      <c r="O699" s="22"/>
      <c r="P699" s="22">
        <f>J699*K699</f>
        <v>279.34999999999997</v>
      </c>
      <c r="Q699" s="22">
        <f>IF(L699="","",N699-K699)</f>
        <v/>
      </c>
      <c r="R699" s="24">
        <f>IF(L699="","",M699-J699)</f>
        <v/>
      </c>
      <c r="S699" s="22">
        <f>IF(L699="",-P699,O699-P699)</f>
        <v>-279.34999999999997</v>
      </c>
      <c r="T699" s="25" t="str">
        <f>IF(L699="","NO BILL IN SUPPLIED EXPORT",IF(ABS(Q699)&gt;0.001,"RATE EXCEPTION",IF(ABS(R699)&gt;0.001,"LENGTH EXCEPTION",IF(ABS(S699)&gt;0.01,"AMOUNT EXCEPTION","OK"))))</f>
        <v>NO BILL IN SUPPLIED EXPORT</v>
      </c>
      <c r="U699" s="19" t="s">
        <v>3830</v>
      </c>
    </row>
    <row r="700" spans="1:21" ht="28" customHeight="1">
      <c r="A700" s="14" t="s">
        <v>3831</v>
      </c>
      <c r="B700" s="14" t="s">
        <v>195</v>
      </c>
      <c r="C700" s="14" t="s">
        <v>226</v>
      </c>
      <c r="D700" s="14" t="s">
        <v>227</v>
      </c>
      <c r="E700" s="14" t="s">
        <v>3832</v>
      </c>
      <c r="F700" s="15" t="s">
        <v>3833</v>
      </c>
      <c r="G700" s="15" t="s">
        <v>3834</v>
      </c>
      <c r="H700" s="24">
        <v>40</v>
      </c>
      <c r="I700" s="24">
        <v>47.8</v>
      </c>
      <c r="J700" s="24">
        <f>MAX(H700,ROUNDUP(I700,0))</f>
        <v>48</v>
      </c>
      <c r="K700" s="22">
        <f>IF(C700="covered",10.4,7.55)</f>
        <v>7.55</v>
      </c>
      <c r="L700" s="14"/>
      <c r="M700" s="24"/>
      <c r="N700" s="22"/>
      <c r="O700" s="22"/>
      <c r="P700" s="22">
        <f>J700*K700</f>
        <v>362.4</v>
      </c>
      <c r="Q700" s="22">
        <f>IF(L700="","",N700-K700)</f>
        <v/>
      </c>
      <c r="R700" s="24">
        <f>IF(L700="","",M700-J700)</f>
        <v/>
      </c>
      <c r="S700" s="22">
        <f>IF(L700="",-P700,O700-P700)</f>
        <v>-362.4</v>
      </c>
      <c r="T700" s="25" t="str">
        <f>IF(L700="","NO BILL IN SUPPLIED EXPORT",IF(ABS(Q700)&gt;0.001,"RATE EXCEPTION",IF(ABS(R700)&gt;0.001,"LENGTH EXCEPTION",IF(ABS(S700)&gt;0.01,"AMOUNT EXCEPTION","OK"))))</f>
        <v>NO BILL IN SUPPLIED EXPORT</v>
      </c>
      <c r="U700" s="15" t="s">
        <v>3835</v>
      </c>
    </row>
    <row r="701" spans="1:21" ht="28" customHeight="1">
      <c r="A701" s="18" t="s">
        <v>3836</v>
      </c>
      <c r="B701" s="18" t="s">
        <v>195</v>
      </c>
      <c r="C701" s="18" t="s">
        <v>226</v>
      </c>
      <c r="D701" s="18" t="s">
        <v>227</v>
      </c>
      <c r="E701" s="18" t="s">
        <v>3837</v>
      </c>
      <c r="F701" s="19" t="s">
        <v>3838</v>
      </c>
      <c r="G701" s="19" t="s">
        <v>400</v>
      </c>
      <c r="H701" s="24">
        <v>28</v>
      </c>
      <c r="I701" s="24">
        <v>34</v>
      </c>
      <c r="J701" s="24">
        <f>MAX(H701,ROUNDUP(I701,0))</f>
        <v>34</v>
      </c>
      <c r="K701" s="22">
        <f>IF(C701="covered",10.4,7.55)</f>
        <v>7.55</v>
      </c>
      <c r="L701" s="18"/>
      <c r="M701" s="24"/>
      <c r="N701" s="22"/>
      <c r="O701" s="22"/>
      <c r="P701" s="22">
        <f>J701*K701</f>
        <v>256.7</v>
      </c>
      <c r="Q701" s="22">
        <f>IF(L701="","",N701-K701)</f>
        <v/>
      </c>
      <c r="R701" s="24">
        <f>IF(L701="","",M701-J701)</f>
        <v/>
      </c>
      <c r="S701" s="22">
        <f>IF(L701="",-P701,O701-P701)</f>
        <v>-256.7</v>
      </c>
      <c r="T701" s="25" t="str">
        <f>IF(L701="","NO BILL IN SUPPLIED EXPORT",IF(ABS(Q701)&gt;0.001,"RATE EXCEPTION",IF(ABS(R701)&gt;0.001,"LENGTH EXCEPTION",IF(ABS(S701)&gt;0.01,"AMOUNT EXCEPTION","OK"))))</f>
        <v>NO BILL IN SUPPLIED EXPORT</v>
      </c>
      <c r="U701" s="19" t="s">
        <v>3839</v>
      </c>
    </row>
    <row r="702" spans="1:21" ht="28" customHeight="1">
      <c r="A702" s="14" t="s">
        <v>3840</v>
      </c>
      <c r="B702" s="14" t="s">
        <v>195</v>
      </c>
      <c r="C702" s="14" t="s">
        <v>226</v>
      </c>
      <c r="D702" s="14" t="s">
        <v>227</v>
      </c>
      <c r="E702" s="14" t="s">
        <v>3841</v>
      </c>
      <c r="F702" s="15" t="s">
        <v>3842</v>
      </c>
      <c r="G702" s="15" t="s">
        <v>957</v>
      </c>
      <c r="H702" s="24">
        <v>32</v>
      </c>
      <c r="I702" s="24">
        <v>24.7</v>
      </c>
      <c r="J702" s="24">
        <f>MAX(H702,ROUNDUP(I702,0))</f>
        <v>32.0</v>
      </c>
      <c r="K702" s="22">
        <f>IF(C702="covered",10.4,7.55)</f>
        <v>7.55</v>
      </c>
      <c r="L702" s="14"/>
      <c r="M702" s="24"/>
      <c r="N702" s="22"/>
      <c r="O702" s="22"/>
      <c r="P702" s="22">
        <f>J702*K702</f>
        <v>241.6</v>
      </c>
      <c r="Q702" s="22">
        <f>IF(L702="","",N702-K702)</f>
        <v/>
      </c>
      <c r="R702" s="24">
        <f>IF(L702="","",M702-J702)</f>
        <v/>
      </c>
      <c r="S702" s="22">
        <f>IF(L702="",-P702,O702-P702)</f>
        <v>-241.6</v>
      </c>
      <c r="T702" s="25" t="str">
        <f>IF(L702="","NO BILL IN SUPPLIED EXPORT",IF(ABS(Q702)&gt;0.001,"RATE EXCEPTION",IF(ABS(R702)&gt;0.001,"LENGTH EXCEPTION",IF(ABS(S702)&gt;0.01,"AMOUNT EXCEPTION","OK"))))</f>
        <v>NO BILL IN SUPPLIED EXPORT</v>
      </c>
      <c r="U702" s="15" t="s">
        <v>3843</v>
      </c>
    </row>
    <row r="703" spans="1:21" ht="28" customHeight="1">
      <c r="A703" s="18" t="s">
        <v>3844</v>
      </c>
      <c r="B703" s="18" t="s">
        <v>195</v>
      </c>
      <c r="C703" s="18" t="s">
        <v>226</v>
      </c>
      <c r="D703" s="18" t="s">
        <v>227</v>
      </c>
      <c r="E703" s="18" t="s">
        <v>3845</v>
      </c>
      <c r="F703" s="19" t="s">
        <v>3846</v>
      </c>
      <c r="G703" s="19" t="s">
        <v>783</v>
      </c>
      <c r="H703" s="24">
        <v>28</v>
      </c>
      <c r="I703" s="24">
        <v>34.6</v>
      </c>
      <c r="J703" s="24">
        <f>MAX(H703,ROUNDUP(I703,0))</f>
        <v>35</v>
      </c>
      <c r="K703" s="22">
        <f>IF(C703="covered",10.4,7.55)</f>
        <v>7.55</v>
      </c>
      <c r="L703" s="18"/>
      <c r="M703" s="24"/>
      <c r="N703" s="22"/>
      <c r="O703" s="22"/>
      <c r="P703" s="22">
        <f>J703*K703</f>
        <v>264.25</v>
      </c>
      <c r="Q703" s="22">
        <f>IF(L703="","",N703-K703)</f>
        <v/>
      </c>
      <c r="R703" s="24">
        <f>IF(L703="","",M703-J703)</f>
        <v/>
      </c>
      <c r="S703" s="22">
        <f>IF(L703="",-P703,O703-P703)</f>
        <v>-264.25</v>
      </c>
      <c r="T703" s="25" t="str">
        <f>IF(L703="","NO BILL IN SUPPLIED EXPORT",IF(ABS(Q703)&gt;0.001,"RATE EXCEPTION",IF(ABS(R703)&gt;0.001,"LENGTH EXCEPTION",IF(ABS(S703)&gt;0.01,"AMOUNT EXCEPTION","OK"))))</f>
        <v>NO BILL IN SUPPLIED EXPORT</v>
      </c>
      <c r="U703" s="19" t="s">
        <v>3847</v>
      </c>
    </row>
    <row r="704" spans="1:21" ht="28" customHeight="1">
      <c r="A704" s="14" t="s">
        <v>3848</v>
      </c>
      <c r="B704" s="14" t="s">
        <v>195</v>
      </c>
      <c r="C704" s="14" t="s">
        <v>226</v>
      </c>
      <c r="D704" s="14" t="s">
        <v>227</v>
      </c>
      <c r="E704" s="14" t="s">
        <v>3849</v>
      </c>
      <c r="F704" s="15" t="s">
        <v>3850</v>
      </c>
      <c r="G704" s="15" t="s">
        <v>2178</v>
      </c>
      <c r="H704" s="24">
        <v>45</v>
      </c>
      <c r="I704" s="24">
        <v>30.5</v>
      </c>
      <c r="J704" s="24">
        <f>MAX(H704,ROUNDUP(I704,0))</f>
        <v>45.0</v>
      </c>
      <c r="K704" s="22">
        <f>IF(C704="covered",10.4,7.55)</f>
        <v>7.55</v>
      </c>
      <c r="L704" s="14"/>
      <c r="M704" s="24"/>
      <c r="N704" s="22"/>
      <c r="O704" s="22"/>
      <c r="P704" s="22">
        <f>J704*K704</f>
        <v>339.75</v>
      </c>
      <c r="Q704" s="22">
        <f>IF(L704="","",N704-K704)</f>
        <v/>
      </c>
      <c r="R704" s="24">
        <f>IF(L704="","",M704-J704)</f>
        <v/>
      </c>
      <c r="S704" s="22">
        <f>IF(L704="",-P704,O704-P704)</f>
        <v>-339.75</v>
      </c>
      <c r="T704" s="25" t="str">
        <f>IF(L704="","NO BILL IN SUPPLIED EXPORT",IF(ABS(Q704)&gt;0.001,"RATE EXCEPTION",IF(ABS(R704)&gt;0.001,"LENGTH EXCEPTION",IF(ABS(S704)&gt;0.01,"AMOUNT EXCEPTION","OK"))))</f>
        <v>NO BILL IN SUPPLIED EXPORT</v>
      </c>
      <c r="U704" s="15" t="s">
        <v>3851</v>
      </c>
    </row>
    <row r="705" spans="1:21" ht="28" customHeight="1">
      <c r="A705" s="18" t="s">
        <v>3852</v>
      </c>
      <c r="B705" s="18" t="s">
        <v>195</v>
      </c>
      <c r="C705" s="18" t="s">
        <v>226</v>
      </c>
      <c r="D705" s="18" t="s">
        <v>227</v>
      </c>
      <c r="E705" s="18" t="s">
        <v>3853</v>
      </c>
      <c r="F705" s="19" t="s">
        <v>3854</v>
      </c>
      <c r="G705" s="19" t="s">
        <v>1186</v>
      </c>
      <c r="H705" s="24">
        <v>32</v>
      </c>
      <c r="I705" s="24">
        <v>49.9</v>
      </c>
      <c r="J705" s="24">
        <f>MAX(H705,ROUNDUP(I705,0))</f>
        <v>50</v>
      </c>
      <c r="K705" s="22">
        <f>IF(C705="covered",10.4,7.55)</f>
        <v>7.55</v>
      </c>
      <c r="L705" s="18"/>
      <c r="M705" s="24"/>
      <c r="N705" s="22"/>
      <c r="O705" s="22"/>
      <c r="P705" s="22">
        <f>J705*K705</f>
        <v>377.5</v>
      </c>
      <c r="Q705" s="22">
        <f>IF(L705="","",N705-K705)</f>
        <v/>
      </c>
      <c r="R705" s="24">
        <f>IF(L705="","",M705-J705)</f>
        <v/>
      </c>
      <c r="S705" s="22">
        <f>IF(L705="",-P705,O705-P705)</f>
        <v>-377.5</v>
      </c>
      <c r="T705" s="25" t="str">
        <f>IF(L705="","NO BILL IN SUPPLIED EXPORT",IF(ABS(Q705)&gt;0.001,"RATE EXCEPTION",IF(ABS(R705)&gt;0.001,"LENGTH EXCEPTION",IF(ABS(S705)&gt;0.01,"AMOUNT EXCEPTION","OK"))))</f>
        <v>NO BILL IN SUPPLIED EXPORT</v>
      </c>
      <c r="U705" s="19" t="s">
        <v>3855</v>
      </c>
    </row>
    <row r="706" spans="1:21" ht="28" customHeight="1">
      <c r="A706" s="14" t="s">
        <v>3856</v>
      </c>
      <c r="B706" s="14" t="s">
        <v>195</v>
      </c>
      <c r="C706" s="14" t="s">
        <v>226</v>
      </c>
      <c r="D706" s="14" t="s">
        <v>227</v>
      </c>
      <c r="E706" s="14" t="s">
        <v>3857</v>
      </c>
      <c r="F706" s="15" t="s">
        <v>3858</v>
      </c>
      <c r="G706" s="15" t="s">
        <v>2021</v>
      </c>
      <c r="H706" s="24">
        <v>36</v>
      </c>
      <c r="I706" s="24">
        <v>50.7</v>
      </c>
      <c r="J706" s="24">
        <f>MAX(H706,ROUNDUP(I706,0))</f>
        <v>51</v>
      </c>
      <c r="K706" s="22">
        <f>IF(C706="covered",10.4,7.55)</f>
        <v>7.55</v>
      </c>
      <c r="L706" s="14"/>
      <c r="M706" s="24"/>
      <c r="N706" s="22"/>
      <c r="O706" s="22"/>
      <c r="P706" s="22">
        <f>J706*K706</f>
        <v>385.05</v>
      </c>
      <c r="Q706" s="22">
        <f>IF(L706="","",N706-K706)</f>
        <v/>
      </c>
      <c r="R706" s="24">
        <f>IF(L706="","",M706-J706)</f>
        <v/>
      </c>
      <c r="S706" s="22">
        <f>IF(L706="",-P706,O706-P706)</f>
        <v>-385.05</v>
      </c>
      <c r="T706" s="25" t="str">
        <f>IF(L706="","NO BILL IN SUPPLIED EXPORT",IF(ABS(Q706)&gt;0.001,"RATE EXCEPTION",IF(ABS(R706)&gt;0.001,"LENGTH EXCEPTION",IF(ABS(S706)&gt;0.01,"AMOUNT EXCEPTION","OK"))))</f>
        <v>NO BILL IN SUPPLIED EXPORT</v>
      </c>
      <c r="U706" s="15" t="s">
        <v>3859</v>
      </c>
    </row>
    <row r="707" spans="1:21" ht="28" customHeight="1">
      <c r="A707" s="18" t="s">
        <v>3860</v>
      </c>
      <c r="B707" s="18" t="s">
        <v>195</v>
      </c>
      <c r="C707" s="18" t="s">
        <v>226</v>
      </c>
      <c r="D707" s="18" t="s">
        <v>227</v>
      </c>
      <c r="E707" s="18" t="s">
        <v>3861</v>
      </c>
      <c r="F707" s="19" t="s">
        <v>3862</v>
      </c>
      <c r="G707" s="19" t="s">
        <v>2071</v>
      </c>
      <c r="H707" s="24">
        <v>32</v>
      </c>
      <c r="I707" s="24">
        <v>21</v>
      </c>
      <c r="J707" s="24">
        <f>MAX(H707,ROUNDUP(I707,0))</f>
        <v>32.0</v>
      </c>
      <c r="K707" s="22">
        <f>IF(C707="covered",10.4,7.55)</f>
        <v>7.55</v>
      </c>
      <c r="L707" s="18"/>
      <c r="M707" s="24"/>
      <c r="N707" s="22"/>
      <c r="O707" s="22"/>
      <c r="P707" s="22">
        <f>J707*K707</f>
        <v>241.6</v>
      </c>
      <c r="Q707" s="22">
        <f>IF(L707="","",N707-K707)</f>
        <v/>
      </c>
      <c r="R707" s="24">
        <f>IF(L707="","",M707-J707)</f>
        <v/>
      </c>
      <c r="S707" s="22">
        <f>IF(L707="",-P707,O707-P707)</f>
        <v>-241.6</v>
      </c>
      <c r="T707" s="25" t="str">
        <f>IF(L707="","NO BILL IN SUPPLIED EXPORT",IF(ABS(Q707)&gt;0.001,"RATE EXCEPTION",IF(ABS(R707)&gt;0.001,"LENGTH EXCEPTION",IF(ABS(S707)&gt;0.01,"AMOUNT EXCEPTION","OK"))))</f>
        <v>NO BILL IN SUPPLIED EXPORT</v>
      </c>
      <c r="U707" s="19" t="s">
        <v>3863</v>
      </c>
    </row>
    <row r="708" spans="1:21" ht="28" customHeight="1">
      <c r="A708" s="14" t="s">
        <v>59</v>
      </c>
      <c r="B708" s="14" t="s">
        <v>195</v>
      </c>
      <c r="C708" s="14" t="s">
        <v>226</v>
      </c>
      <c r="D708" s="14" t="s">
        <v>227</v>
      </c>
      <c r="E708" s="14" t="s">
        <v>3864</v>
      </c>
      <c r="F708" s="15" t="s">
        <v>3865</v>
      </c>
      <c r="G708" s="15" t="s">
        <v>1680</v>
      </c>
      <c r="H708" s="24">
        <v>24</v>
      </c>
      <c r="I708" s="24">
        <v>19.8</v>
      </c>
      <c r="J708" s="24">
        <f>MAX(H708,ROUNDUP(I708,0))</f>
        <v>24.0</v>
      </c>
      <c r="K708" s="22">
        <f>IF(C708="covered",10.4,7.55)</f>
        <v>7.55</v>
      </c>
      <c r="L708" s="14"/>
      <c r="M708" s="24"/>
      <c r="N708" s="22"/>
      <c r="O708" s="22"/>
      <c r="P708" s="22">
        <f>J708*K708</f>
        <v>181.2</v>
      </c>
      <c r="Q708" s="22">
        <f>IF(L708="","",N708-K708)</f>
        <v/>
      </c>
      <c r="R708" s="24">
        <f>IF(L708="","",M708-J708)</f>
        <v/>
      </c>
      <c r="S708" s="22">
        <f>IF(L708="",-P708,O708-P708)</f>
        <v>-181.2</v>
      </c>
      <c r="T708" s="25" t="str">
        <f>IF(L708="","NO BILL IN SUPPLIED EXPORT",IF(ABS(Q708)&gt;0.001,"RATE EXCEPTION",IF(ABS(R708)&gt;0.001,"LENGTH EXCEPTION",IF(ABS(S708)&gt;0.01,"AMOUNT EXCEPTION","OK"))))</f>
        <v>NO BILL IN SUPPLIED EXPORT</v>
      </c>
      <c r="U708" s="15" t="s">
        <v>3866</v>
      </c>
    </row>
    <row r="709" spans="1:21" ht="28" customHeight="1">
      <c r="A709" s="18" t="s">
        <v>3867</v>
      </c>
      <c r="B709" s="18" t="s">
        <v>195</v>
      </c>
      <c r="C709" s="18" t="s">
        <v>226</v>
      </c>
      <c r="D709" s="18" t="s">
        <v>227</v>
      </c>
      <c r="E709" s="18" t="s">
        <v>3868</v>
      </c>
      <c r="F709" s="19" t="s">
        <v>3869</v>
      </c>
      <c r="G709" s="19" t="s">
        <v>704</v>
      </c>
      <c r="H709" s="24">
        <v>70</v>
      </c>
      <c r="I709" s="24">
        <v>43.2</v>
      </c>
      <c r="J709" s="24">
        <f>MAX(H709,ROUNDUP(I709,0))</f>
        <v>70.0</v>
      </c>
      <c r="K709" s="22">
        <f>IF(C709="covered",10.4,7.55)</f>
        <v>7.55</v>
      </c>
      <c r="L709" s="18"/>
      <c r="M709" s="24"/>
      <c r="N709" s="22"/>
      <c r="O709" s="22"/>
      <c r="P709" s="22">
        <f>J709*K709</f>
        <v>528.5</v>
      </c>
      <c r="Q709" s="22">
        <f>IF(L709="","",N709-K709)</f>
        <v/>
      </c>
      <c r="R709" s="24">
        <f>IF(L709="","",M709-J709)</f>
        <v/>
      </c>
      <c r="S709" s="22">
        <f>IF(L709="",-P709,O709-P709)</f>
        <v>-528.5</v>
      </c>
      <c r="T709" s="25" t="str">
        <f>IF(L709="","NO BILL IN SUPPLIED EXPORT",IF(ABS(Q709)&gt;0.001,"RATE EXCEPTION",IF(ABS(R709)&gt;0.001,"LENGTH EXCEPTION",IF(ABS(S709)&gt;0.01,"AMOUNT EXCEPTION","OK"))))</f>
        <v>NO BILL IN SUPPLIED EXPORT</v>
      </c>
      <c r="U709" s="19" t="s">
        <v>3870</v>
      </c>
    </row>
    <row r="710" spans="1:21" ht="28" customHeight="1">
      <c r="A710" s="14" t="s">
        <v>3871</v>
      </c>
      <c r="B710" s="14" t="s">
        <v>195</v>
      </c>
      <c r="C710" s="14" t="s">
        <v>226</v>
      </c>
      <c r="D710" s="14" t="s">
        <v>227</v>
      </c>
      <c r="E710" s="14" t="s">
        <v>3872</v>
      </c>
      <c r="F710" s="15" t="s">
        <v>3873</v>
      </c>
      <c r="G710" s="15" t="s">
        <v>653</v>
      </c>
      <c r="H710" s="24">
        <v>24</v>
      </c>
      <c r="I710" s="24">
        <v>31.6</v>
      </c>
      <c r="J710" s="24">
        <f>MAX(H710,ROUNDUP(I710,0))</f>
        <v>32</v>
      </c>
      <c r="K710" s="22">
        <f>IF(C710="covered",10.4,7.55)</f>
        <v>7.55</v>
      </c>
      <c r="L710" s="14"/>
      <c r="M710" s="24"/>
      <c r="N710" s="22"/>
      <c r="O710" s="22"/>
      <c r="P710" s="22">
        <f>J710*K710</f>
        <v>241.6</v>
      </c>
      <c r="Q710" s="22">
        <f>IF(L710="","",N710-K710)</f>
        <v/>
      </c>
      <c r="R710" s="24">
        <f>IF(L710="","",M710-J710)</f>
        <v/>
      </c>
      <c r="S710" s="22">
        <f>IF(L710="",-P710,O710-P710)</f>
        <v>-241.6</v>
      </c>
      <c r="T710" s="25" t="str">
        <f>IF(L710="","NO BILL IN SUPPLIED EXPORT",IF(ABS(Q710)&gt;0.001,"RATE EXCEPTION",IF(ABS(R710)&gt;0.001,"LENGTH EXCEPTION",IF(ABS(S710)&gt;0.01,"AMOUNT EXCEPTION","OK"))))</f>
        <v>NO BILL IN SUPPLIED EXPORT</v>
      </c>
      <c r="U710" s="15" t="s">
        <v>3874</v>
      </c>
    </row>
    <row r="711" spans="1:21" ht="28" customHeight="1">
      <c r="A711" s="18" t="s">
        <v>3875</v>
      </c>
      <c r="B711" s="18" t="s">
        <v>195</v>
      </c>
      <c r="C711" s="18" t="s">
        <v>226</v>
      </c>
      <c r="D711" s="18" t="s">
        <v>227</v>
      </c>
      <c r="E711" s="18" t="s">
        <v>3876</v>
      </c>
      <c r="F711" s="19" t="s">
        <v>3877</v>
      </c>
      <c r="G711" s="19" t="s">
        <v>3878</v>
      </c>
      <c r="H711" s="24">
        <v>60</v>
      </c>
      <c r="I711" s="24">
        <v>52.3</v>
      </c>
      <c r="J711" s="24">
        <f>MAX(H711,ROUNDUP(I711,0))</f>
        <v>60.0</v>
      </c>
      <c r="K711" s="22">
        <f>IF(C711="covered",10.4,7.55)</f>
        <v>7.55</v>
      </c>
      <c r="L711" s="18"/>
      <c r="M711" s="24"/>
      <c r="N711" s="22"/>
      <c r="O711" s="22"/>
      <c r="P711" s="22">
        <f>J711*K711</f>
        <v>453.0</v>
      </c>
      <c r="Q711" s="22">
        <f>IF(L711="","",N711-K711)</f>
        <v/>
      </c>
      <c r="R711" s="24">
        <f>IF(L711="","",M711-J711)</f>
        <v/>
      </c>
      <c r="S711" s="22">
        <f>IF(L711="",-P711,O711-P711)</f>
        <v>-453.0</v>
      </c>
      <c r="T711" s="25" t="str">
        <f>IF(L711="","NO BILL IN SUPPLIED EXPORT",IF(ABS(Q711)&gt;0.001,"RATE EXCEPTION",IF(ABS(R711)&gt;0.001,"LENGTH EXCEPTION",IF(ABS(S711)&gt;0.01,"AMOUNT EXCEPTION","OK"))))</f>
        <v>NO BILL IN SUPPLIED EXPORT</v>
      </c>
      <c r="U711" s="19" t="s">
        <v>3879</v>
      </c>
    </row>
    <row r="712" spans="1:21" ht="28" customHeight="1">
      <c r="A712" s="14" t="s">
        <v>3880</v>
      </c>
      <c r="B712" s="14" t="s">
        <v>195</v>
      </c>
      <c r="C712" s="14" t="s">
        <v>226</v>
      </c>
      <c r="D712" s="14" t="s">
        <v>227</v>
      </c>
      <c r="E712" s="14" t="s">
        <v>3881</v>
      </c>
      <c r="F712" s="15" t="s">
        <v>3882</v>
      </c>
      <c r="G712" s="15" t="s">
        <v>795</v>
      </c>
      <c r="H712" s="24">
        <v>32</v>
      </c>
      <c r="I712" s="24">
        <v>27.8</v>
      </c>
      <c r="J712" s="24">
        <f>MAX(H712,ROUNDUP(I712,0))</f>
        <v>32.0</v>
      </c>
      <c r="K712" s="22">
        <f>IF(C712="covered",10.4,7.55)</f>
        <v>7.55</v>
      </c>
      <c r="L712" s="14"/>
      <c r="M712" s="24"/>
      <c r="N712" s="22"/>
      <c r="O712" s="22"/>
      <c r="P712" s="22">
        <f>J712*K712</f>
        <v>241.6</v>
      </c>
      <c r="Q712" s="22">
        <f>IF(L712="","",N712-K712)</f>
        <v/>
      </c>
      <c r="R712" s="24">
        <f>IF(L712="","",M712-J712)</f>
        <v/>
      </c>
      <c r="S712" s="22">
        <f>IF(L712="",-P712,O712-P712)</f>
        <v>-241.6</v>
      </c>
      <c r="T712" s="25" t="str">
        <f>IF(L712="","NO BILL IN SUPPLIED EXPORT",IF(ABS(Q712)&gt;0.001,"RATE EXCEPTION",IF(ABS(R712)&gt;0.001,"LENGTH EXCEPTION",IF(ABS(S712)&gt;0.01,"AMOUNT EXCEPTION","OK"))))</f>
        <v>NO BILL IN SUPPLIED EXPORT</v>
      </c>
      <c r="U712" s="15" t="s">
        <v>3883</v>
      </c>
    </row>
    <row r="713" spans="1:21" ht="28" customHeight="1">
      <c r="A713" s="18" t="s">
        <v>160</v>
      </c>
      <c r="B713" s="18" t="s">
        <v>195</v>
      </c>
      <c r="C713" s="18" t="s">
        <v>226</v>
      </c>
      <c r="D713" s="18" t="s">
        <v>227</v>
      </c>
      <c r="E713" s="18" t="s">
        <v>3884</v>
      </c>
      <c r="F713" s="19" t="s">
        <v>3885</v>
      </c>
      <c r="G713" s="19" t="s">
        <v>3886</v>
      </c>
      <c r="H713" s="24">
        <v>40</v>
      </c>
      <c r="I713" s="24">
        <v>57.3</v>
      </c>
      <c r="J713" s="24">
        <f>MAX(H713,ROUNDUP(I713,0))</f>
        <v>58</v>
      </c>
      <c r="K713" s="22">
        <f>IF(C713="covered",10.4,7.55)</f>
        <v>7.55</v>
      </c>
      <c r="L713" s="18"/>
      <c r="M713" s="24"/>
      <c r="N713" s="22"/>
      <c r="O713" s="22"/>
      <c r="P713" s="22">
        <f>J713*K713</f>
        <v>437.9</v>
      </c>
      <c r="Q713" s="22">
        <f>IF(L713="","",N713-K713)</f>
        <v/>
      </c>
      <c r="R713" s="24">
        <f>IF(L713="","",M713-J713)</f>
        <v/>
      </c>
      <c r="S713" s="22">
        <f>IF(L713="",-P713,O713-P713)</f>
        <v>-437.9</v>
      </c>
      <c r="T713" s="25" t="str">
        <f>IF(L713="","NO BILL IN SUPPLIED EXPORT",IF(ABS(Q713)&gt;0.001,"RATE EXCEPTION",IF(ABS(R713)&gt;0.001,"LENGTH EXCEPTION",IF(ABS(S713)&gt;0.01,"AMOUNT EXCEPTION","OK"))))</f>
        <v>NO BILL IN SUPPLIED EXPORT</v>
      </c>
      <c r="U713" s="19" t="s">
        <v>3887</v>
      </c>
    </row>
    <row r="714" spans="1:21" ht="28" customHeight="1">
      <c r="A714" s="14" t="s">
        <v>3888</v>
      </c>
      <c r="B714" s="14" t="s">
        <v>195</v>
      </c>
      <c r="C714" s="14" t="s">
        <v>226</v>
      </c>
      <c r="D714" s="14" t="s">
        <v>227</v>
      </c>
      <c r="E714" s="14" t="s">
        <v>3889</v>
      </c>
      <c r="F714" s="15" t="s">
        <v>3890</v>
      </c>
      <c r="G714" s="15" t="s">
        <v>755</v>
      </c>
      <c r="H714" s="24">
        <v>80</v>
      </c>
      <c r="I714" s="24">
        <v>53.4</v>
      </c>
      <c r="J714" s="24">
        <f>MAX(H714,ROUNDUP(I714,0))</f>
        <v>80.0</v>
      </c>
      <c r="K714" s="22">
        <f>IF(C714="covered",10.4,7.55)</f>
        <v>7.55</v>
      </c>
      <c r="L714" s="14"/>
      <c r="M714" s="24"/>
      <c r="N714" s="22"/>
      <c r="O714" s="22"/>
      <c r="P714" s="22">
        <f>J714*K714</f>
        <v>604.0</v>
      </c>
      <c r="Q714" s="22">
        <f>IF(L714="","",N714-K714)</f>
        <v/>
      </c>
      <c r="R714" s="24">
        <f>IF(L714="","",M714-J714)</f>
        <v/>
      </c>
      <c r="S714" s="22">
        <f>IF(L714="",-P714,O714-P714)</f>
        <v>-604.0</v>
      </c>
      <c r="T714" s="25" t="str">
        <f>IF(L714="","NO BILL IN SUPPLIED EXPORT",IF(ABS(Q714)&gt;0.001,"RATE EXCEPTION",IF(ABS(R714)&gt;0.001,"LENGTH EXCEPTION",IF(ABS(S714)&gt;0.01,"AMOUNT EXCEPTION","OK"))))</f>
        <v>NO BILL IN SUPPLIED EXPORT</v>
      </c>
      <c r="U714" s="15" t="s">
        <v>3891</v>
      </c>
    </row>
    <row r="715" spans="1:21" ht="28" customHeight="1">
      <c r="A715" s="18" t="s">
        <v>3892</v>
      </c>
      <c r="B715" s="18" t="s">
        <v>195</v>
      </c>
      <c r="C715" s="18" t="s">
        <v>226</v>
      </c>
      <c r="D715" s="18" t="s">
        <v>227</v>
      </c>
      <c r="E715" s="18" t="s">
        <v>3893</v>
      </c>
      <c r="F715" s="19" t="s">
        <v>3894</v>
      </c>
      <c r="G715" s="19" t="s">
        <v>1353</v>
      </c>
      <c r="H715" s="24">
        <v>24</v>
      </c>
      <c r="I715" s="24">
        <v>23.5</v>
      </c>
      <c r="J715" s="24">
        <f>MAX(H715,ROUNDUP(I715,0))</f>
        <v>24.0</v>
      </c>
      <c r="K715" s="22">
        <f>IF(C715="covered",10.4,7.55)</f>
        <v>7.55</v>
      </c>
      <c r="L715" s="18"/>
      <c r="M715" s="24"/>
      <c r="N715" s="22"/>
      <c r="O715" s="22"/>
      <c r="P715" s="22">
        <f>J715*K715</f>
        <v>181.2</v>
      </c>
      <c r="Q715" s="22">
        <f>IF(L715="","",N715-K715)</f>
        <v/>
      </c>
      <c r="R715" s="24">
        <f>IF(L715="","",M715-J715)</f>
        <v/>
      </c>
      <c r="S715" s="22">
        <f>IF(L715="",-P715,O715-P715)</f>
        <v>-181.2</v>
      </c>
      <c r="T715" s="25" t="str">
        <f>IF(L715="","NO BILL IN SUPPLIED EXPORT",IF(ABS(Q715)&gt;0.001,"RATE EXCEPTION",IF(ABS(R715)&gt;0.001,"LENGTH EXCEPTION",IF(ABS(S715)&gt;0.01,"AMOUNT EXCEPTION","OK"))))</f>
        <v>NO BILL IN SUPPLIED EXPORT</v>
      </c>
      <c r="U715" s="19" t="s">
        <v>3895</v>
      </c>
    </row>
    <row r="716" spans="1:21" ht="28" customHeight="1">
      <c r="A716" s="14" t="s">
        <v>3896</v>
      </c>
      <c r="B716" s="14" t="s">
        <v>195</v>
      </c>
      <c r="C716" s="14" t="s">
        <v>226</v>
      </c>
      <c r="D716" s="14" t="s">
        <v>227</v>
      </c>
      <c r="E716" s="14" t="s">
        <v>3897</v>
      </c>
      <c r="F716" s="15" t="s">
        <v>3898</v>
      </c>
      <c r="G716" s="15" t="s">
        <v>2163</v>
      </c>
      <c r="H716" s="24">
        <v>32</v>
      </c>
      <c r="I716" s="24">
        <v>39.8</v>
      </c>
      <c r="J716" s="24">
        <f>MAX(H716,ROUNDUP(I716,0))</f>
        <v>40</v>
      </c>
      <c r="K716" s="22">
        <f>IF(C716="covered",10.4,7.55)</f>
        <v>7.55</v>
      </c>
      <c r="L716" s="14"/>
      <c r="M716" s="24"/>
      <c r="N716" s="22"/>
      <c r="O716" s="22"/>
      <c r="P716" s="22">
        <f>J716*K716</f>
        <v>302.0</v>
      </c>
      <c r="Q716" s="22">
        <f>IF(L716="","",N716-K716)</f>
        <v/>
      </c>
      <c r="R716" s="24">
        <f>IF(L716="","",M716-J716)</f>
        <v/>
      </c>
      <c r="S716" s="22">
        <f>IF(L716="",-P716,O716-P716)</f>
        <v>-302.0</v>
      </c>
      <c r="T716" s="25" t="str">
        <f>IF(L716="","NO BILL IN SUPPLIED EXPORT",IF(ABS(Q716)&gt;0.001,"RATE EXCEPTION",IF(ABS(R716)&gt;0.001,"LENGTH EXCEPTION",IF(ABS(S716)&gt;0.01,"AMOUNT EXCEPTION","OK"))))</f>
        <v>NO BILL IN SUPPLIED EXPORT</v>
      </c>
      <c r="U716" s="15" t="s">
        <v>3899</v>
      </c>
    </row>
    <row r="717" spans="1:21" ht="28" customHeight="1">
      <c r="A717" s="18" t="s">
        <v>3900</v>
      </c>
      <c r="B717" s="18" t="s">
        <v>195</v>
      </c>
      <c r="C717" s="18" t="s">
        <v>226</v>
      </c>
      <c r="D717" s="18" t="s">
        <v>227</v>
      </c>
      <c r="E717" s="18" t="s">
        <v>3901</v>
      </c>
      <c r="F717" s="19" t="s">
        <v>3902</v>
      </c>
      <c r="G717" s="19" t="s">
        <v>3903</v>
      </c>
      <c r="H717" s="24">
        <v>80</v>
      </c>
      <c r="I717" s="24">
        <v>57.9</v>
      </c>
      <c r="J717" s="24">
        <f>MAX(H717,ROUNDUP(I717,0))</f>
        <v>80.0</v>
      </c>
      <c r="K717" s="22">
        <f>IF(C717="covered",10.4,7.55)</f>
        <v>7.55</v>
      </c>
      <c r="L717" s="18"/>
      <c r="M717" s="24"/>
      <c r="N717" s="22"/>
      <c r="O717" s="22"/>
      <c r="P717" s="22">
        <f>J717*K717</f>
        <v>604.0</v>
      </c>
      <c r="Q717" s="22">
        <f>IF(L717="","",N717-K717)</f>
        <v/>
      </c>
      <c r="R717" s="24">
        <f>IF(L717="","",M717-J717)</f>
        <v/>
      </c>
      <c r="S717" s="22">
        <f>IF(L717="",-P717,O717-P717)</f>
        <v>-604.0</v>
      </c>
      <c r="T717" s="25" t="str">
        <f>IF(L717="","NO BILL IN SUPPLIED EXPORT",IF(ABS(Q717)&gt;0.001,"RATE EXCEPTION",IF(ABS(R717)&gt;0.001,"LENGTH EXCEPTION",IF(ABS(S717)&gt;0.01,"AMOUNT EXCEPTION","OK"))))</f>
        <v>NO BILL IN SUPPLIED EXPORT</v>
      </c>
      <c r="U717" s="19" t="s">
        <v>3904</v>
      </c>
    </row>
    <row r="718" spans="1:21" ht="28" customHeight="1">
      <c r="A718" s="14" t="s">
        <v>3905</v>
      </c>
      <c r="B718" s="14" t="s">
        <v>195</v>
      </c>
      <c r="C718" s="14" t="s">
        <v>226</v>
      </c>
      <c r="D718" s="14" t="s">
        <v>227</v>
      </c>
      <c r="E718" s="14" t="s">
        <v>3906</v>
      </c>
      <c r="F718" s="15" t="s">
        <v>3907</v>
      </c>
      <c r="G718" s="15" t="s">
        <v>935</v>
      </c>
      <c r="H718" s="24">
        <v>32</v>
      </c>
      <c r="I718" s="24">
        <v>24.6</v>
      </c>
      <c r="J718" s="24">
        <f>MAX(H718,ROUNDUP(I718,0))</f>
        <v>32.0</v>
      </c>
      <c r="K718" s="22">
        <f>IF(C718="covered",10.4,7.55)</f>
        <v>7.55</v>
      </c>
      <c r="L718" s="14"/>
      <c r="M718" s="24"/>
      <c r="N718" s="22"/>
      <c r="O718" s="22"/>
      <c r="P718" s="22">
        <f>J718*K718</f>
        <v>241.6</v>
      </c>
      <c r="Q718" s="22">
        <f>IF(L718="","",N718-K718)</f>
        <v/>
      </c>
      <c r="R718" s="24">
        <f>IF(L718="","",M718-J718)</f>
        <v/>
      </c>
      <c r="S718" s="22">
        <f>IF(L718="",-P718,O718-P718)</f>
        <v>-241.6</v>
      </c>
      <c r="T718" s="25" t="str">
        <f>IF(L718="","NO BILL IN SUPPLIED EXPORT",IF(ABS(Q718)&gt;0.001,"RATE EXCEPTION",IF(ABS(R718)&gt;0.001,"LENGTH EXCEPTION",IF(ABS(S718)&gt;0.01,"AMOUNT EXCEPTION","OK"))))</f>
        <v>NO BILL IN SUPPLIED EXPORT</v>
      </c>
      <c r="U718" s="15" t="s">
        <v>3908</v>
      </c>
    </row>
    <row r="719" spans="1:21" ht="28" customHeight="1">
      <c r="A719" s="18" t="s">
        <v>3909</v>
      </c>
      <c r="B719" s="18" t="s">
        <v>195</v>
      </c>
      <c r="C719" s="18" t="s">
        <v>226</v>
      </c>
      <c r="D719" s="18" t="s">
        <v>227</v>
      </c>
      <c r="E719" s="18" t="s">
        <v>3910</v>
      </c>
      <c r="F719" s="19" t="s">
        <v>3911</v>
      </c>
      <c r="G719" s="19" t="s">
        <v>963</v>
      </c>
      <c r="H719" s="24">
        <v>45</v>
      </c>
      <c r="I719" s="24">
        <v>48.4</v>
      </c>
      <c r="J719" s="24">
        <f>MAX(H719,ROUNDUP(I719,0))</f>
        <v>49</v>
      </c>
      <c r="K719" s="22">
        <f>IF(C719="covered",10.4,7.55)</f>
        <v>7.55</v>
      </c>
      <c r="L719" s="18"/>
      <c r="M719" s="24"/>
      <c r="N719" s="22"/>
      <c r="O719" s="22"/>
      <c r="P719" s="22">
        <f>J719*K719</f>
        <v>369.95</v>
      </c>
      <c r="Q719" s="22">
        <f>IF(L719="","",N719-K719)</f>
        <v/>
      </c>
      <c r="R719" s="24">
        <f>IF(L719="","",M719-J719)</f>
        <v/>
      </c>
      <c r="S719" s="22">
        <f>IF(L719="",-P719,O719-P719)</f>
        <v>-369.95</v>
      </c>
      <c r="T719" s="25" t="str">
        <f>IF(L719="","NO BILL IN SUPPLIED EXPORT",IF(ABS(Q719)&gt;0.001,"RATE EXCEPTION",IF(ABS(R719)&gt;0.001,"LENGTH EXCEPTION",IF(ABS(S719)&gt;0.01,"AMOUNT EXCEPTION","OK"))))</f>
        <v>NO BILL IN SUPPLIED EXPORT</v>
      </c>
      <c r="U719" s="19" t="s">
        <v>3912</v>
      </c>
    </row>
    <row r="720" spans="1:21" ht="28" customHeight="1">
      <c r="A720" s="14" t="s">
        <v>3913</v>
      </c>
      <c r="B720" s="14" t="s">
        <v>195</v>
      </c>
      <c r="C720" s="14" t="s">
        <v>226</v>
      </c>
      <c r="D720" s="14" t="s">
        <v>227</v>
      </c>
      <c r="E720" s="14" t="s">
        <v>3914</v>
      </c>
      <c r="F720" s="15" t="s">
        <v>3915</v>
      </c>
      <c r="G720" s="15" t="s">
        <v>606</v>
      </c>
      <c r="H720" s="24">
        <v>32</v>
      </c>
      <c r="I720" s="24">
        <v>27.3</v>
      </c>
      <c r="J720" s="24">
        <f>MAX(H720,ROUNDUP(I720,0))</f>
        <v>32.0</v>
      </c>
      <c r="K720" s="22">
        <f>IF(C720="covered",10.4,7.55)</f>
        <v>7.55</v>
      </c>
      <c r="L720" s="14"/>
      <c r="M720" s="24"/>
      <c r="N720" s="22"/>
      <c r="O720" s="22"/>
      <c r="P720" s="22">
        <f>J720*K720</f>
        <v>241.6</v>
      </c>
      <c r="Q720" s="22">
        <f>IF(L720="","",N720-K720)</f>
        <v/>
      </c>
      <c r="R720" s="24">
        <f>IF(L720="","",M720-J720)</f>
        <v/>
      </c>
      <c r="S720" s="22">
        <f>IF(L720="",-P720,O720-P720)</f>
        <v>-241.6</v>
      </c>
      <c r="T720" s="25" t="str">
        <f>IF(L720="","NO BILL IN SUPPLIED EXPORT",IF(ABS(Q720)&gt;0.001,"RATE EXCEPTION",IF(ABS(R720)&gt;0.001,"LENGTH EXCEPTION",IF(ABS(S720)&gt;0.01,"AMOUNT EXCEPTION","OK"))))</f>
        <v>NO BILL IN SUPPLIED EXPORT</v>
      </c>
      <c r="U720" s="15" t="s">
        <v>3916</v>
      </c>
    </row>
    <row r="721" spans="1:21" ht="28" customHeight="1">
      <c r="A721" s="18" t="s">
        <v>3917</v>
      </c>
      <c r="B721" s="18" t="s">
        <v>195</v>
      </c>
      <c r="C721" s="18" t="s">
        <v>226</v>
      </c>
      <c r="D721" s="18" t="s">
        <v>227</v>
      </c>
      <c r="E721" s="18" t="s">
        <v>101</v>
      </c>
      <c r="F721" s="19" t="s">
        <v>102</v>
      </c>
      <c r="G721" s="19" t="s">
        <v>103</v>
      </c>
      <c r="H721" s="24">
        <v>24</v>
      </c>
      <c r="I721" s="24">
        <v>46</v>
      </c>
      <c r="J721" s="24">
        <f>MAX(H721,ROUNDUP(I721,0))</f>
        <v>46</v>
      </c>
      <c r="K721" s="22">
        <f>IF(C721="covered",10.4,7.55)</f>
        <v>7.55</v>
      </c>
      <c r="L721" s="18"/>
      <c r="M721" s="24"/>
      <c r="N721" s="22"/>
      <c r="O721" s="22"/>
      <c r="P721" s="22">
        <f>J721*K721</f>
        <v>347.3</v>
      </c>
      <c r="Q721" s="22">
        <f>IF(L721="","",N721-K721)</f>
        <v/>
      </c>
      <c r="R721" s="24">
        <f>IF(L721="","",M721-J721)</f>
        <v/>
      </c>
      <c r="S721" s="22">
        <f>IF(L721="",-P721,O721-P721)</f>
        <v>-347.3</v>
      </c>
      <c r="T721" s="25" t="str">
        <f>IF(L721="","NO BILL IN SUPPLIED EXPORT",IF(ABS(Q721)&gt;0.001,"RATE EXCEPTION",IF(ABS(R721)&gt;0.001,"LENGTH EXCEPTION",IF(ABS(S721)&gt;0.01,"AMOUNT EXCEPTION","OK"))))</f>
        <v>NO BILL IN SUPPLIED EXPORT</v>
      </c>
      <c r="U721" s="19" t="s">
        <v>3918</v>
      </c>
    </row>
    <row r="722" spans="1:21" ht="28" customHeight="1">
      <c r="A722" s="14" t="s">
        <v>3919</v>
      </c>
      <c r="B722" s="14" t="s">
        <v>195</v>
      </c>
      <c r="C722" s="14" t="s">
        <v>226</v>
      </c>
      <c r="D722" s="14" t="s">
        <v>227</v>
      </c>
      <c r="E722" s="14" t="s">
        <v>3920</v>
      </c>
      <c r="F722" s="15" t="s">
        <v>3921</v>
      </c>
      <c r="G722" s="15" t="s">
        <v>2036</v>
      </c>
      <c r="H722" s="24">
        <v>24</v>
      </c>
      <c r="I722" s="24">
        <v>27.6</v>
      </c>
      <c r="J722" s="24">
        <f>MAX(H722,ROUNDUP(I722,0))</f>
        <v>28</v>
      </c>
      <c r="K722" s="22">
        <f>IF(C722="covered",10.4,7.55)</f>
        <v>7.55</v>
      </c>
      <c r="L722" s="14"/>
      <c r="M722" s="24"/>
      <c r="N722" s="22"/>
      <c r="O722" s="22"/>
      <c r="P722" s="22">
        <f>J722*K722</f>
        <v>211.4</v>
      </c>
      <c r="Q722" s="22">
        <f>IF(L722="","",N722-K722)</f>
        <v/>
      </c>
      <c r="R722" s="24">
        <f>IF(L722="","",M722-J722)</f>
        <v/>
      </c>
      <c r="S722" s="22">
        <f>IF(L722="",-P722,O722-P722)</f>
        <v>-211.4</v>
      </c>
      <c r="T722" s="25" t="str">
        <f>IF(L722="","NO BILL IN SUPPLIED EXPORT",IF(ABS(Q722)&gt;0.001,"RATE EXCEPTION",IF(ABS(R722)&gt;0.001,"LENGTH EXCEPTION",IF(ABS(S722)&gt;0.01,"AMOUNT EXCEPTION","OK"))))</f>
        <v>NO BILL IN SUPPLIED EXPORT</v>
      </c>
      <c r="U722" s="15" t="s">
        <v>3922</v>
      </c>
    </row>
    <row r="723" spans="1:21" ht="28" customHeight="1">
      <c r="A723" s="18" t="s">
        <v>3923</v>
      </c>
      <c r="B723" s="18" t="s">
        <v>195</v>
      </c>
      <c r="C723" s="18" t="s">
        <v>226</v>
      </c>
      <c r="D723" s="18" t="s">
        <v>227</v>
      </c>
      <c r="E723" s="18" t="s">
        <v>3924</v>
      </c>
      <c r="F723" s="19" t="s">
        <v>3925</v>
      </c>
      <c r="G723" s="19" t="s">
        <v>529</v>
      </c>
      <c r="H723" s="24">
        <v>24</v>
      </c>
      <c r="I723" s="24">
        <v>46.5</v>
      </c>
      <c r="J723" s="24">
        <f>MAX(H723,ROUNDUP(I723,0))</f>
        <v>47</v>
      </c>
      <c r="K723" s="22">
        <f>IF(C723="covered",10.4,7.55)</f>
        <v>7.55</v>
      </c>
      <c r="L723" s="18"/>
      <c r="M723" s="24"/>
      <c r="N723" s="22"/>
      <c r="O723" s="22"/>
      <c r="P723" s="22">
        <f>J723*K723</f>
        <v>354.84999999999997</v>
      </c>
      <c r="Q723" s="22">
        <f>IF(L723="","",N723-K723)</f>
        <v/>
      </c>
      <c r="R723" s="24">
        <f>IF(L723="","",M723-J723)</f>
        <v/>
      </c>
      <c r="S723" s="22">
        <f>IF(L723="",-P723,O723-P723)</f>
        <v>-354.84999999999997</v>
      </c>
      <c r="T723" s="25" t="str">
        <f>IF(L723="","NO BILL IN SUPPLIED EXPORT",IF(ABS(Q723)&gt;0.001,"RATE EXCEPTION",IF(ABS(R723)&gt;0.001,"LENGTH EXCEPTION",IF(ABS(S723)&gt;0.01,"AMOUNT EXCEPTION","OK"))))</f>
        <v>NO BILL IN SUPPLIED EXPORT</v>
      </c>
      <c r="U723" s="19" t="s">
        <v>3926</v>
      </c>
    </row>
    <row r="724" spans="1:21" ht="28" customHeight="1">
      <c r="A724" s="14" t="s">
        <v>168</v>
      </c>
      <c r="B724" s="14" t="s">
        <v>195</v>
      </c>
      <c r="C724" s="14" t="s">
        <v>226</v>
      </c>
      <c r="D724" s="14" t="s">
        <v>227</v>
      </c>
      <c r="E724" s="14" t="s">
        <v>3927</v>
      </c>
      <c r="F724" s="15" t="s">
        <v>3928</v>
      </c>
      <c r="G724" s="15" t="s">
        <v>3929</v>
      </c>
      <c r="H724" s="24">
        <v>24</v>
      </c>
      <c r="I724" s="24">
        <v>39.1</v>
      </c>
      <c r="J724" s="24">
        <f>MAX(H724,ROUNDUP(I724,0))</f>
        <v>40</v>
      </c>
      <c r="K724" s="22">
        <f>IF(C724="covered",10.4,7.55)</f>
        <v>7.55</v>
      </c>
      <c r="L724" s="14"/>
      <c r="M724" s="24"/>
      <c r="N724" s="22"/>
      <c r="O724" s="22"/>
      <c r="P724" s="22">
        <f>J724*K724</f>
        <v>302.0</v>
      </c>
      <c r="Q724" s="22">
        <f>IF(L724="","",N724-K724)</f>
        <v/>
      </c>
      <c r="R724" s="24">
        <f>IF(L724="","",M724-J724)</f>
        <v/>
      </c>
      <c r="S724" s="22">
        <f>IF(L724="",-P724,O724-P724)</f>
        <v>-302.0</v>
      </c>
      <c r="T724" s="25" t="str">
        <f>IF(L724="","NO BILL IN SUPPLIED EXPORT",IF(ABS(Q724)&gt;0.001,"RATE EXCEPTION",IF(ABS(R724)&gt;0.001,"LENGTH EXCEPTION",IF(ABS(S724)&gt;0.01,"AMOUNT EXCEPTION","OK"))))</f>
        <v>NO BILL IN SUPPLIED EXPORT</v>
      </c>
      <c r="U724" s="15" t="s">
        <v>3930</v>
      </c>
    </row>
    <row r="725" spans="1:21" ht="28" customHeight="1">
      <c r="A725" s="18" t="s">
        <v>3931</v>
      </c>
      <c r="B725" s="18" t="s">
        <v>195</v>
      </c>
      <c r="C725" s="18" t="s">
        <v>226</v>
      </c>
      <c r="D725" s="18" t="s">
        <v>227</v>
      </c>
      <c r="E725" s="18" t="s">
        <v>3932</v>
      </c>
      <c r="F725" s="19" t="s">
        <v>3933</v>
      </c>
      <c r="G725" s="19" t="s">
        <v>3028</v>
      </c>
      <c r="H725" s="24">
        <v>45</v>
      </c>
      <c r="I725" s="24">
        <v>60.3</v>
      </c>
      <c r="J725" s="24">
        <f>MAX(H725,ROUNDUP(I725,0))</f>
        <v>61</v>
      </c>
      <c r="K725" s="22">
        <f>IF(C725="covered",10.4,7.55)</f>
        <v>7.55</v>
      </c>
      <c r="L725" s="18"/>
      <c r="M725" s="24"/>
      <c r="N725" s="22"/>
      <c r="O725" s="22"/>
      <c r="P725" s="22">
        <f>J725*K725</f>
        <v>460.55</v>
      </c>
      <c r="Q725" s="22">
        <f>IF(L725="","",N725-K725)</f>
        <v/>
      </c>
      <c r="R725" s="24">
        <f>IF(L725="","",M725-J725)</f>
        <v/>
      </c>
      <c r="S725" s="22">
        <f>IF(L725="",-P725,O725-P725)</f>
        <v>-460.55</v>
      </c>
      <c r="T725" s="25" t="str">
        <f>IF(L725="","NO BILL IN SUPPLIED EXPORT",IF(ABS(Q725)&gt;0.001,"RATE EXCEPTION",IF(ABS(R725)&gt;0.001,"LENGTH EXCEPTION",IF(ABS(S725)&gt;0.01,"AMOUNT EXCEPTION","OK"))))</f>
        <v>NO BILL IN SUPPLIED EXPORT</v>
      </c>
      <c r="U725" s="19" t="s">
        <v>3934</v>
      </c>
    </row>
    <row r="726" spans="1:21" ht="28" customHeight="1">
      <c r="A726" s="14" t="s">
        <v>3935</v>
      </c>
      <c r="B726" s="14" t="s">
        <v>195</v>
      </c>
      <c r="C726" s="14" t="s">
        <v>226</v>
      </c>
      <c r="D726" s="14" t="s">
        <v>227</v>
      </c>
      <c r="E726" s="14" t="s">
        <v>3936</v>
      </c>
      <c r="F726" s="15" t="s">
        <v>3937</v>
      </c>
      <c r="G726" s="15" t="s">
        <v>2333</v>
      </c>
      <c r="H726" s="24">
        <v>32</v>
      </c>
      <c r="I726" s="24">
        <v>58.9</v>
      </c>
      <c r="J726" s="24">
        <f>MAX(H726,ROUNDUP(I726,0))</f>
        <v>59</v>
      </c>
      <c r="K726" s="22">
        <f>IF(C726="covered",10.4,7.55)</f>
        <v>7.55</v>
      </c>
      <c r="L726" s="14"/>
      <c r="M726" s="24"/>
      <c r="N726" s="22"/>
      <c r="O726" s="22"/>
      <c r="P726" s="22">
        <f>J726*K726</f>
        <v>445.45</v>
      </c>
      <c r="Q726" s="22">
        <f>IF(L726="","",N726-K726)</f>
        <v/>
      </c>
      <c r="R726" s="24">
        <f>IF(L726="","",M726-J726)</f>
        <v/>
      </c>
      <c r="S726" s="22">
        <f>IF(L726="",-P726,O726-P726)</f>
        <v>-445.45</v>
      </c>
      <c r="T726" s="25" t="str">
        <f>IF(L726="","NO BILL IN SUPPLIED EXPORT",IF(ABS(Q726)&gt;0.001,"RATE EXCEPTION",IF(ABS(R726)&gt;0.001,"LENGTH EXCEPTION",IF(ABS(S726)&gt;0.01,"AMOUNT EXCEPTION","OK"))))</f>
        <v>NO BILL IN SUPPLIED EXPORT</v>
      </c>
      <c r="U726" s="15" t="s">
        <v>3938</v>
      </c>
    </row>
    <row r="727" spans="1:21" ht="28" customHeight="1">
      <c r="A727" s="18" t="s">
        <v>3939</v>
      </c>
      <c r="B727" s="18" t="s">
        <v>195</v>
      </c>
      <c r="C727" s="18" t="s">
        <v>226</v>
      </c>
      <c r="D727" s="18" t="s">
        <v>227</v>
      </c>
      <c r="E727" s="18" t="s">
        <v>3940</v>
      </c>
      <c r="F727" s="19" t="s">
        <v>3941</v>
      </c>
      <c r="G727" s="19" t="s">
        <v>1994</v>
      </c>
      <c r="H727" s="24">
        <v>40</v>
      </c>
      <c r="I727" s="24">
        <v>22.7</v>
      </c>
      <c r="J727" s="24">
        <f>MAX(H727,ROUNDUP(I727,0))</f>
        <v>40.0</v>
      </c>
      <c r="K727" s="22">
        <f>IF(C727="covered",10.4,7.55)</f>
        <v>7.55</v>
      </c>
      <c r="L727" s="18"/>
      <c r="M727" s="24"/>
      <c r="N727" s="22"/>
      <c r="O727" s="22"/>
      <c r="P727" s="22">
        <f>J727*K727</f>
        <v>302.0</v>
      </c>
      <c r="Q727" s="22">
        <f>IF(L727="","",N727-K727)</f>
        <v/>
      </c>
      <c r="R727" s="24">
        <f>IF(L727="","",M727-J727)</f>
        <v/>
      </c>
      <c r="S727" s="22">
        <f>IF(L727="",-P727,O727-P727)</f>
        <v>-302.0</v>
      </c>
      <c r="T727" s="25" t="str">
        <f>IF(L727="","NO BILL IN SUPPLIED EXPORT",IF(ABS(Q727)&gt;0.001,"RATE EXCEPTION",IF(ABS(R727)&gt;0.001,"LENGTH EXCEPTION",IF(ABS(S727)&gt;0.01,"AMOUNT EXCEPTION","OK"))))</f>
        <v>NO BILL IN SUPPLIED EXPORT</v>
      </c>
      <c r="U727" s="19" t="s">
        <v>3942</v>
      </c>
    </row>
    <row r="728" spans="1:21" ht="28" customHeight="1">
      <c r="A728" s="14" t="s">
        <v>3943</v>
      </c>
      <c r="B728" s="14" t="s">
        <v>195</v>
      </c>
      <c r="C728" s="14" t="s">
        <v>226</v>
      </c>
      <c r="D728" s="14" t="s">
        <v>227</v>
      </c>
      <c r="E728" s="14" t="s">
        <v>3944</v>
      </c>
      <c r="F728" s="15" t="s">
        <v>3945</v>
      </c>
      <c r="G728" s="15" t="s">
        <v>276</v>
      </c>
      <c r="H728" s="24">
        <v>28</v>
      </c>
      <c r="I728" s="24">
        <v>58.1</v>
      </c>
      <c r="J728" s="24">
        <f>MAX(H728,ROUNDUP(I728,0))</f>
        <v>59</v>
      </c>
      <c r="K728" s="22">
        <f>IF(C728="covered",10.4,7.55)</f>
        <v>7.55</v>
      </c>
      <c r="L728" s="14"/>
      <c r="M728" s="24"/>
      <c r="N728" s="22"/>
      <c r="O728" s="22"/>
      <c r="P728" s="22">
        <f>J728*K728</f>
        <v>445.45</v>
      </c>
      <c r="Q728" s="22">
        <f>IF(L728="","",N728-K728)</f>
        <v/>
      </c>
      <c r="R728" s="24">
        <f>IF(L728="","",M728-J728)</f>
        <v/>
      </c>
      <c r="S728" s="22">
        <f>IF(L728="",-P728,O728-P728)</f>
        <v>-445.45</v>
      </c>
      <c r="T728" s="25" t="str">
        <f>IF(L728="","NO BILL IN SUPPLIED EXPORT",IF(ABS(Q728)&gt;0.001,"RATE EXCEPTION",IF(ABS(R728)&gt;0.001,"LENGTH EXCEPTION",IF(ABS(S728)&gt;0.01,"AMOUNT EXCEPTION","OK"))))</f>
        <v>NO BILL IN SUPPLIED EXPORT</v>
      </c>
      <c r="U728" s="15" t="s">
        <v>3946</v>
      </c>
    </row>
    <row r="729" spans="1:21" ht="28" customHeight="1">
      <c r="A729" s="18" t="s">
        <v>3947</v>
      </c>
      <c r="B729" s="18" t="s">
        <v>195</v>
      </c>
      <c r="C729" s="18" t="s">
        <v>226</v>
      </c>
      <c r="D729" s="18" t="s">
        <v>227</v>
      </c>
      <c r="E729" s="18" t="s">
        <v>3948</v>
      </c>
      <c r="F729" s="19" t="s">
        <v>3949</v>
      </c>
      <c r="G729" s="19" t="s">
        <v>2183</v>
      </c>
      <c r="H729" s="24">
        <v>70</v>
      </c>
      <c r="I729" s="24">
        <v>47.1</v>
      </c>
      <c r="J729" s="24">
        <f>MAX(H729,ROUNDUP(I729,0))</f>
        <v>70.0</v>
      </c>
      <c r="K729" s="22">
        <f>IF(C729="covered",10.4,7.55)</f>
        <v>7.55</v>
      </c>
      <c r="L729" s="18"/>
      <c r="M729" s="24"/>
      <c r="N729" s="22"/>
      <c r="O729" s="22"/>
      <c r="P729" s="22">
        <f>J729*K729</f>
        <v>528.5</v>
      </c>
      <c r="Q729" s="22">
        <f>IF(L729="","",N729-K729)</f>
        <v/>
      </c>
      <c r="R729" s="24">
        <f>IF(L729="","",M729-J729)</f>
        <v/>
      </c>
      <c r="S729" s="22">
        <f>IF(L729="",-P729,O729-P729)</f>
        <v>-528.5</v>
      </c>
      <c r="T729" s="25" t="str">
        <f>IF(L729="","NO BILL IN SUPPLIED EXPORT",IF(ABS(Q729)&gt;0.001,"RATE EXCEPTION",IF(ABS(R729)&gt;0.001,"LENGTH EXCEPTION",IF(ABS(S729)&gt;0.01,"AMOUNT EXCEPTION","OK"))))</f>
        <v>NO BILL IN SUPPLIED EXPORT</v>
      </c>
      <c r="U729" s="19" t="s">
        <v>3950</v>
      </c>
    </row>
    <row r="730" spans="1:21" ht="28" customHeight="1">
      <c r="A730" s="14" t="s">
        <v>3951</v>
      </c>
      <c r="B730" s="14" t="s">
        <v>195</v>
      </c>
      <c r="C730" s="14" t="s">
        <v>226</v>
      </c>
      <c r="D730" s="14" t="s">
        <v>227</v>
      </c>
      <c r="E730" s="14" t="s">
        <v>3952</v>
      </c>
      <c r="F730" s="15" t="s">
        <v>3953</v>
      </c>
      <c r="G730" s="15" t="s">
        <v>3197</v>
      </c>
      <c r="H730" s="24">
        <v>28</v>
      </c>
      <c r="I730" s="24">
        <v>37.5</v>
      </c>
      <c r="J730" s="24">
        <f>MAX(H730,ROUNDUP(I730,0))</f>
        <v>38</v>
      </c>
      <c r="K730" s="22">
        <f>IF(C730="covered",10.4,7.55)</f>
        <v>7.55</v>
      </c>
      <c r="L730" s="14"/>
      <c r="M730" s="24"/>
      <c r="N730" s="22"/>
      <c r="O730" s="22"/>
      <c r="P730" s="22">
        <f>J730*K730</f>
        <v>286.9</v>
      </c>
      <c r="Q730" s="22">
        <f>IF(L730="","",N730-K730)</f>
        <v/>
      </c>
      <c r="R730" s="24">
        <f>IF(L730="","",M730-J730)</f>
        <v/>
      </c>
      <c r="S730" s="22">
        <f>IF(L730="",-P730,O730-P730)</f>
        <v>-286.9</v>
      </c>
      <c r="T730" s="25" t="str">
        <f>IF(L730="","NO BILL IN SUPPLIED EXPORT",IF(ABS(Q730)&gt;0.001,"RATE EXCEPTION",IF(ABS(R730)&gt;0.001,"LENGTH EXCEPTION",IF(ABS(S730)&gt;0.01,"AMOUNT EXCEPTION","OK"))))</f>
        <v>NO BILL IN SUPPLIED EXPORT</v>
      </c>
      <c r="U730" s="15" t="s">
        <v>3954</v>
      </c>
    </row>
    <row r="731" spans="1:21" ht="28" customHeight="1">
      <c r="A731" s="18" t="s">
        <v>3955</v>
      </c>
      <c r="B731" s="18" t="s">
        <v>195</v>
      </c>
      <c r="C731" s="18" t="s">
        <v>226</v>
      </c>
      <c r="D731" s="18" t="s">
        <v>227</v>
      </c>
      <c r="E731" s="18" t="s">
        <v>3956</v>
      </c>
      <c r="F731" s="19" t="s">
        <v>3957</v>
      </c>
      <c r="G731" s="19" t="s">
        <v>3958</v>
      </c>
      <c r="H731" s="24">
        <v>50</v>
      </c>
      <c r="I731" s="24">
        <v>44.2</v>
      </c>
      <c r="J731" s="24">
        <f>MAX(H731,ROUNDUP(I731,0))</f>
        <v>50.0</v>
      </c>
      <c r="K731" s="22">
        <f>IF(C731="covered",10.4,7.55)</f>
        <v>7.55</v>
      </c>
      <c r="L731" s="18"/>
      <c r="M731" s="24"/>
      <c r="N731" s="22"/>
      <c r="O731" s="22"/>
      <c r="P731" s="22">
        <f>J731*K731</f>
        <v>377.5</v>
      </c>
      <c r="Q731" s="22">
        <f>IF(L731="","",N731-K731)</f>
        <v/>
      </c>
      <c r="R731" s="24">
        <f>IF(L731="","",M731-J731)</f>
        <v/>
      </c>
      <c r="S731" s="22">
        <f>IF(L731="",-P731,O731-P731)</f>
        <v>-377.5</v>
      </c>
      <c r="T731" s="25" t="str">
        <f>IF(L731="","NO BILL IN SUPPLIED EXPORT",IF(ABS(Q731)&gt;0.001,"RATE EXCEPTION",IF(ABS(R731)&gt;0.001,"LENGTH EXCEPTION",IF(ABS(S731)&gt;0.01,"AMOUNT EXCEPTION","OK"))))</f>
        <v>NO BILL IN SUPPLIED EXPORT</v>
      </c>
      <c r="U731" s="19" t="s">
        <v>3959</v>
      </c>
    </row>
    <row r="732" spans="1:21" ht="28" customHeight="1">
      <c r="A732" s="14" t="s">
        <v>3960</v>
      </c>
      <c r="B732" s="14" t="s">
        <v>195</v>
      </c>
      <c r="C732" s="14" t="s">
        <v>226</v>
      </c>
      <c r="D732" s="14" t="s">
        <v>227</v>
      </c>
      <c r="E732" s="14" t="s">
        <v>3961</v>
      </c>
      <c r="F732" s="15" t="s">
        <v>3962</v>
      </c>
      <c r="G732" s="15" t="s">
        <v>907</v>
      </c>
      <c r="H732" s="24">
        <v>50</v>
      </c>
      <c r="I732" s="24">
        <v>48.8</v>
      </c>
      <c r="J732" s="24">
        <f>MAX(H732,ROUNDUP(I732,0))</f>
        <v>50.0</v>
      </c>
      <c r="K732" s="22">
        <f>IF(C732="covered",10.4,7.55)</f>
        <v>7.55</v>
      </c>
      <c r="L732" s="14"/>
      <c r="M732" s="24"/>
      <c r="N732" s="22"/>
      <c r="O732" s="22"/>
      <c r="P732" s="22">
        <f>J732*K732</f>
        <v>377.5</v>
      </c>
      <c r="Q732" s="22">
        <f>IF(L732="","",N732-K732)</f>
        <v/>
      </c>
      <c r="R732" s="24">
        <f>IF(L732="","",M732-J732)</f>
        <v/>
      </c>
      <c r="S732" s="22">
        <f>IF(L732="",-P732,O732-P732)</f>
        <v>-377.5</v>
      </c>
      <c r="T732" s="25" t="str">
        <f>IF(L732="","NO BILL IN SUPPLIED EXPORT",IF(ABS(Q732)&gt;0.001,"RATE EXCEPTION",IF(ABS(R732)&gt;0.001,"LENGTH EXCEPTION",IF(ABS(S732)&gt;0.01,"AMOUNT EXCEPTION","OK"))))</f>
        <v>NO BILL IN SUPPLIED EXPORT</v>
      </c>
      <c r="U732" s="15" t="s">
        <v>3963</v>
      </c>
    </row>
    <row r="733" spans="1:21" ht="28" customHeight="1">
      <c r="A733" s="18" t="s">
        <v>3964</v>
      </c>
      <c r="B733" s="18" t="s">
        <v>195</v>
      </c>
      <c r="C733" s="18" t="s">
        <v>226</v>
      </c>
      <c r="D733" s="18" t="s">
        <v>227</v>
      </c>
      <c r="E733" s="18" t="s">
        <v>3965</v>
      </c>
      <c r="F733" s="19" t="s">
        <v>3966</v>
      </c>
      <c r="G733" s="19" t="s">
        <v>3967</v>
      </c>
      <c r="H733" s="24">
        <v>28</v>
      </c>
      <c r="I733" s="24">
        <v>51.5</v>
      </c>
      <c r="J733" s="24">
        <f>MAX(H733,ROUNDUP(I733,0))</f>
        <v>52</v>
      </c>
      <c r="K733" s="22">
        <f>IF(C733="covered",10.4,7.55)</f>
        <v>7.55</v>
      </c>
      <c r="L733" s="18"/>
      <c r="M733" s="24"/>
      <c r="N733" s="22"/>
      <c r="O733" s="22"/>
      <c r="P733" s="22">
        <f>J733*K733</f>
        <v>392.59999999999997</v>
      </c>
      <c r="Q733" s="22">
        <f>IF(L733="","",N733-K733)</f>
        <v/>
      </c>
      <c r="R733" s="24">
        <f>IF(L733="","",M733-J733)</f>
        <v/>
      </c>
      <c r="S733" s="22">
        <f>IF(L733="",-P733,O733-P733)</f>
        <v>-392.59999999999997</v>
      </c>
      <c r="T733" s="25" t="str">
        <f>IF(L733="","NO BILL IN SUPPLIED EXPORT",IF(ABS(Q733)&gt;0.001,"RATE EXCEPTION",IF(ABS(R733)&gt;0.001,"LENGTH EXCEPTION",IF(ABS(S733)&gt;0.01,"AMOUNT EXCEPTION","OK"))))</f>
        <v>NO BILL IN SUPPLIED EXPORT</v>
      </c>
      <c r="U733" s="19" t="s">
        <v>3968</v>
      </c>
    </row>
    <row r="734" spans="1:21" ht="28" customHeight="1">
      <c r="A734" s="14" t="s">
        <v>3969</v>
      </c>
      <c r="B734" s="14" t="s">
        <v>195</v>
      </c>
      <c r="C734" s="14" t="s">
        <v>226</v>
      </c>
      <c r="D734" s="14" t="s">
        <v>227</v>
      </c>
      <c r="E734" s="14" t="s">
        <v>3970</v>
      </c>
      <c r="F734" s="15" t="s">
        <v>3971</v>
      </c>
      <c r="G734" s="15" t="s">
        <v>2215</v>
      </c>
      <c r="H734" s="24">
        <v>40</v>
      </c>
      <c r="I734" s="24">
        <v>26.4</v>
      </c>
      <c r="J734" s="24">
        <f>MAX(H734,ROUNDUP(I734,0))</f>
        <v>40.0</v>
      </c>
      <c r="K734" s="22">
        <f>IF(C734="covered",10.4,7.55)</f>
        <v>7.55</v>
      </c>
      <c r="L734" s="14"/>
      <c r="M734" s="24"/>
      <c r="N734" s="22"/>
      <c r="O734" s="22"/>
      <c r="P734" s="22">
        <f>J734*K734</f>
        <v>302.0</v>
      </c>
      <c r="Q734" s="22">
        <f>IF(L734="","",N734-K734)</f>
        <v/>
      </c>
      <c r="R734" s="24">
        <f>IF(L734="","",M734-J734)</f>
        <v/>
      </c>
      <c r="S734" s="22">
        <f>IF(L734="",-P734,O734-P734)</f>
        <v>-302.0</v>
      </c>
      <c r="T734" s="25" t="str">
        <f>IF(L734="","NO BILL IN SUPPLIED EXPORT",IF(ABS(Q734)&gt;0.001,"RATE EXCEPTION",IF(ABS(R734)&gt;0.001,"LENGTH EXCEPTION",IF(ABS(S734)&gt;0.01,"AMOUNT EXCEPTION","OK"))))</f>
        <v>NO BILL IN SUPPLIED EXPORT</v>
      </c>
      <c r="U734" s="15" t="s">
        <v>3972</v>
      </c>
    </row>
    <row r="735" spans="1:21" ht="28" customHeight="1">
      <c r="A735" s="18" t="s">
        <v>3973</v>
      </c>
      <c r="B735" s="18" t="s">
        <v>195</v>
      </c>
      <c r="C735" s="18" t="s">
        <v>226</v>
      </c>
      <c r="D735" s="18" t="s">
        <v>227</v>
      </c>
      <c r="E735" s="18" t="s">
        <v>3974</v>
      </c>
      <c r="F735" s="19" t="s">
        <v>3975</v>
      </c>
      <c r="G735" s="19" t="s">
        <v>3878</v>
      </c>
      <c r="H735" s="24">
        <v>32</v>
      </c>
      <c r="I735" s="24">
        <v>23.2</v>
      </c>
      <c r="J735" s="24">
        <f>MAX(H735,ROUNDUP(I735,0))</f>
        <v>32.0</v>
      </c>
      <c r="K735" s="22">
        <f>IF(C735="covered",10.4,7.55)</f>
        <v>7.55</v>
      </c>
      <c r="L735" s="18"/>
      <c r="M735" s="24"/>
      <c r="N735" s="22"/>
      <c r="O735" s="22"/>
      <c r="P735" s="22">
        <f>J735*K735</f>
        <v>241.6</v>
      </c>
      <c r="Q735" s="22">
        <f>IF(L735="","",N735-K735)</f>
        <v/>
      </c>
      <c r="R735" s="24">
        <f>IF(L735="","",M735-J735)</f>
        <v/>
      </c>
      <c r="S735" s="22">
        <f>IF(L735="",-P735,O735-P735)</f>
        <v>-241.6</v>
      </c>
      <c r="T735" s="25" t="str">
        <f>IF(L735="","NO BILL IN SUPPLIED EXPORT",IF(ABS(Q735)&gt;0.001,"RATE EXCEPTION",IF(ABS(R735)&gt;0.001,"LENGTH EXCEPTION",IF(ABS(S735)&gt;0.01,"AMOUNT EXCEPTION","OK"))))</f>
        <v>NO BILL IN SUPPLIED EXPORT</v>
      </c>
      <c r="U735" s="19" t="s">
        <v>3976</v>
      </c>
    </row>
    <row r="736" spans="1:21" ht="28" customHeight="1">
      <c r="A736" s="14" t="s">
        <v>3977</v>
      </c>
      <c r="B736" s="14" t="s">
        <v>195</v>
      </c>
      <c r="C736" s="14" t="s">
        <v>226</v>
      </c>
      <c r="D736" s="14" t="s">
        <v>227</v>
      </c>
      <c r="E736" s="14" t="s">
        <v>3978</v>
      </c>
      <c r="F736" s="15" t="s">
        <v>3979</v>
      </c>
      <c r="G736" s="15" t="s">
        <v>471</v>
      </c>
      <c r="H736" s="24">
        <v>80</v>
      </c>
      <c r="I736" s="24">
        <v>48.6</v>
      </c>
      <c r="J736" s="24">
        <f>MAX(H736,ROUNDUP(I736,0))</f>
        <v>80.0</v>
      </c>
      <c r="K736" s="22">
        <f>IF(C736="covered",10.4,7.55)</f>
        <v>7.55</v>
      </c>
      <c r="L736" s="14"/>
      <c r="M736" s="24"/>
      <c r="N736" s="22"/>
      <c r="O736" s="22"/>
      <c r="P736" s="22">
        <f>J736*K736</f>
        <v>604.0</v>
      </c>
      <c r="Q736" s="22">
        <f>IF(L736="","",N736-K736)</f>
        <v/>
      </c>
      <c r="R736" s="24">
        <f>IF(L736="","",M736-J736)</f>
        <v/>
      </c>
      <c r="S736" s="22">
        <f>IF(L736="",-P736,O736-P736)</f>
        <v>-604.0</v>
      </c>
      <c r="T736" s="25" t="str">
        <f>IF(L736="","NO BILL IN SUPPLIED EXPORT",IF(ABS(Q736)&gt;0.001,"RATE EXCEPTION",IF(ABS(R736)&gt;0.001,"LENGTH EXCEPTION",IF(ABS(S736)&gt;0.01,"AMOUNT EXCEPTION","OK"))))</f>
        <v>NO BILL IN SUPPLIED EXPORT</v>
      </c>
      <c r="U736" s="15" t="s">
        <v>3980</v>
      </c>
    </row>
    <row r="737" spans="1:21" ht="28" customHeight="1">
      <c r="A737" s="18" t="s">
        <v>3981</v>
      </c>
      <c r="B737" s="18" t="s">
        <v>195</v>
      </c>
      <c r="C737" s="18" t="s">
        <v>226</v>
      </c>
      <c r="D737" s="18" t="s">
        <v>227</v>
      </c>
      <c r="E737" s="18" t="s">
        <v>3982</v>
      </c>
      <c r="F737" s="19" t="s">
        <v>3983</v>
      </c>
      <c r="G737" s="19" t="s">
        <v>3984</v>
      </c>
      <c r="H737" s="24">
        <v>32</v>
      </c>
      <c r="I737" s="24">
        <v>30.9</v>
      </c>
      <c r="J737" s="24">
        <f>MAX(H737,ROUNDUP(I737,0))</f>
        <v>32.0</v>
      </c>
      <c r="K737" s="22">
        <f>IF(C737="covered",10.4,7.55)</f>
        <v>7.55</v>
      </c>
      <c r="L737" s="18"/>
      <c r="M737" s="24"/>
      <c r="N737" s="22"/>
      <c r="O737" s="22"/>
      <c r="P737" s="22">
        <f>J737*K737</f>
        <v>241.6</v>
      </c>
      <c r="Q737" s="22">
        <f>IF(L737="","",N737-K737)</f>
        <v/>
      </c>
      <c r="R737" s="24">
        <f>IF(L737="","",M737-J737)</f>
        <v/>
      </c>
      <c r="S737" s="22">
        <f>IF(L737="",-P737,O737-P737)</f>
        <v>-241.6</v>
      </c>
      <c r="T737" s="25" t="str">
        <f>IF(L737="","NO BILL IN SUPPLIED EXPORT",IF(ABS(Q737)&gt;0.001,"RATE EXCEPTION",IF(ABS(R737)&gt;0.001,"LENGTH EXCEPTION",IF(ABS(S737)&gt;0.01,"AMOUNT EXCEPTION","OK"))))</f>
        <v>NO BILL IN SUPPLIED EXPORT</v>
      </c>
      <c r="U737" s="19" t="s">
        <v>3985</v>
      </c>
    </row>
    <row r="738" spans="1:21" ht="28" customHeight="1">
      <c r="A738" s="14" t="s">
        <v>3986</v>
      </c>
      <c r="B738" s="14" t="s">
        <v>195</v>
      </c>
      <c r="C738" s="14" t="s">
        <v>226</v>
      </c>
      <c r="D738" s="14" t="s">
        <v>227</v>
      </c>
      <c r="E738" s="14" t="s">
        <v>3987</v>
      </c>
      <c r="F738" s="15" t="s">
        <v>3988</v>
      </c>
      <c r="G738" s="15" t="s">
        <v>992</v>
      </c>
      <c r="H738" s="24">
        <v>70</v>
      </c>
      <c r="I738" s="24">
        <v>57.4</v>
      </c>
      <c r="J738" s="24">
        <f>MAX(H738,ROUNDUP(I738,0))</f>
        <v>70.0</v>
      </c>
      <c r="K738" s="22">
        <f>IF(C738="covered",10.4,7.55)</f>
        <v>7.55</v>
      </c>
      <c r="L738" s="14"/>
      <c r="M738" s="24"/>
      <c r="N738" s="22"/>
      <c r="O738" s="22"/>
      <c r="P738" s="22">
        <f>J738*K738</f>
        <v>528.5</v>
      </c>
      <c r="Q738" s="22">
        <f>IF(L738="","",N738-K738)</f>
        <v/>
      </c>
      <c r="R738" s="24">
        <f>IF(L738="","",M738-J738)</f>
        <v/>
      </c>
      <c r="S738" s="22">
        <f>IF(L738="",-P738,O738-P738)</f>
        <v>-528.5</v>
      </c>
      <c r="T738" s="25" t="str">
        <f>IF(L738="","NO BILL IN SUPPLIED EXPORT",IF(ABS(Q738)&gt;0.001,"RATE EXCEPTION",IF(ABS(R738)&gt;0.001,"LENGTH EXCEPTION",IF(ABS(S738)&gt;0.01,"AMOUNT EXCEPTION","OK"))))</f>
        <v>NO BILL IN SUPPLIED EXPORT</v>
      </c>
      <c r="U738" s="15" t="s">
        <v>3989</v>
      </c>
    </row>
    <row r="739" spans="1:21" ht="28" customHeight="1">
      <c r="A739" s="18" t="s">
        <v>3990</v>
      </c>
      <c r="B739" s="18" t="s">
        <v>195</v>
      </c>
      <c r="C739" s="18" t="s">
        <v>226</v>
      </c>
      <c r="D739" s="18" t="s">
        <v>227</v>
      </c>
      <c r="E739" s="18" t="s">
        <v>3991</v>
      </c>
      <c r="F739" s="19" t="s">
        <v>3992</v>
      </c>
      <c r="G739" s="19" t="s">
        <v>400</v>
      </c>
      <c r="H739" s="24">
        <v>28</v>
      </c>
      <c r="I739" s="24">
        <v>20.7</v>
      </c>
      <c r="J739" s="24">
        <f>MAX(H739,ROUNDUP(I739,0))</f>
        <v>28.0</v>
      </c>
      <c r="K739" s="22">
        <f>IF(C739="covered",10.4,7.55)</f>
        <v>7.55</v>
      </c>
      <c r="L739" s="18"/>
      <c r="M739" s="24"/>
      <c r="N739" s="22"/>
      <c r="O739" s="22"/>
      <c r="P739" s="22">
        <f>J739*K739</f>
        <v>211.4</v>
      </c>
      <c r="Q739" s="22">
        <f>IF(L739="","",N739-K739)</f>
        <v/>
      </c>
      <c r="R739" s="24">
        <f>IF(L739="","",M739-J739)</f>
        <v/>
      </c>
      <c r="S739" s="22">
        <f>IF(L739="",-P739,O739-P739)</f>
        <v>-211.4</v>
      </c>
      <c r="T739" s="25" t="str">
        <f>IF(L739="","NO BILL IN SUPPLIED EXPORT",IF(ABS(Q739)&gt;0.001,"RATE EXCEPTION",IF(ABS(R739)&gt;0.001,"LENGTH EXCEPTION",IF(ABS(S739)&gt;0.01,"AMOUNT EXCEPTION","OK"))))</f>
        <v>NO BILL IN SUPPLIED EXPORT</v>
      </c>
      <c r="U739" s="19" t="s">
        <v>3993</v>
      </c>
    </row>
    <row r="740" spans="1:21" ht="28" customHeight="1">
      <c r="A740" s="14" t="s">
        <v>3994</v>
      </c>
      <c r="B740" s="14" t="s">
        <v>195</v>
      </c>
      <c r="C740" s="14" t="s">
        <v>226</v>
      </c>
      <c r="D740" s="14" t="s">
        <v>227</v>
      </c>
      <c r="E740" s="14" t="s">
        <v>3995</v>
      </c>
      <c r="F740" s="15" t="s">
        <v>3996</v>
      </c>
      <c r="G740" s="15" t="s">
        <v>2729</v>
      </c>
      <c r="H740" s="24">
        <v>24</v>
      </c>
      <c r="I740" s="24">
        <v>30</v>
      </c>
      <c r="J740" s="24">
        <f>MAX(H740,ROUNDUP(I740,0))</f>
        <v>30</v>
      </c>
      <c r="K740" s="22">
        <f>IF(C740="covered",10.4,7.55)</f>
        <v>7.55</v>
      </c>
      <c r="L740" s="14"/>
      <c r="M740" s="24"/>
      <c r="N740" s="22"/>
      <c r="O740" s="22"/>
      <c r="P740" s="22">
        <f>J740*K740</f>
        <v>226.5</v>
      </c>
      <c r="Q740" s="22">
        <f>IF(L740="","",N740-K740)</f>
        <v/>
      </c>
      <c r="R740" s="24">
        <f>IF(L740="","",M740-J740)</f>
        <v/>
      </c>
      <c r="S740" s="22">
        <f>IF(L740="",-P740,O740-P740)</f>
        <v>-226.5</v>
      </c>
      <c r="T740" s="25" t="str">
        <f>IF(L740="","NO BILL IN SUPPLIED EXPORT",IF(ABS(Q740)&gt;0.001,"RATE EXCEPTION",IF(ABS(R740)&gt;0.001,"LENGTH EXCEPTION",IF(ABS(S740)&gt;0.01,"AMOUNT EXCEPTION","OK"))))</f>
        <v>NO BILL IN SUPPLIED EXPORT</v>
      </c>
      <c r="U740" s="15" t="s">
        <v>3997</v>
      </c>
    </row>
    <row r="741" spans="1:21" ht="28" customHeight="1">
      <c r="A741" s="18" t="s">
        <v>3998</v>
      </c>
      <c r="B741" s="18" t="s">
        <v>195</v>
      </c>
      <c r="C741" s="18" t="s">
        <v>226</v>
      </c>
      <c r="D741" s="18" t="s">
        <v>227</v>
      </c>
      <c r="E741" s="18" t="s">
        <v>3999</v>
      </c>
      <c r="F741" s="19" t="s">
        <v>4000</v>
      </c>
      <c r="G741" s="19" t="s">
        <v>1960</v>
      </c>
      <c r="H741" s="24">
        <v>24</v>
      </c>
      <c r="I741" s="24">
        <v>58.1</v>
      </c>
      <c r="J741" s="24">
        <f>MAX(H741,ROUNDUP(I741,0))</f>
        <v>59</v>
      </c>
      <c r="K741" s="22">
        <f>IF(C741="covered",10.4,7.55)</f>
        <v>7.55</v>
      </c>
      <c r="L741" s="18"/>
      <c r="M741" s="24"/>
      <c r="N741" s="22"/>
      <c r="O741" s="22"/>
      <c r="P741" s="22">
        <f>J741*K741</f>
        <v>445.45</v>
      </c>
      <c r="Q741" s="22">
        <f>IF(L741="","",N741-K741)</f>
        <v/>
      </c>
      <c r="R741" s="24">
        <f>IF(L741="","",M741-J741)</f>
        <v/>
      </c>
      <c r="S741" s="22">
        <f>IF(L741="",-P741,O741-P741)</f>
        <v>-445.45</v>
      </c>
      <c r="T741" s="25" t="str">
        <f>IF(L741="","NO BILL IN SUPPLIED EXPORT",IF(ABS(Q741)&gt;0.001,"RATE EXCEPTION",IF(ABS(R741)&gt;0.001,"LENGTH EXCEPTION",IF(ABS(S741)&gt;0.01,"AMOUNT EXCEPTION","OK"))))</f>
        <v>NO BILL IN SUPPLIED EXPORT</v>
      </c>
      <c r="U741" s="19" t="s">
        <v>4001</v>
      </c>
    </row>
    <row r="742" spans="1:21" ht="28" customHeight="1">
      <c r="A742" s="14" t="s">
        <v>4002</v>
      </c>
      <c r="B742" s="14" t="s">
        <v>195</v>
      </c>
      <c r="C742" s="14" t="s">
        <v>226</v>
      </c>
      <c r="D742" s="14" t="s">
        <v>227</v>
      </c>
      <c r="E742" s="14" t="s">
        <v>4003</v>
      </c>
      <c r="F742" s="15" t="s">
        <v>4004</v>
      </c>
      <c r="G742" s="15" t="s">
        <v>1926</v>
      </c>
      <c r="H742" s="24">
        <v>70</v>
      </c>
      <c r="I742" s="24">
        <v>58.3</v>
      </c>
      <c r="J742" s="24">
        <f>MAX(H742,ROUNDUP(I742,0))</f>
        <v>70.0</v>
      </c>
      <c r="K742" s="22">
        <f>IF(C742="covered",10.4,7.55)</f>
        <v>7.55</v>
      </c>
      <c r="L742" s="14"/>
      <c r="M742" s="24"/>
      <c r="N742" s="22"/>
      <c r="O742" s="22"/>
      <c r="P742" s="22">
        <f>J742*K742</f>
        <v>528.5</v>
      </c>
      <c r="Q742" s="22">
        <f>IF(L742="","",N742-K742)</f>
        <v/>
      </c>
      <c r="R742" s="24">
        <f>IF(L742="","",M742-J742)</f>
        <v/>
      </c>
      <c r="S742" s="22">
        <f>IF(L742="",-P742,O742-P742)</f>
        <v>-528.5</v>
      </c>
      <c r="T742" s="25" t="str">
        <f>IF(L742="","NO BILL IN SUPPLIED EXPORT",IF(ABS(Q742)&gt;0.001,"RATE EXCEPTION",IF(ABS(R742)&gt;0.001,"LENGTH EXCEPTION",IF(ABS(S742)&gt;0.01,"AMOUNT EXCEPTION","OK"))))</f>
        <v>NO BILL IN SUPPLIED EXPORT</v>
      </c>
      <c r="U742" s="15" t="s">
        <v>4005</v>
      </c>
    </row>
    <row r="743" spans="1:21" ht="28" customHeight="1">
      <c r="A743" s="18" t="s">
        <v>4006</v>
      </c>
      <c r="B743" s="18" t="s">
        <v>195</v>
      </c>
      <c r="C743" s="18" t="s">
        <v>226</v>
      </c>
      <c r="D743" s="18" t="s">
        <v>227</v>
      </c>
      <c r="E743" s="18" t="s">
        <v>4007</v>
      </c>
      <c r="F743" s="19" t="s">
        <v>4008</v>
      </c>
      <c r="G743" s="19" t="s">
        <v>2404</v>
      </c>
      <c r="H743" s="24">
        <v>70</v>
      </c>
      <c r="I743" s="24">
        <v>35.4</v>
      </c>
      <c r="J743" s="24">
        <f>MAX(H743,ROUNDUP(I743,0))</f>
        <v>70.0</v>
      </c>
      <c r="K743" s="22">
        <f>IF(C743="covered",10.4,7.55)</f>
        <v>7.55</v>
      </c>
      <c r="L743" s="18"/>
      <c r="M743" s="24"/>
      <c r="N743" s="22"/>
      <c r="O743" s="22"/>
      <c r="P743" s="22">
        <f>J743*K743</f>
        <v>528.5</v>
      </c>
      <c r="Q743" s="22">
        <f>IF(L743="","",N743-K743)</f>
        <v/>
      </c>
      <c r="R743" s="24">
        <f>IF(L743="","",M743-J743)</f>
        <v/>
      </c>
      <c r="S743" s="22">
        <f>IF(L743="",-P743,O743-P743)</f>
        <v>-528.5</v>
      </c>
      <c r="T743" s="25" t="str">
        <f>IF(L743="","NO BILL IN SUPPLIED EXPORT",IF(ABS(Q743)&gt;0.001,"RATE EXCEPTION",IF(ABS(R743)&gt;0.001,"LENGTH EXCEPTION",IF(ABS(S743)&gt;0.01,"AMOUNT EXCEPTION","OK"))))</f>
        <v>NO BILL IN SUPPLIED EXPORT</v>
      </c>
      <c r="U743" s="19" t="s">
        <v>4009</v>
      </c>
    </row>
    <row r="744" spans="1:21" ht="28" customHeight="1">
      <c r="A744" s="14" t="s">
        <v>4010</v>
      </c>
      <c r="B744" s="14" t="s">
        <v>195</v>
      </c>
      <c r="C744" s="14" t="s">
        <v>226</v>
      </c>
      <c r="D744" s="14" t="s">
        <v>227</v>
      </c>
      <c r="E744" s="14" t="s">
        <v>4011</v>
      </c>
      <c r="F744" s="15" t="s">
        <v>4012</v>
      </c>
      <c r="G744" s="15" t="s">
        <v>3512</v>
      </c>
      <c r="H744" s="24">
        <v>32</v>
      </c>
      <c r="I744" s="24">
        <v>60.3</v>
      </c>
      <c r="J744" s="24">
        <f>MAX(H744,ROUNDUP(I744,0))</f>
        <v>61</v>
      </c>
      <c r="K744" s="22">
        <f>IF(C744="covered",10.4,7.55)</f>
        <v>7.55</v>
      </c>
      <c r="L744" s="14"/>
      <c r="M744" s="24"/>
      <c r="N744" s="22"/>
      <c r="O744" s="22"/>
      <c r="P744" s="22">
        <f>J744*K744</f>
        <v>460.55</v>
      </c>
      <c r="Q744" s="22">
        <f>IF(L744="","",N744-K744)</f>
        <v/>
      </c>
      <c r="R744" s="24">
        <f>IF(L744="","",M744-J744)</f>
        <v/>
      </c>
      <c r="S744" s="22">
        <f>IF(L744="",-P744,O744-P744)</f>
        <v>-460.55</v>
      </c>
      <c r="T744" s="25" t="str">
        <f>IF(L744="","NO BILL IN SUPPLIED EXPORT",IF(ABS(Q744)&gt;0.001,"RATE EXCEPTION",IF(ABS(R744)&gt;0.001,"LENGTH EXCEPTION",IF(ABS(S744)&gt;0.01,"AMOUNT EXCEPTION","OK"))))</f>
        <v>NO BILL IN SUPPLIED EXPORT</v>
      </c>
      <c r="U744" s="15" t="s">
        <v>4013</v>
      </c>
    </row>
    <row r="745" spans="1:21" ht="28" customHeight="1">
      <c r="A745" s="18" t="s">
        <v>4014</v>
      </c>
      <c r="B745" s="18" t="s">
        <v>195</v>
      </c>
      <c r="C745" s="18" t="s">
        <v>226</v>
      </c>
      <c r="D745" s="18" t="s">
        <v>227</v>
      </c>
      <c r="E745" s="18" t="s">
        <v>4015</v>
      </c>
      <c r="F745" s="19" t="s">
        <v>4016</v>
      </c>
      <c r="G745" s="19" t="s">
        <v>4017</v>
      </c>
      <c r="H745" s="24">
        <v>50</v>
      </c>
      <c r="I745" s="24">
        <v>20.9</v>
      </c>
      <c r="J745" s="24">
        <f>MAX(H745,ROUNDUP(I745,0))</f>
        <v>50.0</v>
      </c>
      <c r="K745" s="22">
        <f>IF(C745="covered",10.4,7.55)</f>
        <v>7.55</v>
      </c>
      <c r="L745" s="18"/>
      <c r="M745" s="24"/>
      <c r="N745" s="22"/>
      <c r="O745" s="22"/>
      <c r="P745" s="22">
        <f>J745*K745</f>
        <v>377.5</v>
      </c>
      <c r="Q745" s="22">
        <f>IF(L745="","",N745-K745)</f>
        <v/>
      </c>
      <c r="R745" s="24">
        <f>IF(L745="","",M745-J745)</f>
        <v/>
      </c>
      <c r="S745" s="22">
        <f>IF(L745="",-P745,O745-P745)</f>
        <v>-377.5</v>
      </c>
      <c r="T745" s="25" t="str">
        <f>IF(L745="","NO BILL IN SUPPLIED EXPORT",IF(ABS(Q745)&gt;0.001,"RATE EXCEPTION",IF(ABS(R745)&gt;0.001,"LENGTH EXCEPTION",IF(ABS(S745)&gt;0.01,"AMOUNT EXCEPTION","OK"))))</f>
        <v>NO BILL IN SUPPLIED EXPORT</v>
      </c>
      <c r="U745" s="19" t="s">
        <v>4018</v>
      </c>
    </row>
    <row r="746" spans="1:21" ht="28" customHeight="1">
      <c r="A746" s="14" t="s">
        <v>4019</v>
      </c>
      <c r="B746" s="14" t="s">
        <v>195</v>
      </c>
      <c r="C746" s="14" t="s">
        <v>226</v>
      </c>
      <c r="D746" s="14" t="s">
        <v>227</v>
      </c>
      <c r="E746" s="14" t="s">
        <v>4020</v>
      </c>
      <c r="F746" s="15" t="s">
        <v>4021</v>
      </c>
      <c r="G746" s="15" t="s">
        <v>1908</v>
      </c>
      <c r="H746" s="24">
        <v>40</v>
      </c>
      <c r="I746" s="24">
        <v>26.6</v>
      </c>
      <c r="J746" s="24">
        <f>MAX(H746,ROUNDUP(I746,0))</f>
        <v>40.0</v>
      </c>
      <c r="K746" s="22">
        <f>IF(C746="covered",10.4,7.55)</f>
        <v>7.55</v>
      </c>
      <c r="L746" s="14"/>
      <c r="M746" s="24"/>
      <c r="N746" s="22"/>
      <c r="O746" s="22"/>
      <c r="P746" s="22">
        <f>J746*K746</f>
        <v>302.0</v>
      </c>
      <c r="Q746" s="22">
        <f>IF(L746="","",N746-K746)</f>
        <v/>
      </c>
      <c r="R746" s="24">
        <f>IF(L746="","",M746-J746)</f>
        <v/>
      </c>
      <c r="S746" s="22">
        <f>IF(L746="",-P746,O746-P746)</f>
        <v>-302.0</v>
      </c>
      <c r="T746" s="25" t="str">
        <f>IF(L746="","NO BILL IN SUPPLIED EXPORT",IF(ABS(Q746)&gt;0.001,"RATE EXCEPTION",IF(ABS(R746)&gt;0.001,"LENGTH EXCEPTION",IF(ABS(S746)&gt;0.01,"AMOUNT EXCEPTION","OK"))))</f>
        <v>NO BILL IN SUPPLIED EXPORT</v>
      </c>
      <c r="U746" s="15" t="s">
        <v>4022</v>
      </c>
    </row>
    <row r="747" spans="1:21" ht="28" customHeight="1">
      <c r="A747" s="18" t="s">
        <v>4023</v>
      </c>
      <c r="B747" s="18" t="s">
        <v>195</v>
      </c>
      <c r="C747" s="18" t="s">
        <v>226</v>
      </c>
      <c r="D747" s="18" t="s">
        <v>227</v>
      </c>
      <c r="E747" s="18" t="s">
        <v>4024</v>
      </c>
      <c r="F747" s="19" t="s">
        <v>4025</v>
      </c>
      <c r="G747" s="19" t="s">
        <v>4026</v>
      </c>
      <c r="H747" s="24">
        <v>28</v>
      </c>
      <c r="I747" s="24">
        <v>43.8</v>
      </c>
      <c r="J747" s="24">
        <f>MAX(H747,ROUNDUP(I747,0))</f>
        <v>44</v>
      </c>
      <c r="K747" s="22">
        <f>IF(C747="covered",10.4,7.55)</f>
        <v>7.55</v>
      </c>
      <c r="L747" s="18"/>
      <c r="M747" s="24"/>
      <c r="N747" s="22"/>
      <c r="O747" s="22"/>
      <c r="P747" s="22">
        <f>J747*K747</f>
        <v>332.2</v>
      </c>
      <c r="Q747" s="22">
        <f>IF(L747="","",N747-K747)</f>
        <v/>
      </c>
      <c r="R747" s="24">
        <f>IF(L747="","",M747-J747)</f>
        <v/>
      </c>
      <c r="S747" s="22">
        <f>IF(L747="",-P747,O747-P747)</f>
        <v>-332.2</v>
      </c>
      <c r="T747" s="25" t="str">
        <f>IF(L747="","NO BILL IN SUPPLIED EXPORT",IF(ABS(Q747)&gt;0.001,"RATE EXCEPTION",IF(ABS(R747)&gt;0.001,"LENGTH EXCEPTION",IF(ABS(S747)&gt;0.01,"AMOUNT EXCEPTION","OK"))))</f>
        <v>NO BILL IN SUPPLIED EXPORT</v>
      </c>
      <c r="U747" s="19" t="s">
        <v>4027</v>
      </c>
    </row>
    <row r="748" spans="1:21" ht="28" customHeight="1">
      <c r="A748" s="14" t="s">
        <v>4028</v>
      </c>
      <c r="B748" s="14" t="s">
        <v>195</v>
      </c>
      <c r="C748" s="14" t="s">
        <v>226</v>
      </c>
      <c r="D748" s="14" t="s">
        <v>227</v>
      </c>
      <c r="E748" s="14" t="s">
        <v>4029</v>
      </c>
      <c r="F748" s="15" t="s">
        <v>4030</v>
      </c>
      <c r="G748" s="15" t="s">
        <v>300</v>
      </c>
      <c r="H748" s="24">
        <v>50</v>
      </c>
      <c r="I748" s="24">
        <v>37.7</v>
      </c>
      <c r="J748" s="24">
        <f>MAX(H748,ROUNDUP(I748,0))</f>
        <v>50.0</v>
      </c>
      <c r="K748" s="22">
        <f>IF(C748="covered",10.4,7.55)</f>
        <v>7.55</v>
      </c>
      <c r="L748" s="14"/>
      <c r="M748" s="24"/>
      <c r="N748" s="22"/>
      <c r="O748" s="22"/>
      <c r="P748" s="22">
        <f>J748*K748</f>
        <v>377.5</v>
      </c>
      <c r="Q748" s="22">
        <f>IF(L748="","",N748-K748)</f>
        <v/>
      </c>
      <c r="R748" s="24">
        <f>IF(L748="","",M748-J748)</f>
        <v/>
      </c>
      <c r="S748" s="22">
        <f>IF(L748="",-P748,O748-P748)</f>
        <v>-377.5</v>
      </c>
      <c r="T748" s="25" t="str">
        <f>IF(L748="","NO BILL IN SUPPLIED EXPORT",IF(ABS(Q748)&gt;0.001,"RATE EXCEPTION",IF(ABS(R748)&gt;0.001,"LENGTH EXCEPTION",IF(ABS(S748)&gt;0.01,"AMOUNT EXCEPTION","OK"))))</f>
        <v>NO BILL IN SUPPLIED EXPORT</v>
      </c>
      <c r="U748" s="15" t="s">
        <v>4031</v>
      </c>
    </row>
    <row r="749" spans="1:21" ht="28" customHeight="1">
      <c r="A749" s="18" t="s">
        <v>4032</v>
      </c>
      <c r="B749" s="18" t="s">
        <v>195</v>
      </c>
      <c r="C749" s="18" t="s">
        <v>226</v>
      </c>
      <c r="D749" s="18" t="s">
        <v>227</v>
      </c>
      <c r="E749" s="18" t="s">
        <v>4033</v>
      </c>
      <c r="F749" s="19" t="s">
        <v>4034</v>
      </c>
      <c r="G749" s="19" t="s">
        <v>3715</v>
      </c>
      <c r="H749" s="24">
        <v>24</v>
      </c>
      <c r="I749" s="24">
        <v>52.1</v>
      </c>
      <c r="J749" s="24">
        <f>MAX(H749,ROUNDUP(I749,0))</f>
        <v>53</v>
      </c>
      <c r="K749" s="22">
        <f>IF(C749="covered",10.4,7.55)</f>
        <v>7.55</v>
      </c>
      <c r="L749" s="18"/>
      <c r="M749" s="24"/>
      <c r="N749" s="22"/>
      <c r="O749" s="22"/>
      <c r="P749" s="22">
        <f>J749*K749</f>
        <v>400.15</v>
      </c>
      <c r="Q749" s="22">
        <f>IF(L749="","",N749-K749)</f>
        <v/>
      </c>
      <c r="R749" s="24">
        <f>IF(L749="","",M749-J749)</f>
        <v/>
      </c>
      <c r="S749" s="22">
        <f>IF(L749="",-P749,O749-P749)</f>
        <v>-400.15</v>
      </c>
      <c r="T749" s="25" t="str">
        <f>IF(L749="","NO BILL IN SUPPLIED EXPORT",IF(ABS(Q749)&gt;0.001,"RATE EXCEPTION",IF(ABS(R749)&gt;0.001,"LENGTH EXCEPTION",IF(ABS(S749)&gt;0.01,"AMOUNT EXCEPTION","OK"))))</f>
        <v>NO BILL IN SUPPLIED EXPORT</v>
      </c>
      <c r="U749" s="19" t="s">
        <v>4035</v>
      </c>
    </row>
    <row r="750" spans="1:21" ht="28" customHeight="1">
      <c r="A750" s="14" t="s">
        <v>4036</v>
      </c>
      <c r="B750" s="14" t="s">
        <v>195</v>
      </c>
      <c r="C750" s="14" t="s">
        <v>226</v>
      </c>
      <c r="D750" s="14" t="s">
        <v>227</v>
      </c>
      <c r="E750" s="14" t="s">
        <v>4037</v>
      </c>
      <c r="F750" s="15" t="s">
        <v>4038</v>
      </c>
      <c r="G750" s="15" t="s">
        <v>406</v>
      </c>
      <c r="H750" s="24">
        <v>70</v>
      </c>
      <c r="I750" s="24">
        <v>59.9</v>
      </c>
      <c r="J750" s="24">
        <f>MAX(H750,ROUNDUP(I750,0))</f>
        <v>70.0</v>
      </c>
      <c r="K750" s="22">
        <f>IF(C750="covered",10.4,7.55)</f>
        <v>7.55</v>
      </c>
      <c r="L750" s="14"/>
      <c r="M750" s="24"/>
      <c r="N750" s="22"/>
      <c r="O750" s="22"/>
      <c r="P750" s="22">
        <f>J750*K750</f>
        <v>528.5</v>
      </c>
      <c r="Q750" s="22">
        <f>IF(L750="","",N750-K750)</f>
        <v/>
      </c>
      <c r="R750" s="24">
        <f>IF(L750="","",M750-J750)</f>
        <v/>
      </c>
      <c r="S750" s="22">
        <f>IF(L750="",-P750,O750-P750)</f>
        <v>-528.5</v>
      </c>
      <c r="T750" s="25" t="str">
        <f>IF(L750="","NO BILL IN SUPPLIED EXPORT",IF(ABS(Q750)&gt;0.001,"RATE EXCEPTION",IF(ABS(R750)&gt;0.001,"LENGTH EXCEPTION",IF(ABS(S750)&gt;0.01,"AMOUNT EXCEPTION","OK"))))</f>
        <v>NO BILL IN SUPPLIED EXPORT</v>
      </c>
      <c r="U750" s="15" t="s">
        <v>4039</v>
      </c>
    </row>
    <row r="751" spans="1:21" ht="28" customHeight="1">
      <c r="A751" s="18" t="s">
        <v>4040</v>
      </c>
      <c r="B751" s="18" t="s">
        <v>195</v>
      </c>
      <c r="C751" s="18" t="s">
        <v>226</v>
      </c>
      <c r="D751" s="18" t="s">
        <v>227</v>
      </c>
      <c r="E751" s="18" t="s">
        <v>4041</v>
      </c>
      <c r="F751" s="19" t="s">
        <v>4042</v>
      </c>
      <c r="G751" s="19" t="s">
        <v>1335</v>
      </c>
      <c r="H751" s="24">
        <v>24</v>
      </c>
      <c r="I751" s="24">
        <v>55.5</v>
      </c>
      <c r="J751" s="24">
        <f>MAX(H751,ROUNDUP(I751,0))</f>
        <v>56</v>
      </c>
      <c r="K751" s="22">
        <f>IF(C751="covered",10.4,7.55)</f>
        <v>7.55</v>
      </c>
      <c r="L751" s="18"/>
      <c r="M751" s="24"/>
      <c r="N751" s="22"/>
      <c r="O751" s="22"/>
      <c r="P751" s="22">
        <f>J751*K751</f>
        <v>422.8</v>
      </c>
      <c r="Q751" s="22">
        <f>IF(L751="","",N751-K751)</f>
        <v/>
      </c>
      <c r="R751" s="24">
        <f>IF(L751="","",M751-J751)</f>
        <v/>
      </c>
      <c r="S751" s="22">
        <f>IF(L751="",-P751,O751-P751)</f>
        <v>-422.8</v>
      </c>
      <c r="T751" s="25" t="str">
        <f>IF(L751="","NO BILL IN SUPPLIED EXPORT",IF(ABS(Q751)&gt;0.001,"RATE EXCEPTION",IF(ABS(R751)&gt;0.001,"LENGTH EXCEPTION",IF(ABS(S751)&gt;0.01,"AMOUNT EXCEPTION","OK"))))</f>
        <v>NO BILL IN SUPPLIED EXPORT</v>
      </c>
      <c r="U751" s="19" t="s">
        <v>4043</v>
      </c>
    </row>
    <row r="752" spans="1:21" ht="28" customHeight="1">
      <c r="A752" s="14" t="s">
        <v>4044</v>
      </c>
      <c r="B752" s="14" t="s">
        <v>195</v>
      </c>
      <c r="C752" s="14" t="s">
        <v>226</v>
      </c>
      <c r="D752" s="14" t="s">
        <v>227</v>
      </c>
      <c r="E752" s="14" t="s">
        <v>4045</v>
      </c>
      <c r="F752" s="15" t="s">
        <v>4046</v>
      </c>
      <c r="G752" s="15" t="s">
        <v>4047</v>
      </c>
      <c r="H752" s="24">
        <v>24</v>
      </c>
      <c r="I752" s="24">
        <v>32.9</v>
      </c>
      <c r="J752" s="24">
        <f>MAX(H752,ROUNDUP(I752,0))</f>
        <v>33</v>
      </c>
      <c r="K752" s="22">
        <f>IF(C752="covered",10.4,7.55)</f>
        <v>7.55</v>
      </c>
      <c r="L752" s="14"/>
      <c r="M752" s="24"/>
      <c r="N752" s="22"/>
      <c r="O752" s="22"/>
      <c r="P752" s="22">
        <f>J752*K752</f>
        <v>249.15</v>
      </c>
      <c r="Q752" s="22">
        <f>IF(L752="","",N752-K752)</f>
        <v/>
      </c>
      <c r="R752" s="24">
        <f>IF(L752="","",M752-J752)</f>
        <v/>
      </c>
      <c r="S752" s="22">
        <f>IF(L752="",-P752,O752-P752)</f>
        <v>-249.15</v>
      </c>
      <c r="T752" s="25" t="str">
        <f>IF(L752="","NO BILL IN SUPPLIED EXPORT",IF(ABS(Q752)&gt;0.001,"RATE EXCEPTION",IF(ABS(R752)&gt;0.001,"LENGTH EXCEPTION",IF(ABS(S752)&gt;0.01,"AMOUNT EXCEPTION","OK"))))</f>
        <v>NO BILL IN SUPPLIED EXPORT</v>
      </c>
      <c r="U752" s="15" t="s">
        <v>4048</v>
      </c>
    </row>
    <row r="753" spans="1:21" ht="28" customHeight="1">
      <c r="A753" s="18" t="s">
        <v>4049</v>
      </c>
      <c r="B753" s="18" t="s">
        <v>195</v>
      </c>
      <c r="C753" s="18" t="s">
        <v>226</v>
      </c>
      <c r="D753" s="18" t="s">
        <v>227</v>
      </c>
      <c r="E753" s="18" t="s">
        <v>4050</v>
      </c>
      <c r="F753" s="19" t="s">
        <v>4051</v>
      </c>
      <c r="G753" s="19" t="s">
        <v>1186</v>
      </c>
      <c r="H753" s="24">
        <v>28</v>
      </c>
      <c r="I753" s="24">
        <v>45.8</v>
      </c>
      <c r="J753" s="24">
        <f>MAX(H753,ROUNDUP(I753,0))</f>
        <v>46</v>
      </c>
      <c r="K753" s="22">
        <f>IF(C753="covered",10.4,7.55)</f>
        <v>7.55</v>
      </c>
      <c r="L753" s="18"/>
      <c r="M753" s="24"/>
      <c r="N753" s="22"/>
      <c r="O753" s="22"/>
      <c r="P753" s="22">
        <f>J753*K753</f>
        <v>347.3</v>
      </c>
      <c r="Q753" s="22">
        <f>IF(L753="","",N753-K753)</f>
        <v/>
      </c>
      <c r="R753" s="24">
        <f>IF(L753="","",M753-J753)</f>
        <v/>
      </c>
      <c r="S753" s="22">
        <f>IF(L753="",-P753,O753-P753)</f>
        <v>-347.3</v>
      </c>
      <c r="T753" s="25" t="str">
        <f>IF(L753="","NO BILL IN SUPPLIED EXPORT",IF(ABS(Q753)&gt;0.001,"RATE EXCEPTION",IF(ABS(R753)&gt;0.001,"LENGTH EXCEPTION",IF(ABS(S753)&gt;0.01,"AMOUNT EXCEPTION","OK"))))</f>
        <v>NO BILL IN SUPPLIED EXPORT</v>
      </c>
      <c r="U753" s="19" t="s">
        <v>4052</v>
      </c>
    </row>
    <row r="754" spans="1:21" ht="28" customHeight="1">
      <c r="A754" s="14" t="s">
        <v>4053</v>
      </c>
      <c r="B754" s="14" t="s">
        <v>195</v>
      </c>
      <c r="C754" s="14" t="s">
        <v>226</v>
      </c>
      <c r="D754" s="14" t="s">
        <v>227</v>
      </c>
      <c r="E754" s="14" t="s">
        <v>4054</v>
      </c>
      <c r="F754" s="15" t="s">
        <v>4055</v>
      </c>
      <c r="G754" s="15" t="s">
        <v>248</v>
      </c>
      <c r="H754" s="24">
        <v>28</v>
      </c>
      <c r="I754" s="24">
        <v>27.1</v>
      </c>
      <c r="J754" s="24">
        <f>MAX(H754,ROUNDUP(I754,0))</f>
        <v>28.0</v>
      </c>
      <c r="K754" s="22">
        <f>IF(C754="covered",10.4,7.55)</f>
        <v>7.55</v>
      </c>
      <c r="L754" s="14"/>
      <c r="M754" s="24"/>
      <c r="N754" s="22"/>
      <c r="O754" s="22"/>
      <c r="P754" s="22">
        <f>J754*K754</f>
        <v>211.4</v>
      </c>
      <c r="Q754" s="22">
        <f>IF(L754="","",N754-K754)</f>
        <v/>
      </c>
      <c r="R754" s="24">
        <f>IF(L754="","",M754-J754)</f>
        <v/>
      </c>
      <c r="S754" s="22">
        <f>IF(L754="",-P754,O754-P754)</f>
        <v>-211.4</v>
      </c>
      <c r="T754" s="25" t="str">
        <f>IF(L754="","NO BILL IN SUPPLIED EXPORT",IF(ABS(Q754)&gt;0.001,"RATE EXCEPTION",IF(ABS(R754)&gt;0.001,"LENGTH EXCEPTION",IF(ABS(S754)&gt;0.01,"AMOUNT EXCEPTION","OK"))))</f>
        <v>NO BILL IN SUPPLIED EXPORT</v>
      </c>
      <c r="U754" s="15" t="s">
        <v>4056</v>
      </c>
    </row>
    <row r="755" spans="1:21" ht="28" customHeight="1">
      <c r="A755" s="18" t="s">
        <v>4057</v>
      </c>
      <c r="B755" s="18" t="s">
        <v>195</v>
      </c>
      <c r="C755" s="18" t="s">
        <v>226</v>
      </c>
      <c r="D755" s="18" t="s">
        <v>227</v>
      </c>
      <c r="E755" s="18" t="s">
        <v>4058</v>
      </c>
      <c r="F755" s="19" t="s">
        <v>4059</v>
      </c>
      <c r="G755" s="19" t="s">
        <v>3594</v>
      </c>
      <c r="H755" s="24">
        <v>32</v>
      </c>
      <c r="I755" s="24">
        <v>53.4</v>
      </c>
      <c r="J755" s="24">
        <f>MAX(H755,ROUNDUP(I755,0))</f>
        <v>54</v>
      </c>
      <c r="K755" s="22">
        <f>IF(C755="covered",10.4,7.55)</f>
        <v>7.55</v>
      </c>
      <c r="L755" s="18"/>
      <c r="M755" s="24"/>
      <c r="N755" s="22"/>
      <c r="O755" s="22"/>
      <c r="P755" s="22">
        <f>J755*K755</f>
        <v>407.7</v>
      </c>
      <c r="Q755" s="22">
        <f>IF(L755="","",N755-K755)</f>
        <v/>
      </c>
      <c r="R755" s="24">
        <f>IF(L755="","",M755-J755)</f>
        <v/>
      </c>
      <c r="S755" s="22">
        <f>IF(L755="",-P755,O755-P755)</f>
        <v>-407.7</v>
      </c>
      <c r="T755" s="25" t="str">
        <f>IF(L755="","NO BILL IN SUPPLIED EXPORT",IF(ABS(Q755)&gt;0.001,"RATE EXCEPTION",IF(ABS(R755)&gt;0.001,"LENGTH EXCEPTION",IF(ABS(S755)&gt;0.01,"AMOUNT EXCEPTION","OK"))))</f>
        <v>NO BILL IN SUPPLIED EXPORT</v>
      </c>
      <c r="U755" s="19" t="s">
        <v>4060</v>
      </c>
    </row>
    <row r="756" spans="1:21" ht="28" customHeight="1">
      <c r="A756" s="14" t="s">
        <v>4061</v>
      </c>
      <c r="B756" s="14" t="s">
        <v>195</v>
      </c>
      <c r="C756" s="14" t="s">
        <v>226</v>
      </c>
      <c r="D756" s="14" t="s">
        <v>227</v>
      </c>
      <c r="E756" s="14" t="s">
        <v>4062</v>
      </c>
      <c r="F756" s="15" t="s">
        <v>4063</v>
      </c>
      <c r="G756" s="15" t="s">
        <v>2036</v>
      </c>
      <c r="H756" s="24">
        <v>36</v>
      </c>
      <c r="I756" s="24">
        <v>28.9</v>
      </c>
      <c r="J756" s="24">
        <f>MAX(H756,ROUNDUP(I756,0))</f>
        <v>36.0</v>
      </c>
      <c r="K756" s="22">
        <f>IF(C756="covered",10.4,7.55)</f>
        <v>7.55</v>
      </c>
      <c r="L756" s="14"/>
      <c r="M756" s="24"/>
      <c r="N756" s="22"/>
      <c r="O756" s="22"/>
      <c r="P756" s="22">
        <f>J756*K756</f>
        <v>271.8</v>
      </c>
      <c r="Q756" s="22">
        <f>IF(L756="","",N756-K756)</f>
        <v/>
      </c>
      <c r="R756" s="24">
        <f>IF(L756="","",M756-J756)</f>
        <v/>
      </c>
      <c r="S756" s="22">
        <f>IF(L756="",-P756,O756-P756)</f>
        <v>-271.8</v>
      </c>
      <c r="T756" s="25" t="str">
        <f>IF(L756="","NO BILL IN SUPPLIED EXPORT",IF(ABS(Q756)&gt;0.001,"RATE EXCEPTION",IF(ABS(R756)&gt;0.001,"LENGTH EXCEPTION",IF(ABS(S756)&gt;0.01,"AMOUNT EXCEPTION","OK"))))</f>
        <v>NO BILL IN SUPPLIED EXPORT</v>
      </c>
      <c r="U756" s="15" t="s">
        <v>4064</v>
      </c>
    </row>
    <row r="757" spans="1:21" ht="28" customHeight="1">
      <c r="A757" s="18" t="s">
        <v>4065</v>
      </c>
      <c r="B757" s="18" t="s">
        <v>195</v>
      </c>
      <c r="C757" s="18" t="s">
        <v>226</v>
      </c>
      <c r="D757" s="18" t="s">
        <v>227</v>
      </c>
      <c r="E757" s="18" t="s">
        <v>4066</v>
      </c>
      <c r="F757" s="19" t="s">
        <v>4067</v>
      </c>
      <c r="G757" s="19" t="s">
        <v>3225</v>
      </c>
      <c r="H757" s="24">
        <v>45</v>
      </c>
      <c r="I757" s="24">
        <v>24</v>
      </c>
      <c r="J757" s="24">
        <f>MAX(H757,ROUNDUP(I757,0))</f>
        <v>45.0</v>
      </c>
      <c r="K757" s="22">
        <f>IF(C757="covered",10.4,7.55)</f>
        <v>7.55</v>
      </c>
      <c r="L757" s="18"/>
      <c r="M757" s="24"/>
      <c r="N757" s="22"/>
      <c r="O757" s="22"/>
      <c r="P757" s="22">
        <f>J757*K757</f>
        <v>339.75</v>
      </c>
      <c r="Q757" s="22">
        <f>IF(L757="","",N757-K757)</f>
        <v/>
      </c>
      <c r="R757" s="24">
        <f>IF(L757="","",M757-J757)</f>
        <v/>
      </c>
      <c r="S757" s="22">
        <f>IF(L757="",-P757,O757-P757)</f>
        <v>-339.75</v>
      </c>
      <c r="T757" s="25" t="str">
        <f>IF(L757="","NO BILL IN SUPPLIED EXPORT",IF(ABS(Q757)&gt;0.001,"RATE EXCEPTION",IF(ABS(R757)&gt;0.001,"LENGTH EXCEPTION",IF(ABS(S757)&gt;0.01,"AMOUNT EXCEPTION","OK"))))</f>
        <v>NO BILL IN SUPPLIED EXPORT</v>
      </c>
      <c r="U757" s="19" t="s">
        <v>4068</v>
      </c>
    </row>
    <row r="758" spans="1:21" ht="28" customHeight="1">
      <c r="A758" s="14" t="s">
        <v>4069</v>
      </c>
      <c r="B758" s="14" t="s">
        <v>195</v>
      </c>
      <c r="C758" s="14" t="s">
        <v>226</v>
      </c>
      <c r="D758" s="14" t="s">
        <v>227</v>
      </c>
      <c r="E758" s="14" t="s">
        <v>4070</v>
      </c>
      <c r="F758" s="15" t="s">
        <v>4071</v>
      </c>
      <c r="G758" s="15" t="s">
        <v>1586</v>
      </c>
      <c r="H758" s="24">
        <v>24</v>
      </c>
      <c r="I758" s="24">
        <v>35.5</v>
      </c>
      <c r="J758" s="24">
        <f>MAX(H758,ROUNDUP(I758,0))</f>
        <v>36</v>
      </c>
      <c r="K758" s="22">
        <f>IF(C758="covered",10.4,7.55)</f>
        <v>7.55</v>
      </c>
      <c r="L758" s="14"/>
      <c r="M758" s="24"/>
      <c r="N758" s="22"/>
      <c r="O758" s="22"/>
      <c r="P758" s="22">
        <f>J758*K758</f>
        <v>271.8</v>
      </c>
      <c r="Q758" s="22">
        <f>IF(L758="","",N758-K758)</f>
        <v/>
      </c>
      <c r="R758" s="24">
        <f>IF(L758="","",M758-J758)</f>
        <v/>
      </c>
      <c r="S758" s="22">
        <f>IF(L758="",-P758,O758-P758)</f>
        <v>-271.8</v>
      </c>
      <c r="T758" s="25" t="str">
        <f>IF(L758="","NO BILL IN SUPPLIED EXPORT",IF(ABS(Q758)&gt;0.001,"RATE EXCEPTION",IF(ABS(R758)&gt;0.001,"LENGTH EXCEPTION",IF(ABS(S758)&gt;0.01,"AMOUNT EXCEPTION","OK"))))</f>
        <v>NO BILL IN SUPPLIED EXPORT</v>
      </c>
      <c r="U758" s="15" t="s">
        <v>4072</v>
      </c>
    </row>
    <row r="759" spans="1:21" ht="28" customHeight="1">
      <c r="A759" s="18" t="s">
        <v>4073</v>
      </c>
      <c r="B759" s="18" t="s">
        <v>195</v>
      </c>
      <c r="C759" s="18" t="s">
        <v>226</v>
      </c>
      <c r="D759" s="18" t="s">
        <v>227</v>
      </c>
      <c r="E759" s="18" t="s">
        <v>4074</v>
      </c>
      <c r="F759" s="19" t="s">
        <v>4075</v>
      </c>
      <c r="G759" s="19" t="s">
        <v>2631</v>
      </c>
      <c r="H759" s="24">
        <v>70</v>
      </c>
      <c r="I759" s="24">
        <v>47.1</v>
      </c>
      <c r="J759" s="24">
        <f>MAX(H759,ROUNDUP(I759,0))</f>
        <v>70.0</v>
      </c>
      <c r="K759" s="22">
        <f>IF(C759="covered",10.4,7.55)</f>
        <v>7.55</v>
      </c>
      <c r="L759" s="18"/>
      <c r="M759" s="24"/>
      <c r="N759" s="22"/>
      <c r="O759" s="22"/>
      <c r="P759" s="22">
        <f>J759*K759</f>
        <v>528.5</v>
      </c>
      <c r="Q759" s="22">
        <f>IF(L759="","",N759-K759)</f>
        <v/>
      </c>
      <c r="R759" s="24">
        <f>IF(L759="","",M759-J759)</f>
        <v/>
      </c>
      <c r="S759" s="22">
        <f>IF(L759="",-P759,O759-P759)</f>
        <v>-528.5</v>
      </c>
      <c r="T759" s="25" t="str">
        <f>IF(L759="","NO BILL IN SUPPLIED EXPORT",IF(ABS(Q759)&gt;0.001,"RATE EXCEPTION",IF(ABS(R759)&gt;0.001,"LENGTH EXCEPTION",IF(ABS(S759)&gt;0.01,"AMOUNT EXCEPTION","OK"))))</f>
        <v>NO BILL IN SUPPLIED EXPORT</v>
      </c>
      <c r="U759" s="19" t="s">
        <v>4076</v>
      </c>
    </row>
    <row r="760" spans="1:21" ht="28" customHeight="1">
      <c r="A760" s="14" t="s">
        <v>4077</v>
      </c>
      <c r="B760" s="14" t="s">
        <v>195</v>
      </c>
      <c r="C760" s="14" t="s">
        <v>226</v>
      </c>
      <c r="D760" s="14" t="s">
        <v>227</v>
      </c>
      <c r="E760" s="14" t="s">
        <v>4078</v>
      </c>
      <c r="F760" s="15" t="s">
        <v>4079</v>
      </c>
      <c r="G760" s="15" t="s">
        <v>1069</v>
      </c>
      <c r="H760" s="24">
        <v>32</v>
      </c>
      <c r="I760" s="24">
        <v>48.1</v>
      </c>
      <c r="J760" s="24">
        <f>MAX(H760,ROUNDUP(I760,0))</f>
        <v>49</v>
      </c>
      <c r="K760" s="22">
        <f>IF(C760="covered",10.4,7.55)</f>
        <v>7.55</v>
      </c>
      <c r="L760" s="14"/>
      <c r="M760" s="24"/>
      <c r="N760" s="22"/>
      <c r="O760" s="22"/>
      <c r="P760" s="22">
        <f>J760*K760</f>
        <v>369.95</v>
      </c>
      <c r="Q760" s="22">
        <f>IF(L760="","",N760-K760)</f>
        <v/>
      </c>
      <c r="R760" s="24">
        <f>IF(L760="","",M760-J760)</f>
        <v/>
      </c>
      <c r="S760" s="22">
        <f>IF(L760="",-P760,O760-P760)</f>
        <v>-369.95</v>
      </c>
      <c r="T760" s="25" t="str">
        <f>IF(L760="","NO BILL IN SUPPLIED EXPORT",IF(ABS(Q760)&gt;0.001,"RATE EXCEPTION",IF(ABS(R760)&gt;0.001,"LENGTH EXCEPTION",IF(ABS(S760)&gt;0.01,"AMOUNT EXCEPTION","OK"))))</f>
        <v>NO BILL IN SUPPLIED EXPORT</v>
      </c>
      <c r="U760" s="15" t="s">
        <v>4080</v>
      </c>
    </row>
    <row r="761" spans="1:21" ht="28" customHeight="1">
      <c r="A761" s="18" t="s">
        <v>4081</v>
      </c>
      <c r="B761" s="18" t="s">
        <v>195</v>
      </c>
      <c r="C761" s="18" t="s">
        <v>226</v>
      </c>
      <c r="D761" s="18" t="s">
        <v>227</v>
      </c>
      <c r="E761" s="18" t="s">
        <v>4082</v>
      </c>
      <c r="F761" s="19" t="s">
        <v>4083</v>
      </c>
      <c r="G761" s="19" t="s">
        <v>3297</v>
      </c>
      <c r="H761" s="24">
        <v>60</v>
      </c>
      <c r="I761" s="24">
        <v>23.8</v>
      </c>
      <c r="J761" s="24">
        <f>MAX(H761,ROUNDUP(I761,0))</f>
        <v>60.0</v>
      </c>
      <c r="K761" s="22">
        <f>IF(C761="covered",10.4,7.55)</f>
        <v>7.55</v>
      </c>
      <c r="L761" s="18"/>
      <c r="M761" s="24"/>
      <c r="N761" s="22"/>
      <c r="O761" s="22"/>
      <c r="P761" s="22">
        <f>J761*K761</f>
        <v>453.0</v>
      </c>
      <c r="Q761" s="22">
        <f>IF(L761="","",N761-K761)</f>
        <v/>
      </c>
      <c r="R761" s="24">
        <f>IF(L761="","",M761-J761)</f>
        <v/>
      </c>
      <c r="S761" s="22">
        <f>IF(L761="",-P761,O761-P761)</f>
        <v>-453.0</v>
      </c>
      <c r="T761" s="25" t="str">
        <f>IF(L761="","NO BILL IN SUPPLIED EXPORT",IF(ABS(Q761)&gt;0.001,"RATE EXCEPTION",IF(ABS(R761)&gt;0.001,"LENGTH EXCEPTION",IF(ABS(S761)&gt;0.01,"AMOUNT EXCEPTION","OK"))))</f>
        <v>NO BILL IN SUPPLIED EXPORT</v>
      </c>
      <c r="U761" s="19" t="s">
        <v>4084</v>
      </c>
    </row>
    <row r="762" spans="1:21" ht="28" customHeight="1">
      <c r="A762" s="14" t="s">
        <v>4085</v>
      </c>
      <c r="B762" s="14" t="s">
        <v>195</v>
      </c>
      <c r="C762" s="14" t="s">
        <v>226</v>
      </c>
      <c r="D762" s="14" t="s">
        <v>227</v>
      </c>
      <c r="E762" s="14" t="s">
        <v>4086</v>
      </c>
      <c r="F762" s="15" t="s">
        <v>4087</v>
      </c>
      <c r="G762" s="15" t="s">
        <v>4088</v>
      </c>
      <c r="H762" s="24">
        <v>32</v>
      </c>
      <c r="I762" s="24">
        <v>53.9</v>
      </c>
      <c r="J762" s="24">
        <f>MAX(H762,ROUNDUP(I762,0))</f>
        <v>54</v>
      </c>
      <c r="K762" s="22">
        <f>IF(C762="covered",10.4,7.55)</f>
        <v>7.55</v>
      </c>
      <c r="L762" s="14"/>
      <c r="M762" s="24"/>
      <c r="N762" s="22"/>
      <c r="O762" s="22"/>
      <c r="P762" s="22">
        <f>J762*K762</f>
        <v>407.7</v>
      </c>
      <c r="Q762" s="22">
        <f>IF(L762="","",N762-K762)</f>
        <v/>
      </c>
      <c r="R762" s="24">
        <f>IF(L762="","",M762-J762)</f>
        <v/>
      </c>
      <c r="S762" s="22">
        <f>IF(L762="",-P762,O762-P762)</f>
        <v>-407.7</v>
      </c>
      <c r="T762" s="25" t="str">
        <f>IF(L762="","NO BILL IN SUPPLIED EXPORT",IF(ABS(Q762)&gt;0.001,"RATE EXCEPTION",IF(ABS(R762)&gt;0.001,"LENGTH EXCEPTION",IF(ABS(S762)&gt;0.01,"AMOUNT EXCEPTION","OK"))))</f>
        <v>NO BILL IN SUPPLIED EXPORT</v>
      </c>
      <c r="U762" s="15" t="s">
        <v>4089</v>
      </c>
    </row>
    <row r="763" spans="1:21" ht="28" customHeight="1">
      <c r="A763" s="18" t="s">
        <v>4090</v>
      </c>
      <c r="B763" s="18" t="s">
        <v>195</v>
      </c>
      <c r="C763" s="18" t="s">
        <v>226</v>
      </c>
      <c r="D763" s="18" t="s">
        <v>227</v>
      </c>
      <c r="E763" s="18" t="s">
        <v>4091</v>
      </c>
      <c r="F763" s="19" t="s">
        <v>4092</v>
      </c>
      <c r="G763" s="19" t="s">
        <v>4093</v>
      </c>
      <c r="H763" s="24">
        <v>24</v>
      </c>
      <c r="I763" s="24">
        <v>47.7</v>
      </c>
      <c r="J763" s="24">
        <f>MAX(H763,ROUNDUP(I763,0))</f>
        <v>48</v>
      </c>
      <c r="K763" s="22">
        <f>IF(C763="covered",10.4,7.55)</f>
        <v>7.55</v>
      </c>
      <c r="L763" s="18"/>
      <c r="M763" s="24"/>
      <c r="N763" s="22"/>
      <c r="O763" s="22"/>
      <c r="P763" s="22">
        <f>J763*K763</f>
        <v>362.4</v>
      </c>
      <c r="Q763" s="22">
        <f>IF(L763="","",N763-K763)</f>
        <v/>
      </c>
      <c r="R763" s="24">
        <f>IF(L763="","",M763-J763)</f>
        <v/>
      </c>
      <c r="S763" s="22">
        <f>IF(L763="",-P763,O763-P763)</f>
        <v>-362.4</v>
      </c>
      <c r="T763" s="25" t="str">
        <f>IF(L763="","NO BILL IN SUPPLIED EXPORT",IF(ABS(Q763)&gt;0.001,"RATE EXCEPTION",IF(ABS(R763)&gt;0.001,"LENGTH EXCEPTION",IF(ABS(S763)&gt;0.01,"AMOUNT EXCEPTION","OK"))))</f>
        <v>NO BILL IN SUPPLIED EXPORT</v>
      </c>
      <c r="U763" s="19" t="s">
        <v>4094</v>
      </c>
    </row>
    <row r="764" spans="1:21" ht="28" customHeight="1">
      <c r="A764" s="14" t="s">
        <v>4095</v>
      </c>
      <c r="B764" s="14" t="s">
        <v>195</v>
      </c>
      <c r="C764" s="14" t="s">
        <v>226</v>
      </c>
      <c r="D764" s="14" t="s">
        <v>227</v>
      </c>
      <c r="E764" s="14" t="s">
        <v>4096</v>
      </c>
      <c r="F764" s="15" t="s">
        <v>4097</v>
      </c>
      <c r="G764" s="15" t="s">
        <v>731</v>
      </c>
      <c r="H764" s="24">
        <v>40</v>
      </c>
      <c r="I764" s="24">
        <v>54.9</v>
      </c>
      <c r="J764" s="24">
        <f>MAX(H764,ROUNDUP(I764,0))</f>
        <v>55</v>
      </c>
      <c r="K764" s="22">
        <f>IF(C764="covered",10.4,7.55)</f>
        <v>7.55</v>
      </c>
      <c r="L764" s="14"/>
      <c r="M764" s="24"/>
      <c r="N764" s="22"/>
      <c r="O764" s="22"/>
      <c r="P764" s="22">
        <f>J764*K764</f>
        <v>415.25</v>
      </c>
      <c r="Q764" s="22">
        <f>IF(L764="","",N764-K764)</f>
        <v/>
      </c>
      <c r="R764" s="24">
        <f>IF(L764="","",M764-J764)</f>
        <v/>
      </c>
      <c r="S764" s="22">
        <f>IF(L764="",-P764,O764-P764)</f>
        <v>-415.25</v>
      </c>
      <c r="T764" s="25" t="str">
        <f>IF(L764="","NO BILL IN SUPPLIED EXPORT",IF(ABS(Q764)&gt;0.001,"RATE EXCEPTION",IF(ABS(R764)&gt;0.001,"LENGTH EXCEPTION",IF(ABS(S764)&gt;0.01,"AMOUNT EXCEPTION","OK"))))</f>
        <v>NO BILL IN SUPPLIED EXPORT</v>
      </c>
      <c r="U764" s="15" t="s">
        <v>4098</v>
      </c>
    </row>
    <row r="765" spans="1:21" ht="28" customHeight="1">
      <c r="A765" s="18" t="s">
        <v>4099</v>
      </c>
      <c r="B765" s="18" t="s">
        <v>195</v>
      </c>
      <c r="C765" s="18" t="s">
        <v>226</v>
      </c>
      <c r="D765" s="18" t="s">
        <v>227</v>
      </c>
      <c r="E765" s="18" t="s">
        <v>4100</v>
      </c>
      <c r="F765" s="19" t="s">
        <v>4101</v>
      </c>
      <c r="G765" s="19" t="s">
        <v>4102</v>
      </c>
      <c r="H765" s="24">
        <v>45</v>
      </c>
      <c r="I765" s="24">
        <v>57.3</v>
      </c>
      <c r="J765" s="24">
        <f>MAX(H765,ROUNDUP(I765,0))</f>
        <v>58</v>
      </c>
      <c r="K765" s="22">
        <f>IF(C765="covered",10.4,7.55)</f>
        <v>7.55</v>
      </c>
      <c r="L765" s="18"/>
      <c r="M765" s="24"/>
      <c r="N765" s="22"/>
      <c r="O765" s="22"/>
      <c r="P765" s="22">
        <f>J765*K765</f>
        <v>437.9</v>
      </c>
      <c r="Q765" s="22">
        <f>IF(L765="","",N765-K765)</f>
        <v/>
      </c>
      <c r="R765" s="24">
        <f>IF(L765="","",M765-J765)</f>
        <v/>
      </c>
      <c r="S765" s="22">
        <f>IF(L765="",-P765,O765-P765)</f>
        <v>-437.9</v>
      </c>
      <c r="T765" s="25" t="str">
        <f>IF(L765="","NO BILL IN SUPPLIED EXPORT",IF(ABS(Q765)&gt;0.001,"RATE EXCEPTION",IF(ABS(R765)&gt;0.001,"LENGTH EXCEPTION",IF(ABS(S765)&gt;0.01,"AMOUNT EXCEPTION","OK"))))</f>
        <v>NO BILL IN SUPPLIED EXPORT</v>
      </c>
      <c r="U765" s="19" t="s">
        <v>4103</v>
      </c>
    </row>
    <row r="766" spans="1:21" ht="28" customHeight="1">
      <c r="A766" s="14" t="s">
        <v>4104</v>
      </c>
      <c r="B766" s="14" t="s">
        <v>195</v>
      </c>
      <c r="C766" s="14" t="s">
        <v>226</v>
      </c>
      <c r="D766" s="14" t="s">
        <v>227</v>
      </c>
      <c r="E766" s="14" t="s">
        <v>4105</v>
      </c>
      <c r="F766" s="15" t="s">
        <v>4106</v>
      </c>
      <c r="G766" s="15" t="s">
        <v>517</v>
      </c>
      <c r="H766" s="24">
        <v>40</v>
      </c>
      <c r="I766" s="24">
        <v>55.3</v>
      </c>
      <c r="J766" s="24">
        <f>MAX(H766,ROUNDUP(I766,0))</f>
        <v>56</v>
      </c>
      <c r="K766" s="22">
        <f>IF(C766="covered",10.4,7.55)</f>
        <v>7.55</v>
      </c>
      <c r="L766" s="14"/>
      <c r="M766" s="24"/>
      <c r="N766" s="22"/>
      <c r="O766" s="22"/>
      <c r="P766" s="22">
        <f>J766*K766</f>
        <v>422.8</v>
      </c>
      <c r="Q766" s="22">
        <f>IF(L766="","",N766-K766)</f>
        <v/>
      </c>
      <c r="R766" s="24">
        <f>IF(L766="","",M766-J766)</f>
        <v/>
      </c>
      <c r="S766" s="22">
        <f>IF(L766="",-P766,O766-P766)</f>
        <v>-422.8</v>
      </c>
      <c r="T766" s="25" t="str">
        <f>IF(L766="","NO BILL IN SUPPLIED EXPORT",IF(ABS(Q766)&gt;0.001,"RATE EXCEPTION",IF(ABS(R766)&gt;0.001,"LENGTH EXCEPTION",IF(ABS(S766)&gt;0.01,"AMOUNT EXCEPTION","OK"))))</f>
        <v>NO BILL IN SUPPLIED EXPORT</v>
      </c>
      <c r="U766" s="15" t="s">
        <v>4107</v>
      </c>
    </row>
    <row r="767" spans="1:21" ht="28" customHeight="1">
      <c r="A767" s="18" t="s">
        <v>4108</v>
      </c>
      <c r="B767" s="18" t="s">
        <v>195</v>
      </c>
      <c r="C767" s="18" t="s">
        <v>226</v>
      </c>
      <c r="D767" s="18" t="s">
        <v>227</v>
      </c>
      <c r="E767" s="18" t="s">
        <v>4109</v>
      </c>
      <c r="F767" s="19" t="s">
        <v>4110</v>
      </c>
      <c r="G767" s="19" t="s">
        <v>4111</v>
      </c>
      <c r="H767" s="24">
        <v>24</v>
      </c>
      <c r="I767" s="24">
        <v>32.7</v>
      </c>
      <c r="J767" s="24">
        <f>MAX(H767,ROUNDUP(I767,0))</f>
        <v>33</v>
      </c>
      <c r="K767" s="22">
        <f>IF(C767="covered",10.4,7.55)</f>
        <v>7.55</v>
      </c>
      <c r="L767" s="18"/>
      <c r="M767" s="24"/>
      <c r="N767" s="22"/>
      <c r="O767" s="22"/>
      <c r="P767" s="22">
        <f>J767*K767</f>
        <v>249.15</v>
      </c>
      <c r="Q767" s="22">
        <f>IF(L767="","",N767-K767)</f>
        <v/>
      </c>
      <c r="R767" s="24">
        <f>IF(L767="","",M767-J767)</f>
        <v/>
      </c>
      <c r="S767" s="22">
        <f>IF(L767="",-P767,O767-P767)</f>
        <v>-249.15</v>
      </c>
      <c r="T767" s="25" t="str">
        <f>IF(L767="","NO BILL IN SUPPLIED EXPORT",IF(ABS(Q767)&gt;0.001,"RATE EXCEPTION",IF(ABS(R767)&gt;0.001,"LENGTH EXCEPTION",IF(ABS(S767)&gt;0.01,"AMOUNT EXCEPTION","OK"))))</f>
        <v>NO BILL IN SUPPLIED EXPORT</v>
      </c>
      <c r="U767" s="19" t="s">
        <v>4112</v>
      </c>
    </row>
    <row r="768" spans="1:21" ht="28" customHeight="1">
      <c r="A768" s="14" t="s">
        <v>4113</v>
      </c>
      <c r="B768" s="14" t="s">
        <v>195</v>
      </c>
      <c r="C768" s="14" t="s">
        <v>226</v>
      </c>
      <c r="D768" s="14" t="s">
        <v>227</v>
      </c>
      <c r="E768" s="14" t="s">
        <v>4114</v>
      </c>
      <c r="F768" s="15" t="s">
        <v>4115</v>
      </c>
      <c r="G768" s="15" t="s">
        <v>115</v>
      </c>
      <c r="H768" s="24">
        <v>28</v>
      </c>
      <c r="I768" s="24">
        <v>50.7</v>
      </c>
      <c r="J768" s="24">
        <f>MAX(H768,ROUNDUP(I768,0))</f>
        <v>51</v>
      </c>
      <c r="K768" s="22">
        <f>IF(C768="covered",10.4,7.55)</f>
        <v>7.55</v>
      </c>
      <c r="L768" s="14"/>
      <c r="M768" s="24"/>
      <c r="N768" s="22"/>
      <c r="O768" s="22"/>
      <c r="P768" s="22">
        <f>J768*K768</f>
        <v>385.05</v>
      </c>
      <c r="Q768" s="22">
        <f>IF(L768="","",N768-K768)</f>
        <v/>
      </c>
      <c r="R768" s="24">
        <f>IF(L768="","",M768-J768)</f>
        <v/>
      </c>
      <c r="S768" s="22">
        <f>IF(L768="",-P768,O768-P768)</f>
        <v>-385.05</v>
      </c>
      <c r="T768" s="25" t="str">
        <f>IF(L768="","NO BILL IN SUPPLIED EXPORT",IF(ABS(Q768)&gt;0.001,"RATE EXCEPTION",IF(ABS(R768)&gt;0.001,"LENGTH EXCEPTION",IF(ABS(S768)&gt;0.01,"AMOUNT EXCEPTION","OK"))))</f>
        <v>NO BILL IN SUPPLIED EXPORT</v>
      </c>
      <c r="U768" s="15" t="s">
        <v>4116</v>
      </c>
    </row>
    <row r="769" spans="1:21" ht="28" customHeight="1">
      <c r="A769" s="18" t="s">
        <v>4117</v>
      </c>
      <c r="B769" s="18" t="s">
        <v>195</v>
      </c>
      <c r="C769" s="18" t="s">
        <v>226</v>
      </c>
      <c r="D769" s="18" t="s">
        <v>227</v>
      </c>
      <c r="E769" s="18" t="s">
        <v>4118</v>
      </c>
      <c r="F769" s="19" t="s">
        <v>4119</v>
      </c>
      <c r="G769" s="19" t="s">
        <v>3689</v>
      </c>
      <c r="H769" s="24">
        <v>40</v>
      </c>
      <c r="I769" s="24">
        <v>28.6</v>
      </c>
      <c r="J769" s="24">
        <f>MAX(H769,ROUNDUP(I769,0))</f>
        <v>40.0</v>
      </c>
      <c r="K769" s="22">
        <f>IF(C769="covered",10.4,7.55)</f>
        <v>7.55</v>
      </c>
      <c r="L769" s="18"/>
      <c r="M769" s="24"/>
      <c r="N769" s="22"/>
      <c r="O769" s="22"/>
      <c r="P769" s="22">
        <f>J769*K769</f>
        <v>302.0</v>
      </c>
      <c r="Q769" s="22">
        <f>IF(L769="","",N769-K769)</f>
        <v/>
      </c>
      <c r="R769" s="24">
        <f>IF(L769="","",M769-J769)</f>
        <v/>
      </c>
      <c r="S769" s="22">
        <f>IF(L769="",-P769,O769-P769)</f>
        <v>-302.0</v>
      </c>
      <c r="T769" s="25" t="str">
        <f>IF(L769="","NO BILL IN SUPPLIED EXPORT",IF(ABS(Q769)&gt;0.001,"RATE EXCEPTION",IF(ABS(R769)&gt;0.001,"LENGTH EXCEPTION",IF(ABS(S769)&gt;0.01,"AMOUNT EXCEPTION","OK"))))</f>
        <v>NO BILL IN SUPPLIED EXPORT</v>
      </c>
      <c r="U769" s="19" t="s">
        <v>4120</v>
      </c>
    </row>
    <row r="770" spans="1:21" ht="28" customHeight="1">
      <c r="A770" s="14" t="s">
        <v>4121</v>
      </c>
      <c r="B770" s="14" t="s">
        <v>195</v>
      </c>
      <c r="C770" s="14" t="s">
        <v>226</v>
      </c>
      <c r="D770" s="14" t="s">
        <v>227</v>
      </c>
      <c r="E770" s="14" t="s">
        <v>4122</v>
      </c>
      <c r="F770" s="15" t="s">
        <v>4123</v>
      </c>
      <c r="G770" s="15" t="s">
        <v>103</v>
      </c>
      <c r="H770" s="24">
        <v>24</v>
      </c>
      <c r="I770" s="24">
        <v>31.4</v>
      </c>
      <c r="J770" s="24">
        <f>MAX(H770,ROUNDUP(I770,0))</f>
        <v>32</v>
      </c>
      <c r="K770" s="22">
        <f>IF(C770="covered",10.4,7.55)</f>
        <v>7.55</v>
      </c>
      <c r="L770" s="14"/>
      <c r="M770" s="24"/>
      <c r="N770" s="22"/>
      <c r="O770" s="22"/>
      <c r="P770" s="22">
        <f>J770*K770</f>
        <v>241.6</v>
      </c>
      <c r="Q770" s="22">
        <f>IF(L770="","",N770-K770)</f>
        <v/>
      </c>
      <c r="R770" s="24">
        <f>IF(L770="","",M770-J770)</f>
        <v/>
      </c>
      <c r="S770" s="22">
        <f>IF(L770="",-P770,O770-P770)</f>
        <v>-241.6</v>
      </c>
      <c r="T770" s="25" t="str">
        <f>IF(L770="","NO BILL IN SUPPLIED EXPORT",IF(ABS(Q770)&gt;0.001,"RATE EXCEPTION",IF(ABS(R770)&gt;0.001,"LENGTH EXCEPTION",IF(ABS(S770)&gt;0.01,"AMOUNT EXCEPTION","OK"))))</f>
        <v>NO BILL IN SUPPLIED EXPORT</v>
      </c>
      <c r="U770" s="15" t="s">
        <v>4124</v>
      </c>
    </row>
    <row r="771" spans="1:21" ht="28" customHeight="1">
      <c r="A771" s="18" t="s">
        <v>4125</v>
      </c>
      <c r="B771" s="18" t="s">
        <v>195</v>
      </c>
      <c r="C771" s="18" t="s">
        <v>226</v>
      </c>
      <c r="D771" s="18" t="s">
        <v>227</v>
      </c>
      <c r="E771" s="18" t="s">
        <v>4126</v>
      </c>
      <c r="F771" s="19" t="s">
        <v>4127</v>
      </c>
      <c r="G771" s="19" t="s">
        <v>323</v>
      </c>
      <c r="H771" s="24">
        <v>24</v>
      </c>
      <c r="I771" s="24">
        <v>28.3</v>
      </c>
      <c r="J771" s="24">
        <f>MAX(H771,ROUNDUP(I771,0))</f>
        <v>29</v>
      </c>
      <c r="K771" s="22">
        <f>IF(C771="covered",10.4,7.55)</f>
        <v>7.55</v>
      </c>
      <c r="L771" s="18"/>
      <c r="M771" s="24"/>
      <c r="N771" s="22"/>
      <c r="O771" s="22"/>
      <c r="P771" s="22">
        <f>J771*K771</f>
        <v>218.95</v>
      </c>
      <c r="Q771" s="22">
        <f>IF(L771="","",N771-K771)</f>
        <v/>
      </c>
      <c r="R771" s="24">
        <f>IF(L771="","",M771-J771)</f>
        <v/>
      </c>
      <c r="S771" s="22">
        <f>IF(L771="",-P771,O771-P771)</f>
        <v>-218.95</v>
      </c>
      <c r="T771" s="25" t="str">
        <f>IF(L771="","NO BILL IN SUPPLIED EXPORT",IF(ABS(Q771)&gt;0.001,"RATE EXCEPTION",IF(ABS(R771)&gt;0.001,"LENGTH EXCEPTION",IF(ABS(S771)&gt;0.01,"AMOUNT EXCEPTION","OK"))))</f>
        <v>NO BILL IN SUPPLIED EXPORT</v>
      </c>
      <c r="U771" s="19" t="s">
        <v>4128</v>
      </c>
    </row>
    <row r="772" spans="1:21" ht="28" customHeight="1">
      <c r="A772" s="14" t="s">
        <v>4129</v>
      </c>
      <c r="B772" s="14" t="s">
        <v>195</v>
      </c>
      <c r="C772" s="14" t="s">
        <v>226</v>
      </c>
      <c r="D772" s="14" t="s">
        <v>227</v>
      </c>
      <c r="E772" s="14" t="s">
        <v>4130</v>
      </c>
      <c r="F772" s="15" t="s">
        <v>4131</v>
      </c>
      <c r="G772" s="15" t="s">
        <v>4132</v>
      </c>
      <c r="H772" s="24">
        <v>70</v>
      </c>
      <c r="I772" s="24">
        <v>53.3</v>
      </c>
      <c r="J772" s="24">
        <f>MAX(H772,ROUNDUP(I772,0))</f>
        <v>70.0</v>
      </c>
      <c r="K772" s="22">
        <f>IF(C772="covered",10.4,7.55)</f>
        <v>7.55</v>
      </c>
      <c r="L772" s="14"/>
      <c r="M772" s="24"/>
      <c r="N772" s="22"/>
      <c r="O772" s="22"/>
      <c r="P772" s="22">
        <f>J772*K772</f>
        <v>528.5</v>
      </c>
      <c r="Q772" s="22">
        <f>IF(L772="","",N772-K772)</f>
        <v/>
      </c>
      <c r="R772" s="24">
        <f>IF(L772="","",M772-J772)</f>
        <v/>
      </c>
      <c r="S772" s="22">
        <f>IF(L772="",-P772,O772-P772)</f>
        <v>-528.5</v>
      </c>
      <c r="T772" s="25" t="str">
        <f>IF(L772="","NO BILL IN SUPPLIED EXPORT",IF(ABS(Q772)&gt;0.001,"RATE EXCEPTION",IF(ABS(R772)&gt;0.001,"LENGTH EXCEPTION",IF(ABS(S772)&gt;0.01,"AMOUNT EXCEPTION","OK"))))</f>
        <v>NO BILL IN SUPPLIED EXPORT</v>
      </c>
      <c r="U772" s="15" t="s">
        <v>4133</v>
      </c>
    </row>
    <row r="773" spans="1:21" ht="28" customHeight="1">
      <c r="A773" s="18" t="s">
        <v>4134</v>
      </c>
      <c r="B773" s="18" t="s">
        <v>195</v>
      </c>
      <c r="C773" s="18" t="s">
        <v>226</v>
      </c>
      <c r="D773" s="18" t="s">
        <v>227</v>
      </c>
      <c r="E773" s="18" t="s">
        <v>4135</v>
      </c>
      <c r="F773" s="19" t="s">
        <v>4136</v>
      </c>
      <c r="G773" s="19" t="s">
        <v>2750</v>
      </c>
      <c r="H773" s="24">
        <v>45</v>
      </c>
      <c r="I773" s="24">
        <v>27.8</v>
      </c>
      <c r="J773" s="24">
        <f>MAX(H773,ROUNDUP(I773,0))</f>
        <v>45.0</v>
      </c>
      <c r="K773" s="22">
        <f>IF(C773="covered",10.4,7.55)</f>
        <v>7.55</v>
      </c>
      <c r="L773" s="18"/>
      <c r="M773" s="24"/>
      <c r="N773" s="22"/>
      <c r="O773" s="22"/>
      <c r="P773" s="22">
        <f>J773*K773</f>
        <v>339.75</v>
      </c>
      <c r="Q773" s="22">
        <f>IF(L773="","",N773-K773)</f>
        <v/>
      </c>
      <c r="R773" s="24">
        <f>IF(L773="","",M773-J773)</f>
        <v/>
      </c>
      <c r="S773" s="22">
        <f>IF(L773="",-P773,O773-P773)</f>
        <v>-339.75</v>
      </c>
      <c r="T773" s="25" t="str">
        <f>IF(L773="","NO BILL IN SUPPLIED EXPORT",IF(ABS(Q773)&gt;0.001,"RATE EXCEPTION",IF(ABS(R773)&gt;0.001,"LENGTH EXCEPTION",IF(ABS(S773)&gt;0.01,"AMOUNT EXCEPTION","OK"))))</f>
        <v>NO BILL IN SUPPLIED EXPORT</v>
      </c>
      <c r="U773" s="19" t="s">
        <v>4137</v>
      </c>
    </row>
    <row r="774" spans="1:21" ht="28" customHeight="1">
      <c r="A774" s="14" t="s">
        <v>4138</v>
      </c>
      <c r="B774" s="14" t="s">
        <v>195</v>
      </c>
      <c r="C774" s="14" t="s">
        <v>226</v>
      </c>
      <c r="D774" s="14" t="s">
        <v>227</v>
      </c>
      <c r="E774" s="14" t="s">
        <v>4139</v>
      </c>
      <c r="F774" s="15" t="s">
        <v>4140</v>
      </c>
      <c r="G774" s="15" t="s">
        <v>282</v>
      </c>
      <c r="H774" s="24">
        <v>32</v>
      </c>
      <c r="I774" s="24">
        <v>59.1</v>
      </c>
      <c r="J774" s="24">
        <f>MAX(H774,ROUNDUP(I774,0))</f>
        <v>60</v>
      </c>
      <c r="K774" s="22">
        <f>IF(C774="covered",10.4,7.55)</f>
        <v>7.55</v>
      </c>
      <c r="L774" s="14"/>
      <c r="M774" s="24"/>
      <c r="N774" s="22"/>
      <c r="O774" s="22"/>
      <c r="P774" s="22">
        <f>J774*K774</f>
        <v>453.0</v>
      </c>
      <c r="Q774" s="22">
        <f>IF(L774="","",N774-K774)</f>
        <v/>
      </c>
      <c r="R774" s="24">
        <f>IF(L774="","",M774-J774)</f>
        <v/>
      </c>
      <c r="S774" s="22">
        <f>IF(L774="",-P774,O774-P774)</f>
        <v>-453.0</v>
      </c>
      <c r="T774" s="25" t="str">
        <f>IF(L774="","NO BILL IN SUPPLIED EXPORT",IF(ABS(Q774)&gt;0.001,"RATE EXCEPTION",IF(ABS(R774)&gt;0.001,"LENGTH EXCEPTION",IF(ABS(S774)&gt;0.01,"AMOUNT EXCEPTION","OK"))))</f>
        <v>NO BILL IN SUPPLIED EXPORT</v>
      </c>
      <c r="U774" s="15" t="s">
        <v>4141</v>
      </c>
    </row>
    <row r="775" spans="1:21" ht="28" customHeight="1">
      <c r="A775" s="18" t="s">
        <v>4142</v>
      </c>
      <c r="B775" s="18" t="s">
        <v>195</v>
      </c>
      <c r="C775" s="18" t="s">
        <v>226</v>
      </c>
      <c r="D775" s="18" t="s">
        <v>227</v>
      </c>
      <c r="E775" s="18" t="s">
        <v>4143</v>
      </c>
      <c r="F775" s="19" t="s">
        <v>4144</v>
      </c>
      <c r="G775" s="19" t="s">
        <v>370</v>
      </c>
      <c r="H775" s="24">
        <v>28</v>
      </c>
      <c r="I775" s="24">
        <v>41.5</v>
      </c>
      <c r="J775" s="24">
        <f>MAX(H775,ROUNDUP(I775,0))</f>
        <v>42</v>
      </c>
      <c r="K775" s="22">
        <f>IF(C775="covered",10.4,7.55)</f>
        <v>7.55</v>
      </c>
      <c r="L775" s="18"/>
      <c r="M775" s="24"/>
      <c r="N775" s="22"/>
      <c r="O775" s="22"/>
      <c r="P775" s="22">
        <f>J775*K775</f>
        <v>317.09999999999997</v>
      </c>
      <c r="Q775" s="22">
        <f>IF(L775="","",N775-K775)</f>
        <v/>
      </c>
      <c r="R775" s="24">
        <f>IF(L775="","",M775-J775)</f>
        <v/>
      </c>
      <c r="S775" s="22">
        <f>IF(L775="",-P775,O775-P775)</f>
        <v>-317.09999999999997</v>
      </c>
      <c r="T775" s="25" t="str">
        <f>IF(L775="","NO BILL IN SUPPLIED EXPORT",IF(ABS(Q775)&gt;0.001,"RATE EXCEPTION",IF(ABS(R775)&gt;0.001,"LENGTH EXCEPTION",IF(ABS(S775)&gt;0.01,"AMOUNT EXCEPTION","OK"))))</f>
        <v>NO BILL IN SUPPLIED EXPORT</v>
      </c>
      <c r="U775" s="19" t="s">
        <v>4145</v>
      </c>
    </row>
    <row r="776" spans="1:21" ht="28" customHeight="1">
      <c r="A776" s="14" t="s">
        <v>4146</v>
      </c>
      <c r="B776" s="14" t="s">
        <v>195</v>
      </c>
      <c r="C776" s="14" t="s">
        <v>226</v>
      </c>
      <c r="D776" s="14" t="s">
        <v>227</v>
      </c>
      <c r="E776" s="14" t="s">
        <v>4147</v>
      </c>
      <c r="F776" s="15" t="s">
        <v>4148</v>
      </c>
      <c r="G776" s="15" t="s">
        <v>1620</v>
      </c>
      <c r="H776" s="24">
        <v>28</v>
      </c>
      <c r="I776" s="24">
        <v>41.9</v>
      </c>
      <c r="J776" s="24">
        <f>MAX(H776,ROUNDUP(I776,0))</f>
        <v>42</v>
      </c>
      <c r="K776" s="22">
        <f>IF(C776="covered",10.4,7.55)</f>
        <v>7.55</v>
      </c>
      <c r="L776" s="14"/>
      <c r="M776" s="24"/>
      <c r="N776" s="22"/>
      <c r="O776" s="22"/>
      <c r="P776" s="22">
        <f>J776*K776</f>
        <v>317.09999999999997</v>
      </c>
      <c r="Q776" s="22">
        <f>IF(L776="","",N776-K776)</f>
        <v/>
      </c>
      <c r="R776" s="24">
        <f>IF(L776="","",M776-J776)</f>
        <v/>
      </c>
      <c r="S776" s="22">
        <f>IF(L776="",-P776,O776-P776)</f>
        <v>-317.09999999999997</v>
      </c>
      <c r="T776" s="25" t="str">
        <f>IF(L776="","NO BILL IN SUPPLIED EXPORT",IF(ABS(Q776)&gt;0.001,"RATE EXCEPTION",IF(ABS(R776)&gt;0.001,"LENGTH EXCEPTION",IF(ABS(S776)&gt;0.01,"AMOUNT EXCEPTION","OK"))))</f>
        <v>NO BILL IN SUPPLIED EXPORT</v>
      </c>
      <c r="U776" s="15" t="s">
        <v>4149</v>
      </c>
    </row>
    <row r="777" spans="1:21" ht="28" customHeight="1">
      <c r="A777" s="18" t="s">
        <v>4150</v>
      </c>
      <c r="B777" s="18" t="s">
        <v>195</v>
      </c>
      <c r="C777" s="18" t="s">
        <v>226</v>
      </c>
      <c r="D777" s="18" t="s">
        <v>227</v>
      </c>
      <c r="E777" s="18" t="s">
        <v>4151</v>
      </c>
      <c r="F777" s="19" t="s">
        <v>4152</v>
      </c>
      <c r="G777" s="19" t="s">
        <v>1742</v>
      </c>
      <c r="H777" s="24">
        <v>45</v>
      </c>
      <c r="I777" s="24">
        <v>38.2</v>
      </c>
      <c r="J777" s="24">
        <f>MAX(H777,ROUNDUP(I777,0))</f>
        <v>45.0</v>
      </c>
      <c r="K777" s="22">
        <f>IF(C777="covered",10.4,7.55)</f>
        <v>7.55</v>
      </c>
      <c r="L777" s="18"/>
      <c r="M777" s="24"/>
      <c r="N777" s="22"/>
      <c r="O777" s="22"/>
      <c r="P777" s="22">
        <f>J777*K777</f>
        <v>339.75</v>
      </c>
      <c r="Q777" s="22">
        <f>IF(L777="","",N777-K777)</f>
        <v/>
      </c>
      <c r="R777" s="24">
        <f>IF(L777="","",M777-J777)</f>
        <v/>
      </c>
      <c r="S777" s="22">
        <f>IF(L777="",-P777,O777-P777)</f>
        <v>-339.75</v>
      </c>
      <c r="T777" s="25" t="str">
        <f>IF(L777="","NO BILL IN SUPPLIED EXPORT",IF(ABS(Q777)&gt;0.001,"RATE EXCEPTION",IF(ABS(R777)&gt;0.001,"LENGTH EXCEPTION",IF(ABS(S777)&gt;0.01,"AMOUNT EXCEPTION","OK"))))</f>
        <v>NO BILL IN SUPPLIED EXPORT</v>
      </c>
      <c r="U777" s="19" t="s">
        <v>4153</v>
      </c>
    </row>
    <row r="778" spans="1:21" ht="28" customHeight="1">
      <c r="A778" s="14" t="s">
        <v>4154</v>
      </c>
      <c r="B778" s="14" t="s">
        <v>195</v>
      </c>
      <c r="C778" s="14" t="s">
        <v>226</v>
      </c>
      <c r="D778" s="14" t="s">
        <v>227</v>
      </c>
      <c r="E778" s="14" t="s">
        <v>4155</v>
      </c>
      <c r="F778" s="15" t="s">
        <v>4156</v>
      </c>
      <c r="G778" s="15" t="s">
        <v>4157</v>
      </c>
      <c r="H778" s="24">
        <v>32</v>
      </c>
      <c r="I778" s="24">
        <v>48.2</v>
      </c>
      <c r="J778" s="24">
        <f>MAX(H778,ROUNDUP(I778,0))</f>
        <v>49</v>
      </c>
      <c r="K778" s="22">
        <f>IF(C778="covered",10.4,7.55)</f>
        <v>7.55</v>
      </c>
      <c r="L778" s="14"/>
      <c r="M778" s="24"/>
      <c r="N778" s="22"/>
      <c r="O778" s="22"/>
      <c r="P778" s="22">
        <f>J778*K778</f>
        <v>369.95</v>
      </c>
      <c r="Q778" s="22">
        <f>IF(L778="","",N778-K778)</f>
        <v/>
      </c>
      <c r="R778" s="24">
        <f>IF(L778="","",M778-J778)</f>
        <v/>
      </c>
      <c r="S778" s="22">
        <f>IF(L778="",-P778,O778-P778)</f>
        <v>-369.95</v>
      </c>
      <c r="T778" s="25" t="str">
        <f>IF(L778="","NO BILL IN SUPPLIED EXPORT",IF(ABS(Q778)&gt;0.001,"RATE EXCEPTION",IF(ABS(R778)&gt;0.001,"LENGTH EXCEPTION",IF(ABS(S778)&gt;0.01,"AMOUNT EXCEPTION","OK"))))</f>
        <v>NO BILL IN SUPPLIED EXPORT</v>
      </c>
      <c r="U778" s="15" t="s">
        <v>4158</v>
      </c>
    </row>
    <row r="779" spans="1:21" ht="28" customHeight="1">
      <c r="A779" s="18" t="s">
        <v>4159</v>
      </c>
      <c r="B779" s="18" t="s">
        <v>195</v>
      </c>
      <c r="C779" s="18" t="s">
        <v>226</v>
      </c>
      <c r="D779" s="18" t="s">
        <v>227</v>
      </c>
      <c r="E779" s="18" t="s">
        <v>4160</v>
      </c>
      <c r="F779" s="19" t="s">
        <v>4161</v>
      </c>
      <c r="G779" s="19" t="s">
        <v>4162</v>
      </c>
      <c r="H779" s="24">
        <v>32</v>
      </c>
      <c r="I779" s="24">
        <v>61.2</v>
      </c>
      <c r="J779" s="24">
        <f>MAX(H779,ROUNDUP(I779,0))</f>
        <v>62</v>
      </c>
      <c r="K779" s="22">
        <f>IF(C779="covered",10.4,7.55)</f>
        <v>7.55</v>
      </c>
      <c r="L779" s="18"/>
      <c r="M779" s="24"/>
      <c r="N779" s="22"/>
      <c r="O779" s="22"/>
      <c r="P779" s="22">
        <f>J779*K779</f>
        <v>468.09999999999997</v>
      </c>
      <c r="Q779" s="22">
        <f>IF(L779="","",N779-K779)</f>
        <v/>
      </c>
      <c r="R779" s="24">
        <f>IF(L779="","",M779-J779)</f>
        <v/>
      </c>
      <c r="S779" s="22">
        <f>IF(L779="",-P779,O779-P779)</f>
        <v>-468.09999999999997</v>
      </c>
      <c r="T779" s="25" t="str">
        <f>IF(L779="","NO BILL IN SUPPLIED EXPORT",IF(ABS(Q779)&gt;0.001,"RATE EXCEPTION",IF(ABS(R779)&gt;0.001,"LENGTH EXCEPTION",IF(ABS(S779)&gt;0.01,"AMOUNT EXCEPTION","OK"))))</f>
        <v>NO BILL IN SUPPLIED EXPORT</v>
      </c>
      <c r="U779" s="19" t="s">
        <v>4163</v>
      </c>
    </row>
    <row r="780" spans="1:21" ht="28" customHeight="1">
      <c r="A780" s="14" t="s">
        <v>4164</v>
      </c>
      <c r="B780" s="14" t="s">
        <v>195</v>
      </c>
      <c r="C780" s="14" t="s">
        <v>226</v>
      </c>
      <c r="D780" s="14" t="s">
        <v>227</v>
      </c>
      <c r="E780" s="14" t="s">
        <v>4165</v>
      </c>
      <c r="F780" s="15" t="s">
        <v>4166</v>
      </c>
      <c r="G780" s="15" t="s">
        <v>4157</v>
      </c>
      <c r="H780" s="24">
        <v>60</v>
      </c>
      <c r="I780" s="24">
        <v>48.4</v>
      </c>
      <c r="J780" s="24">
        <f>MAX(H780,ROUNDUP(I780,0))</f>
        <v>60.0</v>
      </c>
      <c r="K780" s="22">
        <f>IF(C780="covered",10.4,7.55)</f>
        <v>7.55</v>
      </c>
      <c r="L780" s="14"/>
      <c r="M780" s="24"/>
      <c r="N780" s="22"/>
      <c r="O780" s="22"/>
      <c r="P780" s="22">
        <f>J780*K780</f>
        <v>453.0</v>
      </c>
      <c r="Q780" s="22">
        <f>IF(L780="","",N780-K780)</f>
        <v/>
      </c>
      <c r="R780" s="24">
        <f>IF(L780="","",M780-J780)</f>
        <v/>
      </c>
      <c r="S780" s="22">
        <f>IF(L780="",-P780,O780-P780)</f>
        <v>-453.0</v>
      </c>
      <c r="T780" s="25" t="str">
        <f>IF(L780="","NO BILL IN SUPPLIED EXPORT",IF(ABS(Q780)&gt;0.001,"RATE EXCEPTION",IF(ABS(R780)&gt;0.001,"LENGTH EXCEPTION",IF(ABS(S780)&gt;0.01,"AMOUNT EXCEPTION","OK"))))</f>
        <v>NO BILL IN SUPPLIED EXPORT</v>
      </c>
      <c r="U780" s="15" t="s">
        <v>4167</v>
      </c>
    </row>
    <row r="781" spans="1:21" ht="28" customHeight="1">
      <c r="A781" s="18" t="s">
        <v>4168</v>
      </c>
      <c r="B781" s="18" t="s">
        <v>195</v>
      </c>
      <c r="C781" s="18" t="s">
        <v>226</v>
      </c>
      <c r="D781" s="18" t="s">
        <v>227</v>
      </c>
      <c r="E781" s="18" t="s">
        <v>4169</v>
      </c>
      <c r="F781" s="19" t="s">
        <v>4170</v>
      </c>
      <c r="G781" s="19" t="s">
        <v>3805</v>
      </c>
      <c r="H781" s="24">
        <v>24</v>
      </c>
      <c r="I781" s="24">
        <v>26.5</v>
      </c>
      <c r="J781" s="24">
        <f>MAX(H781,ROUNDUP(I781,0))</f>
        <v>27</v>
      </c>
      <c r="K781" s="22">
        <f>IF(C781="covered",10.4,7.55)</f>
        <v>7.55</v>
      </c>
      <c r="L781" s="18"/>
      <c r="M781" s="24"/>
      <c r="N781" s="22"/>
      <c r="O781" s="22"/>
      <c r="P781" s="22">
        <f>J781*K781</f>
        <v>203.85</v>
      </c>
      <c r="Q781" s="22">
        <f>IF(L781="","",N781-K781)</f>
        <v/>
      </c>
      <c r="R781" s="24">
        <f>IF(L781="","",M781-J781)</f>
        <v/>
      </c>
      <c r="S781" s="22">
        <f>IF(L781="",-P781,O781-P781)</f>
        <v>-203.85</v>
      </c>
      <c r="T781" s="25" t="str">
        <f>IF(L781="","NO BILL IN SUPPLIED EXPORT",IF(ABS(Q781)&gt;0.001,"RATE EXCEPTION",IF(ABS(R781)&gt;0.001,"LENGTH EXCEPTION",IF(ABS(S781)&gt;0.01,"AMOUNT EXCEPTION","OK"))))</f>
        <v>NO BILL IN SUPPLIED EXPORT</v>
      </c>
      <c r="U781" s="19" t="s">
        <v>4171</v>
      </c>
    </row>
    <row r="782" spans="1:21" ht="28" customHeight="1">
      <c r="A782" s="14" t="s">
        <v>4172</v>
      </c>
      <c r="B782" s="14" t="s">
        <v>195</v>
      </c>
      <c r="C782" s="14" t="s">
        <v>226</v>
      </c>
      <c r="D782" s="14" t="s">
        <v>227</v>
      </c>
      <c r="E782" s="14" t="s">
        <v>4173</v>
      </c>
      <c r="F782" s="15" t="s">
        <v>4174</v>
      </c>
      <c r="G782" s="15" t="s">
        <v>103</v>
      </c>
      <c r="H782" s="24">
        <v>80</v>
      </c>
      <c r="I782" s="24">
        <v>53.2</v>
      </c>
      <c r="J782" s="24">
        <f>MAX(H782,ROUNDUP(I782,0))</f>
        <v>80.0</v>
      </c>
      <c r="K782" s="22">
        <f>IF(C782="covered",10.4,7.55)</f>
        <v>7.55</v>
      </c>
      <c r="L782" s="14"/>
      <c r="M782" s="24"/>
      <c r="N782" s="22"/>
      <c r="O782" s="22"/>
      <c r="P782" s="22">
        <f>J782*K782</f>
        <v>604.0</v>
      </c>
      <c r="Q782" s="22">
        <f>IF(L782="","",N782-K782)</f>
        <v/>
      </c>
      <c r="R782" s="24">
        <f>IF(L782="","",M782-J782)</f>
        <v/>
      </c>
      <c r="S782" s="22">
        <f>IF(L782="",-P782,O782-P782)</f>
        <v>-604.0</v>
      </c>
      <c r="T782" s="25" t="str">
        <f>IF(L782="","NO BILL IN SUPPLIED EXPORT",IF(ABS(Q782)&gt;0.001,"RATE EXCEPTION",IF(ABS(R782)&gt;0.001,"LENGTH EXCEPTION",IF(ABS(S782)&gt;0.01,"AMOUNT EXCEPTION","OK"))))</f>
        <v>NO BILL IN SUPPLIED EXPORT</v>
      </c>
      <c r="U782" s="15" t="s">
        <v>4175</v>
      </c>
    </row>
    <row r="783" spans="1:21" ht="28" customHeight="1">
      <c r="A783" s="18" t="s">
        <v>4176</v>
      </c>
      <c r="B783" s="18" t="s">
        <v>195</v>
      </c>
      <c r="C783" s="18" t="s">
        <v>226</v>
      </c>
      <c r="D783" s="18" t="s">
        <v>227</v>
      </c>
      <c r="E783" s="18" t="s">
        <v>4177</v>
      </c>
      <c r="F783" s="19" t="s">
        <v>4178</v>
      </c>
      <c r="G783" s="19" t="s">
        <v>2530</v>
      </c>
      <c r="H783" s="24">
        <v>24</v>
      </c>
      <c r="I783" s="24">
        <v>52.5</v>
      </c>
      <c r="J783" s="24">
        <f>MAX(H783,ROUNDUP(I783,0))</f>
        <v>53</v>
      </c>
      <c r="K783" s="22">
        <f>IF(C783="covered",10.4,7.55)</f>
        <v>7.55</v>
      </c>
      <c r="L783" s="18"/>
      <c r="M783" s="24"/>
      <c r="N783" s="22"/>
      <c r="O783" s="22"/>
      <c r="P783" s="22">
        <f>J783*K783</f>
        <v>400.15</v>
      </c>
      <c r="Q783" s="22">
        <f>IF(L783="","",N783-K783)</f>
        <v/>
      </c>
      <c r="R783" s="24">
        <f>IF(L783="","",M783-J783)</f>
        <v/>
      </c>
      <c r="S783" s="22">
        <f>IF(L783="",-P783,O783-P783)</f>
        <v>-400.15</v>
      </c>
      <c r="T783" s="25" t="str">
        <f>IF(L783="","NO BILL IN SUPPLIED EXPORT",IF(ABS(Q783)&gt;0.001,"RATE EXCEPTION",IF(ABS(R783)&gt;0.001,"LENGTH EXCEPTION",IF(ABS(S783)&gt;0.01,"AMOUNT EXCEPTION","OK"))))</f>
        <v>NO BILL IN SUPPLIED EXPORT</v>
      </c>
      <c r="U783" s="19" t="s">
        <v>4179</v>
      </c>
    </row>
    <row r="784" spans="1:21" ht="28" customHeight="1">
      <c r="A784" s="14" t="s">
        <v>4180</v>
      </c>
      <c r="B784" s="14" t="s">
        <v>195</v>
      </c>
      <c r="C784" s="14" t="s">
        <v>226</v>
      </c>
      <c r="D784" s="14" t="s">
        <v>227</v>
      </c>
      <c r="E784" s="14" t="s">
        <v>4181</v>
      </c>
      <c r="F784" s="15" t="s">
        <v>4182</v>
      </c>
      <c r="G784" s="15" t="s">
        <v>1609</v>
      </c>
      <c r="H784" s="24">
        <v>80</v>
      </c>
      <c r="I784" s="24">
        <v>40.6</v>
      </c>
      <c r="J784" s="24">
        <f>MAX(H784,ROUNDUP(I784,0))</f>
        <v>80.0</v>
      </c>
      <c r="K784" s="22">
        <f>IF(C784="covered",10.4,7.55)</f>
        <v>7.55</v>
      </c>
      <c r="L784" s="14"/>
      <c r="M784" s="24"/>
      <c r="N784" s="22"/>
      <c r="O784" s="22"/>
      <c r="P784" s="22">
        <f>J784*K784</f>
        <v>604.0</v>
      </c>
      <c r="Q784" s="22">
        <f>IF(L784="","",N784-K784)</f>
        <v/>
      </c>
      <c r="R784" s="24">
        <f>IF(L784="","",M784-J784)</f>
        <v/>
      </c>
      <c r="S784" s="22">
        <f>IF(L784="",-P784,O784-P784)</f>
        <v>-604.0</v>
      </c>
      <c r="T784" s="25" t="str">
        <f>IF(L784="","NO BILL IN SUPPLIED EXPORT",IF(ABS(Q784)&gt;0.001,"RATE EXCEPTION",IF(ABS(R784)&gt;0.001,"LENGTH EXCEPTION",IF(ABS(S784)&gt;0.01,"AMOUNT EXCEPTION","OK"))))</f>
        <v>NO BILL IN SUPPLIED EXPORT</v>
      </c>
      <c r="U784" s="15" t="s">
        <v>4183</v>
      </c>
    </row>
    <row r="785" spans="1:21" ht="28" customHeight="1">
      <c r="A785" s="18" t="s">
        <v>4184</v>
      </c>
      <c r="B785" s="18" t="s">
        <v>195</v>
      </c>
      <c r="C785" s="18" t="s">
        <v>226</v>
      </c>
      <c r="D785" s="18" t="s">
        <v>227</v>
      </c>
      <c r="E785" s="18" t="s">
        <v>4185</v>
      </c>
      <c r="F785" s="19" t="s">
        <v>4186</v>
      </c>
      <c r="G785" s="19" t="s">
        <v>523</v>
      </c>
      <c r="H785" s="24">
        <v>45</v>
      </c>
      <c r="I785" s="24">
        <v>37.5</v>
      </c>
      <c r="J785" s="24">
        <f>MAX(H785,ROUNDUP(I785,0))</f>
        <v>45.0</v>
      </c>
      <c r="K785" s="22">
        <f>IF(C785="covered",10.4,7.55)</f>
        <v>7.55</v>
      </c>
      <c r="L785" s="18"/>
      <c r="M785" s="24"/>
      <c r="N785" s="22"/>
      <c r="O785" s="22"/>
      <c r="P785" s="22">
        <f>J785*K785</f>
        <v>339.75</v>
      </c>
      <c r="Q785" s="22">
        <f>IF(L785="","",N785-K785)</f>
        <v/>
      </c>
      <c r="R785" s="24">
        <f>IF(L785="","",M785-J785)</f>
        <v/>
      </c>
      <c r="S785" s="22">
        <f>IF(L785="",-P785,O785-P785)</f>
        <v>-339.75</v>
      </c>
      <c r="T785" s="25" t="str">
        <f>IF(L785="","NO BILL IN SUPPLIED EXPORT",IF(ABS(Q785)&gt;0.001,"RATE EXCEPTION",IF(ABS(R785)&gt;0.001,"LENGTH EXCEPTION",IF(ABS(S785)&gt;0.01,"AMOUNT EXCEPTION","OK"))))</f>
        <v>NO BILL IN SUPPLIED EXPORT</v>
      </c>
      <c r="U785" s="19" t="s">
        <v>4187</v>
      </c>
    </row>
    <row r="786" spans="1:21" ht="28" customHeight="1">
      <c r="A786" s="14" t="s">
        <v>4188</v>
      </c>
      <c r="B786" s="14" t="s">
        <v>195</v>
      </c>
      <c r="C786" s="14" t="s">
        <v>226</v>
      </c>
      <c r="D786" s="14" t="s">
        <v>227</v>
      </c>
      <c r="E786" s="14" t="s">
        <v>4189</v>
      </c>
      <c r="F786" s="15" t="s">
        <v>4190</v>
      </c>
      <c r="G786" s="15" t="s">
        <v>761</v>
      </c>
      <c r="H786" s="24">
        <v>70</v>
      </c>
      <c r="I786" s="24">
        <v>54.6</v>
      </c>
      <c r="J786" s="24">
        <f>MAX(H786,ROUNDUP(I786,0))</f>
        <v>70.0</v>
      </c>
      <c r="K786" s="22">
        <f>IF(C786="covered",10.4,7.55)</f>
        <v>7.55</v>
      </c>
      <c r="L786" s="14"/>
      <c r="M786" s="24"/>
      <c r="N786" s="22"/>
      <c r="O786" s="22"/>
      <c r="P786" s="22">
        <f>J786*K786</f>
        <v>528.5</v>
      </c>
      <c r="Q786" s="22">
        <f>IF(L786="","",N786-K786)</f>
        <v/>
      </c>
      <c r="R786" s="24">
        <f>IF(L786="","",M786-J786)</f>
        <v/>
      </c>
      <c r="S786" s="22">
        <f>IF(L786="",-P786,O786-P786)</f>
        <v>-528.5</v>
      </c>
      <c r="T786" s="25" t="str">
        <f>IF(L786="","NO BILL IN SUPPLIED EXPORT",IF(ABS(Q786)&gt;0.001,"RATE EXCEPTION",IF(ABS(R786)&gt;0.001,"LENGTH EXCEPTION",IF(ABS(S786)&gt;0.01,"AMOUNT EXCEPTION","OK"))))</f>
        <v>NO BILL IN SUPPLIED EXPORT</v>
      </c>
      <c r="U786" s="15" t="s">
        <v>4191</v>
      </c>
    </row>
    <row r="787" spans="1:21" ht="28" customHeight="1">
      <c r="A787" s="18" t="s">
        <v>4192</v>
      </c>
      <c r="B787" s="18" t="s">
        <v>195</v>
      </c>
      <c r="C787" s="18" t="s">
        <v>226</v>
      </c>
      <c r="D787" s="18" t="s">
        <v>227</v>
      </c>
      <c r="E787" s="18" t="s">
        <v>4193</v>
      </c>
      <c r="F787" s="19" t="s">
        <v>4194</v>
      </c>
      <c r="G787" s="19" t="s">
        <v>2908</v>
      </c>
      <c r="H787" s="24">
        <v>80</v>
      </c>
      <c r="I787" s="24">
        <v>46.1</v>
      </c>
      <c r="J787" s="24">
        <f>MAX(H787,ROUNDUP(I787,0))</f>
        <v>80.0</v>
      </c>
      <c r="K787" s="22">
        <f>IF(C787="covered",10.4,7.55)</f>
        <v>7.55</v>
      </c>
      <c r="L787" s="18"/>
      <c r="M787" s="24"/>
      <c r="N787" s="22"/>
      <c r="O787" s="22"/>
      <c r="P787" s="22">
        <f>J787*K787</f>
        <v>604.0</v>
      </c>
      <c r="Q787" s="22">
        <f>IF(L787="","",N787-K787)</f>
        <v/>
      </c>
      <c r="R787" s="24">
        <f>IF(L787="","",M787-J787)</f>
        <v/>
      </c>
      <c r="S787" s="22">
        <f>IF(L787="",-P787,O787-P787)</f>
        <v>-604.0</v>
      </c>
      <c r="T787" s="25" t="str">
        <f>IF(L787="","NO BILL IN SUPPLIED EXPORT",IF(ABS(Q787)&gt;0.001,"RATE EXCEPTION",IF(ABS(R787)&gt;0.001,"LENGTH EXCEPTION",IF(ABS(S787)&gt;0.01,"AMOUNT EXCEPTION","OK"))))</f>
        <v>NO BILL IN SUPPLIED EXPORT</v>
      </c>
      <c r="U787" s="19" t="s">
        <v>4195</v>
      </c>
    </row>
    <row r="788" spans="1:21" ht="28" customHeight="1">
      <c r="A788" s="14" t="s">
        <v>4196</v>
      </c>
      <c r="B788" s="14" t="s">
        <v>195</v>
      </c>
      <c r="C788" s="14" t="s">
        <v>226</v>
      </c>
      <c r="D788" s="14" t="s">
        <v>227</v>
      </c>
      <c r="E788" s="14" t="s">
        <v>4197</v>
      </c>
      <c r="F788" s="15" t="s">
        <v>4198</v>
      </c>
      <c r="G788" s="15" t="s">
        <v>4199</v>
      </c>
      <c r="H788" s="24">
        <v>32</v>
      </c>
      <c r="I788" s="24">
        <v>47.8</v>
      </c>
      <c r="J788" s="24">
        <f>MAX(H788,ROUNDUP(I788,0))</f>
        <v>48</v>
      </c>
      <c r="K788" s="22">
        <f>IF(C788="covered",10.4,7.55)</f>
        <v>7.55</v>
      </c>
      <c r="L788" s="14"/>
      <c r="M788" s="24"/>
      <c r="N788" s="22"/>
      <c r="O788" s="22"/>
      <c r="P788" s="22">
        <f>J788*K788</f>
        <v>362.4</v>
      </c>
      <c r="Q788" s="22">
        <f>IF(L788="","",N788-K788)</f>
        <v/>
      </c>
      <c r="R788" s="24">
        <f>IF(L788="","",M788-J788)</f>
        <v/>
      </c>
      <c r="S788" s="22">
        <f>IF(L788="",-P788,O788-P788)</f>
        <v>-362.4</v>
      </c>
      <c r="T788" s="25" t="str">
        <f>IF(L788="","NO BILL IN SUPPLIED EXPORT",IF(ABS(Q788)&gt;0.001,"RATE EXCEPTION",IF(ABS(R788)&gt;0.001,"LENGTH EXCEPTION",IF(ABS(S788)&gt;0.01,"AMOUNT EXCEPTION","OK"))))</f>
        <v>NO BILL IN SUPPLIED EXPORT</v>
      </c>
      <c r="U788" s="15" t="s">
        <v>4200</v>
      </c>
    </row>
    <row r="789" spans="1:21" ht="28" customHeight="1">
      <c r="A789" s="18" t="s">
        <v>4201</v>
      </c>
      <c r="B789" s="18" t="s">
        <v>195</v>
      </c>
      <c r="C789" s="18" t="s">
        <v>226</v>
      </c>
      <c r="D789" s="18" t="s">
        <v>227</v>
      </c>
      <c r="E789" s="18" t="s">
        <v>4202</v>
      </c>
      <c r="F789" s="19" t="s">
        <v>4203</v>
      </c>
      <c r="G789" s="19" t="s">
        <v>2881</v>
      </c>
      <c r="H789" s="24">
        <v>24</v>
      </c>
      <c r="I789" s="24">
        <v>27.5</v>
      </c>
      <c r="J789" s="24">
        <f>MAX(H789,ROUNDUP(I789,0))</f>
        <v>28</v>
      </c>
      <c r="K789" s="22">
        <f>IF(C789="covered",10.4,7.55)</f>
        <v>7.55</v>
      </c>
      <c r="L789" s="18"/>
      <c r="M789" s="24"/>
      <c r="N789" s="22"/>
      <c r="O789" s="22"/>
      <c r="P789" s="22">
        <f>J789*K789</f>
        <v>211.4</v>
      </c>
      <c r="Q789" s="22">
        <f>IF(L789="","",N789-K789)</f>
        <v/>
      </c>
      <c r="R789" s="24">
        <f>IF(L789="","",M789-J789)</f>
        <v/>
      </c>
      <c r="S789" s="22">
        <f>IF(L789="",-P789,O789-P789)</f>
        <v>-211.4</v>
      </c>
      <c r="T789" s="25" t="str">
        <f>IF(L789="","NO BILL IN SUPPLIED EXPORT",IF(ABS(Q789)&gt;0.001,"RATE EXCEPTION",IF(ABS(R789)&gt;0.001,"LENGTH EXCEPTION",IF(ABS(S789)&gt;0.01,"AMOUNT EXCEPTION","OK"))))</f>
        <v>NO BILL IN SUPPLIED EXPORT</v>
      </c>
      <c r="U789" s="19" t="s">
        <v>4204</v>
      </c>
    </row>
    <row r="790" spans="1:21" ht="28" customHeight="1">
      <c r="A790" s="14" t="s">
        <v>4205</v>
      </c>
      <c r="B790" s="14" t="s">
        <v>195</v>
      </c>
      <c r="C790" s="14" t="s">
        <v>226</v>
      </c>
      <c r="D790" s="14" t="s">
        <v>227</v>
      </c>
      <c r="E790" s="14" t="s">
        <v>4206</v>
      </c>
      <c r="F790" s="15" t="s">
        <v>4207</v>
      </c>
      <c r="G790" s="15" t="s">
        <v>2637</v>
      </c>
      <c r="H790" s="24">
        <v>32</v>
      </c>
      <c r="I790" s="24">
        <v>35.6</v>
      </c>
      <c r="J790" s="24">
        <f>MAX(H790,ROUNDUP(I790,0))</f>
        <v>36</v>
      </c>
      <c r="K790" s="22">
        <f>IF(C790="covered",10.4,7.55)</f>
        <v>7.55</v>
      </c>
      <c r="L790" s="14"/>
      <c r="M790" s="24"/>
      <c r="N790" s="22"/>
      <c r="O790" s="22"/>
      <c r="P790" s="22">
        <f>J790*K790</f>
        <v>271.8</v>
      </c>
      <c r="Q790" s="22">
        <f>IF(L790="","",N790-K790)</f>
        <v/>
      </c>
      <c r="R790" s="24">
        <f>IF(L790="","",M790-J790)</f>
        <v/>
      </c>
      <c r="S790" s="22">
        <f>IF(L790="",-P790,O790-P790)</f>
        <v>-271.8</v>
      </c>
      <c r="T790" s="25" t="str">
        <f>IF(L790="","NO BILL IN SUPPLIED EXPORT",IF(ABS(Q790)&gt;0.001,"RATE EXCEPTION",IF(ABS(R790)&gt;0.001,"LENGTH EXCEPTION",IF(ABS(S790)&gt;0.01,"AMOUNT EXCEPTION","OK"))))</f>
        <v>NO BILL IN SUPPLIED EXPORT</v>
      </c>
      <c r="U790" s="15" t="s">
        <v>4208</v>
      </c>
    </row>
    <row r="791" spans="1:21" ht="28" customHeight="1">
      <c r="A791" s="18" t="s">
        <v>4209</v>
      </c>
      <c r="B791" s="18" t="s">
        <v>195</v>
      </c>
      <c r="C791" s="18" t="s">
        <v>226</v>
      </c>
      <c r="D791" s="18" t="s">
        <v>227</v>
      </c>
      <c r="E791" s="18" t="s">
        <v>4210</v>
      </c>
      <c r="F791" s="19" t="s">
        <v>4211</v>
      </c>
      <c r="G791" s="19" t="s">
        <v>4212</v>
      </c>
      <c r="H791" s="24">
        <v>32</v>
      </c>
      <c r="I791" s="24">
        <v>19.9</v>
      </c>
      <c r="J791" s="24">
        <f>MAX(H791,ROUNDUP(I791,0))</f>
        <v>32.0</v>
      </c>
      <c r="K791" s="22">
        <f>IF(C791="covered",10.4,7.55)</f>
        <v>7.55</v>
      </c>
      <c r="L791" s="18"/>
      <c r="M791" s="24"/>
      <c r="N791" s="22"/>
      <c r="O791" s="22"/>
      <c r="P791" s="22">
        <f>J791*K791</f>
        <v>241.6</v>
      </c>
      <c r="Q791" s="22">
        <f>IF(L791="","",N791-K791)</f>
        <v/>
      </c>
      <c r="R791" s="24">
        <f>IF(L791="","",M791-J791)</f>
        <v/>
      </c>
      <c r="S791" s="22">
        <f>IF(L791="",-P791,O791-P791)</f>
        <v>-241.6</v>
      </c>
      <c r="T791" s="25" t="str">
        <f>IF(L791="","NO BILL IN SUPPLIED EXPORT",IF(ABS(Q791)&gt;0.001,"RATE EXCEPTION",IF(ABS(R791)&gt;0.001,"LENGTH EXCEPTION",IF(ABS(S791)&gt;0.01,"AMOUNT EXCEPTION","OK"))))</f>
        <v>NO BILL IN SUPPLIED EXPORT</v>
      </c>
      <c r="U791" s="19" t="s">
        <v>4213</v>
      </c>
    </row>
    <row r="792" spans="1:21" ht="28" customHeight="1">
      <c r="A792" s="14" t="s">
        <v>4214</v>
      </c>
      <c r="B792" s="14" t="s">
        <v>195</v>
      </c>
      <c r="C792" s="14" t="s">
        <v>226</v>
      </c>
      <c r="D792" s="14" t="s">
        <v>227</v>
      </c>
      <c r="E792" s="14" t="s">
        <v>4215</v>
      </c>
      <c r="F792" s="15" t="s">
        <v>4216</v>
      </c>
      <c r="G792" s="15" t="s">
        <v>4217</v>
      </c>
      <c r="H792" s="24">
        <v>36</v>
      </c>
      <c r="I792" s="24">
        <v>55.4</v>
      </c>
      <c r="J792" s="24">
        <f>MAX(H792,ROUNDUP(I792,0))</f>
        <v>56</v>
      </c>
      <c r="K792" s="22">
        <f>IF(C792="covered",10.4,7.55)</f>
        <v>7.55</v>
      </c>
      <c r="L792" s="14"/>
      <c r="M792" s="24"/>
      <c r="N792" s="22"/>
      <c r="O792" s="22"/>
      <c r="P792" s="22">
        <f>J792*K792</f>
        <v>422.8</v>
      </c>
      <c r="Q792" s="22">
        <f>IF(L792="","",N792-K792)</f>
        <v/>
      </c>
      <c r="R792" s="24">
        <f>IF(L792="","",M792-J792)</f>
        <v/>
      </c>
      <c r="S792" s="22">
        <f>IF(L792="",-P792,O792-P792)</f>
        <v>-422.8</v>
      </c>
      <c r="T792" s="25" t="str">
        <f>IF(L792="","NO BILL IN SUPPLIED EXPORT",IF(ABS(Q792)&gt;0.001,"RATE EXCEPTION",IF(ABS(R792)&gt;0.001,"LENGTH EXCEPTION",IF(ABS(S792)&gt;0.01,"AMOUNT EXCEPTION","OK"))))</f>
        <v>NO BILL IN SUPPLIED EXPORT</v>
      </c>
      <c r="U792" s="15" t="s">
        <v>4218</v>
      </c>
    </row>
    <row r="793" spans="1:21" ht="28" customHeight="1">
      <c r="A793" s="18" t="s">
        <v>4219</v>
      </c>
      <c r="B793" s="18" t="s">
        <v>195</v>
      </c>
      <c r="C793" s="18" t="s">
        <v>226</v>
      </c>
      <c r="D793" s="18" t="s">
        <v>227</v>
      </c>
      <c r="E793" s="18" t="s">
        <v>4220</v>
      </c>
      <c r="F793" s="19" t="s">
        <v>4221</v>
      </c>
      <c r="G793" s="19" t="s">
        <v>3055</v>
      </c>
      <c r="H793" s="24">
        <v>45</v>
      </c>
      <c r="I793" s="24">
        <v>52.6</v>
      </c>
      <c r="J793" s="24">
        <f>MAX(H793,ROUNDUP(I793,0))</f>
        <v>53</v>
      </c>
      <c r="K793" s="22">
        <f>IF(C793="covered",10.4,7.55)</f>
        <v>7.55</v>
      </c>
      <c r="L793" s="18"/>
      <c r="M793" s="24"/>
      <c r="N793" s="22"/>
      <c r="O793" s="22"/>
      <c r="P793" s="22">
        <f>J793*K793</f>
        <v>400.15</v>
      </c>
      <c r="Q793" s="22">
        <f>IF(L793="","",N793-K793)</f>
        <v/>
      </c>
      <c r="R793" s="24">
        <f>IF(L793="","",M793-J793)</f>
        <v/>
      </c>
      <c r="S793" s="22">
        <f>IF(L793="",-P793,O793-P793)</f>
        <v>-400.15</v>
      </c>
      <c r="T793" s="25" t="str">
        <f>IF(L793="","NO BILL IN SUPPLIED EXPORT",IF(ABS(Q793)&gt;0.001,"RATE EXCEPTION",IF(ABS(R793)&gt;0.001,"LENGTH EXCEPTION",IF(ABS(S793)&gt;0.01,"AMOUNT EXCEPTION","OK"))))</f>
        <v>NO BILL IN SUPPLIED EXPORT</v>
      </c>
      <c r="U793" s="19" t="s">
        <v>4222</v>
      </c>
    </row>
    <row r="794" spans="1:21" ht="28" customHeight="1">
      <c r="A794" s="14" t="s">
        <v>4223</v>
      </c>
      <c r="B794" s="14" t="s">
        <v>195</v>
      </c>
      <c r="C794" s="14" t="s">
        <v>226</v>
      </c>
      <c r="D794" s="14" t="s">
        <v>227</v>
      </c>
      <c r="E794" s="14" t="s">
        <v>4224</v>
      </c>
      <c r="F794" s="15" t="s">
        <v>4225</v>
      </c>
      <c r="G794" s="15" t="s">
        <v>3578</v>
      </c>
      <c r="H794" s="24">
        <v>45</v>
      </c>
      <c r="I794" s="24">
        <v>20.1</v>
      </c>
      <c r="J794" s="24">
        <f>MAX(H794,ROUNDUP(I794,0))</f>
        <v>45.0</v>
      </c>
      <c r="K794" s="22">
        <f>IF(C794="covered",10.4,7.55)</f>
        <v>7.55</v>
      </c>
      <c r="L794" s="14"/>
      <c r="M794" s="24"/>
      <c r="N794" s="22"/>
      <c r="O794" s="22"/>
      <c r="P794" s="22">
        <f>J794*K794</f>
        <v>339.75</v>
      </c>
      <c r="Q794" s="22">
        <f>IF(L794="","",N794-K794)</f>
        <v/>
      </c>
      <c r="R794" s="24">
        <f>IF(L794="","",M794-J794)</f>
        <v/>
      </c>
      <c r="S794" s="22">
        <f>IF(L794="",-P794,O794-P794)</f>
        <v>-339.75</v>
      </c>
      <c r="T794" s="25" t="str">
        <f>IF(L794="","NO BILL IN SUPPLIED EXPORT",IF(ABS(Q794)&gt;0.001,"RATE EXCEPTION",IF(ABS(R794)&gt;0.001,"LENGTH EXCEPTION",IF(ABS(S794)&gt;0.01,"AMOUNT EXCEPTION","OK"))))</f>
        <v>NO BILL IN SUPPLIED EXPORT</v>
      </c>
      <c r="U794" s="15" t="s">
        <v>4226</v>
      </c>
    </row>
    <row r="795" spans="1:21" ht="28" customHeight="1">
      <c r="A795" s="18" t="s">
        <v>4227</v>
      </c>
      <c r="B795" s="18" t="s">
        <v>195</v>
      </c>
      <c r="C795" s="18" t="s">
        <v>226</v>
      </c>
      <c r="D795" s="18" t="s">
        <v>227</v>
      </c>
      <c r="E795" s="18" t="s">
        <v>4228</v>
      </c>
      <c r="F795" s="19" t="s">
        <v>4229</v>
      </c>
      <c r="G795" s="19" t="s">
        <v>2008</v>
      </c>
      <c r="H795" s="24">
        <v>40</v>
      </c>
      <c r="I795" s="24">
        <v>22.8</v>
      </c>
      <c r="J795" s="24">
        <f>MAX(H795,ROUNDUP(I795,0))</f>
        <v>40.0</v>
      </c>
      <c r="K795" s="22">
        <f>IF(C795="covered",10.4,7.55)</f>
        <v>7.55</v>
      </c>
      <c r="L795" s="18"/>
      <c r="M795" s="24"/>
      <c r="N795" s="22"/>
      <c r="O795" s="22"/>
      <c r="P795" s="22">
        <f>J795*K795</f>
        <v>302.0</v>
      </c>
      <c r="Q795" s="22">
        <f>IF(L795="","",N795-K795)</f>
        <v/>
      </c>
      <c r="R795" s="24">
        <f>IF(L795="","",M795-J795)</f>
        <v/>
      </c>
      <c r="S795" s="22">
        <f>IF(L795="",-P795,O795-P795)</f>
        <v>-302.0</v>
      </c>
      <c r="T795" s="25" t="str">
        <f>IF(L795="","NO BILL IN SUPPLIED EXPORT",IF(ABS(Q795)&gt;0.001,"RATE EXCEPTION",IF(ABS(R795)&gt;0.001,"LENGTH EXCEPTION",IF(ABS(S795)&gt;0.01,"AMOUNT EXCEPTION","OK"))))</f>
        <v>NO BILL IN SUPPLIED EXPORT</v>
      </c>
      <c r="U795" s="19" t="s">
        <v>4230</v>
      </c>
    </row>
    <row r="796" spans="1:21" ht="28" customHeight="1">
      <c r="A796" s="14" t="s">
        <v>4231</v>
      </c>
      <c r="B796" s="14" t="s">
        <v>195</v>
      </c>
      <c r="C796" s="14" t="s">
        <v>226</v>
      </c>
      <c r="D796" s="14" t="s">
        <v>227</v>
      </c>
      <c r="E796" s="14" t="s">
        <v>4232</v>
      </c>
      <c r="F796" s="15" t="s">
        <v>4233</v>
      </c>
      <c r="G796" s="15" t="s">
        <v>270</v>
      </c>
      <c r="H796" s="24">
        <v>60</v>
      </c>
      <c r="I796" s="24">
        <v>36.4</v>
      </c>
      <c r="J796" s="24">
        <f>MAX(H796,ROUNDUP(I796,0))</f>
        <v>60.0</v>
      </c>
      <c r="K796" s="22">
        <f>IF(C796="covered",10.4,7.55)</f>
        <v>7.55</v>
      </c>
      <c r="L796" s="14"/>
      <c r="M796" s="24"/>
      <c r="N796" s="22"/>
      <c r="O796" s="22"/>
      <c r="P796" s="22">
        <f>J796*K796</f>
        <v>453.0</v>
      </c>
      <c r="Q796" s="22">
        <f>IF(L796="","",N796-K796)</f>
        <v/>
      </c>
      <c r="R796" s="24">
        <f>IF(L796="","",M796-J796)</f>
        <v/>
      </c>
      <c r="S796" s="22">
        <f>IF(L796="",-P796,O796-P796)</f>
        <v>-453.0</v>
      </c>
      <c r="T796" s="25" t="str">
        <f>IF(L796="","NO BILL IN SUPPLIED EXPORT",IF(ABS(Q796)&gt;0.001,"RATE EXCEPTION",IF(ABS(R796)&gt;0.001,"LENGTH EXCEPTION",IF(ABS(S796)&gt;0.01,"AMOUNT EXCEPTION","OK"))))</f>
        <v>NO BILL IN SUPPLIED EXPORT</v>
      </c>
      <c r="U796" s="15" t="s">
        <v>4234</v>
      </c>
    </row>
    <row r="797" spans="1:21" ht="28" customHeight="1">
      <c r="A797" s="18" t="s">
        <v>4235</v>
      </c>
      <c r="B797" s="18" t="s">
        <v>195</v>
      </c>
      <c r="C797" s="18" t="s">
        <v>226</v>
      </c>
      <c r="D797" s="18" t="s">
        <v>227</v>
      </c>
      <c r="E797" s="18" t="s">
        <v>4236</v>
      </c>
      <c r="F797" s="19" t="s">
        <v>4237</v>
      </c>
      <c r="G797" s="19" t="s">
        <v>4238</v>
      </c>
      <c r="H797" s="24">
        <v>45</v>
      </c>
      <c r="I797" s="24">
        <v>24.9</v>
      </c>
      <c r="J797" s="24">
        <f>MAX(H797,ROUNDUP(I797,0))</f>
        <v>45.0</v>
      </c>
      <c r="K797" s="22">
        <f>IF(C797="covered",10.4,7.55)</f>
        <v>7.55</v>
      </c>
      <c r="L797" s="18"/>
      <c r="M797" s="24"/>
      <c r="N797" s="22"/>
      <c r="O797" s="22"/>
      <c r="P797" s="22">
        <f>J797*K797</f>
        <v>339.75</v>
      </c>
      <c r="Q797" s="22">
        <f>IF(L797="","",N797-K797)</f>
        <v/>
      </c>
      <c r="R797" s="24">
        <f>IF(L797="","",M797-J797)</f>
        <v/>
      </c>
      <c r="S797" s="22">
        <f>IF(L797="",-P797,O797-P797)</f>
        <v>-339.75</v>
      </c>
      <c r="T797" s="25" t="str">
        <f>IF(L797="","NO BILL IN SUPPLIED EXPORT",IF(ABS(Q797)&gt;0.001,"RATE EXCEPTION",IF(ABS(R797)&gt;0.001,"LENGTH EXCEPTION",IF(ABS(S797)&gt;0.01,"AMOUNT EXCEPTION","OK"))))</f>
        <v>NO BILL IN SUPPLIED EXPORT</v>
      </c>
      <c r="U797" s="19" t="s">
        <v>4239</v>
      </c>
    </row>
    <row r="798" spans="1:21" ht="28" customHeight="1">
      <c r="A798" s="14" t="s">
        <v>4240</v>
      </c>
      <c r="B798" s="14" t="s">
        <v>195</v>
      </c>
      <c r="C798" s="14" t="s">
        <v>226</v>
      </c>
      <c r="D798" s="14" t="s">
        <v>227</v>
      </c>
      <c r="E798" s="14" t="s">
        <v>4241</v>
      </c>
      <c r="F798" s="15" t="s">
        <v>4242</v>
      </c>
      <c r="G798" s="15" t="s">
        <v>382</v>
      </c>
      <c r="H798" s="24">
        <v>45</v>
      </c>
      <c r="I798" s="24">
        <v>25.7</v>
      </c>
      <c r="J798" s="24">
        <f>MAX(H798,ROUNDUP(I798,0))</f>
        <v>45.0</v>
      </c>
      <c r="K798" s="22">
        <f>IF(C798="covered",10.4,7.55)</f>
        <v>7.55</v>
      </c>
      <c r="L798" s="14"/>
      <c r="M798" s="24"/>
      <c r="N798" s="22"/>
      <c r="O798" s="22"/>
      <c r="P798" s="22">
        <f>J798*K798</f>
        <v>339.75</v>
      </c>
      <c r="Q798" s="22">
        <f>IF(L798="","",N798-K798)</f>
        <v/>
      </c>
      <c r="R798" s="24">
        <f>IF(L798="","",M798-J798)</f>
        <v/>
      </c>
      <c r="S798" s="22">
        <f>IF(L798="",-P798,O798-P798)</f>
        <v>-339.75</v>
      </c>
      <c r="T798" s="25" t="str">
        <f>IF(L798="","NO BILL IN SUPPLIED EXPORT",IF(ABS(Q798)&gt;0.001,"RATE EXCEPTION",IF(ABS(R798)&gt;0.001,"LENGTH EXCEPTION",IF(ABS(S798)&gt;0.01,"AMOUNT EXCEPTION","OK"))))</f>
        <v>NO BILL IN SUPPLIED EXPORT</v>
      </c>
      <c r="U798" s="15" t="s">
        <v>4243</v>
      </c>
    </row>
    <row r="799" spans="1:21" ht="28" customHeight="1">
      <c r="A799" s="18" t="s">
        <v>4244</v>
      </c>
      <c r="B799" s="18" t="s">
        <v>195</v>
      </c>
      <c r="C799" s="18" t="s">
        <v>226</v>
      </c>
      <c r="D799" s="18" t="s">
        <v>227</v>
      </c>
      <c r="E799" s="18" t="s">
        <v>4245</v>
      </c>
      <c r="F799" s="19" t="s">
        <v>4246</v>
      </c>
      <c r="G799" s="19" t="s">
        <v>347</v>
      </c>
      <c r="H799" s="24">
        <v>28</v>
      </c>
      <c r="I799" s="24">
        <v>54.6</v>
      </c>
      <c r="J799" s="24">
        <f>MAX(H799,ROUNDUP(I799,0))</f>
        <v>55</v>
      </c>
      <c r="K799" s="22">
        <f>IF(C799="covered",10.4,7.55)</f>
        <v>7.55</v>
      </c>
      <c r="L799" s="18"/>
      <c r="M799" s="24"/>
      <c r="N799" s="22"/>
      <c r="O799" s="22"/>
      <c r="P799" s="22">
        <f>J799*K799</f>
        <v>415.25</v>
      </c>
      <c r="Q799" s="22">
        <f>IF(L799="","",N799-K799)</f>
        <v/>
      </c>
      <c r="R799" s="24">
        <f>IF(L799="","",M799-J799)</f>
        <v/>
      </c>
      <c r="S799" s="22">
        <f>IF(L799="",-P799,O799-P799)</f>
        <v>-415.25</v>
      </c>
      <c r="T799" s="25" t="str">
        <f>IF(L799="","NO BILL IN SUPPLIED EXPORT",IF(ABS(Q799)&gt;0.001,"RATE EXCEPTION",IF(ABS(R799)&gt;0.001,"LENGTH EXCEPTION",IF(ABS(S799)&gt;0.01,"AMOUNT EXCEPTION","OK"))))</f>
        <v>NO BILL IN SUPPLIED EXPORT</v>
      </c>
      <c r="U799" s="19" t="s">
        <v>4247</v>
      </c>
    </row>
    <row r="800" spans="1:21" ht="28" customHeight="1">
      <c r="A800" s="14" t="s">
        <v>4248</v>
      </c>
      <c r="B800" s="14" t="s">
        <v>195</v>
      </c>
      <c r="C800" s="14" t="s">
        <v>226</v>
      </c>
      <c r="D800" s="14" t="s">
        <v>227</v>
      </c>
      <c r="E800" s="14" t="s">
        <v>4249</v>
      </c>
      <c r="F800" s="15" t="s">
        <v>4250</v>
      </c>
      <c r="G800" s="15" t="s">
        <v>3653</v>
      </c>
      <c r="H800" s="24">
        <v>40</v>
      </c>
      <c r="I800" s="24">
        <v>31.6</v>
      </c>
      <c r="J800" s="24">
        <f>MAX(H800,ROUNDUP(I800,0))</f>
        <v>40.0</v>
      </c>
      <c r="K800" s="22">
        <f>IF(C800="covered",10.4,7.55)</f>
        <v>7.55</v>
      </c>
      <c r="L800" s="14"/>
      <c r="M800" s="24"/>
      <c r="N800" s="22"/>
      <c r="O800" s="22"/>
      <c r="P800" s="22">
        <f>J800*K800</f>
        <v>302.0</v>
      </c>
      <c r="Q800" s="22">
        <f>IF(L800="","",N800-K800)</f>
        <v/>
      </c>
      <c r="R800" s="24">
        <f>IF(L800="","",M800-J800)</f>
        <v/>
      </c>
      <c r="S800" s="22">
        <f>IF(L800="",-P800,O800-P800)</f>
        <v>-302.0</v>
      </c>
      <c r="T800" s="25" t="str">
        <f>IF(L800="","NO BILL IN SUPPLIED EXPORT",IF(ABS(Q800)&gt;0.001,"RATE EXCEPTION",IF(ABS(R800)&gt;0.001,"LENGTH EXCEPTION",IF(ABS(S800)&gt;0.01,"AMOUNT EXCEPTION","OK"))))</f>
        <v>NO BILL IN SUPPLIED EXPORT</v>
      </c>
      <c r="U800" s="15" t="s">
        <v>4251</v>
      </c>
    </row>
    <row r="801" spans="1:21" ht="28" customHeight="1">
      <c r="A801" s="18" t="s">
        <v>4252</v>
      </c>
      <c r="B801" s="18" t="s">
        <v>195</v>
      </c>
      <c r="C801" s="18" t="s">
        <v>226</v>
      </c>
      <c r="D801" s="18" t="s">
        <v>227</v>
      </c>
      <c r="E801" s="18" t="s">
        <v>4253</v>
      </c>
      <c r="F801" s="19" t="s">
        <v>4254</v>
      </c>
      <c r="G801" s="19" t="s">
        <v>692</v>
      </c>
      <c r="H801" s="24">
        <v>32</v>
      </c>
      <c r="I801" s="24">
        <v>47.2</v>
      </c>
      <c r="J801" s="24">
        <f>MAX(H801,ROUNDUP(I801,0))</f>
        <v>48</v>
      </c>
      <c r="K801" s="22">
        <f>IF(C801="covered",10.4,7.55)</f>
        <v>7.55</v>
      </c>
      <c r="L801" s="18"/>
      <c r="M801" s="24"/>
      <c r="N801" s="22"/>
      <c r="O801" s="22"/>
      <c r="P801" s="22">
        <f>J801*K801</f>
        <v>362.4</v>
      </c>
      <c r="Q801" s="22">
        <f>IF(L801="","",N801-K801)</f>
        <v/>
      </c>
      <c r="R801" s="24">
        <f>IF(L801="","",M801-J801)</f>
        <v/>
      </c>
      <c r="S801" s="22">
        <f>IF(L801="",-P801,O801-P801)</f>
        <v>-362.4</v>
      </c>
      <c r="T801" s="25" t="str">
        <f>IF(L801="","NO BILL IN SUPPLIED EXPORT",IF(ABS(Q801)&gt;0.001,"RATE EXCEPTION",IF(ABS(R801)&gt;0.001,"LENGTH EXCEPTION",IF(ABS(S801)&gt;0.01,"AMOUNT EXCEPTION","OK"))))</f>
        <v>NO BILL IN SUPPLIED EXPORT</v>
      </c>
      <c r="U801" s="19" t="s">
        <v>4255</v>
      </c>
    </row>
    <row r="802" spans="1:21" ht="28" customHeight="1">
      <c r="A802" s="14" t="s">
        <v>4256</v>
      </c>
      <c r="B802" s="14" t="s">
        <v>195</v>
      </c>
      <c r="C802" s="14" t="s">
        <v>226</v>
      </c>
      <c r="D802" s="14" t="s">
        <v>227</v>
      </c>
      <c r="E802" s="14" t="s">
        <v>4257</v>
      </c>
      <c r="F802" s="15" t="s">
        <v>4258</v>
      </c>
      <c r="G802" s="15" t="s">
        <v>448</v>
      </c>
      <c r="H802" s="24">
        <v>24</v>
      </c>
      <c r="I802" s="24">
        <v>40.4</v>
      </c>
      <c r="J802" s="24">
        <f>MAX(H802,ROUNDUP(I802,0))</f>
        <v>41</v>
      </c>
      <c r="K802" s="22">
        <f>IF(C802="covered",10.4,7.55)</f>
        <v>7.55</v>
      </c>
      <c r="L802" s="14"/>
      <c r="M802" s="24"/>
      <c r="N802" s="22"/>
      <c r="O802" s="22"/>
      <c r="P802" s="22">
        <f>J802*K802</f>
        <v>309.55</v>
      </c>
      <c r="Q802" s="22">
        <f>IF(L802="","",N802-K802)</f>
        <v/>
      </c>
      <c r="R802" s="24">
        <f>IF(L802="","",M802-J802)</f>
        <v/>
      </c>
      <c r="S802" s="22">
        <f>IF(L802="",-P802,O802-P802)</f>
        <v>-309.55</v>
      </c>
      <c r="T802" s="25" t="str">
        <f>IF(L802="","NO BILL IN SUPPLIED EXPORT",IF(ABS(Q802)&gt;0.001,"RATE EXCEPTION",IF(ABS(R802)&gt;0.001,"LENGTH EXCEPTION",IF(ABS(S802)&gt;0.01,"AMOUNT EXCEPTION","OK"))))</f>
        <v>NO BILL IN SUPPLIED EXPORT</v>
      </c>
      <c r="U802" s="15" t="s">
        <v>4259</v>
      </c>
    </row>
    <row r="803" spans="1:21" ht="28" customHeight="1">
      <c r="A803" s="18" t="s">
        <v>4260</v>
      </c>
      <c r="B803" s="18" t="s">
        <v>195</v>
      </c>
      <c r="C803" s="18" t="s">
        <v>226</v>
      </c>
      <c r="D803" s="18" t="s">
        <v>227</v>
      </c>
      <c r="E803" s="18" t="s">
        <v>4261</v>
      </c>
      <c r="F803" s="19" t="s">
        <v>4262</v>
      </c>
      <c r="G803" s="19" t="s">
        <v>130</v>
      </c>
      <c r="H803" s="24">
        <v>24</v>
      </c>
      <c r="I803" s="24">
        <v>34.5</v>
      </c>
      <c r="J803" s="24">
        <f>MAX(H803,ROUNDUP(I803,0))</f>
        <v>35</v>
      </c>
      <c r="K803" s="22">
        <f>IF(C803="covered",10.4,7.55)</f>
        <v>7.55</v>
      </c>
      <c r="L803" s="18"/>
      <c r="M803" s="24"/>
      <c r="N803" s="22"/>
      <c r="O803" s="22"/>
      <c r="P803" s="22">
        <f>J803*K803</f>
        <v>264.25</v>
      </c>
      <c r="Q803" s="22">
        <f>IF(L803="","",N803-K803)</f>
        <v/>
      </c>
      <c r="R803" s="24">
        <f>IF(L803="","",M803-J803)</f>
        <v/>
      </c>
      <c r="S803" s="22">
        <f>IF(L803="",-P803,O803-P803)</f>
        <v>-264.25</v>
      </c>
      <c r="T803" s="25" t="str">
        <f>IF(L803="","NO BILL IN SUPPLIED EXPORT",IF(ABS(Q803)&gt;0.001,"RATE EXCEPTION",IF(ABS(R803)&gt;0.001,"LENGTH EXCEPTION",IF(ABS(S803)&gt;0.01,"AMOUNT EXCEPTION","OK"))))</f>
        <v>NO BILL IN SUPPLIED EXPORT</v>
      </c>
      <c r="U803" s="19" t="s">
        <v>4263</v>
      </c>
    </row>
    <row r="804" spans="1:21" ht="28" customHeight="1">
      <c r="A804" s="14" t="s">
        <v>4264</v>
      </c>
      <c r="B804" s="14" t="s">
        <v>195</v>
      </c>
      <c r="C804" s="14" t="s">
        <v>226</v>
      </c>
      <c r="D804" s="14" t="s">
        <v>227</v>
      </c>
      <c r="E804" s="14" t="s">
        <v>4265</v>
      </c>
      <c r="F804" s="15" t="s">
        <v>4266</v>
      </c>
      <c r="G804" s="15" t="s">
        <v>2782</v>
      </c>
      <c r="H804" s="24">
        <v>40</v>
      </c>
      <c r="I804" s="24">
        <v>52.7</v>
      </c>
      <c r="J804" s="24">
        <f>MAX(H804,ROUNDUP(I804,0))</f>
        <v>53</v>
      </c>
      <c r="K804" s="22">
        <f>IF(C804="covered",10.4,7.55)</f>
        <v>7.55</v>
      </c>
      <c r="L804" s="14"/>
      <c r="M804" s="24"/>
      <c r="N804" s="22"/>
      <c r="O804" s="22"/>
      <c r="P804" s="22">
        <f>J804*K804</f>
        <v>400.15</v>
      </c>
      <c r="Q804" s="22">
        <f>IF(L804="","",N804-K804)</f>
        <v/>
      </c>
      <c r="R804" s="24">
        <f>IF(L804="","",M804-J804)</f>
        <v/>
      </c>
      <c r="S804" s="22">
        <f>IF(L804="",-P804,O804-P804)</f>
        <v>-400.15</v>
      </c>
      <c r="T804" s="25" t="str">
        <f>IF(L804="","NO BILL IN SUPPLIED EXPORT",IF(ABS(Q804)&gt;0.001,"RATE EXCEPTION",IF(ABS(R804)&gt;0.001,"LENGTH EXCEPTION",IF(ABS(S804)&gt;0.01,"AMOUNT EXCEPTION","OK"))))</f>
        <v>NO BILL IN SUPPLIED EXPORT</v>
      </c>
      <c r="U804" s="15" t="s">
        <v>4267</v>
      </c>
    </row>
    <row r="805" spans="1:21" ht="28" customHeight="1">
      <c r="A805" s="18" t="s">
        <v>4268</v>
      </c>
      <c r="B805" s="18" t="s">
        <v>195</v>
      </c>
      <c r="C805" s="18" t="s">
        <v>226</v>
      </c>
      <c r="D805" s="18" t="s">
        <v>227</v>
      </c>
      <c r="E805" s="18" t="s">
        <v>4269</v>
      </c>
      <c r="F805" s="19" t="s">
        <v>4270</v>
      </c>
      <c r="G805" s="19" t="s">
        <v>3811</v>
      </c>
      <c r="H805" s="24">
        <v>32</v>
      </c>
      <c r="I805" s="24">
        <v>33.2</v>
      </c>
      <c r="J805" s="24">
        <f>MAX(H805,ROUNDUP(I805,0))</f>
        <v>34</v>
      </c>
      <c r="K805" s="22">
        <f>IF(C805="covered",10.4,7.55)</f>
        <v>7.55</v>
      </c>
      <c r="L805" s="18"/>
      <c r="M805" s="24"/>
      <c r="N805" s="22"/>
      <c r="O805" s="22"/>
      <c r="P805" s="22">
        <f>J805*K805</f>
        <v>256.7</v>
      </c>
      <c r="Q805" s="22">
        <f>IF(L805="","",N805-K805)</f>
        <v/>
      </c>
      <c r="R805" s="24">
        <f>IF(L805="","",M805-J805)</f>
        <v/>
      </c>
      <c r="S805" s="22">
        <f>IF(L805="",-P805,O805-P805)</f>
        <v>-256.7</v>
      </c>
      <c r="T805" s="25" t="str">
        <f>IF(L805="","NO BILL IN SUPPLIED EXPORT",IF(ABS(Q805)&gt;0.001,"RATE EXCEPTION",IF(ABS(R805)&gt;0.001,"LENGTH EXCEPTION",IF(ABS(S805)&gt;0.01,"AMOUNT EXCEPTION","OK"))))</f>
        <v>NO BILL IN SUPPLIED EXPORT</v>
      </c>
      <c r="U805" s="19" t="s">
        <v>4271</v>
      </c>
    </row>
    <row r="806" spans="1:21" ht="28" customHeight="1">
      <c r="A806" s="14" t="s">
        <v>4272</v>
      </c>
      <c r="B806" s="14" t="s">
        <v>195</v>
      </c>
      <c r="C806" s="14" t="s">
        <v>226</v>
      </c>
      <c r="D806" s="14" t="s">
        <v>227</v>
      </c>
      <c r="E806" s="14" t="s">
        <v>4273</v>
      </c>
      <c r="F806" s="15" t="s">
        <v>4274</v>
      </c>
      <c r="G806" s="15" t="s">
        <v>4275</v>
      </c>
      <c r="H806" s="24">
        <v>80</v>
      </c>
      <c r="I806" s="24">
        <v>21</v>
      </c>
      <c r="J806" s="24">
        <f>MAX(H806,ROUNDUP(I806,0))</f>
        <v>80.0</v>
      </c>
      <c r="K806" s="22">
        <f>IF(C806="covered",10.4,7.55)</f>
        <v>7.55</v>
      </c>
      <c r="L806" s="14"/>
      <c r="M806" s="24"/>
      <c r="N806" s="22"/>
      <c r="O806" s="22"/>
      <c r="P806" s="22">
        <f>J806*K806</f>
        <v>604.0</v>
      </c>
      <c r="Q806" s="22">
        <f>IF(L806="","",N806-K806)</f>
        <v/>
      </c>
      <c r="R806" s="24">
        <f>IF(L806="","",M806-J806)</f>
        <v/>
      </c>
      <c r="S806" s="22">
        <f>IF(L806="",-P806,O806-P806)</f>
        <v>-604.0</v>
      </c>
      <c r="T806" s="25" t="str">
        <f>IF(L806="","NO BILL IN SUPPLIED EXPORT",IF(ABS(Q806)&gt;0.001,"RATE EXCEPTION",IF(ABS(R806)&gt;0.001,"LENGTH EXCEPTION",IF(ABS(S806)&gt;0.01,"AMOUNT EXCEPTION","OK"))))</f>
        <v>NO BILL IN SUPPLIED EXPORT</v>
      </c>
      <c r="U806" s="15" t="s">
        <v>4276</v>
      </c>
    </row>
    <row r="807" spans="1:21" ht="28" customHeight="1">
      <c r="A807" s="18" t="s">
        <v>4277</v>
      </c>
      <c r="B807" s="18" t="s">
        <v>195</v>
      </c>
      <c r="C807" s="18" t="s">
        <v>226</v>
      </c>
      <c r="D807" s="18" t="s">
        <v>227</v>
      </c>
      <c r="E807" s="18" t="s">
        <v>4278</v>
      </c>
      <c r="F807" s="19" t="s">
        <v>4279</v>
      </c>
      <c r="G807" s="19" t="s">
        <v>2173</v>
      </c>
      <c r="H807" s="24">
        <v>24</v>
      </c>
      <c r="I807" s="24">
        <v>41.9</v>
      </c>
      <c r="J807" s="24">
        <f>MAX(H807,ROUNDUP(I807,0))</f>
        <v>42</v>
      </c>
      <c r="K807" s="22">
        <f>IF(C807="covered",10.4,7.55)</f>
        <v>7.55</v>
      </c>
      <c r="L807" s="18"/>
      <c r="M807" s="24"/>
      <c r="N807" s="22"/>
      <c r="O807" s="22"/>
      <c r="P807" s="22">
        <f>J807*K807</f>
        <v>317.09999999999997</v>
      </c>
      <c r="Q807" s="22">
        <f>IF(L807="","",N807-K807)</f>
        <v/>
      </c>
      <c r="R807" s="24">
        <f>IF(L807="","",M807-J807)</f>
        <v/>
      </c>
      <c r="S807" s="22">
        <f>IF(L807="",-P807,O807-P807)</f>
        <v>-317.09999999999997</v>
      </c>
      <c r="T807" s="25" t="str">
        <f>IF(L807="","NO BILL IN SUPPLIED EXPORT",IF(ABS(Q807)&gt;0.001,"RATE EXCEPTION",IF(ABS(R807)&gt;0.001,"LENGTH EXCEPTION",IF(ABS(S807)&gt;0.01,"AMOUNT EXCEPTION","OK"))))</f>
        <v>NO BILL IN SUPPLIED EXPORT</v>
      </c>
      <c r="U807" s="19" t="s">
        <v>4280</v>
      </c>
    </row>
    <row r="808" spans="1:21" ht="28" customHeight="1">
      <c r="A808" s="14" t="s">
        <v>4281</v>
      </c>
      <c r="B808" s="14" t="s">
        <v>195</v>
      </c>
      <c r="C808" s="14" t="s">
        <v>226</v>
      </c>
      <c r="D808" s="14" t="s">
        <v>227</v>
      </c>
      <c r="E808" s="14" t="s">
        <v>4282</v>
      </c>
      <c r="F808" s="15" t="s">
        <v>4283</v>
      </c>
      <c r="G808" s="15" t="s">
        <v>2333</v>
      </c>
      <c r="H808" s="24">
        <v>80</v>
      </c>
      <c r="I808" s="24">
        <v>47.1</v>
      </c>
      <c r="J808" s="24">
        <f>MAX(H808,ROUNDUP(I808,0))</f>
        <v>80.0</v>
      </c>
      <c r="K808" s="22">
        <f>IF(C808="covered",10.4,7.55)</f>
        <v>7.55</v>
      </c>
      <c r="L808" s="14"/>
      <c r="M808" s="24"/>
      <c r="N808" s="22"/>
      <c r="O808" s="22"/>
      <c r="P808" s="22">
        <f>J808*K808</f>
        <v>604.0</v>
      </c>
      <c r="Q808" s="22">
        <f>IF(L808="","",N808-K808)</f>
        <v/>
      </c>
      <c r="R808" s="24">
        <f>IF(L808="","",M808-J808)</f>
        <v/>
      </c>
      <c r="S808" s="22">
        <f>IF(L808="",-P808,O808-P808)</f>
        <v>-604.0</v>
      </c>
      <c r="T808" s="25" t="str">
        <f>IF(L808="","NO BILL IN SUPPLIED EXPORT",IF(ABS(Q808)&gt;0.001,"RATE EXCEPTION",IF(ABS(R808)&gt;0.001,"LENGTH EXCEPTION",IF(ABS(S808)&gt;0.01,"AMOUNT EXCEPTION","OK"))))</f>
        <v>NO BILL IN SUPPLIED EXPORT</v>
      </c>
      <c r="U808" s="15" t="s">
        <v>4284</v>
      </c>
    </row>
    <row r="809" spans="1:21" ht="28" customHeight="1">
      <c r="A809" s="18" t="s">
        <v>4285</v>
      </c>
      <c r="B809" s="18" t="s">
        <v>195</v>
      </c>
      <c r="C809" s="18" t="s">
        <v>226</v>
      </c>
      <c r="D809" s="18" t="s">
        <v>227</v>
      </c>
      <c r="E809" s="18" t="s">
        <v>4286</v>
      </c>
      <c r="F809" s="19" t="s">
        <v>4287</v>
      </c>
      <c r="G809" s="19" t="s">
        <v>1222</v>
      </c>
      <c r="H809" s="24">
        <v>40</v>
      </c>
      <c r="I809" s="24">
        <v>30.9</v>
      </c>
      <c r="J809" s="24">
        <f>MAX(H809,ROUNDUP(I809,0))</f>
        <v>40.0</v>
      </c>
      <c r="K809" s="22">
        <f>IF(C809="covered",10.4,7.55)</f>
        <v>7.55</v>
      </c>
      <c r="L809" s="18"/>
      <c r="M809" s="24"/>
      <c r="N809" s="22"/>
      <c r="O809" s="22"/>
      <c r="P809" s="22">
        <f>J809*K809</f>
        <v>302.0</v>
      </c>
      <c r="Q809" s="22">
        <f>IF(L809="","",N809-K809)</f>
        <v/>
      </c>
      <c r="R809" s="24">
        <f>IF(L809="","",M809-J809)</f>
        <v/>
      </c>
      <c r="S809" s="22">
        <f>IF(L809="",-P809,O809-P809)</f>
        <v>-302.0</v>
      </c>
      <c r="T809" s="25" t="str">
        <f>IF(L809="","NO BILL IN SUPPLIED EXPORT",IF(ABS(Q809)&gt;0.001,"RATE EXCEPTION",IF(ABS(R809)&gt;0.001,"LENGTH EXCEPTION",IF(ABS(S809)&gt;0.01,"AMOUNT EXCEPTION","OK"))))</f>
        <v>NO BILL IN SUPPLIED EXPORT</v>
      </c>
      <c r="U809" s="19" t="s">
        <v>4288</v>
      </c>
    </row>
    <row r="810" spans="1:21" ht="28" customHeight="1">
      <c r="A810" s="14" t="s">
        <v>4289</v>
      </c>
      <c r="B810" s="14" t="s">
        <v>195</v>
      </c>
      <c r="C810" s="14" t="s">
        <v>226</v>
      </c>
      <c r="D810" s="14" t="s">
        <v>227</v>
      </c>
      <c r="E810" s="14" t="s">
        <v>4290</v>
      </c>
      <c r="F810" s="15" t="s">
        <v>4291</v>
      </c>
      <c r="G810" s="15" t="s">
        <v>1609</v>
      </c>
      <c r="H810" s="24">
        <v>36</v>
      </c>
      <c r="I810" s="24">
        <v>37</v>
      </c>
      <c r="J810" s="24">
        <f>MAX(H810,ROUNDUP(I810,0))</f>
        <v>37</v>
      </c>
      <c r="K810" s="22">
        <f>IF(C810="covered",10.4,7.55)</f>
        <v>7.55</v>
      </c>
      <c r="L810" s="14"/>
      <c r="M810" s="24"/>
      <c r="N810" s="22"/>
      <c r="O810" s="22"/>
      <c r="P810" s="22">
        <f>J810*K810</f>
        <v>279.34999999999997</v>
      </c>
      <c r="Q810" s="22">
        <f>IF(L810="","",N810-K810)</f>
        <v/>
      </c>
      <c r="R810" s="24">
        <f>IF(L810="","",M810-J810)</f>
        <v/>
      </c>
      <c r="S810" s="22">
        <f>IF(L810="",-P810,O810-P810)</f>
        <v>-279.34999999999997</v>
      </c>
      <c r="T810" s="25" t="str">
        <f>IF(L810="","NO BILL IN SUPPLIED EXPORT",IF(ABS(Q810)&gt;0.001,"RATE EXCEPTION",IF(ABS(R810)&gt;0.001,"LENGTH EXCEPTION",IF(ABS(S810)&gt;0.01,"AMOUNT EXCEPTION","OK"))))</f>
        <v>NO BILL IN SUPPLIED EXPORT</v>
      </c>
      <c r="U810" s="15" t="s">
        <v>4292</v>
      </c>
    </row>
    <row r="811" spans="1:21" ht="28" customHeight="1">
      <c r="A811" s="18" t="s">
        <v>4293</v>
      </c>
      <c r="B811" s="18" t="s">
        <v>195</v>
      </c>
      <c r="C811" s="18" t="s">
        <v>226</v>
      </c>
      <c r="D811" s="18" t="s">
        <v>227</v>
      </c>
      <c r="E811" s="18" t="s">
        <v>4294</v>
      </c>
      <c r="F811" s="19" t="s">
        <v>4295</v>
      </c>
      <c r="G811" s="19" t="s">
        <v>4296</v>
      </c>
      <c r="H811" s="24">
        <v>60</v>
      </c>
      <c r="I811" s="24">
        <v>31.7</v>
      </c>
      <c r="J811" s="24">
        <f>MAX(H811,ROUNDUP(I811,0))</f>
        <v>60.0</v>
      </c>
      <c r="K811" s="22">
        <f>IF(C811="covered",10.4,7.55)</f>
        <v>7.55</v>
      </c>
      <c r="L811" s="18"/>
      <c r="M811" s="24"/>
      <c r="N811" s="22"/>
      <c r="O811" s="22"/>
      <c r="P811" s="22">
        <f>J811*K811</f>
        <v>453.0</v>
      </c>
      <c r="Q811" s="22">
        <f>IF(L811="","",N811-K811)</f>
        <v/>
      </c>
      <c r="R811" s="24">
        <f>IF(L811="","",M811-J811)</f>
        <v/>
      </c>
      <c r="S811" s="22">
        <f>IF(L811="",-P811,O811-P811)</f>
        <v>-453.0</v>
      </c>
      <c r="T811" s="25" t="str">
        <f>IF(L811="","NO BILL IN SUPPLIED EXPORT",IF(ABS(Q811)&gt;0.001,"RATE EXCEPTION",IF(ABS(R811)&gt;0.001,"LENGTH EXCEPTION",IF(ABS(S811)&gt;0.01,"AMOUNT EXCEPTION","OK"))))</f>
        <v>NO BILL IN SUPPLIED EXPORT</v>
      </c>
      <c r="U811" s="19" t="s">
        <v>4297</v>
      </c>
    </row>
    <row r="812" spans="1:21" ht="28" customHeight="1">
      <c r="A812" s="14" t="s">
        <v>4298</v>
      </c>
      <c r="B812" s="14" t="s">
        <v>195</v>
      </c>
      <c r="C812" s="14" t="s">
        <v>226</v>
      </c>
      <c r="D812" s="14" t="s">
        <v>227</v>
      </c>
      <c r="E812" s="14" t="s">
        <v>4299</v>
      </c>
      <c r="F812" s="15" t="s">
        <v>4300</v>
      </c>
      <c r="G812" s="15" t="s">
        <v>907</v>
      </c>
      <c r="H812" s="24">
        <v>36</v>
      </c>
      <c r="I812" s="24">
        <v>24.7</v>
      </c>
      <c r="J812" s="24">
        <f>MAX(H812,ROUNDUP(I812,0))</f>
        <v>36.0</v>
      </c>
      <c r="K812" s="22">
        <f>IF(C812="covered",10.4,7.55)</f>
        <v>7.55</v>
      </c>
      <c r="L812" s="14"/>
      <c r="M812" s="24"/>
      <c r="N812" s="22"/>
      <c r="O812" s="22"/>
      <c r="P812" s="22">
        <f>J812*K812</f>
        <v>271.8</v>
      </c>
      <c r="Q812" s="22">
        <f>IF(L812="","",N812-K812)</f>
        <v/>
      </c>
      <c r="R812" s="24">
        <f>IF(L812="","",M812-J812)</f>
        <v/>
      </c>
      <c r="S812" s="22">
        <f>IF(L812="",-P812,O812-P812)</f>
        <v>-271.8</v>
      </c>
      <c r="T812" s="25" t="str">
        <f>IF(L812="","NO BILL IN SUPPLIED EXPORT",IF(ABS(Q812)&gt;0.001,"RATE EXCEPTION",IF(ABS(R812)&gt;0.001,"LENGTH EXCEPTION",IF(ABS(S812)&gt;0.01,"AMOUNT EXCEPTION","OK"))))</f>
        <v>NO BILL IN SUPPLIED EXPORT</v>
      </c>
      <c r="U812" s="15" t="s">
        <v>4301</v>
      </c>
    </row>
    <row r="813" spans="1:21" ht="28" customHeight="1">
      <c r="A813" s="18" t="s">
        <v>4302</v>
      </c>
      <c r="B813" s="18" t="s">
        <v>195</v>
      </c>
      <c r="C813" s="18" t="s">
        <v>226</v>
      </c>
      <c r="D813" s="18" t="s">
        <v>227</v>
      </c>
      <c r="E813" s="18" t="s">
        <v>4303</v>
      </c>
      <c r="F813" s="19" t="s">
        <v>4304</v>
      </c>
      <c r="G813" s="19" t="s">
        <v>4305</v>
      </c>
      <c r="H813" s="24">
        <v>24</v>
      </c>
      <c r="I813" s="24">
        <v>45</v>
      </c>
      <c r="J813" s="24">
        <f>MAX(H813,ROUNDUP(I813,0))</f>
        <v>45</v>
      </c>
      <c r="K813" s="22">
        <f>IF(C813="covered",10.4,7.55)</f>
        <v>7.55</v>
      </c>
      <c r="L813" s="18"/>
      <c r="M813" s="24"/>
      <c r="N813" s="22"/>
      <c r="O813" s="22"/>
      <c r="P813" s="22">
        <f>J813*K813</f>
        <v>339.75</v>
      </c>
      <c r="Q813" s="22">
        <f>IF(L813="","",N813-K813)</f>
        <v/>
      </c>
      <c r="R813" s="24">
        <f>IF(L813="","",M813-J813)</f>
        <v/>
      </c>
      <c r="S813" s="22">
        <f>IF(L813="",-P813,O813-P813)</f>
        <v>-339.75</v>
      </c>
      <c r="T813" s="25" t="str">
        <f>IF(L813="","NO BILL IN SUPPLIED EXPORT",IF(ABS(Q813)&gt;0.001,"RATE EXCEPTION",IF(ABS(R813)&gt;0.001,"LENGTH EXCEPTION",IF(ABS(S813)&gt;0.01,"AMOUNT EXCEPTION","OK"))))</f>
        <v>NO BILL IN SUPPLIED EXPORT</v>
      </c>
      <c r="U813" s="19" t="s">
        <v>4306</v>
      </c>
    </row>
    <row r="814" spans="1:21" ht="28" customHeight="1">
      <c r="A814" s="14" t="s">
        <v>4307</v>
      </c>
      <c r="B814" s="14" t="s">
        <v>195</v>
      </c>
      <c r="C814" s="14" t="s">
        <v>226</v>
      </c>
      <c r="D814" s="14" t="s">
        <v>227</v>
      </c>
      <c r="E814" s="14" t="s">
        <v>4308</v>
      </c>
      <c r="F814" s="15" t="s">
        <v>4309</v>
      </c>
      <c r="G814" s="15" t="s">
        <v>692</v>
      </c>
      <c r="H814" s="24">
        <v>28</v>
      </c>
      <c r="I814" s="24">
        <v>53.6</v>
      </c>
      <c r="J814" s="24">
        <f>MAX(H814,ROUNDUP(I814,0))</f>
        <v>54</v>
      </c>
      <c r="K814" s="22">
        <f>IF(C814="covered",10.4,7.55)</f>
        <v>7.55</v>
      </c>
      <c r="L814" s="14"/>
      <c r="M814" s="24"/>
      <c r="N814" s="22"/>
      <c r="O814" s="22"/>
      <c r="P814" s="22">
        <f>J814*K814</f>
        <v>407.7</v>
      </c>
      <c r="Q814" s="22">
        <f>IF(L814="","",N814-K814)</f>
        <v/>
      </c>
      <c r="R814" s="24">
        <f>IF(L814="","",M814-J814)</f>
        <v/>
      </c>
      <c r="S814" s="22">
        <f>IF(L814="",-P814,O814-P814)</f>
        <v>-407.7</v>
      </c>
      <c r="T814" s="25" t="str">
        <f>IF(L814="","NO BILL IN SUPPLIED EXPORT",IF(ABS(Q814)&gt;0.001,"RATE EXCEPTION",IF(ABS(R814)&gt;0.001,"LENGTH EXCEPTION",IF(ABS(S814)&gt;0.01,"AMOUNT EXCEPTION","OK"))))</f>
        <v>NO BILL IN SUPPLIED EXPORT</v>
      </c>
      <c r="U814" s="15" t="s">
        <v>4310</v>
      </c>
    </row>
    <row r="815" spans="1:21" ht="28" customHeight="1">
      <c r="A815" s="18" t="s">
        <v>4311</v>
      </c>
      <c r="B815" s="18" t="s">
        <v>195</v>
      </c>
      <c r="C815" s="18" t="s">
        <v>226</v>
      </c>
      <c r="D815" s="18" t="s">
        <v>227</v>
      </c>
      <c r="E815" s="18" t="s">
        <v>4312</v>
      </c>
      <c r="F815" s="19" t="s">
        <v>4313</v>
      </c>
      <c r="G815" s="19" t="s">
        <v>4314</v>
      </c>
      <c r="H815" s="24">
        <v>80</v>
      </c>
      <c r="I815" s="24">
        <v>49.5</v>
      </c>
      <c r="J815" s="24">
        <f>MAX(H815,ROUNDUP(I815,0))</f>
        <v>80.0</v>
      </c>
      <c r="K815" s="22">
        <f>IF(C815="covered",10.4,7.55)</f>
        <v>7.55</v>
      </c>
      <c r="L815" s="18"/>
      <c r="M815" s="24"/>
      <c r="N815" s="22"/>
      <c r="O815" s="22"/>
      <c r="P815" s="22">
        <f>J815*K815</f>
        <v>604.0</v>
      </c>
      <c r="Q815" s="22">
        <f>IF(L815="","",N815-K815)</f>
        <v/>
      </c>
      <c r="R815" s="24">
        <f>IF(L815="","",M815-J815)</f>
        <v/>
      </c>
      <c r="S815" s="22">
        <f>IF(L815="",-P815,O815-P815)</f>
        <v>-604.0</v>
      </c>
      <c r="T815" s="25" t="str">
        <f>IF(L815="","NO BILL IN SUPPLIED EXPORT",IF(ABS(Q815)&gt;0.001,"RATE EXCEPTION",IF(ABS(R815)&gt;0.001,"LENGTH EXCEPTION",IF(ABS(S815)&gt;0.01,"AMOUNT EXCEPTION","OK"))))</f>
        <v>NO BILL IN SUPPLIED EXPORT</v>
      </c>
      <c r="U815" s="19" t="s">
        <v>4315</v>
      </c>
    </row>
    <row r="816" spans="1:21" ht="28" customHeight="1">
      <c r="A816" s="14" t="s">
        <v>4316</v>
      </c>
      <c r="B816" s="14" t="s">
        <v>195</v>
      </c>
      <c r="C816" s="14" t="s">
        <v>226</v>
      </c>
      <c r="D816" s="14" t="s">
        <v>227</v>
      </c>
      <c r="E816" s="14" t="s">
        <v>4317</v>
      </c>
      <c r="F816" s="15" t="s">
        <v>4318</v>
      </c>
      <c r="G816" s="15" t="s">
        <v>4319</v>
      </c>
      <c r="H816" s="24">
        <v>45</v>
      </c>
      <c r="I816" s="24">
        <v>27.7</v>
      </c>
      <c r="J816" s="24">
        <f>MAX(H816,ROUNDUP(I816,0))</f>
        <v>45.0</v>
      </c>
      <c r="K816" s="22">
        <f>IF(C816="covered",10.4,7.55)</f>
        <v>7.55</v>
      </c>
      <c r="L816" s="14"/>
      <c r="M816" s="24"/>
      <c r="N816" s="22"/>
      <c r="O816" s="22"/>
      <c r="P816" s="22">
        <f>J816*K816</f>
        <v>339.75</v>
      </c>
      <c r="Q816" s="22">
        <f>IF(L816="","",N816-K816)</f>
        <v/>
      </c>
      <c r="R816" s="24">
        <f>IF(L816="","",M816-J816)</f>
        <v/>
      </c>
      <c r="S816" s="22">
        <f>IF(L816="",-P816,O816-P816)</f>
        <v>-339.75</v>
      </c>
      <c r="T816" s="25" t="str">
        <f>IF(L816="","NO BILL IN SUPPLIED EXPORT",IF(ABS(Q816)&gt;0.001,"RATE EXCEPTION",IF(ABS(R816)&gt;0.001,"LENGTH EXCEPTION",IF(ABS(S816)&gt;0.01,"AMOUNT EXCEPTION","OK"))))</f>
        <v>NO BILL IN SUPPLIED EXPORT</v>
      </c>
      <c r="U816" s="15" t="s">
        <v>4320</v>
      </c>
    </row>
    <row r="817" spans="1:21" ht="28" customHeight="1">
      <c r="A817" s="18" t="s">
        <v>4321</v>
      </c>
      <c r="B817" s="18" t="s">
        <v>195</v>
      </c>
      <c r="C817" s="18" t="s">
        <v>226</v>
      </c>
      <c r="D817" s="18" t="s">
        <v>227</v>
      </c>
      <c r="E817" s="18" t="s">
        <v>4322</v>
      </c>
      <c r="F817" s="19" t="s">
        <v>4323</v>
      </c>
      <c r="G817" s="19" t="s">
        <v>4324</v>
      </c>
      <c r="H817" s="24">
        <v>24</v>
      </c>
      <c r="I817" s="24">
        <v>41.8</v>
      </c>
      <c r="J817" s="24">
        <f>MAX(H817,ROUNDUP(I817,0))</f>
        <v>42</v>
      </c>
      <c r="K817" s="22">
        <f>IF(C817="covered",10.4,7.55)</f>
        <v>7.55</v>
      </c>
      <c r="L817" s="18"/>
      <c r="M817" s="24"/>
      <c r="N817" s="22"/>
      <c r="O817" s="22"/>
      <c r="P817" s="22">
        <f>J817*K817</f>
        <v>317.09999999999997</v>
      </c>
      <c r="Q817" s="22">
        <f>IF(L817="","",N817-K817)</f>
        <v/>
      </c>
      <c r="R817" s="24">
        <f>IF(L817="","",M817-J817)</f>
        <v/>
      </c>
      <c r="S817" s="22">
        <f>IF(L817="",-P817,O817-P817)</f>
        <v>-317.09999999999997</v>
      </c>
      <c r="T817" s="25" t="str">
        <f>IF(L817="","NO BILL IN SUPPLIED EXPORT",IF(ABS(Q817)&gt;0.001,"RATE EXCEPTION",IF(ABS(R817)&gt;0.001,"LENGTH EXCEPTION",IF(ABS(S817)&gt;0.01,"AMOUNT EXCEPTION","OK"))))</f>
        <v>NO BILL IN SUPPLIED EXPORT</v>
      </c>
      <c r="U817" s="19" t="s">
        <v>4325</v>
      </c>
    </row>
    <row r="818" spans="1:21" ht="28" customHeight="1">
      <c r="A818" s="14" t="s">
        <v>4326</v>
      </c>
      <c r="B818" s="14" t="s">
        <v>195</v>
      </c>
      <c r="C818" s="14" t="s">
        <v>226</v>
      </c>
      <c r="D818" s="14" t="s">
        <v>227</v>
      </c>
      <c r="E818" s="14" t="s">
        <v>4327</v>
      </c>
      <c r="F818" s="15" t="s">
        <v>4328</v>
      </c>
      <c r="G818" s="15" t="s">
        <v>1323</v>
      </c>
      <c r="H818" s="24">
        <v>36</v>
      </c>
      <c r="I818" s="24">
        <v>26.3</v>
      </c>
      <c r="J818" s="24">
        <f>MAX(H818,ROUNDUP(I818,0))</f>
        <v>36.0</v>
      </c>
      <c r="K818" s="22">
        <f>IF(C818="covered",10.4,7.55)</f>
        <v>7.55</v>
      </c>
      <c r="L818" s="14"/>
      <c r="M818" s="24"/>
      <c r="N818" s="22"/>
      <c r="O818" s="22"/>
      <c r="P818" s="22">
        <f>J818*K818</f>
        <v>271.8</v>
      </c>
      <c r="Q818" s="22">
        <f>IF(L818="","",N818-K818)</f>
        <v/>
      </c>
      <c r="R818" s="24">
        <f>IF(L818="","",M818-J818)</f>
        <v/>
      </c>
      <c r="S818" s="22">
        <f>IF(L818="",-P818,O818-P818)</f>
        <v>-271.8</v>
      </c>
      <c r="T818" s="25" t="str">
        <f>IF(L818="","NO BILL IN SUPPLIED EXPORT",IF(ABS(Q818)&gt;0.001,"RATE EXCEPTION",IF(ABS(R818)&gt;0.001,"LENGTH EXCEPTION",IF(ABS(S818)&gt;0.01,"AMOUNT EXCEPTION","OK"))))</f>
        <v>NO BILL IN SUPPLIED EXPORT</v>
      </c>
      <c r="U818" s="15" t="s">
        <v>4329</v>
      </c>
    </row>
    <row r="819" spans="1:21" ht="28" customHeight="1">
      <c r="A819" s="18" t="s">
        <v>4330</v>
      </c>
      <c r="B819" s="18" t="s">
        <v>195</v>
      </c>
      <c r="C819" s="18" t="s">
        <v>226</v>
      </c>
      <c r="D819" s="18" t="s">
        <v>227</v>
      </c>
      <c r="E819" s="18" t="s">
        <v>4331</v>
      </c>
      <c r="F819" s="19" t="s">
        <v>4332</v>
      </c>
      <c r="G819" s="19" t="s">
        <v>2215</v>
      </c>
      <c r="H819" s="24">
        <v>24</v>
      </c>
      <c r="I819" s="24">
        <v>26.3</v>
      </c>
      <c r="J819" s="24">
        <f>MAX(H819,ROUNDUP(I819,0))</f>
        <v>27</v>
      </c>
      <c r="K819" s="22">
        <f>IF(C819="covered",10.4,7.55)</f>
        <v>7.55</v>
      </c>
      <c r="L819" s="18"/>
      <c r="M819" s="24"/>
      <c r="N819" s="22"/>
      <c r="O819" s="22"/>
      <c r="P819" s="22">
        <f>J819*K819</f>
        <v>203.85</v>
      </c>
      <c r="Q819" s="22">
        <f>IF(L819="","",N819-K819)</f>
        <v/>
      </c>
      <c r="R819" s="24">
        <f>IF(L819="","",M819-J819)</f>
        <v/>
      </c>
      <c r="S819" s="22">
        <f>IF(L819="",-P819,O819-P819)</f>
        <v>-203.85</v>
      </c>
      <c r="T819" s="25" t="str">
        <f>IF(L819="","NO BILL IN SUPPLIED EXPORT",IF(ABS(Q819)&gt;0.001,"RATE EXCEPTION",IF(ABS(R819)&gt;0.001,"LENGTH EXCEPTION",IF(ABS(S819)&gt;0.01,"AMOUNT EXCEPTION","OK"))))</f>
        <v>NO BILL IN SUPPLIED EXPORT</v>
      </c>
      <c r="U819" s="19" t="s">
        <v>4333</v>
      </c>
    </row>
    <row r="820" spans="1:21" ht="28" customHeight="1">
      <c r="A820" s="14" t="s">
        <v>4334</v>
      </c>
      <c r="B820" s="14" t="s">
        <v>195</v>
      </c>
      <c r="C820" s="14" t="s">
        <v>226</v>
      </c>
      <c r="D820" s="14" t="s">
        <v>227</v>
      </c>
      <c r="E820" s="14" t="s">
        <v>4335</v>
      </c>
      <c r="F820" s="15" t="s">
        <v>4336</v>
      </c>
      <c r="G820" s="15" t="s">
        <v>4238</v>
      </c>
      <c r="H820" s="24">
        <v>60</v>
      </c>
      <c r="I820" s="24">
        <v>61.4</v>
      </c>
      <c r="J820" s="24">
        <f>MAX(H820,ROUNDUP(I820,0))</f>
        <v>62</v>
      </c>
      <c r="K820" s="22">
        <f>IF(C820="covered",10.4,7.55)</f>
        <v>7.55</v>
      </c>
      <c r="L820" s="14"/>
      <c r="M820" s="24"/>
      <c r="N820" s="22"/>
      <c r="O820" s="22"/>
      <c r="P820" s="22">
        <f>J820*K820</f>
        <v>468.09999999999997</v>
      </c>
      <c r="Q820" s="22">
        <f>IF(L820="","",N820-K820)</f>
        <v/>
      </c>
      <c r="R820" s="24">
        <f>IF(L820="","",M820-J820)</f>
        <v/>
      </c>
      <c r="S820" s="22">
        <f>IF(L820="",-P820,O820-P820)</f>
        <v>-468.09999999999997</v>
      </c>
      <c r="T820" s="25" t="str">
        <f>IF(L820="","NO BILL IN SUPPLIED EXPORT",IF(ABS(Q820)&gt;0.001,"RATE EXCEPTION",IF(ABS(R820)&gt;0.001,"LENGTH EXCEPTION",IF(ABS(S820)&gt;0.01,"AMOUNT EXCEPTION","OK"))))</f>
        <v>NO BILL IN SUPPLIED EXPORT</v>
      </c>
      <c r="U820" s="15" t="s">
        <v>4337</v>
      </c>
    </row>
    <row r="821" spans="1:21" ht="28" customHeight="1">
      <c r="A821" s="18" t="s">
        <v>4338</v>
      </c>
      <c r="B821" s="18" t="s">
        <v>195</v>
      </c>
      <c r="C821" s="18" t="s">
        <v>226</v>
      </c>
      <c r="D821" s="18" t="s">
        <v>227</v>
      </c>
      <c r="E821" s="18" t="s">
        <v>4339</v>
      </c>
      <c r="F821" s="19" t="s">
        <v>4340</v>
      </c>
      <c r="G821" s="19" t="s">
        <v>1460</v>
      </c>
      <c r="H821" s="24">
        <v>32</v>
      </c>
      <c r="I821" s="24">
        <v>25.8</v>
      </c>
      <c r="J821" s="24">
        <f>MAX(H821,ROUNDUP(I821,0))</f>
        <v>32.0</v>
      </c>
      <c r="K821" s="22">
        <f>IF(C821="covered",10.4,7.55)</f>
        <v>7.55</v>
      </c>
      <c r="L821" s="18"/>
      <c r="M821" s="24"/>
      <c r="N821" s="22"/>
      <c r="O821" s="22"/>
      <c r="P821" s="22">
        <f>J821*K821</f>
        <v>241.6</v>
      </c>
      <c r="Q821" s="22">
        <f>IF(L821="","",N821-K821)</f>
        <v/>
      </c>
      <c r="R821" s="24">
        <f>IF(L821="","",M821-J821)</f>
        <v/>
      </c>
      <c r="S821" s="22">
        <f>IF(L821="",-P821,O821-P821)</f>
        <v>-241.6</v>
      </c>
      <c r="T821" s="25" t="str">
        <f>IF(L821="","NO BILL IN SUPPLIED EXPORT",IF(ABS(Q821)&gt;0.001,"RATE EXCEPTION",IF(ABS(R821)&gt;0.001,"LENGTH EXCEPTION",IF(ABS(S821)&gt;0.01,"AMOUNT EXCEPTION","OK"))))</f>
        <v>NO BILL IN SUPPLIED EXPORT</v>
      </c>
      <c r="U821" s="19" t="s">
        <v>4341</v>
      </c>
    </row>
    <row r="822" spans="1:21" ht="28" customHeight="1">
      <c r="A822" s="14" t="s">
        <v>4342</v>
      </c>
      <c r="B822" s="14" t="s">
        <v>195</v>
      </c>
      <c r="C822" s="14" t="s">
        <v>226</v>
      </c>
      <c r="D822" s="14" t="s">
        <v>227</v>
      </c>
      <c r="E822" s="14" t="s">
        <v>4343</v>
      </c>
      <c r="F822" s="15" t="s">
        <v>4344</v>
      </c>
      <c r="G822" s="15" t="s">
        <v>2974</v>
      </c>
      <c r="H822" s="24">
        <v>32</v>
      </c>
      <c r="I822" s="24">
        <v>34.1</v>
      </c>
      <c r="J822" s="24">
        <f>MAX(H822,ROUNDUP(I822,0))</f>
        <v>35</v>
      </c>
      <c r="K822" s="22">
        <f>IF(C822="covered",10.4,7.55)</f>
        <v>7.55</v>
      </c>
      <c r="L822" s="14"/>
      <c r="M822" s="24"/>
      <c r="N822" s="22"/>
      <c r="O822" s="22"/>
      <c r="P822" s="22">
        <f>J822*K822</f>
        <v>264.25</v>
      </c>
      <c r="Q822" s="22">
        <f>IF(L822="","",N822-K822)</f>
        <v/>
      </c>
      <c r="R822" s="24">
        <f>IF(L822="","",M822-J822)</f>
        <v/>
      </c>
      <c r="S822" s="22">
        <f>IF(L822="",-P822,O822-P822)</f>
        <v>-264.25</v>
      </c>
      <c r="T822" s="25" t="str">
        <f>IF(L822="","NO BILL IN SUPPLIED EXPORT",IF(ABS(Q822)&gt;0.001,"RATE EXCEPTION",IF(ABS(R822)&gt;0.001,"LENGTH EXCEPTION",IF(ABS(S822)&gt;0.01,"AMOUNT EXCEPTION","OK"))))</f>
        <v>NO BILL IN SUPPLIED EXPORT</v>
      </c>
      <c r="U822" s="15" t="s">
        <v>4345</v>
      </c>
    </row>
    <row r="823" spans="1:21" ht="28" customHeight="1">
      <c r="A823" s="18" t="s">
        <v>4346</v>
      </c>
      <c r="B823" s="18" t="s">
        <v>195</v>
      </c>
      <c r="C823" s="18" t="s">
        <v>226</v>
      </c>
      <c r="D823" s="18" t="s">
        <v>227</v>
      </c>
      <c r="E823" s="18" t="s">
        <v>4347</v>
      </c>
      <c r="F823" s="19" t="s">
        <v>4348</v>
      </c>
      <c r="G823" s="19" t="s">
        <v>4349</v>
      </c>
      <c r="H823" s="24">
        <v>28</v>
      </c>
      <c r="I823" s="24">
        <v>41.8</v>
      </c>
      <c r="J823" s="24">
        <f>MAX(H823,ROUNDUP(I823,0))</f>
        <v>42</v>
      </c>
      <c r="K823" s="22">
        <f>IF(C823="covered",10.4,7.55)</f>
        <v>7.55</v>
      </c>
      <c r="L823" s="18"/>
      <c r="M823" s="24"/>
      <c r="N823" s="22"/>
      <c r="O823" s="22"/>
      <c r="P823" s="22">
        <f>J823*K823</f>
        <v>317.09999999999997</v>
      </c>
      <c r="Q823" s="22">
        <f>IF(L823="","",N823-K823)</f>
        <v/>
      </c>
      <c r="R823" s="24">
        <f>IF(L823="","",M823-J823)</f>
        <v/>
      </c>
      <c r="S823" s="22">
        <f>IF(L823="",-P823,O823-P823)</f>
        <v>-317.09999999999997</v>
      </c>
      <c r="T823" s="25" t="str">
        <f>IF(L823="","NO BILL IN SUPPLIED EXPORT",IF(ABS(Q823)&gt;0.001,"RATE EXCEPTION",IF(ABS(R823)&gt;0.001,"LENGTH EXCEPTION",IF(ABS(S823)&gt;0.01,"AMOUNT EXCEPTION","OK"))))</f>
        <v>NO BILL IN SUPPLIED EXPORT</v>
      </c>
      <c r="U823" s="19" t="s">
        <v>4350</v>
      </c>
    </row>
    <row r="824" spans="1:21" ht="28" customHeight="1">
      <c r="A824" s="14" t="s">
        <v>4351</v>
      </c>
      <c r="B824" s="14" t="s">
        <v>195</v>
      </c>
      <c r="C824" s="14" t="s">
        <v>226</v>
      </c>
      <c r="D824" s="14" t="s">
        <v>227</v>
      </c>
      <c r="E824" s="14" t="s">
        <v>4352</v>
      </c>
      <c r="F824" s="15" t="s">
        <v>4353</v>
      </c>
      <c r="G824" s="15" t="s">
        <v>412</v>
      </c>
      <c r="H824" s="24">
        <v>24</v>
      </c>
      <c r="I824" s="24">
        <v>32.4</v>
      </c>
      <c r="J824" s="24">
        <f>MAX(H824,ROUNDUP(I824,0))</f>
        <v>33</v>
      </c>
      <c r="K824" s="22">
        <f>IF(C824="covered",10.4,7.55)</f>
        <v>7.55</v>
      </c>
      <c r="L824" s="14"/>
      <c r="M824" s="24"/>
      <c r="N824" s="22"/>
      <c r="O824" s="22"/>
      <c r="P824" s="22">
        <f>J824*K824</f>
        <v>249.15</v>
      </c>
      <c r="Q824" s="22">
        <f>IF(L824="","",N824-K824)</f>
        <v/>
      </c>
      <c r="R824" s="24">
        <f>IF(L824="","",M824-J824)</f>
        <v/>
      </c>
      <c r="S824" s="22">
        <f>IF(L824="",-P824,O824-P824)</f>
        <v>-249.15</v>
      </c>
      <c r="T824" s="25" t="str">
        <f>IF(L824="","NO BILL IN SUPPLIED EXPORT",IF(ABS(Q824)&gt;0.001,"RATE EXCEPTION",IF(ABS(R824)&gt;0.001,"LENGTH EXCEPTION",IF(ABS(S824)&gt;0.01,"AMOUNT EXCEPTION","OK"))))</f>
        <v>NO BILL IN SUPPLIED EXPORT</v>
      </c>
      <c r="U824" s="15" t="s">
        <v>4354</v>
      </c>
    </row>
    <row r="825" spans="1:21" ht="28" customHeight="1">
      <c r="A825" s="18" t="s">
        <v>4355</v>
      </c>
      <c r="B825" s="18" t="s">
        <v>195</v>
      </c>
      <c r="C825" s="18" t="s">
        <v>226</v>
      </c>
      <c r="D825" s="18" t="s">
        <v>227</v>
      </c>
      <c r="E825" s="18" t="s">
        <v>4356</v>
      </c>
      <c r="F825" s="19" t="s">
        <v>4357</v>
      </c>
      <c r="G825" s="19" t="s">
        <v>2461</v>
      </c>
      <c r="H825" s="24">
        <v>28</v>
      </c>
      <c r="I825" s="24">
        <v>37.3</v>
      </c>
      <c r="J825" s="24">
        <f>MAX(H825,ROUNDUP(I825,0))</f>
        <v>38</v>
      </c>
      <c r="K825" s="22">
        <f>IF(C825="covered",10.4,7.55)</f>
        <v>7.55</v>
      </c>
      <c r="L825" s="18"/>
      <c r="M825" s="24"/>
      <c r="N825" s="22"/>
      <c r="O825" s="22"/>
      <c r="P825" s="22">
        <f>J825*K825</f>
        <v>286.9</v>
      </c>
      <c r="Q825" s="22">
        <f>IF(L825="","",N825-K825)</f>
        <v/>
      </c>
      <c r="R825" s="24">
        <f>IF(L825="","",M825-J825)</f>
        <v/>
      </c>
      <c r="S825" s="22">
        <f>IF(L825="",-P825,O825-P825)</f>
        <v>-286.9</v>
      </c>
      <c r="T825" s="25" t="str">
        <f>IF(L825="","NO BILL IN SUPPLIED EXPORT",IF(ABS(Q825)&gt;0.001,"RATE EXCEPTION",IF(ABS(R825)&gt;0.001,"LENGTH EXCEPTION",IF(ABS(S825)&gt;0.01,"AMOUNT EXCEPTION","OK"))))</f>
        <v>NO BILL IN SUPPLIED EXPORT</v>
      </c>
      <c r="U825" s="19" t="s">
        <v>4358</v>
      </c>
    </row>
    <row r="826" spans="1:21" ht="28" customHeight="1">
      <c r="A826" s="14" t="s">
        <v>4359</v>
      </c>
      <c r="B826" s="14" t="s">
        <v>195</v>
      </c>
      <c r="C826" s="14" t="s">
        <v>226</v>
      </c>
      <c r="D826" s="14" t="s">
        <v>227</v>
      </c>
      <c r="E826" s="14" t="s">
        <v>4360</v>
      </c>
      <c r="F826" s="15" t="s">
        <v>4361</v>
      </c>
      <c r="G826" s="15" t="s">
        <v>1057</v>
      </c>
      <c r="H826" s="24">
        <v>50</v>
      </c>
      <c r="I826" s="24">
        <v>19.2</v>
      </c>
      <c r="J826" s="24">
        <f>MAX(H826,ROUNDUP(I826,0))</f>
        <v>50.0</v>
      </c>
      <c r="K826" s="22">
        <f>IF(C826="covered",10.4,7.55)</f>
        <v>7.55</v>
      </c>
      <c r="L826" s="14"/>
      <c r="M826" s="24"/>
      <c r="N826" s="22"/>
      <c r="O826" s="22"/>
      <c r="P826" s="22">
        <f>J826*K826</f>
        <v>377.5</v>
      </c>
      <c r="Q826" s="22">
        <f>IF(L826="","",N826-K826)</f>
        <v/>
      </c>
      <c r="R826" s="24">
        <f>IF(L826="","",M826-J826)</f>
        <v/>
      </c>
      <c r="S826" s="22">
        <f>IF(L826="",-P826,O826-P826)</f>
        <v>-377.5</v>
      </c>
      <c r="T826" s="25" t="str">
        <f>IF(L826="","NO BILL IN SUPPLIED EXPORT",IF(ABS(Q826)&gt;0.001,"RATE EXCEPTION",IF(ABS(R826)&gt;0.001,"LENGTH EXCEPTION",IF(ABS(S826)&gt;0.01,"AMOUNT EXCEPTION","OK"))))</f>
        <v>NO BILL IN SUPPLIED EXPORT</v>
      </c>
      <c r="U826" s="15" t="s">
        <v>4362</v>
      </c>
    </row>
    <row r="827" spans="1:21" ht="28" customHeight="1">
      <c r="A827" s="18" t="s">
        <v>4363</v>
      </c>
      <c r="B827" s="18" t="s">
        <v>195</v>
      </c>
      <c r="C827" s="18" t="s">
        <v>226</v>
      </c>
      <c r="D827" s="18" t="s">
        <v>227</v>
      </c>
      <c r="E827" s="18" t="s">
        <v>139</v>
      </c>
      <c r="F827" s="19" t="s">
        <v>140</v>
      </c>
      <c r="G827" s="19" t="s">
        <v>141</v>
      </c>
      <c r="H827" s="24">
        <v>32</v>
      </c>
      <c r="I827" s="24">
        <v>23.6</v>
      </c>
      <c r="J827" s="24">
        <f>MAX(H827,ROUNDUP(I827,0))</f>
        <v>32.0</v>
      </c>
      <c r="K827" s="22">
        <f>IF(C827="covered",10.4,7.55)</f>
        <v>7.55</v>
      </c>
      <c r="L827" s="18"/>
      <c r="M827" s="24"/>
      <c r="N827" s="22"/>
      <c r="O827" s="22"/>
      <c r="P827" s="22">
        <f>J827*K827</f>
        <v>241.6</v>
      </c>
      <c r="Q827" s="22">
        <f>IF(L827="","",N827-K827)</f>
        <v/>
      </c>
      <c r="R827" s="24">
        <f>IF(L827="","",M827-J827)</f>
        <v/>
      </c>
      <c r="S827" s="22">
        <f>IF(L827="",-P827,O827-P827)</f>
        <v>-241.6</v>
      </c>
      <c r="T827" s="25" t="str">
        <f>IF(L827="","NO BILL IN SUPPLIED EXPORT",IF(ABS(Q827)&gt;0.001,"RATE EXCEPTION",IF(ABS(R827)&gt;0.001,"LENGTH EXCEPTION",IF(ABS(S827)&gt;0.01,"AMOUNT EXCEPTION","OK"))))</f>
        <v>NO BILL IN SUPPLIED EXPORT</v>
      </c>
      <c r="U827" s="19" t="s">
        <v>4364</v>
      </c>
    </row>
    <row r="828" spans="1:21" ht="28" customHeight="1">
      <c r="A828" s="14" t="s">
        <v>4365</v>
      </c>
      <c r="B828" s="14" t="s">
        <v>195</v>
      </c>
      <c r="C828" s="14" t="s">
        <v>226</v>
      </c>
      <c r="D828" s="14" t="s">
        <v>227</v>
      </c>
      <c r="E828" s="14" t="s">
        <v>4366</v>
      </c>
      <c r="F828" s="15" t="s">
        <v>4367</v>
      </c>
      <c r="G828" s="15" t="s">
        <v>4368</v>
      </c>
      <c r="H828" s="24">
        <v>70</v>
      </c>
      <c r="I828" s="24">
        <v>25.3</v>
      </c>
      <c r="J828" s="24">
        <f>MAX(H828,ROUNDUP(I828,0))</f>
        <v>70.0</v>
      </c>
      <c r="K828" s="22">
        <f>IF(C828="covered",10.4,7.55)</f>
        <v>7.55</v>
      </c>
      <c r="L828" s="14"/>
      <c r="M828" s="24"/>
      <c r="N828" s="22"/>
      <c r="O828" s="22"/>
      <c r="P828" s="22">
        <f>J828*K828</f>
        <v>528.5</v>
      </c>
      <c r="Q828" s="22">
        <f>IF(L828="","",N828-K828)</f>
        <v/>
      </c>
      <c r="R828" s="24">
        <f>IF(L828="","",M828-J828)</f>
        <v/>
      </c>
      <c r="S828" s="22">
        <f>IF(L828="",-P828,O828-P828)</f>
        <v>-528.5</v>
      </c>
      <c r="T828" s="25" t="str">
        <f>IF(L828="","NO BILL IN SUPPLIED EXPORT",IF(ABS(Q828)&gt;0.001,"RATE EXCEPTION",IF(ABS(R828)&gt;0.001,"LENGTH EXCEPTION",IF(ABS(S828)&gt;0.01,"AMOUNT EXCEPTION","OK"))))</f>
        <v>NO BILL IN SUPPLIED EXPORT</v>
      </c>
      <c r="U828" s="15" t="s">
        <v>4369</v>
      </c>
    </row>
    <row r="829" spans="1:21" ht="28" customHeight="1">
      <c r="A829" s="18" t="s">
        <v>4370</v>
      </c>
      <c r="B829" s="18" t="s">
        <v>195</v>
      </c>
      <c r="C829" s="18" t="s">
        <v>226</v>
      </c>
      <c r="D829" s="18" t="s">
        <v>227</v>
      </c>
      <c r="E829" s="18" t="s">
        <v>4371</v>
      </c>
      <c r="F829" s="19" t="s">
        <v>4372</v>
      </c>
      <c r="G829" s="19" t="s">
        <v>4373</v>
      </c>
      <c r="H829" s="24">
        <v>28</v>
      </c>
      <c r="I829" s="24">
        <v>48.9</v>
      </c>
      <c r="J829" s="24">
        <f>MAX(H829,ROUNDUP(I829,0))</f>
        <v>49</v>
      </c>
      <c r="K829" s="22">
        <f>IF(C829="covered",10.4,7.55)</f>
        <v>7.55</v>
      </c>
      <c r="L829" s="18"/>
      <c r="M829" s="24"/>
      <c r="N829" s="22"/>
      <c r="O829" s="22"/>
      <c r="P829" s="22">
        <f>J829*K829</f>
        <v>369.95</v>
      </c>
      <c r="Q829" s="22">
        <f>IF(L829="","",N829-K829)</f>
        <v/>
      </c>
      <c r="R829" s="24">
        <f>IF(L829="","",M829-J829)</f>
        <v/>
      </c>
      <c r="S829" s="22">
        <f>IF(L829="",-P829,O829-P829)</f>
        <v>-369.95</v>
      </c>
      <c r="T829" s="25" t="str">
        <f>IF(L829="","NO BILL IN SUPPLIED EXPORT",IF(ABS(Q829)&gt;0.001,"RATE EXCEPTION",IF(ABS(R829)&gt;0.001,"LENGTH EXCEPTION",IF(ABS(S829)&gt;0.01,"AMOUNT EXCEPTION","OK"))))</f>
        <v>NO BILL IN SUPPLIED EXPORT</v>
      </c>
      <c r="U829" s="19" t="s">
        <v>4374</v>
      </c>
    </row>
    <row r="830" spans="1:21" ht="28" customHeight="1">
      <c r="A830" s="14" t="s">
        <v>4375</v>
      </c>
      <c r="B830" s="14" t="s">
        <v>195</v>
      </c>
      <c r="C830" s="14" t="s">
        <v>226</v>
      </c>
      <c r="D830" s="14" t="s">
        <v>227</v>
      </c>
      <c r="E830" s="14" t="s">
        <v>4376</v>
      </c>
      <c r="F830" s="15" t="s">
        <v>4377</v>
      </c>
      <c r="G830" s="15" t="s">
        <v>4378</v>
      </c>
      <c r="H830" s="24">
        <v>28</v>
      </c>
      <c r="I830" s="24">
        <v>44.5</v>
      </c>
      <c r="J830" s="24">
        <f>MAX(H830,ROUNDUP(I830,0))</f>
        <v>45</v>
      </c>
      <c r="K830" s="22">
        <f>IF(C830="covered",10.4,7.55)</f>
        <v>7.55</v>
      </c>
      <c r="L830" s="14"/>
      <c r="M830" s="24"/>
      <c r="N830" s="22"/>
      <c r="O830" s="22"/>
      <c r="P830" s="22">
        <f>J830*K830</f>
        <v>339.75</v>
      </c>
      <c r="Q830" s="22">
        <f>IF(L830="","",N830-K830)</f>
        <v/>
      </c>
      <c r="R830" s="24">
        <f>IF(L830="","",M830-J830)</f>
        <v/>
      </c>
      <c r="S830" s="22">
        <f>IF(L830="",-P830,O830-P830)</f>
        <v>-339.75</v>
      </c>
      <c r="T830" s="25" t="str">
        <f>IF(L830="","NO BILL IN SUPPLIED EXPORT",IF(ABS(Q830)&gt;0.001,"RATE EXCEPTION",IF(ABS(R830)&gt;0.001,"LENGTH EXCEPTION",IF(ABS(S830)&gt;0.01,"AMOUNT EXCEPTION","OK"))))</f>
        <v>NO BILL IN SUPPLIED EXPORT</v>
      </c>
      <c r="U830" s="15" t="s">
        <v>4379</v>
      </c>
    </row>
    <row r="831" spans="1:21" ht="28" customHeight="1">
      <c r="A831" s="18" t="s">
        <v>4380</v>
      </c>
      <c r="B831" s="18" t="s">
        <v>195</v>
      </c>
      <c r="C831" s="18" t="s">
        <v>226</v>
      </c>
      <c r="D831" s="18" t="s">
        <v>227</v>
      </c>
      <c r="E831" s="18" t="s">
        <v>4381</v>
      </c>
      <c r="F831" s="19" t="s">
        <v>4382</v>
      </c>
      <c r="G831" s="19" t="s">
        <v>3886</v>
      </c>
      <c r="H831" s="24">
        <v>45</v>
      </c>
      <c r="I831" s="24">
        <v>38.7</v>
      </c>
      <c r="J831" s="24">
        <f>MAX(H831,ROUNDUP(I831,0))</f>
        <v>45.0</v>
      </c>
      <c r="K831" s="22">
        <f>IF(C831="covered",10.4,7.55)</f>
        <v>7.55</v>
      </c>
      <c r="L831" s="18"/>
      <c r="M831" s="24"/>
      <c r="N831" s="22"/>
      <c r="O831" s="22"/>
      <c r="P831" s="22">
        <f>J831*K831</f>
        <v>339.75</v>
      </c>
      <c r="Q831" s="22">
        <f>IF(L831="","",N831-K831)</f>
        <v/>
      </c>
      <c r="R831" s="24">
        <f>IF(L831="","",M831-J831)</f>
        <v/>
      </c>
      <c r="S831" s="22">
        <f>IF(L831="",-P831,O831-P831)</f>
        <v>-339.75</v>
      </c>
      <c r="T831" s="25" t="str">
        <f>IF(L831="","NO BILL IN SUPPLIED EXPORT",IF(ABS(Q831)&gt;0.001,"RATE EXCEPTION",IF(ABS(R831)&gt;0.001,"LENGTH EXCEPTION",IF(ABS(S831)&gt;0.01,"AMOUNT EXCEPTION","OK"))))</f>
        <v>NO BILL IN SUPPLIED EXPORT</v>
      </c>
      <c r="U831" s="19" t="s">
        <v>4383</v>
      </c>
    </row>
    <row r="832" spans="1:21" ht="28" customHeight="1">
      <c r="A832" s="14" t="s">
        <v>4384</v>
      </c>
      <c r="B832" s="14" t="s">
        <v>195</v>
      </c>
      <c r="C832" s="14" t="s">
        <v>226</v>
      </c>
      <c r="D832" s="14" t="s">
        <v>227</v>
      </c>
      <c r="E832" s="14" t="s">
        <v>4385</v>
      </c>
      <c r="F832" s="15" t="s">
        <v>4386</v>
      </c>
      <c r="G832" s="15" t="s">
        <v>789</v>
      </c>
      <c r="H832" s="24">
        <v>24</v>
      </c>
      <c r="I832" s="24">
        <v>25.7</v>
      </c>
      <c r="J832" s="24">
        <f>MAX(H832,ROUNDUP(I832,0))</f>
        <v>26</v>
      </c>
      <c r="K832" s="22">
        <f>IF(C832="covered",10.4,7.55)</f>
        <v>7.55</v>
      </c>
      <c r="L832" s="14"/>
      <c r="M832" s="24"/>
      <c r="N832" s="22"/>
      <c r="O832" s="22"/>
      <c r="P832" s="22">
        <f>J832*K832</f>
        <v>196.29999999999998</v>
      </c>
      <c r="Q832" s="22">
        <f>IF(L832="","",N832-K832)</f>
        <v/>
      </c>
      <c r="R832" s="24">
        <f>IF(L832="","",M832-J832)</f>
        <v/>
      </c>
      <c r="S832" s="22">
        <f>IF(L832="",-P832,O832-P832)</f>
        <v>-196.29999999999998</v>
      </c>
      <c r="T832" s="25" t="str">
        <f>IF(L832="","NO BILL IN SUPPLIED EXPORT",IF(ABS(Q832)&gt;0.001,"RATE EXCEPTION",IF(ABS(R832)&gt;0.001,"LENGTH EXCEPTION",IF(ABS(S832)&gt;0.01,"AMOUNT EXCEPTION","OK"))))</f>
        <v>NO BILL IN SUPPLIED EXPORT</v>
      </c>
      <c r="U832" s="15" t="s">
        <v>4387</v>
      </c>
    </row>
    <row r="833" spans="1:21" ht="28" customHeight="1">
      <c r="A833" s="18" t="s">
        <v>4388</v>
      </c>
      <c r="B833" s="18" t="s">
        <v>195</v>
      </c>
      <c r="C833" s="18" t="s">
        <v>226</v>
      </c>
      <c r="D833" s="18" t="s">
        <v>227</v>
      </c>
      <c r="E833" s="18" t="s">
        <v>4389</v>
      </c>
      <c r="F833" s="19" t="s">
        <v>4390</v>
      </c>
      <c r="G833" s="19" t="s">
        <v>2144</v>
      </c>
      <c r="H833" s="24">
        <v>28</v>
      </c>
      <c r="I833" s="24">
        <v>27.1</v>
      </c>
      <c r="J833" s="24">
        <f>MAX(H833,ROUNDUP(I833,0))</f>
        <v>28.0</v>
      </c>
      <c r="K833" s="22">
        <f>IF(C833="covered",10.4,7.55)</f>
        <v>7.55</v>
      </c>
      <c r="L833" s="18"/>
      <c r="M833" s="24"/>
      <c r="N833" s="22"/>
      <c r="O833" s="22"/>
      <c r="P833" s="22">
        <f>J833*K833</f>
        <v>211.4</v>
      </c>
      <c r="Q833" s="22">
        <f>IF(L833="","",N833-K833)</f>
        <v/>
      </c>
      <c r="R833" s="24">
        <f>IF(L833="","",M833-J833)</f>
        <v/>
      </c>
      <c r="S833" s="22">
        <f>IF(L833="",-P833,O833-P833)</f>
        <v>-211.4</v>
      </c>
      <c r="T833" s="25" t="str">
        <f>IF(L833="","NO BILL IN SUPPLIED EXPORT",IF(ABS(Q833)&gt;0.001,"RATE EXCEPTION",IF(ABS(R833)&gt;0.001,"LENGTH EXCEPTION",IF(ABS(S833)&gt;0.01,"AMOUNT EXCEPTION","OK"))))</f>
        <v>NO BILL IN SUPPLIED EXPORT</v>
      </c>
      <c r="U833" s="19" t="s">
        <v>4391</v>
      </c>
    </row>
    <row r="834" spans="1:21" ht="28" customHeight="1">
      <c r="A834" s="14" t="s">
        <v>4392</v>
      </c>
      <c r="B834" s="14" t="s">
        <v>195</v>
      </c>
      <c r="C834" s="14" t="s">
        <v>226</v>
      </c>
      <c r="D834" s="14" t="s">
        <v>227</v>
      </c>
      <c r="E834" s="14" t="s">
        <v>4393</v>
      </c>
      <c r="F834" s="15" t="s">
        <v>4394</v>
      </c>
      <c r="G834" s="15" t="s">
        <v>1376</v>
      </c>
      <c r="H834" s="24">
        <v>50</v>
      </c>
      <c r="I834" s="24">
        <v>36.7</v>
      </c>
      <c r="J834" s="24">
        <f>MAX(H834,ROUNDUP(I834,0))</f>
        <v>50.0</v>
      </c>
      <c r="K834" s="22">
        <f>IF(C834="covered",10.4,7.55)</f>
        <v>7.55</v>
      </c>
      <c r="L834" s="14"/>
      <c r="M834" s="24"/>
      <c r="N834" s="22"/>
      <c r="O834" s="22"/>
      <c r="P834" s="22">
        <f>J834*K834</f>
        <v>377.5</v>
      </c>
      <c r="Q834" s="22">
        <f>IF(L834="","",N834-K834)</f>
        <v/>
      </c>
      <c r="R834" s="24">
        <f>IF(L834="","",M834-J834)</f>
        <v/>
      </c>
      <c r="S834" s="22">
        <f>IF(L834="",-P834,O834-P834)</f>
        <v>-377.5</v>
      </c>
      <c r="T834" s="25" t="str">
        <f>IF(L834="","NO BILL IN SUPPLIED EXPORT",IF(ABS(Q834)&gt;0.001,"RATE EXCEPTION",IF(ABS(R834)&gt;0.001,"LENGTH EXCEPTION",IF(ABS(S834)&gt;0.01,"AMOUNT EXCEPTION","OK"))))</f>
        <v>NO BILL IN SUPPLIED EXPORT</v>
      </c>
      <c r="U834" s="15" t="s">
        <v>4395</v>
      </c>
    </row>
    <row r="835" spans="1:21" ht="28" customHeight="1">
      <c r="A835" s="18" t="s">
        <v>4396</v>
      </c>
      <c r="B835" s="18" t="s">
        <v>195</v>
      </c>
      <c r="C835" s="18" t="s">
        <v>226</v>
      </c>
      <c r="D835" s="18" t="s">
        <v>227</v>
      </c>
      <c r="E835" s="18" t="s">
        <v>4397</v>
      </c>
      <c r="F835" s="19" t="s">
        <v>4398</v>
      </c>
      <c r="G835" s="19" t="s">
        <v>300</v>
      </c>
      <c r="H835" s="24">
        <v>24</v>
      </c>
      <c r="I835" s="24">
        <v>49.2</v>
      </c>
      <c r="J835" s="24">
        <f>MAX(H835,ROUNDUP(I835,0))</f>
        <v>50</v>
      </c>
      <c r="K835" s="22">
        <f>IF(C835="covered",10.4,7.55)</f>
        <v>7.55</v>
      </c>
      <c r="L835" s="18"/>
      <c r="M835" s="24"/>
      <c r="N835" s="22"/>
      <c r="O835" s="22"/>
      <c r="P835" s="22">
        <f>J835*K835</f>
        <v>377.5</v>
      </c>
      <c r="Q835" s="22">
        <f>IF(L835="","",N835-K835)</f>
        <v/>
      </c>
      <c r="R835" s="24">
        <f>IF(L835="","",M835-J835)</f>
        <v/>
      </c>
      <c r="S835" s="22">
        <f>IF(L835="",-P835,O835-P835)</f>
        <v>-377.5</v>
      </c>
      <c r="T835" s="25" t="str">
        <f>IF(L835="","NO BILL IN SUPPLIED EXPORT",IF(ABS(Q835)&gt;0.001,"RATE EXCEPTION",IF(ABS(R835)&gt;0.001,"LENGTH EXCEPTION",IF(ABS(S835)&gt;0.01,"AMOUNT EXCEPTION","OK"))))</f>
        <v>NO BILL IN SUPPLIED EXPORT</v>
      </c>
      <c r="U835" s="19" t="s">
        <v>4399</v>
      </c>
    </row>
    <row r="836" spans="1:21" ht="28" customHeight="1">
      <c r="A836" s="14" t="s">
        <v>4400</v>
      </c>
      <c r="B836" s="14" t="s">
        <v>195</v>
      </c>
      <c r="C836" s="14" t="s">
        <v>226</v>
      </c>
      <c r="D836" s="14" t="s">
        <v>227</v>
      </c>
      <c r="E836" s="14" t="s">
        <v>4401</v>
      </c>
      <c r="F836" s="15" t="s">
        <v>4402</v>
      </c>
      <c r="G836" s="15" t="s">
        <v>1731</v>
      </c>
      <c r="H836" s="24">
        <v>70</v>
      </c>
      <c r="I836" s="24">
        <v>20.5</v>
      </c>
      <c r="J836" s="24">
        <f>MAX(H836,ROUNDUP(I836,0))</f>
        <v>70.0</v>
      </c>
      <c r="K836" s="22">
        <f>IF(C836="covered",10.4,7.55)</f>
        <v>7.55</v>
      </c>
      <c r="L836" s="14"/>
      <c r="M836" s="24"/>
      <c r="N836" s="22"/>
      <c r="O836" s="22"/>
      <c r="P836" s="22">
        <f>J836*K836</f>
        <v>528.5</v>
      </c>
      <c r="Q836" s="22">
        <f>IF(L836="","",N836-K836)</f>
        <v/>
      </c>
      <c r="R836" s="24">
        <f>IF(L836="","",M836-J836)</f>
        <v/>
      </c>
      <c r="S836" s="22">
        <f>IF(L836="",-P836,O836-P836)</f>
        <v>-528.5</v>
      </c>
      <c r="T836" s="25" t="str">
        <f>IF(L836="","NO BILL IN SUPPLIED EXPORT",IF(ABS(Q836)&gt;0.001,"RATE EXCEPTION",IF(ABS(R836)&gt;0.001,"LENGTH EXCEPTION",IF(ABS(S836)&gt;0.01,"AMOUNT EXCEPTION","OK"))))</f>
        <v>NO BILL IN SUPPLIED EXPORT</v>
      </c>
      <c r="U836" s="15" t="s">
        <v>4403</v>
      </c>
    </row>
    <row r="837" spans="1:21" ht="28" customHeight="1">
      <c r="A837" s="18" t="s">
        <v>4404</v>
      </c>
      <c r="B837" s="18" t="s">
        <v>195</v>
      </c>
      <c r="C837" s="18" t="s">
        <v>226</v>
      </c>
      <c r="D837" s="18" t="s">
        <v>227</v>
      </c>
      <c r="E837" s="18" t="s">
        <v>4405</v>
      </c>
      <c r="F837" s="19" t="s">
        <v>4406</v>
      </c>
      <c r="G837" s="19" t="s">
        <v>400</v>
      </c>
      <c r="H837" s="24">
        <v>60</v>
      </c>
      <c r="I837" s="24">
        <v>42</v>
      </c>
      <c r="J837" s="24">
        <f>MAX(H837,ROUNDUP(I837,0))</f>
        <v>60.0</v>
      </c>
      <c r="K837" s="22">
        <f>IF(C837="covered",10.4,7.55)</f>
        <v>7.55</v>
      </c>
      <c r="L837" s="18"/>
      <c r="M837" s="24"/>
      <c r="N837" s="22"/>
      <c r="O837" s="22"/>
      <c r="P837" s="22">
        <f>J837*K837</f>
        <v>453.0</v>
      </c>
      <c r="Q837" s="22">
        <f>IF(L837="","",N837-K837)</f>
        <v/>
      </c>
      <c r="R837" s="24">
        <f>IF(L837="","",M837-J837)</f>
        <v/>
      </c>
      <c r="S837" s="22">
        <f>IF(L837="",-P837,O837-P837)</f>
        <v>-453.0</v>
      </c>
      <c r="T837" s="25" t="str">
        <f>IF(L837="","NO BILL IN SUPPLIED EXPORT",IF(ABS(Q837)&gt;0.001,"RATE EXCEPTION",IF(ABS(R837)&gt;0.001,"LENGTH EXCEPTION",IF(ABS(S837)&gt;0.01,"AMOUNT EXCEPTION","OK"))))</f>
        <v>NO BILL IN SUPPLIED EXPORT</v>
      </c>
      <c r="U837" s="19" t="s">
        <v>4407</v>
      </c>
    </row>
    <row r="838" spans="1:21" ht="28" customHeight="1">
      <c r="A838" s="14" t="s">
        <v>4408</v>
      </c>
      <c r="B838" s="14" t="s">
        <v>195</v>
      </c>
      <c r="C838" s="14" t="s">
        <v>226</v>
      </c>
      <c r="D838" s="14" t="s">
        <v>227</v>
      </c>
      <c r="E838" s="14" t="s">
        <v>4409</v>
      </c>
      <c r="F838" s="15" t="s">
        <v>4410</v>
      </c>
      <c r="G838" s="15" t="s">
        <v>4411</v>
      </c>
      <c r="H838" s="24">
        <v>70</v>
      </c>
      <c r="I838" s="24">
        <v>24.4</v>
      </c>
      <c r="J838" s="24">
        <f>MAX(H838,ROUNDUP(I838,0))</f>
        <v>70.0</v>
      </c>
      <c r="K838" s="22">
        <f>IF(C838="covered",10.4,7.55)</f>
        <v>7.55</v>
      </c>
      <c r="L838" s="14"/>
      <c r="M838" s="24"/>
      <c r="N838" s="22"/>
      <c r="O838" s="22"/>
      <c r="P838" s="22">
        <f>J838*K838</f>
        <v>528.5</v>
      </c>
      <c r="Q838" s="22">
        <f>IF(L838="","",N838-K838)</f>
        <v/>
      </c>
      <c r="R838" s="24">
        <f>IF(L838="","",M838-J838)</f>
        <v/>
      </c>
      <c r="S838" s="22">
        <f>IF(L838="",-P838,O838-P838)</f>
        <v>-528.5</v>
      </c>
      <c r="T838" s="25" t="str">
        <f>IF(L838="","NO BILL IN SUPPLIED EXPORT",IF(ABS(Q838)&gt;0.001,"RATE EXCEPTION",IF(ABS(R838)&gt;0.001,"LENGTH EXCEPTION",IF(ABS(S838)&gt;0.01,"AMOUNT EXCEPTION","OK"))))</f>
        <v>NO BILL IN SUPPLIED EXPORT</v>
      </c>
      <c r="U838" s="15" t="s">
        <v>4412</v>
      </c>
    </row>
    <row r="839" spans="1:21" ht="28" customHeight="1">
      <c r="A839" s="18" t="s">
        <v>4413</v>
      </c>
      <c r="B839" s="18" t="s">
        <v>195</v>
      </c>
      <c r="C839" s="18" t="s">
        <v>226</v>
      </c>
      <c r="D839" s="18" t="s">
        <v>227</v>
      </c>
      <c r="E839" s="18" t="s">
        <v>4414</v>
      </c>
      <c r="F839" s="19" t="s">
        <v>4415</v>
      </c>
      <c r="G839" s="19" t="s">
        <v>4416</v>
      </c>
      <c r="H839" s="24">
        <v>28</v>
      </c>
      <c r="I839" s="24">
        <v>56.7</v>
      </c>
      <c r="J839" s="24">
        <f>MAX(H839,ROUNDUP(I839,0))</f>
        <v>57</v>
      </c>
      <c r="K839" s="22">
        <f>IF(C839="covered",10.4,7.55)</f>
        <v>7.55</v>
      </c>
      <c r="L839" s="18"/>
      <c r="M839" s="24"/>
      <c r="N839" s="22"/>
      <c r="O839" s="22"/>
      <c r="P839" s="22">
        <f>J839*K839</f>
        <v>430.34999999999997</v>
      </c>
      <c r="Q839" s="22">
        <f>IF(L839="","",N839-K839)</f>
        <v/>
      </c>
      <c r="R839" s="24">
        <f>IF(L839="","",M839-J839)</f>
        <v/>
      </c>
      <c r="S839" s="22">
        <f>IF(L839="",-P839,O839-P839)</f>
        <v>-430.34999999999997</v>
      </c>
      <c r="T839" s="25" t="str">
        <f>IF(L839="","NO BILL IN SUPPLIED EXPORT",IF(ABS(Q839)&gt;0.001,"RATE EXCEPTION",IF(ABS(R839)&gt;0.001,"LENGTH EXCEPTION",IF(ABS(S839)&gt;0.01,"AMOUNT EXCEPTION","OK"))))</f>
        <v>NO BILL IN SUPPLIED EXPORT</v>
      </c>
      <c r="U839" s="19" t="s">
        <v>4417</v>
      </c>
    </row>
    <row r="840" spans="1:21" ht="28" customHeight="1">
      <c r="A840" s="14" t="s">
        <v>4418</v>
      </c>
      <c r="B840" s="14" t="s">
        <v>195</v>
      </c>
      <c r="C840" s="14" t="s">
        <v>226</v>
      </c>
      <c r="D840" s="14" t="s">
        <v>227</v>
      </c>
      <c r="E840" s="14" t="s">
        <v>4419</v>
      </c>
      <c r="F840" s="15" t="s">
        <v>4420</v>
      </c>
      <c r="G840" s="15" t="s">
        <v>242</v>
      </c>
      <c r="H840" s="24">
        <v>24</v>
      </c>
      <c r="I840" s="24">
        <v>61.6</v>
      </c>
      <c r="J840" s="24">
        <f>MAX(H840,ROUNDUP(I840,0))</f>
        <v>62</v>
      </c>
      <c r="K840" s="22">
        <f>IF(C840="covered",10.4,7.55)</f>
        <v>7.55</v>
      </c>
      <c r="L840" s="14"/>
      <c r="M840" s="24"/>
      <c r="N840" s="22"/>
      <c r="O840" s="22"/>
      <c r="P840" s="22">
        <f>J840*K840</f>
        <v>468.09999999999997</v>
      </c>
      <c r="Q840" s="22">
        <f>IF(L840="","",N840-K840)</f>
        <v/>
      </c>
      <c r="R840" s="24">
        <f>IF(L840="","",M840-J840)</f>
        <v/>
      </c>
      <c r="S840" s="22">
        <f>IF(L840="",-P840,O840-P840)</f>
        <v>-468.09999999999997</v>
      </c>
      <c r="T840" s="25" t="str">
        <f>IF(L840="","NO BILL IN SUPPLIED EXPORT",IF(ABS(Q840)&gt;0.001,"RATE EXCEPTION",IF(ABS(R840)&gt;0.001,"LENGTH EXCEPTION",IF(ABS(S840)&gt;0.01,"AMOUNT EXCEPTION","OK"))))</f>
        <v>NO BILL IN SUPPLIED EXPORT</v>
      </c>
      <c r="U840" s="15" t="s">
        <v>4421</v>
      </c>
    </row>
    <row r="841" spans="1:21" ht="28" customHeight="1">
      <c r="A841" s="18" t="s">
        <v>4422</v>
      </c>
      <c r="B841" s="18" t="s">
        <v>195</v>
      </c>
      <c r="C841" s="18" t="s">
        <v>226</v>
      </c>
      <c r="D841" s="18" t="s">
        <v>227</v>
      </c>
      <c r="E841" s="18" t="s">
        <v>4423</v>
      </c>
      <c r="F841" s="19" t="s">
        <v>4424</v>
      </c>
      <c r="G841" s="19" t="s">
        <v>173</v>
      </c>
      <c r="H841" s="24">
        <v>60</v>
      </c>
      <c r="I841" s="24">
        <v>54.8</v>
      </c>
      <c r="J841" s="24">
        <f>MAX(H841,ROUNDUP(I841,0))</f>
        <v>60.0</v>
      </c>
      <c r="K841" s="22">
        <f>IF(C841="covered",10.4,7.55)</f>
        <v>7.55</v>
      </c>
      <c r="L841" s="18"/>
      <c r="M841" s="24"/>
      <c r="N841" s="22"/>
      <c r="O841" s="22"/>
      <c r="P841" s="22">
        <f>J841*K841</f>
        <v>453.0</v>
      </c>
      <c r="Q841" s="22">
        <f>IF(L841="","",N841-K841)</f>
        <v/>
      </c>
      <c r="R841" s="24">
        <f>IF(L841="","",M841-J841)</f>
        <v/>
      </c>
      <c r="S841" s="22">
        <f>IF(L841="",-P841,O841-P841)</f>
        <v>-453.0</v>
      </c>
      <c r="T841" s="25" t="str">
        <f>IF(L841="","NO BILL IN SUPPLIED EXPORT",IF(ABS(Q841)&gt;0.001,"RATE EXCEPTION",IF(ABS(R841)&gt;0.001,"LENGTH EXCEPTION",IF(ABS(S841)&gt;0.01,"AMOUNT EXCEPTION","OK"))))</f>
        <v>NO BILL IN SUPPLIED EXPORT</v>
      </c>
      <c r="U841" s="19" t="s">
        <v>4425</v>
      </c>
    </row>
    <row r="842" spans="1:21" ht="28" customHeight="1">
      <c r="A842" s="14" t="s">
        <v>4426</v>
      </c>
      <c r="B842" s="14" t="s">
        <v>195</v>
      </c>
      <c r="C842" s="14" t="s">
        <v>226</v>
      </c>
      <c r="D842" s="14" t="s">
        <v>227</v>
      </c>
      <c r="E842" s="14" t="s">
        <v>4427</v>
      </c>
      <c r="F842" s="15" t="s">
        <v>4428</v>
      </c>
      <c r="G842" s="15" t="s">
        <v>4429</v>
      </c>
      <c r="H842" s="24">
        <v>80</v>
      </c>
      <c r="I842" s="24">
        <v>20.2</v>
      </c>
      <c r="J842" s="24">
        <f>MAX(H842,ROUNDUP(I842,0))</f>
        <v>80.0</v>
      </c>
      <c r="K842" s="22">
        <f>IF(C842="covered",10.4,7.55)</f>
        <v>7.55</v>
      </c>
      <c r="L842" s="14"/>
      <c r="M842" s="24"/>
      <c r="N842" s="22"/>
      <c r="O842" s="22"/>
      <c r="P842" s="22">
        <f>J842*K842</f>
        <v>604.0</v>
      </c>
      <c r="Q842" s="22">
        <f>IF(L842="","",N842-K842)</f>
        <v/>
      </c>
      <c r="R842" s="24">
        <f>IF(L842="","",M842-J842)</f>
        <v/>
      </c>
      <c r="S842" s="22">
        <f>IF(L842="",-P842,O842-P842)</f>
        <v>-604.0</v>
      </c>
      <c r="T842" s="25" t="str">
        <f>IF(L842="","NO BILL IN SUPPLIED EXPORT",IF(ABS(Q842)&gt;0.001,"RATE EXCEPTION",IF(ABS(R842)&gt;0.001,"LENGTH EXCEPTION",IF(ABS(S842)&gt;0.01,"AMOUNT EXCEPTION","OK"))))</f>
        <v>NO BILL IN SUPPLIED EXPORT</v>
      </c>
      <c r="U842" s="15" t="s">
        <v>4430</v>
      </c>
    </row>
    <row r="843" spans="1:21" ht="28" customHeight="1">
      <c r="A843" s="18" t="s">
        <v>4431</v>
      </c>
      <c r="B843" s="18" t="s">
        <v>195</v>
      </c>
      <c r="C843" s="18" t="s">
        <v>226</v>
      </c>
      <c r="D843" s="18" t="s">
        <v>227</v>
      </c>
      <c r="E843" s="18" t="s">
        <v>4432</v>
      </c>
      <c r="F843" s="19" t="s">
        <v>4433</v>
      </c>
      <c r="G843" s="19" t="s">
        <v>4434</v>
      </c>
      <c r="H843" s="24">
        <v>28</v>
      </c>
      <c r="I843" s="24">
        <v>59</v>
      </c>
      <c r="J843" s="24">
        <f>MAX(H843,ROUNDUP(I843,0))</f>
        <v>59</v>
      </c>
      <c r="K843" s="22">
        <f>IF(C843="covered",10.4,7.55)</f>
        <v>7.55</v>
      </c>
      <c r="L843" s="18"/>
      <c r="M843" s="24"/>
      <c r="N843" s="22"/>
      <c r="O843" s="22"/>
      <c r="P843" s="22">
        <f>J843*K843</f>
        <v>445.45</v>
      </c>
      <c r="Q843" s="22">
        <f>IF(L843="","",N843-K843)</f>
        <v/>
      </c>
      <c r="R843" s="24">
        <f>IF(L843="","",M843-J843)</f>
        <v/>
      </c>
      <c r="S843" s="22">
        <f>IF(L843="",-P843,O843-P843)</f>
        <v>-445.45</v>
      </c>
      <c r="T843" s="25" t="str">
        <f>IF(L843="","NO BILL IN SUPPLIED EXPORT",IF(ABS(Q843)&gt;0.001,"RATE EXCEPTION",IF(ABS(R843)&gt;0.001,"LENGTH EXCEPTION",IF(ABS(S843)&gt;0.01,"AMOUNT EXCEPTION","OK"))))</f>
        <v>NO BILL IN SUPPLIED EXPORT</v>
      </c>
      <c r="U843" s="19" t="s">
        <v>4435</v>
      </c>
    </row>
    <row r="844" spans="1:21" ht="28" customHeight="1">
      <c r="A844" s="14" t="s">
        <v>4436</v>
      </c>
      <c r="B844" s="14" t="s">
        <v>195</v>
      </c>
      <c r="C844" s="14" t="s">
        <v>226</v>
      </c>
      <c r="D844" s="14" t="s">
        <v>227</v>
      </c>
      <c r="E844" s="14" t="s">
        <v>4437</v>
      </c>
      <c r="F844" s="15" t="s">
        <v>4438</v>
      </c>
      <c r="G844" s="15" t="s">
        <v>4439</v>
      </c>
      <c r="H844" s="24">
        <v>28</v>
      </c>
      <c r="I844" s="24">
        <v>31.5</v>
      </c>
      <c r="J844" s="24">
        <f>MAX(H844,ROUNDUP(I844,0))</f>
        <v>32</v>
      </c>
      <c r="K844" s="22">
        <f>IF(C844="covered",10.4,7.55)</f>
        <v>7.55</v>
      </c>
      <c r="L844" s="14"/>
      <c r="M844" s="24"/>
      <c r="N844" s="22"/>
      <c r="O844" s="22"/>
      <c r="P844" s="22">
        <f>J844*K844</f>
        <v>241.6</v>
      </c>
      <c r="Q844" s="22">
        <f>IF(L844="","",N844-K844)</f>
        <v/>
      </c>
      <c r="R844" s="24">
        <f>IF(L844="","",M844-J844)</f>
        <v/>
      </c>
      <c r="S844" s="22">
        <f>IF(L844="",-P844,O844-P844)</f>
        <v>-241.6</v>
      </c>
      <c r="T844" s="25" t="str">
        <f>IF(L844="","NO BILL IN SUPPLIED EXPORT",IF(ABS(Q844)&gt;0.001,"RATE EXCEPTION",IF(ABS(R844)&gt;0.001,"LENGTH EXCEPTION",IF(ABS(S844)&gt;0.01,"AMOUNT EXCEPTION","OK"))))</f>
        <v>NO BILL IN SUPPLIED EXPORT</v>
      </c>
      <c r="U844" s="15" t="s">
        <v>4440</v>
      </c>
    </row>
    <row r="845" spans="1:21" ht="28" customHeight="1">
      <c r="A845" s="18" t="s">
        <v>4441</v>
      </c>
      <c r="B845" s="18" t="s">
        <v>195</v>
      </c>
      <c r="C845" s="18" t="s">
        <v>226</v>
      </c>
      <c r="D845" s="18" t="s">
        <v>227</v>
      </c>
      <c r="E845" s="18" t="s">
        <v>4442</v>
      </c>
      <c r="F845" s="19" t="s">
        <v>4443</v>
      </c>
      <c r="G845" s="19" t="s">
        <v>1626</v>
      </c>
      <c r="H845" s="24">
        <v>28</v>
      </c>
      <c r="I845" s="24">
        <v>29.7</v>
      </c>
      <c r="J845" s="24">
        <f>MAX(H845,ROUNDUP(I845,0))</f>
        <v>30</v>
      </c>
      <c r="K845" s="22">
        <f>IF(C845="covered",10.4,7.55)</f>
        <v>7.55</v>
      </c>
      <c r="L845" s="18"/>
      <c r="M845" s="24"/>
      <c r="N845" s="22"/>
      <c r="O845" s="22"/>
      <c r="P845" s="22">
        <f>J845*K845</f>
        <v>226.5</v>
      </c>
      <c r="Q845" s="22">
        <f>IF(L845="","",N845-K845)</f>
        <v/>
      </c>
      <c r="R845" s="24">
        <f>IF(L845="","",M845-J845)</f>
        <v/>
      </c>
      <c r="S845" s="22">
        <f>IF(L845="",-P845,O845-P845)</f>
        <v>-226.5</v>
      </c>
      <c r="T845" s="25" t="str">
        <f>IF(L845="","NO BILL IN SUPPLIED EXPORT",IF(ABS(Q845)&gt;0.001,"RATE EXCEPTION",IF(ABS(R845)&gt;0.001,"LENGTH EXCEPTION",IF(ABS(S845)&gt;0.01,"AMOUNT EXCEPTION","OK"))))</f>
        <v>NO BILL IN SUPPLIED EXPORT</v>
      </c>
      <c r="U845" s="19" t="s">
        <v>4444</v>
      </c>
    </row>
    <row r="846" spans="1:21" ht="28" customHeight="1">
      <c r="A846" s="14" t="s">
        <v>4445</v>
      </c>
      <c r="B846" s="14" t="s">
        <v>195</v>
      </c>
      <c r="C846" s="14" t="s">
        <v>226</v>
      </c>
      <c r="D846" s="14" t="s">
        <v>227</v>
      </c>
      <c r="E846" s="14" t="s">
        <v>4446</v>
      </c>
      <c r="F846" s="15" t="s">
        <v>4447</v>
      </c>
      <c r="G846" s="15" t="s">
        <v>382</v>
      </c>
      <c r="H846" s="24">
        <v>24</v>
      </c>
      <c r="I846" s="24">
        <v>54</v>
      </c>
      <c r="J846" s="24">
        <f>MAX(H846,ROUNDUP(I846,0))</f>
        <v>54</v>
      </c>
      <c r="K846" s="22">
        <f>IF(C846="covered",10.4,7.55)</f>
        <v>7.55</v>
      </c>
      <c r="L846" s="14"/>
      <c r="M846" s="24"/>
      <c r="N846" s="22"/>
      <c r="O846" s="22"/>
      <c r="P846" s="22">
        <f>J846*K846</f>
        <v>407.7</v>
      </c>
      <c r="Q846" s="22">
        <f>IF(L846="","",N846-K846)</f>
        <v/>
      </c>
      <c r="R846" s="24">
        <f>IF(L846="","",M846-J846)</f>
        <v/>
      </c>
      <c r="S846" s="22">
        <f>IF(L846="",-P846,O846-P846)</f>
        <v>-407.7</v>
      </c>
      <c r="T846" s="25" t="str">
        <f>IF(L846="","NO BILL IN SUPPLIED EXPORT",IF(ABS(Q846)&gt;0.001,"RATE EXCEPTION",IF(ABS(R846)&gt;0.001,"LENGTH EXCEPTION",IF(ABS(S846)&gt;0.01,"AMOUNT EXCEPTION","OK"))))</f>
        <v>NO BILL IN SUPPLIED EXPORT</v>
      </c>
      <c r="U846" s="15" t="s">
        <v>4448</v>
      </c>
    </row>
    <row r="847" spans="1:21" ht="28" customHeight="1">
      <c r="A847" s="18" t="s">
        <v>4449</v>
      </c>
      <c r="B847" s="18" t="s">
        <v>195</v>
      </c>
      <c r="C847" s="18" t="s">
        <v>226</v>
      </c>
      <c r="D847" s="18" t="s">
        <v>227</v>
      </c>
      <c r="E847" s="18" t="s">
        <v>4450</v>
      </c>
      <c r="F847" s="19" t="s">
        <v>4451</v>
      </c>
      <c r="G847" s="19" t="s">
        <v>4452</v>
      </c>
      <c r="H847" s="24">
        <v>24</v>
      </c>
      <c r="I847" s="24">
        <v>40.1</v>
      </c>
      <c r="J847" s="24">
        <f>MAX(H847,ROUNDUP(I847,0))</f>
        <v>41</v>
      </c>
      <c r="K847" s="22">
        <f>IF(C847="covered",10.4,7.55)</f>
        <v>7.55</v>
      </c>
      <c r="L847" s="18"/>
      <c r="M847" s="24"/>
      <c r="N847" s="22"/>
      <c r="O847" s="22"/>
      <c r="P847" s="22">
        <f>J847*K847</f>
        <v>309.55</v>
      </c>
      <c r="Q847" s="22">
        <f>IF(L847="","",N847-K847)</f>
        <v/>
      </c>
      <c r="R847" s="24">
        <f>IF(L847="","",M847-J847)</f>
        <v/>
      </c>
      <c r="S847" s="22">
        <f>IF(L847="",-P847,O847-P847)</f>
        <v>-309.55</v>
      </c>
      <c r="T847" s="25" t="str">
        <f>IF(L847="","NO BILL IN SUPPLIED EXPORT",IF(ABS(Q847)&gt;0.001,"RATE EXCEPTION",IF(ABS(R847)&gt;0.001,"LENGTH EXCEPTION",IF(ABS(S847)&gt;0.01,"AMOUNT EXCEPTION","OK"))))</f>
        <v>NO BILL IN SUPPLIED EXPORT</v>
      </c>
      <c r="U847" s="19" t="s">
        <v>4453</v>
      </c>
    </row>
    <row r="848" spans="1:21" ht="28" customHeight="1">
      <c r="A848" s="14" t="s">
        <v>4454</v>
      </c>
      <c r="B848" s="14" t="s">
        <v>195</v>
      </c>
      <c r="C848" s="14" t="s">
        <v>226</v>
      </c>
      <c r="D848" s="14" t="s">
        <v>227</v>
      </c>
      <c r="E848" s="14" t="s">
        <v>4455</v>
      </c>
      <c r="F848" s="15" t="s">
        <v>4456</v>
      </c>
      <c r="G848" s="15" t="s">
        <v>4457</v>
      </c>
      <c r="H848" s="24">
        <v>40</v>
      </c>
      <c r="I848" s="24">
        <v>58.8</v>
      </c>
      <c r="J848" s="24">
        <f>MAX(H848,ROUNDUP(I848,0))</f>
        <v>59</v>
      </c>
      <c r="K848" s="22">
        <f>IF(C848="covered",10.4,7.55)</f>
        <v>7.55</v>
      </c>
      <c r="L848" s="14"/>
      <c r="M848" s="24"/>
      <c r="N848" s="22"/>
      <c r="O848" s="22"/>
      <c r="P848" s="22">
        <f>J848*K848</f>
        <v>445.45</v>
      </c>
      <c r="Q848" s="22">
        <f>IF(L848="","",N848-K848)</f>
        <v/>
      </c>
      <c r="R848" s="24">
        <f>IF(L848="","",M848-J848)</f>
        <v/>
      </c>
      <c r="S848" s="22">
        <f>IF(L848="",-P848,O848-P848)</f>
        <v>-445.45</v>
      </c>
      <c r="T848" s="25" t="str">
        <f>IF(L848="","NO BILL IN SUPPLIED EXPORT",IF(ABS(Q848)&gt;0.001,"RATE EXCEPTION",IF(ABS(R848)&gt;0.001,"LENGTH EXCEPTION",IF(ABS(S848)&gt;0.01,"AMOUNT EXCEPTION","OK"))))</f>
        <v>NO BILL IN SUPPLIED EXPORT</v>
      </c>
      <c r="U848" s="15" t="s">
        <v>4458</v>
      </c>
    </row>
    <row r="849" spans="1:21" ht="28" customHeight="1">
      <c r="A849" s="18" t="s">
        <v>4459</v>
      </c>
      <c r="B849" s="18" t="s">
        <v>195</v>
      </c>
      <c r="C849" s="18" t="s">
        <v>226</v>
      </c>
      <c r="D849" s="18" t="s">
        <v>227</v>
      </c>
      <c r="E849" s="18" t="s">
        <v>4460</v>
      </c>
      <c r="F849" s="19" t="s">
        <v>4461</v>
      </c>
      <c r="G849" s="19" t="s">
        <v>4462</v>
      </c>
      <c r="H849" s="24">
        <v>32</v>
      </c>
      <c r="I849" s="24">
        <v>44.8</v>
      </c>
      <c r="J849" s="24">
        <f>MAX(H849,ROUNDUP(I849,0))</f>
        <v>45</v>
      </c>
      <c r="K849" s="22">
        <f>IF(C849="covered",10.4,7.55)</f>
        <v>7.55</v>
      </c>
      <c r="L849" s="18"/>
      <c r="M849" s="24"/>
      <c r="N849" s="22"/>
      <c r="O849" s="22"/>
      <c r="P849" s="22">
        <f>J849*K849</f>
        <v>339.75</v>
      </c>
      <c r="Q849" s="22">
        <f>IF(L849="","",N849-K849)</f>
        <v/>
      </c>
      <c r="R849" s="24">
        <f>IF(L849="","",M849-J849)</f>
        <v/>
      </c>
      <c r="S849" s="22">
        <f>IF(L849="",-P849,O849-P849)</f>
        <v>-339.75</v>
      </c>
      <c r="T849" s="25" t="str">
        <f>IF(L849="","NO BILL IN SUPPLIED EXPORT",IF(ABS(Q849)&gt;0.001,"RATE EXCEPTION",IF(ABS(R849)&gt;0.001,"LENGTH EXCEPTION",IF(ABS(S849)&gt;0.01,"AMOUNT EXCEPTION","OK"))))</f>
        <v>NO BILL IN SUPPLIED EXPORT</v>
      </c>
      <c r="U849" s="19" t="s">
        <v>4463</v>
      </c>
    </row>
    <row r="850" spans="1:21" ht="28" customHeight="1">
      <c r="A850" s="14" t="s">
        <v>4464</v>
      </c>
      <c r="B850" s="14" t="s">
        <v>195</v>
      </c>
      <c r="C850" s="14" t="s">
        <v>226</v>
      </c>
      <c r="D850" s="14" t="s">
        <v>227</v>
      </c>
      <c r="E850" s="14" t="s">
        <v>4465</v>
      </c>
      <c r="F850" s="15" t="s">
        <v>4466</v>
      </c>
      <c r="G850" s="15" t="s">
        <v>1246</v>
      </c>
      <c r="H850" s="24">
        <v>45</v>
      </c>
      <c r="I850" s="24">
        <v>34.3</v>
      </c>
      <c r="J850" s="24">
        <f>MAX(H850,ROUNDUP(I850,0))</f>
        <v>45.0</v>
      </c>
      <c r="K850" s="22">
        <f>IF(C850="covered",10.4,7.55)</f>
        <v>7.55</v>
      </c>
      <c r="L850" s="14"/>
      <c r="M850" s="24"/>
      <c r="N850" s="22"/>
      <c r="O850" s="22"/>
      <c r="P850" s="22">
        <f>J850*K850</f>
        <v>339.75</v>
      </c>
      <c r="Q850" s="22">
        <f>IF(L850="","",N850-K850)</f>
        <v/>
      </c>
      <c r="R850" s="24">
        <f>IF(L850="","",M850-J850)</f>
        <v/>
      </c>
      <c r="S850" s="22">
        <f>IF(L850="",-P850,O850-P850)</f>
        <v>-339.75</v>
      </c>
      <c r="T850" s="25" t="str">
        <f>IF(L850="","NO BILL IN SUPPLIED EXPORT",IF(ABS(Q850)&gt;0.001,"RATE EXCEPTION",IF(ABS(R850)&gt;0.001,"LENGTH EXCEPTION",IF(ABS(S850)&gt;0.01,"AMOUNT EXCEPTION","OK"))))</f>
        <v>NO BILL IN SUPPLIED EXPORT</v>
      </c>
      <c r="U850" s="15" t="s">
        <v>4467</v>
      </c>
    </row>
    <row r="851" spans="1:21" ht="28" customHeight="1">
      <c r="A851" s="18" t="s">
        <v>4468</v>
      </c>
      <c r="B851" s="18" t="s">
        <v>195</v>
      </c>
      <c r="C851" s="18" t="s">
        <v>226</v>
      </c>
      <c r="D851" s="18" t="s">
        <v>227</v>
      </c>
      <c r="E851" s="18" t="s">
        <v>4469</v>
      </c>
      <c r="F851" s="19" t="s">
        <v>4470</v>
      </c>
      <c r="G851" s="19" t="s">
        <v>600</v>
      </c>
      <c r="H851" s="24">
        <v>32</v>
      </c>
      <c r="I851" s="24">
        <v>57</v>
      </c>
      <c r="J851" s="24">
        <f>MAX(H851,ROUNDUP(I851,0))</f>
        <v>57</v>
      </c>
      <c r="K851" s="22">
        <f>IF(C851="covered",10.4,7.55)</f>
        <v>7.55</v>
      </c>
      <c r="L851" s="18"/>
      <c r="M851" s="24"/>
      <c r="N851" s="22"/>
      <c r="O851" s="22"/>
      <c r="P851" s="22">
        <f>J851*K851</f>
        <v>430.34999999999997</v>
      </c>
      <c r="Q851" s="22">
        <f>IF(L851="","",N851-K851)</f>
        <v/>
      </c>
      <c r="R851" s="24">
        <f>IF(L851="","",M851-J851)</f>
        <v/>
      </c>
      <c r="S851" s="22">
        <f>IF(L851="",-P851,O851-P851)</f>
        <v>-430.34999999999997</v>
      </c>
      <c r="T851" s="25" t="str">
        <f>IF(L851="","NO BILL IN SUPPLIED EXPORT",IF(ABS(Q851)&gt;0.001,"RATE EXCEPTION",IF(ABS(R851)&gt;0.001,"LENGTH EXCEPTION",IF(ABS(S851)&gt;0.01,"AMOUNT EXCEPTION","OK"))))</f>
        <v>NO BILL IN SUPPLIED EXPORT</v>
      </c>
      <c r="U851" s="19" t="s">
        <v>4471</v>
      </c>
    </row>
    <row r="852" spans="1:21" ht="28" customHeight="1">
      <c r="A852" s="14" t="s">
        <v>4472</v>
      </c>
      <c r="B852" s="14" t="s">
        <v>195</v>
      </c>
      <c r="C852" s="14" t="s">
        <v>226</v>
      </c>
      <c r="D852" s="14" t="s">
        <v>227</v>
      </c>
      <c r="E852" s="14" t="s">
        <v>4473</v>
      </c>
      <c r="F852" s="15" t="s">
        <v>4474</v>
      </c>
      <c r="G852" s="15" t="s">
        <v>4475</v>
      </c>
      <c r="H852" s="24">
        <v>24</v>
      </c>
      <c r="I852" s="24">
        <v>44.8</v>
      </c>
      <c r="J852" s="24">
        <f>MAX(H852,ROUNDUP(I852,0))</f>
        <v>45</v>
      </c>
      <c r="K852" s="22">
        <f>IF(C852="covered",10.4,7.55)</f>
        <v>7.55</v>
      </c>
      <c r="L852" s="14"/>
      <c r="M852" s="24"/>
      <c r="N852" s="22"/>
      <c r="O852" s="22"/>
      <c r="P852" s="22">
        <f>J852*K852</f>
        <v>339.75</v>
      </c>
      <c r="Q852" s="22">
        <f>IF(L852="","",N852-K852)</f>
        <v/>
      </c>
      <c r="R852" s="24">
        <f>IF(L852="","",M852-J852)</f>
        <v/>
      </c>
      <c r="S852" s="22">
        <f>IF(L852="",-P852,O852-P852)</f>
        <v>-339.75</v>
      </c>
      <c r="T852" s="25" t="str">
        <f>IF(L852="","NO BILL IN SUPPLIED EXPORT",IF(ABS(Q852)&gt;0.001,"RATE EXCEPTION",IF(ABS(R852)&gt;0.001,"LENGTH EXCEPTION",IF(ABS(S852)&gt;0.01,"AMOUNT EXCEPTION","OK"))))</f>
        <v>NO BILL IN SUPPLIED EXPORT</v>
      </c>
      <c r="U852" s="15" t="s">
        <v>4476</v>
      </c>
    </row>
    <row r="853" spans="1:21" ht="28" customHeight="1">
      <c r="A853" s="18" t="s">
        <v>4477</v>
      </c>
      <c r="B853" s="18" t="s">
        <v>195</v>
      </c>
      <c r="C853" s="18" t="s">
        <v>226</v>
      </c>
      <c r="D853" s="18" t="s">
        <v>227</v>
      </c>
      <c r="E853" s="18" t="s">
        <v>4478</v>
      </c>
      <c r="F853" s="19" t="s">
        <v>4479</v>
      </c>
      <c r="G853" s="19" t="s">
        <v>1663</v>
      </c>
      <c r="H853" s="24">
        <v>24</v>
      </c>
      <c r="I853" s="24">
        <v>21.9</v>
      </c>
      <c r="J853" s="24">
        <f>MAX(H853,ROUNDUP(I853,0))</f>
        <v>24.0</v>
      </c>
      <c r="K853" s="22">
        <f>IF(C853="covered",10.4,7.55)</f>
        <v>7.55</v>
      </c>
      <c r="L853" s="18"/>
      <c r="M853" s="24"/>
      <c r="N853" s="22"/>
      <c r="O853" s="22"/>
      <c r="P853" s="22">
        <f>J853*K853</f>
        <v>181.2</v>
      </c>
      <c r="Q853" s="22">
        <f>IF(L853="","",N853-K853)</f>
        <v/>
      </c>
      <c r="R853" s="24">
        <f>IF(L853="","",M853-J853)</f>
        <v/>
      </c>
      <c r="S853" s="22">
        <f>IF(L853="",-P853,O853-P853)</f>
        <v>-181.2</v>
      </c>
      <c r="T853" s="25" t="str">
        <f>IF(L853="","NO BILL IN SUPPLIED EXPORT",IF(ABS(Q853)&gt;0.001,"RATE EXCEPTION",IF(ABS(R853)&gt;0.001,"LENGTH EXCEPTION",IF(ABS(S853)&gt;0.01,"AMOUNT EXCEPTION","OK"))))</f>
        <v>NO BILL IN SUPPLIED EXPORT</v>
      </c>
      <c r="U853" s="19" t="s">
        <v>4480</v>
      </c>
    </row>
    <row r="854" spans="1:21" ht="28" customHeight="1">
      <c r="A854" s="14" t="s">
        <v>4481</v>
      </c>
      <c r="B854" s="14" t="s">
        <v>195</v>
      </c>
      <c r="C854" s="14" t="s">
        <v>226</v>
      </c>
      <c r="D854" s="14" t="s">
        <v>227</v>
      </c>
      <c r="E854" s="14" t="s">
        <v>4482</v>
      </c>
      <c r="F854" s="15" t="s">
        <v>4483</v>
      </c>
      <c r="G854" s="15" t="s">
        <v>4484</v>
      </c>
      <c r="H854" s="24">
        <v>28</v>
      </c>
      <c r="I854" s="24">
        <v>61.1</v>
      </c>
      <c r="J854" s="24">
        <f>MAX(H854,ROUNDUP(I854,0))</f>
        <v>62</v>
      </c>
      <c r="K854" s="22">
        <f>IF(C854="covered",10.4,7.55)</f>
        <v>7.55</v>
      </c>
      <c r="L854" s="14"/>
      <c r="M854" s="24"/>
      <c r="N854" s="22"/>
      <c r="O854" s="22"/>
      <c r="P854" s="22">
        <f>J854*K854</f>
        <v>468.09999999999997</v>
      </c>
      <c r="Q854" s="22">
        <f>IF(L854="","",N854-K854)</f>
        <v/>
      </c>
      <c r="R854" s="24">
        <f>IF(L854="","",M854-J854)</f>
        <v/>
      </c>
      <c r="S854" s="22">
        <f>IF(L854="",-P854,O854-P854)</f>
        <v>-468.09999999999997</v>
      </c>
      <c r="T854" s="25" t="str">
        <f>IF(L854="","NO BILL IN SUPPLIED EXPORT",IF(ABS(Q854)&gt;0.001,"RATE EXCEPTION",IF(ABS(R854)&gt;0.001,"LENGTH EXCEPTION",IF(ABS(S854)&gt;0.01,"AMOUNT EXCEPTION","OK"))))</f>
        <v>NO BILL IN SUPPLIED EXPORT</v>
      </c>
      <c r="U854" s="15" t="s">
        <v>4485</v>
      </c>
    </row>
    <row r="855" spans="1:21" ht="28" customHeight="1">
      <c r="A855" s="18" t="s">
        <v>4486</v>
      </c>
      <c r="B855" s="18" t="s">
        <v>195</v>
      </c>
      <c r="C855" s="18" t="s">
        <v>226</v>
      </c>
      <c r="D855" s="18" t="s">
        <v>227</v>
      </c>
      <c r="E855" s="18" t="s">
        <v>4487</v>
      </c>
      <c r="F855" s="19" t="s">
        <v>4488</v>
      </c>
      <c r="G855" s="19" t="s">
        <v>4489</v>
      </c>
      <c r="H855" s="24">
        <v>28</v>
      </c>
      <c r="I855" s="24">
        <v>22.2</v>
      </c>
      <c r="J855" s="24">
        <f>MAX(H855,ROUNDUP(I855,0))</f>
        <v>28.0</v>
      </c>
      <c r="K855" s="22">
        <f>IF(C855="covered",10.4,7.55)</f>
        <v>7.55</v>
      </c>
      <c r="L855" s="18"/>
      <c r="M855" s="24"/>
      <c r="N855" s="22"/>
      <c r="O855" s="22"/>
      <c r="P855" s="22">
        <f>J855*K855</f>
        <v>211.4</v>
      </c>
      <c r="Q855" s="22">
        <f>IF(L855="","",N855-K855)</f>
        <v/>
      </c>
      <c r="R855" s="24">
        <f>IF(L855="","",M855-J855)</f>
        <v/>
      </c>
      <c r="S855" s="22">
        <f>IF(L855="",-P855,O855-P855)</f>
        <v>-211.4</v>
      </c>
      <c r="T855" s="25" t="str">
        <f>IF(L855="","NO BILL IN SUPPLIED EXPORT",IF(ABS(Q855)&gt;0.001,"RATE EXCEPTION",IF(ABS(R855)&gt;0.001,"LENGTH EXCEPTION",IF(ABS(S855)&gt;0.01,"AMOUNT EXCEPTION","OK"))))</f>
        <v>NO BILL IN SUPPLIED EXPORT</v>
      </c>
      <c r="U855" s="19" t="s">
        <v>4490</v>
      </c>
    </row>
    <row r="856" spans="1:21" ht="28" customHeight="1">
      <c r="A856" s="14" t="s">
        <v>4491</v>
      </c>
      <c r="B856" s="14" t="s">
        <v>195</v>
      </c>
      <c r="C856" s="14" t="s">
        <v>226</v>
      </c>
      <c r="D856" s="14" t="s">
        <v>227</v>
      </c>
      <c r="E856" s="14" t="s">
        <v>4492</v>
      </c>
      <c r="F856" s="15" t="s">
        <v>4493</v>
      </c>
      <c r="G856" s="15" t="s">
        <v>588</v>
      </c>
      <c r="H856" s="24">
        <v>45</v>
      </c>
      <c r="I856" s="24">
        <v>21.2</v>
      </c>
      <c r="J856" s="24">
        <f>MAX(H856,ROUNDUP(I856,0))</f>
        <v>45.0</v>
      </c>
      <c r="K856" s="22">
        <f>IF(C856="covered",10.4,7.55)</f>
        <v>7.55</v>
      </c>
      <c r="L856" s="14"/>
      <c r="M856" s="24"/>
      <c r="N856" s="22"/>
      <c r="O856" s="22"/>
      <c r="P856" s="22">
        <f>J856*K856</f>
        <v>339.75</v>
      </c>
      <c r="Q856" s="22">
        <f>IF(L856="","",N856-K856)</f>
        <v/>
      </c>
      <c r="R856" s="24">
        <f>IF(L856="","",M856-J856)</f>
        <v/>
      </c>
      <c r="S856" s="22">
        <f>IF(L856="",-P856,O856-P856)</f>
        <v>-339.75</v>
      </c>
      <c r="T856" s="25" t="str">
        <f>IF(L856="","NO BILL IN SUPPLIED EXPORT",IF(ABS(Q856)&gt;0.001,"RATE EXCEPTION",IF(ABS(R856)&gt;0.001,"LENGTH EXCEPTION",IF(ABS(S856)&gt;0.01,"AMOUNT EXCEPTION","OK"))))</f>
        <v>NO BILL IN SUPPLIED EXPORT</v>
      </c>
      <c r="U856" s="15" t="s">
        <v>4494</v>
      </c>
    </row>
    <row r="857" spans="1:21" ht="28" customHeight="1">
      <c r="A857" s="18" t="s">
        <v>4495</v>
      </c>
      <c r="B857" s="18" t="s">
        <v>195</v>
      </c>
      <c r="C857" s="18" t="s">
        <v>226</v>
      </c>
      <c r="D857" s="18" t="s">
        <v>227</v>
      </c>
      <c r="E857" s="18" t="s">
        <v>4496</v>
      </c>
      <c r="F857" s="19" t="s">
        <v>4497</v>
      </c>
      <c r="G857" s="19" t="s">
        <v>230</v>
      </c>
      <c r="H857" s="24">
        <v>40</v>
      </c>
      <c r="I857" s="24">
        <v>34.1</v>
      </c>
      <c r="J857" s="24">
        <f>MAX(H857,ROUNDUP(I857,0))</f>
        <v>40.0</v>
      </c>
      <c r="K857" s="22">
        <f>IF(C857="covered",10.4,7.55)</f>
        <v>7.55</v>
      </c>
      <c r="L857" s="18"/>
      <c r="M857" s="24"/>
      <c r="N857" s="22"/>
      <c r="O857" s="22"/>
      <c r="P857" s="22">
        <f>J857*K857</f>
        <v>302.0</v>
      </c>
      <c r="Q857" s="22">
        <f>IF(L857="","",N857-K857)</f>
        <v/>
      </c>
      <c r="R857" s="24">
        <f>IF(L857="","",M857-J857)</f>
        <v/>
      </c>
      <c r="S857" s="22">
        <f>IF(L857="",-P857,O857-P857)</f>
        <v>-302.0</v>
      </c>
      <c r="T857" s="25" t="str">
        <f>IF(L857="","NO BILL IN SUPPLIED EXPORT",IF(ABS(Q857)&gt;0.001,"RATE EXCEPTION",IF(ABS(R857)&gt;0.001,"LENGTH EXCEPTION",IF(ABS(S857)&gt;0.01,"AMOUNT EXCEPTION","OK"))))</f>
        <v>NO BILL IN SUPPLIED EXPORT</v>
      </c>
      <c r="U857" s="19" t="s">
        <v>4498</v>
      </c>
    </row>
    <row r="858" spans="1:21" ht="28" customHeight="1">
      <c r="A858" s="14" t="s">
        <v>4499</v>
      </c>
      <c r="B858" s="14" t="s">
        <v>195</v>
      </c>
      <c r="C858" s="14" t="s">
        <v>226</v>
      </c>
      <c r="D858" s="14" t="s">
        <v>227</v>
      </c>
      <c r="E858" s="14" t="s">
        <v>4500</v>
      </c>
      <c r="F858" s="15" t="s">
        <v>4501</v>
      </c>
      <c r="G858" s="15" t="s">
        <v>2395</v>
      </c>
      <c r="H858" s="24">
        <v>32</v>
      </c>
      <c r="I858" s="24">
        <v>22.1</v>
      </c>
      <c r="J858" s="24">
        <f>MAX(H858,ROUNDUP(I858,0))</f>
        <v>32.0</v>
      </c>
      <c r="K858" s="22">
        <f>IF(C858="covered",10.4,7.55)</f>
        <v>7.55</v>
      </c>
      <c r="L858" s="14"/>
      <c r="M858" s="24"/>
      <c r="N858" s="22"/>
      <c r="O858" s="22"/>
      <c r="P858" s="22">
        <f>J858*K858</f>
        <v>241.6</v>
      </c>
      <c r="Q858" s="22">
        <f>IF(L858="","",N858-K858)</f>
        <v/>
      </c>
      <c r="R858" s="24">
        <f>IF(L858="","",M858-J858)</f>
        <v/>
      </c>
      <c r="S858" s="22">
        <f>IF(L858="",-P858,O858-P858)</f>
        <v>-241.6</v>
      </c>
      <c r="T858" s="25" t="str">
        <f>IF(L858="","NO BILL IN SUPPLIED EXPORT",IF(ABS(Q858)&gt;0.001,"RATE EXCEPTION",IF(ABS(R858)&gt;0.001,"LENGTH EXCEPTION",IF(ABS(S858)&gt;0.01,"AMOUNT EXCEPTION","OK"))))</f>
        <v>NO BILL IN SUPPLIED EXPORT</v>
      </c>
      <c r="U858" s="15" t="s">
        <v>4502</v>
      </c>
    </row>
    <row r="859" spans="1:21" ht="28" customHeight="1">
      <c r="A859" s="18" t="s">
        <v>4503</v>
      </c>
      <c r="B859" s="18" t="s">
        <v>195</v>
      </c>
      <c r="C859" s="18" t="s">
        <v>226</v>
      </c>
      <c r="D859" s="18" t="s">
        <v>227</v>
      </c>
      <c r="E859" s="18" t="s">
        <v>4504</v>
      </c>
      <c r="F859" s="19" t="s">
        <v>4505</v>
      </c>
      <c r="G859" s="19" t="s">
        <v>2591</v>
      </c>
      <c r="H859" s="24">
        <v>24</v>
      </c>
      <c r="I859" s="24">
        <v>24.6</v>
      </c>
      <c r="J859" s="24">
        <f>MAX(H859,ROUNDUP(I859,0))</f>
        <v>25</v>
      </c>
      <c r="K859" s="22">
        <f>IF(C859="covered",10.4,7.55)</f>
        <v>7.55</v>
      </c>
      <c r="L859" s="18"/>
      <c r="M859" s="24"/>
      <c r="N859" s="22"/>
      <c r="O859" s="22"/>
      <c r="P859" s="22">
        <f>J859*K859</f>
        <v>188.75</v>
      </c>
      <c r="Q859" s="22">
        <f>IF(L859="","",N859-K859)</f>
        <v/>
      </c>
      <c r="R859" s="24">
        <f>IF(L859="","",M859-J859)</f>
        <v/>
      </c>
      <c r="S859" s="22">
        <f>IF(L859="",-P859,O859-P859)</f>
        <v>-188.75</v>
      </c>
      <c r="T859" s="25" t="str">
        <f>IF(L859="","NO BILL IN SUPPLIED EXPORT",IF(ABS(Q859)&gt;0.001,"RATE EXCEPTION",IF(ABS(R859)&gt;0.001,"LENGTH EXCEPTION",IF(ABS(S859)&gt;0.01,"AMOUNT EXCEPTION","OK"))))</f>
        <v>NO BILL IN SUPPLIED EXPORT</v>
      </c>
      <c r="U859" s="19" t="s">
        <v>4506</v>
      </c>
    </row>
    <row r="860" spans="1:21" ht="28" customHeight="1">
      <c r="A860" s="14" t="s">
        <v>4507</v>
      </c>
      <c r="B860" s="14" t="s">
        <v>195</v>
      </c>
      <c r="C860" s="14" t="s">
        <v>226</v>
      </c>
      <c r="D860" s="14" t="s">
        <v>227</v>
      </c>
      <c r="E860" s="14" t="s">
        <v>4508</v>
      </c>
      <c r="F860" s="15" t="s">
        <v>4509</v>
      </c>
      <c r="G860" s="15" t="s">
        <v>2708</v>
      </c>
      <c r="H860" s="24">
        <v>28</v>
      </c>
      <c r="I860" s="24">
        <v>52.3</v>
      </c>
      <c r="J860" s="24">
        <f>MAX(H860,ROUNDUP(I860,0))</f>
        <v>53</v>
      </c>
      <c r="K860" s="22">
        <f>IF(C860="covered",10.4,7.55)</f>
        <v>7.55</v>
      </c>
      <c r="L860" s="14"/>
      <c r="M860" s="24"/>
      <c r="N860" s="22"/>
      <c r="O860" s="22"/>
      <c r="P860" s="22">
        <f>J860*K860</f>
        <v>400.15</v>
      </c>
      <c r="Q860" s="22">
        <f>IF(L860="","",N860-K860)</f>
        <v/>
      </c>
      <c r="R860" s="24">
        <f>IF(L860="","",M860-J860)</f>
        <v/>
      </c>
      <c r="S860" s="22">
        <f>IF(L860="",-P860,O860-P860)</f>
        <v>-400.15</v>
      </c>
      <c r="T860" s="25" t="str">
        <f>IF(L860="","NO BILL IN SUPPLIED EXPORT",IF(ABS(Q860)&gt;0.001,"RATE EXCEPTION",IF(ABS(R860)&gt;0.001,"LENGTH EXCEPTION",IF(ABS(S860)&gt;0.01,"AMOUNT EXCEPTION","OK"))))</f>
        <v>NO BILL IN SUPPLIED EXPORT</v>
      </c>
      <c r="U860" s="15" t="s">
        <v>4510</v>
      </c>
    </row>
    <row r="861" spans="1:21" ht="28" customHeight="1">
      <c r="A861" s="18" t="s">
        <v>4511</v>
      </c>
      <c r="B861" s="18" t="s">
        <v>195</v>
      </c>
      <c r="C861" s="18" t="s">
        <v>226</v>
      </c>
      <c r="D861" s="18" t="s">
        <v>227</v>
      </c>
      <c r="E861" s="18" t="s">
        <v>4512</v>
      </c>
      <c r="F861" s="19" t="s">
        <v>4513</v>
      </c>
      <c r="G861" s="19" t="s">
        <v>2799</v>
      </c>
      <c r="H861" s="24">
        <v>70</v>
      </c>
      <c r="I861" s="24">
        <v>25.9</v>
      </c>
      <c r="J861" s="24">
        <f>MAX(H861,ROUNDUP(I861,0))</f>
        <v>70.0</v>
      </c>
      <c r="K861" s="22">
        <f>IF(C861="covered",10.4,7.55)</f>
        <v>7.55</v>
      </c>
      <c r="L861" s="18"/>
      <c r="M861" s="24"/>
      <c r="N861" s="22"/>
      <c r="O861" s="22"/>
      <c r="P861" s="22">
        <f>J861*K861</f>
        <v>528.5</v>
      </c>
      <c r="Q861" s="22">
        <f>IF(L861="","",N861-K861)</f>
        <v/>
      </c>
      <c r="R861" s="24">
        <f>IF(L861="","",M861-J861)</f>
        <v/>
      </c>
      <c r="S861" s="22">
        <f>IF(L861="",-P861,O861-P861)</f>
        <v>-528.5</v>
      </c>
      <c r="T861" s="25" t="str">
        <f>IF(L861="","NO BILL IN SUPPLIED EXPORT",IF(ABS(Q861)&gt;0.001,"RATE EXCEPTION",IF(ABS(R861)&gt;0.001,"LENGTH EXCEPTION",IF(ABS(S861)&gt;0.01,"AMOUNT EXCEPTION","OK"))))</f>
        <v>NO BILL IN SUPPLIED EXPORT</v>
      </c>
      <c r="U861" s="19" t="s">
        <v>4514</v>
      </c>
    </row>
    <row r="862" spans="1:21" ht="28" customHeight="1">
      <c r="A862" s="14" t="s">
        <v>4515</v>
      </c>
      <c r="B862" s="14" t="s">
        <v>195</v>
      </c>
      <c r="C862" s="14" t="s">
        <v>226</v>
      </c>
      <c r="D862" s="14" t="s">
        <v>227</v>
      </c>
      <c r="E862" s="14" t="s">
        <v>4516</v>
      </c>
      <c r="F862" s="15" t="s">
        <v>4517</v>
      </c>
      <c r="G862" s="15" t="s">
        <v>341</v>
      </c>
      <c r="H862" s="24">
        <v>28</v>
      </c>
      <c r="I862" s="24">
        <v>46.5</v>
      </c>
      <c r="J862" s="24">
        <f>MAX(H862,ROUNDUP(I862,0))</f>
        <v>47</v>
      </c>
      <c r="K862" s="22">
        <f>IF(C862="covered",10.4,7.55)</f>
        <v>7.55</v>
      </c>
      <c r="L862" s="14"/>
      <c r="M862" s="24"/>
      <c r="N862" s="22"/>
      <c r="O862" s="22"/>
      <c r="P862" s="22">
        <f>J862*K862</f>
        <v>354.84999999999997</v>
      </c>
      <c r="Q862" s="22">
        <f>IF(L862="","",N862-K862)</f>
        <v/>
      </c>
      <c r="R862" s="24">
        <f>IF(L862="","",M862-J862)</f>
        <v/>
      </c>
      <c r="S862" s="22">
        <f>IF(L862="",-P862,O862-P862)</f>
        <v>-354.84999999999997</v>
      </c>
      <c r="T862" s="25" t="str">
        <f>IF(L862="","NO BILL IN SUPPLIED EXPORT",IF(ABS(Q862)&gt;0.001,"RATE EXCEPTION",IF(ABS(R862)&gt;0.001,"LENGTH EXCEPTION",IF(ABS(S862)&gt;0.01,"AMOUNT EXCEPTION","OK"))))</f>
        <v>NO BILL IN SUPPLIED EXPORT</v>
      </c>
      <c r="U862" s="15" t="s">
        <v>4518</v>
      </c>
    </row>
    <row r="863" spans="1:21" ht="28" customHeight="1">
      <c r="A863" s="18" t="s">
        <v>4519</v>
      </c>
      <c r="B863" s="18" t="s">
        <v>195</v>
      </c>
      <c r="C863" s="18" t="s">
        <v>226</v>
      </c>
      <c r="D863" s="18" t="s">
        <v>227</v>
      </c>
      <c r="E863" s="18" t="s">
        <v>4520</v>
      </c>
      <c r="F863" s="19" t="s">
        <v>4521</v>
      </c>
      <c r="G863" s="19" t="s">
        <v>4522</v>
      </c>
      <c r="H863" s="24">
        <v>70</v>
      </c>
      <c r="I863" s="24">
        <v>28</v>
      </c>
      <c r="J863" s="24">
        <f>MAX(H863,ROUNDUP(I863,0))</f>
        <v>70.0</v>
      </c>
      <c r="K863" s="22">
        <f>IF(C863="covered",10.4,7.55)</f>
        <v>7.55</v>
      </c>
      <c r="L863" s="18"/>
      <c r="M863" s="24"/>
      <c r="N863" s="22"/>
      <c r="O863" s="22"/>
      <c r="P863" s="22">
        <f>J863*K863</f>
        <v>528.5</v>
      </c>
      <c r="Q863" s="22">
        <f>IF(L863="","",N863-K863)</f>
        <v/>
      </c>
      <c r="R863" s="24">
        <f>IF(L863="","",M863-J863)</f>
        <v/>
      </c>
      <c r="S863" s="22">
        <f>IF(L863="",-P863,O863-P863)</f>
        <v>-528.5</v>
      </c>
      <c r="T863" s="25" t="str">
        <f>IF(L863="","NO BILL IN SUPPLIED EXPORT",IF(ABS(Q863)&gt;0.001,"RATE EXCEPTION",IF(ABS(R863)&gt;0.001,"LENGTH EXCEPTION",IF(ABS(S863)&gt;0.01,"AMOUNT EXCEPTION","OK"))))</f>
        <v>NO BILL IN SUPPLIED EXPORT</v>
      </c>
      <c r="U863" s="19" t="s">
        <v>4523</v>
      </c>
    </row>
    <row r="864" spans="1:21" ht="28" customHeight="1">
      <c r="A864" s="14" t="s">
        <v>4524</v>
      </c>
      <c r="B864" s="14" t="s">
        <v>195</v>
      </c>
      <c r="C864" s="14" t="s">
        <v>226</v>
      </c>
      <c r="D864" s="14" t="s">
        <v>227</v>
      </c>
      <c r="E864" s="14" t="s">
        <v>4525</v>
      </c>
      <c r="F864" s="15" t="s">
        <v>4526</v>
      </c>
      <c r="G864" s="15" t="s">
        <v>692</v>
      </c>
      <c r="H864" s="24">
        <v>24</v>
      </c>
      <c r="I864" s="24">
        <v>25.9</v>
      </c>
      <c r="J864" s="24">
        <f>MAX(H864,ROUNDUP(I864,0))</f>
        <v>26</v>
      </c>
      <c r="K864" s="22">
        <f>IF(C864="covered",10.4,7.55)</f>
        <v>7.55</v>
      </c>
      <c r="L864" s="14"/>
      <c r="M864" s="24"/>
      <c r="N864" s="22"/>
      <c r="O864" s="22"/>
      <c r="P864" s="22">
        <f>J864*K864</f>
        <v>196.29999999999998</v>
      </c>
      <c r="Q864" s="22">
        <f>IF(L864="","",N864-K864)</f>
        <v/>
      </c>
      <c r="R864" s="24">
        <f>IF(L864="","",M864-J864)</f>
        <v/>
      </c>
      <c r="S864" s="22">
        <f>IF(L864="",-P864,O864-P864)</f>
        <v>-196.29999999999998</v>
      </c>
      <c r="T864" s="25" t="str">
        <f>IF(L864="","NO BILL IN SUPPLIED EXPORT",IF(ABS(Q864)&gt;0.001,"RATE EXCEPTION",IF(ABS(R864)&gt;0.001,"LENGTH EXCEPTION",IF(ABS(S864)&gt;0.01,"AMOUNT EXCEPTION","OK"))))</f>
        <v>NO BILL IN SUPPLIED EXPORT</v>
      </c>
      <c r="U864" s="15" t="s">
        <v>4527</v>
      </c>
    </row>
    <row r="865" spans="1:21" ht="28" customHeight="1">
      <c r="A865" s="18" t="s">
        <v>4528</v>
      </c>
      <c r="B865" s="18" t="s">
        <v>195</v>
      </c>
      <c r="C865" s="18" t="s">
        <v>226</v>
      </c>
      <c r="D865" s="18" t="s">
        <v>227</v>
      </c>
      <c r="E865" s="18" t="s">
        <v>4529</v>
      </c>
      <c r="F865" s="19" t="s">
        <v>4530</v>
      </c>
      <c r="G865" s="19" t="s">
        <v>4462</v>
      </c>
      <c r="H865" s="24">
        <v>40</v>
      </c>
      <c r="I865" s="24">
        <v>47.3</v>
      </c>
      <c r="J865" s="24">
        <f>MAX(H865,ROUNDUP(I865,0))</f>
        <v>48</v>
      </c>
      <c r="K865" s="22">
        <f>IF(C865="covered",10.4,7.55)</f>
        <v>7.55</v>
      </c>
      <c r="L865" s="18"/>
      <c r="M865" s="24"/>
      <c r="N865" s="22"/>
      <c r="O865" s="22"/>
      <c r="P865" s="22">
        <f>J865*K865</f>
        <v>362.4</v>
      </c>
      <c r="Q865" s="22">
        <f>IF(L865="","",N865-K865)</f>
        <v/>
      </c>
      <c r="R865" s="24">
        <f>IF(L865="","",M865-J865)</f>
        <v/>
      </c>
      <c r="S865" s="22">
        <f>IF(L865="",-P865,O865-P865)</f>
        <v>-362.4</v>
      </c>
      <c r="T865" s="25" t="str">
        <f>IF(L865="","NO BILL IN SUPPLIED EXPORT",IF(ABS(Q865)&gt;0.001,"RATE EXCEPTION",IF(ABS(R865)&gt;0.001,"LENGTH EXCEPTION",IF(ABS(S865)&gt;0.01,"AMOUNT EXCEPTION","OK"))))</f>
        <v>NO BILL IN SUPPLIED EXPORT</v>
      </c>
      <c r="U865" s="19" t="s">
        <v>4531</v>
      </c>
    </row>
    <row r="866" spans="1:21" ht="28" customHeight="1">
      <c r="A866" s="14" t="s">
        <v>4532</v>
      </c>
      <c r="B866" s="14" t="s">
        <v>195</v>
      </c>
      <c r="C866" s="14" t="s">
        <v>226</v>
      </c>
      <c r="D866" s="14" t="s">
        <v>227</v>
      </c>
      <c r="E866" s="14" t="s">
        <v>4533</v>
      </c>
      <c r="F866" s="15" t="s">
        <v>4534</v>
      </c>
      <c r="G866" s="15" t="s">
        <v>477</v>
      </c>
      <c r="H866" s="24">
        <v>36</v>
      </c>
      <c r="I866" s="24">
        <v>26.8</v>
      </c>
      <c r="J866" s="24">
        <f>MAX(H866,ROUNDUP(I866,0))</f>
        <v>36.0</v>
      </c>
      <c r="K866" s="22">
        <f>IF(C866="covered",10.4,7.55)</f>
        <v>7.55</v>
      </c>
      <c r="L866" s="14"/>
      <c r="M866" s="24"/>
      <c r="N866" s="22"/>
      <c r="O866" s="22"/>
      <c r="P866" s="22">
        <f>J866*K866</f>
        <v>271.8</v>
      </c>
      <c r="Q866" s="22">
        <f>IF(L866="","",N866-K866)</f>
        <v/>
      </c>
      <c r="R866" s="24">
        <f>IF(L866="","",M866-J866)</f>
        <v/>
      </c>
      <c r="S866" s="22">
        <f>IF(L866="",-P866,O866-P866)</f>
        <v>-271.8</v>
      </c>
      <c r="T866" s="25" t="str">
        <f>IF(L866="","NO BILL IN SUPPLIED EXPORT",IF(ABS(Q866)&gt;0.001,"RATE EXCEPTION",IF(ABS(R866)&gt;0.001,"LENGTH EXCEPTION",IF(ABS(S866)&gt;0.01,"AMOUNT EXCEPTION","OK"))))</f>
        <v>NO BILL IN SUPPLIED EXPORT</v>
      </c>
      <c r="U866" s="15" t="s">
        <v>4535</v>
      </c>
    </row>
    <row r="867" spans="1:21" ht="28" customHeight="1">
      <c r="A867" s="18" t="s">
        <v>4536</v>
      </c>
      <c r="B867" s="18" t="s">
        <v>195</v>
      </c>
      <c r="C867" s="18" t="s">
        <v>226</v>
      </c>
      <c r="D867" s="18" t="s">
        <v>227</v>
      </c>
      <c r="E867" s="18" t="s">
        <v>4537</v>
      </c>
      <c r="F867" s="19" t="s">
        <v>4538</v>
      </c>
      <c r="G867" s="19" t="s">
        <v>4102</v>
      </c>
      <c r="H867" s="24">
        <v>32</v>
      </c>
      <c r="I867" s="24">
        <v>34.6</v>
      </c>
      <c r="J867" s="24">
        <f>MAX(H867,ROUNDUP(I867,0))</f>
        <v>35</v>
      </c>
      <c r="K867" s="22">
        <f>IF(C867="covered",10.4,7.55)</f>
        <v>7.55</v>
      </c>
      <c r="L867" s="18"/>
      <c r="M867" s="24"/>
      <c r="N867" s="22"/>
      <c r="O867" s="22"/>
      <c r="P867" s="22">
        <f>J867*K867</f>
        <v>264.25</v>
      </c>
      <c r="Q867" s="22">
        <f>IF(L867="","",N867-K867)</f>
        <v/>
      </c>
      <c r="R867" s="24">
        <f>IF(L867="","",M867-J867)</f>
        <v/>
      </c>
      <c r="S867" s="22">
        <f>IF(L867="",-P867,O867-P867)</f>
        <v>-264.25</v>
      </c>
      <c r="T867" s="25" t="str">
        <f>IF(L867="","NO BILL IN SUPPLIED EXPORT",IF(ABS(Q867)&gt;0.001,"RATE EXCEPTION",IF(ABS(R867)&gt;0.001,"LENGTH EXCEPTION",IF(ABS(S867)&gt;0.01,"AMOUNT EXCEPTION","OK"))))</f>
        <v>NO BILL IN SUPPLIED EXPORT</v>
      </c>
      <c r="U867" s="19" t="s">
        <v>4539</v>
      </c>
    </row>
    <row r="868" spans="1:21" ht="28" customHeight="1">
      <c r="A868" s="14" t="s">
        <v>4540</v>
      </c>
      <c r="B868" s="14" t="s">
        <v>195</v>
      </c>
      <c r="C868" s="14" t="s">
        <v>226</v>
      </c>
      <c r="D868" s="14" t="s">
        <v>227</v>
      </c>
      <c r="E868" s="14" t="s">
        <v>4541</v>
      </c>
      <c r="F868" s="15" t="s">
        <v>4542</v>
      </c>
      <c r="G868" s="15" t="s">
        <v>1168</v>
      </c>
      <c r="H868" s="24">
        <v>24</v>
      </c>
      <c r="I868" s="24">
        <v>43.8</v>
      </c>
      <c r="J868" s="24">
        <f>MAX(H868,ROUNDUP(I868,0))</f>
        <v>44</v>
      </c>
      <c r="K868" s="22">
        <f>IF(C868="covered",10.4,7.55)</f>
        <v>7.55</v>
      </c>
      <c r="L868" s="14"/>
      <c r="M868" s="24"/>
      <c r="N868" s="22"/>
      <c r="O868" s="22"/>
      <c r="P868" s="22">
        <f>J868*K868</f>
        <v>332.2</v>
      </c>
      <c r="Q868" s="22">
        <f>IF(L868="","",N868-K868)</f>
        <v/>
      </c>
      <c r="R868" s="24">
        <f>IF(L868="","",M868-J868)</f>
        <v/>
      </c>
      <c r="S868" s="22">
        <f>IF(L868="",-P868,O868-P868)</f>
        <v>-332.2</v>
      </c>
      <c r="T868" s="25" t="str">
        <f>IF(L868="","NO BILL IN SUPPLIED EXPORT",IF(ABS(Q868)&gt;0.001,"RATE EXCEPTION",IF(ABS(R868)&gt;0.001,"LENGTH EXCEPTION",IF(ABS(S868)&gt;0.01,"AMOUNT EXCEPTION","OK"))))</f>
        <v>NO BILL IN SUPPLIED EXPORT</v>
      </c>
      <c r="U868" s="15" t="s">
        <v>4543</v>
      </c>
    </row>
    <row r="869" spans="1:21" ht="28" customHeight="1">
      <c r="A869" s="18" t="s">
        <v>4544</v>
      </c>
      <c r="B869" s="18" t="s">
        <v>195</v>
      </c>
      <c r="C869" s="18" t="s">
        <v>226</v>
      </c>
      <c r="D869" s="18" t="s">
        <v>227</v>
      </c>
      <c r="E869" s="18" t="s">
        <v>4545</v>
      </c>
      <c r="F869" s="19" t="s">
        <v>4546</v>
      </c>
      <c r="G869" s="19" t="s">
        <v>1216</v>
      </c>
      <c r="H869" s="24">
        <v>45</v>
      </c>
      <c r="I869" s="24">
        <v>44.7</v>
      </c>
      <c r="J869" s="24">
        <f>MAX(H869,ROUNDUP(I869,0))</f>
        <v>45.0</v>
      </c>
      <c r="K869" s="22">
        <f>IF(C869="covered",10.4,7.55)</f>
        <v>7.55</v>
      </c>
      <c r="L869" s="18"/>
      <c r="M869" s="24"/>
      <c r="N869" s="22"/>
      <c r="O869" s="22"/>
      <c r="P869" s="22">
        <f>J869*K869</f>
        <v>339.75</v>
      </c>
      <c r="Q869" s="22">
        <f>IF(L869="","",N869-K869)</f>
        <v/>
      </c>
      <c r="R869" s="24">
        <f>IF(L869="","",M869-J869)</f>
        <v/>
      </c>
      <c r="S869" s="22">
        <f>IF(L869="",-P869,O869-P869)</f>
        <v>-339.75</v>
      </c>
      <c r="T869" s="25" t="str">
        <f>IF(L869="","NO BILL IN SUPPLIED EXPORT",IF(ABS(Q869)&gt;0.001,"RATE EXCEPTION",IF(ABS(R869)&gt;0.001,"LENGTH EXCEPTION",IF(ABS(S869)&gt;0.01,"AMOUNT EXCEPTION","OK"))))</f>
        <v>NO BILL IN SUPPLIED EXPORT</v>
      </c>
      <c r="U869" s="19" t="s">
        <v>4547</v>
      </c>
    </row>
    <row r="870" spans="1:21" ht="28" customHeight="1">
      <c r="A870" s="14" t="s">
        <v>4548</v>
      </c>
      <c r="B870" s="14" t="s">
        <v>195</v>
      </c>
      <c r="C870" s="14" t="s">
        <v>226</v>
      </c>
      <c r="D870" s="14" t="s">
        <v>227</v>
      </c>
      <c r="E870" s="14" t="s">
        <v>4549</v>
      </c>
      <c r="F870" s="15" t="s">
        <v>4550</v>
      </c>
      <c r="G870" s="15" t="s">
        <v>4551</v>
      </c>
      <c r="H870" s="24">
        <v>80</v>
      </c>
      <c r="I870" s="24">
        <v>31.9</v>
      </c>
      <c r="J870" s="24">
        <f>MAX(H870,ROUNDUP(I870,0))</f>
        <v>80.0</v>
      </c>
      <c r="K870" s="22">
        <f>IF(C870="covered",10.4,7.55)</f>
        <v>7.55</v>
      </c>
      <c r="L870" s="14"/>
      <c r="M870" s="24"/>
      <c r="N870" s="22"/>
      <c r="O870" s="22"/>
      <c r="P870" s="22">
        <f>J870*K870</f>
        <v>604.0</v>
      </c>
      <c r="Q870" s="22">
        <f>IF(L870="","",N870-K870)</f>
        <v/>
      </c>
      <c r="R870" s="24">
        <f>IF(L870="","",M870-J870)</f>
        <v/>
      </c>
      <c r="S870" s="22">
        <f>IF(L870="",-P870,O870-P870)</f>
        <v>-604.0</v>
      </c>
      <c r="T870" s="25" t="str">
        <f>IF(L870="","NO BILL IN SUPPLIED EXPORT",IF(ABS(Q870)&gt;0.001,"RATE EXCEPTION",IF(ABS(R870)&gt;0.001,"LENGTH EXCEPTION",IF(ABS(S870)&gt;0.01,"AMOUNT EXCEPTION","OK"))))</f>
        <v>NO BILL IN SUPPLIED EXPORT</v>
      </c>
      <c r="U870" s="15" t="s">
        <v>4552</v>
      </c>
    </row>
    <row r="871" spans="1:21" ht="28" customHeight="1">
      <c r="A871" s="18" t="s">
        <v>4553</v>
      </c>
      <c r="B871" s="18" t="s">
        <v>195</v>
      </c>
      <c r="C871" s="18" t="s">
        <v>226</v>
      </c>
      <c r="D871" s="18" t="s">
        <v>227</v>
      </c>
      <c r="E871" s="18" t="s">
        <v>4554</v>
      </c>
      <c r="F871" s="19" t="s">
        <v>4555</v>
      </c>
      <c r="G871" s="19" t="s">
        <v>4556</v>
      </c>
      <c r="H871" s="24">
        <v>80</v>
      </c>
      <c r="I871" s="24">
        <v>59.4</v>
      </c>
      <c r="J871" s="24">
        <f>MAX(H871,ROUNDUP(I871,0))</f>
        <v>80.0</v>
      </c>
      <c r="K871" s="22">
        <f>IF(C871="covered",10.4,7.55)</f>
        <v>7.55</v>
      </c>
      <c r="L871" s="18"/>
      <c r="M871" s="24"/>
      <c r="N871" s="22"/>
      <c r="O871" s="22"/>
      <c r="P871" s="22">
        <f>J871*K871</f>
        <v>604.0</v>
      </c>
      <c r="Q871" s="22">
        <f>IF(L871="","",N871-K871)</f>
        <v/>
      </c>
      <c r="R871" s="24">
        <f>IF(L871="","",M871-J871)</f>
        <v/>
      </c>
      <c r="S871" s="22">
        <f>IF(L871="",-P871,O871-P871)</f>
        <v>-604.0</v>
      </c>
      <c r="T871" s="25" t="str">
        <f>IF(L871="","NO BILL IN SUPPLIED EXPORT",IF(ABS(Q871)&gt;0.001,"RATE EXCEPTION",IF(ABS(R871)&gt;0.001,"LENGTH EXCEPTION",IF(ABS(S871)&gt;0.01,"AMOUNT EXCEPTION","OK"))))</f>
        <v>NO BILL IN SUPPLIED EXPORT</v>
      </c>
      <c r="U871" s="19" t="s">
        <v>4557</v>
      </c>
    </row>
    <row r="872" spans="1:21" ht="28" customHeight="1">
      <c r="A872" s="14" t="s">
        <v>4558</v>
      </c>
      <c r="B872" s="14" t="s">
        <v>195</v>
      </c>
      <c r="C872" s="14" t="s">
        <v>226</v>
      </c>
      <c r="D872" s="14" t="s">
        <v>227</v>
      </c>
      <c r="E872" s="14" t="s">
        <v>4559</v>
      </c>
      <c r="F872" s="15" t="s">
        <v>4560</v>
      </c>
      <c r="G872" s="15" t="s">
        <v>2729</v>
      </c>
      <c r="H872" s="24">
        <v>32</v>
      </c>
      <c r="I872" s="24">
        <v>42.9</v>
      </c>
      <c r="J872" s="24">
        <f>MAX(H872,ROUNDUP(I872,0))</f>
        <v>43</v>
      </c>
      <c r="K872" s="22">
        <f>IF(C872="covered",10.4,7.55)</f>
        <v>7.55</v>
      </c>
      <c r="L872" s="14"/>
      <c r="M872" s="24"/>
      <c r="N872" s="22"/>
      <c r="O872" s="22"/>
      <c r="P872" s="22">
        <f>J872*K872</f>
        <v>324.65</v>
      </c>
      <c r="Q872" s="22">
        <f>IF(L872="","",N872-K872)</f>
        <v/>
      </c>
      <c r="R872" s="24">
        <f>IF(L872="","",M872-J872)</f>
        <v/>
      </c>
      <c r="S872" s="22">
        <f>IF(L872="",-P872,O872-P872)</f>
        <v>-324.65</v>
      </c>
      <c r="T872" s="25" t="str">
        <f>IF(L872="","NO BILL IN SUPPLIED EXPORT",IF(ABS(Q872)&gt;0.001,"RATE EXCEPTION",IF(ABS(R872)&gt;0.001,"LENGTH EXCEPTION",IF(ABS(S872)&gt;0.01,"AMOUNT EXCEPTION","OK"))))</f>
        <v>NO BILL IN SUPPLIED EXPORT</v>
      </c>
      <c r="U872" s="15" t="s">
        <v>4561</v>
      </c>
    </row>
    <row r="873" spans="1:21" ht="28" customHeight="1">
      <c r="A873" s="18" t="s">
        <v>4562</v>
      </c>
      <c r="B873" s="18" t="s">
        <v>195</v>
      </c>
      <c r="C873" s="18" t="s">
        <v>226</v>
      </c>
      <c r="D873" s="18" t="s">
        <v>227</v>
      </c>
      <c r="E873" s="18" t="s">
        <v>4563</v>
      </c>
      <c r="F873" s="19" t="s">
        <v>4564</v>
      </c>
      <c r="G873" s="19" t="s">
        <v>4551</v>
      </c>
      <c r="H873" s="24">
        <v>36</v>
      </c>
      <c r="I873" s="24">
        <v>44</v>
      </c>
      <c r="J873" s="24">
        <f>MAX(H873,ROUNDUP(I873,0))</f>
        <v>44</v>
      </c>
      <c r="K873" s="22">
        <f>IF(C873="covered",10.4,7.55)</f>
        <v>7.55</v>
      </c>
      <c r="L873" s="18"/>
      <c r="M873" s="24"/>
      <c r="N873" s="22"/>
      <c r="O873" s="22"/>
      <c r="P873" s="22">
        <f>J873*K873</f>
        <v>332.2</v>
      </c>
      <c r="Q873" s="22">
        <f>IF(L873="","",N873-K873)</f>
        <v/>
      </c>
      <c r="R873" s="24">
        <f>IF(L873="","",M873-J873)</f>
        <v/>
      </c>
      <c r="S873" s="22">
        <f>IF(L873="",-P873,O873-P873)</f>
        <v>-332.2</v>
      </c>
      <c r="T873" s="25" t="str">
        <f>IF(L873="","NO BILL IN SUPPLIED EXPORT",IF(ABS(Q873)&gt;0.001,"RATE EXCEPTION",IF(ABS(R873)&gt;0.001,"LENGTH EXCEPTION",IF(ABS(S873)&gt;0.01,"AMOUNT EXCEPTION","OK"))))</f>
        <v>NO BILL IN SUPPLIED EXPORT</v>
      </c>
      <c r="U873" s="19" t="s">
        <v>4565</v>
      </c>
    </row>
    <row r="874" spans="1:21" ht="28" customHeight="1">
      <c r="A874" s="14" t="s">
        <v>4566</v>
      </c>
      <c r="B874" s="14" t="s">
        <v>195</v>
      </c>
      <c r="C874" s="14" t="s">
        <v>226</v>
      </c>
      <c r="D874" s="14" t="s">
        <v>227</v>
      </c>
      <c r="E874" s="14" t="s">
        <v>4567</v>
      </c>
      <c r="F874" s="15" t="s">
        <v>4568</v>
      </c>
      <c r="G874" s="15" t="s">
        <v>2625</v>
      </c>
      <c r="H874" s="24">
        <v>36</v>
      </c>
      <c r="I874" s="24">
        <v>53.6</v>
      </c>
      <c r="J874" s="24">
        <f>MAX(H874,ROUNDUP(I874,0))</f>
        <v>54</v>
      </c>
      <c r="K874" s="22">
        <f>IF(C874="covered",10.4,7.55)</f>
        <v>7.55</v>
      </c>
      <c r="L874" s="14"/>
      <c r="M874" s="24"/>
      <c r="N874" s="22"/>
      <c r="O874" s="22"/>
      <c r="P874" s="22">
        <f>J874*K874</f>
        <v>407.7</v>
      </c>
      <c r="Q874" s="22">
        <f>IF(L874="","",N874-K874)</f>
        <v/>
      </c>
      <c r="R874" s="24">
        <f>IF(L874="","",M874-J874)</f>
        <v/>
      </c>
      <c r="S874" s="22">
        <f>IF(L874="",-P874,O874-P874)</f>
        <v>-407.7</v>
      </c>
      <c r="T874" s="25" t="str">
        <f>IF(L874="","NO BILL IN SUPPLIED EXPORT",IF(ABS(Q874)&gt;0.001,"RATE EXCEPTION",IF(ABS(R874)&gt;0.001,"LENGTH EXCEPTION",IF(ABS(S874)&gt;0.01,"AMOUNT EXCEPTION","OK"))))</f>
        <v>NO BILL IN SUPPLIED EXPORT</v>
      </c>
      <c r="U874" s="15" t="s">
        <v>4569</v>
      </c>
    </row>
    <row r="875" spans="1:21" ht="28" customHeight="1">
      <c r="A875" s="18" t="s">
        <v>4570</v>
      </c>
      <c r="B875" s="18" t="s">
        <v>195</v>
      </c>
      <c r="C875" s="18" t="s">
        <v>226</v>
      </c>
      <c r="D875" s="18" t="s">
        <v>227</v>
      </c>
      <c r="E875" s="18" t="s">
        <v>4571</v>
      </c>
      <c r="F875" s="19" t="s">
        <v>4572</v>
      </c>
      <c r="G875" s="19" t="s">
        <v>698</v>
      </c>
      <c r="H875" s="24">
        <v>24</v>
      </c>
      <c r="I875" s="24">
        <v>52.9</v>
      </c>
      <c r="J875" s="24">
        <f>MAX(H875,ROUNDUP(I875,0))</f>
        <v>53</v>
      </c>
      <c r="K875" s="22">
        <f>IF(C875="covered",10.4,7.55)</f>
        <v>7.55</v>
      </c>
      <c r="L875" s="18"/>
      <c r="M875" s="24"/>
      <c r="N875" s="22"/>
      <c r="O875" s="22"/>
      <c r="P875" s="22">
        <f>J875*K875</f>
        <v>400.15</v>
      </c>
      <c r="Q875" s="22">
        <f>IF(L875="","",N875-K875)</f>
        <v/>
      </c>
      <c r="R875" s="24">
        <f>IF(L875="","",M875-J875)</f>
        <v/>
      </c>
      <c r="S875" s="22">
        <f>IF(L875="",-P875,O875-P875)</f>
        <v>-400.15</v>
      </c>
      <c r="T875" s="25" t="str">
        <f>IF(L875="","NO BILL IN SUPPLIED EXPORT",IF(ABS(Q875)&gt;0.001,"RATE EXCEPTION",IF(ABS(R875)&gt;0.001,"LENGTH EXCEPTION",IF(ABS(S875)&gt;0.01,"AMOUNT EXCEPTION","OK"))))</f>
        <v>NO BILL IN SUPPLIED EXPORT</v>
      </c>
      <c r="U875" s="19" t="s">
        <v>4573</v>
      </c>
    </row>
    <row r="876" spans="1:21" ht="28" customHeight="1">
      <c r="A876" s="14" t="s">
        <v>4574</v>
      </c>
      <c r="B876" s="14" t="s">
        <v>195</v>
      </c>
      <c r="C876" s="14" t="s">
        <v>226</v>
      </c>
      <c r="D876" s="14" t="s">
        <v>227</v>
      </c>
      <c r="E876" s="14" t="s">
        <v>4575</v>
      </c>
      <c r="F876" s="15" t="s">
        <v>4576</v>
      </c>
      <c r="G876" s="15" t="s">
        <v>2365</v>
      </c>
      <c r="H876" s="24">
        <v>28</v>
      </c>
      <c r="I876" s="24">
        <v>61.1</v>
      </c>
      <c r="J876" s="24">
        <f>MAX(H876,ROUNDUP(I876,0))</f>
        <v>62</v>
      </c>
      <c r="K876" s="22">
        <f>IF(C876="covered",10.4,7.55)</f>
        <v>7.55</v>
      </c>
      <c r="L876" s="14"/>
      <c r="M876" s="24"/>
      <c r="N876" s="22"/>
      <c r="O876" s="22"/>
      <c r="P876" s="22">
        <f>J876*K876</f>
        <v>468.09999999999997</v>
      </c>
      <c r="Q876" s="22">
        <f>IF(L876="","",N876-K876)</f>
        <v/>
      </c>
      <c r="R876" s="24">
        <f>IF(L876="","",M876-J876)</f>
        <v/>
      </c>
      <c r="S876" s="22">
        <f>IF(L876="",-P876,O876-P876)</f>
        <v>-468.09999999999997</v>
      </c>
      <c r="T876" s="25" t="str">
        <f>IF(L876="","NO BILL IN SUPPLIED EXPORT",IF(ABS(Q876)&gt;0.001,"RATE EXCEPTION",IF(ABS(R876)&gt;0.001,"LENGTH EXCEPTION",IF(ABS(S876)&gt;0.01,"AMOUNT EXCEPTION","OK"))))</f>
        <v>NO BILL IN SUPPLIED EXPORT</v>
      </c>
      <c r="U876" s="15" t="s">
        <v>4577</v>
      </c>
    </row>
    <row r="877" spans="1:21" ht="28" customHeight="1">
      <c r="A877" s="18" t="s">
        <v>4578</v>
      </c>
      <c r="B877" s="18" t="s">
        <v>195</v>
      </c>
      <c r="C877" s="18" t="s">
        <v>226</v>
      </c>
      <c r="D877" s="18" t="s">
        <v>227</v>
      </c>
      <c r="E877" s="18" t="s">
        <v>4579</v>
      </c>
      <c r="F877" s="19" t="s">
        <v>4580</v>
      </c>
      <c r="G877" s="19" t="s">
        <v>4581</v>
      </c>
      <c r="H877" s="24">
        <v>28</v>
      </c>
      <c r="I877" s="24">
        <v>52.6</v>
      </c>
      <c r="J877" s="24">
        <f>MAX(H877,ROUNDUP(I877,0))</f>
        <v>53</v>
      </c>
      <c r="K877" s="22">
        <f>IF(C877="covered",10.4,7.55)</f>
        <v>7.55</v>
      </c>
      <c r="L877" s="18"/>
      <c r="M877" s="24"/>
      <c r="N877" s="22"/>
      <c r="O877" s="22"/>
      <c r="P877" s="22">
        <f>J877*K877</f>
        <v>400.15</v>
      </c>
      <c r="Q877" s="22">
        <f>IF(L877="","",N877-K877)</f>
        <v/>
      </c>
      <c r="R877" s="24">
        <f>IF(L877="","",M877-J877)</f>
        <v/>
      </c>
      <c r="S877" s="22">
        <f>IF(L877="",-P877,O877-P877)</f>
        <v>-400.15</v>
      </c>
      <c r="T877" s="25" t="str">
        <f>IF(L877="","NO BILL IN SUPPLIED EXPORT",IF(ABS(Q877)&gt;0.001,"RATE EXCEPTION",IF(ABS(R877)&gt;0.001,"LENGTH EXCEPTION",IF(ABS(S877)&gt;0.01,"AMOUNT EXCEPTION","OK"))))</f>
        <v>NO BILL IN SUPPLIED EXPORT</v>
      </c>
      <c r="U877" s="19" t="s">
        <v>4582</v>
      </c>
    </row>
    <row r="878" spans="1:21" ht="28" customHeight="1">
      <c r="A878" s="14" t="s">
        <v>4583</v>
      </c>
      <c r="B878" s="14" t="s">
        <v>195</v>
      </c>
      <c r="C878" s="14" t="s">
        <v>226</v>
      </c>
      <c r="D878" s="14" t="s">
        <v>227</v>
      </c>
      <c r="E878" s="14" t="s">
        <v>4584</v>
      </c>
      <c r="F878" s="15" t="s">
        <v>4585</v>
      </c>
      <c r="G878" s="15" t="s">
        <v>149</v>
      </c>
      <c r="H878" s="24">
        <v>32</v>
      </c>
      <c r="I878" s="24">
        <v>58.2</v>
      </c>
      <c r="J878" s="24">
        <f>MAX(H878,ROUNDUP(I878,0))</f>
        <v>59</v>
      </c>
      <c r="K878" s="22">
        <f>IF(C878="covered",10.4,7.55)</f>
        <v>7.55</v>
      </c>
      <c r="L878" s="14"/>
      <c r="M878" s="24"/>
      <c r="N878" s="22"/>
      <c r="O878" s="22"/>
      <c r="P878" s="22">
        <f>J878*K878</f>
        <v>445.45</v>
      </c>
      <c r="Q878" s="22">
        <f>IF(L878="","",N878-K878)</f>
        <v/>
      </c>
      <c r="R878" s="24">
        <f>IF(L878="","",M878-J878)</f>
        <v/>
      </c>
      <c r="S878" s="22">
        <f>IF(L878="",-P878,O878-P878)</f>
        <v>-445.45</v>
      </c>
      <c r="T878" s="25" t="str">
        <f>IF(L878="","NO BILL IN SUPPLIED EXPORT",IF(ABS(Q878)&gt;0.001,"RATE EXCEPTION",IF(ABS(R878)&gt;0.001,"LENGTH EXCEPTION",IF(ABS(S878)&gt;0.01,"AMOUNT EXCEPTION","OK"))))</f>
        <v>NO BILL IN SUPPLIED EXPORT</v>
      </c>
      <c r="U878" s="15" t="s">
        <v>4586</v>
      </c>
    </row>
    <row r="879" spans="1:21" ht="28" customHeight="1">
      <c r="A879" s="18" t="s">
        <v>4587</v>
      </c>
      <c r="B879" s="18" t="s">
        <v>195</v>
      </c>
      <c r="C879" s="18" t="s">
        <v>226</v>
      </c>
      <c r="D879" s="18" t="s">
        <v>227</v>
      </c>
      <c r="E879" s="18" t="s">
        <v>4588</v>
      </c>
      <c r="F879" s="19" t="s">
        <v>4589</v>
      </c>
      <c r="G879" s="19" t="s">
        <v>2669</v>
      </c>
      <c r="H879" s="24">
        <v>28</v>
      </c>
      <c r="I879" s="24">
        <v>57.3</v>
      </c>
      <c r="J879" s="24">
        <f>MAX(H879,ROUNDUP(I879,0))</f>
        <v>58</v>
      </c>
      <c r="K879" s="22">
        <f>IF(C879="covered",10.4,7.55)</f>
        <v>7.55</v>
      </c>
      <c r="L879" s="18"/>
      <c r="M879" s="24"/>
      <c r="N879" s="22"/>
      <c r="O879" s="22"/>
      <c r="P879" s="22">
        <f>J879*K879</f>
        <v>437.9</v>
      </c>
      <c r="Q879" s="22">
        <f>IF(L879="","",N879-K879)</f>
        <v/>
      </c>
      <c r="R879" s="24">
        <f>IF(L879="","",M879-J879)</f>
        <v/>
      </c>
      <c r="S879" s="22">
        <f>IF(L879="",-P879,O879-P879)</f>
        <v>-437.9</v>
      </c>
      <c r="T879" s="25" t="str">
        <f>IF(L879="","NO BILL IN SUPPLIED EXPORT",IF(ABS(Q879)&gt;0.001,"RATE EXCEPTION",IF(ABS(R879)&gt;0.001,"LENGTH EXCEPTION",IF(ABS(S879)&gt;0.01,"AMOUNT EXCEPTION","OK"))))</f>
        <v>NO BILL IN SUPPLIED EXPORT</v>
      </c>
      <c r="U879" s="19" t="s">
        <v>4590</v>
      </c>
    </row>
    <row r="880" spans="1:21" ht="28" customHeight="1">
      <c r="A880" s="14" t="s">
        <v>4591</v>
      </c>
      <c r="B880" s="14" t="s">
        <v>195</v>
      </c>
      <c r="C880" s="14" t="s">
        <v>226</v>
      </c>
      <c r="D880" s="14" t="s">
        <v>227</v>
      </c>
      <c r="E880" s="14" t="s">
        <v>4592</v>
      </c>
      <c r="F880" s="15" t="s">
        <v>4593</v>
      </c>
      <c r="G880" s="15" t="s">
        <v>4594</v>
      </c>
      <c r="H880" s="24">
        <v>50</v>
      </c>
      <c r="I880" s="24">
        <v>27.7</v>
      </c>
      <c r="J880" s="24">
        <f>MAX(H880,ROUNDUP(I880,0))</f>
        <v>50.0</v>
      </c>
      <c r="K880" s="22">
        <f>IF(C880="covered",10.4,7.55)</f>
        <v>7.55</v>
      </c>
      <c r="L880" s="14"/>
      <c r="M880" s="24"/>
      <c r="N880" s="22"/>
      <c r="O880" s="22"/>
      <c r="P880" s="22">
        <f>J880*K880</f>
        <v>377.5</v>
      </c>
      <c r="Q880" s="22">
        <f>IF(L880="","",N880-K880)</f>
        <v/>
      </c>
      <c r="R880" s="24">
        <f>IF(L880="","",M880-J880)</f>
        <v/>
      </c>
      <c r="S880" s="22">
        <f>IF(L880="",-P880,O880-P880)</f>
        <v>-377.5</v>
      </c>
      <c r="T880" s="25" t="str">
        <f>IF(L880="","NO BILL IN SUPPLIED EXPORT",IF(ABS(Q880)&gt;0.001,"RATE EXCEPTION",IF(ABS(R880)&gt;0.001,"LENGTH EXCEPTION",IF(ABS(S880)&gt;0.01,"AMOUNT EXCEPTION","OK"))))</f>
        <v>NO BILL IN SUPPLIED EXPORT</v>
      </c>
      <c r="U880" s="15" t="s">
        <v>4595</v>
      </c>
    </row>
    <row r="881" spans="1:21" ht="28" customHeight="1">
      <c r="A881" s="18" t="s">
        <v>4596</v>
      </c>
      <c r="B881" s="18" t="s">
        <v>195</v>
      </c>
      <c r="C881" s="18" t="s">
        <v>226</v>
      </c>
      <c r="D881" s="18" t="s">
        <v>227</v>
      </c>
      <c r="E881" s="18" t="s">
        <v>4597</v>
      </c>
      <c r="F881" s="19" t="s">
        <v>1647</v>
      </c>
      <c r="G881" s="19" t="s">
        <v>986</v>
      </c>
      <c r="H881" s="24">
        <v>32</v>
      </c>
      <c r="I881" s="24">
        <v>58.9</v>
      </c>
      <c r="J881" s="24">
        <f>MAX(H881,ROUNDUP(I881,0))</f>
        <v>59</v>
      </c>
      <c r="K881" s="22">
        <f>IF(C881="covered",10.4,7.55)</f>
        <v>7.55</v>
      </c>
      <c r="L881" s="18"/>
      <c r="M881" s="24"/>
      <c r="N881" s="22"/>
      <c r="O881" s="22"/>
      <c r="P881" s="22">
        <f>J881*K881</f>
        <v>445.45</v>
      </c>
      <c r="Q881" s="22">
        <f>IF(L881="","",N881-K881)</f>
        <v/>
      </c>
      <c r="R881" s="24">
        <f>IF(L881="","",M881-J881)</f>
        <v/>
      </c>
      <c r="S881" s="22">
        <f>IF(L881="",-P881,O881-P881)</f>
        <v>-445.45</v>
      </c>
      <c r="T881" s="25" t="str">
        <f>IF(L881="","NO BILL IN SUPPLIED EXPORT",IF(ABS(Q881)&gt;0.001,"RATE EXCEPTION",IF(ABS(R881)&gt;0.001,"LENGTH EXCEPTION",IF(ABS(S881)&gt;0.01,"AMOUNT EXCEPTION","OK"))))</f>
        <v>NO BILL IN SUPPLIED EXPORT</v>
      </c>
      <c r="U881" s="19" t="s">
        <v>4598</v>
      </c>
    </row>
    <row r="882" spans="1:21" ht="28" customHeight="1">
      <c r="A882" s="14" t="s">
        <v>4599</v>
      </c>
      <c r="B882" s="14" t="s">
        <v>195</v>
      </c>
      <c r="C882" s="14" t="s">
        <v>226</v>
      </c>
      <c r="D882" s="14" t="s">
        <v>227</v>
      </c>
      <c r="E882" s="14" t="s">
        <v>4600</v>
      </c>
      <c r="F882" s="15" t="s">
        <v>4601</v>
      </c>
      <c r="G882" s="15" t="s">
        <v>1471</v>
      </c>
      <c r="H882" s="24">
        <v>60</v>
      </c>
      <c r="I882" s="24">
        <v>43.1</v>
      </c>
      <c r="J882" s="24">
        <f>MAX(H882,ROUNDUP(I882,0))</f>
        <v>60.0</v>
      </c>
      <c r="K882" s="22">
        <f>IF(C882="covered",10.4,7.55)</f>
        <v>7.55</v>
      </c>
      <c r="L882" s="14"/>
      <c r="M882" s="24"/>
      <c r="N882" s="22"/>
      <c r="O882" s="22"/>
      <c r="P882" s="22">
        <f>J882*K882</f>
        <v>453.0</v>
      </c>
      <c r="Q882" s="22">
        <f>IF(L882="","",N882-K882)</f>
        <v/>
      </c>
      <c r="R882" s="24">
        <f>IF(L882="","",M882-J882)</f>
        <v/>
      </c>
      <c r="S882" s="22">
        <f>IF(L882="",-P882,O882-P882)</f>
        <v>-453.0</v>
      </c>
      <c r="T882" s="25" t="str">
        <f>IF(L882="","NO BILL IN SUPPLIED EXPORT",IF(ABS(Q882)&gt;0.001,"RATE EXCEPTION",IF(ABS(R882)&gt;0.001,"LENGTH EXCEPTION",IF(ABS(S882)&gt;0.01,"AMOUNT EXCEPTION","OK"))))</f>
        <v>NO BILL IN SUPPLIED EXPORT</v>
      </c>
      <c r="U882" s="15" t="s">
        <v>4602</v>
      </c>
    </row>
    <row r="883" spans="1:21" ht="28" customHeight="1">
      <c r="A883" s="18" t="s">
        <v>4603</v>
      </c>
      <c r="B883" s="18" t="s">
        <v>195</v>
      </c>
      <c r="C883" s="18" t="s">
        <v>226</v>
      </c>
      <c r="D883" s="18" t="s">
        <v>227</v>
      </c>
      <c r="E883" s="18" t="s">
        <v>4604</v>
      </c>
      <c r="F883" s="19" t="s">
        <v>4605</v>
      </c>
      <c r="G883" s="19" t="s">
        <v>1563</v>
      </c>
      <c r="H883" s="24">
        <v>45</v>
      </c>
      <c r="I883" s="24">
        <v>48.2</v>
      </c>
      <c r="J883" s="24">
        <f>MAX(H883,ROUNDUP(I883,0))</f>
        <v>49</v>
      </c>
      <c r="K883" s="22">
        <f>IF(C883="covered",10.4,7.55)</f>
        <v>7.55</v>
      </c>
      <c r="L883" s="18"/>
      <c r="M883" s="24"/>
      <c r="N883" s="22"/>
      <c r="O883" s="22"/>
      <c r="P883" s="22">
        <f>J883*K883</f>
        <v>369.95</v>
      </c>
      <c r="Q883" s="22">
        <f>IF(L883="","",N883-K883)</f>
        <v/>
      </c>
      <c r="R883" s="24">
        <f>IF(L883="","",M883-J883)</f>
        <v/>
      </c>
      <c r="S883" s="22">
        <f>IF(L883="",-P883,O883-P883)</f>
        <v>-369.95</v>
      </c>
      <c r="T883" s="25" t="str">
        <f>IF(L883="","NO BILL IN SUPPLIED EXPORT",IF(ABS(Q883)&gt;0.001,"RATE EXCEPTION",IF(ABS(R883)&gt;0.001,"LENGTH EXCEPTION",IF(ABS(S883)&gt;0.01,"AMOUNT EXCEPTION","OK"))))</f>
        <v>NO BILL IN SUPPLIED EXPORT</v>
      </c>
      <c r="U883" s="19" t="s">
        <v>4606</v>
      </c>
    </row>
    <row r="884" spans="1:21" ht="28" customHeight="1">
      <c r="A884" s="14" t="s">
        <v>4607</v>
      </c>
      <c r="B884" s="14" t="s">
        <v>195</v>
      </c>
      <c r="C884" s="14" t="s">
        <v>226</v>
      </c>
      <c r="D884" s="14" t="s">
        <v>227</v>
      </c>
      <c r="E884" s="14" t="s">
        <v>4608</v>
      </c>
      <c r="F884" s="15" t="s">
        <v>4609</v>
      </c>
      <c r="G884" s="15" t="s">
        <v>1742</v>
      </c>
      <c r="H884" s="24">
        <v>80</v>
      </c>
      <c r="I884" s="24">
        <v>56.6</v>
      </c>
      <c r="J884" s="24">
        <f>MAX(H884,ROUNDUP(I884,0))</f>
        <v>80.0</v>
      </c>
      <c r="K884" s="22">
        <f>IF(C884="covered",10.4,7.55)</f>
        <v>7.55</v>
      </c>
      <c r="L884" s="14"/>
      <c r="M884" s="24"/>
      <c r="N884" s="22"/>
      <c r="O884" s="22"/>
      <c r="P884" s="22">
        <f>J884*K884</f>
        <v>604.0</v>
      </c>
      <c r="Q884" s="22">
        <f>IF(L884="","",N884-K884)</f>
        <v/>
      </c>
      <c r="R884" s="24">
        <f>IF(L884="","",M884-J884)</f>
        <v/>
      </c>
      <c r="S884" s="22">
        <f>IF(L884="",-P884,O884-P884)</f>
        <v>-604.0</v>
      </c>
      <c r="T884" s="25" t="str">
        <f>IF(L884="","NO BILL IN SUPPLIED EXPORT",IF(ABS(Q884)&gt;0.001,"RATE EXCEPTION",IF(ABS(R884)&gt;0.001,"LENGTH EXCEPTION",IF(ABS(S884)&gt;0.01,"AMOUNT EXCEPTION","OK"))))</f>
        <v>NO BILL IN SUPPLIED EXPORT</v>
      </c>
      <c r="U884" s="15" t="s">
        <v>4610</v>
      </c>
    </row>
    <row r="885" spans="1:21" ht="28" customHeight="1">
      <c r="A885" s="18" t="s">
        <v>4611</v>
      </c>
      <c r="B885" s="18" t="s">
        <v>192</v>
      </c>
      <c r="C885" s="18" t="s">
        <v>2515</v>
      </c>
      <c r="D885" s="18" t="s">
        <v>227</v>
      </c>
      <c r="E885" s="18" t="s">
        <v>4612</v>
      </c>
      <c r="F885" s="19" t="s">
        <v>4613</v>
      </c>
      <c r="G885" s="19" t="s">
        <v>731</v>
      </c>
      <c r="H885" s="24">
        <v>36</v>
      </c>
      <c r="I885" s="24">
        <v>61</v>
      </c>
      <c r="J885" s="24">
        <f>MAX(H885,ROUNDUP(I885,0))</f>
        <v>61</v>
      </c>
      <c r="K885" s="22">
        <f>IF(C885="covered",10.4,7.55)</f>
        <v>10.4</v>
      </c>
      <c r="L885" s="18" t="s">
        <v>4614</v>
      </c>
      <c r="M885" s="24">
        <v>61</v>
      </c>
      <c r="N885" s="22">
        <v>10.4</v>
      </c>
      <c r="O885" s="22">
        <v>634.4</v>
      </c>
      <c r="P885" s="22">
        <f>J885*K885</f>
        <v>634.4</v>
      </c>
      <c r="Q885" s="22">
        <f>IF(L885="","",N885-K885)</f>
        <v>0.0</v>
      </c>
      <c r="R885" s="24">
        <f>IF(L885="","",M885-J885)</f>
        <v>0.0</v>
      </c>
      <c r="S885" s="22">
        <f>IF(L885="",-P885,O885-P885)</f>
        <v>0.0</v>
      </c>
      <c r="T885" s="11" t="str">
        <f>IF(L885="","NO BILL IN SUPPLIED EXPORT",IF(ABS(Q885)&gt;0.001,"RATE EXCEPTION",IF(ABS(R885)&gt;0.001,"LENGTH EXCEPTION",IF(ABS(S885)&gt;0.01,"AMOUNT EXCEPTION","OK"))))</f>
        <v>OK</v>
      </c>
      <c r="U885" s="19" t="s">
        <v>4615</v>
      </c>
    </row>
    <row r="886" spans="1:21" ht="28" customHeight="1">
      <c r="A886" s="14" t="s">
        <v>4616</v>
      </c>
      <c r="B886" s="14" t="s">
        <v>192</v>
      </c>
      <c r="C886" s="14" t="s">
        <v>2515</v>
      </c>
      <c r="D886" s="14" t="s">
        <v>227</v>
      </c>
      <c r="E886" s="14" t="s">
        <v>4617</v>
      </c>
      <c r="F886" s="15" t="s">
        <v>4618</v>
      </c>
      <c r="G886" s="15" t="s">
        <v>154</v>
      </c>
      <c r="H886" s="24">
        <v>24</v>
      </c>
      <c r="I886" s="24">
        <v>33.2</v>
      </c>
      <c r="J886" s="24">
        <f>MAX(H886,ROUNDUP(I886,0))</f>
        <v>34</v>
      </c>
      <c r="K886" s="22">
        <f>IF(C886="covered",10.4,7.55)</f>
        <v>10.4</v>
      </c>
      <c r="L886" s="14" t="s">
        <v>4619</v>
      </c>
      <c r="M886" s="24">
        <v>34</v>
      </c>
      <c r="N886" s="22">
        <v>10.4</v>
      </c>
      <c r="O886" s="22">
        <v>353.6</v>
      </c>
      <c r="P886" s="22">
        <f>J886*K886</f>
        <v>353.6</v>
      </c>
      <c r="Q886" s="22">
        <f>IF(L886="","",N886-K886)</f>
        <v>0.0</v>
      </c>
      <c r="R886" s="24">
        <f>IF(L886="","",M886-J886)</f>
        <v>0.0</v>
      </c>
      <c r="S886" s="22">
        <f>IF(L886="",-P886,O886-P886)</f>
        <v>0.0</v>
      </c>
      <c r="T886" s="11" t="str">
        <f>IF(L886="","NO BILL IN SUPPLIED EXPORT",IF(ABS(Q886)&gt;0.001,"RATE EXCEPTION",IF(ABS(R886)&gt;0.001,"LENGTH EXCEPTION",IF(ABS(S886)&gt;0.01,"AMOUNT EXCEPTION","OK"))))</f>
        <v>OK</v>
      </c>
      <c r="U886" s="15" t="s">
        <v>4620</v>
      </c>
    </row>
    <row r="887" spans="1:21" ht="28" customHeight="1">
      <c r="A887" s="18" t="s">
        <v>4621</v>
      </c>
      <c r="B887" s="18" t="s">
        <v>192</v>
      </c>
      <c r="C887" s="18" t="s">
        <v>2515</v>
      </c>
      <c r="D887" s="18" t="s">
        <v>227</v>
      </c>
      <c r="E887" s="18" t="s">
        <v>4622</v>
      </c>
      <c r="F887" s="19" t="s">
        <v>4623</v>
      </c>
      <c r="G887" s="19" t="s">
        <v>3427</v>
      </c>
      <c r="H887" s="24">
        <v>24</v>
      </c>
      <c r="I887" s="24">
        <v>38.9</v>
      </c>
      <c r="J887" s="24">
        <f>MAX(H887,ROUNDUP(I887,0))</f>
        <v>39</v>
      </c>
      <c r="K887" s="22">
        <f>IF(C887="covered",10.4,7.55)</f>
        <v>10.4</v>
      </c>
      <c r="L887" s="18" t="s">
        <v>4624</v>
      </c>
      <c r="M887" s="24">
        <v>39</v>
      </c>
      <c r="N887" s="22">
        <v>10.4</v>
      </c>
      <c r="O887" s="22">
        <v>405.6</v>
      </c>
      <c r="P887" s="22">
        <f>J887*K887</f>
        <v>405.6</v>
      </c>
      <c r="Q887" s="22">
        <f>IF(L887="","",N887-K887)</f>
        <v>0.0</v>
      </c>
      <c r="R887" s="24">
        <f>IF(L887="","",M887-J887)</f>
        <v>0.0</v>
      </c>
      <c r="S887" s="22">
        <f>IF(L887="",-P887,O887-P887)</f>
        <v>0.0</v>
      </c>
      <c r="T887" s="11" t="str">
        <f>IF(L887="","NO BILL IN SUPPLIED EXPORT",IF(ABS(Q887)&gt;0.001,"RATE EXCEPTION",IF(ABS(R887)&gt;0.001,"LENGTH EXCEPTION",IF(ABS(S887)&gt;0.01,"AMOUNT EXCEPTION","OK"))))</f>
        <v>OK</v>
      </c>
      <c r="U887" s="19" t="s">
        <v>4625</v>
      </c>
    </row>
    <row r="888" spans="1:21" ht="28" customHeight="1">
      <c r="A888" s="14" t="s">
        <v>4626</v>
      </c>
      <c r="B888" s="14" t="s">
        <v>192</v>
      </c>
      <c r="C888" s="14" t="s">
        <v>2515</v>
      </c>
      <c r="D888" s="14" t="s">
        <v>227</v>
      </c>
      <c r="E888" s="14" t="s">
        <v>4627</v>
      </c>
      <c r="F888" s="15" t="s">
        <v>4628</v>
      </c>
      <c r="G888" s="15" t="s">
        <v>1960</v>
      </c>
      <c r="H888" s="24">
        <v>40</v>
      </c>
      <c r="I888" s="24">
        <v>53.9</v>
      </c>
      <c r="J888" s="24">
        <f>MAX(H888,ROUNDUP(I888,0))</f>
        <v>54</v>
      </c>
      <c r="K888" s="22">
        <f>IF(C888="covered",10.4,7.55)</f>
        <v>10.4</v>
      </c>
      <c r="L888" s="14" t="s">
        <v>4629</v>
      </c>
      <c r="M888" s="24">
        <v>54</v>
      </c>
      <c r="N888" s="22">
        <v>10.4</v>
      </c>
      <c r="O888" s="22">
        <v>561.6</v>
      </c>
      <c r="P888" s="22">
        <f>J888*K888</f>
        <v>561.6</v>
      </c>
      <c r="Q888" s="22">
        <f>IF(L888="","",N888-K888)</f>
        <v>0.0</v>
      </c>
      <c r="R888" s="24">
        <f>IF(L888="","",M888-J888)</f>
        <v>0.0</v>
      </c>
      <c r="S888" s="22">
        <f>IF(L888="",-P888,O888-P888)</f>
        <v>0.0</v>
      </c>
      <c r="T888" s="11" t="str">
        <f>IF(L888="","NO BILL IN SUPPLIED EXPORT",IF(ABS(Q888)&gt;0.001,"RATE EXCEPTION",IF(ABS(R888)&gt;0.001,"LENGTH EXCEPTION",IF(ABS(S888)&gt;0.01,"AMOUNT EXCEPTION","OK"))))</f>
        <v>OK</v>
      </c>
      <c r="U888" s="15" t="s">
        <v>4630</v>
      </c>
    </row>
    <row r="889" spans="1:21" ht="28" customHeight="1">
      <c r="A889" s="18" t="s">
        <v>4631</v>
      </c>
      <c r="B889" s="18" t="s">
        <v>192</v>
      </c>
      <c r="C889" s="18" t="s">
        <v>2515</v>
      </c>
      <c r="D889" s="18" t="s">
        <v>227</v>
      </c>
      <c r="E889" s="18" t="s">
        <v>4632</v>
      </c>
      <c r="F889" s="19" t="s">
        <v>4633</v>
      </c>
      <c r="G889" s="19" t="s">
        <v>517</v>
      </c>
      <c r="H889" s="24">
        <v>24</v>
      </c>
      <c r="I889" s="24">
        <v>48.2</v>
      </c>
      <c r="J889" s="24">
        <f>MAX(H889,ROUNDUP(I889,0))</f>
        <v>49</v>
      </c>
      <c r="K889" s="22">
        <f>IF(C889="covered",10.4,7.55)</f>
        <v>10.4</v>
      </c>
      <c r="L889" s="18" t="s">
        <v>4634</v>
      </c>
      <c r="M889" s="24">
        <v>49</v>
      </c>
      <c r="N889" s="22">
        <v>10.4</v>
      </c>
      <c r="O889" s="22">
        <v>509.6</v>
      </c>
      <c r="P889" s="22">
        <f>J889*K889</f>
        <v>509.6</v>
      </c>
      <c r="Q889" s="22">
        <f>IF(L889="","",N889-K889)</f>
        <v>0.0</v>
      </c>
      <c r="R889" s="24">
        <f>IF(L889="","",M889-J889)</f>
        <v>0.0</v>
      </c>
      <c r="S889" s="22">
        <f>IF(L889="",-P889,O889-P889)</f>
        <v>0.0</v>
      </c>
      <c r="T889" s="11" t="str">
        <f>IF(L889="","NO BILL IN SUPPLIED EXPORT",IF(ABS(Q889)&gt;0.001,"RATE EXCEPTION",IF(ABS(R889)&gt;0.001,"LENGTH EXCEPTION",IF(ABS(S889)&gt;0.01,"AMOUNT EXCEPTION","OK"))))</f>
        <v>OK</v>
      </c>
      <c r="U889" s="19" t="s">
        <v>4635</v>
      </c>
    </row>
    <row r="890" spans="1:21" ht="28" customHeight="1">
      <c r="A890" s="14" t="s">
        <v>4636</v>
      </c>
      <c r="B890" s="14" t="s">
        <v>192</v>
      </c>
      <c r="C890" s="14" t="s">
        <v>2515</v>
      </c>
      <c r="D890" s="14" t="s">
        <v>227</v>
      </c>
      <c r="E890" s="14" t="s">
        <v>4637</v>
      </c>
      <c r="F890" s="15" t="s">
        <v>4638</v>
      </c>
      <c r="G890" s="15" t="s">
        <v>2518</v>
      </c>
      <c r="H890" s="24">
        <v>24</v>
      </c>
      <c r="I890" s="24">
        <v>35.5</v>
      </c>
      <c r="J890" s="24">
        <f>MAX(H890,ROUNDUP(I890,0))</f>
        <v>36</v>
      </c>
      <c r="K890" s="22">
        <f>IF(C890="covered",10.4,7.55)</f>
        <v>10.4</v>
      </c>
      <c r="L890" s="14" t="s">
        <v>4639</v>
      </c>
      <c r="M890" s="24">
        <v>36</v>
      </c>
      <c r="N890" s="22">
        <v>10.4</v>
      </c>
      <c r="O890" s="22">
        <v>374.4</v>
      </c>
      <c r="P890" s="22">
        <f>J890*K890</f>
        <v>374.40000000000003</v>
      </c>
      <c r="Q890" s="22">
        <f>IF(L890="","",N890-K890)</f>
        <v>0.0</v>
      </c>
      <c r="R890" s="24">
        <f>IF(L890="","",M890-J890)</f>
        <v>0.0</v>
      </c>
      <c r="S890" s="22">
        <f>IF(L890="",-P890,O890-P890)</f>
        <v>-5.684341886080802e-14</v>
      </c>
      <c r="T890" s="11" t="str">
        <f>IF(L890="","NO BILL IN SUPPLIED EXPORT",IF(ABS(Q890)&gt;0.001,"RATE EXCEPTION",IF(ABS(R890)&gt;0.001,"LENGTH EXCEPTION",IF(ABS(S890)&gt;0.01,"AMOUNT EXCEPTION","OK"))))</f>
        <v>OK</v>
      </c>
      <c r="U890" s="15" t="s">
        <v>4640</v>
      </c>
    </row>
    <row r="891" spans="1:21" ht="28" customHeight="1">
      <c r="A891" s="18" t="s">
        <v>4641</v>
      </c>
      <c r="B891" s="18" t="s">
        <v>192</v>
      </c>
      <c r="C891" s="18" t="s">
        <v>2515</v>
      </c>
      <c r="D891" s="18" t="s">
        <v>227</v>
      </c>
      <c r="E891" s="18" t="s">
        <v>4642</v>
      </c>
      <c r="F891" s="19" t="s">
        <v>4643</v>
      </c>
      <c r="G891" s="19" t="s">
        <v>1222</v>
      </c>
      <c r="H891" s="24">
        <v>32</v>
      </c>
      <c r="I891" s="24">
        <v>29.7</v>
      </c>
      <c r="J891" s="24">
        <f>MAX(H891,ROUNDUP(I891,0))</f>
        <v>32.0</v>
      </c>
      <c r="K891" s="22">
        <f>IF(C891="covered",10.4,7.55)</f>
        <v>10.4</v>
      </c>
      <c r="L891" s="18" t="s">
        <v>4644</v>
      </c>
      <c r="M891" s="24">
        <v>32</v>
      </c>
      <c r="N891" s="22">
        <v>10.4</v>
      </c>
      <c r="O891" s="22">
        <v>332.8</v>
      </c>
      <c r="P891" s="22">
        <f>J891*K891</f>
        <v>332.8</v>
      </c>
      <c r="Q891" s="22">
        <f>IF(L891="","",N891-K891)</f>
        <v>0.0</v>
      </c>
      <c r="R891" s="24">
        <f>IF(L891="","",M891-J891)</f>
        <v>0.0</v>
      </c>
      <c r="S891" s="22">
        <f>IF(L891="",-P891,O891-P891)</f>
        <v>0.0</v>
      </c>
      <c r="T891" s="11" t="str">
        <f>IF(L891="","NO BILL IN SUPPLIED EXPORT",IF(ABS(Q891)&gt;0.001,"RATE EXCEPTION",IF(ABS(R891)&gt;0.001,"LENGTH EXCEPTION",IF(ABS(S891)&gt;0.01,"AMOUNT EXCEPTION","OK"))))</f>
        <v>OK</v>
      </c>
      <c r="U891" s="19" t="s">
        <v>4645</v>
      </c>
    </row>
    <row r="892" spans="1:21" ht="28" customHeight="1">
      <c r="A892" s="14" t="s">
        <v>4646</v>
      </c>
      <c r="B892" s="14" t="s">
        <v>192</v>
      </c>
      <c r="C892" s="14" t="s">
        <v>2515</v>
      </c>
      <c r="D892" s="14" t="s">
        <v>227</v>
      </c>
      <c r="E892" s="14" t="s">
        <v>4647</v>
      </c>
      <c r="F892" s="15" t="s">
        <v>4648</v>
      </c>
      <c r="G892" s="15" t="s">
        <v>92</v>
      </c>
      <c r="H892" s="24">
        <v>28</v>
      </c>
      <c r="I892" s="24">
        <v>30.9</v>
      </c>
      <c r="J892" s="24">
        <f>MAX(H892,ROUNDUP(I892,0))</f>
        <v>31</v>
      </c>
      <c r="K892" s="22">
        <f>IF(C892="covered",10.4,7.55)</f>
        <v>10.4</v>
      </c>
      <c r="L892" s="14" t="s">
        <v>4649</v>
      </c>
      <c r="M892" s="24">
        <v>31</v>
      </c>
      <c r="N892" s="22">
        <v>10.4</v>
      </c>
      <c r="O892" s="22">
        <v>322.4</v>
      </c>
      <c r="P892" s="22">
        <f>J892*K892</f>
        <v>322.40000000000003</v>
      </c>
      <c r="Q892" s="22">
        <f>IF(L892="","",N892-K892)</f>
        <v>0.0</v>
      </c>
      <c r="R892" s="24">
        <f>IF(L892="","",M892-J892)</f>
        <v>0.0</v>
      </c>
      <c r="S892" s="22">
        <f>IF(L892="",-P892,O892-P892)</f>
        <v>-5.684341886080802e-14</v>
      </c>
      <c r="T892" s="11" t="str">
        <f>IF(L892="","NO BILL IN SUPPLIED EXPORT",IF(ABS(Q892)&gt;0.001,"RATE EXCEPTION",IF(ABS(R892)&gt;0.001,"LENGTH EXCEPTION",IF(ABS(S892)&gt;0.01,"AMOUNT EXCEPTION","OK"))))</f>
        <v>OK</v>
      </c>
      <c r="U892" s="15" t="s">
        <v>4650</v>
      </c>
    </row>
    <row r="893" spans="1:21" ht="28" customHeight="1">
      <c r="A893" s="18" t="s">
        <v>4651</v>
      </c>
      <c r="B893" s="18" t="s">
        <v>192</v>
      </c>
      <c r="C893" s="18" t="s">
        <v>2515</v>
      </c>
      <c r="D893" s="18" t="s">
        <v>227</v>
      </c>
      <c r="E893" s="18" t="s">
        <v>4652</v>
      </c>
      <c r="F893" s="19" t="s">
        <v>2265</v>
      </c>
      <c r="G893" s="19" t="s">
        <v>2352</v>
      </c>
      <c r="H893" s="24">
        <v>24</v>
      </c>
      <c r="I893" s="24">
        <v>52</v>
      </c>
      <c r="J893" s="24">
        <f>MAX(H893,ROUNDUP(I893,0))</f>
        <v>52</v>
      </c>
      <c r="K893" s="22">
        <f>IF(C893="covered",10.4,7.55)</f>
        <v>10.4</v>
      </c>
      <c r="L893" s="18" t="s">
        <v>4653</v>
      </c>
      <c r="M893" s="24">
        <v>52</v>
      </c>
      <c r="N893" s="22">
        <v>10.4</v>
      </c>
      <c r="O893" s="22">
        <v>540.8</v>
      </c>
      <c r="P893" s="22">
        <f>J893*K893</f>
        <v>540.8000000000001</v>
      </c>
      <c r="Q893" s="22">
        <f>IF(L893="","",N893-K893)</f>
        <v>0.0</v>
      </c>
      <c r="R893" s="24">
        <f>IF(L893="","",M893-J893)</f>
        <v>0.0</v>
      </c>
      <c r="S893" s="22">
        <f>IF(L893="",-P893,O893-P893)</f>
        <v>-1.1368683772161603e-13</v>
      </c>
      <c r="T893" s="11" t="str">
        <f>IF(L893="","NO BILL IN SUPPLIED EXPORT",IF(ABS(Q893)&gt;0.001,"RATE EXCEPTION",IF(ABS(R893)&gt;0.001,"LENGTH EXCEPTION",IF(ABS(S893)&gt;0.01,"AMOUNT EXCEPTION","OK"))))</f>
        <v>OK</v>
      </c>
      <c r="U893" s="19" t="s">
        <v>4654</v>
      </c>
    </row>
    <row r="894" spans="1:21" ht="28" customHeight="1">
      <c r="A894" s="14" t="s">
        <v>4655</v>
      </c>
      <c r="B894" s="14" t="s">
        <v>192</v>
      </c>
      <c r="C894" s="14" t="s">
        <v>2515</v>
      </c>
      <c r="D894" s="14" t="s">
        <v>227</v>
      </c>
      <c r="E894" s="14" t="s">
        <v>4656</v>
      </c>
      <c r="F894" s="15" t="s">
        <v>4657</v>
      </c>
      <c r="G894" s="15" t="s">
        <v>154</v>
      </c>
      <c r="H894" s="24">
        <v>32</v>
      </c>
      <c r="I894" s="24">
        <v>39</v>
      </c>
      <c r="J894" s="24">
        <f>MAX(H894,ROUNDUP(I894,0))</f>
        <v>39</v>
      </c>
      <c r="K894" s="22">
        <f>IF(C894="covered",10.4,7.55)</f>
        <v>10.4</v>
      </c>
      <c r="L894" s="14" t="s">
        <v>4658</v>
      </c>
      <c r="M894" s="24">
        <v>39</v>
      </c>
      <c r="N894" s="22">
        <v>10.4</v>
      </c>
      <c r="O894" s="22">
        <v>405.6</v>
      </c>
      <c r="P894" s="22">
        <f>J894*K894</f>
        <v>405.6</v>
      </c>
      <c r="Q894" s="22">
        <f>IF(L894="","",N894-K894)</f>
        <v>0.0</v>
      </c>
      <c r="R894" s="24">
        <f>IF(L894="","",M894-J894)</f>
        <v>0.0</v>
      </c>
      <c r="S894" s="22">
        <f>IF(L894="",-P894,O894-P894)</f>
        <v>0.0</v>
      </c>
      <c r="T894" s="11" t="str">
        <f>IF(L894="","NO BILL IN SUPPLIED EXPORT",IF(ABS(Q894)&gt;0.001,"RATE EXCEPTION",IF(ABS(R894)&gt;0.001,"LENGTH EXCEPTION",IF(ABS(S894)&gt;0.01,"AMOUNT EXCEPTION","OK"))))</f>
        <v>OK</v>
      </c>
      <c r="U894" s="15" t="s">
        <v>4659</v>
      </c>
    </row>
    <row r="895" spans="1:21" ht="28" customHeight="1">
      <c r="A895" s="18" t="s">
        <v>4660</v>
      </c>
      <c r="B895" s="18" t="s">
        <v>192</v>
      </c>
      <c r="C895" s="18" t="s">
        <v>2515</v>
      </c>
      <c r="D895" s="18" t="s">
        <v>227</v>
      </c>
      <c r="E895" s="18" t="s">
        <v>4661</v>
      </c>
      <c r="F895" s="19" t="s">
        <v>4662</v>
      </c>
      <c r="G895" s="19" t="s">
        <v>2234</v>
      </c>
      <c r="H895" s="24">
        <v>36</v>
      </c>
      <c r="I895" s="24">
        <v>53</v>
      </c>
      <c r="J895" s="24">
        <f>MAX(H895,ROUNDUP(I895,0))</f>
        <v>53</v>
      </c>
      <c r="K895" s="22">
        <f>IF(C895="covered",10.4,7.55)</f>
        <v>10.4</v>
      </c>
      <c r="L895" s="18" t="s">
        <v>4663</v>
      </c>
      <c r="M895" s="24">
        <v>53</v>
      </c>
      <c r="N895" s="22">
        <v>10.4</v>
      </c>
      <c r="O895" s="22">
        <v>551.2</v>
      </c>
      <c r="P895" s="22">
        <f>J895*K895</f>
        <v>551.2</v>
      </c>
      <c r="Q895" s="22">
        <f>IF(L895="","",N895-K895)</f>
        <v>0.0</v>
      </c>
      <c r="R895" s="24">
        <f>IF(L895="","",M895-J895)</f>
        <v>0.0</v>
      </c>
      <c r="S895" s="22">
        <f>IF(L895="",-P895,O895-P895)</f>
        <v>0.0</v>
      </c>
      <c r="T895" s="11" t="str">
        <f>IF(L895="","NO BILL IN SUPPLIED EXPORT",IF(ABS(Q895)&gt;0.001,"RATE EXCEPTION",IF(ABS(R895)&gt;0.001,"LENGTH EXCEPTION",IF(ABS(S895)&gt;0.01,"AMOUNT EXCEPTION","OK"))))</f>
        <v>OK</v>
      </c>
      <c r="U895" s="19" t="s">
        <v>4664</v>
      </c>
    </row>
    <row r="896" spans="1:21" ht="28" customHeight="1">
      <c r="A896" s="14" t="s">
        <v>4665</v>
      </c>
      <c r="B896" s="14" t="s">
        <v>192</v>
      </c>
      <c r="C896" s="14" t="s">
        <v>2515</v>
      </c>
      <c r="D896" s="14" t="s">
        <v>227</v>
      </c>
      <c r="E896" s="14" t="s">
        <v>4666</v>
      </c>
      <c r="F896" s="15" t="s">
        <v>4667</v>
      </c>
      <c r="G896" s="15" t="s">
        <v>3092</v>
      </c>
      <c r="H896" s="24">
        <v>28</v>
      </c>
      <c r="I896" s="24">
        <v>24.8</v>
      </c>
      <c r="J896" s="24">
        <f>MAX(H896,ROUNDUP(I896,0))</f>
        <v>28.0</v>
      </c>
      <c r="K896" s="22">
        <f>IF(C896="covered",10.4,7.55)</f>
        <v>10.4</v>
      </c>
      <c r="L896" s="14" t="s">
        <v>4668</v>
      </c>
      <c r="M896" s="24">
        <v>28</v>
      </c>
      <c r="N896" s="22">
        <v>10.4</v>
      </c>
      <c r="O896" s="22">
        <v>291.2</v>
      </c>
      <c r="P896" s="22">
        <f>J896*K896</f>
        <v>291.2</v>
      </c>
      <c r="Q896" s="22">
        <f>IF(L896="","",N896-K896)</f>
        <v>0.0</v>
      </c>
      <c r="R896" s="24">
        <f>IF(L896="","",M896-J896)</f>
        <v>0.0</v>
      </c>
      <c r="S896" s="22">
        <f>IF(L896="",-P896,O896-P896)</f>
        <v>0.0</v>
      </c>
      <c r="T896" s="11" t="str">
        <f>IF(L896="","NO BILL IN SUPPLIED EXPORT",IF(ABS(Q896)&gt;0.001,"RATE EXCEPTION",IF(ABS(R896)&gt;0.001,"LENGTH EXCEPTION",IF(ABS(S896)&gt;0.01,"AMOUNT EXCEPTION","OK"))))</f>
        <v>OK</v>
      </c>
      <c r="U896" s="15" t="s">
        <v>4669</v>
      </c>
    </row>
    <row r="897" spans="1:21" ht="28" customHeight="1">
      <c r="A897" s="18" t="s">
        <v>4670</v>
      </c>
      <c r="B897" s="18" t="s">
        <v>192</v>
      </c>
      <c r="C897" s="18" t="s">
        <v>2515</v>
      </c>
      <c r="D897" s="18" t="s">
        <v>227</v>
      </c>
      <c r="E897" s="18" t="s">
        <v>4671</v>
      </c>
      <c r="F897" s="19" t="s">
        <v>4672</v>
      </c>
      <c r="G897" s="19" t="s">
        <v>135</v>
      </c>
      <c r="H897" s="24">
        <v>28</v>
      </c>
      <c r="I897" s="24">
        <v>40.2</v>
      </c>
      <c r="J897" s="24">
        <f>MAX(H897,ROUNDUP(I897,0))</f>
        <v>41</v>
      </c>
      <c r="K897" s="22">
        <f>IF(C897="covered",10.4,7.55)</f>
        <v>10.4</v>
      </c>
      <c r="L897" s="18" t="s">
        <v>4673</v>
      </c>
      <c r="M897" s="24">
        <v>41</v>
      </c>
      <c r="N897" s="22">
        <v>10.4</v>
      </c>
      <c r="O897" s="22">
        <v>426.4</v>
      </c>
      <c r="P897" s="22">
        <f>J897*K897</f>
        <v>426.40000000000003</v>
      </c>
      <c r="Q897" s="22">
        <f>IF(L897="","",N897-K897)</f>
        <v>0.0</v>
      </c>
      <c r="R897" s="24">
        <f>IF(L897="","",M897-J897)</f>
        <v>0.0</v>
      </c>
      <c r="S897" s="22">
        <f>IF(L897="",-P897,O897-P897)</f>
        <v>-5.684341886080802e-14</v>
      </c>
      <c r="T897" s="11" t="str">
        <f>IF(L897="","NO BILL IN SUPPLIED EXPORT",IF(ABS(Q897)&gt;0.001,"RATE EXCEPTION",IF(ABS(R897)&gt;0.001,"LENGTH EXCEPTION",IF(ABS(S897)&gt;0.01,"AMOUNT EXCEPTION","OK"))))</f>
        <v>OK</v>
      </c>
      <c r="U897" s="19" t="s">
        <v>4674</v>
      </c>
    </row>
    <row r="898" spans="1:21" ht="28" customHeight="1">
      <c r="A898" s="14" t="s">
        <v>4675</v>
      </c>
      <c r="B898" s="14" t="s">
        <v>192</v>
      </c>
      <c r="C898" s="14" t="s">
        <v>2515</v>
      </c>
      <c r="D898" s="14" t="s">
        <v>227</v>
      </c>
      <c r="E898" s="14" t="s">
        <v>4676</v>
      </c>
      <c r="F898" s="15" t="s">
        <v>4677</v>
      </c>
      <c r="G898" s="15" t="s">
        <v>2239</v>
      </c>
      <c r="H898" s="24">
        <v>24</v>
      </c>
      <c r="I898" s="24">
        <v>32</v>
      </c>
      <c r="J898" s="24">
        <f>MAX(H898,ROUNDUP(I898,0))</f>
        <v>32</v>
      </c>
      <c r="K898" s="22">
        <f>IF(C898="covered",10.4,7.55)</f>
        <v>10.4</v>
      </c>
      <c r="L898" s="14" t="s">
        <v>4678</v>
      </c>
      <c r="M898" s="24">
        <v>32</v>
      </c>
      <c r="N898" s="22">
        <v>10.4</v>
      </c>
      <c r="O898" s="22">
        <v>332.8</v>
      </c>
      <c r="P898" s="22">
        <f>J898*K898</f>
        <v>332.8</v>
      </c>
      <c r="Q898" s="22">
        <f>IF(L898="","",N898-K898)</f>
        <v>0.0</v>
      </c>
      <c r="R898" s="24">
        <f>IF(L898="","",M898-J898)</f>
        <v>0.0</v>
      </c>
      <c r="S898" s="22">
        <f>IF(L898="",-P898,O898-P898)</f>
        <v>0.0</v>
      </c>
      <c r="T898" s="11" t="str">
        <f>IF(L898="","NO BILL IN SUPPLIED EXPORT",IF(ABS(Q898)&gt;0.001,"RATE EXCEPTION",IF(ABS(R898)&gt;0.001,"LENGTH EXCEPTION",IF(ABS(S898)&gt;0.01,"AMOUNT EXCEPTION","OK"))))</f>
        <v>OK</v>
      </c>
      <c r="U898" s="15" t="s">
        <v>4679</v>
      </c>
    </row>
    <row r="899" spans="1:21" ht="28" customHeight="1">
      <c r="A899" s="18" t="s">
        <v>4680</v>
      </c>
      <c r="B899" s="18" t="s">
        <v>192</v>
      </c>
      <c r="C899" s="18" t="s">
        <v>2515</v>
      </c>
      <c r="D899" s="18" t="s">
        <v>227</v>
      </c>
      <c r="E899" s="18" t="s">
        <v>4681</v>
      </c>
      <c r="F899" s="19" t="s">
        <v>4682</v>
      </c>
      <c r="G899" s="19" t="s">
        <v>4475</v>
      </c>
      <c r="H899" s="24">
        <v>36</v>
      </c>
      <c r="I899" s="24">
        <v>54.6</v>
      </c>
      <c r="J899" s="24">
        <f>MAX(H899,ROUNDUP(I899,0))</f>
        <v>55</v>
      </c>
      <c r="K899" s="22">
        <f>IF(C899="covered",10.4,7.55)</f>
        <v>10.4</v>
      </c>
      <c r="L899" s="18" t="s">
        <v>4683</v>
      </c>
      <c r="M899" s="24">
        <v>55</v>
      </c>
      <c r="N899" s="22">
        <v>10.4</v>
      </c>
      <c r="O899" s="22">
        <v>572</v>
      </c>
      <c r="P899" s="22">
        <f>J899*K899</f>
        <v>572.0</v>
      </c>
      <c r="Q899" s="22">
        <f>IF(L899="","",N899-K899)</f>
        <v>0.0</v>
      </c>
      <c r="R899" s="24">
        <f>IF(L899="","",M899-J899)</f>
        <v>0.0</v>
      </c>
      <c r="S899" s="22">
        <f>IF(L899="",-P899,O899-P899)</f>
        <v>0.0</v>
      </c>
      <c r="T899" s="11" t="str">
        <f>IF(L899="","NO BILL IN SUPPLIED EXPORT",IF(ABS(Q899)&gt;0.001,"RATE EXCEPTION",IF(ABS(R899)&gt;0.001,"LENGTH EXCEPTION",IF(ABS(S899)&gt;0.01,"AMOUNT EXCEPTION","OK"))))</f>
        <v>OK</v>
      </c>
      <c r="U899" s="19" t="s">
        <v>4684</v>
      </c>
    </row>
    <row r="900" spans="1:21" ht="28" customHeight="1">
      <c r="A900" s="14" t="s">
        <v>4685</v>
      </c>
      <c r="B900" s="14" t="s">
        <v>192</v>
      </c>
      <c r="C900" s="14" t="s">
        <v>2515</v>
      </c>
      <c r="D900" s="14" t="s">
        <v>227</v>
      </c>
      <c r="E900" s="14" t="s">
        <v>4686</v>
      </c>
      <c r="F900" s="15" t="s">
        <v>4687</v>
      </c>
      <c r="G900" s="15" t="s">
        <v>500</v>
      </c>
      <c r="H900" s="24">
        <v>32</v>
      </c>
      <c r="I900" s="24">
        <v>53.2</v>
      </c>
      <c r="J900" s="24">
        <f>MAX(H900,ROUNDUP(I900,0))</f>
        <v>54</v>
      </c>
      <c r="K900" s="22">
        <f>IF(C900="covered",10.4,7.55)</f>
        <v>10.4</v>
      </c>
      <c r="L900" s="14" t="s">
        <v>4688</v>
      </c>
      <c r="M900" s="24">
        <v>54</v>
      </c>
      <c r="N900" s="22">
        <v>10.4</v>
      </c>
      <c r="O900" s="22">
        <v>561.6</v>
      </c>
      <c r="P900" s="22">
        <f>J900*K900</f>
        <v>561.6</v>
      </c>
      <c r="Q900" s="22">
        <f>IF(L900="","",N900-K900)</f>
        <v>0.0</v>
      </c>
      <c r="R900" s="24">
        <f>IF(L900="","",M900-J900)</f>
        <v>0.0</v>
      </c>
      <c r="S900" s="22">
        <f>IF(L900="",-P900,O900-P900)</f>
        <v>0.0</v>
      </c>
      <c r="T900" s="11" t="str">
        <f>IF(L900="","NO BILL IN SUPPLIED EXPORT",IF(ABS(Q900)&gt;0.001,"RATE EXCEPTION",IF(ABS(R900)&gt;0.001,"LENGTH EXCEPTION",IF(ABS(S900)&gt;0.01,"AMOUNT EXCEPTION","OK"))))</f>
        <v>OK</v>
      </c>
      <c r="U900" s="15" t="s">
        <v>4689</v>
      </c>
    </row>
    <row r="901" spans="1:21" ht="28" customHeight="1">
      <c r="A901" s="18" t="s">
        <v>4690</v>
      </c>
      <c r="B901" s="18" t="s">
        <v>192</v>
      </c>
      <c r="C901" s="18" t="s">
        <v>2515</v>
      </c>
      <c r="D901" s="18" t="s">
        <v>227</v>
      </c>
      <c r="E901" s="18" t="s">
        <v>4691</v>
      </c>
      <c r="F901" s="19" t="s">
        <v>4692</v>
      </c>
      <c r="G901" s="19" t="s">
        <v>335</v>
      </c>
      <c r="H901" s="24">
        <v>24</v>
      </c>
      <c r="I901" s="24">
        <v>44</v>
      </c>
      <c r="J901" s="24">
        <f>MAX(H901,ROUNDUP(I901,0))</f>
        <v>44</v>
      </c>
      <c r="K901" s="22">
        <f>IF(C901="covered",10.4,7.55)</f>
        <v>10.4</v>
      </c>
      <c r="L901" s="18" t="s">
        <v>4693</v>
      </c>
      <c r="M901" s="24">
        <v>44</v>
      </c>
      <c r="N901" s="22">
        <v>10.4</v>
      </c>
      <c r="O901" s="22">
        <v>457.6</v>
      </c>
      <c r="P901" s="22">
        <f>J901*K901</f>
        <v>457.6</v>
      </c>
      <c r="Q901" s="22">
        <f>IF(L901="","",N901-K901)</f>
        <v>0.0</v>
      </c>
      <c r="R901" s="24">
        <f>IF(L901="","",M901-J901)</f>
        <v>0.0</v>
      </c>
      <c r="S901" s="22">
        <f>IF(L901="",-P901,O901-P901)</f>
        <v>0.0</v>
      </c>
      <c r="T901" s="11" t="str">
        <f>IF(L901="","NO BILL IN SUPPLIED EXPORT",IF(ABS(Q901)&gt;0.001,"RATE EXCEPTION",IF(ABS(R901)&gt;0.001,"LENGTH EXCEPTION",IF(ABS(S901)&gt;0.01,"AMOUNT EXCEPTION","OK"))))</f>
        <v>OK</v>
      </c>
      <c r="U901" s="19" t="s">
        <v>4694</v>
      </c>
    </row>
    <row r="902" spans="1:21" ht="28" customHeight="1">
      <c r="A902" s="14" t="s">
        <v>4695</v>
      </c>
      <c r="B902" s="14" t="s">
        <v>192</v>
      </c>
      <c r="C902" s="14" t="s">
        <v>2515</v>
      </c>
      <c r="D902" s="14" t="s">
        <v>227</v>
      </c>
      <c r="E902" s="14" t="s">
        <v>4696</v>
      </c>
      <c r="F902" s="15" t="s">
        <v>4697</v>
      </c>
      <c r="G902" s="15" t="s">
        <v>2234</v>
      </c>
      <c r="H902" s="24">
        <v>32</v>
      </c>
      <c r="I902" s="24">
        <v>61.3</v>
      </c>
      <c r="J902" s="24">
        <f>MAX(H902,ROUNDUP(I902,0))</f>
        <v>62</v>
      </c>
      <c r="K902" s="22">
        <f>IF(C902="covered",10.4,7.55)</f>
        <v>10.4</v>
      </c>
      <c r="L902" s="14" t="s">
        <v>4698</v>
      </c>
      <c r="M902" s="24">
        <v>62</v>
      </c>
      <c r="N902" s="22">
        <v>10.4</v>
      </c>
      <c r="O902" s="22">
        <v>644.8</v>
      </c>
      <c r="P902" s="22">
        <f>J902*K902</f>
        <v>644.8000000000001</v>
      </c>
      <c r="Q902" s="22">
        <f>IF(L902="","",N902-K902)</f>
        <v>0.0</v>
      </c>
      <c r="R902" s="24">
        <f>IF(L902="","",M902-J902)</f>
        <v>0.0</v>
      </c>
      <c r="S902" s="22">
        <f>IF(L902="",-P902,O902-P902)</f>
        <v>-1.1368683772161603e-13</v>
      </c>
      <c r="T902" s="11" t="str">
        <f>IF(L902="","NO BILL IN SUPPLIED EXPORT",IF(ABS(Q902)&gt;0.001,"RATE EXCEPTION",IF(ABS(R902)&gt;0.001,"LENGTH EXCEPTION",IF(ABS(S902)&gt;0.01,"AMOUNT EXCEPTION","OK"))))</f>
        <v>OK</v>
      </c>
      <c r="U902" s="15" t="s">
        <v>4699</v>
      </c>
    </row>
    <row r="903" spans="1:21" ht="28" customHeight="1">
      <c r="A903" s="18" t="s">
        <v>4700</v>
      </c>
      <c r="B903" s="18" t="s">
        <v>192</v>
      </c>
      <c r="C903" s="18" t="s">
        <v>2515</v>
      </c>
      <c r="D903" s="18" t="s">
        <v>227</v>
      </c>
      <c r="E903" s="18" t="s">
        <v>4701</v>
      </c>
      <c r="F903" s="19" t="s">
        <v>4702</v>
      </c>
      <c r="G903" s="19" t="s">
        <v>412</v>
      </c>
      <c r="H903" s="24">
        <v>28</v>
      </c>
      <c r="I903" s="24">
        <v>47.6</v>
      </c>
      <c r="J903" s="24">
        <f>MAX(H903,ROUNDUP(I903,0))</f>
        <v>48</v>
      </c>
      <c r="K903" s="22">
        <f>IF(C903="covered",10.4,7.55)</f>
        <v>10.4</v>
      </c>
      <c r="L903" s="18" t="s">
        <v>4703</v>
      </c>
      <c r="M903" s="24">
        <v>48</v>
      </c>
      <c r="N903" s="22">
        <v>10.4</v>
      </c>
      <c r="O903" s="22">
        <v>499.2</v>
      </c>
      <c r="P903" s="22">
        <f>J903*K903</f>
        <v>499.20000000000005</v>
      </c>
      <c r="Q903" s="22">
        <f>IF(L903="","",N903-K903)</f>
        <v>0.0</v>
      </c>
      <c r="R903" s="24">
        <f>IF(L903="","",M903-J903)</f>
        <v>0.0</v>
      </c>
      <c r="S903" s="22">
        <f>IF(L903="",-P903,O903-P903)</f>
        <v>-5.684341886080802e-14</v>
      </c>
      <c r="T903" s="11" t="str">
        <f>IF(L903="","NO BILL IN SUPPLIED EXPORT",IF(ABS(Q903)&gt;0.001,"RATE EXCEPTION",IF(ABS(R903)&gt;0.001,"LENGTH EXCEPTION",IF(ABS(S903)&gt;0.01,"AMOUNT EXCEPTION","OK"))))</f>
        <v>OK</v>
      </c>
      <c r="U903" s="19" t="s">
        <v>4704</v>
      </c>
    </row>
    <row r="904" spans="1:21" ht="28" customHeight="1">
      <c r="A904" s="14" t="s">
        <v>4705</v>
      </c>
      <c r="B904" s="14" t="s">
        <v>192</v>
      </c>
      <c r="C904" s="14" t="s">
        <v>2515</v>
      </c>
      <c r="D904" s="14" t="s">
        <v>227</v>
      </c>
      <c r="E904" s="14" t="s">
        <v>4706</v>
      </c>
      <c r="F904" s="15" t="s">
        <v>4707</v>
      </c>
      <c r="G904" s="15" t="s">
        <v>4708</v>
      </c>
      <c r="H904" s="24">
        <v>32</v>
      </c>
      <c r="I904" s="24">
        <v>56.3</v>
      </c>
      <c r="J904" s="24">
        <f>MAX(H904,ROUNDUP(I904,0))</f>
        <v>57</v>
      </c>
      <c r="K904" s="22">
        <f>IF(C904="covered",10.4,7.55)</f>
        <v>10.4</v>
      </c>
      <c r="L904" s="14" t="s">
        <v>4709</v>
      </c>
      <c r="M904" s="24">
        <v>57</v>
      </c>
      <c r="N904" s="22">
        <v>10.4</v>
      </c>
      <c r="O904" s="22">
        <v>592.8</v>
      </c>
      <c r="P904" s="22">
        <f>J904*K904</f>
        <v>592.8000000000001</v>
      </c>
      <c r="Q904" s="22">
        <f>IF(L904="","",N904-K904)</f>
        <v>0.0</v>
      </c>
      <c r="R904" s="24">
        <f>IF(L904="","",M904-J904)</f>
        <v>0.0</v>
      </c>
      <c r="S904" s="22">
        <f>IF(L904="",-P904,O904-P904)</f>
        <v>-1.1368683772161603e-13</v>
      </c>
      <c r="T904" s="11" t="str">
        <f>IF(L904="","NO BILL IN SUPPLIED EXPORT",IF(ABS(Q904)&gt;0.001,"RATE EXCEPTION",IF(ABS(R904)&gt;0.001,"LENGTH EXCEPTION",IF(ABS(S904)&gt;0.01,"AMOUNT EXCEPTION","OK"))))</f>
        <v>OK</v>
      </c>
      <c r="U904" s="15" t="s">
        <v>4710</v>
      </c>
    </row>
    <row r="905" spans="1:21" ht="28" customHeight="1">
      <c r="A905" s="18" t="s">
        <v>4711</v>
      </c>
      <c r="B905" s="18" t="s">
        <v>192</v>
      </c>
      <c r="C905" s="18" t="s">
        <v>2515</v>
      </c>
      <c r="D905" s="18" t="s">
        <v>227</v>
      </c>
      <c r="E905" s="18" t="s">
        <v>4712</v>
      </c>
      <c r="F905" s="19" t="s">
        <v>4713</v>
      </c>
      <c r="G905" s="19" t="s">
        <v>4714</v>
      </c>
      <c r="H905" s="24">
        <v>40</v>
      </c>
      <c r="I905" s="24">
        <v>31.4</v>
      </c>
      <c r="J905" s="24">
        <f>MAX(H905,ROUNDUP(I905,0))</f>
        <v>40.0</v>
      </c>
      <c r="K905" s="22">
        <f>IF(C905="covered",10.4,7.55)</f>
        <v>10.4</v>
      </c>
      <c r="L905" s="18" t="s">
        <v>4715</v>
      </c>
      <c r="M905" s="24">
        <v>40</v>
      </c>
      <c r="N905" s="22">
        <v>10.4</v>
      </c>
      <c r="O905" s="22">
        <v>416</v>
      </c>
      <c r="P905" s="22">
        <f>J905*K905</f>
        <v>416.0</v>
      </c>
      <c r="Q905" s="22">
        <f>IF(L905="","",N905-K905)</f>
        <v>0.0</v>
      </c>
      <c r="R905" s="24">
        <f>IF(L905="","",M905-J905)</f>
        <v>0.0</v>
      </c>
      <c r="S905" s="22">
        <f>IF(L905="",-P905,O905-P905)</f>
        <v>0.0</v>
      </c>
      <c r="T905" s="11" t="str">
        <f>IF(L905="","NO BILL IN SUPPLIED EXPORT",IF(ABS(Q905)&gt;0.001,"RATE EXCEPTION",IF(ABS(R905)&gt;0.001,"LENGTH EXCEPTION",IF(ABS(S905)&gt;0.01,"AMOUNT EXCEPTION","OK"))))</f>
        <v>OK</v>
      </c>
      <c r="U905" s="19" t="s">
        <v>4716</v>
      </c>
    </row>
    <row r="906" spans="1:21" ht="28" customHeight="1">
      <c r="A906" s="14" t="s">
        <v>4717</v>
      </c>
      <c r="B906" s="14" t="s">
        <v>192</v>
      </c>
      <c r="C906" s="14" t="s">
        <v>2515</v>
      </c>
      <c r="D906" s="14" t="s">
        <v>227</v>
      </c>
      <c r="E906" s="14" t="s">
        <v>4718</v>
      </c>
      <c r="F906" s="15" t="s">
        <v>4719</v>
      </c>
      <c r="G906" s="15" t="s">
        <v>115</v>
      </c>
      <c r="H906" s="24">
        <v>36</v>
      </c>
      <c r="I906" s="24">
        <v>58.8</v>
      </c>
      <c r="J906" s="24">
        <f>MAX(H906,ROUNDUP(I906,0))</f>
        <v>59</v>
      </c>
      <c r="K906" s="22">
        <f>IF(C906="covered",10.4,7.55)</f>
        <v>10.4</v>
      </c>
      <c r="L906" s="14" t="s">
        <v>4720</v>
      </c>
      <c r="M906" s="24">
        <v>59</v>
      </c>
      <c r="N906" s="22">
        <v>10.4</v>
      </c>
      <c r="O906" s="22">
        <v>613.6</v>
      </c>
      <c r="P906" s="22">
        <f>J906*K906</f>
        <v>613.6</v>
      </c>
      <c r="Q906" s="22">
        <f>IF(L906="","",N906-K906)</f>
        <v>0.0</v>
      </c>
      <c r="R906" s="24">
        <f>IF(L906="","",M906-J906)</f>
        <v>0.0</v>
      </c>
      <c r="S906" s="22">
        <f>IF(L906="",-P906,O906-P906)</f>
        <v>0.0</v>
      </c>
      <c r="T906" s="11" t="str">
        <f>IF(L906="","NO BILL IN SUPPLIED EXPORT",IF(ABS(Q906)&gt;0.001,"RATE EXCEPTION",IF(ABS(R906)&gt;0.001,"LENGTH EXCEPTION",IF(ABS(S906)&gt;0.01,"AMOUNT EXCEPTION","OK"))))</f>
        <v>OK</v>
      </c>
      <c r="U906" s="15" t="s">
        <v>4721</v>
      </c>
    </row>
    <row r="907" spans="1:21" ht="28" customHeight="1">
      <c r="A907" s="18" t="s">
        <v>4722</v>
      </c>
      <c r="B907" s="18" t="s">
        <v>192</v>
      </c>
      <c r="C907" s="18" t="s">
        <v>2515</v>
      </c>
      <c r="D907" s="18" t="s">
        <v>227</v>
      </c>
      <c r="E907" s="18" t="s">
        <v>4723</v>
      </c>
      <c r="F907" s="19" t="s">
        <v>4724</v>
      </c>
      <c r="G907" s="19" t="s">
        <v>4725</v>
      </c>
      <c r="H907" s="24">
        <v>32</v>
      </c>
      <c r="I907" s="24">
        <v>46.9</v>
      </c>
      <c r="J907" s="24">
        <f>MAX(H907,ROUNDUP(I907,0))</f>
        <v>47</v>
      </c>
      <c r="K907" s="22">
        <f>IF(C907="covered",10.4,7.55)</f>
        <v>10.4</v>
      </c>
      <c r="L907" s="18" t="s">
        <v>4726</v>
      </c>
      <c r="M907" s="24">
        <v>47</v>
      </c>
      <c r="N907" s="22">
        <v>10.4</v>
      </c>
      <c r="O907" s="22">
        <v>488.8</v>
      </c>
      <c r="P907" s="22">
        <f>J907*K907</f>
        <v>488.8</v>
      </c>
      <c r="Q907" s="22">
        <f>IF(L907="","",N907-K907)</f>
        <v>0.0</v>
      </c>
      <c r="R907" s="24">
        <f>IF(L907="","",M907-J907)</f>
        <v>0.0</v>
      </c>
      <c r="S907" s="22">
        <f>IF(L907="",-P907,O907-P907)</f>
        <v>0.0</v>
      </c>
      <c r="T907" s="11" t="str">
        <f>IF(L907="","NO BILL IN SUPPLIED EXPORT",IF(ABS(Q907)&gt;0.001,"RATE EXCEPTION",IF(ABS(R907)&gt;0.001,"LENGTH EXCEPTION",IF(ABS(S907)&gt;0.01,"AMOUNT EXCEPTION","OK"))))</f>
        <v>OK</v>
      </c>
      <c r="U907" s="19" t="s">
        <v>4727</v>
      </c>
    </row>
    <row r="908" spans="1:21" ht="28" customHeight="1">
      <c r="A908" s="14" t="s">
        <v>4728</v>
      </c>
      <c r="B908" s="14" t="s">
        <v>192</v>
      </c>
      <c r="C908" s="14" t="s">
        <v>2515</v>
      </c>
      <c r="D908" s="14" t="s">
        <v>227</v>
      </c>
      <c r="E908" s="14" t="s">
        <v>4729</v>
      </c>
      <c r="F908" s="15" t="s">
        <v>4730</v>
      </c>
      <c r="G908" s="15" t="s">
        <v>4305</v>
      </c>
      <c r="H908" s="24">
        <v>32</v>
      </c>
      <c r="I908" s="24">
        <v>42.3</v>
      </c>
      <c r="J908" s="24">
        <f>MAX(H908,ROUNDUP(I908,0))</f>
        <v>43</v>
      </c>
      <c r="K908" s="22">
        <f>IF(C908="covered",10.4,7.55)</f>
        <v>10.4</v>
      </c>
      <c r="L908" s="14" t="s">
        <v>4731</v>
      </c>
      <c r="M908" s="24">
        <v>43</v>
      </c>
      <c r="N908" s="22">
        <v>10.4</v>
      </c>
      <c r="O908" s="22">
        <v>447.2</v>
      </c>
      <c r="P908" s="22">
        <f>J908*K908</f>
        <v>447.2</v>
      </c>
      <c r="Q908" s="22">
        <f>IF(L908="","",N908-K908)</f>
        <v>0.0</v>
      </c>
      <c r="R908" s="24">
        <f>IF(L908="","",M908-J908)</f>
        <v>0.0</v>
      </c>
      <c r="S908" s="22">
        <f>IF(L908="",-P908,O908-P908)</f>
        <v>0.0</v>
      </c>
      <c r="T908" s="11" t="str">
        <f>IF(L908="","NO BILL IN SUPPLIED EXPORT",IF(ABS(Q908)&gt;0.001,"RATE EXCEPTION",IF(ABS(R908)&gt;0.001,"LENGTH EXCEPTION",IF(ABS(S908)&gt;0.01,"AMOUNT EXCEPTION","OK"))))</f>
        <v>OK</v>
      </c>
      <c r="U908" s="15" t="s">
        <v>4732</v>
      </c>
    </row>
    <row r="909" spans="1:21" ht="28" customHeight="1">
      <c r="A909" s="18" t="s">
        <v>4733</v>
      </c>
      <c r="B909" s="18" t="s">
        <v>192</v>
      </c>
      <c r="C909" s="18" t="s">
        <v>2515</v>
      </c>
      <c r="D909" s="18" t="s">
        <v>227</v>
      </c>
      <c r="E909" s="18" t="s">
        <v>4734</v>
      </c>
      <c r="F909" s="19" t="s">
        <v>4735</v>
      </c>
      <c r="G909" s="19" t="s">
        <v>1323</v>
      </c>
      <c r="H909" s="24">
        <v>40</v>
      </c>
      <c r="I909" s="24">
        <v>27.2</v>
      </c>
      <c r="J909" s="24">
        <f>MAX(H909,ROUNDUP(I909,0))</f>
        <v>40.0</v>
      </c>
      <c r="K909" s="22">
        <f>IF(C909="covered",10.4,7.55)</f>
        <v>10.4</v>
      </c>
      <c r="L909" s="18" t="s">
        <v>4736</v>
      </c>
      <c r="M909" s="24">
        <v>40</v>
      </c>
      <c r="N909" s="22">
        <v>10.4</v>
      </c>
      <c r="O909" s="22">
        <v>416</v>
      </c>
      <c r="P909" s="22">
        <f>J909*K909</f>
        <v>416.0</v>
      </c>
      <c r="Q909" s="22">
        <f>IF(L909="","",N909-K909)</f>
        <v>0.0</v>
      </c>
      <c r="R909" s="24">
        <f>IF(L909="","",M909-J909)</f>
        <v>0.0</v>
      </c>
      <c r="S909" s="22">
        <f>IF(L909="",-P909,O909-P909)</f>
        <v>0.0</v>
      </c>
      <c r="T909" s="11" t="str">
        <f>IF(L909="","NO BILL IN SUPPLIED EXPORT",IF(ABS(Q909)&gt;0.001,"RATE EXCEPTION",IF(ABS(R909)&gt;0.001,"LENGTH EXCEPTION",IF(ABS(S909)&gt;0.01,"AMOUNT EXCEPTION","OK"))))</f>
        <v>OK</v>
      </c>
      <c r="U909" s="19" t="s">
        <v>4737</v>
      </c>
    </row>
    <row r="910" spans="1:21" ht="28" customHeight="1">
      <c r="A910" s="14" t="s">
        <v>4738</v>
      </c>
      <c r="B910" s="14" t="s">
        <v>192</v>
      </c>
      <c r="C910" s="14" t="s">
        <v>2515</v>
      </c>
      <c r="D910" s="14" t="s">
        <v>227</v>
      </c>
      <c r="E910" s="14" t="s">
        <v>4739</v>
      </c>
      <c r="F910" s="15" t="s">
        <v>4740</v>
      </c>
      <c r="G910" s="15" t="s">
        <v>103</v>
      </c>
      <c r="H910" s="24">
        <v>32</v>
      </c>
      <c r="I910" s="24">
        <v>36</v>
      </c>
      <c r="J910" s="24">
        <f>MAX(H910,ROUNDUP(I910,0))</f>
        <v>36</v>
      </c>
      <c r="K910" s="22">
        <f>IF(C910="covered",10.4,7.55)</f>
        <v>10.4</v>
      </c>
      <c r="L910" s="14" t="s">
        <v>4741</v>
      </c>
      <c r="M910" s="24">
        <v>36</v>
      </c>
      <c r="N910" s="22">
        <v>10.4</v>
      </c>
      <c r="O910" s="22">
        <v>374.4</v>
      </c>
      <c r="P910" s="22">
        <f>J910*K910</f>
        <v>374.40000000000003</v>
      </c>
      <c r="Q910" s="22">
        <f>IF(L910="","",N910-K910)</f>
        <v>0.0</v>
      </c>
      <c r="R910" s="24">
        <f>IF(L910="","",M910-J910)</f>
        <v>0.0</v>
      </c>
      <c r="S910" s="22">
        <f>IF(L910="",-P910,O910-P910)</f>
        <v>-5.684341886080802e-14</v>
      </c>
      <c r="T910" s="11" t="str">
        <f>IF(L910="","NO BILL IN SUPPLIED EXPORT",IF(ABS(Q910)&gt;0.001,"RATE EXCEPTION",IF(ABS(R910)&gt;0.001,"LENGTH EXCEPTION",IF(ABS(S910)&gt;0.01,"AMOUNT EXCEPTION","OK"))))</f>
        <v>OK</v>
      </c>
      <c r="U910" s="15" t="s">
        <v>4742</v>
      </c>
    </row>
    <row r="911" spans="1:21" ht="28" customHeight="1">
      <c r="A911" s="18" t="s">
        <v>4743</v>
      </c>
      <c r="B911" s="18" t="s">
        <v>192</v>
      </c>
      <c r="C911" s="18" t="s">
        <v>2515</v>
      </c>
      <c r="D911" s="18" t="s">
        <v>227</v>
      </c>
      <c r="E911" s="18" t="s">
        <v>4744</v>
      </c>
      <c r="F911" s="19" t="s">
        <v>4745</v>
      </c>
      <c r="G911" s="19" t="s">
        <v>1844</v>
      </c>
      <c r="H911" s="24">
        <v>40</v>
      </c>
      <c r="I911" s="24">
        <v>41.7</v>
      </c>
      <c r="J911" s="24">
        <f>MAX(H911,ROUNDUP(I911,0))</f>
        <v>42</v>
      </c>
      <c r="K911" s="22">
        <f>IF(C911="covered",10.4,7.55)</f>
        <v>10.4</v>
      </c>
      <c r="L911" s="18" t="s">
        <v>4746</v>
      </c>
      <c r="M911" s="24">
        <v>42</v>
      </c>
      <c r="N911" s="22">
        <v>10.4</v>
      </c>
      <c r="O911" s="22">
        <v>436.8</v>
      </c>
      <c r="P911" s="22">
        <f>J911*K911</f>
        <v>436.8</v>
      </c>
      <c r="Q911" s="22">
        <f>IF(L911="","",N911-K911)</f>
        <v>0.0</v>
      </c>
      <c r="R911" s="24">
        <f>IF(L911="","",M911-J911)</f>
        <v>0.0</v>
      </c>
      <c r="S911" s="22">
        <f>IF(L911="",-P911,O911-P911)</f>
        <v>0.0</v>
      </c>
      <c r="T911" s="11" t="str">
        <f>IF(L911="","NO BILL IN SUPPLIED EXPORT",IF(ABS(Q911)&gt;0.001,"RATE EXCEPTION",IF(ABS(R911)&gt;0.001,"LENGTH EXCEPTION",IF(ABS(S911)&gt;0.01,"AMOUNT EXCEPTION","OK"))))</f>
        <v>OK</v>
      </c>
      <c r="U911" s="19" t="s">
        <v>4747</v>
      </c>
    </row>
    <row r="912" spans="1:21" ht="28" customHeight="1">
      <c r="A912" s="14" t="s">
        <v>4748</v>
      </c>
      <c r="B912" s="14" t="s">
        <v>192</v>
      </c>
      <c r="C912" s="14" t="s">
        <v>2515</v>
      </c>
      <c r="D912" s="14" t="s">
        <v>227</v>
      </c>
      <c r="E912" s="14" t="s">
        <v>4749</v>
      </c>
      <c r="F912" s="15" t="s">
        <v>4750</v>
      </c>
      <c r="G912" s="15" t="s">
        <v>1908</v>
      </c>
      <c r="H912" s="24">
        <v>28</v>
      </c>
      <c r="I912" s="24">
        <v>34.3</v>
      </c>
      <c r="J912" s="24">
        <f>MAX(H912,ROUNDUP(I912,0))</f>
        <v>35</v>
      </c>
      <c r="K912" s="22">
        <f>IF(C912="covered",10.4,7.55)</f>
        <v>10.4</v>
      </c>
      <c r="L912" s="14" t="s">
        <v>4751</v>
      </c>
      <c r="M912" s="24">
        <v>35</v>
      </c>
      <c r="N912" s="22">
        <v>10.4</v>
      </c>
      <c r="O912" s="22">
        <v>364</v>
      </c>
      <c r="P912" s="22">
        <f>J912*K912</f>
        <v>364.0</v>
      </c>
      <c r="Q912" s="22">
        <f>IF(L912="","",N912-K912)</f>
        <v>0.0</v>
      </c>
      <c r="R912" s="24">
        <f>IF(L912="","",M912-J912)</f>
        <v>0.0</v>
      </c>
      <c r="S912" s="22">
        <f>IF(L912="",-P912,O912-P912)</f>
        <v>0.0</v>
      </c>
      <c r="T912" s="11" t="str">
        <f>IF(L912="","NO BILL IN SUPPLIED EXPORT",IF(ABS(Q912)&gt;0.001,"RATE EXCEPTION",IF(ABS(R912)&gt;0.001,"LENGTH EXCEPTION",IF(ABS(S912)&gt;0.01,"AMOUNT EXCEPTION","OK"))))</f>
        <v>OK</v>
      </c>
      <c r="U912" s="15" t="s">
        <v>4752</v>
      </c>
    </row>
    <row r="913" spans="1:21" ht="28" customHeight="1">
      <c r="A913" s="18" t="s">
        <v>4753</v>
      </c>
      <c r="B913" s="18" t="s">
        <v>192</v>
      </c>
      <c r="C913" s="18" t="s">
        <v>2515</v>
      </c>
      <c r="D913" s="18" t="s">
        <v>227</v>
      </c>
      <c r="E913" s="18" t="s">
        <v>4754</v>
      </c>
      <c r="F913" s="19" t="s">
        <v>4755</v>
      </c>
      <c r="G913" s="19" t="s">
        <v>341</v>
      </c>
      <c r="H913" s="24">
        <v>28</v>
      </c>
      <c r="I913" s="24">
        <v>22.5</v>
      </c>
      <c r="J913" s="24">
        <f>MAX(H913,ROUNDUP(I913,0))</f>
        <v>28.0</v>
      </c>
      <c r="K913" s="22">
        <f>IF(C913="covered",10.4,7.55)</f>
        <v>10.4</v>
      </c>
      <c r="L913" s="18" t="s">
        <v>4756</v>
      </c>
      <c r="M913" s="24">
        <v>28</v>
      </c>
      <c r="N913" s="22">
        <v>10.4</v>
      </c>
      <c r="O913" s="22">
        <v>291.2</v>
      </c>
      <c r="P913" s="22">
        <f>J913*K913</f>
        <v>291.2</v>
      </c>
      <c r="Q913" s="22">
        <f>IF(L913="","",N913-K913)</f>
        <v>0.0</v>
      </c>
      <c r="R913" s="24">
        <f>IF(L913="","",M913-J913)</f>
        <v>0.0</v>
      </c>
      <c r="S913" s="22">
        <f>IF(L913="",-P913,O913-P913)</f>
        <v>0.0</v>
      </c>
      <c r="T913" s="11" t="str">
        <f>IF(L913="","NO BILL IN SUPPLIED EXPORT",IF(ABS(Q913)&gt;0.001,"RATE EXCEPTION",IF(ABS(R913)&gt;0.001,"LENGTH EXCEPTION",IF(ABS(S913)&gt;0.01,"AMOUNT EXCEPTION","OK"))))</f>
        <v>OK</v>
      </c>
      <c r="U913" s="19" t="s">
        <v>4757</v>
      </c>
    </row>
    <row r="914" spans="1:21" ht="28" customHeight="1">
      <c r="A914" s="14" t="s">
        <v>4758</v>
      </c>
      <c r="B914" s="14" t="s">
        <v>192</v>
      </c>
      <c r="C914" s="14" t="s">
        <v>2515</v>
      </c>
      <c r="D914" s="14" t="s">
        <v>227</v>
      </c>
      <c r="E914" s="14" t="s">
        <v>4759</v>
      </c>
      <c r="F914" s="15" t="s">
        <v>4760</v>
      </c>
      <c r="G914" s="15" t="s">
        <v>3340</v>
      </c>
      <c r="H914" s="24">
        <v>24</v>
      </c>
      <c r="I914" s="24">
        <v>49.1</v>
      </c>
      <c r="J914" s="24">
        <f>MAX(H914,ROUNDUP(I914,0))</f>
        <v>50</v>
      </c>
      <c r="K914" s="22">
        <f>IF(C914="covered",10.4,7.55)</f>
        <v>10.4</v>
      </c>
      <c r="L914" s="14" t="s">
        <v>4761</v>
      </c>
      <c r="M914" s="24">
        <v>50</v>
      </c>
      <c r="N914" s="22">
        <v>10.4</v>
      </c>
      <c r="O914" s="22">
        <v>520</v>
      </c>
      <c r="P914" s="22">
        <f>J914*K914</f>
        <v>520.0</v>
      </c>
      <c r="Q914" s="22">
        <f>IF(L914="","",N914-K914)</f>
        <v>0.0</v>
      </c>
      <c r="R914" s="24">
        <f>IF(L914="","",M914-J914)</f>
        <v>0.0</v>
      </c>
      <c r="S914" s="22">
        <f>IF(L914="",-P914,O914-P914)</f>
        <v>0.0</v>
      </c>
      <c r="T914" s="11" t="str">
        <f>IF(L914="","NO BILL IN SUPPLIED EXPORT",IF(ABS(Q914)&gt;0.001,"RATE EXCEPTION",IF(ABS(R914)&gt;0.001,"LENGTH EXCEPTION",IF(ABS(S914)&gt;0.01,"AMOUNT EXCEPTION","OK"))))</f>
        <v>OK</v>
      </c>
      <c r="U914" s="15" t="s">
        <v>4762</v>
      </c>
    </row>
    <row r="915" spans="1:21" ht="28" customHeight="1">
      <c r="A915" s="18" t="s">
        <v>4763</v>
      </c>
      <c r="B915" s="18" t="s">
        <v>192</v>
      </c>
      <c r="C915" s="18" t="s">
        <v>2515</v>
      </c>
      <c r="D915" s="18" t="s">
        <v>227</v>
      </c>
      <c r="E915" s="18" t="s">
        <v>4764</v>
      </c>
      <c r="F915" s="19" t="s">
        <v>4765</v>
      </c>
      <c r="G915" s="19" t="s">
        <v>2234</v>
      </c>
      <c r="H915" s="24">
        <v>40</v>
      </c>
      <c r="I915" s="24">
        <v>21.8</v>
      </c>
      <c r="J915" s="24">
        <f>MAX(H915,ROUNDUP(I915,0))</f>
        <v>40.0</v>
      </c>
      <c r="K915" s="22">
        <f>IF(C915="covered",10.4,7.55)</f>
        <v>10.4</v>
      </c>
      <c r="L915" s="18" t="s">
        <v>4766</v>
      </c>
      <c r="M915" s="24">
        <v>40</v>
      </c>
      <c r="N915" s="22">
        <v>10.4</v>
      </c>
      <c r="O915" s="22">
        <v>416</v>
      </c>
      <c r="P915" s="22">
        <f>J915*K915</f>
        <v>416.0</v>
      </c>
      <c r="Q915" s="22">
        <f>IF(L915="","",N915-K915)</f>
        <v>0.0</v>
      </c>
      <c r="R915" s="24">
        <f>IF(L915="","",M915-J915)</f>
        <v>0.0</v>
      </c>
      <c r="S915" s="22">
        <f>IF(L915="",-P915,O915-P915)</f>
        <v>0.0</v>
      </c>
      <c r="T915" s="11" t="str">
        <f>IF(L915="","NO BILL IN SUPPLIED EXPORT",IF(ABS(Q915)&gt;0.001,"RATE EXCEPTION",IF(ABS(R915)&gt;0.001,"LENGTH EXCEPTION",IF(ABS(S915)&gt;0.01,"AMOUNT EXCEPTION","OK"))))</f>
        <v>OK</v>
      </c>
      <c r="U915" s="19" t="s">
        <v>4767</v>
      </c>
    </row>
    <row r="916" spans="1:21" ht="28" customHeight="1">
      <c r="A916" s="14" t="s">
        <v>4768</v>
      </c>
      <c r="B916" s="14" t="s">
        <v>192</v>
      </c>
      <c r="C916" s="14" t="s">
        <v>2515</v>
      </c>
      <c r="D916" s="14" t="s">
        <v>227</v>
      </c>
      <c r="E916" s="14" t="s">
        <v>4769</v>
      </c>
      <c r="F916" s="15" t="s">
        <v>4770</v>
      </c>
      <c r="G916" s="15" t="s">
        <v>4771</v>
      </c>
      <c r="H916" s="24">
        <v>32</v>
      </c>
      <c r="I916" s="24">
        <v>38.1</v>
      </c>
      <c r="J916" s="24">
        <f>MAX(H916,ROUNDUP(I916,0))</f>
        <v>39</v>
      </c>
      <c r="K916" s="22">
        <f>IF(C916="covered",10.4,7.55)</f>
        <v>10.4</v>
      </c>
      <c r="L916" s="14" t="s">
        <v>4772</v>
      </c>
      <c r="M916" s="24">
        <v>39</v>
      </c>
      <c r="N916" s="22">
        <v>10.4</v>
      </c>
      <c r="O916" s="22">
        <v>405.6</v>
      </c>
      <c r="P916" s="22">
        <f>J916*K916</f>
        <v>405.6</v>
      </c>
      <c r="Q916" s="22">
        <f>IF(L916="","",N916-K916)</f>
        <v>0.0</v>
      </c>
      <c r="R916" s="24">
        <f>IF(L916="","",M916-J916)</f>
        <v>0.0</v>
      </c>
      <c r="S916" s="22">
        <f>IF(L916="",-P916,O916-P916)</f>
        <v>0.0</v>
      </c>
      <c r="T916" s="11" t="str">
        <f>IF(L916="","NO BILL IN SUPPLIED EXPORT",IF(ABS(Q916)&gt;0.001,"RATE EXCEPTION",IF(ABS(R916)&gt;0.001,"LENGTH EXCEPTION",IF(ABS(S916)&gt;0.01,"AMOUNT EXCEPTION","OK"))))</f>
        <v>OK</v>
      </c>
      <c r="U916" s="15" t="s">
        <v>4773</v>
      </c>
    </row>
    <row r="917" spans="1:21" ht="28" customHeight="1">
      <c r="A917" s="18" t="s">
        <v>4774</v>
      </c>
      <c r="B917" s="18" t="s">
        <v>192</v>
      </c>
      <c r="C917" s="18" t="s">
        <v>2515</v>
      </c>
      <c r="D917" s="18" t="s">
        <v>227</v>
      </c>
      <c r="E917" s="18" t="s">
        <v>4775</v>
      </c>
      <c r="F917" s="19" t="s">
        <v>4776</v>
      </c>
      <c r="G917" s="19" t="s">
        <v>4777</v>
      </c>
      <c r="H917" s="24">
        <v>28</v>
      </c>
      <c r="I917" s="24">
        <v>20.9</v>
      </c>
      <c r="J917" s="24">
        <f>MAX(H917,ROUNDUP(I917,0))</f>
        <v>28.0</v>
      </c>
      <c r="K917" s="22">
        <f>IF(C917="covered",10.4,7.55)</f>
        <v>10.4</v>
      </c>
      <c r="L917" s="18" t="s">
        <v>4778</v>
      </c>
      <c r="M917" s="24">
        <v>28</v>
      </c>
      <c r="N917" s="22">
        <v>10.4</v>
      </c>
      <c r="O917" s="22">
        <v>291.2</v>
      </c>
      <c r="P917" s="22">
        <f>J917*K917</f>
        <v>291.2</v>
      </c>
      <c r="Q917" s="22">
        <f>IF(L917="","",N917-K917)</f>
        <v>0.0</v>
      </c>
      <c r="R917" s="24">
        <f>IF(L917="","",M917-J917)</f>
        <v>0.0</v>
      </c>
      <c r="S917" s="22">
        <f>IF(L917="",-P917,O917-P917)</f>
        <v>0.0</v>
      </c>
      <c r="T917" s="11" t="str">
        <f>IF(L917="","NO BILL IN SUPPLIED EXPORT",IF(ABS(Q917)&gt;0.001,"RATE EXCEPTION",IF(ABS(R917)&gt;0.001,"LENGTH EXCEPTION",IF(ABS(S917)&gt;0.01,"AMOUNT EXCEPTION","OK"))))</f>
        <v>OK</v>
      </c>
      <c r="U917" s="19" t="s">
        <v>4779</v>
      </c>
    </row>
    <row r="918" spans="1:21" ht="28" customHeight="1">
      <c r="A918" s="14" t="s">
        <v>4780</v>
      </c>
      <c r="B918" s="14" t="s">
        <v>192</v>
      </c>
      <c r="C918" s="14" t="s">
        <v>2515</v>
      </c>
      <c r="D918" s="14" t="s">
        <v>227</v>
      </c>
      <c r="E918" s="14" t="s">
        <v>4781</v>
      </c>
      <c r="F918" s="15" t="s">
        <v>4782</v>
      </c>
      <c r="G918" s="15" t="s">
        <v>3653</v>
      </c>
      <c r="H918" s="24">
        <v>40</v>
      </c>
      <c r="I918" s="24">
        <v>38.3</v>
      </c>
      <c r="J918" s="24">
        <f>MAX(H918,ROUNDUP(I918,0))</f>
        <v>40.0</v>
      </c>
      <c r="K918" s="22">
        <f>IF(C918="covered",10.4,7.55)</f>
        <v>10.4</v>
      </c>
      <c r="L918" s="14" t="s">
        <v>4783</v>
      </c>
      <c r="M918" s="24">
        <v>40</v>
      </c>
      <c r="N918" s="22">
        <v>10.4</v>
      </c>
      <c r="O918" s="22">
        <v>416</v>
      </c>
      <c r="P918" s="22">
        <f>J918*K918</f>
        <v>416.0</v>
      </c>
      <c r="Q918" s="22">
        <f>IF(L918="","",N918-K918)</f>
        <v>0.0</v>
      </c>
      <c r="R918" s="24">
        <f>IF(L918="","",M918-J918)</f>
        <v>0.0</v>
      </c>
      <c r="S918" s="22">
        <f>IF(L918="",-P918,O918-P918)</f>
        <v>0.0</v>
      </c>
      <c r="T918" s="11" t="str">
        <f>IF(L918="","NO BILL IN SUPPLIED EXPORT",IF(ABS(Q918)&gt;0.001,"RATE EXCEPTION",IF(ABS(R918)&gt;0.001,"LENGTH EXCEPTION",IF(ABS(S918)&gt;0.01,"AMOUNT EXCEPTION","OK"))))</f>
        <v>OK</v>
      </c>
      <c r="U918" s="15" t="s">
        <v>4784</v>
      </c>
    </row>
    <row r="919" spans="1:21" ht="28" customHeight="1">
      <c r="A919" s="18" t="s">
        <v>4785</v>
      </c>
      <c r="B919" s="18" t="s">
        <v>192</v>
      </c>
      <c r="C919" s="18" t="s">
        <v>2515</v>
      </c>
      <c r="D919" s="18" t="s">
        <v>227</v>
      </c>
      <c r="E919" s="18" t="s">
        <v>4786</v>
      </c>
      <c r="F919" s="19" t="s">
        <v>4787</v>
      </c>
      <c r="G919" s="19" t="s">
        <v>957</v>
      </c>
      <c r="H919" s="24">
        <v>24</v>
      </c>
      <c r="I919" s="24">
        <v>57.3</v>
      </c>
      <c r="J919" s="24">
        <f>MAX(H919,ROUNDUP(I919,0))</f>
        <v>58</v>
      </c>
      <c r="K919" s="22">
        <f>IF(C919="covered",10.4,7.55)</f>
        <v>10.4</v>
      </c>
      <c r="L919" s="18" t="s">
        <v>4788</v>
      </c>
      <c r="M919" s="24">
        <v>58</v>
      </c>
      <c r="N919" s="22">
        <v>10.4</v>
      </c>
      <c r="O919" s="22">
        <v>603.2</v>
      </c>
      <c r="P919" s="22">
        <f>J919*K919</f>
        <v>603.2</v>
      </c>
      <c r="Q919" s="22">
        <f>IF(L919="","",N919-K919)</f>
        <v>0.0</v>
      </c>
      <c r="R919" s="24">
        <f>IF(L919="","",M919-J919)</f>
        <v>0.0</v>
      </c>
      <c r="S919" s="22">
        <f>IF(L919="",-P919,O919-P919)</f>
        <v>0.0</v>
      </c>
      <c r="T919" s="11" t="str">
        <f>IF(L919="","NO BILL IN SUPPLIED EXPORT",IF(ABS(Q919)&gt;0.001,"RATE EXCEPTION",IF(ABS(R919)&gt;0.001,"LENGTH EXCEPTION",IF(ABS(S919)&gt;0.01,"AMOUNT EXCEPTION","OK"))))</f>
        <v>OK</v>
      </c>
      <c r="U919" s="19" t="s">
        <v>4789</v>
      </c>
    </row>
    <row r="920" spans="1:21" ht="28" customHeight="1">
      <c r="A920" s="14" t="s">
        <v>4790</v>
      </c>
      <c r="B920" s="14" t="s">
        <v>192</v>
      </c>
      <c r="C920" s="14" t="s">
        <v>2515</v>
      </c>
      <c r="D920" s="14" t="s">
        <v>227</v>
      </c>
      <c r="E920" s="14" t="s">
        <v>4791</v>
      </c>
      <c r="F920" s="15" t="s">
        <v>4792</v>
      </c>
      <c r="G920" s="15" t="s">
        <v>3315</v>
      </c>
      <c r="H920" s="24">
        <v>24</v>
      </c>
      <c r="I920" s="24">
        <v>38.2</v>
      </c>
      <c r="J920" s="24">
        <f>MAX(H920,ROUNDUP(I920,0))</f>
        <v>39</v>
      </c>
      <c r="K920" s="22">
        <f>IF(C920="covered",10.4,7.55)</f>
        <v>10.4</v>
      </c>
      <c r="L920" s="14" t="s">
        <v>4793</v>
      </c>
      <c r="M920" s="24">
        <v>39</v>
      </c>
      <c r="N920" s="22">
        <v>10.4</v>
      </c>
      <c r="O920" s="22">
        <v>405.6</v>
      </c>
      <c r="P920" s="22">
        <f>J920*K920</f>
        <v>405.6</v>
      </c>
      <c r="Q920" s="22">
        <f>IF(L920="","",N920-K920)</f>
        <v>0.0</v>
      </c>
      <c r="R920" s="24">
        <f>IF(L920="","",M920-J920)</f>
        <v>0.0</v>
      </c>
      <c r="S920" s="22">
        <f>IF(L920="",-P920,O920-P920)</f>
        <v>0.0</v>
      </c>
      <c r="T920" s="11" t="str">
        <f>IF(L920="","NO BILL IN SUPPLIED EXPORT",IF(ABS(Q920)&gt;0.001,"RATE EXCEPTION",IF(ABS(R920)&gt;0.001,"LENGTH EXCEPTION",IF(ABS(S920)&gt;0.01,"AMOUNT EXCEPTION","OK"))))</f>
        <v>OK</v>
      </c>
      <c r="U920" s="15" t="s">
        <v>4794</v>
      </c>
    </row>
    <row r="921" spans="1:21" ht="28" customHeight="1">
      <c r="A921" s="18" t="s">
        <v>4795</v>
      </c>
      <c r="B921" s="18" t="s">
        <v>192</v>
      </c>
      <c r="C921" s="18" t="s">
        <v>2515</v>
      </c>
      <c r="D921" s="18" t="s">
        <v>227</v>
      </c>
      <c r="E921" s="18" t="s">
        <v>4796</v>
      </c>
      <c r="F921" s="19" t="s">
        <v>4797</v>
      </c>
      <c r="G921" s="19" t="s">
        <v>2530</v>
      </c>
      <c r="H921" s="24">
        <v>24</v>
      </c>
      <c r="I921" s="24">
        <v>60.4</v>
      </c>
      <c r="J921" s="24">
        <f>MAX(H921,ROUNDUP(I921,0))</f>
        <v>61</v>
      </c>
      <c r="K921" s="22">
        <f>IF(C921="covered",10.4,7.55)</f>
        <v>10.4</v>
      </c>
      <c r="L921" s="18" t="s">
        <v>4798</v>
      </c>
      <c r="M921" s="24">
        <v>61</v>
      </c>
      <c r="N921" s="22">
        <v>10.4</v>
      </c>
      <c r="O921" s="22">
        <v>634.4</v>
      </c>
      <c r="P921" s="22">
        <f>J921*K921</f>
        <v>634.4</v>
      </c>
      <c r="Q921" s="22">
        <f>IF(L921="","",N921-K921)</f>
        <v>0.0</v>
      </c>
      <c r="R921" s="24">
        <f>IF(L921="","",M921-J921)</f>
        <v>0.0</v>
      </c>
      <c r="S921" s="22">
        <f>IF(L921="",-P921,O921-P921)</f>
        <v>0.0</v>
      </c>
      <c r="T921" s="11" t="str">
        <f>IF(L921="","NO BILL IN SUPPLIED EXPORT",IF(ABS(Q921)&gt;0.001,"RATE EXCEPTION",IF(ABS(R921)&gt;0.001,"LENGTH EXCEPTION",IF(ABS(S921)&gt;0.01,"AMOUNT EXCEPTION","OK"))))</f>
        <v>OK</v>
      </c>
      <c r="U921" s="19" t="s">
        <v>4799</v>
      </c>
    </row>
    <row r="922" spans="1:21" ht="28" customHeight="1">
      <c r="A922" s="14" t="s">
        <v>4800</v>
      </c>
      <c r="B922" s="14" t="s">
        <v>192</v>
      </c>
      <c r="C922" s="14" t="s">
        <v>2515</v>
      </c>
      <c r="D922" s="14" t="s">
        <v>227</v>
      </c>
      <c r="E922" s="14" t="s">
        <v>4801</v>
      </c>
      <c r="F922" s="15" t="s">
        <v>4802</v>
      </c>
      <c r="G922" s="15" t="s">
        <v>2275</v>
      </c>
      <c r="H922" s="24">
        <v>28</v>
      </c>
      <c r="I922" s="24">
        <v>18.3</v>
      </c>
      <c r="J922" s="24">
        <f>MAX(H922,ROUNDUP(I922,0))</f>
        <v>28.0</v>
      </c>
      <c r="K922" s="22">
        <f>IF(C922="covered",10.4,7.55)</f>
        <v>10.4</v>
      </c>
      <c r="L922" s="14" t="s">
        <v>4803</v>
      </c>
      <c r="M922" s="24">
        <v>28</v>
      </c>
      <c r="N922" s="22">
        <v>10.4</v>
      </c>
      <c r="O922" s="22">
        <v>291.2</v>
      </c>
      <c r="P922" s="22">
        <f>J922*K922</f>
        <v>291.2</v>
      </c>
      <c r="Q922" s="22">
        <f>IF(L922="","",N922-K922)</f>
        <v>0.0</v>
      </c>
      <c r="R922" s="24">
        <f>IF(L922="","",M922-J922)</f>
        <v>0.0</v>
      </c>
      <c r="S922" s="22">
        <f>IF(L922="",-P922,O922-P922)</f>
        <v>0.0</v>
      </c>
      <c r="T922" s="11" t="str">
        <f>IF(L922="","NO BILL IN SUPPLIED EXPORT",IF(ABS(Q922)&gt;0.001,"RATE EXCEPTION",IF(ABS(R922)&gt;0.001,"LENGTH EXCEPTION",IF(ABS(S922)&gt;0.01,"AMOUNT EXCEPTION","OK"))))</f>
        <v>OK</v>
      </c>
      <c r="U922" s="15" t="s">
        <v>4804</v>
      </c>
    </row>
    <row r="923" spans="1:21" ht="28" customHeight="1">
      <c r="A923" s="18" t="s">
        <v>4805</v>
      </c>
      <c r="B923" s="18" t="s">
        <v>192</v>
      </c>
      <c r="C923" s="18" t="s">
        <v>2515</v>
      </c>
      <c r="D923" s="18" t="s">
        <v>227</v>
      </c>
      <c r="E923" s="18" t="s">
        <v>4806</v>
      </c>
      <c r="F923" s="19" t="s">
        <v>4807</v>
      </c>
      <c r="G923" s="19" t="s">
        <v>923</v>
      </c>
      <c r="H923" s="24">
        <v>40</v>
      </c>
      <c r="I923" s="24">
        <v>30.8</v>
      </c>
      <c r="J923" s="24">
        <f>MAX(H923,ROUNDUP(I923,0))</f>
        <v>40.0</v>
      </c>
      <c r="K923" s="22">
        <f>IF(C923="covered",10.4,7.55)</f>
        <v>10.4</v>
      </c>
      <c r="L923" s="18" t="s">
        <v>4808</v>
      </c>
      <c r="M923" s="24">
        <v>40</v>
      </c>
      <c r="N923" s="22">
        <v>10.4</v>
      </c>
      <c r="O923" s="22">
        <v>416</v>
      </c>
      <c r="P923" s="22">
        <f>J923*K923</f>
        <v>416.0</v>
      </c>
      <c r="Q923" s="22">
        <f>IF(L923="","",N923-K923)</f>
        <v>0.0</v>
      </c>
      <c r="R923" s="24">
        <f>IF(L923="","",M923-J923)</f>
        <v>0.0</v>
      </c>
      <c r="S923" s="22">
        <f>IF(L923="",-P923,O923-P923)</f>
        <v>0.0</v>
      </c>
      <c r="T923" s="11" t="str">
        <f>IF(L923="","NO BILL IN SUPPLIED EXPORT",IF(ABS(Q923)&gt;0.001,"RATE EXCEPTION",IF(ABS(R923)&gt;0.001,"LENGTH EXCEPTION",IF(ABS(S923)&gt;0.01,"AMOUNT EXCEPTION","OK"))))</f>
        <v>OK</v>
      </c>
      <c r="U923" s="19" t="s">
        <v>4809</v>
      </c>
    </row>
    <row r="924" spans="1:21" ht="28" customHeight="1">
      <c r="A924" s="14" t="s">
        <v>4810</v>
      </c>
      <c r="B924" s="14" t="s">
        <v>192</v>
      </c>
      <c r="C924" s="14" t="s">
        <v>2515</v>
      </c>
      <c r="D924" s="14" t="s">
        <v>227</v>
      </c>
      <c r="E924" s="14" t="s">
        <v>4811</v>
      </c>
      <c r="F924" s="15" t="s">
        <v>4812</v>
      </c>
      <c r="G924" s="15" t="s">
        <v>4813</v>
      </c>
      <c r="H924" s="24">
        <v>24</v>
      </c>
      <c r="I924" s="24">
        <v>38.5</v>
      </c>
      <c r="J924" s="24">
        <f>MAX(H924,ROUNDUP(I924,0))</f>
        <v>39</v>
      </c>
      <c r="K924" s="22">
        <f>IF(C924="covered",10.4,7.55)</f>
        <v>10.4</v>
      </c>
      <c r="L924" s="14" t="s">
        <v>4814</v>
      </c>
      <c r="M924" s="24">
        <v>39</v>
      </c>
      <c r="N924" s="22">
        <v>10.4</v>
      </c>
      <c r="O924" s="22">
        <v>405.6</v>
      </c>
      <c r="P924" s="22">
        <f>J924*K924</f>
        <v>405.6</v>
      </c>
      <c r="Q924" s="22">
        <f>IF(L924="","",N924-K924)</f>
        <v>0.0</v>
      </c>
      <c r="R924" s="24">
        <f>IF(L924="","",M924-J924)</f>
        <v>0.0</v>
      </c>
      <c r="S924" s="22">
        <f>IF(L924="",-P924,O924-P924)</f>
        <v>0.0</v>
      </c>
      <c r="T924" s="11" t="str">
        <f>IF(L924="","NO BILL IN SUPPLIED EXPORT",IF(ABS(Q924)&gt;0.001,"RATE EXCEPTION",IF(ABS(R924)&gt;0.001,"LENGTH EXCEPTION",IF(ABS(S924)&gt;0.01,"AMOUNT EXCEPTION","OK"))))</f>
        <v>OK</v>
      </c>
      <c r="U924" s="15" t="s">
        <v>4815</v>
      </c>
    </row>
    <row r="925" spans="1:21" ht="28" customHeight="1">
      <c r="A925" s="18" t="s">
        <v>4816</v>
      </c>
      <c r="B925" s="18" t="s">
        <v>192</v>
      </c>
      <c r="C925" s="18" t="s">
        <v>2515</v>
      </c>
      <c r="D925" s="18" t="s">
        <v>227</v>
      </c>
      <c r="E925" s="18" t="s">
        <v>4817</v>
      </c>
      <c r="F925" s="19" t="s">
        <v>4818</v>
      </c>
      <c r="G925" s="19" t="s">
        <v>3834</v>
      </c>
      <c r="H925" s="24">
        <v>24</v>
      </c>
      <c r="I925" s="24">
        <v>27</v>
      </c>
      <c r="J925" s="24">
        <f>MAX(H925,ROUNDUP(I925,0))</f>
        <v>27</v>
      </c>
      <c r="K925" s="22">
        <f>IF(C925="covered",10.4,7.55)</f>
        <v>10.4</v>
      </c>
      <c r="L925" s="18" t="s">
        <v>4819</v>
      </c>
      <c r="M925" s="24">
        <v>27</v>
      </c>
      <c r="N925" s="22">
        <v>10.4</v>
      </c>
      <c r="O925" s="22">
        <v>280.8</v>
      </c>
      <c r="P925" s="22">
        <f>J925*K925</f>
        <v>280.8</v>
      </c>
      <c r="Q925" s="22">
        <f>IF(L925="","",N925-K925)</f>
        <v>0.0</v>
      </c>
      <c r="R925" s="24">
        <f>IF(L925="","",M925-J925)</f>
        <v>0.0</v>
      </c>
      <c r="S925" s="22">
        <f>IF(L925="",-P925,O925-P925)</f>
        <v>0.0</v>
      </c>
      <c r="T925" s="11" t="str">
        <f>IF(L925="","NO BILL IN SUPPLIED EXPORT",IF(ABS(Q925)&gt;0.001,"RATE EXCEPTION",IF(ABS(R925)&gt;0.001,"LENGTH EXCEPTION",IF(ABS(S925)&gt;0.01,"AMOUNT EXCEPTION","OK"))))</f>
        <v>OK</v>
      </c>
      <c r="U925" s="19" t="s">
        <v>4820</v>
      </c>
    </row>
    <row r="926" spans="1:21" ht="28" customHeight="1">
      <c r="A926" s="14" t="s">
        <v>4821</v>
      </c>
      <c r="B926" s="14" t="s">
        <v>192</v>
      </c>
      <c r="C926" s="14" t="s">
        <v>2515</v>
      </c>
      <c r="D926" s="14" t="s">
        <v>227</v>
      </c>
      <c r="E926" s="14" t="s">
        <v>4822</v>
      </c>
      <c r="F926" s="15" t="s">
        <v>4823</v>
      </c>
      <c r="G926" s="15" t="s">
        <v>353</v>
      </c>
      <c r="H926" s="24">
        <v>28</v>
      </c>
      <c r="I926" s="24">
        <v>47.7</v>
      </c>
      <c r="J926" s="24">
        <f>MAX(H926,ROUNDUP(I926,0))</f>
        <v>48</v>
      </c>
      <c r="K926" s="22">
        <f>IF(C926="covered",10.4,7.55)</f>
        <v>10.4</v>
      </c>
      <c r="L926" s="14" t="s">
        <v>4824</v>
      </c>
      <c r="M926" s="24">
        <v>48</v>
      </c>
      <c r="N926" s="22">
        <v>10.4</v>
      </c>
      <c r="O926" s="22">
        <v>499.2</v>
      </c>
      <c r="P926" s="22">
        <f>J926*K926</f>
        <v>499.20000000000005</v>
      </c>
      <c r="Q926" s="22">
        <f>IF(L926="","",N926-K926)</f>
        <v>0.0</v>
      </c>
      <c r="R926" s="24">
        <f>IF(L926="","",M926-J926)</f>
        <v>0.0</v>
      </c>
      <c r="S926" s="22">
        <f>IF(L926="",-P926,O926-P926)</f>
        <v>-5.684341886080802e-14</v>
      </c>
      <c r="T926" s="11" t="str">
        <f>IF(L926="","NO BILL IN SUPPLIED EXPORT",IF(ABS(Q926)&gt;0.001,"RATE EXCEPTION",IF(ABS(R926)&gt;0.001,"LENGTH EXCEPTION",IF(ABS(S926)&gt;0.01,"AMOUNT EXCEPTION","OK"))))</f>
        <v>OK</v>
      </c>
      <c r="U926" s="15" t="s">
        <v>4825</v>
      </c>
    </row>
    <row r="927" spans="1:21" ht="28" customHeight="1">
      <c r="A927" s="18" t="s">
        <v>4826</v>
      </c>
      <c r="B927" s="18" t="s">
        <v>192</v>
      </c>
      <c r="C927" s="18" t="s">
        <v>2515</v>
      </c>
      <c r="D927" s="18" t="s">
        <v>227</v>
      </c>
      <c r="E927" s="18" t="s">
        <v>4827</v>
      </c>
      <c r="F927" s="19" t="s">
        <v>4828</v>
      </c>
      <c r="G927" s="19" t="s">
        <v>4829</v>
      </c>
      <c r="H927" s="24">
        <v>28</v>
      </c>
      <c r="I927" s="24">
        <v>24.4</v>
      </c>
      <c r="J927" s="24">
        <f>MAX(H927,ROUNDUP(I927,0))</f>
        <v>28.0</v>
      </c>
      <c r="K927" s="22">
        <f>IF(C927="covered",10.4,7.55)</f>
        <v>10.4</v>
      </c>
      <c r="L927" s="18" t="s">
        <v>4830</v>
      </c>
      <c r="M927" s="24">
        <v>28</v>
      </c>
      <c r="N927" s="22">
        <v>10.4</v>
      </c>
      <c r="O927" s="22">
        <v>291.2</v>
      </c>
      <c r="P927" s="22">
        <f>J927*K927</f>
        <v>291.2</v>
      </c>
      <c r="Q927" s="22">
        <f>IF(L927="","",N927-K927)</f>
        <v>0.0</v>
      </c>
      <c r="R927" s="24">
        <f>IF(L927="","",M927-J927)</f>
        <v>0.0</v>
      </c>
      <c r="S927" s="22">
        <f>IF(L927="",-P927,O927-P927)</f>
        <v>0.0</v>
      </c>
      <c r="T927" s="11" t="str">
        <f>IF(L927="","NO BILL IN SUPPLIED EXPORT",IF(ABS(Q927)&gt;0.001,"RATE EXCEPTION",IF(ABS(R927)&gt;0.001,"LENGTH EXCEPTION",IF(ABS(S927)&gt;0.01,"AMOUNT EXCEPTION","OK"))))</f>
        <v>OK</v>
      </c>
      <c r="U927" s="19" t="s">
        <v>4831</v>
      </c>
    </row>
    <row r="928" spans="1:21" ht="28" customHeight="1">
      <c r="A928" s="14" t="s">
        <v>4832</v>
      </c>
      <c r="B928" s="14" t="s">
        <v>192</v>
      </c>
      <c r="C928" s="14" t="s">
        <v>2515</v>
      </c>
      <c r="D928" s="14" t="s">
        <v>227</v>
      </c>
      <c r="E928" s="14" t="s">
        <v>4833</v>
      </c>
      <c r="F928" s="15" t="s">
        <v>4834</v>
      </c>
      <c r="G928" s="15" t="s">
        <v>675</v>
      </c>
      <c r="H928" s="24">
        <v>24</v>
      </c>
      <c r="I928" s="24">
        <v>31.2</v>
      </c>
      <c r="J928" s="24">
        <f>MAX(H928,ROUNDUP(I928,0))</f>
        <v>32</v>
      </c>
      <c r="K928" s="22">
        <f>IF(C928="covered",10.4,7.55)</f>
        <v>10.4</v>
      </c>
      <c r="L928" s="14" t="s">
        <v>4835</v>
      </c>
      <c r="M928" s="24">
        <v>32</v>
      </c>
      <c r="N928" s="22">
        <v>10.4</v>
      </c>
      <c r="O928" s="22">
        <v>332.8</v>
      </c>
      <c r="P928" s="22">
        <f>J928*K928</f>
        <v>332.8</v>
      </c>
      <c r="Q928" s="22">
        <f>IF(L928="","",N928-K928)</f>
        <v>0.0</v>
      </c>
      <c r="R928" s="24">
        <f>IF(L928="","",M928-J928)</f>
        <v>0.0</v>
      </c>
      <c r="S928" s="22">
        <f>IF(L928="",-P928,O928-P928)</f>
        <v>0.0</v>
      </c>
      <c r="T928" s="11" t="str">
        <f>IF(L928="","NO BILL IN SUPPLIED EXPORT",IF(ABS(Q928)&gt;0.001,"RATE EXCEPTION",IF(ABS(R928)&gt;0.001,"LENGTH EXCEPTION",IF(ABS(S928)&gt;0.01,"AMOUNT EXCEPTION","OK"))))</f>
        <v>OK</v>
      </c>
      <c r="U928" s="15" t="s">
        <v>4836</v>
      </c>
    </row>
    <row r="929" spans="1:21" ht="28" customHeight="1">
      <c r="A929" s="18" t="s">
        <v>4837</v>
      </c>
      <c r="B929" s="18" t="s">
        <v>192</v>
      </c>
      <c r="C929" s="18" t="s">
        <v>2515</v>
      </c>
      <c r="D929" s="18" t="s">
        <v>227</v>
      </c>
      <c r="E929" s="18" t="s">
        <v>4838</v>
      </c>
      <c r="F929" s="19" t="s">
        <v>4839</v>
      </c>
      <c r="G929" s="19" t="s">
        <v>2553</v>
      </c>
      <c r="H929" s="24">
        <v>28</v>
      </c>
      <c r="I929" s="24">
        <v>61.3</v>
      </c>
      <c r="J929" s="24">
        <f>MAX(H929,ROUNDUP(I929,0))</f>
        <v>62</v>
      </c>
      <c r="K929" s="22">
        <f>IF(C929="covered",10.4,7.55)</f>
        <v>10.4</v>
      </c>
      <c r="L929" s="18" t="s">
        <v>4840</v>
      </c>
      <c r="M929" s="24">
        <v>62</v>
      </c>
      <c r="N929" s="22">
        <v>10.4</v>
      </c>
      <c r="O929" s="22">
        <v>644.8</v>
      </c>
      <c r="P929" s="22">
        <f>J929*K929</f>
        <v>644.8000000000001</v>
      </c>
      <c r="Q929" s="22">
        <f>IF(L929="","",N929-K929)</f>
        <v>0.0</v>
      </c>
      <c r="R929" s="24">
        <f>IF(L929="","",M929-J929)</f>
        <v>0.0</v>
      </c>
      <c r="S929" s="22">
        <f>IF(L929="",-P929,O929-P929)</f>
        <v>-1.1368683772161603e-13</v>
      </c>
      <c r="T929" s="11" t="str">
        <f>IF(L929="","NO BILL IN SUPPLIED EXPORT",IF(ABS(Q929)&gt;0.001,"RATE EXCEPTION",IF(ABS(R929)&gt;0.001,"LENGTH EXCEPTION",IF(ABS(S929)&gt;0.01,"AMOUNT EXCEPTION","OK"))))</f>
        <v>OK</v>
      </c>
      <c r="U929" s="19" t="s">
        <v>4841</v>
      </c>
    </row>
    <row r="930" spans="1:21" ht="28" customHeight="1">
      <c r="A930" s="14" t="s">
        <v>4842</v>
      </c>
      <c r="B930" s="14" t="s">
        <v>192</v>
      </c>
      <c r="C930" s="14" t="s">
        <v>2515</v>
      </c>
      <c r="D930" s="14" t="s">
        <v>227</v>
      </c>
      <c r="E930" s="14" t="s">
        <v>4843</v>
      </c>
      <c r="F930" s="15" t="s">
        <v>4844</v>
      </c>
      <c r="G930" s="15" t="s">
        <v>4845</v>
      </c>
      <c r="H930" s="24">
        <v>32</v>
      </c>
      <c r="I930" s="24">
        <v>31.4</v>
      </c>
      <c r="J930" s="24">
        <f>MAX(H930,ROUNDUP(I930,0))</f>
        <v>32.0</v>
      </c>
      <c r="K930" s="22">
        <f>IF(C930="covered",10.4,7.55)</f>
        <v>10.4</v>
      </c>
      <c r="L930" s="14" t="s">
        <v>4846</v>
      </c>
      <c r="M930" s="24">
        <v>32</v>
      </c>
      <c r="N930" s="22">
        <v>10.4</v>
      </c>
      <c r="O930" s="22">
        <v>332.8</v>
      </c>
      <c r="P930" s="22">
        <f>J930*K930</f>
        <v>332.8</v>
      </c>
      <c r="Q930" s="22">
        <f>IF(L930="","",N930-K930)</f>
        <v>0.0</v>
      </c>
      <c r="R930" s="24">
        <f>IF(L930="","",M930-J930)</f>
        <v>0.0</v>
      </c>
      <c r="S930" s="22">
        <f>IF(L930="",-P930,O930-P930)</f>
        <v>0.0</v>
      </c>
      <c r="T930" s="11" t="str">
        <f>IF(L930="","NO BILL IN SUPPLIED EXPORT",IF(ABS(Q930)&gt;0.001,"RATE EXCEPTION",IF(ABS(R930)&gt;0.001,"LENGTH EXCEPTION",IF(ABS(S930)&gt;0.01,"AMOUNT EXCEPTION","OK"))))</f>
        <v>OK</v>
      </c>
      <c r="U930" s="15" t="s">
        <v>4847</v>
      </c>
    </row>
    <row r="931" spans="1:21" ht="28" customHeight="1">
      <c r="A931" s="18" t="s">
        <v>150</v>
      </c>
      <c r="B931" s="18" t="s">
        <v>192</v>
      </c>
      <c r="C931" s="18" t="s">
        <v>2515</v>
      </c>
      <c r="D931" s="18" t="s">
        <v>227</v>
      </c>
      <c r="E931" s="18" t="s">
        <v>4848</v>
      </c>
      <c r="F931" s="19" t="s">
        <v>4849</v>
      </c>
      <c r="G931" s="19" t="s">
        <v>4324</v>
      </c>
      <c r="H931" s="24">
        <v>28</v>
      </c>
      <c r="I931" s="24">
        <v>27</v>
      </c>
      <c r="J931" s="24">
        <f>MAX(H931,ROUNDUP(I931,0))</f>
        <v>28.0</v>
      </c>
      <c r="K931" s="22">
        <f>IF(C931="covered",10.4,7.55)</f>
        <v>10.4</v>
      </c>
      <c r="L931" s="18" t="s">
        <v>4850</v>
      </c>
      <c r="M931" s="24">
        <v>28</v>
      </c>
      <c r="N931" s="22">
        <v>10.4</v>
      </c>
      <c r="O931" s="22">
        <v>291.2</v>
      </c>
      <c r="P931" s="22">
        <f>J931*K931</f>
        <v>291.2</v>
      </c>
      <c r="Q931" s="22">
        <f>IF(L931="","",N931-K931)</f>
        <v>0.0</v>
      </c>
      <c r="R931" s="24">
        <f>IF(L931="","",M931-J931)</f>
        <v>0.0</v>
      </c>
      <c r="S931" s="22">
        <f>IF(L931="",-P931,O931-P931)</f>
        <v>0.0</v>
      </c>
      <c r="T931" s="11" t="str">
        <f>IF(L931="","NO BILL IN SUPPLIED EXPORT",IF(ABS(Q931)&gt;0.001,"RATE EXCEPTION",IF(ABS(R931)&gt;0.001,"LENGTH EXCEPTION",IF(ABS(S931)&gt;0.01,"AMOUNT EXCEPTION","OK"))))</f>
        <v>OK</v>
      </c>
      <c r="U931" s="19" t="s">
        <v>4851</v>
      </c>
    </row>
    <row r="932" spans="1:21" ht="28" customHeight="1">
      <c r="A932" s="14" t="s">
        <v>4852</v>
      </c>
      <c r="B932" s="14" t="s">
        <v>192</v>
      </c>
      <c r="C932" s="14" t="s">
        <v>2515</v>
      </c>
      <c r="D932" s="14" t="s">
        <v>227</v>
      </c>
      <c r="E932" s="14" t="s">
        <v>4853</v>
      </c>
      <c r="F932" s="15" t="s">
        <v>4854</v>
      </c>
      <c r="G932" s="15" t="s">
        <v>4475</v>
      </c>
      <c r="H932" s="24">
        <v>28</v>
      </c>
      <c r="I932" s="24">
        <v>41.3</v>
      </c>
      <c r="J932" s="24">
        <f>MAX(H932,ROUNDUP(I932,0))</f>
        <v>42</v>
      </c>
      <c r="K932" s="22">
        <f>IF(C932="covered",10.4,7.55)</f>
        <v>10.4</v>
      </c>
      <c r="L932" s="14" t="s">
        <v>4855</v>
      </c>
      <c r="M932" s="24">
        <v>42</v>
      </c>
      <c r="N932" s="22">
        <v>10.4</v>
      </c>
      <c r="O932" s="22">
        <v>436.8</v>
      </c>
      <c r="P932" s="22">
        <f>J932*K932</f>
        <v>436.8</v>
      </c>
      <c r="Q932" s="22">
        <f>IF(L932="","",N932-K932)</f>
        <v>0.0</v>
      </c>
      <c r="R932" s="24">
        <f>IF(L932="","",M932-J932)</f>
        <v>0.0</v>
      </c>
      <c r="S932" s="22">
        <f>IF(L932="",-P932,O932-P932)</f>
        <v>0.0</v>
      </c>
      <c r="T932" s="11" t="str">
        <f>IF(L932="","NO BILL IN SUPPLIED EXPORT",IF(ABS(Q932)&gt;0.001,"RATE EXCEPTION",IF(ABS(R932)&gt;0.001,"LENGTH EXCEPTION",IF(ABS(S932)&gt;0.01,"AMOUNT EXCEPTION","OK"))))</f>
        <v>OK</v>
      </c>
      <c r="U932" s="15" t="s">
        <v>4856</v>
      </c>
    </row>
    <row r="933" spans="1:21" ht="28" customHeight="1">
      <c r="A933" s="18" t="s">
        <v>4857</v>
      </c>
      <c r="B933" s="18" t="s">
        <v>192</v>
      </c>
      <c r="C933" s="18" t="s">
        <v>2515</v>
      </c>
      <c r="D933" s="18" t="s">
        <v>227</v>
      </c>
      <c r="E933" s="18" t="s">
        <v>4858</v>
      </c>
      <c r="F933" s="19" t="s">
        <v>4859</v>
      </c>
      <c r="G933" s="19" t="s">
        <v>1817</v>
      </c>
      <c r="H933" s="24">
        <v>32</v>
      </c>
      <c r="I933" s="24">
        <v>30.5</v>
      </c>
      <c r="J933" s="24">
        <f>MAX(H933,ROUNDUP(I933,0))</f>
        <v>32.0</v>
      </c>
      <c r="K933" s="22">
        <f>IF(C933="covered",10.4,7.55)</f>
        <v>10.4</v>
      </c>
      <c r="L933" s="18" t="s">
        <v>4860</v>
      </c>
      <c r="M933" s="24">
        <v>32</v>
      </c>
      <c r="N933" s="22">
        <v>10.4</v>
      </c>
      <c r="O933" s="22">
        <v>332.8</v>
      </c>
      <c r="P933" s="22">
        <f>J933*K933</f>
        <v>332.8</v>
      </c>
      <c r="Q933" s="22">
        <f>IF(L933="","",N933-K933)</f>
        <v>0.0</v>
      </c>
      <c r="R933" s="24">
        <f>IF(L933="","",M933-J933)</f>
        <v>0.0</v>
      </c>
      <c r="S933" s="22">
        <f>IF(L933="",-P933,O933-P933)</f>
        <v>0.0</v>
      </c>
      <c r="T933" s="11" t="str">
        <f>IF(L933="","NO BILL IN SUPPLIED EXPORT",IF(ABS(Q933)&gt;0.001,"RATE EXCEPTION",IF(ABS(R933)&gt;0.001,"LENGTH EXCEPTION",IF(ABS(S933)&gt;0.01,"AMOUNT EXCEPTION","OK"))))</f>
        <v>OK</v>
      </c>
      <c r="U933" s="19" t="s">
        <v>4861</v>
      </c>
    </row>
    <row r="934" spans="1:21" ht="28" customHeight="1">
      <c r="A934" s="14" t="s">
        <v>4862</v>
      </c>
      <c r="B934" s="14" t="s">
        <v>192</v>
      </c>
      <c r="C934" s="14" t="s">
        <v>2515</v>
      </c>
      <c r="D934" s="14" t="s">
        <v>227</v>
      </c>
      <c r="E934" s="14" t="s">
        <v>4863</v>
      </c>
      <c r="F934" s="15" t="s">
        <v>4864</v>
      </c>
      <c r="G934" s="15" t="s">
        <v>3427</v>
      </c>
      <c r="H934" s="24">
        <v>32</v>
      </c>
      <c r="I934" s="24">
        <v>32.2</v>
      </c>
      <c r="J934" s="24">
        <f>MAX(H934,ROUNDUP(I934,0))</f>
        <v>33</v>
      </c>
      <c r="K934" s="22">
        <f>IF(C934="covered",10.4,7.55)</f>
        <v>10.4</v>
      </c>
      <c r="L934" s="14" t="s">
        <v>4865</v>
      </c>
      <c r="M934" s="24">
        <v>33</v>
      </c>
      <c r="N934" s="22">
        <v>10.4</v>
      </c>
      <c r="O934" s="22">
        <v>343.2</v>
      </c>
      <c r="P934" s="22">
        <f>J934*K934</f>
        <v>343.2</v>
      </c>
      <c r="Q934" s="22">
        <f>IF(L934="","",N934-K934)</f>
        <v>0.0</v>
      </c>
      <c r="R934" s="24">
        <f>IF(L934="","",M934-J934)</f>
        <v>0.0</v>
      </c>
      <c r="S934" s="22">
        <f>IF(L934="",-P934,O934-P934)</f>
        <v>0.0</v>
      </c>
      <c r="T934" s="11" t="str">
        <f>IF(L934="","NO BILL IN SUPPLIED EXPORT",IF(ABS(Q934)&gt;0.001,"RATE EXCEPTION",IF(ABS(R934)&gt;0.001,"LENGTH EXCEPTION",IF(ABS(S934)&gt;0.01,"AMOUNT EXCEPTION","OK"))))</f>
        <v>OK</v>
      </c>
      <c r="U934" s="15" t="s">
        <v>4866</v>
      </c>
    </row>
    <row r="935" spans="1:21" ht="28" customHeight="1">
      <c r="A935" s="18" t="s">
        <v>4867</v>
      </c>
      <c r="B935" s="18" t="s">
        <v>192</v>
      </c>
      <c r="C935" s="18" t="s">
        <v>2515</v>
      </c>
      <c r="D935" s="18" t="s">
        <v>227</v>
      </c>
      <c r="E935" s="18" t="s">
        <v>4868</v>
      </c>
      <c r="F935" s="19" t="s">
        <v>4869</v>
      </c>
      <c r="G935" s="19" t="s">
        <v>3512</v>
      </c>
      <c r="H935" s="24">
        <v>24</v>
      </c>
      <c r="I935" s="24">
        <v>45.8</v>
      </c>
      <c r="J935" s="24">
        <f>MAX(H935,ROUNDUP(I935,0))</f>
        <v>46</v>
      </c>
      <c r="K935" s="22">
        <f>IF(C935="covered",10.4,7.55)</f>
        <v>10.4</v>
      </c>
      <c r="L935" s="18" t="s">
        <v>4870</v>
      </c>
      <c r="M935" s="24">
        <v>46</v>
      </c>
      <c r="N935" s="22">
        <v>10.4</v>
      </c>
      <c r="O935" s="22">
        <v>478.4</v>
      </c>
      <c r="P935" s="22">
        <f>J935*K935</f>
        <v>478.40000000000003</v>
      </c>
      <c r="Q935" s="22">
        <f>IF(L935="","",N935-K935)</f>
        <v>0.0</v>
      </c>
      <c r="R935" s="24">
        <f>IF(L935="","",M935-J935)</f>
        <v>0.0</v>
      </c>
      <c r="S935" s="22">
        <f>IF(L935="",-P935,O935-P935)</f>
        <v>-5.684341886080802e-14</v>
      </c>
      <c r="T935" s="11" t="str">
        <f>IF(L935="","NO BILL IN SUPPLIED EXPORT",IF(ABS(Q935)&gt;0.001,"RATE EXCEPTION",IF(ABS(R935)&gt;0.001,"LENGTH EXCEPTION",IF(ABS(S935)&gt;0.01,"AMOUNT EXCEPTION","OK"))))</f>
        <v>OK</v>
      </c>
      <c r="U935" s="19" t="s">
        <v>4871</v>
      </c>
    </row>
    <row r="936" spans="1:21" ht="28" customHeight="1">
      <c r="A936" s="14" t="s">
        <v>4872</v>
      </c>
      <c r="B936" s="14" t="s">
        <v>192</v>
      </c>
      <c r="C936" s="14" t="s">
        <v>2515</v>
      </c>
      <c r="D936" s="14" t="s">
        <v>227</v>
      </c>
      <c r="E936" s="14" t="s">
        <v>4873</v>
      </c>
      <c r="F936" s="15" t="s">
        <v>4874</v>
      </c>
      <c r="G936" s="15" t="s">
        <v>907</v>
      </c>
      <c r="H936" s="24">
        <v>28</v>
      </c>
      <c r="I936" s="24">
        <v>18.3</v>
      </c>
      <c r="J936" s="24">
        <f>MAX(H936,ROUNDUP(I936,0))</f>
        <v>28.0</v>
      </c>
      <c r="K936" s="22">
        <f>IF(C936="covered",10.4,7.55)</f>
        <v>10.4</v>
      </c>
      <c r="L936" s="14" t="s">
        <v>4875</v>
      </c>
      <c r="M936" s="24">
        <v>28</v>
      </c>
      <c r="N936" s="22">
        <v>10.4</v>
      </c>
      <c r="O936" s="22">
        <v>291.2</v>
      </c>
      <c r="P936" s="22">
        <f>J936*K936</f>
        <v>291.2</v>
      </c>
      <c r="Q936" s="22">
        <f>IF(L936="","",N936-K936)</f>
        <v>0.0</v>
      </c>
      <c r="R936" s="24">
        <f>IF(L936="","",M936-J936)</f>
        <v>0.0</v>
      </c>
      <c r="S936" s="22">
        <f>IF(L936="",-P936,O936-P936)</f>
        <v>0.0</v>
      </c>
      <c r="T936" s="11" t="str">
        <f>IF(L936="","NO BILL IN SUPPLIED EXPORT",IF(ABS(Q936)&gt;0.001,"RATE EXCEPTION",IF(ABS(R936)&gt;0.001,"LENGTH EXCEPTION",IF(ABS(S936)&gt;0.01,"AMOUNT EXCEPTION","OK"))))</f>
        <v>OK</v>
      </c>
      <c r="U936" s="15" t="s">
        <v>4876</v>
      </c>
    </row>
    <row r="937" spans="1:21" ht="28" customHeight="1">
      <c r="A937" s="18" t="s">
        <v>4877</v>
      </c>
      <c r="B937" s="18" t="s">
        <v>192</v>
      </c>
      <c r="C937" s="18" t="s">
        <v>2515</v>
      </c>
      <c r="D937" s="18" t="s">
        <v>227</v>
      </c>
      <c r="E937" s="18" t="s">
        <v>4878</v>
      </c>
      <c r="F937" s="19" t="s">
        <v>4879</v>
      </c>
      <c r="G937" s="19" t="s">
        <v>2518</v>
      </c>
      <c r="H937" s="24">
        <v>24</v>
      </c>
      <c r="I937" s="24">
        <v>32</v>
      </c>
      <c r="J937" s="24">
        <f>MAX(H937,ROUNDUP(I937,0))</f>
        <v>32</v>
      </c>
      <c r="K937" s="22">
        <f>IF(C937="covered",10.4,7.55)</f>
        <v>10.4</v>
      </c>
      <c r="L937" s="18" t="s">
        <v>4880</v>
      </c>
      <c r="M937" s="24">
        <v>32</v>
      </c>
      <c r="N937" s="22">
        <v>10.4</v>
      </c>
      <c r="O937" s="22">
        <v>332.8</v>
      </c>
      <c r="P937" s="22">
        <f>J937*K937</f>
        <v>332.8</v>
      </c>
      <c r="Q937" s="22">
        <f>IF(L937="","",N937-K937)</f>
        <v>0.0</v>
      </c>
      <c r="R937" s="24">
        <f>IF(L937="","",M937-J937)</f>
        <v>0.0</v>
      </c>
      <c r="S937" s="22">
        <f>IF(L937="",-P937,O937-P937)</f>
        <v>0.0</v>
      </c>
      <c r="T937" s="11" t="str">
        <f>IF(L937="","NO BILL IN SUPPLIED EXPORT",IF(ABS(Q937)&gt;0.001,"RATE EXCEPTION",IF(ABS(R937)&gt;0.001,"LENGTH EXCEPTION",IF(ABS(S937)&gt;0.01,"AMOUNT EXCEPTION","OK"))))</f>
        <v>OK</v>
      </c>
      <c r="U937" s="19" t="s">
        <v>4881</v>
      </c>
    </row>
    <row r="938" spans="1:21" ht="28" customHeight="1">
      <c r="A938" s="14" t="s">
        <v>4882</v>
      </c>
      <c r="B938" s="14" t="s">
        <v>192</v>
      </c>
      <c r="C938" s="14" t="s">
        <v>2515</v>
      </c>
      <c r="D938" s="14" t="s">
        <v>227</v>
      </c>
      <c r="E938" s="14" t="s">
        <v>4883</v>
      </c>
      <c r="F938" s="15" t="s">
        <v>4884</v>
      </c>
      <c r="G938" s="15" t="s">
        <v>2021</v>
      </c>
      <c r="H938" s="24">
        <v>24</v>
      </c>
      <c r="I938" s="24">
        <v>41.8</v>
      </c>
      <c r="J938" s="24">
        <f>MAX(H938,ROUNDUP(I938,0))</f>
        <v>42</v>
      </c>
      <c r="K938" s="22">
        <f>IF(C938="covered",10.4,7.55)</f>
        <v>10.4</v>
      </c>
      <c r="L938" s="14" t="s">
        <v>4885</v>
      </c>
      <c r="M938" s="24">
        <v>42</v>
      </c>
      <c r="N938" s="22">
        <v>10.4</v>
      </c>
      <c r="O938" s="22">
        <v>436.8</v>
      </c>
      <c r="P938" s="22">
        <f>J938*K938</f>
        <v>436.8</v>
      </c>
      <c r="Q938" s="22">
        <f>IF(L938="","",N938-K938)</f>
        <v>0.0</v>
      </c>
      <c r="R938" s="24">
        <f>IF(L938="","",M938-J938)</f>
        <v>0.0</v>
      </c>
      <c r="S938" s="22">
        <f>IF(L938="",-P938,O938-P938)</f>
        <v>0.0</v>
      </c>
      <c r="T938" s="11" t="str">
        <f>IF(L938="","NO BILL IN SUPPLIED EXPORT",IF(ABS(Q938)&gt;0.001,"RATE EXCEPTION",IF(ABS(R938)&gt;0.001,"LENGTH EXCEPTION",IF(ABS(S938)&gt;0.01,"AMOUNT EXCEPTION","OK"))))</f>
        <v>OK</v>
      </c>
      <c r="U938" s="15" t="s">
        <v>4886</v>
      </c>
    </row>
    <row r="939" spans="1:21" ht="28" customHeight="1">
      <c r="A939" s="18" t="s">
        <v>4887</v>
      </c>
      <c r="B939" s="18" t="s">
        <v>192</v>
      </c>
      <c r="C939" s="18" t="s">
        <v>2515</v>
      </c>
      <c r="D939" s="18" t="s">
        <v>227</v>
      </c>
      <c r="E939" s="18" t="s">
        <v>4888</v>
      </c>
      <c r="F939" s="19" t="s">
        <v>4889</v>
      </c>
      <c r="G939" s="19" t="s">
        <v>2280</v>
      </c>
      <c r="H939" s="24">
        <v>36</v>
      </c>
      <c r="I939" s="24">
        <v>20.6</v>
      </c>
      <c r="J939" s="24">
        <f>MAX(H939,ROUNDUP(I939,0))</f>
        <v>36.0</v>
      </c>
      <c r="K939" s="22">
        <f>IF(C939="covered",10.4,7.55)</f>
        <v>10.4</v>
      </c>
      <c r="L939" s="18" t="s">
        <v>4890</v>
      </c>
      <c r="M939" s="24">
        <v>36</v>
      </c>
      <c r="N939" s="22">
        <v>10.4</v>
      </c>
      <c r="O939" s="22">
        <v>374.4</v>
      </c>
      <c r="P939" s="22">
        <f>J939*K939</f>
        <v>374.40000000000003</v>
      </c>
      <c r="Q939" s="22">
        <f>IF(L939="","",N939-K939)</f>
        <v>0.0</v>
      </c>
      <c r="R939" s="24">
        <f>IF(L939="","",M939-J939)</f>
        <v>0.0</v>
      </c>
      <c r="S939" s="22">
        <f>IF(L939="",-P939,O939-P939)</f>
        <v>-5.684341886080802e-14</v>
      </c>
      <c r="T939" s="11" t="str">
        <f>IF(L939="","NO BILL IN SUPPLIED EXPORT",IF(ABS(Q939)&gt;0.001,"RATE EXCEPTION",IF(ABS(R939)&gt;0.001,"LENGTH EXCEPTION",IF(ABS(S939)&gt;0.01,"AMOUNT EXCEPTION","OK"))))</f>
        <v>OK</v>
      </c>
      <c r="U939" s="19" t="s">
        <v>4891</v>
      </c>
    </row>
    <row r="940" spans="1:21" ht="28" customHeight="1">
      <c r="A940" s="14" t="s">
        <v>4892</v>
      </c>
      <c r="B940" s="14" t="s">
        <v>192</v>
      </c>
      <c r="C940" s="14" t="s">
        <v>2515</v>
      </c>
      <c r="D940" s="14" t="s">
        <v>227</v>
      </c>
      <c r="E940" s="14" t="s">
        <v>4893</v>
      </c>
      <c r="F940" s="15" t="s">
        <v>4894</v>
      </c>
      <c r="G940" s="15" t="s">
        <v>1609</v>
      </c>
      <c r="H940" s="24">
        <v>28</v>
      </c>
      <c r="I940" s="24">
        <v>38.6</v>
      </c>
      <c r="J940" s="24">
        <f>MAX(H940,ROUNDUP(I940,0))</f>
        <v>39</v>
      </c>
      <c r="K940" s="22">
        <f>IF(C940="covered",10.4,7.55)</f>
        <v>10.4</v>
      </c>
      <c r="L940" s="14" t="s">
        <v>4895</v>
      </c>
      <c r="M940" s="24">
        <v>39</v>
      </c>
      <c r="N940" s="22">
        <v>10.4</v>
      </c>
      <c r="O940" s="22">
        <v>405.6</v>
      </c>
      <c r="P940" s="22">
        <f>J940*K940</f>
        <v>405.6</v>
      </c>
      <c r="Q940" s="22">
        <f>IF(L940="","",N940-K940)</f>
        <v>0.0</v>
      </c>
      <c r="R940" s="24">
        <f>IF(L940="","",M940-J940)</f>
        <v>0.0</v>
      </c>
      <c r="S940" s="22">
        <f>IF(L940="",-P940,O940-P940)</f>
        <v>0.0</v>
      </c>
      <c r="T940" s="11" t="str">
        <f>IF(L940="","NO BILL IN SUPPLIED EXPORT",IF(ABS(Q940)&gt;0.001,"RATE EXCEPTION",IF(ABS(R940)&gt;0.001,"LENGTH EXCEPTION",IF(ABS(S940)&gt;0.01,"AMOUNT EXCEPTION","OK"))))</f>
        <v>OK</v>
      </c>
      <c r="U940" s="15" t="s">
        <v>4896</v>
      </c>
    </row>
    <row r="941" spans="1:21" ht="28" customHeight="1">
      <c r="A941" s="18" t="s">
        <v>4897</v>
      </c>
      <c r="B941" s="18" t="s">
        <v>192</v>
      </c>
      <c r="C941" s="18" t="s">
        <v>2515</v>
      </c>
      <c r="D941" s="18" t="s">
        <v>227</v>
      </c>
      <c r="E941" s="18" t="s">
        <v>4898</v>
      </c>
      <c r="F941" s="19" t="s">
        <v>4899</v>
      </c>
      <c r="G941" s="19" t="s">
        <v>535</v>
      </c>
      <c r="H941" s="24">
        <v>32</v>
      </c>
      <c r="I941" s="24">
        <v>46.6</v>
      </c>
      <c r="J941" s="24">
        <f>MAX(H941,ROUNDUP(I941,0))</f>
        <v>47</v>
      </c>
      <c r="K941" s="22">
        <f>IF(C941="covered",10.4,7.55)</f>
        <v>10.4</v>
      </c>
      <c r="L941" s="18" t="s">
        <v>4900</v>
      </c>
      <c r="M941" s="24">
        <v>47</v>
      </c>
      <c r="N941" s="22">
        <v>10.4</v>
      </c>
      <c r="O941" s="22">
        <v>488.8</v>
      </c>
      <c r="P941" s="22">
        <f>J941*K941</f>
        <v>488.8</v>
      </c>
      <c r="Q941" s="22">
        <f>IF(L941="","",N941-K941)</f>
        <v>0.0</v>
      </c>
      <c r="R941" s="24">
        <f>IF(L941="","",M941-J941)</f>
        <v>0.0</v>
      </c>
      <c r="S941" s="22">
        <f>IF(L941="",-P941,O941-P941)</f>
        <v>0.0</v>
      </c>
      <c r="T941" s="11" t="str">
        <f>IF(L941="","NO BILL IN SUPPLIED EXPORT",IF(ABS(Q941)&gt;0.001,"RATE EXCEPTION",IF(ABS(R941)&gt;0.001,"LENGTH EXCEPTION",IF(ABS(S941)&gt;0.01,"AMOUNT EXCEPTION","OK"))))</f>
        <v>OK</v>
      </c>
      <c r="U941" s="19" t="s">
        <v>4901</v>
      </c>
    </row>
    <row r="942" spans="1:21" ht="28" customHeight="1">
      <c r="A942" s="14" t="s">
        <v>4902</v>
      </c>
      <c r="B942" s="14" t="s">
        <v>192</v>
      </c>
      <c r="C942" s="14" t="s">
        <v>2515</v>
      </c>
      <c r="D942" s="14" t="s">
        <v>227</v>
      </c>
      <c r="E942" s="14" t="s">
        <v>4903</v>
      </c>
      <c r="F942" s="15" t="s">
        <v>4904</v>
      </c>
      <c r="G942" s="15" t="s">
        <v>4452</v>
      </c>
      <c r="H942" s="24">
        <v>24</v>
      </c>
      <c r="I942" s="24">
        <v>56.6</v>
      </c>
      <c r="J942" s="24">
        <f>MAX(H942,ROUNDUP(I942,0))</f>
        <v>57</v>
      </c>
      <c r="K942" s="22">
        <f>IF(C942="covered",10.4,7.55)</f>
        <v>10.4</v>
      </c>
      <c r="L942" s="14" t="s">
        <v>4905</v>
      </c>
      <c r="M942" s="24">
        <v>57</v>
      </c>
      <c r="N942" s="22">
        <v>10.4</v>
      </c>
      <c r="O942" s="22">
        <v>592.8</v>
      </c>
      <c r="P942" s="22">
        <f>J942*K942</f>
        <v>592.8000000000001</v>
      </c>
      <c r="Q942" s="22">
        <f>IF(L942="","",N942-K942)</f>
        <v>0.0</v>
      </c>
      <c r="R942" s="24">
        <f>IF(L942="","",M942-J942)</f>
        <v>0.0</v>
      </c>
      <c r="S942" s="22">
        <f>IF(L942="",-P942,O942-P942)</f>
        <v>-1.1368683772161603e-13</v>
      </c>
      <c r="T942" s="11" t="str">
        <f>IF(L942="","NO BILL IN SUPPLIED EXPORT",IF(ABS(Q942)&gt;0.001,"RATE EXCEPTION",IF(ABS(R942)&gt;0.001,"LENGTH EXCEPTION",IF(ABS(S942)&gt;0.01,"AMOUNT EXCEPTION","OK"))))</f>
        <v>OK</v>
      </c>
      <c r="U942" s="15" t="s">
        <v>4906</v>
      </c>
    </row>
    <row r="943" spans="1:21" ht="28" customHeight="1">
      <c r="A943" s="18" t="s">
        <v>4907</v>
      </c>
      <c r="B943" s="18" t="s">
        <v>192</v>
      </c>
      <c r="C943" s="18" t="s">
        <v>2515</v>
      </c>
      <c r="D943" s="18" t="s">
        <v>227</v>
      </c>
      <c r="E943" s="18" t="s">
        <v>4908</v>
      </c>
      <c r="F943" s="19" t="s">
        <v>4909</v>
      </c>
      <c r="G943" s="19" t="s">
        <v>2653</v>
      </c>
      <c r="H943" s="24">
        <v>24</v>
      </c>
      <c r="I943" s="24">
        <v>61.1</v>
      </c>
      <c r="J943" s="24">
        <f>MAX(H943,ROUNDUP(I943,0))</f>
        <v>62</v>
      </c>
      <c r="K943" s="22">
        <f>IF(C943="covered",10.4,7.55)</f>
        <v>10.4</v>
      </c>
      <c r="L943" s="18" t="s">
        <v>4910</v>
      </c>
      <c r="M943" s="24">
        <v>62</v>
      </c>
      <c r="N943" s="22">
        <v>10.4</v>
      </c>
      <c r="O943" s="22">
        <v>644.8</v>
      </c>
      <c r="P943" s="22">
        <f>J943*K943</f>
        <v>644.8000000000001</v>
      </c>
      <c r="Q943" s="22">
        <f>IF(L943="","",N943-K943)</f>
        <v>0.0</v>
      </c>
      <c r="R943" s="24">
        <f>IF(L943="","",M943-J943)</f>
        <v>0.0</v>
      </c>
      <c r="S943" s="22">
        <f>IF(L943="",-P943,O943-P943)</f>
        <v>-1.1368683772161603e-13</v>
      </c>
      <c r="T943" s="11" t="str">
        <f>IF(L943="","NO BILL IN SUPPLIED EXPORT",IF(ABS(Q943)&gt;0.001,"RATE EXCEPTION",IF(ABS(R943)&gt;0.001,"LENGTH EXCEPTION",IF(ABS(S943)&gt;0.01,"AMOUNT EXCEPTION","OK"))))</f>
        <v>OK</v>
      </c>
      <c r="U943" s="19" t="s">
        <v>4911</v>
      </c>
    </row>
    <row r="944" spans="1:21" ht="28" customHeight="1">
      <c r="A944" s="14" t="s">
        <v>4912</v>
      </c>
      <c r="B944" s="14" t="s">
        <v>192</v>
      </c>
      <c r="C944" s="14" t="s">
        <v>2515</v>
      </c>
      <c r="D944" s="14" t="s">
        <v>227</v>
      </c>
      <c r="E944" s="14" t="s">
        <v>4913</v>
      </c>
      <c r="F944" s="15" t="s">
        <v>4914</v>
      </c>
      <c r="G944" s="15" t="s">
        <v>4915</v>
      </c>
      <c r="H944" s="24">
        <v>28</v>
      </c>
      <c r="I944" s="24">
        <v>40</v>
      </c>
      <c r="J944" s="24">
        <f>MAX(H944,ROUNDUP(I944,0))</f>
        <v>40</v>
      </c>
      <c r="K944" s="22">
        <f>IF(C944="covered",10.4,7.55)</f>
        <v>10.4</v>
      </c>
      <c r="L944" s="14" t="s">
        <v>4916</v>
      </c>
      <c r="M944" s="24">
        <v>40</v>
      </c>
      <c r="N944" s="22">
        <v>10.4</v>
      </c>
      <c r="O944" s="22">
        <v>416</v>
      </c>
      <c r="P944" s="22">
        <f>J944*K944</f>
        <v>416.0</v>
      </c>
      <c r="Q944" s="22">
        <f>IF(L944="","",N944-K944)</f>
        <v>0.0</v>
      </c>
      <c r="R944" s="24">
        <f>IF(L944="","",M944-J944)</f>
        <v>0.0</v>
      </c>
      <c r="S944" s="22">
        <f>IF(L944="",-P944,O944-P944)</f>
        <v>0.0</v>
      </c>
      <c r="T944" s="11" t="str">
        <f>IF(L944="","NO BILL IN SUPPLIED EXPORT",IF(ABS(Q944)&gt;0.001,"RATE EXCEPTION",IF(ABS(R944)&gt;0.001,"LENGTH EXCEPTION",IF(ABS(S944)&gt;0.01,"AMOUNT EXCEPTION","OK"))))</f>
        <v>OK</v>
      </c>
      <c r="U944" s="15" t="s">
        <v>4917</v>
      </c>
    </row>
    <row r="945" spans="1:21" ht="28" customHeight="1">
      <c r="A945" s="18" t="s">
        <v>4918</v>
      </c>
      <c r="B945" s="18" t="s">
        <v>192</v>
      </c>
      <c r="C945" s="18" t="s">
        <v>2515</v>
      </c>
      <c r="D945" s="18" t="s">
        <v>227</v>
      </c>
      <c r="E945" s="18" t="s">
        <v>4919</v>
      </c>
      <c r="F945" s="19" t="s">
        <v>4920</v>
      </c>
      <c r="G945" s="19" t="s">
        <v>3340</v>
      </c>
      <c r="H945" s="24">
        <v>36</v>
      </c>
      <c r="I945" s="24">
        <v>32.7</v>
      </c>
      <c r="J945" s="24">
        <f>MAX(H945,ROUNDUP(I945,0))</f>
        <v>36.0</v>
      </c>
      <c r="K945" s="22">
        <f>IF(C945="covered",10.4,7.55)</f>
        <v>10.4</v>
      </c>
      <c r="L945" s="18" t="s">
        <v>4921</v>
      </c>
      <c r="M945" s="24">
        <v>36</v>
      </c>
      <c r="N945" s="22">
        <v>10.4</v>
      </c>
      <c r="O945" s="22">
        <v>374.4</v>
      </c>
      <c r="P945" s="22">
        <f>J945*K945</f>
        <v>374.40000000000003</v>
      </c>
      <c r="Q945" s="22">
        <f>IF(L945="","",N945-K945)</f>
        <v>0.0</v>
      </c>
      <c r="R945" s="24">
        <f>IF(L945="","",M945-J945)</f>
        <v>0.0</v>
      </c>
      <c r="S945" s="22">
        <f>IF(L945="",-P945,O945-P945)</f>
        <v>-5.684341886080802e-14</v>
      </c>
      <c r="T945" s="11" t="str">
        <f>IF(L945="","NO BILL IN SUPPLIED EXPORT",IF(ABS(Q945)&gt;0.001,"RATE EXCEPTION",IF(ABS(R945)&gt;0.001,"LENGTH EXCEPTION",IF(ABS(S945)&gt;0.01,"AMOUNT EXCEPTION","OK"))))</f>
        <v>OK</v>
      </c>
      <c r="U945" s="19" t="s">
        <v>4922</v>
      </c>
    </row>
    <row r="946" spans="1:21" ht="28" customHeight="1">
      <c r="A946" s="14" t="s">
        <v>4923</v>
      </c>
      <c r="B946" s="14" t="s">
        <v>192</v>
      </c>
      <c r="C946" s="14" t="s">
        <v>2515</v>
      </c>
      <c r="D946" s="14" t="s">
        <v>227</v>
      </c>
      <c r="E946" s="14" t="s">
        <v>4924</v>
      </c>
      <c r="F946" s="15" t="s">
        <v>4925</v>
      </c>
      <c r="G946" s="15" t="s">
        <v>329</v>
      </c>
      <c r="H946" s="24">
        <v>24</v>
      </c>
      <c r="I946" s="24">
        <v>38.4</v>
      </c>
      <c r="J946" s="24">
        <f>MAX(H946,ROUNDUP(I946,0))</f>
        <v>39</v>
      </c>
      <c r="K946" s="22">
        <f>IF(C946="covered",10.4,7.55)</f>
        <v>10.4</v>
      </c>
      <c r="L946" s="14" t="s">
        <v>4926</v>
      </c>
      <c r="M946" s="24">
        <v>39</v>
      </c>
      <c r="N946" s="22">
        <v>10.4</v>
      </c>
      <c r="O946" s="22">
        <v>405.6</v>
      </c>
      <c r="P946" s="22">
        <f>J946*K946</f>
        <v>405.6</v>
      </c>
      <c r="Q946" s="22">
        <f>IF(L946="","",N946-K946)</f>
        <v>0.0</v>
      </c>
      <c r="R946" s="24">
        <f>IF(L946="","",M946-J946)</f>
        <v>0.0</v>
      </c>
      <c r="S946" s="22">
        <f>IF(L946="",-P946,O946-P946)</f>
        <v>0.0</v>
      </c>
      <c r="T946" s="11" t="str">
        <f>IF(L946="","NO BILL IN SUPPLIED EXPORT",IF(ABS(Q946)&gt;0.001,"RATE EXCEPTION",IF(ABS(R946)&gt;0.001,"LENGTH EXCEPTION",IF(ABS(S946)&gt;0.01,"AMOUNT EXCEPTION","OK"))))</f>
        <v>OK</v>
      </c>
      <c r="U946" s="15" t="s">
        <v>4927</v>
      </c>
    </row>
    <row r="947" spans="1:21" ht="28" customHeight="1">
      <c r="A947" s="18" t="s">
        <v>4928</v>
      </c>
      <c r="B947" s="18" t="s">
        <v>192</v>
      </c>
      <c r="C947" s="18" t="s">
        <v>2515</v>
      </c>
      <c r="D947" s="18" t="s">
        <v>227</v>
      </c>
      <c r="E947" s="18" t="s">
        <v>4929</v>
      </c>
      <c r="F947" s="19" t="s">
        <v>4930</v>
      </c>
      <c r="G947" s="19" t="s">
        <v>541</v>
      </c>
      <c r="H947" s="24">
        <v>32</v>
      </c>
      <c r="I947" s="24">
        <v>27.2</v>
      </c>
      <c r="J947" s="24">
        <f>MAX(H947,ROUNDUP(I947,0))</f>
        <v>32.0</v>
      </c>
      <c r="K947" s="22">
        <f>IF(C947="covered",10.4,7.55)</f>
        <v>10.4</v>
      </c>
      <c r="L947" s="18" t="s">
        <v>4931</v>
      </c>
      <c r="M947" s="24">
        <v>32</v>
      </c>
      <c r="N947" s="22">
        <v>10.4</v>
      </c>
      <c r="O947" s="22">
        <v>332.8</v>
      </c>
      <c r="P947" s="22">
        <f>J947*K947</f>
        <v>332.8</v>
      </c>
      <c r="Q947" s="22">
        <f>IF(L947="","",N947-K947)</f>
        <v>0.0</v>
      </c>
      <c r="R947" s="24">
        <f>IF(L947="","",M947-J947)</f>
        <v>0.0</v>
      </c>
      <c r="S947" s="22">
        <f>IF(L947="",-P947,O947-P947)</f>
        <v>0.0</v>
      </c>
      <c r="T947" s="11" t="str">
        <f>IF(L947="","NO BILL IN SUPPLIED EXPORT",IF(ABS(Q947)&gt;0.001,"RATE EXCEPTION",IF(ABS(R947)&gt;0.001,"LENGTH EXCEPTION",IF(ABS(S947)&gt;0.01,"AMOUNT EXCEPTION","OK"))))</f>
        <v>OK</v>
      </c>
      <c r="U947" s="19" t="s">
        <v>4932</v>
      </c>
    </row>
    <row r="948" spans="1:21" ht="28" customHeight="1">
      <c r="A948" s="14" t="s">
        <v>4933</v>
      </c>
      <c r="B948" s="14" t="s">
        <v>192</v>
      </c>
      <c r="C948" s="14" t="s">
        <v>2515</v>
      </c>
      <c r="D948" s="14" t="s">
        <v>227</v>
      </c>
      <c r="E948" s="14" t="s">
        <v>4934</v>
      </c>
      <c r="F948" s="15" t="s">
        <v>4935</v>
      </c>
      <c r="G948" s="15" t="s">
        <v>1376</v>
      </c>
      <c r="H948" s="24">
        <v>28</v>
      </c>
      <c r="I948" s="24">
        <v>25.8</v>
      </c>
      <c r="J948" s="24">
        <f>MAX(H948,ROUNDUP(I948,0))</f>
        <v>28.0</v>
      </c>
      <c r="K948" s="22">
        <f>IF(C948="covered",10.4,7.55)</f>
        <v>10.4</v>
      </c>
      <c r="L948" s="14" t="s">
        <v>4936</v>
      </c>
      <c r="M948" s="24">
        <v>28</v>
      </c>
      <c r="N948" s="22">
        <v>10.4</v>
      </c>
      <c r="O948" s="22">
        <v>291.2</v>
      </c>
      <c r="P948" s="22">
        <f>J948*K948</f>
        <v>291.2</v>
      </c>
      <c r="Q948" s="22">
        <f>IF(L948="","",N948-K948)</f>
        <v>0.0</v>
      </c>
      <c r="R948" s="24">
        <f>IF(L948="","",M948-J948)</f>
        <v>0.0</v>
      </c>
      <c r="S948" s="22">
        <f>IF(L948="",-P948,O948-P948)</f>
        <v>0.0</v>
      </c>
      <c r="T948" s="11" t="str">
        <f>IF(L948="","NO BILL IN SUPPLIED EXPORT",IF(ABS(Q948)&gt;0.001,"RATE EXCEPTION",IF(ABS(R948)&gt;0.001,"LENGTH EXCEPTION",IF(ABS(S948)&gt;0.01,"AMOUNT EXCEPTION","OK"))))</f>
        <v>OK</v>
      </c>
      <c r="U948" s="15" t="s">
        <v>4937</v>
      </c>
    </row>
    <row r="949" spans="1:21" ht="28" customHeight="1">
      <c r="A949" s="18" t="s">
        <v>4938</v>
      </c>
      <c r="B949" s="18" t="s">
        <v>192</v>
      </c>
      <c r="C949" s="18" t="s">
        <v>2515</v>
      </c>
      <c r="D949" s="18" t="s">
        <v>227</v>
      </c>
      <c r="E949" s="18" t="s">
        <v>4939</v>
      </c>
      <c r="F949" s="19" t="s">
        <v>4940</v>
      </c>
      <c r="G949" s="19" t="s">
        <v>4941</v>
      </c>
      <c r="H949" s="24">
        <v>32</v>
      </c>
      <c r="I949" s="24">
        <v>50</v>
      </c>
      <c r="J949" s="24">
        <f>MAX(H949,ROUNDUP(I949,0))</f>
        <v>50</v>
      </c>
      <c r="K949" s="22">
        <f>IF(C949="covered",10.4,7.55)</f>
        <v>10.4</v>
      </c>
      <c r="L949" s="18" t="s">
        <v>4942</v>
      </c>
      <c r="M949" s="24">
        <v>50</v>
      </c>
      <c r="N949" s="22">
        <v>10.4</v>
      </c>
      <c r="O949" s="22">
        <v>520</v>
      </c>
      <c r="P949" s="22">
        <f>J949*K949</f>
        <v>520.0</v>
      </c>
      <c r="Q949" s="22">
        <f>IF(L949="","",N949-K949)</f>
        <v>0.0</v>
      </c>
      <c r="R949" s="24">
        <f>IF(L949="","",M949-J949)</f>
        <v>0.0</v>
      </c>
      <c r="S949" s="22">
        <f>IF(L949="",-P949,O949-P949)</f>
        <v>0.0</v>
      </c>
      <c r="T949" s="11" t="str">
        <f>IF(L949="","NO BILL IN SUPPLIED EXPORT",IF(ABS(Q949)&gt;0.001,"RATE EXCEPTION",IF(ABS(R949)&gt;0.001,"LENGTH EXCEPTION",IF(ABS(S949)&gt;0.01,"AMOUNT EXCEPTION","OK"))))</f>
        <v>OK</v>
      </c>
      <c r="U949" s="19" t="s">
        <v>4943</v>
      </c>
    </row>
    <row r="950" spans="1:21" ht="28" customHeight="1">
      <c r="A950" s="14" t="s">
        <v>4944</v>
      </c>
      <c r="B950" s="14" t="s">
        <v>192</v>
      </c>
      <c r="C950" s="14" t="s">
        <v>2515</v>
      </c>
      <c r="D950" s="14" t="s">
        <v>227</v>
      </c>
      <c r="E950" s="14" t="s">
        <v>152</v>
      </c>
      <c r="F950" s="15" t="s">
        <v>153</v>
      </c>
      <c r="G950" s="15" t="s">
        <v>154</v>
      </c>
      <c r="H950" s="24">
        <v>28</v>
      </c>
      <c r="I950" s="24">
        <v>26.2</v>
      </c>
      <c r="J950" s="24">
        <f>MAX(H950,ROUNDUP(I950,0))</f>
        <v>28.0</v>
      </c>
      <c r="K950" s="22">
        <f>IF(C950="covered",10.4,7.55)</f>
        <v>10.4</v>
      </c>
      <c r="L950" s="14" t="s">
        <v>4945</v>
      </c>
      <c r="M950" s="24">
        <v>28</v>
      </c>
      <c r="N950" s="22">
        <v>10.4</v>
      </c>
      <c r="O950" s="22">
        <v>291.2</v>
      </c>
      <c r="P950" s="22">
        <f>J950*K950</f>
        <v>291.2</v>
      </c>
      <c r="Q950" s="22">
        <f>IF(L950="","",N950-K950)</f>
        <v>0.0</v>
      </c>
      <c r="R950" s="24">
        <f>IF(L950="","",M950-J950)</f>
        <v>0.0</v>
      </c>
      <c r="S950" s="22">
        <f>IF(L950="",-P950,O950-P950)</f>
        <v>0.0</v>
      </c>
      <c r="T950" s="11" t="str">
        <f>IF(L950="","NO BILL IN SUPPLIED EXPORT",IF(ABS(Q950)&gt;0.001,"RATE EXCEPTION",IF(ABS(R950)&gt;0.001,"LENGTH EXCEPTION",IF(ABS(S950)&gt;0.01,"AMOUNT EXCEPTION","OK"))))</f>
        <v>OK</v>
      </c>
      <c r="U950" s="15" t="s">
        <v>4946</v>
      </c>
    </row>
    <row r="951" spans="1:21" ht="28" customHeight="1">
      <c r="A951" s="18" t="s">
        <v>4947</v>
      </c>
      <c r="B951" s="18" t="s">
        <v>192</v>
      </c>
      <c r="C951" s="18" t="s">
        <v>2515</v>
      </c>
      <c r="D951" s="18" t="s">
        <v>227</v>
      </c>
      <c r="E951" s="18" t="s">
        <v>4948</v>
      </c>
      <c r="F951" s="19" t="s">
        <v>4949</v>
      </c>
      <c r="G951" s="19" t="s">
        <v>1967</v>
      </c>
      <c r="H951" s="24">
        <v>40</v>
      </c>
      <c r="I951" s="24">
        <v>22.7</v>
      </c>
      <c r="J951" s="24">
        <f>MAX(H951,ROUNDUP(I951,0))</f>
        <v>40.0</v>
      </c>
      <c r="K951" s="22">
        <f>IF(C951="covered",10.4,7.55)</f>
        <v>10.4</v>
      </c>
      <c r="L951" s="18" t="s">
        <v>4950</v>
      </c>
      <c r="M951" s="24">
        <v>40</v>
      </c>
      <c r="N951" s="22">
        <v>10.4</v>
      </c>
      <c r="O951" s="22">
        <v>416</v>
      </c>
      <c r="P951" s="22">
        <f>J951*K951</f>
        <v>416.0</v>
      </c>
      <c r="Q951" s="22">
        <f>IF(L951="","",N951-K951)</f>
        <v>0.0</v>
      </c>
      <c r="R951" s="24">
        <f>IF(L951="","",M951-J951)</f>
        <v>0.0</v>
      </c>
      <c r="S951" s="22">
        <f>IF(L951="",-P951,O951-P951)</f>
        <v>0.0</v>
      </c>
      <c r="T951" s="11" t="str">
        <f>IF(L951="","NO BILL IN SUPPLIED EXPORT",IF(ABS(Q951)&gt;0.001,"RATE EXCEPTION",IF(ABS(R951)&gt;0.001,"LENGTH EXCEPTION",IF(ABS(S951)&gt;0.01,"AMOUNT EXCEPTION","OK"))))</f>
        <v>OK</v>
      </c>
      <c r="U951" s="19" t="s">
        <v>4951</v>
      </c>
    </row>
    <row r="952" spans="1:21" ht="28" customHeight="1">
      <c r="A952" s="14" t="s">
        <v>4952</v>
      </c>
      <c r="B952" s="14" t="s">
        <v>192</v>
      </c>
      <c r="C952" s="14" t="s">
        <v>2515</v>
      </c>
      <c r="D952" s="14" t="s">
        <v>227</v>
      </c>
      <c r="E952" s="14" t="s">
        <v>4953</v>
      </c>
      <c r="F952" s="15" t="s">
        <v>4954</v>
      </c>
      <c r="G952" s="15" t="s">
        <v>442</v>
      </c>
      <c r="H952" s="24">
        <v>40</v>
      </c>
      <c r="I952" s="24">
        <v>43.8</v>
      </c>
      <c r="J952" s="24">
        <f>MAX(H952,ROUNDUP(I952,0))</f>
        <v>44</v>
      </c>
      <c r="K952" s="22">
        <f>IF(C952="covered",10.4,7.55)</f>
        <v>10.4</v>
      </c>
      <c r="L952" s="14" t="s">
        <v>4955</v>
      </c>
      <c r="M952" s="24">
        <v>44</v>
      </c>
      <c r="N952" s="22">
        <v>10.4</v>
      </c>
      <c r="O952" s="22">
        <v>457.6</v>
      </c>
      <c r="P952" s="22">
        <f>J952*K952</f>
        <v>457.6</v>
      </c>
      <c r="Q952" s="22">
        <f>IF(L952="","",N952-K952)</f>
        <v>0.0</v>
      </c>
      <c r="R952" s="24">
        <f>IF(L952="","",M952-J952)</f>
        <v>0.0</v>
      </c>
      <c r="S952" s="22">
        <f>IF(L952="",-P952,O952-P952)</f>
        <v>0.0</v>
      </c>
      <c r="T952" s="11" t="str">
        <f>IF(L952="","NO BILL IN SUPPLIED EXPORT",IF(ABS(Q952)&gt;0.001,"RATE EXCEPTION",IF(ABS(R952)&gt;0.001,"LENGTH EXCEPTION",IF(ABS(S952)&gt;0.01,"AMOUNT EXCEPTION","OK"))))</f>
        <v>OK</v>
      </c>
      <c r="U952" s="15" t="s">
        <v>4956</v>
      </c>
    </row>
    <row r="953" spans="1:21" ht="28" customHeight="1">
      <c r="A953" s="18" t="s">
        <v>4957</v>
      </c>
      <c r="B953" s="18" t="s">
        <v>192</v>
      </c>
      <c r="C953" s="18" t="s">
        <v>2515</v>
      </c>
      <c r="D953" s="18" t="s">
        <v>227</v>
      </c>
      <c r="E953" s="18" t="s">
        <v>4958</v>
      </c>
      <c r="F953" s="19" t="s">
        <v>4959</v>
      </c>
      <c r="G953" s="19" t="s">
        <v>1210</v>
      </c>
      <c r="H953" s="24">
        <v>36</v>
      </c>
      <c r="I953" s="24">
        <v>36.7</v>
      </c>
      <c r="J953" s="24">
        <f>MAX(H953,ROUNDUP(I953,0))</f>
        <v>37</v>
      </c>
      <c r="K953" s="22">
        <f>IF(C953="covered",10.4,7.55)</f>
        <v>10.4</v>
      </c>
      <c r="L953" s="18" t="s">
        <v>4960</v>
      </c>
      <c r="M953" s="24">
        <v>37</v>
      </c>
      <c r="N953" s="22">
        <v>10.4</v>
      </c>
      <c r="O953" s="22">
        <v>384.8</v>
      </c>
      <c r="P953" s="22">
        <f>J953*K953</f>
        <v>384.8</v>
      </c>
      <c r="Q953" s="22">
        <f>IF(L953="","",N953-K953)</f>
        <v>0.0</v>
      </c>
      <c r="R953" s="24">
        <f>IF(L953="","",M953-J953)</f>
        <v>0.0</v>
      </c>
      <c r="S953" s="22">
        <f>IF(L953="",-P953,O953-P953)</f>
        <v>0.0</v>
      </c>
      <c r="T953" s="11" t="str">
        <f>IF(L953="","NO BILL IN SUPPLIED EXPORT",IF(ABS(Q953)&gt;0.001,"RATE EXCEPTION",IF(ABS(R953)&gt;0.001,"LENGTH EXCEPTION",IF(ABS(S953)&gt;0.01,"AMOUNT EXCEPTION","OK"))))</f>
        <v>OK</v>
      </c>
      <c r="U953" s="19" t="s">
        <v>4961</v>
      </c>
    </row>
    <row r="954" spans="1:21" ht="28" customHeight="1">
      <c r="A954" s="14" t="s">
        <v>4962</v>
      </c>
      <c r="B954" s="14" t="s">
        <v>192</v>
      </c>
      <c r="C954" s="14" t="s">
        <v>2515</v>
      </c>
      <c r="D954" s="14" t="s">
        <v>227</v>
      </c>
      <c r="E954" s="14" t="s">
        <v>4963</v>
      </c>
      <c r="F954" s="15" t="s">
        <v>4964</v>
      </c>
      <c r="G954" s="15" t="s">
        <v>2729</v>
      </c>
      <c r="H954" s="24">
        <v>24</v>
      </c>
      <c r="I954" s="24">
        <v>41.1</v>
      </c>
      <c r="J954" s="24">
        <f>MAX(H954,ROUNDUP(I954,0))</f>
        <v>42</v>
      </c>
      <c r="K954" s="22">
        <f>IF(C954="covered",10.4,7.55)</f>
        <v>10.4</v>
      </c>
      <c r="L954" s="14" t="s">
        <v>4965</v>
      </c>
      <c r="M954" s="24">
        <v>42</v>
      </c>
      <c r="N954" s="22">
        <v>10.4</v>
      </c>
      <c r="O954" s="22">
        <v>436.8</v>
      </c>
      <c r="P954" s="22">
        <f>J954*K954</f>
        <v>436.8</v>
      </c>
      <c r="Q954" s="22">
        <f>IF(L954="","",N954-K954)</f>
        <v>0.0</v>
      </c>
      <c r="R954" s="24">
        <f>IF(L954="","",M954-J954)</f>
        <v>0.0</v>
      </c>
      <c r="S954" s="22">
        <f>IF(L954="",-P954,O954-P954)</f>
        <v>0.0</v>
      </c>
      <c r="T954" s="11" t="str">
        <f>IF(L954="","NO BILL IN SUPPLIED EXPORT",IF(ABS(Q954)&gt;0.001,"RATE EXCEPTION",IF(ABS(R954)&gt;0.001,"LENGTH EXCEPTION",IF(ABS(S954)&gt;0.01,"AMOUNT EXCEPTION","OK"))))</f>
        <v>OK</v>
      </c>
      <c r="U954" s="15" t="s">
        <v>4966</v>
      </c>
    </row>
    <row r="955" spans="1:21" ht="28" customHeight="1">
      <c r="A955" s="18" t="s">
        <v>4967</v>
      </c>
      <c r="B955" s="18" t="s">
        <v>192</v>
      </c>
      <c r="C955" s="18" t="s">
        <v>2515</v>
      </c>
      <c r="D955" s="18" t="s">
        <v>227</v>
      </c>
      <c r="E955" s="18" t="s">
        <v>4968</v>
      </c>
      <c r="F955" s="19" t="s">
        <v>4969</v>
      </c>
      <c r="G955" s="19" t="s">
        <v>2799</v>
      </c>
      <c r="H955" s="24">
        <v>36</v>
      </c>
      <c r="I955" s="24">
        <v>46.8</v>
      </c>
      <c r="J955" s="24">
        <f>MAX(H955,ROUNDUP(I955,0))</f>
        <v>47</v>
      </c>
      <c r="K955" s="22">
        <f>IF(C955="covered",10.4,7.55)</f>
        <v>10.4</v>
      </c>
      <c r="L955" s="18" t="s">
        <v>4970</v>
      </c>
      <c r="M955" s="24">
        <v>47</v>
      </c>
      <c r="N955" s="22">
        <v>10.4</v>
      </c>
      <c r="O955" s="22">
        <v>488.8</v>
      </c>
      <c r="P955" s="22">
        <f>J955*K955</f>
        <v>488.8</v>
      </c>
      <c r="Q955" s="22">
        <f>IF(L955="","",N955-K955)</f>
        <v>0.0</v>
      </c>
      <c r="R955" s="24">
        <f>IF(L955="","",M955-J955)</f>
        <v>0.0</v>
      </c>
      <c r="S955" s="22">
        <f>IF(L955="",-P955,O955-P955)</f>
        <v>0.0</v>
      </c>
      <c r="T955" s="11" t="str">
        <f>IF(L955="","NO BILL IN SUPPLIED EXPORT",IF(ABS(Q955)&gt;0.001,"RATE EXCEPTION",IF(ABS(R955)&gt;0.001,"LENGTH EXCEPTION",IF(ABS(S955)&gt;0.01,"AMOUNT EXCEPTION","OK"))))</f>
        <v>OK</v>
      </c>
      <c r="U955" s="19" t="s">
        <v>4971</v>
      </c>
    </row>
    <row r="956" spans="1:21" ht="28" customHeight="1">
      <c r="A956" s="14" t="s">
        <v>4972</v>
      </c>
      <c r="B956" s="14" t="s">
        <v>192</v>
      </c>
      <c r="C956" s="14" t="s">
        <v>2515</v>
      </c>
      <c r="D956" s="14" t="s">
        <v>227</v>
      </c>
      <c r="E956" s="14" t="s">
        <v>4973</v>
      </c>
      <c r="F956" s="15" t="s">
        <v>4974</v>
      </c>
      <c r="G956" s="15" t="s">
        <v>3732</v>
      </c>
      <c r="H956" s="24">
        <v>28</v>
      </c>
      <c r="I956" s="24">
        <v>37.4</v>
      </c>
      <c r="J956" s="24">
        <f>MAX(H956,ROUNDUP(I956,0))</f>
        <v>38</v>
      </c>
      <c r="K956" s="22">
        <f>IF(C956="covered",10.4,7.55)</f>
        <v>10.4</v>
      </c>
      <c r="L956" s="14" t="s">
        <v>4975</v>
      </c>
      <c r="M956" s="24">
        <v>38</v>
      </c>
      <c r="N956" s="22">
        <v>10.4</v>
      </c>
      <c r="O956" s="22">
        <v>395.2</v>
      </c>
      <c r="P956" s="22">
        <f>J956*K956</f>
        <v>395.2</v>
      </c>
      <c r="Q956" s="22">
        <f>IF(L956="","",N956-K956)</f>
        <v>0.0</v>
      </c>
      <c r="R956" s="24">
        <f>IF(L956="","",M956-J956)</f>
        <v>0.0</v>
      </c>
      <c r="S956" s="22">
        <f>IF(L956="",-P956,O956-P956)</f>
        <v>0.0</v>
      </c>
      <c r="T956" s="11" t="str">
        <f>IF(L956="","NO BILL IN SUPPLIED EXPORT",IF(ABS(Q956)&gt;0.001,"RATE EXCEPTION",IF(ABS(R956)&gt;0.001,"LENGTH EXCEPTION",IF(ABS(S956)&gt;0.01,"AMOUNT EXCEPTION","OK"))))</f>
        <v>OK</v>
      </c>
      <c r="U956" s="15" t="s">
        <v>4976</v>
      </c>
    </row>
    <row r="957" spans="1:21" ht="28" customHeight="1">
      <c r="A957" s="18" t="s">
        <v>4977</v>
      </c>
      <c r="B957" s="18" t="s">
        <v>192</v>
      </c>
      <c r="C957" s="18" t="s">
        <v>2515</v>
      </c>
      <c r="D957" s="18" t="s">
        <v>227</v>
      </c>
      <c r="E957" s="18" t="s">
        <v>4978</v>
      </c>
      <c r="F957" s="19" t="s">
        <v>4979</v>
      </c>
      <c r="G957" s="19" t="s">
        <v>4980</v>
      </c>
      <c r="H957" s="24">
        <v>36</v>
      </c>
      <c r="I957" s="24">
        <v>55.4</v>
      </c>
      <c r="J957" s="24">
        <f>MAX(H957,ROUNDUP(I957,0))</f>
        <v>56</v>
      </c>
      <c r="K957" s="22">
        <f>IF(C957="covered",10.4,7.55)</f>
        <v>10.4</v>
      </c>
      <c r="L957" s="18" t="s">
        <v>4981</v>
      </c>
      <c r="M957" s="24">
        <v>56</v>
      </c>
      <c r="N957" s="22">
        <v>10.4</v>
      </c>
      <c r="O957" s="22">
        <v>582.4</v>
      </c>
      <c r="P957" s="22">
        <f>J957*K957</f>
        <v>582.4</v>
      </c>
      <c r="Q957" s="22">
        <f>IF(L957="","",N957-K957)</f>
        <v>0.0</v>
      </c>
      <c r="R957" s="24">
        <f>IF(L957="","",M957-J957)</f>
        <v>0.0</v>
      </c>
      <c r="S957" s="22">
        <f>IF(L957="",-P957,O957-P957)</f>
        <v>0.0</v>
      </c>
      <c r="T957" s="11" t="str">
        <f>IF(L957="","NO BILL IN SUPPLIED EXPORT",IF(ABS(Q957)&gt;0.001,"RATE EXCEPTION",IF(ABS(R957)&gt;0.001,"LENGTH EXCEPTION",IF(ABS(S957)&gt;0.01,"AMOUNT EXCEPTION","OK"))))</f>
        <v>OK</v>
      </c>
      <c r="U957" s="19" t="s">
        <v>4982</v>
      </c>
    </row>
    <row r="958" spans="1:21" ht="28" customHeight="1">
      <c r="A958" s="14" t="s">
        <v>4983</v>
      </c>
      <c r="B958" s="14" t="s">
        <v>192</v>
      </c>
      <c r="C958" s="14" t="s">
        <v>2515</v>
      </c>
      <c r="D958" s="14" t="s">
        <v>227</v>
      </c>
      <c r="E958" s="14" t="s">
        <v>4984</v>
      </c>
      <c r="F958" s="15" t="s">
        <v>4985</v>
      </c>
      <c r="G958" s="15" t="s">
        <v>1742</v>
      </c>
      <c r="H958" s="24">
        <v>40</v>
      </c>
      <c r="I958" s="24">
        <v>56.4</v>
      </c>
      <c r="J958" s="24">
        <f>MAX(H958,ROUNDUP(I958,0))</f>
        <v>57</v>
      </c>
      <c r="K958" s="22">
        <f>IF(C958="covered",10.4,7.55)</f>
        <v>10.4</v>
      </c>
      <c r="L958" s="14" t="s">
        <v>4986</v>
      </c>
      <c r="M958" s="24">
        <v>57</v>
      </c>
      <c r="N958" s="22">
        <v>10.4</v>
      </c>
      <c r="O958" s="22">
        <v>592.8</v>
      </c>
      <c r="P958" s="22">
        <f>J958*K958</f>
        <v>592.8000000000001</v>
      </c>
      <c r="Q958" s="22">
        <f>IF(L958="","",N958-K958)</f>
        <v>0.0</v>
      </c>
      <c r="R958" s="24">
        <f>IF(L958="","",M958-J958)</f>
        <v>0.0</v>
      </c>
      <c r="S958" s="22">
        <f>IF(L958="",-P958,O958-P958)</f>
        <v>-1.1368683772161603e-13</v>
      </c>
      <c r="T958" s="11" t="str">
        <f>IF(L958="","NO BILL IN SUPPLIED EXPORT",IF(ABS(Q958)&gt;0.001,"RATE EXCEPTION",IF(ABS(R958)&gt;0.001,"LENGTH EXCEPTION",IF(ABS(S958)&gt;0.01,"AMOUNT EXCEPTION","OK"))))</f>
        <v>OK</v>
      </c>
      <c r="U958" s="15" t="s">
        <v>4987</v>
      </c>
    </row>
    <row r="959" spans="1:21" ht="28" customHeight="1">
      <c r="A959" s="18" t="s">
        <v>4988</v>
      </c>
      <c r="B959" s="18" t="s">
        <v>192</v>
      </c>
      <c r="C959" s="18" t="s">
        <v>2515</v>
      </c>
      <c r="D959" s="18" t="s">
        <v>227</v>
      </c>
      <c r="E959" s="18" t="s">
        <v>4989</v>
      </c>
      <c r="F959" s="19" t="s">
        <v>4990</v>
      </c>
      <c r="G959" s="19" t="s">
        <v>3150</v>
      </c>
      <c r="H959" s="24">
        <v>24</v>
      </c>
      <c r="I959" s="24">
        <v>30.6</v>
      </c>
      <c r="J959" s="24">
        <f>MAX(H959,ROUNDUP(I959,0))</f>
        <v>31</v>
      </c>
      <c r="K959" s="22">
        <f>IF(C959="covered",10.4,7.55)</f>
        <v>10.4</v>
      </c>
      <c r="L959" s="18" t="s">
        <v>4991</v>
      </c>
      <c r="M959" s="24">
        <v>31</v>
      </c>
      <c r="N959" s="22">
        <v>10.4</v>
      </c>
      <c r="O959" s="22">
        <v>322.4</v>
      </c>
      <c r="P959" s="22">
        <f>J959*K959</f>
        <v>322.40000000000003</v>
      </c>
      <c r="Q959" s="22">
        <f>IF(L959="","",N959-K959)</f>
        <v>0.0</v>
      </c>
      <c r="R959" s="24">
        <f>IF(L959="","",M959-J959)</f>
        <v>0.0</v>
      </c>
      <c r="S959" s="22">
        <f>IF(L959="",-P959,O959-P959)</f>
        <v>-5.684341886080802e-14</v>
      </c>
      <c r="T959" s="11" t="str">
        <f>IF(L959="","NO BILL IN SUPPLIED EXPORT",IF(ABS(Q959)&gt;0.001,"RATE EXCEPTION",IF(ABS(R959)&gt;0.001,"LENGTH EXCEPTION",IF(ABS(S959)&gt;0.01,"AMOUNT EXCEPTION","OK"))))</f>
        <v>OK</v>
      </c>
      <c r="U959" s="19" t="s">
        <v>4992</v>
      </c>
    </row>
    <row r="960" spans="1:21" ht="28" customHeight="1">
      <c r="A960" s="14" t="s">
        <v>4993</v>
      </c>
      <c r="B960" s="14" t="s">
        <v>192</v>
      </c>
      <c r="C960" s="14" t="s">
        <v>2515</v>
      </c>
      <c r="D960" s="14" t="s">
        <v>227</v>
      </c>
      <c r="E960" s="14" t="s">
        <v>4994</v>
      </c>
      <c r="F960" s="15" t="s">
        <v>4995</v>
      </c>
      <c r="G960" s="15" t="s">
        <v>1823</v>
      </c>
      <c r="H960" s="24">
        <v>36</v>
      </c>
      <c r="I960" s="24">
        <v>52.4</v>
      </c>
      <c r="J960" s="24">
        <f>MAX(H960,ROUNDUP(I960,0))</f>
        <v>53</v>
      </c>
      <c r="K960" s="22">
        <f>IF(C960="covered",10.4,7.55)</f>
        <v>10.4</v>
      </c>
      <c r="L960" s="14" t="s">
        <v>4996</v>
      </c>
      <c r="M960" s="24">
        <v>53</v>
      </c>
      <c r="N960" s="22">
        <v>10.4</v>
      </c>
      <c r="O960" s="22">
        <v>551.2</v>
      </c>
      <c r="P960" s="22">
        <f>J960*K960</f>
        <v>551.2</v>
      </c>
      <c r="Q960" s="22">
        <f>IF(L960="","",N960-K960)</f>
        <v>0.0</v>
      </c>
      <c r="R960" s="24">
        <f>IF(L960="","",M960-J960)</f>
        <v>0.0</v>
      </c>
      <c r="S960" s="22">
        <f>IF(L960="",-P960,O960-P960)</f>
        <v>0.0</v>
      </c>
      <c r="T960" s="11" t="str">
        <f>IF(L960="","NO BILL IN SUPPLIED EXPORT",IF(ABS(Q960)&gt;0.001,"RATE EXCEPTION",IF(ABS(R960)&gt;0.001,"LENGTH EXCEPTION",IF(ABS(S960)&gt;0.01,"AMOUNT EXCEPTION","OK"))))</f>
        <v>OK</v>
      </c>
      <c r="U960" s="15" t="s">
        <v>4997</v>
      </c>
    </row>
    <row r="961" spans="1:21" ht="28" customHeight="1">
      <c r="A961" s="18" t="s">
        <v>4998</v>
      </c>
      <c r="B961" s="18" t="s">
        <v>192</v>
      </c>
      <c r="C961" s="18" t="s">
        <v>2515</v>
      </c>
      <c r="D961" s="18" t="s">
        <v>227</v>
      </c>
      <c r="E961" s="18" t="s">
        <v>4999</v>
      </c>
      <c r="F961" s="19" t="s">
        <v>5000</v>
      </c>
      <c r="G961" s="19" t="s">
        <v>365</v>
      </c>
      <c r="H961" s="24">
        <v>32</v>
      </c>
      <c r="I961" s="24">
        <v>57</v>
      </c>
      <c r="J961" s="24">
        <f>MAX(H961,ROUNDUP(I961,0))</f>
        <v>57</v>
      </c>
      <c r="K961" s="22">
        <f>IF(C961="covered",10.4,7.55)</f>
        <v>10.4</v>
      </c>
      <c r="L961" s="18" t="s">
        <v>5001</v>
      </c>
      <c r="M961" s="24">
        <v>57</v>
      </c>
      <c r="N961" s="22">
        <v>10.4</v>
      </c>
      <c r="O961" s="22">
        <v>592.8</v>
      </c>
      <c r="P961" s="22">
        <f>J961*K961</f>
        <v>592.8000000000001</v>
      </c>
      <c r="Q961" s="22">
        <f>IF(L961="","",N961-K961)</f>
        <v>0.0</v>
      </c>
      <c r="R961" s="24">
        <f>IF(L961="","",M961-J961)</f>
        <v>0.0</v>
      </c>
      <c r="S961" s="22">
        <f>IF(L961="",-P961,O961-P961)</f>
        <v>-1.1368683772161603e-13</v>
      </c>
      <c r="T961" s="11" t="str">
        <f>IF(L961="","NO BILL IN SUPPLIED EXPORT",IF(ABS(Q961)&gt;0.001,"RATE EXCEPTION",IF(ABS(R961)&gt;0.001,"LENGTH EXCEPTION",IF(ABS(S961)&gt;0.01,"AMOUNT EXCEPTION","OK"))))</f>
        <v>OK</v>
      </c>
      <c r="U961" s="19" t="s">
        <v>5002</v>
      </c>
    </row>
    <row r="962" spans="1:21" ht="28" customHeight="1">
      <c r="A962" s="14" t="s">
        <v>5003</v>
      </c>
      <c r="B962" s="14" t="s">
        <v>192</v>
      </c>
      <c r="C962" s="14" t="s">
        <v>2515</v>
      </c>
      <c r="D962" s="14" t="s">
        <v>227</v>
      </c>
      <c r="E962" s="14" t="s">
        <v>5004</v>
      </c>
      <c r="F962" s="15" t="s">
        <v>5005</v>
      </c>
      <c r="G962" s="15" t="s">
        <v>4305</v>
      </c>
      <c r="H962" s="24">
        <v>32</v>
      </c>
      <c r="I962" s="24">
        <v>20.6</v>
      </c>
      <c r="J962" s="24">
        <f>MAX(H962,ROUNDUP(I962,0))</f>
        <v>32.0</v>
      </c>
      <c r="K962" s="22">
        <f>IF(C962="covered",10.4,7.55)</f>
        <v>10.4</v>
      </c>
      <c r="L962" s="14" t="s">
        <v>5006</v>
      </c>
      <c r="M962" s="24">
        <v>32</v>
      </c>
      <c r="N962" s="22">
        <v>10.4</v>
      </c>
      <c r="O962" s="22">
        <v>332.8</v>
      </c>
      <c r="P962" s="22">
        <f>J962*K962</f>
        <v>332.8</v>
      </c>
      <c r="Q962" s="22">
        <f>IF(L962="","",N962-K962)</f>
        <v>0.0</v>
      </c>
      <c r="R962" s="24">
        <f>IF(L962="","",M962-J962)</f>
        <v>0.0</v>
      </c>
      <c r="S962" s="22">
        <f>IF(L962="",-P962,O962-P962)</f>
        <v>0.0</v>
      </c>
      <c r="T962" s="11" t="str">
        <f>IF(L962="","NO BILL IN SUPPLIED EXPORT",IF(ABS(Q962)&gt;0.001,"RATE EXCEPTION",IF(ABS(R962)&gt;0.001,"LENGTH EXCEPTION",IF(ABS(S962)&gt;0.01,"AMOUNT EXCEPTION","OK"))))</f>
        <v>OK</v>
      </c>
      <c r="U962" s="15" t="s">
        <v>5007</v>
      </c>
    </row>
    <row r="963" spans="1:21" ht="28" customHeight="1">
      <c r="A963" s="18" t="s">
        <v>5008</v>
      </c>
      <c r="B963" s="18" t="s">
        <v>192</v>
      </c>
      <c r="C963" s="18" t="s">
        <v>2515</v>
      </c>
      <c r="D963" s="18" t="s">
        <v>227</v>
      </c>
      <c r="E963" s="18" t="s">
        <v>5009</v>
      </c>
      <c r="F963" s="19" t="s">
        <v>5010</v>
      </c>
      <c r="G963" s="19" t="s">
        <v>3109</v>
      </c>
      <c r="H963" s="24">
        <v>24</v>
      </c>
      <c r="I963" s="24">
        <v>37</v>
      </c>
      <c r="J963" s="24">
        <f>MAX(H963,ROUNDUP(I963,0))</f>
        <v>37</v>
      </c>
      <c r="K963" s="22">
        <f>IF(C963="covered",10.4,7.55)</f>
        <v>10.4</v>
      </c>
      <c r="L963" s="18" t="s">
        <v>5011</v>
      </c>
      <c r="M963" s="24">
        <v>37</v>
      </c>
      <c r="N963" s="22">
        <v>10.4</v>
      </c>
      <c r="O963" s="22">
        <v>384.8</v>
      </c>
      <c r="P963" s="22">
        <f>J963*K963</f>
        <v>384.8</v>
      </c>
      <c r="Q963" s="22">
        <f>IF(L963="","",N963-K963)</f>
        <v>0.0</v>
      </c>
      <c r="R963" s="24">
        <f>IF(L963="","",M963-J963)</f>
        <v>0.0</v>
      </c>
      <c r="S963" s="22">
        <f>IF(L963="",-P963,O963-P963)</f>
        <v>0.0</v>
      </c>
      <c r="T963" s="11" t="str">
        <f>IF(L963="","NO BILL IN SUPPLIED EXPORT",IF(ABS(Q963)&gt;0.001,"RATE EXCEPTION",IF(ABS(R963)&gt;0.001,"LENGTH EXCEPTION",IF(ABS(S963)&gt;0.01,"AMOUNT EXCEPTION","OK"))))</f>
        <v>OK</v>
      </c>
      <c r="U963" s="19" t="s">
        <v>5012</v>
      </c>
    </row>
    <row r="964" spans="1:21" ht="28" customHeight="1">
      <c r="A964" s="14" t="s">
        <v>5013</v>
      </c>
      <c r="B964" s="14" t="s">
        <v>192</v>
      </c>
      <c r="C964" s="14" t="s">
        <v>2515</v>
      </c>
      <c r="D964" s="14" t="s">
        <v>227</v>
      </c>
      <c r="E964" s="14" t="s">
        <v>5014</v>
      </c>
      <c r="F964" s="15" t="s">
        <v>5015</v>
      </c>
      <c r="G964" s="15" t="s">
        <v>3242</v>
      </c>
      <c r="H964" s="24">
        <v>36</v>
      </c>
      <c r="I964" s="24">
        <v>55.9</v>
      </c>
      <c r="J964" s="24">
        <f>MAX(H964,ROUNDUP(I964,0))</f>
        <v>56</v>
      </c>
      <c r="K964" s="22">
        <f>IF(C964="covered",10.4,7.55)</f>
        <v>10.4</v>
      </c>
      <c r="L964" s="14" t="s">
        <v>5016</v>
      </c>
      <c r="M964" s="24">
        <v>56</v>
      </c>
      <c r="N964" s="22">
        <v>10.4</v>
      </c>
      <c r="O964" s="22">
        <v>582.4</v>
      </c>
      <c r="P964" s="22">
        <f>J964*K964</f>
        <v>582.4</v>
      </c>
      <c r="Q964" s="22">
        <f>IF(L964="","",N964-K964)</f>
        <v>0.0</v>
      </c>
      <c r="R964" s="24">
        <f>IF(L964="","",M964-J964)</f>
        <v>0.0</v>
      </c>
      <c r="S964" s="22">
        <f>IF(L964="",-P964,O964-P964)</f>
        <v>0.0</v>
      </c>
      <c r="T964" s="11" t="str">
        <f>IF(L964="","NO BILL IN SUPPLIED EXPORT",IF(ABS(Q964)&gt;0.001,"RATE EXCEPTION",IF(ABS(R964)&gt;0.001,"LENGTH EXCEPTION",IF(ABS(S964)&gt;0.01,"AMOUNT EXCEPTION","OK"))))</f>
        <v>OK</v>
      </c>
      <c r="U964" s="15" t="s">
        <v>5017</v>
      </c>
    </row>
    <row r="965" spans="1:21" ht="28" customHeight="1">
      <c r="A965" s="18" t="s">
        <v>5018</v>
      </c>
      <c r="B965" s="18" t="s">
        <v>192</v>
      </c>
      <c r="C965" s="18" t="s">
        <v>2515</v>
      </c>
      <c r="D965" s="18" t="s">
        <v>227</v>
      </c>
      <c r="E965" s="18" t="s">
        <v>5019</v>
      </c>
      <c r="F965" s="19" t="s">
        <v>5020</v>
      </c>
      <c r="G965" s="19" t="s">
        <v>335</v>
      </c>
      <c r="H965" s="24">
        <v>32</v>
      </c>
      <c r="I965" s="24">
        <v>43.6</v>
      </c>
      <c r="J965" s="24">
        <f>MAX(H965,ROUNDUP(I965,0))</f>
        <v>44</v>
      </c>
      <c r="K965" s="22">
        <f>IF(C965="covered",10.4,7.55)</f>
        <v>10.4</v>
      </c>
      <c r="L965" s="18" t="s">
        <v>5021</v>
      </c>
      <c r="M965" s="24">
        <v>44</v>
      </c>
      <c r="N965" s="22">
        <v>10.4</v>
      </c>
      <c r="O965" s="22">
        <v>457.6</v>
      </c>
      <c r="P965" s="22">
        <f>J965*K965</f>
        <v>457.6</v>
      </c>
      <c r="Q965" s="22">
        <f>IF(L965="","",N965-K965)</f>
        <v>0.0</v>
      </c>
      <c r="R965" s="24">
        <f>IF(L965="","",M965-J965)</f>
        <v>0.0</v>
      </c>
      <c r="S965" s="22">
        <f>IF(L965="",-P965,O965-P965)</f>
        <v>0.0</v>
      </c>
      <c r="T965" s="11" t="str">
        <f>IF(L965="","NO BILL IN SUPPLIED EXPORT",IF(ABS(Q965)&gt;0.001,"RATE EXCEPTION",IF(ABS(R965)&gt;0.001,"LENGTH EXCEPTION",IF(ABS(S965)&gt;0.01,"AMOUNT EXCEPTION","OK"))))</f>
        <v>OK</v>
      </c>
      <c r="U965" s="19" t="s">
        <v>5022</v>
      </c>
    </row>
    <row r="966" spans="1:21" ht="28" customHeight="1">
      <c r="A966" s="14" t="s">
        <v>5023</v>
      </c>
      <c r="B966" s="14" t="s">
        <v>192</v>
      </c>
      <c r="C966" s="14" t="s">
        <v>2515</v>
      </c>
      <c r="D966" s="14" t="s">
        <v>227</v>
      </c>
      <c r="E966" s="14" t="s">
        <v>5024</v>
      </c>
      <c r="F966" s="15" t="s">
        <v>5025</v>
      </c>
      <c r="G966" s="15" t="s">
        <v>353</v>
      </c>
      <c r="H966" s="24">
        <v>32</v>
      </c>
      <c r="I966" s="24">
        <v>55.4</v>
      </c>
      <c r="J966" s="24">
        <f>MAX(H966,ROUNDUP(I966,0))</f>
        <v>56</v>
      </c>
      <c r="K966" s="22">
        <f>IF(C966="covered",10.4,7.55)</f>
        <v>10.4</v>
      </c>
      <c r="L966" s="14" t="s">
        <v>5026</v>
      </c>
      <c r="M966" s="24">
        <v>56</v>
      </c>
      <c r="N966" s="22">
        <v>10.4</v>
      </c>
      <c r="O966" s="22">
        <v>582.4</v>
      </c>
      <c r="P966" s="22">
        <f>J966*K966</f>
        <v>582.4</v>
      </c>
      <c r="Q966" s="22">
        <f>IF(L966="","",N966-K966)</f>
        <v>0.0</v>
      </c>
      <c r="R966" s="24">
        <f>IF(L966="","",M966-J966)</f>
        <v>0.0</v>
      </c>
      <c r="S966" s="22">
        <f>IF(L966="",-P966,O966-P966)</f>
        <v>0.0</v>
      </c>
      <c r="T966" s="11" t="str">
        <f>IF(L966="","NO BILL IN SUPPLIED EXPORT",IF(ABS(Q966)&gt;0.001,"RATE EXCEPTION",IF(ABS(R966)&gt;0.001,"LENGTH EXCEPTION",IF(ABS(S966)&gt;0.01,"AMOUNT EXCEPTION","OK"))))</f>
        <v>OK</v>
      </c>
      <c r="U966" s="15" t="s">
        <v>5027</v>
      </c>
    </row>
    <row r="967" spans="1:21" ht="28" customHeight="1">
      <c r="A967" s="18" t="s">
        <v>5028</v>
      </c>
      <c r="B967" s="18" t="s">
        <v>192</v>
      </c>
      <c r="C967" s="18" t="s">
        <v>2515</v>
      </c>
      <c r="D967" s="18" t="s">
        <v>227</v>
      </c>
      <c r="E967" s="18" t="s">
        <v>5029</v>
      </c>
      <c r="F967" s="19" t="s">
        <v>5030</v>
      </c>
      <c r="G967" s="19" t="s">
        <v>1405</v>
      </c>
      <c r="H967" s="24">
        <v>24</v>
      </c>
      <c r="I967" s="24">
        <v>23.3</v>
      </c>
      <c r="J967" s="24">
        <f>MAX(H967,ROUNDUP(I967,0))</f>
        <v>24.0</v>
      </c>
      <c r="K967" s="22">
        <f>IF(C967="covered",10.4,7.55)</f>
        <v>10.4</v>
      </c>
      <c r="L967" s="18" t="s">
        <v>5031</v>
      </c>
      <c r="M967" s="24">
        <v>24</v>
      </c>
      <c r="N967" s="22">
        <v>10.4</v>
      </c>
      <c r="O967" s="22">
        <v>249.6</v>
      </c>
      <c r="P967" s="22">
        <f>J967*K967</f>
        <v>249.60000000000002</v>
      </c>
      <c r="Q967" s="22">
        <f>IF(L967="","",N967-K967)</f>
        <v>0.0</v>
      </c>
      <c r="R967" s="24">
        <f>IF(L967="","",M967-J967)</f>
        <v>0.0</v>
      </c>
      <c r="S967" s="22">
        <f>IF(L967="",-P967,O967-P967)</f>
        <v>-2.842170943040401e-14</v>
      </c>
      <c r="T967" s="11" t="str">
        <f>IF(L967="","NO BILL IN SUPPLIED EXPORT",IF(ABS(Q967)&gt;0.001,"RATE EXCEPTION",IF(ABS(R967)&gt;0.001,"LENGTH EXCEPTION",IF(ABS(S967)&gt;0.01,"AMOUNT EXCEPTION","OK"))))</f>
        <v>OK</v>
      </c>
      <c r="U967" s="19" t="s">
        <v>5032</v>
      </c>
    </row>
    <row r="968" spans="1:21" ht="28" customHeight="1">
      <c r="A968" s="14" t="s">
        <v>5033</v>
      </c>
      <c r="B968" s="14" t="s">
        <v>192</v>
      </c>
      <c r="C968" s="14" t="s">
        <v>2515</v>
      </c>
      <c r="D968" s="14" t="s">
        <v>227</v>
      </c>
      <c r="E968" s="14" t="s">
        <v>5034</v>
      </c>
      <c r="F968" s="15" t="s">
        <v>5035</v>
      </c>
      <c r="G968" s="15" t="s">
        <v>5036</v>
      </c>
      <c r="H968" s="24">
        <v>36</v>
      </c>
      <c r="I968" s="24">
        <v>19</v>
      </c>
      <c r="J968" s="24">
        <f>MAX(H968,ROUNDUP(I968,0))</f>
        <v>36.0</v>
      </c>
      <c r="K968" s="22">
        <f>IF(C968="covered",10.4,7.55)</f>
        <v>10.4</v>
      </c>
      <c r="L968" s="14" t="s">
        <v>5037</v>
      </c>
      <c r="M968" s="24">
        <v>36</v>
      </c>
      <c r="N968" s="22">
        <v>10.4</v>
      </c>
      <c r="O968" s="22">
        <v>374.4</v>
      </c>
      <c r="P968" s="22">
        <f>J968*K968</f>
        <v>374.40000000000003</v>
      </c>
      <c r="Q968" s="22">
        <f>IF(L968="","",N968-K968)</f>
        <v>0.0</v>
      </c>
      <c r="R968" s="24">
        <f>IF(L968="","",M968-J968)</f>
        <v>0.0</v>
      </c>
      <c r="S968" s="22">
        <f>IF(L968="",-P968,O968-P968)</f>
        <v>-5.684341886080802e-14</v>
      </c>
      <c r="T968" s="11" t="str">
        <f>IF(L968="","NO BILL IN SUPPLIED EXPORT",IF(ABS(Q968)&gt;0.001,"RATE EXCEPTION",IF(ABS(R968)&gt;0.001,"LENGTH EXCEPTION",IF(ABS(S968)&gt;0.01,"AMOUNT EXCEPTION","OK"))))</f>
        <v>OK</v>
      </c>
      <c r="U968" s="15" t="s">
        <v>5038</v>
      </c>
    </row>
    <row r="969" spans="1:21" ht="28" customHeight="1">
      <c r="A969" s="18" t="s">
        <v>5039</v>
      </c>
      <c r="B969" s="18" t="s">
        <v>192</v>
      </c>
      <c r="C969" s="18" t="s">
        <v>2515</v>
      </c>
      <c r="D969" s="18" t="s">
        <v>227</v>
      </c>
      <c r="E969" s="18" t="s">
        <v>5040</v>
      </c>
      <c r="F969" s="19" t="s">
        <v>5041</v>
      </c>
      <c r="G969" s="19" t="s">
        <v>4581</v>
      </c>
      <c r="H969" s="24">
        <v>32</v>
      </c>
      <c r="I969" s="24">
        <v>25.7</v>
      </c>
      <c r="J969" s="24">
        <f>MAX(H969,ROUNDUP(I969,0))</f>
        <v>32.0</v>
      </c>
      <c r="K969" s="22">
        <f>IF(C969="covered",10.4,7.55)</f>
        <v>10.4</v>
      </c>
      <c r="L969" s="18" t="s">
        <v>5042</v>
      </c>
      <c r="M969" s="24">
        <v>32</v>
      </c>
      <c r="N969" s="22">
        <v>10.4</v>
      </c>
      <c r="O969" s="22">
        <v>332.8</v>
      </c>
      <c r="P969" s="22">
        <f>J969*K969</f>
        <v>332.8</v>
      </c>
      <c r="Q969" s="22">
        <f>IF(L969="","",N969-K969)</f>
        <v>0.0</v>
      </c>
      <c r="R969" s="24">
        <f>IF(L969="","",M969-J969)</f>
        <v>0.0</v>
      </c>
      <c r="S969" s="22">
        <f>IF(L969="",-P969,O969-P969)</f>
        <v>0.0</v>
      </c>
      <c r="T969" s="11" t="str">
        <f>IF(L969="","NO BILL IN SUPPLIED EXPORT",IF(ABS(Q969)&gt;0.001,"RATE EXCEPTION",IF(ABS(R969)&gt;0.001,"LENGTH EXCEPTION",IF(ABS(S969)&gt;0.01,"AMOUNT EXCEPTION","OK"))))</f>
        <v>OK</v>
      </c>
      <c r="U969" s="19" t="s">
        <v>5043</v>
      </c>
    </row>
    <row r="970" spans="1:21" ht="28" customHeight="1">
      <c r="A970" s="14" t="s">
        <v>5044</v>
      </c>
      <c r="B970" s="14" t="s">
        <v>192</v>
      </c>
      <c r="C970" s="14" t="s">
        <v>2515</v>
      </c>
      <c r="D970" s="14" t="s">
        <v>227</v>
      </c>
      <c r="E970" s="14" t="s">
        <v>5045</v>
      </c>
      <c r="F970" s="15" t="s">
        <v>5046</v>
      </c>
      <c r="G970" s="15" t="s">
        <v>3281</v>
      </c>
      <c r="H970" s="24">
        <v>32</v>
      </c>
      <c r="I970" s="24">
        <v>33.8</v>
      </c>
      <c r="J970" s="24">
        <f>MAX(H970,ROUNDUP(I970,0))</f>
        <v>34</v>
      </c>
      <c r="K970" s="22">
        <f>IF(C970="covered",10.4,7.55)</f>
        <v>10.4</v>
      </c>
      <c r="L970" s="14" t="s">
        <v>5047</v>
      </c>
      <c r="M970" s="24">
        <v>34</v>
      </c>
      <c r="N970" s="22">
        <v>10.4</v>
      </c>
      <c r="O970" s="22">
        <v>353.6</v>
      </c>
      <c r="P970" s="22">
        <f>J970*K970</f>
        <v>353.6</v>
      </c>
      <c r="Q970" s="22">
        <f>IF(L970="","",N970-K970)</f>
        <v>0.0</v>
      </c>
      <c r="R970" s="24">
        <f>IF(L970="","",M970-J970)</f>
        <v>0.0</v>
      </c>
      <c r="S970" s="22">
        <f>IF(L970="",-P970,O970-P970)</f>
        <v>0.0</v>
      </c>
      <c r="T970" s="11" t="str">
        <f>IF(L970="","NO BILL IN SUPPLIED EXPORT",IF(ABS(Q970)&gt;0.001,"RATE EXCEPTION",IF(ABS(R970)&gt;0.001,"LENGTH EXCEPTION",IF(ABS(S970)&gt;0.01,"AMOUNT EXCEPTION","OK"))))</f>
        <v>OK</v>
      </c>
      <c r="U970" s="15" t="s">
        <v>5048</v>
      </c>
    </row>
    <row r="971" spans="1:21" ht="28" customHeight="1">
      <c r="A971" s="18" t="s">
        <v>5049</v>
      </c>
      <c r="B971" s="18" t="s">
        <v>192</v>
      </c>
      <c r="C971" s="18" t="s">
        <v>2515</v>
      </c>
      <c r="D971" s="18" t="s">
        <v>227</v>
      </c>
      <c r="E971" s="18" t="s">
        <v>5050</v>
      </c>
      <c r="F971" s="19" t="s">
        <v>5051</v>
      </c>
      <c r="G971" s="19" t="s">
        <v>1192</v>
      </c>
      <c r="H971" s="24">
        <v>32</v>
      </c>
      <c r="I971" s="24">
        <v>32.3</v>
      </c>
      <c r="J971" s="24">
        <f>MAX(H971,ROUNDUP(I971,0))</f>
        <v>33</v>
      </c>
      <c r="K971" s="22">
        <f>IF(C971="covered",10.4,7.55)</f>
        <v>10.4</v>
      </c>
      <c r="L971" s="18" t="s">
        <v>5052</v>
      </c>
      <c r="M971" s="24">
        <v>33</v>
      </c>
      <c r="N971" s="22">
        <v>10.4</v>
      </c>
      <c r="O971" s="22">
        <v>343.2</v>
      </c>
      <c r="P971" s="22">
        <f>J971*K971</f>
        <v>343.2</v>
      </c>
      <c r="Q971" s="22">
        <f>IF(L971="","",N971-K971)</f>
        <v>0.0</v>
      </c>
      <c r="R971" s="24">
        <f>IF(L971="","",M971-J971)</f>
        <v>0.0</v>
      </c>
      <c r="S971" s="22">
        <f>IF(L971="",-P971,O971-P971)</f>
        <v>0.0</v>
      </c>
      <c r="T971" s="11" t="str">
        <f>IF(L971="","NO BILL IN SUPPLIED EXPORT",IF(ABS(Q971)&gt;0.001,"RATE EXCEPTION",IF(ABS(R971)&gt;0.001,"LENGTH EXCEPTION",IF(ABS(S971)&gt;0.01,"AMOUNT EXCEPTION","OK"))))</f>
        <v>OK</v>
      </c>
      <c r="U971" s="19" t="s">
        <v>5053</v>
      </c>
    </row>
    <row r="972" spans="1:21" ht="28" customHeight="1">
      <c r="A972" s="14" t="s">
        <v>5054</v>
      </c>
      <c r="B972" s="14" t="s">
        <v>192</v>
      </c>
      <c r="C972" s="14" t="s">
        <v>2515</v>
      </c>
      <c r="D972" s="14" t="s">
        <v>227</v>
      </c>
      <c r="E972" s="14" t="s">
        <v>5055</v>
      </c>
      <c r="F972" s="15" t="s">
        <v>5056</v>
      </c>
      <c r="G972" s="15" t="s">
        <v>4452</v>
      </c>
      <c r="H972" s="24">
        <v>24</v>
      </c>
      <c r="I972" s="24">
        <v>27.2</v>
      </c>
      <c r="J972" s="24">
        <f>MAX(H972,ROUNDUP(I972,0))</f>
        <v>28</v>
      </c>
      <c r="K972" s="22">
        <f>IF(C972="covered",10.4,7.55)</f>
        <v>10.4</v>
      </c>
      <c r="L972" s="14" t="s">
        <v>5057</v>
      </c>
      <c r="M972" s="24">
        <v>28</v>
      </c>
      <c r="N972" s="22">
        <v>10.4</v>
      </c>
      <c r="O972" s="22">
        <v>291.2</v>
      </c>
      <c r="P972" s="22">
        <f>J972*K972</f>
        <v>291.2</v>
      </c>
      <c r="Q972" s="22">
        <f>IF(L972="","",N972-K972)</f>
        <v>0.0</v>
      </c>
      <c r="R972" s="24">
        <f>IF(L972="","",M972-J972)</f>
        <v>0.0</v>
      </c>
      <c r="S972" s="22">
        <f>IF(L972="",-P972,O972-P972)</f>
        <v>0.0</v>
      </c>
      <c r="T972" s="11" t="str">
        <f>IF(L972="","NO BILL IN SUPPLIED EXPORT",IF(ABS(Q972)&gt;0.001,"RATE EXCEPTION",IF(ABS(R972)&gt;0.001,"LENGTH EXCEPTION",IF(ABS(S972)&gt;0.01,"AMOUNT EXCEPTION","OK"))))</f>
        <v>OK</v>
      </c>
      <c r="U972" s="15" t="s">
        <v>5058</v>
      </c>
    </row>
    <row r="973" spans="1:21" ht="28" customHeight="1">
      <c r="A973" s="18" t="s">
        <v>5059</v>
      </c>
      <c r="B973" s="18" t="s">
        <v>192</v>
      </c>
      <c r="C973" s="18" t="s">
        <v>2515</v>
      </c>
      <c r="D973" s="18" t="s">
        <v>227</v>
      </c>
      <c r="E973" s="18" t="s">
        <v>5060</v>
      </c>
      <c r="F973" s="19" t="s">
        <v>5061</v>
      </c>
      <c r="G973" s="19" t="s">
        <v>5062</v>
      </c>
      <c r="H973" s="24">
        <v>36</v>
      </c>
      <c r="I973" s="24">
        <v>31.6</v>
      </c>
      <c r="J973" s="24">
        <f>MAX(H973,ROUNDUP(I973,0))</f>
        <v>36.0</v>
      </c>
      <c r="K973" s="22">
        <f>IF(C973="covered",10.4,7.55)</f>
        <v>10.4</v>
      </c>
      <c r="L973" s="18" t="s">
        <v>5063</v>
      </c>
      <c r="M973" s="24">
        <v>36</v>
      </c>
      <c r="N973" s="22">
        <v>10.4</v>
      </c>
      <c r="O973" s="22">
        <v>374.4</v>
      </c>
      <c r="P973" s="22">
        <f>J973*K973</f>
        <v>374.40000000000003</v>
      </c>
      <c r="Q973" s="22">
        <f>IF(L973="","",N973-K973)</f>
        <v>0.0</v>
      </c>
      <c r="R973" s="24">
        <f>IF(L973="","",M973-J973)</f>
        <v>0.0</v>
      </c>
      <c r="S973" s="22">
        <f>IF(L973="",-P973,O973-P973)</f>
        <v>-5.684341886080802e-14</v>
      </c>
      <c r="T973" s="11" t="str">
        <f>IF(L973="","NO BILL IN SUPPLIED EXPORT",IF(ABS(Q973)&gt;0.001,"RATE EXCEPTION",IF(ABS(R973)&gt;0.001,"LENGTH EXCEPTION",IF(ABS(S973)&gt;0.01,"AMOUNT EXCEPTION","OK"))))</f>
        <v>OK</v>
      </c>
      <c r="U973" s="19" t="s">
        <v>5064</v>
      </c>
    </row>
    <row r="974" spans="1:21" ht="28" customHeight="1">
      <c r="A974" s="14" t="s">
        <v>5065</v>
      </c>
      <c r="B974" s="14" t="s">
        <v>192</v>
      </c>
      <c r="C974" s="14" t="s">
        <v>2515</v>
      </c>
      <c r="D974" s="14" t="s">
        <v>227</v>
      </c>
      <c r="E974" s="14" t="s">
        <v>147</v>
      </c>
      <c r="F974" s="15" t="s">
        <v>148</v>
      </c>
      <c r="G974" s="15" t="s">
        <v>149</v>
      </c>
      <c r="H974" s="24">
        <v>24</v>
      </c>
      <c r="I974" s="24">
        <v>30.1</v>
      </c>
      <c r="J974" s="24">
        <f>MAX(H974,ROUNDUP(I974,0))</f>
        <v>31</v>
      </c>
      <c r="K974" s="22">
        <f>IF(C974="covered",10.4,7.55)</f>
        <v>10.4</v>
      </c>
      <c r="L974" s="14" t="s">
        <v>5066</v>
      </c>
      <c r="M974" s="24">
        <v>31</v>
      </c>
      <c r="N974" s="22">
        <v>10.4</v>
      </c>
      <c r="O974" s="22">
        <v>322.4</v>
      </c>
      <c r="P974" s="22">
        <f>J974*K974</f>
        <v>322.40000000000003</v>
      </c>
      <c r="Q974" s="22">
        <f>IF(L974="","",N974-K974)</f>
        <v>0.0</v>
      </c>
      <c r="R974" s="24">
        <f>IF(L974="","",M974-J974)</f>
        <v>0.0</v>
      </c>
      <c r="S974" s="22">
        <f>IF(L974="",-P974,O974-P974)</f>
        <v>-5.684341886080802e-14</v>
      </c>
      <c r="T974" s="11" t="str">
        <f>IF(L974="","NO BILL IN SUPPLIED EXPORT",IF(ABS(Q974)&gt;0.001,"RATE EXCEPTION",IF(ABS(R974)&gt;0.001,"LENGTH EXCEPTION",IF(ABS(S974)&gt;0.01,"AMOUNT EXCEPTION","OK"))))</f>
        <v>OK</v>
      </c>
      <c r="U974" s="15" t="s">
        <v>5067</v>
      </c>
    </row>
    <row r="975" spans="1:21" ht="28" customHeight="1">
      <c r="A975" s="18" t="s">
        <v>5068</v>
      </c>
      <c r="B975" s="18" t="s">
        <v>192</v>
      </c>
      <c r="C975" s="18" t="s">
        <v>2515</v>
      </c>
      <c r="D975" s="18" t="s">
        <v>227</v>
      </c>
      <c r="E975" s="18" t="s">
        <v>5069</v>
      </c>
      <c r="F975" s="19" t="s">
        <v>5070</v>
      </c>
      <c r="G975" s="19" t="s">
        <v>5071</v>
      </c>
      <c r="H975" s="24">
        <v>40</v>
      </c>
      <c r="I975" s="24">
        <v>48.8</v>
      </c>
      <c r="J975" s="24">
        <f>MAX(H975,ROUNDUP(I975,0))</f>
        <v>49</v>
      </c>
      <c r="K975" s="22">
        <f>IF(C975="covered",10.4,7.55)</f>
        <v>10.4</v>
      </c>
      <c r="L975" s="18" t="s">
        <v>5072</v>
      </c>
      <c r="M975" s="24">
        <v>49</v>
      </c>
      <c r="N975" s="22">
        <v>10.4</v>
      </c>
      <c r="O975" s="22">
        <v>509.6</v>
      </c>
      <c r="P975" s="22">
        <f>J975*K975</f>
        <v>509.6</v>
      </c>
      <c r="Q975" s="22">
        <f>IF(L975="","",N975-K975)</f>
        <v>0.0</v>
      </c>
      <c r="R975" s="24">
        <f>IF(L975="","",M975-J975)</f>
        <v>0.0</v>
      </c>
      <c r="S975" s="22">
        <f>IF(L975="",-P975,O975-P975)</f>
        <v>0.0</v>
      </c>
      <c r="T975" s="11" t="str">
        <f>IF(L975="","NO BILL IN SUPPLIED EXPORT",IF(ABS(Q975)&gt;0.001,"RATE EXCEPTION",IF(ABS(R975)&gt;0.001,"LENGTH EXCEPTION",IF(ABS(S975)&gt;0.01,"AMOUNT EXCEPTION","OK"))))</f>
        <v>OK</v>
      </c>
      <c r="U975" s="19" t="s">
        <v>5073</v>
      </c>
    </row>
    <row r="976" spans="1:21" ht="28" customHeight="1">
      <c r="A976" s="14" t="s">
        <v>5074</v>
      </c>
      <c r="B976" s="14" t="s">
        <v>192</v>
      </c>
      <c r="C976" s="14" t="s">
        <v>2515</v>
      </c>
      <c r="D976" s="14" t="s">
        <v>227</v>
      </c>
      <c r="E976" s="14" t="s">
        <v>5075</v>
      </c>
      <c r="F976" s="15" t="s">
        <v>5076</v>
      </c>
      <c r="G976" s="15" t="s">
        <v>3622</v>
      </c>
      <c r="H976" s="24">
        <v>28</v>
      </c>
      <c r="I976" s="24">
        <v>36.2</v>
      </c>
      <c r="J976" s="24">
        <f>MAX(H976,ROUNDUP(I976,0))</f>
        <v>37</v>
      </c>
      <c r="K976" s="22">
        <f>IF(C976="covered",10.4,7.55)</f>
        <v>10.4</v>
      </c>
      <c r="L976" s="14" t="s">
        <v>5077</v>
      </c>
      <c r="M976" s="24">
        <v>37</v>
      </c>
      <c r="N976" s="22">
        <v>10.4</v>
      </c>
      <c r="O976" s="22">
        <v>384.8</v>
      </c>
      <c r="P976" s="22">
        <f>J976*K976</f>
        <v>384.8</v>
      </c>
      <c r="Q976" s="22">
        <f>IF(L976="","",N976-K976)</f>
        <v>0.0</v>
      </c>
      <c r="R976" s="24">
        <f>IF(L976="","",M976-J976)</f>
        <v>0.0</v>
      </c>
      <c r="S976" s="22">
        <f>IF(L976="",-P976,O976-P976)</f>
        <v>0.0</v>
      </c>
      <c r="T976" s="11" t="str">
        <f>IF(L976="","NO BILL IN SUPPLIED EXPORT",IF(ABS(Q976)&gt;0.001,"RATE EXCEPTION",IF(ABS(R976)&gt;0.001,"LENGTH EXCEPTION",IF(ABS(S976)&gt;0.01,"AMOUNT EXCEPTION","OK"))))</f>
        <v>OK</v>
      </c>
      <c r="U976" s="15" t="s">
        <v>5078</v>
      </c>
    </row>
    <row r="977" spans="1:21" ht="28" customHeight="1">
      <c r="A977" s="18" t="s">
        <v>5079</v>
      </c>
      <c r="B977" s="18" t="s">
        <v>192</v>
      </c>
      <c r="C977" s="18" t="s">
        <v>2515</v>
      </c>
      <c r="D977" s="18" t="s">
        <v>227</v>
      </c>
      <c r="E977" s="18" t="s">
        <v>5080</v>
      </c>
      <c r="F977" s="19" t="s">
        <v>5081</v>
      </c>
      <c r="G977" s="19" t="s">
        <v>1174</v>
      </c>
      <c r="H977" s="24">
        <v>32</v>
      </c>
      <c r="I977" s="24">
        <v>40.1</v>
      </c>
      <c r="J977" s="24">
        <f>MAX(H977,ROUNDUP(I977,0))</f>
        <v>41</v>
      </c>
      <c r="K977" s="22">
        <f>IF(C977="covered",10.4,7.55)</f>
        <v>10.4</v>
      </c>
      <c r="L977" s="18" t="s">
        <v>5082</v>
      </c>
      <c r="M977" s="24">
        <v>41</v>
      </c>
      <c r="N977" s="22">
        <v>10.4</v>
      </c>
      <c r="O977" s="22">
        <v>426.4</v>
      </c>
      <c r="P977" s="22">
        <f>J977*K977</f>
        <v>426.40000000000003</v>
      </c>
      <c r="Q977" s="22">
        <f>IF(L977="","",N977-K977)</f>
        <v>0.0</v>
      </c>
      <c r="R977" s="24">
        <f>IF(L977="","",M977-J977)</f>
        <v>0.0</v>
      </c>
      <c r="S977" s="22">
        <f>IF(L977="",-P977,O977-P977)</f>
        <v>-5.684341886080802e-14</v>
      </c>
      <c r="T977" s="11" t="str">
        <f>IF(L977="","NO BILL IN SUPPLIED EXPORT",IF(ABS(Q977)&gt;0.001,"RATE EXCEPTION",IF(ABS(R977)&gt;0.001,"LENGTH EXCEPTION",IF(ABS(S977)&gt;0.01,"AMOUNT EXCEPTION","OK"))))</f>
        <v>OK</v>
      </c>
      <c r="U977" s="19" t="s">
        <v>5083</v>
      </c>
    </row>
    <row r="978" spans="1:21" ht="28" customHeight="1">
      <c r="A978" s="14" t="s">
        <v>5084</v>
      </c>
      <c r="B978" s="14" t="s">
        <v>192</v>
      </c>
      <c r="C978" s="14" t="s">
        <v>2515</v>
      </c>
      <c r="D978" s="14" t="s">
        <v>227</v>
      </c>
      <c r="E978" s="14" t="s">
        <v>5085</v>
      </c>
      <c r="F978" s="15" t="s">
        <v>5086</v>
      </c>
      <c r="G978" s="15" t="s">
        <v>312</v>
      </c>
      <c r="H978" s="24">
        <v>36</v>
      </c>
      <c r="I978" s="24">
        <v>51.6</v>
      </c>
      <c r="J978" s="24">
        <f>MAX(H978,ROUNDUP(I978,0))</f>
        <v>52</v>
      </c>
      <c r="K978" s="22">
        <f>IF(C978="covered",10.4,7.55)</f>
        <v>10.4</v>
      </c>
      <c r="L978" s="14" t="s">
        <v>5087</v>
      </c>
      <c r="M978" s="24">
        <v>52</v>
      </c>
      <c r="N978" s="22">
        <v>10.4</v>
      </c>
      <c r="O978" s="22">
        <v>540.8</v>
      </c>
      <c r="P978" s="22">
        <f>J978*K978</f>
        <v>540.8000000000001</v>
      </c>
      <c r="Q978" s="22">
        <f>IF(L978="","",N978-K978)</f>
        <v>0.0</v>
      </c>
      <c r="R978" s="24">
        <f>IF(L978="","",M978-J978)</f>
        <v>0.0</v>
      </c>
      <c r="S978" s="22">
        <f>IF(L978="",-P978,O978-P978)</f>
        <v>-1.1368683772161603e-13</v>
      </c>
      <c r="T978" s="11" t="str">
        <f>IF(L978="","NO BILL IN SUPPLIED EXPORT",IF(ABS(Q978)&gt;0.001,"RATE EXCEPTION",IF(ABS(R978)&gt;0.001,"LENGTH EXCEPTION",IF(ABS(S978)&gt;0.01,"AMOUNT EXCEPTION","OK"))))</f>
        <v>OK</v>
      </c>
      <c r="U978" s="15" t="s">
        <v>5088</v>
      </c>
    </row>
    <row r="979" spans="1:21" ht="28" customHeight="1">
      <c r="A979" s="18" t="s">
        <v>5089</v>
      </c>
      <c r="B979" s="18" t="s">
        <v>192</v>
      </c>
      <c r="C979" s="18" t="s">
        <v>2515</v>
      </c>
      <c r="D979" s="18" t="s">
        <v>227</v>
      </c>
      <c r="E979" s="18" t="s">
        <v>5090</v>
      </c>
      <c r="F979" s="19" t="s">
        <v>5091</v>
      </c>
      <c r="G979" s="19" t="s">
        <v>2886</v>
      </c>
      <c r="H979" s="24">
        <v>36</v>
      </c>
      <c r="I979" s="24">
        <v>54.4</v>
      </c>
      <c r="J979" s="24">
        <f>MAX(H979,ROUNDUP(I979,0))</f>
        <v>55</v>
      </c>
      <c r="K979" s="22">
        <f>IF(C979="covered",10.4,7.55)</f>
        <v>10.4</v>
      </c>
      <c r="L979" s="18" t="s">
        <v>5092</v>
      </c>
      <c r="M979" s="24">
        <v>55</v>
      </c>
      <c r="N979" s="22">
        <v>10.4</v>
      </c>
      <c r="O979" s="22">
        <v>572</v>
      </c>
      <c r="P979" s="22">
        <f>J979*K979</f>
        <v>572.0</v>
      </c>
      <c r="Q979" s="22">
        <f>IF(L979="","",N979-K979)</f>
        <v>0.0</v>
      </c>
      <c r="R979" s="24">
        <f>IF(L979="","",M979-J979)</f>
        <v>0.0</v>
      </c>
      <c r="S979" s="22">
        <f>IF(L979="",-P979,O979-P979)</f>
        <v>0.0</v>
      </c>
      <c r="T979" s="11" t="str">
        <f>IF(L979="","NO BILL IN SUPPLIED EXPORT",IF(ABS(Q979)&gt;0.001,"RATE EXCEPTION",IF(ABS(R979)&gt;0.001,"LENGTH EXCEPTION",IF(ABS(S979)&gt;0.01,"AMOUNT EXCEPTION","OK"))))</f>
        <v>OK</v>
      </c>
      <c r="U979" s="19" t="s">
        <v>5093</v>
      </c>
    </row>
    <row r="980" spans="1:21" ht="28" customHeight="1">
      <c r="A980" s="14" t="s">
        <v>5094</v>
      </c>
      <c r="B980" s="14" t="s">
        <v>192</v>
      </c>
      <c r="C980" s="14" t="s">
        <v>2515</v>
      </c>
      <c r="D980" s="14" t="s">
        <v>227</v>
      </c>
      <c r="E980" s="14" t="s">
        <v>5095</v>
      </c>
      <c r="F980" s="15" t="s">
        <v>5096</v>
      </c>
      <c r="G980" s="15" t="s">
        <v>3028</v>
      </c>
      <c r="H980" s="24">
        <v>28</v>
      </c>
      <c r="I980" s="24">
        <v>39.5</v>
      </c>
      <c r="J980" s="24">
        <f>MAX(H980,ROUNDUP(I980,0))</f>
        <v>40</v>
      </c>
      <c r="K980" s="22">
        <f>IF(C980="covered",10.4,7.55)</f>
        <v>10.4</v>
      </c>
      <c r="L980" s="14" t="s">
        <v>5097</v>
      </c>
      <c r="M980" s="24">
        <v>40</v>
      </c>
      <c r="N980" s="22">
        <v>10.4</v>
      </c>
      <c r="O980" s="22">
        <v>416</v>
      </c>
      <c r="P980" s="22">
        <f>J980*K980</f>
        <v>416.0</v>
      </c>
      <c r="Q980" s="22">
        <f>IF(L980="","",N980-K980)</f>
        <v>0.0</v>
      </c>
      <c r="R980" s="24">
        <f>IF(L980="","",M980-J980)</f>
        <v>0.0</v>
      </c>
      <c r="S980" s="22">
        <f>IF(L980="",-P980,O980-P980)</f>
        <v>0.0</v>
      </c>
      <c r="T980" s="11" t="str">
        <f>IF(L980="","NO BILL IN SUPPLIED EXPORT",IF(ABS(Q980)&gt;0.001,"RATE EXCEPTION",IF(ABS(R980)&gt;0.001,"LENGTH EXCEPTION",IF(ABS(S980)&gt;0.01,"AMOUNT EXCEPTION","OK"))))</f>
        <v>OK</v>
      </c>
      <c r="U980" s="15" t="s">
        <v>5098</v>
      </c>
    </row>
    <row r="981" spans="1:21" ht="28" customHeight="1">
      <c r="A981" s="18" t="s">
        <v>93</v>
      </c>
      <c r="B981" s="18" t="s">
        <v>192</v>
      </c>
      <c r="C981" s="18" t="s">
        <v>2515</v>
      </c>
      <c r="D981" s="18" t="s">
        <v>227</v>
      </c>
      <c r="E981" s="18" t="s">
        <v>5099</v>
      </c>
      <c r="F981" s="19" t="s">
        <v>5100</v>
      </c>
      <c r="G981" s="19" t="s">
        <v>1393</v>
      </c>
      <c r="H981" s="24">
        <v>40</v>
      </c>
      <c r="I981" s="24">
        <v>29.8</v>
      </c>
      <c r="J981" s="24">
        <f>MAX(H981,ROUNDUP(I981,0))</f>
        <v>40.0</v>
      </c>
      <c r="K981" s="22">
        <f>IF(C981="covered",10.4,7.55)</f>
        <v>10.4</v>
      </c>
      <c r="L981" s="18" t="s">
        <v>5101</v>
      </c>
      <c r="M981" s="24">
        <v>40</v>
      </c>
      <c r="N981" s="22">
        <v>10.4</v>
      </c>
      <c r="O981" s="22">
        <v>416</v>
      </c>
      <c r="P981" s="22">
        <f>J981*K981</f>
        <v>416.0</v>
      </c>
      <c r="Q981" s="22">
        <f>IF(L981="","",N981-K981)</f>
        <v>0.0</v>
      </c>
      <c r="R981" s="24">
        <f>IF(L981="","",M981-J981)</f>
        <v>0.0</v>
      </c>
      <c r="S981" s="22">
        <f>IF(L981="",-P981,O981-P981)</f>
        <v>0.0</v>
      </c>
      <c r="T981" s="11" t="str">
        <f>IF(L981="","NO BILL IN SUPPLIED EXPORT",IF(ABS(Q981)&gt;0.001,"RATE EXCEPTION",IF(ABS(R981)&gt;0.001,"LENGTH EXCEPTION",IF(ABS(S981)&gt;0.01,"AMOUNT EXCEPTION","OK"))))</f>
        <v>OK</v>
      </c>
      <c r="U981" s="19" t="s">
        <v>5102</v>
      </c>
    </row>
    <row r="982" spans="1:21" ht="28" customHeight="1">
      <c r="A982" s="14" t="s">
        <v>5103</v>
      </c>
      <c r="B982" s="14" t="s">
        <v>192</v>
      </c>
      <c r="C982" s="14" t="s">
        <v>2515</v>
      </c>
      <c r="D982" s="14" t="s">
        <v>227</v>
      </c>
      <c r="E982" s="14" t="s">
        <v>5104</v>
      </c>
      <c r="F982" s="15" t="s">
        <v>5105</v>
      </c>
      <c r="G982" s="15" t="s">
        <v>5106</v>
      </c>
      <c r="H982" s="24">
        <v>24</v>
      </c>
      <c r="I982" s="24">
        <v>53.2</v>
      </c>
      <c r="J982" s="24">
        <f>MAX(H982,ROUNDUP(I982,0))</f>
        <v>54</v>
      </c>
      <c r="K982" s="22">
        <f>IF(C982="covered",10.4,7.55)</f>
        <v>10.4</v>
      </c>
      <c r="L982" s="14" t="s">
        <v>5107</v>
      </c>
      <c r="M982" s="24">
        <v>54</v>
      </c>
      <c r="N982" s="22">
        <v>10.4</v>
      </c>
      <c r="O982" s="22">
        <v>561.6</v>
      </c>
      <c r="P982" s="22">
        <f>J982*K982</f>
        <v>561.6</v>
      </c>
      <c r="Q982" s="22">
        <f>IF(L982="","",N982-K982)</f>
        <v>0.0</v>
      </c>
      <c r="R982" s="24">
        <f>IF(L982="","",M982-J982)</f>
        <v>0.0</v>
      </c>
      <c r="S982" s="22">
        <f>IF(L982="",-P982,O982-P982)</f>
        <v>0.0</v>
      </c>
      <c r="T982" s="11" t="str">
        <f>IF(L982="","NO BILL IN SUPPLIED EXPORT",IF(ABS(Q982)&gt;0.001,"RATE EXCEPTION",IF(ABS(R982)&gt;0.001,"LENGTH EXCEPTION",IF(ABS(S982)&gt;0.01,"AMOUNT EXCEPTION","OK"))))</f>
        <v>OK</v>
      </c>
      <c r="U982" s="15" t="s">
        <v>5108</v>
      </c>
    </row>
    <row r="983" spans="1:21" ht="28" customHeight="1">
      <c r="A983" s="18" t="s">
        <v>5109</v>
      </c>
      <c r="B983" s="18" t="s">
        <v>192</v>
      </c>
      <c r="C983" s="18" t="s">
        <v>2515</v>
      </c>
      <c r="D983" s="18" t="s">
        <v>227</v>
      </c>
      <c r="E983" s="18" t="s">
        <v>5110</v>
      </c>
      <c r="F983" s="19" t="s">
        <v>5111</v>
      </c>
      <c r="G983" s="19" t="s">
        <v>647</v>
      </c>
      <c r="H983" s="24">
        <v>28</v>
      </c>
      <c r="I983" s="24">
        <v>33</v>
      </c>
      <c r="J983" s="24">
        <f>MAX(H983,ROUNDUP(I983,0))</f>
        <v>33</v>
      </c>
      <c r="K983" s="22">
        <f>IF(C983="covered",10.4,7.55)</f>
        <v>10.4</v>
      </c>
      <c r="L983" s="18" t="s">
        <v>5112</v>
      </c>
      <c r="M983" s="24">
        <v>33</v>
      </c>
      <c r="N983" s="22">
        <v>10.4</v>
      </c>
      <c r="O983" s="22">
        <v>343.2</v>
      </c>
      <c r="P983" s="22">
        <f>J983*K983</f>
        <v>343.2</v>
      </c>
      <c r="Q983" s="22">
        <f>IF(L983="","",N983-K983)</f>
        <v>0.0</v>
      </c>
      <c r="R983" s="24">
        <f>IF(L983="","",M983-J983)</f>
        <v>0.0</v>
      </c>
      <c r="S983" s="22">
        <f>IF(L983="",-P983,O983-P983)</f>
        <v>0.0</v>
      </c>
      <c r="T983" s="11" t="str">
        <f>IF(L983="","NO BILL IN SUPPLIED EXPORT",IF(ABS(Q983)&gt;0.001,"RATE EXCEPTION",IF(ABS(R983)&gt;0.001,"LENGTH EXCEPTION",IF(ABS(S983)&gt;0.01,"AMOUNT EXCEPTION","OK"))))</f>
        <v>OK</v>
      </c>
      <c r="U983" s="19" t="s">
        <v>5113</v>
      </c>
    </row>
    <row r="984" spans="1:21" ht="28" customHeight="1">
      <c r="A984" s="14" t="s">
        <v>5114</v>
      </c>
      <c r="B984" s="14" t="s">
        <v>192</v>
      </c>
      <c r="C984" s="14" t="s">
        <v>2515</v>
      </c>
      <c r="D984" s="14" t="s">
        <v>227</v>
      </c>
      <c r="E984" s="14" t="s">
        <v>5115</v>
      </c>
      <c r="F984" s="15" t="s">
        <v>5116</v>
      </c>
      <c r="G984" s="15" t="s">
        <v>2395</v>
      </c>
      <c r="H984" s="24">
        <v>40</v>
      </c>
      <c r="I984" s="24">
        <v>21</v>
      </c>
      <c r="J984" s="24">
        <f>MAX(H984,ROUNDUP(I984,0))</f>
        <v>40.0</v>
      </c>
      <c r="K984" s="22">
        <f>IF(C984="covered",10.4,7.55)</f>
        <v>10.4</v>
      </c>
      <c r="L984" s="14" t="s">
        <v>5117</v>
      </c>
      <c r="M984" s="24">
        <v>40</v>
      </c>
      <c r="N984" s="22">
        <v>10.4</v>
      </c>
      <c r="O984" s="22">
        <v>416</v>
      </c>
      <c r="P984" s="22">
        <f>J984*K984</f>
        <v>416.0</v>
      </c>
      <c r="Q984" s="22">
        <f>IF(L984="","",N984-K984)</f>
        <v>0.0</v>
      </c>
      <c r="R984" s="24">
        <f>IF(L984="","",M984-J984)</f>
        <v>0.0</v>
      </c>
      <c r="S984" s="22">
        <f>IF(L984="",-P984,O984-P984)</f>
        <v>0.0</v>
      </c>
      <c r="T984" s="11" t="str">
        <f>IF(L984="","NO BILL IN SUPPLIED EXPORT",IF(ABS(Q984)&gt;0.001,"RATE EXCEPTION",IF(ABS(R984)&gt;0.001,"LENGTH EXCEPTION",IF(ABS(S984)&gt;0.01,"AMOUNT EXCEPTION","OK"))))</f>
        <v>OK</v>
      </c>
      <c r="U984" s="15" t="s">
        <v>5118</v>
      </c>
    </row>
    <row r="985" spans="1:21" ht="28" customHeight="1">
      <c r="A985" s="18" t="s">
        <v>5119</v>
      </c>
      <c r="B985" s="18" t="s">
        <v>192</v>
      </c>
      <c r="C985" s="18" t="s">
        <v>2515</v>
      </c>
      <c r="D985" s="18" t="s">
        <v>227</v>
      </c>
      <c r="E985" s="18" t="s">
        <v>5120</v>
      </c>
      <c r="F985" s="19" t="s">
        <v>5121</v>
      </c>
      <c r="G985" s="19" t="s">
        <v>963</v>
      </c>
      <c r="H985" s="24">
        <v>28</v>
      </c>
      <c r="I985" s="24">
        <v>46.2</v>
      </c>
      <c r="J985" s="24">
        <f>MAX(H985,ROUNDUP(I985,0))</f>
        <v>47</v>
      </c>
      <c r="K985" s="22">
        <f>IF(C985="covered",10.4,7.55)</f>
        <v>10.4</v>
      </c>
      <c r="L985" s="18" t="s">
        <v>5122</v>
      </c>
      <c r="M985" s="24">
        <v>47</v>
      </c>
      <c r="N985" s="22">
        <v>10.4</v>
      </c>
      <c r="O985" s="22">
        <v>488.8</v>
      </c>
      <c r="P985" s="22">
        <f>J985*K985</f>
        <v>488.8</v>
      </c>
      <c r="Q985" s="22">
        <f>IF(L985="","",N985-K985)</f>
        <v>0.0</v>
      </c>
      <c r="R985" s="24">
        <f>IF(L985="","",M985-J985)</f>
        <v>0.0</v>
      </c>
      <c r="S985" s="22">
        <f>IF(L985="",-P985,O985-P985)</f>
        <v>0.0</v>
      </c>
      <c r="T985" s="11" t="str">
        <f>IF(L985="","NO BILL IN SUPPLIED EXPORT",IF(ABS(Q985)&gt;0.001,"RATE EXCEPTION",IF(ABS(R985)&gt;0.001,"LENGTH EXCEPTION",IF(ABS(S985)&gt;0.01,"AMOUNT EXCEPTION","OK"))))</f>
        <v>OK</v>
      </c>
      <c r="U985" s="19" t="s">
        <v>5123</v>
      </c>
    </row>
    <row r="986" spans="1:21" ht="28" customHeight="1">
      <c r="A986" s="14" t="s">
        <v>5124</v>
      </c>
      <c r="B986" s="14" t="s">
        <v>192</v>
      </c>
      <c r="C986" s="14" t="s">
        <v>2515</v>
      </c>
      <c r="D986" s="14" t="s">
        <v>227</v>
      </c>
      <c r="E986" s="14" t="s">
        <v>5125</v>
      </c>
      <c r="F986" s="15" t="s">
        <v>5126</v>
      </c>
      <c r="G986" s="15" t="s">
        <v>4368</v>
      </c>
      <c r="H986" s="24">
        <v>28</v>
      </c>
      <c r="I986" s="24">
        <v>21.8</v>
      </c>
      <c r="J986" s="24">
        <f>MAX(H986,ROUNDUP(I986,0))</f>
        <v>28.0</v>
      </c>
      <c r="K986" s="22">
        <f>IF(C986="covered",10.4,7.55)</f>
        <v>10.4</v>
      </c>
      <c r="L986" s="14" t="s">
        <v>5127</v>
      </c>
      <c r="M986" s="24">
        <v>28</v>
      </c>
      <c r="N986" s="22">
        <v>10.4</v>
      </c>
      <c r="O986" s="22">
        <v>291.2</v>
      </c>
      <c r="P986" s="22">
        <f>J986*K986</f>
        <v>291.2</v>
      </c>
      <c r="Q986" s="22">
        <f>IF(L986="","",N986-K986)</f>
        <v>0.0</v>
      </c>
      <c r="R986" s="24">
        <f>IF(L986="","",M986-J986)</f>
        <v>0.0</v>
      </c>
      <c r="S986" s="22">
        <f>IF(L986="",-P986,O986-P986)</f>
        <v>0.0</v>
      </c>
      <c r="T986" s="11" t="str">
        <f>IF(L986="","NO BILL IN SUPPLIED EXPORT",IF(ABS(Q986)&gt;0.001,"RATE EXCEPTION",IF(ABS(R986)&gt;0.001,"LENGTH EXCEPTION",IF(ABS(S986)&gt;0.01,"AMOUNT EXCEPTION","OK"))))</f>
        <v>OK</v>
      </c>
      <c r="U986" s="15" t="s">
        <v>5128</v>
      </c>
    </row>
    <row r="987" spans="1:21" ht="28" customHeight="1">
      <c r="A987" s="18" t="s">
        <v>5129</v>
      </c>
      <c r="B987" s="18" t="s">
        <v>192</v>
      </c>
      <c r="C987" s="18" t="s">
        <v>2515</v>
      </c>
      <c r="D987" s="18" t="s">
        <v>227</v>
      </c>
      <c r="E987" s="18" t="s">
        <v>5130</v>
      </c>
      <c r="F987" s="19" t="s">
        <v>5131</v>
      </c>
      <c r="G987" s="19" t="s">
        <v>4411</v>
      </c>
      <c r="H987" s="24">
        <v>32</v>
      </c>
      <c r="I987" s="24">
        <v>57.9</v>
      </c>
      <c r="J987" s="24">
        <f>MAX(H987,ROUNDUP(I987,0))</f>
        <v>58</v>
      </c>
      <c r="K987" s="22">
        <f>IF(C987="covered",10.4,7.55)</f>
        <v>10.4</v>
      </c>
      <c r="L987" s="18" t="s">
        <v>5132</v>
      </c>
      <c r="M987" s="24">
        <v>58</v>
      </c>
      <c r="N987" s="22">
        <v>10.4</v>
      </c>
      <c r="O987" s="22">
        <v>603.2</v>
      </c>
      <c r="P987" s="22">
        <f>J987*K987</f>
        <v>603.2</v>
      </c>
      <c r="Q987" s="22">
        <f>IF(L987="","",N987-K987)</f>
        <v>0.0</v>
      </c>
      <c r="R987" s="24">
        <f>IF(L987="","",M987-J987)</f>
        <v>0.0</v>
      </c>
      <c r="S987" s="22">
        <f>IF(L987="",-P987,O987-P987)</f>
        <v>0.0</v>
      </c>
      <c r="T987" s="11" t="str">
        <f>IF(L987="","NO BILL IN SUPPLIED EXPORT",IF(ABS(Q987)&gt;0.001,"RATE EXCEPTION",IF(ABS(R987)&gt;0.001,"LENGTH EXCEPTION",IF(ABS(S987)&gt;0.01,"AMOUNT EXCEPTION","OK"))))</f>
        <v>OK</v>
      </c>
      <c r="U987" s="19" t="s">
        <v>5133</v>
      </c>
    </row>
    <row r="988" spans="1:21" ht="28" customHeight="1">
      <c r="A988" s="14" t="s">
        <v>5134</v>
      </c>
      <c r="B988" s="14" t="s">
        <v>192</v>
      </c>
      <c r="C988" s="14" t="s">
        <v>2515</v>
      </c>
      <c r="D988" s="14" t="s">
        <v>227</v>
      </c>
      <c r="E988" s="14" t="s">
        <v>5135</v>
      </c>
      <c r="F988" s="15" t="s">
        <v>5136</v>
      </c>
      <c r="G988" s="15" t="s">
        <v>1932</v>
      </c>
      <c r="H988" s="24">
        <v>24</v>
      </c>
      <c r="I988" s="24">
        <v>26</v>
      </c>
      <c r="J988" s="24">
        <f>MAX(H988,ROUNDUP(I988,0))</f>
        <v>26</v>
      </c>
      <c r="K988" s="22">
        <f>IF(C988="covered",10.4,7.55)</f>
        <v>10.4</v>
      </c>
      <c r="L988" s="14" t="s">
        <v>5137</v>
      </c>
      <c r="M988" s="24">
        <v>26</v>
      </c>
      <c r="N988" s="22">
        <v>10.4</v>
      </c>
      <c r="O988" s="22">
        <v>270.4</v>
      </c>
      <c r="P988" s="22">
        <f>J988*K988</f>
        <v>270.40000000000003</v>
      </c>
      <c r="Q988" s="22">
        <f>IF(L988="","",N988-K988)</f>
        <v>0.0</v>
      </c>
      <c r="R988" s="24">
        <f>IF(L988="","",M988-J988)</f>
        <v>0.0</v>
      </c>
      <c r="S988" s="22">
        <f>IF(L988="",-P988,O988-P988)</f>
        <v>-5.684341886080802e-14</v>
      </c>
      <c r="T988" s="11" t="str">
        <f>IF(L988="","NO BILL IN SUPPLIED EXPORT",IF(ABS(Q988)&gt;0.001,"RATE EXCEPTION",IF(ABS(R988)&gt;0.001,"LENGTH EXCEPTION",IF(ABS(S988)&gt;0.01,"AMOUNT EXCEPTION","OK"))))</f>
        <v>OK</v>
      </c>
      <c r="U988" s="15" t="s">
        <v>5138</v>
      </c>
    </row>
    <row r="989" spans="1:21" ht="28" customHeight="1">
      <c r="A989" s="18" t="s">
        <v>5139</v>
      </c>
      <c r="B989" s="18" t="s">
        <v>192</v>
      </c>
      <c r="C989" s="18" t="s">
        <v>2515</v>
      </c>
      <c r="D989" s="18" t="s">
        <v>227</v>
      </c>
      <c r="E989" s="18" t="s">
        <v>5140</v>
      </c>
      <c r="F989" s="19" t="s">
        <v>5141</v>
      </c>
      <c r="G989" s="19" t="s">
        <v>1955</v>
      </c>
      <c r="H989" s="24">
        <v>24</v>
      </c>
      <c r="I989" s="24">
        <v>41.5</v>
      </c>
      <c r="J989" s="24">
        <f>MAX(H989,ROUNDUP(I989,0))</f>
        <v>42</v>
      </c>
      <c r="K989" s="22">
        <f>IF(C989="covered",10.4,7.55)</f>
        <v>10.4</v>
      </c>
      <c r="L989" s="18" t="s">
        <v>5142</v>
      </c>
      <c r="M989" s="24">
        <v>42</v>
      </c>
      <c r="N989" s="22">
        <v>10.4</v>
      </c>
      <c r="O989" s="22">
        <v>436.8</v>
      </c>
      <c r="P989" s="22">
        <f>J989*K989</f>
        <v>436.8</v>
      </c>
      <c r="Q989" s="22">
        <f>IF(L989="","",N989-K989)</f>
        <v>0.0</v>
      </c>
      <c r="R989" s="24">
        <f>IF(L989="","",M989-J989)</f>
        <v>0.0</v>
      </c>
      <c r="S989" s="22">
        <f>IF(L989="",-P989,O989-P989)</f>
        <v>0.0</v>
      </c>
      <c r="T989" s="11" t="str">
        <f>IF(L989="","NO BILL IN SUPPLIED EXPORT",IF(ABS(Q989)&gt;0.001,"RATE EXCEPTION",IF(ABS(R989)&gt;0.001,"LENGTH EXCEPTION",IF(ABS(S989)&gt;0.01,"AMOUNT EXCEPTION","OK"))))</f>
        <v>OK</v>
      </c>
      <c r="U989" s="19" t="s">
        <v>5143</v>
      </c>
    </row>
    <row r="990" spans="1:21" ht="28" customHeight="1">
      <c r="A990" s="14" t="s">
        <v>5144</v>
      </c>
      <c r="B990" s="14" t="s">
        <v>192</v>
      </c>
      <c r="C990" s="14" t="s">
        <v>2515</v>
      </c>
      <c r="D990" s="14" t="s">
        <v>227</v>
      </c>
      <c r="E990" s="14" t="s">
        <v>5145</v>
      </c>
      <c r="F990" s="15" t="s">
        <v>5146</v>
      </c>
      <c r="G990" s="15" t="s">
        <v>5147</v>
      </c>
      <c r="H990" s="24">
        <v>28</v>
      </c>
      <c r="I990" s="24">
        <v>59.8</v>
      </c>
      <c r="J990" s="24">
        <f>MAX(H990,ROUNDUP(I990,0))</f>
        <v>60</v>
      </c>
      <c r="K990" s="22">
        <f>IF(C990="covered",10.4,7.55)</f>
        <v>10.4</v>
      </c>
      <c r="L990" s="14" t="s">
        <v>5148</v>
      </c>
      <c r="M990" s="24">
        <v>60</v>
      </c>
      <c r="N990" s="22">
        <v>10.4</v>
      </c>
      <c r="O990" s="22">
        <v>624</v>
      </c>
      <c r="P990" s="22">
        <f>J990*K990</f>
        <v>624.0</v>
      </c>
      <c r="Q990" s="22">
        <f>IF(L990="","",N990-K990)</f>
        <v>0.0</v>
      </c>
      <c r="R990" s="24">
        <f>IF(L990="","",M990-J990)</f>
        <v>0.0</v>
      </c>
      <c r="S990" s="22">
        <f>IF(L990="",-P990,O990-P990)</f>
        <v>0.0</v>
      </c>
      <c r="T990" s="11" t="str">
        <f>IF(L990="","NO BILL IN SUPPLIED EXPORT",IF(ABS(Q990)&gt;0.001,"RATE EXCEPTION",IF(ABS(R990)&gt;0.001,"LENGTH EXCEPTION",IF(ABS(S990)&gt;0.01,"AMOUNT EXCEPTION","OK"))))</f>
        <v>OK</v>
      </c>
      <c r="U990" s="15" t="s">
        <v>5149</v>
      </c>
    </row>
    <row r="991" spans="1:21" ht="28" customHeight="1">
      <c r="A991" s="18" t="s">
        <v>5150</v>
      </c>
      <c r="B991" s="18" t="s">
        <v>192</v>
      </c>
      <c r="C991" s="18" t="s">
        <v>2515</v>
      </c>
      <c r="D991" s="18" t="s">
        <v>227</v>
      </c>
      <c r="E991" s="18" t="s">
        <v>5151</v>
      </c>
      <c r="F991" s="19" t="s">
        <v>5152</v>
      </c>
      <c r="G991" s="19" t="s">
        <v>896</v>
      </c>
      <c r="H991" s="24">
        <v>28</v>
      </c>
      <c r="I991" s="24">
        <v>56.9</v>
      </c>
      <c r="J991" s="24">
        <f>MAX(H991,ROUNDUP(I991,0))</f>
        <v>57</v>
      </c>
      <c r="K991" s="22">
        <f>IF(C991="covered",10.4,7.55)</f>
        <v>10.4</v>
      </c>
      <c r="L991" s="18" t="s">
        <v>5153</v>
      </c>
      <c r="M991" s="24">
        <v>57</v>
      </c>
      <c r="N991" s="22">
        <v>10.4</v>
      </c>
      <c r="O991" s="22">
        <v>592.8</v>
      </c>
      <c r="P991" s="22">
        <f>J991*K991</f>
        <v>592.8000000000001</v>
      </c>
      <c r="Q991" s="22">
        <f>IF(L991="","",N991-K991)</f>
        <v>0.0</v>
      </c>
      <c r="R991" s="24">
        <f>IF(L991="","",M991-J991)</f>
        <v>0.0</v>
      </c>
      <c r="S991" s="22">
        <f>IF(L991="",-P991,O991-P991)</f>
        <v>-1.1368683772161603e-13</v>
      </c>
      <c r="T991" s="11" t="str">
        <f>IF(L991="","NO BILL IN SUPPLIED EXPORT",IF(ABS(Q991)&gt;0.001,"RATE EXCEPTION",IF(ABS(R991)&gt;0.001,"LENGTH EXCEPTION",IF(ABS(S991)&gt;0.01,"AMOUNT EXCEPTION","OK"))))</f>
        <v>OK</v>
      </c>
      <c r="U991" s="19" t="s">
        <v>5154</v>
      </c>
    </row>
    <row r="992" spans="1:21" ht="28" customHeight="1">
      <c r="A992" s="14" t="s">
        <v>5155</v>
      </c>
      <c r="B992" s="14" t="s">
        <v>192</v>
      </c>
      <c r="C992" s="14" t="s">
        <v>2515</v>
      </c>
      <c r="D992" s="14" t="s">
        <v>227</v>
      </c>
      <c r="E992" s="14" t="s">
        <v>5156</v>
      </c>
      <c r="F992" s="15" t="s">
        <v>5157</v>
      </c>
      <c r="G992" s="15" t="s">
        <v>3066</v>
      </c>
      <c r="H992" s="24">
        <v>24</v>
      </c>
      <c r="I992" s="24">
        <v>48.2</v>
      </c>
      <c r="J992" s="24">
        <f>MAX(H992,ROUNDUP(I992,0))</f>
        <v>49</v>
      </c>
      <c r="K992" s="22">
        <f>IF(C992="covered",10.4,7.55)</f>
        <v>10.4</v>
      </c>
      <c r="L992" s="14" t="s">
        <v>5158</v>
      </c>
      <c r="M992" s="24">
        <v>49</v>
      </c>
      <c r="N992" s="22">
        <v>10.4</v>
      </c>
      <c r="O992" s="22">
        <v>509.6</v>
      </c>
      <c r="P992" s="22">
        <f>J992*K992</f>
        <v>509.6</v>
      </c>
      <c r="Q992" s="22">
        <f>IF(L992="","",N992-K992)</f>
        <v>0.0</v>
      </c>
      <c r="R992" s="24">
        <f>IF(L992="","",M992-J992)</f>
        <v>0.0</v>
      </c>
      <c r="S992" s="22">
        <f>IF(L992="",-P992,O992-P992)</f>
        <v>0.0</v>
      </c>
      <c r="T992" s="11" t="str">
        <f>IF(L992="","NO BILL IN SUPPLIED EXPORT",IF(ABS(Q992)&gt;0.001,"RATE EXCEPTION",IF(ABS(R992)&gt;0.001,"LENGTH EXCEPTION",IF(ABS(S992)&gt;0.01,"AMOUNT EXCEPTION","OK"))))</f>
        <v>OK</v>
      </c>
      <c r="U992" s="15" t="s">
        <v>5159</v>
      </c>
    </row>
    <row r="993" spans="1:21" ht="28" customHeight="1">
      <c r="A993" s="18" t="s">
        <v>5160</v>
      </c>
      <c r="B993" s="18" t="s">
        <v>192</v>
      </c>
      <c r="C993" s="18" t="s">
        <v>2515</v>
      </c>
      <c r="D993" s="18" t="s">
        <v>227</v>
      </c>
      <c r="E993" s="18" t="s">
        <v>5161</v>
      </c>
      <c r="F993" s="19" t="s">
        <v>5162</v>
      </c>
      <c r="G993" s="19" t="s">
        <v>3092</v>
      </c>
      <c r="H993" s="24">
        <v>28</v>
      </c>
      <c r="I993" s="24">
        <v>36</v>
      </c>
      <c r="J993" s="24">
        <f>MAX(H993,ROUNDUP(I993,0))</f>
        <v>36</v>
      </c>
      <c r="K993" s="22">
        <f>IF(C993="covered",10.4,7.55)</f>
        <v>10.4</v>
      </c>
      <c r="L993" s="18" t="s">
        <v>5163</v>
      </c>
      <c r="M993" s="24">
        <v>36</v>
      </c>
      <c r="N993" s="22">
        <v>10.4</v>
      </c>
      <c r="O993" s="22">
        <v>374.4</v>
      </c>
      <c r="P993" s="22">
        <f>J993*K993</f>
        <v>374.40000000000003</v>
      </c>
      <c r="Q993" s="22">
        <f>IF(L993="","",N993-K993)</f>
        <v>0.0</v>
      </c>
      <c r="R993" s="24">
        <f>IF(L993="","",M993-J993)</f>
        <v>0.0</v>
      </c>
      <c r="S993" s="22">
        <f>IF(L993="",-P993,O993-P993)</f>
        <v>-5.684341886080802e-14</v>
      </c>
      <c r="T993" s="11" t="str">
        <f>IF(L993="","NO BILL IN SUPPLIED EXPORT",IF(ABS(Q993)&gt;0.001,"RATE EXCEPTION",IF(ABS(R993)&gt;0.001,"LENGTH EXCEPTION",IF(ABS(S993)&gt;0.01,"AMOUNT EXCEPTION","OK"))))</f>
        <v>OK</v>
      </c>
      <c r="U993" s="19" t="s">
        <v>5164</v>
      </c>
    </row>
    <row r="994" spans="1:21" ht="28" customHeight="1">
      <c r="A994" s="14" t="s">
        <v>5165</v>
      </c>
      <c r="B994" s="14" t="s">
        <v>192</v>
      </c>
      <c r="C994" s="14" t="s">
        <v>2515</v>
      </c>
      <c r="D994" s="14" t="s">
        <v>227</v>
      </c>
      <c r="E994" s="14" t="s">
        <v>5166</v>
      </c>
      <c r="F994" s="15" t="s">
        <v>5167</v>
      </c>
      <c r="G994" s="15" t="s">
        <v>5168</v>
      </c>
      <c r="H994" s="24">
        <v>32</v>
      </c>
      <c r="I994" s="24">
        <v>33.2</v>
      </c>
      <c r="J994" s="24">
        <f>MAX(H994,ROUNDUP(I994,0))</f>
        <v>34</v>
      </c>
      <c r="K994" s="22">
        <f>IF(C994="covered",10.4,7.55)</f>
        <v>10.4</v>
      </c>
      <c r="L994" s="14" t="s">
        <v>5169</v>
      </c>
      <c r="M994" s="24">
        <v>34</v>
      </c>
      <c r="N994" s="22">
        <v>10.4</v>
      </c>
      <c r="O994" s="22">
        <v>353.6</v>
      </c>
      <c r="P994" s="22">
        <f>J994*K994</f>
        <v>353.6</v>
      </c>
      <c r="Q994" s="22">
        <f>IF(L994="","",N994-K994)</f>
        <v>0.0</v>
      </c>
      <c r="R994" s="24">
        <f>IF(L994="","",M994-J994)</f>
        <v>0.0</v>
      </c>
      <c r="S994" s="22">
        <f>IF(L994="",-P994,O994-P994)</f>
        <v>0.0</v>
      </c>
      <c r="T994" s="11" t="str">
        <f>IF(L994="","NO BILL IN SUPPLIED EXPORT",IF(ABS(Q994)&gt;0.001,"RATE EXCEPTION",IF(ABS(R994)&gt;0.001,"LENGTH EXCEPTION",IF(ABS(S994)&gt;0.01,"AMOUNT EXCEPTION","OK"))))</f>
        <v>OK</v>
      </c>
      <c r="U994" s="15" t="s">
        <v>5170</v>
      </c>
    </row>
    <row r="995" spans="1:21" ht="28" customHeight="1">
      <c r="A995" s="18" t="s">
        <v>5171</v>
      </c>
      <c r="B995" s="18" t="s">
        <v>192</v>
      </c>
      <c r="C995" s="18" t="s">
        <v>2515</v>
      </c>
      <c r="D995" s="18" t="s">
        <v>227</v>
      </c>
      <c r="E995" s="18" t="s">
        <v>5172</v>
      </c>
      <c r="F995" s="19" t="s">
        <v>5173</v>
      </c>
      <c r="G995" s="19" t="s">
        <v>3958</v>
      </c>
      <c r="H995" s="24">
        <v>32</v>
      </c>
      <c r="I995" s="24">
        <v>42.5</v>
      </c>
      <c r="J995" s="24">
        <f>MAX(H995,ROUNDUP(I995,0))</f>
        <v>43</v>
      </c>
      <c r="K995" s="22">
        <f>IF(C995="covered",10.4,7.55)</f>
        <v>10.4</v>
      </c>
      <c r="L995" s="18" t="s">
        <v>5174</v>
      </c>
      <c r="M995" s="24">
        <v>43</v>
      </c>
      <c r="N995" s="22">
        <v>10.4</v>
      </c>
      <c r="O995" s="22">
        <v>447.2</v>
      </c>
      <c r="P995" s="22">
        <f>J995*K995</f>
        <v>447.2</v>
      </c>
      <c r="Q995" s="22">
        <f>IF(L995="","",N995-K995)</f>
        <v>0.0</v>
      </c>
      <c r="R995" s="24">
        <f>IF(L995="","",M995-J995)</f>
        <v>0.0</v>
      </c>
      <c r="S995" s="22">
        <f>IF(L995="",-P995,O995-P995)</f>
        <v>0.0</v>
      </c>
      <c r="T995" s="11" t="str">
        <f>IF(L995="","NO BILL IN SUPPLIED EXPORT",IF(ABS(Q995)&gt;0.001,"RATE EXCEPTION",IF(ABS(R995)&gt;0.001,"LENGTH EXCEPTION",IF(ABS(S995)&gt;0.01,"AMOUNT EXCEPTION","OK"))))</f>
        <v>OK</v>
      </c>
      <c r="U995" s="19" t="s">
        <v>5175</v>
      </c>
    </row>
    <row r="996" spans="1:21" ht="28" customHeight="1">
      <c r="A996" s="14" t="s">
        <v>5176</v>
      </c>
      <c r="B996" s="14" t="s">
        <v>192</v>
      </c>
      <c r="C996" s="14" t="s">
        <v>2515</v>
      </c>
      <c r="D996" s="14" t="s">
        <v>227</v>
      </c>
      <c r="E996" s="14" t="s">
        <v>5177</v>
      </c>
      <c r="F996" s="15" t="s">
        <v>5178</v>
      </c>
      <c r="G996" s="15" t="s">
        <v>3416</v>
      </c>
      <c r="H996" s="24">
        <v>32</v>
      </c>
      <c r="I996" s="24">
        <v>38.7</v>
      </c>
      <c r="J996" s="24">
        <f>MAX(H996,ROUNDUP(I996,0))</f>
        <v>39</v>
      </c>
      <c r="K996" s="22">
        <f>IF(C996="covered",10.4,7.55)</f>
        <v>10.4</v>
      </c>
      <c r="L996" s="14" t="s">
        <v>5179</v>
      </c>
      <c r="M996" s="24">
        <v>39</v>
      </c>
      <c r="N996" s="22">
        <v>10.4</v>
      </c>
      <c r="O996" s="22">
        <v>405.6</v>
      </c>
      <c r="P996" s="22">
        <f>J996*K996</f>
        <v>405.6</v>
      </c>
      <c r="Q996" s="22">
        <f>IF(L996="","",N996-K996)</f>
        <v>0.0</v>
      </c>
      <c r="R996" s="24">
        <f>IF(L996="","",M996-J996)</f>
        <v>0.0</v>
      </c>
      <c r="S996" s="22">
        <f>IF(L996="",-P996,O996-P996)</f>
        <v>0.0</v>
      </c>
      <c r="T996" s="11" t="str">
        <f>IF(L996="","NO BILL IN SUPPLIED EXPORT",IF(ABS(Q996)&gt;0.001,"RATE EXCEPTION",IF(ABS(R996)&gt;0.001,"LENGTH EXCEPTION",IF(ABS(S996)&gt;0.01,"AMOUNT EXCEPTION","OK"))))</f>
        <v>OK</v>
      </c>
      <c r="U996" s="15" t="s">
        <v>5180</v>
      </c>
    </row>
    <row r="997" spans="1:21" ht="28" customHeight="1">
      <c r="A997" s="18" t="s">
        <v>5181</v>
      </c>
      <c r="B997" s="18" t="s">
        <v>192</v>
      </c>
      <c r="C997" s="18" t="s">
        <v>2515</v>
      </c>
      <c r="D997" s="18" t="s">
        <v>227</v>
      </c>
      <c r="E997" s="18" t="s">
        <v>5182</v>
      </c>
      <c r="F997" s="19" t="s">
        <v>5183</v>
      </c>
      <c r="G997" s="19" t="s">
        <v>230</v>
      </c>
      <c r="H997" s="24">
        <v>28</v>
      </c>
      <c r="I997" s="24">
        <v>22.5</v>
      </c>
      <c r="J997" s="24">
        <f>MAX(H997,ROUNDUP(I997,0))</f>
        <v>28.0</v>
      </c>
      <c r="K997" s="22">
        <f>IF(C997="covered",10.4,7.55)</f>
        <v>10.4</v>
      </c>
      <c r="L997" s="18" t="s">
        <v>5184</v>
      </c>
      <c r="M997" s="24">
        <v>28</v>
      </c>
      <c r="N997" s="22">
        <v>10.4</v>
      </c>
      <c r="O997" s="22">
        <v>291.2</v>
      </c>
      <c r="P997" s="22">
        <f>J997*K997</f>
        <v>291.2</v>
      </c>
      <c r="Q997" s="22">
        <f>IF(L997="","",N997-K997)</f>
        <v>0.0</v>
      </c>
      <c r="R997" s="24">
        <f>IF(L997="","",M997-J997)</f>
        <v>0.0</v>
      </c>
      <c r="S997" s="22">
        <f>IF(L997="",-P997,O997-P997)</f>
        <v>0.0</v>
      </c>
      <c r="T997" s="11" t="str">
        <f>IF(L997="","NO BILL IN SUPPLIED EXPORT",IF(ABS(Q997)&gt;0.001,"RATE EXCEPTION",IF(ABS(R997)&gt;0.001,"LENGTH EXCEPTION",IF(ABS(S997)&gt;0.01,"AMOUNT EXCEPTION","OK"))))</f>
        <v>OK</v>
      </c>
      <c r="U997" s="19" t="s">
        <v>5185</v>
      </c>
    </row>
    <row r="998" spans="1:21" ht="28" customHeight="1">
      <c r="A998" s="14" t="s">
        <v>5186</v>
      </c>
      <c r="B998" s="14" t="s">
        <v>192</v>
      </c>
      <c r="C998" s="14" t="s">
        <v>2515</v>
      </c>
      <c r="D998" s="14" t="s">
        <v>227</v>
      </c>
      <c r="E998" s="14" t="s">
        <v>5187</v>
      </c>
      <c r="F998" s="15" t="s">
        <v>5188</v>
      </c>
      <c r="G998" s="15" t="s">
        <v>5189</v>
      </c>
      <c r="H998" s="24">
        <v>24</v>
      </c>
      <c r="I998" s="24">
        <v>45.6</v>
      </c>
      <c r="J998" s="24">
        <f>MAX(H998,ROUNDUP(I998,0))</f>
        <v>46</v>
      </c>
      <c r="K998" s="22">
        <f>IF(C998="covered",10.4,7.55)</f>
        <v>10.4</v>
      </c>
      <c r="L998" s="14" t="s">
        <v>5190</v>
      </c>
      <c r="M998" s="24">
        <v>46</v>
      </c>
      <c r="N998" s="22">
        <v>10.4</v>
      </c>
      <c r="O998" s="22">
        <v>478.4</v>
      </c>
      <c r="P998" s="22">
        <f>J998*K998</f>
        <v>478.40000000000003</v>
      </c>
      <c r="Q998" s="22">
        <f>IF(L998="","",N998-K998)</f>
        <v>0.0</v>
      </c>
      <c r="R998" s="24">
        <f>IF(L998="","",M998-J998)</f>
        <v>0.0</v>
      </c>
      <c r="S998" s="22">
        <f>IF(L998="",-P998,O998-P998)</f>
        <v>-5.684341886080802e-14</v>
      </c>
      <c r="T998" s="11" t="str">
        <f>IF(L998="","NO BILL IN SUPPLIED EXPORT",IF(ABS(Q998)&gt;0.001,"RATE EXCEPTION",IF(ABS(R998)&gt;0.001,"LENGTH EXCEPTION",IF(ABS(S998)&gt;0.01,"AMOUNT EXCEPTION","OK"))))</f>
        <v>OK</v>
      </c>
      <c r="U998" s="15" t="s">
        <v>5191</v>
      </c>
    </row>
    <row r="999" spans="1:21" ht="28" customHeight="1">
      <c r="A999" s="18" t="s">
        <v>5192</v>
      </c>
      <c r="B999" s="18" t="s">
        <v>192</v>
      </c>
      <c r="C999" s="18" t="s">
        <v>2515</v>
      </c>
      <c r="D999" s="18" t="s">
        <v>227</v>
      </c>
      <c r="E999" s="18" t="s">
        <v>5193</v>
      </c>
      <c r="F999" s="19" t="s">
        <v>5194</v>
      </c>
      <c r="G999" s="19" t="s">
        <v>902</v>
      </c>
      <c r="H999" s="24">
        <v>24</v>
      </c>
      <c r="I999" s="24">
        <v>39.8</v>
      </c>
      <c r="J999" s="24">
        <f>MAX(H999,ROUNDUP(I999,0))</f>
        <v>40</v>
      </c>
      <c r="K999" s="22">
        <f>IF(C999="covered",10.4,7.55)</f>
        <v>10.4</v>
      </c>
      <c r="L999" s="18" t="s">
        <v>5195</v>
      </c>
      <c r="M999" s="24">
        <v>40</v>
      </c>
      <c r="N999" s="22">
        <v>10.4</v>
      </c>
      <c r="O999" s="22">
        <v>416</v>
      </c>
      <c r="P999" s="22">
        <f>J999*K999</f>
        <v>416.0</v>
      </c>
      <c r="Q999" s="22">
        <f>IF(L999="","",N999-K999)</f>
        <v>0.0</v>
      </c>
      <c r="R999" s="24">
        <f>IF(L999="","",M999-J999)</f>
        <v>0.0</v>
      </c>
      <c r="S999" s="22">
        <f>IF(L999="",-P999,O999-P999)</f>
        <v>0.0</v>
      </c>
      <c r="T999" s="11" t="str">
        <f>IF(L999="","NO BILL IN SUPPLIED EXPORT",IF(ABS(Q999)&gt;0.001,"RATE EXCEPTION",IF(ABS(R999)&gt;0.001,"LENGTH EXCEPTION",IF(ABS(S999)&gt;0.01,"AMOUNT EXCEPTION","OK"))))</f>
        <v>OK</v>
      </c>
      <c r="U999" s="19" t="s">
        <v>5196</v>
      </c>
    </row>
    <row r="1000" spans="1:21" ht="28" customHeight="1">
      <c r="A1000" s="14" t="s">
        <v>5197</v>
      </c>
      <c r="B1000" s="14" t="s">
        <v>192</v>
      </c>
      <c r="C1000" s="14" t="s">
        <v>2515</v>
      </c>
      <c r="D1000" s="14" t="s">
        <v>227</v>
      </c>
      <c r="E1000" s="14" t="s">
        <v>5198</v>
      </c>
      <c r="F1000" s="15" t="s">
        <v>5199</v>
      </c>
      <c r="G1000" s="15" t="s">
        <v>3929</v>
      </c>
      <c r="H1000" s="24">
        <v>28</v>
      </c>
      <c r="I1000" s="24">
        <v>27.8</v>
      </c>
      <c r="J1000" s="24">
        <f>MAX(H1000,ROUNDUP(I1000,0))</f>
        <v>28.0</v>
      </c>
      <c r="K1000" s="22">
        <f>IF(C1000="covered",10.4,7.55)</f>
        <v>10.4</v>
      </c>
      <c r="L1000" s="14" t="s">
        <v>5200</v>
      </c>
      <c r="M1000" s="24">
        <v>28</v>
      </c>
      <c r="N1000" s="22">
        <v>10.4</v>
      </c>
      <c r="O1000" s="22">
        <v>291.2</v>
      </c>
      <c r="P1000" s="22">
        <f>J1000*K1000</f>
        <v>291.2</v>
      </c>
      <c r="Q1000" s="22">
        <f>IF(L1000="","",N1000-K1000)</f>
        <v>0.0</v>
      </c>
      <c r="R1000" s="24">
        <f>IF(L1000="","",M1000-J1000)</f>
        <v>0.0</v>
      </c>
      <c r="S1000" s="22">
        <f>IF(L1000="",-P1000,O1000-P1000)</f>
        <v>0.0</v>
      </c>
      <c r="T1000" s="11" t="str">
        <f>IF(L1000="","NO BILL IN SUPPLIED EXPORT",IF(ABS(Q1000)&gt;0.001,"RATE EXCEPTION",IF(ABS(R1000)&gt;0.001,"LENGTH EXCEPTION",IF(ABS(S1000)&gt;0.01,"AMOUNT EXCEPTION","OK"))))</f>
        <v>OK</v>
      </c>
      <c r="U1000" s="15" t="s">
        <v>5201</v>
      </c>
    </row>
    <row r="1001" spans="1:21" ht="28" customHeight="1">
      <c r="A1001" s="18" t="s">
        <v>5202</v>
      </c>
      <c r="B1001" s="18" t="s">
        <v>192</v>
      </c>
      <c r="C1001" s="18" t="s">
        <v>2515</v>
      </c>
      <c r="D1001" s="18" t="s">
        <v>227</v>
      </c>
      <c r="E1001" s="18" t="s">
        <v>5203</v>
      </c>
      <c r="F1001" s="19" t="s">
        <v>5204</v>
      </c>
      <c r="G1001" s="19" t="s">
        <v>2026</v>
      </c>
      <c r="H1001" s="24">
        <v>28</v>
      </c>
      <c r="I1001" s="24">
        <v>19.5</v>
      </c>
      <c r="J1001" s="24">
        <f>MAX(H1001,ROUNDUP(I1001,0))</f>
        <v>28.0</v>
      </c>
      <c r="K1001" s="22">
        <f>IF(C1001="covered",10.4,7.55)</f>
        <v>10.4</v>
      </c>
      <c r="L1001" s="18" t="s">
        <v>5205</v>
      </c>
      <c r="M1001" s="24">
        <v>28</v>
      </c>
      <c r="N1001" s="22">
        <v>10.4</v>
      </c>
      <c r="O1001" s="22">
        <v>291.2</v>
      </c>
      <c r="P1001" s="22">
        <f>J1001*K1001</f>
        <v>291.2</v>
      </c>
      <c r="Q1001" s="22">
        <f>IF(L1001="","",N1001-K1001)</f>
        <v>0.0</v>
      </c>
      <c r="R1001" s="24">
        <f>IF(L1001="","",M1001-J1001)</f>
        <v>0.0</v>
      </c>
      <c r="S1001" s="22">
        <f>IF(L1001="",-P1001,O1001-P1001)</f>
        <v>0.0</v>
      </c>
      <c r="T1001" s="11" t="str">
        <f>IF(L1001="","NO BILL IN SUPPLIED EXPORT",IF(ABS(Q1001)&gt;0.001,"RATE EXCEPTION",IF(ABS(R1001)&gt;0.001,"LENGTH EXCEPTION",IF(ABS(S1001)&gt;0.01,"AMOUNT EXCEPTION","OK"))))</f>
        <v>OK</v>
      </c>
      <c r="U1001" s="19" t="s">
        <v>5206</v>
      </c>
    </row>
    <row r="1002" spans="1:21" ht="28" customHeight="1">
      <c r="A1002" s="14" t="s">
        <v>5207</v>
      </c>
      <c r="B1002" s="14" t="s">
        <v>192</v>
      </c>
      <c r="C1002" s="14" t="s">
        <v>2515</v>
      </c>
      <c r="D1002" s="14" t="s">
        <v>227</v>
      </c>
      <c r="E1002" s="14" t="s">
        <v>5208</v>
      </c>
      <c r="F1002" s="15" t="s">
        <v>5209</v>
      </c>
      <c r="G1002" s="15" t="s">
        <v>5210</v>
      </c>
      <c r="H1002" s="24">
        <v>24</v>
      </c>
      <c r="I1002" s="24">
        <v>35.2</v>
      </c>
      <c r="J1002" s="24">
        <f>MAX(H1002,ROUNDUP(I1002,0))</f>
        <v>36</v>
      </c>
      <c r="K1002" s="22">
        <f>IF(C1002="covered",10.4,7.55)</f>
        <v>10.4</v>
      </c>
      <c r="L1002" s="14" t="s">
        <v>5211</v>
      </c>
      <c r="M1002" s="24">
        <v>36</v>
      </c>
      <c r="N1002" s="22">
        <v>10.4</v>
      </c>
      <c r="O1002" s="22">
        <v>374.4</v>
      </c>
      <c r="P1002" s="22">
        <f>J1002*K1002</f>
        <v>374.40000000000003</v>
      </c>
      <c r="Q1002" s="22">
        <f>IF(L1002="","",N1002-K1002)</f>
        <v>0.0</v>
      </c>
      <c r="R1002" s="24">
        <f>IF(L1002="","",M1002-J1002)</f>
        <v>0.0</v>
      </c>
      <c r="S1002" s="22">
        <f>IF(L1002="",-P1002,O1002-P1002)</f>
        <v>-5.684341886080802e-14</v>
      </c>
      <c r="T1002" s="11" t="str">
        <f>IF(L1002="","NO BILL IN SUPPLIED EXPORT",IF(ABS(Q1002)&gt;0.001,"RATE EXCEPTION",IF(ABS(R1002)&gt;0.001,"LENGTH EXCEPTION",IF(ABS(S1002)&gt;0.01,"AMOUNT EXCEPTION","OK"))))</f>
        <v>OK</v>
      </c>
      <c r="U1002" s="15" t="s">
        <v>5212</v>
      </c>
    </row>
    <row r="1003" spans="1:21" ht="28" customHeight="1">
      <c r="A1003" s="18" t="s">
        <v>5213</v>
      </c>
      <c r="B1003" s="18" t="s">
        <v>192</v>
      </c>
      <c r="C1003" s="18" t="s">
        <v>2515</v>
      </c>
      <c r="D1003" s="18" t="s">
        <v>227</v>
      </c>
      <c r="E1003" s="18" t="s">
        <v>5214</v>
      </c>
      <c r="F1003" s="19" t="s">
        <v>5215</v>
      </c>
      <c r="G1003" s="19" t="s">
        <v>1547</v>
      </c>
      <c r="H1003" s="24">
        <v>28</v>
      </c>
      <c r="I1003" s="24">
        <v>44.8</v>
      </c>
      <c r="J1003" s="24">
        <f>MAX(H1003,ROUNDUP(I1003,0))</f>
        <v>45</v>
      </c>
      <c r="K1003" s="22">
        <f>IF(C1003="covered",10.4,7.55)</f>
        <v>10.4</v>
      </c>
      <c r="L1003" s="18" t="s">
        <v>5216</v>
      </c>
      <c r="M1003" s="24">
        <v>45</v>
      </c>
      <c r="N1003" s="22">
        <v>10.4</v>
      </c>
      <c r="O1003" s="22">
        <v>468</v>
      </c>
      <c r="P1003" s="22">
        <f>J1003*K1003</f>
        <v>468.0</v>
      </c>
      <c r="Q1003" s="22">
        <f>IF(L1003="","",N1003-K1003)</f>
        <v>0.0</v>
      </c>
      <c r="R1003" s="24">
        <f>IF(L1003="","",M1003-J1003)</f>
        <v>0.0</v>
      </c>
      <c r="S1003" s="22">
        <f>IF(L1003="",-P1003,O1003-P1003)</f>
        <v>0.0</v>
      </c>
      <c r="T1003" s="11" t="str">
        <f>IF(L1003="","NO BILL IN SUPPLIED EXPORT",IF(ABS(Q1003)&gt;0.001,"RATE EXCEPTION",IF(ABS(R1003)&gt;0.001,"LENGTH EXCEPTION",IF(ABS(S1003)&gt;0.01,"AMOUNT EXCEPTION","OK"))))</f>
        <v>OK</v>
      </c>
      <c r="U1003" s="19" t="s">
        <v>5217</v>
      </c>
    </row>
    <row r="1004" spans="1:21" ht="28" customHeight="1">
      <c r="A1004" s="14" t="s">
        <v>5218</v>
      </c>
      <c r="B1004" s="14" t="s">
        <v>192</v>
      </c>
      <c r="C1004" s="14" t="s">
        <v>2515</v>
      </c>
      <c r="D1004" s="14" t="s">
        <v>227</v>
      </c>
      <c r="E1004" s="14" t="s">
        <v>5219</v>
      </c>
      <c r="F1004" s="15" t="s">
        <v>5220</v>
      </c>
      <c r="G1004" s="15" t="s">
        <v>3738</v>
      </c>
      <c r="H1004" s="24">
        <v>36</v>
      </c>
      <c r="I1004" s="24">
        <v>29.2</v>
      </c>
      <c r="J1004" s="24">
        <f>MAX(H1004,ROUNDUP(I1004,0))</f>
        <v>36.0</v>
      </c>
      <c r="K1004" s="22">
        <f>IF(C1004="covered",10.4,7.55)</f>
        <v>10.4</v>
      </c>
      <c r="L1004" s="14" t="s">
        <v>5221</v>
      </c>
      <c r="M1004" s="24">
        <v>36</v>
      </c>
      <c r="N1004" s="22">
        <v>10.4</v>
      </c>
      <c r="O1004" s="22">
        <v>374.4</v>
      </c>
      <c r="P1004" s="22">
        <f>J1004*K1004</f>
        <v>374.40000000000003</v>
      </c>
      <c r="Q1004" s="22">
        <f>IF(L1004="","",N1004-K1004)</f>
        <v>0.0</v>
      </c>
      <c r="R1004" s="24">
        <f>IF(L1004="","",M1004-J1004)</f>
        <v>0.0</v>
      </c>
      <c r="S1004" s="22">
        <f>IF(L1004="",-P1004,O1004-P1004)</f>
        <v>-5.684341886080802e-14</v>
      </c>
      <c r="T1004" s="11" t="str">
        <f>IF(L1004="","NO BILL IN SUPPLIED EXPORT",IF(ABS(Q1004)&gt;0.001,"RATE EXCEPTION",IF(ABS(R1004)&gt;0.001,"LENGTH EXCEPTION",IF(ABS(S1004)&gt;0.01,"AMOUNT EXCEPTION","OK"))))</f>
        <v>OK</v>
      </c>
      <c r="U1004" s="15" t="s">
        <v>5222</v>
      </c>
    </row>
    <row r="1005" spans="1:21" ht="28" customHeight="1">
      <c r="A1005" s="18" t="s">
        <v>5223</v>
      </c>
      <c r="B1005" s="18" t="s">
        <v>192</v>
      </c>
      <c r="C1005" s="18" t="s">
        <v>2515</v>
      </c>
      <c r="D1005" s="18" t="s">
        <v>227</v>
      </c>
      <c r="E1005" s="18" t="s">
        <v>5224</v>
      </c>
      <c r="F1005" s="19" t="s">
        <v>5225</v>
      </c>
      <c r="G1005" s="19" t="s">
        <v>3929</v>
      </c>
      <c r="H1005" s="24">
        <v>36</v>
      </c>
      <c r="I1005" s="24">
        <v>34.2</v>
      </c>
      <c r="J1005" s="24">
        <f>MAX(H1005,ROUNDUP(I1005,0))</f>
        <v>36.0</v>
      </c>
      <c r="K1005" s="22">
        <f>IF(C1005="covered",10.4,7.55)</f>
        <v>10.4</v>
      </c>
      <c r="L1005" s="18" t="s">
        <v>5226</v>
      </c>
      <c r="M1005" s="24">
        <v>36</v>
      </c>
      <c r="N1005" s="22">
        <v>10.4</v>
      </c>
      <c r="O1005" s="22">
        <v>374.4</v>
      </c>
      <c r="P1005" s="22">
        <f>J1005*K1005</f>
        <v>374.40000000000003</v>
      </c>
      <c r="Q1005" s="22">
        <f>IF(L1005="","",N1005-K1005)</f>
        <v>0.0</v>
      </c>
      <c r="R1005" s="24">
        <f>IF(L1005="","",M1005-J1005)</f>
        <v>0.0</v>
      </c>
      <c r="S1005" s="22">
        <f>IF(L1005="",-P1005,O1005-P1005)</f>
        <v>-5.684341886080802e-14</v>
      </c>
      <c r="T1005" s="11" t="str">
        <f>IF(L1005="","NO BILL IN SUPPLIED EXPORT",IF(ABS(Q1005)&gt;0.001,"RATE EXCEPTION",IF(ABS(R1005)&gt;0.001,"LENGTH EXCEPTION",IF(ABS(S1005)&gt;0.01,"AMOUNT EXCEPTION","OK"))))</f>
        <v>OK</v>
      </c>
      <c r="U1005" s="19" t="s">
        <v>5227</v>
      </c>
    </row>
    <row r="1006" spans="1:21" ht="28" customHeight="1">
      <c r="A1006" s="14" t="s">
        <v>5228</v>
      </c>
      <c r="B1006" s="14" t="s">
        <v>192</v>
      </c>
      <c r="C1006" s="14" t="s">
        <v>2515</v>
      </c>
      <c r="D1006" s="14" t="s">
        <v>227</v>
      </c>
      <c r="E1006" s="14" t="s">
        <v>5229</v>
      </c>
      <c r="F1006" s="15" t="s">
        <v>5230</v>
      </c>
      <c r="G1006" s="15" t="s">
        <v>2805</v>
      </c>
      <c r="H1006" s="24">
        <v>32</v>
      </c>
      <c r="I1006" s="24">
        <v>59.6</v>
      </c>
      <c r="J1006" s="24">
        <f>MAX(H1006,ROUNDUP(I1006,0))</f>
        <v>60</v>
      </c>
      <c r="K1006" s="22">
        <f>IF(C1006="covered",10.4,7.55)</f>
        <v>10.4</v>
      </c>
      <c r="L1006" s="14" t="s">
        <v>5231</v>
      </c>
      <c r="M1006" s="24">
        <v>60</v>
      </c>
      <c r="N1006" s="22">
        <v>10.4</v>
      </c>
      <c r="O1006" s="22">
        <v>624</v>
      </c>
      <c r="P1006" s="22">
        <f>J1006*K1006</f>
        <v>624.0</v>
      </c>
      <c r="Q1006" s="22">
        <f>IF(L1006="","",N1006-K1006)</f>
        <v>0.0</v>
      </c>
      <c r="R1006" s="24">
        <f>IF(L1006="","",M1006-J1006)</f>
        <v>0.0</v>
      </c>
      <c r="S1006" s="22">
        <f>IF(L1006="",-P1006,O1006-P1006)</f>
        <v>0.0</v>
      </c>
      <c r="T1006" s="11" t="str">
        <f>IF(L1006="","NO BILL IN SUPPLIED EXPORT",IF(ABS(Q1006)&gt;0.001,"RATE EXCEPTION",IF(ABS(R1006)&gt;0.001,"LENGTH EXCEPTION",IF(ABS(S1006)&gt;0.01,"AMOUNT EXCEPTION","OK"))))</f>
        <v>OK</v>
      </c>
      <c r="U1006" s="15" t="s">
        <v>5232</v>
      </c>
    </row>
    <row r="1007" spans="1:21" ht="28" customHeight="1">
      <c r="A1007" s="18" t="s">
        <v>5233</v>
      </c>
      <c r="B1007" s="18" t="s">
        <v>192</v>
      </c>
      <c r="C1007" s="18" t="s">
        <v>2515</v>
      </c>
      <c r="D1007" s="18" t="s">
        <v>227</v>
      </c>
      <c r="E1007" s="18" t="s">
        <v>5234</v>
      </c>
      <c r="F1007" s="19" t="s">
        <v>5235</v>
      </c>
      <c r="G1007" s="19" t="s">
        <v>5236</v>
      </c>
      <c r="H1007" s="24">
        <v>32</v>
      </c>
      <c r="I1007" s="24">
        <v>18.3</v>
      </c>
      <c r="J1007" s="24">
        <f>MAX(H1007,ROUNDUP(I1007,0))</f>
        <v>32.0</v>
      </c>
      <c r="K1007" s="22">
        <f>IF(C1007="covered",10.4,7.55)</f>
        <v>10.4</v>
      </c>
      <c r="L1007" s="18" t="s">
        <v>5237</v>
      </c>
      <c r="M1007" s="24">
        <v>32</v>
      </c>
      <c r="N1007" s="22">
        <v>10.4</v>
      </c>
      <c r="O1007" s="22">
        <v>332.8</v>
      </c>
      <c r="P1007" s="22">
        <f>J1007*K1007</f>
        <v>332.8</v>
      </c>
      <c r="Q1007" s="22">
        <f>IF(L1007="","",N1007-K1007)</f>
        <v>0.0</v>
      </c>
      <c r="R1007" s="24">
        <f>IF(L1007="","",M1007-J1007)</f>
        <v>0.0</v>
      </c>
      <c r="S1007" s="22">
        <f>IF(L1007="",-P1007,O1007-P1007)</f>
        <v>0.0</v>
      </c>
      <c r="T1007" s="11" t="str">
        <f>IF(L1007="","NO BILL IN SUPPLIED EXPORT",IF(ABS(Q1007)&gt;0.001,"RATE EXCEPTION",IF(ABS(R1007)&gt;0.001,"LENGTH EXCEPTION",IF(ABS(S1007)&gt;0.01,"AMOUNT EXCEPTION","OK"))))</f>
        <v>OK</v>
      </c>
      <c r="U1007" s="19" t="s">
        <v>5238</v>
      </c>
    </row>
    <row r="1008" spans="1:21" ht="28" customHeight="1">
      <c r="A1008" s="14" t="s">
        <v>5239</v>
      </c>
      <c r="B1008" s="14" t="s">
        <v>192</v>
      </c>
      <c r="C1008" s="14" t="s">
        <v>2515</v>
      </c>
      <c r="D1008" s="14" t="s">
        <v>227</v>
      </c>
      <c r="E1008" s="14" t="s">
        <v>5240</v>
      </c>
      <c r="F1008" s="15" t="s">
        <v>5241</v>
      </c>
      <c r="G1008" s="15" t="s">
        <v>4452</v>
      </c>
      <c r="H1008" s="24">
        <v>24</v>
      </c>
      <c r="I1008" s="24">
        <v>57</v>
      </c>
      <c r="J1008" s="24">
        <f>MAX(H1008,ROUNDUP(I1008,0))</f>
        <v>57</v>
      </c>
      <c r="K1008" s="22">
        <f>IF(C1008="covered",10.4,7.55)</f>
        <v>10.4</v>
      </c>
      <c r="L1008" s="14" t="s">
        <v>5242</v>
      </c>
      <c r="M1008" s="24">
        <v>57</v>
      </c>
      <c r="N1008" s="22">
        <v>10.4</v>
      </c>
      <c r="O1008" s="22">
        <v>592.8</v>
      </c>
      <c r="P1008" s="22">
        <f>J1008*K1008</f>
        <v>592.8000000000001</v>
      </c>
      <c r="Q1008" s="22">
        <f>IF(L1008="","",N1008-K1008)</f>
        <v>0.0</v>
      </c>
      <c r="R1008" s="24">
        <f>IF(L1008="","",M1008-J1008)</f>
        <v>0.0</v>
      </c>
      <c r="S1008" s="22">
        <f>IF(L1008="",-P1008,O1008-P1008)</f>
        <v>-1.1368683772161603e-13</v>
      </c>
      <c r="T1008" s="11" t="str">
        <f>IF(L1008="","NO BILL IN SUPPLIED EXPORT",IF(ABS(Q1008)&gt;0.001,"RATE EXCEPTION",IF(ABS(R1008)&gt;0.001,"LENGTH EXCEPTION",IF(ABS(S1008)&gt;0.01,"AMOUNT EXCEPTION","OK"))))</f>
        <v>OK</v>
      </c>
      <c r="U1008" s="15" t="s">
        <v>5243</v>
      </c>
    </row>
    <row r="1009" spans="1:21" ht="28" customHeight="1">
      <c r="A1009" s="18" t="s">
        <v>5244</v>
      </c>
      <c r="B1009" s="18" t="s">
        <v>192</v>
      </c>
      <c r="C1009" s="18" t="s">
        <v>2515</v>
      </c>
      <c r="D1009" s="18" t="s">
        <v>227</v>
      </c>
      <c r="E1009" s="18" t="s">
        <v>5245</v>
      </c>
      <c r="F1009" s="19" t="s">
        <v>5246</v>
      </c>
      <c r="G1009" s="19" t="s">
        <v>5247</v>
      </c>
      <c r="H1009" s="24">
        <v>24</v>
      </c>
      <c r="I1009" s="24">
        <v>54.3</v>
      </c>
      <c r="J1009" s="24">
        <f>MAX(H1009,ROUNDUP(I1009,0))</f>
        <v>55</v>
      </c>
      <c r="K1009" s="22">
        <f>IF(C1009="covered",10.4,7.55)</f>
        <v>10.4</v>
      </c>
      <c r="L1009" s="18" t="s">
        <v>5248</v>
      </c>
      <c r="M1009" s="24">
        <v>55</v>
      </c>
      <c r="N1009" s="22">
        <v>10.4</v>
      </c>
      <c r="O1009" s="22">
        <v>572</v>
      </c>
      <c r="P1009" s="22">
        <f>J1009*K1009</f>
        <v>572.0</v>
      </c>
      <c r="Q1009" s="22">
        <f>IF(L1009="","",N1009-K1009)</f>
        <v>0.0</v>
      </c>
      <c r="R1009" s="24">
        <f>IF(L1009="","",M1009-J1009)</f>
        <v>0.0</v>
      </c>
      <c r="S1009" s="22">
        <f>IF(L1009="",-P1009,O1009-P1009)</f>
        <v>0.0</v>
      </c>
      <c r="T1009" s="11" t="str">
        <f>IF(L1009="","NO BILL IN SUPPLIED EXPORT",IF(ABS(Q1009)&gt;0.001,"RATE EXCEPTION",IF(ABS(R1009)&gt;0.001,"LENGTH EXCEPTION",IF(ABS(S1009)&gt;0.01,"AMOUNT EXCEPTION","OK"))))</f>
        <v>OK</v>
      </c>
      <c r="U1009" s="19" t="s">
        <v>5249</v>
      </c>
    </row>
    <row r="1010" spans="1:21" ht="28" customHeight="1">
      <c r="A1010" s="14" t="s">
        <v>5250</v>
      </c>
      <c r="B1010" s="14" t="s">
        <v>192</v>
      </c>
      <c r="C1010" s="14" t="s">
        <v>2515</v>
      </c>
      <c r="D1010" s="14" t="s">
        <v>227</v>
      </c>
      <c r="E1010" s="14" t="s">
        <v>5251</v>
      </c>
      <c r="F1010" s="15" t="s">
        <v>5252</v>
      </c>
      <c r="G1010" s="15" t="s">
        <v>816</v>
      </c>
      <c r="H1010" s="24">
        <v>32</v>
      </c>
      <c r="I1010" s="24">
        <v>44.8</v>
      </c>
      <c r="J1010" s="24">
        <f>MAX(H1010,ROUNDUP(I1010,0))</f>
        <v>45</v>
      </c>
      <c r="K1010" s="22">
        <f>IF(C1010="covered",10.4,7.55)</f>
        <v>10.4</v>
      </c>
      <c r="L1010" s="14" t="s">
        <v>5253</v>
      </c>
      <c r="M1010" s="24">
        <v>45</v>
      </c>
      <c r="N1010" s="22">
        <v>10.4</v>
      </c>
      <c r="O1010" s="22">
        <v>468</v>
      </c>
      <c r="P1010" s="22">
        <f>J1010*K1010</f>
        <v>468.0</v>
      </c>
      <c r="Q1010" s="22">
        <f>IF(L1010="","",N1010-K1010)</f>
        <v>0.0</v>
      </c>
      <c r="R1010" s="24">
        <f>IF(L1010="","",M1010-J1010)</f>
        <v>0.0</v>
      </c>
      <c r="S1010" s="22">
        <f>IF(L1010="",-P1010,O1010-P1010)</f>
        <v>0.0</v>
      </c>
      <c r="T1010" s="11" t="str">
        <f>IF(L1010="","NO BILL IN SUPPLIED EXPORT",IF(ABS(Q1010)&gt;0.001,"RATE EXCEPTION",IF(ABS(R1010)&gt;0.001,"LENGTH EXCEPTION",IF(ABS(S1010)&gt;0.01,"AMOUNT EXCEPTION","OK"))))</f>
        <v>OK</v>
      </c>
      <c r="U1010" s="15" t="s">
        <v>5254</v>
      </c>
    </row>
    <row r="1011" spans="1:21" ht="28" customHeight="1">
      <c r="A1011" s="18" t="s">
        <v>5255</v>
      </c>
      <c r="B1011" s="18" t="s">
        <v>192</v>
      </c>
      <c r="C1011" s="18" t="s">
        <v>2515</v>
      </c>
      <c r="D1011" s="18" t="s">
        <v>227</v>
      </c>
      <c r="E1011" s="18" t="s">
        <v>5256</v>
      </c>
      <c r="F1011" s="19" t="s">
        <v>5257</v>
      </c>
      <c r="G1011" s="19" t="s">
        <v>2908</v>
      </c>
      <c r="H1011" s="24">
        <v>40</v>
      </c>
      <c r="I1011" s="24">
        <v>49.6</v>
      </c>
      <c r="J1011" s="24">
        <f>MAX(H1011,ROUNDUP(I1011,0))</f>
        <v>50</v>
      </c>
      <c r="K1011" s="22">
        <f>IF(C1011="covered",10.4,7.55)</f>
        <v>10.4</v>
      </c>
      <c r="L1011" s="18" t="s">
        <v>5258</v>
      </c>
      <c r="M1011" s="24">
        <v>50</v>
      </c>
      <c r="N1011" s="22">
        <v>10.4</v>
      </c>
      <c r="O1011" s="22">
        <v>520</v>
      </c>
      <c r="P1011" s="22">
        <f>J1011*K1011</f>
        <v>520.0</v>
      </c>
      <c r="Q1011" s="22">
        <f>IF(L1011="","",N1011-K1011)</f>
        <v>0.0</v>
      </c>
      <c r="R1011" s="24">
        <f>IF(L1011="","",M1011-J1011)</f>
        <v>0.0</v>
      </c>
      <c r="S1011" s="22">
        <f>IF(L1011="",-P1011,O1011-P1011)</f>
        <v>0.0</v>
      </c>
      <c r="T1011" s="11" t="str">
        <f>IF(L1011="","NO BILL IN SUPPLIED EXPORT",IF(ABS(Q1011)&gt;0.001,"RATE EXCEPTION",IF(ABS(R1011)&gt;0.001,"LENGTH EXCEPTION",IF(ABS(S1011)&gt;0.01,"AMOUNT EXCEPTION","OK"))))</f>
        <v>OK</v>
      </c>
      <c r="U1011" s="19" t="s">
        <v>5259</v>
      </c>
    </row>
    <row r="1012" spans="1:21" ht="28" customHeight="1">
      <c r="A1012" s="14" t="s">
        <v>5260</v>
      </c>
      <c r="B1012" s="14" t="s">
        <v>192</v>
      </c>
      <c r="C1012" s="14" t="s">
        <v>2515</v>
      </c>
      <c r="D1012" s="14" t="s">
        <v>227</v>
      </c>
      <c r="E1012" s="14" t="s">
        <v>5261</v>
      </c>
      <c r="F1012" s="15" t="s">
        <v>5262</v>
      </c>
      <c r="G1012" s="15" t="s">
        <v>4551</v>
      </c>
      <c r="H1012" s="24">
        <v>24</v>
      </c>
      <c r="I1012" s="24">
        <v>32.5</v>
      </c>
      <c r="J1012" s="24">
        <f>MAX(H1012,ROUNDUP(I1012,0))</f>
        <v>33</v>
      </c>
      <c r="K1012" s="22">
        <f>IF(C1012="covered",10.4,7.55)</f>
        <v>10.4</v>
      </c>
      <c r="L1012" s="14" t="s">
        <v>5263</v>
      </c>
      <c r="M1012" s="24">
        <v>33</v>
      </c>
      <c r="N1012" s="22">
        <v>10.4</v>
      </c>
      <c r="O1012" s="22">
        <v>343.2</v>
      </c>
      <c r="P1012" s="22">
        <f>J1012*K1012</f>
        <v>343.2</v>
      </c>
      <c r="Q1012" s="22">
        <f>IF(L1012="","",N1012-K1012)</f>
        <v>0.0</v>
      </c>
      <c r="R1012" s="24">
        <f>IF(L1012="","",M1012-J1012)</f>
        <v>0.0</v>
      </c>
      <c r="S1012" s="22">
        <f>IF(L1012="",-P1012,O1012-P1012)</f>
        <v>0.0</v>
      </c>
      <c r="T1012" s="11" t="str">
        <f>IF(L1012="","NO BILL IN SUPPLIED EXPORT",IF(ABS(Q1012)&gt;0.001,"RATE EXCEPTION",IF(ABS(R1012)&gt;0.001,"LENGTH EXCEPTION",IF(ABS(S1012)&gt;0.01,"AMOUNT EXCEPTION","OK"))))</f>
        <v>OK</v>
      </c>
      <c r="U1012" s="15" t="s">
        <v>5264</v>
      </c>
    </row>
    <row r="1013" spans="1:21" ht="28" customHeight="1">
      <c r="A1013" s="18" t="s">
        <v>5265</v>
      </c>
      <c r="B1013" s="18" t="s">
        <v>192</v>
      </c>
      <c r="C1013" s="18" t="s">
        <v>2515</v>
      </c>
      <c r="D1013" s="18" t="s">
        <v>227</v>
      </c>
      <c r="E1013" s="18" t="s">
        <v>5266</v>
      </c>
      <c r="F1013" s="19" t="s">
        <v>5267</v>
      </c>
      <c r="G1013" s="19" t="s">
        <v>370</v>
      </c>
      <c r="H1013" s="24">
        <v>40</v>
      </c>
      <c r="I1013" s="24">
        <v>48.2</v>
      </c>
      <c r="J1013" s="24">
        <f>MAX(H1013,ROUNDUP(I1013,0))</f>
        <v>49</v>
      </c>
      <c r="K1013" s="22">
        <f>IF(C1013="covered",10.4,7.55)</f>
        <v>10.4</v>
      </c>
      <c r="L1013" s="18" t="s">
        <v>5268</v>
      </c>
      <c r="M1013" s="24">
        <v>49</v>
      </c>
      <c r="N1013" s="22">
        <v>10.4</v>
      </c>
      <c r="O1013" s="22">
        <v>509.6</v>
      </c>
      <c r="P1013" s="22">
        <f>J1013*K1013</f>
        <v>509.6</v>
      </c>
      <c r="Q1013" s="22">
        <f>IF(L1013="","",N1013-K1013)</f>
        <v>0.0</v>
      </c>
      <c r="R1013" s="24">
        <f>IF(L1013="","",M1013-J1013)</f>
        <v>0.0</v>
      </c>
      <c r="S1013" s="22">
        <f>IF(L1013="",-P1013,O1013-P1013)</f>
        <v>0.0</v>
      </c>
      <c r="T1013" s="11" t="str">
        <f>IF(L1013="","NO BILL IN SUPPLIED EXPORT",IF(ABS(Q1013)&gt;0.001,"RATE EXCEPTION",IF(ABS(R1013)&gt;0.001,"LENGTH EXCEPTION",IF(ABS(S1013)&gt;0.01,"AMOUNT EXCEPTION","OK"))))</f>
        <v>OK</v>
      </c>
      <c r="U1013" s="19" t="s">
        <v>5269</v>
      </c>
    </row>
    <row r="1014" spans="1:21" ht="28" customHeight="1">
      <c r="A1014" s="14" t="s">
        <v>5270</v>
      </c>
      <c r="B1014" s="14" t="s">
        <v>192</v>
      </c>
      <c r="C1014" s="14" t="s">
        <v>2515</v>
      </c>
      <c r="D1014" s="14" t="s">
        <v>227</v>
      </c>
      <c r="E1014" s="14" t="s">
        <v>5271</v>
      </c>
      <c r="F1014" s="15" t="s">
        <v>5272</v>
      </c>
      <c r="G1014" s="15" t="s">
        <v>5273</v>
      </c>
      <c r="H1014" s="24">
        <v>24</v>
      </c>
      <c r="I1014" s="24">
        <v>59.7</v>
      </c>
      <c r="J1014" s="24">
        <f>MAX(H1014,ROUNDUP(I1014,0))</f>
        <v>60</v>
      </c>
      <c r="K1014" s="22">
        <f>IF(C1014="covered",10.4,7.55)</f>
        <v>10.4</v>
      </c>
      <c r="L1014" s="14" t="s">
        <v>5274</v>
      </c>
      <c r="M1014" s="24">
        <v>60</v>
      </c>
      <c r="N1014" s="22">
        <v>10.4</v>
      </c>
      <c r="O1014" s="22">
        <v>624</v>
      </c>
      <c r="P1014" s="22">
        <f>J1014*K1014</f>
        <v>624.0</v>
      </c>
      <c r="Q1014" s="22">
        <f>IF(L1014="","",N1014-K1014)</f>
        <v>0.0</v>
      </c>
      <c r="R1014" s="24">
        <f>IF(L1014="","",M1014-J1014)</f>
        <v>0.0</v>
      </c>
      <c r="S1014" s="22">
        <f>IF(L1014="",-P1014,O1014-P1014)</f>
        <v>0.0</v>
      </c>
      <c r="T1014" s="11" t="str">
        <f>IF(L1014="","NO BILL IN SUPPLIED EXPORT",IF(ABS(Q1014)&gt;0.001,"RATE EXCEPTION",IF(ABS(R1014)&gt;0.001,"LENGTH EXCEPTION",IF(ABS(S1014)&gt;0.01,"AMOUNT EXCEPTION","OK"))))</f>
        <v>OK</v>
      </c>
      <c r="U1014" s="15" t="s">
        <v>5275</v>
      </c>
    </row>
    <row r="1015" spans="1:21" ht="28" customHeight="1">
      <c r="A1015" s="18" t="s">
        <v>5276</v>
      </c>
      <c r="B1015" s="18" t="s">
        <v>192</v>
      </c>
      <c r="C1015" s="18" t="s">
        <v>2515</v>
      </c>
      <c r="D1015" s="18" t="s">
        <v>227</v>
      </c>
      <c r="E1015" s="18" t="s">
        <v>5277</v>
      </c>
      <c r="F1015" s="19" t="s">
        <v>5278</v>
      </c>
      <c r="G1015" s="19" t="s">
        <v>1880</v>
      </c>
      <c r="H1015" s="24">
        <v>24</v>
      </c>
      <c r="I1015" s="24">
        <v>61.4</v>
      </c>
      <c r="J1015" s="24">
        <f>MAX(H1015,ROUNDUP(I1015,0))</f>
        <v>62</v>
      </c>
      <c r="K1015" s="22">
        <f>IF(C1015="covered",10.4,7.55)</f>
        <v>10.4</v>
      </c>
      <c r="L1015" s="18" t="s">
        <v>5279</v>
      </c>
      <c r="M1015" s="24">
        <v>62</v>
      </c>
      <c r="N1015" s="22">
        <v>10.4</v>
      </c>
      <c r="O1015" s="22">
        <v>644.8</v>
      </c>
      <c r="P1015" s="22">
        <f>J1015*K1015</f>
        <v>644.8000000000001</v>
      </c>
      <c r="Q1015" s="22">
        <f>IF(L1015="","",N1015-K1015)</f>
        <v>0.0</v>
      </c>
      <c r="R1015" s="24">
        <f>IF(L1015="","",M1015-J1015)</f>
        <v>0.0</v>
      </c>
      <c r="S1015" s="22">
        <f>IF(L1015="",-P1015,O1015-P1015)</f>
        <v>-1.1368683772161603e-13</v>
      </c>
      <c r="T1015" s="11" t="str">
        <f>IF(L1015="","NO BILL IN SUPPLIED EXPORT",IF(ABS(Q1015)&gt;0.001,"RATE EXCEPTION",IF(ABS(R1015)&gt;0.001,"LENGTH EXCEPTION",IF(ABS(S1015)&gt;0.01,"AMOUNT EXCEPTION","OK"))))</f>
        <v>OK</v>
      </c>
      <c r="U1015" s="19" t="s">
        <v>5280</v>
      </c>
    </row>
    <row r="1016" spans="1:21" ht="28" customHeight="1">
      <c r="A1016" s="14" t="s">
        <v>5281</v>
      </c>
      <c r="B1016" s="14" t="s">
        <v>192</v>
      </c>
      <c r="C1016" s="14" t="s">
        <v>2515</v>
      </c>
      <c r="D1016" s="14" t="s">
        <v>227</v>
      </c>
      <c r="E1016" s="14" t="s">
        <v>5282</v>
      </c>
      <c r="F1016" s="15" t="s">
        <v>5283</v>
      </c>
      <c r="G1016" s="15" t="s">
        <v>1541</v>
      </c>
      <c r="H1016" s="24">
        <v>40</v>
      </c>
      <c r="I1016" s="24">
        <v>48</v>
      </c>
      <c r="J1016" s="24">
        <f>MAX(H1016,ROUNDUP(I1016,0))</f>
        <v>48</v>
      </c>
      <c r="K1016" s="22">
        <f>IF(C1016="covered",10.4,7.55)</f>
        <v>10.4</v>
      </c>
      <c r="L1016" s="14" t="s">
        <v>5284</v>
      </c>
      <c r="M1016" s="24">
        <v>48</v>
      </c>
      <c r="N1016" s="22">
        <v>10.4</v>
      </c>
      <c r="O1016" s="22">
        <v>499.2</v>
      </c>
      <c r="P1016" s="22">
        <f>J1016*K1016</f>
        <v>499.20000000000005</v>
      </c>
      <c r="Q1016" s="22">
        <f>IF(L1016="","",N1016-K1016)</f>
        <v>0.0</v>
      </c>
      <c r="R1016" s="24">
        <f>IF(L1016="","",M1016-J1016)</f>
        <v>0.0</v>
      </c>
      <c r="S1016" s="22">
        <f>IF(L1016="",-P1016,O1016-P1016)</f>
        <v>-5.684341886080802e-14</v>
      </c>
      <c r="T1016" s="11" t="str">
        <f>IF(L1016="","NO BILL IN SUPPLIED EXPORT",IF(ABS(Q1016)&gt;0.001,"RATE EXCEPTION",IF(ABS(R1016)&gt;0.001,"LENGTH EXCEPTION",IF(ABS(S1016)&gt;0.01,"AMOUNT EXCEPTION","OK"))))</f>
        <v>OK</v>
      </c>
      <c r="U1016" s="15" t="s">
        <v>5285</v>
      </c>
    </row>
    <row r="1017" spans="1:21" ht="28" customHeight="1">
      <c r="A1017" s="18" t="s">
        <v>5286</v>
      </c>
      <c r="B1017" s="18" t="s">
        <v>192</v>
      </c>
      <c r="C1017" s="18" t="s">
        <v>2515</v>
      </c>
      <c r="D1017" s="18" t="s">
        <v>227</v>
      </c>
      <c r="E1017" s="18" t="s">
        <v>5287</v>
      </c>
      <c r="F1017" s="19" t="s">
        <v>5288</v>
      </c>
      <c r="G1017" s="19" t="s">
        <v>3315</v>
      </c>
      <c r="H1017" s="24">
        <v>24</v>
      </c>
      <c r="I1017" s="24">
        <v>19.9</v>
      </c>
      <c r="J1017" s="24">
        <f>MAX(H1017,ROUNDUP(I1017,0))</f>
        <v>24.0</v>
      </c>
      <c r="K1017" s="22">
        <f>IF(C1017="covered",10.4,7.55)</f>
        <v>10.4</v>
      </c>
      <c r="L1017" s="18" t="s">
        <v>5289</v>
      </c>
      <c r="M1017" s="24">
        <v>24</v>
      </c>
      <c r="N1017" s="22">
        <v>10.4</v>
      </c>
      <c r="O1017" s="22">
        <v>249.6</v>
      </c>
      <c r="P1017" s="22">
        <f>J1017*K1017</f>
        <v>249.60000000000002</v>
      </c>
      <c r="Q1017" s="22">
        <f>IF(L1017="","",N1017-K1017)</f>
        <v>0.0</v>
      </c>
      <c r="R1017" s="24">
        <f>IF(L1017="","",M1017-J1017)</f>
        <v>0.0</v>
      </c>
      <c r="S1017" s="22">
        <f>IF(L1017="",-P1017,O1017-P1017)</f>
        <v>-2.842170943040401e-14</v>
      </c>
      <c r="T1017" s="11" t="str">
        <f>IF(L1017="","NO BILL IN SUPPLIED EXPORT",IF(ABS(Q1017)&gt;0.001,"RATE EXCEPTION",IF(ABS(R1017)&gt;0.001,"LENGTH EXCEPTION",IF(ABS(S1017)&gt;0.01,"AMOUNT EXCEPTION","OK"))))</f>
        <v>OK</v>
      </c>
      <c r="U1017" s="19" t="s">
        <v>5290</v>
      </c>
    </row>
    <row r="1018" spans="1:21" ht="28" customHeight="1">
      <c r="A1018" s="14" t="s">
        <v>5291</v>
      </c>
      <c r="B1018" s="14" t="s">
        <v>192</v>
      </c>
      <c r="C1018" s="14" t="s">
        <v>2515</v>
      </c>
      <c r="D1018" s="14" t="s">
        <v>227</v>
      </c>
      <c r="E1018" s="14" t="s">
        <v>5292</v>
      </c>
      <c r="F1018" s="15" t="s">
        <v>5293</v>
      </c>
      <c r="G1018" s="15" t="s">
        <v>5294</v>
      </c>
      <c r="H1018" s="24">
        <v>32</v>
      </c>
      <c r="I1018" s="24">
        <v>19.6</v>
      </c>
      <c r="J1018" s="24">
        <f>MAX(H1018,ROUNDUP(I1018,0))</f>
        <v>32.0</v>
      </c>
      <c r="K1018" s="22">
        <f>IF(C1018="covered",10.4,7.55)</f>
        <v>10.4</v>
      </c>
      <c r="L1018" s="14" t="s">
        <v>5295</v>
      </c>
      <c r="M1018" s="24">
        <v>32</v>
      </c>
      <c r="N1018" s="22">
        <v>10.4</v>
      </c>
      <c r="O1018" s="22">
        <v>332.8</v>
      </c>
      <c r="P1018" s="22">
        <f>J1018*K1018</f>
        <v>332.8</v>
      </c>
      <c r="Q1018" s="22">
        <f>IF(L1018="","",N1018-K1018)</f>
        <v>0.0</v>
      </c>
      <c r="R1018" s="24">
        <f>IF(L1018="","",M1018-J1018)</f>
        <v>0.0</v>
      </c>
      <c r="S1018" s="22">
        <f>IF(L1018="",-P1018,O1018-P1018)</f>
        <v>0.0</v>
      </c>
      <c r="T1018" s="11" t="str">
        <f>IF(L1018="","NO BILL IN SUPPLIED EXPORT",IF(ABS(Q1018)&gt;0.001,"RATE EXCEPTION",IF(ABS(R1018)&gt;0.001,"LENGTH EXCEPTION",IF(ABS(S1018)&gt;0.01,"AMOUNT EXCEPTION","OK"))))</f>
        <v>OK</v>
      </c>
      <c r="U1018" s="15" t="s">
        <v>5296</v>
      </c>
    </row>
    <row r="1019" spans="1:21" ht="28" customHeight="1">
      <c r="A1019" s="18" t="s">
        <v>5297</v>
      </c>
      <c r="B1019" s="18" t="s">
        <v>192</v>
      </c>
      <c r="C1019" s="18" t="s">
        <v>2515</v>
      </c>
      <c r="D1019" s="18" t="s">
        <v>227</v>
      </c>
      <c r="E1019" s="18" t="s">
        <v>5298</v>
      </c>
      <c r="F1019" s="19" t="s">
        <v>5299</v>
      </c>
      <c r="G1019" s="19" t="s">
        <v>3098</v>
      </c>
      <c r="H1019" s="24">
        <v>24</v>
      </c>
      <c r="I1019" s="24">
        <v>42.6</v>
      </c>
      <c r="J1019" s="24">
        <f>MAX(H1019,ROUNDUP(I1019,0))</f>
        <v>43</v>
      </c>
      <c r="K1019" s="22">
        <f>IF(C1019="covered",10.4,7.55)</f>
        <v>10.4</v>
      </c>
      <c r="L1019" s="18" t="s">
        <v>5300</v>
      </c>
      <c r="M1019" s="24">
        <v>43</v>
      </c>
      <c r="N1019" s="22">
        <v>10.4</v>
      </c>
      <c r="O1019" s="22">
        <v>447.2</v>
      </c>
      <c r="P1019" s="22">
        <f>J1019*K1019</f>
        <v>447.2</v>
      </c>
      <c r="Q1019" s="22">
        <f>IF(L1019="","",N1019-K1019)</f>
        <v>0.0</v>
      </c>
      <c r="R1019" s="24">
        <f>IF(L1019="","",M1019-J1019)</f>
        <v>0.0</v>
      </c>
      <c r="S1019" s="22">
        <f>IF(L1019="",-P1019,O1019-P1019)</f>
        <v>0.0</v>
      </c>
      <c r="T1019" s="11" t="str">
        <f>IF(L1019="","NO BILL IN SUPPLIED EXPORT",IF(ABS(Q1019)&gt;0.001,"RATE EXCEPTION",IF(ABS(R1019)&gt;0.001,"LENGTH EXCEPTION",IF(ABS(S1019)&gt;0.01,"AMOUNT EXCEPTION","OK"))))</f>
        <v>OK</v>
      </c>
      <c r="U1019" s="19" t="s">
        <v>5301</v>
      </c>
    </row>
    <row r="1020" spans="1:21" ht="28" customHeight="1">
      <c r="A1020" s="14" t="s">
        <v>5302</v>
      </c>
      <c r="B1020" s="14" t="s">
        <v>192</v>
      </c>
      <c r="C1020" s="14" t="s">
        <v>2515</v>
      </c>
      <c r="D1020" s="14" t="s">
        <v>227</v>
      </c>
      <c r="E1020" s="14" t="s">
        <v>5303</v>
      </c>
      <c r="F1020" s="15" t="s">
        <v>5304</v>
      </c>
      <c r="G1020" s="15" t="s">
        <v>1098</v>
      </c>
      <c r="H1020" s="24">
        <v>40</v>
      </c>
      <c r="I1020" s="24">
        <v>19.5</v>
      </c>
      <c r="J1020" s="24">
        <f>MAX(H1020,ROUNDUP(I1020,0))</f>
        <v>40.0</v>
      </c>
      <c r="K1020" s="22">
        <f>IF(C1020="covered",10.4,7.55)</f>
        <v>10.4</v>
      </c>
      <c r="L1020" s="14" t="s">
        <v>5305</v>
      </c>
      <c r="M1020" s="24">
        <v>40</v>
      </c>
      <c r="N1020" s="22">
        <v>10.4</v>
      </c>
      <c r="O1020" s="22">
        <v>416</v>
      </c>
      <c r="P1020" s="22">
        <f>J1020*K1020</f>
        <v>416.0</v>
      </c>
      <c r="Q1020" s="22">
        <f>IF(L1020="","",N1020-K1020)</f>
        <v>0.0</v>
      </c>
      <c r="R1020" s="24">
        <f>IF(L1020="","",M1020-J1020)</f>
        <v>0.0</v>
      </c>
      <c r="S1020" s="22">
        <f>IF(L1020="",-P1020,O1020-P1020)</f>
        <v>0.0</v>
      </c>
      <c r="T1020" s="11" t="str">
        <f>IF(L1020="","NO BILL IN SUPPLIED EXPORT",IF(ABS(Q1020)&gt;0.001,"RATE EXCEPTION",IF(ABS(R1020)&gt;0.001,"LENGTH EXCEPTION",IF(ABS(S1020)&gt;0.01,"AMOUNT EXCEPTION","OK"))))</f>
        <v>OK</v>
      </c>
      <c r="U1020" s="15" t="s">
        <v>5306</v>
      </c>
    </row>
    <row r="1021" spans="1:21" ht="28" customHeight="1">
      <c r="A1021" s="18" t="s">
        <v>5307</v>
      </c>
      <c r="B1021" s="18" t="s">
        <v>192</v>
      </c>
      <c r="C1021" s="18" t="s">
        <v>2515</v>
      </c>
      <c r="D1021" s="18" t="s">
        <v>227</v>
      </c>
      <c r="E1021" s="18" t="s">
        <v>5308</v>
      </c>
      <c r="F1021" s="19" t="s">
        <v>5309</v>
      </c>
      <c r="G1021" s="19" t="s">
        <v>5310</v>
      </c>
      <c r="H1021" s="24">
        <v>32</v>
      </c>
      <c r="I1021" s="24">
        <v>38</v>
      </c>
      <c r="J1021" s="24">
        <f>MAX(H1021,ROUNDUP(I1021,0))</f>
        <v>38</v>
      </c>
      <c r="K1021" s="22">
        <f>IF(C1021="covered",10.4,7.55)</f>
        <v>10.4</v>
      </c>
      <c r="L1021" s="18" t="s">
        <v>5311</v>
      </c>
      <c r="M1021" s="24">
        <v>38</v>
      </c>
      <c r="N1021" s="22">
        <v>10.4</v>
      </c>
      <c r="O1021" s="22">
        <v>395.2</v>
      </c>
      <c r="P1021" s="22">
        <f>J1021*K1021</f>
        <v>395.2</v>
      </c>
      <c r="Q1021" s="22">
        <f>IF(L1021="","",N1021-K1021)</f>
        <v>0.0</v>
      </c>
      <c r="R1021" s="24">
        <f>IF(L1021="","",M1021-J1021)</f>
        <v>0.0</v>
      </c>
      <c r="S1021" s="22">
        <f>IF(L1021="",-P1021,O1021-P1021)</f>
        <v>0.0</v>
      </c>
      <c r="T1021" s="11" t="str">
        <f>IF(L1021="","NO BILL IN SUPPLIED EXPORT",IF(ABS(Q1021)&gt;0.001,"RATE EXCEPTION",IF(ABS(R1021)&gt;0.001,"LENGTH EXCEPTION",IF(ABS(S1021)&gt;0.01,"AMOUNT EXCEPTION","OK"))))</f>
        <v>OK</v>
      </c>
      <c r="U1021" s="19" t="s">
        <v>5312</v>
      </c>
    </row>
    <row r="1022" spans="1:21" ht="28" customHeight="1">
      <c r="A1022" s="14" t="s">
        <v>5313</v>
      </c>
      <c r="B1022" s="14" t="s">
        <v>192</v>
      </c>
      <c r="C1022" s="14" t="s">
        <v>2515</v>
      </c>
      <c r="D1022" s="14" t="s">
        <v>227</v>
      </c>
      <c r="E1022" s="14" t="s">
        <v>5314</v>
      </c>
      <c r="F1022" s="15" t="s">
        <v>5315</v>
      </c>
      <c r="G1022" s="15" t="s">
        <v>1742</v>
      </c>
      <c r="H1022" s="24">
        <v>28</v>
      </c>
      <c r="I1022" s="24">
        <v>60.8</v>
      </c>
      <c r="J1022" s="24">
        <f>MAX(H1022,ROUNDUP(I1022,0))</f>
        <v>61</v>
      </c>
      <c r="K1022" s="22">
        <f>IF(C1022="covered",10.4,7.55)</f>
        <v>10.4</v>
      </c>
      <c r="L1022" s="14" t="s">
        <v>5316</v>
      </c>
      <c r="M1022" s="24">
        <v>61</v>
      </c>
      <c r="N1022" s="22">
        <v>10.4</v>
      </c>
      <c r="O1022" s="22">
        <v>634.4</v>
      </c>
      <c r="P1022" s="22">
        <f>J1022*K1022</f>
        <v>634.4</v>
      </c>
      <c r="Q1022" s="22">
        <f>IF(L1022="","",N1022-K1022)</f>
        <v>0.0</v>
      </c>
      <c r="R1022" s="24">
        <f>IF(L1022="","",M1022-J1022)</f>
        <v>0.0</v>
      </c>
      <c r="S1022" s="22">
        <f>IF(L1022="",-P1022,O1022-P1022)</f>
        <v>0.0</v>
      </c>
      <c r="T1022" s="11" t="str">
        <f>IF(L1022="","NO BILL IN SUPPLIED EXPORT",IF(ABS(Q1022)&gt;0.001,"RATE EXCEPTION",IF(ABS(R1022)&gt;0.001,"LENGTH EXCEPTION",IF(ABS(S1022)&gt;0.01,"AMOUNT EXCEPTION","OK"))))</f>
        <v>OK</v>
      </c>
      <c r="U1022" s="15" t="s">
        <v>5317</v>
      </c>
    </row>
    <row r="1023" spans="1:21" ht="28" customHeight="1">
      <c r="A1023" s="18" t="s">
        <v>5318</v>
      </c>
      <c r="B1023" s="18" t="s">
        <v>192</v>
      </c>
      <c r="C1023" s="18" t="s">
        <v>2515</v>
      </c>
      <c r="D1023" s="18" t="s">
        <v>227</v>
      </c>
      <c r="E1023" s="18" t="s">
        <v>5319</v>
      </c>
      <c r="F1023" s="19" t="s">
        <v>5320</v>
      </c>
      <c r="G1023" s="19" t="s">
        <v>5321</v>
      </c>
      <c r="H1023" s="24">
        <v>40</v>
      </c>
      <c r="I1023" s="24">
        <v>43.1</v>
      </c>
      <c r="J1023" s="24">
        <f>MAX(H1023,ROUNDUP(I1023,0))</f>
        <v>44</v>
      </c>
      <c r="K1023" s="22">
        <f>IF(C1023="covered",10.4,7.55)</f>
        <v>10.4</v>
      </c>
      <c r="L1023" s="18" t="s">
        <v>5322</v>
      </c>
      <c r="M1023" s="24">
        <v>44</v>
      </c>
      <c r="N1023" s="22">
        <v>10.4</v>
      </c>
      <c r="O1023" s="22">
        <v>457.6</v>
      </c>
      <c r="P1023" s="22">
        <f>J1023*K1023</f>
        <v>457.6</v>
      </c>
      <c r="Q1023" s="22">
        <f>IF(L1023="","",N1023-K1023)</f>
        <v>0.0</v>
      </c>
      <c r="R1023" s="24">
        <f>IF(L1023="","",M1023-J1023)</f>
        <v>0.0</v>
      </c>
      <c r="S1023" s="22">
        <f>IF(L1023="",-P1023,O1023-P1023)</f>
        <v>0.0</v>
      </c>
      <c r="T1023" s="11" t="str">
        <f>IF(L1023="","NO BILL IN SUPPLIED EXPORT",IF(ABS(Q1023)&gt;0.001,"RATE EXCEPTION",IF(ABS(R1023)&gt;0.001,"LENGTH EXCEPTION",IF(ABS(S1023)&gt;0.01,"AMOUNT EXCEPTION","OK"))))</f>
        <v>OK</v>
      </c>
      <c r="U1023" s="19" t="s">
        <v>5323</v>
      </c>
    </row>
    <row r="1024" spans="1:21" ht="28" customHeight="1">
      <c r="A1024" s="14" t="s">
        <v>5324</v>
      </c>
      <c r="B1024" s="14" t="s">
        <v>192</v>
      </c>
      <c r="C1024" s="14" t="s">
        <v>2515</v>
      </c>
      <c r="D1024" s="14" t="s">
        <v>227</v>
      </c>
      <c r="E1024" s="14" t="s">
        <v>5325</v>
      </c>
      <c r="F1024" s="15" t="s">
        <v>5326</v>
      </c>
      <c r="G1024" s="15" t="s">
        <v>582</v>
      </c>
      <c r="H1024" s="24">
        <v>28</v>
      </c>
      <c r="I1024" s="24">
        <v>45.4</v>
      </c>
      <c r="J1024" s="24">
        <f>MAX(H1024,ROUNDUP(I1024,0))</f>
        <v>46</v>
      </c>
      <c r="K1024" s="22">
        <f>IF(C1024="covered",10.4,7.55)</f>
        <v>10.4</v>
      </c>
      <c r="L1024" s="14" t="s">
        <v>5327</v>
      </c>
      <c r="M1024" s="24">
        <v>46</v>
      </c>
      <c r="N1024" s="22">
        <v>10.4</v>
      </c>
      <c r="O1024" s="22">
        <v>478.4</v>
      </c>
      <c r="P1024" s="22">
        <f>J1024*K1024</f>
        <v>478.40000000000003</v>
      </c>
      <c r="Q1024" s="22">
        <f>IF(L1024="","",N1024-K1024)</f>
        <v>0.0</v>
      </c>
      <c r="R1024" s="24">
        <f>IF(L1024="","",M1024-J1024)</f>
        <v>0.0</v>
      </c>
      <c r="S1024" s="22">
        <f>IF(L1024="",-P1024,O1024-P1024)</f>
        <v>-5.684341886080802e-14</v>
      </c>
      <c r="T1024" s="11" t="str">
        <f>IF(L1024="","NO BILL IN SUPPLIED EXPORT",IF(ABS(Q1024)&gt;0.001,"RATE EXCEPTION",IF(ABS(R1024)&gt;0.001,"LENGTH EXCEPTION",IF(ABS(S1024)&gt;0.01,"AMOUNT EXCEPTION","OK"))))</f>
        <v>OK</v>
      </c>
      <c r="U1024" s="15" t="s">
        <v>5328</v>
      </c>
    </row>
    <row r="1025" spans="1:21" ht="28" customHeight="1">
      <c r="A1025" s="18" t="s">
        <v>5329</v>
      </c>
      <c r="B1025" s="18" t="s">
        <v>192</v>
      </c>
      <c r="C1025" s="18" t="s">
        <v>2515</v>
      </c>
      <c r="D1025" s="18" t="s">
        <v>227</v>
      </c>
      <c r="E1025" s="18" t="s">
        <v>5330</v>
      </c>
      <c r="F1025" s="19" t="s">
        <v>5331</v>
      </c>
      <c r="G1025" s="19" t="s">
        <v>789</v>
      </c>
      <c r="H1025" s="24">
        <v>32</v>
      </c>
      <c r="I1025" s="24">
        <v>33.5</v>
      </c>
      <c r="J1025" s="24">
        <f>MAX(H1025,ROUNDUP(I1025,0))</f>
        <v>34</v>
      </c>
      <c r="K1025" s="22">
        <f>IF(C1025="covered",10.4,7.55)</f>
        <v>10.4</v>
      </c>
      <c r="L1025" s="18" t="s">
        <v>5332</v>
      </c>
      <c r="M1025" s="24">
        <v>34</v>
      </c>
      <c r="N1025" s="22">
        <v>10.4</v>
      </c>
      <c r="O1025" s="22">
        <v>353.6</v>
      </c>
      <c r="P1025" s="22">
        <f>J1025*K1025</f>
        <v>353.6</v>
      </c>
      <c r="Q1025" s="22">
        <f>IF(L1025="","",N1025-K1025)</f>
        <v>0.0</v>
      </c>
      <c r="R1025" s="24">
        <f>IF(L1025="","",M1025-J1025)</f>
        <v>0.0</v>
      </c>
      <c r="S1025" s="22">
        <f>IF(L1025="",-P1025,O1025-P1025)</f>
        <v>0.0</v>
      </c>
      <c r="T1025" s="11" t="str">
        <f>IF(L1025="","NO BILL IN SUPPLIED EXPORT",IF(ABS(Q1025)&gt;0.001,"RATE EXCEPTION",IF(ABS(R1025)&gt;0.001,"LENGTH EXCEPTION",IF(ABS(S1025)&gt;0.01,"AMOUNT EXCEPTION","OK"))))</f>
        <v>OK</v>
      </c>
      <c r="U1025" s="19" t="s">
        <v>5333</v>
      </c>
    </row>
    <row r="1026" spans="1:21" ht="28" customHeight="1">
      <c r="A1026" s="14" t="s">
        <v>5334</v>
      </c>
      <c r="B1026" s="14" t="s">
        <v>192</v>
      </c>
      <c r="C1026" s="14" t="s">
        <v>2515</v>
      </c>
      <c r="D1026" s="14" t="s">
        <v>227</v>
      </c>
      <c r="E1026" s="14" t="s">
        <v>68</v>
      </c>
      <c r="F1026" s="15" t="s">
        <v>69</v>
      </c>
      <c r="G1026" s="15" t="s">
        <v>70</v>
      </c>
      <c r="H1026" s="24">
        <v>28</v>
      </c>
      <c r="I1026" s="24">
        <v>19.6</v>
      </c>
      <c r="J1026" s="24">
        <f>MAX(H1026,ROUNDUP(I1026,0))</f>
        <v>28.0</v>
      </c>
      <c r="K1026" s="22">
        <f>IF(C1026="covered",10.4,7.55)</f>
        <v>10.4</v>
      </c>
      <c r="L1026" s="14" t="s">
        <v>5335</v>
      </c>
      <c r="M1026" s="24">
        <v>28</v>
      </c>
      <c r="N1026" s="22">
        <v>10.4</v>
      </c>
      <c r="O1026" s="22">
        <v>291.2</v>
      </c>
      <c r="P1026" s="22">
        <f>J1026*K1026</f>
        <v>291.2</v>
      </c>
      <c r="Q1026" s="22">
        <f>IF(L1026="","",N1026-K1026)</f>
        <v>0.0</v>
      </c>
      <c r="R1026" s="24">
        <f>IF(L1026="","",M1026-J1026)</f>
        <v>0.0</v>
      </c>
      <c r="S1026" s="22">
        <f>IF(L1026="",-P1026,O1026-P1026)</f>
        <v>0.0</v>
      </c>
      <c r="T1026" s="11" t="str">
        <f>IF(L1026="","NO BILL IN SUPPLIED EXPORT",IF(ABS(Q1026)&gt;0.001,"RATE EXCEPTION",IF(ABS(R1026)&gt;0.001,"LENGTH EXCEPTION",IF(ABS(S1026)&gt;0.01,"AMOUNT EXCEPTION","OK"))))</f>
        <v>OK</v>
      </c>
      <c r="U1026" s="15" t="s">
        <v>5336</v>
      </c>
    </row>
    <row r="1027" spans="1:21" ht="28" customHeight="1">
      <c r="A1027" s="18" t="s">
        <v>5337</v>
      </c>
      <c r="B1027" s="18" t="s">
        <v>192</v>
      </c>
      <c r="C1027" s="18" t="s">
        <v>2515</v>
      </c>
      <c r="D1027" s="18" t="s">
        <v>227</v>
      </c>
      <c r="E1027" s="18" t="s">
        <v>5338</v>
      </c>
      <c r="F1027" s="19" t="s">
        <v>5339</v>
      </c>
      <c r="G1027" s="19" t="s">
        <v>5340</v>
      </c>
      <c r="H1027" s="24">
        <v>36</v>
      </c>
      <c r="I1027" s="24">
        <v>21.4</v>
      </c>
      <c r="J1027" s="24">
        <f>MAX(H1027,ROUNDUP(I1027,0))</f>
        <v>36.0</v>
      </c>
      <c r="K1027" s="22">
        <f>IF(C1027="covered",10.4,7.55)</f>
        <v>10.4</v>
      </c>
      <c r="L1027" s="18" t="s">
        <v>5341</v>
      </c>
      <c r="M1027" s="24">
        <v>36</v>
      </c>
      <c r="N1027" s="22">
        <v>10.4</v>
      </c>
      <c r="O1027" s="22">
        <v>374.4</v>
      </c>
      <c r="P1027" s="22">
        <f>J1027*K1027</f>
        <v>374.40000000000003</v>
      </c>
      <c r="Q1027" s="22">
        <f>IF(L1027="","",N1027-K1027)</f>
        <v>0.0</v>
      </c>
      <c r="R1027" s="24">
        <f>IF(L1027="","",M1027-J1027)</f>
        <v>0.0</v>
      </c>
      <c r="S1027" s="22">
        <f>IF(L1027="",-P1027,O1027-P1027)</f>
        <v>-5.684341886080802e-14</v>
      </c>
      <c r="T1027" s="11" t="str">
        <f>IF(L1027="","NO BILL IN SUPPLIED EXPORT",IF(ABS(Q1027)&gt;0.001,"RATE EXCEPTION",IF(ABS(R1027)&gt;0.001,"LENGTH EXCEPTION",IF(ABS(S1027)&gt;0.01,"AMOUNT EXCEPTION","OK"))))</f>
        <v>OK</v>
      </c>
      <c r="U1027" s="19" t="s">
        <v>5342</v>
      </c>
    </row>
    <row r="1028" spans="1:21" ht="28" customHeight="1">
      <c r="A1028" s="14" t="s">
        <v>5343</v>
      </c>
      <c r="B1028" s="14" t="s">
        <v>192</v>
      </c>
      <c r="C1028" s="14" t="s">
        <v>2515</v>
      </c>
      <c r="D1028" s="14" t="s">
        <v>227</v>
      </c>
      <c r="E1028" s="14" t="s">
        <v>5344</v>
      </c>
      <c r="F1028" s="15" t="s">
        <v>5345</v>
      </c>
      <c r="G1028" s="15" t="s">
        <v>4434</v>
      </c>
      <c r="H1028" s="24">
        <v>40</v>
      </c>
      <c r="I1028" s="24">
        <v>43.5</v>
      </c>
      <c r="J1028" s="24">
        <f>MAX(H1028,ROUNDUP(I1028,0))</f>
        <v>44</v>
      </c>
      <c r="K1028" s="22">
        <f>IF(C1028="covered",10.4,7.55)</f>
        <v>10.4</v>
      </c>
      <c r="L1028" s="14" t="s">
        <v>5346</v>
      </c>
      <c r="M1028" s="24">
        <v>44</v>
      </c>
      <c r="N1028" s="22">
        <v>10.4</v>
      </c>
      <c r="O1028" s="22">
        <v>457.6</v>
      </c>
      <c r="P1028" s="22">
        <f>J1028*K1028</f>
        <v>457.6</v>
      </c>
      <c r="Q1028" s="22">
        <f>IF(L1028="","",N1028-K1028)</f>
        <v>0.0</v>
      </c>
      <c r="R1028" s="24">
        <f>IF(L1028="","",M1028-J1028)</f>
        <v>0.0</v>
      </c>
      <c r="S1028" s="22">
        <f>IF(L1028="",-P1028,O1028-P1028)</f>
        <v>0.0</v>
      </c>
      <c r="T1028" s="11" t="str">
        <f>IF(L1028="","NO BILL IN SUPPLIED EXPORT",IF(ABS(Q1028)&gt;0.001,"RATE EXCEPTION",IF(ABS(R1028)&gt;0.001,"LENGTH EXCEPTION",IF(ABS(S1028)&gt;0.01,"AMOUNT EXCEPTION","OK"))))</f>
        <v>OK</v>
      </c>
      <c r="U1028" s="15" t="s">
        <v>5347</v>
      </c>
    </row>
    <row r="1029" spans="1:21" ht="28" customHeight="1">
      <c r="A1029" s="18" t="s">
        <v>5348</v>
      </c>
      <c r="B1029" s="18" t="s">
        <v>192</v>
      </c>
      <c r="C1029" s="18" t="s">
        <v>2515</v>
      </c>
      <c r="D1029" s="18" t="s">
        <v>227</v>
      </c>
      <c r="E1029" s="18" t="s">
        <v>5349</v>
      </c>
      <c r="F1029" s="19" t="s">
        <v>5350</v>
      </c>
      <c r="G1029" s="19" t="s">
        <v>2508</v>
      </c>
      <c r="H1029" s="24">
        <v>36</v>
      </c>
      <c r="I1029" s="24">
        <v>36.7</v>
      </c>
      <c r="J1029" s="24">
        <f>MAX(H1029,ROUNDUP(I1029,0))</f>
        <v>37</v>
      </c>
      <c r="K1029" s="22">
        <f>IF(C1029="covered",10.4,7.55)</f>
        <v>10.4</v>
      </c>
      <c r="L1029" s="18" t="s">
        <v>5351</v>
      </c>
      <c r="M1029" s="24">
        <v>37</v>
      </c>
      <c r="N1029" s="22">
        <v>10.4</v>
      </c>
      <c r="O1029" s="22">
        <v>384.8</v>
      </c>
      <c r="P1029" s="22">
        <f>J1029*K1029</f>
        <v>384.8</v>
      </c>
      <c r="Q1029" s="22">
        <f>IF(L1029="","",N1029-K1029)</f>
        <v>0.0</v>
      </c>
      <c r="R1029" s="24">
        <f>IF(L1029="","",M1029-J1029)</f>
        <v>0.0</v>
      </c>
      <c r="S1029" s="22">
        <f>IF(L1029="",-P1029,O1029-P1029)</f>
        <v>0.0</v>
      </c>
      <c r="T1029" s="11" t="str">
        <f>IF(L1029="","NO BILL IN SUPPLIED EXPORT",IF(ABS(Q1029)&gt;0.001,"RATE EXCEPTION",IF(ABS(R1029)&gt;0.001,"LENGTH EXCEPTION",IF(ABS(S1029)&gt;0.01,"AMOUNT EXCEPTION","OK"))))</f>
        <v>OK</v>
      </c>
      <c r="U1029" s="19" t="s">
        <v>5352</v>
      </c>
    </row>
    <row r="1030" spans="1:21" ht="28" customHeight="1">
      <c r="A1030" s="14" t="s">
        <v>5353</v>
      </c>
      <c r="B1030" s="14" t="s">
        <v>192</v>
      </c>
      <c r="C1030" s="14" t="s">
        <v>2515</v>
      </c>
      <c r="D1030" s="14" t="s">
        <v>227</v>
      </c>
      <c r="E1030" s="14" t="s">
        <v>5354</v>
      </c>
      <c r="F1030" s="15" t="s">
        <v>5355</v>
      </c>
      <c r="G1030" s="15" t="s">
        <v>5189</v>
      </c>
      <c r="H1030" s="24">
        <v>36</v>
      </c>
      <c r="I1030" s="24">
        <v>37.2</v>
      </c>
      <c r="J1030" s="24">
        <f>MAX(H1030,ROUNDUP(I1030,0))</f>
        <v>38</v>
      </c>
      <c r="K1030" s="22">
        <f>IF(C1030="covered",10.4,7.55)</f>
        <v>10.4</v>
      </c>
      <c r="L1030" s="14" t="s">
        <v>5356</v>
      </c>
      <c r="M1030" s="24">
        <v>38</v>
      </c>
      <c r="N1030" s="22">
        <v>10.4</v>
      </c>
      <c r="O1030" s="22">
        <v>395.2</v>
      </c>
      <c r="P1030" s="22">
        <f>J1030*K1030</f>
        <v>395.2</v>
      </c>
      <c r="Q1030" s="22">
        <f>IF(L1030="","",N1030-K1030)</f>
        <v>0.0</v>
      </c>
      <c r="R1030" s="24">
        <f>IF(L1030="","",M1030-J1030)</f>
        <v>0.0</v>
      </c>
      <c r="S1030" s="22">
        <f>IF(L1030="",-P1030,O1030-P1030)</f>
        <v>0.0</v>
      </c>
      <c r="T1030" s="11" t="str">
        <f>IF(L1030="","NO BILL IN SUPPLIED EXPORT",IF(ABS(Q1030)&gt;0.001,"RATE EXCEPTION",IF(ABS(R1030)&gt;0.001,"LENGTH EXCEPTION",IF(ABS(S1030)&gt;0.01,"AMOUNT EXCEPTION","OK"))))</f>
        <v>OK</v>
      </c>
      <c r="U1030" s="15" t="s">
        <v>5357</v>
      </c>
    </row>
    <row r="1031" spans="1:21" ht="28" customHeight="1">
      <c r="A1031" s="18" t="s">
        <v>5358</v>
      </c>
      <c r="B1031" s="18" t="s">
        <v>192</v>
      </c>
      <c r="C1031" s="18" t="s">
        <v>2515</v>
      </c>
      <c r="D1031" s="18" t="s">
        <v>227</v>
      </c>
      <c r="E1031" s="18" t="s">
        <v>5359</v>
      </c>
      <c r="F1031" s="19" t="s">
        <v>5360</v>
      </c>
      <c r="G1031" s="19" t="s">
        <v>149</v>
      </c>
      <c r="H1031" s="24">
        <v>28</v>
      </c>
      <c r="I1031" s="24">
        <v>40.6</v>
      </c>
      <c r="J1031" s="24">
        <f>MAX(H1031,ROUNDUP(I1031,0))</f>
        <v>41</v>
      </c>
      <c r="K1031" s="22">
        <f>IF(C1031="covered",10.4,7.55)</f>
        <v>10.4</v>
      </c>
      <c r="L1031" s="18" t="s">
        <v>5361</v>
      </c>
      <c r="M1031" s="24">
        <v>41</v>
      </c>
      <c r="N1031" s="22">
        <v>10.4</v>
      </c>
      <c r="O1031" s="22">
        <v>426.4</v>
      </c>
      <c r="P1031" s="22">
        <f>J1031*K1031</f>
        <v>426.40000000000003</v>
      </c>
      <c r="Q1031" s="22">
        <f>IF(L1031="","",N1031-K1031)</f>
        <v>0.0</v>
      </c>
      <c r="R1031" s="24">
        <f>IF(L1031="","",M1031-J1031)</f>
        <v>0.0</v>
      </c>
      <c r="S1031" s="22">
        <f>IF(L1031="",-P1031,O1031-P1031)</f>
        <v>-5.684341886080802e-14</v>
      </c>
      <c r="T1031" s="11" t="str">
        <f>IF(L1031="","NO BILL IN SUPPLIED EXPORT",IF(ABS(Q1031)&gt;0.001,"RATE EXCEPTION",IF(ABS(R1031)&gt;0.001,"LENGTH EXCEPTION",IF(ABS(S1031)&gt;0.01,"AMOUNT EXCEPTION","OK"))))</f>
        <v>OK</v>
      </c>
      <c r="U1031" s="19" t="s">
        <v>5362</v>
      </c>
    </row>
    <row r="1032" spans="1:21" ht="28" customHeight="1">
      <c r="A1032" s="14" t="s">
        <v>5363</v>
      </c>
      <c r="B1032" s="14" t="s">
        <v>192</v>
      </c>
      <c r="C1032" s="14" t="s">
        <v>2515</v>
      </c>
      <c r="D1032" s="14" t="s">
        <v>227</v>
      </c>
      <c r="E1032" s="14" t="s">
        <v>5364</v>
      </c>
      <c r="F1032" s="15" t="s">
        <v>5365</v>
      </c>
      <c r="G1032" s="15" t="s">
        <v>1495</v>
      </c>
      <c r="H1032" s="24">
        <v>32</v>
      </c>
      <c r="I1032" s="24">
        <v>33.8</v>
      </c>
      <c r="J1032" s="24">
        <f>MAX(H1032,ROUNDUP(I1032,0))</f>
        <v>34</v>
      </c>
      <c r="K1032" s="22">
        <f>IF(C1032="covered",10.4,7.55)</f>
        <v>10.4</v>
      </c>
      <c r="L1032" s="14" t="s">
        <v>5366</v>
      </c>
      <c r="M1032" s="24">
        <v>34</v>
      </c>
      <c r="N1032" s="22">
        <v>10.4</v>
      </c>
      <c r="O1032" s="22">
        <v>353.6</v>
      </c>
      <c r="P1032" s="22">
        <f>J1032*K1032</f>
        <v>353.6</v>
      </c>
      <c r="Q1032" s="22">
        <f>IF(L1032="","",N1032-K1032)</f>
        <v>0.0</v>
      </c>
      <c r="R1032" s="24">
        <f>IF(L1032="","",M1032-J1032)</f>
        <v>0.0</v>
      </c>
      <c r="S1032" s="22">
        <f>IF(L1032="",-P1032,O1032-P1032)</f>
        <v>0.0</v>
      </c>
      <c r="T1032" s="11" t="str">
        <f>IF(L1032="","NO BILL IN SUPPLIED EXPORT",IF(ABS(Q1032)&gt;0.001,"RATE EXCEPTION",IF(ABS(R1032)&gt;0.001,"LENGTH EXCEPTION",IF(ABS(S1032)&gt;0.01,"AMOUNT EXCEPTION","OK"))))</f>
        <v>OK</v>
      </c>
      <c r="U1032" s="15" t="s">
        <v>5367</v>
      </c>
    </row>
    <row r="1033" spans="1:21" ht="28" customHeight="1">
      <c r="A1033" s="18" t="s">
        <v>5368</v>
      </c>
      <c r="B1033" s="18" t="s">
        <v>192</v>
      </c>
      <c r="C1033" s="18" t="s">
        <v>2515</v>
      </c>
      <c r="D1033" s="18" t="s">
        <v>227</v>
      </c>
      <c r="E1033" s="18" t="s">
        <v>5369</v>
      </c>
      <c r="F1033" s="19" t="s">
        <v>5370</v>
      </c>
      <c r="G1033" s="19" t="s">
        <v>5371</v>
      </c>
      <c r="H1033" s="24">
        <v>32</v>
      </c>
      <c r="I1033" s="24">
        <v>61.3</v>
      </c>
      <c r="J1033" s="24">
        <f>MAX(H1033,ROUNDUP(I1033,0))</f>
        <v>62</v>
      </c>
      <c r="K1033" s="22">
        <f>IF(C1033="covered",10.4,7.55)</f>
        <v>10.4</v>
      </c>
      <c r="L1033" s="18" t="s">
        <v>5372</v>
      </c>
      <c r="M1033" s="24">
        <v>62</v>
      </c>
      <c r="N1033" s="22">
        <v>10.4</v>
      </c>
      <c r="O1033" s="22">
        <v>644.8</v>
      </c>
      <c r="P1033" s="22">
        <f>J1033*K1033</f>
        <v>644.8000000000001</v>
      </c>
      <c r="Q1033" s="22">
        <f>IF(L1033="","",N1033-K1033)</f>
        <v>0.0</v>
      </c>
      <c r="R1033" s="24">
        <f>IF(L1033="","",M1033-J1033)</f>
        <v>0.0</v>
      </c>
      <c r="S1033" s="22">
        <f>IF(L1033="",-P1033,O1033-P1033)</f>
        <v>-1.1368683772161603e-13</v>
      </c>
      <c r="T1033" s="11" t="str">
        <f>IF(L1033="","NO BILL IN SUPPLIED EXPORT",IF(ABS(Q1033)&gt;0.001,"RATE EXCEPTION",IF(ABS(R1033)&gt;0.001,"LENGTH EXCEPTION",IF(ABS(S1033)&gt;0.01,"AMOUNT EXCEPTION","OK"))))</f>
        <v>OK</v>
      </c>
      <c r="U1033" s="19" t="s">
        <v>5373</v>
      </c>
    </row>
    <row r="1034" spans="1:21" ht="28" customHeight="1">
      <c r="A1034" s="14" t="s">
        <v>5374</v>
      </c>
      <c r="B1034" s="14" t="s">
        <v>192</v>
      </c>
      <c r="C1034" s="14" t="s">
        <v>2515</v>
      </c>
      <c r="D1034" s="14" t="s">
        <v>227</v>
      </c>
      <c r="E1034" s="14" t="s">
        <v>5375</v>
      </c>
      <c r="F1034" s="15" t="s">
        <v>5376</v>
      </c>
      <c r="G1034" s="15" t="s">
        <v>5377</v>
      </c>
      <c r="H1034" s="24">
        <v>24</v>
      </c>
      <c r="I1034" s="24">
        <v>48.7</v>
      </c>
      <c r="J1034" s="24">
        <f>MAX(H1034,ROUNDUP(I1034,0))</f>
        <v>49</v>
      </c>
      <c r="K1034" s="22">
        <f>IF(C1034="covered",10.4,7.55)</f>
        <v>10.4</v>
      </c>
      <c r="L1034" s="14" t="s">
        <v>5378</v>
      </c>
      <c r="M1034" s="24">
        <v>49</v>
      </c>
      <c r="N1034" s="22">
        <v>10.4</v>
      </c>
      <c r="O1034" s="22">
        <v>509.6</v>
      </c>
      <c r="P1034" s="22">
        <f>J1034*K1034</f>
        <v>509.6</v>
      </c>
      <c r="Q1034" s="22">
        <f>IF(L1034="","",N1034-K1034)</f>
        <v>0.0</v>
      </c>
      <c r="R1034" s="24">
        <f>IF(L1034="","",M1034-J1034)</f>
        <v>0.0</v>
      </c>
      <c r="S1034" s="22">
        <f>IF(L1034="",-P1034,O1034-P1034)</f>
        <v>0.0</v>
      </c>
      <c r="T1034" s="11" t="str">
        <f>IF(L1034="","NO BILL IN SUPPLIED EXPORT",IF(ABS(Q1034)&gt;0.001,"RATE EXCEPTION",IF(ABS(R1034)&gt;0.001,"LENGTH EXCEPTION",IF(ABS(S1034)&gt;0.01,"AMOUNT EXCEPTION","OK"))))</f>
        <v>OK</v>
      </c>
      <c r="U1034" s="15" t="s">
        <v>5379</v>
      </c>
    </row>
    <row r="1035" spans="1:21" ht="28" customHeight="1">
      <c r="A1035" s="18" t="s">
        <v>5380</v>
      </c>
      <c r="B1035" s="18" t="s">
        <v>192</v>
      </c>
      <c r="C1035" s="18" t="s">
        <v>2515</v>
      </c>
      <c r="D1035" s="18" t="s">
        <v>227</v>
      </c>
      <c r="E1035" s="18" t="s">
        <v>5381</v>
      </c>
      <c r="F1035" s="19" t="s">
        <v>5382</v>
      </c>
      <c r="G1035" s="19" t="s">
        <v>259</v>
      </c>
      <c r="H1035" s="24">
        <v>32</v>
      </c>
      <c r="I1035" s="24">
        <v>57.3</v>
      </c>
      <c r="J1035" s="24">
        <f>MAX(H1035,ROUNDUP(I1035,0))</f>
        <v>58</v>
      </c>
      <c r="K1035" s="22">
        <f>IF(C1035="covered",10.4,7.55)</f>
        <v>10.4</v>
      </c>
      <c r="L1035" s="18" t="s">
        <v>5383</v>
      </c>
      <c r="M1035" s="24">
        <v>58</v>
      </c>
      <c r="N1035" s="22">
        <v>10.4</v>
      </c>
      <c r="O1035" s="22">
        <v>603.2</v>
      </c>
      <c r="P1035" s="22">
        <f>J1035*K1035</f>
        <v>603.2</v>
      </c>
      <c r="Q1035" s="22">
        <f>IF(L1035="","",N1035-K1035)</f>
        <v>0.0</v>
      </c>
      <c r="R1035" s="24">
        <f>IF(L1035="","",M1035-J1035)</f>
        <v>0.0</v>
      </c>
      <c r="S1035" s="22">
        <f>IF(L1035="",-P1035,O1035-P1035)</f>
        <v>0.0</v>
      </c>
      <c r="T1035" s="11" t="str">
        <f>IF(L1035="","NO BILL IN SUPPLIED EXPORT",IF(ABS(Q1035)&gt;0.001,"RATE EXCEPTION",IF(ABS(R1035)&gt;0.001,"LENGTH EXCEPTION",IF(ABS(S1035)&gt;0.01,"AMOUNT EXCEPTION","OK"))))</f>
        <v>OK</v>
      </c>
      <c r="U1035" s="19" t="s">
        <v>5384</v>
      </c>
    </row>
    <row r="1036" spans="1:21" ht="28" customHeight="1">
      <c r="A1036" s="14" t="s">
        <v>5385</v>
      </c>
      <c r="B1036" s="14" t="s">
        <v>192</v>
      </c>
      <c r="C1036" s="14" t="s">
        <v>2515</v>
      </c>
      <c r="D1036" s="14" t="s">
        <v>227</v>
      </c>
      <c r="E1036" s="14" t="s">
        <v>5386</v>
      </c>
      <c r="F1036" s="15" t="s">
        <v>5387</v>
      </c>
      <c r="G1036" s="15" t="s">
        <v>5388</v>
      </c>
      <c r="H1036" s="24">
        <v>32</v>
      </c>
      <c r="I1036" s="24">
        <v>50.3</v>
      </c>
      <c r="J1036" s="24">
        <f>MAX(H1036,ROUNDUP(I1036,0))</f>
        <v>51</v>
      </c>
      <c r="K1036" s="22">
        <f>IF(C1036="covered",10.4,7.55)</f>
        <v>10.4</v>
      </c>
      <c r="L1036" s="14" t="s">
        <v>5389</v>
      </c>
      <c r="M1036" s="24">
        <v>51</v>
      </c>
      <c r="N1036" s="22">
        <v>10.4</v>
      </c>
      <c r="O1036" s="22">
        <v>530.4</v>
      </c>
      <c r="P1036" s="22">
        <f>J1036*K1036</f>
        <v>530.4</v>
      </c>
      <c r="Q1036" s="22">
        <f>IF(L1036="","",N1036-K1036)</f>
        <v>0.0</v>
      </c>
      <c r="R1036" s="24">
        <f>IF(L1036="","",M1036-J1036)</f>
        <v>0.0</v>
      </c>
      <c r="S1036" s="22">
        <f>IF(L1036="",-P1036,O1036-P1036)</f>
        <v>0.0</v>
      </c>
      <c r="T1036" s="11" t="str">
        <f>IF(L1036="","NO BILL IN SUPPLIED EXPORT",IF(ABS(Q1036)&gt;0.001,"RATE EXCEPTION",IF(ABS(R1036)&gt;0.001,"LENGTH EXCEPTION",IF(ABS(S1036)&gt;0.01,"AMOUNT EXCEPTION","OK"))))</f>
        <v>OK</v>
      </c>
      <c r="U1036" s="15" t="s">
        <v>5390</v>
      </c>
    </row>
    <row r="1037" spans="1:21" ht="28" customHeight="1">
      <c r="A1037" s="18" t="s">
        <v>5391</v>
      </c>
      <c r="B1037" s="18" t="s">
        <v>192</v>
      </c>
      <c r="C1037" s="18" t="s">
        <v>2515</v>
      </c>
      <c r="D1037" s="18" t="s">
        <v>227</v>
      </c>
      <c r="E1037" s="18" t="s">
        <v>5392</v>
      </c>
      <c r="F1037" s="19" t="s">
        <v>5393</v>
      </c>
      <c r="G1037" s="19" t="s">
        <v>406</v>
      </c>
      <c r="H1037" s="24">
        <v>28</v>
      </c>
      <c r="I1037" s="24">
        <v>35.6</v>
      </c>
      <c r="J1037" s="24">
        <f>MAX(H1037,ROUNDUP(I1037,0))</f>
        <v>36</v>
      </c>
      <c r="K1037" s="22">
        <f>IF(C1037="covered",10.4,7.55)</f>
        <v>10.4</v>
      </c>
      <c r="L1037" s="18" t="s">
        <v>5394</v>
      </c>
      <c r="M1037" s="24">
        <v>36</v>
      </c>
      <c r="N1037" s="22">
        <v>10.4</v>
      </c>
      <c r="O1037" s="22">
        <v>374.4</v>
      </c>
      <c r="P1037" s="22">
        <f>J1037*K1037</f>
        <v>374.40000000000003</v>
      </c>
      <c r="Q1037" s="22">
        <f>IF(L1037="","",N1037-K1037)</f>
        <v>0.0</v>
      </c>
      <c r="R1037" s="24">
        <f>IF(L1037="","",M1037-J1037)</f>
        <v>0.0</v>
      </c>
      <c r="S1037" s="22">
        <f>IF(L1037="",-P1037,O1037-P1037)</f>
        <v>-5.684341886080802e-14</v>
      </c>
      <c r="T1037" s="11" t="str">
        <f>IF(L1037="","NO BILL IN SUPPLIED EXPORT",IF(ABS(Q1037)&gt;0.001,"RATE EXCEPTION",IF(ABS(R1037)&gt;0.001,"LENGTH EXCEPTION",IF(ABS(S1037)&gt;0.01,"AMOUNT EXCEPTION","OK"))))</f>
        <v>OK</v>
      </c>
      <c r="U1037" s="19" t="s">
        <v>5395</v>
      </c>
    </row>
    <row r="1038" spans="1:21" ht="28" customHeight="1">
      <c r="A1038" s="14" t="s">
        <v>5396</v>
      </c>
      <c r="B1038" s="14" t="s">
        <v>192</v>
      </c>
      <c r="C1038" s="14" t="s">
        <v>2515</v>
      </c>
      <c r="D1038" s="14" t="s">
        <v>227</v>
      </c>
      <c r="E1038" s="14" t="s">
        <v>5397</v>
      </c>
      <c r="F1038" s="15" t="s">
        <v>5398</v>
      </c>
      <c r="G1038" s="15" t="s">
        <v>5399</v>
      </c>
      <c r="H1038" s="24">
        <v>32</v>
      </c>
      <c r="I1038" s="24">
        <v>22.5</v>
      </c>
      <c r="J1038" s="24">
        <f>MAX(H1038,ROUNDUP(I1038,0))</f>
        <v>32.0</v>
      </c>
      <c r="K1038" s="22">
        <f>IF(C1038="covered",10.4,7.55)</f>
        <v>10.4</v>
      </c>
      <c r="L1038" s="14" t="s">
        <v>5400</v>
      </c>
      <c r="M1038" s="24">
        <v>32</v>
      </c>
      <c r="N1038" s="22">
        <v>10.4</v>
      </c>
      <c r="O1038" s="22">
        <v>332.8</v>
      </c>
      <c r="P1038" s="22">
        <f>J1038*K1038</f>
        <v>332.8</v>
      </c>
      <c r="Q1038" s="22">
        <f>IF(L1038="","",N1038-K1038)</f>
        <v>0.0</v>
      </c>
      <c r="R1038" s="24">
        <f>IF(L1038="","",M1038-J1038)</f>
        <v>0.0</v>
      </c>
      <c r="S1038" s="22">
        <f>IF(L1038="",-P1038,O1038-P1038)</f>
        <v>0.0</v>
      </c>
      <c r="T1038" s="11" t="str">
        <f>IF(L1038="","NO BILL IN SUPPLIED EXPORT",IF(ABS(Q1038)&gt;0.001,"RATE EXCEPTION",IF(ABS(R1038)&gt;0.001,"LENGTH EXCEPTION",IF(ABS(S1038)&gt;0.01,"AMOUNT EXCEPTION","OK"))))</f>
        <v>OK</v>
      </c>
      <c r="U1038" s="15" t="s">
        <v>5401</v>
      </c>
    </row>
    <row r="1039" spans="1:21" ht="28" customHeight="1">
      <c r="A1039" s="18" t="s">
        <v>5402</v>
      </c>
      <c r="B1039" s="18" t="s">
        <v>192</v>
      </c>
      <c r="C1039" s="18" t="s">
        <v>2515</v>
      </c>
      <c r="D1039" s="18" t="s">
        <v>227</v>
      </c>
      <c r="E1039" s="18" t="s">
        <v>5403</v>
      </c>
      <c r="F1039" s="19" t="s">
        <v>5404</v>
      </c>
      <c r="G1039" s="19" t="s">
        <v>5405</v>
      </c>
      <c r="H1039" s="24">
        <v>40</v>
      </c>
      <c r="I1039" s="24">
        <v>61.5</v>
      </c>
      <c r="J1039" s="24">
        <f>MAX(H1039,ROUNDUP(I1039,0))</f>
        <v>62</v>
      </c>
      <c r="K1039" s="22">
        <f>IF(C1039="covered",10.4,7.55)</f>
        <v>10.4</v>
      </c>
      <c r="L1039" s="18" t="s">
        <v>5406</v>
      </c>
      <c r="M1039" s="24">
        <v>62</v>
      </c>
      <c r="N1039" s="22">
        <v>10.4</v>
      </c>
      <c r="O1039" s="22">
        <v>644.8</v>
      </c>
      <c r="P1039" s="22">
        <f>J1039*K1039</f>
        <v>644.8000000000001</v>
      </c>
      <c r="Q1039" s="22">
        <f>IF(L1039="","",N1039-K1039)</f>
        <v>0.0</v>
      </c>
      <c r="R1039" s="24">
        <f>IF(L1039="","",M1039-J1039)</f>
        <v>0.0</v>
      </c>
      <c r="S1039" s="22">
        <f>IF(L1039="",-P1039,O1039-P1039)</f>
        <v>-1.1368683772161603e-13</v>
      </c>
      <c r="T1039" s="11" t="str">
        <f>IF(L1039="","NO BILL IN SUPPLIED EXPORT",IF(ABS(Q1039)&gt;0.001,"RATE EXCEPTION",IF(ABS(R1039)&gt;0.001,"LENGTH EXCEPTION",IF(ABS(S1039)&gt;0.01,"AMOUNT EXCEPTION","OK"))))</f>
        <v>OK</v>
      </c>
      <c r="U1039" s="19" t="s">
        <v>5407</v>
      </c>
    </row>
    <row r="1040" spans="1:21" ht="28" customHeight="1">
      <c r="A1040" s="14" t="s">
        <v>5408</v>
      </c>
      <c r="B1040" s="14" t="s">
        <v>192</v>
      </c>
      <c r="C1040" s="14" t="s">
        <v>2515</v>
      </c>
      <c r="D1040" s="14" t="s">
        <v>227</v>
      </c>
      <c r="E1040" s="14" t="s">
        <v>5409</v>
      </c>
      <c r="F1040" s="15" t="s">
        <v>5410</v>
      </c>
      <c r="G1040" s="15" t="s">
        <v>5411</v>
      </c>
      <c r="H1040" s="24">
        <v>28</v>
      </c>
      <c r="I1040" s="24">
        <v>20.5</v>
      </c>
      <c r="J1040" s="24">
        <f>MAX(H1040,ROUNDUP(I1040,0))</f>
        <v>28.0</v>
      </c>
      <c r="K1040" s="22">
        <f>IF(C1040="covered",10.4,7.55)</f>
        <v>10.4</v>
      </c>
      <c r="L1040" s="14" t="s">
        <v>5412</v>
      </c>
      <c r="M1040" s="24">
        <v>28</v>
      </c>
      <c r="N1040" s="22">
        <v>10.4</v>
      </c>
      <c r="O1040" s="22">
        <v>291.2</v>
      </c>
      <c r="P1040" s="22">
        <f>J1040*K1040</f>
        <v>291.2</v>
      </c>
      <c r="Q1040" s="22">
        <f>IF(L1040="","",N1040-K1040)</f>
        <v>0.0</v>
      </c>
      <c r="R1040" s="24">
        <f>IF(L1040="","",M1040-J1040)</f>
        <v>0.0</v>
      </c>
      <c r="S1040" s="22">
        <f>IF(L1040="",-P1040,O1040-P1040)</f>
        <v>0.0</v>
      </c>
      <c r="T1040" s="11" t="str">
        <f>IF(L1040="","NO BILL IN SUPPLIED EXPORT",IF(ABS(Q1040)&gt;0.001,"RATE EXCEPTION",IF(ABS(R1040)&gt;0.001,"LENGTH EXCEPTION",IF(ABS(S1040)&gt;0.01,"AMOUNT EXCEPTION","OK"))))</f>
        <v>OK</v>
      </c>
      <c r="U1040" s="15" t="s">
        <v>5413</v>
      </c>
    </row>
    <row r="1041" spans="1:21" ht="28" customHeight="1">
      <c r="A1041" s="18" t="s">
        <v>5414</v>
      </c>
      <c r="B1041" s="18" t="s">
        <v>192</v>
      </c>
      <c r="C1041" s="18" t="s">
        <v>2515</v>
      </c>
      <c r="D1041" s="18" t="s">
        <v>227</v>
      </c>
      <c r="E1041" s="18" t="s">
        <v>5415</v>
      </c>
      <c r="F1041" s="19" t="s">
        <v>5416</v>
      </c>
      <c r="G1041" s="19" t="s">
        <v>4275</v>
      </c>
      <c r="H1041" s="24">
        <v>32</v>
      </c>
      <c r="I1041" s="24">
        <v>53.8</v>
      </c>
      <c r="J1041" s="24">
        <f>MAX(H1041,ROUNDUP(I1041,0))</f>
        <v>54</v>
      </c>
      <c r="K1041" s="22">
        <f>IF(C1041="covered",10.4,7.55)</f>
        <v>10.4</v>
      </c>
      <c r="L1041" s="18" t="s">
        <v>5417</v>
      </c>
      <c r="M1041" s="24">
        <v>54</v>
      </c>
      <c r="N1041" s="22">
        <v>10.4</v>
      </c>
      <c r="O1041" s="22">
        <v>561.6</v>
      </c>
      <c r="P1041" s="22">
        <f>J1041*K1041</f>
        <v>561.6</v>
      </c>
      <c r="Q1041" s="22">
        <f>IF(L1041="","",N1041-K1041)</f>
        <v>0.0</v>
      </c>
      <c r="R1041" s="24">
        <f>IF(L1041="","",M1041-J1041)</f>
        <v>0.0</v>
      </c>
      <c r="S1041" s="22">
        <f>IF(L1041="",-P1041,O1041-P1041)</f>
        <v>0.0</v>
      </c>
      <c r="T1041" s="11" t="str">
        <f>IF(L1041="","NO BILL IN SUPPLIED EXPORT",IF(ABS(Q1041)&gt;0.001,"RATE EXCEPTION",IF(ABS(R1041)&gt;0.001,"LENGTH EXCEPTION",IF(ABS(S1041)&gt;0.01,"AMOUNT EXCEPTION","OK"))))</f>
        <v>OK</v>
      </c>
      <c r="U1041" s="19" t="s">
        <v>5418</v>
      </c>
    </row>
    <row r="1042" spans="1:21" ht="28" customHeight="1">
      <c r="A1042" s="14" t="s">
        <v>5419</v>
      </c>
      <c r="B1042" s="14" t="s">
        <v>192</v>
      </c>
      <c r="C1042" s="14" t="s">
        <v>2515</v>
      </c>
      <c r="D1042" s="14" t="s">
        <v>227</v>
      </c>
      <c r="E1042" s="14" t="s">
        <v>5420</v>
      </c>
      <c r="F1042" s="15" t="s">
        <v>5421</v>
      </c>
      <c r="G1042" s="15" t="s">
        <v>5422</v>
      </c>
      <c r="H1042" s="24">
        <v>24</v>
      </c>
      <c r="I1042" s="24">
        <v>55.2</v>
      </c>
      <c r="J1042" s="24">
        <f>MAX(H1042,ROUNDUP(I1042,0))</f>
        <v>56</v>
      </c>
      <c r="K1042" s="22">
        <f>IF(C1042="covered",10.4,7.55)</f>
        <v>10.4</v>
      </c>
      <c r="L1042" s="14" t="s">
        <v>5423</v>
      </c>
      <c r="M1042" s="24">
        <v>56</v>
      </c>
      <c r="N1042" s="22">
        <v>10.4</v>
      </c>
      <c r="O1042" s="22">
        <v>582.4</v>
      </c>
      <c r="P1042" s="22">
        <f>J1042*K1042</f>
        <v>582.4</v>
      </c>
      <c r="Q1042" s="22">
        <f>IF(L1042="","",N1042-K1042)</f>
        <v>0.0</v>
      </c>
      <c r="R1042" s="24">
        <f>IF(L1042="","",M1042-J1042)</f>
        <v>0.0</v>
      </c>
      <c r="S1042" s="22">
        <f>IF(L1042="",-P1042,O1042-P1042)</f>
        <v>0.0</v>
      </c>
      <c r="T1042" s="11" t="str">
        <f>IF(L1042="","NO BILL IN SUPPLIED EXPORT",IF(ABS(Q1042)&gt;0.001,"RATE EXCEPTION",IF(ABS(R1042)&gt;0.001,"LENGTH EXCEPTION",IF(ABS(S1042)&gt;0.01,"AMOUNT EXCEPTION","OK"))))</f>
        <v>OK</v>
      </c>
      <c r="U1042" s="15" t="s">
        <v>5424</v>
      </c>
    </row>
    <row r="1043" spans="1:21" ht="28" customHeight="1">
      <c r="A1043" s="18" t="s">
        <v>5425</v>
      </c>
      <c r="B1043" s="18" t="s">
        <v>192</v>
      </c>
      <c r="C1043" s="18" t="s">
        <v>2515</v>
      </c>
      <c r="D1043" s="18" t="s">
        <v>227</v>
      </c>
      <c r="E1043" s="18" t="s">
        <v>5426</v>
      </c>
      <c r="F1043" s="19" t="s">
        <v>5427</v>
      </c>
      <c r="G1043" s="19" t="s">
        <v>2750</v>
      </c>
      <c r="H1043" s="24">
        <v>24</v>
      </c>
      <c r="I1043" s="24">
        <v>54.7</v>
      </c>
      <c r="J1043" s="24">
        <f>MAX(H1043,ROUNDUP(I1043,0))</f>
        <v>55</v>
      </c>
      <c r="K1043" s="22">
        <f>IF(C1043="covered",10.4,7.55)</f>
        <v>10.4</v>
      </c>
      <c r="L1043" s="18" t="s">
        <v>5428</v>
      </c>
      <c r="M1043" s="24">
        <v>55</v>
      </c>
      <c r="N1043" s="22">
        <v>10.4</v>
      </c>
      <c r="O1043" s="22">
        <v>572</v>
      </c>
      <c r="P1043" s="22">
        <f>J1043*K1043</f>
        <v>572.0</v>
      </c>
      <c r="Q1043" s="22">
        <f>IF(L1043="","",N1043-K1043)</f>
        <v>0.0</v>
      </c>
      <c r="R1043" s="24">
        <f>IF(L1043="","",M1043-J1043)</f>
        <v>0.0</v>
      </c>
      <c r="S1043" s="22">
        <f>IF(L1043="",-P1043,O1043-P1043)</f>
        <v>0.0</v>
      </c>
      <c r="T1043" s="11" t="str">
        <f>IF(L1043="","NO BILL IN SUPPLIED EXPORT",IF(ABS(Q1043)&gt;0.001,"RATE EXCEPTION",IF(ABS(R1043)&gt;0.001,"LENGTH EXCEPTION",IF(ABS(S1043)&gt;0.01,"AMOUNT EXCEPTION","OK"))))</f>
        <v>OK</v>
      </c>
      <c r="U1043" s="19" t="s">
        <v>5429</v>
      </c>
    </row>
    <row r="1044" spans="1:21" ht="28" customHeight="1">
      <c r="A1044" s="14" t="s">
        <v>5430</v>
      </c>
      <c r="B1044" s="14" t="s">
        <v>192</v>
      </c>
      <c r="C1044" s="14" t="s">
        <v>2515</v>
      </c>
      <c r="D1044" s="14" t="s">
        <v>227</v>
      </c>
      <c r="E1044" s="14" t="s">
        <v>5431</v>
      </c>
      <c r="F1044" s="15" t="s">
        <v>5432</v>
      </c>
      <c r="G1044" s="15" t="s">
        <v>3242</v>
      </c>
      <c r="H1044" s="24">
        <v>40</v>
      </c>
      <c r="I1044" s="24">
        <v>37.8</v>
      </c>
      <c r="J1044" s="24">
        <f>MAX(H1044,ROUNDUP(I1044,0))</f>
        <v>40.0</v>
      </c>
      <c r="K1044" s="22">
        <f>IF(C1044="covered",10.4,7.55)</f>
        <v>10.4</v>
      </c>
      <c r="L1044" s="14" t="s">
        <v>5433</v>
      </c>
      <c r="M1044" s="24">
        <v>40</v>
      </c>
      <c r="N1044" s="22">
        <v>10.4</v>
      </c>
      <c r="O1044" s="22">
        <v>416</v>
      </c>
      <c r="P1044" s="22">
        <f>J1044*K1044</f>
        <v>416.0</v>
      </c>
      <c r="Q1044" s="22">
        <f>IF(L1044="","",N1044-K1044)</f>
        <v>0.0</v>
      </c>
      <c r="R1044" s="24">
        <f>IF(L1044="","",M1044-J1044)</f>
        <v>0.0</v>
      </c>
      <c r="S1044" s="22">
        <f>IF(L1044="",-P1044,O1044-P1044)</f>
        <v>0.0</v>
      </c>
      <c r="T1044" s="11" t="str">
        <f>IF(L1044="","NO BILL IN SUPPLIED EXPORT",IF(ABS(Q1044)&gt;0.001,"RATE EXCEPTION",IF(ABS(R1044)&gt;0.001,"LENGTH EXCEPTION",IF(ABS(S1044)&gt;0.01,"AMOUNT EXCEPTION","OK"))))</f>
        <v>OK</v>
      </c>
      <c r="U1044" s="15" t="s">
        <v>5434</v>
      </c>
    </row>
    <row r="1045" spans="1:21" ht="28" customHeight="1">
      <c r="A1045" s="18" t="s">
        <v>5435</v>
      </c>
      <c r="B1045" s="18" t="s">
        <v>192</v>
      </c>
      <c r="C1045" s="18" t="s">
        <v>2515</v>
      </c>
      <c r="D1045" s="18" t="s">
        <v>227</v>
      </c>
      <c r="E1045" s="18" t="s">
        <v>5436</v>
      </c>
      <c r="F1045" s="19" t="s">
        <v>5437</v>
      </c>
      <c r="G1045" s="19" t="s">
        <v>992</v>
      </c>
      <c r="H1045" s="24">
        <v>40</v>
      </c>
      <c r="I1045" s="24">
        <v>49.8</v>
      </c>
      <c r="J1045" s="24">
        <f>MAX(H1045,ROUNDUP(I1045,0))</f>
        <v>50</v>
      </c>
      <c r="K1045" s="22">
        <f>IF(C1045="covered",10.4,7.55)</f>
        <v>10.4</v>
      </c>
      <c r="L1045" s="18" t="s">
        <v>5438</v>
      </c>
      <c r="M1045" s="24">
        <v>50</v>
      </c>
      <c r="N1045" s="22">
        <v>10.4</v>
      </c>
      <c r="O1045" s="22">
        <v>520</v>
      </c>
      <c r="P1045" s="22">
        <f>J1045*K1045</f>
        <v>520.0</v>
      </c>
      <c r="Q1045" s="22">
        <f>IF(L1045="","",N1045-K1045)</f>
        <v>0.0</v>
      </c>
      <c r="R1045" s="24">
        <f>IF(L1045="","",M1045-J1045)</f>
        <v>0.0</v>
      </c>
      <c r="S1045" s="22">
        <f>IF(L1045="",-P1045,O1045-P1045)</f>
        <v>0.0</v>
      </c>
      <c r="T1045" s="11" t="str">
        <f>IF(L1045="","NO BILL IN SUPPLIED EXPORT",IF(ABS(Q1045)&gt;0.001,"RATE EXCEPTION",IF(ABS(R1045)&gt;0.001,"LENGTH EXCEPTION",IF(ABS(S1045)&gt;0.01,"AMOUNT EXCEPTION","OK"))))</f>
        <v>OK</v>
      </c>
      <c r="U1045" s="19" t="s">
        <v>5439</v>
      </c>
    </row>
    <row r="1046" spans="1:21" ht="28" customHeight="1">
      <c r="A1046" s="14" t="s">
        <v>5440</v>
      </c>
      <c r="B1046" s="14" t="s">
        <v>192</v>
      </c>
      <c r="C1046" s="14" t="s">
        <v>2515</v>
      </c>
      <c r="D1046" s="14" t="s">
        <v>227</v>
      </c>
      <c r="E1046" s="14" t="s">
        <v>5441</v>
      </c>
      <c r="F1046" s="15" t="s">
        <v>5442</v>
      </c>
      <c r="G1046" s="15" t="s">
        <v>370</v>
      </c>
      <c r="H1046" s="24">
        <v>28</v>
      </c>
      <c r="I1046" s="24">
        <v>27.9</v>
      </c>
      <c r="J1046" s="24">
        <f>MAX(H1046,ROUNDUP(I1046,0))</f>
        <v>28.0</v>
      </c>
      <c r="K1046" s="22">
        <f>IF(C1046="covered",10.4,7.55)</f>
        <v>10.4</v>
      </c>
      <c r="L1046" s="14" t="s">
        <v>5443</v>
      </c>
      <c r="M1046" s="24">
        <v>28</v>
      </c>
      <c r="N1046" s="22">
        <v>10.4</v>
      </c>
      <c r="O1046" s="22">
        <v>291.2</v>
      </c>
      <c r="P1046" s="22">
        <f>J1046*K1046</f>
        <v>291.2</v>
      </c>
      <c r="Q1046" s="22">
        <f>IF(L1046="","",N1046-K1046)</f>
        <v>0.0</v>
      </c>
      <c r="R1046" s="24">
        <f>IF(L1046="","",M1046-J1046)</f>
        <v>0.0</v>
      </c>
      <c r="S1046" s="22">
        <f>IF(L1046="",-P1046,O1046-P1046)</f>
        <v>0.0</v>
      </c>
      <c r="T1046" s="11" t="str">
        <f>IF(L1046="","NO BILL IN SUPPLIED EXPORT",IF(ABS(Q1046)&gt;0.001,"RATE EXCEPTION",IF(ABS(R1046)&gt;0.001,"LENGTH EXCEPTION",IF(ABS(S1046)&gt;0.01,"AMOUNT EXCEPTION","OK"))))</f>
        <v>OK</v>
      </c>
      <c r="U1046" s="15" t="s">
        <v>5444</v>
      </c>
    </row>
    <row r="1047" spans="1:21" ht="28" customHeight="1">
      <c r="A1047" s="18" t="s">
        <v>5445</v>
      </c>
      <c r="B1047" s="18" t="s">
        <v>192</v>
      </c>
      <c r="C1047" s="18" t="s">
        <v>2515</v>
      </c>
      <c r="D1047" s="18" t="s">
        <v>227</v>
      </c>
      <c r="E1047" s="18" t="s">
        <v>5446</v>
      </c>
      <c r="F1047" s="19" t="s">
        <v>5447</v>
      </c>
      <c r="G1047" s="19" t="s">
        <v>2253</v>
      </c>
      <c r="H1047" s="24">
        <v>24</v>
      </c>
      <c r="I1047" s="24">
        <v>21.2</v>
      </c>
      <c r="J1047" s="24">
        <f>MAX(H1047,ROUNDUP(I1047,0))</f>
        <v>24.0</v>
      </c>
      <c r="K1047" s="22">
        <f>IF(C1047="covered",10.4,7.55)</f>
        <v>10.4</v>
      </c>
      <c r="L1047" s="18" t="s">
        <v>5448</v>
      </c>
      <c r="M1047" s="24">
        <v>24</v>
      </c>
      <c r="N1047" s="22">
        <v>10.4</v>
      </c>
      <c r="O1047" s="22">
        <v>249.6</v>
      </c>
      <c r="P1047" s="22">
        <f>J1047*K1047</f>
        <v>249.60000000000002</v>
      </c>
      <c r="Q1047" s="22">
        <f>IF(L1047="","",N1047-K1047)</f>
        <v>0.0</v>
      </c>
      <c r="R1047" s="24">
        <f>IF(L1047="","",M1047-J1047)</f>
        <v>0.0</v>
      </c>
      <c r="S1047" s="22">
        <f>IF(L1047="",-P1047,O1047-P1047)</f>
        <v>-2.842170943040401e-14</v>
      </c>
      <c r="T1047" s="11" t="str">
        <f>IF(L1047="","NO BILL IN SUPPLIED EXPORT",IF(ABS(Q1047)&gt;0.001,"RATE EXCEPTION",IF(ABS(R1047)&gt;0.001,"LENGTH EXCEPTION",IF(ABS(S1047)&gt;0.01,"AMOUNT EXCEPTION","OK"))))</f>
        <v>OK</v>
      </c>
      <c r="U1047" s="19" t="s">
        <v>5449</v>
      </c>
    </row>
    <row r="1048" spans="1:21" ht="28" customHeight="1">
      <c r="A1048" s="14" t="s">
        <v>5450</v>
      </c>
      <c r="B1048" s="14" t="s">
        <v>192</v>
      </c>
      <c r="C1048" s="14" t="s">
        <v>2515</v>
      </c>
      <c r="D1048" s="14" t="s">
        <v>227</v>
      </c>
      <c r="E1048" s="14" t="s">
        <v>5451</v>
      </c>
      <c r="F1048" s="15" t="s">
        <v>5452</v>
      </c>
      <c r="G1048" s="15" t="s">
        <v>5453</v>
      </c>
      <c r="H1048" s="24">
        <v>32</v>
      </c>
      <c r="I1048" s="24">
        <v>23.2</v>
      </c>
      <c r="J1048" s="24">
        <f>MAX(H1048,ROUNDUP(I1048,0))</f>
        <v>32.0</v>
      </c>
      <c r="K1048" s="22">
        <f>IF(C1048="covered",10.4,7.55)</f>
        <v>10.4</v>
      </c>
      <c r="L1048" s="14" t="s">
        <v>5454</v>
      </c>
      <c r="M1048" s="24">
        <v>32</v>
      </c>
      <c r="N1048" s="22">
        <v>10.4</v>
      </c>
      <c r="O1048" s="22">
        <v>332.8</v>
      </c>
      <c r="P1048" s="22">
        <f>J1048*K1048</f>
        <v>332.8</v>
      </c>
      <c r="Q1048" s="22">
        <f>IF(L1048="","",N1048-K1048)</f>
        <v>0.0</v>
      </c>
      <c r="R1048" s="24">
        <f>IF(L1048="","",M1048-J1048)</f>
        <v>0.0</v>
      </c>
      <c r="S1048" s="22">
        <f>IF(L1048="",-P1048,O1048-P1048)</f>
        <v>0.0</v>
      </c>
      <c r="T1048" s="11" t="str">
        <f>IF(L1048="","NO BILL IN SUPPLIED EXPORT",IF(ABS(Q1048)&gt;0.001,"RATE EXCEPTION",IF(ABS(R1048)&gt;0.001,"LENGTH EXCEPTION",IF(ABS(S1048)&gt;0.01,"AMOUNT EXCEPTION","OK"))))</f>
        <v>OK</v>
      </c>
      <c r="U1048" s="15" t="s">
        <v>5455</v>
      </c>
    </row>
    <row r="1049" spans="1:21" ht="28" customHeight="1">
      <c r="A1049" s="18" t="s">
        <v>5456</v>
      </c>
      <c r="B1049" s="18" t="s">
        <v>192</v>
      </c>
      <c r="C1049" s="18" t="s">
        <v>2515</v>
      </c>
      <c r="D1049" s="18" t="s">
        <v>227</v>
      </c>
      <c r="E1049" s="18" t="s">
        <v>5457</v>
      </c>
      <c r="F1049" s="19" t="s">
        <v>5458</v>
      </c>
      <c r="G1049" s="19" t="s">
        <v>5459</v>
      </c>
      <c r="H1049" s="24">
        <v>32</v>
      </c>
      <c r="I1049" s="24">
        <v>18.4</v>
      </c>
      <c r="J1049" s="24">
        <f>MAX(H1049,ROUNDUP(I1049,0))</f>
        <v>32.0</v>
      </c>
      <c r="K1049" s="22">
        <f>IF(C1049="covered",10.4,7.55)</f>
        <v>10.4</v>
      </c>
      <c r="L1049" s="18" t="s">
        <v>5460</v>
      </c>
      <c r="M1049" s="24">
        <v>32</v>
      </c>
      <c r="N1049" s="22">
        <v>10.4</v>
      </c>
      <c r="O1049" s="22">
        <v>332.8</v>
      </c>
      <c r="P1049" s="22">
        <f>J1049*K1049</f>
        <v>332.8</v>
      </c>
      <c r="Q1049" s="22">
        <f>IF(L1049="","",N1049-K1049)</f>
        <v>0.0</v>
      </c>
      <c r="R1049" s="24">
        <f>IF(L1049="","",M1049-J1049)</f>
        <v>0.0</v>
      </c>
      <c r="S1049" s="22">
        <f>IF(L1049="",-P1049,O1049-P1049)</f>
        <v>0.0</v>
      </c>
      <c r="T1049" s="11" t="str">
        <f>IF(L1049="","NO BILL IN SUPPLIED EXPORT",IF(ABS(Q1049)&gt;0.001,"RATE EXCEPTION",IF(ABS(R1049)&gt;0.001,"LENGTH EXCEPTION",IF(ABS(S1049)&gt;0.01,"AMOUNT EXCEPTION","OK"))))</f>
        <v>OK</v>
      </c>
      <c r="U1049" s="19" t="s">
        <v>5461</v>
      </c>
    </row>
    <row r="1050" spans="1:21" ht="28" customHeight="1">
      <c r="A1050" s="14" t="s">
        <v>5462</v>
      </c>
      <c r="B1050" s="14" t="s">
        <v>192</v>
      </c>
      <c r="C1050" s="14" t="s">
        <v>2515</v>
      </c>
      <c r="D1050" s="14" t="s">
        <v>227</v>
      </c>
      <c r="E1050" s="14" t="s">
        <v>5463</v>
      </c>
      <c r="F1050" s="15" t="s">
        <v>2580</v>
      </c>
      <c r="G1050" s="15" t="s">
        <v>400</v>
      </c>
      <c r="H1050" s="24">
        <v>36</v>
      </c>
      <c r="I1050" s="24">
        <v>58.2</v>
      </c>
      <c r="J1050" s="24">
        <f>MAX(H1050,ROUNDUP(I1050,0))</f>
        <v>59</v>
      </c>
      <c r="K1050" s="22">
        <f>IF(C1050="covered",10.4,7.55)</f>
        <v>10.4</v>
      </c>
      <c r="L1050" s="14" t="s">
        <v>5464</v>
      </c>
      <c r="M1050" s="24">
        <v>59</v>
      </c>
      <c r="N1050" s="22">
        <v>10.4</v>
      </c>
      <c r="O1050" s="22">
        <v>613.6</v>
      </c>
      <c r="P1050" s="22">
        <f>J1050*K1050</f>
        <v>613.6</v>
      </c>
      <c r="Q1050" s="22">
        <f>IF(L1050="","",N1050-K1050)</f>
        <v>0.0</v>
      </c>
      <c r="R1050" s="24">
        <f>IF(L1050="","",M1050-J1050)</f>
        <v>0.0</v>
      </c>
      <c r="S1050" s="22">
        <f>IF(L1050="",-P1050,O1050-P1050)</f>
        <v>0.0</v>
      </c>
      <c r="T1050" s="11" t="str">
        <f>IF(L1050="","NO BILL IN SUPPLIED EXPORT",IF(ABS(Q1050)&gt;0.001,"RATE EXCEPTION",IF(ABS(R1050)&gt;0.001,"LENGTH EXCEPTION",IF(ABS(S1050)&gt;0.01,"AMOUNT EXCEPTION","OK"))))</f>
        <v>OK</v>
      </c>
      <c r="U1050" s="15" t="s">
        <v>5465</v>
      </c>
    </row>
    <row r="1051" spans="1:21" ht="28" customHeight="1">
      <c r="A1051" s="18" t="s">
        <v>5466</v>
      </c>
      <c r="B1051" s="18" t="s">
        <v>192</v>
      </c>
      <c r="C1051" s="18" t="s">
        <v>2515</v>
      </c>
      <c r="D1051" s="18" t="s">
        <v>227</v>
      </c>
      <c r="E1051" s="18" t="s">
        <v>5467</v>
      </c>
      <c r="F1051" s="19" t="s">
        <v>5468</v>
      </c>
      <c r="G1051" s="19" t="s">
        <v>1914</v>
      </c>
      <c r="H1051" s="24">
        <v>24</v>
      </c>
      <c r="I1051" s="24">
        <v>18.2</v>
      </c>
      <c r="J1051" s="24">
        <f>MAX(H1051,ROUNDUP(I1051,0))</f>
        <v>24.0</v>
      </c>
      <c r="K1051" s="22">
        <f>IF(C1051="covered",10.4,7.55)</f>
        <v>10.4</v>
      </c>
      <c r="L1051" s="18" t="s">
        <v>5469</v>
      </c>
      <c r="M1051" s="24">
        <v>24</v>
      </c>
      <c r="N1051" s="22">
        <v>10.4</v>
      </c>
      <c r="O1051" s="22">
        <v>249.6</v>
      </c>
      <c r="P1051" s="22">
        <f>J1051*K1051</f>
        <v>249.60000000000002</v>
      </c>
      <c r="Q1051" s="22">
        <f>IF(L1051="","",N1051-K1051)</f>
        <v>0.0</v>
      </c>
      <c r="R1051" s="24">
        <f>IF(L1051="","",M1051-J1051)</f>
        <v>0.0</v>
      </c>
      <c r="S1051" s="22">
        <f>IF(L1051="",-P1051,O1051-P1051)</f>
        <v>-2.842170943040401e-14</v>
      </c>
      <c r="T1051" s="11" t="str">
        <f>IF(L1051="","NO BILL IN SUPPLIED EXPORT",IF(ABS(Q1051)&gt;0.001,"RATE EXCEPTION",IF(ABS(R1051)&gt;0.001,"LENGTH EXCEPTION",IF(ABS(S1051)&gt;0.01,"AMOUNT EXCEPTION","OK"))))</f>
        <v>OK</v>
      </c>
      <c r="U1051" s="19" t="s">
        <v>5470</v>
      </c>
    </row>
    <row r="1052" spans="1:21" ht="28" customHeight="1">
      <c r="A1052" s="14" t="s">
        <v>5471</v>
      </c>
      <c r="B1052" s="14" t="s">
        <v>192</v>
      </c>
      <c r="C1052" s="14" t="s">
        <v>2515</v>
      </c>
      <c r="D1052" s="14" t="s">
        <v>227</v>
      </c>
      <c r="E1052" s="14" t="s">
        <v>5472</v>
      </c>
      <c r="F1052" s="15" t="s">
        <v>5473</v>
      </c>
      <c r="G1052" s="15" t="s">
        <v>755</v>
      </c>
      <c r="H1052" s="24">
        <v>32</v>
      </c>
      <c r="I1052" s="24">
        <v>21.3</v>
      </c>
      <c r="J1052" s="24">
        <f>MAX(H1052,ROUNDUP(I1052,0))</f>
        <v>32.0</v>
      </c>
      <c r="K1052" s="22">
        <f>IF(C1052="covered",10.4,7.55)</f>
        <v>10.4</v>
      </c>
      <c r="L1052" s="14" t="s">
        <v>5474</v>
      </c>
      <c r="M1052" s="24">
        <v>32</v>
      </c>
      <c r="N1052" s="22">
        <v>10.4</v>
      </c>
      <c r="O1052" s="22">
        <v>332.8</v>
      </c>
      <c r="P1052" s="22">
        <f>J1052*K1052</f>
        <v>332.8</v>
      </c>
      <c r="Q1052" s="22">
        <f>IF(L1052="","",N1052-K1052)</f>
        <v>0.0</v>
      </c>
      <c r="R1052" s="24">
        <f>IF(L1052="","",M1052-J1052)</f>
        <v>0.0</v>
      </c>
      <c r="S1052" s="22">
        <f>IF(L1052="",-P1052,O1052-P1052)</f>
        <v>0.0</v>
      </c>
      <c r="T1052" s="11" t="str">
        <f>IF(L1052="","NO BILL IN SUPPLIED EXPORT",IF(ABS(Q1052)&gt;0.001,"RATE EXCEPTION",IF(ABS(R1052)&gt;0.001,"LENGTH EXCEPTION",IF(ABS(S1052)&gt;0.01,"AMOUNT EXCEPTION","OK"))))</f>
        <v>OK</v>
      </c>
      <c r="U1052" s="15" t="s">
        <v>5475</v>
      </c>
    </row>
    <row r="1053" spans="1:21" ht="28" customHeight="1">
      <c r="A1053" s="18" t="s">
        <v>5476</v>
      </c>
      <c r="B1053" s="18" t="s">
        <v>192</v>
      </c>
      <c r="C1053" s="18" t="s">
        <v>2515</v>
      </c>
      <c r="D1053" s="18" t="s">
        <v>227</v>
      </c>
      <c r="E1053" s="18" t="s">
        <v>5477</v>
      </c>
      <c r="F1053" s="19" t="s">
        <v>5478</v>
      </c>
      <c r="G1053" s="19" t="s">
        <v>424</v>
      </c>
      <c r="H1053" s="24">
        <v>40</v>
      </c>
      <c r="I1053" s="24">
        <v>52.9</v>
      </c>
      <c r="J1053" s="24">
        <f>MAX(H1053,ROUNDUP(I1053,0))</f>
        <v>53</v>
      </c>
      <c r="K1053" s="22">
        <f>IF(C1053="covered",10.4,7.55)</f>
        <v>10.4</v>
      </c>
      <c r="L1053" s="18" t="s">
        <v>5479</v>
      </c>
      <c r="M1053" s="24">
        <v>53</v>
      </c>
      <c r="N1053" s="22">
        <v>10.4</v>
      </c>
      <c r="O1053" s="22">
        <v>551.2</v>
      </c>
      <c r="P1053" s="22">
        <f>J1053*K1053</f>
        <v>551.2</v>
      </c>
      <c r="Q1053" s="22">
        <f>IF(L1053="","",N1053-K1053)</f>
        <v>0.0</v>
      </c>
      <c r="R1053" s="24">
        <f>IF(L1053="","",M1053-J1053)</f>
        <v>0.0</v>
      </c>
      <c r="S1053" s="22">
        <f>IF(L1053="",-P1053,O1053-P1053)</f>
        <v>0.0</v>
      </c>
      <c r="T1053" s="11" t="str">
        <f>IF(L1053="","NO BILL IN SUPPLIED EXPORT",IF(ABS(Q1053)&gt;0.001,"RATE EXCEPTION",IF(ABS(R1053)&gt;0.001,"LENGTH EXCEPTION",IF(ABS(S1053)&gt;0.01,"AMOUNT EXCEPTION","OK"))))</f>
        <v>OK</v>
      </c>
      <c r="U1053" s="19" t="s">
        <v>5480</v>
      </c>
    </row>
    <row r="1054" spans="1:21" ht="28" customHeight="1">
      <c r="A1054" s="14" t="s">
        <v>5481</v>
      </c>
      <c r="B1054" s="14" t="s">
        <v>192</v>
      </c>
      <c r="C1054" s="14" t="s">
        <v>2515</v>
      </c>
      <c r="D1054" s="14" t="s">
        <v>227</v>
      </c>
      <c r="E1054" s="14" t="s">
        <v>5482</v>
      </c>
      <c r="F1054" s="15" t="s">
        <v>5483</v>
      </c>
      <c r="G1054" s="15" t="s">
        <v>1027</v>
      </c>
      <c r="H1054" s="24">
        <v>32</v>
      </c>
      <c r="I1054" s="24">
        <v>33.4</v>
      </c>
      <c r="J1054" s="24">
        <f>MAX(H1054,ROUNDUP(I1054,0))</f>
        <v>34</v>
      </c>
      <c r="K1054" s="22">
        <f>IF(C1054="covered",10.4,7.55)</f>
        <v>10.4</v>
      </c>
      <c r="L1054" s="14" t="s">
        <v>5484</v>
      </c>
      <c r="M1054" s="24">
        <v>34</v>
      </c>
      <c r="N1054" s="22">
        <v>10.4</v>
      </c>
      <c r="O1054" s="22">
        <v>353.6</v>
      </c>
      <c r="P1054" s="22">
        <f>J1054*K1054</f>
        <v>353.6</v>
      </c>
      <c r="Q1054" s="22">
        <f>IF(L1054="","",N1054-K1054)</f>
        <v>0.0</v>
      </c>
      <c r="R1054" s="24">
        <f>IF(L1054="","",M1054-J1054)</f>
        <v>0.0</v>
      </c>
      <c r="S1054" s="22">
        <f>IF(L1054="",-P1054,O1054-P1054)</f>
        <v>0.0</v>
      </c>
      <c r="T1054" s="11" t="str">
        <f>IF(L1054="","NO BILL IN SUPPLIED EXPORT",IF(ABS(Q1054)&gt;0.001,"RATE EXCEPTION",IF(ABS(R1054)&gt;0.001,"LENGTH EXCEPTION",IF(ABS(S1054)&gt;0.01,"AMOUNT EXCEPTION","OK"))))</f>
        <v>OK</v>
      </c>
      <c r="U1054" s="15" t="s">
        <v>5485</v>
      </c>
    </row>
    <row r="1055" spans="1:21" ht="28" customHeight="1">
      <c r="A1055" s="18" t="s">
        <v>5486</v>
      </c>
      <c r="B1055" s="18" t="s">
        <v>192</v>
      </c>
      <c r="C1055" s="18" t="s">
        <v>2515</v>
      </c>
      <c r="D1055" s="18" t="s">
        <v>227</v>
      </c>
      <c r="E1055" s="18" t="s">
        <v>5487</v>
      </c>
      <c r="F1055" s="19" t="s">
        <v>5488</v>
      </c>
      <c r="G1055" s="19" t="s">
        <v>3958</v>
      </c>
      <c r="H1055" s="24">
        <v>28</v>
      </c>
      <c r="I1055" s="24">
        <v>56.2</v>
      </c>
      <c r="J1055" s="24">
        <f>MAX(H1055,ROUNDUP(I1055,0))</f>
        <v>57</v>
      </c>
      <c r="K1055" s="22">
        <f>IF(C1055="covered",10.4,7.55)</f>
        <v>10.4</v>
      </c>
      <c r="L1055" s="18" t="s">
        <v>5489</v>
      </c>
      <c r="M1055" s="24">
        <v>57</v>
      </c>
      <c r="N1055" s="22">
        <v>10.4</v>
      </c>
      <c r="O1055" s="22">
        <v>592.8</v>
      </c>
      <c r="P1055" s="22">
        <f>J1055*K1055</f>
        <v>592.8000000000001</v>
      </c>
      <c r="Q1055" s="22">
        <f>IF(L1055="","",N1055-K1055)</f>
        <v>0.0</v>
      </c>
      <c r="R1055" s="24">
        <f>IF(L1055="","",M1055-J1055)</f>
        <v>0.0</v>
      </c>
      <c r="S1055" s="22">
        <f>IF(L1055="",-P1055,O1055-P1055)</f>
        <v>-1.1368683772161603e-13</v>
      </c>
      <c r="T1055" s="11" t="str">
        <f>IF(L1055="","NO BILL IN SUPPLIED EXPORT",IF(ABS(Q1055)&gt;0.001,"RATE EXCEPTION",IF(ABS(R1055)&gt;0.001,"LENGTH EXCEPTION",IF(ABS(S1055)&gt;0.01,"AMOUNT EXCEPTION","OK"))))</f>
        <v>OK</v>
      </c>
      <c r="U1055" s="19" t="s">
        <v>5490</v>
      </c>
    </row>
    <row r="1056" spans="1:21" ht="28" customHeight="1">
      <c r="A1056" s="14" t="s">
        <v>5491</v>
      </c>
      <c r="B1056" s="14" t="s">
        <v>192</v>
      </c>
      <c r="C1056" s="14" t="s">
        <v>2515</v>
      </c>
      <c r="D1056" s="14" t="s">
        <v>227</v>
      </c>
      <c r="E1056" s="14" t="s">
        <v>5492</v>
      </c>
      <c r="F1056" s="15" t="s">
        <v>5493</v>
      </c>
      <c r="G1056" s="15" t="s">
        <v>3544</v>
      </c>
      <c r="H1056" s="24">
        <v>28</v>
      </c>
      <c r="I1056" s="24">
        <v>59.7</v>
      </c>
      <c r="J1056" s="24">
        <f>MAX(H1056,ROUNDUP(I1056,0))</f>
        <v>60</v>
      </c>
      <c r="K1056" s="22">
        <f>IF(C1056="covered",10.4,7.55)</f>
        <v>10.4</v>
      </c>
      <c r="L1056" s="14" t="s">
        <v>5494</v>
      </c>
      <c r="M1056" s="24">
        <v>60</v>
      </c>
      <c r="N1056" s="22">
        <v>10.4</v>
      </c>
      <c r="O1056" s="22">
        <v>624</v>
      </c>
      <c r="P1056" s="22">
        <f>J1056*K1056</f>
        <v>624.0</v>
      </c>
      <c r="Q1056" s="22">
        <f>IF(L1056="","",N1056-K1056)</f>
        <v>0.0</v>
      </c>
      <c r="R1056" s="24">
        <f>IF(L1056="","",M1056-J1056)</f>
        <v>0.0</v>
      </c>
      <c r="S1056" s="22">
        <f>IF(L1056="",-P1056,O1056-P1056)</f>
        <v>0.0</v>
      </c>
      <c r="T1056" s="11" t="str">
        <f>IF(L1056="","NO BILL IN SUPPLIED EXPORT",IF(ABS(Q1056)&gt;0.001,"RATE EXCEPTION",IF(ABS(R1056)&gt;0.001,"LENGTH EXCEPTION",IF(ABS(S1056)&gt;0.01,"AMOUNT EXCEPTION","OK"))))</f>
        <v>OK</v>
      </c>
      <c r="U1056" s="15" t="s">
        <v>5495</v>
      </c>
    </row>
    <row r="1057" spans="1:21" ht="28" customHeight="1">
      <c r="A1057" s="18" t="s">
        <v>5496</v>
      </c>
      <c r="B1057" s="18" t="s">
        <v>192</v>
      </c>
      <c r="C1057" s="18" t="s">
        <v>2515</v>
      </c>
      <c r="D1057" s="18" t="s">
        <v>227</v>
      </c>
      <c r="E1057" s="18" t="s">
        <v>5497</v>
      </c>
      <c r="F1057" s="19" t="s">
        <v>5498</v>
      </c>
      <c r="G1057" s="19" t="s">
        <v>1405</v>
      </c>
      <c r="H1057" s="24">
        <v>36</v>
      </c>
      <c r="I1057" s="24">
        <v>22.4</v>
      </c>
      <c r="J1057" s="24">
        <f>MAX(H1057,ROUNDUP(I1057,0))</f>
        <v>36.0</v>
      </c>
      <c r="K1057" s="22">
        <f>IF(C1057="covered",10.4,7.55)</f>
        <v>10.4</v>
      </c>
      <c r="L1057" s="18" t="s">
        <v>5499</v>
      </c>
      <c r="M1057" s="24">
        <v>36</v>
      </c>
      <c r="N1057" s="22">
        <v>10.4</v>
      </c>
      <c r="O1057" s="22">
        <v>374.4</v>
      </c>
      <c r="P1057" s="22">
        <f>J1057*K1057</f>
        <v>374.40000000000003</v>
      </c>
      <c r="Q1057" s="22">
        <f>IF(L1057="","",N1057-K1057)</f>
        <v>0.0</v>
      </c>
      <c r="R1057" s="24">
        <f>IF(L1057="","",M1057-J1057)</f>
        <v>0.0</v>
      </c>
      <c r="S1057" s="22">
        <f>IF(L1057="",-P1057,O1057-P1057)</f>
        <v>-5.684341886080802e-14</v>
      </c>
      <c r="T1057" s="11" t="str">
        <f>IF(L1057="","NO BILL IN SUPPLIED EXPORT",IF(ABS(Q1057)&gt;0.001,"RATE EXCEPTION",IF(ABS(R1057)&gt;0.001,"LENGTH EXCEPTION",IF(ABS(S1057)&gt;0.01,"AMOUNT EXCEPTION","OK"))))</f>
        <v>OK</v>
      </c>
      <c r="U1057" s="19" t="s">
        <v>5500</v>
      </c>
    </row>
    <row r="1058" spans="1:21" ht="28" customHeight="1">
      <c r="A1058" s="14" t="s">
        <v>5501</v>
      </c>
      <c r="B1058" s="14" t="s">
        <v>192</v>
      </c>
      <c r="C1058" s="14" t="s">
        <v>2515</v>
      </c>
      <c r="D1058" s="14" t="s">
        <v>227</v>
      </c>
      <c r="E1058" s="14" t="s">
        <v>5502</v>
      </c>
      <c r="F1058" s="15" t="s">
        <v>5503</v>
      </c>
      <c r="G1058" s="15" t="s">
        <v>5504</v>
      </c>
      <c r="H1058" s="24">
        <v>32</v>
      </c>
      <c r="I1058" s="24">
        <v>58.6</v>
      </c>
      <c r="J1058" s="24">
        <f>MAX(H1058,ROUNDUP(I1058,0))</f>
        <v>59</v>
      </c>
      <c r="K1058" s="22">
        <f>IF(C1058="covered",10.4,7.55)</f>
        <v>10.4</v>
      </c>
      <c r="L1058" s="14" t="s">
        <v>5505</v>
      </c>
      <c r="M1058" s="24">
        <v>59</v>
      </c>
      <c r="N1058" s="22">
        <v>10.4</v>
      </c>
      <c r="O1058" s="22">
        <v>613.6</v>
      </c>
      <c r="P1058" s="22">
        <f>J1058*K1058</f>
        <v>613.6</v>
      </c>
      <c r="Q1058" s="22">
        <f>IF(L1058="","",N1058-K1058)</f>
        <v>0.0</v>
      </c>
      <c r="R1058" s="24">
        <f>IF(L1058="","",M1058-J1058)</f>
        <v>0.0</v>
      </c>
      <c r="S1058" s="22">
        <f>IF(L1058="",-P1058,O1058-P1058)</f>
        <v>0.0</v>
      </c>
      <c r="T1058" s="11" t="str">
        <f>IF(L1058="","NO BILL IN SUPPLIED EXPORT",IF(ABS(Q1058)&gt;0.001,"RATE EXCEPTION",IF(ABS(R1058)&gt;0.001,"LENGTH EXCEPTION",IF(ABS(S1058)&gt;0.01,"AMOUNT EXCEPTION","OK"))))</f>
        <v>OK</v>
      </c>
      <c r="U1058" s="15" t="s">
        <v>5506</v>
      </c>
    </row>
    <row r="1059" spans="1:21" ht="28" customHeight="1">
      <c r="A1059" s="18" t="s">
        <v>5507</v>
      </c>
      <c r="B1059" s="18" t="s">
        <v>192</v>
      </c>
      <c r="C1059" s="18" t="s">
        <v>2515</v>
      </c>
      <c r="D1059" s="18" t="s">
        <v>227</v>
      </c>
      <c r="E1059" s="18" t="s">
        <v>5508</v>
      </c>
      <c r="F1059" s="19" t="s">
        <v>5509</v>
      </c>
      <c r="G1059" s="19" t="s">
        <v>1063</v>
      </c>
      <c r="H1059" s="24">
        <v>28</v>
      </c>
      <c r="I1059" s="24">
        <v>54.9</v>
      </c>
      <c r="J1059" s="24">
        <f>MAX(H1059,ROUNDUP(I1059,0))</f>
        <v>55</v>
      </c>
      <c r="K1059" s="22">
        <f>IF(C1059="covered",10.4,7.55)</f>
        <v>10.4</v>
      </c>
      <c r="L1059" s="18" t="s">
        <v>5510</v>
      </c>
      <c r="M1059" s="24">
        <v>55</v>
      </c>
      <c r="N1059" s="22">
        <v>10.4</v>
      </c>
      <c r="O1059" s="22">
        <v>572</v>
      </c>
      <c r="P1059" s="22">
        <f>J1059*K1059</f>
        <v>572.0</v>
      </c>
      <c r="Q1059" s="22">
        <f>IF(L1059="","",N1059-K1059)</f>
        <v>0.0</v>
      </c>
      <c r="R1059" s="24">
        <f>IF(L1059="","",M1059-J1059)</f>
        <v>0.0</v>
      </c>
      <c r="S1059" s="22">
        <f>IF(L1059="",-P1059,O1059-P1059)</f>
        <v>0.0</v>
      </c>
      <c r="T1059" s="11" t="str">
        <f>IF(L1059="","NO BILL IN SUPPLIED EXPORT",IF(ABS(Q1059)&gt;0.001,"RATE EXCEPTION",IF(ABS(R1059)&gt;0.001,"LENGTH EXCEPTION",IF(ABS(S1059)&gt;0.01,"AMOUNT EXCEPTION","OK"))))</f>
        <v>OK</v>
      </c>
      <c r="U1059" s="19" t="s">
        <v>5511</v>
      </c>
    </row>
    <row r="1060" spans="1:21" ht="28" customHeight="1">
      <c r="A1060" s="14" t="s">
        <v>5512</v>
      </c>
      <c r="B1060" s="14" t="s">
        <v>192</v>
      </c>
      <c r="C1060" s="14" t="s">
        <v>2515</v>
      </c>
      <c r="D1060" s="14" t="s">
        <v>227</v>
      </c>
      <c r="E1060" s="14" t="s">
        <v>5513</v>
      </c>
      <c r="F1060" s="15" t="s">
        <v>5514</v>
      </c>
      <c r="G1060" s="15" t="s">
        <v>5247</v>
      </c>
      <c r="H1060" s="24">
        <v>24</v>
      </c>
      <c r="I1060" s="24">
        <v>47</v>
      </c>
      <c r="J1060" s="24">
        <f>MAX(H1060,ROUNDUP(I1060,0))</f>
        <v>47</v>
      </c>
      <c r="K1060" s="22">
        <f>IF(C1060="covered",10.4,7.55)</f>
        <v>10.4</v>
      </c>
      <c r="L1060" s="14" t="s">
        <v>5515</v>
      </c>
      <c r="M1060" s="24">
        <v>47</v>
      </c>
      <c r="N1060" s="22">
        <v>10.4</v>
      </c>
      <c r="O1060" s="22">
        <v>488.8</v>
      </c>
      <c r="P1060" s="22">
        <f>J1060*K1060</f>
        <v>488.8</v>
      </c>
      <c r="Q1060" s="22">
        <f>IF(L1060="","",N1060-K1060)</f>
        <v>0.0</v>
      </c>
      <c r="R1060" s="24">
        <f>IF(L1060="","",M1060-J1060)</f>
        <v>0.0</v>
      </c>
      <c r="S1060" s="22">
        <f>IF(L1060="",-P1060,O1060-P1060)</f>
        <v>0.0</v>
      </c>
      <c r="T1060" s="11" t="str">
        <f>IF(L1060="","NO BILL IN SUPPLIED EXPORT",IF(ABS(Q1060)&gt;0.001,"RATE EXCEPTION",IF(ABS(R1060)&gt;0.001,"LENGTH EXCEPTION",IF(ABS(S1060)&gt;0.01,"AMOUNT EXCEPTION","OK"))))</f>
        <v>OK</v>
      </c>
      <c r="U1060" s="15" t="s">
        <v>5516</v>
      </c>
    </row>
    <row r="1061" spans="1:21" ht="28" customHeight="1">
      <c r="A1061" s="18" t="s">
        <v>5517</v>
      </c>
      <c r="B1061" s="18" t="s">
        <v>192</v>
      </c>
      <c r="C1061" s="18" t="s">
        <v>2515</v>
      </c>
      <c r="D1061" s="18" t="s">
        <v>227</v>
      </c>
      <c r="E1061" s="18" t="s">
        <v>5518</v>
      </c>
      <c r="F1061" s="19" t="s">
        <v>102</v>
      </c>
      <c r="G1061" s="19" t="s">
        <v>5071</v>
      </c>
      <c r="H1061" s="24">
        <v>24</v>
      </c>
      <c r="I1061" s="24">
        <v>56.9</v>
      </c>
      <c r="J1061" s="24">
        <f>MAX(H1061,ROUNDUP(I1061,0))</f>
        <v>57</v>
      </c>
      <c r="K1061" s="22">
        <f>IF(C1061="covered",10.4,7.55)</f>
        <v>10.4</v>
      </c>
      <c r="L1061" s="18" t="s">
        <v>5519</v>
      </c>
      <c r="M1061" s="24">
        <v>57</v>
      </c>
      <c r="N1061" s="22">
        <v>10.4</v>
      </c>
      <c r="O1061" s="22">
        <v>592.8</v>
      </c>
      <c r="P1061" s="22">
        <f>J1061*K1061</f>
        <v>592.8000000000001</v>
      </c>
      <c r="Q1061" s="22">
        <f>IF(L1061="","",N1061-K1061)</f>
        <v>0.0</v>
      </c>
      <c r="R1061" s="24">
        <f>IF(L1061="","",M1061-J1061)</f>
        <v>0.0</v>
      </c>
      <c r="S1061" s="22">
        <f>IF(L1061="",-P1061,O1061-P1061)</f>
        <v>-1.1368683772161603e-13</v>
      </c>
      <c r="T1061" s="11" t="str">
        <f>IF(L1061="","NO BILL IN SUPPLIED EXPORT",IF(ABS(Q1061)&gt;0.001,"RATE EXCEPTION",IF(ABS(R1061)&gt;0.001,"LENGTH EXCEPTION",IF(ABS(S1061)&gt;0.01,"AMOUNT EXCEPTION","OK"))))</f>
        <v>OK</v>
      </c>
      <c r="U1061" s="19" t="s">
        <v>5520</v>
      </c>
    </row>
    <row r="1062" spans="1:21" ht="28" customHeight="1">
      <c r="A1062" s="14" t="s">
        <v>5521</v>
      </c>
      <c r="B1062" s="14" t="s">
        <v>192</v>
      </c>
      <c r="C1062" s="14" t="s">
        <v>2515</v>
      </c>
      <c r="D1062" s="14" t="s">
        <v>227</v>
      </c>
      <c r="E1062" s="14" t="s">
        <v>5522</v>
      </c>
      <c r="F1062" s="15" t="s">
        <v>5523</v>
      </c>
      <c r="G1062" s="15" t="s">
        <v>359</v>
      </c>
      <c r="H1062" s="24">
        <v>36</v>
      </c>
      <c r="I1062" s="24">
        <v>39.8</v>
      </c>
      <c r="J1062" s="24">
        <f>MAX(H1062,ROUNDUP(I1062,0))</f>
        <v>40</v>
      </c>
      <c r="K1062" s="22">
        <f>IF(C1062="covered",10.4,7.55)</f>
        <v>10.4</v>
      </c>
      <c r="L1062" s="14" t="s">
        <v>5524</v>
      </c>
      <c r="M1062" s="24">
        <v>40</v>
      </c>
      <c r="N1062" s="22">
        <v>10.4</v>
      </c>
      <c r="O1062" s="22">
        <v>416</v>
      </c>
      <c r="P1062" s="22">
        <f>J1062*K1062</f>
        <v>416.0</v>
      </c>
      <c r="Q1062" s="22">
        <f>IF(L1062="","",N1062-K1062)</f>
        <v>0.0</v>
      </c>
      <c r="R1062" s="24">
        <f>IF(L1062="","",M1062-J1062)</f>
        <v>0.0</v>
      </c>
      <c r="S1062" s="22">
        <f>IF(L1062="",-P1062,O1062-P1062)</f>
        <v>0.0</v>
      </c>
      <c r="T1062" s="11" t="str">
        <f>IF(L1062="","NO BILL IN SUPPLIED EXPORT",IF(ABS(Q1062)&gt;0.001,"RATE EXCEPTION",IF(ABS(R1062)&gt;0.001,"LENGTH EXCEPTION",IF(ABS(S1062)&gt;0.01,"AMOUNT EXCEPTION","OK"))))</f>
        <v>OK</v>
      </c>
      <c r="U1062" s="15" t="s">
        <v>5525</v>
      </c>
    </row>
    <row r="1063" spans="1:21" ht="28" customHeight="1">
      <c r="A1063" s="18" t="s">
        <v>5526</v>
      </c>
      <c r="B1063" s="18" t="s">
        <v>192</v>
      </c>
      <c r="C1063" s="18" t="s">
        <v>2515</v>
      </c>
      <c r="D1063" s="18" t="s">
        <v>227</v>
      </c>
      <c r="E1063" s="18" t="s">
        <v>5527</v>
      </c>
      <c r="F1063" s="19" t="s">
        <v>5528</v>
      </c>
      <c r="G1063" s="19" t="s">
        <v>1382</v>
      </c>
      <c r="H1063" s="24">
        <v>40</v>
      </c>
      <c r="I1063" s="24">
        <v>57.6</v>
      </c>
      <c r="J1063" s="24">
        <f>MAX(H1063,ROUNDUP(I1063,0))</f>
        <v>58</v>
      </c>
      <c r="K1063" s="22">
        <f>IF(C1063="covered",10.4,7.55)</f>
        <v>10.4</v>
      </c>
      <c r="L1063" s="18" t="s">
        <v>5529</v>
      </c>
      <c r="M1063" s="24">
        <v>58</v>
      </c>
      <c r="N1063" s="22">
        <v>10.4</v>
      </c>
      <c r="O1063" s="22">
        <v>603.2</v>
      </c>
      <c r="P1063" s="22">
        <f>J1063*K1063</f>
        <v>603.2</v>
      </c>
      <c r="Q1063" s="22">
        <f>IF(L1063="","",N1063-K1063)</f>
        <v>0.0</v>
      </c>
      <c r="R1063" s="24">
        <f>IF(L1063="","",M1063-J1063)</f>
        <v>0.0</v>
      </c>
      <c r="S1063" s="22">
        <f>IF(L1063="",-P1063,O1063-P1063)</f>
        <v>0.0</v>
      </c>
      <c r="T1063" s="11" t="str">
        <f>IF(L1063="","NO BILL IN SUPPLIED EXPORT",IF(ABS(Q1063)&gt;0.001,"RATE EXCEPTION",IF(ABS(R1063)&gt;0.001,"LENGTH EXCEPTION",IF(ABS(S1063)&gt;0.01,"AMOUNT EXCEPTION","OK"))))</f>
        <v>OK</v>
      </c>
      <c r="U1063" s="19" t="s">
        <v>5530</v>
      </c>
    </row>
    <row r="1064" spans="1:21" ht="28" customHeight="1">
      <c r="A1064" s="14" t="s">
        <v>5531</v>
      </c>
      <c r="B1064" s="14" t="s">
        <v>192</v>
      </c>
      <c r="C1064" s="14" t="s">
        <v>2515</v>
      </c>
      <c r="D1064" s="14" t="s">
        <v>227</v>
      </c>
      <c r="E1064" s="14" t="s">
        <v>5532</v>
      </c>
      <c r="F1064" s="15" t="s">
        <v>5533</v>
      </c>
      <c r="G1064" s="15" t="s">
        <v>1312</v>
      </c>
      <c r="H1064" s="24">
        <v>36</v>
      </c>
      <c r="I1064" s="24">
        <v>50.8</v>
      </c>
      <c r="J1064" s="24">
        <f>MAX(H1064,ROUNDUP(I1064,0))</f>
        <v>51</v>
      </c>
      <c r="K1064" s="22">
        <f>IF(C1064="covered",10.4,7.55)</f>
        <v>10.4</v>
      </c>
      <c r="L1064" s="14" t="s">
        <v>5534</v>
      </c>
      <c r="M1064" s="24">
        <v>51</v>
      </c>
      <c r="N1064" s="22">
        <v>10.4</v>
      </c>
      <c r="O1064" s="22">
        <v>530.4</v>
      </c>
      <c r="P1064" s="22">
        <f>J1064*K1064</f>
        <v>530.4</v>
      </c>
      <c r="Q1064" s="22">
        <f>IF(L1064="","",N1064-K1064)</f>
        <v>0.0</v>
      </c>
      <c r="R1064" s="24">
        <f>IF(L1064="","",M1064-J1064)</f>
        <v>0.0</v>
      </c>
      <c r="S1064" s="22">
        <f>IF(L1064="",-P1064,O1064-P1064)</f>
        <v>0.0</v>
      </c>
      <c r="T1064" s="11" t="str">
        <f>IF(L1064="","NO BILL IN SUPPLIED EXPORT",IF(ABS(Q1064)&gt;0.001,"RATE EXCEPTION",IF(ABS(R1064)&gt;0.001,"LENGTH EXCEPTION",IF(ABS(S1064)&gt;0.01,"AMOUNT EXCEPTION","OK"))))</f>
        <v>OK</v>
      </c>
      <c r="U1064" s="15" t="s">
        <v>5535</v>
      </c>
    </row>
    <row r="1065" spans="1:21" ht="28" customHeight="1">
      <c r="A1065" s="18" t="s">
        <v>5536</v>
      </c>
      <c r="B1065" s="18" t="s">
        <v>192</v>
      </c>
      <c r="C1065" s="18" t="s">
        <v>2515</v>
      </c>
      <c r="D1065" s="18" t="s">
        <v>227</v>
      </c>
      <c r="E1065" s="18" t="s">
        <v>5537</v>
      </c>
      <c r="F1065" s="19" t="s">
        <v>5538</v>
      </c>
      <c r="G1065" s="19" t="s">
        <v>2091</v>
      </c>
      <c r="H1065" s="24">
        <v>40</v>
      </c>
      <c r="I1065" s="24">
        <v>58.3</v>
      </c>
      <c r="J1065" s="24">
        <f>MAX(H1065,ROUNDUP(I1065,0))</f>
        <v>59</v>
      </c>
      <c r="K1065" s="22">
        <f>IF(C1065="covered",10.4,7.55)</f>
        <v>10.4</v>
      </c>
      <c r="L1065" s="18" t="s">
        <v>5539</v>
      </c>
      <c r="M1065" s="24">
        <v>59</v>
      </c>
      <c r="N1065" s="22">
        <v>10.4</v>
      </c>
      <c r="O1065" s="22">
        <v>613.6</v>
      </c>
      <c r="P1065" s="22">
        <f>J1065*K1065</f>
        <v>613.6</v>
      </c>
      <c r="Q1065" s="22">
        <f>IF(L1065="","",N1065-K1065)</f>
        <v>0.0</v>
      </c>
      <c r="R1065" s="24">
        <f>IF(L1065="","",M1065-J1065)</f>
        <v>0.0</v>
      </c>
      <c r="S1065" s="22">
        <f>IF(L1065="",-P1065,O1065-P1065)</f>
        <v>0.0</v>
      </c>
      <c r="T1065" s="11" t="str">
        <f>IF(L1065="","NO BILL IN SUPPLIED EXPORT",IF(ABS(Q1065)&gt;0.001,"RATE EXCEPTION",IF(ABS(R1065)&gt;0.001,"LENGTH EXCEPTION",IF(ABS(S1065)&gt;0.01,"AMOUNT EXCEPTION","OK"))))</f>
        <v>OK</v>
      </c>
      <c r="U1065" s="19" t="s">
        <v>5540</v>
      </c>
    </row>
    <row r="1066" spans="1:21" ht="28" customHeight="1">
      <c r="A1066" s="14" t="s">
        <v>5541</v>
      </c>
      <c r="B1066" s="14" t="s">
        <v>192</v>
      </c>
      <c r="C1066" s="14" t="s">
        <v>2515</v>
      </c>
      <c r="D1066" s="14" t="s">
        <v>227</v>
      </c>
      <c r="E1066" s="14" t="s">
        <v>5542</v>
      </c>
      <c r="F1066" s="15" t="s">
        <v>5543</v>
      </c>
      <c r="G1066" s="15" t="s">
        <v>1365</v>
      </c>
      <c r="H1066" s="24">
        <v>36</v>
      </c>
      <c r="I1066" s="24">
        <v>46.5</v>
      </c>
      <c r="J1066" s="24">
        <f>MAX(H1066,ROUNDUP(I1066,0))</f>
        <v>47</v>
      </c>
      <c r="K1066" s="22">
        <f>IF(C1066="covered",10.4,7.55)</f>
        <v>10.4</v>
      </c>
      <c r="L1066" s="14" t="s">
        <v>5544</v>
      </c>
      <c r="M1066" s="24">
        <v>47</v>
      </c>
      <c r="N1066" s="22">
        <v>10.4</v>
      </c>
      <c r="O1066" s="22">
        <v>488.8</v>
      </c>
      <c r="P1066" s="22">
        <f>J1066*K1066</f>
        <v>488.8</v>
      </c>
      <c r="Q1066" s="22">
        <f>IF(L1066="","",N1066-K1066)</f>
        <v>0.0</v>
      </c>
      <c r="R1066" s="24">
        <f>IF(L1066="","",M1066-J1066)</f>
        <v>0.0</v>
      </c>
      <c r="S1066" s="22">
        <f>IF(L1066="",-P1066,O1066-P1066)</f>
        <v>0.0</v>
      </c>
      <c r="T1066" s="11" t="str">
        <f>IF(L1066="","NO BILL IN SUPPLIED EXPORT",IF(ABS(Q1066)&gt;0.001,"RATE EXCEPTION",IF(ABS(R1066)&gt;0.001,"LENGTH EXCEPTION",IF(ABS(S1066)&gt;0.01,"AMOUNT EXCEPTION","OK"))))</f>
        <v>OK</v>
      </c>
      <c r="U1066" s="15" t="s">
        <v>5545</v>
      </c>
    </row>
    <row r="1067" spans="1:21" ht="28" customHeight="1">
      <c r="A1067" s="18" t="s">
        <v>5546</v>
      </c>
      <c r="B1067" s="18" t="s">
        <v>192</v>
      </c>
      <c r="C1067" s="18" t="s">
        <v>2515</v>
      </c>
      <c r="D1067" s="18" t="s">
        <v>227</v>
      </c>
      <c r="E1067" s="18" t="s">
        <v>5547</v>
      </c>
      <c r="F1067" s="19" t="s">
        <v>5548</v>
      </c>
      <c r="G1067" s="19" t="s">
        <v>4132</v>
      </c>
      <c r="H1067" s="24">
        <v>28</v>
      </c>
      <c r="I1067" s="24">
        <v>58.1</v>
      </c>
      <c r="J1067" s="24">
        <f>MAX(H1067,ROUNDUP(I1067,0))</f>
        <v>59</v>
      </c>
      <c r="K1067" s="22">
        <f>IF(C1067="covered",10.4,7.55)</f>
        <v>10.4</v>
      </c>
      <c r="L1067" s="18" t="s">
        <v>5549</v>
      </c>
      <c r="M1067" s="24">
        <v>59</v>
      </c>
      <c r="N1067" s="22">
        <v>10.4</v>
      </c>
      <c r="O1067" s="22">
        <v>613.6</v>
      </c>
      <c r="P1067" s="22">
        <f>J1067*K1067</f>
        <v>613.6</v>
      </c>
      <c r="Q1067" s="22">
        <f>IF(L1067="","",N1067-K1067)</f>
        <v>0.0</v>
      </c>
      <c r="R1067" s="24">
        <f>IF(L1067="","",M1067-J1067)</f>
        <v>0.0</v>
      </c>
      <c r="S1067" s="22">
        <f>IF(L1067="",-P1067,O1067-P1067)</f>
        <v>0.0</v>
      </c>
      <c r="T1067" s="11" t="str">
        <f>IF(L1067="","NO BILL IN SUPPLIED EXPORT",IF(ABS(Q1067)&gt;0.001,"RATE EXCEPTION",IF(ABS(R1067)&gt;0.001,"LENGTH EXCEPTION",IF(ABS(S1067)&gt;0.01,"AMOUNT EXCEPTION","OK"))))</f>
        <v>OK</v>
      </c>
      <c r="U1067" s="19" t="s">
        <v>5550</v>
      </c>
    </row>
    <row r="1068" spans="1:21" ht="28" customHeight="1">
      <c r="A1068" s="14" t="s">
        <v>5551</v>
      </c>
      <c r="B1068" s="14" t="s">
        <v>192</v>
      </c>
      <c r="C1068" s="14" t="s">
        <v>2515</v>
      </c>
      <c r="D1068" s="14" t="s">
        <v>227</v>
      </c>
      <c r="E1068" s="14" t="s">
        <v>5552</v>
      </c>
      <c r="F1068" s="15" t="s">
        <v>5553</v>
      </c>
      <c r="G1068" s="15" t="s">
        <v>3197</v>
      </c>
      <c r="H1068" s="24">
        <v>36</v>
      </c>
      <c r="I1068" s="24">
        <v>56.6</v>
      </c>
      <c r="J1068" s="24">
        <f>MAX(H1068,ROUNDUP(I1068,0))</f>
        <v>57</v>
      </c>
      <c r="K1068" s="22">
        <f>IF(C1068="covered",10.4,7.55)</f>
        <v>10.4</v>
      </c>
      <c r="L1068" s="14" t="s">
        <v>5554</v>
      </c>
      <c r="M1068" s="24">
        <v>57</v>
      </c>
      <c r="N1068" s="22">
        <v>10.4</v>
      </c>
      <c r="O1068" s="22">
        <v>592.8</v>
      </c>
      <c r="P1068" s="22">
        <f>J1068*K1068</f>
        <v>592.8000000000001</v>
      </c>
      <c r="Q1068" s="22">
        <f>IF(L1068="","",N1068-K1068)</f>
        <v>0.0</v>
      </c>
      <c r="R1068" s="24">
        <f>IF(L1068="","",M1068-J1068)</f>
        <v>0.0</v>
      </c>
      <c r="S1068" s="22">
        <f>IF(L1068="",-P1068,O1068-P1068)</f>
        <v>-1.1368683772161603e-13</v>
      </c>
      <c r="T1068" s="11" t="str">
        <f>IF(L1068="","NO BILL IN SUPPLIED EXPORT",IF(ABS(Q1068)&gt;0.001,"RATE EXCEPTION",IF(ABS(R1068)&gt;0.001,"LENGTH EXCEPTION",IF(ABS(S1068)&gt;0.01,"AMOUNT EXCEPTION","OK"))))</f>
        <v>OK</v>
      </c>
      <c r="U1068" s="15" t="s">
        <v>5555</v>
      </c>
    </row>
    <row r="1069" spans="1:21" ht="28" customHeight="1">
      <c r="A1069" s="18" t="s">
        <v>142</v>
      </c>
      <c r="B1069" s="18" t="s">
        <v>192</v>
      </c>
      <c r="C1069" s="18" t="s">
        <v>2515</v>
      </c>
      <c r="D1069" s="18" t="s">
        <v>227</v>
      </c>
      <c r="E1069" s="18" t="s">
        <v>5556</v>
      </c>
      <c r="F1069" s="19" t="s">
        <v>5557</v>
      </c>
      <c r="G1069" s="19" t="s">
        <v>3427</v>
      </c>
      <c r="H1069" s="24">
        <v>28</v>
      </c>
      <c r="I1069" s="24">
        <v>56.5</v>
      </c>
      <c r="J1069" s="24">
        <f>MAX(H1069,ROUNDUP(I1069,0))</f>
        <v>57</v>
      </c>
      <c r="K1069" s="22">
        <f>IF(C1069="covered",10.4,7.55)</f>
        <v>10.4</v>
      </c>
      <c r="L1069" s="18" t="s">
        <v>5558</v>
      </c>
      <c r="M1069" s="24">
        <v>57</v>
      </c>
      <c r="N1069" s="22">
        <v>10.4</v>
      </c>
      <c r="O1069" s="22">
        <v>592.8</v>
      </c>
      <c r="P1069" s="22">
        <f>J1069*K1069</f>
        <v>592.8000000000001</v>
      </c>
      <c r="Q1069" s="22">
        <f>IF(L1069="","",N1069-K1069)</f>
        <v>0.0</v>
      </c>
      <c r="R1069" s="24">
        <f>IF(L1069="","",M1069-J1069)</f>
        <v>0.0</v>
      </c>
      <c r="S1069" s="22">
        <f>IF(L1069="",-P1069,O1069-P1069)</f>
        <v>-1.1368683772161603e-13</v>
      </c>
      <c r="T1069" s="11" t="str">
        <f>IF(L1069="","NO BILL IN SUPPLIED EXPORT",IF(ABS(Q1069)&gt;0.001,"RATE EXCEPTION",IF(ABS(R1069)&gt;0.001,"LENGTH EXCEPTION",IF(ABS(S1069)&gt;0.01,"AMOUNT EXCEPTION","OK"))))</f>
        <v>OK</v>
      </c>
      <c r="U1069" s="19" t="s">
        <v>5559</v>
      </c>
    </row>
    <row r="1070" spans="1:21" ht="28" customHeight="1">
      <c r="A1070" s="14" t="s">
        <v>5560</v>
      </c>
      <c r="B1070" s="14" t="s">
        <v>192</v>
      </c>
      <c r="C1070" s="14" t="s">
        <v>2515</v>
      </c>
      <c r="D1070" s="14" t="s">
        <v>227</v>
      </c>
      <c r="E1070" s="14" t="s">
        <v>5561</v>
      </c>
      <c r="F1070" s="15" t="s">
        <v>5562</v>
      </c>
      <c r="G1070" s="15" t="s">
        <v>4017</v>
      </c>
      <c r="H1070" s="24">
        <v>28</v>
      </c>
      <c r="I1070" s="24">
        <v>24.5</v>
      </c>
      <c r="J1070" s="24">
        <f>MAX(H1070,ROUNDUP(I1070,0))</f>
        <v>28.0</v>
      </c>
      <c r="K1070" s="22">
        <f>IF(C1070="covered",10.4,7.55)</f>
        <v>10.4</v>
      </c>
      <c r="L1070" s="14" t="s">
        <v>5563</v>
      </c>
      <c r="M1070" s="24">
        <v>28</v>
      </c>
      <c r="N1070" s="22">
        <v>10.4</v>
      </c>
      <c r="O1070" s="22">
        <v>291.2</v>
      </c>
      <c r="P1070" s="22">
        <f>J1070*K1070</f>
        <v>291.2</v>
      </c>
      <c r="Q1070" s="22">
        <f>IF(L1070="","",N1070-K1070)</f>
        <v>0.0</v>
      </c>
      <c r="R1070" s="24">
        <f>IF(L1070="","",M1070-J1070)</f>
        <v>0.0</v>
      </c>
      <c r="S1070" s="22">
        <f>IF(L1070="",-P1070,O1070-P1070)</f>
        <v>0.0</v>
      </c>
      <c r="T1070" s="11" t="str">
        <f>IF(L1070="","NO BILL IN SUPPLIED EXPORT",IF(ABS(Q1070)&gt;0.001,"RATE EXCEPTION",IF(ABS(R1070)&gt;0.001,"LENGTH EXCEPTION",IF(ABS(S1070)&gt;0.01,"AMOUNT EXCEPTION","OK"))))</f>
        <v>OK</v>
      </c>
      <c r="U1070" s="15" t="s">
        <v>5564</v>
      </c>
    </row>
    <row r="1071" spans="1:21" ht="28" customHeight="1">
      <c r="A1071" s="18" t="s">
        <v>5565</v>
      </c>
      <c r="B1071" s="18" t="s">
        <v>192</v>
      </c>
      <c r="C1071" s="18" t="s">
        <v>2515</v>
      </c>
      <c r="D1071" s="18" t="s">
        <v>227</v>
      </c>
      <c r="E1071" s="18" t="s">
        <v>5566</v>
      </c>
      <c r="F1071" s="19" t="s">
        <v>5567</v>
      </c>
      <c r="G1071" s="19" t="s">
        <v>1393</v>
      </c>
      <c r="H1071" s="24">
        <v>36</v>
      </c>
      <c r="I1071" s="24">
        <v>29.3</v>
      </c>
      <c r="J1071" s="24">
        <f>MAX(H1071,ROUNDUP(I1071,0))</f>
        <v>36.0</v>
      </c>
      <c r="K1071" s="22">
        <f>IF(C1071="covered",10.4,7.55)</f>
        <v>10.4</v>
      </c>
      <c r="L1071" s="18" t="s">
        <v>5568</v>
      </c>
      <c r="M1071" s="24">
        <v>36</v>
      </c>
      <c r="N1071" s="22">
        <v>10.4</v>
      </c>
      <c r="O1071" s="22">
        <v>374.4</v>
      </c>
      <c r="P1071" s="22">
        <f>J1071*K1071</f>
        <v>374.40000000000003</v>
      </c>
      <c r="Q1071" s="22">
        <f>IF(L1071="","",N1071-K1071)</f>
        <v>0.0</v>
      </c>
      <c r="R1071" s="24">
        <f>IF(L1071="","",M1071-J1071)</f>
        <v>0.0</v>
      </c>
      <c r="S1071" s="22">
        <f>IF(L1071="",-P1071,O1071-P1071)</f>
        <v>-5.684341886080802e-14</v>
      </c>
      <c r="T1071" s="11" t="str">
        <f>IF(L1071="","NO BILL IN SUPPLIED EXPORT",IF(ABS(Q1071)&gt;0.001,"RATE EXCEPTION",IF(ABS(R1071)&gt;0.001,"LENGTH EXCEPTION",IF(ABS(S1071)&gt;0.01,"AMOUNT EXCEPTION","OK"))))</f>
        <v>OK</v>
      </c>
      <c r="U1071" s="19" t="s">
        <v>5569</v>
      </c>
    </row>
    <row r="1072" spans="1:21" ht="28" customHeight="1">
      <c r="A1072" s="14" t="s">
        <v>5570</v>
      </c>
      <c r="B1072" s="14" t="s">
        <v>192</v>
      </c>
      <c r="C1072" s="14" t="s">
        <v>2515</v>
      </c>
      <c r="D1072" s="14" t="s">
        <v>227</v>
      </c>
      <c r="E1072" s="14" t="s">
        <v>5571</v>
      </c>
      <c r="F1072" s="15" t="s">
        <v>5572</v>
      </c>
      <c r="G1072" s="15" t="s">
        <v>5573</v>
      </c>
      <c r="H1072" s="24">
        <v>28</v>
      </c>
      <c r="I1072" s="24">
        <v>35.8</v>
      </c>
      <c r="J1072" s="24">
        <f>MAX(H1072,ROUNDUP(I1072,0))</f>
        <v>36</v>
      </c>
      <c r="K1072" s="22">
        <f>IF(C1072="covered",10.4,7.55)</f>
        <v>10.4</v>
      </c>
      <c r="L1072" s="14" t="s">
        <v>5574</v>
      </c>
      <c r="M1072" s="24">
        <v>36</v>
      </c>
      <c r="N1072" s="22">
        <v>10.4</v>
      </c>
      <c r="O1072" s="22">
        <v>374.4</v>
      </c>
      <c r="P1072" s="22">
        <f>J1072*K1072</f>
        <v>374.40000000000003</v>
      </c>
      <c r="Q1072" s="22">
        <f>IF(L1072="","",N1072-K1072)</f>
        <v>0.0</v>
      </c>
      <c r="R1072" s="24">
        <f>IF(L1072="","",M1072-J1072)</f>
        <v>0.0</v>
      </c>
      <c r="S1072" s="22">
        <f>IF(L1072="",-P1072,O1072-P1072)</f>
        <v>-5.684341886080802e-14</v>
      </c>
      <c r="T1072" s="11" t="str">
        <f>IF(L1072="","NO BILL IN SUPPLIED EXPORT",IF(ABS(Q1072)&gt;0.001,"RATE EXCEPTION",IF(ABS(R1072)&gt;0.001,"LENGTH EXCEPTION",IF(ABS(S1072)&gt;0.01,"AMOUNT EXCEPTION","OK"))))</f>
        <v>OK</v>
      </c>
      <c r="U1072" s="15" t="s">
        <v>5575</v>
      </c>
    </row>
    <row r="1073" spans="1:21" ht="28" customHeight="1">
      <c r="A1073" s="18" t="s">
        <v>5576</v>
      </c>
      <c r="B1073" s="18" t="s">
        <v>192</v>
      </c>
      <c r="C1073" s="18" t="s">
        <v>2515</v>
      </c>
      <c r="D1073" s="18" t="s">
        <v>227</v>
      </c>
      <c r="E1073" s="18" t="s">
        <v>5577</v>
      </c>
      <c r="F1073" s="19" t="s">
        <v>5578</v>
      </c>
      <c r="G1073" s="19" t="s">
        <v>4162</v>
      </c>
      <c r="H1073" s="24">
        <v>32</v>
      </c>
      <c r="I1073" s="24">
        <v>55.4</v>
      </c>
      <c r="J1073" s="24">
        <f>MAX(H1073,ROUNDUP(I1073,0))</f>
        <v>56</v>
      </c>
      <c r="K1073" s="22">
        <f>IF(C1073="covered",10.4,7.55)</f>
        <v>10.4</v>
      </c>
      <c r="L1073" s="18" t="s">
        <v>5579</v>
      </c>
      <c r="M1073" s="24">
        <v>56</v>
      </c>
      <c r="N1073" s="22">
        <v>10.4</v>
      </c>
      <c r="O1073" s="22">
        <v>582.4</v>
      </c>
      <c r="P1073" s="22">
        <f>J1073*K1073</f>
        <v>582.4</v>
      </c>
      <c r="Q1073" s="22">
        <f>IF(L1073="","",N1073-K1073)</f>
        <v>0.0</v>
      </c>
      <c r="R1073" s="24">
        <f>IF(L1073="","",M1073-J1073)</f>
        <v>0.0</v>
      </c>
      <c r="S1073" s="22">
        <f>IF(L1073="",-P1073,O1073-P1073)</f>
        <v>0.0</v>
      </c>
      <c r="T1073" s="11" t="str">
        <f>IF(L1073="","NO BILL IN SUPPLIED EXPORT",IF(ABS(Q1073)&gt;0.001,"RATE EXCEPTION",IF(ABS(R1073)&gt;0.001,"LENGTH EXCEPTION",IF(ABS(S1073)&gt;0.01,"AMOUNT EXCEPTION","OK"))))</f>
        <v>OK</v>
      </c>
      <c r="U1073" s="19" t="s">
        <v>5580</v>
      </c>
    </row>
    <row r="1074" spans="1:21" ht="28" customHeight="1">
      <c r="A1074" s="14" t="s">
        <v>5581</v>
      </c>
      <c r="B1074" s="14" t="s">
        <v>192</v>
      </c>
      <c r="C1074" s="14" t="s">
        <v>2515</v>
      </c>
      <c r="D1074" s="14" t="s">
        <v>227</v>
      </c>
      <c r="E1074" s="14" t="s">
        <v>5582</v>
      </c>
      <c r="F1074" s="15" t="s">
        <v>5583</v>
      </c>
      <c r="G1074" s="15" t="s">
        <v>1204</v>
      </c>
      <c r="H1074" s="24">
        <v>24</v>
      </c>
      <c r="I1074" s="24">
        <v>61.6</v>
      </c>
      <c r="J1074" s="24">
        <f>MAX(H1074,ROUNDUP(I1074,0))</f>
        <v>62</v>
      </c>
      <c r="K1074" s="22">
        <f>IF(C1074="covered",10.4,7.55)</f>
        <v>10.4</v>
      </c>
      <c r="L1074" s="14" t="s">
        <v>5584</v>
      </c>
      <c r="M1074" s="24">
        <v>62</v>
      </c>
      <c r="N1074" s="22">
        <v>10.4</v>
      </c>
      <c r="O1074" s="22">
        <v>644.8</v>
      </c>
      <c r="P1074" s="22">
        <f>J1074*K1074</f>
        <v>644.8000000000001</v>
      </c>
      <c r="Q1074" s="22">
        <f>IF(L1074="","",N1074-K1074)</f>
        <v>0.0</v>
      </c>
      <c r="R1074" s="24">
        <f>IF(L1074="","",M1074-J1074)</f>
        <v>0.0</v>
      </c>
      <c r="S1074" s="22">
        <f>IF(L1074="",-P1074,O1074-P1074)</f>
        <v>-1.1368683772161603e-13</v>
      </c>
      <c r="T1074" s="11" t="str">
        <f>IF(L1074="","NO BILL IN SUPPLIED EXPORT",IF(ABS(Q1074)&gt;0.001,"RATE EXCEPTION",IF(ABS(R1074)&gt;0.001,"LENGTH EXCEPTION",IF(ABS(S1074)&gt;0.01,"AMOUNT EXCEPTION","OK"))))</f>
        <v>OK</v>
      </c>
      <c r="U1074" s="15" t="s">
        <v>5585</v>
      </c>
    </row>
    <row r="1075" spans="1:21" ht="28" customHeight="1">
      <c r="A1075" s="18" t="s">
        <v>5586</v>
      </c>
      <c r="B1075" s="18" t="s">
        <v>192</v>
      </c>
      <c r="C1075" s="18" t="s">
        <v>2515</v>
      </c>
      <c r="D1075" s="18" t="s">
        <v>227</v>
      </c>
      <c r="E1075" s="18" t="s">
        <v>5587</v>
      </c>
      <c r="F1075" s="19" t="s">
        <v>5588</v>
      </c>
      <c r="G1075" s="19" t="s">
        <v>5589</v>
      </c>
      <c r="H1075" s="24">
        <v>36</v>
      </c>
      <c r="I1075" s="24">
        <v>61</v>
      </c>
      <c r="J1075" s="24">
        <f>MAX(H1075,ROUNDUP(I1075,0))</f>
        <v>61</v>
      </c>
      <c r="K1075" s="22">
        <f>IF(C1075="covered",10.4,7.55)</f>
        <v>10.4</v>
      </c>
      <c r="L1075" s="18" t="s">
        <v>5590</v>
      </c>
      <c r="M1075" s="24">
        <v>61</v>
      </c>
      <c r="N1075" s="22">
        <v>10.4</v>
      </c>
      <c r="O1075" s="22">
        <v>634.4</v>
      </c>
      <c r="P1075" s="22">
        <f>J1075*K1075</f>
        <v>634.4</v>
      </c>
      <c r="Q1075" s="22">
        <f>IF(L1075="","",N1075-K1075)</f>
        <v>0.0</v>
      </c>
      <c r="R1075" s="24">
        <f>IF(L1075="","",M1075-J1075)</f>
        <v>0.0</v>
      </c>
      <c r="S1075" s="22">
        <f>IF(L1075="",-P1075,O1075-P1075)</f>
        <v>0.0</v>
      </c>
      <c r="T1075" s="11" t="str">
        <f>IF(L1075="","NO BILL IN SUPPLIED EXPORT",IF(ABS(Q1075)&gt;0.001,"RATE EXCEPTION",IF(ABS(R1075)&gt;0.001,"LENGTH EXCEPTION",IF(ABS(S1075)&gt;0.01,"AMOUNT EXCEPTION","OK"))))</f>
        <v>OK</v>
      </c>
      <c r="U1075" s="19" t="s">
        <v>5591</v>
      </c>
    </row>
    <row r="1076" spans="1:21" ht="28" customHeight="1">
      <c r="A1076" s="14" t="s">
        <v>5592</v>
      </c>
      <c r="B1076" s="14" t="s">
        <v>192</v>
      </c>
      <c r="C1076" s="14" t="s">
        <v>2515</v>
      </c>
      <c r="D1076" s="14" t="s">
        <v>227</v>
      </c>
      <c r="E1076" s="14" t="s">
        <v>5593</v>
      </c>
      <c r="F1076" s="15" t="s">
        <v>5594</v>
      </c>
      <c r="G1076" s="15" t="s">
        <v>370</v>
      </c>
      <c r="H1076" s="24">
        <v>40</v>
      </c>
      <c r="I1076" s="24">
        <v>47.3</v>
      </c>
      <c r="J1076" s="24">
        <f>MAX(H1076,ROUNDUP(I1076,0))</f>
        <v>48</v>
      </c>
      <c r="K1076" s="22">
        <f>IF(C1076="covered",10.4,7.55)</f>
        <v>10.4</v>
      </c>
      <c r="L1076" s="14" t="s">
        <v>5595</v>
      </c>
      <c r="M1076" s="24">
        <v>48</v>
      </c>
      <c r="N1076" s="22">
        <v>10.4</v>
      </c>
      <c r="O1076" s="22">
        <v>499.2</v>
      </c>
      <c r="P1076" s="22">
        <f>J1076*K1076</f>
        <v>499.20000000000005</v>
      </c>
      <c r="Q1076" s="22">
        <f>IF(L1076="","",N1076-K1076)</f>
        <v>0.0</v>
      </c>
      <c r="R1076" s="24">
        <f>IF(L1076="","",M1076-J1076)</f>
        <v>0.0</v>
      </c>
      <c r="S1076" s="22">
        <f>IF(L1076="",-P1076,O1076-P1076)</f>
        <v>-5.684341886080802e-14</v>
      </c>
      <c r="T1076" s="11" t="str">
        <f>IF(L1076="","NO BILL IN SUPPLIED EXPORT",IF(ABS(Q1076)&gt;0.001,"RATE EXCEPTION",IF(ABS(R1076)&gt;0.001,"LENGTH EXCEPTION",IF(ABS(S1076)&gt;0.01,"AMOUNT EXCEPTION","OK"))))</f>
        <v>OK</v>
      </c>
      <c r="U1076" s="15" t="s">
        <v>5596</v>
      </c>
    </row>
    <row r="1077" spans="1:21" ht="28" customHeight="1">
      <c r="A1077" s="18" t="s">
        <v>5597</v>
      </c>
      <c r="B1077" s="18" t="s">
        <v>192</v>
      </c>
      <c r="C1077" s="18" t="s">
        <v>2515</v>
      </c>
      <c r="D1077" s="18" t="s">
        <v>227</v>
      </c>
      <c r="E1077" s="18" t="s">
        <v>5598</v>
      </c>
      <c r="F1077" s="19" t="s">
        <v>5599</v>
      </c>
      <c r="G1077" s="19" t="s">
        <v>5600</v>
      </c>
      <c r="H1077" s="24">
        <v>40</v>
      </c>
      <c r="I1077" s="24">
        <v>53.9</v>
      </c>
      <c r="J1077" s="24">
        <f>MAX(H1077,ROUNDUP(I1077,0))</f>
        <v>54</v>
      </c>
      <c r="K1077" s="22">
        <f>IF(C1077="covered",10.4,7.55)</f>
        <v>10.4</v>
      </c>
      <c r="L1077" s="18" t="s">
        <v>5601</v>
      </c>
      <c r="M1077" s="24">
        <v>54</v>
      </c>
      <c r="N1077" s="22">
        <v>10.4</v>
      </c>
      <c r="O1077" s="22">
        <v>561.6</v>
      </c>
      <c r="P1077" s="22">
        <f>J1077*K1077</f>
        <v>561.6</v>
      </c>
      <c r="Q1077" s="22">
        <f>IF(L1077="","",N1077-K1077)</f>
        <v>0.0</v>
      </c>
      <c r="R1077" s="24">
        <f>IF(L1077="","",M1077-J1077)</f>
        <v>0.0</v>
      </c>
      <c r="S1077" s="22">
        <f>IF(L1077="",-P1077,O1077-P1077)</f>
        <v>0.0</v>
      </c>
      <c r="T1077" s="11" t="str">
        <f>IF(L1077="","NO BILL IN SUPPLIED EXPORT",IF(ABS(Q1077)&gt;0.001,"RATE EXCEPTION",IF(ABS(R1077)&gt;0.001,"LENGTH EXCEPTION",IF(ABS(S1077)&gt;0.01,"AMOUNT EXCEPTION","OK"))))</f>
        <v>OK</v>
      </c>
      <c r="U1077" s="19" t="s">
        <v>5602</v>
      </c>
    </row>
    <row r="1078" spans="1:21" ht="28" customHeight="1">
      <c r="A1078" s="14" t="s">
        <v>5603</v>
      </c>
      <c r="B1078" s="14" t="s">
        <v>192</v>
      </c>
      <c r="C1078" s="14" t="s">
        <v>2515</v>
      </c>
      <c r="D1078" s="14" t="s">
        <v>227</v>
      </c>
      <c r="E1078" s="14" t="s">
        <v>5604</v>
      </c>
      <c r="F1078" s="15" t="s">
        <v>5605</v>
      </c>
      <c r="G1078" s="15" t="s">
        <v>5504</v>
      </c>
      <c r="H1078" s="24">
        <v>24</v>
      </c>
      <c r="I1078" s="24">
        <v>29.2</v>
      </c>
      <c r="J1078" s="24">
        <f>MAX(H1078,ROUNDUP(I1078,0))</f>
        <v>30</v>
      </c>
      <c r="K1078" s="22">
        <f>IF(C1078="covered",10.4,7.55)</f>
        <v>10.4</v>
      </c>
      <c r="L1078" s="14" t="s">
        <v>5606</v>
      </c>
      <c r="M1078" s="24">
        <v>30</v>
      </c>
      <c r="N1078" s="22">
        <v>10.4</v>
      </c>
      <c r="O1078" s="22">
        <v>312</v>
      </c>
      <c r="P1078" s="22">
        <f>J1078*K1078</f>
        <v>312.0</v>
      </c>
      <c r="Q1078" s="22">
        <f>IF(L1078="","",N1078-K1078)</f>
        <v>0.0</v>
      </c>
      <c r="R1078" s="24">
        <f>IF(L1078="","",M1078-J1078)</f>
        <v>0.0</v>
      </c>
      <c r="S1078" s="22">
        <f>IF(L1078="",-P1078,O1078-P1078)</f>
        <v>0.0</v>
      </c>
      <c r="T1078" s="11" t="str">
        <f>IF(L1078="","NO BILL IN SUPPLIED EXPORT",IF(ABS(Q1078)&gt;0.001,"RATE EXCEPTION",IF(ABS(R1078)&gt;0.001,"LENGTH EXCEPTION",IF(ABS(S1078)&gt;0.01,"AMOUNT EXCEPTION","OK"))))</f>
        <v>OK</v>
      </c>
      <c r="U1078" s="15" t="s">
        <v>5607</v>
      </c>
    </row>
    <row r="1079" spans="1:21" ht="28" customHeight="1">
      <c r="A1079" s="18" t="s">
        <v>5608</v>
      </c>
      <c r="B1079" s="18" t="s">
        <v>192</v>
      </c>
      <c r="C1079" s="18" t="s">
        <v>2515</v>
      </c>
      <c r="D1079" s="18" t="s">
        <v>227</v>
      </c>
      <c r="E1079" s="18" t="s">
        <v>5609</v>
      </c>
      <c r="F1079" s="19" t="s">
        <v>5610</v>
      </c>
      <c r="G1079" s="19" t="s">
        <v>4238</v>
      </c>
      <c r="H1079" s="24">
        <v>28</v>
      </c>
      <c r="I1079" s="24">
        <v>23.5</v>
      </c>
      <c r="J1079" s="24">
        <f>MAX(H1079,ROUNDUP(I1079,0))</f>
        <v>28.0</v>
      </c>
      <c r="K1079" s="22">
        <f>IF(C1079="covered",10.4,7.55)</f>
        <v>10.4</v>
      </c>
      <c r="L1079" s="18" t="s">
        <v>5611</v>
      </c>
      <c r="M1079" s="24">
        <v>28</v>
      </c>
      <c r="N1079" s="22">
        <v>10.4</v>
      </c>
      <c r="O1079" s="22">
        <v>291.2</v>
      </c>
      <c r="P1079" s="22">
        <f>J1079*K1079</f>
        <v>291.2</v>
      </c>
      <c r="Q1079" s="22">
        <f>IF(L1079="","",N1079-K1079)</f>
        <v>0.0</v>
      </c>
      <c r="R1079" s="24">
        <f>IF(L1079="","",M1079-J1079)</f>
        <v>0.0</v>
      </c>
      <c r="S1079" s="22">
        <f>IF(L1079="",-P1079,O1079-P1079)</f>
        <v>0.0</v>
      </c>
      <c r="T1079" s="11" t="str">
        <f>IF(L1079="","NO BILL IN SUPPLIED EXPORT",IF(ABS(Q1079)&gt;0.001,"RATE EXCEPTION",IF(ABS(R1079)&gt;0.001,"LENGTH EXCEPTION",IF(ABS(S1079)&gt;0.01,"AMOUNT EXCEPTION","OK"))))</f>
        <v>OK</v>
      </c>
      <c r="U1079" s="19" t="s">
        <v>5612</v>
      </c>
    </row>
    <row r="1080" spans="1:21" ht="28" customHeight="1">
      <c r="A1080" s="14" t="s">
        <v>5613</v>
      </c>
      <c r="B1080" s="14" t="s">
        <v>192</v>
      </c>
      <c r="C1080" s="14" t="s">
        <v>2515</v>
      </c>
      <c r="D1080" s="14" t="s">
        <v>227</v>
      </c>
      <c r="E1080" s="14" t="s">
        <v>5614</v>
      </c>
      <c r="F1080" s="15" t="s">
        <v>5615</v>
      </c>
      <c r="G1080" s="15" t="s">
        <v>4708</v>
      </c>
      <c r="H1080" s="24">
        <v>28</v>
      </c>
      <c r="I1080" s="24">
        <v>37</v>
      </c>
      <c r="J1080" s="24">
        <f>MAX(H1080,ROUNDUP(I1080,0))</f>
        <v>37</v>
      </c>
      <c r="K1080" s="22">
        <f>IF(C1080="covered",10.4,7.55)</f>
        <v>10.4</v>
      </c>
      <c r="L1080" s="14" t="s">
        <v>5616</v>
      </c>
      <c r="M1080" s="24">
        <v>37</v>
      </c>
      <c r="N1080" s="22">
        <v>10.4</v>
      </c>
      <c r="O1080" s="22">
        <v>384.8</v>
      </c>
      <c r="P1080" s="22">
        <f>J1080*K1080</f>
        <v>384.8</v>
      </c>
      <c r="Q1080" s="22">
        <f>IF(L1080="","",N1080-K1080)</f>
        <v>0.0</v>
      </c>
      <c r="R1080" s="24">
        <f>IF(L1080="","",M1080-J1080)</f>
        <v>0.0</v>
      </c>
      <c r="S1080" s="22">
        <f>IF(L1080="",-P1080,O1080-P1080)</f>
        <v>0.0</v>
      </c>
      <c r="T1080" s="11" t="str">
        <f>IF(L1080="","NO BILL IN SUPPLIED EXPORT",IF(ABS(Q1080)&gt;0.001,"RATE EXCEPTION",IF(ABS(R1080)&gt;0.001,"LENGTH EXCEPTION",IF(ABS(S1080)&gt;0.01,"AMOUNT EXCEPTION","OK"))))</f>
        <v>OK</v>
      </c>
      <c r="U1080" s="15" t="s">
        <v>5617</v>
      </c>
    </row>
    <row r="1081" spans="1:21" ht="28" customHeight="1">
      <c r="A1081" s="18" t="s">
        <v>5618</v>
      </c>
      <c r="B1081" s="18" t="s">
        <v>192</v>
      </c>
      <c r="C1081" s="18" t="s">
        <v>2515</v>
      </c>
      <c r="D1081" s="18" t="s">
        <v>227</v>
      </c>
      <c r="E1081" s="18" t="s">
        <v>5619</v>
      </c>
      <c r="F1081" s="19" t="s">
        <v>5620</v>
      </c>
      <c r="G1081" s="19" t="s">
        <v>2144</v>
      </c>
      <c r="H1081" s="24">
        <v>24</v>
      </c>
      <c r="I1081" s="24">
        <v>26.9</v>
      </c>
      <c r="J1081" s="24">
        <f>MAX(H1081,ROUNDUP(I1081,0))</f>
        <v>27</v>
      </c>
      <c r="K1081" s="22">
        <f>IF(C1081="covered",10.4,7.55)</f>
        <v>10.4</v>
      </c>
      <c r="L1081" s="18" t="s">
        <v>5621</v>
      </c>
      <c r="M1081" s="24">
        <v>27</v>
      </c>
      <c r="N1081" s="22">
        <v>10.4</v>
      </c>
      <c r="O1081" s="22">
        <v>280.8</v>
      </c>
      <c r="P1081" s="22">
        <f>J1081*K1081</f>
        <v>280.8</v>
      </c>
      <c r="Q1081" s="22">
        <f>IF(L1081="","",N1081-K1081)</f>
        <v>0.0</v>
      </c>
      <c r="R1081" s="24">
        <f>IF(L1081="","",M1081-J1081)</f>
        <v>0.0</v>
      </c>
      <c r="S1081" s="22">
        <f>IF(L1081="",-P1081,O1081-P1081)</f>
        <v>0.0</v>
      </c>
      <c r="T1081" s="11" t="str">
        <f>IF(L1081="","NO BILL IN SUPPLIED EXPORT",IF(ABS(Q1081)&gt;0.001,"RATE EXCEPTION",IF(ABS(R1081)&gt;0.001,"LENGTH EXCEPTION",IF(ABS(S1081)&gt;0.01,"AMOUNT EXCEPTION","OK"))))</f>
        <v>OK</v>
      </c>
      <c r="U1081" s="19" t="s">
        <v>5622</v>
      </c>
    </row>
    <row r="1082" spans="1:21" ht="28" customHeight="1">
      <c r="A1082" s="14" t="s">
        <v>5623</v>
      </c>
      <c r="B1082" s="14" t="s">
        <v>192</v>
      </c>
      <c r="C1082" s="14" t="s">
        <v>2515</v>
      </c>
      <c r="D1082" s="14" t="s">
        <v>227</v>
      </c>
      <c r="E1082" s="14" t="s">
        <v>5624</v>
      </c>
      <c r="F1082" s="15" t="s">
        <v>5625</v>
      </c>
      <c r="G1082" s="15" t="s">
        <v>778</v>
      </c>
      <c r="H1082" s="24">
        <v>28</v>
      </c>
      <c r="I1082" s="24">
        <v>54.5</v>
      </c>
      <c r="J1082" s="24">
        <f>MAX(H1082,ROUNDUP(I1082,0))</f>
        <v>55</v>
      </c>
      <c r="K1082" s="22">
        <f>IF(C1082="covered",10.4,7.55)</f>
        <v>10.4</v>
      </c>
      <c r="L1082" s="14" t="s">
        <v>5626</v>
      </c>
      <c r="M1082" s="24">
        <v>55</v>
      </c>
      <c r="N1082" s="22">
        <v>10.4</v>
      </c>
      <c r="O1082" s="22">
        <v>572</v>
      </c>
      <c r="P1082" s="22">
        <f>J1082*K1082</f>
        <v>572.0</v>
      </c>
      <c r="Q1082" s="22">
        <f>IF(L1082="","",N1082-K1082)</f>
        <v>0.0</v>
      </c>
      <c r="R1082" s="24">
        <f>IF(L1082="","",M1082-J1082)</f>
        <v>0.0</v>
      </c>
      <c r="S1082" s="22">
        <f>IF(L1082="",-P1082,O1082-P1082)</f>
        <v>0.0</v>
      </c>
      <c r="T1082" s="11" t="str">
        <f>IF(L1082="","NO BILL IN SUPPLIED EXPORT",IF(ABS(Q1082)&gt;0.001,"RATE EXCEPTION",IF(ABS(R1082)&gt;0.001,"LENGTH EXCEPTION",IF(ABS(S1082)&gt;0.01,"AMOUNT EXCEPTION","OK"))))</f>
        <v>OK</v>
      </c>
      <c r="U1082" s="15" t="s">
        <v>5627</v>
      </c>
    </row>
    <row r="1083" spans="1:21" ht="28" customHeight="1">
      <c r="A1083" s="18" t="s">
        <v>5628</v>
      </c>
      <c r="B1083" s="18" t="s">
        <v>192</v>
      </c>
      <c r="C1083" s="18" t="s">
        <v>2515</v>
      </c>
      <c r="D1083" s="18" t="s">
        <v>227</v>
      </c>
      <c r="E1083" s="18" t="s">
        <v>5629</v>
      </c>
      <c r="F1083" s="19" t="s">
        <v>5630</v>
      </c>
      <c r="G1083" s="19" t="s">
        <v>4324</v>
      </c>
      <c r="H1083" s="24">
        <v>36</v>
      </c>
      <c r="I1083" s="24">
        <v>26.6</v>
      </c>
      <c r="J1083" s="24">
        <f>MAX(H1083,ROUNDUP(I1083,0))</f>
        <v>36.0</v>
      </c>
      <c r="K1083" s="22">
        <f>IF(C1083="covered",10.4,7.55)</f>
        <v>10.4</v>
      </c>
      <c r="L1083" s="18" t="s">
        <v>5631</v>
      </c>
      <c r="M1083" s="24">
        <v>36</v>
      </c>
      <c r="N1083" s="22">
        <v>10.4</v>
      </c>
      <c r="O1083" s="22">
        <v>374.4</v>
      </c>
      <c r="P1083" s="22">
        <f>J1083*K1083</f>
        <v>374.40000000000003</v>
      </c>
      <c r="Q1083" s="22">
        <f>IF(L1083="","",N1083-K1083)</f>
        <v>0.0</v>
      </c>
      <c r="R1083" s="24">
        <f>IF(L1083="","",M1083-J1083)</f>
        <v>0.0</v>
      </c>
      <c r="S1083" s="22">
        <f>IF(L1083="",-P1083,O1083-P1083)</f>
        <v>-5.684341886080802e-14</v>
      </c>
      <c r="T1083" s="11" t="str">
        <f>IF(L1083="","NO BILL IN SUPPLIED EXPORT",IF(ABS(Q1083)&gt;0.001,"RATE EXCEPTION",IF(ABS(R1083)&gt;0.001,"LENGTH EXCEPTION",IF(ABS(S1083)&gt;0.01,"AMOUNT EXCEPTION","OK"))))</f>
        <v>OK</v>
      </c>
      <c r="U1083" s="19" t="s">
        <v>5632</v>
      </c>
    </row>
    <row r="1084" spans="1:21" ht="28" customHeight="1">
      <c r="A1084" s="14" t="s">
        <v>5633</v>
      </c>
      <c r="B1084" s="14" t="s">
        <v>192</v>
      </c>
      <c r="C1084" s="14" t="s">
        <v>2515</v>
      </c>
      <c r="D1084" s="14" t="s">
        <v>227</v>
      </c>
      <c r="E1084" s="14" t="s">
        <v>5634</v>
      </c>
      <c r="F1084" s="15" t="s">
        <v>5635</v>
      </c>
      <c r="G1084" s="15" t="s">
        <v>335</v>
      </c>
      <c r="H1084" s="24">
        <v>24</v>
      </c>
      <c r="I1084" s="24">
        <v>61.6</v>
      </c>
      <c r="J1084" s="24">
        <f>MAX(H1084,ROUNDUP(I1084,0))</f>
        <v>62</v>
      </c>
      <c r="K1084" s="22">
        <f>IF(C1084="covered",10.4,7.55)</f>
        <v>10.4</v>
      </c>
      <c r="L1084" s="14" t="s">
        <v>5636</v>
      </c>
      <c r="M1084" s="24">
        <v>62</v>
      </c>
      <c r="N1084" s="22">
        <v>10.4</v>
      </c>
      <c r="O1084" s="22">
        <v>644.8</v>
      </c>
      <c r="P1084" s="22">
        <f>J1084*K1084</f>
        <v>644.8000000000001</v>
      </c>
      <c r="Q1084" s="22">
        <f>IF(L1084="","",N1084-K1084)</f>
        <v>0.0</v>
      </c>
      <c r="R1084" s="24">
        <f>IF(L1084="","",M1084-J1084)</f>
        <v>0.0</v>
      </c>
      <c r="S1084" s="22">
        <f>IF(L1084="",-P1084,O1084-P1084)</f>
        <v>-1.1368683772161603e-13</v>
      </c>
      <c r="T1084" s="11" t="str">
        <f>IF(L1084="","NO BILL IN SUPPLIED EXPORT",IF(ABS(Q1084)&gt;0.001,"RATE EXCEPTION",IF(ABS(R1084)&gt;0.001,"LENGTH EXCEPTION",IF(ABS(S1084)&gt;0.01,"AMOUNT EXCEPTION","OK"))))</f>
        <v>OK</v>
      </c>
      <c r="U1084" s="15" t="s">
        <v>5637</v>
      </c>
    </row>
    <row r="1085" spans="1:21" ht="28" customHeight="1">
      <c r="A1085" s="18" t="s">
        <v>5638</v>
      </c>
      <c r="B1085" s="18" t="s">
        <v>192</v>
      </c>
      <c r="C1085" s="18" t="s">
        <v>2515</v>
      </c>
      <c r="D1085" s="18" t="s">
        <v>227</v>
      </c>
      <c r="E1085" s="18" t="s">
        <v>5639</v>
      </c>
      <c r="F1085" s="19" t="s">
        <v>5640</v>
      </c>
      <c r="G1085" s="19" t="s">
        <v>704</v>
      </c>
      <c r="H1085" s="24">
        <v>32</v>
      </c>
      <c r="I1085" s="24">
        <v>47.1</v>
      </c>
      <c r="J1085" s="24">
        <f>MAX(H1085,ROUNDUP(I1085,0))</f>
        <v>48</v>
      </c>
      <c r="K1085" s="22">
        <f>IF(C1085="covered",10.4,7.55)</f>
        <v>10.4</v>
      </c>
      <c r="L1085" s="18" t="s">
        <v>5641</v>
      </c>
      <c r="M1085" s="24">
        <v>48</v>
      </c>
      <c r="N1085" s="22">
        <v>10.4</v>
      </c>
      <c r="O1085" s="22">
        <v>499.2</v>
      </c>
      <c r="P1085" s="22">
        <f>J1085*K1085</f>
        <v>499.20000000000005</v>
      </c>
      <c r="Q1085" s="22">
        <f>IF(L1085="","",N1085-K1085)</f>
        <v>0.0</v>
      </c>
      <c r="R1085" s="24">
        <f>IF(L1085="","",M1085-J1085)</f>
        <v>0.0</v>
      </c>
      <c r="S1085" s="22">
        <f>IF(L1085="",-P1085,O1085-P1085)</f>
        <v>-5.684341886080802e-14</v>
      </c>
      <c r="T1085" s="11" t="str">
        <f>IF(L1085="","NO BILL IN SUPPLIED EXPORT",IF(ABS(Q1085)&gt;0.001,"RATE EXCEPTION",IF(ABS(R1085)&gt;0.001,"LENGTH EXCEPTION",IF(ABS(S1085)&gt;0.01,"AMOUNT EXCEPTION","OK"))))</f>
        <v>OK</v>
      </c>
      <c r="U1085" s="19" t="s">
        <v>5642</v>
      </c>
    </row>
    <row r="1086" spans="1:21" ht="28" customHeight="1">
      <c r="A1086" s="14" t="s">
        <v>5643</v>
      </c>
      <c r="B1086" s="14" t="s">
        <v>192</v>
      </c>
      <c r="C1086" s="14" t="s">
        <v>2515</v>
      </c>
      <c r="D1086" s="14" t="s">
        <v>227</v>
      </c>
      <c r="E1086" s="14" t="s">
        <v>5644</v>
      </c>
      <c r="F1086" s="15" t="s">
        <v>4613</v>
      </c>
      <c r="G1086" s="15" t="s">
        <v>3315</v>
      </c>
      <c r="H1086" s="24">
        <v>28</v>
      </c>
      <c r="I1086" s="24">
        <v>19.3</v>
      </c>
      <c r="J1086" s="24">
        <f>MAX(H1086,ROUNDUP(I1086,0))</f>
        <v>28.0</v>
      </c>
      <c r="K1086" s="22">
        <f>IF(C1086="covered",10.4,7.55)</f>
        <v>10.4</v>
      </c>
      <c r="L1086" s="14" t="s">
        <v>5645</v>
      </c>
      <c r="M1086" s="24">
        <v>28</v>
      </c>
      <c r="N1086" s="22">
        <v>10.4</v>
      </c>
      <c r="O1086" s="22">
        <v>291.2</v>
      </c>
      <c r="P1086" s="22">
        <f>J1086*K1086</f>
        <v>291.2</v>
      </c>
      <c r="Q1086" s="22">
        <f>IF(L1086="","",N1086-K1086)</f>
        <v>0.0</v>
      </c>
      <c r="R1086" s="24">
        <f>IF(L1086="","",M1086-J1086)</f>
        <v>0.0</v>
      </c>
      <c r="S1086" s="22">
        <f>IF(L1086="",-P1086,O1086-P1086)</f>
        <v>0.0</v>
      </c>
      <c r="T1086" s="11" t="str">
        <f>IF(L1086="","NO BILL IN SUPPLIED EXPORT",IF(ABS(Q1086)&gt;0.001,"RATE EXCEPTION",IF(ABS(R1086)&gt;0.001,"LENGTH EXCEPTION",IF(ABS(S1086)&gt;0.01,"AMOUNT EXCEPTION","OK"))))</f>
        <v>OK</v>
      </c>
      <c r="U1086" s="15" t="s">
        <v>5646</v>
      </c>
    </row>
    <row r="1087" spans="1:21" ht="28" customHeight="1">
      <c r="A1087" s="18" t="s">
        <v>5647</v>
      </c>
      <c r="B1087" s="18" t="s">
        <v>192</v>
      </c>
      <c r="C1087" s="18" t="s">
        <v>2515</v>
      </c>
      <c r="D1087" s="18" t="s">
        <v>227</v>
      </c>
      <c r="E1087" s="18" t="s">
        <v>5648</v>
      </c>
      <c r="F1087" s="19" t="s">
        <v>5649</v>
      </c>
      <c r="G1087" s="19" t="s">
        <v>4708</v>
      </c>
      <c r="H1087" s="24">
        <v>36</v>
      </c>
      <c r="I1087" s="24">
        <v>40.3</v>
      </c>
      <c r="J1087" s="24">
        <f>MAX(H1087,ROUNDUP(I1087,0))</f>
        <v>41</v>
      </c>
      <c r="K1087" s="22">
        <f>IF(C1087="covered",10.4,7.55)</f>
        <v>10.4</v>
      </c>
      <c r="L1087" s="18" t="s">
        <v>5650</v>
      </c>
      <c r="M1087" s="24">
        <v>41</v>
      </c>
      <c r="N1087" s="22">
        <v>10.4</v>
      </c>
      <c r="O1087" s="22">
        <v>426.4</v>
      </c>
      <c r="P1087" s="22">
        <f>J1087*K1087</f>
        <v>426.40000000000003</v>
      </c>
      <c r="Q1087" s="22">
        <f>IF(L1087="","",N1087-K1087)</f>
        <v>0.0</v>
      </c>
      <c r="R1087" s="24">
        <f>IF(L1087="","",M1087-J1087)</f>
        <v>0.0</v>
      </c>
      <c r="S1087" s="22">
        <f>IF(L1087="",-P1087,O1087-P1087)</f>
        <v>-5.684341886080802e-14</v>
      </c>
      <c r="T1087" s="11" t="str">
        <f>IF(L1087="","NO BILL IN SUPPLIED EXPORT",IF(ABS(Q1087)&gt;0.001,"RATE EXCEPTION",IF(ABS(R1087)&gt;0.001,"LENGTH EXCEPTION",IF(ABS(S1087)&gt;0.01,"AMOUNT EXCEPTION","OK"))))</f>
        <v>OK</v>
      </c>
      <c r="U1087" s="19" t="s">
        <v>5651</v>
      </c>
    </row>
    <row r="1088" spans="1:21" ht="28" customHeight="1">
      <c r="A1088" s="14" t="s">
        <v>5652</v>
      </c>
      <c r="B1088" s="14" t="s">
        <v>192</v>
      </c>
      <c r="C1088" s="14" t="s">
        <v>2515</v>
      </c>
      <c r="D1088" s="14" t="s">
        <v>227</v>
      </c>
      <c r="E1088" s="14" t="s">
        <v>5653</v>
      </c>
      <c r="F1088" s="15" t="s">
        <v>5654</v>
      </c>
      <c r="G1088" s="15" t="s">
        <v>2178</v>
      </c>
      <c r="H1088" s="24">
        <v>32</v>
      </c>
      <c r="I1088" s="24">
        <v>27.6</v>
      </c>
      <c r="J1088" s="24">
        <f>MAX(H1088,ROUNDUP(I1088,0))</f>
        <v>32.0</v>
      </c>
      <c r="K1088" s="22">
        <f>IF(C1088="covered",10.4,7.55)</f>
        <v>10.4</v>
      </c>
      <c r="L1088" s="14" t="s">
        <v>5655</v>
      </c>
      <c r="M1088" s="24">
        <v>32</v>
      </c>
      <c r="N1088" s="22">
        <v>10.4</v>
      </c>
      <c r="O1088" s="22">
        <v>332.8</v>
      </c>
      <c r="P1088" s="22">
        <f>J1088*K1088</f>
        <v>332.8</v>
      </c>
      <c r="Q1088" s="22">
        <f>IF(L1088="","",N1088-K1088)</f>
        <v>0.0</v>
      </c>
      <c r="R1088" s="24">
        <f>IF(L1088="","",M1088-J1088)</f>
        <v>0.0</v>
      </c>
      <c r="S1088" s="22">
        <f>IF(L1088="",-P1088,O1088-P1088)</f>
        <v>0.0</v>
      </c>
      <c r="T1088" s="11" t="str">
        <f>IF(L1088="","NO BILL IN SUPPLIED EXPORT",IF(ABS(Q1088)&gt;0.001,"RATE EXCEPTION",IF(ABS(R1088)&gt;0.001,"LENGTH EXCEPTION",IF(ABS(S1088)&gt;0.01,"AMOUNT EXCEPTION","OK"))))</f>
        <v>OK</v>
      </c>
      <c r="U1088" s="15" t="s">
        <v>5656</v>
      </c>
    </row>
    <row r="1089" spans="1:21" ht="28" customHeight="1">
      <c r="A1089" s="18" t="s">
        <v>5657</v>
      </c>
      <c r="B1089" s="18" t="s">
        <v>192</v>
      </c>
      <c r="C1089" s="18" t="s">
        <v>2515</v>
      </c>
      <c r="D1089" s="18" t="s">
        <v>227</v>
      </c>
      <c r="E1089" s="18" t="s">
        <v>5658</v>
      </c>
      <c r="F1089" s="19" t="s">
        <v>5659</v>
      </c>
      <c r="G1089" s="19" t="s">
        <v>103</v>
      </c>
      <c r="H1089" s="24">
        <v>40</v>
      </c>
      <c r="I1089" s="24">
        <v>20.9</v>
      </c>
      <c r="J1089" s="24">
        <f>MAX(H1089,ROUNDUP(I1089,0))</f>
        <v>40.0</v>
      </c>
      <c r="K1089" s="22">
        <f>IF(C1089="covered",10.4,7.55)</f>
        <v>10.4</v>
      </c>
      <c r="L1089" s="18" t="s">
        <v>5660</v>
      </c>
      <c r="M1089" s="24">
        <v>40</v>
      </c>
      <c r="N1089" s="22">
        <v>10.4</v>
      </c>
      <c r="O1089" s="22">
        <v>416</v>
      </c>
      <c r="P1089" s="22">
        <f>J1089*K1089</f>
        <v>416.0</v>
      </c>
      <c r="Q1089" s="22">
        <f>IF(L1089="","",N1089-K1089)</f>
        <v>0.0</v>
      </c>
      <c r="R1089" s="24">
        <f>IF(L1089="","",M1089-J1089)</f>
        <v>0.0</v>
      </c>
      <c r="S1089" s="22">
        <f>IF(L1089="",-P1089,O1089-P1089)</f>
        <v>0.0</v>
      </c>
      <c r="T1089" s="11" t="str">
        <f>IF(L1089="","NO BILL IN SUPPLIED EXPORT",IF(ABS(Q1089)&gt;0.001,"RATE EXCEPTION",IF(ABS(R1089)&gt;0.001,"LENGTH EXCEPTION",IF(ABS(S1089)&gt;0.01,"AMOUNT EXCEPTION","OK"))))</f>
        <v>OK</v>
      </c>
      <c r="U1089" s="19" t="s">
        <v>5661</v>
      </c>
    </row>
    <row r="1090" spans="1:21" ht="28" customHeight="1">
      <c r="A1090" s="14" t="s">
        <v>5662</v>
      </c>
      <c r="B1090" s="14" t="s">
        <v>192</v>
      </c>
      <c r="C1090" s="14" t="s">
        <v>2515</v>
      </c>
      <c r="D1090" s="14" t="s">
        <v>227</v>
      </c>
      <c r="E1090" s="14" t="s">
        <v>5663</v>
      </c>
      <c r="F1090" s="15" t="s">
        <v>5664</v>
      </c>
      <c r="G1090" s="15" t="s">
        <v>254</v>
      </c>
      <c r="H1090" s="24">
        <v>28</v>
      </c>
      <c r="I1090" s="24">
        <v>60</v>
      </c>
      <c r="J1090" s="24">
        <f>MAX(H1090,ROUNDUP(I1090,0))</f>
        <v>60</v>
      </c>
      <c r="K1090" s="22">
        <f>IF(C1090="covered",10.4,7.55)</f>
        <v>10.4</v>
      </c>
      <c r="L1090" s="14" t="s">
        <v>5665</v>
      </c>
      <c r="M1090" s="24">
        <v>60</v>
      </c>
      <c r="N1090" s="22">
        <v>10.4</v>
      </c>
      <c r="O1090" s="22">
        <v>624</v>
      </c>
      <c r="P1090" s="22">
        <f>J1090*K1090</f>
        <v>624.0</v>
      </c>
      <c r="Q1090" s="22">
        <f>IF(L1090="","",N1090-K1090)</f>
        <v>0.0</v>
      </c>
      <c r="R1090" s="24">
        <f>IF(L1090="","",M1090-J1090)</f>
        <v>0.0</v>
      </c>
      <c r="S1090" s="22">
        <f>IF(L1090="",-P1090,O1090-P1090)</f>
        <v>0.0</v>
      </c>
      <c r="T1090" s="11" t="str">
        <f>IF(L1090="","NO BILL IN SUPPLIED EXPORT",IF(ABS(Q1090)&gt;0.001,"RATE EXCEPTION",IF(ABS(R1090)&gt;0.001,"LENGTH EXCEPTION",IF(ABS(S1090)&gt;0.01,"AMOUNT EXCEPTION","OK"))))</f>
        <v>OK</v>
      </c>
      <c r="U1090" s="15" t="s">
        <v>5666</v>
      </c>
    </row>
    <row r="1091" spans="1:21" ht="28" customHeight="1">
      <c r="A1091" s="18" t="s">
        <v>5667</v>
      </c>
      <c r="B1091" s="18" t="s">
        <v>192</v>
      </c>
      <c r="C1091" s="18" t="s">
        <v>2515</v>
      </c>
      <c r="D1091" s="18" t="s">
        <v>227</v>
      </c>
      <c r="E1091" s="18" t="s">
        <v>5668</v>
      </c>
      <c r="F1091" s="19" t="s">
        <v>5669</v>
      </c>
      <c r="G1091" s="19" t="s">
        <v>600</v>
      </c>
      <c r="H1091" s="24">
        <v>28</v>
      </c>
      <c r="I1091" s="24">
        <v>35.9</v>
      </c>
      <c r="J1091" s="24">
        <f>MAX(H1091,ROUNDUP(I1091,0))</f>
        <v>36</v>
      </c>
      <c r="K1091" s="22">
        <f>IF(C1091="covered",10.4,7.55)</f>
        <v>10.4</v>
      </c>
      <c r="L1091" s="18" t="s">
        <v>5670</v>
      </c>
      <c r="M1091" s="24">
        <v>36</v>
      </c>
      <c r="N1091" s="22">
        <v>10.4</v>
      </c>
      <c r="O1091" s="22">
        <v>374.4</v>
      </c>
      <c r="P1091" s="22">
        <f>J1091*K1091</f>
        <v>374.40000000000003</v>
      </c>
      <c r="Q1091" s="22">
        <f>IF(L1091="","",N1091-K1091)</f>
        <v>0.0</v>
      </c>
      <c r="R1091" s="24">
        <f>IF(L1091="","",M1091-J1091)</f>
        <v>0.0</v>
      </c>
      <c r="S1091" s="22">
        <f>IF(L1091="",-P1091,O1091-P1091)</f>
        <v>-5.684341886080802e-14</v>
      </c>
      <c r="T1091" s="11" t="str">
        <f>IF(L1091="","NO BILL IN SUPPLIED EXPORT",IF(ABS(Q1091)&gt;0.001,"RATE EXCEPTION",IF(ABS(R1091)&gt;0.001,"LENGTH EXCEPTION",IF(ABS(S1091)&gt;0.01,"AMOUNT EXCEPTION","OK"))))</f>
        <v>OK</v>
      </c>
      <c r="U1091" s="19" t="s">
        <v>5671</v>
      </c>
    </row>
    <row r="1092" spans="1:21" ht="28" customHeight="1">
      <c r="A1092" s="14" t="s">
        <v>5672</v>
      </c>
      <c r="B1092" s="14" t="s">
        <v>192</v>
      </c>
      <c r="C1092" s="14" t="s">
        <v>2515</v>
      </c>
      <c r="D1092" s="14" t="s">
        <v>227</v>
      </c>
      <c r="E1092" s="14" t="s">
        <v>5673</v>
      </c>
      <c r="F1092" s="15" t="s">
        <v>5674</v>
      </c>
      <c r="G1092" s="15" t="s">
        <v>5321</v>
      </c>
      <c r="H1092" s="24">
        <v>28</v>
      </c>
      <c r="I1092" s="24">
        <v>56.3</v>
      </c>
      <c r="J1092" s="24">
        <f>MAX(H1092,ROUNDUP(I1092,0))</f>
        <v>57</v>
      </c>
      <c r="K1092" s="22">
        <f>IF(C1092="covered",10.4,7.55)</f>
        <v>10.4</v>
      </c>
      <c r="L1092" s="14" t="s">
        <v>5675</v>
      </c>
      <c r="M1092" s="24">
        <v>57</v>
      </c>
      <c r="N1092" s="22">
        <v>10.4</v>
      </c>
      <c r="O1092" s="22">
        <v>592.8</v>
      </c>
      <c r="P1092" s="22">
        <f>J1092*K1092</f>
        <v>592.8000000000001</v>
      </c>
      <c r="Q1092" s="22">
        <f>IF(L1092="","",N1092-K1092)</f>
        <v>0.0</v>
      </c>
      <c r="R1092" s="24">
        <f>IF(L1092="","",M1092-J1092)</f>
        <v>0.0</v>
      </c>
      <c r="S1092" s="22">
        <f>IF(L1092="",-P1092,O1092-P1092)</f>
        <v>-1.1368683772161603e-13</v>
      </c>
      <c r="T1092" s="11" t="str">
        <f>IF(L1092="","NO BILL IN SUPPLIED EXPORT",IF(ABS(Q1092)&gt;0.001,"RATE EXCEPTION",IF(ABS(R1092)&gt;0.001,"LENGTH EXCEPTION",IF(ABS(S1092)&gt;0.01,"AMOUNT EXCEPTION","OK"))))</f>
        <v>OK</v>
      </c>
      <c r="U1092" s="15" t="s">
        <v>5676</v>
      </c>
    </row>
    <row r="1093" spans="1:21" ht="28" customHeight="1">
      <c r="A1093" s="18" t="s">
        <v>5677</v>
      </c>
      <c r="B1093" s="18" t="s">
        <v>192</v>
      </c>
      <c r="C1093" s="18" t="s">
        <v>2515</v>
      </c>
      <c r="D1093" s="18" t="s">
        <v>227</v>
      </c>
      <c r="E1093" s="18" t="s">
        <v>5678</v>
      </c>
      <c r="F1093" s="19" t="s">
        <v>5679</v>
      </c>
      <c r="G1093" s="19" t="s">
        <v>2248</v>
      </c>
      <c r="H1093" s="24">
        <v>24</v>
      </c>
      <c r="I1093" s="24">
        <v>28.1</v>
      </c>
      <c r="J1093" s="24">
        <f>MAX(H1093,ROUNDUP(I1093,0))</f>
        <v>29</v>
      </c>
      <c r="K1093" s="22">
        <f>IF(C1093="covered",10.4,7.55)</f>
        <v>10.4</v>
      </c>
      <c r="L1093" s="18" t="s">
        <v>5680</v>
      </c>
      <c r="M1093" s="24">
        <v>29</v>
      </c>
      <c r="N1093" s="22">
        <v>10.4</v>
      </c>
      <c r="O1093" s="22">
        <v>301.6</v>
      </c>
      <c r="P1093" s="22">
        <f>J1093*K1093</f>
        <v>301.6</v>
      </c>
      <c r="Q1093" s="22">
        <f>IF(L1093="","",N1093-K1093)</f>
        <v>0.0</v>
      </c>
      <c r="R1093" s="24">
        <f>IF(L1093="","",M1093-J1093)</f>
        <v>0.0</v>
      </c>
      <c r="S1093" s="22">
        <f>IF(L1093="",-P1093,O1093-P1093)</f>
        <v>0.0</v>
      </c>
      <c r="T1093" s="11" t="str">
        <f>IF(L1093="","NO BILL IN SUPPLIED EXPORT",IF(ABS(Q1093)&gt;0.001,"RATE EXCEPTION",IF(ABS(R1093)&gt;0.001,"LENGTH EXCEPTION",IF(ABS(S1093)&gt;0.01,"AMOUNT EXCEPTION","OK"))))</f>
        <v>OK</v>
      </c>
      <c r="U1093" s="19" t="s">
        <v>5681</v>
      </c>
    </row>
    <row r="1094" spans="1:21" ht="28" customHeight="1">
      <c r="A1094" s="14" t="s">
        <v>5682</v>
      </c>
      <c r="B1094" s="14" t="s">
        <v>192</v>
      </c>
      <c r="C1094" s="14" t="s">
        <v>2515</v>
      </c>
      <c r="D1094" s="14" t="s">
        <v>227</v>
      </c>
      <c r="E1094" s="14" t="s">
        <v>5683</v>
      </c>
      <c r="F1094" s="15" t="s">
        <v>5684</v>
      </c>
      <c r="G1094" s="15" t="s">
        <v>454</v>
      </c>
      <c r="H1094" s="24">
        <v>36</v>
      </c>
      <c r="I1094" s="24">
        <v>46.3</v>
      </c>
      <c r="J1094" s="24">
        <f>MAX(H1094,ROUNDUP(I1094,0))</f>
        <v>47</v>
      </c>
      <c r="K1094" s="22">
        <f>IF(C1094="covered",10.4,7.55)</f>
        <v>10.4</v>
      </c>
      <c r="L1094" s="14" t="s">
        <v>5685</v>
      </c>
      <c r="M1094" s="24">
        <v>47</v>
      </c>
      <c r="N1094" s="22">
        <v>10.4</v>
      </c>
      <c r="O1094" s="22">
        <v>488.8</v>
      </c>
      <c r="P1094" s="22">
        <f>J1094*K1094</f>
        <v>488.8</v>
      </c>
      <c r="Q1094" s="22">
        <f>IF(L1094="","",N1094-K1094)</f>
        <v>0.0</v>
      </c>
      <c r="R1094" s="24">
        <f>IF(L1094="","",M1094-J1094)</f>
        <v>0.0</v>
      </c>
      <c r="S1094" s="22">
        <f>IF(L1094="",-P1094,O1094-P1094)</f>
        <v>0.0</v>
      </c>
      <c r="T1094" s="11" t="str">
        <f>IF(L1094="","NO BILL IN SUPPLIED EXPORT",IF(ABS(Q1094)&gt;0.001,"RATE EXCEPTION",IF(ABS(R1094)&gt;0.001,"LENGTH EXCEPTION",IF(ABS(S1094)&gt;0.01,"AMOUNT EXCEPTION","OK"))))</f>
        <v>OK</v>
      </c>
      <c r="U1094" s="15" t="s">
        <v>5686</v>
      </c>
    </row>
    <row r="1095" spans="1:21" ht="28" customHeight="1">
      <c r="A1095" s="18" t="s">
        <v>5687</v>
      </c>
      <c r="B1095" s="18" t="s">
        <v>192</v>
      </c>
      <c r="C1095" s="18" t="s">
        <v>2515</v>
      </c>
      <c r="D1095" s="18" t="s">
        <v>227</v>
      </c>
      <c r="E1095" s="18" t="s">
        <v>5688</v>
      </c>
      <c r="F1095" s="19" t="s">
        <v>5689</v>
      </c>
      <c r="G1095" s="19" t="s">
        <v>1692</v>
      </c>
      <c r="H1095" s="24">
        <v>36</v>
      </c>
      <c r="I1095" s="24">
        <v>49.2</v>
      </c>
      <c r="J1095" s="24">
        <f>MAX(H1095,ROUNDUP(I1095,0))</f>
        <v>50</v>
      </c>
      <c r="K1095" s="22">
        <f>IF(C1095="covered",10.4,7.55)</f>
        <v>10.4</v>
      </c>
      <c r="L1095" s="18" t="s">
        <v>5690</v>
      </c>
      <c r="M1095" s="24">
        <v>50</v>
      </c>
      <c r="N1095" s="22">
        <v>10.4</v>
      </c>
      <c r="O1095" s="22">
        <v>520</v>
      </c>
      <c r="P1095" s="22">
        <f>J1095*K1095</f>
        <v>520.0</v>
      </c>
      <c r="Q1095" s="22">
        <f>IF(L1095="","",N1095-K1095)</f>
        <v>0.0</v>
      </c>
      <c r="R1095" s="24">
        <f>IF(L1095="","",M1095-J1095)</f>
        <v>0.0</v>
      </c>
      <c r="S1095" s="22">
        <f>IF(L1095="",-P1095,O1095-P1095)</f>
        <v>0.0</v>
      </c>
      <c r="T1095" s="11" t="str">
        <f>IF(L1095="","NO BILL IN SUPPLIED EXPORT",IF(ABS(Q1095)&gt;0.001,"RATE EXCEPTION",IF(ABS(R1095)&gt;0.001,"LENGTH EXCEPTION",IF(ABS(S1095)&gt;0.01,"AMOUNT EXCEPTION","OK"))))</f>
        <v>OK</v>
      </c>
      <c r="U1095" s="19" t="s">
        <v>5691</v>
      </c>
    </row>
    <row r="1096" spans="1:21" ht="28" customHeight="1">
      <c r="A1096" s="14" t="s">
        <v>5692</v>
      </c>
      <c r="B1096" s="14" t="s">
        <v>192</v>
      </c>
      <c r="C1096" s="14" t="s">
        <v>2515</v>
      </c>
      <c r="D1096" s="14" t="s">
        <v>227</v>
      </c>
      <c r="E1096" s="14" t="s">
        <v>5693</v>
      </c>
      <c r="F1096" s="15" t="s">
        <v>5694</v>
      </c>
      <c r="G1096" s="15" t="s">
        <v>2324</v>
      </c>
      <c r="H1096" s="24">
        <v>28</v>
      </c>
      <c r="I1096" s="24">
        <v>43.3</v>
      </c>
      <c r="J1096" s="24">
        <f>MAX(H1096,ROUNDUP(I1096,0))</f>
        <v>44</v>
      </c>
      <c r="K1096" s="22">
        <f>IF(C1096="covered",10.4,7.55)</f>
        <v>10.4</v>
      </c>
      <c r="L1096" s="14" t="s">
        <v>5695</v>
      </c>
      <c r="M1096" s="24">
        <v>44</v>
      </c>
      <c r="N1096" s="22">
        <v>10.4</v>
      </c>
      <c r="O1096" s="22">
        <v>457.6</v>
      </c>
      <c r="P1096" s="22">
        <f>J1096*K1096</f>
        <v>457.6</v>
      </c>
      <c r="Q1096" s="22">
        <f>IF(L1096="","",N1096-K1096)</f>
        <v>0.0</v>
      </c>
      <c r="R1096" s="24">
        <f>IF(L1096="","",M1096-J1096)</f>
        <v>0.0</v>
      </c>
      <c r="S1096" s="22">
        <f>IF(L1096="",-P1096,O1096-P1096)</f>
        <v>0.0</v>
      </c>
      <c r="T1096" s="11" t="str">
        <f>IF(L1096="","NO BILL IN SUPPLIED EXPORT",IF(ABS(Q1096)&gt;0.001,"RATE EXCEPTION",IF(ABS(R1096)&gt;0.001,"LENGTH EXCEPTION",IF(ABS(S1096)&gt;0.01,"AMOUNT EXCEPTION","OK"))))</f>
        <v>OK</v>
      </c>
      <c r="U1096" s="15" t="s">
        <v>5696</v>
      </c>
    </row>
    <row r="1097" spans="1:21" ht="28" customHeight="1">
      <c r="A1097" s="18" t="s">
        <v>5697</v>
      </c>
      <c r="B1097" s="18" t="s">
        <v>192</v>
      </c>
      <c r="C1097" s="18" t="s">
        <v>2515</v>
      </c>
      <c r="D1097" s="18" t="s">
        <v>227</v>
      </c>
      <c r="E1097" s="18" t="s">
        <v>5698</v>
      </c>
      <c r="F1097" s="19" t="s">
        <v>5699</v>
      </c>
      <c r="G1097" s="19" t="s">
        <v>1850</v>
      </c>
      <c r="H1097" s="24">
        <v>24</v>
      </c>
      <c r="I1097" s="24">
        <v>48.1</v>
      </c>
      <c r="J1097" s="24">
        <f>MAX(H1097,ROUNDUP(I1097,0))</f>
        <v>49</v>
      </c>
      <c r="K1097" s="22">
        <f>IF(C1097="covered",10.4,7.55)</f>
        <v>10.4</v>
      </c>
      <c r="L1097" s="18" t="s">
        <v>5700</v>
      </c>
      <c r="M1097" s="24">
        <v>49</v>
      </c>
      <c r="N1097" s="22">
        <v>10.4</v>
      </c>
      <c r="O1097" s="22">
        <v>509.6</v>
      </c>
      <c r="P1097" s="22">
        <f>J1097*K1097</f>
        <v>509.6</v>
      </c>
      <c r="Q1097" s="22">
        <f>IF(L1097="","",N1097-K1097)</f>
        <v>0.0</v>
      </c>
      <c r="R1097" s="24">
        <f>IF(L1097="","",M1097-J1097)</f>
        <v>0.0</v>
      </c>
      <c r="S1097" s="22">
        <f>IF(L1097="",-P1097,O1097-P1097)</f>
        <v>0.0</v>
      </c>
      <c r="T1097" s="11" t="str">
        <f>IF(L1097="","NO BILL IN SUPPLIED EXPORT",IF(ABS(Q1097)&gt;0.001,"RATE EXCEPTION",IF(ABS(R1097)&gt;0.001,"LENGTH EXCEPTION",IF(ABS(S1097)&gt;0.01,"AMOUNT EXCEPTION","OK"))))</f>
        <v>OK</v>
      </c>
      <c r="U1097" s="19" t="s">
        <v>5701</v>
      </c>
    </row>
    <row r="1098" spans="1:21" ht="28" customHeight="1">
      <c r="A1098" s="14" t="s">
        <v>5702</v>
      </c>
      <c r="B1098" s="14" t="s">
        <v>192</v>
      </c>
      <c r="C1098" s="14" t="s">
        <v>2515</v>
      </c>
      <c r="D1098" s="14" t="s">
        <v>227</v>
      </c>
      <c r="E1098" s="14" t="s">
        <v>5703</v>
      </c>
      <c r="F1098" s="15" t="s">
        <v>5704</v>
      </c>
      <c r="G1098" s="15" t="s">
        <v>1862</v>
      </c>
      <c r="H1098" s="24">
        <v>40</v>
      </c>
      <c r="I1098" s="24">
        <v>28.3</v>
      </c>
      <c r="J1098" s="24">
        <f>MAX(H1098,ROUNDUP(I1098,0))</f>
        <v>40.0</v>
      </c>
      <c r="K1098" s="22">
        <f>IF(C1098="covered",10.4,7.55)</f>
        <v>10.4</v>
      </c>
      <c r="L1098" s="14" t="s">
        <v>5705</v>
      </c>
      <c r="M1098" s="24">
        <v>40</v>
      </c>
      <c r="N1098" s="22">
        <v>10.4</v>
      </c>
      <c r="O1098" s="22">
        <v>416</v>
      </c>
      <c r="P1098" s="22">
        <f>J1098*K1098</f>
        <v>416.0</v>
      </c>
      <c r="Q1098" s="22">
        <f>IF(L1098="","",N1098-K1098)</f>
        <v>0.0</v>
      </c>
      <c r="R1098" s="24">
        <f>IF(L1098="","",M1098-J1098)</f>
        <v>0.0</v>
      </c>
      <c r="S1098" s="22">
        <f>IF(L1098="",-P1098,O1098-P1098)</f>
        <v>0.0</v>
      </c>
      <c r="T1098" s="11" t="str">
        <f>IF(L1098="","NO BILL IN SUPPLIED EXPORT",IF(ABS(Q1098)&gt;0.001,"RATE EXCEPTION",IF(ABS(R1098)&gt;0.001,"LENGTH EXCEPTION",IF(ABS(S1098)&gt;0.01,"AMOUNT EXCEPTION","OK"))))</f>
        <v>OK</v>
      </c>
      <c r="U1098" s="15" t="s">
        <v>5706</v>
      </c>
    </row>
    <row r="1099" spans="1:21" ht="28" customHeight="1">
      <c r="A1099" s="18" t="s">
        <v>5707</v>
      </c>
      <c r="B1099" s="18" t="s">
        <v>192</v>
      </c>
      <c r="C1099" s="18" t="s">
        <v>2515</v>
      </c>
      <c r="D1099" s="18" t="s">
        <v>227</v>
      </c>
      <c r="E1099" s="18" t="s">
        <v>5708</v>
      </c>
      <c r="F1099" s="19" t="s">
        <v>5709</v>
      </c>
      <c r="G1099" s="19" t="s">
        <v>4434</v>
      </c>
      <c r="H1099" s="24">
        <v>40</v>
      </c>
      <c r="I1099" s="24">
        <v>57.4</v>
      </c>
      <c r="J1099" s="24">
        <f>MAX(H1099,ROUNDUP(I1099,0))</f>
        <v>58</v>
      </c>
      <c r="K1099" s="22">
        <f>IF(C1099="covered",10.4,7.55)</f>
        <v>10.4</v>
      </c>
      <c r="L1099" s="18" t="s">
        <v>5710</v>
      </c>
      <c r="M1099" s="24">
        <v>58</v>
      </c>
      <c r="N1099" s="22">
        <v>10.4</v>
      </c>
      <c r="O1099" s="22">
        <v>603.2</v>
      </c>
      <c r="P1099" s="22">
        <f>J1099*K1099</f>
        <v>603.2</v>
      </c>
      <c r="Q1099" s="22">
        <f>IF(L1099="","",N1099-K1099)</f>
        <v>0.0</v>
      </c>
      <c r="R1099" s="24">
        <f>IF(L1099="","",M1099-J1099)</f>
        <v>0.0</v>
      </c>
      <c r="S1099" s="22">
        <f>IF(L1099="",-P1099,O1099-P1099)</f>
        <v>0.0</v>
      </c>
      <c r="T1099" s="11" t="str">
        <f>IF(L1099="","NO BILL IN SUPPLIED EXPORT",IF(ABS(Q1099)&gt;0.001,"RATE EXCEPTION",IF(ABS(R1099)&gt;0.001,"LENGTH EXCEPTION",IF(ABS(S1099)&gt;0.01,"AMOUNT EXCEPTION","OK"))))</f>
        <v>OK</v>
      </c>
      <c r="U1099" s="19" t="s">
        <v>5711</v>
      </c>
    </row>
    <row r="1100" spans="1:21" ht="28" customHeight="1">
      <c r="A1100" s="14" t="s">
        <v>5712</v>
      </c>
      <c r="B1100" s="14" t="s">
        <v>192</v>
      </c>
      <c r="C1100" s="14" t="s">
        <v>2515</v>
      </c>
      <c r="D1100" s="14" t="s">
        <v>227</v>
      </c>
      <c r="E1100" s="14" t="s">
        <v>5713</v>
      </c>
      <c r="F1100" s="15" t="s">
        <v>5714</v>
      </c>
      <c r="G1100" s="15" t="s">
        <v>2275</v>
      </c>
      <c r="H1100" s="24">
        <v>28</v>
      </c>
      <c r="I1100" s="24">
        <v>21</v>
      </c>
      <c r="J1100" s="24">
        <f>MAX(H1100,ROUNDUP(I1100,0))</f>
        <v>28.0</v>
      </c>
      <c r="K1100" s="22">
        <f>IF(C1100="covered",10.4,7.55)</f>
        <v>10.4</v>
      </c>
      <c r="L1100" s="14" t="s">
        <v>5715</v>
      </c>
      <c r="M1100" s="24">
        <v>28</v>
      </c>
      <c r="N1100" s="22">
        <v>10.4</v>
      </c>
      <c r="O1100" s="22">
        <v>291.2</v>
      </c>
      <c r="P1100" s="22">
        <f>J1100*K1100</f>
        <v>291.2</v>
      </c>
      <c r="Q1100" s="22">
        <f>IF(L1100="","",N1100-K1100)</f>
        <v>0.0</v>
      </c>
      <c r="R1100" s="24">
        <f>IF(L1100="","",M1100-J1100)</f>
        <v>0.0</v>
      </c>
      <c r="S1100" s="22">
        <f>IF(L1100="",-P1100,O1100-P1100)</f>
        <v>0.0</v>
      </c>
      <c r="T1100" s="11" t="str">
        <f>IF(L1100="","NO BILL IN SUPPLIED EXPORT",IF(ABS(Q1100)&gt;0.001,"RATE EXCEPTION",IF(ABS(R1100)&gt;0.001,"LENGTH EXCEPTION",IF(ABS(S1100)&gt;0.01,"AMOUNT EXCEPTION","OK"))))</f>
        <v>OK</v>
      </c>
      <c r="U1100" s="15" t="s">
        <v>5716</v>
      </c>
    </row>
    <row r="1101" spans="1:21" ht="28" customHeight="1">
      <c r="A1101" s="18" t="s">
        <v>5717</v>
      </c>
      <c r="B1101" s="18" t="s">
        <v>192</v>
      </c>
      <c r="C1101" s="18" t="s">
        <v>2515</v>
      </c>
      <c r="D1101" s="18" t="s">
        <v>227</v>
      </c>
      <c r="E1101" s="18" t="s">
        <v>5718</v>
      </c>
      <c r="F1101" s="19" t="s">
        <v>5719</v>
      </c>
      <c r="G1101" s="19" t="s">
        <v>653</v>
      </c>
      <c r="H1101" s="24">
        <v>36</v>
      </c>
      <c r="I1101" s="24">
        <v>32.3</v>
      </c>
      <c r="J1101" s="24">
        <f>MAX(H1101,ROUNDUP(I1101,0))</f>
        <v>36.0</v>
      </c>
      <c r="K1101" s="22">
        <f>IF(C1101="covered",10.4,7.55)</f>
        <v>10.4</v>
      </c>
      <c r="L1101" s="18" t="s">
        <v>5720</v>
      </c>
      <c r="M1101" s="24">
        <v>36</v>
      </c>
      <c r="N1101" s="22">
        <v>10.4</v>
      </c>
      <c r="O1101" s="22">
        <v>374.4</v>
      </c>
      <c r="P1101" s="22">
        <f>J1101*K1101</f>
        <v>374.40000000000003</v>
      </c>
      <c r="Q1101" s="22">
        <f>IF(L1101="","",N1101-K1101)</f>
        <v>0.0</v>
      </c>
      <c r="R1101" s="24">
        <f>IF(L1101="","",M1101-J1101)</f>
        <v>0.0</v>
      </c>
      <c r="S1101" s="22">
        <f>IF(L1101="",-P1101,O1101-P1101)</f>
        <v>-5.684341886080802e-14</v>
      </c>
      <c r="T1101" s="11" t="str">
        <f>IF(L1101="","NO BILL IN SUPPLIED EXPORT",IF(ABS(Q1101)&gt;0.001,"RATE EXCEPTION",IF(ABS(R1101)&gt;0.001,"LENGTH EXCEPTION",IF(ABS(S1101)&gt;0.01,"AMOUNT EXCEPTION","OK"))))</f>
        <v>OK</v>
      </c>
      <c r="U1101" s="19" t="s">
        <v>5721</v>
      </c>
    </row>
    <row r="1102" spans="1:21" ht="28" customHeight="1">
      <c r="A1102" s="14" t="s">
        <v>5722</v>
      </c>
      <c r="B1102" s="14" t="s">
        <v>192</v>
      </c>
      <c r="C1102" s="14" t="s">
        <v>2515</v>
      </c>
      <c r="D1102" s="14" t="s">
        <v>227</v>
      </c>
      <c r="E1102" s="14" t="s">
        <v>5723</v>
      </c>
      <c r="F1102" s="15" t="s">
        <v>5724</v>
      </c>
      <c r="G1102" s="15" t="s">
        <v>3821</v>
      </c>
      <c r="H1102" s="24">
        <v>36</v>
      </c>
      <c r="I1102" s="24">
        <v>38.1</v>
      </c>
      <c r="J1102" s="24">
        <f>MAX(H1102,ROUNDUP(I1102,0))</f>
        <v>39</v>
      </c>
      <c r="K1102" s="22">
        <f>IF(C1102="covered",10.4,7.55)</f>
        <v>10.4</v>
      </c>
      <c r="L1102" s="14" t="s">
        <v>5725</v>
      </c>
      <c r="M1102" s="24">
        <v>39</v>
      </c>
      <c r="N1102" s="22">
        <v>10.4</v>
      </c>
      <c r="O1102" s="22">
        <v>405.6</v>
      </c>
      <c r="P1102" s="22">
        <f>J1102*K1102</f>
        <v>405.6</v>
      </c>
      <c r="Q1102" s="22">
        <f>IF(L1102="","",N1102-K1102)</f>
        <v>0.0</v>
      </c>
      <c r="R1102" s="24">
        <f>IF(L1102="","",M1102-J1102)</f>
        <v>0.0</v>
      </c>
      <c r="S1102" s="22">
        <f>IF(L1102="",-P1102,O1102-P1102)</f>
        <v>0.0</v>
      </c>
      <c r="T1102" s="11" t="str">
        <f>IF(L1102="","NO BILL IN SUPPLIED EXPORT",IF(ABS(Q1102)&gt;0.001,"RATE EXCEPTION",IF(ABS(R1102)&gt;0.001,"LENGTH EXCEPTION",IF(ABS(S1102)&gt;0.01,"AMOUNT EXCEPTION","OK"))))</f>
        <v>OK</v>
      </c>
      <c r="U1102" s="15" t="s">
        <v>5726</v>
      </c>
    </row>
    <row r="1103" spans="1:21" ht="28" customHeight="1">
      <c r="A1103" s="18" t="s">
        <v>5727</v>
      </c>
      <c r="B1103" s="18" t="s">
        <v>192</v>
      </c>
      <c r="C1103" s="18" t="s">
        <v>2515</v>
      </c>
      <c r="D1103" s="18" t="s">
        <v>227</v>
      </c>
      <c r="E1103" s="18" t="s">
        <v>5728</v>
      </c>
      <c r="F1103" s="19" t="s">
        <v>5729</v>
      </c>
      <c r="G1103" s="19" t="s">
        <v>1598</v>
      </c>
      <c r="H1103" s="24">
        <v>24</v>
      </c>
      <c r="I1103" s="24">
        <v>50</v>
      </c>
      <c r="J1103" s="24">
        <f>MAX(H1103,ROUNDUP(I1103,0))</f>
        <v>50</v>
      </c>
      <c r="K1103" s="22">
        <f>IF(C1103="covered",10.4,7.55)</f>
        <v>10.4</v>
      </c>
      <c r="L1103" s="18" t="s">
        <v>5730</v>
      </c>
      <c r="M1103" s="24">
        <v>50</v>
      </c>
      <c r="N1103" s="22">
        <v>10.4</v>
      </c>
      <c r="O1103" s="22">
        <v>520</v>
      </c>
      <c r="P1103" s="22">
        <f>J1103*K1103</f>
        <v>520.0</v>
      </c>
      <c r="Q1103" s="22">
        <f>IF(L1103="","",N1103-K1103)</f>
        <v>0.0</v>
      </c>
      <c r="R1103" s="24">
        <f>IF(L1103="","",M1103-J1103)</f>
        <v>0.0</v>
      </c>
      <c r="S1103" s="22">
        <f>IF(L1103="",-P1103,O1103-P1103)</f>
        <v>0.0</v>
      </c>
      <c r="T1103" s="11" t="str">
        <f>IF(L1103="","NO BILL IN SUPPLIED EXPORT",IF(ABS(Q1103)&gt;0.001,"RATE EXCEPTION",IF(ABS(R1103)&gt;0.001,"LENGTH EXCEPTION",IF(ABS(S1103)&gt;0.01,"AMOUNT EXCEPTION","OK"))))</f>
        <v>OK</v>
      </c>
      <c r="U1103" s="19" t="s">
        <v>5731</v>
      </c>
    </row>
    <row r="1104" spans="1:21" ht="28" customHeight="1">
      <c r="A1104" s="14" t="s">
        <v>5732</v>
      </c>
      <c r="B1104" s="14" t="s">
        <v>192</v>
      </c>
      <c r="C1104" s="14" t="s">
        <v>2515</v>
      </c>
      <c r="D1104" s="14" t="s">
        <v>227</v>
      </c>
      <c r="E1104" s="14" t="s">
        <v>5733</v>
      </c>
      <c r="F1104" s="15" t="s">
        <v>5734</v>
      </c>
      <c r="G1104" s="15" t="s">
        <v>2197</v>
      </c>
      <c r="H1104" s="24">
        <v>24</v>
      </c>
      <c r="I1104" s="24">
        <v>34.6</v>
      </c>
      <c r="J1104" s="24">
        <f>MAX(H1104,ROUNDUP(I1104,0))</f>
        <v>35</v>
      </c>
      <c r="K1104" s="22">
        <f>IF(C1104="covered",10.4,7.55)</f>
        <v>10.4</v>
      </c>
      <c r="L1104" s="14" t="s">
        <v>5735</v>
      </c>
      <c r="M1104" s="24">
        <v>35</v>
      </c>
      <c r="N1104" s="22">
        <v>10.4</v>
      </c>
      <c r="O1104" s="22">
        <v>364</v>
      </c>
      <c r="P1104" s="22">
        <f>J1104*K1104</f>
        <v>364.0</v>
      </c>
      <c r="Q1104" s="22">
        <f>IF(L1104="","",N1104-K1104)</f>
        <v>0.0</v>
      </c>
      <c r="R1104" s="24">
        <f>IF(L1104="","",M1104-J1104)</f>
        <v>0.0</v>
      </c>
      <c r="S1104" s="22">
        <f>IF(L1104="",-P1104,O1104-P1104)</f>
        <v>0.0</v>
      </c>
      <c r="T1104" s="11" t="str">
        <f>IF(L1104="","NO BILL IN SUPPLIED EXPORT",IF(ABS(Q1104)&gt;0.001,"RATE EXCEPTION",IF(ABS(R1104)&gt;0.001,"LENGTH EXCEPTION",IF(ABS(S1104)&gt;0.01,"AMOUNT EXCEPTION","OK"))))</f>
        <v>OK</v>
      </c>
      <c r="U1104" s="15" t="s">
        <v>5736</v>
      </c>
    </row>
    <row r="1105" spans="1:21" ht="28" customHeight="1">
      <c r="A1105" s="18" t="s">
        <v>5737</v>
      </c>
      <c r="B1105" s="18" t="s">
        <v>192</v>
      </c>
      <c r="C1105" s="18" t="s">
        <v>2515</v>
      </c>
      <c r="D1105" s="18" t="s">
        <v>227</v>
      </c>
      <c r="E1105" s="18" t="s">
        <v>5738</v>
      </c>
      <c r="F1105" s="19" t="s">
        <v>5739</v>
      </c>
      <c r="G1105" s="19" t="s">
        <v>5740</v>
      </c>
      <c r="H1105" s="24">
        <v>36</v>
      </c>
      <c r="I1105" s="24">
        <v>51.9</v>
      </c>
      <c r="J1105" s="24">
        <f>MAX(H1105,ROUNDUP(I1105,0))</f>
        <v>52</v>
      </c>
      <c r="K1105" s="22">
        <f>IF(C1105="covered",10.4,7.55)</f>
        <v>10.4</v>
      </c>
      <c r="L1105" s="18" t="s">
        <v>5741</v>
      </c>
      <c r="M1105" s="24">
        <v>52</v>
      </c>
      <c r="N1105" s="22">
        <v>10.4</v>
      </c>
      <c r="O1105" s="22">
        <v>540.8</v>
      </c>
      <c r="P1105" s="22">
        <f>J1105*K1105</f>
        <v>540.8000000000001</v>
      </c>
      <c r="Q1105" s="22">
        <f>IF(L1105="","",N1105-K1105)</f>
        <v>0.0</v>
      </c>
      <c r="R1105" s="24">
        <f>IF(L1105="","",M1105-J1105)</f>
        <v>0.0</v>
      </c>
      <c r="S1105" s="22">
        <f>IF(L1105="",-P1105,O1105-P1105)</f>
        <v>-1.1368683772161603e-13</v>
      </c>
      <c r="T1105" s="11" t="str">
        <f>IF(L1105="","NO BILL IN SUPPLIED EXPORT",IF(ABS(Q1105)&gt;0.001,"RATE EXCEPTION",IF(ABS(R1105)&gt;0.001,"LENGTH EXCEPTION",IF(ABS(S1105)&gt;0.01,"AMOUNT EXCEPTION","OK"))))</f>
        <v>OK</v>
      </c>
      <c r="U1105" s="19" t="s">
        <v>5742</v>
      </c>
    </row>
    <row r="1106" spans="1:21" ht="28" customHeight="1">
      <c r="A1106" s="14" t="s">
        <v>5743</v>
      </c>
      <c r="B1106" s="14" t="s">
        <v>192</v>
      </c>
      <c r="C1106" s="14" t="s">
        <v>2515</v>
      </c>
      <c r="D1106" s="14" t="s">
        <v>227</v>
      </c>
      <c r="E1106" s="14" t="s">
        <v>5744</v>
      </c>
      <c r="F1106" s="15" t="s">
        <v>5745</v>
      </c>
      <c r="G1106" s="15" t="s">
        <v>2908</v>
      </c>
      <c r="H1106" s="24">
        <v>24</v>
      </c>
      <c r="I1106" s="24">
        <v>33.4</v>
      </c>
      <c r="J1106" s="24">
        <f>MAX(H1106,ROUNDUP(I1106,0))</f>
        <v>34</v>
      </c>
      <c r="K1106" s="22">
        <f>IF(C1106="covered",10.4,7.55)</f>
        <v>10.4</v>
      </c>
      <c r="L1106" s="14" t="s">
        <v>5746</v>
      </c>
      <c r="M1106" s="24">
        <v>34</v>
      </c>
      <c r="N1106" s="22">
        <v>10.4</v>
      </c>
      <c r="O1106" s="22">
        <v>353.6</v>
      </c>
      <c r="P1106" s="22">
        <f>J1106*K1106</f>
        <v>353.6</v>
      </c>
      <c r="Q1106" s="22">
        <f>IF(L1106="","",N1106-K1106)</f>
        <v>0.0</v>
      </c>
      <c r="R1106" s="24">
        <f>IF(L1106="","",M1106-J1106)</f>
        <v>0.0</v>
      </c>
      <c r="S1106" s="22">
        <f>IF(L1106="",-P1106,O1106-P1106)</f>
        <v>0.0</v>
      </c>
      <c r="T1106" s="11" t="str">
        <f>IF(L1106="","NO BILL IN SUPPLIED EXPORT",IF(ABS(Q1106)&gt;0.001,"RATE EXCEPTION",IF(ABS(R1106)&gt;0.001,"LENGTH EXCEPTION",IF(ABS(S1106)&gt;0.01,"AMOUNT EXCEPTION","OK"))))</f>
        <v>OK</v>
      </c>
      <c r="U1106" s="15" t="s">
        <v>5747</v>
      </c>
    </row>
    <row r="1107" spans="1:21" ht="28" customHeight="1">
      <c r="A1107" s="18" t="s">
        <v>5748</v>
      </c>
      <c r="B1107" s="18" t="s">
        <v>192</v>
      </c>
      <c r="C1107" s="18" t="s">
        <v>2515</v>
      </c>
      <c r="D1107" s="18" t="s">
        <v>227</v>
      </c>
      <c r="E1107" s="18" t="s">
        <v>5749</v>
      </c>
      <c r="F1107" s="19" t="s">
        <v>5750</v>
      </c>
      <c r="G1107" s="19" t="s">
        <v>265</v>
      </c>
      <c r="H1107" s="24">
        <v>40</v>
      </c>
      <c r="I1107" s="24">
        <v>36.8</v>
      </c>
      <c r="J1107" s="24">
        <f>MAX(H1107,ROUNDUP(I1107,0))</f>
        <v>40.0</v>
      </c>
      <c r="K1107" s="22">
        <f>IF(C1107="covered",10.4,7.55)</f>
        <v>10.4</v>
      </c>
      <c r="L1107" s="18" t="s">
        <v>5751</v>
      </c>
      <c r="M1107" s="24">
        <v>40</v>
      </c>
      <c r="N1107" s="22">
        <v>10.4</v>
      </c>
      <c r="O1107" s="22">
        <v>416</v>
      </c>
      <c r="P1107" s="22">
        <f>J1107*K1107</f>
        <v>416.0</v>
      </c>
      <c r="Q1107" s="22">
        <f>IF(L1107="","",N1107-K1107)</f>
        <v>0.0</v>
      </c>
      <c r="R1107" s="24">
        <f>IF(L1107="","",M1107-J1107)</f>
        <v>0.0</v>
      </c>
      <c r="S1107" s="22">
        <f>IF(L1107="",-P1107,O1107-P1107)</f>
        <v>0.0</v>
      </c>
      <c r="T1107" s="11" t="str">
        <f>IF(L1107="","NO BILL IN SUPPLIED EXPORT",IF(ABS(Q1107)&gt;0.001,"RATE EXCEPTION",IF(ABS(R1107)&gt;0.001,"LENGTH EXCEPTION",IF(ABS(S1107)&gt;0.01,"AMOUNT EXCEPTION","OK"))))</f>
        <v>OK</v>
      </c>
      <c r="U1107" s="19" t="s">
        <v>5752</v>
      </c>
    </row>
    <row r="1108" spans="1:21" ht="28" customHeight="1">
      <c r="A1108" s="14" t="s">
        <v>5753</v>
      </c>
      <c r="B1108" s="14" t="s">
        <v>192</v>
      </c>
      <c r="C1108" s="14" t="s">
        <v>2515</v>
      </c>
      <c r="D1108" s="14" t="s">
        <v>227</v>
      </c>
      <c r="E1108" s="14" t="s">
        <v>5754</v>
      </c>
      <c r="F1108" s="15" t="s">
        <v>5755</v>
      </c>
      <c r="G1108" s="15" t="s">
        <v>2188</v>
      </c>
      <c r="H1108" s="24">
        <v>40</v>
      </c>
      <c r="I1108" s="24">
        <v>40.5</v>
      </c>
      <c r="J1108" s="24">
        <f>MAX(H1108,ROUNDUP(I1108,0))</f>
        <v>41</v>
      </c>
      <c r="K1108" s="22">
        <f>IF(C1108="covered",10.4,7.55)</f>
        <v>10.4</v>
      </c>
      <c r="L1108" s="14" t="s">
        <v>5756</v>
      </c>
      <c r="M1108" s="24">
        <v>41</v>
      </c>
      <c r="N1108" s="22">
        <v>10.4</v>
      </c>
      <c r="O1108" s="22">
        <v>426.4</v>
      </c>
      <c r="P1108" s="22">
        <f>J1108*K1108</f>
        <v>426.40000000000003</v>
      </c>
      <c r="Q1108" s="22">
        <f>IF(L1108="","",N1108-K1108)</f>
        <v>0.0</v>
      </c>
      <c r="R1108" s="24">
        <f>IF(L1108="","",M1108-J1108)</f>
        <v>0.0</v>
      </c>
      <c r="S1108" s="22">
        <f>IF(L1108="",-P1108,O1108-P1108)</f>
        <v>-5.684341886080802e-14</v>
      </c>
      <c r="T1108" s="11" t="str">
        <f>IF(L1108="","NO BILL IN SUPPLIED EXPORT",IF(ABS(Q1108)&gt;0.001,"RATE EXCEPTION",IF(ABS(R1108)&gt;0.001,"LENGTH EXCEPTION",IF(ABS(S1108)&gt;0.01,"AMOUNT EXCEPTION","OK"))))</f>
        <v>OK</v>
      </c>
      <c r="U1108" s="15" t="s">
        <v>5757</v>
      </c>
    </row>
    <row r="1109" spans="1:21" ht="28" customHeight="1">
      <c r="A1109" s="18" t="s">
        <v>5758</v>
      </c>
      <c r="B1109" s="18" t="s">
        <v>192</v>
      </c>
      <c r="C1109" s="18" t="s">
        <v>2515</v>
      </c>
      <c r="D1109" s="18" t="s">
        <v>227</v>
      </c>
      <c r="E1109" s="18" t="s">
        <v>5759</v>
      </c>
      <c r="F1109" s="19" t="s">
        <v>5760</v>
      </c>
      <c r="G1109" s="19" t="s">
        <v>4088</v>
      </c>
      <c r="H1109" s="24">
        <v>36</v>
      </c>
      <c r="I1109" s="24">
        <v>56.3</v>
      </c>
      <c r="J1109" s="24">
        <f>MAX(H1109,ROUNDUP(I1109,0))</f>
        <v>57</v>
      </c>
      <c r="K1109" s="22">
        <f>IF(C1109="covered",10.4,7.55)</f>
        <v>10.4</v>
      </c>
      <c r="L1109" s="18" t="s">
        <v>5761</v>
      </c>
      <c r="M1109" s="24">
        <v>57</v>
      </c>
      <c r="N1109" s="22">
        <v>10.4</v>
      </c>
      <c r="O1109" s="22">
        <v>592.8</v>
      </c>
      <c r="P1109" s="22">
        <f>J1109*K1109</f>
        <v>592.8000000000001</v>
      </c>
      <c r="Q1109" s="22">
        <f>IF(L1109="","",N1109-K1109)</f>
        <v>0.0</v>
      </c>
      <c r="R1109" s="24">
        <f>IF(L1109="","",M1109-J1109)</f>
        <v>0.0</v>
      </c>
      <c r="S1109" s="22">
        <f>IF(L1109="",-P1109,O1109-P1109)</f>
        <v>-1.1368683772161603e-13</v>
      </c>
      <c r="T1109" s="11" t="str">
        <f>IF(L1109="","NO BILL IN SUPPLIED EXPORT",IF(ABS(Q1109)&gt;0.001,"RATE EXCEPTION",IF(ABS(R1109)&gt;0.001,"LENGTH EXCEPTION",IF(ABS(S1109)&gt;0.01,"AMOUNT EXCEPTION","OK"))))</f>
        <v>OK</v>
      </c>
      <c r="U1109" s="19" t="s">
        <v>5762</v>
      </c>
    </row>
    <row r="1110" spans="1:21" ht="28" customHeight="1">
      <c r="A1110" s="14" t="s">
        <v>5763</v>
      </c>
      <c r="B1110" s="14" t="s">
        <v>192</v>
      </c>
      <c r="C1110" s="14" t="s">
        <v>2515</v>
      </c>
      <c r="D1110" s="14" t="s">
        <v>227</v>
      </c>
      <c r="E1110" s="14" t="s">
        <v>5764</v>
      </c>
      <c r="F1110" s="15" t="s">
        <v>5765</v>
      </c>
      <c r="G1110" s="15" t="s">
        <v>394</v>
      </c>
      <c r="H1110" s="24">
        <v>28</v>
      </c>
      <c r="I1110" s="24">
        <v>29.6</v>
      </c>
      <c r="J1110" s="24">
        <f>MAX(H1110,ROUNDUP(I1110,0))</f>
        <v>30</v>
      </c>
      <c r="K1110" s="22">
        <f>IF(C1110="covered",10.4,7.55)</f>
        <v>10.4</v>
      </c>
      <c r="L1110" s="14" t="s">
        <v>5766</v>
      </c>
      <c r="M1110" s="24">
        <v>30</v>
      </c>
      <c r="N1110" s="22">
        <v>10.4</v>
      </c>
      <c r="O1110" s="22">
        <v>312</v>
      </c>
      <c r="P1110" s="22">
        <f>J1110*K1110</f>
        <v>312.0</v>
      </c>
      <c r="Q1110" s="22">
        <f>IF(L1110="","",N1110-K1110)</f>
        <v>0.0</v>
      </c>
      <c r="R1110" s="24">
        <f>IF(L1110="","",M1110-J1110)</f>
        <v>0.0</v>
      </c>
      <c r="S1110" s="22">
        <f>IF(L1110="",-P1110,O1110-P1110)</f>
        <v>0.0</v>
      </c>
      <c r="T1110" s="11" t="str">
        <f>IF(L1110="","NO BILL IN SUPPLIED EXPORT",IF(ABS(Q1110)&gt;0.001,"RATE EXCEPTION",IF(ABS(R1110)&gt;0.001,"LENGTH EXCEPTION",IF(ABS(S1110)&gt;0.01,"AMOUNT EXCEPTION","OK"))))</f>
        <v>OK</v>
      </c>
      <c r="U1110" s="15" t="s">
        <v>5767</v>
      </c>
    </row>
    <row r="1111" spans="1:21" ht="28" customHeight="1">
      <c r="A1111" s="18" t="s">
        <v>5768</v>
      </c>
      <c r="B1111" s="18" t="s">
        <v>192</v>
      </c>
      <c r="C1111" s="18" t="s">
        <v>2515</v>
      </c>
      <c r="D1111" s="18" t="s">
        <v>227</v>
      </c>
      <c r="E1111" s="18" t="s">
        <v>5769</v>
      </c>
      <c r="F1111" s="19" t="s">
        <v>5770</v>
      </c>
      <c r="G1111" s="19" t="s">
        <v>3281</v>
      </c>
      <c r="H1111" s="24">
        <v>32</v>
      </c>
      <c r="I1111" s="24">
        <v>55.7</v>
      </c>
      <c r="J1111" s="24">
        <f>MAX(H1111,ROUNDUP(I1111,0))</f>
        <v>56</v>
      </c>
      <c r="K1111" s="22">
        <f>IF(C1111="covered",10.4,7.55)</f>
        <v>10.4</v>
      </c>
      <c r="L1111" s="18" t="s">
        <v>5771</v>
      </c>
      <c r="M1111" s="24">
        <v>56</v>
      </c>
      <c r="N1111" s="22">
        <v>10.4</v>
      </c>
      <c r="O1111" s="22">
        <v>582.4</v>
      </c>
      <c r="P1111" s="22">
        <f>J1111*K1111</f>
        <v>582.4</v>
      </c>
      <c r="Q1111" s="22">
        <f>IF(L1111="","",N1111-K1111)</f>
        <v>0.0</v>
      </c>
      <c r="R1111" s="24">
        <f>IF(L1111="","",M1111-J1111)</f>
        <v>0.0</v>
      </c>
      <c r="S1111" s="22">
        <f>IF(L1111="",-P1111,O1111-P1111)</f>
        <v>0.0</v>
      </c>
      <c r="T1111" s="11" t="str">
        <f>IF(L1111="","NO BILL IN SUPPLIED EXPORT",IF(ABS(Q1111)&gt;0.001,"RATE EXCEPTION",IF(ABS(R1111)&gt;0.001,"LENGTH EXCEPTION",IF(ABS(S1111)&gt;0.01,"AMOUNT EXCEPTION","OK"))))</f>
        <v>OK</v>
      </c>
      <c r="U1111" s="19" t="s">
        <v>5772</v>
      </c>
    </row>
  </sheetData>
  <autoFilter ref="A25:U1111"/>
  <mergeCells count="12">
    <mergeCell ref="A1:U1"/>
    <mergeCell ref="A2:U2"/>
    <mergeCell ref="A4:U4"/>
    <mergeCell ref="A14:G14"/>
    <mergeCell ref="A15:G16"/>
    <mergeCell ref="A17:B17"/>
    <mergeCell ref="D17:G17"/>
    <mergeCell ref="A18:B18"/>
    <mergeCell ref="D18:G18"/>
    <mergeCell ref="A19:B19"/>
    <mergeCell ref="D19:G19"/>
    <mergeCell ref="A20:G22"/>
  </mergeCells>
  <pageMargins left="0.35" right="0.35" top="0.45" bottom="0.55" header="0.3" footer="0.3"/>
  <pageSetup paperSize="1" orientation="landscape"/>
  <headerFooter>
    <oddHeader>&amp;LChaldale Harbor District&amp;CConfidential - Board Review&amp;RAs of 2026-08-01</oddHeader>
    <oddFooter>&amp;LSource-grounded audit&amp;CPage &amp;P of &amp;N&amp;RPrepared 2026-08-01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F766E"/>
    <pageSetUpPr fitToPage="1"/>
  </sheetPr>
  <dimension ref="A1:O20"/>
  <sheetViews>
    <sheetView showGridLines="0" workbookViewId="0">
      <pane ySplit="10" topLeftCell="A11" activePane="bottomLeft" state="frozen"/>
      <selection pane="bottomLeft"/>
    </sheetView>
  </sheetViews>
  <sheetFormatPr defaultRowHeight="15"/>
  <cols>
    <col min="1" max="1" width="15.7109375" customWidth="1"/>
    <col min="2" max="2" width="20.7109375" customWidth="1"/>
    <col min="3" max="3" width="12.7109375" customWidth="1"/>
    <col min="4" max="9" width="13.7109375" customWidth="1"/>
    <col min="10" max="13" width="15.7109375" customWidth="1"/>
    <col min="14" max="14" width="10.7109375" customWidth="1"/>
    <col min="15" max="15" width="49.7109375" customWidth="1"/>
  </cols>
  <sheetData>
    <row r="1" spans="1:15" ht="28" customHeight="1">
      <c r="A1" s="1" t="s">
        <v>5773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2" t="s">
        <v>5774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>
      <c r="A4" s="3" t="s">
        <v>27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>
      <c r="A5" s="4" t="s">
        <v>5775</v>
      </c>
      <c r="B5" s="4"/>
      <c r="C5" s="4"/>
      <c r="E5" s="4" t="s">
        <v>5776</v>
      </c>
      <c r="F5" s="4"/>
      <c r="G5" s="4"/>
      <c r="I5" s="4" t="s">
        <v>10</v>
      </c>
      <c r="J5" s="4"/>
      <c r="K5" s="4"/>
      <c r="M5" s="4" t="s">
        <v>5777</v>
      </c>
      <c r="N5" s="4"/>
      <c r="O5" s="4"/>
    </row>
    <row r="6" spans="1:15">
      <c r="A6" s="5">
        <f>COUNTIF($M$11:$M$16,"&gt;0")</f>
        <v>6</v>
      </c>
      <c r="B6" s="5"/>
      <c r="C6" s="5"/>
      <c r="E6" s="6">
        <f>SUM($K$11:$K$16)</f>
        <v>13166.4</v>
      </c>
      <c r="F6" s="6"/>
      <c r="G6" s="6"/>
      <c r="I6" s="6">
        <f>SUM($M$11:$M$16)</f>
        <v>4368.0</v>
      </c>
      <c r="J6" s="6"/>
      <c r="K6" s="6"/>
      <c r="M6" s="6">
        <f>SUM($L$11:$L$16)</f>
        <v>0.0</v>
      </c>
      <c r="N6" s="6"/>
      <c r="O6" s="6"/>
    </row>
    <row r="7" spans="1:15">
      <c r="A7" s="5"/>
      <c r="B7" s="5"/>
      <c r="C7" s="5"/>
      <c r="E7" s="6"/>
      <c r="F7" s="6"/>
      <c r="G7" s="6"/>
      <c r="I7" s="6"/>
      <c r="J7" s="6"/>
      <c r="K7" s="6"/>
      <c r="M7" s="6"/>
      <c r="N7" s="6"/>
      <c r="O7" s="6"/>
    </row>
    <row r="9" spans="1:15">
      <c r="A9" s="10" t="s">
        <v>5778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ht="31" customHeight="1">
      <c r="A10" s="13" t="s">
        <v>5779</v>
      </c>
      <c r="B10" s="13" t="s">
        <v>213</v>
      </c>
      <c r="C10" s="13" t="s">
        <v>5780</v>
      </c>
      <c r="D10" s="13" t="s">
        <v>184</v>
      </c>
      <c r="E10" s="12" t="s">
        <v>5781</v>
      </c>
      <c r="F10" s="12" t="s">
        <v>5782</v>
      </c>
      <c r="G10" s="12" t="s">
        <v>5783</v>
      </c>
      <c r="H10" s="12" t="s">
        <v>5784</v>
      </c>
      <c r="I10" s="12" t="s">
        <v>5785</v>
      </c>
      <c r="J10" s="12" t="s">
        <v>5786</v>
      </c>
      <c r="K10" s="12" t="s">
        <v>5787</v>
      </c>
      <c r="L10" s="12" t="s">
        <v>5788</v>
      </c>
      <c r="M10" s="12" t="s">
        <v>5789</v>
      </c>
      <c r="N10" s="13" t="s">
        <v>5790</v>
      </c>
      <c r="O10" s="13" t="s">
        <v>224</v>
      </c>
    </row>
    <row r="11" spans="1:15" ht="34" customHeight="1">
      <c r="A11" s="14" t="s">
        <v>5791</v>
      </c>
      <c r="B11" s="15" t="s">
        <v>2630</v>
      </c>
      <c r="C11" s="14" t="s">
        <v>2628</v>
      </c>
      <c r="D11" s="14" t="s">
        <v>191</v>
      </c>
      <c r="E11" s="22">
        <v>509.6</v>
      </c>
      <c r="F11" s="22">
        <v>509.6</v>
      </c>
      <c r="G11" s="22">
        <v>509.6</v>
      </c>
      <c r="H11" s="22">
        <v>509.6</v>
      </c>
      <c r="I11" s="22">
        <v>0</v>
      </c>
      <c r="J11" s="22">
        <v>2038.4</v>
      </c>
      <c r="K11" s="22">
        <f>SUM(E11:I11)</f>
        <v>2038.4</v>
      </c>
      <c r="L11" s="22">
        <f>K11-J11</f>
        <v>0.0</v>
      </c>
      <c r="M11" s="22">
        <f>H11+I11</f>
        <v>509.6</v>
      </c>
      <c r="N11" s="11" t="s">
        <v>227</v>
      </c>
      <c r="O11" s="15" t="s">
        <v>5792</v>
      </c>
    </row>
    <row r="12" spans="1:15" ht="34" customHeight="1">
      <c r="A12" s="18" t="s">
        <v>5793</v>
      </c>
      <c r="B12" s="19" t="s">
        <v>2870</v>
      </c>
      <c r="C12" s="18" t="s">
        <v>2868</v>
      </c>
      <c r="D12" s="18" t="s">
        <v>191</v>
      </c>
      <c r="E12" s="22">
        <v>384.8</v>
      </c>
      <c r="F12" s="22">
        <v>384.8</v>
      </c>
      <c r="G12" s="22">
        <v>384.8</v>
      </c>
      <c r="H12" s="22">
        <v>384.8</v>
      </c>
      <c r="I12" s="22">
        <v>0</v>
      </c>
      <c r="J12" s="22">
        <v>1539.2</v>
      </c>
      <c r="K12" s="22">
        <f>SUM(E12:I12)</f>
        <v>1539.2</v>
      </c>
      <c r="L12" s="22">
        <f>K12-J12</f>
        <v>0.0</v>
      </c>
      <c r="M12" s="22">
        <f>H12+I12</f>
        <v>384.8</v>
      </c>
      <c r="N12" s="11" t="s">
        <v>227</v>
      </c>
      <c r="O12" s="19" t="s">
        <v>5794</v>
      </c>
    </row>
    <row r="13" spans="1:15" ht="34" customHeight="1">
      <c r="A13" s="14" t="s">
        <v>5795</v>
      </c>
      <c r="B13" s="15" t="s">
        <v>3108</v>
      </c>
      <c r="C13" s="14" t="s">
        <v>3106</v>
      </c>
      <c r="D13" s="14" t="s">
        <v>191</v>
      </c>
      <c r="E13" s="22">
        <v>603.2</v>
      </c>
      <c r="F13" s="22">
        <v>603.2</v>
      </c>
      <c r="G13" s="22">
        <v>603.2</v>
      </c>
      <c r="H13" s="22">
        <v>603.2</v>
      </c>
      <c r="I13" s="22">
        <v>603.2</v>
      </c>
      <c r="J13" s="22">
        <v>3016</v>
      </c>
      <c r="K13" s="22">
        <f>SUM(E13:I13)</f>
        <v>3016.0</v>
      </c>
      <c r="L13" s="22">
        <f>K13-J13</f>
        <v>0.0</v>
      </c>
      <c r="M13" s="22">
        <f>H13+I13</f>
        <v>1206.4</v>
      </c>
      <c r="N13" s="11" t="s">
        <v>227</v>
      </c>
      <c r="O13" s="15" t="s">
        <v>5796</v>
      </c>
    </row>
    <row r="14" spans="1:15" ht="34" customHeight="1">
      <c r="A14" s="18" t="s">
        <v>5797</v>
      </c>
      <c r="B14" s="19" t="s">
        <v>3124</v>
      </c>
      <c r="C14" s="18" t="s">
        <v>3122</v>
      </c>
      <c r="D14" s="18" t="s">
        <v>191</v>
      </c>
      <c r="E14" s="22">
        <v>530.4</v>
      </c>
      <c r="F14" s="22">
        <v>530.4</v>
      </c>
      <c r="G14" s="22">
        <v>530.4</v>
      </c>
      <c r="H14" s="22">
        <v>530.4</v>
      </c>
      <c r="I14" s="22">
        <v>0</v>
      </c>
      <c r="J14" s="22">
        <v>2121.6</v>
      </c>
      <c r="K14" s="22">
        <f>SUM(E14:I14)</f>
        <v>2121.6</v>
      </c>
      <c r="L14" s="22">
        <f>K14-J14</f>
        <v>0.0</v>
      </c>
      <c r="M14" s="22">
        <f>H14+I14</f>
        <v>530.4</v>
      </c>
      <c r="N14" s="11" t="s">
        <v>227</v>
      </c>
      <c r="O14" s="19" t="s">
        <v>5798</v>
      </c>
    </row>
    <row r="15" spans="1:15" ht="34" customHeight="1">
      <c r="A15" s="14" t="s">
        <v>5799</v>
      </c>
      <c r="B15" s="15" t="s">
        <v>3291</v>
      </c>
      <c r="C15" s="14" t="s">
        <v>3289</v>
      </c>
      <c r="D15" s="14" t="s">
        <v>191</v>
      </c>
      <c r="E15" s="22">
        <v>416</v>
      </c>
      <c r="F15" s="22">
        <v>416</v>
      </c>
      <c r="G15" s="22">
        <v>416</v>
      </c>
      <c r="H15" s="22">
        <v>416</v>
      </c>
      <c r="I15" s="22">
        <v>832</v>
      </c>
      <c r="J15" s="22">
        <v>2496</v>
      </c>
      <c r="K15" s="22">
        <f>SUM(E15:I15)</f>
        <v>2496.0</v>
      </c>
      <c r="L15" s="22">
        <f>K15-J15</f>
        <v>0.0</v>
      </c>
      <c r="M15" s="22">
        <f>H15+I15</f>
        <v>1248.0</v>
      </c>
      <c r="N15" s="11" t="s">
        <v>227</v>
      </c>
      <c r="O15" s="15" t="s">
        <v>5800</v>
      </c>
    </row>
    <row r="16" spans="1:15" ht="34" customHeight="1">
      <c r="A16" s="18" t="s">
        <v>5801</v>
      </c>
      <c r="B16" s="19" t="s">
        <v>3350</v>
      </c>
      <c r="C16" s="18" t="s">
        <v>3348</v>
      </c>
      <c r="D16" s="18" t="s">
        <v>191</v>
      </c>
      <c r="E16" s="22">
        <v>488.8</v>
      </c>
      <c r="F16" s="22">
        <v>488.8</v>
      </c>
      <c r="G16" s="22">
        <v>488.8</v>
      </c>
      <c r="H16" s="22">
        <v>488.8</v>
      </c>
      <c r="I16" s="22">
        <v>0</v>
      </c>
      <c r="J16" s="22">
        <v>1955.2</v>
      </c>
      <c r="K16" s="22">
        <f>SUM(E16:I16)</f>
        <v>1955.2</v>
      </c>
      <c r="L16" s="22">
        <f>K16-J16</f>
        <v>0.0</v>
      </c>
      <c r="M16" s="22">
        <f>H16+I16</f>
        <v>488.8</v>
      </c>
      <c r="N16" s="11" t="s">
        <v>227</v>
      </c>
      <c r="O16" s="19" t="s">
        <v>5802</v>
      </c>
    </row>
    <row r="18" spans="1:15">
      <c r="A18" s="10" t="s">
        <v>5803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</sheetData>
  <autoFilter ref="A10:O16"/>
  <mergeCells count="13">
    <mergeCell ref="A1:O1"/>
    <mergeCell ref="A2:O2"/>
    <mergeCell ref="A4:O4"/>
    <mergeCell ref="A5:C5"/>
    <mergeCell ref="A6:C7"/>
    <mergeCell ref="E5:G5"/>
    <mergeCell ref="E6:G7"/>
    <mergeCell ref="I5:K5"/>
    <mergeCell ref="I6:K7"/>
    <mergeCell ref="M5:O5"/>
    <mergeCell ref="M6:O7"/>
    <mergeCell ref="A9:O9"/>
    <mergeCell ref="A18:O20"/>
  </mergeCells>
  <pageMargins left="0.35" right="0.35" top="0.45" bottom="0.55" header="0.3" footer="0.3"/>
  <pageSetup paperSize="3" orientation="landscape"/>
  <headerFooter>
    <oddHeader>&amp;LChaldale Harbor District&amp;CConfidential - Board Review&amp;RAs of 2026-08-01</oddHeader>
    <oddFooter>&amp;LSource-grounded audit&amp;CPage &amp;P of &amp;N&amp;RPrepared 2026-08-01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Summary</vt:lpstr>
      <vt:lpstr>Queue Exceptions</vt:lpstr>
      <vt:lpstr>Billing Reconciliations</vt:lpstr>
      <vt:lpstr>Aging</vt:lpstr>
      <vt:lpstr>Aging!Print_Area</vt:lpstr>
      <vt:lpstr>'Billing Reconciliations'!Print_Area</vt:lpstr>
      <vt:lpstr>'Queue Exceptions'!Print_Area</vt:lpstr>
      <vt:lpstr>Summary!Print_Area</vt:lpstr>
    </vt:vector>
  </TitlesOfParts>
  <Company>Chaldale Harbor District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Chaldale Moorage Audit - August 2026</dc:title>
  <dc:subject>Waiting-list skips, active billing reconciliation, and AR aging</dc:subject>
  <dc:creator>Chaldale Harbor District - Moorage Counter</dc:creator>
  <dc:description>Prepared for Administrator Ginny Marina as of August 1, 2026.</dc:description>
  <cp:lastModifiedBy>Chaldale Harbor District - Moorage Counter</cp:lastModifiedBy>
  <dcterms:created xsi:type="dcterms:W3CDTF">2026-09-13T22:27:33Z</dcterms:created>
  <dcterms:modified xsi:type="dcterms:W3CDTF">2026-09-13T22:27:33Z</dcterms:modified>
</cp:coreProperties>
</file>