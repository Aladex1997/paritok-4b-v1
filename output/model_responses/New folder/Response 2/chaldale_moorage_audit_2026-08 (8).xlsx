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1.vml" ContentType="application/vnd.openxmlformats-officedocument.vmlDrawing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Queue Exceptions" sheetId="2" state="visible" r:id="rId4"/>
    <sheet name="Billing Reconciliations" sheetId="3" state="visible" r:id="rId5"/>
    <sheet name="Aging" sheetId="4" state="visible" r:id="rId6"/>
  </sheets>
  <definedNames>
    <definedName function="false" hidden="false" localSheetId="3" name="_xlnm.Print_Area" vbProcedure="false">Aging!$A$1:$Q$15</definedName>
    <definedName function="false" hidden="false" localSheetId="2" name="_xlnm.Print_Area" vbProcedure="false">'Billing Reconciliations'!$A$1:$S$325</definedName>
    <definedName function="false" hidden="true" localSheetId="2" name="_xlnm._FilterDatabase" vbProcedure="false">'Billing Reconciliations'!$A$8:$S$1094</definedName>
    <definedName function="false" hidden="false" localSheetId="1" name="_xlnm.Print_Area" vbProcedure="false">'Queue Exceptions'!$A$1:$N$317</definedName>
    <definedName function="false" hidden="true" localSheetId="1" name="_xlnm._FilterDatabase" vbProcedure="false">'Queue Exceptions'!$A$8:$N$317</definedName>
    <definedName function="false" hidden="false" localSheetId="0" name="_xlnm.Print_Area" vbProcedure="false">Summary!$A$1:$H$29</definedName>
    <definedName function="false" hidden="true" localSheetId="0" name="_xlnm._FilterDatabase" vbProcedure="false">Summary!$A$7:$D$21</definedName>
    <definedName function="false" hidden="false" localSheetId="1" name="_xlnm.Print_Titles" vbProcedure="false">'Queue Exceptions'!1:8</definedName>
    <definedName function="false" hidden="false" localSheetId="2" name="_xlnm.Print_Titles" vbProcedure="false">'Billing Reconciliations'!1:8</definedName>
    <definedName function="false" hidden="false" localSheetId="3" name="_xlnm.Print_Titles" vbProcedure="false">Aging!1:7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CHD Audit</author>
  </authors>
  <commentList>
    <comment ref="N8" authorId="0">
      <text>
        <r>
          <rPr>
            <sz val="10"/>
            <rFont val="Arial"/>
            <family val="2"/>
          </rPr>
          <t xml:space="preserve">Formula: greater of rounded-up inventory LOA and nominal slip length.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102</xdr:colOff>
                <xdr:row>2</xdr:row>
                <xdr:rowOff>5</xdr:rowOff>
              </xdr:to>
            </anchor>
          </commentPr>
        </mc:Choice>
        <mc:Fallback/>
      </mc:AlternateContent>
    </comment>
    <comment ref="Q8" authorId="0">
      <text>
        <r>
          <rPr>
            <sz val="10"/>
            <rFont val="Arial"/>
            <family val="2"/>
          </rPr>
          <t xml:space="preserve">Formula: expected monthly charge less billed amount; positive = underbilling.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102</xdr:colOff>
                <xdr:row>2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<sst xmlns="http://schemas.openxmlformats.org/spreadsheetml/2006/main" count="13657" uniqueCount="5958">
  <si>
    <t xml:space="preserve">MOORAGE AUDIT | AUGUST 2026</t>
  </si>
  <si>
    <t xml:space="preserve">Administrator review copy | Audit date August 1, 2026 | Queue scope January 1, 2023 through July 31, 2026</t>
  </si>
  <si>
    <t xml:space="preserve">Board priority: protect waiting-list rank order first, then correct recurring billing and collections controls. Appeal 2018-3 (pages 2-3) places the burden on the District when it departs from rank order.</t>
  </si>
  <si>
    <t xml:space="preserve">Priority</t>
  </si>
  <si>
    <t xml:space="preserve">Measure</t>
  </si>
  <si>
    <t xml:space="preserve">Formula result</t>
  </si>
  <si>
    <t xml:space="preserve">Status / basis</t>
  </si>
  <si>
    <t xml:space="preserve">1 - Queue</t>
  </si>
  <si>
    <t xml:space="preserve">In-period registered skips reviewed</t>
  </si>
  <si>
    <t xml:space="preserve">Inclusive date filter; event register population</t>
  </si>
  <si>
    <t xml:space="preserve">Skips without demonstrated matching proof</t>
  </si>
  <si>
    <t xml:space="preserve">Strict contemporaneous-file test</t>
  </si>
  <si>
    <t xml:space="preserve">Explicitly no attachment</t>
  </si>
  <si>
    <t xml:space="preserve">Confirmed from skip register / supplied files</t>
  </si>
  <si>
    <t xml:space="preserve">Required record not identified</t>
  </si>
  <si>
    <t xml:space="preserve">Attachment descriptor does not identify section 3.3 record</t>
  </si>
  <si>
    <t xml:space="preserve">File-event identity mismatches</t>
  </si>
  <si>
    <t xml:space="preserve">Supplied support is for a different slip</t>
  </si>
  <si>
    <t xml:space="preserve">Unsupported post-adoption LOA uses</t>
  </si>
  <si>
    <t xml:space="preserve">No exception identified; qualifying support was cross-referenced where relied on</t>
  </si>
  <si>
    <t xml:space="preserve">2 - Billing</t>
  </si>
  <si>
    <t xml:space="preserve">Occupied slips tested</t>
  </si>
  <si>
    <t xml:space="preserve">August inventory status = OCCUPIED</t>
  </si>
  <si>
    <t xml:space="preserve">August monthly bills present</t>
  </si>
  <si>
    <t xml:space="preserve">Posted August 1, 2026</t>
  </si>
  <si>
    <t xml:space="preserve">Occupied slips with no August bill</t>
  </si>
  <si>
    <t xml:space="preserve">Billing completeness exceptions</t>
  </si>
  <si>
    <t xml:space="preserve">Posted-bill calculation errors</t>
  </si>
  <si>
    <t xml:space="preserve">No exception identified</t>
  </si>
  <si>
    <t xml:space="preserve">Monthly variance before tax</t>
  </si>
  <si>
    <t xml:space="preserve">Expected less billed; positive indicates underbilling</t>
  </si>
  <si>
    <t xml:space="preserve">3 - Aging</t>
  </si>
  <si>
    <t xml:space="preserve">Active accounts more than 90 days delinquent</t>
  </si>
  <si>
    <t xml:space="preserve">July 31 aging buckets; active inventory slips only</t>
  </si>
  <si>
    <t xml:space="preserve">Balance more than 90 days</t>
  </si>
  <si>
    <t xml:space="preserve">91-120 plus 120+ buckets</t>
  </si>
  <si>
    <t xml:space="preserve">Total due for those accounts</t>
  </si>
  <si>
    <t xml:space="preserve">All aging buckets for selected accounts</t>
  </si>
  <si>
    <t xml:space="preserve">GOVERNING BASIS AND AUDIT LIMITS</t>
  </si>
  <si>
    <t xml:space="preserve">Queue: Standing Order 15-3 sections 3.2-3.3 requires a same-day cover sheet plus the reason-specific record. Appeal 2018-3, pages 2-3, rejects a bare code or later reconstruction.</t>
  </si>
  <si>
    <t xml:space="preserve">Length amendments: Resolution 2022-06 sections 4.3 and 6.2 governs amendments entered on or after August 1, 2022 and controls prior resolutions under section 7.2.</t>
  </si>
  <si>
    <t xml:space="preserve">Billing: Tariff Resolution 2019-14 sections 1(4), 2.4 and 7.3 sets billable length as the greater of rounded-up check-in LOA or nominal slip length. Resolution 2022-06 section 1 sets $10.40 covered and $7.55 open rates for periods beginning August 1, 2022.</t>
  </si>
  <si>
    <t xml:space="preserve">Certificate limit: MC-2024-0062 (WL-01893) and MC-2024-0091 (WL-02401) do not match a current occupied tenant in slip_inventory_2026-08.csv. Missing-bill variances therefore use the inventory LOA and remain subject to agreement/certificate validation before adjustment.</t>
  </si>
  <si>
    <t xml:space="preserve">Sources: skip_events_2022_2026.csv; applicant_register_2026-08.csv; offer_events_2022_2026.csv; amendment_log_2022_2026.csv; six named skip files; slip_inventory_2026-08.csv; billing_transactions_2022_2026.csv; ar_aging_2026-07-31.xlsx; governing resolutions and appeal decision.</t>
  </si>
  <si>
    <t xml:space="preserve">QUEUE EXCEPTIONS</t>
  </si>
  <si>
    <t xml:space="preserve">Source: skip_events_2022_2026.csv (export through August 2026), applicant_register_2026-08.csv, amendment_log_2022_2026.csv, and the six supplied skip files. Scope: 2023-01-01 through 2026-07-31.</t>
  </si>
  <si>
    <t xml:space="preserve">Test: proof must match the registered event and identify the reason-specific record required by Standing Order 15-3 sections 3.2-3.3. A descriptor alone does not prove file contents; these rows require file validation before individual remedy.</t>
  </si>
  <si>
    <t xml:space="preserve">Events reviewed</t>
  </si>
  <si>
    <t xml:space="preserve">No attachment</t>
  </si>
  <si>
    <t xml:space="preserve">File-event mismatch</t>
  </si>
  <si>
    <t xml:space="preserve">Unsupported LOA use</t>
  </si>
  <si>
    <t xml:space="preserve">Skip ID</t>
  </si>
  <si>
    <t xml:space="preserve">Skip date</t>
  </si>
  <si>
    <t xml:space="preserve">Applicant ID</t>
  </si>
  <si>
    <t xml:space="preserve">Rank</t>
  </si>
  <si>
    <t xml:space="preserve">Applicant</t>
  </si>
  <si>
    <t xml:space="preserve">Register slip</t>
  </si>
  <si>
    <t xml:space="preserve">Basin</t>
  </si>
  <si>
    <t xml:space="preserve">Reason</t>
  </si>
  <si>
    <t xml:space="preserve">Attached?</t>
  </si>
  <si>
    <t xml:space="preserve">Descriptor</t>
  </si>
  <si>
    <t xml:space="preserve">Evidence tier</t>
  </si>
  <si>
    <t xml:space="preserve">Required record / finding</t>
  </si>
  <si>
    <t xml:space="preserve">Unsupported LOA use?</t>
  </si>
  <si>
    <t xml:space="preserve">Source location</t>
  </si>
  <si>
    <t xml:space="preserve">SKP-2023-0095</t>
  </si>
  <si>
    <t xml:space="preserve">2023-01-08</t>
  </si>
  <si>
    <t xml:space="preserve">WL-03099</t>
  </si>
  <si>
    <t xml:space="preserve">Ryan Robertson</t>
  </si>
  <si>
    <t xml:space="preserve">LP-0317</t>
  </si>
  <si>
    <t xml:space="preserve">Ledgport</t>
  </si>
  <si>
    <t xml:space="preserve">vessel-fit</t>
  </si>
  <si>
    <t xml:space="preserve">Y</t>
  </si>
  <si>
    <t xml:space="preserve">OTHER_SUPPORT</t>
  </si>
  <si>
    <t xml:space="preserve">Required record not demonstrated</t>
  </si>
  <si>
    <t xml:space="preserve">Descriptor OTHER_SUPPORT does not identify the required vessel particulars of record; underlying file was not supplied for validation.</t>
  </si>
  <si>
    <t xml:space="preserve">No</t>
  </si>
  <si>
    <t xml:space="preserve">skip_events_2022_2026.csv row 96</t>
  </si>
  <si>
    <t xml:space="preserve">SKP-2023-0096</t>
  </si>
  <si>
    <t xml:space="preserve">WL-02685</t>
  </si>
  <si>
    <t xml:space="preserve">Stephanie Hill</t>
  </si>
  <si>
    <t xml:space="preserve">LP-0906</t>
  </si>
  <si>
    <t xml:space="preserve">INSURANCE_DECL</t>
  </si>
  <si>
    <t xml:space="preserve">Descriptor INSURANCE_DECL does not identify the required vessel particulars of record; underlying file was not supplied for validation.</t>
  </si>
  <si>
    <t xml:space="preserve">skip_events_2022_2026.csv row 97</t>
  </si>
  <si>
    <t xml:space="preserve">SKP-2023-0097</t>
  </si>
  <si>
    <t xml:space="preserve">2023-01-26</t>
  </si>
  <si>
    <t xml:space="preserve">WL-01298</t>
  </si>
  <si>
    <t xml:space="preserve">Jason Boyd</t>
  </si>
  <si>
    <t xml:space="preserve">GW-0708</t>
  </si>
  <si>
    <t xml:space="preserve">Gullwing</t>
  </si>
  <si>
    <t xml:space="preserve">skip_events_2022_2026.csv row 98</t>
  </si>
  <si>
    <t xml:space="preserve">SKP-2023-0098</t>
  </si>
  <si>
    <t xml:space="preserve">WL-01959</t>
  </si>
  <si>
    <t xml:space="preserve">Jonathan Moore</t>
  </si>
  <si>
    <t xml:space="preserve">VB-1023</t>
  </si>
  <si>
    <t xml:space="preserve">Vessbank</t>
  </si>
  <si>
    <t xml:space="preserve">not-current</t>
  </si>
  <si>
    <t xml:space="preserve">WRITTEN_STATEMENT</t>
  </si>
  <si>
    <t xml:space="preserve">Descriptor WRITTEN_STATEMENT does not identify the required ledger or register extract showing the deficiency; underlying file was not supplied for validation.</t>
  </si>
  <si>
    <t xml:space="preserve">skip_events_2022_2026.csv row 99</t>
  </si>
  <si>
    <t xml:space="preserve">SKP-2023-0099</t>
  </si>
  <si>
    <t xml:space="preserve">2023-01-10</t>
  </si>
  <si>
    <t xml:space="preserve">WL-01695</t>
  </si>
  <si>
    <t xml:space="preserve">Antonio Leach</t>
  </si>
  <si>
    <t xml:space="preserve">EW-0203</t>
  </si>
  <si>
    <t xml:space="preserve">Eastwey</t>
  </si>
  <si>
    <t xml:space="preserve">N</t>
  </si>
  <si>
    <t xml:space="preserve">No attached vessel particulars of record is demonstrated.</t>
  </si>
  <si>
    <t xml:space="preserve">skip_events_2022_2026.csv row 100</t>
  </si>
  <si>
    <t xml:space="preserve">SKP-2023-0100</t>
  </si>
  <si>
    <t xml:space="preserve">2023-02-18</t>
  </si>
  <si>
    <t xml:space="preserve">WL-02565</t>
  </si>
  <si>
    <t xml:space="preserve">Christina Smith</t>
  </si>
  <si>
    <t xml:space="preserve">GW-0116</t>
  </si>
  <si>
    <t xml:space="preserve">REPAIR_ESTIMATE</t>
  </si>
  <si>
    <t xml:space="preserve">Descriptor REPAIR_ESTIMATE does not identify the required vessel particulars of record; underlying file was not supplied for validation.</t>
  </si>
  <si>
    <t xml:space="preserve">skip_events_2022_2026.csv row 101</t>
  </si>
  <si>
    <t xml:space="preserve">SKP-2023-0101</t>
  </si>
  <si>
    <t xml:space="preserve">2023-02-19</t>
  </si>
  <si>
    <t xml:space="preserve">WL-02664</t>
  </si>
  <si>
    <t xml:space="preserve">Mark Smith</t>
  </si>
  <si>
    <t xml:space="preserve">GW-0220</t>
  </si>
  <si>
    <t xml:space="preserve">preference-mismatch</t>
  </si>
  <si>
    <t xml:space="preserve">Descriptor WRITTEN_STATEMENT does not identify the required recorded preference sheet; underlying file was not supplied for validation.</t>
  </si>
  <si>
    <t xml:space="preserve">skip_events_2022_2026.csv row 102</t>
  </si>
  <si>
    <t xml:space="preserve">SKP-2023-0102</t>
  </si>
  <si>
    <t xml:space="preserve">2023-02-10</t>
  </si>
  <si>
    <t xml:space="preserve">WL-03582</t>
  </si>
  <si>
    <t xml:space="preserve">Melissa Jones</t>
  </si>
  <si>
    <t xml:space="preserve">GW-0615</t>
  </si>
  <si>
    <t xml:space="preserve">Descriptor INSURANCE_DECL does not identify the required ledger or register extract showing the deficiency; underlying file was not supplied for validation.</t>
  </si>
  <si>
    <t xml:space="preserve">skip_events_2022_2026.csv row 103</t>
  </si>
  <si>
    <t xml:space="preserve">SKP-2023-0103</t>
  </si>
  <si>
    <t xml:space="preserve">2023-02-17</t>
  </si>
  <si>
    <t xml:space="preserve">WL-02918</t>
  </si>
  <si>
    <t xml:space="preserve">Kara Aguilar</t>
  </si>
  <si>
    <t xml:space="preserve">LP-1116</t>
  </si>
  <si>
    <t xml:space="preserve">declined-prior-offer</t>
  </si>
  <si>
    <t xml:space="preserve">Descriptor OTHER_SUPPORT does not identify the required prior offer referenced by date and slip; underlying file was not supplied for validation.</t>
  </si>
  <si>
    <t xml:space="preserve">skip_events_2022_2026.csv row 104</t>
  </si>
  <si>
    <t xml:space="preserve">SKP-2023-0104</t>
  </si>
  <si>
    <t xml:space="preserve">2023-03-15</t>
  </si>
  <si>
    <t xml:space="preserve">WL-03523</t>
  </si>
  <si>
    <t xml:space="preserve">Darlene Glover</t>
  </si>
  <si>
    <t xml:space="preserve">SB-0210</t>
  </si>
  <si>
    <t xml:space="preserve">Salmonberry</t>
  </si>
  <si>
    <t xml:space="preserve">skip_events_2022_2026.csv row 105</t>
  </si>
  <si>
    <t xml:space="preserve">SKP-2023-0105</t>
  </si>
  <si>
    <t xml:space="preserve">2023-03-06</t>
  </si>
  <si>
    <t xml:space="preserve">WL-02366</t>
  </si>
  <si>
    <t xml:space="preserve">Megan Hoffman</t>
  </si>
  <si>
    <t xml:space="preserve">Descriptor WRITTEN_STATEMENT does not identify the required vessel particulars of record; underlying file was not supplied for validation.</t>
  </si>
  <si>
    <t xml:space="preserve">skip_events_2022_2026.csv row 106</t>
  </si>
  <si>
    <t xml:space="preserve">SKP-2023-0106</t>
  </si>
  <si>
    <t xml:space="preserve">2023-03-27</t>
  </si>
  <si>
    <t xml:space="preserve">WL-01388</t>
  </si>
  <si>
    <t xml:space="preserve">Sharon Young</t>
  </si>
  <si>
    <t xml:space="preserve">SB-0617</t>
  </si>
  <si>
    <t xml:space="preserve">skip_events_2022_2026.csv row 107</t>
  </si>
  <si>
    <t xml:space="preserve">SKP-2023-0107</t>
  </si>
  <si>
    <t xml:space="preserve">2023-03-10</t>
  </si>
  <si>
    <t xml:space="preserve">WL-01984</t>
  </si>
  <si>
    <t xml:space="preserve">Vanessa Jackson</t>
  </si>
  <si>
    <t xml:space="preserve">GW-0606</t>
  </si>
  <si>
    <t xml:space="preserve">Descriptor WRITTEN_STATEMENT does not identify the required prior offer referenced by date and slip; underlying file was not supplied for validation.</t>
  </si>
  <si>
    <t xml:space="preserve">skip_events_2022_2026.csv row 108</t>
  </si>
  <si>
    <t xml:space="preserve">SKP-2023-0108</t>
  </si>
  <si>
    <t xml:space="preserve">2023-03-21</t>
  </si>
  <si>
    <t xml:space="preserve">WL-01649</t>
  </si>
  <si>
    <t xml:space="preserve">Amy Krueger</t>
  </si>
  <si>
    <t xml:space="preserve">VB-0717</t>
  </si>
  <si>
    <t xml:space="preserve">skip_events_2022_2026.csv row 109</t>
  </si>
  <si>
    <t xml:space="preserve">SKP-2023-0109</t>
  </si>
  <si>
    <t xml:space="preserve">2023-03-25</t>
  </si>
  <si>
    <t xml:space="preserve">WL-03535</t>
  </si>
  <si>
    <t xml:space="preserve">Allison Castro</t>
  </si>
  <si>
    <t xml:space="preserve">GW-0101</t>
  </si>
  <si>
    <t xml:space="preserve">skip_events_2022_2026.csv row 110</t>
  </si>
  <si>
    <t xml:space="preserve">SKP-2023-0110</t>
  </si>
  <si>
    <t xml:space="preserve">2023-04-20</t>
  </si>
  <si>
    <t xml:space="preserve">WL-01473</t>
  </si>
  <si>
    <t xml:space="preserve">Ian Parrish</t>
  </si>
  <si>
    <t xml:space="preserve">SB-0623</t>
  </si>
  <si>
    <t xml:space="preserve">skip_events_2022_2026.csv row 111</t>
  </si>
  <si>
    <t xml:space="preserve">SKP-2023-0111</t>
  </si>
  <si>
    <t xml:space="preserve">WL-02941</t>
  </si>
  <si>
    <t xml:space="preserve">Jose Benson</t>
  </si>
  <si>
    <t xml:space="preserve">SB-0109</t>
  </si>
  <si>
    <t xml:space="preserve">skip_events_2022_2026.csv row 112</t>
  </si>
  <si>
    <t xml:space="preserve">SKP-2023-0112</t>
  </si>
  <si>
    <t xml:space="preserve">2023-04-03</t>
  </si>
  <si>
    <t xml:space="preserve">WL-03014</t>
  </si>
  <si>
    <t xml:space="preserve">Daniel Mitchell</t>
  </si>
  <si>
    <t xml:space="preserve">LP-0204</t>
  </si>
  <si>
    <t xml:space="preserve">skip_events_2022_2026.csv row 113</t>
  </si>
  <si>
    <t xml:space="preserve">SKP-2023-0113</t>
  </si>
  <si>
    <t xml:space="preserve">2023-04-09</t>
  </si>
  <si>
    <t xml:space="preserve">WL-01886</t>
  </si>
  <si>
    <t xml:space="preserve">Kenneth Riley</t>
  </si>
  <si>
    <t xml:space="preserve">skip_events_2022_2026.csv row 114</t>
  </si>
  <si>
    <t xml:space="preserve">SKP-2023-0114</t>
  </si>
  <si>
    <t xml:space="preserve">2023-04-11</t>
  </si>
  <si>
    <t xml:space="preserve">WL-02074</t>
  </si>
  <si>
    <t xml:space="preserve">Erika Martin</t>
  </si>
  <si>
    <t xml:space="preserve">EW-1007</t>
  </si>
  <si>
    <t xml:space="preserve">skip_events_2022_2026.csv row 115</t>
  </si>
  <si>
    <t xml:space="preserve">SKP-2023-0115</t>
  </si>
  <si>
    <t xml:space="preserve">2023-04-08</t>
  </si>
  <si>
    <t xml:space="preserve">WL-01145</t>
  </si>
  <si>
    <t xml:space="preserve">Francisco Weaver</t>
  </si>
  <si>
    <t xml:space="preserve">EW-0304</t>
  </si>
  <si>
    <t xml:space="preserve">skip_events_2022_2026.csv row 116</t>
  </si>
  <si>
    <t xml:space="preserve">SKP-2023-0116</t>
  </si>
  <si>
    <t xml:space="preserve">2023-04-28</t>
  </si>
  <si>
    <t xml:space="preserve">WL-01274</t>
  </si>
  <si>
    <t xml:space="preserve">Lisa Campbell</t>
  </si>
  <si>
    <t xml:space="preserve">GW-0905</t>
  </si>
  <si>
    <t xml:space="preserve">skip_events_2022_2026.csv row 117</t>
  </si>
  <si>
    <t xml:space="preserve">SKP-2023-0117</t>
  </si>
  <si>
    <t xml:space="preserve">2023-04-02</t>
  </si>
  <si>
    <t xml:space="preserve">WL-01089</t>
  </si>
  <si>
    <t xml:space="preserve">Erin Holmes</t>
  </si>
  <si>
    <t xml:space="preserve">GW-0306</t>
  </si>
  <si>
    <t xml:space="preserve">Descriptor REPAIR_ESTIMATE does not identify the required prior offer referenced by date and slip; underlying file was not supplied for validation.</t>
  </si>
  <si>
    <t xml:space="preserve">skip_events_2022_2026.csv row 118</t>
  </si>
  <si>
    <t xml:space="preserve">SKP-2023-0118</t>
  </si>
  <si>
    <t xml:space="preserve">2023-05-13</t>
  </si>
  <si>
    <t xml:space="preserve">WL-02485</t>
  </si>
  <si>
    <t xml:space="preserve">Matthew Dickerson</t>
  </si>
  <si>
    <t xml:space="preserve">VB-0521</t>
  </si>
  <si>
    <t xml:space="preserve">skip_events_2022_2026.csv row 119</t>
  </si>
  <si>
    <t xml:space="preserve">SKP-2023-0119</t>
  </si>
  <si>
    <t xml:space="preserve">2023-05-05</t>
  </si>
  <si>
    <t xml:space="preserve">WL-03151</t>
  </si>
  <si>
    <t xml:space="preserve">Elizabeth King</t>
  </si>
  <si>
    <t xml:space="preserve">VB-0220</t>
  </si>
  <si>
    <t xml:space="preserve">skip_events_2022_2026.csv row 120</t>
  </si>
  <si>
    <t xml:space="preserve">SKP-2023-0120</t>
  </si>
  <si>
    <t xml:space="preserve">2023-05-02</t>
  </si>
  <si>
    <t xml:space="preserve">WL-01469</t>
  </si>
  <si>
    <t xml:space="preserve">John Lynch</t>
  </si>
  <si>
    <t xml:space="preserve">LP-1104</t>
  </si>
  <si>
    <t xml:space="preserve">skip_events_2022_2026.csv row 121</t>
  </si>
  <si>
    <t xml:space="preserve">SKP-2023-0121</t>
  </si>
  <si>
    <t xml:space="preserve">2023-05-12</t>
  </si>
  <si>
    <t xml:space="preserve">WL-03181</t>
  </si>
  <si>
    <t xml:space="preserve">Annette Collins</t>
  </si>
  <si>
    <t xml:space="preserve">SB-0903</t>
  </si>
  <si>
    <t xml:space="preserve">skip_events_2022_2026.csv row 122</t>
  </si>
  <si>
    <t xml:space="preserve">SKP-2023-0122</t>
  </si>
  <si>
    <t xml:space="preserve">2023-05-20</t>
  </si>
  <si>
    <t xml:space="preserve">WL-03816</t>
  </si>
  <si>
    <t xml:space="preserve">Brittany Lopez</t>
  </si>
  <si>
    <t xml:space="preserve">VB-0113</t>
  </si>
  <si>
    <t xml:space="preserve">Descriptor OTHER_SUPPORT does not identify the required recorded preference sheet; underlying file was not supplied for validation.</t>
  </si>
  <si>
    <t xml:space="preserve">skip_events_2022_2026.csv row 123</t>
  </si>
  <si>
    <t xml:space="preserve">SKP-2023-0123</t>
  </si>
  <si>
    <t xml:space="preserve">2023-05-21</t>
  </si>
  <si>
    <t xml:space="preserve">WL-03712</t>
  </si>
  <si>
    <t xml:space="preserve">Charles Graham</t>
  </si>
  <si>
    <t xml:space="preserve">LP-0113</t>
  </si>
  <si>
    <t xml:space="preserve">Descriptor INSURANCE_DECL does not identify the required prior offer referenced by date and slip; underlying file was not supplied for validation.</t>
  </si>
  <si>
    <t xml:space="preserve">skip_events_2022_2026.csv row 124</t>
  </si>
  <si>
    <t xml:space="preserve">SKP-2023-0124</t>
  </si>
  <si>
    <t xml:space="preserve">2023-05-19</t>
  </si>
  <si>
    <t xml:space="preserve">WL-02100</t>
  </si>
  <si>
    <t xml:space="preserve">Michelle Pena</t>
  </si>
  <si>
    <t xml:space="preserve">VB-0504</t>
  </si>
  <si>
    <t xml:space="preserve">Descriptor INSURANCE_DECL does not identify the required recorded preference sheet; underlying file was not supplied for validation.</t>
  </si>
  <si>
    <t xml:space="preserve">skip_events_2022_2026.csv row 125</t>
  </si>
  <si>
    <t xml:space="preserve">SKP-2023-0125</t>
  </si>
  <si>
    <t xml:space="preserve">WL-02777</t>
  </si>
  <si>
    <t xml:space="preserve">Carolyn Johnson</t>
  </si>
  <si>
    <t xml:space="preserve">LP-0402</t>
  </si>
  <si>
    <t xml:space="preserve">skip_events_2022_2026.csv row 126</t>
  </si>
  <si>
    <t xml:space="preserve">SKP-2023-0126</t>
  </si>
  <si>
    <t xml:space="preserve">2023-05-10</t>
  </si>
  <si>
    <t xml:space="preserve">WL-02134</t>
  </si>
  <si>
    <t xml:space="preserve">James Martin</t>
  </si>
  <si>
    <t xml:space="preserve">EW-0320</t>
  </si>
  <si>
    <t xml:space="preserve">skip_events_2022_2026.csv row 127</t>
  </si>
  <si>
    <t xml:space="preserve">SKP-2023-0127</t>
  </si>
  <si>
    <t xml:space="preserve">WL-01420</t>
  </si>
  <si>
    <t xml:space="preserve">Patricia Wilson</t>
  </si>
  <si>
    <t xml:space="preserve">SB-0405</t>
  </si>
  <si>
    <t xml:space="preserve">skip_events_2022_2026.csv row 128</t>
  </si>
  <si>
    <t xml:space="preserve">SKP-2023-0128</t>
  </si>
  <si>
    <t xml:space="preserve">2023-05-04</t>
  </si>
  <si>
    <t xml:space="preserve">WL-03537</t>
  </si>
  <si>
    <t xml:space="preserve">Angel Wheeler</t>
  </si>
  <si>
    <t xml:space="preserve">GW-0709</t>
  </si>
  <si>
    <t xml:space="preserve">Descriptor OTHER_SUPPORT does not identify the required ledger or register extract showing the deficiency; underlying file was not supplied for validation.</t>
  </si>
  <si>
    <t xml:space="preserve">skip_events_2022_2026.csv row 129</t>
  </si>
  <si>
    <t xml:space="preserve">SKP-2023-0129</t>
  </si>
  <si>
    <t xml:space="preserve">WL-03178</t>
  </si>
  <si>
    <t xml:space="preserve">Kristen Schneider</t>
  </si>
  <si>
    <t xml:space="preserve">VB-0810</t>
  </si>
  <si>
    <t xml:space="preserve">skip_events_2022_2026.csv row 130</t>
  </si>
  <si>
    <t xml:space="preserve">SKP-2023-0130</t>
  </si>
  <si>
    <t xml:space="preserve">2023-06-12</t>
  </si>
  <si>
    <t xml:space="preserve">WL-02924</t>
  </si>
  <si>
    <t xml:space="preserve">Heather Hall</t>
  </si>
  <si>
    <t xml:space="preserve">VB-0720</t>
  </si>
  <si>
    <t xml:space="preserve">skip_events_2022_2026.csv row 131</t>
  </si>
  <si>
    <t xml:space="preserve">SKP-2023-0131</t>
  </si>
  <si>
    <t xml:space="preserve">2023-06-15</t>
  </si>
  <si>
    <t xml:space="preserve">WL-01781</t>
  </si>
  <si>
    <t xml:space="preserve">Crystal Parrish</t>
  </si>
  <si>
    <t xml:space="preserve">LP-0220</t>
  </si>
  <si>
    <t xml:space="preserve">No attached recorded preference sheet is demonstrated.</t>
  </si>
  <si>
    <t xml:space="preserve">skip_events_2022_2026.csv row 132</t>
  </si>
  <si>
    <t xml:space="preserve">SKP-2023-0132</t>
  </si>
  <si>
    <t xml:space="preserve">2023-06-08</t>
  </si>
  <si>
    <t xml:space="preserve">WL-01193</t>
  </si>
  <si>
    <t xml:space="preserve">Mindy Medina</t>
  </si>
  <si>
    <t xml:space="preserve">VB-0205</t>
  </si>
  <si>
    <t xml:space="preserve">skip_events_2022_2026.csv row 133</t>
  </si>
  <si>
    <t xml:space="preserve">SKP-2023-0133</t>
  </si>
  <si>
    <t xml:space="preserve">2023-06-10</t>
  </si>
  <si>
    <t xml:space="preserve">WL-01319</t>
  </si>
  <si>
    <t xml:space="preserve">Janice Roy</t>
  </si>
  <si>
    <t xml:space="preserve">GW-1008</t>
  </si>
  <si>
    <t xml:space="preserve">skip_events_2022_2026.csv row 134</t>
  </si>
  <si>
    <t xml:space="preserve">SKP-2023-0134</t>
  </si>
  <si>
    <t xml:space="preserve">2023-06-24</t>
  </si>
  <si>
    <t xml:space="preserve">WL-02173</t>
  </si>
  <si>
    <t xml:space="preserve">Lisa Parker</t>
  </si>
  <si>
    <t xml:space="preserve">SB-0205</t>
  </si>
  <si>
    <t xml:space="preserve">skip_events_2022_2026.csv row 135</t>
  </si>
  <si>
    <t xml:space="preserve">SKP-2023-0135</t>
  </si>
  <si>
    <t xml:space="preserve">2023-06-25</t>
  </si>
  <si>
    <t xml:space="preserve">WL-01568</t>
  </si>
  <si>
    <t xml:space="preserve">Rebecca Lozano</t>
  </si>
  <si>
    <t xml:space="preserve">LP-0219</t>
  </si>
  <si>
    <t xml:space="preserve">skip_events_2022_2026.csv row 136</t>
  </si>
  <si>
    <t xml:space="preserve">SKP-2023-0136</t>
  </si>
  <si>
    <t xml:space="preserve">WL-03758</t>
  </si>
  <si>
    <t xml:space="preserve">Sean Cherry</t>
  </si>
  <si>
    <t xml:space="preserve">LP-0121</t>
  </si>
  <si>
    <t xml:space="preserve">skip_events_2022_2026.csv row 137</t>
  </si>
  <si>
    <t xml:space="preserve">SKP-2023-0137</t>
  </si>
  <si>
    <t xml:space="preserve">2023-06-07</t>
  </si>
  <si>
    <t xml:space="preserve">WL-02535</t>
  </si>
  <si>
    <t xml:space="preserve">Shari Hess</t>
  </si>
  <si>
    <t xml:space="preserve">VB-0805</t>
  </si>
  <si>
    <t xml:space="preserve">skip_events_2022_2026.csv row 138</t>
  </si>
  <si>
    <t xml:space="preserve">SKP-2023-0138</t>
  </si>
  <si>
    <t xml:space="preserve">2023-06-13</t>
  </si>
  <si>
    <t xml:space="preserve">WL-02663</t>
  </si>
  <si>
    <t xml:space="preserve">Susan Thompson</t>
  </si>
  <si>
    <t xml:space="preserve">GW-0810</t>
  </si>
  <si>
    <t xml:space="preserve">skip_events_2022_2026.csv row 139</t>
  </si>
  <si>
    <t xml:space="preserve">SKP-2023-0139</t>
  </si>
  <si>
    <t xml:space="preserve">2023-06-09</t>
  </si>
  <si>
    <t xml:space="preserve">WL-01129</t>
  </si>
  <si>
    <t xml:space="preserve">Alexander Thompson</t>
  </si>
  <si>
    <t xml:space="preserve">GW-0414</t>
  </si>
  <si>
    <t xml:space="preserve">skip_events_2022_2026.csv row 140</t>
  </si>
  <si>
    <t xml:space="preserve">SKP-2023-0140</t>
  </si>
  <si>
    <t xml:space="preserve">WL-03100</t>
  </si>
  <si>
    <t xml:space="preserve">Andrew Contreras</t>
  </si>
  <si>
    <t xml:space="preserve">EW-0622</t>
  </si>
  <si>
    <t xml:space="preserve">skip_events_2022_2026.csv row 141</t>
  </si>
  <si>
    <t xml:space="preserve">SKP-2023-0141</t>
  </si>
  <si>
    <t xml:space="preserve">2023-07-04</t>
  </si>
  <si>
    <t xml:space="preserve">WL-03857</t>
  </si>
  <si>
    <t xml:space="preserve">Catherine Davis</t>
  </si>
  <si>
    <t xml:space="preserve">SB-0602</t>
  </si>
  <si>
    <t xml:space="preserve">skip_events_2022_2026.csv row 142</t>
  </si>
  <si>
    <t xml:space="preserve">SKP-2023-0142</t>
  </si>
  <si>
    <t xml:space="preserve">2023-07-15</t>
  </si>
  <si>
    <t xml:space="preserve">WL-01054</t>
  </si>
  <si>
    <t xml:space="preserve">Cynthia Smith</t>
  </si>
  <si>
    <t xml:space="preserve">VB-0620</t>
  </si>
  <si>
    <t xml:space="preserve">skip_events_2022_2026.csv row 143</t>
  </si>
  <si>
    <t xml:space="preserve">SKP-2023-0143</t>
  </si>
  <si>
    <t xml:space="preserve">2023-07-03</t>
  </si>
  <si>
    <t xml:space="preserve">WL-01712</t>
  </si>
  <si>
    <t xml:space="preserve">Kevin Liu</t>
  </si>
  <si>
    <t xml:space="preserve">GW-0118</t>
  </si>
  <si>
    <t xml:space="preserve">skip_events_2022_2026.csv row 144</t>
  </si>
  <si>
    <t xml:space="preserve">SKP-2023-0144</t>
  </si>
  <si>
    <t xml:space="preserve">2023-07-07</t>
  </si>
  <si>
    <t xml:space="preserve">WL-02160</t>
  </si>
  <si>
    <t xml:space="preserve">Alexander Lawrence</t>
  </si>
  <si>
    <t xml:space="preserve">LP-0520</t>
  </si>
  <si>
    <t xml:space="preserve">Descriptor REPAIR_ESTIMATE does not identify the required ledger or register extract showing the deficiency; underlying file was not supplied for validation.</t>
  </si>
  <si>
    <t xml:space="preserve">skip_events_2022_2026.csv row 145</t>
  </si>
  <si>
    <t xml:space="preserve">SKP-2023-0145</t>
  </si>
  <si>
    <t xml:space="preserve">2023-07-09</t>
  </si>
  <si>
    <t xml:space="preserve">WL-01242</t>
  </si>
  <si>
    <t xml:space="preserve">Melissa Villanueva</t>
  </si>
  <si>
    <t xml:space="preserve">SB-0314</t>
  </si>
  <si>
    <t xml:space="preserve">skip_events_2022_2026.csv row 146</t>
  </si>
  <si>
    <t xml:space="preserve">SKP-2023-0146</t>
  </si>
  <si>
    <t xml:space="preserve">2023-07-24</t>
  </si>
  <si>
    <t xml:space="preserve">WL-02199</t>
  </si>
  <si>
    <t xml:space="preserve">Patricia Perez</t>
  </si>
  <si>
    <t xml:space="preserve">GW-1003</t>
  </si>
  <si>
    <t xml:space="preserve">skip_events_2022_2026.csv row 147</t>
  </si>
  <si>
    <t xml:space="preserve">SKP-2023-0147</t>
  </si>
  <si>
    <t xml:space="preserve">2023-07-26</t>
  </si>
  <si>
    <t xml:space="preserve">WL-01248</t>
  </si>
  <si>
    <t xml:space="preserve">Michael Gray</t>
  </si>
  <si>
    <t xml:space="preserve">SB-0915</t>
  </si>
  <si>
    <t xml:space="preserve">skip_events_2022_2026.csv row 148</t>
  </si>
  <si>
    <t xml:space="preserve">SKP-2023-0148</t>
  </si>
  <si>
    <t xml:space="preserve">2023-07-11</t>
  </si>
  <si>
    <t xml:space="preserve">WL-02206</t>
  </si>
  <si>
    <t xml:space="preserve">Mary Morris</t>
  </si>
  <si>
    <t xml:space="preserve">GW-0719</t>
  </si>
  <si>
    <t xml:space="preserve">skip_events_2022_2026.csv row 149</t>
  </si>
  <si>
    <t xml:space="preserve">SKP-2023-0149</t>
  </si>
  <si>
    <t xml:space="preserve">WL-02706</t>
  </si>
  <si>
    <t xml:space="preserve">Allison Fisher</t>
  </si>
  <si>
    <t xml:space="preserve">LP-0104</t>
  </si>
  <si>
    <t xml:space="preserve">skip_events_2022_2026.csv row 150</t>
  </si>
  <si>
    <t xml:space="preserve">SKP-2023-0150</t>
  </si>
  <si>
    <t xml:space="preserve">WL-01924</t>
  </si>
  <si>
    <t xml:space="preserve">Angela Alexander</t>
  </si>
  <si>
    <t xml:space="preserve">EW-0111</t>
  </si>
  <si>
    <t xml:space="preserve">skip_events_2022_2026.csv row 151</t>
  </si>
  <si>
    <t xml:space="preserve">SKP-2023-0151</t>
  </si>
  <si>
    <t xml:space="preserve">2023-07-27</t>
  </si>
  <si>
    <t xml:space="preserve">WL-03652</t>
  </si>
  <si>
    <t xml:space="preserve">Lisa Strickland</t>
  </si>
  <si>
    <t xml:space="preserve">GW-0301</t>
  </si>
  <si>
    <t xml:space="preserve">skip_events_2022_2026.csv row 152</t>
  </si>
  <si>
    <t xml:space="preserve">SKP-2023-0152</t>
  </si>
  <si>
    <t xml:space="preserve">2023-07-20</t>
  </si>
  <si>
    <t xml:space="preserve">WL-03411</t>
  </si>
  <si>
    <t xml:space="preserve">Miguel Boyd</t>
  </si>
  <si>
    <t xml:space="preserve">VB-0719</t>
  </si>
  <si>
    <t xml:space="preserve">skip_events_2022_2026.csv row 153</t>
  </si>
  <si>
    <t xml:space="preserve">SKP-2023-0153</t>
  </si>
  <si>
    <t xml:space="preserve">2023-08-06</t>
  </si>
  <si>
    <t xml:space="preserve">WL-01029</t>
  </si>
  <si>
    <t xml:space="preserve">John Wang</t>
  </si>
  <si>
    <t xml:space="preserve">EW-0119</t>
  </si>
  <si>
    <t xml:space="preserve">skip_events_2022_2026.csv row 154</t>
  </si>
  <si>
    <t xml:space="preserve">SKP-2023-0154</t>
  </si>
  <si>
    <t xml:space="preserve">2023-08-16</t>
  </si>
  <si>
    <t xml:space="preserve">WL-01847</t>
  </si>
  <si>
    <t xml:space="preserve">Amy Carlson</t>
  </si>
  <si>
    <t xml:space="preserve">EW-0110</t>
  </si>
  <si>
    <t xml:space="preserve">skip_events_2022_2026.csv row 155</t>
  </si>
  <si>
    <t xml:space="preserve">SKP-2023-0155</t>
  </si>
  <si>
    <t xml:space="preserve">2023-08-09</t>
  </si>
  <si>
    <t xml:space="preserve">WL-01297</t>
  </si>
  <si>
    <t xml:space="preserve">Alan Harris</t>
  </si>
  <si>
    <t xml:space="preserve">VB-0512</t>
  </si>
  <si>
    <t xml:space="preserve">skip_events_2022_2026.csv row 156</t>
  </si>
  <si>
    <t xml:space="preserve">SKP-2023-0156</t>
  </si>
  <si>
    <t xml:space="preserve">2023-08-02</t>
  </si>
  <si>
    <t xml:space="preserve">WL-02603</t>
  </si>
  <si>
    <t xml:space="preserve">Sharon Lopez</t>
  </si>
  <si>
    <t xml:space="preserve">GW-0611</t>
  </si>
  <si>
    <t xml:space="preserve">skip_events_2022_2026.csv row 157</t>
  </si>
  <si>
    <t xml:space="preserve">SKP-2023-0157</t>
  </si>
  <si>
    <t xml:space="preserve">2023-08-22</t>
  </si>
  <si>
    <t xml:space="preserve">WL-03153</t>
  </si>
  <si>
    <t xml:space="preserve">Derrick Webb</t>
  </si>
  <si>
    <t xml:space="preserve">EW-0213</t>
  </si>
  <si>
    <t xml:space="preserve">Descriptor REPAIR_ESTIMATE does not identify the required recorded preference sheet; underlying file was not supplied for validation.</t>
  </si>
  <si>
    <t xml:space="preserve">skip_events_2022_2026.csv row 158</t>
  </si>
  <si>
    <t xml:space="preserve">SKP-2023-0158</t>
  </si>
  <si>
    <t xml:space="preserve">WL-02650</t>
  </si>
  <si>
    <t xml:space="preserve">Alex White</t>
  </si>
  <si>
    <t xml:space="preserve">EW-0310</t>
  </si>
  <si>
    <t xml:space="preserve">skip_events_2022_2026.csv row 159</t>
  </si>
  <si>
    <t xml:space="preserve">SKP-2023-0159</t>
  </si>
  <si>
    <t xml:space="preserve">2023-08-10</t>
  </si>
  <si>
    <t xml:space="preserve">WL-01360</t>
  </si>
  <si>
    <t xml:space="preserve">Desiree Sullivan</t>
  </si>
  <si>
    <t xml:space="preserve">LP-0516</t>
  </si>
  <si>
    <t xml:space="preserve">skip_events_2022_2026.csv row 160</t>
  </si>
  <si>
    <t xml:space="preserve">SKP-2023-0160</t>
  </si>
  <si>
    <t xml:space="preserve">2023-08-05</t>
  </si>
  <si>
    <t xml:space="preserve">WL-01367</t>
  </si>
  <si>
    <t xml:space="preserve">Stephen Golden</t>
  </si>
  <si>
    <t xml:space="preserve">GW-0703</t>
  </si>
  <si>
    <t xml:space="preserve">skip_events_2022_2026.csv row 161</t>
  </si>
  <si>
    <t xml:space="preserve">SKP-2023-0161</t>
  </si>
  <si>
    <t xml:space="preserve">2023-08-18</t>
  </si>
  <si>
    <t xml:space="preserve">WL-02793</t>
  </si>
  <si>
    <t xml:space="preserve">David Franco</t>
  </si>
  <si>
    <t xml:space="preserve">EW-0814</t>
  </si>
  <si>
    <t xml:space="preserve">skip_events_2022_2026.csv row 162</t>
  </si>
  <si>
    <t xml:space="preserve">SKP-2023-0162</t>
  </si>
  <si>
    <t xml:space="preserve">2023-09-18</t>
  </si>
  <si>
    <t xml:space="preserve">WL-03249</t>
  </si>
  <si>
    <t xml:space="preserve">Julia Anderson</t>
  </si>
  <si>
    <t xml:space="preserve">EW-0518</t>
  </si>
  <si>
    <t xml:space="preserve">skip_events_2022_2026.csv row 163</t>
  </si>
  <si>
    <t xml:space="preserve">SKP-2023-0163</t>
  </si>
  <si>
    <t xml:space="preserve">2023-09-11</t>
  </si>
  <si>
    <t xml:space="preserve">WL-03629</t>
  </si>
  <si>
    <t xml:space="preserve">Justin Parks</t>
  </si>
  <si>
    <t xml:space="preserve">skip_events_2022_2026.csv row 164</t>
  </si>
  <si>
    <t xml:space="preserve">SKP-2023-0164</t>
  </si>
  <si>
    <t xml:space="preserve">2023-09-05</t>
  </si>
  <si>
    <t xml:space="preserve">WL-03673</t>
  </si>
  <si>
    <t xml:space="preserve">Angela Gibson</t>
  </si>
  <si>
    <t xml:space="preserve">GW-0801</t>
  </si>
  <si>
    <t xml:space="preserve">skip_events_2022_2026.csv row 165</t>
  </si>
  <si>
    <t xml:space="preserve">SKP-2023-0165</t>
  </si>
  <si>
    <t xml:space="preserve">WL-01746</t>
  </si>
  <si>
    <t xml:space="preserve">Elizabeth Ward</t>
  </si>
  <si>
    <t xml:space="preserve">SB-0209</t>
  </si>
  <si>
    <t xml:space="preserve">skip_events_2022_2026.csv row 166</t>
  </si>
  <si>
    <t xml:space="preserve">SKP-2023-0166</t>
  </si>
  <si>
    <t xml:space="preserve">2023-09-16</t>
  </si>
  <si>
    <t xml:space="preserve">WL-03844</t>
  </si>
  <si>
    <t xml:space="preserve">Janet Medina</t>
  </si>
  <si>
    <t xml:space="preserve">EW-0109</t>
  </si>
  <si>
    <t xml:space="preserve">skip_events_2022_2026.csv row 167</t>
  </si>
  <si>
    <t xml:space="preserve">SKP-2023-0167</t>
  </si>
  <si>
    <t xml:space="preserve">2023-09-25</t>
  </si>
  <si>
    <t xml:space="preserve">WL-01566</t>
  </si>
  <si>
    <t xml:space="preserve">Sara Garcia</t>
  </si>
  <si>
    <t xml:space="preserve">LP-0706</t>
  </si>
  <si>
    <t xml:space="preserve">skip_events_2022_2026.csv row 168</t>
  </si>
  <si>
    <t xml:space="preserve">SKP-2023-0168</t>
  </si>
  <si>
    <t xml:space="preserve">2023-09-13</t>
  </si>
  <si>
    <t xml:space="preserve">WL-02912</t>
  </si>
  <si>
    <t xml:space="preserve">Alan Ortiz</t>
  </si>
  <si>
    <t xml:space="preserve">SB-0916</t>
  </si>
  <si>
    <t xml:space="preserve">skip_events_2022_2026.csv row 169</t>
  </si>
  <si>
    <t xml:space="preserve">SKP-2023-0169</t>
  </si>
  <si>
    <t xml:space="preserve">2023-09-21</t>
  </si>
  <si>
    <t xml:space="preserve">WL-01168</t>
  </si>
  <si>
    <t xml:space="preserve">Wesley Bradford</t>
  </si>
  <si>
    <t xml:space="preserve">LP-0604</t>
  </si>
  <si>
    <t xml:space="preserve">skip_events_2022_2026.csv row 170</t>
  </si>
  <si>
    <t xml:space="preserve">SKP-2023-0170</t>
  </si>
  <si>
    <t xml:space="preserve">2023-09-04</t>
  </si>
  <si>
    <t xml:space="preserve">WL-03700</t>
  </si>
  <si>
    <t xml:space="preserve">Jonathan Diaz</t>
  </si>
  <si>
    <t xml:space="preserve">LP-0412</t>
  </si>
  <si>
    <t xml:space="preserve">skip_events_2022_2026.csv row 171</t>
  </si>
  <si>
    <t xml:space="preserve">SKP-2023-0171</t>
  </si>
  <si>
    <t xml:space="preserve">WL-02000</t>
  </si>
  <si>
    <t xml:space="preserve">Erika Cruz</t>
  </si>
  <si>
    <t xml:space="preserve">VB-0820</t>
  </si>
  <si>
    <t xml:space="preserve">skip_events_2022_2026.csv row 172</t>
  </si>
  <si>
    <t xml:space="preserve">SKP-2023-0172</t>
  </si>
  <si>
    <t xml:space="preserve">2023-09-17</t>
  </si>
  <si>
    <t xml:space="preserve">WL-01080</t>
  </si>
  <si>
    <t xml:space="preserve">Jessica Lopez</t>
  </si>
  <si>
    <t xml:space="preserve">EW-0511</t>
  </si>
  <si>
    <t xml:space="preserve">skip_events_2022_2026.csv row 173</t>
  </si>
  <si>
    <t xml:space="preserve">SKP-2023-0173</t>
  </si>
  <si>
    <t xml:space="preserve">2023-09-03</t>
  </si>
  <si>
    <t xml:space="preserve">WL-03715</t>
  </si>
  <si>
    <t xml:space="preserve">Aaron Lee</t>
  </si>
  <si>
    <t xml:space="preserve">VB-0705</t>
  </si>
  <si>
    <t xml:space="preserve">skip_events_2022_2026.csv row 174</t>
  </si>
  <si>
    <t xml:space="preserve">SKP-2023-0174</t>
  </si>
  <si>
    <t xml:space="preserve">WL-02285</t>
  </si>
  <si>
    <t xml:space="preserve">Brian Scott</t>
  </si>
  <si>
    <t xml:space="preserve">EW-0107</t>
  </si>
  <si>
    <t xml:space="preserve">No attached prior offer referenced by date and slip is demonstrated.</t>
  </si>
  <si>
    <t xml:space="preserve">skip_events_2022_2026.csv row 175</t>
  </si>
  <si>
    <t xml:space="preserve">SKP-2023-0175</t>
  </si>
  <si>
    <t xml:space="preserve">2023-10-06</t>
  </si>
  <si>
    <t xml:space="preserve">WL-01003</t>
  </si>
  <si>
    <t xml:space="preserve">Shannon Phillips</t>
  </si>
  <si>
    <t xml:space="preserve">SB-0401</t>
  </si>
  <si>
    <t xml:space="preserve">skip_events_2022_2026.csv row 176</t>
  </si>
  <si>
    <t xml:space="preserve">SKP-2023-0176</t>
  </si>
  <si>
    <t xml:space="preserve">2023-10-05</t>
  </si>
  <si>
    <t xml:space="preserve">WL-01594</t>
  </si>
  <si>
    <t xml:space="preserve">Tracey Johnson</t>
  </si>
  <si>
    <t xml:space="preserve">GW-0705</t>
  </si>
  <si>
    <t xml:space="preserve">skip_events_2022_2026.csv row 177</t>
  </si>
  <si>
    <t xml:space="preserve">SKP-2023-0177</t>
  </si>
  <si>
    <t xml:space="preserve">2023-10-21</t>
  </si>
  <si>
    <t xml:space="preserve">WL-01918</t>
  </si>
  <si>
    <t xml:space="preserve">Brittany Barrett</t>
  </si>
  <si>
    <t xml:space="preserve">VB-0118</t>
  </si>
  <si>
    <t xml:space="preserve">skip_events_2022_2026.csv row 178</t>
  </si>
  <si>
    <t xml:space="preserve">SKP-2023-0178</t>
  </si>
  <si>
    <t xml:space="preserve">2023-10-24</t>
  </si>
  <si>
    <t xml:space="preserve">WL-03849</t>
  </si>
  <si>
    <t xml:space="preserve">Melissa Ramirez</t>
  </si>
  <si>
    <t xml:space="preserve">SB-0406</t>
  </si>
  <si>
    <t xml:space="preserve">skip_events_2022_2026.csv row 179</t>
  </si>
  <si>
    <t xml:space="preserve">SKP-2023-0179</t>
  </si>
  <si>
    <t xml:space="preserve">2023-10-09</t>
  </si>
  <si>
    <t xml:space="preserve">WL-01704</t>
  </si>
  <si>
    <t xml:space="preserve">Justin Horn</t>
  </si>
  <si>
    <t xml:space="preserve">EW-0804</t>
  </si>
  <si>
    <t xml:space="preserve">skip_events_2022_2026.csv row 180</t>
  </si>
  <si>
    <t xml:space="preserve">SKP-2023-0180</t>
  </si>
  <si>
    <t xml:space="preserve">2023-11-22</t>
  </si>
  <si>
    <t xml:space="preserve">WL-03696</t>
  </si>
  <si>
    <t xml:space="preserve">Natalie Duncan</t>
  </si>
  <si>
    <t xml:space="preserve">LP-0114</t>
  </si>
  <si>
    <t xml:space="preserve">skip_events_2022_2026.csv row 181</t>
  </si>
  <si>
    <t xml:space="preserve">SKP-2023-0181</t>
  </si>
  <si>
    <t xml:space="preserve">2023-12-17</t>
  </si>
  <si>
    <t xml:space="preserve">WL-01016</t>
  </si>
  <si>
    <t xml:space="preserve">Jared Mosley</t>
  </si>
  <si>
    <t xml:space="preserve">LP-0416</t>
  </si>
  <si>
    <t xml:space="preserve">skip_events_2022_2026.csv row 182</t>
  </si>
  <si>
    <t xml:space="preserve">SKP-2023-0182</t>
  </si>
  <si>
    <t xml:space="preserve">2023-12-21</t>
  </si>
  <si>
    <t xml:space="preserve">WL-01186</t>
  </si>
  <si>
    <t xml:space="preserve">Amy Hartman</t>
  </si>
  <si>
    <t xml:space="preserve">SB-0610</t>
  </si>
  <si>
    <t xml:space="preserve">skip_events_2022_2026.csv row 183</t>
  </si>
  <si>
    <t xml:space="preserve">SKP-2023-0183</t>
  </si>
  <si>
    <t xml:space="preserve">2023-12-26</t>
  </si>
  <si>
    <t xml:space="preserve">WL-01524</t>
  </si>
  <si>
    <t xml:space="preserve">William Wright</t>
  </si>
  <si>
    <t xml:space="preserve">VB-0804</t>
  </si>
  <si>
    <t xml:space="preserve">skip_events_2022_2026.csv row 184</t>
  </si>
  <si>
    <t xml:space="preserve">SKP-2023-0184</t>
  </si>
  <si>
    <t xml:space="preserve">WL-03111</t>
  </si>
  <si>
    <t xml:space="preserve">Kevin Gilbert</t>
  </si>
  <si>
    <t xml:space="preserve">VB-0311</t>
  </si>
  <si>
    <t xml:space="preserve">skip_events_2022_2026.csv row 185</t>
  </si>
  <si>
    <t xml:space="preserve">SKP-2023-0185</t>
  </si>
  <si>
    <t xml:space="preserve">2023-12-24</t>
  </si>
  <si>
    <t xml:space="preserve">WL-02726</t>
  </si>
  <si>
    <t xml:space="preserve">Michelle Herman</t>
  </si>
  <si>
    <t xml:space="preserve">EW-0916</t>
  </si>
  <si>
    <t xml:space="preserve">skip_events_2022_2026.csv row 186</t>
  </si>
  <si>
    <t xml:space="preserve">SKP-2023-0186</t>
  </si>
  <si>
    <t xml:space="preserve">2023-12-03</t>
  </si>
  <si>
    <t xml:space="preserve">EW-1002</t>
  </si>
  <si>
    <t xml:space="preserve">skip_events_2022_2026.csv row 187</t>
  </si>
  <si>
    <t xml:space="preserve">SKP-2024-0187</t>
  </si>
  <si>
    <t xml:space="preserve">2024-01-14</t>
  </si>
  <si>
    <t xml:space="preserve">WL-02759</t>
  </si>
  <si>
    <t xml:space="preserve">Michael Rose</t>
  </si>
  <si>
    <t xml:space="preserve">EW-0708</t>
  </si>
  <si>
    <t xml:space="preserve">skip_events_2022_2026.csv row 188</t>
  </si>
  <si>
    <t xml:space="preserve">SKP-2024-0188</t>
  </si>
  <si>
    <t xml:space="preserve">2024-01-04</t>
  </si>
  <si>
    <t xml:space="preserve">WL-01632</t>
  </si>
  <si>
    <t xml:space="preserve">Laura Johnson</t>
  </si>
  <si>
    <t xml:space="preserve">SB-0306</t>
  </si>
  <si>
    <t xml:space="preserve">skip_events_2022_2026.csv row 189</t>
  </si>
  <si>
    <t xml:space="preserve">SKP-2024-0189</t>
  </si>
  <si>
    <t xml:space="preserve">2024-02-20</t>
  </si>
  <si>
    <t xml:space="preserve">WL-03141</t>
  </si>
  <si>
    <t xml:space="preserve">Joseph Green</t>
  </si>
  <si>
    <t xml:space="preserve">LP-0203</t>
  </si>
  <si>
    <t xml:space="preserve">skip_events_2022_2026.csv row 190</t>
  </si>
  <si>
    <t xml:space="preserve">SKP-2024-0190</t>
  </si>
  <si>
    <t xml:space="preserve">2024-02-24</t>
  </si>
  <si>
    <t xml:space="preserve">WL-02349</t>
  </si>
  <si>
    <t xml:space="preserve">Natalie Mason</t>
  </si>
  <si>
    <t xml:space="preserve">SB-0403</t>
  </si>
  <si>
    <t xml:space="preserve">skip_events_2022_2026.csv row 191</t>
  </si>
  <si>
    <t xml:space="preserve">SKP-2024-0191</t>
  </si>
  <si>
    <t xml:space="preserve">2024-02-03</t>
  </si>
  <si>
    <t xml:space="preserve">WL-01253</t>
  </si>
  <si>
    <t xml:space="preserve">Brandon Sawyer</t>
  </si>
  <si>
    <t xml:space="preserve">LP-0307</t>
  </si>
  <si>
    <t xml:space="preserve">skip_events_2022_2026.csv row 192</t>
  </si>
  <si>
    <t xml:space="preserve">SKP-2024-0192</t>
  </si>
  <si>
    <t xml:space="preserve">2024-02-15</t>
  </si>
  <si>
    <t xml:space="preserve">WL-03127</t>
  </si>
  <si>
    <t xml:space="preserve">Lindsay Dixon</t>
  </si>
  <si>
    <t xml:space="preserve">LP-0515</t>
  </si>
  <si>
    <t xml:space="preserve">skip_events_2022_2026.csv row 193</t>
  </si>
  <si>
    <t xml:space="preserve">SKP-2024-0193</t>
  </si>
  <si>
    <t xml:space="preserve">2024-02-08</t>
  </si>
  <si>
    <t xml:space="preserve">WL-02653</t>
  </si>
  <si>
    <t xml:space="preserve">Christine Jones</t>
  </si>
  <si>
    <t xml:space="preserve">SB-0616</t>
  </si>
  <si>
    <t xml:space="preserve">skip_events_2022_2026.csv row 194</t>
  </si>
  <si>
    <t xml:space="preserve">SKP-2024-0194</t>
  </si>
  <si>
    <t xml:space="preserve">2024-02-07</t>
  </si>
  <si>
    <t xml:space="preserve">WL-01347</t>
  </si>
  <si>
    <t xml:space="preserve">Ryan Bennett</t>
  </si>
  <si>
    <t xml:space="preserve">EW-0624</t>
  </si>
  <si>
    <t xml:space="preserve">skip_events_2022_2026.csv row 195</t>
  </si>
  <si>
    <t xml:space="preserve">SKP-2024-0195</t>
  </si>
  <si>
    <t xml:space="preserve">2024-02-09</t>
  </si>
  <si>
    <t xml:space="preserve">WL-01562</t>
  </si>
  <si>
    <t xml:space="preserve">Karen Ward</t>
  </si>
  <si>
    <t xml:space="preserve">GW-0219</t>
  </si>
  <si>
    <t xml:space="preserve">skip_events_2022_2026.csv row 196</t>
  </si>
  <si>
    <t xml:space="preserve">SKP-2024-0196</t>
  </si>
  <si>
    <t xml:space="preserve">2024-03-23</t>
  </si>
  <si>
    <t xml:space="preserve">WL-02629</t>
  </si>
  <si>
    <t xml:space="preserve">Joseph Powell</t>
  </si>
  <si>
    <t xml:space="preserve">VB-1021</t>
  </si>
  <si>
    <t xml:space="preserve">skip_events_2022_2026.csv row 197</t>
  </si>
  <si>
    <t xml:space="preserve">SKP-2024-0197</t>
  </si>
  <si>
    <t xml:space="preserve">2024-03-28</t>
  </si>
  <si>
    <t xml:space="preserve">WL-03621</t>
  </si>
  <si>
    <t xml:space="preserve">Denise Powers</t>
  </si>
  <si>
    <t xml:space="preserve">SB-0601</t>
  </si>
  <si>
    <t xml:space="preserve">skip_events_2022_2026.csv row 198</t>
  </si>
  <si>
    <t xml:space="preserve">SKP-2024-0198</t>
  </si>
  <si>
    <t xml:space="preserve">2024-03-22</t>
  </si>
  <si>
    <t xml:space="preserve">WL-02027</t>
  </si>
  <si>
    <t xml:space="preserve">Monica Hammond</t>
  </si>
  <si>
    <t xml:space="preserve">skip_events_2022_2026.csv row 199</t>
  </si>
  <si>
    <t xml:space="preserve">SKP-2024-0199</t>
  </si>
  <si>
    <t xml:space="preserve">2024-03-27</t>
  </si>
  <si>
    <t xml:space="preserve">WL-03185</t>
  </si>
  <si>
    <t xml:space="preserve">Sarah Davis</t>
  </si>
  <si>
    <t xml:space="preserve">SB-0824</t>
  </si>
  <si>
    <t xml:space="preserve">skip_events_2022_2026.csv row 200</t>
  </si>
  <si>
    <t xml:space="preserve">SKP-2024-0200</t>
  </si>
  <si>
    <t xml:space="preserve">2024-03-02</t>
  </si>
  <si>
    <t xml:space="preserve">WL-02893</t>
  </si>
  <si>
    <t xml:space="preserve">Christopher Carrillo</t>
  </si>
  <si>
    <t xml:space="preserve">EW-1021</t>
  </si>
  <si>
    <t xml:space="preserve">skip_events_2022_2026.csv row 201</t>
  </si>
  <si>
    <t xml:space="preserve">SKP-2024-0201</t>
  </si>
  <si>
    <t xml:space="preserve">2024-03-25</t>
  </si>
  <si>
    <t xml:space="preserve">WL-02274</t>
  </si>
  <si>
    <t xml:space="preserve">Kevin Green</t>
  </si>
  <si>
    <t xml:space="preserve">VB-0721</t>
  </si>
  <si>
    <t xml:space="preserve">skip_events_2022_2026.csv row 202</t>
  </si>
  <si>
    <t xml:space="preserve">SKP-2024-0202</t>
  </si>
  <si>
    <t xml:space="preserve">2024-03-20</t>
  </si>
  <si>
    <t xml:space="preserve">WL-03661</t>
  </si>
  <si>
    <t xml:space="preserve">Kenneth Williams</t>
  </si>
  <si>
    <t xml:space="preserve">EW-0709</t>
  </si>
  <si>
    <t xml:space="preserve">skip_events_2022_2026.csv row 203</t>
  </si>
  <si>
    <t xml:space="preserve">SKP-2024-0203</t>
  </si>
  <si>
    <t xml:space="preserve">WL-02769</t>
  </si>
  <si>
    <t xml:space="preserve">Jacqueline Simon</t>
  </si>
  <si>
    <t xml:space="preserve">EW-0902</t>
  </si>
  <si>
    <t xml:space="preserve">skip_events_2022_2026.csv row 204</t>
  </si>
  <si>
    <t xml:space="preserve">SKP-2024-0204</t>
  </si>
  <si>
    <t xml:space="preserve">2024-04-02</t>
  </si>
  <si>
    <t xml:space="preserve">WL-01950</t>
  </si>
  <si>
    <t xml:space="preserve">Mathew Trujillo</t>
  </si>
  <si>
    <t xml:space="preserve">EW-0608</t>
  </si>
  <si>
    <t xml:space="preserve">skip_events_2022_2026.csv row 205</t>
  </si>
  <si>
    <t xml:space="preserve">SKP-2024-0205</t>
  </si>
  <si>
    <t xml:space="preserve">2024-04-25</t>
  </si>
  <si>
    <t xml:space="preserve">WL-02895</t>
  </si>
  <si>
    <t xml:space="preserve">Madison Hensley</t>
  </si>
  <si>
    <t xml:space="preserve">EW-0306</t>
  </si>
  <si>
    <t xml:space="preserve">skip_events_2022_2026.csv row 206</t>
  </si>
  <si>
    <t xml:space="preserve">SKP-2024-0206</t>
  </si>
  <si>
    <t xml:space="preserve">2024-04-08</t>
  </si>
  <si>
    <t xml:space="preserve">WL-03018</t>
  </si>
  <si>
    <t xml:space="preserve">Jessica Duffy</t>
  </si>
  <si>
    <t xml:space="preserve">VB-0617</t>
  </si>
  <si>
    <t xml:space="preserve">skip_events_2022_2026.csv row 207</t>
  </si>
  <si>
    <t xml:space="preserve">SKP-2024-0207</t>
  </si>
  <si>
    <t xml:space="preserve">2024-04-21</t>
  </si>
  <si>
    <t xml:space="preserve">WL-02948</t>
  </si>
  <si>
    <t xml:space="preserve">Michael Salinas</t>
  </si>
  <si>
    <t xml:space="preserve">GW-1013</t>
  </si>
  <si>
    <t xml:space="preserve">skip_events_2022_2026.csv row 208</t>
  </si>
  <si>
    <t xml:space="preserve">SKP-2024-0208</t>
  </si>
  <si>
    <t xml:space="preserve">2024-05-08</t>
  </si>
  <si>
    <t xml:space="preserve">WL-02305</t>
  </si>
  <si>
    <t xml:space="preserve">John Patel</t>
  </si>
  <si>
    <t xml:space="preserve">GW-0823</t>
  </si>
  <si>
    <t xml:space="preserve">skip_events_2022_2026.csv row 209</t>
  </si>
  <si>
    <t xml:space="preserve">SKP-2024-0209</t>
  </si>
  <si>
    <t xml:space="preserve">2024-05-13</t>
  </si>
  <si>
    <t xml:space="preserve">WL-01675</t>
  </si>
  <si>
    <t xml:space="preserve">VB-0808</t>
  </si>
  <si>
    <t xml:space="preserve">skip_events_2022_2026.csv row 210</t>
  </si>
  <si>
    <t xml:space="preserve">SKP-2024-0210</t>
  </si>
  <si>
    <t xml:space="preserve">2024-05-23</t>
  </si>
  <si>
    <t xml:space="preserve">skip_events_2022_2026.csv row 211</t>
  </si>
  <si>
    <t xml:space="preserve">SKP-2024-0211</t>
  </si>
  <si>
    <t xml:space="preserve">2024-05-19</t>
  </si>
  <si>
    <t xml:space="preserve">WL-01536</t>
  </si>
  <si>
    <t xml:space="preserve">Deborah Spears</t>
  </si>
  <si>
    <t xml:space="preserve">GW-0522</t>
  </si>
  <si>
    <t xml:space="preserve">skip_events_2022_2026.csv row 212</t>
  </si>
  <si>
    <t xml:space="preserve">SKP-2024-0212</t>
  </si>
  <si>
    <t xml:space="preserve">2024-05-22</t>
  </si>
  <si>
    <t xml:space="preserve">WL-02013</t>
  </si>
  <si>
    <t xml:space="preserve">Elizabeth Harrison</t>
  </si>
  <si>
    <t xml:space="preserve">VB-0602</t>
  </si>
  <si>
    <t xml:space="preserve">skip_events_2022_2026.csv row 213</t>
  </si>
  <si>
    <t xml:space="preserve">SKP-2024-0213</t>
  </si>
  <si>
    <t xml:space="preserve">2024-05-15</t>
  </si>
  <si>
    <t xml:space="preserve">WL-01753</t>
  </si>
  <si>
    <t xml:space="preserve">Erin Valencia</t>
  </si>
  <si>
    <t xml:space="preserve">LP-0722</t>
  </si>
  <si>
    <t xml:space="preserve">skip_events_2022_2026.csv row 214</t>
  </si>
  <si>
    <t xml:space="preserve">SKP-2024-0214</t>
  </si>
  <si>
    <t xml:space="preserve">2024-05-01</t>
  </si>
  <si>
    <t xml:space="preserve">WL-01318</t>
  </si>
  <si>
    <t xml:space="preserve">Denise Montgomery</t>
  </si>
  <si>
    <t xml:space="preserve">skip_events_2022_2026.csv row 215</t>
  </si>
  <si>
    <t xml:space="preserve">SKP-2024-0215</t>
  </si>
  <si>
    <t xml:space="preserve">2024-05-21</t>
  </si>
  <si>
    <t xml:space="preserve">WL-03891</t>
  </si>
  <si>
    <t xml:space="preserve">David Melton</t>
  </si>
  <si>
    <t xml:space="preserve">EW-0607</t>
  </si>
  <si>
    <t xml:space="preserve">skip_events_2022_2026.csv row 216</t>
  </si>
  <si>
    <t xml:space="preserve">SKP-2024-0216</t>
  </si>
  <si>
    <t xml:space="preserve">2024-06-12</t>
  </si>
  <si>
    <t xml:space="preserve">WL-03026</t>
  </si>
  <si>
    <t xml:space="preserve">Amanda Taylor</t>
  </si>
  <si>
    <t xml:space="preserve">LP-0324</t>
  </si>
  <si>
    <t xml:space="preserve">skip_events_2022_2026.csv row 217</t>
  </si>
  <si>
    <t xml:space="preserve">SKP-2024-0217</t>
  </si>
  <si>
    <t xml:space="preserve">2024-06-15</t>
  </si>
  <si>
    <t xml:space="preserve">WL-03245</t>
  </si>
  <si>
    <t xml:space="preserve">Howard Sellers</t>
  </si>
  <si>
    <t xml:space="preserve">LP-1001</t>
  </si>
  <si>
    <t xml:space="preserve">skip_events_2022_2026.csv row 218</t>
  </si>
  <si>
    <t xml:space="preserve">SKP-2024-0218</t>
  </si>
  <si>
    <t xml:space="preserve">2024-06-14</t>
  </si>
  <si>
    <t xml:space="preserve">WL-03527</t>
  </si>
  <si>
    <t xml:space="preserve">Ashley Logan</t>
  </si>
  <si>
    <t xml:space="preserve">EW-0523</t>
  </si>
  <si>
    <t xml:space="preserve">skip_events_2022_2026.csv row 219</t>
  </si>
  <si>
    <t xml:space="preserve">SKP-2024-0219</t>
  </si>
  <si>
    <t xml:space="preserve">2024-06-05</t>
  </si>
  <si>
    <t xml:space="preserve">WL-01144</t>
  </si>
  <si>
    <t xml:space="preserve">James Lopez</t>
  </si>
  <si>
    <t xml:space="preserve">LP-0216</t>
  </si>
  <si>
    <t xml:space="preserve">skip_events_2022_2026.csv row 220</t>
  </si>
  <si>
    <t xml:space="preserve">SKP-2024-0220</t>
  </si>
  <si>
    <t xml:space="preserve">2024-06-08</t>
  </si>
  <si>
    <t xml:space="preserve">WL-03390</t>
  </si>
  <si>
    <t xml:space="preserve">Phillip Ard</t>
  </si>
  <si>
    <t xml:space="preserve">SB-0302</t>
  </si>
  <si>
    <t xml:space="preserve">skip_events_2022_2026.csv row 221</t>
  </si>
  <si>
    <t xml:space="preserve">SKP-2024-0221</t>
  </si>
  <si>
    <t xml:space="preserve">2024-06-09</t>
  </si>
  <si>
    <t xml:space="preserve">WL-01368</t>
  </si>
  <si>
    <t xml:space="preserve">Justin Turner</t>
  </si>
  <si>
    <t xml:space="preserve">VB-0924</t>
  </si>
  <si>
    <t xml:space="preserve">skip_events_2022_2026.csv row 222</t>
  </si>
  <si>
    <t xml:space="preserve">SKP-2024-0222</t>
  </si>
  <si>
    <t xml:space="preserve">2024-07-28</t>
  </si>
  <si>
    <t xml:space="preserve">WL-01889</t>
  </si>
  <si>
    <t xml:space="preserve">Haley Scott</t>
  </si>
  <si>
    <t xml:space="preserve">GW-0206</t>
  </si>
  <si>
    <t xml:space="preserve">skip_events_2022_2026.csv row 223</t>
  </si>
  <si>
    <t xml:space="preserve">SKP-2024-0223</t>
  </si>
  <si>
    <t xml:space="preserve">2024-07-05</t>
  </si>
  <si>
    <t xml:space="preserve">WL-01691</t>
  </si>
  <si>
    <t xml:space="preserve">Joshua Li</t>
  </si>
  <si>
    <t xml:space="preserve">LP-1024</t>
  </si>
  <si>
    <t xml:space="preserve">skip_events_2022_2026.csv row 224</t>
  </si>
  <si>
    <t xml:space="preserve">SKP-2024-0224</t>
  </si>
  <si>
    <t xml:space="preserve">2024-07-14</t>
  </si>
  <si>
    <t xml:space="preserve">WL-02850</t>
  </si>
  <si>
    <t xml:space="preserve">Edwin Boone</t>
  </si>
  <si>
    <t xml:space="preserve">SB-0107</t>
  </si>
  <si>
    <t xml:space="preserve">skip_events_2022_2026.csv row 225</t>
  </si>
  <si>
    <t xml:space="preserve">SKP-2024-0225</t>
  </si>
  <si>
    <t xml:space="preserve">2024-08-18</t>
  </si>
  <si>
    <t xml:space="preserve">WL-03762</t>
  </si>
  <si>
    <t xml:space="preserve">Kristen Anderson</t>
  </si>
  <si>
    <t xml:space="preserve">LP-0513</t>
  </si>
  <si>
    <t xml:space="preserve">skip_events_2022_2026.csv row 226</t>
  </si>
  <si>
    <t xml:space="preserve">SKP-2024-0226</t>
  </si>
  <si>
    <t xml:space="preserve">2024-08-06</t>
  </si>
  <si>
    <t xml:space="preserve">WL-03542</t>
  </si>
  <si>
    <t xml:space="preserve">Kristina Rivas</t>
  </si>
  <si>
    <t xml:space="preserve">SB-0319</t>
  </si>
  <si>
    <t xml:space="preserve">skip_events_2022_2026.csv row 227</t>
  </si>
  <si>
    <t xml:space="preserve">SKP-2024-0227</t>
  </si>
  <si>
    <t xml:space="preserve">2024-08-16</t>
  </si>
  <si>
    <t xml:space="preserve">WL-03759</t>
  </si>
  <si>
    <t xml:space="preserve">Ryan Newton</t>
  </si>
  <si>
    <t xml:space="preserve">GW-0123</t>
  </si>
  <si>
    <t xml:space="preserve">skip_events_2022_2026.csv row 228</t>
  </si>
  <si>
    <t xml:space="preserve">SKP-2024-0228</t>
  </si>
  <si>
    <t xml:space="preserve">2024-08-10</t>
  </si>
  <si>
    <t xml:space="preserve">WL-01001</t>
  </si>
  <si>
    <t xml:space="preserve">Valerie Jones</t>
  </si>
  <si>
    <t xml:space="preserve">VB-1008</t>
  </si>
  <si>
    <t xml:space="preserve">skip_events_2022_2026.csv row 229</t>
  </si>
  <si>
    <t xml:space="preserve">SKP-2024-0229</t>
  </si>
  <si>
    <t xml:space="preserve">2024-08-25</t>
  </si>
  <si>
    <t xml:space="preserve">WL-02791</t>
  </si>
  <si>
    <t xml:space="preserve">Kyle Jimenez</t>
  </si>
  <si>
    <t xml:space="preserve">skip_events_2022_2026.csv row 230</t>
  </si>
  <si>
    <t xml:space="preserve">SKP-2024-0230</t>
  </si>
  <si>
    <t xml:space="preserve">2024-08-28</t>
  </si>
  <si>
    <t xml:space="preserve">WL-01998</t>
  </si>
  <si>
    <t xml:space="preserve">Katherine Johnson</t>
  </si>
  <si>
    <t xml:space="preserve">EW-0118</t>
  </si>
  <si>
    <t xml:space="preserve">skip_events_2022_2026.csv row 231</t>
  </si>
  <si>
    <t xml:space="preserve">SKP-2024-0231</t>
  </si>
  <si>
    <t xml:space="preserve">2024-08-04</t>
  </si>
  <si>
    <t xml:space="preserve">WL-02925</t>
  </si>
  <si>
    <t xml:space="preserve">Leslie Marsh</t>
  </si>
  <si>
    <t xml:space="preserve">EW-0324</t>
  </si>
  <si>
    <t xml:space="preserve">skip_events_2022_2026.csv row 232</t>
  </si>
  <si>
    <t xml:space="preserve">SKP-2024-0232</t>
  </si>
  <si>
    <t xml:space="preserve">2024-09-01</t>
  </si>
  <si>
    <t xml:space="preserve">WL-03615</t>
  </si>
  <si>
    <t xml:space="preserve">Kathryn Cook</t>
  </si>
  <si>
    <t xml:space="preserve">VB-0518</t>
  </si>
  <si>
    <t xml:space="preserve">skip_events_2022_2026.csv row 233</t>
  </si>
  <si>
    <t xml:space="preserve">SKP-2024-0233</t>
  </si>
  <si>
    <t xml:space="preserve">2024-09-11</t>
  </si>
  <si>
    <t xml:space="preserve">WL-03062</t>
  </si>
  <si>
    <t xml:space="preserve">Donna Garcia</t>
  </si>
  <si>
    <t xml:space="preserve">LP-0303</t>
  </si>
  <si>
    <t xml:space="preserve">skip_events_2022_2026.csv row 234</t>
  </si>
  <si>
    <t xml:space="preserve">SKP-2024-0234</t>
  </si>
  <si>
    <t xml:space="preserve">2024-09-07</t>
  </si>
  <si>
    <t xml:space="preserve">WL-01779</t>
  </si>
  <si>
    <t xml:space="preserve">Christy Burke</t>
  </si>
  <si>
    <t xml:space="preserve">SB-0313</t>
  </si>
  <si>
    <t xml:space="preserve">skip_events_2022_2026.csv row 235</t>
  </si>
  <si>
    <t xml:space="preserve">SKP-2024-0235</t>
  </si>
  <si>
    <t xml:space="preserve">WL-03228</t>
  </si>
  <si>
    <t xml:space="preserve">Roy Stuart</t>
  </si>
  <si>
    <t xml:space="preserve">EW-0319</t>
  </si>
  <si>
    <t xml:space="preserve">skip_events_2022_2026.csv row 236</t>
  </si>
  <si>
    <t xml:space="preserve">SKP-2024-0236</t>
  </si>
  <si>
    <t xml:space="preserve">2024-09-10</t>
  </si>
  <si>
    <t xml:space="preserve">WL-03479</t>
  </si>
  <si>
    <t xml:space="preserve">Brittney Daugherty</t>
  </si>
  <si>
    <t xml:space="preserve">SB-0607</t>
  </si>
  <si>
    <t xml:space="preserve">skip_events_2022_2026.csv row 237</t>
  </si>
  <si>
    <t xml:space="preserve">SKP-2024-0237</t>
  </si>
  <si>
    <t xml:space="preserve">2024-09-14</t>
  </si>
  <si>
    <t xml:space="preserve">WL-02574</t>
  </si>
  <si>
    <t xml:space="preserve">Elizabeth Larsen</t>
  </si>
  <si>
    <t xml:space="preserve">skip_events_2022_2026.csv row 238</t>
  </si>
  <si>
    <t xml:space="preserve">SKP-2024-0238</t>
  </si>
  <si>
    <t xml:space="preserve">WL-02336</t>
  </si>
  <si>
    <t xml:space="preserve">Jimmy Ford</t>
  </si>
  <si>
    <t xml:space="preserve">VB-0517</t>
  </si>
  <si>
    <t xml:space="preserve">skip_events_2022_2026.csv row 239</t>
  </si>
  <si>
    <t xml:space="preserve">SKP-2024-0239</t>
  </si>
  <si>
    <t xml:space="preserve">2024-09-02</t>
  </si>
  <si>
    <t xml:space="preserve">WL-01504</t>
  </si>
  <si>
    <t xml:space="preserve">Margaret Johnson</t>
  </si>
  <si>
    <t xml:space="preserve">VB-0223</t>
  </si>
  <si>
    <t xml:space="preserve">skip_events_2022_2026.csv row 240</t>
  </si>
  <si>
    <t xml:space="preserve">SKP-2024-0240</t>
  </si>
  <si>
    <t xml:space="preserve">2024-09-25</t>
  </si>
  <si>
    <t xml:space="preserve">WL-01718</t>
  </si>
  <si>
    <t xml:space="preserve">Christopher Welch</t>
  </si>
  <si>
    <t xml:space="preserve">SB-0821</t>
  </si>
  <si>
    <t xml:space="preserve">skip_events_2022_2026.csv row 241</t>
  </si>
  <si>
    <t xml:space="preserve">SKP-2024-0241</t>
  </si>
  <si>
    <t xml:space="preserve">2024-10-26</t>
  </si>
  <si>
    <t xml:space="preserve">WL-01026</t>
  </si>
  <si>
    <t xml:space="preserve">Dawn Jacobs</t>
  </si>
  <si>
    <t xml:space="preserve">SB-0214</t>
  </si>
  <si>
    <t xml:space="preserve">skip_events_2022_2026.csv row 242</t>
  </si>
  <si>
    <t xml:space="preserve">SKP-2024-0242</t>
  </si>
  <si>
    <t xml:space="preserve">2024-10-21</t>
  </si>
  <si>
    <t xml:space="preserve">WL-03831</t>
  </si>
  <si>
    <t xml:space="preserve">Michael Burns</t>
  </si>
  <si>
    <t xml:space="preserve">EW-1022</t>
  </si>
  <si>
    <t xml:space="preserve">skip_events_2022_2026.csv row 243</t>
  </si>
  <si>
    <t xml:space="preserve">SKP-2024-0243</t>
  </si>
  <si>
    <t xml:space="preserve">WL-01264</t>
  </si>
  <si>
    <t xml:space="preserve">Jeffery Lewis</t>
  </si>
  <si>
    <t xml:space="preserve">VB-0917</t>
  </si>
  <si>
    <t xml:space="preserve">skip_events_2022_2026.csv row 244</t>
  </si>
  <si>
    <t xml:space="preserve">SKP-2024-0244</t>
  </si>
  <si>
    <t xml:space="preserve">2024-10-25</t>
  </si>
  <si>
    <t xml:space="preserve">WL-03708</t>
  </si>
  <si>
    <t xml:space="preserve">Catherine Anderson</t>
  </si>
  <si>
    <t xml:space="preserve">GW-0813</t>
  </si>
  <si>
    <t xml:space="preserve">skip_events_2022_2026.csv row 245</t>
  </si>
  <si>
    <t xml:space="preserve">SKP-2024-0245</t>
  </si>
  <si>
    <t xml:space="preserve">2024-10-27</t>
  </si>
  <si>
    <t xml:space="preserve">WL-03808</t>
  </si>
  <si>
    <t xml:space="preserve">Julie Peterson</t>
  </si>
  <si>
    <t xml:space="preserve">VB-0601</t>
  </si>
  <si>
    <t xml:space="preserve">skip_events_2022_2026.csv row 246</t>
  </si>
  <si>
    <t xml:space="preserve">SKP-2024-0246</t>
  </si>
  <si>
    <t xml:space="preserve">2024-10-15</t>
  </si>
  <si>
    <t xml:space="preserve">WL-01269</t>
  </si>
  <si>
    <t xml:space="preserve">Patricia Bennett</t>
  </si>
  <si>
    <t xml:space="preserve">VB-0306</t>
  </si>
  <si>
    <t xml:space="preserve">skip_events_2022_2026.csv row 247</t>
  </si>
  <si>
    <t xml:space="preserve">SKP-2024-0247</t>
  </si>
  <si>
    <t xml:space="preserve">2024-10-20</t>
  </si>
  <si>
    <t xml:space="preserve">WL-03733</t>
  </si>
  <si>
    <t xml:space="preserve">Theresa Richmond</t>
  </si>
  <si>
    <t xml:space="preserve">GW-0814</t>
  </si>
  <si>
    <t xml:space="preserve">skip_events_2022_2026.csv row 248</t>
  </si>
  <si>
    <t xml:space="preserve">SKP-2024-0248</t>
  </si>
  <si>
    <t xml:space="preserve">2024-11-22</t>
  </si>
  <si>
    <t xml:space="preserve">WL-02139</t>
  </si>
  <si>
    <t xml:space="preserve">Jennifer Anderson</t>
  </si>
  <si>
    <t xml:space="preserve">LP-0215</t>
  </si>
  <si>
    <t xml:space="preserve">skip_events_2022_2026.csv row 249</t>
  </si>
  <si>
    <t xml:space="preserve">SKP-2024-0249</t>
  </si>
  <si>
    <t xml:space="preserve">2024-11-17</t>
  </si>
  <si>
    <t xml:space="preserve">WL-02598</t>
  </si>
  <si>
    <t xml:space="preserve">Nicole Rubio</t>
  </si>
  <si>
    <t xml:space="preserve">GW-0902</t>
  </si>
  <si>
    <t xml:space="preserve">skip_events_2022_2026.csv row 250</t>
  </si>
  <si>
    <t xml:space="preserve">SKP-2024-0250</t>
  </si>
  <si>
    <t xml:space="preserve">2024-11-23</t>
  </si>
  <si>
    <t xml:space="preserve">WL-01832</t>
  </si>
  <si>
    <t xml:space="preserve">Bryan Spencer</t>
  </si>
  <si>
    <t xml:space="preserve">VB-0222</t>
  </si>
  <si>
    <t xml:space="preserve">skip_events_2022_2026.csv row 251</t>
  </si>
  <si>
    <t xml:space="preserve">SKP-2024-0251</t>
  </si>
  <si>
    <t xml:space="preserve">2024-11-03</t>
  </si>
  <si>
    <t xml:space="preserve">SB-0407</t>
  </si>
  <si>
    <t xml:space="preserve">skip_events_2022_2026.csv row 252</t>
  </si>
  <si>
    <t xml:space="preserve">SKP-2024-0252</t>
  </si>
  <si>
    <t xml:space="preserve">2024-12-13</t>
  </si>
  <si>
    <t xml:space="preserve">WL-02412</t>
  </si>
  <si>
    <t xml:space="preserve">Laura David</t>
  </si>
  <si>
    <t xml:space="preserve">GW-0201</t>
  </si>
  <si>
    <t xml:space="preserve">skip_events_2022_2026.csv row 253</t>
  </si>
  <si>
    <t xml:space="preserve">SKP-2024-0253</t>
  </si>
  <si>
    <t xml:space="preserve">2024-12-24</t>
  </si>
  <si>
    <t xml:space="preserve">WL-03079</t>
  </si>
  <si>
    <t xml:space="preserve">Crystal Glover</t>
  </si>
  <si>
    <t xml:space="preserve">SB-0106</t>
  </si>
  <si>
    <t xml:space="preserve">skip_events_2022_2026.csv row 254</t>
  </si>
  <si>
    <t xml:space="preserve">SKP-2024-0254</t>
  </si>
  <si>
    <t xml:space="preserve">2024-12-11</t>
  </si>
  <si>
    <t xml:space="preserve">WL-03294</t>
  </si>
  <si>
    <t xml:space="preserve">Megan Nguyen</t>
  </si>
  <si>
    <t xml:space="preserve">LP-0102</t>
  </si>
  <si>
    <t xml:space="preserve">skip_events_2022_2026.csv row 255</t>
  </si>
  <si>
    <t xml:space="preserve">SKP-2024-0255</t>
  </si>
  <si>
    <t xml:space="preserve">2024-12-22</t>
  </si>
  <si>
    <t xml:space="preserve">WL-01844</t>
  </si>
  <si>
    <t xml:space="preserve">Jeffrey Pearson</t>
  </si>
  <si>
    <t xml:space="preserve">EW-0519</t>
  </si>
  <si>
    <t xml:space="preserve">skip_events_2022_2026.csv row 256</t>
  </si>
  <si>
    <t xml:space="preserve">SKP-2024-0256</t>
  </si>
  <si>
    <t xml:space="preserve">2024-12-18</t>
  </si>
  <si>
    <t xml:space="preserve">WL-02923</t>
  </si>
  <si>
    <t xml:space="preserve">Randall Cummings</t>
  </si>
  <si>
    <t xml:space="preserve">LP-0822</t>
  </si>
  <si>
    <t xml:space="preserve">skip_events_2022_2026.csv row 257</t>
  </si>
  <si>
    <t xml:space="preserve">SKP-2025-0257</t>
  </si>
  <si>
    <t xml:space="preserve">2025-01-15</t>
  </si>
  <si>
    <t xml:space="preserve">WL-03628</t>
  </si>
  <si>
    <t xml:space="preserve">Makayla Johnson</t>
  </si>
  <si>
    <t xml:space="preserve">LP-0715</t>
  </si>
  <si>
    <t xml:space="preserve">skip_events_2022_2026.csv row 258</t>
  </si>
  <si>
    <t xml:space="preserve">SKP-2025-0258</t>
  </si>
  <si>
    <t xml:space="preserve">2025-01-17</t>
  </si>
  <si>
    <t xml:space="preserve">GW-0517</t>
  </si>
  <si>
    <t xml:space="preserve">skip_events_2022_2026.csv row 259</t>
  </si>
  <si>
    <t xml:space="preserve">SKP-2025-0259</t>
  </si>
  <si>
    <t xml:space="preserve">2025-01-01</t>
  </si>
  <si>
    <t xml:space="preserve">WL-01382</t>
  </si>
  <si>
    <t xml:space="preserve">Jose King</t>
  </si>
  <si>
    <t xml:space="preserve">GW-0908</t>
  </si>
  <si>
    <t xml:space="preserve">skip_events_2022_2026.csv row 260</t>
  </si>
  <si>
    <t xml:space="preserve">SKP-2025-0260</t>
  </si>
  <si>
    <t xml:space="preserve">2025-01-12</t>
  </si>
  <si>
    <t xml:space="preserve">WL-03888</t>
  </si>
  <si>
    <t xml:space="preserve">Christian Garcia</t>
  </si>
  <si>
    <t xml:space="preserve">SB-0603</t>
  </si>
  <si>
    <t xml:space="preserve">skip_events_2022_2026.csv row 261</t>
  </si>
  <si>
    <t xml:space="preserve">SKP-2025-0261</t>
  </si>
  <si>
    <t xml:space="preserve">2025-01-16</t>
  </si>
  <si>
    <t xml:space="preserve">WL-02733</t>
  </si>
  <si>
    <t xml:space="preserve">Tiffany Melendez</t>
  </si>
  <si>
    <t xml:space="preserve">LP-0803</t>
  </si>
  <si>
    <t xml:space="preserve">skip_events_2022_2026.csv row 262</t>
  </si>
  <si>
    <t xml:space="preserve">SKP-2025-0262</t>
  </si>
  <si>
    <t xml:space="preserve">2025-02-20</t>
  </si>
  <si>
    <t xml:space="preserve">WL-03244</t>
  </si>
  <si>
    <t xml:space="preserve">Norma Brown</t>
  </si>
  <si>
    <t xml:space="preserve">EW-1015</t>
  </si>
  <si>
    <t xml:space="preserve">skip_events_2022_2026.csv row 263</t>
  </si>
  <si>
    <t xml:space="preserve">SKP-2025-0263</t>
  </si>
  <si>
    <t xml:space="preserve">2025-03-22</t>
  </si>
  <si>
    <t xml:space="preserve">WL-02067</t>
  </si>
  <si>
    <t xml:space="preserve">Craig Simon</t>
  </si>
  <si>
    <t xml:space="preserve">LP-1107</t>
  </si>
  <si>
    <t xml:space="preserve">skip_events_2022_2026.csv row 264</t>
  </si>
  <si>
    <t xml:space="preserve">SKP-2025-0264</t>
  </si>
  <si>
    <t xml:space="preserve">2025-03-27</t>
  </si>
  <si>
    <t xml:space="preserve">WL-01523</t>
  </si>
  <si>
    <t xml:space="preserve">Melissa Oneill</t>
  </si>
  <si>
    <t xml:space="preserve">LP-0304</t>
  </si>
  <si>
    <t xml:space="preserve">skip_events_2022_2026.csv row 265</t>
  </si>
  <si>
    <t xml:space="preserve">SKP-2025-0265</t>
  </si>
  <si>
    <t xml:space="preserve">2025-03-12</t>
  </si>
  <si>
    <t xml:space="preserve">WL-03442</t>
  </si>
  <si>
    <t xml:space="preserve">Gary Russo</t>
  </si>
  <si>
    <t xml:space="preserve">SB-0203</t>
  </si>
  <si>
    <t xml:space="preserve">skip_events_2022_2026.csv row 266</t>
  </si>
  <si>
    <t xml:space="preserve">SKP-2025-0266</t>
  </si>
  <si>
    <t xml:space="preserve">2025-03-09</t>
  </si>
  <si>
    <t xml:space="preserve">WL-03604</t>
  </si>
  <si>
    <t xml:space="preserve">Lawrence Rodriguez</t>
  </si>
  <si>
    <t xml:space="preserve">EW-0909</t>
  </si>
  <si>
    <t xml:space="preserve">skip_events_2022_2026.csv row 267</t>
  </si>
  <si>
    <t xml:space="preserve">SKP-2025-0267</t>
  </si>
  <si>
    <t xml:space="preserve">2025-03-01</t>
  </si>
  <si>
    <t xml:space="preserve">WL-03815</t>
  </si>
  <si>
    <t xml:space="preserve">Jacqueline Jones</t>
  </si>
  <si>
    <t xml:space="preserve">skip_events_2022_2026.csv row 268</t>
  </si>
  <si>
    <t xml:space="preserve">SKP-2025-0268</t>
  </si>
  <si>
    <t xml:space="preserve">2025-04-16</t>
  </si>
  <si>
    <t xml:space="preserve">WL-01578</t>
  </si>
  <si>
    <t xml:space="preserve">Ashley Green</t>
  </si>
  <si>
    <t xml:space="preserve">LP-1108</t>
  </si>
  <si>
    <t xml:space="preserve">skip_events_2022_2026.csv row 269</t>
  </si>
  <si>
    <t xml:space="preserve">SKP-2025-0269</t>
  </si>
  <si>
    <t xml:space="preserve">2025-04-02</t>
  </si>
  <si>
    <t xml:space="preserve">WL-02178</t>
  </si>
  <si>
    <t xml:space="preserve">Thomas Stone</t>
  </si>
  <si>
    <t xml:space="preserve">skip_events_2022_2026.csv row 270</t>
  </si>
  <si>
    <t xml:space="preserve">SKP-2025-0270</t>
  </si>
  <si>
    <t xml:space="preserve">2025-04-09</t>
  </si>
  <si>
    <t xml:space="preserve">skip_events_2022_2026.csv row 271</t>
  </si>
  <si>
    <t xml:space="preserve">SKP-2025-0271</t>
  </si>
  <si>
    <t xml:space="preserve">2025-04-07</t>
  </si>
  <si>
    <t xml:space="preserve">WL-01808</t>
  </si>
  <si>
    <t xml:space="preserve">Jason Shepard</t>
  </si>
  <si>
    <t xml:space="preserve">LP-0316</t>
  </si>
  <si>
    <t xml:space="preserve">skip_events_2022_2026.csv row 272</t>
  </si>
  <si>
    <t xml:space="preserve">SKP-2025-0272</t>
  </si>
  <si>
    <t xml:space="preserve">2025-04-22</t>
  </si>
  <si>
    <t xml:space="preserve">WL-02693</t>
  </si>
  <si>
    <t xml:space="preserve">Patrick Allen</t>
  </si>
  <si>
    <t xml:space="preserve">VB-0906</t>
  </si>
  <si>
    <t xml:space="preserve">skip_events_2022_2026.csv row 273</t>
  </si>
  <si>
    <t xml:space="preserve">SKP-2025-0273</t>
  </si>
  <si>
    <t xml:space="preserve">2025-04-27</t>
  </si>
  <si>
    <t xml:space="preserve">WL-01328</t>
  </si>
  <si>
    <t xml:space="preserve">Charles Solis</t>
  </si>
  <si>
    <t xml:space="preserve">SB-0704</t>
  </si>
  <si>
    <t xml:space="preserve">skip_events_2022_2026.csv row 274</t>
  </si>
  <si>
    <t xml:space="preserve">SKP-2025-0274</t>
  </si>
  <si>
    <t xml:space="preserve">WL-02188</t>
  </si>
  <si>
    <t xml:space="preserve">Courtney Zamora</t>
  </si>
  <si>
    <t xml:space="preserve">LP-0817</t>
  </si>
  <si>
    <t xml:space="preserve">skip_events_2022_2026.csv row 275</t>
  </si>
  <si>
    <t xml:space="preserve">SKP-2025-0275</t>
  </si>
  <si>
    <t xml:space="preserve">2025-04-05</t>
  </si>
  <si>
    <t xml:space="preserve">WL-02524</t>
  </si>
  <si>
    <t xml:space="preserve">Douglas Herrera</t>
  </si>
  <si>
    <t xml:space="preserve">SB-0102</t>
  </si>
  <si>
    <t xml:space="preserve">skip_events_2022_2026.csv row 276</t>
  </si>
  <si>
    <t xml:space="preserve">SKP-2025-0276</t>
  </si>
  <si>
    <t xml:space="preserve">2025-04-14</t>
  </si>
  <si>
    <t xml:space="preserve">WL-02845</t>
  </si>
  <si>
    <t xml:space="preserve">Joshua Ortiz</t>
  </si>
  <si>
    <t xml:space="preserve">SB-0410</t>
  </si>
  <si>
    <t xml:space="preserve">skip_events_2022_2026.csv row 277</t>
  </si>
  <si>
    <t xml:space="preserve">SKP-2025-0277</t>
  </si>
  <si>
    <t xml:space="preserve">2025-05-07</t>
  </si>
  <si>
    <t xml:space="preserve">WL-03839</t>
  </si>
  <si>
    <t xml:space="preserve">Sonya May</t>
  </si>
  <si>
    <t xml:space="preserve">EW-0209</t>
  </si>
  <si>
    <t xml:space="preserve">skip_events_2022_2026.csv row 278</t>
  </si>
  <si>
    <t xml:space="preserve">SKP-2025-0278</t>
  </si>
  <si>
    <t xml:space="preserve">2025-05-17</t>
  </si>
  <si>
    <t xml:space="preserve">WL-03094</t>
  </si>
  <si>
    <t xml:space="preserve">Christine Cook</t>
  </si>
  <si>
    <t xml:space="preserve">skip_events_2022_2026.csv row 279</t>
  </si>
  <si>
    <t xml:space="preserve">SKP-2025-0279</t>
  </si>
  <si>
    <t xml:space="preserve">2025-05-05</t>
  </si>
  <si>
    <t xml:space="preserve">WL-03662</t>
  </si>
  <si>
    <t xml:space="preserve">Kevin Murphy</t>
  </si>
  <si>
    <t xml:space="preserve">VB-0604</t>
  </si>
  <si>
    <t xml:space="preserve">skip_events_2022_2026.csv row 280</t>
  </si>
  <si>
    <t xml:space="preserve">SKP-2025-0280</t>
  </si>
  <si>
    <t xml:space="preserve">WL-01472</t>
  </si>
  <si>
    <t xml:space="preserve">Amber Rojas</t>
  </si>
  <si>
    <t xml:space="preserve">SB-0720</t>
  </si>
  <si>
    <t xml:space="preserve">skip_events_2022_2026.csv row 281</t>
  </si>
  <si>
    <t xml:space="preserve">SKP-2025-0281</t>
  </si>
  <si>
    <t xml:space="preserve">2025-05-10</t>
  </si>
  <si>
    <t xml:space="preserve">WL-03360</t>
  </si>
  <si>
    <t xml:space="preserve">Morgan Ramos</t>
  </si>
  <si>
    <t xml:space="preserve">EW-1003</t>
  </si>
  <si>
    <t xml:space="preserve">skip_events_2022_2026.csv row 282</t>
  </si>
  <si>
    <t xml:space="preserve">SKP-2025-0282</t>
  </si>
  <si>
    <t xml:space="preserve">2025-06-18</t>
  </si>
  <si>
    <t xml:space="preserve">WL-02747</t>
  </si>
  <si>
    <t xml:space="preserve">Angel Massey</t>
  </si>
  <si>
    <t xml:space="preserve">GW-0401</t>
  </si>
  <si>
    <t xml:space="preserve">skip_events_2022_2026.csv row 283</t>
  </si>
  <si>
    <t xml:space="preserve">SKP-2025-0283</t>
  </si>
  <si>
    <t xml:space="preserve">WL-01333</t>
  </si>
  <si>
    <t xml:space="preserve">Andrew Hayden</t>
  </si>
  <si>
    <t xml:space="preserve">LP-0208</t>
  </si>
  <si>
    <t xml:space="preserve">skip_events_2022_2026.csv row 284</t>
  </si>
  <si>
    <t xml:space="preserve">SKP-2025-0284</t>
  </si>
  <si>
    <t xml:space="preserve">2025-06-15</t>
  </si>
  <si>
    <t xml:space="preserve">WL-02698</t>
  </si>
  <si>
    <t xml:space="preserve">Laura Mckenzie</t>
  </si>
  <si>
    <t xml:space="preserve">VB-0409</t>
  </si>
  <si>
    <t xml:space="preserve">skip_events_2022_2026.csv row 285</t>
  </si>
  <si>
    <t xml:space="preserve">SKP-2025-0285</t>
  </si>
  <si>
    <t xml:space="preserve">2025-06-02</t>
  </si>
  <si>
    <t xml:space="preserve">WL-03047</t>
  </si>
  <si>
    <t xml:space="preserve">Lauren Collins</t>
  </si>
  <si>
    <t xml:space="preserve">EW-0415</t>
  </si>
  <si>
    <t xml:space="preserve">skip_events_2022_2026.csv row 286</t>
  </si>
  <si>
    <t xml:space="preserve">SKP-2025-0286</t>
  </si>
  <si>
    <t xml:space="preserve">2025-06-14</t>
  </si>
  <si>
    <t xml:space="preserve">WL-01151</t>
  </si>
  <si>
    <t xml:space="preserve">Tamara Alvarez</t>
  </si>
  <si>
    <t xml:space="preserve">SB-0804</t>
  </si>
  <si>
    <t xml:space="preserve">skip_events_2022_2026.csv row 287</t>
  </si>
  <si>
    <t xml:space="preserve">SKP-2025-0287</t>
  </si>
  <si>
    <t xml:space="preserve">2025-06-19</t>
  </si>
  <si>
    <t xml:space="preserve">WL-02314</t>
  </si>
  <si>
    <t xml:space="preserve">David Silva</t>
  </si>
  <si>
    <t xml:space="preserve">LP-0124</t>
  </si>
  <si>
    <t xml:space="preserve">skip_events_2022_2026.csv row 288</t>
  </si>
  <si>
    <t xml:space="preserve">SKP-2025-0288</t>
  </si>
  <si>
    <t xml:space="preserve">2025-06-09</t>
  </si>
  <si>
    <t xml:space="preserve">WL-02356</t>
  </si>
  <si>
    <t xml:space="preserve">David Flores</t>
  </si>
  <si>
    <t xml:space="preserve">SB-0411</t>
  </si>
  <si>
    <t xml:space="preserve">skip_events_2022_2026.csv row 289</t>
  </si>
  <si>
    <t xml:space="preserve">SKP-2025-0289</t>
  </si>
  <si>
    <t xml:space="preserve">LP-0901</t>
  </si>
  <si>
    <t xml:space="preserve">skip_events_2022_2026.csv row 290</t>
  </si>
  <si>
    <t xml:space="preserve">SKP-2025-0290</t>
  </si>
  <si>
    <t xml:space="preserve">2025-07-10</t>
  </si>
  <si>
    <t xml:space="preserve">WL-01813</t>
  </si>
  <si>
    <t xml:space="preserve">Jessica Williams</t>
  </si>
  <si>
    <t xml:space="preserve">GW-0910</t>
  </si>
  <si>
    <t xml:space="preserve">skip_events_2022_2026.csv row 291</t>
  </si>
  <si>
    <t xml:space="preserve">SKP-2025-0291</t>
  </si>
  <si>
    <t xml:space="preserve">2025-07-25</t>
  </si>
  <si>
    <t xml:space="preserve">WL-03227</t>
  </si>
  <si>
    <t xml:space="preserve">Carrie Herrera</t>
  </si>
  <si>
    <t xml:space="preserve">LP-0414</t>
  </si>
  <si>
    <t xml:space="preserve">skip_events_2022_2026.csv row 292</t>
  </si>
  <si>
    <t xml:space="preserve">SKP-2025-0292</t>
  </si>
  <si>
    <t xml:space="preserve">2025-07-06</t>
  </si>
  <si>
    <t xml:space="preserve">WL-02298</t>
  </si>
  <si>
    <t xml:space="preserve">Ronald Simpson</t>
  </si>
  <si>
    <t xml:space="preserve">GW-1017</t>
  </si>
  <si>
    <t xml:space="preserve">skip_events_2022_2026.csv row 293</t>
  </si>
  <si>
    <t xml:space="preserve">SKP-2025-0293</t>
  </si>
  <si>
    <t xml:space="preserve">2025-07-12</t>
  </si>
  <si>
    <t xml:space="preserve">WL-03516</t>
  </si>
  <si>
    <t xml:space="preserve">Tiffany Mcgrath</t>
  </si>
  <si>
    <t xml:space="preserve">VB-0209</t>
  </si>
  <si>
    <t xml:space="preserve">skip_events_2022_2026.csv row 294</t>
  </si>
  <si>
    <t xml:space="preserve">SKP-2025-0294</t>
  </si>
  <si>
    <t xml:space="preserve">2025-07-11</t>
  </si>
  <si>
    <t xml:space="preserve">WL-03579</t>
  </si>
  <si>
    <t xml:space="preserve">Jeanne Greer</t>
  </si>
  <si>
    <t xml:space="preserve">LP-0816</t>
  </si>
  <si>
    <t xml:space="preserve">skip_events_2022_2026.csv row 295</t>
  </si>
  <si>
    <t xml:space="preserve">SKP-2025-0295</t>
  </si>
  <si>
    <t xml:space="preserve">2025-07-17</t>
  </si>
  <si>
    <t xml:space="preserve">WL-03248</t>
  </si>
  <si>
    <t xml:space="preserve">Theresa Grant</t>
  </si>
  <si>
    <t xml:space="preserve">LP-0616</t>
  </si>
  <si>
    <t xml:space="preserve">skip_events_2022_2026.csv row 296</t>
  </si>
  <si>
    <t xml:space="preserve">SKP-2025-0296</t>
  </si>
  <si>
    <t xml:space="preserve">2025-07-22</t>
  </si>
  <si>
    <t xml:space="preserve">WL-03526</t>
  </si>
  <si>
    <t xml:space="preserve">Michael West</t>
  </si>
  <si>
    <t xml:space="preserve">skip_events_2022_2026.csv row 297</t>
  </si>
  <si>
    <t xml:space="preserve">SKP-2025-0297</t>
  </si>
  <si>
    <t xml:space="preserve">2025-07-28</t>
  </si>
  <si>
    <t xml:space="preserve">GW-0103</t>
  </si>
  <si>
    <t xml:space="preserve">No attached ledger or register extract showing the deficiency is demonstrated.</t>
  </si>
  <si>
    <t xml:space="preserve">skip_events_2022_2026.csv row 298</t>
  </si>
  <si>
    <t xml:space="preserve">SKP-2025-0298</t>
  </si>
  <si>
    <t xml:space="preserve">2025-08-26</t>
  </si>
  <si>
    <t xml:space="preserve">WL-02774</t>
  </si>
  <si>
    <t xml:space="preserve">Benjamin Harris</t>
  </si>
  <si>
    <t xml:space="preserve">skip_events_2022_2026.csv row 299</t>
  </si>
  <si>
    <t xml:space="preserve">SKP-2025-0299</t>
  </si>
  <si>
    <t xml:space="preserve">WL-03311</t>
  </si>
  <si>
    <t xml:space="preserve">Shane Lee</t>
  </si>
  <si>
    <t xml:space="preserve">skip_events_2022_2026.csv row 300</t>
  </si>
  <si>
    <t xml:space="preserve">SKP-2025-0300</t>
  </si>
  <si>
    <t xml:space="preserve">2025-08-18</t>
  </si>
  <si>
    <t xml:space="preserve">WL-01537</t>
  </si>
  <si>
    <t xml:space="preserve">Jessica Johnson</t>
  </si>
  <si>
    <t xml:space="preserve">GW-0701</t>
  </si>
  <si>
    <t xml:space="preserve">skip_events_2022_2026.csv row 301</t>
  </si>
  <si>
    <t xml:space="preserve">SKP-2025-0301</t>
  </si>
  <si>
    <t xml:space="preserve">WL-01788</t>
  </si>
  <si>
    <t xml:space="preserve">James Austin</t>
  </si>
  <si>
    <t xml:space="preserve">GW-0305</t>
  </si>
  <si>
    <t xml:space="preserve">skip_events_2022_2026.csv row 302</t>
  </si>
  <si>
    <t xml:space="preserve">SKP-2025-0302</t>
  </si>
  <si>
    <t xml:space="preserve">2025-08-22</t>
  </si>
  <si>
    <t xml:space="preserve">WL-01702</t>
  </si>
  <si>
    <t xml:space="preserve">Larry Carr</t>
  </si>
  <si>
    <t xml:space="preserve">VB-1014</t>
  </si>
  <si>
    <t xml:space="preserve">skip_events_2022_2026.csv row 303</t>
  </si>
  <si>
    <t xml:space="preserve">SKP-2025-0303</t>
  </si>
  <si>
    <t xml:space="preserve">2025-08-10</t>
  </si>
  <si>
    <t xml:space="preserve">WL-02607</t>
  </si>
  <si>
    <t xml:space="preserve">Sean Charles</t>
  </si>
  <si>
    <t xml:space="preserve">skip_events_2022_2026.csv row 304</t>
  </si>
  <si>
    <t xml:space="preserve">SKP-2025-0304</t>
  </si>
  <si>
    <t xml:space="preserve">2025-08-15</t>
  </si>
  <si>
    <t xml:space="preserve">WL-03314</t>
  </si>
  <si>
    <t xml:space="preserve">Hannah Orozco</t>
  </si>
  <si>
    <t xml:space="preserve">LP-0319</t>
  </si>
  <si>
    <t xml:space="preserve">skip_events_2022_2026.csv row 305</t>
  </si>
  <si>
    <t xml:space="preserve">SKP-2025-0305</t>
  </si>
  <si>
    <t xml:space="preserve">2025-08-14</t>
  </si>
  <si>
    <t xml:space="preserve">WL-03134</t>
  </si>
  <si>
    <t xml:space="preserve">Laurie Larson</t>
  </si>
  <si>
    <t xml:space="preserve">SB-0624</t>
  </si>
  <si>
    <t xml:space="preserve">skip_events_2022_2026.csv row 306</t>
  </si>
  <si>
    <t xml:space="preserve">SKP-2025-0306</t>
  </si>
  <si>
    <t xml:space="preserve">2025-08-08</t>
  </si>
  <si>
    <t xml:space="preserve">SB-0420</t>
  </si>
  <si>
    <t xml:space="preserve">skip_events_2022_2026.csv row 307</t>
  </si>
  <si>
    <t xml:space="preserve">SKP-2025-0307</t>
  </si>
  <si>
    <t xml:space="preserve">2025-08-05</t>
  </si>
  <si>
    <t xml:space="preserve">WL-02323</t>
  </si>
  <si>
    <t xml:space="preserve">John Preston</t>
  </si>
  <si>
    <t xml:space="preserve">skip_events_2022_2026.csv row 308</t>
  </si>
  <si>
    <t xml:space="preserve">SKP-2025-0308</t>
  </si>
  <si>
    <t xml:space="preserve">2025-08-03</t>
  </si>
  <si>
    <t xml:space="preserve">WL-03481</t>
  </si>
  <si>
    <t xml:space="preserve">William Madden</t>
  </si>
  <si>
    <t xml:space="preserve">GW-0915</t>
  </si>
  <si>
    <t xml:space="preserve">skip_events_2022_2026.csv row 309</t>
  </si>
  <si>
    <t xml:space="preserve">SKP-2025-0309</t>
  </si>
  <si>
    <t xml:space="preserve">2025-08-28</t>
  </si>
  <si>
    <t xml:space="preserve">WL-02838</t>
  </si>
  <si>
    <t xml:space="preserve">Kimberly Griffin</t>
  </si>
  <si>
    <t xml:space="preserve">LP-0413</t>
  </si>
  <si>
    <t xml:space="preserve">skip_events_2022_2026.csv row 310</t>
  </si>
  <si>
    <t xml:space="preserve">SKP-2025-0310</t>
  </si>
  <si>
    <t xml:space="preserve">WL-01617</t>
  </si>
  <si>
    <t xml:space="preserve">James Ferguson</t>
  </si>
  <si>
    <t xml:space="preserve">VB-0813</t>
  </si>
  <si>
    <t xml:space="preserve">skip_events_2022_2026.csv row 311</t>
  </si>
  <si>
    <t xml:space="preserve">SKP-2025-0311</t>
  </si>
  <si>
    <t xml:space="preserve">2025-08-19</t>
  </si>
  <si>
    <t xml:space="preserve">WL-01843</t>
  </si>
  <si>
    <t xml:space="preserve">Donna Kim</t>
  </si>
  <si>
    <t xml:space="preserve">skip_events_2022_2026.csv row 312</t>
  </si>
  <si>
    <t xml:space="preserve">SKP-2025-0312</t>
  </si>
  <si>
    <t xml:space="preserve">2025-09-17</t>
  </si>
  <si>
    <t xml:space="preserve">WL-01715</t>
  </si>
  <si>
    <t xml:space="preserve">Richard Snyder</t>
  </si>
  <si>
    <t xml:space="preserve">GW-0216</t>
  </si>
  <si>
    <t xml:space="preserve">skip_events_2022_2026.csv row 313</t>
  </si>
  <si>
    <t xml:space="preserve">SKP-2025-0313</t>
  </si>
  <si>
    <t xml:space="preserve">2025-09-03</t>
  </si>
  <si>
    <t xml:space="preserve">WL-01334</t>
  </si>
  <si>
    <t xml:space="preserve">Tammy Jones</t>
  </si>
  <si>
    <t xml:space="preserve">LP-0514</t>
  </si>
  <si>
    <t xml:space="preserve">skip_events_2022_2026.csv row 314</t>
  </si>
  <si>
    <t xml:space="preserve">SKP-2025-0314</t>
  </si>
  <si>
    <t xml:space="preserve">WL-02428</t>
  </si>
  <si>
    <t xml:space="preserve">David Henry</t>
  </si>
  <si>
    <t xml:space="preserve">skip_events_2022_2026.csv row 315</t>
  </si>
  <si>
    <t xml:space="preserve">SKP-2025-0315</t>
  </si>
  <si>
    <t xml:space="preserve">2025-09-22</t>
  </si>
  <si>
    <t xml:space="preserve">WL-03861</t>
  </si>
  <si>
    <t xml:space="preserve">Joseph Koch</t>
  </si>
  <si>
    <t xml:space="preserve">VB-0123</t>
  </si>
  <si>
    <t xml:space="preserve">skip_events_2022_2026.csv row 316</t>
  </si>
  <si>
    <t xml:space="preserve">SKP-2025-0316</t>
  </si>
  <si>
    <t xml:space="preserve">2025-09-20</t>
  </si>
  <si>
    <t xml:space="preserve">WL-02153</t>
  </si>
  <si>
    <t xml:space="preserve">Amy Murray</t>
  </si>
  <si>
    <t xml:space="preserve">skip_events_2022_2026.csv row 317</t>
  </si>
  <si>
    <t xml:space="preserve">SKP-2025-0317</t>
  </si>
  <si>
    <t xml:space="preserve">2025-09-23</t>
  </si>
  <si>
    <t xml:space="preserve">WL-02445</t>
  </si>
  <si>
    <t xml:space="preserve">Marcus Yee</t>
  </si>
  <si>
    <t xml:space="preserve">SB-0222</t>
  </si>
  <si>
    <t xml:space="preserve">skip_events_2022_2026.csv row 318</t>
  </si>
  <si>
    <t xml:space="preserve">SKP-2025-0318</t>
  </si>
  <si>
    <t xml:space="preserve">2025-09-19</t>
  </si>
  <si>
    <t xml:space="preserve">WL-02890</t>
  </si>
  <si>
    <t xml:space="preserve">Crystal Morales</t>
  </si>
  <si>
    <t xml:space="preserve">EW-0716</t>
  </si>
  <si>
    <t xml:space="preserve">skip_events_2022_2026.csv row 319</t>
  </si>
  <si>
    <t xml:space="preserve">SKP-2025-0319</t>
  </si>
  <si>
    <t xml:space="preserve">WL-01913</t>
  </si>
  <si>
    <t xml:space="preserve">Nicole Thompson</t>
  </si>
  <si>
    <t xml:space="preserve">EW-0819</t>
  </si>
  <si>
    <t xml:space="preserve">skip_events_2022_2026.csv row 320</t>
  </si>
  <si>
    <t xml:space="preserve">SKP-2025-0320</t>
  </si>
  <si>
    <t xml:space="preserve">2025-09-09</t>
  </si>
  <si>
    <t xml:space="preserve">WL-02167</t>
  </si>
  <si>
    <t xml:space="preserve">Jonathan Anderson</t>
  </si>
  <si>
    <t xml:space="preserve">VB-0304</t>
  </si>
  <si>
    <t xml:space="preserve">skip_events_2022_2026.csv row 321</t>
  </si>
  <si>
    <t xml:space="preserve">SKP-2025-0321</t>
  </si>
  <si>
    <t xml:space="preserve">2025-09-11</t>
  </si>
  <si>
    <t xml:space="preserve">WL-03865</t>
  </si>
  <si>
    <t xml:space="preserve">William Moran</t>
  </si>
  <si>
    <t xml:space="preserve">skip_events_2022_2026.csv row 322</t>
  </si>
  <si>
    <t xml:space="preserve">SKP-2025-0322</t>
  </si>
  <si>
    <t xml:space="preserve">2025-09-05</t>
  </si>
  <si>
    <t xml:space="preserve">WL-02002</t>
  </si>
  <si>
    <t xml:space="preserve">Andrew Turner</t>
  </si>
  <si>
    <t xml:space="preserve">skip_events_2022_2026.csv row 323</t>
  </si>
  <si>
    <t xml:space="preserve">SKP-2025-0323</t>
  </si>
  <si>
    <t xml:space="preserve">2025-10-26</t>
  </si>
  <si>
    <t xml:space="preserve">WL-02284</t>
  </si>
  <si>
    <t xml:space="preserve">Tonya Ruiz</t>
  </si>
  <si>
    <t xml:space="preserve">SB-0801</t>
  </si>
  <si>
    <t xml:space="preserve">skip_events_2022_2026.csv row 324</t>
  </si>
  <si>
    <t xml:space="preserve">SKP-2025-0324</t>
  </si>
  <si>
    <t xml:space="preserve">2025-10-28</t>
  </si>
  <si>
    <t xml:space="preserve">WL-02187</t>
  </si>
  <si>
    <t xml:space="preserve">Leonard Gordon</t>
  </si>
  <si>
    <t xml:space="preserve">SB-0806</t>
  </si>
  <si>
    <t xml:space="preserve">skip_events_2022_2026.csv row 325</t>
  </si>
  <si>
    <t xml:space="preserve">SKP-2025-0325</t>
  </si>
  <si>
    <t xml:space="preserve">2025-10-03</t>
  </si>
  <si>
    <t xml:space="preserve">WL-03750</t>
  </si>
  <si>
    <t xml:space="preserve">Michael Phillips</t>
  </si>
  <si>
    <t xml:space="preserve">GW-0622</t>
  </si>
  <si>
    <t xml:space="preserve">skip_events_2022_2026.csv row 326</t>
  </si>
  <si>
    <t xml:space="preserve">SKP-2025-0326</t>
  </si>
  <si>
    <t xml:space="preserve">LP-0705</t>
  </si>
  <si>
    <t xml:space="preserve">skip_events_2022_2026.csv row 327</t>
  </si>
  <si>
    <t xml:space="preserve">SKP-2025-0327</t>
  </si>
  <si>
    <t xml:space="preserve">2025-10-23</t>
  </si>
  <si>
    <t xml:space="preserve">WL-01645</t>
  </si>
  <si>
    <t xml:space="preserve">Michael Walker</t>
  </si>
  <si>
    <t xml:space="preserve">GW-1020</t>
  </si>
  <si>
    <t xml:space="preserve">skip_events_2022_2026.csv row 328</t>
  </si>
  <si>
    <t xml:space="preserve">SKP-2025-0328</t>
  </si>
  <si>
    <t xml:space="preserve">2025-10-11</t>
  </si>
  <si>
    <t xml:space="preserve">SB-0115</t>
  </si>
  <si>
    <t xml:space="preserve">skip_events_2022_2026.csv row 329</t>
  </si>
  <si>
    <t xml:space="preserve">SKP-2025-0329</t>
  </si>
  <si>
    <t xml:space="preserve">2025-10-13</t>
  </si>
  <si>
    <t xml:space="preserve">WL-01128</t>
  </si>
  <si>
    <t xml:space="preserve">Angela Smith</t>
  </si>
  <si>
    <t xml:space="preserve">LP-0504</t>
  </si>
  <si>
    <t xml:space="preserve">skip_events_2022_2026.csv row 330</t>
  </si>
  <si>
    <t xml:space="preserve">SKP-2025-0330</t>
  </si>
  <si>
    <t xml:space="preserve">2025-10-02</t>
  </si>
  <si>
    <t xml:space="preserve">WL-02676</t>
  </si>
  <si>
    <t xml:space="preserve">Janice Walker</t>
  </si>
  <si>
    <t xml:space="preserve">EW-0124</t>
  </si>
  <si>
    <t xml:space="preserve">skip_events_2022_2026.csv row 331</t>
  </si>
  <si>
    <t xml:space="preserve">SKP-2025-0331</t>
  </si>
  <si>
    <t xml:space="preserve">2025-10-07</t>
  </si>
  <si>
    <t xml:space="preserve">WL-03455</t>
  </si>
  <si>
    <t xml:space="preserve">Taylor George</t>
  </si>
  <si>
    <t xml:space="preserve">SB-0402</t>
  </si>
  <si>
    <t xml:space="preserve">skip_events_2022_2026.csv row 332</t>
  </si>
  <si>
    <t xml:space="preserve">SKP-2025-0332</t>
  </si>
  <si>
    <t xml:space="preserve">WL-02711</t>
  </si>
  <si>
    <t xml:space="preserve">David Baker</t>
  </si>
  <si>
    <t xml:space="preserve">skip_events_2022_2026.csv row 333</t>
  </si>
  <si>
    <t xml:space="preserve">SKP-2025-0333</t>
  </si>
  <si>
    <t xml:space="preserve">WL-02448</t>
  </si>
  <si>
    <t xml:space="preserve">Mark Bolton</t>
  </si>
  <si>
    <t xml:space="preserve">LP-0908</t>
  </si>
  <si>
    <t xml:space="preserve">skip_events_2022_2026.csv row 334</t>
  </si>
  <si>
    <t xml:space="preserve">SKP-2025-0334</t>
  </si>
  <si>
    <t xml:space="preserve">2025-11-27</t>
  </si>
  <si>
    <t xml:space="preserve">skip_events_2022_2026.csv row 335</t>
  </si>
  <si>
    <t xml:space="preserve">SKP-2025-0335</t>
  </si>
  <si>
    <t xml:space="preserve">2025-11-17</t>
  </si>
  <si>
    <t xml:space="preserve">WL-02404</t>
  </si>
  <si>
    <t xml:space="preserve">Samuel King</t>
  </si>
  <si>
    <t xml:space="preserve">VB-0201</t>
  </si>
  <si>
    <t xml:space="preserve">skip_events_2022_2026.csv row 336</t>
  </si>
  <si>
    <t xml:space="preserve">SKP-2025-0336</t>
  </si>
  <si>
    <t xml:space="preserve">2025-12-15</t>
  </si>
  <si>
    <t xml:space="preserve">WL-01776</t>
  </si>
  <si>
    <t xml:space="preserve">Theresa Pena</t>
  </si>
  <si>
    <t xml:space="preserve">GW-0419</t>
  </si>
  <si>
    <t xml:space="preserve">skip_events_2022_2026.csv row 337</t>
  </si>
  <si>
    <t xml:space="preserve">SKP-2025-0337</t>
  </si>
  <si>
    <t xml:space="preserve">2025-12-26</t>
  </si>
  <si>
    <t xml:space="preserve">WL-02991</t>
  </si>
  <si>
    <t xml:space="preserve">Cole Palmer</t>
  </si>
  <si>
    <t xml:space="preserve">SB-0408</t>
  </si>
  <si>
    <t xml:space="preserve">skip_events_2022_2026.csv row 338</t>
  </si>
  <si>
    <t xml:space="preserve">SKP-2026-0338</t>
  </si>
  <si>
    <t xml:space="preserve">2026-01-13</t>
  </si>
  <si>
    <t xml:space="preserve">WL-03011</t>
  </si>
  <si>
    <t xml:space="preserve">Christopher Schultz</t>
  </si>
  <si>
    <t xml:space="preserve">SB-0719</t>
  </si>
  <si>
    <t xml:space="preserve">skip_events_2022_2026.csv row 339</t>
  </si>
  <si>
    <t xml:space="preserve">SKP-2026-0339</t>
  </si>
  <si>
    <t xml:space="preserve">EW-0813</t>
  </si>
  <si>
    <t xml:space="preserve">skip_events_2022_2026.csv row 340</t>
  </si>
  <si>
    <t xml:space="preserve">SKP-2026-0340</t>
  </si>
  <si>
    <t xml:space="preserve">2026-01-21</t>
  </si>
  <si>
    <t xml:space="preserve">WL-01435</t>
  </si>
  <si>
    <t xml:space="preserve">Jessica Schultz</t>
  </si>
  <si>
    <t xml:space="preserve">skip_events_2022_2026.csv row 341</t>
  </si>
  <si>
    <t xml:space="preserve">SKP-2026-0341</t>
  </si>
  <si>
    <t xml:space="preserve">2026-01-27</t>
  </si>
  <si>
    <t xml:space="preserve">WL-03197</t>
  </si>
  <si>
    <t xml:space="preserve">Thomas Lee</t>
  </si>
  <si>
    <t xml:space="preserve">LP-1109</t>
  </si>
  <si>
    <t xml:space="preserve">skip_events_2022_2026.csv row 342</t>
  </si>
  <si>
    <t xml:space="preserve">SKP-2026-0342</t>
  </si>
  <si>
    <t xml:space="preserve">2026-01-01</t>
  </si>
  <si>
    <t xml:space="preserve">WL-01558</t>
  </si>
  <si>
    <t xml:space="preserve">Edward Carter</t>
  </si>
  <si>
    <t xml:space="preserve">EW-0421</t>
  </si>
  <si>
    <t xml:space="preserve">skip_events_2022_2026.csv row 343</t>
  </si>
  <si>
    <t xml:space="preserve">SKP-2026-0343</t>
  </si>
  <si>
    <t xml:space="preserve">WL-03054</t>
  </si>
  <si>
    <t xml:space="preserve">Amanda Schmidt</t>
  </si>
  <si>
    <t xml:space="preserve">VB-0224</t>
  </si>
  <si>
    <t xml:space="preserve">skip_events_2022_2026.csv row 344</t>
  </si>
  <si>
    <t xml:space="preserve">SKP-2026-0344</t>
  </si>
  <si>
    <t xml:space="preserve">2026-02-22</t>
  </si>
  <si>
    <t xml:space="preserve">WL-03817</t>
  </si>
  <si>
    <t xml:space="preserve">Leslie Short</t>
  </si>
  <si>
    <t xml:space="preserve">SB-0907</t>
  </si>
  <si>
    <t xml:space="preserve">skip_events_2022_2026.csv row 345</t>
  </si>
  <si>
    <t xml:space="preserve">SKP-2026-0345</t>
  </si>
  <si>
    <t xml:space="preserve">2026-02-27</t>
  </si>
  <si>
    <t xml:space="preserve">WL-03653</t>
  </si>
  <si>
    <t xml:space="preserve">Rodney Carter</t>
  </si>
  <si>
    <t xml:space="preserve">LP-0614</t>
  </si>
  <si>
    <t xml:space="preserve">skip_events_2022_2026.csv row 346</t>
  </si>
  <si>
    <t xml:space="preserve">SKP-2026-0346</t>
  </si>
  <si>
    <t xml:space="preserve">2026-02-14</t>
  </si>
  <si>
    <t xml:space="preserve">WL-01605</t>
  </si>
  <si>
    <t xml:space="preserve">Michael Curtis</t>
  </si>
  <si>
    <t xml:space="preserve">VB-0912</t>
  </si>
  <si>
    <t xml:space="preserve">skip_events_2022_2026.csv row 347</t>
  </si>
  <si>
    <t xml:space="preserve">SKP-2026-0347</t>
  </si>
  <si>
    <t xml:space="preserve">WL-01550</t>
  </si>
  <si>
    <t xml:space="preserve">Brittany Grant</t>
  </si>
  <si>
    <t xml:space="preserve">skip_events_2022_2026.csv row 348</t>
  </si>
  <si>
    <t xml:space="preserve">SKP-2026-0348</t>
  </si>
  <si>
    <t xml:space="preserve">WL-02930</t>
  </si>
  <si>
    <t xml:space="preserve">Carmen Strickland</t>
  </si>
  <si>
    <t xml:space="preserve">LP-0915</t>
  </si>
  <si>
    <t xml:space="preserve">skip_events_2022_2026.csv row 349</t>
  </si>
  <si>
    <t xml:space="preserve">SKP-2026-0349</t>
  </si>
  <si>
    <t xml:space="preserve">2026-02-07</t>
  </si>
  <si>
    <t xml:space="preserve">skip_events_2022_2026.csv row 350</t>
  </si>
  <si>
    <t xml:space="preserve">SKP-2026-0350</t>
  </si>
  <si>
    <t xml:space="preserve">2026-03-12</t>
  </si>
  <si>
    <t xml:space="preserve">WL-01038</t>
  </si>
  <si>
    <t xml:space="preserve">Laura Collins</t>
  </si>
  <si>
    <t xml:space="preserve">GW-0105</t>
  </si>
  <si>
    <t xml:space="preserve">skip_events_2022_2026.csv row 351</t>
  </si>
  <si>
    <t xml:space="preserve">SKP-2026-0351</t>
  </si>
  <si>
    <t xml:space="preserve">2026-03-15</t>
  </si>
  <si>
    <t xml:space="preserve">WL-02306</t>
  </si>
  <si>
    <t xml:space="preserve">Lori Schneider</t>
  </si>
  <si>
    <t xml:space="preserve">SB-0709</t>
  </si>
  <si>
    <t xml:space="preserve">skip_events_2022_2026.csv row 352</t>
  </si>
  <si>
    <t xml:space="preserve">SKP-2026-0352</t>
  </si>
  <si>
    <t xml:space="preserve">2026-03-26</t>
  </si>
  <si>
    <t xml:space="preserve">WL-01139</t>
  </si>
  <si>
    <t xml:space="preserve">Zachary Martin</t>
  </si>
  <si>
    <t xml:space="preserve">GW-0314</t>
  </si>
  <si>
    <t xml:space="preserve">skip_events_2022_2026.csv row 353</t>
  </si>
  <si>
    <t xml:space="preserve">SKP-2026-0353</t>
  </si>
  <si>
    <t xml:space="preserve">2026-03-13</t>
  </si>
  <si>
    <t xml:space="preserve">WL-03279</t>
  </si>
  <si>
    <t xml:space="preserve">David Marshall</t>
  </si>
  <si>
    <t xml:space="preserve">skip_events_2022_2026.csv row 354</t>
  </si>
  <si>
    <t xml:space="preserve">SKP-2026-0354</t>
  </si>
  <si>
    <t xml:space="preserve">WL-03305</t>
  </si>
  <si>
    <t xml:space="preserve">Monica Garcia</t>
  </si>
  <si>
    <t xml:space="preserve">GW-0509</t>
  </si>
  <si>
    <t xml:space="preserve">skip_events_2022_2026.csv row 355</t>
  </si>
  <si>
    <t xml:space="preserve">SKP-2026-0355</t>
  </si>
  <si>
    <t xml:space="preserve">2026-03-18</t>
  </si>
  <si>
    <t xml:space="preserve">WL-02417</t>
  </si>
  <si>
    <t xml:space="preserve">Eric Benjamin</t>
  </si>
  <si>
    <t xml:space="preserve">GW-0323</t>
  </si>
  <si>
    <t xml:space="preserve">skip_events_2022_2026.csv row 356</t>
  </si>
  <si>
    <t xml:space="preserve">SKP-2026-0356</t>
  </si>
  <si>
    <t xml:space="preserve">2026-04-01</t>
  </si>
  <si>
    <t xml:space="preserve">WL-01084</t>
  </si>
  <si>
    <t xml:space="preserve">Lisa Adams</t>
  </si>
  <si>
    <t xml:space="preserve">SB-0419</t>
  </si>
  <si>
    <t xml:space="preserve">skip_events_2022_2026.csv row 357</t>
  </si>
  <si>
    <t xml:space="preserve">SKP-2026-0357</t>
  </si>
  <si>
    <t xml:space="preserve">2026-04-05</t>
  </si>
  <si>
    <t xml:space="preserve">WL-03306</t>
  </si>
  <si>
    <t xml:space="preserve">Rebecca Martin</t>
  </si>
  <si>
    <t xml:space="preserve">SB-0307</t>
  </si>
  <si>
    <t xml:space="preserve">skip_events_2022_2026.csv row 358</t>
  </si>
  <si>
    <t xml:space="preserve">SKP-2026-0358</t>
  </si>
  <si>
    <t xml:space="preserve">2026-04-04</t>
  </si>
  <si>
    <t xml:space="preserve">WL-01283</t>
  </si>
  <si>
    <t xml:space="preserve">Jay Gregory</t>
  </si>
  <si>
    <t xml:space="preserve">SB-0911</t>
  </si>
  <si>
    <t xml:space="preserve">skip_events_2022_2026.csv row 359</t>
  </si>
  <si>
    <t xml:space="preserve">SKP-2026-0359</t>
  </si>
  <si>
    <t xml:space="preserve">WL-02766</t>
  </si>
  <si>
    <t xml:space="preserve">Valerie Macias</t>
  </si>
  <si>
    <t xml:space="preserve">SB-0908</t>
  </si>
  <si>
    <t xml:space="preserve">skip_events_2022_2026.csv row 360</t>
  </si>
  <si>
    <t xml:space="preserve">SKP-2026-0360</t>
  </si>
  <si>
    <t xml:space="preserve">WL-03088</t>
  </si>
  <si>
    <t xml:space="preserve">Heather Williams</t>
  </si>
  <si>
    <t xml:space="preserve">SB-0213</t>
  </si>
  <si>
    <t xml:space="preserve">skip_events_2022_2026.csv row 361</t>
  </si>
  <si>
    <t xml:space="preserve">SKP-2026-0361</t>
  </si>
  <si>
    <t xml:space="preserve">2026-04-12</t>
  </si>
  <si>
    <t xml:space="preserve">WL-03139</t>
  </si>
  <si>
    <t xml:space="preserve">Stanley Peterson</t>
  </si>
  <si>
    <t xml:space="preserve">GW-0601</t>
  </si>
  <si>
    <t xml:space="preserve">skip_events_2022_2026.csv row 362</t>
  </si>
  <si>
    <t xml:space="preserve">SKP-2026-0362</t>
  </si>
  <si>
    <t xml:space="preserve">2026-04-13</t>
  </si>
  <si>
    <t xml:space="preserve">WL-02120</t>
  </si>
  <si>
    <t xml:space="preserve">Jerry Reyes</t>
  </si>
  <si>
    <t xml:space="preserve">LP-0312</t>
  </si>
  <si>
    <t xml:space="preserve">skip_events_2022_2026.csv row 363</t>
  </si>
  <si>
    <t xml:space="preserve">SKP-2026-0363</t>
  </si>
  <si>
    <t xml:space="preserve">2026-04-06</t>
  </si>
  <si>
    <t xml:space="preserve">WL-02353</t>
  </si>
  <si>
    <t xml:space="preserve">Jonathan Freeman</t>
  </si>
  <si>
    <t xml:space="preserve">LP-0601</t>
  </si>
  <si>
    <t xml:space="preserve">skip_events_2022_2026.csv row 364</t>
  </si>
  <si>
    <t xml:space="preserve">SKP-2026-0364</t>
  </si>
  <si>
    <t xml:space="preserve">2026-04-19</t>
  </si>
  <si>
    <t xml:space="preserve">WL-02504</t>
  </si>
  <si>
    <t xml:space="preserve">Crystal Stevenson</t>
  </si>
  <si>
    <t xml:space="preserve">SB-0104</t>
  </si>
  <si>
    <t xml:space="preserve">skip_events_2022_2026.csv row 365</t>
  </si>
  <si>
    <t xml:space="preserve">SKP-2026-0365</t>
  </si>
  <si>
    <t xml:space="preserve">2026-04-17</t>
  </si>
  <si>
    <t xml:space="preserve">GW-0513</t>
  </si>
  <si>
    <t xml:space="preserve">skip_events_2022_2026.csv row 366</t>
  </si>
  <si>
    <t xml:space="preserve">SKP-2026-0366</t>
  </si>
  <si>
    <t xml:space="preserve">2026-04-02</t>
  </si>
  <si>
    <t xml:space="preserve">WL-01288</t>
  </si>
  <si>
    <t xml:space="preserve">Christopher Riley</t>
  </si>
  <si>
    <t xml:space="preserve">VB-0916</t>
  </si>
  <si>
    <t xml:space="preserve">skip_events_2022_2026.csv row 367</t>
  </si>
  <si>
    <t xml:space="preserve">SKP-2026-0367</t>
  </si>
  <si>
    <t xml:space="preserve">2026-04-07</t>
  </si>
  <si>
    <t xml:space="preserve">WL-02639</t>
  </si>
  <si>
    <t xml:space="preserve">Ronald Moore</t>
  </si>
  <si>
    <t xml:space="preserve">LP-1102</t>
  </si>
  <si>
    <t xml:space="preserve">skip_events_2022_2026.csv row 368</t>
  </si>
  <si>
    <t xml:space="preserve">SKP-2026-0368</t>
  </si>
  <si>
    <t xml:space="preserve">2026-05-09</t>
  </si>
  <si>
    <t xml:space="preserve">WL-03754</t>
  </si>
  <si>
    <t xml:space="preserve">Carolyn Ali</t>
  </si>
  <si>
    <t xml:space="preserve">LP-0923</t>
  </si>
  <si>
    <t xml:space="preserve">skip_events_2022_2026.csv row 369</t>
  </si>
  <si>
    <t xml:space="preserve">SKP-2026-0369</t>
  </si>
  <si>
    <t xml:space="preserve">2026-05-06</t>
  </si>
  <si>
    <t xml:space="preserve">WL-01205</t>
  </si>
  <si>
    <t xml:space="preserve">Brian Osborne</t>
  </si>
  <si>
    <t xml:space="preserve">GW-0620</t>
  </si>
  <si>
    <t xml:space="preserve">skip_events_2022_2026.csv row 370</t>
  </si>
  <si>
    <t xml:space="preserve">SKP-2026-0370</t>
  </si>
  <si>
    <t xml:space="preserve">2026-05-18</t>
  </si>
  <si>
    <t xml:space="preserve">WL-03607</t>
  </si>
  <si>
    <t xml:space="preserve">Ross Green</t>
  </si>
  <si>
    <t xml:space="preserve">LP-1105</t>
  </si>
  <si>
    <t xml:space="preserve">skip_events_2022_2026.csv row 371</t>
  </si>
  <si>
    <t xml:space="preserve">SKP-2026-0371</t>
  </si>
  <si>
    <t xml:space="preserve">2026-05-08</t>
  </si>
  <si>
    <t xml:space="preserve">WL-03896</t>
  </si>
  <si>
    <t xml:space="preserve">Stephen Hammond</t>
  </si>
  <si>
    <t xml:space="preserve">skip_events_2022_2026.csv row 372</t>
  </si>
  <si>
    <t xml:space="preserve">SKP-2026-0372</t>
  </si>
  <si>
    <t xml:space="preserve">2026-05-24</t>
  </si>
  <si>
    <t xml:space="preserve">WL-03247</t>
  </si>
  <si>
    <t xml:space="preserve">Tina Armstrong</t>
  </si>
  <si>
    <t xml:space="preserve">skip_events_2022_2026.csv row 373</t>
  </si>
  <si>
    <t xml:space="preserve">SKP-2026-0373</t>
  </si>
  <si>
    <t xml:space="preserve">2026-05-02</t>
  </si>
  <si>
    <t xml:space="preserve">WL-02671</t>
  </si>
  <si>
    <t xml:space="preserve">Monica Stephens</t>
  </si>
  <si>
    <t xml:space="preserve">LP-1019</t>
  </si>
  <si>
    <t xml:space="preserve">skip_events_2022_2026.csv row 374</t>
  </si>
  <si>
    <t xml:space="preserve">SKP-2026-0374</t>
  </si>
  <si>
    <t xml:space="preserve">2026-05-11</t>
  </si>
  <si>
    <t xml:space="preserve">WL-01404</t>
  </si>
  <si>
    <t xml:space="preserve">Eric Boyle</t>
  </si>
  <si>
    <t xml:space="preserve">VB-0619</t>
  </si>
  <si>
    <t xml:space="preserve">skip_events_2022_2026.csv row 375</t>
  </si>
  <si>
    <t xml:space="preserve">SKP-2026-0375</t>
  </si>
  <si>
    <t xml:space="preserve">WL-01299</t>
  </si>
  <si>
    <t xml:space="preserve">Wayne Andrews</t>
  </si>
  <si>
    <t xml:space="preserve">skip_events_2022_2026.csv row 376</t>
  </si>
  <si>
    <t xml:space="preserve">SKP-2026-0376</t>
  </si>
  <si>
    <t xml:space="preserve">WL-03152</t>
  </si>
  <si>
    <t xml:space="preserve">Kenneth Simmons</t>
  </si>
  <si>
    <t xml:space="preserve">skip_events_2022_2026.csv row 377</t>
  </si>
  <si>
    <t xml:space="preserve">SKP-2026-0377</t>
  </si>
  <si>
    <t xml:space="preserve">2026-05-14</t>
  </si>
  <si>
    <t xml:space="preserve">WL-01255</t>
  </si>
  <si>
    <t xml:space="preserve">Dana Walker</t>
  </si>
  <si>
    <t xml:space="preserve">EW-0522</t>
  </si>
  <si>
    <t xml:space="preserve">skip_events_2022_2026.csv row 378</t>
  </si>
  <si>
    <t xml:space="preserve">SKP-2026-0378</t>
  </si>
  <si>
    <t xml:space="preserve">2026-05-10</t>
  </si>
  <si>
    <t xml:space="preserve">WL-01109</t>
  </si>
  <si>
    <t xml:space="preserve">Patrick Sanchez</t>
  </si>
  <si>
    <t xml:space="preserve">LP-0820</t>
  </si>
  <si>
    <t xml:space="preserve">skip_events_2022_2026.csv row 379</t>
  </si>
  <si>
    <t xml:space="preserve">SKP-2026-0379</t>
  </si>
  <si>
    <t xml:space="preserve">2026-06-02</t>
  </si>
  <si>
    <t xml:space="preserve">WL-02315</t>
  </si>
  <si>
    <t xml:space="preserve">Mitchell Mendez</t>
  </si>
  <si>
    <t xml:space="preserve">skip_events_2022_2026.csv row 380</t>
  </si>
  <si>
    <t xml:space="preserve">SKP-2026-0380</t>
  </si>
  <si>
    <t xml:space="preserve">2026-06-21</t>
  </si>
  <si>
    <t xml:space="preserve">WL-03078</t>
  </si>
  <si>
    <t xml:space="preserve">Rachael Mitchell</t>
  </si>
  <si>
    <t xml:space="preserve">VB-0415</t>
  </si>
  <si>
    <t xml:space="preserve">skip_events_2022_2026.csv row 381</t>
  </si>
  <si>
    <t xml:space="preserve">SKP-2026-0381</t>
  </si>
  <si>
    <t xml:space="preserve">2026-06-09</t>
  </si>
  <si>
    <t xml:space="preserve">WL-01954</t>
  </si>
  <si>
    <t xml:space="preserve">Richard Smith</t>
  </si>
  <si>
    <t xml:space="preserve">SB-0416</t>
  </si>
  <si>
    <t xml:space="preserve">skip_events_2022_2026.csv row 382</t>
  </si>
  <si>
    <t xml:space="preserve">SKP-2026-0382</t>
  </si>
  <si>
    <t xml:space="preserve">2026-06-28</t>
  </si>
  <si>
    <t xml:space="preserve">WL-02098</t>
  </si>
  <si>
    <t xml:space="preserve">Rhonda James</t>
  </si>
  <si>
    <t xml:space="preserve">VB-0707</t>
  </si>
  <si>
    <t xml:space="preserve">skip_events_2022_2026.csv row 383</t>
  </si>
  <si>
    <t xml:space="preserve">SKP-2026-0383</t>
  </si>
  <si>
    <t xml:space="preserve">2026-06-20</t>
  </si>
  <si>
    <t xml:space="preserve">WL-01256</t>
  </si>
  <si>
    <t xml:space="preserve">Andrew Glover</t>
  </si>
  <si>
    <t xml:space="preserve">LP-1103</t>
  </si>
  <si>
    <t xml:space="preserve">skip_events_2022_2026.csv row 384</t>
  </si>
  <si>
    <t xml:space="preserve">SKP-2026-0384</t>
  </si>
  <si>
    <t xml:space="preserve">2026-06-22</t>
  </si>
  <si>
    <t xml:space="preserve">WL-01936</t>
  </si>
  <si>
    <t xml:space="preserve">Deanna Livingston</t>
  </si>
  <si>
    <t xml:space="preserve">VB-0507</t>
  </si>
  <si>
    <t xml:space="preserve">skip_events_2022_2026.csv row 385</t>
  </si>
  <si>
    <t xml:space="preserve">SKP-2026-0385</t>
  </si>
  <si>
    <t xml:space="preserve">2026-06-25</t>
  </si>
  <si>
    <t xml:space="preserve">WL-03690</t>
  </si>
  <si>
    <t xml:space="preserve">VB-0312</t>
  </si>
  <si>
    <t xml:space="preserve">skip_events_2022_2026.csv row 386</t>
  </si>
  <si>
    <t xml:space="preserve">SKP-2026-0386</t>
  </si>
  <si>
    <t xml:space="preserve">2026-06-03</t>
  </si>
  <si>
    <t xml:space="preserve">WL-03787</t>
  </si>
  <si>
    <t xml:space="preserve">John Mcneil</t>
  </si>
  <si>
    <t xml:space="preserve">GW-0214</t>
  </si>
  <si>
    <t xml:space="preserve">skip_events_2022_2026.csv row 387</t>
  </si>
  <si>
    <t xml:space="preserve">SKP-2026-0387</t>
  </si>
  <si>
    <t xml:space="preserve">VB-0402</t>
  </si>
  <si>
    <t xml:space="preserve">skip_events_2022_2026.csv row 388</t>
  </si>
  <si>
    <t xml:space="preserve">SKP-2026-0388</t>
  </si>
  <si>
    <t xml:space="preserve">2026-06-04</t>
  </si>
  <si>
    <t xml:space="preserve">WL-01982</t>
  </si>
  <si>
    <t xml:space="preserve">Jeffrey Harrison</t>
  </si>
  <si>
    <t xml:space="preserve">skip_events_2022_2026.csv row 389</t>
  </si>
  <si>
    <t xml:space="preserve">SKP-2026-0389</t>
  </si>
  <si>
    <t xml:space="preserve">2026-07-17</t>
  </si>
  <si>
    <t xml:space="preserve">SB-0902</t>
  </si>
  <si>
    <t xml:space="preserve">skip_events_2022_2026.csv row 390</t>
  </si>
  <si>
    <t xml:space="preserve">SKP-2026-0390</t>
  </si>
  <si>
    <t xml:space="preserve">2026-07-25</t>
  </si>
  <si>
    <t xml:space="preserve">WL-03071</t>
  </si>
  <si>
    <t xml:space="preserve">Kenneth Jones</t>
  </si>
  <si>
    <t xml:space="preserve">skip_events_2022_2026.csv row 391</t>
  </si>
  <si>
    <t xml:space="preserve">SKP-2026-0391</t>
  </si>
  <si>
    <t xml:space="preserve">2026-07-21</t>
  </si>
  <si>
    <t xml:space="preserve">WL-03106</t>
  </si>
  <si>
    <t xml:space="preserve">Shannon Morales</t>
  </si>
  <si>
    <t xml:space="preserve">LP-0609</t>
  </si>
  <si>
    <t xml:space="preserve">skip_events_2022_2026.csv row 392</t>
  </si>
  <si>
    <t xml:space="preserve">SKP-2026-0392</t>
  </si>
  <si>
    <t xml:space="preserve">2026-07-02</t>
  </si>
  <si>
    <t xml:space="preserve">WL-03260</t>
  </si>
  <si>
    <t xml:space="preserve">Joel Thomas</t>
  </si>
  <si>
    <t xml:space="preserve">EW-0104</t>
  </si>
  <si>
    <t xml:space="preserve">skip_events_2022_2026.csv row 393</t>
  </si>
  <si>
    <t xml:space="preserve">SKP-2026-0393</t>
  </si>
  <si>
    <t xml:space="preserve">2026-07-14</t>
  </si>
  <si>
    <t xml:space="preserve">WL-02358</t>
  </si>
  <si>
    <t xml:space="preserve">Kelly Mccoy</t>
  </si>
  <si>
    <t xml:space="preserve">LP-1009</t>
  </si>
  <si>
    <t xml:space="preserve">skip_events_2022_2026.csv row 394</t>
  </si>
  <si>
    <t xml:space="preserve">SKP-2026-0394</t>
  </si>
  <si>
    <t xml:space="preserve">2026-07-03</t>
  </si>
  <si>
    <t xml:space="preserve">WL-03397</t>
  </si>
  <si>
    <t xml:space="preserve">Jessica Daugherty</t>
  </si>
  <si>
    <t xml:space="preserve">skip_events_2022_2026.csv row 395</t>
  </si>
  <si>
    <t xml:space="preserve">SKP-2026-0395</t>
  </si>
  <si>
    <t xml:space="preserve">2026-07-07</t>
  </si>
  <si>
    <t xml:space="preserve">WL-02900</t>
  </si>
  <si>
    <t xml:space="preserve">Timothy Henderson</t>
  </si>
  <si>
    <t xml:space="preserve">GW-0415</t>
  </si>
  <si>
    <t xml:space="preserve">skip_events_2022_2026.csv row 396</t>
  </si>
  <si>
    <t xml:space="preserve">SKP-2026-0396</t>
  </si>
  <si>
    <t xml:space="preserve">2026-07-15</t>
  </si>
  <si>
    <t xml:space="preserve">WL-02436</t>
  </si>
  <si>
    <t xml:space="preserve">Jeffrey Allen</t>
  </si>
  <si>
    <t xml:space="preserve">SB-0905</t>
  </si>
  <si>
    <t xml:space="preserve">skip_events_2022_2026.csv row 397</t>
  </si>
  <si>
    <t xml:space="preserve">SKP-2026-0397</t>
  </si>
  <si>
    <t xml:space="preserve">WL-01722</t>
  </si>
  <si>
    <t xml:space="preserve">Gregory Collins</t>
  </si>
  <si>
    <t xml:space="preserve">VB-0404</t>
  </si>
  <si>
    <t xml:space="preserve">skip_events_2022_2026.csv row 398</t>
  </si>
  <si>
    <t xml:space="preserve">SKP-2026-0398</t>
  </si>
  <si>
    <t xml:space="preserve">2026-07-05</t>
  </si>
  <si>
    <t xml:space="preserve">WL-03059</t>
  </si>
  <si>
    <t xml:space="preserve">Jonathan Daniels</t>
  </si>
  <si>
    <t xml:space="preserve">GW-0223</t>
  </si>
  <si>
    <t xml:space="preserve">skip_events_2022_2026.csv row 399</t>
  </si>
  <si>
    <t xml:space="preserve">SKP-2023-0408</t>
  </si>
  <si>
    <t xml:space="preserve">WL-02618</t>
  </si>
  <si>
    <t xml:space="preserve">Gary Tomlinson</t>
  </si>
  <si>
    <t xml:space="preserve">GW-0610</t>
  </si>
  <si>
    <t xml:space="preserve">(blank)</t>
  </si>
  <si>
    <t xml:space="preserve">No attached vessel particulars of record is demonstrated. WL-02618_skip_justification.pdf page 1 states cover sheet only; supporting record not attached; it names EW-0414, not register slip GW-0610.</t>
  </si>
  <si>
    <t xml:space="preserve">skip_events_2022_2026.csv row 409; WL-02618_skip_justification.pdf</t>
  </si>
  <si>
    <t xml:space="preserve">SKP-2024-0409</t>
  </si>
  <si>
    <t xml:space="preserve">WL-03044</t>
  </si>
  <si>
    <t xml:space="preserve">Iris Quan</t>
  </si>
  <si>
    <t xml:space="preserve">VB-0904</t>
  </si>
  <si>
    <t xml:space="preserve">No attached recorded preference sheet is demonstrated. WL-03044_skip_justification.pdf page 1 states cover sheet only; supporting record not attached; it names EW-0603, not register slip VB-0904.</t>
  </si>
  <si>
    <t xml:space="preserve">skip_events_2022_2026.csv row 410; WL-03044_skip_justification.pdf</t>
  </si>
  <si>
    <t xml:space="preserve">SKP-2024-0410</t>
  </si>
  <si>
    <t xml:space="preserve">2024-11-05</t>
  </si>
  <si>
    <t xml:space="preserve">SB-0120</t>
  </si>
  <si>
    <t xml:space="preserve">No attached prior offer referenced by date and slip is demonstrated. WL-03390_skip_justification.pdf page 1 states cover sheet only; supporting record not attached; it names VB-0144, not register slip SB-0120.</t>
  </si>
  <si>
    <t xml:space="preserve">skip_events_2022_2026.csv row 411; WL-03390_skip_justification.pdf</t>
  </si>
  <si>
    <t xml:space="preserve">SKP-2024-0411</t>
  </si>
  <si>
    <t xml:space="preserve">2024-03-19</t>
  </si>
  <si>
    <t xml:space="preserve">WL-02877</t>
  </si>
  <si>
    <t xml:space="preserve">Sandra Milovich</t>
  </si>
  <si>
    <t xml:space="preserve">GW-1012</t>
  </si>
  <si>
    <t xml:space="preserve">WL-02877_skip_justification.pdf pages 1-2 include a same-day vessel-particulars record for GW-0702, not register slip GW-1012; the file does not substantiate the registered event.</t>
  </si>
  <si>
    <t xml:space="preserve">skip_events_2022_2026.csv row 412; WL-02877_skip_justification.pdf</t>
  </si>
  <si>
    <t xml:space="preserve">SKP-2025-0412</t>
  </si>
  <si>
    <t xml:space="preserve">WL-03102</t>
  </si>
  <si>
    <t xml:space="preserve">Dennis Farlow</t>
  </si>
  <si>
    <t xml:space="preserve">LP-0806</t>
  </si>
  <si>
    <t xml:space="preserve">WL-03102_skip_justification.pdf pages 1-2 include the preference sheet and qualifying yard-sheet cross-reference for EW-0620, not register slip LP-0806; the file does not substantiate the registered event.</t>
  </si>
  <si>
    <t xml:space="preserve">skip_events_2022_2026.csv row 413; WL-03102_skip_justification.pdf</t>
  </si>
  <si>
    <t xml:space="preserve">BILLING RECONCILIATIONS</t>
  </si>
  <si>
    <t xml:space="preserve">Sources: slip_inventory_2026-08.csv and billing_transactions_2022_2026.csv (August 1, 2026 MONTHLY_MOORAGE transactions). Reconciled rows are retained but hidden below the exception population.</t>
  </si>
  <si>
    <t xml:space="preserve">Formula basis: expected billable feet = MAX(ROUNDUP(inventory LOA, 0), nominal slip feet); expected charge = expected feet x $10.40 covered or $7.55 open. Variance = expected charge less billed amount, before tax.</t>
  </si>
  <si>
    <t xml:space="preserve">Certificate limitation: the two supplied certificates do not match any current occupied tenant. The omission estimates use the current inventory LOA and must be validated against the current agreement and check-in certificate before billing adjustments.</t>
  </si>
  <si>
    <t xml:space="preserve">Occupied tested</t>
  </si>
  <si>
    <t xml:space="preserve">Bills present</t>
  </si>
  <si>
    <t xml:space="preserve">Missing bills</t>
  </si>
  <si>
    <t xml:space="preserve">Calculation errors</t>
  </si>
  <si>
    <t xml:space="preserve">Monthly variance</t>
  </si>
  <si>
    <t xml:space="preserve">Slip ID</t>
  </si>
  <si>
    <t xml:space="preserve">Basin type</t>
  </si>
  <si>
    <t xml:space="preserve">Status</t>
  </si>
  <si>
    <t xml:space="preserve">Tenant ID</t>
  </si>
  <si>
    <t xml:space="preserve">Tenant</t>
  </si>
  <si>
    <t xml:space="preserve">Vessel</t>
  </si>
  <si>
    <t xml:space="preserve">Inventory LOA</t>
  </si>
  <si>
    <t xml:space="preserve">Nominal slip ft</t>
  </si>
  <si>
    <t xml:space="preserve">Aug txn ID</t>
  </si>
  <si>
    <t xml:space="preserve">Billed ft</t>
  </si>
  <si>
    <t xml:space="preserve">Posted rate</t>
  </si>
  <si>
    <t xml:space="preserve">Expected rate</t>
  </si>
  <si>
    <t xml:space="preserve">Expected billable ft</t>
  </si>
  <si>
    <t xml:space="preserve">Billed amount</t>
  </si>
  <si>
    <t xml:space="preserve">Expected monthly</t>
  </si>
  <si>
    <t xml:space="preserve">Result</t>
  </si>
  <si>
    <t xml:space="preserve">Evidence basis</t>
  </si>
  <si>
    <t xml:space="preserve">GW-0502</t>
  </si>
  <si>
    <t xml:space="preserve">open</t>
  </si>
  <si>
    <t xml:space="preserve">OCCUPIED</t>
  </si>
  <si>
    <t xml:space="preserve">WL-03559</t>
  </si>
  <si>
    <t xml:space="preserve">David Sanders</t>
  </si>
  <si>
    <t xml:space="preserve">KESTREL VEER</t>
  </si>
  <si>
    <t xml:space="preserve">Inventory row; no August transaction</t>
  </si>
  <si>
    <t xml:space="preserve">GW-0503</t>
  </si>
  <si>
    <t xml:space="preserve">WL-01494</t>
  </si>
  <si>
    <t xml:space="preserve">Ashley Park</t>
  </si>
  <si>
    <t xml:space="preserve">COHO WEATHER</t>
  </si>
  <si>
    <t xml:space="preserve">GW-0504</t>
  </si>
  <si>
    <t xml:space="preserve">WL-01500</t>
  </si>
  <si>
    <t xml:space="preserve">Patricia Marquez</t>
  </si>
  <si>
    <t xml:space="preserve">OSPREY GLIDE</t>
  </si>
  <si>
    <t xml:space="preserve">GW-0505</t>
  </si>
  <si>
    <t xml:space="preserve">CORMORANT WIND</t>
  </si>
  <si>
    <t xml:space="preserve">GW-0506</t>
  </si>
  <si>
    <t xml:space="preserve">WIDGEON PASSAGE</t>
  </si>
  <si>
    <t xml:space="preserve">GW-0507</t>
  </si>
  <si>
    <t xml:space="preserve">WL-03057</t>
  </si>
  <si>
    <t xml:space="preserve">Jennifer Stout</t>
  </si>
  <si>
    <t xml:space="preserve">BRANT ROSE</t>
  </si>
  <si>
    <t xml:space="preserve">GW-0508</t>
  </si>
  <si>
    <t xml:space="preserve">WL-03692</t>
  </si>
  <si>
    <t xml:space="preserve">Warren Wilkins</t>
  </si>
  <si>
    <t xml:space="preserve">WIDGEON CREST</t>
  </si>
  <si>
    <t xml:space="preserve">WL-03850</t>
  </si>
  <si>
    <t xml:space="preserve">Teresa Greer</t>
  </si>
  <si>
    <t xml:space="preserve">COHO HARBOR</t>
  </si>
  <si>
    <t xml:space="preserve">GW-0511</t>
  </si>
  <si>
    <t xml:space="preserve">WL-02804</t>
  </si>
  <si>
    <t xml:space="preserve">Danny Jones</t>
  </si>
  <si>
    <t xml:space="preserve">SCOTER ROCK</t>
  </si>
  <si>
    <t xml:space="preserve">GW-0512</t>
  </si>
  <si>
    <t xml:space="preserve">WL-03869</t>
  </si>
  <si>
    <t xml:space="preserve">Seth Raymond</t>
  </si>
  <si>
    <t xml:space="preserve">MURRE LIGHT</t>
  </si>
  <si>
    <t xml:space="preserve">WL-03045</t>
  </si>
  <si>
    <t xml:space="preserve">Karen Davis</t>
  </si>
  <si>
    <t xml:space="preserve">GRAY BAY</t>
  </si>
  <si>
    <t xml:space="preserve">GW-0514</t>
  </si>
  <si>
    <t xml:space="preserve">WL-03143</t>
  </si>
  <si>
    <t xml:space="preserve">Timothy Jennings</t>
  </si>
  <si>
    <t xml:space="preserve">POINT RUNNER</t>
  </si>
  <si>
    <t xml:space="preserve">GW-0515</t>
  </si>
  <si>
    <t xml:space="preserve">WL-02025</t>
  </si>
  <si>
    <t xml:space="preserve">Haley Johnson</t>
  </si>
  <si>
    <t xml:space="preserve">TIDE HARBOR</t>
  </si>
  <si>
    <t xml:space="preserve">GW-0516</t>
  </si>
  <si>
    <t xml:space="preserve">WL-01072</t>
  </si>
  <si>
    <t xml:space="preserve">Sabrina Johnson</t>
  </si>
  <si>
    <t xml:space="preserve">SABLE LIGHT</t>
  </si>
  <si>
    <t xml:space="preserve">WL-01986</t>
  </si>
  <si>
    <t xml:space="preserve">Leah Blake</t>
  </si>
  <si>
    <t xml:space="preserve">HALIBUT CREST</t>
  </si>
  <si>
    <t xml:space="preserve">GW-0518</t>
  </si>
  <si>
    <t xml:space="preserve">WL-02212</t>
  </si>
  <si>
    <t xml:space="preserve">Jeffery Delacruz</t>
  </si>
  <si>
    <t xml:space="preserve">HERON SOUND</t>
  </si>
  <si>
    <t xml:space="preserve">GW-0519</t>
  </si>
  <si>
    <t xml:space="preserve">WL-03269</t>
  </si>
  <si>
    <t xml:space="preserve">Maria Schultz</t>
  </si>
  <si>
    <t xml:space="preserve">DRIFT LIGHT</t>
  </si>
  <si>
    <t xml:space="preserve">GW-0520</t>
  </si>
  <si>
    <t xml:space="preserve">WL-01266</t>
  </si>
  <si>
    <t xml:space="preserve">Derek Kirby</t>
  </si>
  <si>
    <t xml:space="preserve">SEAL ROSE</t>
  </si>
  <si>
    <t xml:space="preserve">GW-0521</t>
  </si>
  <si>
    <t xml:space="preserve">WL-01548</t>
  </si>
  <si>
    <t xml:space="preserve">William Brown</t>
  </si>
  <si>
    <t xml:space="preserve">FOUL HARBOR</t>
  </si>
  <si>
    <t xml:space="preserve">WL-03183</t>
  </si>
  <si>
    <t xml:space="preserve">Daniel Stevens</t>
  </si>
  <si>
    <t xml:space="preserve">OTTER ANN</t>
  </si>
  <si>
    <t xml:space="preserve">GW-0523</t>
  </si>
  <si>
    <t xml:space="preserve">WL-02124</t>
  </si>
  <si>
    <t xml:space="preserve">Laura French</t>
  </si>
  <si>
    <t xml:space="preserve">SALISH MOON</t>
  </si>
  <si>
    <t xml:space="preserve">WL-01097</t>
  </si>
  <si>
    <t xml:space="preserve">Alexis Walters</t>
  </si>
  <si>
    <t xml:space="preserve">BRANT MIST</t>
  </si>
  <si>
    <t xml:space="preserve">GW-0603</t>
  </si>
  <si>
    <t xml:space="preserve">WL-02089</t>
  </si>
  <si>
    <t xml:space="preserve">Todd Butler</t>
  </si>
  <si>
    <t xml:space="preserve">CORMORANT RUNNER</t>
  </si>
  <si>
    <t xml:space="preserve">GW-0604</t>
  </si>
  <si>
    <t xml:space="preserve">WL-02770</t>
  </si>
  <si>
    <t xml:space="preserve">Henry Okafor</t>
  </si>
  <si>
    <t xml:space="preserve">GRAY LINE</t>
  </si>
  <si>
    <t xml:space="preserve">GW-0605</t>
  </si>
  <si>
    <t xml:space="preserve">WL-03366</t>
  </si>
  <si>
    <t xml:space="preserve">Jose Mckinney</t>
  </si>
  <si>
    <t xml:space="preserve">HALIBUT STAR</t>
  </si>
  <si>
    <t xml:space="preserve">WL-01260</t>
  </si>
  <si>
    <t xml:space="preserve">Dale Thomas</t>
  </si>
  <si>
    <t xml:space="preserve">POINT WAKE</t>
  </si>
  <si>
    <t xml:space="preserve">GW-0607</t>
  </si>
  <si>
    <t xml:space="preserve">WL-01881</t>
  </si>
  <si>
    <t xml:space="preserve">William Bennett</t>
  </si>
  <si>
    <t xml:space="preserve">PINTAIL WIND</t>
  </si>
  <si>
    <t xml:space="preserve">GW-0608</t>
  </si>
  <si>
    <t xml:space="preserve">WL-02296</t>
  </si>
  <si>
    <t xml:space="preserve">Jason Miller</t>
  </si>
  <si>
    <t xml:space="preserve">DRIFT PASSAGE</t>
  </si>
  <si>
    <t xml:space="preserve">GW-0609</t>
  </si>
  <si>
    <t xml:space="preserve">WL-02915</t>
  </si>
  <si>
    <t xml:space="preserve">Lori Cook</t>
  </si>
  <si>
    <t xml:space="preserve">GRAY RUNNER</t>
  </si>
  <si>
    <t xml:space="preserve">WL-01206</t>
  </si>
  <si>
    <t xml:space="preserve">Cynthia Taylor</t>
  </si>
  <si>
    <t xml:space="preserve">TIDE ANN</t>
  </si>
  <si>
    <t xml:space="preserve">GW-0612</t>
  </si>
  <si>
    <t xml:space="preserve">WL-02970</t>
  </si>
  <si>
    <t xml:space="preserve">William Robles</t>
  </si>
  <si>
    <t xml:space="preserve">ANCHOR MOON</t>
  </si>
  <si>
    <t xml:space="preserve">GW-0613</t>
  </si>
  <si>
    <t xml:space="preserve">WL-02426</t>
  </si>
  <si>
    <t xml:space="preserve">Joshua Cherry</t>
  </si>
  <si>
    <t xml:space="preserve">COHO STAR</t>
  </si>
  <si>
    <t xml:space="preserve">GW-0614</t>
  </si>
  <si>
    <t xml:space="preserve">WL-01995</t>
  </si>
  <si>
    <t xml:space="preserve">Tiffany Russell</t>
  </si>
  <si>
    <t xml:space="preserve">CORMORANT ROCK</t>
  </si>
  <si>
    <t xml:space="preserve">CORMORANT LIGHT</t>
  </si>
  <si>
    <t xml:space="preserve">GW-0617</t>
  </si>
  <si>
    <t xml:space="preserve">WL-02400</t>
  </si>
  <si>
    <t xml:space="preserve">Sierra Washington</t>
  </si>
  <si>
    <t xml:space="preserve">WIDGEON HARBOR</t>
  </si>
  <si>
    <t xml:space="preserve">GW-0618</t>
  </si>
  <si>
    <t xml:space="preserve">WL-03467</t>
  </si>
  <si>
    <t xml:space="preserve">Juan Ray</t>
  </si>
  <si>
    <t xml:space="preserve">ANCHOR SONG</t>
  </si>
  <si>
    <t xml:space="preserve">GW-0619</t>
  </si>
  <si>
    <t xml:space="preserve">WL-03110</t>
  </si>
  <si>
    <t xml:space="preserve">Randy Ramos</t>
  </si>
  <si>
    <t xml:space="preserve">SABLE STAR</t>
  </si>
  <si>
    <t xml:space="preserve">WL-01357</t>
  </si>
  <si>
    <t xml:space="preserve">Cody Rose</t>
  </si>
  <si>
    <t xml:space="preserve">HALIBUT ANN</t>
  </si>
  <si>
    <t xml:space="preserve">GW-0621</t>
  </si>
  <si>
    <t xml:space="preserve">WL-03595</t>
  </si>
  <si>
    <t xml:space="preserve">Roger Johnson</t>
  </si>
  <si>
    <t xml:space="preserve">KESTREL ANN</t>
  </si>
  <si>
    <t xml:space="preserve">WL-01075</t>
  </si>
  <si>
    <t xml:space="preserve">Ryan Gilmore</t>
  </si>
  <si>
    <t xml:space="preserve">SALISH DANCER</t>
  </si>
  <si>
    <t xml:space="preserve">GW-0623</t>
  </si>
  <si>
    <t xml:space="preserve">WL-03819</t>
  </si>
  <si>
    <t xml:space="preserve">Anna Wu</t>
  </si>
  <si>
    <t xml:space="preserve">GW-0702</t>
  </si>
  <si>
    <t xml:space="preserve">WL-02050</t>
  </si>
  <si>
    <t xml:space="preserve">John Howard</t>
  </si>
  <si>
    <t xml:space="preserve">SCOTER SOUND</t>
  </si>
  <si>
    <t xml:space="preserve">WL-02415</t>
  </si>
  <si>
    <t xml:space="preserve">Valerie Nelson</t>
  </si>
  <si>
    <t xml:space="preserve">WIDGEON RUNNER</t>
  </si>
  <si>
    <t xml:space="preserve">GW-0704</t>
  </si>
  <si>
    <t xml:space="preserve">OSPREY DANCER</t>
  </si>
  <si>
    <t xml:space="preserve">WL-03168</t>
  </si>
  <si>
    <t xml:space="preserve">Danielle Mckinney</t>
  </si>
  <si>
    <t xml:space="preserve">HALIBUT ROCK</t>
  </si>
  <si>
    <t xml:space="preserve">GW-0706</t>
  </si>
  <si>
    <t xml:space="preserve">WL-02503</t>
  </si>
  <si>
    <t xml:space="preserve">Molly Holland</t>
  </si>
  <si>
    <t xml:space="preserve">OTTER RUNNER</t>
  </si>
  <si>
    <t xml:space="preserve">GW-0707</t>
  </si>
  <si>
    <t xml:space="preserve">WL-01688</t>
  </si>
  <si>
    <t xml:space="preserve">Michael Gardner</t>
  </si>
  <si>
    <t xml:space="preserve">KESTREL RUNNER</t>
  </si>
  <si>
    <t xml:space="preserve">WL-01438</t>
  </si>
  <si>
    <t xml:space="preserve">Angela Whitehead</t>
  </si>
  <si>
    <t xml:space="preserve">KESTREL SOUND</t>
  </si>
  <si>
    <t xml:space="preserve">GW-0710</t>
  </si>
  <si>
    <t xml:space="preserve">WL-01445</t>
  </si>
  <si>
    <t xml:space="preserve">Kyle Estes</t>
  </si>
  <si>
    <t xml:space="preserve">SCOTER WEATHER</t>
  </si>
  <si>
    <t xml:space="preserve">GW-0711</t>
  </si>
  <si>
    <t xml:space="preserve">WL-01119</t>
  </si>
  <si>
    <t xml:space="preserve">Holly Kennedy</t>
  </si>
  <si>
    <t xml:space="preserve">POINT WIND</t>
  </si>
  <si>
    <t xml:space="preserve">GW-0712</t>
  </si>
  <si>
    <t xml:space="preserve">MURRE WAKE</t>
  </si>
  <si>
    <t xml:space="preserve">GW-0713</t>
  </si>
  <si>
    <t xml:space="preserve">WL-02476</t>
  </si>
  <si>
    <t xml:space="preserve">Dana Becker</t>
  </si>
  <si>
    <t xml:space="preserve">OTTER ROSE</t>
  </si>
  <si>
    <t xml:space="preserve">GW-0714</t>
  </si>
  <si>
    <t xml:space="preserve">WL-01459</t>
  </si>
  <si>
    <t xml:space="preserve">Brian Green</t>
  </si>
  <si>
    <t xml:space="preserve">PETREL MOON</t>
  </si>
  <si>
    <t xml:space="preserve">GW-0715</t>
  </si>
  <si>
    <t xml:space="preserve">WL-03752</t>
  </si>
  <si>
    <t xml:space="preserve">Timothy Soto</t>
  </si>
  <si>
    <t xml:space="preserve">POINT ROCK</t>
  </si>
  <si>
    <t xml:space="preserve">GW-0716</t>
  </si>
  <si>
    <t xml:space="preserve">WL-02814</t>
  </si>
  <si>
    <t xml:space="preserve">John Hammond</t>
  </si>
  <si>
    <t xml:space="preserve">DRIFT ROCK</t>
  </si>
  <si>
    <t xml:space="preserve">GW-0717</t>
  </si>
  <si>
    <t xml:space="preserve">WL-01882</t>
  </si>
  <si>
    <t xml:space="preserve">Dennis Shepard</t>
  </si>
  <si>
    <t xml:space="preserve">OSPREY MOON</t>
  </si>
  <si>
    <t xml:space="preserve">WL-03504</t>
  </si>
  <si>
    <t xml:space="preserve">Paul Brady</t>
  </si>
  <si>
    <t xml:space="preserve">GW-0720</t>
  </si>
  <si>
    <t xml:space="preserve">WL-03312</t>
  </si>
  <si>
    <t xml:space="preserve">Karla Thomas</t>
  </si>
  <si>
    <t xml:space="preserve">WIDGEON LIGHT</t>
  </si>
  <si>
    <t xml:space="preserve">GW-0721</t>
  </si>
  <si>
    <t xml:space="preserve">WL-03215</t>
  </si>
  <si>
    <t xml:space="preserve">Eric Simmons</t>
  </si>
  <si>
    <t xml:space="preserve">HALIBUT WAKE</t>
  </si>
  <si>
    <t xml:space="preserve">GW-0722</t>
  </si>
  <si>
    <t xml:space="preserve">WL-01180</t>
  </si>
  <si>
    <t xml:space="preserve">Rachel Smith</t>
  </si>
  <si>
    <t xml:space="preserve">COHO SONG</t>
  </si>
  <si>
    <t xml:space="preserve">GW-0723</t>
  </si>
  <si>
    <t xml:space="preserve">WL-01389</t>
  </si>
  <si>
    <t xml:space="preserve">Brian White</t>
  </si>
  <si>
    <t xml:space="preserve">PINTAIL WAKE</t>
  </si>
  <si>
    <t xml:space="preserve">GW-0802</t>
  </si>
  <si>
    <t xml:space="preserve">WL-01314</t>
  </si>
  <si>
    <t xml:space="preserve">Bobby Peterson</t>
  </si>
  <si>
    <t xml:space="preserve">SCOTER QUEEN</t>
  </si>
  <si>
    <t xml:space="preserve">GW-0803</t>
  </si>
  <si>
    <t xml:space="preserve">WL-01235</t>
  </si>
  <si>
    <t xml:space="preserve">Stacy Wilkins</t>
  </si>
  <si>
    <t xml:space="preserve">TIDE SONG</t>
  </si>
  <si>
    <t xml:space="preserve">GW-0804</t>
  </si>
  <si>
    <t xml:space="preserve">WL-01915</t>
  </si>
  <si>
    <t xml:space="preserve">Sara Fox</t>
  </si>
  <si>
    <t xml:space="preserve">DRIFT SONG</t>
  </si>
  <si>
    <t xml:space="preserve">GW-0805</t>
  </si>
  <si>
    <t xml:space="preserve">WL-03828</t>
  </si>
  <si>
    <t xml:space="preserve">Kristen Pittman</t>
  </si>
  <si>
    <t xml:space="preserve">HALIBUT RUNNER</t>
  </si>
  <si>
    <t xml:space="preserve">GW-0806</t>
  </si>
  <si>
    <t xml:space="preserve">WL-03113</t>
  </si>
  <si>
    <t xml:space="preserve">Dale Martin</t>
  </si>
  <si>
    <t xml:space="preserve">PINTAIL HARBOR</t>
  </si>
  <si>
    <t xml:space="preserve">GW-0807</t>
  </si>
  <si>
    <t xml:space="preserve">WL-01110</t>
  </si>
  <si>
    <t xml:space="preserve">Ryan Jones</t>
  </si>
  <si>
    <t xml:space="preserve">HERON STAR</t>
  </si>
  <si>
    <t xml:space="preserve">GW-0808</t>
  </si>
  <si>
    <t xml:space="preserve">WL-02125</t>
  </si>
  <si>
    <t xml:space="preserve">Fred Powell</t>
  </si>
  <si>
    <t xml:space="preserve">SABLE PASSAGE</t>
  </si>
  <si>
    <t xml:space="preserve">GW-0809</t>
  </si>
  <si>
    <t xml:space="preserve">WL-02028</t>
  </si>
  <si>
    <t xml:space="preserve">Stephanie Shepard</t>
  </si>
  <si>
    <t xml:space="preserve">TIDE MIST</t>
  </si>
  <si>
    <t xml:space="preserve">WIDGEON BAY</t>
  </si>
  <si>
    <t xml:space="preserve">GW-0811</t>
  </si>
  <si>
    <t xml:space="preserve">WL-02325</t>
  </si>
  <si>
    <t xml:space="preserve">Lisa Brown</t>
  </si>
  <si>
    <t xml:space="preserve">ANCHOR HARBOR</t>
  </si>
  <si>
    <t xml:space="preserve">GW-0812</t>
  </si>
  <si>
    <t xml:space="preserve">HALIBUT WEATHER</t>
  </si>
  <si>
    <t xml:space="preserve">WL-01147</t>
  </si>
  <si>
    <t xml:space="preserve">Rachel Burnett</t>
  </si>
  <si>
    <t xml:space="preserve">CORMORANT PASSAGE</t>
  </si>
  <si>
    <t xml:space="preserve">WL-03573</t>
  </si>
  <si>
    <t xml:space="preserve">Kathy Sanchez</t>
  </si>
  <si>
    <t xml:space="preserve">TIDE WEATHER</t>
  </si>
  <si>
    <t xml:space="preserve">GW-0816</t>
  </si>
  <si>
    <t xml:space="preserve">WL-01044</t>
  </si>
  <si>
    <t xml:space="preserve">Craig Mason</t>
  </si>
  <si>
    <t xml:space="preserve">SPINDRIFT CREST</t>
  </si>
  <si>
    <t xml:space="preserve">GW-0817</t>
  </si>
  <si>
    <t xml:space="preserve">WL-03408</t>
  </si>
  <si>
    <t xml:space="preserve">Mark Phillips</t>
  </si>
  <si>
    <t xml:space="preserve">GW-0818</t>
  </si>
  <si>
    <t xml:space="preserve">WL-03081</t>
  </si>
  <si>
    <t xml:space="preserve">Casey Ortiz</t>
  </si>
  <si>
    <t xml:space="preserve">SANDERLING SOUND</t>
  </si>
  <si>
    <t xml:space="preserve">GW-0819</t>
  </si>
  <si>
    <t xml:space="preserve">WL-01022</t>
  </si>
  <si>
    <t xml:space="preserve">Brett Cooley</t>
  </si>
  <si>
    <t xml:space="preserve">GW-0820</t>
  </si>
  <si>
    <t xml:space="preserve">WL-03760</t>
  </si>
  <si>
    <t xml:space="preserve">Samantha Herring</t>
  </si>
  <si>
    <t xml:space="preserve">DRIFT REACH</t>
  </si>
  <si>
    <t xml:space="preserve">GW-0821</t>
  </si>
  <si>
    <t xml:space="preserve">WL-02465</t>
  </si>
  <si>
    <t xml:space="preserve">Clinton Cox</t>
  </si>
  <si>
    <t xml:space="preserve">OTTER WIND</t>
  </si>
  <si>
    <t xml:space="preserve">GW-0822</t>
  </si>
  <si>
    <t xml:space="preserve">WL-02630</t>
  </si>
  <si>
    <t xml:space="preserve">Susan Snow</t>
  </si>
  <si>
    <t xml:space="preserve">GRAY VEER</t>
  </si>
  <si>
    <t xml:space="preserve">WL-01825</t>
  </si>
  <si>
    <t xml:space="preserve">Charles Krause</t>
  </si>
  <si>
    <t xml:space="preserve">GW-0901</t>
  </si>
  <si>
    <t xml:space="preserve">WL-03757</t>
  </si>
  <si>
    <t xml:space="preserve">Stephanie Webb</t>
  </si>
  <si>
    <t xml:space="preserve">SALISH RUNNER</t>
  </si>
  <si>
    <t xml:space="preserve">WL-02131</t>
  </si>
  <si>
    <t xml:space="preserve">Richard Thompson</t>
  </si>
  <si>
    <t xml:space="preserve">SCOTER WAKE</t>
  </si>
  <si>
    <t xml:space="preserve">GW-0903</t>
  </si>
  <si>
    <t xml:space="preserve">WL-03429</t>
  </si>
  <si>
    <t xml:space="preserve">Daniel Perez</t>
  </si>
  <si>
    <t xml:space="preserve">SPINDRIFT ROCK</t>
  </si>
  <si>
    <t xml:space="preserve">GW-0904</t>
  </si>
  <si>
    <t xml:space="preserve">WL-02021</t>
  </si>
  <si>
    <t xml:space="preserve">Andrew Medina</t>
  </si>
  <si>
    <t xml:space="preserve">PETREL SHORE</t>
  </si>
  <si>
    <t xml:space="preserve">WL-02101</t>
  </si>
  <si>
    <t xml:space="preserve">David Green</t>
  </si>
  <si>
    <t xml:space="preserve">WIDGEON ROSE</t>
  </si>
  <si>
    <t xml:space="preserve">GW-0906</t>
  </si>
  <si>
    <t xml:space="preserve">WL-01794</t>
  </si>
  <si>
    <t xml:space="preserve">Holly Thomas</t>
  </si>
  <si>
    <t xml:space="preserve">GRAY MOON</t>
  </si>
  <si>
    <t xml:space="preserve">GW-0907</t>
  </si>
  <si>
    <t xml:space="preserve">WL-02365</t>
  </si>
  <si>
    <t xml:space="preserve">Sophia Williams</t>
  </si>
  <si>
    <t xml:space="preserve">FOUL ROSE</t>
  </si>
  <si>
    <t xml:space="preserve">WL-01615</t>
  </si>
  <si>
    <t xml:space="preserve">Melissa Gaines</t>
  </si>
  <si>
    <t xml:space="preserve">DRIFT HARBOR</t>
  </si>
  <si>
    <t xml:space="preserve">GW-0909</t>
  </si>
  <si>
    <t xml:space="preserve">WL-01033</t>
  </si>
  <si>
    <t xml:space="preserve">Jodi Gonzalez</t>
  </si>
  <si>
    <t xml:space="preserve">PETREL QUEEN</t>
  </si>
  <si>
    <t xml:space="preserve">WL-01532</t>
  </si>
  <si>
    <t xml:space="preserve">Bradley Mejia</t>
  </si>
  <si>
    <t xml:space="preserve">TIDE WAKE</t>
  </si>
  <si>
    <t xml:space="preserve">GW-0911</t>
  </si>
  <si>
    <t xml:space="preserve">WL-03632</t>
  </si>
  <si>
    <t xml:space="preserve">Melissa Wallace</t>
  </si>
  <si>
    <t xml:space="preserve">SALISH LINE</t>
  </si>
  <si>
    <t xml:space="preserve">GW-0912</t>
  </si>
  <si>
    <t xml:space="preserve">WL-02341</t>
  </si>
  <si>
    <t xml:space="preserve">David Stewart</t>
  </si>
  <si>
    <t xml:space="preserve">SPINDRIFT REACH</t>
  </si>
  <si>
    <t xml:space="preserve">GW-0913</t>
  </si>
  <si>
    <t xml:space="preserve">GW-0914</t>
  </si>
  <si>
    <t xml:space="preserve">WL-01460</t>
  </si>
  <si>
    <t xml:space="preserve">Lori Maldonado</t>
  </si>
  <si>
    <t xml:space="preserve">PINTAIL SHORE</t>
  </si>
  <si>
    <t xml:space="preserve">WL-03866</t>
  </si>
  <si>
    <t xml:space="preserve">Jacqueline Anderson</t>
  </si>
  <si>
    <t xml:space="preserve">ANCHOR CREST</t>
  </si>
  <si>
    <t xml:space="preserve">GW-0916</t>
  </si>
  <si>
    <t xml:space="preserve">WL-01914</t>
  </si>
  <si>
    <t xml:space="preserve">Danny Flores</t>
  </si>
  <si>
    <t xml:space="preserve">GW-0917</t>
  </si>
  <si>
    <t xml:space="preserve">PETREL CREST</t>
  </si>
  <si>
    <t xml:space="preserve">GW-0918</t>
  </si>
  <si>
    <t xml:space="preserve">WL-03172</t>
  </si>
  <si>
    <t xml:space="preserve">Jessica Sanford</t>
  </si>
  <si>
    <t xml:space="preserve">SALISH QUEEN</t>
  </si>
  <si>
    <t xml:space="preserve">GW-0919</t>
  </si>
  <si>
    <t xml:space="preserve">WL-01940</t>
  </si>
  <si>
    <t xml:space="preserve">Kelly Howell</t>
  </si>
  <si>
    <t xml:space="preserve">PINTAIL MIST</t>
  </si>
  <si>
    <t xml:space="preserve">GW-0920</t>
  </si>
  <si>
    <t xml:space="preserve">WL-01338</t>
  </si>
  <si>
    <t xml:space="preserve">Philip Simpson</t>
  </si>
  <si>
    <t xml:space="preserve">MURRE STAR</t>
  </si>
  <si>
    <t xml:space="preserve">GW-0921</t>
  </si>
  <si>
    <t xml:space="preserve">WL-02657</t>
  </si>
  <si>
    <t xml:space="preserve">Keith Barr</t>
  </si>
  <si>
    <t xml:space="preserve">GW-0922</t>
  </si>
  <si>
    <t xml:space="preserve">WL-03531</t>
  </si>
  <si>
    <t xml:space="preserve">Nicole Golden</t>
  </si>
  <si>
    <t xml:space="preserve">OTTER PASSAGE</t>
  </si>
  <si>
    <t xml:space="preserve">GW-0923</t>
  </si>
  <si>
    <t xml:space="preserve">HERON ANN</t>
  </si>
  <si>
    <t xml:space="preserve">GW-1001</t>
  </si>
  <si>
    <t xml:space="preserve">WL-02083</t>
  </si>
  <si>
    <t xml:space="preserve">Brandon Choi</t>
  </si>
  <si>
    <t xml:space="preserve">SABLE MIST</t>
  </si>
  <si>
    <t xml:space="preserve">GW-1002</t>
  </si>
  <si>
    <t xml:space="preserve">WL-01108</t>
  </si>
  <si>
    <t xml:space="preserve">Evelyn Thomas</t>
  </si>
  <si>
    <t xml:space="preserve">OTTER MOON</t>
  </si>
  <si>
    <t xml:space="preserve">WL-03052</t>
  </si>
  <si>
    <t xml:space="preserve">Jenna Marsh</t>
  </si>
  <si>
    <t xml:space="preserve">CORMORANT SHORE</t>
  </si>
  <si>
    <t xml:space="preserve">GW-1004</t>
  </si>
  <si>
    <t xml:space="preserve">WL-03149</t>
  </si>
  <si>
    <t xml:space="preserve">Todd Williams</t>
  </si>
  <si>
    <t xml:space="preserve">TIDE RUNNER</t>
  </si>
  <si>
    <t xml:space="preserve">GW-1005</t>
  </si>
  <si>
    <t xml:space="preserve">WL-03191</t>
  </si>
  <si>
    <t xml:space="preserve">William Lam</t>
  </si>
  <si>
    <t xml:space="preserve">OTTER LIGHT</t>
  </si>
  <si>
    <t xml:space="preserve">GW-1006</t>
  </si>
  <si>
    <t xml:space="preserve">WL-02170</t>
  </si>
  <si>
    <t xml:space="preserve">Robin Duke</t>
  </si>
  <si>
    <t xml:space="preserve">GW-1007</t>
  </si>
  <si>
    <t xml:space="preserve">WL-01742</t>
  </si>
  <si>
    <t xml:space="preserve">Robert Smith</t>
  </si>
  <si>
    <t xml:space="preserve">COHO ROCK</t>
  </si>
  <si>
    <t xml:space="preserve">WL-03216</t>
  </si>
  <si>
    <t xml:space="preserve">Nancy Branch</t>
  </si>
  <si>
    <t xml:space="preserve">CORMORANT WEATHER</t>
  </si>
  <si>
    <t xml:space="preserve">GW-1009</t>
  </si>
  <si>
    <t xml:space="preserve">GRAY ROSE</t>
  </si>
  <si>
    <t xml:space="preserve">GW-1010</t>
  </si>
  <si>
    <t xml:space="preserve">WL-01543</t>
  </si>
  <si>
    <t xml:space="preserve">Charles Gomez</t>
  </si>
  <si>
    <t xml:space="preserve">SANDERLING RUNNER</t>
  </si>
  <si>
    <t xml:space="preserve">GW-1011</t>
  </si>
  <si>
    <t xml:space="preserve">WL-02258</t>
  </si>
  <si>
    <t xml:space="preserve">Katrina Griffin</t>
  </si>
  <si>
    <t xml:space="preserve">TIDE VEER</t>
  </si>
  <si>
    <t xml:space="preserve">WL-01480</t>
  </si>
  <si>
    <t xml:space="preserve">Kaitlin Meyer</t>
  </si>
  <si>
    <t xml:space="preserve">ANCHOR MIST</t>
  </si>
  <si>
    <t xml:space="preserve">WL-02038</t>
  </si>
  <si>
    <t xml:space="preserve">Patricia Thomas</t>
  </si>
  <si>
    <t xml:space="preserve">TIDE ROSE</t>
  </si>
  <si>
    <t xml:space="preserve">GW-1014</t>
  </si>
  <si>
    <t xml:space="preserve">WL-03067</t>
  </si>
  <si>
    <t xml:space="preserve">Eric Thomas</t>
  </si>
  <si>
    <t xml:space="preserve">ANCHOR ROSE</t>
  </si>
  <si>
    <t xml:space="preserve">GW-1015</t>
  </si>
  <si>
    <t xml:space="preserve">WL-02143</t>
  </si>
  <si>
    <t xml:space="preserve">Lisa Wright</t>
  </si>
  <si>
    <t xml:space="preserve">FOUL DANCER</t>
  </si>
  <si>
    <t xml:space="preserve">GW-1016</t>
  </si>
  <si>
    <t xml:space="preserve">WL-02443</t>
  </si>
  <si>
    <t xml:space="preserve">Seth Neal</t>
  </si>
  <si>
    <t xml:space="preserve">ANCHOR ROCK</t>
  </si>
  <si>
    <t xml:space="preserve">WL-01350</t>
  </si>
  <si>
    <t xml:space="preserve">John George</t>
  </si>
  <si>
    <t xml:space="preserve">GW-1018</t>
  </si>
  <si>
    <t xml:space="preserve">SABLE ROCK</t>
  </si>
  <si>
    <t xml:space="preserve">GW-1019</t>
  </si>
  <si>
    <t xml:space="preserve">WL-02234</t>
  </si>
  <si>
    <t xml:space="preserve">Chelsea Chandler</t>
  </si>
  <si>
    <t xml:space="preserve">PETREL REACH</t>
  </si>
  <si>
    <t xml:space="preserve">WL-03776</t>
  </si>
  <si>
    <t xml:space="preserve">Michael Beard</t>
  </si>
  <si>
    <t xml:space="preserve">OSPREY QUEEN</t>
  </si>
  <si>
    <t xml:space="preserve">GW-1021</t>
  </si>
  <si>
    <t xml:space="preserve">WL-03394</t>
  </si>
  <si>
    <t xml:space="preserve">Alyssa Robinson</t>
  </si>
  <si>
    <t xml:space="preserve">DRIFT ROSE</t>
  </si>
  <si>
    <t xml:space="preserve">GW-1023</t>
  </si>
  <si>
    <t xml:space="preserve">WL-02832</t>
  </si>
  <si>
    <t xml:space="preserve">Mia Schwartz</t>
  </si>
  <si>
    <t xml:space="preserve">SB-0101</t>
  </si>
  <si>
    <t xml:space="preserve">WL-03060</t>
  </si>
  <si>
    <t xml:space="preserve">Lisa Johnson</t>
  </si>
  <si>
    <t xml:space="preserve">DRIFT RUNNER</t>
  </si>
  <si>
    <t xml:space="preserve">WL-02851</t>
  </si>
  <si>
    <t xml:space="preserve">Andrew Rivera</t>
  </si>
  <si>
    <t xml:space="preserve">SEAL SHORE</t>
  </si>
  <si>
    <t xml:space="preserve">SB-0103</t>
  </si>
  <si>
    <t xml:space="preserve">WL-03155</t>
  </si>
  <si>
    <t xml:space="preserve">Mark Harvey</t>
  </si>
  <si>
    <t xml:space="preserve">BRANT CREST</t>
  </si>
  <si>
    <t xml:space="preserve">WL-02079</t>
  </si>
  <si>
    <t xml:space="preserve">Vicki Wright</t>
  </si>
  <si>
    <t xml:space="preserve">WL-03736</t>
  </si>
  <si>
    <t xml:space="preserve">Nicole Martinez</t>
  </si>
  <si>
    <t xml:space="preserve">SANDERLING HARBOR</t>
  </si>
  <si>
    <t xml:space="preserve">WL-02071</t>
  </si>
  <si>
    <t xml:space="preserve">Cameron Perry</t>
  </si>
  <si>
    <t xml:space="preserve">MURRE DANCER</t>
  </si>
  <si>
    <t xml:space="preserve">SB-0108</t>
  </si>
  <si>
    <t xml:space="preserve">WL-03452</t>
  </si>
  <si>
    <t xml:space="preserve">Nicole Wood</t>
  </si>
  <si>
    <t xml:space="preserve">WL-03007</t>
  </si>
  <si>
    <t xml:space="preserve">Brandy Hart</t>
  </si>
  <si>
    <t xml:space="preserve">OTTER HARBOR</t>
  </si>
  <si>
    <t xml:space="preserve">SB-0110</t>
  </si>
  <si>
    <t xml:space="preserve">WL-02641</t>
  </si>
  <si>
    <t xml:space="preserve">Denise Miles</t>
  </si>
  <si>
    <t xml:space="preserve">KESTREL BAY</t>
  </si>
  <si>
    <t xml:space="preserve">SB-0111</t>
  </si>
  <si>
    <t xml:space="preserve">WL-03610</t>
  </si>
  <si>
    <t xml:space="preserve">David Austin</t>
  </si>
  <si>
    <t xml:space="preserve">SB-0112</t>
  </si>
  <si>
    <t xml:space="preserve">WL-03043</t>
  </si>
  <si>
    <t xml:space="preserve">Donald Jones</t>
  </si>
  <si>
    <t xml:space="preserve">SABLE VEER</t>
  </si>
  <si>
    <t xml:space="preserve">SB-0113</t>
  </si>
  <si>
    <t xml:space="preserve">WL-03490</t>
  </si>
  <si>
    <t xml:space="preserve">Julian Browning</t>
  </si>
  <si>
    <t xml:space="preserve">SB-0114</t>
  </si>
  <si>
    <t xml:space="preserve">WL-03362</t>
  </si>
  <si>
    <t xml:space="preserve">Crystal Porter</t>
  </si>
  <si>
    <t xml:space="preserve">SEAL VEER</t>
  </si>
  <si>
    <t xml:space="preserve">SB-0116</t>
  </si>
  <si>
    <t xml:space="preserve">OSPREY LIGHT</t>
  </si>
  <si>
    <t xml:space="preserve">SB-0117</t>
  </si>
  <si>
    <t xml:space="preserve">WL-02959</t>
  </si>
  <si>
    <t xml:space="preserve">Diamond Zavala</t>
  </si>
  <si>
    <t xml:space="preserve">OTTER LINE</t>
  </si>
  <si>
    <t xml:space="preserve">SB-0118</t>
  </si>
  <si>
    <t xml:space="preserve">WL-02380</t>
  </si>
  <si>
    <t xml:space="preserve">John Escobar</t>
  </si>
  <si>
    <t xml:space="preserve">SANDERLING GLIDE</t>
  </si>
  <si>
    <t xml:space="preserve">SB-0119</t>
  </si>
  <si>
    <t xml:space="preserve">WL-02414</t>
  </si>
  <si>
    <t xml:space="preserve">Ashley Martinez</t>
  </si>
  <si>
    <t xml:space="preserve">DRIFT LINE</t>
  </si>
  <si>
    <t xml:space="preserve">WL-03833</t>
  </si>
  <si>
    <t xml:space="preserve">Jenny Miller</t>
  </si>
  <si>
    <t xml:space="preserve">COHO MIST</t>
  </si>
  <si>
    <t xml:space="preserve">SB-0121</t>
  </si>
  <si>
    <t xml:space="preserve">WL-02392</t>
  </si>
  <si>
    <t xml:space="preserve">Michael Jones</t>
  </si>
  <si>
    <t xml:space="preserve">HERON QUEEN</t>
  </si>
  <si>
    <t xml:space="preserve">SB-0122</t>
  </si>
  <si>
    <t xml:space="preserve">WL-03856</t>
  </si>
  <si>
    <t xml:space="preserve">Taylor Ross</t>
  </si>
  <si>
    <t xml:space="preserve">SB-0201</t>
  </si>
  <si>
    <t xml:space="preserve">WL-01401</t>
  </si>
  <si>
    <t xml:space="preserve">Douglas Thompson</t>
  </si>
  <si>
    <t xml:space="preserve">SB-0202</t>
  </si>
  <si>
    <t xml:space="preserve">WL-03158</t>
  </si>
  <si>
    <t xml:space="preserve">Andrea Lopez</t>
  </si>
  <si>
    <t xml:space="preserve">SALISH ROCK</t>
  </si>
  <si>
    <t xml:space="preserve">SB-0204</t>
  </si>
  <si>
    <t xml:space="preserve">PINTAIL LINE</t>
  </si>
  <si>
    <t xml:space="preserve">WL-03840</t>
  </si>
  <si>
    <t xml:space="preserve">David Davis</t>
  </si>
  <si>
    <t xml:space="preserve">BRANT GLIDE</t>
  </si>
  <si>
    <t xml:space="preserve">SB-0206</t>
  </si>
  <si>
    <t xml:space="preserve">WL-02300</t>
  </si>
  <si>
    <t xml:space="preserve">Carolyn Murray</t>
  </si>
  <si>
    <t xml:space="preserve">ANCHOR ANN</t>
  </si>
  <si>
    <t xml:space="preserve">SB-0207</t>
  </si>
  <si>
    <t xml:space="preserve">PINTAIL VEER</t>
  </si>
  <si>
    <t xml:space="preserve">SB-0208</t>
  </si>
  <si>
    <t xml:space="preserve">WL-01383</t>
  </si>
  <si>
    <t xml:space="preserve">Donna Henderson</t>
  </si>
  <si>
    <t xml:space="preserve">WL-01114</t>
  </si>
  <si>
    <t xml:space="preserve">Dustin Lambert</t>
  </si>
  <si>
    <t xml:space="preserve">KESTREL CREST</t>
  </si>
  <si>
    <t xml:space="preserve">WL-03463</t>
  </si>
  <si>
    <t xml:space="preserve">Chris Dixon</t>
  </si>
  <si>
    <t xml:space="preserve">KESTREL WEATHER</t>
  </si>
  <si>
    <t xml:space="preserve">SB-0211</t>
  </si>
  <si>
    <t xml:space="preserve">WL-01011</t>
  </si>
  <si>
    <t xml:space="preserve">Kristen Hughes</t>
  </si>
  <si>
    <t xml:space="preserve">TIDE BAY</t>
  </si>
  <si>
    <t xml:space="preserve">SB-0212</t>
  </si>
  <si>
    <t xml:space="preserve">WL-02204</t>
  </si>
  <si>
    <t xml:space="preserve">Julia Hansen</t>
  </si>
  <si>
    <t xml:space="preserve">WL-01573</t>
  </si>
  <si>
    <t xml:space="preserve">Benjamin Jimenez</t>
  </si>
  <si>
    <t xml:space="preserve">WL-01611</t>
  </si>
  <si>
    <t xml:space="preserve">Joshua Diaz</t>
  </si>
  <si>
    <t xml:space="preserve">BRANT WAKE</t>
  </si>
  <si>
    <t xml:space="preserve">SB-0215</t>
  </si>
  <si>
    <t xml:space="preserve">WL-03513</t>
  </si>
  <si>
    <t xml:space="preserve">Rose Lee</t>
  </si>
  <si>
    <t xml:space="preserve">SB-0216</t>
  </si>
  <si>
    <t xml:space="preserve">WL-01900</t>
  </si>
  <si>
    <t xml:space="preserve">Nancy Guerrero</t>
  </si>
  <si>
    <t xml:space="preserve">SPINDRIFT BAY</t>
  </si>
  <si>
    <t xml:space="preserve">SB-0217</t>
  </si>
  <si>
    <t xml:space="preserve">WL-03724</t>
  </si>
  <si>
    <t xml:space="preserve">Ryan Garza</t>
  </si>
  <si>
    <t xml:space="preserve">FOUL GLIDE</t>
  </si>
  <si>
    <t xml:space="preserve">SB-0218</t>
  </si>
  <si>
    <t xml:space="preserve">WL-03103</t>
  </si>
  <si>
    <t xml:space="preserve">Thomas Roman</t>
  </si>
  <si>
    <t xml:space="preserve">OTTER BAY</t>
  </si>
  <si>
    <t xml:space="preserve">SB-0219</t>
  </si>
  <si>
    <t xml:space="preserve">WL-03588</t>
  </si>
  <si>
    <t xml:space="preserve">Angela Olson</t>
  </si>
  <si>
    <t xml:space="preserve">OSPREY WIND</t>
  </si>
  <si>
    <t xml:space="preserve">SB-0220</t>
  </si>
  <si>
    <t xml:space="preserve">WL-02617</t>
  </si>
  <si>
    <t xml:space="preserve">Shane Lozano</t>
  </si>
  <si>
    <t xml:space="preserve">WL-02483</t>
  </si>
  <si>
    <t xml:space="preserve">Benjamin Gomez</t>
  </si>
  <si>
    <t xml:space="preserve">SB-0223</t>
  </si>
  <si>
    <t xml:space="preserve">WL-03116</t>
  </si>
  <si>
    <t xml:space="preserve">Anthony Kennedy</t>
  </si>
  <si>
    <t xml:space="preserve">GRAY MIST</t>
  </si>
  <si>
    <t xml:space="preserve">SB-0224</t>
  </si>
  <si>
    <t xml:space="preserve">WL-01960</t>
  </si>
  <si>
    <t xml:space="preserve">Sean Smith</t>
  </si>
  <si>
    <t xml:space="preserve">PINTAIL ANN</t>
  </si>
  <si>
    <t xml:space="preserve">SB-0301</t>
  </si>
  <si>
    <t xml:space="preserve">WL-03355</t>
  </si>
  <si>
    <t xml:space="preserve">Sarah King</t>
  </si>
  <si>
    <t xml:space="preserve">WL-01068</t>
  </si>
  <si>
    <t xml:space="preserve">Charles Thomas</t>
  </si>
  <si>
    <t xml:space="preserve">SB-0303</t>
  </si>
  <si>
    <t xml:space="preserve">WL-03829</t>
  </si>
  <si>
    <t xml:space="preserve">Ana Christian</t>
  </si>
  <si>
    <t xml:space="preserve">SCOTER STAR</t>
  </si>
  <si>
    <t xml:space="preserve">SB-0304</t>
  </si>
  <si>
    <t xml:space="preserve">WL-03729</t>
  </si>
  <si>
    <t xml:space="preserve">Sara Jackson</t>
  </si>
  <si>
    <t xml:space="preserve">SB-0305</t>
  </si>
  <si>
    <t xml:space="preserve">WL-03660</t>
  </si>
  <si>
    <t xml:space="preserve">David Sutton</t>
  </si>
  <si>
    <t xml:space="preserve">CORMORANT REACH</t>
  </si>
  <si>
    <t xml:space="preserve">WL-03658</t>
  </si>
  <si>
    <t xml:space="preserve">William Washington</t>
  </si>
  <si>
    <t xml:space="preserve">WL-02216</t>
  </si>
  <si>
    <t xml:space="preserve">Michael Diaz</t>
  </si>
  <si>
    <t xml:space="preserve">PETREL LIGHT</t>
  </si>
  <si>
    <t xml:space="preserve">SB-0308</t>
  </si>
  <si>
    <t xml:space="preserve">WL-02849</t>
  </si>
  <si>
    <t xml:space="preserve">Peter Johnson</t>
  </si>
  <si>
    <t xml:space="preserve">GRAY LIGHT</t>
  </si>
  <si>
    <t xml:space="preserve">SB-0309</t>
  </si>
  <si>
    <t xml:space="preserve">WL-03557</t>
  </si>
  <si>
    <t xml:space="preserve">Tiffany Smith</t>
  </si>
  <si>
    <t xml:space="preserve">CORMORANT WAKE</t>
  </si>
  <si>
    <t xml:space="preserve">SB-0311</t>
  </si>
  <si>
    <t xml:space="preserve">WL-03282</t>
  </si>
  <si>
    <t xml:space="preserve">Jillian Curry</t>
  </si>
  <si>
    <t xml:space="preserve">TIDE REACH</t>
  </si>
  <si>
    <t xml:space="preserve">SB-0312</t>
  </si>
  <si>
    <t xml:space="preserve">WL-02507</t>
  </si>
  <si>
    <t xml:space="preserve">Erin Morris</t>
  </si>
  <si>
    <t xml:space="preserve">HALIBUT ROSE</t>
  </si>
  <si>
    <t xml:space="preserve">WL-02129</t>
  </si>
  <si>
    <t xml:space="preserve">Lisa Palmer</t>
  </si>
  <si>
    <t xml:space="preserve">SCOTER GLIDE</t>
  </si>
  <si>
    <t xml:space="preserve">WL-03303</t>
  </si>
  <si>
    <t xml:space="preserve">Eileen Norris</t>
  </si>
  <si>
    <t xml:space="preserve">PETREL BAY</t>
  </si>
  <si>
    <t xml:space="preserve">SB-0315</t>
  </si>
  <si>
    <t xml:space="preserve">WL-02337</t>
  </si>
  <si>
    <t xml:space="preserve">Brian Taylor</t>
  </si>
  <si>
    <t xml:space="preserve">OTTER WAKE</t>
  </si>
  <si>
    <t xml:space="preserve">SB-0316</t>
  </si>
  <si>
    <t xml:space="preserve">WL-02020</t>
  </si>
  <si>
    <t xml:space="preserve">Jacqueline Daniels</t>
  </si>
  <si>
    <t xml:space="preserve">FOUL MIST</t>
  </si>
  <si>
    <t xml:space="preserve">SB-0317</t>
  </si>
  <si>
    <t xml:space="preserve">WL-01571</t>
  </si>
  <si>
    <t xml:space="preserve">Blake Webb</t>
  </si>
  <si>
    <t xml:space="preserve">SB-0318</t>
  </si>
  <si>
    <t xml:space="preserve">WL-03173</t>
  </si>
  <si>
    <t xml:space="preserve">Timothy Wood</t>
  </si>
  <si>
    <t xml:space="preserve">SABLE MOON</t>
  </si>
  <si>
    <t xml:space="preserve">WL-02172</t>
  </si>
  <si>
    <t xml:space="preserve">Anna Bishop</t>
  </si>
  <si>
    <t xml:space="preserve">SALISH MIST</t>
  </si>
  <si>
    <t xml:space="preserve">SB-0320</t>
  </si>
  <si>
    <t xml:space="preserve">WL-01830</t>
  </si>
  <si>
    <t xml:space="preserve">Robert Patel</t>
  </si>
  <si>
    <t xml:space="preserve">SB-0321</t>
  </si>
  <si>
    <t xml:space="preserve">WL-02472</t>
  </si>
  <si>
    <t xml:space="preserve">William Martinez</t>
  </si>
  <si>
    <t xml:space="preserve">FOUL BAY</t>
  </si>
  <si>
    <t xml:space="preserve">SB-0322</t>
  </si>
  <si>
    <t xml:space="preserve">WL-02376</t>
  </si>
  <si>
    <t xml:space="preserve">Steven Robinson</t>
  </si>
  <si>
    <t xml:space="preserve">SABLE SOUND</t>
  </si>
  <si>
    <t xml:space="preserve">SB-0323</t>
  </si>
  <si>
    <t xml:space="preserve">WL-03820</t>
  </si>
  <si>
    <t xml:space="preserve">Thomas Robinson</t>
  </si>
  <si>
    <t xml:space="preserve">OTTER SOUND</t>
  </si>
  <si>
    <t xml:space="preserve">SB-0324</t>
  </si>
  <si>
    <t xml:space="preserve">WL-01917</t>
  </si>
  <si>
    <t xml:space="preserve">Matthew May</t>
  </si>
  <si>
    <t xml:space="preserve">SCOTER BAY</t>
  </si>
  <si>
    <t xml:space="preserve">WL-01395</t>
  </si>
  <si>
    <t xml:space="preserve">Denise Mitchell</t>
  </si>
  <si>
    <t xml:space="preserve">SEAL STAR</t>
  </si>
  <si>
    <t xml:space="preserve">WL-03565</t>
  </si>
  <si>
    <t xml:space="preserve">Brian Rosario</t>
  </si>
  <si>
    <t xml:space="preserve">HERON HARBOR</t>
  </si>
  <si>
    <t xml:space="preserve">WL-02892</t>
  </si>
  <si>
    <t xml:space="preserve">Martha Cook</t>
  </si>
  <si>
    <t xml:space="preserve">FOUL WAKE</t>
  </si>
  <si>
    <t xml:space="preserve">SB-0404</t>
  </si>
  <si>
    <t xml:space="preserve">PINTAIL ROCK</t>
  </si>
  <si>
    <t xml:space="preserve">WL-02223</t>
  </si>
  <si>
    <t xml:space="preserve">Ashley Wilson</t>
  </si>
  <si>
    <t xml:space="preserve">FOUL REACH</t>
  </si>
  <si>
    <t xml:space="preserve">WL-02891</t>
  </si>
  <si>
    <t xml:space="preserve">Jon Suarez</t>
  </si>
  <si>
    <t xml:space="preserve">SPINDRIFT SOUND</t>
  </si>
  <si>
    <t xml:space="preserve">WL-02876</t>
  </si>
  <si>
    <t xml:space="preserve">Janice Collins</t>
  </si>
  <si>
    <t xml:space="preserve">SCOTER ANN</t>
  </si>
  <si>
    <t xml:space="preserve">WL-01281</t>
  </si>
  <si>
    <t xml:space="preserve">Alexander Ferguson</t>
  </si>
  <si>
    <t xml:space="preserve">POINT WEATHER</t>
  </si>
  <si>
    <t xml:space="preserve">SB-0409</t>
  </si>
  <si>
    <t xml:space="preserve">WL-01762</t>
  </si>
  <si>
    <t xml:space="preserve">John Powell</t>
  </si>
  <si>
    <t xml:space="preserve">DRIFT WAKE</t>
  </si>
  <si>
    <t xml:space="preserve">WL-01770</t>
  </si>
  <si>
    <t xml:space="preserve">Billy Cummings</t>
  </si>
  <si>
    <t xml:space="preserve">WL-02542</t>
  </si>
  <si>
    <t xml:space="preserve">Susan Decker</t>
  </si>
  <si>
    <t xml:space="preserve">OTTER WEATHER</t>
  </si>
  <si>
    <t xml:space="preserve">SB-0412</t>
  </si>
  <si>
    <t xml:space="preserve">WL-03345</t>
  </si>
  <si>
    <t xml:space="preserve">Cody Jackson</t>
  </si>
  <si>
    <t xml:space="preserve">FOUL LINE</t>
  </si>
  <si>
    <t xml:space="preserve">SB-0413</t>
  </si>
  <si>
    <t xml:space="preserve">WL-01247</t>
  </si>
  <si>
    <t xml:space="preserve">Daniel Wallace</t>
  </si>
  <si>
    <t xml:space="preserve">SPINDRIFT HARBOR</t>
  </si>
  <si>
    <t xml:space="preserve">SB-0414</t>
  </si>
  <si>
    <t xml:space="preserve">WL-01769</t>
  </si>
  <si>
    <t xml:space="preserve">Brenda Cruz</t>
  </si>
  <si>
    <t xml:space="preserve">POINT DANCER</t>
  </si>
  <si>
    <t xml:space="preserve">SB-0415</t>
  </si>
  <si>
    <t xml:space="preserve">WL-03540</t>
  </si>
  <si>
    <t xml:space="preserve">Julie Crane</t>
  </si>
  <si>
    <t xml:space="preserve">BRANT DANCER</t>
  </si>
  <si>
    <t xml:space="preserve">WL-03324</t>
  </si>
  <si>
    <t xml:space="preserve">Jacob Hanna</t>
  </si>
  <si>
    <t xml:space="preserve">CORMORANT HARBOR</t>
  </si>
  <si>
    <t xml:space="preserve">SB-0418</t>
  </si>
  <si>
    <t xml:space="preserve">WL-03571</t>
  </si>
  <si>
    <t xml:space="preserve">Rebecca Merritt</t>
  </si>
  <si>
    <t xml:space="preserve">CORMORANT STAR</t>
  </si>
  <si>
    <t xml:space="preserve">WL-03076</t>
  </si>
  <si>
    <t xml:space="preserve">Jennifer Davis</t>
  </si>
  <si>
    <t xml:space="preserve">OSPREY SONG</t>
  </si>
  <si>
    <t xml:space="preserve">WL-03473</t>
  </si>
  <si>
    <t xml:space="preserve">Brian Miller</t>
  </si>
  <si>
    <t xml:space="preserve">SABLE QUEEN</t>
  </si>
  <si>
    <t xml:space="preserve">SB-0421</t>
  </si>
  <si>
    <t xml:space="preserve">WL-02552</t>
  </si>
  <si>
    <t xml:space="preserve">Brian Shea</t>
  </si>
  <si>
    <t xml:space="preserve">SB-0422</t>
  </si>
  <si>
    <t xml:space="preserve">WL-02351</t>
  </si>
  <si>
    <t xml:space="preserve">Kenneth Bradford</t>
  </si>
  <si>
    <t xml:space="preserve">DRIFT MIST</t>
  </si>
  <si>
    <t xml:space="preserve">SB-0423</t>
  </si>
  <si>
    <t xml:space="preserve">WL-03606</t>
  </si>
  <si>
    <t xml:space="preserve">Jared Garcia</t>
  </si>
  <si>
    <t xml:space="preserve">SB-0424</t>
  </si>
  <si>
    <t xml:space="preserve">WL-02295</t>
  </si>
  <si>
    <t xml:space="preserve">Katie Hall</t>
  </si>
  <si>
    <t xml:space="preserve">HALIBUT HARBOR</t>
  </si>
  <si>
    <t xml:space="preserve">SB-0502</t>
  </si>
  <si>
    <t xml:space="preserve">WL-01453</t>
  </si>
  <si>
    <t xml:space="preserve">Kelly Lee</t>
  </si>
  <si>
    <t xml:space="preserve">ANCHOR RUNNER</t>
  </si>
  <si>
    <t xml:space="preserve">SB-0503</t>
  </si>
  <si>
    <t xml:space="preserve">WL-02805</t>
  </si>
  <si>
    <t xml:space="preserve">Sheila Fuentes</t>
  </si>
  <si>
    <t xml:space="preserve">SCOTER RUNNER</t>
  </si>
  <si>
    <t xml:space="preserve">SB-0504</t>
  </si>
  <si>
    <t xml:space="preserve">WL-03009</t>
  </si>
  <si>
    <t xml:space="preserve">Dennis Taylor</t>
  </si>
  <si>
    <t xml:space="preserve">COHO QUEEN</t>
  </si>
  <si>
    <t xml:space="preserve">SB-0505</t>
  </si>
  <si>
    <t xml:space="preserve">WL-03522</t>
  </si>
  <si>
    <t xml:space="preserve">Austin Sanchez</t>
  </si>
  <si>
    <t xml:space="preserve">MURRE QUEEN</t>
  </si>
  <si>
    <t xml:space="preserve">SB-0506</t>
  </si>
  <si>
    <t xml:space="preserve">HALIBUT GLIDE</t>
  </si>
  <si>
    <t xml:space="preserve">SB-0507</t>
  </si>
  <si>
    <t xml:space="preserve">WL-03590</t>
  </si>
  <si>
    <t xml:space="preserve">Dawn Johnson</t>
  </si>
  <si>
    <t xml:space="preserve">SB-0509</t>
  </si>
  <si>
    <t xml:space="preserve">WL-02521</t>
  </si>
  <si>
    <t xml:space="preserve">Ashley Vance</t>
  </si>
  <si>
    <t xml:space="preserve">SALISH GLIDE</t>
  </si>
  <si>
    <t xml:space="preserve">SB-0510</t>
  </si>
  <si>
    <t xml:space="preserve">WL-02318</t>
  </si>
  <si>
    <t xml:space="preserve">Brittany Harris</t>
  </si>
  <si>
    <t xml:space="preserve">PETREL ROCK</t>
  </si>
  <si>
    <t xml:space="preserve">SB-0511</t>
  </si>
  <si>
    <t xml:space="preserve">SPINDRIFT MIST</t>
  </si>
  <si>
    <t xml:space="preserve">SB-0512</t>
  </si>
  <si>
    <t xml:space="preserve">MURRE HARBOR</t>
  </si>
  <si>
    <t xml:space="preserve">SB-0514</t>
  </si>
  <si>
    <t xml:space="preserve">WL-01190</t>
  </si>
  <si>
    <t xml:space="preserve">James Cortez</t>
  </si>
  <si>
    <t xml:space="preserve">SPINDRIFT SONG</t>
  </si>
  <si>
    <t xml:space="preserve">SB-0515</t>
  </si>
  <si>
    <t xml:space="preserve">WL-01458</t>
  </si>
  <si>
    <t xml:space="preserve">Sean Ruiz</t>
  </si>
  <si>
    <t xml:space="preserve">SB-0516</t>
  </si>
  <si>
    <t xml:space="preserve">WL-02648</t>
  </si>
  <si>
    <t xml:space="preserve">William Russell</t>
  </si>
  <si>
    <t xml:space="preserve">COHO ANN</t>
  </si>
  <si>
    <t xml:space="preserve">SB-0518</t>
  </si>
  <si>
    <t xml:space="preserve">WL-02395</t>
  </si>
  <si>
    <t xml:space="preserve">Scott Ramos</t>
  </si>
  <si>
    <t xml:space="preserve">SANDERLING ANN</t>
  </si>
  <si>
    <t xml:space="preserve">SB-0520</t>
  </si>
  <si>
    <t xml:space="preserve">WL-02847</t>
  </si>
  <si>
    <t xml:space="preserve">Julie Johnston</t>
  </si>
  <si>
    <t xml:space="preserve">TIDE STAR</t>
  </si>
  <si>
    <t xml:space="preserve">SB-0521</t>
  </si>
  <si>
    <t xml:space="preserve">WL-03663</t>
  </si>
  <si>
    <t xml:space="preserve">Jasmine Page</t>
  </si>
  <si>
    <t xml:space="preserve">SB-0522</t>
  </si>
  <si>
    <t xml:space="preserve">WL-03063</t>
  </si>
  <si>
    <t xml:space="preserve">Natalie Stout</t>
  </si>
  <si>
    <t xml:space="preserve">WIDGEON WEATHER</t>
  </si>
  <si>
    <t xml:space="preserve">SB-0523</t>
  </si>
  <si>
    <t xml:space="preserve">WL-03436</t>
  </si>
  <si>
    <t xml:space="preserve">Katherine Hunter</t>
  </si>
  <si>
    <t xml:space="preserve">SB-0524</t>
  </si>
  <si>
    <t xml:space="preserve">WL-03511</t>
  </si>
  <si>
    <t xml:space="preserve">Kristen Turner</t>
  </si>
  <si>
    <t xml:space="preserve">SALISH REACH</t>
  </si>
  <si>
    <t xml:space="preserve">WL-02855</t>
  </si>
  <si>
    <t xml:space="preserve">Kristy Bernard</t>
  </si>
  <si>
    <t xml:space="preserve">MURRE SHORE</t>
  </si>
  <si>
    <t xml:space="preserve">TIDE ROCK</t>
  </si>
  <si>
    <t xml:space="preserve">WL-01326</t>
  </si>
  <si>
    <t xml:space="preserve">Kristin Smith</t>
  </si>
  <si>
    <t xml:space="preserve">SB-0604</t>
  </si>
  <si>
    <t xml:space="preserve">GRAY SHORE</t>
  </si>
  <si>
    <t xml:space="preserve">SB-0605</t>
  </si>
  <si>
    <t xml:space="preserve">WL-02387</t>
  </si>
  <si>
    <t xml:space="preserve">Scott Roberts</t>
  </si>
  <si>
    <t xml:space="preserve">SB-0606</t>
  </si>
  <si>
    <t xml:space="preserve">WL-02385</t>
  </si>
  <si>
    <t xml:space="preserve">John Lopez</t>
  </si>
  <si>
    <t xml:space="preserve">WL-03601</t>
  </si>
  <si>
    <t xml:space="preserve">Jenny Perez</t>
  </si>
  <si>
    <t xml:space="preserve">MURRE MIST</t>
  </si>
  <si>
    <t xml:space="preserve">SB-0609</t>
  </si>
  <si>
    <t xml:space="preserve">WL-01633</t>
  </si>
  <si>
    <t xml:space="preserve">Michael Gonzalez</t>
  </si>
  <si>
    <t xml:space="preserve">WL-02854</t>
  </si>
  <si>
    <t xml:space="preserve">Michael Martinez</t>
  </si>
  <si>
    <t xml:space="preserve">ANCHOR STAR</t>
  </si>
  <si>
    <t xml:space="preserve">SB-0611</t>
  </si>
  <si>
    <t xml:space="preserve">WL-02381</t>
  </si>
  <si>
    <t xml:space="preserve">Gary Waters</t>
  </si>
  <si>
    <t xml:space="preserve">SB-0612</t>
  </si>
  <si>
    <t xml:space="preserve">WL-03514</t>
  </si>
  <si>
    <t xml:space="preserve">Marvin Davila</t>
  </si>
  <si>
    <t xml:space="preserve">SEAL LINE</t>
  </si>
  <si>
    <t xml:space="preserve">SB-0613</t>
  </si>
  <si>
    <t xml:space="preserve">WL-03616</t>
  </si>
  <si>
    <t xml:space="preserve">Martin King</t>
  </si>
  <si>
    <t xml:space="preserve">SB-0614</t>
  </si>
  <si>
    <t xml:space="preserve">WL-01755</t>
  </si>
  <si>
    <t xml:space="preserve">Joshua Walton</t>
  </si>
  <si>
    <t xml:space="preserve">BRANT MOON</t>
  </si>
  <si>
    <t xml:space="preserve">SB-0615</t>
  </si>
  <si>
    <t xml:space="preserve">WL-01424</t>
  </si>
  <si>
    <t xml:space="preserve">Kristen Miller</t>
  </si>
  <si>
    <t xml:space="preserve">SABLE RUNNER</t>
  </si>
  <si>
    <t xml:space="preserve">WL-03789</t>
  </si>
  <si>
    <t xml:space="preserve">Christopher Dorsey</t>
  </si>
  <si>
    <t xml:space="preserve">COHO DANCER</t>
  </si>
  <si>
    <t xml:space="preserve">WL-01894</t>
  </si>
  <si>
    <t xml:space="preserve">Linda Taylor</t>
  </si>
  <si>
    <t xml:space="preserve">PINTAIL PASSAGE</t>
  </si>
  <si>
    <t xml:space="preserve">SB-0619</t>
  </si>
  <si>
    <t xml:space="preserve">WL-01977</t>
  </si>
  <si>
    <t xml:space="preserve">Adam Warner</t>
  </si>
  <si>
    <t xml:space="preserve">SB-0620</t>
  </si>
  <si>
    <t xml:space="preserve">WL-01426</t>
  </si>
  <si>
    <t xml:space="preserve">Glen Owen</t>
  </si>
  <si>
    <t xml:space="preserve">SB-0621</t>
  </si>
  <si>
    <t xml:space="preserve">WL-01415</t>
  </si>
  <si>
    <t xml:space="preserve">Jeremy Stevens</t>
  </si>
  <si>
    <t xml:space="preserve">ANCHOR GLIDE</t>
  </si>
  <si>
    <t xml:space="preserve">SB-0622</t>
  </si>
  <si>
    <t xml:space="preserve">WL-03668</t>
  </si>
  <si>
    <t xml:space="preserve">Anthony Morris</t>
  </si>
  <si>
    <t xml:space="preserve">DRIFT GLIDE</t>
  </si>
  <si>
    <t xml:space="preserve">WL-01938</t>
  </si>
  <si>
    <t xml:space="preserve">Ian Webb</t>
  </si>
  <si>
    <t xml:space="preserve">SALISH ANN</t>
  </si>
  <si>
    <t xml:space="preserve">WL-01530</t>
  </si>
  <si>
    <t xml:space="preserve">Sean Huber</t>
  </si>
  <si>
    <t xml:space="preserve">KESTREL MIST</t>
  </si>
  <si>
    <t xml:space="preserve">SB-0701</t>
  </si>
  <si>
    <t xml:space="preserve">WL-02761</t>
  </si>
  <si>
    <t xml:space="preserve">Timothy Coleman</t>
  </si>
  <si>
    <t xml:space="preserve">SB-0702</t>
  </si>
  <si>
    <t xml:space="preserve">WL-03233</t>
  </si>
  <si>
    <t xml:space="preserve">Erin Williams</t>
  </si>
  <si>
    <t xml:space="preserve">HERON ROCK</t>
  </si>
  <si>
    <t xml:space="preserve">SB-0703</t>
  </si>
  <si>
    <t xml:space="preserve">LITTLE AUK</t>
  </si>
  <si>
    <t xml:space="preserve">WL-02338</t>
  </si>
  <si>
    <t xml:space="preserve">Deborah Estrada</t>
  </si>
  <si>
    <t xml:space="preserve">SALISH CREST</t>
  </si>
  <si>
    <t xml:space="preserve">SB-0705</t>
  </si>
  <si>
    <t xml:space="preserve">WL-01922</t>
  </si>
  <si>
    <t xml:space="preserve">Jodi Holland</t>
  </si>
  <si>
    <t xml:space="preserve">SALISH WEATHER</t>
  </si>
  <si>
    <t xml:space="preserve">SB-0706</t>
  </si>
  <si>
    <t xml:space="preserve">WL-02346</t>
  </si>
  <si>
    <t xml:space="preserve">Tammy Thomas</t>
  </si>
  <si>
    <t xml:space="preserve">HERON CREST</t>
  </si>
  <si>
    <t xml:space="preserve">SB-0707</t>
  </si>
  <si>
    <t xml:space="preserve">WL-01946</t>
  </si>
  <si>
    <t xml:space="preserve">David Sweeney</t>
  </si>
  <si>
    <t xml:space="preserve">SB-0708</t>
  </si>
  <si>
    <t xml:space="preserve">WL-02065</t>
  </si>
  <si>
    <t xml:space="preserve">Christopher Torres</t>
  </si>
  <si>
    <t xml:space="preserve">FOUL STAR</t>
  </si>
  <si>
    <t xml:space="preserve">WL-03577</t>
  </si>
  <si>
    <t xml:space="preserve">Charles Bell</t>
  </si>
  <si>
    <t xml:space="preserve">SB-0710</t>
  </si>
  <si>
    <t xml:space="preserve">WL-01525</t>
  </si>
  <si>
    <t xml:space="preserve">Holly Myers</t>
  </si>
  <si>
    <t xml:space="preserve">SB-0711</t>
  </si>
  <si>
    <t xml:space="preserve">SB-0712</t>
  </si>
  <si>
    <t xml:space="preserve">SB-0713</t>
  </si>
  <si>
    <t xml:space="preserve">WL-03510</t>
  </si>
  <si>
    <t xml:space="preserve">Kimberly Pearson</t>
  </si>
  <si>
    <t xml:space="preserve">SB-0714</t>
  </si>
  <si>
    <t xml:space="preserve">WL-03165</t>
  </si>
  <si>
    <t xml:space="preserve">Brendan Durham</t>
  </si>
  <si>
    <t xml:space="preserve">TIDE DANCER</t>
  </si>
  <si>
    <t xml:space="preserve">SB-0715</t>
  </si>
  <si>
    <t xml:space="preserve">WL-03330</t>
  </si>
  <si>
    <t xml:space="preserve">Lori Bauer</t>
  </si>
  <si>
    <t xml:space="preserve">KESTREL SHORE</t>
  </si>
  <si>
    <t xml:space="preserve">SB-0716</t>
  </si>
  <si>
    <t xml:space="preserve">WL-02899</t>
  </si>
  <si>
    <t xml:space="preserve">Tricia Dixon</t>
  </si>
  <si>
    <t xml:space="preserve">MURRE RUNNER</t>
  </si>
  <si>
    <t xml:space="preserve">SB-0717</t>
  </si>
  <si>
    <t xml:space="preserve">TIDE SOUND</t>
  </si>
  <si>
    <t xml:space="preserve">SB-0718</t>
  </si>
  <si>
    <t xml:space="preserve">WL-01111</t>
  </si>
  <si>
    <t xml:space="preserve">Monique Carey</t>
  </si>
  <si>
    <t xml:space="preserve">ANCHOR VEER</t>
  </si>
  <si>
    <t xml:space="preserve">WL-03199</t>
  </si>
  <si>
    <t xml:space="preserve">Miguel Tucker</t>
  </si>
  <si>
    <t xml:space="preserve">MURRE LINE</t>
  </si>
  <si>
    <t xml:space="preserve">WL-02654</t>
  </si>
  <si>
    <t xml:space="preserve">Christopher Evans</t>
  </si>
  <si>
    <t xml:space="preserve">SANDERLING MOON</t>
  </si>
  <si>
    <t xml:space="preserve">SB-0721</t>
  </si>
  <si>
    <t xml:space="preserve">WL-02272</t>
  </si>
  <si>
    <t xml:space="preserve">Scott Mendoza</t>
  </si>
  <si>
    <t xml:space="preserve">SB-0722</t>
  </si>
  <si>
    <t xml:space="preserve">WL-03331</t>
  </si>
  <si>
    <t xml:space="preserve">Samuel Lane</t>
  </si>
  <si>
    <t xml:space="preserve">SB-0723</t>
  </si>
  <si>
    <t xml:space="preserve">WL-02427</t>
  </si>
  <si>
    <t xml:space="preserve">Joseph Crosby</t>
  </si>
  <si>
    <t xml:space="preserve">SABLE LINE</t>
  </si>
  <si>
    <t xml:space="preserve">SB-0724</t>
  </si>
  <si>
    <t xml:space="preserve">WL-03552</t>
  </si>
  <si>
    <t xml:space="preserve">Dawn Hammond</t>
  </si>
  <si>
    <t xml:space="preserve">SALISH BAY</t>
  </si>
  <si>
    <t xml:space="preserve">WL-01126</t>
  </si>
  <si>
    <t xml:space="preserve">Jo Hernandez</t>
  </si>
  <si>
    <t xml:space="preserve">SABLE WEATHER</t>
  </si>
  <si>
    <t xml:space="preserve">SB-0802</t>
  </si>
  <si>
    <t xml:space="preserve">WL-03773</t>
  </si>
  <si>
    <t xml:space="preserve">David Giles</t>
  </si>
  <si>
    <t xml:space="preserve">SCOTER SHORE</t>
  </si>
  <si>
    <t xml:space="preserve">SB-0803</t>
  </si>
  <si>
    <t xml:space="preserve">MURRE MOON</t>
  </si>
  <si>
    <t xml:space="preserve">WL-01349</t>
  </si>
  <si>
    <t xml:space="preserve">Justin Johnson</t>
  </si>
  <si>
    <t xml:space="preserve">SCOTER DANCER</t>
  </si>
  <si>
    <t xml:space="preserve">SB-0805</t>
  </si>
  <si>
    <t xml:space="preserve">WL-02163</t>
  </si>
  <si>
    <t xml:space="preserve">Kimberly Brown</t>
  </si>
  <si>
    <t xml:space="preserve">WL-03521</t>
  </si>
  <si>
    <t xml:space="preserve">Penny Nelson</t>
  </si>
  <si>
    <t xml:space="preserve">OSPREY ANN</t>
  </si>
  <si>
    <t xml:space="preserve">SB-0808</t>
  </si>
  <si>
    <t xml:space="preserve">MURRE REACH</t>
  </si>
  <si>
    <t xml:space="preserve">SB-0809</t>
  </si>
  <si>
    <t xml:space="preserve">WL-03219</t>
  </si>
  <si>
    <t xml:space="preserve">Tara Sanders</t>
  </si>
  <si>
    <t xml:space="preserve">OSPREY REACH</t>
  </si>
  <si>
    <t xml:space="preserve">SB-0810</t>
  </si>
  <si>
    <t xml:space="preserve">WL-02815</t>
  </si>
  <si>
    <t xml:space="preserve">Mark Myers</t>
  </si>
  <si>
    <t xml:space="preserve">POINT SHORE</t>
  </si>
  <si>
    <t xml:space="preserve">SB-0812</t>
  </si>
  <si>
    <t xml:space="preserve">SB-0813</t>
  </si>
  <si>
    <t xml:space="preserve">WL-01647</t>
  </si>
  <si>
    <t xml:space="preserve">Robert Shannon</t>
  </si>
  <si>
    <t xml:space="preserve">PINTAIL CREST</t>
  </si>
  <si>
    <t xml:space="preserve">SB-0814</t>
  </si>
  <si>
    <t xml:space="preserve">WL-01607</t>
  </si>
  <si>
    <t xml:space="preserve">John Williams</t>
  </si>
  <si>
    <t xml:space="preserve">BRANT WIND</t>
  </si>
  <si>
    <t xml:space="preserve">SB-0815</t>
  </si>
  <si>
    <t xml:space="preserve">WL-01237</t>
  </si>
  <si>
    <t xml:space="preserve">April Nguyen</t>
  </si>
  <si>
    <t xml:space="preserve">BRANT PASSAGE</t>
  </si>
  <si>
    <t xml:space="preserve">SB-0816</t>
  </si>
  <si>
    <t xml:space="preserve">WL-03446</t>
  </si>
  <si>
    <t xml:space="preserve">Joshua Weaver</t>
  </si>
  <si>
    <t xml:space="preserve">PETREL ROSE</t>
  </si>
  <si>
    <t xml:space="preserve">SB-0818</t>
  </si>
  <si>
    <t xml:space="preserve">WL-03486</t>
  </si>
  <si>
    <t xml:space="preserve">Mary Murillo</t>
  </si>
  <si>
    <t xml:space="preserve">HERON ROSE</t>
  </si>
  <si>
    <t xml:space="preserve">SB-0819</t>
  </si>
  <si>
    <t xml:space="preserve">WL-02764</t>
  </si>
  <si>
    <t xml:space="preserve">Jason Bradley</t>
  </si>
  <si>
    <t xml:space="preserve">SB-0820</t>
  </si>
  <si>
    <t xml:space="preserve">WL-02114</t>
  </si>
  <si>
    <t xml:space="preserve">Walter Adams</t>
  </si>
  <si>
    <t xml:space="preserve">WL-01693</t>
  </si>
  <si>
    <t xml:space="preserve">Michael Price</t>
  </si>
  <si>
    <t xml:space="preserve">SB-0822</t>
  </si>
  <si>
    <t xml:space="preserve">WL-03341</t>
  </si>
  <si>
    <t xml:space="preserve">Terri Johnston</t>
  </si>
  <si>
    <t xml:space="preserve">WL-01971</t>
  </si>
  <si>
    <t xml:space="preserve">Paul Smith</t>
  </si>
  <si>
    <t xml:space="preserve">BRANT QUEEN</t>
  </si>
  <si>
    <t xml:space="preserve">SB-0901</t>
  </si>
  <si>
    <t xml:space="preserve">WL-03688</t>
  </si>
  <si>
    <t xml:space="preserve">Gilbert Rodriguez</t>
  </si>
  <si>
    <t xml:space="preserve">GRAY DANCER</t>
  </si>
  <si>
    <t xml:space="preserve">WL-03519</t>
  </si>
  <si>
    <t xml:space="preserve">Crystal Moore</t>
  </si>
  <si>
    <t xml:space="preserve">HALIBUT WIND</t>
  </si>
  <si>
    <t xml:space="preserve">SB-0904</t>
  </si>
  <si>
    <t xml:space="preserve">WL-02180</t>
  </si>
  <si>
    <t xml:space="preserve">Michele Jones</t>
  </si>
  <si>
    <t xml:space="preserve">MURRE PASSAGE</t>
  </si>
  <si>
    <t xml:space="preserve">WL-03714</t>
  </si>
  <si>
    <t xml:space="preserve">Christopher Mitchell</t>
  </si>
  <si>
    <t xml:space="preserve">SB-0906</t>
  </si>
  <si>
    <t xml:space="preserve">WL-01202</t>
  </si>
  <si>
    <t xml:space="preserve">Kevin Benson</t>
  </si>
  <si>
    <t xml:space="preserve">WL-03796</t>
  </si>
  <si>
    <t xml:space="preserve">Christine Johnson</t>
  </si>
  <si>
    <t xml:space="preserve">TIDE SHORE</t>
  </si>
  <si>
    <t xml:space="preserve">SB-0909</t>
  </si>
  <si>
    <t xml:space="preserve">WL-01919</t>
  </si>
  <si>
    <t xml:space="preserve">Glenda Perkins</t>
  </si>
  <si>
    <t xml:space="preserve">SB-0910</t>
  </si>
  <si>
    <t xml:space="preserve">WL-01503</t>
  </si>
  <si>
    <t xml:space="preserve">Kayla Moore</t>
  </si>
  <si>
    <t xml:space="preserve">SANDERLING SONG</t>
  </si>
  <si>
    <t xml:space="preserve">SB-0912</t>
  </si>
  <si>
    <t xml:space="preserve">WL-02350</t>
  </si>
  <si>
    <t xml:space="preserve">Christy Chambers</t>
  </si>
  <si>
    <t xml:space="preserve">SB-0913</t>
  </si>
  <si>
    <t xml:space="preserve">WL-02119</t>
  </si>
  <si>
    <t xml:space="preserve">Eric Forbes</t>
  </si>
  <si>
    <t xml:space="preserve">SCOTER VEER</t>
  </si>
  <si>
    <t xml:space="preserve">SB-0914</t>
  </si>
  <si>
    <t xml:space="preserve">WL-02602</t>
  </si>
  <si>
    <t xml:space="preserve">John Shah</t>
  </si>
  <si>
    <t xml:space="preserve">WIDGEON QUEEN</t>
  </si>
  <si>
    <t xml:space="preserve">WL-03084</t>
  </si>
  <si>
    <t xml:space="preserve">Timothy Johnson</t>
  </si>
  <si>
    <t xml:space="preserve">OSPREY SHORE</t>
  </si>
  <si>
    <t xml:space="preserve">WL-03528</t>
  </si>
  <si>
    <t xml:space="preserve">Gina Hudson</t>
  </si>
  <si>
    <t xml:space="preserve">SB-0917</t>
  </si>
  <si>
    <t xml:space="preserve">WL-01294</t>
  </si>
  <si>
    <t xml:space="preserve">Peter Jenkins</t>
  </si>
  <si>
    <t xml:space="preserve">ANCHOR REACH</t>
  </si>
  <si>
    <t xml:space="preserve">SB-0918</t>
  </si>
  <si>
    <t xml:space="preserve">WL-03420</t>
  </si>
  <si>
    <t xml:space="preserve">Laura Franklin</t>
  </si>
  <si>
    <t xml:space="preserve">EW-0101</t>
  </si>
  <si>
    <t xml:space="preserve">WL-01414</t>
  </si>
  <si>
    <t xml:space="preserve">Phillip Massey</t>
  </si>
  <si>
    <t xml:space="preserve">TXN-202608-028684</t>
  </si>
  <si>
    <t xml:space="preserve">Inventory row + August billing transaction</t>
  </si>
  <si>
    <t xml:space="preserve">EW-0102</t>
  </si>
  <si>
    <t xml:space="preserve">WL-03666</t>
  </si>
  <si>
    <t xml:space="preserve">Andrea Franco</t>
  </si>
  <si>
    <t xml:space="preserve">GRAY SONG</t>
  </si>
  <si>
    <t xml:space="preserve">TXN-202608-028767</t>
  </si>
  <si>
    <t xml:space="preserve">EW-0103</t>
  </si>
  <si>
    <t xml:space="preserve">WL-01149</t>
  </si>
  <si>
    <t xml:space="preserve">David Hoffman</t>
  </si>
  <si>
    <t xml:space="preserve">TXN-202608-028831</t>
  </si>
  <si>
    <t xml:space="preserve">EW-0105</t>
  </si>
  <si>
    <t xml:space="preserve">WL-03242</t>
  </si>
  <si>
    <t xml:space="preserve">Micheal Navarro</t>
  </si>
  <si>
    <t xml:space="preserve">TXN-202608-028897</t>
  </si>
  <si>
    <t xml:space="preserve">EW-0106</t>
  </si>
  <si>
    <t xml:space="preserve">WL-03380</t>
  </si>
  <si>
    <t xml:space="preserve">Charles Snyder</t>
  </si>
  <si>
    <t xml:space="preserve">PETREL STAR</t>
  </si>
  <si>
    <t xml:space="preserve">TXN-202608-028973</t>
  </si>
  <si>
    <t xml:space="preserve">SABLE WIND</t>
  </si>
  <si>
    <t xml:space="preserve">TXN-202608-029048</t>
  </si>
  <si>
    <t xml:space="preserve">EW-0108</t>
  </si>
  <si>
    <t xml:space="preserve">WL-02070</t>
  </si>
  <si>
    <t xml:space="preserve">Leslie Thomas</t>
  </si>
  <si>
    <t xml:space="preserve">FOUL ROCK</t>
  </si>
  <si>
    <t xml:space="preserve">TXN-202608-029120</t>
  </si>
  <si>
    <t xml:space="preserve">WL-03624</t>
  </si>
  <si>
    <t xml:space="preserve">Robert Rodriguez</t>
  </si>
  <si>
    <t xml:space="preserve">TXN-202608-029186</t>
  </si>
  <si>
    <t xml:space="preserve">WL-01831</t>
  </si>
  <si>
    <t xml:space="preserve">Angela Andersen</t>
  </si>
  <si>
    <t xml:space="preserve">TXN-202608-029246</t>
  </si>
  <si>
    <t xml:space="preserve">TXN-202608-029329</t>
  </si>
  <si>
    <t xml:space="preserve">EW-0112</t>
  </si>
  <si>
    <t xml:space="preserve">WL-01533</t>
  </si>
  <si>
    <t xml:space="preserve">Beth Cooper</t>
  </si>
  <si>
    <t xml:space="preserve">SPINDRIFT WIND</t>
  </si>
  <si>
    <t xml:space="preserve">TXN-202608-029415</t>
  </si>
  <si>
    <t xml:space="preserve">EW-0113</t>
  </si>
  <si>
    <t xml:space="preserve">WL-01482</t>
  </si>
  <si>
    <t xml:space="preserve">Brandon Boyer</t>
  </si>
  <si>
    <t xml:space="preserve">TIDE MOON</t>
  </si>
  <si>
    <t xml:space="preserve">TXN-202608-029475</t>
  </si>
  <si>
    <t xml:space="preserve">EW-0114</t>
  </si>
  <si>
    <t xml:space="preserve">WL-03340</t>
  </si>
  <si>
    <t xml:space="preserve">Linda Gonzalez</t>
  </si>
  <si>
    <t xml:space="preserve">TXN-202608-029536</t>
  </si>
  <si>
    <t xml:space="preserve">EW-0115</t>
  </si>
  <si>
    <t xml:space="preserve">WL-01809</t>
  </si>
  <si>
    <t xml:space="preserve">Tim Banks</t>
  </si>
  <si>
    <t xml:space="preserve">BRANT RUNNER</t>
  </si>
  <si>
    <t xml:space="preserve">TXN-202608-029605</t>
  </si>
  <si>
    <t xml:space="preserve">EW-0116</t>
  </si>
  <si>
    <t xml:space="preserve">WL-02558</t>
  </si>
  <si>
    <t xml:space="preserve">Edward Hardy</t>
  </si>
  <si>
    <t xml:space="preserve">HALIBUT QUEEN</t>
  </si>
  <si>
    <t xml:space="preserve">TXN-202608-029666</t>
  </si>
  <si>
    <t xml:space="preserve">WL-03472</t>
  </si>
  <si>
    <t xml:space="preserve">Robert Shea</t>
  </si>
  <si>
    <t xml:space="preserve">TXN-202608-029714</t>
  </si>
  <si>
    <t xml:space="preserve">TXN-202608-029764</t>
  </si>
  <si>
    <t xml:space="preserve">EW-0120</t>
  </si>
  <si>
    <t xml:space="preserve">WL-02149</t>
  </si>
  <si>
    <t xml:space="preserve">Tonya Bowman</t>
  </si>
  <si>
    <t xml:space="preserve">PETREL LINE</t>
  </si>
  <si>
    <t xml:space="preserve">TXN-202608-029843</t>
  </si>
  <si>
    <t xml:space="preserve">EW-0121</t>
  </si>
  <si>
    <t xml:space="preserve">WL-01125</t>
  </si>
  <si>
    <t xml:space="preserve">Brandi Baker</t>
  </si>
  <si>
    <t xml:space="preserve">SPINDRIFT ROSE</t>
  </si>
  <si>
    <t xml:space="preserve">TXN-202608-029923</t>
  </si>
  <si>
    <t xml:space="preserve">EW-0122</t>
  </si>
  <si>
    <t xml:space="preserve">TXN-202608-029966</t>
  </si>
  <si>
    <t xml:space="preserve">EW-0123</t>
  </si>
  <si>
    <t xml:space="preserve">WL-03203</t>
  </si>
  <si>
    <t xml:space="preserve">Kyle Shepard</t>
  </si>
  <si>
    <t xml:space="preserve">TXN-202608-030041</t>
  </si>
  <si>
    <t xml:space="preserve">WL-03361</t>
  </si>
  <si>
    <t xml:space="preserve">Donna Robertson</t>
  </si>
  <si>
    <t xml:space="preserve">SPINDRIFT RUNNER</t>
  </si>
  <si>
    <t xml:space="preserve">TXN-202608-030093</t>
  </si>
  <si>
    <t xml:space="preserve">EW-0201</t>
  </si>
  <si>
    <t xml:space="preserve">WL-02818</t>
  </si>
  <si>
    <t xml:space="preserve">Andrew Bryan</t>
  </si>
  <si>
    <t xml:space="preserve">SALISH ROSE</t>
  </si>
  <si>
    <t xml:space="preserve">TXN-202608-030152</t>
  </si>
  <si>
    <t xml:space="preserve">EW-0202</t>
  </si>
  <si>
    <t xml:space="preserve">WL-03332</t>
  </si>
  <si>
    <t xml:space="preserve">Amanda Rodgers</t>
  </si>
  <si>
    <t xml:space="preserve">MURRE SOUND</t>
  </si>
  <si>
    <t xml:space="preserve">TXN-202608-030227</t>
  </si>
  <si>
    <t xml:space="preserve">TXN-202608-030303</t>
  </si>
  <si>
    <t xml:space="preserve">EW-0204</t>
  </si>
  <si>
    <t xml:space="preserve">WL-01545</t>
  </si>
  <si>
    <t xml:space="preserve">Jessica King</t>
  </si>
  <si>
    <t xml:space="preserve">TXN-202608-030391</t>
  </si>
  <si>
    <t xml:space="preserve">EW-0206</t>
  </si>
  <si>
    <t xml:space="preserve">WL-01286</t>
  </si>
  <si>
    <t xml:space="preserve">Kevin Wiley</t>
  </si>
  <si>
    <t xml:space="preserve">TXN-202608-030464</t>
  </si>
  <si>
    <t xml:space="preserve">EW-0207</t>
  </si>
  <si>
    <t xml:space="preserve">WL-01486</t>
  </si>
  <si>
    <t xml:space="preserve">Stacey Spears</t>
  </si>
  <si>
    <t xml:space="preserve">SALISH HARBOR</t>
  </si>
  <si>
    <t xml:space="preserve">TXN-202608-030538</t>
  </si>
  <si>
    <t xml:space="preserve">EW-0208</t>
  </si>
  <si>
    <t xml:space="preserve">WL-03130</t>
  </si>
  <si>
    <t xml:space="preserve">Nicole Berger</t>
  </si>
  <si>
    <t xml:space="preserve">MURRE BAY</t>
  </si>
  <si>
    <t xml:space="preserve">TXN-202608-030581</t>
  </si>
  <si>
    <t xml:space="preserve">WL-02673</t>
  </si>
  <si>
    <t xml:space="preserve">Rodney Watson</t>
  </si>
  <si>
    <t xml:space="preserve">TXN-202608-030661</t>
  </si>
  <si>
    <t xml:space="preserve">EW-0210</t>
  </si>
  <si>
    <t xml:space="preserve">WL-01729</t>
  </si>
  <si>
    <t xml:space="preserve">Whitney Baker</t>
  </si>
  <si>
    <t xml:space="preserve">TXN-202608-030725</t>
  </si>
  <si>
    <t xml:space="preserve">EW-0211</t>
  </si>
  <si>
    <t xml:space="preserve">WL-02171</t>
  </si>
  <si>
    <t xml:space="preserve">Andrea Hill</t>
  </si>
  <si>
    <t xml:space="preserve">TXN-202608-030794</t>
  </si>
  <si>
    <t xml:space="preserve">EW-0212</t>
  </si>
  <si>
    <t xml:space="preserve">WL-01589</t>
  </si>
  <si>
    <t xml:space="preserve">Caitlin Klein</t>
  </si>
  <si>
    <t xml:space="preserve">HALIBUT SOUND</t>
  </si>
  <si>
    <t xml:space="preserve">TXN-202608-030878</t>
  </si>
  <si>
    <t xml:space="preserve">EW-0214</t>
  </si>
  <si>
    <t xml:space="preserve">WL-01651</t>
  </si>
  <si>
    <t xml:space="preserve">Kayla Lawson</t>
  </si>
  <si>
    <t xml:space="preserve">PETREL RUNNER</t>
  </si>
  <si>
    <t xml:space="preserve">TXN-202608-030921</t>
  </si>
  <si>
    <t xml:space="preserve">EW-0215</t>
  </si>
  <si>
    <t xml:space="preserve">WL-03669</t>
  </si>
  <si>
    <t xml:space="preserve">Samantha Powers</t>
  </si>
  <si>
    <t xml:space="preserve">OTTER REACH</t>
  </si>
  <si>
    <t xml:space="preserve">TXN-202608-031003</t>
  </si>
  <si>
    <t xml:space="preserve">EW-0216</t>
  </si>
  <si>
    <t xml:space="preserve">WL-01352</t>
  </si>
  <si>
    <t xml:space="preserve">Donald Hoffman</t>
  </si>
  <si>
    <t xml:space="preserve">MURRE VEER</t>
  </si>
  <si>
    <t xml:space="preserve">TXN-202608-031060</t>
  </si>
  <si>
    <t xml:space="preserve">EW-0217</t>
  </si>
  <si>
    <t xml:space="preserve">TXN-202608-031106</t>
  </si>
  <si>
    <t xml:space="preserve">EW-0218</t>
  </si>
  <si>
    <t xml:space="preserve">WL-01012</t>
  </si>
  <si>
    <t xml:space="preserve">Janet Jones</t>
  </si>
  <si>
    <t xml:space="preserve">TXN-202608-031153</t>
  </si>
  <si>
    <t xml:space="preserve">EW-0219</t>
  </si>
  <si>
    <t xml:space="preserve">WL-02243</t>
  </si>
  <si>
    <t xml:space="preserve">Andrew Miller</t>
  </si>
  <si>
    <t xml:space="preserve">SANDERLING BAY</t>
  </si>
  <si>
    <t xml:space="preserve">TXN-202608-031220</t>
  </si>
  <si>
    <t xml:space="preserve">EW-0220</t>
  </si>
  <si>
    <t xml:space="preserve">WL-01203</t>
  </si>
  <si>
    <t xml:space="preserve">Tracy Conrad</t>
  </si>
  <si>
    <t xml:space="preserve">FOUL ANN</t>
  </si>
  <si>
    <t xml:space="preserve">TXN-202608-031269</t>
  </si>
  <si>
    <t xml:space="preserve">EW-0221</t>
  </si>
  <si>
    <t xml:space="preserve">WL-02645</t>
  </si>
  <si>
    <t xml:space="preserve">Rose Gonzalez</t>
  </si>
  <si>
    <t xml:space="preserve">TXN-202608-031333</t>
  </si>
  <si>
    <t xml:space="preserve">EW-0222</t>
  </si>
  <si>
    <t xml:space="preserve">WL-02910</t>
  </si>
  <si>
    <t xml:space="preserve">David Taylor</t>
  </si>
  <si>
    <t xml:space="preserve">TXN-202608-031378</t>
  </si>
  <si>
    <t xml:space="preserve">EW-0223</t>
  </si>
  <si>
    <t xml:space="preserve">WL-01945</t>
  </si>
  <si>
    <t xml:space="preserve">Jacob Bonilla</t>
  </si>
  <si>
    <t xml:space="preserve">TXN-202608-031418</t>
  </si>
  <si>
    <t xml:space="preserve">EW-0224</t>
  </si>
  <si>
    <t xml:space="preserve">WL-01127</t>
  </si>
  <si>
    <t xml:space="preserve">Thomas Hawkins</t>
  </si>
  <si>
    <t xml:space="preserve">TXN-202608-031462</t>
  </si>
  <si>
    <t xml:space="preserve">EW-0302</t>
  </si>
  <si>
    <t xml:space="preserve">WL-01910</t>
  </si>
  <si>
    <t xml:space="preserve">Charles Gates</t>
  </si>
  <si>
    <t xml:space="preserve">TXN-202608-031530</t>
  </si>
  <si>
    <t xml:space="preserve">EW-0303</t>
  </si>
  <si>
    <t xml:space="preserve">WL-01094</t>
  </si>
  <si>
    <t xml:space="preserve">Denise Jenkins</t>
  </si>
  <si>
    <t xml:space="preserve">HALIBUT BAY</t>
  </si>
  <si>
    <t xml:space="preserve">TXN-202608-031575</t>
  </si>
  <si>
    <t xml:space="preserve">WL-03721</t>
  </si>
  <si>
    <t xml:space="preserve">Ann Vaughn</t>
  </si>
  <si>
    <t xml:space="preserve">TXN-202608-031651</t>
  </si>
  <si>
    <t xml:space="preserve">EW-0305</t>
  </si>
  <si>
    <t xml:space="preserve">WL-02577</t>
  </si>
  <si>
    <t xml:space="preserve">Aaron Higgins</t>
  </si>
  <si>
    <t xml:space="preserve">FOUL MOON</t>
  </si>
  <si>
    <t xml:space="preserve">TXN-202608-031717</t>
  </si>
  <si>
    <t xml:space="preserve">WL-01860</t>
  </si>
  <si>
    <t xml:space="preserve">Justin Brown</t>
  </si>
  <si>
    <t xml:space="preserve">TXN-202608-031757</t>
  </si>
  <si>
    <t xml:space="preserve">EW-0307</t>
  </si>
  <si>
    <t xml:space="preserve">WL-01183</t>
  </si>
  <si>
    <t xml:space="preserve">Shelley Tucker</t>
  </si>
  <si>
    <t xml:space="preserve">TXN-202608-031834</t>
  </si>
  <si>
    <t xml:space="preserve">EW-0308</t>
  </si>
  <si>
    <t xml:space="preserve">WL-02107</t>
  </si>
  <si>
    <t xml:space="preserve">Brittany Baldwin</t>
  </si>
  <si>
    <t xml:space="preserve">TXN-202608-031893</t>
  </si>
  <si>
    <t xml:space="preserve">EW-0309</t>
  </si>
  <si>
    <t xml:space="preserve">WL-01963</t>
  </si>
  <si>
    <t xml:space="preserve">Erik Beck</t>
  </si>
  <si>
    <t xml:space="preserve">TXN-202608-031944</t>
  </si>
  <si>
    <t xml:space="preserve">EW-0311</t>
  </si>
  <si>
    <t xml:space="preserve">WL-02248</t>
  </si>
  <si>
    <t xml:space="preserve">Devon Griffin</t>
  </si>
  <si>
    <t xml:space="preserve">SPINDRIFT WAKE</t>
  </si>
  <si>
    <t xml:space="preserve">TXN-202608-032002</t>
  </si>
  <si>
    <t xml:space="preserve">EW-0312</t>
  </si>
  <si>
    <t xml:space="preserve">WL-03809</t>
  </si>
  <si>
    <t xml:space="preserve">Richard Mcguire</t>
  </si>
  <si>
    <t xml:space="preserve">TXN-202608-032064</t>
  </si>
  <si>
    <t xml:space="preserve">EW-0313</t>
  </si>
  <si>
    <t xml:space="preserve">WL-01429</t>
  </si>
  <si>
    <t xml:space="preserve">Teresa Evans</t>
  </si>
  <si>
    <t xml:space="preserve">SEAL SOUND</t>
  </si>
  <si>
    <t xml:space="preserve">TXN-202608-032107</t>
  </si>
  <si>
    <t xml:space="preserve">EW-0314</t>
  </si>
  <si>
    <t xml:space="preserve">WL-01716</t>
  </si>
  <si>
    <t xml:space="preserve">Christina Olsen</t>
  </si>
  <si>
    <t xml:space="preserve">SPINDRIFT MOON</t>
  </si>
  <si>
    <t xml:space="preserve">TXN-202608-032156</t>
  </si>
  <si>
    <t xml:space="preserve">EW-0315</t>
  </si>
  <si>
    <t xml:space="preserve">WL-01385</t>
  </si>
  <si>
    <t xml:space="preserve">Amanda Morrison</t>
  </si>
  <si>
    <t xml:space="preserve">DRIFT CREST</t>
  </si>
  <si>
    <t xml:space="preserve">TXN-202608-032201</t>
  </si>
  <si>
    <t xml:space="preserve">EW-0316</t>
  </si>
  <si>
    <t xml:space="preserve">WL-02940</t>
  </si>
  <si>
    <t xml:space="preserve">Leah Carter</t>
  </si>
  <si>
    <t xml:space="preserve">POINT GLIDE</t>
  </si>
  <si>
    <t xml:space="preserve">TXN-202608-032276</t>
  </si>
  <si>
    <t xml:space="preserve">EW-0317</t>
  </si>
  <si>
    <t xml:space="preserve">WL-02017</t>
  </si>
  <si>
    <t xml:space="preserve">Gary Horton</t>
  </si>
  <si>
    <t xml:space="preserve">FOUL VEER</t>
  </si>
  <si>
    <t xml:space="preserve">TXN-202608-032323</t>
  </si>
  <si>
    <t xml:space="preserve">EW-0318</t>
  </si>
  <si>
    <t xml:space="preserve">WL-03162</t>
  </si>
  <si>
    <t xml:space="preserve">Sarah Edwards</t>
  </si>
  <si>
    <t xml:space="preserve">TXN-202608-032391</t>
  </si>
  <si>
    <t xml:space="preserve">WL-02697</t>
  </si>
  <si>
    <t xml:space="preserve">Wendy Green</t>
  </si>
  <si>
    <t xml:space="preserve">WIDGEON ANN</t>
  </si>
  <si>
    <t xml:space="preserve">TXN-202608-032465</t>
  </si>
  <si>
    <t xml:space="preserve">EW-0321</t>
  </si>
  <si>
    <t xml:space="preserve">WL-02660</t>
  </si>
  <si>
    <t xml:space="preserve">Bridget Moore</t>
  </si>
  <si>
    <t xml:space="preserve">TXN-202608-032535</t>
  </si>
  <si>
    <t xml:space="preserve">EW-0322</t>
  </si>
  <si>
    <t xml:space="preserve">WL-02010</t>
  </si>
  <si>
    <t xml:space="preserve">Anthony Thompson</t>
  </si>
  <si>
    <t xml:space="preserve">TXN-202608-032620</t>
  </si>
  <si>
    <t xml:space="preserve">EW-0323</t>
  </si>
  <si>
    <t xml:space="preserve">TXN-202608-032673</t>
  </si>
  <si>
    <t xml:space="preserve">WL-02459</t>
  </si>
  <si>
    <t xml:space="preserve">Kimberly Smith</t>
  </si>
  <si>
    <t xml:space="preserve">TXN-202608-032710</t>
  </si>
  <si>
    <t xml:space="preserve">EW-0401</t>
  </si>
  <si>
    <t xml:space="preserve">WL-02377</t>
  </si>
  <si>
    <t xml:space="preserve">Tammy Patterson</t>
  </si>
  <si>
    <t xml:space="preserve">KESTREL MOON</t>
  </si>
  <si>
    <t xml:space="preserve">TXN-202608-032752</t>
  </si>
  <si>
    <t xml:space="preserve">EW-0402</t>
  </si>
  <si>
    <t xml:space="preserve">WL-01741</t>
  </si>
  <si>
    <t xml:space="preserve">Lisa Burton</t>
  </si>
  <si>
    <t xml:space="preserve">SPINDRIFT DANCER</t>
  </si>
  <si>
    <t xml:space="preserve">TXN-202608-032804</t>
  </si>
  <si>
    <t xml:space="preserve">EW-0403</t>
  </si>
  <si>
    <t xml:space="preserve">WL-01209</t>
  </si>
  <si>
    <t xml:space="preserve">Amy Luna</t>
  </si>
  <si>
    <t xml:space="preserve">BRANT VEER</t>
  </si>
  <si>
    <t xml:space="preserve">TXN-202608-032868</t>
  </si>
  <si>
    <t xml:space="preserve">EW-0404</t>
  </si>
  <si>
    <t xml:space="preserve">WL-01370</t>
  </si>
  <si>
    <t xml:space="preserve">James Graham</t>
  </si>
  <si>
    <t xml:space="preserve">SABLE ROSE</t>
  </si>
  <si>
    <t xml:space="preserve">TXN-202608-032927</t>
  </si>
  <si>
    <t xml:space="preserve">EW-0405</t>
  </si>
  <si>
    <t xml:space="preserve">WL-02480</t>
  </si>
  <si>
    <t xml:space="preserve">Rachel Edwards</t>
  </si>
  <si>
    <t xml:space="preserve">TXN-202608-032961</t>
  </si>
  <si>
    <t xml:space="preserve">EW-0406</t>
  </si>
  <si>
    <t xml:space="preserve">WL-02810</t>
  </si>
  <si>
    <t xml:space="preserve">Steven Morgan</t>
  </si>
  <si>
    <t xml:space="preserve">TXN-202608-033039</t>
  </si>
  <si>
    <t xml:space="preserve">EW-0407</t>
  </si>
  <si>
    <t xml:space="preserve">KESTREL SONG</t>
  </si>
  <si>
    <t xml:space="preserve">TXN-202608-033099</t>
  </si>
  <si>
    <t xml:space="preserve">EW-0408</t>
  </si>
  <si>
    <t xml:space="preserve">WL-02705</t>
  </si>
  <si>
    <t xml:space="preserve">Amy Smith</t>
  </si>
  <si>
    <t xml:space="preserve">TXN-202608-033166</t>
  </si>
  <si>
    <t xml:space="preserve">EW-0409</t>
  </si>
  <si>
    <t xml:space="preserve">GRAY SOUND</t>
  </si>
  <si>
    <t xml:space="preserve">TXN-202608-033249</t>
  </si>
  <si>
    <t xml:space="preserve">EW-0410</t>
  </si>
  <si>
    <t xml:space="preserve">WL-02449</t>
  </si>
  <si>
    <t xml:space="preserve">Herbert Johnson</t>
  </si>
  <si>
    <t xml:space="preserve">TXN-202608-033291</t>
  </si>
  <si>
    <t xml:space="preserve">EW-0411</t>
  </si>
  <si>
    <t xml:space="preserve">WL-01489</t>
  </si>
  <si>
    <t xml:space="preserve">Donna Thomas</t>
  </si>
  <si>
    <t xml:space="preserve">TXN-202608-033364</t>
  </si>
  <si>
    <t xml:space="preserve">EW-0412</t>
  </si>
  <si>
    <t xml:space="preserve">WL-01854</t>
  </si>
  <si>
    <t xml:space="preserve">Vincent Simon</t>
  </si>
  <si>
    <t xml:space="preserve">CORMORANT GLIDE</t>
  </si>
  <si>
    <t xml:space="preserve">TXN-202608-033423</t>
  </si>
  <si>
    <t xml:space="preserve">EW-0413</t>
  </si>
  <si>
    <t xml:space="preserve">WL-02169</t>
  </si>
  <si>
    <t xml:space="preserve">Maria Weber</t>
  </si>
  <si>
    <t xml:space="preserve">COHO REACH</t>
  </si>
  <si>
    <t xml:space="preserve">TXN-202608-033480</t>
  </si>
  <si>
    <t xml:space="preserve">EW-0414</t>
  </si>
  <si>
    <t xml:space="preserve">WL-02221</t>
  </si>
  <si>
    <t xml:space="preserve">Jason Howe</t>
  </si>
  <si>
    <t xml:space="preserve">TXN-202608-033549</t>
  </si>
  <si>
    <t xml:space="preserve">WL-02536</t>
  </si>
  <si>
    <t xml:space="preserve">Christian Ellis</t>
  </si>
  <si>
    <t xml:space="preserve">TXN-202608-033601</t>
  </si>
  <si>
    <t xml:space="preserve">EW-0416</t>
  </si>
  <si>
    <t xml:space="preserve">WL-02988</t>
  </si>
  <si>
    <t xml:space="preserve">Jamie Roberts</t>
  </si>
  <si>
    <t xml:space="preserve">TXN-202608-033637</t>
  </si>
  <si>
    <t xml:space="preserve">EW-0417</t>
  </si>
  <si>
    <t xml:space="preserve">WL-01997</t>
  </si>
  <si>
    <t xml:space="preserve">Laura Avila</t>
  </si>
  <si>
    <t xml:space="preserve">TXN-202608-033694</t>
  </si>
  <si>
    <t xml:space="preserve">EW-0418</t>
  </si>
  <si>
    <t xml:space="preserve">WL-02772</t>
  </si>
  <si>
    <t xml:space="preserve">Sarah Chambers</t>
  </si>
  <si>
    <t xml:space="preserve">OTTER SONG</t>
  </si>
  <si>
    <t xml:space="preserve">TXN-202608-033739</t>
  </si>
  <si>
    <t xml:space="preserve">EW-0419</t>
  </si>
  <si>
    <t xml:space="preserve">TXN-202608-033803</t>
  </si>
  <si>
    <t xml:space="preserve">EW-0420</t>
  </si>
  <si>
    <t xml:space="preserve">WL-03050</t>
  </si>
  <si>
    <t xml:space="preserve">Justin Pearson</t>
  </si>
  <si>
    <t xml:space="preserve">TXN-202608-033845</t>
  </si>
  <si>
    <t xml:space="preserve">TXN-202608-033895</t>
  </si>
  <si>
    <t xml:space="preserve">EW-0423</t>
  </si>
  <si>
    <t xml:space="preserve">WL-01906</t>
  </si>
  <si>
    <t xml:space="preserve">Jessica Flores</t>
  </si>
  <si>
    <t xml:space="preserve">TXN-202608-033944</t>
  </si>
  <si>
    <t xml:space="preserve">EW-0424</t>
  </si>
  <si>
    <t xml:space="preserve">WL-03790</t>
  </si>
  <si>
    <t xml:space="preserve">Bradley Walker</t>
  </si>
  <si>
    <t xml:space="preserve">DRIFT STAR</t>
  </si>
  <si>
    <t xml:space="preserve">TXN-202608-034023</t>
  </si>
  <si>
    <t xml:space="preserve">EW-0502</t>
  </si>
  <si>
    <t xml:space="preserve">WL-02559</t>
  </si>
  <si>
    <t xml:space="preserve">Joshua Alvarado</t>
  </si>
  <si>
    <t xml:space="preserve">TXN-202608-034088</t>
  </si>
  <si>
    <t xml:space="preserve">EW-0503</t>
  </si>
  <si>
    <t xml:space="preserve">WL-01756</t>
  </si>
  <si>
    <t xml:space="preserve">Alexander Mcdonald</t>
  </si>
  <si>
    <t xml:space="preserve">OSPREY ROSE</t>
  </si>
  <si>
    <t xml:space="preserve">TXN-202608-034166</t>
  </si>
  <si>
    <t xml:space="preserve">EW-0504</t>
  </si>
  <si>
    <t xml:space="preserve">WL-02218</t>
  </si>
  <si>
    <t xml:space="preserve">Dawn Mccarthy</t>
  </si>
  <si>
    <t xml:space="preserve">TXN-202608-034246</t>
  </si>
  <si>
    <t xml:space="preserve">EW-0505</t>
  </si>
  <si>
    <t xml:space="preserve">WL-02464</t>
  </si>
  <si>
    <t xml:space="preserve">Lisa Perez</t>
  </si>
  <si>
    <t xml:space="preserve">TXN-202608-034302</t>
  </si>
  <si>
    <t xml:space="preserve">EW-0506</t>
  </si>
  <si>
    <t xml:space="preserve">WL-01608</t>
  </si>
  <si>
    <t xml:space="preserve">Madeline Wright</t>
  </si>
  <si>
    <t xml:space="preserve">TIDE LINE</t>
  </si>
  <si>
    <t xml:space="preserve">TXN-202608-034374</t>
  </si>
  <si>
    <t xml:space="preserve">EW-0507</t>
  </si>
  <si>
    <t xml:space="preserve">WL-02869</t>
  </si>
  <si>
    <t xml:space="preserve">George Robbins</t>
  </si>
  <si>
    <t xml:space="preserve">TXN-202608-034456</t>
  </si>
  <si>
    <t xml:space="preserve">EW-0508</t>
  </si>
  <si>
    <t xml:space="preserve">WL-03534</t>
  </si>
  <si>
    <t xml:space="preserve">Henry Morris</t>
  </si>
  <si>
    <t xml:space="preserve">TXN-202608-034510</t>
  </si>
  <si>
    <t xml:space="preserve">EW-0510</t>
  </si>
  <si>
    <t xml:space="preserve">WL-03346</t>
  </si>
  <si>
    <t xml:space="preserve">TXN-202608-034564</t>
  </si>
  <si>
    <t xml:space="preserve">WL-03287</t>
  </si>
  <si>
    <t xml:space="preserve">Deborah Holmes</t>
  </si>
  <si>
    <t xml:space="preserve">TXN-202608-034626</t>
  </si>
  <si>
    <t xml:space="preserve">EW-0512</t>
  </si>
  <si>
    <t xml:space="preserve">WL-02879</t>
  </si>
  <si>
    <t xml:space="preserve">Vincent Long</t>
  </si>
  <si>
    <t xml:space="preserve">TXN-202608-034706</t>
  </si>
  <si>
    <t xml:space="preserve">EW-0513</t>
  </si>
  <si>
    <t xml:space="preserve">WL-01694</t>
  </si>
  <si>
    <t xml:space="preserve">Cory Aguirre</t>
  </si>
  <si>
    <t xml:space="preserve">HERON REACH</t>
  </si>
  <si>
    <t xml:space="preserve">TXN-202608-034781</t>
  </si>
  <si>
    <t xml:space="preserve">EW-0514</t>
  </si>
  <si>
    <t xml:space="preserve">WL-02692</t>
  </si>
  <si>
    <t xml:space="preserve">Benjamin Vasquez</t>
  </si>
  <si>
    <t xml:space="preserve">SABLE SONG</t>
  </si>
  <si>
    <t xml:space="preserve">TXN-202608-034854</t>
  </si>
  <si>
    <t xml:space="preserve">EW-0515</t>
  </si>
  <si>
    <t xml:space="preserve">WIDGEON MIST</t>
  </si>
  <si>
    <t xml:space="preserve">TXN-202608-034902</t>
  </si>
  <si>
    <t xml:space="preserve">EW-0516</t>
  </si>
  <si>
    <t xml:space="preserve">WL-03909</t>
  </si>
  <si>
    <t xml:space="preserve">Elizabeth Edwards</t>
  </si>
  <si>
    <t xml:space="preserve">ANCHOR WIND</t>
  </si>
  <si>
    <t xml:space="preserve">TXN-202608-034962</t>
  </si>
  <si>
    <t xml:space="preserve">EW-0517</t>
  </si>
  <si>
    <t xml:space="preserve">WL-01673</t>
  </si>
  <si>
    <t xml:space="preserve">Kellie Lee</t>
  </si>
  <si>
    <t xml:space="preserve">WIDGEON WIND</t>
  </si>
  <si>
    <t xml:space="preserve">TXN-202608-035020</t>
  </si>
  <si>
    <t xml:space="preserve">WL-01433</t>
  </si>
  <si>
    <t xml:space="preserve">Lisa Aguilar</t>
  </si>
  <si>
    <t xml:space="preserve">OSPREY BAY</t>
  </si>
  <si>
    <t xml:space="preserve">TXN-202608-035100</t>
  </si>
  <si>
    <t xml:space="preserve">WL-01765</t>
  </si>
  <si>
    <t xml:space="preserve">Donald Edwards</t>
  </si>
  <si>
    <t xml:space="preserve">TXN-202608-035177</t>
  </si>
  <si>
    <t xml:space="preserve">EW-0520</t>
  </si>
  <si>
    <t xml:space="preserve">WL-02696</t>
  </si>
  <si>
    <t xml:space="preserve">Hunter Galloway</t>
  </si>
  <si>
    <t xml:space="preserve">PINTAIL LIGHT</t>
  </si>
  <si>
    <t xml:space="preserve">TXN-202608-035252</t>
  </si>
  <si>
    <t xml:space="preserve">EW-0521</t>
  </si>
  <si>
    <t xml:space="preserve">WL-02992</t>
  </si>
  <si>
    <t xml:space="preserve">Emily Cox</t>
  </si>
  <si>
    <t xml:space="preserve">TXN-202608-035294</t>
  </si>
  <si>
    <t xml:space="preserve">COHO WIND</t>
  </si>
  <si>
    <t xml:space="preserve">TXN-202608-035348</t>
  </si>
  <si>
    <t xml:space="preserve">WL-01972</t>
  </si>
  <si>
    <t xml:space="preserve">Robyn Torres</t>
  </si>
  <si>
    <t xml:space="preserve">TXN-202608-035427</t>
  </si>
  <si>
    <t xml:space="preserve">EW-0524</t>
  </si>
  <si>
    <t xml:space="preserve">SALISH SHORE</t>
  </si>
  <si>
    <t xml:space="preserve">TXN-202608-035479</t>
  </si>
  <si>
    <t xml:space="preserve">EW-0601</t>
  </si>
  <si>
    <t xml:space="preserve">WL-02782</t>
  </si>
  <si>
    <t xml:space="preserve">Judy Adams</t>
  </si>
  <si>
    <t xml:space="preserve">DRIFT WEATHER</t>
  </si>
  <si>
    <t xml:space="preserve">TXN-202608-035548</t>
  </si>
  <si>
    <t xml:space="preserve">EW-0602</t>
  </si>
  <si>
    <t xml:space="preserve">WL-02572</t>
  </si>
  <si>
    <t xml:space="preserve">Kelly Cox</t>
  </si>
  <si>
    <t xml:space="preserve">DRIFT SHORE</t>
  </si>
  <si>
    <t xml:space="preserve">TXN-202608-035607</t>
  </si>
  <si>
    <t xml:space="preserve">EW-0603</t>
  </si>
  <si>
    <t xml:space="preserve">WL-03665</t>
  </si>
  <si>
    <t xml:space="preserve">Maria Middleton</t>
  </si>
  <si>
    <t xml:space="preserve">TXN-202608-035683</t>
  </si>
  <si>
    <t xml:space="preserve">EW-0604</t>
  </si>
  <si>
    <t xml:space="preserve">WL-02293</t>
  </si>
  <si>
    <t xml:space="preserve">Brian Alexander</t>
  </si>
  <si>
    <t xml:space="preserve">SANDERLING WIND</t>
  </si>
  <si>
    <t xml:space="preserve">TXN-202608-035744</t>
  </si>
  <si>
    <t xml:space="preserve">EW-0605</t>
  </si>
  <si>
    <t xml:space="preserve">WL-02016</t>
  </si>
  <si>
    <t xml:space="preserve">Andrea Garza</t>
  </si>
  <si>
    <t xml:space="preserve">TXN-202608-035801</t>
  </si>
  <si>
    <t xml:space="preserve">EW-0606</t>
  </si>
  <si>
    <t xml:space="preserve">WL-03431</t>
  </si>
  <si>
    <t xml:space="preserve">Lisa Cochran</t>
  </si>
  <si>
    <t xml:space="preserve">PETREL GLIDE</t>
  </si>
  <si>
    <t xml:space="preserve">TXN-202608-035855</t>
  </si>
  <si>
    <t xml:space="preserve">WL-02210</t>
  </si>
  <si>
    <t xml:space="preserve">Erika Huber</t>
  </si>
  <si>
    <t xml:space="preserve">PETREL VEER</t>
  </si>
  <si>
    <t xml:space="preserve">TXN-202608-035922</t>
  </si>
  <si>
    <t xml:space="preserve">WL-02498</t>
  </si>
  <si>
    <t xml:space="preserve">Patrick Herrera</t>
  </si>
  <si>
    <t xml:space="preserve">TXN-202608-035975</t>
  </si>
  <si>
    <t xml:space="preserve">EW-0609</t>
  </si>
  <si>
    <t xml:space="preserve">WL-01511</t>
  </si>
  <si>
    <t xml:space="preserve">Nancy Sullivan</t>
  </si>
  <si>
    <t xml:space="preserve">WIDGEON SOUND</t>
  </si>
  <si>
    <t xml:space="preserve">TXN-202608-036025</t>
  </si>
  <si>
    <t xml:space="preserve">EW-0610</t>
  </si>
  <si>
    <t xml:space="preserve">WL-02561</t>
  </si>
  <si>
    <t xml:space="preserve">Kayla Carpenter</t>
  </si>
  <si>
    <t xml:space="preserve">TXN-202608-036068</t>
  </si>
  <si>
    <t xml:space="preserve">EW-0611</t>
  </si>
  <si>
    <t xml:space="preserve">WL-01796</t>
  </si>
  <si>
    <t xml:space="preserve">TXN-202608-036133</t>
  </si>
  <si>
    <t xml:space="preserve">EW-0614</t>
  </si>
  <si>
    <t xml:space="preserve">WL-02310</t>
  </si>
  <si>
    <t xml:space="preserve">Kristy Bell</t>
  </si>
  <si>
    <t xml:space="preserve">POINT BAY</t>
  </si>
  <si>
    <t xml:space="preserve">TXN-202608-036213</t>
  </si>
  <si>
    <t xml:space="preserve">EW-0615</t>
  </si>
  <si>
    <t xml:space="preserve">WL-03561</t>
  </si>
  <si>
    <t xml:space="preserve">Rebecca Crawford</t>
  </si>
  <si>
    <t xml:space="preserve">TXN-202608-036278</t>
  </si>
  <si>
    <t xml:space="preserve">EW-0616</t>
  </si>
  <si>
    <t xml:space="preserve">WL-01289</t>
  </si>
  <si>
    <t xml:space="preserve">Harry Faulkner</t>
  </si>
  <si>
    <t xml:space="preserve">PINTAIL RUNNER</t>
  </si>
  <si>
    <t xml:space="preserve">TXN-202608-036337</t>
  </si>
  <si>
    <t xml:space="preserve">EW-0617</t>
  </si>
  <si>
    <t xml:space="preserve">WL-01818</t>
  </si>
  <si>
    <t xml:space="preserve">Natasha Higgins</t>
  </si>
  <si>
    <t xml:space="preserve">TXN-202608-036380</t>
  </si>
  <si>
    <t xml:space="preserve">EW-0618</t>
  </si>
  <si>
    <t xml:space="preserve">WL-01884</t>
  </si>
  <si>
    <t xml:space="preserve">Rebecca Price</t>
  </si>
  <si>
    <t xml:space="preserve">TXN-202608-036459</t>
  </si>
  <si>
    <t xml:space="preserve">EW-0621</t>
  </si>
  <si>
    <t xml:space="preserve">WL-01004</t>
  </si>
  <si>
    <t xml:space="preserve">Joseph Lopez</t>
  </si>
  <si>
    <t xml:space="preserve">TXN-202608-036536</t>
  </si>
  <si>
    <t xml:space="preserve">EW-0623</t>
  </si>
  <si>
    <t xml:space="preserve">WL-02886</t>
  </si>
  <si>
    <t xml:space="preserve">Sarah Woods</t>
  </si>
  <si>
    <t xml:space="preserve">TXN-202608-036609</t>
  </si>
  <si>
    <t xml:space="preserve">WL-01257</t>
  </si>
  <si>
    <t xml:space="preserve">Steven Parrish</t>
  </si>
  <si>
    <t xml:space="preserve">TXN-202608-036685</t>
  </si>
  <si>
    <t xml:space="preserve">EW-0702</t>
  </si>
  <si>
    <t xml:space="preserve">WL-02343</t>
  </si>
  <si>
    <t xml:space="preserve">Nicole Mata</t>
  </si>
  <si>
    <t xml:space="preserve">TXN-202608-036764</t>
  </si>
  <si>
    <t xml:space="preserve">EW-0703</t>
  </si>
  <si>
    <t xml:space="preserve">WL-01158</t>
  </si>
  <si>
    <t xml:space="preserve">Scott Gutierrez</t>
  </si>
  <si>
    <t xml:space="preserve">TXN-202608-036843</t>
  </si>
  <si>
    <t xml:space="preserve">EW-0704</t>
  </si>
  <si>
    <t xml:space="preserve">WL-03717</t>
  </si>
  <si>
    <t xml:space="preserve">Roy Schmitt</t>
  </si>
  <si>
    <t xml:space="preserve">TXN-202608-036884</t>
  </si>
  <si>
    <t xml:space="preserve">EW-0705</t>
  </si>
  <si>
    <t xml:space="preserve">WL-01681</t>
  </si>
  <si>
    <t xml:space="preserve">Trevor Jones</t>
  </si>
  <si>
    <t xml:space="preserve">TXN-202608-036964</t>
  </si>
  <si>
    <t xml:space="preserve">EW-0706</t>
  </si>
  <si>
    <t xml:space="preserve">WL-03502</t>
  </si>
  <si>
    <t xml:space="preserve">Jennifer Bryant</t>
  </si>
  <si>
    <t xml:space="preserve">TXN-202608-037037</t>
  </si>
  <si>
    <t xml:space="preserve">WL-02872</t>
  </si>
  <si>
    <t xml:space="preserve">Jessica Fitzgerald</t>
  </si>
  <si>
    <t xml:space="preserve">SALISH STAR</t>
  </si>
  <si>
    <t xml:space="preserve">TXN-202608-037112</t>
  </si>
  <si>
    <t xml:space="preserve">SCOTER WIND</t>
  </si>
  <si>
    <t xml:space="preserve">TXN-202608-037172</t>
  </si>
  <si>
    <t xml:space="preserve">EW-0710</t>
  </si>
  <si>
    <t xml:space="preserve">WL-01290</t>
  </si>
  <si>
    <t xml:space="preserve">Laura Ball</t>
  </si>
  <si>
    <t xml:space="preserve">TIDE WIND</t>
  </si>
  <si>
    <t xml:space="preserve">TXN-202608-037237</t>
  </si>
  <si>
    <t xml:space="preserve">EW-0712</t>
  </si>
  <si>
    <t xml:space="preserve">WL-02411</t>
  </si>
  <si>
    <t xml:space="preserve">Brooke Kelly</t>
  </si>
  <si>
    <t xml:space="preserve">MURRE CREST</t>
  </si>
  <si>
    <t xml:space="preserve">TXN-202608-037291</t>
  </si>
  <si>
    <t xml:space="preserve">EW-0713</t>
  </si>
  <si>
    <t xml:space="preserve">WL-03726</t>
  </si>
  <si>
    <t xml:space="preserve">Christina Johnson</t>
  </si>
  <si>
    <t xml:space="preserve">TXN-202608-037347</t>
  </si>
  <si>
    <t xml:space="preserve">EW-0714</t>
  </si>
  <si>
    <t xml:space="preserve">WL-03863</t>
  </si>
  <si>
    <t xml:space="preserve">Brianna Phillips</t>
  </si>
  <si>
    <t xml:space="preserve">HERON LIGHT</t>
  </si>
  <si>
    <t xml:space="preserve">TXN-202608-037390</t>
  </si>
  <si>
    <t xml:space="preserve">EW-0715</t>
  </si>
  <si>
    <t xml:space="preserve">WL-02155</t>
  </si>
  <si>
    <t xml:space="preserve">Jeremy Turner</t>
  </si>
  <si>
    <t xml:space="preserve">TXN-202608-037453</t>
  </si>
  <si>
    <t xml:space="preserve">WL-02280</t>
  </si>
  <si>
    <t xml:space="preserve">Joseph Rogers</t>
  </si>
  <si>
    <t xml:space="preserve">TXN-202608-037528</t>
  </si>
  <si>
    <t xml:space="preserve">EW-0717</t>
  </si>
  <si>
    <t xml:space="preserve">WL-02403</t>
  </si>
  <si>
    <t xml:space="preserve">Courtney Powell</t>
  </si>
  <si>
    <t xml:space="preserve">ANCHOR BAY</t>
  </si>
  <si>
    <t xml:space="preserve">TXN-202608-037606</t>
  </si>
  <si>
    <t xml:space="preserve">EW-0718</t>
  </si>
  <si>
    <t xml:space="preserve">WL-01159</t>
  </si>
  <si>
    <t xml:space="preserve">Jesus Rice</t>
  </si>
  <si>
    <t xml:space="preserve">TXN-202608-037669</t>
  </si>
  <si>
    <t xml:space="preserve">EW-0719</t>
  </si>
  <si>
    <t xml:space="preserve">WL-02799</t>
  </si>
  <si>
    <t xml:space="preserve">Amber Turner</t>
  </si>
  <si>
    <t xml:space="preserve">SCOTER MOON</t>
  </si>
  <si>
    <t xml:space="preserve">TXN-202608-037737</t>
  </si>
  <si>
    <t xml:space="preserve">EW-0720</t>
  </si>
  <si>
    <t xml:space="preserve">WL-03636</t>
  </si>
  <si>
    <t xml:space="preserve">Amy Flores</t>
  </si>
  <si>
    <t xml:space="preserve">TXN-202608-037807</t>
  </si>
  <si>
    <t xml:space="preserve">EW-0721</t>
  </si>
  <si>
    <t xml:space="preserve">WL-01657</t>
  </si>
  <si>
    <t xml:space="preserve">Chad Wells</t>
  </si>
  <si>
    <t xml:space="preserve">SEAL DANCER</t>
  </si>
  <si>
    <t xml:space="preserve">TXN-202608-037851</t>
  </si>
  <si>
    <t xml:space="preserve">EW-0722</t>
  </si>
  <si>
    <t xml:space="preserve">WL-02952</t>
  </si>
  <si>
    <t xml:space="preserve">Stacy Schroeder</t>
  </si>
  <si>
    <t xml:space="preserve">HERON WAKE</t>
  </si>
  <si>
    <t xml:space="preserve">TXN-202608-037899</t>
  </si>
  <si>
    <t xml:space="preserve">EW-0723</t>
  </si>
  <si>
    <t xml:space="preserve">WL-03327</t>
  </si>
  <si>
    <t xml:space="preserve">Laura Zamora</t>
  </si>
  <si>
    <t xml:space="preserve">TXN-202608-037947</t>
  </si>
  <si>
    <t xml:space="preserve">EW-0724</t>
  </si>
  <si>
    <t xml:space="preserve">WL-02005</t>
  </si>
  <si>
    <t xml:space="preserve">Caitlin Howard</t>
  </si>
  <si>
    <t xml:space="preserve">WIDGEON DANCER</t>
  </si>
  <si>
    <t xml:space="preserve">TXN-202608-037996</t>
  </si>
  <si>
    <t xml:space="preserve">EW-0801</t>
  </si>
  <si>
    <t xml:space="preserve">WL-02019</t>
  </si>
  <si>
    <t xml:space="preserve">James Cox</t>
  </si>
  <si>
    <t xml:space="preserve">SANDERLING REACH</t>
  </si>
  <si>
    <t xml:space="preserve">TXN-202608-038044</t>
  </si>
  <si>
    <t xml:space="preserve">EW-0802</t>
  </si>
  <si>
    <t xml:space="preserve">WL-03780</t>
  </si>
  <si>
    <t xml:space="preserve">Carmen Maldonado</t>
  </si>
  <si>
    <t xml:space="preserve">TXN-202608-038091</t>
  </si>
  <si>
    <t xml:space="preserve">EW-0803</t>
  </si>
  <si>
    <t xml:space="preserve">TXN-202608-038169</t>
  </si>
  <si>
    <t xml:space="preserve">WL-03722</t>
  </si>
  <si>
    <t xml:space="preserve">Seth Stone</t>
  </si>
  <si>
    <t xml:space="preserve">TXN-202608-038218</t>
  </si>
  <si>
    <t xml:space="preserve">EW-0805</t>
  </si>
  <si>
    <t xml:space="preserve">WL-01569</t>
  </si>
  <si>
    <t xml:space="preserve">Sherri Smith</t>
  </si>
  <si>
    <t xml:space="preserve">MURRE GLIDE</t>
  </si>
  <si>
    <t xml:space="preserve">TXN-202608-038270</t>
  </si>
  <si>
    <t xml:space="preserve">EW-0806</t>
  </si>
  <si>
    <t xml:space="preserve">WL-01375</t>
  </si>
  <si>
    <t xml:space="preserve">Crystal Austin</t>
  </si>
  <si>
    <t xml:space="preserve">TXN-202608-038334</t>
  </si>
  <si>
    <t xml:space="preserve">EW-0807</t>
  </si>
  <si>
    <t xml:space="preserve">WL-03182</t>
  </si>
  <si>
    <t xml:space="preserve">Matthew Gonzalez</t>
  </si>
  <si>
    <t xml:space="preserve">OTTER GLIDE</t>
  </si>
  <si>
    <t xml:space="preserve">TXN-202608-038400</t>
  </si>
  <si>
    <t xml:space="preserve">EW-0808</t>
  </si>
  <si>
    <t xml:space="preserve">WL-02311</t>
  </si>
  <si>
    <t xml:space="preserve">Catherine Martinez</t>
  </si>
  <si>
    <t xml:space="preserve">TXN-202608-038461</t>
  </si>
  <si>
    <t xml:space="preserve">EW-0809</t>
  </si>
  <si>
    <t xml:space="preserve">WL-02595</t>
  </si>
  <si>
    <t xml:space="preserve">Cheryl Wood</t>
  </si>
  <si>
    <t xml:space="preserve">TXN-202608-038502</t>
  </si>
  <si>
    <t xml:space="preserve">EW-0810</t>
  </si>
  <si>
    <t xml:space="preserve">WL-03518</t>
  </si>
  <si>
    <t xml:space="preserve">Jorge Donovan</t>
  </si>
  <si>
    <t xml:space="preserve">TXN-202608-038553</t>
  </si>
  <si>
    <t xml:space="preserve">EW-0811</t>
  </si>
  <si>
    <t xml:space="preserve">TXN-202608-038602</t>
  </si>
  <si>
    <t xml:space="preserve">EW-0812</t>
  </si>
  <si>
    <t xml:space="preserve">WL-03679</t>
  </si>
  <si>
    <t xml:space="preserve">Tracy Page</t>
  </si>
  <si>
    <t xml:space="preserve">TXN-202608-038662</t>
  </si>
  <si>
    <t xml:space="preserve">WL-02198</t>
  </si>
  <si>
    <t xml:space="preserve">James Torres</t>
  </si>
  <si>
    <t xml:space="preserve">OSPREY PASSAGE</t>
  </si>
  <si>
    <t xml:space="preserve">TXN-202608-038736</t>
  </si>
  <si>
    <t xml:space="preserve">WL-01852</t>
  </si>
  <si>
    <t xml:space="preserve">Ross Erickson</t>
  </si>
  <si>
    <t xml:space="preserve">TXN-202608-038794</t>
  </si>
  <si>
    <t xml:space="preserve">EW-0815</t>
  </si>
  <si>
    <t xml:space="preserve">WL-03368</t>
  </si>
  <si>
    <t xml:space="preserve">Daniel Bowen</t>
  </si>
  <si>
    <t xml:space="preserve">DRIFT BAY</t>
  </si>
  <si>
    <t xml:space="preserve">TXN-202608-038845</t>
  </si>
  <si>
    <t xml:space="preserve">EW-0816</t>
  </si>
  <si>
    <t xml:space="preserve">PINTAIL</t>
  </si>
  <si>
    <t xml:space="preserve">TXN-202608-038883</t>
  </si>
  <si>
    <t xml:space="preserve">EW-0817</t>
  </si>
  <si>
    <t xml:space="preserve">WL-03434</t>
  </si>
  <si>
    <t xml:space="preserve">Michelle Caldwell</t>
  </si>
  <si>
    <t xml:space="preserve">TXN-202608-038934</t>
  </si>
  <si>
    <t xml:space="preserve">EW-0818</t>
  </si>
  <si>
    <t xml:space="preserve">WL-03709</t>
  </si>
  <si>
    <t xml:space="preserve">Brandy Mays</t>
  </si>
  <si>
    <t xml:space="preserve">OTTER ROCK</t>
  </si>
  <si>
    <t xml:space="preserve">TXN-202608-038975</t>
  </si>
  <si>
    <t xml:space="preserve">WL-02587</t>
  </si>
  <si>
    <t xml:space="preserve">Mary Figueroa</t>
  </si>
  <si>
    <t xml:space="preserve">KESTREL LINE</t>
  </si>
  <si>
    <t xml:space="preserve">TXN-202608-039033</t>
  </si>
  <si>
    <t xml:space="preserve">EW-0821</t>
  </si>
  <si>
    <t xml:space="preserve">WL-02217</t>
  </si>
  <si>
    <t xml:space="preserve">Rose Morales</t>
  </si>
  <si>
    <t xml:space="preserve">WIDGEON SONG</t>
  </si>
  <si>
    <t xml:space="preserve">TXN-202608-039079</t>
  </si>
  <si>
    <t xml:space="preserve">EW-0822</t>
  </si>
  <si>
    <t xml:space="preserve">WL-01076</t>
  </si>
  <si>
    <t xml:space="preserve">Timothy Robinson</t>
  </si>
  <si>
    <t xml:space="preserve">OSPREY ROCK</t>
  </si>
  <si>
    <t xml:space="preserve">TXN-202608-039122</t>
  </si>
  <si>
    <t xml:space="preserve">EW-0823</t>
  </si>
  <si>
    <t xml:space="preserve">WL-03201</t>
  </si>
  <si>
    <t xml:space="preserve">Nancy Montgomery</t>
  </si>
  <si>
    <t xml:space="preserve">TXN-202608-039181</t>
  </si>
  <si>
    <t xml:space="preserve">EW-0901</t>
  </si>
  <si>
    <t xml:space="preserve">WL-02581</t>
  </si>
  <si>
    <t xml:space="preserve">Carolyn Sanchez</t>
  </si>
  <si>
    <t xml:space="preserve">TXN-202608-039223</t>
  </si>
  <si>
    <t xml:space="preserve">OSPREY RUNNER</t>
  </si>
  <si>
    <t xml:space="preserve">TXN-202608-039298</t>
  </si>
  <si>
    <t xml:space="preserve">EW-0903</t>
  </si>
  <si>
    <t xml:space="preserve">WL-01891</t>
  </si>
  <si>
    <t xml:space="preserve">Lee Ritter</t>
  </si>
  <si>
    <t xml:space="preserve">PINTAIL MOON</t>
  </si>
  <si>
    <t xml:space="preserve">TXN-202608-039369</t>
  </si>
  <si>
    <t xml:space="preserve">EW-0904</t>
  </si>
  <si>
    <t xml:space="preserve">WL-03412</t>
  </si>
  <si>
    <t xml:space="preserve">Seth Smith</t>
  </si>
  <si>
    <t xml:space="preserve">SANDERLING WEATHER</t>
  </si>
  <si>
    <t xml:space="preserve">TXN-202608-039411</t>
  </si>
  <si>
    <t xml:space="preserve">EW-0905</t>
  </si>
  <si>
    <t xml:space="preserve">WL-01393</t>
  </si>
  <si>
    <t xml:space="preserve">Lauren Thompson</t>
  </si>
  <si>
    <t xml:space="preserve">TXN-202608-039463</t>
  </si>
  <si>
    <t xml:space="preserve">EW-0906</t>
  </si>
  <si>
    <t xml:space="preserve">WL-01035</t>
  </si>
  <si>
    <t xml:space="preserve">Ivan Webster</t>
  </si>
  <si>
    <t xml:space="preserve">TXN-202608-039511</t>
  </si>
  <si>
    <t xml:space="preserve">EW-0907</t>
  </si>
  <si>
    <t xml:space="preserve">WL-02881</t>
  </si>
  <si>
    <t xml:space="preserve">Christopher Woodward</t>
  </si>
  <si>
    <t xml:space="preserve">SALISH VEER</t>
  </si>
  <si>
    <t xml:space="preserve">TXN-202608-039579</t>
  </si>
  <si>
    <t xml:space="preserve">EW-0908</t>
  </si>
  <si>
    <t xml:space="preserve">WL-02478</t>
  </si>
  <si>
    <t xml:space="preserve">Travis Long</t>
  </si>
  <si>
    <t xml:space="preserve">TXN-202608-039634</t>
  </si>
  <si>
    <t xml:space="preserve">WL-03396</t>
  </si>
  <si>
    <t xml:space="preserve">Tanya Woods</t>
  </si>
  <si>
    <t xml:space="preserve">TXN-202608-039702</t>
  </si>
  <si>
    <t xml:space="preserve">EW-0910</t>
  </si>
  <si>
    <t xml:space="preserve">WL-03319</t>
  </si>
  <si>
    <t xml:space="preserve">Darrell Hall</t>
  </si>
  <si>
    <t xml:space="preserve">TXN-202608-039753</t>
  </si>
  <si>
    <t xml:space="preserve">EW-0911</t>
  </si>
  <si>
    <t xml:space="preserve">WL-02871</t>
  </si>
  <si>
    <t xml:space="preserve">Bailey Barnes</t>
  </si>
  <si>
    <t xml:space="preserve">TXN-202608-039834</t>
  </si>
  <si>
    <t xml:space="preserve">EW-0912</t>
  </si>
  <si>
    <t xml:space="preserve">WL-03562</t>
  </si>
  <si>
    <t xml:space="preserve">Tara Davis</t>
  </si>
  <si>
    <t xml:space="preserve">ANCHOR SHORE</t>
  </si>
  <si>
    <t xml:space="preserve">TXN-202608-039907</t>
  </si>
  <si>
    <t xml:space="preserve">EW-0913</t>
  </si>
  <si>
    <t xml:space="preserve">WL-02382</t>
  </si>
  <si>
    <t xml:space="preserve">Rachael Wallace</t>
  </si>
  <si>
    <t xml:space="preserve">CORMORANT QUEEN</t>
  </si>
  <si>
    <t xml:space="preserve">TXN-202608-039972</t>
  </si>
  <si>
    <t xml:space="preserve">EW-0914</t>
  </si>
  <si>
    <t xml:space="preserve">WL-02046</t>
  </si>
  <si>
    <t xml:space="preserve">Jennifer Scott</t>
  </si>
  <si>
    <t xml:space="preserve">OTTER QUEEN</t>
  </si>
  <si>
    <t xml:space="preserve">TXN-202608-040025</t>
  </si>
  <si>
    <t xml:space="preserve">EW-0915</t>
  </si>
  <si>
    <t xml:space="preserve">WL-03170</t>
  </si>
  <si>
    <t xml:space="preserve">Kyle Chen</t>
  </si>
  <si>
    <t xml:space="preserve">WIDGEON LINE</t>
  </si>
  <si>
    <t xml:space="preserve">TXN-202608-040069</t>
  </si>
  <si>
    <t xml:space="preserve">WL-03268</t>
  </si>
  <si>
    <t xml:space="preserve">Charles Parker</t>
  </si>
  <si>
    <t xml:space="preserve">TXN-202608-040112</t>
  </si>
  <si>
    <t xml:space="preserve">EW-0917</t>
  </si>
  <si>
    <t xml:space="preserve">WL-03374</t>
  </si>
  <si>
    <t xml:space="preserve">Tina Ward</t>
  </si>
  <si>
    <t xml:space="preserve">GRAY PASSAGE</t>
  </si>
  <si>
    <t xml:space="preserve">TXN-202608-040179</t>
  </si>
  <si>
    <t xml:space="preserve">EW-0918</t>
  </si>
  <si>
    <t xml:space="preserve">WL-02502</t>
  </si>
  <si>
    <t xml:space="preserve">Michelle Cline</t>
  </si>
  <si>
    <t xml:space="preserve">SPINDRIFT STAR</t>
  </si>
  <si>
    <t xml:space="preserve">TXN-202608-040227</t>
  </si>
  <si>
    <t xml:space="preserve">EW-0919</t>
  </si>
  <si>
    <t xml:space="preserve">WL-03012</t>
  </si>
  <si>
    <t xml:space="preserve">Olivia Joseph</t>
  </si>
  <si>
    <t xml:space="preserve">TXN-202608-040286</t>
  </si>
  <si>
    <t xml:space="preserve">EW-0920</t>
  </si>
  <si>
    <t xml:space="preserve">WL-02451</t>
  </si>
  <si>
    <t xml:space="preserve">Brooke Bell</t>
  </si>
  <si>
    <t xml:space="preserve">PETREL HARBOR</t>
  </si>
  <si>
    <t xml:space="preserve">TXN-202608-040359</t>
  </si>
  <si>
    <t xml:space="preserve">EW-0921</t>
  </si>
  <si>
    <t xml:space="preserve">WL-01499</t>
  </si>
  <si>
    <t xml:space="preserve">Jessica Miller</t>
  </si>
  <si>
    <t xml:space="preserve">TXN-202608-040419</t>
  </si>
  <si>
    <t xml:space="preserve">EW-0922</t>
  </si>
  <si>
    <t xml:space="preserve">WL-03568</t>
  </si>
  <si>
    <t xml:space="preserve">Ricardo Jensen</t>
  </si>
  <si>
    <t xml:space="preserve">SABLE HARBOR</t>
  </si>
  <si>
    <t xml:space="preserve">TXN-202608-040496</t>
  </si>
  <si>
    <t xml:space="preserve">EW-0923</t>
  </si>
  <si>
    <t xml:space="preserve">WL-03351</t>
  </si>
  <si>
    <t xml:space="preserve">Justin Mejia</t>
  </si>
  <si>
    <t xml:space="preserve">GRAY WAKE</t>
  </si>
  <si>
    <t xml:space="preserve">TXN-202608-040536</t>
  </si>
  <si>
    <t xml:space="preserve">EW-1001</t>
  </si>
  <si>
    <t xml:space="preserve">WL-03821</t>
  </si>
  <si>
    <t xml:space="preserve">Tammy Dalton</t>
  </si>
  <si>
    <t xml:space="preserve">TXN-202608-040600</t>
  </si>
  <si>
    <t xml:space="preserve">HALIBUT SHORE</t>
  </si>
  <si>
    <t xml:space="preserve">TXN-202608-040662</t>
  </si>
  <si>
    <t xml:space="preserve">WL-01595</t>
  </si>
  <si>
    <t xml:space="preserve">Anthony Kemp</t>
  </si>
  <si>
    <t xml:space="preserve">CORMORANT LINE</t>
  </si>
  <si>
    <t xml:space="preserve">TXN-202608-040711</t>
  </si>
  <si>
    <t xml:space="preserve">EW-1005</t>
  </si>
  <si>
    <t xml:space="preserve">WL-01010</t>
  </si>
  <si>
    <t xml:space="preserve">Steven Hanson</t>
  </si>
  <si>
    <t xml:space="preserve">TXN-202608-040785</t>
  </si>
  <si>
    <t xml:space="preserve">WL-02438</t>
  </si>
  <si>
    <t xml:space="preserve">Sharon Phillips</t>
  </si>
  <si>
    <t xml:space="preserve">TXN-202608-040838</t>
  </si>
  <si>
    <t xml:space="preserve">EW-1008</t>
  </si>
  <si>
    <t xml:space="preserve">WL-02219</t>
  </si>
  <si>
    <t xml:space="preserve">Grant Cameron</t>
  </si>
  <si>
    <t xml:space="preserve">TXN-202608-040905</t>
  </si>
  <si>
    <t xml:space="preserve">EW-1010</t>
  </si>
  <si>
    <t xml:space="preserve">WL-02063</t>
  </si>
  <si>
    <t xml:space="preserve">Spencer Thompson</t>
  </si>
  <si>
    <t xml:space="preserve">TXN-202608-040958</t>
  </si>
  <si>
    <t xml:space="preserve">EW-1011</t>
  </si>
  <si>
    <t xml:space="preserve">WL-03465</t>
  </si>
  <si>
    <t xml:space="preserve">Eric Mays</t>
  </si>
  <si>
    <t xml:space="preserve">GRAY QUEEN</t>
  </si>
  <si>
    <t xml:space="preserve">TXN-202608-041034</t>
  </si>
  <si>
    <t xml:space="preserve">EW-1012</t>
  </si>
  <si>
    <t xml:space="preserve">WL-02406</t>
  </si>
  <si>
    <t xml:space="preserve">Christopher Jackson</t>
  </si>
  <si>
    <t xml:space="preserve">TIDE PASSAGE</t>
  </si>
  <si>
    <t xml:space="preserve">TXN-202608-041109</t>
  </si>
  <si>
    <t xml:space="preserve">EW-1013</t>
  </si>
  <si>
    <t xml:space="preserve">WL-02008</t>
  </si>
  <si>
    <t xml:space="preserve">Karen Matthews</t>
  </si>
  <si>
    <t xml:space="preserve">TXN-202608-041150</t>
  </si>
  <si>
    <t xml:space="preserve">EW-1014</t>
  </si>
  <si>
    <t xml:space="preserve">WL-02680</t>
  </si>
  <si>
    <t xml:space="preserve">Melanie Rivera</t>
  </si>
  <si>
    <t xml:space="preserve">TXN-202608-041203</t>
  </si>
  <si>
    <t xml:space="preserve">WL-03353</t>
  </si>
  <si>
    <t xml:space="preserve">Patricia Adkins</t>
  </si>
  <si>
    <t xml:space="preserve">SPINDRIFT GLIDE</t>
  </si>
  <si>
    <t xml:space="preserve">TXN-202608-041266</t>
  </si>
  <si>
    <t xml:space="preserve">EW-1016</t>
  </si>
  <si>
    <t xml:space="preserve">PINTAIL WEATHER</t>
  </si>
  <si>
    <t xml:space="preserve">TXN-202608-041322</t>
  </si>
  <si>
    <t xml:space="preserve">EW-1017</t>
  </si>
  <si>
    <t xml:space="preserve">WL-02717</t>
  </si>
  <si>
    <t xml:space="preserve">Ryan Phillips</t>
  </si>
  <si>
    <t xml:space="preserve">KESTREL GLIDE</t>
  </si>
  <si>
    <t xml:space="preserve">TXN-202608-041365</t>
  </si>
  <si>
    <t xml:space="preserve">EW-1018</t>
  </si>
  <si>
    <t xml:space="preserve">WL-01540</t>
  </si>
  <si>
    <t xml:space="preserve">Jonathan Baker</t>
  </si>
  <si>
    <t xml:space="preserve">TXN-202608-041431</t>
  </si>
  <si>
    <t xml:space="preserve">EW-1019</t>
  </si>
  <si>
    <t xml:space="preserve">WL-03583</t>
  </si>
  <si>
    <t xml:space="preserve">Walter Martin</t>
  </si>
  <si>
    <t xml:space="preserve">TXN-202608-041480</t>
  </si>
  <si>
    <t xml:space="preserve">TXN-202608-041527</t>
  </si>
  <si>
    <t xml:space="preserve">TIDE GLIDE</t>
  </si>
  <si>
    <t xml:space="preserve">TXN-202608-041591</t>
  </si>
  <si>
    <t xml:space="preserve">EW-1023</t>
  </si>
  <si>
    <t xml:space="preserve">WL-01824</t>
  </si>
  <si>
    <t xml:space="preserve">Robin Tucker</t>
  </si>
  <si>
    <t xml:space="preserve">SANDERLING PASSAGE</t>
  </si>
  <si>
    <t xml:space="preserve">TXN-202608-041651</t>
  </si>
  <si>
    <t xml:space="preserve">EW-1024</t>
  </si>
  <si>
    <t xml:space="preserve">WL-03180</t>
  </si>
  <si>
    <t xml:space="preserve">Teresa Jimenez</t>
  </si>
  <si>
    <t xml:space="preserve">TXN-202608-041702</t>
  </si>
  <si>
    <t xml:space="preserve">GW-0102</t>
  </si>
  <si>
    <t xml:space="preserve">WL-01136</t>
  </si>
  <si>
    <t xml:space="preserve">Christina Green</t>
  </si>
  <si>
    <t xml:space="preserve">PETREL WIND</t>
  </si>
  <si>
    <t xml:space="preserve">TXN-202608-041755</t>
  </si>
  <si>
    <t xml:space="preserve">WL-02233</t>
  </si>
  <si>
    <t xml:space="preserve">Sarah Forbes</t>
  </si>
  <si>
    <t xml:space="preserve">TXN-202608-041830</t>
  </si>
  <si>
    <t xml:space="preserve">GW-0104</t>
  </si>
  <si>
    <t xml:space="preserve">WL-01980</t>
  </si>
  <si>
    <t xml:space="preserve">Jacob Powell</t>
  </si>
  <si>
    <t xml:space="preserve">TXN-202608-041882</t>
  </si>
  <si>
    <t xml:space="preserve">WL-03409</t>
  </si>
  <si>
    <t xml:space="preserve">Linda Franklin</t>
  </si>
  <si>
    <t xml:space="preserve">SCOTER HARBOR</t>
  </si>
  <si>
    <t xml:space="preserve">TXN-202608-041952</t>
  </si>
  <si>
    <t xml:space="preserve">GW-0106</t>
  </si>
  <si>
    <t xml:space="preserve">WL-01773</t>
  </si>
  <si>
    <t xml:space="preserve">Kara Bartlett</t>
  </si>
  <si>
    <t xml:space="preserve">SCOTER SONG</t>
  </si>
  <si>
    <t xml:space="preserve">TXN-202608-041997</t>
  </si>
  <si>
    <t xml:space="preserve">GW-0108</t>
  </si>
  <si>
    <t xml:space="preserve">WL-02927</t>
  </si>
  <si>
    <t xml:space="preserve">Jonathon Jones</t>
  </si>
  <si>
    <t xml:space="preserve">TXN-202608-042047</t>
  </si>
  <si>
    <t xml:space="preserve">GW-0109</t>
  </si>
  <si>
    <t xml:space="preserve">WL-02979</t>
  </si>
  <si>
    <t xml:space="preserve">Catherine Reed</t>
  </si>
  <si>
    <t xml:space="preserve">TXN-202608-042085</t>
  </si>
  <si>
    <t xml:space="preserve">GW-0110</t>
  </si>
  <si>
    <t xml:space="preserve">WL-02479</t>
  </si>
  <si>
    <t xml:space="preserve">Jeremy Aguirre</t>
  </si>
  <si>
    <t xml:space="preserve">POINT SOUND</t>
  </si>
  <si>
    <t xml:space="preserve">TXN-202608-042151</t>
  </si>
  <si>
    <t xml:space="preserve">GW-0111</t>
  </si>
  <si>
    <t xml:space="preserve">WL-03229</t>
  </si>
  <si>
    <t xml:space="preserve">Monica Alvarez</t>
  </si>
  <si>
    <t xml:space="preserve">TXN-202608-042228</t>
  </si>
  <si>
    <t xml:space="preserve">GW-0112</t>
  </si>
  <si>
    <t xml:space="preserve">WL-01208</t>
  </si>
  <si>
    <t xml:space="preserve">Nicholas Lewis</t>
  </si>
  <si>
    <t xml:space="preserve">BRANT WEATHER</t>
  </si>
  <si>
    <t xml:space="preserve">TXN-202608-042295</t>
  </si>
  <si>
    <t xml:space="preserve">GW-0113</t>
  </si>
  <si>
    <t xml:space="preserve">WL-01259</t>
  </si>
  <si>
    <t xml:space="preserve">Sara Avery</t>
  </si>
  <si>
    <t xml:space="preserve">OSPREY LINE</t>
  </si>
  <si>
    <t xml:space="preserve">TXN-202608-042347</t>
  </si>
  <si>
    <t xml:space="preserve">GW-0114</t>
  </si>
  <si>
    <t xml:space="preserve">WL-02985</t>
  </si>
  <si>
    <t xml:space="preserve">Francisco Benjamin</t>
  </si>
  <si>
    <t xml:space="preserve">CORMORANT MOON</t>
  </si>
  <si>
    <t xml:space="preserve">TXN-202608-042422</t>
  </si>
  <si>
    <t xml:space="preserve">GW-0115</t>
  </si>
  <si>
    <t xml:space="preserve">WL-01610</t>
  </si>
  <si>
    <t xml:space="preserve">Anthony Johnson</t>
  </si>
  <si>
    <t xml:space="preserve">DRIFT SOUND</t>
  </si>
  <si>
    <t xml:space="preserve">TXN-202608-042493</t>
  </si>
  <si>
    <t xml:space="preserve">WL-02724</t>
  </si>
  <si>
    <t xml:space="preserve">Benjamin Hawkins</t>
  </si>
  <si>
    <t xml:space="preserve">BRANT REACH</t>
  </si>
  <si>
    <t xml:space="preserve">TXN-202608-042568</t>
  </si>
  <si>
    <t xml:space="preserve">GW-0117</t>
  </si>
  <si>
    <t xml:space="preserve">WL-02588</t>
  </si>
  <si>
    <t xml:space="preserve">Laura Wiley</t>
  </si>
  <si>
    <t xml:space="preserve">OSPREY MIST</t>
  </si>
  <si>
    <t xml:space="preserve">TXN-202608-042617</t>
  </si>
  <si>
    <t xml:space="preserve">WL-02840</t>
  </si>
  <si>
    <t xml:space="preserve">Zachary Mcdonald</t>
  </si>
  <si>
    <t xml:space="preserve">TXN-202608-042670</t>
  </si>
  <si>
    <t xml:space="preserve">GW-0119</t>
  </si>
  <si>
    <t xml:space="preserve">WL-01624</t>
  </si>
  <si>
    <t xml:space="preserve">Megan Estrada</t>
  </si>
  <si>
    <t xml:space="preserve">TXN-202608-042750</t>
  </si>
  <si>
    <t xml:space="preserve">GW-0120</t>
  </si>
  <si>
    <t xml:space="preserve">WL-01224</t>
  </si>
  <si>
    <t xml:space="preserve">Yolanda Crane</t>
  </si>
  <si>
    <t xml:space="preserve">TXN-202608-042798</t>
  </si>
  <si>
    <t xml:space="preserve">GW-0121</t>
  </si>
  <si>
    <t xml:space="preserve">WL-01763</t>
  </si>
  <si>
    <t xml:space="preserve">Christopher Miller</t>
  </si>
  <si>
    <t xml:space="preserve">TXN-202608-042875</t>
  </si>
  <si>
    <t xml:space="preserve">GW-0122</t>
  </si>
  <si>
    <t xml:space="preserve">WL-01683</t>
  </si>
  <si>
    <t xml:space="preserve">Steven Davis</t>
  </si>
  <si>
    <t xml:space="preserve">SCOTER CREST</t>
  </si>
  <si>
    <t xml:space="preserve">TXN-202608-042943</t>
  </si>
  <si>
    <t xml:space="preserve">WL-03611</t>
  </si>
  <si>
    <t xml:space="preserve">Madeline Morris</t>
  </si>
  <si>
    <t xml:space="preserve">TXN-202608-043005</t>
  </si>
  <si>
    <t xml:space="preserve">WL-01782</t>
  </si>
  <si>
    <t xml:space="preserve">Ronald White</t>
  </si>
  <si>
    <t xml:space="preserve">TXN-202608-043082</t>
  </si>
  <si>
    <t xml:space="preserve">GW-0202</t>
  </si>
  <si>
    <t xml:space="preserve">WL-03086</t>
  </si>
  <si>
    <t xml:space="preserve">William Daugherty</t>
  </si>
  <si>
    <t xml:space="preserve">PINTAIL DANCER</t>
  </si>
  <si>
    <t xml:space="preserve">TXN-202608-043120</t>
  </si>
  <si>
    <t xml:space="preserve">GW-0204</t>
  </si>
  <si>
    <t xml:space="preserve">WL-02069</t>
  </si>
  <si>
    <t xml:space="preserve">David Lopez</t>
  </si>
  <si>
    <t xml:space="preserve">PETREL SONG</t>
  </si>
  <si>
    <t xml:space="preserve">TXN-202608-043165</t>
  </si>
  <si>
    <t xml:space="preserve">GW-0205</t>
  </si>
  <si>
    <t xml:space="preserve">WL-01865</t>
  </si>
  <si>
    <t xml:space="preserve">Aaron Barton</t>
  </si>
  <si>
    <t xml:space="preserve">TXN-202608-043218</t>
  </si>
  <si>
    <t xml:space="preserve">WL-03352</t>
  </si>
  <si>
    <t xml:space="preserve">Isabella Sutton</t>
  </si>
  <si>
    <t xml:space="preserve">TXN-202608-043290</t>
  </si>
  <si>
    <t xml:space="preserve">GW-0207</t>
  </si>
  <si>
    <t xml:space="preserve">WL-01291</t>
  </si>
  <si>
    <t xml:space="preserve">Brian Wallace</t>
  </si>
  <si>
    <t xml:space="preserve">TXN-202608-043364</t>
  </si>
  <si>
    <t xml:space="preserve">GW-0208</t>
  </si>
  <si>
    <t xml:space="preserve">WL-02505</t>
  </si>
  <si>
    <t xml:space="preserve">Joe Smith</t>
  </si>
  <si>
    <t xml:space="preserve">TXN-202608-043433</t>
  </si>
  <si>
    <t xml:space="preserve">GW-0209</t>
  </si>
  <si>
    <t xml:space="preserve">WL-01421</t>
  </si>
  <si>
    <t xml:space="preserve">Jessica Brown</t>
  </si>
  <si>
    <t xml:space="preserve">TXN-202608-043504</t>
  </si>
  <si>
    <t xml:space="preserve">GW-0210</t>
  </si>
  <si>
    <t xml:space="preserve">WL-03832</t>
  </si>
  <si>
    <t xml:space="preserve">Amanda Smith</t>
  </si>
  <si>
    <t xml:space="preserve">TXN-202608-043553</t>
  </si>
  <si>
    <t xml:space="preserve">GW-0211</t>
  </si>
  <si>
    <t xml:space="preserve">TXN-202608-043601</t>
  </si>
  <si>
    <t xml:space="preserve">GW-0212</t>
  </si>
  <si>
    <t xml:space="preserve">WL-02184</t>
  </si>
  <si>
    <t xml:space="preserve">Leonard Wiley</t>
  </si>
  <si>
    <t xml:space="preserve">KESTREL PASSAGE</t>
  </si>
  <si>
    <t xml:space="preserve">TXN-202608-043650</t>
  </si>
  <si>
    <t xml:space="preserve">GW-0213</t>
  </si>
  <si>
    <t xml:space="preserve">WL-02363</t>
  </si>
  <si>
    <t xml:space="preserve">TXN-202608-043708</t>
  </si>
  <si>
    <t xml:space="preserve">WL-03720</t>
  </si>
  <si>
    <t xml:space="preserve">Kristen Blair</t>
  </si>
  <si>
    <t xml:space="preserve">TXN-202608-043776</t>
  </si>
  <si>
    <t xml:space="preserve">GW-0215</t>
  </si>
  <si>
    <t xml:space="preserve">WL-01436</t>
  </si>
  <si>
    <t xml:space="preserve">William Cook</t>
  </si>
  <si>
    <t xml:space="preserve">TXN-202608-043820</t>
  </si>
  <si>
    <t xml:space="preserve">WL-03614</t>
  </si>
  <si>
    <t xml:space="preserve">Richard Waters</t>
  </si>
  <si>
    <t xml:space="preserve">TXN-202608-043872</t>
  </si>
  <si>
    <t xml:space="preserve">GW-0217</t>
  </si>
  <si>
    <t xml:space="preserve">WL-02984</t>
  </si>
  <si>
    <t xml:space="preserve">Bridget Jones</t>
  </si>
  <si>
    <t xml:space="preserve">TXN-202608-043913</t>
  </si>
  <si>
    <t xml:space="preserve">GW-0218</t>
  </si>
  <si>
    <t xml:space="preserve">WL-01556</t>
  </si>
  <si>
    <t xml:space="preserve">Christopher Russell</t>
  </si>
  <si>
    <t xml:space="preserve">TXN-202608-043987</t>
  </si>
  <si>
    <t xml:space="preserve">TXN-202608-044062</t>
  </si>
  <si>
    <t xml:space="preserve">GW-0221</t>
  </si>
  <si>
    <t xml:space="preserve">WL-02319</t>
  </si>
  <si>
    <t xml:space="preserve">Elizabeth Pacheco</t>
  </si>
  <si>
    <t xml:space="preserve">COHO VEER</t>
  </si>
  <si>
    <t xml:space="preserve">TXN-202608-044102</t>
  </si>
  <si>
    <t xml:space="preserve">GW-0222</t>
  </si>
  <si>
    <t xml:space="preserve">WL-01365</t>
  </si>
  <si>
    <t xml:space="preserve">Andrew Griffith</t>
  </si>
  <si>
    <t xml:space="preserve">GRAY WIND</t>
  </si>
  <si>
    <t xml:space="preserve">TXN-202608-044147</t>
  </si>
  <si>
    <t xml:space="preserve">WL-01975</t>
  </si>
  <si>
    <t xml:space="preserve">Susan Wilson</t>
  </si>
  <si>
    <t xml:space="preserve">GRAY REACH</t>
  </si>
  <si>
    <t xml:space="preserve">TXN-202608-044223</t>
  </si>
  <si>
    <t xml:space="preserve">WL-01964</t>
  </si>
  <si>
    <t xml:space="preserve">Ryan Richardson</t>
  </si>
  <si>
    <t xml:space="preserve">PINTAIL SONG</t>
  </si>
  <si>
    <t xml:space="preserve">TXN-202608-044266</t>
  </si>
  <si>
    <t xml:space="preserve">GW-0302</t>
  </si>
  <si>
    <t xml:space="preserve">WL-01735</t>
  </si>
  <si>
    <t xml:space="preserve">Jeffrey Brown</t>
  </si>
  <si>
    <t xml:space="preserve">SCOTER LINE</t>
  </si>
  <si>
    <t xml:space="preserve">TXN-202608-044320</t>
  </si>
  <si>
    <t xml:space="preserve">GW-0303</t>
  </si>
  <si>
    <t xml:space="preserve">WL-02091</t>
  </si>
  <si>
    <t xml:space="preserve">Timothy Herrera</t>
  </si>
  <si>
    <t xml:space="preserve">TXN-202608-044396</t>
  </si>
  <si>
    <t xml:space="preserve">GW-0304</t>
  </si>
  <si>
    <t xml:space="preserve">WL-01040</t>
  </si>
  <si>
    <t xml:space="preserve">Bradley Collins</t>
  </si>
  <si>
    <t xml:space="preserve">TXN-202608-044473</t>
  </si>
  <si>
    <t xml:space="preserve">WL-02528</t>
  </si>
  <si>
    <t xml:space="preserve">Lisa Richards</t>
  </si>
  <si>
    <t xml:space="preserve">TXN-202608-044521</t>
  </si>
  <si>
    <t xml:space="preserve">WL-02723</t>
  </si>
  <si>
    <t xml:space="preserve">Gregory Curtis</t>
  </si>
  <si>
    <t xml:space="preserve">TXN-202608-044594</t>
  </si>
  <si>
    <t xml:space="preserve">GW-0307</t>
  </si>
  <si>
    <t xml:space="preserve">WL-02437</t>
  </si>
  <si>
    <t xml:space="preserve">Jeremy Holmes</t>
  </si>
  <si>
    <t xml:space="preserve">TXN-202608-044671</t>
  </si>
  <si>
    <t xml:space="preserve">GW-0308</t>
  </si>
  <si>
    <t xml:space="preserve">WL-01165</t>
  </si>
  <si>
    <t xml:space="preserve">Rebecca Smith</t>
  </si>
  <si>
    <t xml:space="preserve">TXN-202608-044734</t>
  </si>
  <si>
    <t xml:space="preserve">GW-0309</t>
  </si>
  <si>
    <t xml:space="preserve">WL-03290</t>
  </si>
  <si>
    <t xml:space="preserve">Caitlin Chavez</t>
  </si>
  <si>
    <t xml:space="preserve">TXN-202608-044781</t>
  </si>
  <si>
    <t xml:space="preserve">GW-0310</t>
  </si>
  <si>
    <t xml:space="preserve">WL-03315</t>
  </si>
  <si>
    <t xml:space="preserve">Marvin Miranda</t>
  </si>
  <si>
    <t xml:space="preserve">TXN-202608-044859</t>
  </si>
  <si>
    <t xml:space="preserve">GW-0312</t>
  </si>
  <si>
    <t xml:space="preserve">WL-01955</t>
  </si>
  <si>
    <t xml:space="preserve">Nicole Davis</t>
  </si>
  <si>
    <t xml:space="preserve">TXN-202608-044897</t>
  </si>
  <si>
    <t xml:space="preserve">GW-0313</t>
  </si>
  <si>
    <t xml:space="preserve">PINTAIL GLIDE</t>
  </si>
  <si>
    <t xml:space="preserve">TXN-202608-044957</t>
  </si>
  <si>
    <t xml:space="preserve">GW-0315</t>
  </si>
  <si>
    <t xml:space="preserve">TXN-202608-045025</t>
  </si>
  <si>
    <t xml:space="preserve">GW-0316</t>
  </si>
  <si>
    <t xml:space="preserve">WL-01648</t>
  </si>
  <si>
    <t xml:space="preserve">Chelsea Matthews</t>
  </si>
  <si>
    <t xml:space="preserve">TXN-202608-045074</t>
  </si>
  <si>
    <t xml:space="preserve">GW-0317</t>
  </si>
  <si>
    <t xml:space="preserve">WL-02270</t>
  </si>
  <si>
    <t xml:space="preserve">Nathan Lewis</t>
  </si>
  <si>
    <t xml:space="preserve">TXN-202608-045115</t>
  </si>
  <si>
    <t xml:space="preserve">GW-0318</t>
  </si>
  <si>
    <t xml:space="preserve">WL-01122</t>
  </si>
  <si>
    <t xml:space="preserve">Rachel Carpenter</t>
  </si>
  <si>
    <t xml:space="preserve">TXN-202608-045187</t>
  </si>
  <si>
    <t xml:space="preserve">GW-0320</t>
  </si>
  <si>
    <t xml:space="preserve">WL-01487</t>
  </si>
  <si>
    <t xml:space="preserve">Thomas Palmer</t>
  </si>
  <si>
    <t xml:space="preserve">TXN-202608-045258</t>
  </si>
  <si>
    <t xml:space="preserve">GW-0321</t>
  </si>
  <si>
    <t xml:space="preserve">WL-02922</t>
  </si>
  <si>
    <t xml:space="preserve">Sandra Allen</t>
  </si>
  <si>
    <t xml:space="preserve">ANCHOR WEATHER</t>
  </si>
  <si>
    <t xml:space="preserve">TXN-202608-045303</t>
  </si>
  <si>
    <t xml:space="preserve">GW-0322</t>
  </si>
  <si>
    <t xml:space="preserve">WL-01815</t>
  </si>
  <si>
    <t xml:space="preserve">Theresa Martinez</t>
  </si>
  <si>
    <t xml:space="preserve">TXN-202608-045363</t>
  </si>
  <si>
    <t xml:space="preserve">WL-02735</t>
  </si>
  <si>
    <t xml:space="preserve">Kristen Orr</t>
  </si>
  <si>
    <t xml:space="preserve">TXN-202608-045444</t>
  </si>
  <si>
    <t xml:space="preserve">WL-03064</t>
  </si>
  <si>
    <t xml:space="preserve">Megan Hendricks</t>
  </si>
  <si>
    <t xml:space="preserve">SPINDRIFT VEER</t>
  </si>
  <si>
    <t xml:space="preserve">TXN-202608-045500</t>
  </si>
  <si>
    <t xml:space="preserve">GW-0402</t>
  </si>
  <si>
    <t xml:space="preserve">WL-02635</t>
  </si>
  <si>
    <t xml:space="preserve">Roger Bowers</t>
  </si>
  <si>
    <t xml:space="preserve">GRAY GLIDE</t>
  </si>
  <si>
    <t xml:space="preserve">TXN-202608-045547</t>
  </si>
  <si>
    <t xml:space="preserve">GW-0403</t>
  </si>
  <si>
    <t xml:space="preserve">WL-02399</t>
  </si>
  <si>
    <t xml:space="preserve">Jennifer Mccullough</t>
  </si>
  <si>
    <t xml:space="preserve">TXN-202608-045595</t>
  </si>
  <si>
    <t xml:space="preserve">GW-0404</t>
  </si>
  <si>
    <t xml:space="preserve">WL-03671</t>
  </si>
  <si>
    <t xml:space="preserve">Thomas Martinez</t>
  </si>
  <si>
    <t xml:space="preserve">TXN-202608-045645</t>
  </si>
  <si>
    <t xml:space="preserve">GW-0405</t>
  </si>
  <si>
    <t xml:space="preserve">WL-01293</t>
  </si>
  <si>
    <t xml:space="preserve">Pamela Powell</t>
  </si>
  <si>
    <t xml:space="preserve">PETREL SOUND</t>
  </si>
  <si>
    <t xml:space="preserve">TXN-202608-045697</t>
  </si>
  <si>
    <t xml:space="preserve">GW-0406</t>
  </si>
  <si>
    <t xml:space="preserve">WL-02077</t>
  </si>
  <si>
    <t xml:space="preserve">William Price</t>
  </si>
  <si>
    <t xml:space="preserve">TXN-202608-045761</t>
  </si>
  <si>
    <t xml:space="preserve">GW-0407</t>
  </si>
  <si>
    <t xml:space="preserve">WL-03682</t>
  </si>
  <si>
    <t xml:space="preserve">Paul Anderson</t>
  </si>
  <si>
    <t xml:space="preserve">SANDERLING DANCER</t>
  </si>
  <si>
    <t xml:space="preserve">TXN-202608-045805</t>
  </si>
  <si>
    <t xml:space="preserve">GW-0408</t>
  </si>
  <si>
    <t xml:space="preserve">WL-01551</t>
  </si>
  <si>
    <t xml:space="preserve">Megan Santiago</t>
  </si>
  <si>
    <t xml:space="preserve">KESTREL WIND</t>
  </si>
  <si>
    <t xml:space="preserve">TXN-202608-045872</t>
  </si>
  <si>
    <t xml:space="preserve">GW-0409</t>
  </si>
  <si>
    <t xml:space="preserve">WL-02328</t>
  </si>
  <si>
    <t xml:space="preserve">Tony Mack</t>
  </si>
  <si>
    <t xml:space="preserve">HERON LINE</t>
  </si>
  <si>
    <t xml:space="preserve">TXN-202608-045915</t>
  </si>
  <si>
    <t xml:space="preserve">GW-0410</t>
  </si>
  <si>
    <t xml:space="preserve">HALIBUT MOON</t>
  </si>
  <si>
    <t xml:space="preserve">TXN-202608-045954</t>
  </si>
  <si>
    <t xml:space="preserve">GW-0411</t>
  </si>
  <si>
    <t xml:space="preserve">WL-01859</t>
  </si>
  <si>
    <t xml:space="preserve">Patricia Delgado</t>
  </si>
  <si>
    <t xml:space="preserve">GRAY STAR</t>
  </si>
  <si>
    <t xml:space="preserve">TXN-202608-046031</t>
  </si>
  <si>
    <t xml:space="preserve">GW-0412</t>
  </si>
  <si>
    <t xml:space="preserve">WL-01282</t>
  </si>
  <si>
    <t xml:space="preserve">Nancy Miller</t>
  </si>
  <si>
    <t xml:space="preserve">TXN-202608-046104</t>
  </si>
  <si>
    <t xml:space="preserve">GW-0413</t>
  </si>
  <si>
    <t xml:space="preserve">WL-03767</t>
  </si>
  <si>
    <t xml:space="preserve">Chad David</t>
  </si>
  <si>
    <t xml:space="preserve">POINT HARBOR</t>
  </si>
  <si>
    <t xml:space="preserve">TXN-202608-046165</t>
  </si>
  <si>
    <t xml:space="preserve">WL-01875</t>
  </si>
  <si>
    <t xml:space="preserve">Steven Harris</t>
  </si>
  <si>
    <t xml:space="preserve">TXN-202608-046241</t>
  </si>
  <si>
    <t xml:space="preserve">WL-02969</t>
  </si>
  <si>
    <t xml:space="preserve">Anthony Davis</t>
  </si>
  <si>
    <t xml:space="preserve">SANDERLING ROCK</t>
  </si>
  <si>
    <t xml:space="preserve">TXN-202608-046288</t>
  </si>
  <si>
    <t xml:space="preserve">GW-0416</t>
  </si>
  <si>
    <t xml:space="preserve">WL-01714</t>
  </si>
  <si>
    <t xml:space="preserve">Ashley Smith</t>
  </si>
  <si>
    <t xml:space="preserve">TXN-202608-046332</t>
  </si>
  <si>
    <t xml:space="preserve">GW-0417</t>
  </si>
  <si>
    <t xml:space="preserve">WL-02423</t>
  </si>
  <si>
    <t xml:space="preserve">Melissa Johnson</t>
  </si>
  <si>
    <t xml:space="preserve">TXN-202608-046408</t>
  </si>
  <si>
    <t xml:space="preserve">GW-0418</t>
  </si>
  <si>
    <t xml:space="preserve">WL-03144</t>
  </si>
  <si>
    <t xml:space="preserve">Brandi Jackson</t>
  </si>
  <si>
    <t xml:space="preserve">TXN-202608-046457</t>
  </si>
  <si>
    <t xml:space="preserve">WL-03795</t>
  </si>
  <si>
    <t xml:space="preserve">Brenda Norman</t>
  </si>
  <si>
    <t xml:space="preserve">SANDERLING SHORE</t>
  </si>
  <si>
    <t xml:space="preserve">TXN-202608-046510</t>
  </si>
  <si>
    <t xml:space="preserve">GW-0420</t>
  </si>
  <si>
    <t xml:space="preserve">WL-01133</t>
  </si>
  <si>
    <t xml:space="preserve">Shelia Lewis</t>
  </si>
  <si>
    <t xml:space="preserve">SEAL HARBOR</t>
  </si>
  <si>
    <t xml:space="preserve">TXN-202608-046577</t>
  </si>
  <si>
    <t xml:space="preserve">GW-0421</t>
  </si>
  <si>
    <t xml:space="preserve">WL-01204</t>
  </si>
  <si>
    <t xml:space="preserve">David Williams</t>
  </si>
  <si>
    <t xml:space="preserve">TXN-202608-046621</t>
  </si>
  <si>
    <t xml:space="preserve">GW-0422</t>
  </si>
  <si>
    <t xml:space="preserve">WL-03799</t>
  </si>
  <si>
    <t xml:space="preserve">Ashley Duncan</t>
  </si>
  <si>
    <t xml:space="preserve">TXN-202608-046675</t>
  </si>
  <si>
    <t xml:space="preserve">GW-0423</t>
  </si>
  <si>
    <t xml:space="preserve">WL-02053</t>
  </si>
  <si>
    <t xml:space="preserve">Erika Smith</t>
  </si>
  <si>
    <t xml:space="preserve">COHO WAKE</t>
  </si>
  <si>
    <t xml:space="preserve">TXN-202608-046721</t>
  </si>
  <si>
    <t xml:space="preserve">GW-0501</t>
  </si>
  <si>
    <t xml:space="preserve">WL-01450</t>
  </si>
  <si>
    <t xml:space="preserve">Joel Barnes</t>
  </si>
  <si>
    <t xml:space="preserve">DRIFT WIND</t>
  </si>
  <si>
    <t xml:space="preserve">TXN-202608-046797</t>
  </si>
  <si>
    <t xml:space="preserve">LP-0101</t>
  </si>
  <si>
    <t xml:space="preserve">covered</t>
  </si>
  <si>
    <t xml:space="preserve">WL-02442</t>
  </si>
  <si>
    <t xml:space="preserve">Elizabeth Burns</t>
  </si>
  <si>
    <t xml:space="preserve">SABLE REACH</t>
  </si>
  <si>
    <t xml:space="preserve">TXN-202608-000064</t>
  </si>
  <si>
    <t xml:space="preserve">WL-02413</t>
  </si>
  <si>
    <t xml:space="preserve">Damon Phillips</t>
  </si>
  <si>
    <t xml:space="preserve">SEAL ROCK</t>
  </si>
  <si>
    <t xml:space="preserve">TXN-202608-000108</t>
  </si>
  <si>
    <t xml:space="preserve">LP-0103</t>
  </si>
  <si>
    <t xml:space="preserve">WL-01449</t>
  </si>
  <si>
    <t xml:space="preserve">Charles Hudson</t>
  </si>
  <si>
    <t xml:space="preserve">TXN-202608-000171</t>
  </si>
  <si>
    <t xml:space="preserve">WL-03625</t>
  </si>
  <si>
    <t xml:space="preserve">Vincent Johnson</t>
  </si>
  <si>
    <t xml:space="preserve">ANCHOR DANCER</t>
  </si>
  <si>
    <t xml:space="preserve">TXN-202608-000239</t>
  </si>
  <si>
    <t xml:space="preserve">LP-0105</t>
  </si>
  <si>
    <t xml:space="preserve">WL-03876</t>
  </si>
  <si>
    <t xml:space="preserve">John Heath</t>
  </si>
  <si>
    <t xml:space="preserve">TXN-202608-000299</t>
  </si>
  <si>
    <t xml:space="preserve">LP-0106</t>
  </si>
  <si>
    <t xml:space="preserve">WL-02316</t>
  </si>
  <si>
    <t xml:space="preserve">Cheryl Elliott</t>
  </si>
  <si>
    <t xml:space="preserve">POINT ROSE</t>
  </si>
  <si>
    <t xml:space="preserve">TXN-202608-000338</t>
  </si>
  <si>
    <t xml:space="preserve">LP-0107</t>
  </si>
  <si>
    <t xml:space="preserve">KESTREL REACH</t>
  </si>
  <si>
    <t xml:space="preserve">TXN-202608-000413</t>
  </si>
  <si>
    <t xml:space="preserve">LP-0108</t>
  </si>
  <si>
    <t xml:space="preserve">WL-01567</t>
  </si>
  <si>
    <t xml:space="preserve">Alan Thomas</t>
  </si>
  <si>
    <t xml:space="preserve">TXN-202608-000483</t>
  </si>
  <si>
    <t xml:space="preserve">LP-0109</t>
  </si>
  <si>
    <t xml:space="preserve">WL-02768</t>
  </si>
  <si>
    <t xml:space="preserve">Sandra Sweeney</t>
  </si>
  <si>
    <t xml:space="preserve">TXN-202608-000533</t>
  </si>
  <si>
    <t xml:space="preserve">LP-0110</t>
  </si>
  <si>
    <t xml:space="preserve">WL-03140</t>
  </si>
  <si>
    <t xml:space="preserve">Jason Martinez</t>
  </si>
  <si>
    <t xml:space="preserve">PINTAIL STAR</t>
  </si>
  <si>
    <t xml:space="preserve">TXN-202608-000581</t>
  </si>
  <si>
    <t xml:space="preserve">LP-0111</t>
  </si>
  <si>
    <t xml:space="preserve">SALISH WAKE</t>
  </si>
  <si>
    <t xml:space="preserve">TXN-202608-000628</t>
  </si>
  <si>
    <t xml:space="preserve">WL-02762</t>
  </si>
  <si>
    <t xml:space="preserve">Elizabeth Williams</t>
  </si>
  <si>
    <t xml:space="preserve">TXN-202608-000674</t>
  </si>
  <si>
    <t xml:space="preserve">WL-02237</t>
  </si>
  <si>
    <t xml:space="preserve">William Powell</t>
  </si>
  <si>
    <t xml:space="preserve">TXN-202608-000728</t>
  </si>
  <si>
    <t xml:space="preserve">LP-0115</t>
  </si>
  <si>
    <t xml:space="preserve">WL-02943</t>
  </si>
  <si>
    <t xml:space="preserve">Matthew Thomas</t>
  </si>
  <si>
    <t xml:space="preserve">TXN-202608-000802</t>
  </si>
  <si>
    <t xml:space="preserve">LP-0116</t>
  </si>
  <si>
    <t xml:space="preserve">WL-02031</t>
  </si>
  <si>
    <t xml:space="preserve">Joseph Bishop</t>
  </si>
  <si>
    <t xml:space="preserve">ANCHOR LIGHT</t>
  </si>
  <si>
    <t xml:space="preserve">TXN-202608-000869</t>
  </si>
  <si>
    <t xml:space="preserve">LP-0117</t>
  </si>
  <si>
    <t xml:space="preserve">WL-01361</t>
  </si>
  <si>
    <t xml:space="preserve">Benjamin Willis</t>
  </si>
  <si>
    <t xml:space="preserve">COHO BAY</t>
  </si>
  <si>
    <t xml:space="preserve">TXN-202608-000938</t>
  </si>
  <si>
    <t xml:space="preserve">LP-0118</t>
  </si>
  <si>
    <t xml:space="preserve">WL-03633</t>
  </si>
  <si>
    <t xml:space="preserve">Keith Powell</t>
  </si>
  <si>
    <t xml:space="preserve">TXN-202608-000989</t>
  </si>
  <si>
    <t xml:space="preserve">LP-0119</t>
  </si>
  <si>
    <t xml:space="preserve">WL-01880</t>
  </si>
  <si>
    <t xml:space="preserve">Walter Torres</t>
  </si>
  <si>
    <t xml:space="preserve">TXN-202608-001067</t>
  </si>
  <si>
    <t xml:space="preserve">LP-0120</t>
  </si>
  <si>
    <t xml:space="preserve">WL-03128</t>
  </si>
  <si>
    <t xml:space="preserve">Kayla Johnson</t>
  </si>
  <si>
    <t xml:space="preserve">FOUL SONG</t>
  </si>
  <si>
    <t xml:space="preserve">TXN-202608-001137</t>
  </si>
  <si>
    <t xml:space="preserve">WL-03477</t>
  </si>
  <si>
    <t xml:space="preserve">Darryl Garcia</t>
  </si>
  <si>
    <t xml:space="preserve">TXN-202608-001182</t>
  </si>
  <si>
    <t xml:space="preserve">LP-0122</t>
  </si>
  <si>
    <t xml:space="preserve">WL-01974</t>
  </si>
  <si>
    <t xml:space="preserve">Paula Arroyo</t>
  </si>
  <si>
    <t xml:space="preserve">TXN-202608-001251</t>
  </si>
  <si>
    <t xml:space="preserve">LP-0123</t>
  </si>
  <si>
    <t xml:space="preserve">TXN-202608-001319</t>
  </si>
  <si>
    <t xml:space="preserve">WL-02080</t>
  </si>
  <si>
    <t xml:space="preserve">Audrey Le</t>
  </si>
  <si>
    <t xml:space="preserve">TXN-202608-001394</t>
  </si>
  <si>
    <t xml:space="preserve">LP-0201</t>
  </si>
  <si>
    <t xml:space="preserve">WL-03657</t>
  </si>
  <si>
    <t xml:space="preserve">Melissa Wagner</t>
  </si>
  <si>
    <t xml:space="preserve">TXN-202608-001459</t>
  </si>
  <si>
    <t xml:space="preserve">LP-0202</t>
  </si>
  <si>
    <t xml:space="preserve">WL-02964</t>
  </si>
  <si>
    <t xml:space="preserve">Christopher Boyd</t>
  </si>
  <si>
    <t xml:space="preserve">WIDGEON VEER</t>
  </si>
  <si>
    <t xml:space="preserve">TXN-202608-001533</t>
  </si>
  <si>
    <t xml:space="preserve">WL-01820</t>
  </si>
  <si>
    <t xml:space="preserve">Andrew Petty</t>
  </si>
  <si>
    <t xml:space="preserve">TXN-202608-001590</t>
  </si>
  <si>
    <t xml:space="preserve">WL-01587</t>
  </si>
  <si>
    <t xml:space="preserve">Patrick Guzman</t>
  </si>
  <si>
    <t xml:space="preserve">TXN-202608-001651</t>
  </si>
  <si>
    <t xml:space="preserve">LP-0205</t>
  </si>
  <si>
    <t xml:space="preserve">WL-01514</t>
  </si>
  <si>
    <t xml:space="preserve">Gary Young</t>
  </si>
  <si>
    <t xml:space="preserve">TXN-202608-001727</t>
  </si>
  <si>
    <t xml:space="preserve">LP-0206</t>
  </si>
  <si>
    <t xml:space="preserve">TXN-202608-001771</t>
  </si>
  <si>
    <t xml:space="preserve">WL-02432</t>
  </si>
  <si>
    <t xml:space="preserve">James Olson</t>
  </si>
  <si>
    <t xml:space="preserve">SALISH SONG</t>
  </si>
  <si>
    <t xml:space="preserve">TXN-202608-001837</t>
  </si>
  <si>
    <t xml:space="preserve">LP-0209</t>
  </si>
  <si>
    <t xml:space="preserve">WL-01517</t>
  </si>
  <si>
    <t xml:space="preserve">Manuel Abbott</t>
  </si>
  <si>
    <t xml:space="preserve">TXN-202608-001909</t>
  </si>
  <si>
    <t xml:space="preserve">LP-0210</t>
  </si>
  <si>
    <t xml:space="preserve">COHO SHORE</t>
  </si>
  <si>
    <t xml:space="preserve">TXN-202608-001956</t>
  </si>
  <si>
    <t xml:space="preserve">LP-0212</t>
  </si>
  <si>
    <t xml:space="preserve">WL-03348</t>
  </si>
  <si>
    <t xml:space="preserve">Sandra Jackson</t>
  </si>
  <si>
    <t xml:space="preserve">HERON RUNNER</t>
  </si>
  <si>
    <t xml:space="preserve">TXN-202608-002030</t>
  </si>
  <si>
    <t xml:space="preserve">LP-0213</t>
  </si>
  <si>
    <t xml:space="preserve">WL-02388</t>
  </si>
  <si>
    <t xml:space="preserve">Gregory Brady</t>
  </si>
  <si>
    <t xml:space="preserve">TXN-202608-002082</t>
  </si>
  <si>
    <t xml:space="preserve">LP-0214</t>
  </si>
  <si>
    <t xml:space="preserve">WL-01816</t>
  </si>
  <si>
    <t xml:space="preserve">Jeanne Bennett</t>
  </si>
  <si>
    <t xml:space="preserve">TXN-202608-002126</t>
  </si>
  <si>
    <t xml:space="preserve">WL-01337</t>
  </si>
  <si>
    <t xml:space="preserve">Anna Wright</t>
  </si>
  <si>
    <t xml:space="preserve">TXN-202608-002202</t>
  </si>
  <si>
    <t xml:space="preserve">WL-01428</t>
  </si>
  <si>
    <t xml:space="preserve">Audrey Taylor</t>
  </si>
  <si>
    <t xml:space="preserve">TXN-202608-002273</t>
  </si>
  <si>
    <t xml:space="preserve">LP-0217</t>
  </si>
  <si>
    <t xml:space="preserve">WL-01497</t>
  </si>
  <si>
    <t xml:space="preserve">Aaron Ellis</t>
  </si>
  <si>
    <t xml:space="preserve">SANDERLING STAR</t>
  </si>
  <si>
    <t xml:space="preserve">TXN-202608-002314</t>
  </si>
  <si>
    <t xml:space="preserve">LP-0218</t>
  </si>
  <si>
    <t xml:space="preserve">WL-01177</t>
  </si>
  <si>
    <t xml:space="preserve">Sydney Moore</t>
  </si>
  <si>
    <t xml:space="preserve">TXN-202608-002387</t>
  </si>
  <si>
    <t xml:space="preserve">WL-01324</t>
  </si>
  <si>
    <t xml:space="preserve">Bradley Baker</t>
  </si>
  <si>
    <t xml:space="preserve">PINTAIL QUEEN</t>
  </si>
  <si>
    <t xml:space="preserve">TXN-202608-002429</t>
  </si>
  <si>
    <t xml:space="preserve">WL-02659</t>
  </si>
  <si>
    <t xml:space="preserve">Loretta Murillo</t>
  </si>
  <si>
    <t xml:space="preserve">TXN-202608-002497</t>
  </si>
  <si>
    <t xml:space="preserve">LP-0221</t>
  </si>
  <si>
    <t xml:space="preserve">WL-03407</t>
  </si>
  <si>
    <t xml:space="preserve">Allison Anthony</t>
  </si>
  <si>
    <t xml:space="preserve">TXN-202608-002568</t>
  </si>
  <si>
    <t xml:space="preserve">LP-0222</t>
  </si>
  <si>
    <t xml:space="preserve">WL-01185</t>
  </si>
  <si>
    <t xml:space="preserve">Stephen Burke</t>
  </si>
  <si>
    <t xml:space="preserve">TXN-202608-002641</t>
  </si>
  <si>
    <t xml:space="preserve">LP-0223</t>
  </si>
  <si>
    <t xml:space="preserve">WL-02494</t>
  </si>
  <si>
    <t xml:space="preserve">Renee Dean</t>
  </si>
  <si>
    <t xml:space="preserve">TXN-202608-002719</t>
  </si>
  <si>
    <t xml:space="preserve">LP-0224</t>
  </si>
  <si>
    <t xml:space="preserve">WL-01261</t>
  </si>
  <si>
    <t xml:space="preserve">Anita Rose</t>
  </si>
  <si>
    <t xml:space="preserve">BRANT ANN</t>
  </si>
  <si>
    <t xml:space="preserve">TXN-202608-002772</t>
  </si>
  <si>
    <t xml:space="preserve">LP-0301</t>
  </si>
  <si>
    <t xml:space="preserve">WL-03425</t>
  </si>
  <si>
    <t xml:space="preserve">Miranda Neal</t>
  </si>
  <si>
    <t xml:space="preserve">TXN-202608-002814</t>
  </si>
  <si>
    <t xml:space="preserve">LP-0302</t>
  </si>
  <si>
    <t xml:space="preserve">WL-03048</t>
  </si>
  <si>
    <t xml:space="preserve">Brian Campbell</t>
  </si>
  <si>
    <t xml:space="preserve">TXN-202608-002864</t>
  </si>
  <si>
    <t xml:space="preserve">WL-02853</t>
  </si>
  <si>
    <t xml:space="preserve">Adam Stevens</t>
  </si>
  <si>
    <t xml:space="preserve">TXN-202608-002923</t>
  </si>
  <si>
    <t xml:space="preserve">LP-0305</t>
  </si>
  <si>
    <t xml:space="preserve">WL-03470</t>
  </si>
  <si>
    <t xml:space="preserve">Nathan Huffman</t>
  </si>
  <si>
    <t xml:space="preserve">TXN-202608-002983</t>
  </si>
  <si>
    <t xml:space="preserve">LP-0306</t>
  </si>
  <si>
    <t xml:space="preserve">WL-02345</t>
  </si>
  <si>
    <t xml:space="preserve">Brian Wade</t>
  </si>
  <si>
    <t xml:space="preserve">TXN-202608-003038</t>
  </si>
  <si>
    <t xml:space="preserve">WL-03230</t>
  </si>
  <si>
    <t xml:space="preserve">Cory Park</t>
  </si>
  <si>
    <t xml:space="preserve">SEAL SONG</t>
  </si>
  <si>
    <t xml:space="preserve">TXN-202608-003083</t>
  </si>
  <si>
    <t xml:space="preserve">LP-0309</t>
  </si>
  <si>
    <t xml:space="preserve">WL-02885</t>
  </si>
  <si>
    <t xml:space="preserve">James Rivera</t>
  </si>
  <si>
    <t xml:space="preserve">TXN-202608-003124</t>
  </si>
  <si>
    <t xml:space="preserve">LP-0311</t>
  </si>
  <si>
    <t xml:space="preserve">WL-01606</t>
  </si>
  <si>
    <t xml:space="preserve">Joel English</t>
  </si>
  <si>
    <t xml:space="preserve">COHO GLIDE</t>
  </si>
  <si>
    <t xml:space="preserve">TXN-202608-003180</t>
  </si>
  <si>
    <t xml:space="preserve">WL-03333</t>
  </si>
  <si>
    <t xml:space="preserve">Steven Greene</t>
  </si>
  <si>
    <t xml:space="preserve">TXN-202608-003234</t>
  </si>
  <si>
    <t xml:space="preserve">LP-0313</t>
  </si>
  <si>
    <t xml:space="preserve">WL-02675</t>
  </si>
  <si>
    <t xml:space="preserve">Christopher Lopez</t>
  </si>
  <si>
    <t xml:space="preserve">TXN-202608-003279</t>
  </si>
  <si>
    <t xml:space="preserve">LP-0314</t>
  </si>
  <si>
    <t xml:space="preserve">WL-03274</t>
  </si>
  <si>
    <t xml:space="preserve">Brenda Matthews</t>
  </si>
  <si>
    <t xml:space="preserve">TXN-202608-003345</t>
  </si>
  <si>
    <t xml:space="preserve">LP-0315</t>
  </si>
  <si>
    <t xml:space="preserve">WL-02756</t>
  </si>
  <si>
    <t xml:space="preserve">Gregory Phillips</t>
  </si>
  <si>
    <t xml:space="preserve">TXN-202608-003397</t>
  </si>
  <si>
    <t xml:space="preserve">WL-03711</t>
  </si>
  <si>
    <t xml:space="preserve">Adam Webster</t>
  </si>
  <si>
    <t xml:space="preserve">TXN-202608-003440</t>
  </si>
  <si>
    <t xml:space="preserve">TXN-202608-003495</t>
  </si>
  <si>
    <t xml:space="preserve">LP-0318</t>
  </si>
  <si>
    <t xml:space="preserve">WL-03488</t>
  </si>
  <si>
    <t xml:space="preserve">Albert Hill</t>
  </si>
  <si>
    <t xml:space="preserve">TXN-202608-003557</t>
  </si>
  <si>
    <t xml:space="preserve">LP-0320</t>
  </si>
  <si>
    <t xml:space="preserve">TXN-202608-003599</t>
  </si>
  <si>
    <t xml:space="preserve">LP-0321</t>
  </si>
  <si>
    <t xml:space="preserve">WL-03415</t>
  </si>
  <si>
    <t xml:space="preserve">Jennifer Leonard</t>
  </si>
  <si>
    <t xml:space="preserve">TXN-202608-003665</t>
  </si>
  <si>
    <t xml:space="preserve">LP-0322</t>
  </si>
  <si>
    <t xml:space="preserve">WL-01554</t>
  </si>
  <si>
    <t xml:space="preserve">Robert Nolan</t>
  </si>
  <si>
    <t xml:space="preserve">TXN-202608-003745</t>
  </si>
  <si>
    <t xml:space="preserve">LP-0323</t>
  </si>
  <si>
    <t xml:space="preserve">WL-02461</t>
  </si>
  <si>
    <t xml:space="preserve">Robert Swanson</t>
  </si>
  <si>
    <t xml:space="preserve">TXN-202608-003807</t>
  </si>
  <si>
    <t xml:space="preserve">WL-01462</t>
  </si>
  <si>
    <t xml:space="preserve">Stephanie Hart</t>
  </si>
  <si>
    <t xml:space="preserve">TXN-202608-003859</t>
  </si>
  <si>
    <t xml:space="preserve">WL-01188</t>
  </si>
  <si>
    <t xml:space="preserve">Dawn Brown</t>
  </si>
  <si>
    <t xml:space="preserve">TXN-202608-003928</t>
  </si>
  <si>
    <t xml:space="preserve">LP-0403</t>
  </si>
  <si>
    <t xml:space="preserve">WL-01063</t>
  </si>
  <si>
    <t xml:space="preserve">Donna Mitchell</t>
  </si>
  <si>
    <t xml:space="preserve">TXN-202608-003987</t>
  </si>
  <si>
    <t xml:space="preserve">LP-0404</t>
  </si>
  <si>
    <t xml:space="preserve">WL-02961</t>
  </si>
  <si>
    <t xml:space="preserve">Rachel Flores</t>
  </si>
  <si>
    <t xml:space="preserve">TXN-202608-004052</t>
  </si>
  <si>
    <t xml:space="preserve">LP-0405</t>
  </si>
  <si>
    <t xml:space="preserve">WL-02530</t>
  </si>
  <si>
    <t xml:space="preserve">GRAY ROCK</t>
  </si>
  <si>
    <t xml:space="preserve">TXN-202608-004087</t>
  </si>
  <si>
    <t xml:space="preserve">LP-0406</t>
  </si>
  <si>
    <t xml:space="preserve">WL-02260</t>
  </si>
  <si>
    <t xml:space="preserve">Michael King</t>
  </si>
  <si>
    <t xml:space="preserve">TXN-202608-004132</t>
  </si>
  <si>
    <t xml:space="preserve">LP-0407</t>
  </si>
  <si>
    <t xml:space="preserve">WL-02332</t>
  </si>
  <si>
    <t xml:space="preserve">Karla Cross</t>
  </si>
  <si>
    <t xml:space="preserve">POINT PASSAGE</t>
  </si>
  <si>
    <t xml:space="preserve">TXN-202608-004184</t>
  </si>
  <si>
    <t xml:space="preserve">LP-0408</t>
  </si>
  <si>
    <t xml:space="preserve">WL-03226</t>
  </si>
  <si>
    <t xml:space="preserve">Kari Snow</t>
  </si>
  <si>
    <t xml:space="preserve">TXN-202608-004246</t>
  </si>
  <si>
    <t xml:space="preserve">LP-0409</t>
  </si>
  <si>
    <t xml:space="preserve">WL-02688</t>
  </si>
  <si>
    <t xml:space="preserve">Joseph Cohen</t>
  </si>
  <si>
    <t xml:space="preserve">TXN-202608-004290</t>
  </si>
  <si>
    <t xml:space="preserve">LP-0410</t>
  </si>
  <si>
    <t xml:space="preserve">WL-02453</t>
  </si>
  <si>
    <t xml:space="preserve">Kristina Savage</t>
  </si>
  <si>
    <t xml:space="preserve">TXN-202608-004352</t>
  </si>
  <si>
    <t xml:space="preserve">LP-0411</t>
  </si>
  <si>
    <t xml:space="preserve">WL-01932</t>
  </si>
  <si>
    <t xml:space="preserve">Clayton Williams</t>
  </si>
  <si>
    <t xml:space="preserve">TXN-202608-004408</t>
  </si>
  <si>
    <t xml:space="preserve">WL-01239</t>
  </si>
  <si>
    <t xml:space="preserve">Edward Cook</t>
  </si>
  <si>
    <t xml:space="preserve">TXN-202608-004480</t>
  </si>
  <si>
    <t xml:space="preserve">WL-02589</t>
  </si>
  <si>
    <t xml:space="preserve">Tammie Johnson</t>
  </si>
  <si>
    <t xml:space="preserve">TXN-202608-004524</t>
  </si>
  <si>
    <t xml:space="preserve">LP-0415</t>
  </si>
  <si>
    <t xml:space="preserve">WL-03907</t>
  </si>
  <si>
    <t xml:space="preserve">Ryan Collins</t>
  </si>
  <si>
    <t xml:space="preserve">TXN-202608-004586</t>
  </si>
  <si>
    <t xml:space="preserve">WL-01699</t>
  </si>
  <si>
    <t xml:space="preserve">Kevin Fuller</t>
  </si>
  <si>
    <t xml:space="preserve">TXN-202608-004668</t>
  </si>
  <si>
    <t xml:space="preserve">LP-0417</t>
  </si>
  <si>
    <t xml:space="preserve">WL-02689</t>
  </si>
  <si>
    <t xml:space="preserve">Julie Silva</t>
  </si>
  <si>
    <t xml:space="preserve">ANCHOR WAKE</t>
  </si>
  <si>
    <t xml:space="preserve">TXN-202608-004708</t>
  </si>
  <si>
    <t xml:space="preserve">LP-0418</t>
  </si>
  <si>
    <t xml:space="preserve">WL-01703</t>
  </si>
  <si>
    <t xml:space="preserve">Jorge Avery</t>
  </si>
  <si>
    <t xml:space="preserve">TXN-202608-004770</t>
  </si>
  <si>
    <t xml:space="preserve">LP-0419</t>
  </si>
  <si>
    <t xml:space="preserve">WL-02926</t>
  </si>
  <si>
    <t xml:space="preserve">Pamela Harris</t>
  </si>
  <si>
    <t xml:space="preserve">TXN-202608-004856</t>
  </si>
  <si>
    <t xml:space="preserve">LP-0420</t>
  </si>
  <si>
    <t xml:space="preserve">TXN-202608-004931</t>
  </si>
  <si>
    <t xml:space="preserve">LP-0421</t>
  </si>
  <si>
    <t xml:space="preserve">WL-03569</t>
  </si>
  <si>
    <t xml:space="preserve">Mary Hicks</t>
  </si>
  <si>
    <t xml:space="preserve">TXN-202608-004985</t>
  </si>
  <si>
    <t xml:space="preserve">LP-0422</t>
  </si>
  <si>
    <t xml:space="preserve">WL-02875</t>
  </si>
  <si>
    <t xml:space="preserve">Frank Beard</t>
  </si>
  <si>
    <t xml:space="preserve">TXN-202608-005036</t>
  </si>
  <si>
    <t xml:space="preserve">LP-0423</t>
  </si>
  <si>
    <t xml:space="preserve">WL-01778</t>
  </si>
  <si>
    <t xml:space="preserve">Margaret Brown</t>
  </si>
  <si>
    <t xml:space="preserve">TXN-202608-005106</t>
  </si>
  <si>
    <t xml:space="preserve">LP-0424</t>
  </si>
  <si>
    <t xml:space="preserve">WL-02954</t>
  </si>
  <si>
    <t xml:space="preserve">Michael Perez</t>
  </si>
  <si>
    <t xml:space="preserve">TXN-202608-005152</t>
  </si>
  <si>
    <t xml:space="preserve">LP-0502</t>
  </si>
  <si>
    <t xml:space="preserve">WL-02634</t>
  </si>
  <si>
    <t xml:space="preserve">Michelle Cooper</t>
  </si>
  <si>
    <t xml:space="preserve">KESTREL WAKE</t>
  </si>
  <si>
    <t xml:space="preserve">TXN-202608-005212</t>
  </si>
  <si>
    <t xml:space="preserve">LP-0503</t>
  </si>
  <si>
    <t xml:space="preserve">WL-03603</t>
  </si>
  <si>
    <t xml:space="preserve">Steven Sanders</t>
  </si>
  <si>
    <t xml:space="preserve">PETREL PASSAGE</t>
  </si>
  <si>
    <t xml:space="preserve">TXN-202608-005253</t>
  </si>
  <si>
    <t xml:space="preserve">WL-02974</t>
  </si>
  <si>
    <t xml:space="preserve">Natasha Wilson</t>
  </si>
  <si>
    <t xml:space="preserve">TXN-202608-005298</t>
  </si>
  <si>
    <t xml:space="preserve">LP-0505</t>
  </si>
  <si>
    <t xml:space="preserve">WL-02433</t>
  </si>
  <si>
    <t xml:space="preserve">Jordan Casey</t>
  </si>
  <si>
    <t xml:space="preserve">TXN-202608-005363</t>
  </si>
  <si>
    <t xml:space="preserve">LP-0506</t>
  </si>
  <si>
    <t xml:space="preserve">WL-01135</t>
  </si>
  <si>
    <t xml:space="preserve">Julia Mills</t>
  </si>
  <si>
    <t xml:space="preserve">BRANT SOUND</t>
  </si>
  <si>
    <t xml:space="preserve">TXN-202608-005422</t>
  </si>
  <si>
    <t xml:space="preserve">LP-0507</t>
  </si>
  <si>
    <t xml:space="preserve">TXN-202608-005475</t>
  </si>
  <si>
    <t xml:space="preserve">LP-0508</t>
  </si>
  <si>
    <t xml:space="preserve">WL-01855</t>
  </si>
  <si>
    <t xml:space="preserve">Maria Wright</t>
  </si>
  <si>
    <t xml:space="preserve">TXN-202608-005521</t>
  </si>
  <si>
    <t xml:space="preserve">LP-0509</t>
  </si>
  <si>
    <t xml:space="preserve">WL-01968</t>
  </si>
  <si>
    <t xml:space="preserve">Cheryl Lewis</t>
  </si>
  <si>
    <t xml:space="preserve">TXN-202608-005573</t>
  </si>
  <si>
    <t xml:space="preserve">LP-0510</t>
  </si>
  <si>
    <t xml:space="preserve">WL-03288</t>
  </si>
  <si>
    <t xml:space="preserve">Jaclyn Ingram</t>
  </si>
  <si>
    <t xml:space="preserve">TXN-202608-005641</t>
  </si>
  <si>
    <t xml:space="preserve">LP-0511</t>
  </si>
  <si>
    <t xml:space="preserve">WL-01060</t>
  </si>
  <si>
    <t xml:space="preserve">Michael Cole</t>
  </si>
  <si>
    <t xml:space="preserve">TXN-202608-005705</t>
  </si>
  <si>
    <t xml:space="preserve">LP-0512</t>
  </si>
  <si>
    <t xml:space="preserve">WL-02938</t>
  </si>
  <si>
    <t xml:space="preserve">Micheal Perez</t>
  </si>
  <si>
    <t xml:space="preserve">TXN-202608-005752</t>
  </si>
  <si>
    <t xml:space="preserve">WL-01509</t>
  </si>
  <si>
    <t xml:space="preserve">William Hatfield</t>
  </si>
  <si>
    <t xml:space="preserve">TIDE QUEEN</t>
  </si>
  <si>
    <t xml:space="preserve">TXN-202608-005804</t>
  </si>
  <si>
    <t xml:space="preserve">WL-01036</t>
  </si>
  <si>
    <t xml:space="preserve">Brandy Rogers</t>
  </si>
  <si>
    <t xml:space="preserve">TXN-202608-005860</t>
  </si>
  <si>
    <t xml:space="preserve">WL-03135</t>
  </si>
  <si>
    <t xml:space="preserve">Mallory Rodgers</t>
  </si>
  <si>
    <t xml:space="preserve">TXN-202608-005932</t>
  </si>
  <si>
    <t xml:space="preserve">LP-0517</t>
  </si>
  <si>
    <t xml:space="preserve">WL-02716</t>
  </si>
  <si>
    <t xml:space="preserve">John Nguyen</t>
  </si>
  <si>
    <t xml:space="preserve">TXN-202608-005973</t>
  </si>
  <si>
    <t xml:space="preserve">LP-0518</t>
  </si>
  <si>
    <t xml:space="preserve">WL-02963</t>
  </si>
  <si>
    <t xml:space="preserve">Jennifer Liu</t>
  </si>
  <si>
    <t xml:space="preserve">WIDGEON MOON</t>
  </si>
  <si>
    <t xml:space="preserve">TXN-202608-006017</t>
  </si>
  <si>
    <t xml:space="preserve">LP-0519</t>
  </si>
  <si>
    <t xml:space="preserve">TXN-202608-006076</t>
  </si>
  <si>
    <t xml:space="preserve">WL-01896</t>
  </si>
  <si>
    <t xml:space="preserve">Meredith Williams</t>
  </si>
  <si>
    <t xml:space="preserve">TXN-202608-006145</t>
  </si>
  <si>
    <t xml:space="preserve">LP-0521</t>
  </si>
  <si>
    <t xml:space="preserve">WL-03161</t>
  </si>
  <si>
    <t xml:space="preserve">Ashley Hall</t>
  </si>
  <si>
    <t xml:space="preserve">TXN-202608-006211</t>
  </si>
  <si>
    <t xml:space="preserve">LP-0522</t>
  </si>
  <si>
    <t xml:space="preserve">WL-01604</t>
  </si>
  <si>
    <t xml:space="preserve">Patrick Barnes</t>
  </si>
  <si>
    <t xml:space="preserve">TXN-202608-006273</t>
  </si>
  <si>
    <t xml:space="preserve">LP-0523</t>
  </si>
  <si>
    <t xml:space="preserve">WL-03212</t>
  </si>
  <si>
    <t xml:space="preserve">Damon Garcia</t>
  </si>
  <si>
    <t xml:space="preserve">WIDGEON STAR</t>
  </si>
  <si>
    <t xml:space="preserve">TXN-202608-006349</t>
  </si>
  <si>
    <t xml:space="preserve">LP-0524</t>
  </si>
  <si>
    <t xml:space="preserve">WL-02695</t>
  </si>
  <si>
    <t xml:space="preserve">Anthony Hamilton</t>
  </si>
  <si>
    <t xml:space="preserve">FOUL LIGHT</t>
  </si>
  <si>
    <t xml:space="preserve">TXN-202608-006427</t>
  </si>
  <si>
    <t xml:space="preserve">TXN-202608-006491</t>
  </si>
  <si>
    <t xml:space="preserve">LP-0602</t>
  </si>
  <si>
    <t xml:space="preserve">WL-01342</t>
  </si>
  <si>
    <t xml:space="preserve">Lee Maldonado</t>
  </si>
  <si>
    <t xml:space="preserve">SCOTER PASSAGE</t>
  </si>
  <si>
    <t xml:space="preserve">TXN-202608-006543</t>
  </si>
  <si>
    <t xml:space="preserve">LP-0603</t>
  </si>
  <si>
    <t xml:space="preserve">WL-02921</t>
  </si>
  <si>
    <t xml:space="preserve">Marissa Hatfield</t>
  </si>
  <si>
    <t xml:space="preserve">TXN-202608-006610</t>
  </si>
  <si>
    <t xml:space="preserve">WL-02608</t>
  </si>
  <si>
    <t xml:space="preserve">Timothy Porter</t>
  </si>
  <si>
    <t xml:space="preserve">TXN-202608-006671</t>
  </si>
  <si>
    <t xml:space="preserve">LP-0605</t>
  </si>
  <si>
    <t xml:space="preserve">WL-01747</t>
  </si>
  <si>
    <t xml:space="preserve">Andrew Anderson</t>
  </si>
  <si>
    <t xml:space="preserve">TXN-202608-006755</t>
  </si>
  <si>
    <t xml:space="preserve">LP-0606</t>
  </si>
  <si>
    <t xml:space="preserve">WL-03735</t>
  </si>
  <si>
    <t xml:space="preserve">Kyle Foster</t>
  </si>
  <si>
    <t xml:space="preserve">TXN-202608-006821</t>
  </si>
  <si>
    <t xml:space="preserve">LP-0607</t>
  </si>
  <si>
    <t xml:space="preserve">WL-01378</t>
  </si>
  <si>
    <t xml:space="preserve">Morgan Clark</t>
  </si>
  <si>
    <t xml:space="preserve">TXN-202608-006901</t>
  </si>
  <si>
    <t xml:space="preserve">LP-0608</t>
  </si>
  <si>
    <t xml:space="preserve">WL-03905</t>
  </si>
  <si>
    <t xml:space="preserve">Jamie Carpenter</t>
  </si>
  <si>
    <t xml:space="preserve">TXN-202608-006979</t>
  </si>
  <si>
    <t xml:space="preserve">WL-01602</t>
  </si>
  <si>
    <t xml:space="preserve">Micheal Martinez</t>
  </si>
  <si>
    <t xml:space="preserve">TXN-202608-007046</t>
  </si>
  <si>
    <t xml:space="preserve">LP-0610</t>
  </si>
  <si>
    <t xml:space="preserve">WL-02905</t>
  </si>
  <si>
    <t xml:space="preserve">James Williams</t>
  </si>
  <si>
    <t xml:space="preserve">COHO LINE</t>
  </si>
  <si>
    <t xml:space="preserve">TXN-202608-007099</t>
  </si>
  <si>
    <t xml:space="preserve">LP-0611</t>
  </si>
  <si>
    <t xml:space="preserve">WL-03556</t>
  </si>
  <si>
    <t xml:space="preserve">Scott Bird</t>
  </si>
  <si>
    <t xml:space="preserve">TXN-202608-007176</t>
  </si>
  <si>
    <t xml:space="preserve">LP-0612</t>
  </si>
  <si>
    <t xml:space="preserve">WL-01625</t>
  </si>
  <si>
    <t xml:space="preserve">Albert Rowland</t>
  </si>
  <si>
    <t xml:space="preserve">TXN-202608-007262</t>
  </si>
  <si>
    <t xml:space="preserve">LP-0613</t>
  </si>
  <si>
    <t xml:space="preserve">WL-03447</t>
  </si>
  <si>
    <t xml:space="preserve">Matthew Mcdonald</t>
  </si>
  <si>
    <t xml:space="preserve">TXN-202608-007316</t>
  </si>
  <si>
    <t xml:space="preserve">WL-01107</t>
  </si>
  <si>
    <t xml:space="preserve">Dean Gonzalez</t>
  </si>
  <si>
    <t xml:space="preserve">TXN-202608-007382</t>
  </si>
  <si>
    <t xml:space="preserve">LP-0615</t>
  </si>
  <si>
    <t xml:space="preserve">WL-03818</t>
  </si>
  <si>
    <t xml:space="preserve">Abigail Brooks</t>
  </si>
  <si>
    <t xml:space="preserve">TXN-202608-007438</t>
  </si>
  <si>
    <t xml:space="preserve">WL-03854</t>
  </si>
  <si>
    <t xml:space="preserve">Brandon Jackson</t>
  </si>
  <si>
    <t xml:space="preserve">TXN-202608-007500</t>
  </si>
  <si>
    <t xml:space="preserve">LP-0617</t>
  </si>
  <si>
    <t xml:space="preserve">WL-02073</t>
  </si>
  <si>
    <t xml:space="preserve">Susan Jordan</t>
  </si>
  <si>
    <t xml:space="preserve">TXN-202608-007544</t>
  </si>
  <si>
    <t xml:space="preserve">LP-0618</t>
  </si>
  <si>
    <t xml:space="preserve">WL-01962</t>
  </si>
  <si>
    <t xml:space="preserve">Natalie Tyler</t>
  </si>
  <si>
    <t xml:space="preserve">HALIBUT PASSAGE</t>
  </si>
  <si>
    <t xml:space="preserve">TXN-202608-007614</t>
  </si>
  <si>
    <t xml:space="preserve">LP-0620</t>
  </si>
  <si>
    <t xml:space="preserve">WL-02410</t>
  </si>
  <si>
    <t xml:space="preserve">Juan Martin</t>
  </si>
  <si>
    <t xml:space="preserve">TXN-202608-007671</t>
  </si>
  <si>
    <t xml:space="preserve">LP-0621</t>
  </si>
  <si>
    <t xml:space="preserve">WL-02194</t>
  </si>
  <si>
    <t xml:space="preserve">Victoria Williamson</t>
  </si>
  <si>
    <t xml:space="preserve">TXN-202608-007743</t>
  </si>
  <si>
    <t xml:space="preserve">LP-0622</t>
  </si>
  <si>
    <t xml:space="preserve">FOUL WEATHER</t>
  </si>
  <si>
    <t xml:space="preserve">TXN-202608-007793</t>
  </si>
  <si>
    <t xml:space="preserve">LP-0623</t>
  </si>
  <si>
    <t xml:space="preserve">WL-03096</t>
  </si>
  <si>
    <t xml:space="preserve">Craig Kelley</t>
  </si>
  <si>
    <t xml:space="preserve">COHO CREST</t>
  </si>
  <si>
    <t xml:space="preserve">TXN-202608-007847</t>
  </si>
  <si>
    <t xml:space="preserve">LP-0624</t>
  </si>
  <si>
    <t xml:space="preserve">WL-02951</t>
  </si>
  <si>
    <t xml:space="preserve">Evelyn Thompson</t>
  </si>
  <si>
    <t xml:space="preserve">TXN-202608-007933</t>
  </si>
  <si>
    <t xml:space="preserve">LP-0701</t>
  </si>
  <si>
    <t xml:space="preserve">WL-02344</t>
  </si>
  <si>
    <t xml:space="preserve">Michael Combs</t>
  </si>
  <si>
    <t xml:space="preserve">TXN-202608-008015</t>
  </si>
  <si>
    <t xml:space="preserve">LP-0702</t>
  </si>
  <si>
    <t xml:space="preserve">WL-01711</t>
  </si>
  <si>
    <t xml:space="preserve">TXN-202608-008093</t>
  </si>
  <si>
    <t xml:space="preserve">LP-0703</t>
  </si>
  <si>
    <t xml:space="preserve">WL-03517</t>
  </si>
  <si>
    <t xml:space="preserve">Ruth Peters</t>
  </si>
  <si>
    <t xml:space="preserve">CORMORANT BAY</t>
  </si>
  <si>
    <t xml:space="preserve">TXN-202608-008150</t>
  </si>
  <si>
    <t xml:space="preserve">LP-0704</t>
  </si>
  <si>
    <t xml:space="preserve">WL-02092</t>
  </si>
  <si>
    <t xml:space="preserve">Jason Brooks</t>
  </si>
  <si>
    <t xml:space="preserve">PETREL MIST</t>
  </si>
  <si>
    <t xml:space="preserve">TXN-202608-008231</t>
  </si>
  <si>
    <t xml:space="preserve">WL-02327</t>
  </si>
  <si>
    <t xml:space="preserve">Sarah Hogan</t>
  </si>
  <si>
    <t xml:space="preserve">OTTER MIST</t>
  </si>
  <si>
    <t xml:space="preserve">TXN-202608-008302</t>
  </si>
  <si>
    <t xml:space="preserve">WL-01857</t>
  </si>
  <si>
    <t xml:space="preserve">Anthony Morales</t>
  </si>
  <si>
    <t xml:space="preserve">TXN-202608-008377</t>
  </si>
  <si>
    <t xml:space="preserve">LP-0707</t>
  </si>
  <si>
    <t xml:space="preserve">WL-02544</t>
  </si>
  <si>
    <t xml:space="preserve">Laurie Smith</t>
  </si>
  <si>
    <t xml:space="preserve">TXN-202608-008427</t>
  </si>
  <si>
    <t xml:space="preserve">LP-0708</t>
  </si>
  <si>
    <t xml:space="preserve">WL-03803</t>
  </si>
  <si>
    <t xml:space="preserve">Elizabeth Mathews</t>
  </si>
  <si>
    <t xml:space="preserve">TXN-202608-008507</t>
  </si>
  <si>
    <t xml:space="preserve">LP-0709</t>
  </si>
  <si>
    <t xml:space="preserve">HERON WIND</t>
  </si>
  <si>
    <t xml:space="preserve">TXN-202608-008563</t>
  </si>
  <si>
    <t xml:space="preserve">LP-0710</t>
  </si>
  <si>
    <t xml:space="preserve">WL-03904</t>
  </si>
  <si>
    <t xml:space="preserve">Peggy Trevino</t>
  </si>
  <si>
    <t xml:space="preserve">BRANT SONG</t>
  </si>
  <si>
    <t xml:space="preserve">TXN-202608-008628</t>
  </si>
  <si>
    <t xml:space="preserve">LP-0711</t>
  </si>
  <si>
    <t xml:space="preserve">WL-01740</t>
  </si>
  <si>
    <t xml:space="preserve">Lisa Wyatt</t>
  </si>
  <si>
    <t xml:space="preserve">PINTAIL BAY</t>
  </si>
  <si>
    <t xml:space="preserve">TXN-202608-008674</t>
  </si>
  <si>
    <t xml:space="preserve">LP-0712</t>
  </si>
  <si>
    <t xml:space="preserve">WL-02936</t>
  </si>
  <si>
    <t xml:space="preserve">Matthew Spencer</t>
  </si>
  <si>
    <t xml:space="preserve">TXN-202608-008710</t>
  </si>
  <si>
    <t xml:space="preserve">LP-0713</t>
  </si>
  <si>
    <t xml:space="preserve">WL-03438</t>
  </si>
  <si>
    <t xml:space="preserve">Stacey Mitchell</t>
  </si>
  <si>
    <t xml:space="preserve">TXN-202608-008763</t>
  </si>
  <si>
    <t xml:space="preserve">LP-0714</t>
  </si>
  <si>
    <t xml:space="preserve">WL-01437</t>
  </si>
  <si>
    <t xml:space="preserve">Nicholas Woodward</t>
  </si>
  <si>
    <t xml:space="preserve">TXN-202608-008838</t>
  </si>
  <si>
    <t xml:space="preserve">WL-03454</t>
  </si>
  <si>
    <t xml:space="preserve">Jason Ramirez</t>
  </si>
  <si>
    <t xml:space="preserve">SABLE BAY</t>
  </si>
  <si>
    <t xml:space="preserve">TXN-202608-008888</t>
  </si>
  <si>
    <t xml:space="preserve">LP-0716</t>
  </si>
  <si>
    <t xml:space="preserve">WL-03594</t>
  </si>
  <si>
    <t xml:space="preserve">Teresa Smith</t>
  </si>
  <si>
    <t xml:space="preserve">MURRE ANN</t>
  </si>
  <si>
    <t xml:space="preserve">TXN-202608-008941</t>
  </si>
  <si>
    <t xml:space="preserve">LP-0717</t>
  </si>
  <si>
    <t xml:space="preserve">WL-01315</t>
  </si>
  <si>
    <t xml:space="preserve">Justin Richardson</t>
  </si>
  <si>
    <t xml:space="preserve">HERON MIST</t>
  </si>
  <si>
    <t xml:space="preserve">TXN-202608-008997</t>
  </si>
  <si>
    <t xml:space="preserve">LP-0718</t>
  </si>
  <si>
    <t xml:space="preserve">WL-03399</t>
  </si>
  <si>
    <t xml:space="preserve">Charles Case</t>
  </si>
  <si>
    <t xml:space="preserve">TXN-202608-009047</t>
  </si>
  <si>
    <t xml:space="preserve">LP-0719</t>
  </si>
  <si>
    <t xml:space="preserve">WL-02512</t>
  </si>
  <si>
    <t xml:space="preserve">Natalie Olsen</t>
  </si>
  <si>
    <t xml:space="preserve">TXN-202608-009113</t>
  </si>
  <si>
    <t xml:space="preserve">LP-0720</t>
  </si>
  <si>
    <t xml:space="preserve">WL-01709</t>
  </si>
  <si>
    <t xml:space="preserve">Alexander Stephens</t>
  </si>
  <si>
    <t xml:space="preserve">TXN-202608-009164</t>
  </si>
  <si>
    <t xml:space="preserve">WL-02525</t>
  </si>
  <si>
    <t xml:space="preserve">Matthew Wright</t>
  </si>
  <si>
    <t xml:space="preserve">TXN-202608-009235</t>
  </si>
  <si>
    <t xml:space="preserve">LP-0723</t>
  </si>
  <si>
    <t xml:space="preserve">WL-01106</t>
  </si>
  <si>
    <t xml:space="preserve">ANCHOR QUEEN</t>
  </si>
  <si>
    <t xml:space="preserve">TXN-202608-009277</t>
  </si>
  <si>
    <t xml:space="preserve">LP-0724</t>
  </si>
  <si>
    <t xml:space="preserve">WL-01738</t>
  </si>
  <si>
    <t xml:space="preserve">Zachary Kramer</t>
  </si>
  <si>
    <t xml:space="preserve">TXN-202608-009317</t>
  </si>
  <si>
    <t xml:space="preserve">LP-0801</t>
  </si>
  <si>
    <t xml:space="preserve">WL-02322</t>
  </si>
  <si>
    <t xml:space="preserve">Allison Nguyen</t>
  </si>
  <si>
    <t xml:space="preserve">TXN-202608-009358</t>
  </si>
  <si>
    <t xml:space="preserve">LP-0802</t>
  </si>
  <si>
    <t xml:space="preserve">TXN-202608-009428</t>
  </si>
  <si>
    <t xml:space="preserve">WL-03367</t>
  </si>
  <si>
    <t xml:space="preserve">Jill Stevenson</t>
  </si>
  <si>
    <t xml:space="preserve">SEAL REACH</t>
  </si>
  <si>
    <t xml:space="preserve">TXN-202608-009493</t>
  </si>
  <si>
    <t xml:space="preserve">LP-0805</t>
  </si>
  <si>
    <t xml:space="preserve">WL-02244</t>
  </si>
  <si>
    <t xml:space="preserve">Victoria Nash</t>
  </si>
  <si>
    <t xml:space="preserve">SABLE WAKE</t>
  </si>
  <si>
    <t xml:space="preserve">TXN-202608-009566</t>
  </si>
  <si>
    <t xml:space="preserve">WL-02771</t>
  </si>
  <si>
    <t xml:space="preserve">Lisa Garcia</t>
  </si>
  <si>
    <t xml:space="preserve">TXN-202608-009636</t>
  </si>
  <si>
    <t xml:space="preserve">LP-0807</t>
  </si>
  <si>
    <t xml:space="preserve">WL-02647</t>
  </si>
  <si>
    <t xml:space="preserve">Seth Perez</t>
  </si>
  <si>
    <t xml:space="preserve">COHO RUNNER</t>
  </si>
  <si>
    <t xml:space="preserve">TXN-202608-009719</t>
  </si>
  <si>
    <t xml:space="preserve">LP-0808</t>
  </si>
  <si>
    <t xml:space="preserve">WL-03318</t>
  </si>
  <si>
    <t xml:space="preserve">Denise Jordan</t>
  </si>
  <si>
    <t xml:space="preserve">TXN-202608-009770</t>
  </si>
  <si>
    <t xml:space="preserve">LP-0809</t>
  </si>
  <si>
    <t xml:space="preserve">WL-02205</t>
  </si>
  <si>
    <t xml:space="preserve">Robert Rivas</t>
  </si>
  <si>
    <t xml:space="preserve">TXN-202608-009852</t>
  </si>
  <si>
    <t xml:space="preserve">LP-0811</t>
  </si>
  <si>
    <t xml:space="preserve">WL-02097</t>
  </si>
  <si>
    <t xml:space="preserve">Scott Brooks</t>
  </si>
  <si>
    <t xml:space="preserve">ANCHOR PASSAGE</t>
  </si>
  <si>
    <t xml:space="preserve">TXN-202608-009916</t>
  </si>
  <si>
    <t xml:space="preserve">LP-0812</t>
  </si>
  <si>
    <t xml:space="preserve">WL-02511</t>
  </si>
  <si>
    <t xml:space="preserve">Brett Lee</t>
  </si>
  <si>
    <t xml:space="preserve">GRAY WEATHER</t>
  </si>
  <si>
    <t xml:space="preserve">TXN-202608-009999</t>
  </si>
  <si>
    <t xml:space="preserve">LP-0813</t>
  </si>
  <si>
    <t xml:space="preserve">WL-02446</t>
  </si>
  <si>
    <t xml:space="preserve">Emily Parker</t>
  </si>
  <si>
    <t xml:space="preserve">TXN-202608-010077</t>
  </si>
  <si>
    <t xml:space="preserve">LP-0814</t>
  </si>
  <si>
    <t xml:space="preserve">WL-02409</t>
  </si>
  <si>
    <t xml:space="preserve">Danny Sexton</t>
  </si>
  <si>
    <t xml:space="preserve">TXN-202608-010153</t>
  </si>
  <si>
    <t xml:space="preserve">LP-0815</t>
  </si>
  <si>
    <t xml:space="preserve">WL-01947</t>
  </si>
  <si>
    <t xml:space="preserve">Teresa Mcdowell</t>
  </si>
  <si>
    <t xml:space="preserve">CORMORANT ANN</t>
  </si>
  <si>
    <t xml:space="preserve">TXN-202608-010227</t>
  </si>
  <si>
    <t xml:space="preserve">WL-03243</t>
  </si>
  <si>
    <t xml:space="preserve">Jessica Long</t>
  </si>
  <si>
    <t xml:space="preserve">TXN-202608-010292</t>
  </si>
  <si>
    <t xml:space="preserve">WL-03630</t>
  </si>
  <si>
    <t xml:space="preserve">Tiffany Torres</t>
  </si>
  <si>
    <t xml:space="preserve">SCOTER MIST</t>
  </si>
  <si>
    <t xml:space="preserve">TXN-202608-010354</t>
  </si>
  <si>
    <t xml:space="preserve">LP-0818</t>
  </si>
  <si>
    <t xml:space="preserve">WL-02906</t>
  </si>
  <si>
    <t xml:space="preserve">Victor Turner</t>
  </si>
  <si>
    <t xml:space="preserve">TXN-202608-010428</t>
  </si>
  <si>
    <t xml:space="preserve">LP-0819</t>
  </si>
  <si>
    <t xml:space="preserve">WL-02164</t>
  </si>
  <si>
    <t xml:space="preserve">Adrienne Thompson</t>
  </si>
  <si>
    <t xml:space="preserve">TXN-202608-010483</t>
  </si>
  <si>
    <t xml:space="preserve">TXN-202608-010563</t>
  </si>
  <si>
    <t xml:space="preserve">LP-0821</t>
  </si>
  <si>
    <t xml:space="preserve">WL-03375</t>
  </si>
  <si>
    <t xml:space="preserve">Debra Rogers</t>
  </si>
  <si>
    <t xml:space="preserve">TXN-202608-010626</t>
  </si>
  <si>
    <t xml:space="preserve">WL-02728</t>
  </si>
  <si>
    <t xml:space="preserve">Ralph Archer</t>
  </si>
  <si>
    <t xml:space="preserve">TXN-202608-010690</t>
  </si>
  <si>
    <t xml:space="preserve">LP-0823</t>
  </si>
  <si>
    <t xml:space="preserve">WL-03320</t>
  </si>
  <si>
    <t xml:space="preserve">Maria Robinson</t>
  </si>
  <si>
    <t xml:space="preserve">COHO MOON</t>
  </si>
  <si>
    <t xml:space="preserve">TXN-202608-010741</t>
  </si>
  <si>
    <t xml:space="preserve">LP-0824</t>
  </si>
  <si>
    <t xml:space="preserve">WL-01024</t>
  </si>
  <si>
    <t xml:space="preserve">Jennifer Henson</t>
  </si>
  <si>
    <t xml:space="preserve">TXN-202608-010787</t>
  </si>
  <si>
    <t xml:space="preserve">WL-02661</t>
  </si>
  <si>
    <t xml:space="preserve">Angela Poole</t>
  </si>
  <si>
    <t xml:space="preserve">HERON BAY</t>
  </si>
  <si>
    <t xml:space="preserve">TXN-202608-010867</t>
  </si>
  <si>
    <t xml:space="preserve">LP-0902</t>
  </si>
  <si>
    <t xml:space="preserve">WL-01872</t>
  </si>
  <si>
    <t xml:space="preserve">Neil Adkins</t>
  </si>
  <si>
    <t xml:space="preserve">TXN-202608-010915</t>
  </si>
  <si>
    <t xml:space="preserve">LP-0903</t>
  </si>
  <si>
    <t xml:space="preserve">TXN-202608-010994</t>
  </si>
  <si>
    <t xml:space="preserve">LP-0904</t>
  </si>
  <si>
    <t xml:space="preserve">WL-03771</t>
  </si>
  <si>
    <t xml:space="preserve">Alexander Cross</t>
  </si>
  <si>
    <t xml:space="preserve">WIDGEON WAKE</t>
  </si>
  <si>
    <t xml:space="preserve">TXN-202608-011040</t>
  </si>
  <si>
    <t xml:space="preserve">LP-0905</t>
  </si>
  <si>
    <t xml:space="preserve">WL-01795</t>
  </si>
  <si>
    <t xml:space="preserve">Emily Alexander</t>
  </si>
  <si>
    <t xml:space="preserve">TXN-202608-011113</t>
  </si>
  <si>
    <t xml:space="preserve">WL-03019</t>
  </si>
  <si>
    <t xml:space="preserve">Denise Bonilla</t>
  </si>
  <si>
    <t xml:space="preserve">KESTREL QUEEN</t>
  </si>
  <si>
    <t xml:space="preserve">TXN-202608-011186</t>
  </si>
  <si>
    <t xml:space="preserve">LP-0907</t>
  </si>
  <si>
    <t xml:space="preserve">WL-02873</t>
  </si>
  <si>
    <t xml:space="preserve">Brittany Wilkerson</t>
  </si>
  <si>
    <t xml:space="preserve">TXN-202608-011262</t>
  </si>
  <si>
    <t xml:space="preserve">WL-01005</t>
  </si>
  <si>
    <t xml:space="preserve">Joseph Sharp</t>
  </si>
  <si>
    <t xml:space="preserve">TXN-202608-011328</t>
  </si>
  <si>
    <t xml:space="preserve">LP-0909</t>
  </si>
  <si>
    <t xml:space="preserve">TXN-202608-011387</t>
  </si>
  <si>
    <t xml:space="preserve">LP-0910</t>
  </si>
  <si>
    <t xml:space="preserve">WL-01992</t>
  </si>
  <si>
    <t xml:space="preserve">John Davis</t>
  </si>
  <si>
    <t xml:space="preserve">TXN-202608-011449</t>
  </si>
  <si>
    <t xml:space="preserve">LP-0911</t>
  </si>
  <si>
    <t xml:space="preserve">POINT SONG</t>
  </si>
  <si>
    <t xml:space="preserve">TXN-202608-011512</t>
  </si>
  <si>
    <t xml:space="preserve">LP-0912</t>
  </si>
  <si>
    <t xml:space="preserve">WL-02965</t>
  </si>
  <si>
    <t xml:space="preserve">Harry Koch</t>
  </si>
  <si>
    <t xml:space="preserve">TXN-202608-011585</t>
  </si>
  <si>
    <t xml:space="preserve">LP-0913</t>
  </si>
  <si>
    <t xml:space="preserve">WL-02303</t>
  </si>
  <si>
    <t xml:space="preserve">Christina Hernandez</t>
  </si>
  <si>
    <t xml:space="preserve">TXN-202608-011646</t>
  </si>
  <si>
    <t xml:space="preserve">LP-0914</t>
  </si>
  <si>
    <t xml:space="preserve">WL-01697</t>
  </si>
  <si>
    <t xml:space="preserve">Paige Brown</t>
  </si>
  <si>
    <t xml:space="preserve">TXN-202608-011702</t>
  </si>
  <si>
    <t xml:space="preserve">WL-01416</t>
  </si>
  <si>
    <t xml:space="preserve">Carmen Hernandez</t>
  </si>
  <si>
    <t xml:space="preserve">SCOTER REACH</t>
  </si>
  <si>
    <t xml:space="preserve">TXN-202608-011766</t>
  </si>
  <si>
    <t xml:space="preserve">LP-0917</t>
  </si>
  <si>
    <t xml:space="preserve">WL-01392</t>
  </si>
  <si>
    <t xml:space="preserve">Ryan Carr</t>
  </si>
  <si>
    <t xml:space="preserve">TIDE CREST</t>
  </si>
  <si>
    <t xml:space="preserve">TXN-202608-011847</t>
  </si>
  <si>
    <t xml:space="preserve">LP-0918</t>
  </si>
  <si>
    <t xml:space="preserve">WL-03842</t>
  </si>
  <si>
    <t xml:space="preserve">Jennifer Campbell</t>
  </si>
  <si>
    <t xml:space="preserve">ANCHOR SOUND</t>
  </si>
  <si>
    <t xml:space="preserve">TXN-202608-011919</t>
  </si>
  <si>
    <t xml:space="preserve">LP-0919</t>
  </si>
  <si>
    <t xml:space="preserve">WL-02994</t>
  </si>
  <si>
    <t xml:space="preserve">Pamela Wright</t>
  </si>
  <si>
    <t xml:space="preserve">TXN-202608-011956</t>
  </si>
  <si>
    <t xml:space="preserve">LP-0920</t>
  </si>
  <si>
    <t xml:space="preserve">WL-01174</t>
  </si>
  <si>
    <t xml:space="preserve">Jason Kim</t>
  </si>
  <si>
    <t xml:space="preserve">TXN-202608-012022</t>
  </si>
  <si>
    <t xml:space="preserve">LP-0921</t>
  </si>
  <si>
    <t xml:space="preserve">WL-02368</t>
  </si>
  <si>
    <t xml:space="preserve">Chris Chavez</t>
  </si>
  <si>
    <t xml:space="preserve">COHO ROSE</t>
  </si>
  <si>
    <t xml:space="preserve">TXN-202608-012059</t>
  </si>
  <si>
    <t xml:space="preserve">LP-0922</t>
  </si>
  <si>
    <t xml:space="preserve">TXN-202608-012124</t>
  </si>
  <si>
    <t xml:space="preserve">WL-02672</t>
  </si>
  <si>
    <t xml:space="preserve">Russell Barnes</t>
  </si>
  <si>
    <t xml:space="preserve">TXN-202608-012196</t>
  </si>
  <si>
    <t xml:space="preserve">LP-0924</t>
  </si>
  <si>
    <t xml:space="preserve">WL-01312</t>
  </si>
  <si>
    <t xml:space="preserve">Matthew King</t>
  </si>
  <si>
    <t xml:space="preserve">TXN-202608-012242</t>
  </si>
  <si>
    <t xml:space="preserve">WL-03184</t>
  </si>
  <si>
    <t xml:space="preserve">Lindsay Alexander</t>
  </si>
  <si>
    <t xml:space="preserve">TXN-202608-012320</t>
  </si>
  <si>
    <t xml:space="preserve">LP-1002</t>
  </si>
  <si>
    <t xml:space="preserve">WL-03393</t>
  </si>
  <si>
    <t xml:space="preserve">Richard Norris</t>
  </si>
  <si>
    <t xml:space="preserve">SALISH SOUND</t>
  </si>
  <si>
    <t xml:space="preserve">TXN-202608-012378</t>
  </si>
  <si>
    <t xml:space="preserve">LP-1003</t>
  </si>
  <si>
    <t xml:space="preserve">WL-01310</t>
  </si>
  <si>
    <t xml:space="preserve">Donna Weber</t>
  </si>
  <si>
    <t xml:space="preserve">TXN-202608-012439</t>
  </si>
  <si>
    <t xml:space="preserve">LP-1004</t>
  </si>
  <si>
    <t xml:space="preserve">WL-03418</t>
  </si>
  <si>
    <t xml:space="preserve">Mary Ford</t>
  </si>
  <si>
    <t xml:space="preserve">FOUL RUNNER</t>
  </si>
  <si>
    <t xml:space="preserve">TXN-202608-012506</t>
  </si>
  <si>
    <t xml:space="preserve">LP-1005</t>
  </si>
  <si>
    <t xml:space="preserve">WL-03728</t>
  </si>
  <si>
    <t xml:space="preserve">Gary Wade</t>
  </si>
  <si>
    <t xml:space="preserve">TXN-202608-012563</t>
  </si>
  <si>
    <t xml:space="preserve">LP-1006</t>
  </si>
  <si>
    <t xml:space="preserve">WL-02721</t>
  </si>
  <si>
    <t xml:space="preserve">Carol Scott</t>
  </si>
  <si>
    <t xml:space="preserve">KESTREL ROCK</t>
  </si>
  <si>
    <t xml:space="preserve">TXN-202608-012635</t>
  </si>
  <si>
    <t xml:space="preserve">LP-1007</t>
  </si>
  <si>
    <t xml:space="preserve">WL-03683</t>
  </si>
  <si>
    <t xml:space="preserve">Shawn Carter</t>
  </si>
  <si>
    <t xml:space="preserve">TXN-202608-012709</t>
  </si>
  <si>
    <t xml:space="preserve">LP-1008</t>
  </si>
  <si>
    <t xml:space="preserve">WL-02719</t>
  </si>
  <si>
    <t xml:space="preserve">Travis Sexton</t>
  </si>
  <si>
    <t xml:space="preserve">TXN-202608-012767</t>
  </si>
  <si>
    <t xml:space="preserve">WL-01829</t>
  </si>
  <si>
    <t xml:space="preserve">Bradley Franklin</t>
  </si>
  <si>
    <t xml:space="preserve">TXN-202608-012832</t>
  </si>
  <si>
    <t xml:space="preserve">LP-1010</t>
  </si>
  <si>
    <t xml:space="preserve">WL-01700</t>
  </si>
  <si>
    <t xml:space="preserve">Sherry Fletcher</t>
  </si>
  <si>
    <t xml:space="preserve">TXN-202608-012877</t>
  </si>
  <si>
    <t xml:space="preserve">LP-1011</t>
  </si>
  <si>
    <t xml:space="preserve">TXN-202608-012944</t>
  </si>
  <si>
    <t xml:space="preserve">LP-1012</t>
  </si>
  <si>
    <t xml:space="preserve">WL-02088</t>
  </si>
  <si>
    <t xml:space="preserve">Yvonne Collins</t>
  </si>
  <si>
    <t xml:space="preserve">TXN-202608-012991</t>
  </si>
  <si>
    <t xml:space="preserve">LP-1013</t>
  </si>
  <si>
    <t xml:space="preserve">TXN-202608-013039</t>
  </si>
  <si>
    <t xml:space="preserve">LP-1014</t>
  </si>
  <si>
    <t xml:space="preserve">TXN-202608-013099</t>
  </si>
  <si>
    <t xml:space="preserve">LP-1016</t>
  </si>
  <si>
    <t xml:space="preserve">WL-03089</t>
  </si>
  <si>
    <t xml:space="preserve">Joshua Rivera</t>
  </si>
  <si>
    <t xml:space="preserve">TXN-202608-013163</t>
  </si>
  <si>
    <t xml:space="preserve">LP-1017</t>
  </si>
  <si>
    <t xml:space="preserve">WL-01838</t>
  </si>
  <si>
    <t xml:space="preserve">James Gregory</t>
  </si>
  <si>
    <t xml:space="preserve">TXN-202608-013209</t>
  </si>
  <si>
    <t xml:space="preserve">LP-1018</t>
  </si>
  <si>
    <t xml:space="preserve">WL-01243</t>
  </si>
  <si>
    <t xml:space="preserve">Christina Rivera</t>
  </si>
  <si>
    <t xml:space="preserve">TXN-202608-013255</t>
  </si>
  <si>
    <t xml:space="preserve">LP-1020</t>
  </si>
  <si>
    <t xml:space="preserve">WL-01990</t>
  </si>
  <si>
    <t xml:space="preserve">Michael Taylor</t>
  </si>
  <si>
    <t xml:space="preserve">TXN-202608-013320</t>
  </si>
  <si>
    <t xml:space="preserve">LP-1021</t>
  </si>
  <si>
    <t xml:space="preserve">WL-02827</t>
  </si>
  <si>
    <t xml:space="preserve">Kimberly Wilson</t>
  </si>
  <si>
    <t xml:space="preserve">TXN-202608-013399</t>
  </si>
  <si>
    <t xml:space="preserve">LP-1022</t>
  </si>
  <si>
    <t xml:space="preserve">WL-01807</t>
  </si>
  <si>
    <t xml:space="preserve">Kathleen Mcdonald</t>
  </si>
  <si>
    <t xml:space="preserve">TXN-202608-013452</t>
  </si>
  <si>
    <t xml:space="preserve">LP-1023</t>
  </si>
  <si>
    <t xml:space="preserve">WL-01364</t>
  </si>
  <si>
    <t xml:space="preserve">Patrick Richmond</t>
  </si>
  <si>
    <t xml:space="preserve">TXN-202608-013502</t>
  </si>
  <si>
    <t xml:space="preserve">WL-01028</t>
  </si>
  <si>
    <t xml:space="preserve">Brittany Benson</t>
  </si>
  <si>
    <t xml:space="preserve">TXN-202608-013548</t>
  </si>
  <si>
    <t xml:space="preserve">WL-03792</t>
  </si>
  <si>
    <t xml:space="preserve">Rodney Morris</t>
  </si>
  <si>
    <t xml:space="preserve">TXN-202608-013588</t>
  </si>
  <si>
    <t xml:space="preserve">WL-03118</t>
  </si>
  <si>
    <t xml:space="preserve">Amanda Clayton</t>
  </si>
  <si>
    <t xml:space="preserve">TXN-202608-013657</t>
  </si>
  <si>
    <t xml:space="preserve">WL-03003</t>
  </si>
  <si>
    <t xml:space="preserve">Trevor Turner</t>
  </si>
  <si>
    <t xml:space="preserve">TXN-202608-013719</t>
  </si>
  <si>
    <t xml:space="preserve">WL-02015</t>
  </si>
  <si>
    <t xml:space="preserve">Kenneth Frazier</t>
  </si>
  <si>
    <t xml:space="preserve">HERON VEER</t>
  </si>
  <si>
    <t xml:space="preserve">TXN-202608-013761</t>
  </si>
  <si>
    <t xml:space="preserve">LP-1106</t>
  </si>
  <si>
    <t xml:space="preserve">WL-01668</t>
  </si>
  <si>
    <t xml:space="preserve">Marisa Alexander</t>
  </si>
  <si>
    <t xml:space="preserve">BRANT STAR</t>
  </si>
  <si>
    <t xml:space="preserve">TXN-202608-013807</t>
  </si>
  <si>
    <t xml:space="preserve">WL-03768</t>
  </si>
  <si>
    <t xml:space="preserve">Michael Ramirez</t>
  </si>
  <si>
    <t xml:space="preserve">CORMORANT SOUND</t>
  </si>
  <si>
    <t xml:space="preserve">TXN-202608-013873</t>
  </si>
  <si>
    <t xml:space="preserve">WL-02575</t>
  </si>
  <si>
    <t xml:space="preserve">Victoria Aguirre</t>
  </si>
  <si>
    <t xml:space="preserve">TXN-202608-013934</t>
  </si>
  <si>
    <t xml:space="preserve">WL-02691</t>
  </si>
  <si>
    <t xml:space="preserve">Pamela Le</t>
  </si>
  <si>
    <t xml:space="preserve">TXN-202608-014015</t>
  </si>
  <si>
    <t xml:space="preserve">LP-1110</t>
  </si>
  <si>
    <t xml:space="preserve">WL-01093</t>
  </si>
  <si>
    <t xml:space="preserve">John Garcia</t>
  </si>
  <si>
    <t xml:space="preserve">TXN-202608-014077</t>
  </si>
  <si>
    <t xml:space="preserve">LP-1111</t>
  </si>
  <si>
    <t xml:space="preserve">TXN-202608-014138</t>
  </si>
  <si>
    <t xml:space="preserve">LP-1112</t>
  </si>
  <si>
    <t xml:space="preserve">WL-03706</t>
  </si>
  <si>
    <t xml:space="preserve">Nicole Richmond</t>
  </si>
  <si>
    <t xml:space="preserve">TXN-202608-014207</t>
  </si>
  <si>
    <t xml:space="preserve">LP-1113</t>
  </si>
  <si>
    <t xml:space="preserve">WL-02029</t>
  </si>
  <si>
    <t xml:space="preserve">Whitney Jackson</t>
  </si>
  <si>
    <t xml:space="preserve">TXN-202608-014275</t>
  </si>
  <si>
    <t xml:space="preserve">LP-1114</t>
  </si>
  <si>
    <t xml:space="preserve">WL-01680</t>
  </si>
  <si>
    <t xml:space="preserve">Sara Nelson</t>
  </si>
  <si>
    <t xml:space="preserve">TXN-202608-014329</t>
  </si>
  <si>
    <t xml:space="preserve">LP-1115</t>
  </si>
  <si>
    <t xml:space="preserve">WL-02792</t>
  </si>
  <si>
    <t xml:space="preserve">Michelle Marsh</t>
  </si>
  <si>
    <t xml:space="preserve">TXN-202608-014384</t>
  </si>
  <si>
    <t xml:space="preserve">WL-03453</t>
  </si>
  <si>
    <t xml:space="preserve">Kelly Johnson</t>
  </si>
  <si>
    <t xml:space="preserve">TXN-202608-014423</t>
  </si>
  <si>
    <t xml:space="preserve">LP-1117</t>
  </si>
  <si>
    <t xml:space="preserve">WL-01944</t>
  </si>
  <si>
    <t xml:space="preserve">Tina Wells</t>
  </si>
  <si>
    <t xml:space="preserve">TXN-202608-014478</t>
  </si>
  <si>
    <t xml:space="preserve">LP-1118</t>
  </si>
  <si>
    <t xml:space="preserve">WL-02489</t>
  </si>
  <si>
    <t xml:space="preserve">Caitlin Burgess</t>
  </si>
  <si>
    <t xml:space="preserve">TXN-202608-014536</t>
  </si>
  <si>
    <t xml:space="preserve">LP-1119</t>
  </si>
  <si>
    <t xml:space="preserve">WL-03252</t>
  </si>
  <si>
    <t xml:space="preserve">John Gregory</t>
  </si>
  <si>
    <t xml:space="preserve">SANDERLING CREST</t>
  </si>
  <si>
    <t xml:space="preserve">TXN-202608-014593</t>
  </si>
  <si>
    <t xml:space="preserve">LP-1120</t>
  </si>
  <si>
    <t xml:space="preserve">WL-01021</t>
  </si>
  <si>
    <t xml:space="preserve">Deborah Freeman</t>
  </si>
  <si>
    <t xml:space="preserve">TXN-202608-014636</t>
  </si>
  <si>
    <t xml:space="preserve">VB-0101</t>
  </si>
  <si>
    <t xml:space="preserve">WL-03423</t>
  </si>
  <si>
    <t xml:space="preserve">Sarah Walker</t>
  </si>
  <si>
    <t xml:space="preserve">TXN-202608-014676</t>
  </si>
  <si>
    <t xml:space="preserve">VB-0102</t>
  </si>
  <si>
    <t xml:space="preserve">WL-03356</t>
  </si>
  <si>
    <t xml:space="preserve">Nathaniel Flores</t>
  </si>
  <si>
    <t xml:space="preserve">TXN-202608-014731</t>
  </si>
  <si>
    <t xml:space="preserve">VB-0103</t>
  </si>
  <si>
    <t xml:space="preserve">TXN-202608-014787</t>
  </si>
  <si>
    <t xml:space="preserve">VB-0105</t>
  </si>
  <si>
    <t xml:space="preserve">WL-03843</t>
  </si>
  <si>
    <t xml:space="preserve">Tricia Davila</t>
  </si>
  <si>
    <t xml:space="preserve">TXN-202608-014870</t>
  </si>
  <si>
    <t xml:space="preserve">VB-0106</t>
  </si>
  <si>
    <t xml:space="preserve">WL-01252</t>
  </si>
  <si>
    <t xml:space="preserve">Regina Brown</t>
  </si>
  <si>
    <t xml:space="preserve">TXN-202608-014949</t>
  </si>
  <si>
    <t xml:space="preserve">VB-0107</t>
  </si>
  <si>
    <t xml:space="preserve">TXN-202608-015000</t>
  </si>
  <si>
    <t xml:space="preserve">VB-0108</t>
  </si>
  <si>
    <t xml:space="preserve">WL-03877</t>
  </si>
  <si>
    <t xml:space="preserve">Jerry Davis</t>
  </si>
  <si>
    <t xml:space="preserve">TXN-202608-015080</t>
  </si>
  <si>
    <t xml:space="preserve">VB-0109</t>
  </si>
  <si>
    <t xml:space="preserve">WL-02551</t>
  </si>
  <si>
    <t xml:space="preserve">Nicole Brown</t>
  </si>
  <si>
    <t xml:space="preserve">TXN-202608-015133</t>
  </si>
  <si>
    <t xml:space="preserve">VB-0110</t>
  </si>
  <si>
    <t xml:space="preserve">WL-01895</t>
  </si>
  <si>
    <t xml:space="preserve">TXN-202608-015181</t>
  </si>
  <si>
    <t xml:space="preserve">VB-0111</t>
  </si>
  <si>
    <t xml:space="preserve">WL-03639</t>
  </si>
  <si>
    <t xml:space="preserve">Toni Graves</t>
  </si>
  <si>
    <t xml:space="preserve">TXN-202608-015251</t>
  </si>
  <si>
    <t xml:space="preserve">VB-0112</t>
  </si>
  <si>
    <t xml:space="preserve">WL-01196</t>
  </si>
  <si>
    <t xml:space="preserve">Valerie Montgomery</t>
  </si>
  <si>
    <t xml:space="preserve">TXN-202608-015323</t>
  </si>
  <si>
    <t xml:space="preserve">WL-01600</t>
  </si>
  <si>
    <t xml:space="preserve">Kimberly Solomon</t>
  </si>
  <si>
    <t xml:space="preserve">TXN-202608-015365</t>
  </si>
  <si>
    <t xml:space="preserve">VB-0114</t>
  </si>
  <si>
    <t xml:space="preserve">WL-02156</t>
  </si>
  <si>
    <t xml:space="preserve">Ariana Jenkins</t>
  </si>
  <si>
    <t xml:space="preserve">TXN-202608-015430</t>
  </si>
  <si>
    <t xml:space="preserve">VB-0115</t>
  </si>
  <si>
    <t xml:space="preserve">WL-03848</t>
  </si>
  <si>
    <t xml:space="preserve">Anne Thomas</t>
  </si>
  <si>
    <t xml:space="preserve">TXN-202608-015500</t>
  </si>
  <si>
    <t xml:space="preserve">VB-0116</t>
  </si>
  <si>
    <t xml:space="preserve">WL-03426</t>
  </si>
  <si>
    <t xml:space="preserve">Amanda Jackson</t>
  </si>
  <si>
    <t xml:space="preserve">TXN-202608-015581</t>
  </si>
  <si>
    <t xml:space="preserve">VB-0117</t>
  </si>
  <si>
    <t xml:space="preserve">WL-01706</t>
  </si>
  <si>
    <t xml:space="preserve">Michael Lee</t>
  </si>
  <si>
    <t xml:space="preserve">TXN-202608-015658</t>
  </si>
  <si>
    <t xml:space="preserve">TXN-202608-015719</t>
  </si>
  <si>
    <t xml:space="preserve">VB-0119</t>
  </si>
  <si>
    <t xml:space="preserve">WL-01640</t>
  </si>
  <si>
    <t xml:space="preserve">Tammy Stone</t>
  </si>
  <si>
    <t xml:space="preserve">TXN-202608-015773</t>
  </si>
  <si>
    <t xml:space="preserve">VB-0120</t>
  </si>
  <si>
    <t xml:space="preserve">WL-02030</t>
  </si>
  <si>
    <t xml:space="preserve">Adam Carr</t>
  </si>
  <si>
    <t xml:space="preserve">TXN-202608-015849</t>
  </si>
  <si>
    <t xml:space="preserve">VB-0121</t>
  </si>
  <si>
    <t xml:space="preserve">WL-02857</t>
  </si>
  <si>
    <t xml:space="preserve">Charles Nichols</t>
  </si>
  <si>
    <t xml:space="preserve">BRANT LIGHT</t>
  </si>
  <si>
    <t xml:space="preserve">TXN-202608-015892</t>
  </si>
  <si>
    <t xml:space="preserve">VB-0122</t>
  </si>
  <si>
    <t xml:space="preserve">WL-01705</t>
  </si>
  <si>
    <t xml:space="preserve">Tracy Walker</t>
  </si>
  <si>
    <t xml:space="preserve">SEAL LIGHT</t>
  </si>
  <si>
    <t xml:space="preserve">TXN-202608-015963</t>
  </si>
  <si>
    <t xml:space="preserve">WL-03171</t>
  </si>
  <si>
    <t xml:space="preserve">Destiny Tucker</t>
  </si>
  <si>
    <t xml:space="preserve">TXN-202608-016006</t>
  </si>
  <si>
    <t xml:space="preserve">VB-0124</t>
  </si>
  <si>
    <t xml:space="preserve">WL-03145</t>
  </si>
  <si>
    <t xml:space="preserve">Connie Hernandez</t>
  </si>
  <si>
    <t xml:space="preserve">HERON WEATHER</t>
  </si>
  <si>
    <t xml:space="preserve">TXN-202608-016050</t>
  </si>
  <si>
    <t xml:space="preserve">WL-01629</t>
  </si>
  <si>
    <t xml:space="preserve">Mary Parker</t>
  </si>
  <si>
    <t xml:space="preserve">TXN-202608-016112</t>
  </si>
  <si>
    <t xml:space="preserve">VB-0202</t>
  </si>
  <si>
    <t xml:space="preserve">WL-02677</t>
  </si>
  <si>
    <t xml:space="preserve">Brandon Cabrera</t>
  </si>
  <si>
    <t xml:space="preserve">TXN-202608-016174</t>
  </si>
  <si>
    <t xml:space="preserve">VB-0203</t>
  </si>
  <si>
    <t xml:space="preserve">WL-03705</t>
  </si>
  <si>
    <t xml:space="preserve">Brittany Garcia</t>
  </si>
  <si>
    <t xml:space="preserve">TXN-202608-016222</t>
  </si>
  <si>
    <t xml:space="preserve">VB-0204</t>
  </si>
  <si>
    <t xml:space="preserve">WL-03015</t>
  </si>
  <si>
    <t xml:space="preserve">Andrew Osborne</t>
  </si>
  <si>
    <t xml:space="preserve">TXN-202608-016304</t>
  </si>
  <si>
    <t xml:space="preserve">WL-02622</t>
  </si>
  <si>
    <t xml:space="preserve">Laura Murillo</t>
  </si>
  <si>
    <t xml:space="preserve">TXN-202608-016360</t>
  </si>
  <si>
    <t xml:space="preserve">VB-0206</t>
  </si>
  <si>
    <t xml:space="preserve">WL-01377</t>
  </si>
  <si>
    <t xml:space="preserve">Rhonda Ferguson</t>
  </si>
  <si>
    <t xml:space="preserve">TXN-202608-016410</t>
  </si>
  <si>
    <t xml:space="preserve">VB-0207</t>
  </si>
  <si>
    <t xml:space="preserve">WL-03580</t>
  </si>
  <si>
    <t xml:space="preserve">Rebecca Carson</t>
  </si>
  <si>
    <t xml:space="preserve">TXN-202608-016464</t>
  </si>
  <si>
    <t xml:space="preserve">VB-0208</t>
  </si>
  <si>
    <t xml:space="preserve">WL-03499</t>
  </si>
  <si>
    <t xml:space="preserve">Cameron Foster</t>
  </si>
  <si>
    <t xml:space="preserve">TXN-202608-016515</t>
  </si>
  <si>
    <t xml:space="preserve">WL-02734</t>
  </si>
  <si>
    <t xml:space="preserve">Kenneth Lewis</t>
  </si>
  <si>
    <t xml:space="preserve">GRAY HARBOR</t>
  </si>
  <si>
    <t xml:space="preserve">TXN-202608-016568</t>
  </si>
  <si>
    <t xml:space="preserve">VB-0210</t>
  </si>
  <si>
    <t xml:space="preserve">WL-02868</t>
  </si>
  <si>
    <t xml:space="preserve">Michael Lopez</t>
  </si>
  <si>
    <t xml:space="preserve">DRIFT ANN</t>
  </si>
  <si>
    <t xml:space="preserve">TXN-202608-016611</t>
  </si>
  <si>
    <t xml:space="preserve">VB-0211</t>
  </si>
  <si>
    <t xml:space="preserve">TXN-202608-016682</t>
  </si>
  <si>
    <t xml:space="preserve">VB-0212</t>
  </si>
  <si>
    <t xml:space="preserve">WL-02983</t>
  </si>
  <si>
    <t xml:space="preserve">Albert Rodriguez</t>
  </si>
  <si>
    <t xml:space="preserve">TXN-202608-016761</t>
  </si>
  <si>
    <t xml:space="preserve">VB-0213</t>
  </si>
  <si>
    <t xml:space="preserve">WL-01002</t>
  </si>
  <si>
    <t xml:space="preserve">Virginia Ramirez</t>
  </si>
  <si>
    <t xml:space="preserve">TXN-202608-016822</t>
  </si>
  <si>
    <t xml:space="preserve">VB-0214</t>
  </si>
  <si>
    <t xml:space="preserve">WL-01871</t>
  </si>
  <si>
    <t xml:space="preserve">Amber Munoz</t>
  </si>
  <si>
    <t xml:space="preserve">TXN-202608-016902</t>
  </si>
  <si>
    <t xml:space="preserve">VB-0215</t>
  </si>
  <si>
    <t xml:space="preserve">WL-03364</t>
  </si>
  <si>
    <t xml:space="preserve">Brenda Patel</t>
  </si>
  <si>
    <t xml:space="preserve">TXN-202608-016986</t>
  </si>
  <si>
    <t xml:space="preserve">VB-0216</t>
  </si>
  <si>
    <t xml:space="preserve">WL-02253</t>
  </si>
  <si>
    <t xml:space="preserve">Nathan Parker</t>
  </si>
  <si>
    <t xml:space="preserve">TXN-202608-017048</t>
  </si>
  <si>
    <t xml:space="preserve">VB-0217</t>
  </si>
  <si>
    <t xml:space="preserve">WL-03383</t>
  </si>
  <si>
    <t xml:space="preserve">Michelle Potter</t>
  </si>
  <si>
    <t xml:space="preserve">CORMORANT SONG</t>
  </si>
  <si>
    <t xml:space="preserve">TXN-202608-017085</t>
  </si>
  <si>
    <t xml:space="preserve">VB-0218</t>
  </si>
  <si>
    <t xml:space="preserve">WL-02534</t>
  </si>
  <si>
    <t xml:space="preserve">Daniel Erickson</t>
  </si>
  <si>
    <t xml:space="preserve">TXN-202608-017128</t>
  </si>
  <si>
    <t xml:space="preserve">VB-0219</t>
  </si>
  <si>
    <t xml:space="preserve">WL-02980</t>
  </si>
  <si>
    <t xml:space="preserve">Elizabeth Dixon</t>
  </si>
  <si>
    <t xml:space="preserve">TXN-202608-017192</t>
  </si>
  <si>
    <t xml:space="preserve">WL-02537</t>
  </si>
  <si>
    <t xml:space="preserve">Calvin Nelson</t>
  </si>
  <si>
    <t xml:space="preserve">SALISH LIGHT</t>
  </si>
  <si>
    <t xml:space="preserve">TXN-202608-017235</t>
  </si>
  <si>
    <t xml:space="preserve">VB-0221</t>
  </si>
  <si>
    <t xml:space="preserve">WL-01130</t>
  </si>
  <si>
    <t xml:space="preserve">Thomas Davis</t>
  </si>
  <si>
    <t xml:space="preserve">TXN-202608-017306</t>
  </si>
  <si>
    <t xml:space="preserve">WL-02331</t>
  </si>
  <si>
    <t xml:space="preserve">Cassandra Gibbs</t>
  </si>
  <si>
    <t xml:space="preserve">TXN-202608-017366</t>
  </si>
  <si>
    <t xml:space="preserve">WL-02078</t>
  </si>
  <si>
    <t xml:space="preserve">Brian Kramer</t>
  </si>
  <si>
    <t xml:space="preserve">HALIBUT DANCER</t>
  </si>
  <si>
    <t xml:space="preserve">TXN-202608-017445</t>
  </si>
  <si>
    <t xml:space="preserve">WL-01263</t>
  </si>
  <si>
    <t xml:space="preserve">Sandra Goodwin</t>
  </si>
  <si>
    <t xml:space="preserve">TXN-202608-017488</t>
  </si>
  <si>
    <t xml:space="preserve">VB-0302</t>
  </si>
  <si>
    <t xml:space="preserve">WL-01447</t>
  </si>
  <si>
    <t xml:space="preserve">Tim Bailey</t>
  </si>
  <si>
    <t xml:space="preserve">TXN-202608-017533</t>
  </si>
  <si>
    <t xml:space="preserve">VB-0303</t>
  </si>
  <si>
    <t xml:space="preserve">WL-01339</t>
  </si>
  <si>
    <t xml:space="preserve">Robert Houston</t>
  </si>
  <si>
    <t xml:space="preserve">TXN-202608-017584</t>
  </si>
  <si>
    <t xml:space="preserve">WL-01303</t>
  </si>
  <si>
    <t xml:space="preserve">Robert Harmon</t>
  </si>
  <si>
    <t xml:space="preserve">TXN-202608-017650</t>
  </si>
  <si>
    <t xml:space="preserve">VB-0305</t>
  </si>
  <si>
    <t xml:space="preserve">WL-02130</t>
  </si>
  <si>
    <t xml:space="preserve">Sierra Le</t>
  </si>
  <si>
    <t xml:space="preserve">TXN-202608-017703</t>
  </si>
  <si>
    <t xml:space="preserve">TXN-202608-017754</t>
  </si>
  <si>
    <t xml:space="preserve">VB-0307</t>
  </si>
  <si>
    <t xml:space="preserve">WL-01379</t>
  </si>
  <si>
    <t xml:space="preserve">Jacob Wong</t>
  </si>
  <si>
    <t xml:space="preserve">TXN-202608-017806</t>
  </si>
  <si>
    <t xml:space="preserve">VB-0308</t>
  </si>
  <si>
    <t xml:space="preserve">WL-03564</t>
  </si>
  <si>
    <t xml:space="preserve">Amy Hernandez</t>
  </si>
  <si>
    <t xml:space="preserve">TXN-202608-017857</t>
  </si>
  <si>
    <t xml:space="preserve">VB-0309</t>
  </si>
  <si>
    <t xml:space="preserve">WL-02656</t>
  </si>
  <si>
    <t xml:space="preserve">David Horton</t>
  </si>
  <si>
    <t xml:space="preserve">TXN-202608-017903</t>
  </si>
  <si>
    <t xml:space="preserve">VB-0310</t>
  </si>
  <si>
    <t xml:space="preserve">WL-03313</t>
  </si>
  <si>
    <t xml:space="preserve">Jose Jimenez</t>
  </si>
  <si>
    <t xml:space="preserve">TXN-202608-017965</t>
  </si>
  <si>
    <t xml:space="preserve">WL-01760</t>
  </si>
  <si>
    <t xml:space="preserve">Jose Becker</t>
  </si>
  <si>
    <t xml:space="preserve">TXN-202608-018019</t>
  </si>
  <si>
    <t xml:space="preserve">WL-03224</t>
  </si>
  <si>
    <t xml:space="preserve">Catherine Flynn</t>
  </si>
  <si>
    <t xml:space="preserve">TXN-202608-018068</t>
  </si>
  <si>
    <t xml:space="preserve">VB-0314</t>
  </si>
  <si>
    <t xml:space="preserve">TXN-202608-018138</t>
  </si>
  <si>
    <t xml:space="preserve">VB-0315</t>
  </si>
  <si>
    <t xml:space="preserve">WL-03326</t>
  </si>
  <si>
    <t xml:space="preserve">Christopher Brock</t>
  </si>
  <si>
    <t xml:space="preserve">SANDERLING MIST</t>
  </si>
  <si>
    <t xml:space="preserve">TXN-202608-018198</t>
  </si>
  <si>
    <t xml:space="preserve">VB-0316</t>
  </si>
  <si>
    <t xml:space="preserve">WL-03492</t>
  </si>
  <si>
    <t xml:space="preserve">Lisa Hernandez</t>
  </si>
  <si>
    <t xml:space="preserve">TXN-202608-018262</t>
  </si>
  <si>
    <t xml:space="preserve">VB-0317</t>
  </si>
  <si>
    <t xml:space="preserve">TXN-202608-018320</t>
  </si>
  <si>
    <t xml:space="preserve">VB-0318</t>
  </si>
  <si>
    <t xml:space="preserve">WL-02255</t>
  </si>
  <si>
    <t xml:space="preserve">Scott Garcia</t>
  </si>
  <si>
    <t xml:space="preserve">TXN-202608-018400</t>
  </si>
  <si>
    <t xml:space="preserve">VB-0319</t>
  </si>
  <si>
    <t xml:space="preserve">WL-01381</t>
  </si>
  <si>
    <t xml:space="preserve">Michael Dickson</t>
  </si>
  <si>
    <t xml:space="preserve">TXN-202608-018455</t>
  </si>
  <si>
    <t xml:space="preserve">VB-0320</t>
  </si>
  <si>
    <t xml:space="preserve">WL-01254</t>
  </si>
  <si>
    <t xml:space="preserve">Barbara Jones</t>
  </si>
  <si>
    <t xml:space="preserve">PETREL WEATHER</t>
  </si>
  <si>
    <t xml:space="preserve">TXN-202608-018508</t>
  </si>
  <si>
    <t xml:space="preserve">VB-0321</t>
  </si>
  <si>
    <t xml:space="preserve">TXN-202608-018557</t>
  </si>
  <si>
    <t xml:space="preserve">VB-0322</t>
  </si>
  <si>
    <t xml:space="preserve">WL-02256</t>
  </si>
  <si>
    <t xml:space="preserve">Ryan Johnson</t>
  </si>
  <si>
    <t xml:space="preserve">TXN-202608-018617</t>
  </si>
  <si>
    <t xml:space="preserve">VB-0323</t>
  </si>
  <si>
    <t xml:space="preserve">WL-01488</t>
  </si>
  <si>
    <t xml:space="preserve">Stephen Wilcox</t>
  </si>
  <si>
    <t xml:space="preserve">TXN-202608-018669</t>
  </si>
  <si>
    <t xml:space="preserve">VB-0324</t>
  </si>
  <si>
    <t xml:space="preserve">WL-01311</t>
  </si>
  <si>
    <t xml:space="preserve">Michael Fox</t>
  </si>
  <si>
    <t xml:space="preserve">TXN-202608-018725</t>
  </si>
  <si>
    <t xml:space="preserve">VB-0401</t>
  </si>
  <si>
    <t xml:space="preserve">WL-01799</t>
  </si>
  <si>
    <t xml:space="preserve">Robert Johnson</t>
  </si>
  <si>
    <t xml:space="preserve">TXN-202608-018802</t>
  </si>
  <si>
    <t xml:space="preserve">TXN-202608-018865</t>
  </si>
  <si>
    <t xml:space="preserve">VB-0403</t>
  </si>
  <si>
    <t xml:space="preserve">WL-03548</t>
  </si>
  <si>
    <t xml:space="preserve">Michael Clark</t>
  </si>
  <si>
    <t xml:space="preserve">TXN-202608-018940</t>
  </si>
  <si>
    <t xml:space="preserve">VB-0405</t>
  </si>
  <si>
    <t xml:space="preserve">WL-02118</t>
  </si>
  <si>
    <t xml:space="preserve">Matthew Meyer</t>
  </si>
  <si>
    <t xml:space="preserve">SANDERLING WAKE</t>
  </si>
  <si>
    <t xml:space="preserve">TXN-202608-018983</t>
  </si>
  <si>
    <t xml:space="preserve">VB-0406</t>
  </si>
  <si>
    <t xml:space="preserve">WL-01591</t>
  </si>
  <si>
    <t xml:space="preserve">Chad Yang</t>
  </si>
  <si>
    <t xml:space="preserve">TXN-202608-019062</t>
  </si>
  <si>
    <t xml:space="preserve">VB-0407</t>
  </si>
  <si>
    <t xml:space="preserve">WL-02731</t>
  </si>
  <si>
    <t xml:space="preserve">Allison Taylor</t>
  </si>
  <si>
    <t xml:space="preserve">TXN-202608-019137</t>
  </si>
  <si>
    <t xml:space="preserve">VB-0408</t>
  </si>
  <si>
    <t xml:space="preserve">WL-01061</t>
  </si>
  <si>
    <t xml:space="preserve">Casey Smith</t>
  </si>
  <si>
    <t xml:space="preserve">TXN-202608-019207</t>
  </si>
  <si>
    <t xml:space="preserve">TXN-202608-019276</t>
  </si>
  <si>
    <t xml:space="preserve">VB-0410</t>
  </si>
  <si>
    <t xml:space="preserve">WL-02745</t>
  </si>
  <si>
    <t xml:space="preserve">Olivia Baldwin</t>
  </si>
  <si>
    <t xml:space="preserve">TXN-202608-019357</t>
  </si>
  <si>
    <t xml:space="preserve">VB-0411</t>
  </si>
  <si>
    <t xml:space="preserve">WL-02986</t>
  </si>
  <si>
    <t xml:space="preserve">Jaime Hernandez</t>
  </si>
  <si>
    <t xml:space="preserve">TXN-202608-019425</t>
  </si>
  <si>
    <t xml:space="preserve">VB-0412</t>
  </si>
  <si>
    <t xml:space="preserve">WL-02252</t>
  </si>
  <si>
    <t xml:space="preserve">Donald Mitchell</t>
  </si>
  <si>
    <t xml:space="preserve">TXN-202608-019500</t>
  </si>
  <si>
    <t xml:space="preserve">VB-0413</t>
  </si>
  <si>
    <t xml:space="preserve">WL-01014</t>
  </si>
  <si>
    <t xml:space="preserve">Maria Johnson</t>
  </si>
  <si>
    <t xml:space="preserve">TXN-202608-019561</t>
  </si>
  <si>
    <t xml:space="preserve">VB-0414</t>
  </si>
  <si>
    <t xml:space="preserve">WL-03699</t>
  </si>
  <si>
    <t xml:space="preserve">Christopher Duncan</t>
  </si>
  <si>
    <t xml:space="preserve">TXN-202608-019598</t>
  </si>
  <si>
    <t xml:space="preserve">WL-03507</t>
  </si>
  <si>
    <t xml:space="preserve">John Chambers</t>
  </si>
  <si>
    <t xml:space="preserve">TXN-202608-019663</t>
  </si>
  <si>
    <t xml:space="preserve">VB-0416</t>
  </si>
  <si>
    <t xml:space="preserve">WL-03602</t>
  </si>
  <si>
    <t xml:space="preserve">Michael Horne</t>
  </si>
  <si>
    <t xml:space="preserve">SEAL MIST</t>
  </si>
  <si>
    <t xml:space="preserve">TXN-202608-019720</t>
  </si>
  <si>
    <t xml:space="preserve">VB-0417</t>
  </si>
  <si>
    <t xml:space="preserve">WL-03358</t>
  </si>
  <si>
    <t xml:space="preserve">Jeremiah Cruz</t>
  </si>
  <si>
    <t xml:space="preserve">TXN-202608-019788</t>
  </si>
  <si>
    <t xml:space="preserve">VB-0418</t>
  </si>
  <si>
    <t xml:space="preserve">WL-03210</t>
  </si>
  <si>
    <t xml:space="preserve">James Calderon</t>
  </si>
  <si>
    <t xml:space="preserve">TXN-202608-019868</t>
  </si>
  <si>
    <t xml:space="preserve">VB-0419</t>
  </si>
  <si>
    <t xml:space="preserve">WL-03884</t>
  </si>
  <si>
    <t xml:space="preserve">Lindsay Williams</t>
  </si>
  <si>
    <t xml:space="preserve">TXN-202608-019949</t>
  </si>
  <si>
    <t xml:space="preserve">VB-0420</t>
  </si>
  <si>
    <t xml:space="preserve">WL-01215</t>
  </si>
  <si>
    <t xml:space="preserve">David Harris</t>
  </si>
  <si>
    <t xml:space="preserve">TXN-202608-020031</t>
  </si>
  <si>
    <t xml:space="preserve">VB-0422</t>
  </si>
  <si>
    <t xml:space="preserve">WL-03830</t>
  </si>
  <si>
    <t xml:space="preserve">Erica Smith</t>
  </si>
  <si>
    <t xml:space="preserve">CORMORANT DANCER</t>
  </si>
  <si>
    <t xml:space="preserve">TXN-202608-020087</t>
  </si>
  <si>
    <t xml:space="preserve">VB-0423</t>
  </si>
  <si>
    <t xml:space="preserve">TXN-202608-020126</t>
  </si>
  <si>
    <t xml:space="preserve">VB-0424</t>
  </si>
  <si>
    <t xml:space="preserve">WL-02816</t>
  </si>
  <si>
    <t xml:space="preserve">Joel Chang</t>
  </si>
  <si>
    <t xml:space="preserve">BRANT HARBOR</t>
  </si>
  <si>
    <t xml:space="preserve">TXN-202608-020181</t>
  </si>
  <si>
    <t xml:space="preserve">VB-0501</t>
  </si>
  <si>
    <t xml:space="preserve">WL-03576</t>
  </si>
  <si>
    <t xml:space="preserve">Aimee Cooper</t>
  </si>
  <si>
    <t xml:space="preserve">TXN-202608-020253</t>
  </si>
  <si>
    <t xml:space="preserve">VB-0502</t>
  </si>
  <si>
    <t xml:space="preserve">WL-02127</t>
  </si>
  <si>
    <t xml:space="preserve">Kimberly Gomez</t>
  </si>
  <si>
    <t xml:space="preserve">TXN-202608-020310</t>
  </si>
  <si>
    <t xml:space="preserve">WL-03734</t>
  </si>
  <si>
    <t xml:space="preserve">Erin Lewis</t>
  </si>
  <si>
    <t xml:space="preserve">TXN-202608-020377</t>
  </si>
  <si>
    <t xml:space="preserve">VB-0505</t>
  </si>
  <si>
    <t xml:space="preserve">WL-03343</t>
  </si>
  <si>
    <t xml:space="preserve">Justin Mckinney</t>
  </si>
  <si>
    <t xml:space="preserve">TXN-202608-020417</t>
  </si>
  <si>
    <t xml:space="preserve">VB-0506</t>
  </si>
  <si>
    <t xml:space="preserve">WL-03154</t>
  </si>
  <si>
    <t xml:space="preserve">Michael Stevens</t>
  </si>
  <si>
    <t xml:space="preserve">TXN-202608-020480</t>
  </si>
  <si>
    <t xml:space="preserve">WL-01541</t>
  </si>
  <si>
    <t xml:space="preserve">Rhonda Johnson</t>
  </si>
  <si>
    <t xml:space="preserve">TXN-202608-020550</t>
  </si>
  <si>
    <t xml:space="preserve">VB-0508</t>
  </si>
  <si>
    <t xml:space="preserve">WL-01834</t>
  </si>
  <si>
    <t xml:space="preserve">Kevin Baker</t>
  </si>
  <si>
    <t xml:space="preserve">WIDGEON GLIDE</t>
  </si>
  <si>
    <t xml:space="preserve">TXN-202608-020609</t>
  </si>
  <si>
    <t xml:space="preserve">VB-0509</t>
  </si>
  <si>
    <t xml:space="preserve">WL-02326</t>
  </si>
  <si>
    <t xml:space="preserve">Debra Blackwell</t>
  </si>
  <si>
    <t xml:space="preserve">TXN-202608-020671</t>
  </si>
  <si>
    <t xml:space="preserve">VB-0510</t>
  </si>
  <si>
    <t xml:space="preserve">TXN-202608-020741</t>
  </si>
  <si>
    <t xml:space="preserve">VB-0511</t>
  </si>
  <si>
    <t xml:space="preserve">WL-02036</t>
  </si>
  <si>
    <t xml:space="preserve">Susan Miller</t>
  </si>
  <si>
    <t xml:space="preserve">TXN-202608-020819</t>
  </si>
  <si>
    <t xml:space="preserve">WL-02592</t>
  </si>
  <si>
    <t xml:space="preserve">Stacy Hernandez</t>
  </si>
  <si>
    <t xml:space="preserve">TXN-202608-020854</t>
  </si>
  <si>
    <t xml:space="preserve">VB-0513</t>
  </si>
  <si>
    <t xml:space="preserve">WL-01169</t>
  </si>
  <si>
    <t xml:space="preserve">Cheyenne Kim</t>
  </si>
  <si>
    <t xml:space="preserve">TXN-202608-020904</t>
  </si>
  <si>
    <t xml:space="preserve">VB-0514</t>
  </si>
  <si>
    <t xml:space="preserve">WL-03262</t>
  </si>
  <si>
    <t xml:space="preserve">Melissa Kerr</t>
  </si>
  <si>
    <t xml:space="preserve">TXN-202608-020943</t>
  </si>
  <si>
    <t xml:space="preserve">VB-0515</t>
  </si>
  <si>
    <t xml:space="preserve">WL-02590</t>
  </si>
  <si>
    <t xml:space="preserve">Thomas Anderson</t>
  </si>
  <si>
    <t xml:space="preserve">TXN-202608-021014</t>
  </si>
  <si>
    <t xml:space="preserve">WL-03489</t>
  </si>
  <si>
    <t xml:space="preserve">Alec Padilla</t>
  </si>
  <si>
    <t xml:space="preserve">POINT STAR</t>
  </si>
  <si>
    <t xml:space="preserve">TXN-202608-021057</t>
  </si>
  <si>
    <t xml:space="preserve">WL-01561</t>
  </si>
  <si>
    <t xml:space="preserve">Brandon Jacobs</t>
  </si>
  <si>
    <t xml:space="preserve">TXN-202608-021124</t>
  </si>
  <si>
    <t xml:space="preserve">VB-0519</t>
  </si>
  <si>
    <t xml:space="preserve">WL-02751</t>
  </si>
  <si>
    <t xml:space="preserve">Tracy Austin</t>
  </si>
  <si>
    <t xml:space="preserve">TXN-202608-021195</t>
  </si>
  <si>
    <t xml:space="preserve">VB-0520</t>
  </si>
  <si>
    <t xml:space="preserve">WL-03010</t>
  </si>
  <si>
    <t xml:space="preserve">Anthony Fleming</t>
  </si>
  <si>
    <t xml:space="preserve">TXN-202608-021264</t>
  </si>
  <si>
    <t xml:space="preserve">TIDE FLATS</t>
  </si>
  <si>
    <t xml:space="preserve">TXN-202608-021330</t>
  </si>
  <si>
    <t xml:space="preserve">VB-0522</t>
  </si>
  <si>
    <t xml:space="preserve">WL-03485</t>
  </si>
  <si>
    <t xml:space="preserve">Timothy Moon</t>
  </si>
  <si>
    <t xml:space="preserve">TXN-202608-021373</t>
  </si>
  <si>
    <t xml:space="preserve">VB-0523</t>
  </si>
  <si>
    <t xml:space="preserve">WL-01927</t>
  </si>
  <si>
    <t xml:space="preserve">Mark Mclaughlin</t>
  </si>
  <si>
    <t xml:space="preserve">TXN-202608-021442</t>
  </si>
  <si>
    <t xml:space="preserve">VB-0524</t>
  </si>
  <si>
    <t xml:space="preserve">WL-02787</t>
  </si>
  <si>
    <t xml:space="preserve">David Dawson</t>
  </si>
  <si>
    <t xml:space="preserve">TXN-202608-021527</t>
  </si>
  <si>
    <t xml:space="preserve">WL-01730</t>
  </si>
  <si>
    <t xml:space="preserve">Charles Sparks</t>
  </si>
  <si>
    <t xml:space="preserve">SANDERLING ROSE</t>
  </si>
  <si>
    <t xml:space="preserve">TXN-202608-021568</t>
  </si>
  <si>
    <t xml:space="preserve">WL-03241</t>
  </si>
  <si>
    <t xml:space="preserve">Michael Ford</t>
  </si>
  <si>
    <t xml:space="preserve">TXN-202608-021618</t>
  </si>
  <si>
    <t xml:space="preserve">VB-0603</t>
  </si>
  <si>
    <t xml:space="preserve">TXN-202608-021670</t>
  </si>
  <si>
    <t xml:space="preserve">WL-01999</t>
  </si>
  <si>
    <t xml:space="preserve">Kristen Williams</t>
  </si>
  <si>
    <t xml:space="preserve">TXN-202608-021707</t>
  </si>
  <si>
    <t xml:space="preserve">VB-0605</t>
  </si>
  <si>
    <t xml:space="preserve">BRANT BAY</t>
  </si>
  <si>
    <t xml:space="preserve">TXN-202608-021751</t>
  </si>
  <si>
    <t xml:space="preserve">VB-0606</t>
  </si>
  <si>
    <t xml:space="preserve">TXN-202608-021833</t>
  </si>
  <si>
    <t xml:space="preserve">VB-0607</t>
  </si>
  <si>
    <t xml:space="preserve">WL-01590</t>
  </si>
  <si>
    <t xml:space="preserve">Cynthia Gutierrez</t>
  </si>
  <si>
    <t xml:space="preserve">TXN-202608-021913</t>
  </si>
  <si>
    <t xml:space="preserve">VB-0609</t>
  </si>
  <si>
    <t xml:space="preserve">WL-01547</t>
  </si>
  <si>
    <t xml:space="preserve">Nicole Burke</t>
  </si>
  <si>
    <t xml:space="preserve">TXN-202608-021980</t>
  </si>
  <si>
    <t xml:space="preserve">VB-0610</t>
  </si>
  <si>
    <t xml:space="preserve">WL-03058</t>
  </si>
  <si>
    <t xml:space="preserve">Mary Thomas</t>
  </si>
  <si>
    <t xml:space="preserve">TXN-202608-022062</t>
  </si>
  <si>
    <t xml:space="preserve">VB-0611</t>
  </si>
  <si>
    <t xml:space="preserve">WL-01330</t>
  </si>
  <si>
    <t xml:space="preserve">Mark Flynn</t>
  </si>
  <si>
    <t xml:space="preserve">GRAY CREST</t>
  </si>
  <si>
    <t xml:space="preserve">TXN-202608-022115</t>
  </si>
  <si>
    <t xml:space="preserve">VB-0612</t>
  </si>
  <si>
    <t xml:space="preserve">WL-03873</t>
  </si>
  <si>
    <t xml:space="preserve">Michele Clay</t>
  </si>
  <si>
    <t xml:space="preserve">TXN-202608-022168</t>
  </si>
  <si>
    <t xml:space="preserve">VB-0613</t>
  </si>
  <si>
    <t xml:space="preserve">WL-02467</t>
  </si>
  <si>
    <t xml:space="preserve">Joseph Davis</t>
  </si>
  <si>
    <t xml:space="preserve">POINT LINE</t>
  </si>
  <si>
    <t xml:space="preserve">TXN-202608-022231</t>
  </si>
  <si>
    <t xml:space="preserve">VB-0614</t>
  </si>
  <si>
    <t xml:space="preserve">TXN-202608-022302</t>
  </si>
  <si>
    <t xml:space="preserve">VB-0615</t>
  </si>
  <si>
    <t xml:space="preserve">WL-02699</t>
  </si>
  <si>
    <t xml:space="preserve">Sharon Gonzales</t>
  </si>
  <si>
    <t xml:space="preserve">TXN-202608-022352</t>
  </si>
  <si>
    <t xml:space="preserve">VB-0616</t>
  </si>
  <si>
    <t xml:space="preserve">WL-01627</t>
  </si>
  <si>
    <t xml:space="preserve">Paige Cherry</t>
  </si>
  <si>
    <t xml:space="preserve">TXN-202608-022429</t>
  </si>
  <si>
    <t xml:space="preserve">WL-02887</t>
  </si>
  <si>
    <t xml:space="preserve">Shelly Mayer</t>
  </si>
  <si>
    <t xml:space="preserve">TXN-202608-022511</t>
  </si>
  <si>
    <t xml:space="preserve">VB-0618</t>
  </si>
  <si>
    <t xml:space="preserve">WL-02828</t>
  </si>
  <si>
    <t xml:space="preserve">Desiree Olsen</t>
  </si>
  <si>
    <t xml:space="preserve">ANCHOR LINE</t>
  </si>
  <si>
    <t xml:space="preserve">TXN-202608-022571</t>
  </si>
  <si>
    <t xml:space="preserve">WL-01841</t>
  </si>
  <si>
    <t xml:space="preserve">Arthur Jones</t>
  </si>
  <si>
    <t xml:space="preserve">TXN-202608-022636</t>
  </si>
  <si>
    <t xml:space="preserve">WL-01226</t>
  </si>
  <si>
    <t xml:space="preserve">Phyllis Vargas</t>
  </si>
  <si>
    <t xml:space="preserve">TXN-202608-022704</t>
  </si>
  <si>
    <t xml:space="preserve">VB-0621</t>
  </si>
  <si>
    <t xml:space="preserve">WL-01275</t>
  </si>
  <si>
    <t xml:space="preserve">Adam Shepherd</t>
  </si>
  <si>
    <t xml:space="preserve">TXN-202608-022757</t>
  </si>
  <si>
    <t xml:space="preserve">VB-0622</t>
  </si>
  <si>
    <t xml:space="preserve">WL-01083</t>
  </si>
  <si>
    <t xml:space="preserve">Dennis Schmidt</t>
  </si>
  <si>
    <t xml:space="preserve">OTTER CREST</t>
  </si>
  <si>
    <t xml:space="preserve">TXN-202608-022809</t>
  </si>
  <si>
    <t xml:space="preserve">VB-0623</t>
  </si>
  <si>
    <t xml:space="preserve">WL-02748</t>
  </si>
  <si>
    <t xml:space="preserve">Ross Griffin</t>
  </si>
  <si>
    <t xml:space="preserve">TXN-202608-022846</t>
  </si>
  <si>
    <t xml:space="preserve">VB-0624</t>
  </si>
  <si>
    <t xml:space="preserve">WL-03304</t>
  </si>
  <si>
    <t xml:space="preserve">Heather Brown</t>
  </si>
  <si>
    <t xml:space="preserve">TXN-202608-022928</t>
  </si>
  <si>
    <t xml:space="preserve">VB-0701</t>
  </si>
  <si>
    <t xml:space="preserve">WL-02201</t>
  </si>
  <si>
    <t xml:space="preserve">Johnathan Gould</t>
  </si>
  <si>
    <t xml:space="preserve">PINTAIL ROSE</t>
  </si>
  <si>
    <t xml:space="preserve">TXN-202608-022993</t>
  </si>
  <si>
    <t xml:space="preserve">VB-0703</t>
  </si>
  <si>
    <t xml:space="preserve">WL-01897</t>
  </si>
  <si>
    <t xml:space="preserve">Raymond Davis</t>
  </si>
  <si>
    <t xml:space="preserve">TXN-202608-023071</t>
  </si>
  <si>
    <t xml:space="preserve">VB-0704</t>
  </si>
  <si>
    <t xml:space="preserve">WL-02737</t>
  </si>
  <si>
    <t xml:space="preserve">Kimberly Crosby</t>
  </si>
  <si>
    <t xml:space="preserve">FOUL SHORE</t>
  </si>
  <si>
    <t xml:space="preserve">TXN-202608-023148</t>
  </si>
  <si>
    <t xml:space="preserve">WL-02998</t>
  </si>
  <si>
    <t xml:space="preserve">Luis Bradley</t>
  </si>
  <si>
    <t xml:space="preserve">TXN-202608-023204</t>
  </si>
  <si>
    <t xml:space="preserve">VB-0706</t>
  </si>
  <si>
    <t xml:space="preserve">WL-02627</t>
  </si>
  <si>
    <t xml:space="preserve">Cynthia Campbell</t>
  </si>
  <si>
    <t xml:space="preserve">TXN-202608-023276</t>
  </si>
  <si>
    <t xml:space="preserve">TXN-202608-023322</t>
  </si>
  <si>
    <t xml:space="preserve">VB-0708</t>
  </si>
  <si>
    <t xml:space="preserve">WL-01549</t>
  </si>
  <si>
    <t xml:space="preserve">Zachary Wilson</t>
  </si>
  <si>
    <t xml:space="preserve">FOUL QUEEN</t>
  </si>
  <si>
    <t xml:space="preserve">TXN-202608-023395</t>
  </si>
  <si>
    <t xml:space="preserve">VB-0709</t>
  </si>
  <si>
    <t xml:space="preserve">WL-03117</t>
  </si>
  <si>
    <t xml:space="preserve">Stephanie Hawkins</t>
  </si>
  <si>
    <t xml:space="preserve">TXN-202608-023466</t>
  </si>
  <si>
    <t xml:space="preserve">VB-0710</t>
  </si>
  <si>
    <t xml:space="preserve">WL-01146</t>
  </si>
  <si>
    <t xml:space="preserve">Jessica English</t>
  </si>
  <si>
    <t xml:space="preserve">TXN-202608-023520</t>
  </si>
  <si>
    <t xml:space="preserve">VB-0711</t>
  </si>
  <si>
    <t xml:space="preserve">WL-03156</t>
  </si>
  <si>
    <t xml:space="preserve">Stephen Riley</t>
  </si>
  <si>
    <t xml:space="preserve">TXN-202608-023563</t>
  </si>
  <si>
    <t xml:space="preserve">VB-0712</t>
  </si>
  <si>
    <t xml:space="preserve">WL-03530</t>
  </si>
  <si>
    <t xml:space="preserve">Jay Dominguez</t>
  </si>
  <si>
    <t xml:space="preserve">TXN-202608-023629</t>
  </si>
  <si>
    <t xml:space="preserve">VB-0713</t>
  </si>
  <si>
    <t xml:space="preserve">WL-01276</t>
  </si>
  <si>
    <t xml:space="preserve">Nicole Fritz</t>
  </si>
  <si>
    <t xml:space="preserve">TXN-202608-023683</t>
  </si>
  <si>
    <t xml:space="preserve">VB-0714</t>
  </si>
  <si>
    <t xml:space="preserve">WL-02262</t>
  </si>
  <si>
    <t xml:space="preserve">James Rice</t>
  </si>
  <si>
    <t xml:space="preserve">FOUL SOUND</t>
  </si>
  <si>
    <t xml:space="preserve">TXN-202608-023748</t>
  </si>
  <si>
    <t xml:space="preserve">VB-0715</t>
  </si>
  <si>
    <t xml:space="preserve">KESTREL DANCER</t>
  </si>
  <si>
    <t xml:space="preserve">TXN-202608-023824</t>
  </si>
  <si>
    <t xml:space="preserve">VB-0716</t>
  </si>
  <si>
    <t xml:space="preserve">WL-02482</t>
  </si>
  <si>
    <t xml:space="preserve">Emily Taylor</t>
  </si>
  <si>
    <t xml:space="preserve">TXN-202608-023899</t>
  </si>
  <si>
    <t xml:space="preserve">WL-01515</t>
  </si>
  <si>
    <t xml:space="preserve">Andrea Simpson</t>
  </si>
  <si>
    <t xml:space="preserve">OSPREY STAR</t>
  </si>
  <si>
    <t xml:space="preserve">TXN-202608-023969</t>
  </si>
  <si>
    <t xml:space="preserve">VB-0718</t>
  </si>
  <si>
    <t xml:space="preserve">WL-02670</t>
  </si>
  <si>
    <t xml:space="preserve">Sara Hamilton</t>
  </si>
  <si>
    <t xml:space="preserve">TXN-202608-024052</t>
  </si>
  <si>
    <t xml:space="preserve">WL-01748</t>
  </si>
  <si>
    <t xml:space="preserve">Daniel Brown</t>
  </si>
  <si>
    <t xml:space="preserve">SANDERLING LINE</t>
  </si>
  <si>
    <t xml:space="preserve">TXN-202608-024133</t>
  </si>
  <si>
    <t xml:space="preserve">WL-01043</t>
  </si>
  <si>
    <t xml:space="preserve">Diane James</t>
  </si>
  <si>
    <t xml:space="preserve">KESTREL HARBOR</t>
  </si>
  <si>
    <t xml:space="preserve">TXN-202608-024196</t>
  </si>
  <si>
    <t xml:space="preserve">WL-01272</t>
  </si>
  <si>
    <t xml:space="preserve">Christopher Dixon</t>
  </si>
  <si>
    <t xml:space="preserve">BRANT SHORE</t>
  </si>
  <si>
    <t xml:space="preserve">TXN-202608-024248</t>
  </si>
  <si>
    <t xml:space="preserve">VB-0722</t>
  </si>
  <si>
    <t xml:space="preserve">WL-03066</t>
  </si>
  <si>
    <t xml:space="preserve">Shawna Cain</t>
  </si>
  <si>
    <t xml:space="preserve">TXN-202608-024314</t>
  </si>
  <si>
    <t xml:space="preserve">VB-0723</t>
  </si>
  <si>
    <t xml:space="preserve">WL-03192</t>
  </si>
  <si>
    <t xml:space="preserve">Aaron Johnson</t>
  </si>
  <si>
    <t xml:space="preserve">COHO LIGHT</t>
  </si>
  <si>
    <t xml:space="preserve">TXN-202608-024390</t>
  </si>
  <si>
    <t xml:space="preserve">VB-0724</t>
  </si>
  <si>
    <t xml:space="preserve">WL-02714</t>
  </si>
  <si>
    <t xml:space="preserve">Mitchell Sanchez</t>
  </si>
  <si>
    <t xml:space="preserve">TXN-202608-024453</t>
  </si>
  <si>
    <t xml:space="preserve">VB-0801</t>
  </si>
  <si>
    <t xml:space="preserve">WL-01099</t>
  </si>
  <si>
    <t xml:space="preserve">Joseph Cooper</t>
  </si>
  <si>
    <t xml:space="preserve">TXN-202608-024528</t>
  </si>
  <si>
    <t xml:space="preserve">VB-0802</t>
  </si>
  <si>
    <t xml:space="preserve">WL-03073</t>
  </si>
  <si>
    <t xml:space="preserve">Donna Silva</t>
  </si>
  <si>
    <t xml:space="preserve">TXN-202608-024575</t>
  </si>
  <si>
    <t xml:space="preserve">VB-0803</t>
  </si>
  <si>
    <t xml:space="preserve">TXN-202608-024658</t>
  </si>
  <si>
    <t xml:space="preserve">WL-02837</t>
  </si>
  <si>
    <t xml:space="preserve">Tara Elliott</t>
  </si>
  <si>
    <t xml:space="preserve">TXN-202608-024724</t>
  </si>
  <si>
    <t xml:space="preserve">WL-03293</t>
  </si>
  <si>
    <t xml:space="preserve">Laurie Huerta</t>
  </si>
  <si>
    <t xml:space="preserve">PETREL DANCER</t>
  </si>
  <si>
    <t xml:space="preserve">TXN-202608-024764</t>
  </si>
  <si>
    <t xml:space="preserve">VB-0806</t>
  </si>
  <si>
    <t xml:space="preserve">WL-01493</t>
  </si>
  <si>
    <t xml:space="preserve">Jean Guerra</t>
  </si>
  <si>
    <t xml:space="preserve">OTTER VEER</t>
  </si>
  <si>
    <t xml:space="preserve">TXN-202608-024806</t>
  </si>
  <si>
    <t xml:space="preserve">VB-0807</t>
  </si>
  <si>
    <t xml:space="preserve">WL-01492</t>
  </si>
  <si>
    <t xml:space="preserve">TXN-202608-024843</t>
  </si>
  <si>
    <t xml:space="preserve">WL-03837</t>
  </si>
  <si>
    <t xml:space="preserve">John Griffith</t>
  </si>
  <si>
    <t xml:space="preserve">TXN-202608-024925</t>
  </si>
  <si>
    <t xml:space="preserve">WL-03458</t>
  </si>
  <si>
    <t xml:space="preserve">Brittany Wells</t>
  </si>
  <si>
    <t xml:space="preserve">TXN-202608-024985</t>
  </si>
  <si>
    <t xml:space="preserve">VB-0811</t>
  </si>
  <si>
    <t xml:space="preserve">WL-02419</t>
  </si>
  <si>
    <t xml:space="preserve">Cameron Aguirre</t>
  </si>
  <si>
    <t xml:space="preserve">TXN-202608-025051</t>
  </si>
  <si>
    <t xml:space="preserve">VB-0812</t>
  </si>
  <si>
    <t xml:space="preserve">WL-02636</t>
  </si>
  <si>
    <t xml:space="preserve">Andrew Young</t>
  </si>
  <si>
    <t xml:space="preserve">TXN-202608-025106</t>
  </si>
  <si>
    <t xml:space="preserve">WL-03132</t>
  </si>
  <si>
    <t xml:space="preserve">David Fox</t>
  </si>
  <si>
    <t xml:space="preserve">TXN-202608-025180</t>
  </si>
  <si>
    <t xml:space="preserve">VB-0814</t>
  </si>
  <si>
    <t xml:space="preserve">WL-03609</t>
  </si>
  <si>
    <t xml:space="preserve">Daniel Dunn</t>
  </si>
  <si>
    <t xml:space="preserve">TXN-202608-025221</t>
  </si>
  <si>
    <t xml:space="preserve">VB-0815</t>
  </si>
  <si>
    <t xml:space="preserve">WL-01850</t>
  </si>
  <si>
    <t xml:space="preserve">Bryce Benjamin</t>
  </si>
  <si>
    <t xml:space="preserve">TXN-202608-025274</t>
  </si>
  <si>
    <t xml:space="preserve">VB-0816</t>
  </si>
  <si>
    <t xml:space="preserve">WL-02825</t>
  </si>
  <si>
    <t xml:space="preserve">Dustin Watkins</t>
  </si>
  <si>
    <t xml:space="preserve">SEAL CREST</t>
  </si>
  <si>
    <t xml:space="preserve">TXN-202608-025342</t>
  </si>
  <si>
    <t xml:space="preserve">VB-0817</t>
  </si>
  <si>
    <t xml:space="preserve">WL-02072</t>
  </si>
  <si>
    <t xml:space="preserve">Stephen Hoffman</t>
  </si>
  <si>
    <t xml:space="preserve">TXN-202608-025421</t>
  </si>
  <si>
    <t xml:space="preserve">VB-0818</t>
  </si>
  <si>
    <t xml:space="preserve">WL-01501</t>
  </si>
  <si>
    <t xml:space="preserve">Thomas Levine</t>
  </si>
  <si>
    <t xml:space="preserve">TXN-202608-025469</t>
  </si>
  <si>
    <t xml:space="preserve">VB-0819</t>
  </si>
  <si>
    <t xml:space="preserve">WL-03202</t>
  </si>
  <si>
    <t xml:space="preserve">TXN-202608-025515</t>
  </si>
  <si>
    <t xml:space="preserve">WL-01842</t>
  </si>
  <si>
    <t xml:space="preserve">Amy Thomas</t>
  </si>
  <si>
    <t xml:space="preserve">TXN-202608-025599</t>
  </si>
  <si>
    <t xml:space="preserve">VB-0821</t>
  </si>
  <si>
    <t xml:space="preserve">TXN-202608-025654</t>
  </si>
  <si>
    <t xml:space="preserve">VB-0822</t>
  </si>
  <si>
    <t xml:space="preserve">WL-01320</t>
  </si>
  <si>
    <t xml:space="preserve">Jesse Jennings</t>
  </si>
  <si>
    <t xml:space="preserve">TXN-202608-025726</t>
  </si>
  <si>
    <t xml:space="preserve">VB-0823</t>
  </si>
  <si>
    <t xml:space="preserve">WL-01903</t>
  </si>
  <si>
    <t xml:space="preserve">Andrea Brady</t>
  </si>
  <si>
    <t xml:space="preserve">TXN-202608-025778</t>
  </si>
  <si>
    <t xml:space="preserve">VB-0901</t>
  </si>
  <si>
    <t xml:space="preserve">TXN-202608-025851</t>
  </si>
  <si>
    <t xml:space="preserve">VB-0902</t>
  </si>
  <si>
    <t xml:space="preserve">WL-01273</t>
  </si>
  <si>
    <t xml:space="preserve">Eduardo Henry</t>
  </si>
  <si>
    <t xml:space="preserve">TXN-202608-025912</t>
  </si>
  <si>
    <t xml:space="preserve">VB-0903</t>
  </si>
  <si>
    <t xml:space="preserve">WL-02456</t>
  </si>
  <si>
    <t xml:space="preserve">Madeline Nunez</t>
  </si>
  <si>
    <t xml:space="preserve">TXN-202608-025972</t>
  </si>
  <si>
    <t xml:space="preserve">WL-02354</t>
  </si>
  <si>
    <t xml:space="preserve">Makayla Sanchez</t>
  </si>
  <si>
    <t xml:space="preserve">TXN-202608-026052</t>
  </si>
  <si>
    <t xml:space="preserve">VB-0905</t>
  </si>
  <si>
    <t xml:space="preserve">WL-03101</t>
  </si>
  <si>
    <t xml:space="preserve">Kristie Cunningham</t>
  </si>
  <si>
    <t xml:space="preserve">TXN-202608-026105</t>
  </si>
  <si>
    <t xml:space="preserve">TXN-202608-026174</t>
  </si>
  <si>
    <t xml:space="preserve">VB-0907</t>
  </si>
  <si>
    <t xml:space="preserve">WL-03855</t>
  </si>
  <si>
    <t xml:space="preserve">Peggy Solomon</t>
  </si>
  <si>
    <t xml:space="preserve">SABLE CREST</t>
  </si>
  <si>
    <t xml:space="preserve">TXN-202608-026249</t>
  </si>
  <si>
    <t xml:space="preserve">VB-0908</t>
  </si>
  <si>
    <t xml:space="preserve">TXN-202608-026315</t>
  </si>
  <si>
    <t xml:space="preserve">VB-0909</t>
  </si>
  <si>
    <t xml:space="preserve">WL-02313</t>
  </si>
  <si>
    <t xml:space="preserve">Aaron Bell</t>
  </si>
  <si>
    <t xml:space="preserve">TXN-202608-026383</t>
  </si>
  <si>
    <t xml:space="preserve">VB-0910</t>
  </si>
  <si>
    <t xml:space="preserve">WL-03308</t>
  </si>
  <si>
    <t xml:space="preserve">Tanya Hunt</t>
  </si>
  <si>
    <t xml:space="preserve">SCOTER ROSE</t>
  </si>
  <si>
    <t xml:space="preserve">TXN-202608-026438</t>
  </si>
  <si>
    <t xml:space="preserve">VB-0911</t>
  </si>
  <si>
    <t xml:space="preserve">WL-01513</t>
  </si>
  <si>
    <t xml:space="preserve">Jennifer Thomas</t>
  </si>
  <si>
    <t xml:space="preserve">TXN-202608-026488</t>
  </si>
  <si>
    <t xml:space="preserve">WL-01027</t>
  </si>
  <si>
    <t xml:space="preserve">Rachel Jones</t>
  </si>
  <si>
    <t xml:space="preserve">SEAL ANN</t>
  </si>
  <si>
    <t xml:space="preserve">TXN-202608-026527</t>
  </si>
  <si>
    <t xml:space="preserve">VB-0913</t>
  </si>
  <si>
    <t xml:space="preserve">WL-03838</t>
  </si>
  <si>
    <t xml:space="preserve">Sean Cruz</t>
  </si>
  <si>
    <t xml:space="preserve">TXN-202608-026582</t>
  </si>
  <si>
    <t xml:space="preserve">VB-0914</t>
  </si>
  <si>
    <t xml:space="preserve">WL-02950</t>
  </si>
  <si>
    <t xml:space="preserve">Travis Young</t>
  </si>
  <si>
    <t xml:space="preserve">TXN-202608-026661</t>
  </si>
  <si>
    <t xml:space="preserve">VB-0915</t>
  </si>
  <si>
    <t xml:space="preserve">WL-02424</t>
  </si>
  <si>
    <t xml:space="preserve">Jessica Nguyen</t>
  </si>
  <si>
    <t xml:space="preserve">TXN-202608-026739</t>
  </si>
  <si>
    <t xml:space="preserve">WL-01194</t>
  </si>
  <si>
    <t xml:space="preserve">Kathryn Munoz</t>
  </si>
  <si>
    <t xml:space="preserve">TXN-202608-026792</t>
  </si>
  <si>
    <t xml:space="preserve">WL-03422</t>
  </si>
  <si>
    <t xml:space="preserve">Robin Jones</t>
  </si>
  <si>
    <t xml:space="preserve">TXN-202608-026843</t>
  </si>
  <si>
    <t xml:space="preserve">VB-0918</t>
  </si>
  <si>
    <t xml:space="preserve">WL-03033</t>
  </si>
  <si>
    <t xml:space="preserve">Brian Sellers</t>
  </si>
  <si>
    <t xml:space="preserve">TXN-202608-026923</t>
  </si>
  <si>
    <t xml:space="preserve">VB-0919</t>
  </si>
  <si>
    <t xml:space="preserve">WL-03091</t>
  </si>
  <si>
    <t xml:space="preserve">Sandra Barber</t>
  </si>
  <si>
    <t xml:space="preserve">TXN-202608-026985</t>
  </si>
  <si>
    <t xml:space="preserve">VB-0920</t>
  </si>
  <si>
    <t xml:space="preserve">WL-02265</t>
  </si>
  <si>
    <t xml:space="preserve">Kimberly Bailey</t>
  </si>
  <si>
    <t xml:space="preserve">TXN-202608-027025</t>
  </si>
  <si>
    <t xml:space="preserve">VB-0921</t>
  </si>
  <si>
    <t xml:space="preserve">WL-03544</t>
  </si>
  <si>
    <t xml:space="preserve">TXN-202608-027066</t>
  </si>
  <si>
    <t xml:space="preserve">VB-0923</t>
  </si>
  <si>
    <t xml:space="preserve">WL-02666</t>
  </si>
  <si>
    <t xml:space="preserve">Amber Liu</t>
  </si>
  <si>
    <t xml:space="preserve">TXN-202608-027119</t>
  </si>
  <si>
    <t xml:space="preserve">WL-03176</t>
  </si>
  <si>
    <t xml:space="preserve">Elizabeth Kelly</t>
  </si>
  <si>
    <t xml:space="preserve">TXN-202608-027201</t>
  </si>
  <si>
    <t xml:space="preserve">VB-1001</t>
  </si>
  <si>
    <t xml:space="preserve">WL-03801</t>
  </si>
  <si>
    <t xml:space="preserve">Brian Robertson</t>
  </si>
  <si>
    <t xml:space="preserve">TXN-202608-027264</t>
  </si>
  <si>
    <t xml:space="preserve">VB-1002</t>
  </si>
  <si>
    <t xml:space="preserve">WL-02902</t>
  </si>
  <si>
    <t xml:space="preserve">Lorraine Schultz</t>
  </si>
  <si>
    <t xml:space="preserve">TXN-202608-027309</t>
  </si>
  <si>
    <t xml:space="preserve">VB-1004</t>
  </si>
  <si>
    <t xml:space="preserve">WL-03765</t>
  </si>
  <si>
    <t xml:space="preserve">Joel Schmidt</t>
  </si>
  <si>
    <t xml:space="preserve">TXN-202608-027352</t>
  </si>
  <si>
    <t xml:space="preserve">VB-1005</t>
  </si>
  <si>
    <t xml:space="preserve">WL-01874</t>
  </si>
  <si>
    <t xml:space="preserve">Glenda Williams</t>
  </si>
  <si>
    <t xml:space="preserve">TXN-202608-027398</t>
  </si>
  <si>
    <t xml:space="preserve">VB-1006</t>
  </si>
  <si>
    <t xml:space="preserve">WL-03723</t>
  </si>
  <si>
    <t xml:space="preserve">Michael Douglas</t>
  </si>
  <si>
    <t xml:space="preserve">TXN-202608-027475</t>
  </si>
  <si>
    <t xml:space="preserve">VB-1007</t>
  </si>
  <si>
    <t xml:space="preserve">WL-02796</t>
  </si>
  <si>
    <t xml:space="preserve">Gavin Scott</t>
  </si>
  <si>
    <t xml:space="preserve">TXN-202608-027529</t>
  </si>
  <si>
    <t xml:space="preserve">WL-02193</t>
  </si>
  <si>
    <t xml:space="preserve">Valerie Berg</t>
  </si>
  <si>
    <t xml:space="preserve">TXN-202608-027580</t>
  </si>
  <si>
    <t xml:space="preserve">VB-1009</t>
  </si>
  <si>
    <t xml:space="preserve">WL-02802</t>
  </si>
  <si>
    <t xml:space="preserve">Kimberly Poole</t>
  </si>
  <si>
    <t xml:space="preserve">TXN-202608-027652</t>
  </si>
  <si>
    <t xml:space="preserve">VB-1010</t>
  </si>
  <si>
    <t xml:space="preserve">WL-03077</t>
  </si>
  <si>
    <t xml:space="preserve">Lisa Jensen</t>
  </si>
  <si>
    <t xml:space="preserve">TXN-202608-027738</t>
  </si>
  <si>
    <t xml:space="preserve">VB-1011</t>
  </si>
  <si>
    <t xml:space="preserve">WL-01187</t>
  </si>
  <si>
    <t xml:space="preserve">James Lee</t>
  </si>
  <si>
    <t xml:space="preserve">TXN-202608-027776</t>
  </si>
  <si>
    <t xml:space="preserve">VB-1012</t>
  </si>
  <si>
    <t xml:space="preserve">WL-01323</t>
  </si>
  <si>
    <t xml:space="preserve">Melanie Alvarado</t>
  </si>
  <si>
    <t xml:space="preserve">TXN-202608-027841</t>
  </si>
  <si>
    <t xml:space="preserve">VB-1013</t>
  </si>
  <si>
    <t xml:space="preserve">WL-02105</t>
  </si>
  <si>
    <t xml:space="preserve">Kenneth Underwood</t>
  </si>
  <si>
    <t xml:space="preserve">TXN-202608-027911</t>
  </si>
  <si>
    <t xml:space="preserve">TXN-202608-027988</t>
  </si>
  <si>
    <t xml:space="preserve">VB-1015</t>
  </si>
  <si>
    <t xml:space="preserve">WL-01478</t>
  </si>
  <si>
    <t xml:space="preserve">William Thomas</t>
  </si>
  <si>
    <t xml:space="preserve">TXN-202608-028037</t>
  </si>
  <si>
    <t xml:space="preserve">VB-1016</t>
  </si>
  <si>
    <t xml:space="preserve">TXN-202608-028112</t>
  </si>
  <si>
    <t xml:space="preserve">VB-1017</t>
  </si>
  <si>
    <t xml:space="preserve">WL-03104</t>
  </si>
  <si>
    <t xml:space="preserve">Jill Maldonado</t>
  </si>
  <si>
    <t xml:space="preserve">TXN-202608-028162</t>
  </si>
  <si>
    <t xml:space="preserve">VB-1018</t>
  </si>
  <si>
    <t xml:space="preserve">POINT QUEEN</t>
  </si>
  <si>
    <t xml:space="preserve">TXN-202608-028239</t>
  </si>
  <si>
    <t xml:space="preserve">VB-1019</t>
  </si>
  <si>
    <t xml:space="preserve">WL-03674</t>
  </si>
  <si>
    <t xml:space="preserve">Savannah Scott</t>
  </si>
  <si>
    <t xml:space="preserve">TXN-202608-028294</t>
  </si>
  <si>
    <t xml:space="preserve">VB-1020</t>
  </si>
  <si>
    <t xml:space="preserve">WL-02112</t>
  </si>
  <si>
    <t xml:space="preserve">Molly Perez</t>
  </si>
  <si>
    <t xml:space="preserve">TXN-202608-028380</t>
  </si>
  <si>
    <t xml:space="preserve">WL-03142</t>
  </si>
  <si>
    <t xml:space="preserve">Tommy Bennett</t>
  </si>
  <si>
    <t xml:space="preserve">TXN-202608-028430</t>
  </si>
  <si>
    <t xml:space="preserve">VB-1022</t>
  </si>
  <si>
    <t xml:space="preserve">WL-01981</t>
  </si>
  <si>
    <t xml:space="preserve">Kathleen Walker</t>
  </si>
  <si>
    <t xml:space="preserve">TXN-202608-028505</t>
  </si>
  <si>
    <t xml:space="preserve">WL-01467</t>
  </si>
  <si>
    <t xml:space="preserve">Walter Soto</t>
  </si>
  <si>
    <t xml:space="preserve">TXN-202608-028560</t>
  </si>
  <si>
    <t xml:space="preserve">VB-1024</t>
  </si>
  <si>
    <t xml:space="preserve">WL-02463</t>
  </si>
  <si>
    <t xml:space="preserve">Lauren Oconnor</t>
  </si>
  <si>
    <t xml:space="preserve">TXN-202608-028608</t>
  </si>
  <si>
    <t xml:space="preserve">AGING | ACTIVE SLIPS OVER 90 DAYS</t>
  </si>
  <si>
    <t xml:space="preserve">Source: ar_aging_2026-07-31.xlsx, AR_Aging sheet and Summary sheet; active-slip status verified to slip_inventory_2026-08.csv.</t>
  </si>
  <si>
    <t xml:space="preserve">Selection formula: days_90 + days_120_plus &gt; 0. Amount more than 90 days = 91-120 bucket + 120+ bucket.</t>
  </si>
  <si>
    <t xml:space="preserve">Active accounts &gt;90</t>
  </si>
  <si>
    <t xml:space="preserve">Balance &gt;90</t>
  </si>
  <si>
    <t xml:space="preserve">Total due</t>
  </si>
  <si>
    <t xml:space="preserve">Account</t>
  </si>
  <si>
    <t xml:space="preserve">Slip</t>
  </si>
  <si>
    <t xml:space="preserve">Active status</t>
  </si>
  <si>
    <t xml:space="preserve">Current</t>
  </si>
  <si>
    <t xml:space="preserve">31-60</t>
  </si>
  <si>
    <t xml:space="preserve">61-90</t>
  </si>
  <si>
    <t xml:space="preserve">91-120</t>
  </si>
  <si>
    <t xml:space="preserve">120+</t>
  </si>
  <si>
    <t xml:space="preserve">Amount &gt;90</t>
  </si>
  <si>
    <t xml:space="preserve">Last payment</t>
  </si>
  <si>
    <t xml:space="preserve">Ledger status</t>
  </si>
  <si>
    <t xml:space="preserve">Last contact</t>
  </si>
  <si>
    <t xml:space="preserve">Notes</t>
  </si>
  <si>
    <t xml:space="preserve">Source row</t>
  </si>
  <si>
    <t xml:space="preserve">AC-LP-0122</t>
  </si>
  <si>
    <t xml:space="preserve">2026-05-29</t>
  </si>
  <si>
    <t xml:space="preserve">COLLECTIONS</t>
  </si>
  <si>
    <t xml:space="preserve">ar_aging_2026-07-31.xlsx / AR_Aging row 23</t>
  </si>
  <si>
    <t xml:space="preserve">AC-LP-0402</t>
  </si>
  <si>
    <t xml:space="preserve">2026-07-11</t>
  </si>
  <si>
    <t xml:space="preserve">2026-06-18</t>
  </si>
  <si>
    <t xml:space="preserve">ar_aging_2026-07-31.xlsx / AR_Aging row 68</t>
  </si>
  <si>
    <t xml:space="preserve">AC-LP-0602</t>
  </si>
  <si>
    <t xml:space="preserve">2026-07-18</t>
  </si>
  <si>
    <t xml:space="preserve">ar_aging_2026-07-31.xlsx / AR_Aging row 113</t>
  </si>
  <si>
    <t xml:space="preserve">AC-LP-0605</t>
  </si>
  <si>
    <t xml:space="preserve">ar_aging_2026-07-31.xlsx / AR_Aging row 116</t>
  </si>
  <si>
    <t xml:space="preserve">AC-LP-0713</t>
  </si>
  <si>
    <t xml:space="preserve">2026-05-15</t>
  </si>
  <si>
    <t xml:space="preserve">ar_aging_2026-07-31.xlsx / AR_Aging row 147</t>
  </si>
  <si>
    <t xml:space="preserve">AC-LP-0801</t>
  </si>
  <si>
    <t xml:space="preserve">2026-07-08</t>
  </si>
  <si>
    <t xml:space="preserve">ar_aging_2026-07-31.xlsx / AR_Aging row 158</t>
  </si>
  <si>
    <t xml:space="preserve">FORMULA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</si>
</sst>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[RED]&quot;-$&quot;#,##0.00"/>
    <numFmt numFmtId="166" formatCode="0.0"/>
    <numFmt numFmtId="167" formatCode="\$0.00;[RED]&quot;-$&quot;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Noto Sans"/>
      <family val="0"/>
      <charset val="1"/>
    </font>
    <font>
      <i val="true"/>
      <sz val="9"/>
      <color rgb="FF5E6B75"/>
      <name val="Noto Sans"/>
      <family val="0"/>
      <charset val="1"/>
    </font>
    <font>
      <b val="true"/>
      <sz val="10"/>
      <color rgb="FF17324D"/>
      <name val="Noto Sans"/>
      <family val="0"/>
      <charset val="1"/>
    </font>
    <font>
      <b val="true"/>
      <sz val="9"/>
      <color rgb="FFFFFFFF"/>
      <name val="Noto Sans"/>
      <family val="0"/>
      <charset val="1"/>
    </font>
    <font>
      <sz val="9"/>
      <color rgb="FF17324D"/>
      <name val="Noto Sans"/>
      <family val="0"/>
      <charset val="1"/>
    </font>
    <font>
      <b val="true"/>
      <sz val="10"/>
      <color rgb="FFFFFFFF"/>
      <name val="Noto Sans"/>
      <family val="0"/>
      <charset val="1"/>
    </font>
    <font>
      <sz val="8.5"/>
      <color rgb="FF5E6B75"/>
      <name val="Noto Sans"/>
      <family val="0"/>
      <charset val="1"/>
    </font>
    <font>
      <b val="true"/>
      <sz val="8.5"/>
      <color rgb="FF5E6B75"/>
      <name val="Noto Sans"/>
      <family val="0"/>
      <charset val="1"/>
    </font>
    <font>
      <b val="true"/>
      <sz val="12"/>
      <color rgb="FF17324D"/>
      <name val="Noto Sans"/>
      <family val="0"/>
      <charset val="1"/>
    </font>
    <font>
      <sz val="8"/>
      <color rgb="FF17324D"/>
      <name val="Noto Sans"/>
      <family val="0"/>
      <charset val="1"/>
    </font>
    <font>
      <b val="true"/>
      <sz val="8"/>
      <color rgb="FF17324D"/>
      <name val="Noto Sans"/>
      <family val="0"/>
      <charset val="1"/>
    </font>
    <font>
      <b val="true"/>
      <sz val="8"/>
      <color rgb="FFA43E36"/>
      <name val="Noto Sans"/>
      <family val="0"/>
      <charset val="1"/>
    </font>
    <font>
      <i val="true"/>
      <sz val="8.5"/>
      <color rgb="FF17324D"/>
      <name val="Noto Sans"/>
      <family val="0"/>
      <charset val="1"/>
    </font>
    <font>
      <b val="true"/>
      <sz val="9"/>
      <color rgb="FF17324D"/>
      <name val="Noto Sans"/>
      <family val="0"/>
      <charset val="1"/>
    </font>
    <font>
      <sz val="10"/>
      <name val="Arial"/>
      <family val="2"/>
    </font>
    <font>
      <sz val="8.5"/>
      <color rgb="FF17324D"/>
      <name val="Noto Sans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FBF4E3"/>
        <bgColor rgb="FFFCE8E6"/>
      </patternFill>
    </fill>
    <fill>
      <patternFill patternType="solid">
        <fgColor rgb="FF1F7A8C"/>
        <bgColor rgb="FF2F6B4F"/>
      </patternFill>
    </fill>
    <fill>
      <patternFill patternType="solid">
        <fgColor rgb="FFEAF3F6"/>
        <bgColor rgb="FFE8F3EC"/>
      </patternFill>
    </fill>
    <fill>
      <patternFill patternType="solid">
        <fgColor rgb="FFFCE8E6"/>
        <bgColor rgb="FFFBF4E3"/>
      </patternFill>
    </fill>
    <fill>
      <patternFill patternType="solid">
        <fgColor rgb="FFD6A84B"/>
        <bgColor rgb="FFFF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CDD4D9"/>
      </top>
      <bottom style="thin">
        <color rgb="FFCDD4D9"/>
      </bottom>
      <diagonal/>
    </border>
    <border diagonalUp="false" diagonalDown="false">
      <left/>
      <right/>
      <top/>
      <bottom style="thin">
        <color rgb="FFCDD4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3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9" fillId="3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7A8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732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BF4E3"/>
          <bgColor rgb="FF000000"/>
        </patternFill>
      </fill>
    </dxf>
    <dxf>
      <fill>
        <patternFill patternType="solid">
          <fgColor rgb="FFFCE8E6"/>
          <bgColor rgb="FF000000"/>
        </patternFill>
      </fill>
    </dxf>
    <dxf>
      <fill>
        <patternFill patternType="solid">
          <fgColor rgb="FFA43E36"/>
          <bgColor rgb="FF000000"/>
        </patternFill>
      </fill>
    </dxf>
    <dxf>
      <fill>
        <patternFill patternType="solid">
          <fgColor rgb="FFD6A84B"/>
          <bgColor rgb="FF000000"/>
        </patternFill>
      </fill>
    </dxf>
    <dxf>
      <fill>
        <patternFill patternType="solid">
          <fgColor rgb="FFE8F3EC"/>
          <bgColor rgb="FF000000"/>
        </patternFill>
      </fill>
    </dxf>
    <dxf>
      <fill>
        <patternFill patternType="solid">
          <fgColor rgb="FF2F6B4F"/>
          <bgColor rgb="FF000000"/>
        </patternFill>
      </fill>
    </dxf>
    <dxf>
      <font>
        <b val="1"/>
        <color rgb="FFA43E36"/>
      </font>
      <fill>
        <patternFill>
          <bgColor rgb="FFFCE8E6"/>
        </patternFill>
      </fill>
    </dxf>
    <dxf>
      <font>
        <color rgb="FF2F6B4F"/>
      </font>
      <fill>
        <patternFill>
          <bgColor rgb="FFE8F3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8C"/>
      <rgbColor rgb="FFC0C0C0"/>
      <rgbColor rgb="FF808080"/>
      <rgbColor rgb="FF9999FF"/>
      <rgbColor rgb="FFA43E36"/>
      <rgbColor rgb="FFFBF4E3"/>
      <rgbColor rgb="FFE8F3EC"/>
      <rgbColor rgb="FF660066"/>
      <rgbColor rgb="FFFF8080"/>
      <rgbColor rgb="FF0066CC"/>
      <rgbColor rgb="FFCDD4D9"/>
      <rgbColor rgb="FF000080"/>
      <rgbColor rgb="FFFF00FF"/>
      <rgbColor rgb="FFFFFF00"/>
      <rgbColor rgb="FF00FFFF"/>
      <rgbColor rgb="FF800080"/>
      <rgbColor rgb="FF800000"/>
      <rgbColor rgb="FF2F6B4F"/>
      <rgbColor rgb="FF0000FF"/>
      <rgbColor rgb="FF00CCFF"/>
      <rgbColor rgb="FFEAF3F6"/>
      <rgbColor rgb="FFCCFFCC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6A84B"/>
      <rgbColor rgb="FFFF6600"/>
      <rgbColor rgb="FF5E6B75"/>
      <rgbColor rgb="FF969696"/>
      <rgbColor rgb="FF17324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AgingExceptionTable" displayName="AgingExceptionTable" ref="A7:Q13" headerRowCount="1" totalsRowCount="0" totalsRowShown="0">
  <autoFilter ref="A7:Q13"/>
  <tableColumns count="17">
    <tableColumn id="1" name="Account"/>
    <tableColumn id="2" name="Tenant"/>
    <tableColumn id="3" name="Slip"/>
    <tableColumn id="4" name="Basin"/>
    <tableColumn id="5" name="Active status"/>
    <tableColumn id="6" name="Current"/>
    <tableColumn id="7" name="31-60"/>
    <tableColumn id="8" name="61-90"/>
    <tableColumn id="9" name="91-120"/>
    <tableColumn id="10" name="120+"/>
    <tableColumn id="11" name="Amount &gt;90"/>
    <tableColumn id="12" name="Total due"/>
    <tableColumn id="13" name="Last payment"/>
    <tableColumn id="14" name="Ledger status"/>
    <tableColumn id="15" name="Last contact"/>
    <tableColumn id="16" name="Notes"/>
    <tableColumn id="17" name="Source row"/>
  </tableColumns>
</table>
</file>

<file path=xl/tables/table2.xml><?xml version="1.0" encoding="utf-8"?>
<table xmlns="http://schemas.openxmlformats.org/spreadsheetml/2006/main" id="2" name="BillingReconciliationTable" displayName="BillingReconciliationTable" ref="A8:S1094" headerRowCount="1" totalsRowCount="0" totalsRowShown="0">
  <autoFilter ref="A8:S1094"/>
  <tableColumns count="19">
    <tableColumn id="1" name="Slip ID"/>
    <tableColumn id="2" name="Basin"/>
    <tableColumn id="3" name="Basin type"/>
    <tableColumn id="4" name="Status"/>
    <tableColumn id="5" name="Tenant ID"/>
    <tableColumn id="6" name="Tenant"/>
    <tableColumn id="7" name="Vessel"/>
    <tableColumn id="8" name="Inventory LOA"/>
    <tableColumn id="9" name="Nominal slip ft"/>
    <tableColumn id="10" name="Aug txn ID"/>
    <tableColumn id="11" name="Billed ft"/>
    <tableColumn id="12" name="Posted rate"/>
    <tableColumn id="13" name="Expected rate"/>
    <tableColumn id="14" name="Expected billable ft"/>
    <tableColumn id="15" name="Billed amount"/>
    <tableColumn id="16" name="Expected monthly"/>
    <tableColumn id="17" name="Monthly variance"/>
    <tableColumn id="18" name="Result"/>
    <tableColumn id="19" name="Evidence basis"/>
  </tableColumns>
</table>
</file>

<file path=xl/tables/table3.xml><?xml version="1.0" encoding="utf-8"?>
<table xmlns="http://schemas.openxmlformats.org/spreadsheetml/2006/main" id="3" name="QueueExceptionTable" displayName="QueueExceptionTable" ref="A8:N317" headerRowCount="1" totalsRowCount="0" totalsRowShown="0">
  <autoFilter ref="A8:N317"/>
  <tableColumns count="14">
    <tableColumn id="1" name="Skip ID"/>
    <tableColumn id="2" name="Skip date"/>
    <tableColumn id="3" name="Applicant ID"/>
    <tableColumn id="4" name="Rank"/>
    <tableColumn id="5" name="Applicant"/>
    <tableColumn id="6" name="Register slip"/>
    <tableColumn id="7" name="Basin"/>
    <tableColumn id="8" name="Reason"/>
    <tableColumn id="9" name="Attached?"/>
    <tableColumn id="10" name="Descriptor"/>
    <tableColumn id="11" name="Evidence tier"/>
    <tableColumn id="12" name="Required record / finding"/>
    <tableColumn id="13" name="Unsupported LOA use?"/>
    <tableColumn id="14" name="Source location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Relationship Id="rId4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8"/>
    <col collapsed="false" customWidth="true" hidden="false" outlineLevel="0" max="3" min="3" style="0" width="17"/>
    <col collapsed="false" customWidth="true" hidden="false" outlineLevel="0" max="4" min="4" style="0" width="48"/>
    <col collapsed="false" customWidth="true" hidden="false" outlineLevel="0" max="8" min="5" style="0" width="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7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4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7" customFormat="false" ht="30" hidden="false" customHeight="true" outlineLevel="0" collapsed="false">
      <c r="A7" s="4" t="s">
        <v>3</v>
      </c>
      <c r="B7" s="4" t="s">
        <v>4</v>
      </c>
      <c r="C7" s="4" t="s">
        <v>5</v>
      </c>
      <c r="D7" s="4" t="s">
        <v>6</v>
      </c>
    </row>
    <row r="8" customFormat="false" ht="15" hidden="false" customHeight="false" outlineLevel="0" collapsed="false">
      <c r="A8" s="5" t="s">
        <v>7</v>
      </c>
      <c r="B8" s="5" t="s">
        <v>8</v>
      </c>
      <c r="C8" s="6" t="n">
        <f aca="false">'Queue Exceptions'!B6</f>
        <v>309</v>
      </c>
      <c r="D8" s="5" t="s">
        <v>9</v>
      </c>
    </row>
    <row r="9" customFormat="false" ht="15" hidden="false" customHeight="false" outlineLevel="0" collapsed="false">
      <c r="A9" s="5" t="s">
        <v>7</v>
      </c>
      <c r="B9" s="5" t="s">
        <v>10</v>
      </c>
      <c r="C9" s="6" t="n">
        <f aca="false">'Queue Exceptions'!B6</f>
        <v>309</v>
      </c>
      <c r="D9" s="5" t="s">
        <v>11</v>
      </c>
    </row>
    <row r="10" customFormat="false" ht="15" hidden="false" customHeight="false" outlineLevel="0" collapsed="false">
      <c r="A10" s="5" t="s">
        <v>7</v>
      </c>
      <c r="B10" s="5" t="s">
        <v>12</v>
      </c>
      <c r="C10" s="6" t="n">
        <f aca="false">'Queue Exceptions'!E6</f>
        <v>19</v>
      </c>
      <c r="D10" s="5" t="s">
        <v>13</v>
      </c>
    </row>
    <row r="11" customFormat="false" ht="15" hidden="false" customHeight="false" outlineLevel="0" collapsed="false">
      <c r="A11" s="5" t="s">
        <v>7</v>
      </c>
      <c r="B11" s="5" t="s">
        <v>14</v>
      </c>
      <c r="C11" s="6" t="n">
        <f aca="false">'Queue Exceptions'!H6</f>
        <v>288</v>
      </c>
      <c r="D11" s="5" t="s">
        <v>15</v>
      </c>
    </row>
    <row r="12" customFormat="false" ht="15" hidden="false" customHeight="false" outlineLevel="0" collapsed="false">
      <c r="A12" s="5" t="s">
        <v>7</v>
      </c>
      <c r="B12" s="5" t="s">
        <v>16</v>
      </c>
      <c r="C12" s="6" t="n">
        <f aca="false">'Queue Exceptions'!K6</f>
        <v>2</v>
      </c>
      <c r="D12" s="5" t="s">
        <v>17</v>
      </c>
    </row>
    <row r="13" customFormat="false" ht="22.35" hidden="false" customHeight="false" outlineLevel="0" collapsed="false">
      <c r="A13" s="5" t="s">
        <v>7</v>
      </c>
      <c r="B13" s="5" t="s">
        <v>18</v>
      </c>
      <c r="C13" s="6" t="n">
        <f aca="false">'Queue Exceptions'!N6</f>
        <v>0</v>
      </c>
      <c r="D13" s="5" t="s">
        <v>19</v>
      </c>
    </row>
    <row r="14" customFormat="false" ht="15" hidden="false" customHeight="false" outlineLevel="0" collapsed="false">
      <c r="A14" s="5" t="s">
        <v>20</v>
      </c>
      <c r="B14" s="5" t="s">
        <v>21</v>
      </c>
      <c r="C14" s="6" t="n">
        <f aca="false">'Billing Reconciliations'!B6</f>
        <v>1086</v>
      </c>
      <c r="D14" s="5" t="s">
        <v>22</v>
      </c>
    </row>
    <row r="15" customFormat="false" ht="15" hidden="false" customHeight="false" outlineLevel="0" collapsed="false">
      <c r="A15" s="5" t="s">
        <v>20</v>
      </c>
      <c r="B15" s="5" t="s">
        <v>23</v>
      </c>
      <c r="C15" s="6" t="n">
        <f aca="false">'Billing Reconciliations'!F6</f>
        <v>769</v>
      </c>
      <c r="D15" s="5" t="s">
        <v>24</v>
      </c>
    </row>
    <row r="16" customFormat="false" ht="15" hidden="false" customHeight="false" outlineLevel="0" collapsed="false">
      <c r="A16" s="5" t="s">
        <v>20</v>
      </c>
      <c r="B16" s="5" t="s">
        <v>25</v>
      </c>
      <c r="C16" s="6" t="n">
        <f aca="false">'Billing Reconciliations'!H6</f>
        <v>317</v>
      </c>
      <c r="D16" s="5" t="s">
        <v>26</v>
      </c>
    </row>
    <row r="17" customFormat="false" ht="15" hidden="false" customHeight="false" outlineLevel="0" collapsed="false">
      <c r="A17" s="5" t="s">
        <v>20</v>
      </c>
      <c r="B17" s="5" t="s">
        <v>27</v>
      </c>
      <c r="C17" s="6" t="n">
        <f aca="false">'Billing Reconciliations'!M6</f>
        <v>0</v>
      </c>
      <c r="D17" s="5" t="s">
        <v>28</v>
      </c>
    </row>
    <row r="18" customFormat="false" ht="15" hidden="false" customHeight="false" outlineLevel="0" collapsed="false">
      <c r="A18" s="5" t="s">
        <v>20</v>
      </c>
      <c r="B18" s="5" t="s">
        <v>29</v>
      </c>
      <c r="C18" s="7" t="n">
        <f aca="false">'Billing Reconciliations'!P6</f>
        <v>120158.25</v>
      </c>
      <c r="D18" s="5" t="s">
        <v>30</v>
      </c>
    </row>
    <row r="19" customFormat="false" ht="15" hidden="false" customHeight="false" outlineLevel="0" collapsed="false">
      <c r="A19" s="5" t="s">
        <v>31</v>
      </c>
      <c r="B19" s="5" t="s">
        <v>32</v>
      </c>
      <c r="C19" s="6" t="n">
        <f aca="false">Aging!B5</f>
        <v>6</v>
      </c>
      <c r="D19" s="5" t="s">
        <v>33</v>
      </c>
    </row>
    <row r="20" customFormat="false" ht="15" hidden="false" customHeight="false" outlineLevel="0" collapsed="false">
      <c r="A20" s="5" t="s">
        <v>31</v>
      </c>
      <c r="B20" s="5" t="s">
        <v>34</v>
      </c>
      <c r="C20" s="7" t="n">
        <f aca="false">Aging!E5</f>
        <v>4368</v>
      </c>
      <c r="D20" s="5" t="s">
        <v>35</v>
      </c>
    </row>
    <row r="21" customFormat="false" ht="15" hidden="false" customHeight="false" outlineLevel="0" collapsed="false">
      <c r="A21" s="5" t="s">
        <v>31</v>
      </c>
      <c r="B21" s="5" t="s">
        <v>36</v>
      </c>
      <c r="C21" s="7" t="n">
        <f aca="false">Aging!H5</f>
        <v>13166.4</v>
      </c>
      <c r="D21" s="5" t="s">
        <v>37</v>
      </c>
    </row>
    <row r="24" customFormat="false" ht="15" hidden="false" customHeight="false" outlineLevel="0" collapsed="false">
      <c r="A24" s="8" t="s">
        <v>38</v>
      </c>
      <c r="B24" s="8"/>
      <c r="C24" s="8"/>
      <c r="D24" s="8"/>
      <c r="E24" s="8"/>
      <c r="F24" s="8"/>
      <c r="G24" s="8"/>
      <c r="H24" s="8"/>
    </row>
    <row r="25" customFormat="false" ht="37.5" hidden="false" customHeight="true" outlineLevel="0" collapsed="false">
      <c r="A25" s="9" t="s">
        <v>39</v>
      </c>
      <c r="B25" s="9"/>
      <c r="C25" s="9"/>
      <c r="D25" s="9"/>
      <c r="E25" s="9"/>
      <c r="F25" s="9"/>
      <c r="G25" s="9"/>
      <c r="H25" s="9"/>
    </row>
    <row r="26" customFormat="false" ht="37.5" hidden="false" customHeight="true" outlineLevel="0" collapsed="false">
      <c r="A26" s="9" t="s">
        <v>40</v>
      </c>
      <c r="B26" s="9"/>
      <c r="C26" s="9"/>
      <c r="D26" s="9"/>
      <c r="E26" s="9"/>
      <c r="F26" s="9"/>
      <c r="G26" s="9"/>
      <c r="H26" s="9"/>
    </row>
    <row r="27" customFormat="false" ht="37.5" hidden="false" customHeight="true" outlineLevel="0" collapsed="false">
      <c r="A27" s="9" t="s">
        <v>41</v>
      </c>
      <c r="B27" s="9"/>
      <c r="C27" s="9"/>
      <c r="D27" s="9"/>
      <c r="E27" s="9"/>
      <c r="F27" s="9"/>
      <c r="G27" s="9"/>
      <c r="H27" s="9"/>
    </row>
    <row r="28" customFormat="false" ht="37.5" hidden="false" customHeight="true" outlineLevel="0" collapsed="false">
      <c r="A28" s="9" t="s">
        <v>42</v>
      </c>
      <c r="B28" s="9"/>
      <c r="C28" s="9"/>
      <c r="D28" s="9"/>
      <c r="E28" s="9"/>
      <c r="F28" s="9"/>
      <c r="G28" s="9"/>
      <c r="H28" s="9"/>
    </row>
    <row r="29" customFormat="false" ht="48" hidden="false" customHeight="true" outlineLevel="0" collapsed="false">
      <c r="A29" s="9" t="s">
        <v>43</v>
      </c>
      <c r="B29" s="9"/>
      <c r="C29" s="9"/>
      <c r="D29" s="9"/>
      <c r="E29" s="9"/>
      <c r="F29" s="9"/>
      <c r="G29" s="9"/>
      <c r="H29" s="9"/>
    </row>
  </sheetData>
  <autoFilter ref="A7:D21"/>
  <mergeCells count="9">
    <mergeCell ref="A1:H1"/>
    <mergeCell ref="A2:H2"/>
    <mergeCell ref="A4:H4"/>
    <mergeCell ref="A24:H24"/>
    <mergeCell ref="A25:H25"/>
    <mergeCell ref="A26:H26"/>
    <mergeCell ref="A27:H27"/>
    <mergeCell ref="A28:H28"/>
    <mergeCell ref="A29:H29"/>
  </mergeCells>
  <printOptions headings="false" gridLines="false" gridLinesSet="true" horizontalCentered="false" verticalCentered="false"/>
  <pageMargins left="0.25" right="0.25" top="0.45" bottom="0.45" header="0.511811023622047" footer="0.17986111111111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&amp;K5e6b75Chaldale Harbor District | Moorage audit | August 1, 2026&amp;R&amp;8 &amp;K5e6b75Page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3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true" outlineLevel="0" max="4" min="4" style="0" width="8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true" outlineLevel="0" max="7" min="7" style="0" width="14"/>
    <col collapsed="false" customWidth="true" hidden="false" outlineLevel="0" max="8" min="8" style="0" width="23"/>
    <col collapsed="false" customWidth="true" hidden="true" outlineLevel="0" max="9" min="9" style="0" width="10"/>
    <col collapsed="false" customWidth="true" hidden="true" outlineLevel="0" max="10" min="10" style="0" width="20"/>
    <col collapsed="false" customWidth="true" hidden="false" outlineLevel="0" max="11" min="11" style="0" width="27"/>
    <col collapsed="false" customWidth="true" hidden="false" outlineLevel="0" max="12" min="12" style="0" width="62"/>
    <col collapsed="false" customWidth="true" hidden="true" outlineLevel="0" max="13" min="13" style="0" width="20"/>
    <col collapsed="false" customWidth="true" hidden="true" outlineLevel="0" max="14" min="14" style="0" width="34"/>
  </cols>
  <sheetData>
    <row r="1" customFormat="false" ht="30" hidden="false" customHeight="tru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" hidden="false" customHeight="true" outlineLevel="0" collapsed="false">
      <c r="A2" s="2" t="s">
        <v>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3.75" hidden="false" customHeight="true" outlineLevel="0" collapsed="false">
      <c r="A3" s="10" t="s">
        <v>46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customFormat="false" ht="15" hidden="false" customHeight="false" outlineLevel="0" collapsed="false">
      <c r="A5" s="11" t="s">
        <v>47</v>
      </c>
      <c r="D5" s="11" t="s">
        <v>48</v>
      </c>
      <c r="G5" s="11" t="s">
        <v>14</v>
      </c>
      <c r="J5" s="11" t="s">
        <v>49</v>
      </c>
      <c r="M5" s="11" t="s">
        <v>50</v>
      </c>
    </row>
    <row r="6" customFormat="false" ht="15" hidden="false" customHeight="false" outlineLevel="0" collapsed="false">
      <c r="B6" s="12" t="n">
        <f aca="false">COUNTA(A9:A1000)</f>
        <v>309</v>
      </c>
      <c r="E6" s="12" t="n">
        <f aca="false">COUNTIF(K9:K1000,"No attachment")</f>
        <v>19</v>
      </c>
      <c r="H6" s="12" t="n">
        <f aca="false">COUNTIF(K9:K1000,"Required record not demonstrated")</f>
        <v>288</v>
      </c>
      <c r="K6" s="12" t="n">
        <f aca="false">COUNTIF(K9:K1000,"File-event mismatch")</f>
        <v>2</v>
      </c>
      <c r="N6" s="12" t="n">
        <f aca="false">COUNTIF(M9:M1000,"Yes")</f>
        <v>0</v>
      </c>
    </row>
    <row r="8" customFormat="false" ht="30" hidden="false" customHeight="true" outlineLevel="0" collapsed="false">
      <c r="A8" s="4" t="s">
        <v>51</v>
      </c>
      <c r="B8" s="4" t="s">
        <v>52</v>
      </c>
      <c r="C8" s="4" t="s">
        <v>53</v>
      </c>
      <c r="D8" s="4" t="s">
        <v>54</v>
      </c>
      <c r="E8" s="4" t="s">
        <v>55</v>
      </c>
      <c r="F8" s="4" t="s">
        <v>56</v>
      </c>
      <c r="G8" s="4" t="s">
        <v>57</v>
      </c>
      <c r="H8" s="4" t="s">
        <v>58</v>
      </c>
      <c r="I8" s="4" t="s">
        <v>59</v>
      </c>
      <c r="J8" s="4" t="s">
        <v>60</v>
      </c>
      <c r="K8" s="4" t="s">
        <v>61</v>
      </c>
      <c r="L8" s="4" t="s">
        <v>62</v>
      </c>
      <c r="M8" s="4" t="s">
        <v>63</v>
      </c>
      <c r="N8" s="4" t="s">
        <v>64</v>
      </c>
    </row>
    <row r="9" customFormat="false" ht="20.85" hidden="false" customHeight="false" outlineLevel="0" collapsed="false">
      <c r="A9" s="13" t="s">
        <v>65</v>
      </c>
      <c r="B9" s="13" t="s">
        <v>66</v>
      </c>
      <c r="C9" s="13" t="s">
        <v>67</v>
      </c>
      <c r="D9" s="13" t="n">
        <v>2099</v>
      </c>
      <c r="E9" s="13" t="s">
        <v>68</v>
      </c>
      <c r="F9" s="13" t="s">
        <v>69</v>
      </c>
      <c r="G9" s="13" t="s">
        <v>70</v>
      </c>
      <c r="H9" s="13" t="s">
        <v>71</v>
      </c>
      <c r="I9" s="13" t="s">
        <v>72</v>
      </c>
      <c r="J9" s="14" t="s">
        <v>73</v>
      </c>
      <c r="K9" s="15" t="s">
        <v>74</v>
      </c>
      <c r="L9" s="14" t="s">
        <v>75</v>
      </c>
      <c r="M9" s="13" t="s">
        <v>76</v>
      </c>
      <c r="N9" s="14" t="s">
        <v>77</v>
      </c>
    </row>
    <row r="10" customFormat="false" ht="20.85" hidden="false" customHeight="false" outlineLevel="0" collapsed="false">
      <c r="A10" s="13" t="s">
        <v>78</v>
      </c>
      <c r="B10" s="13" t="s">
        <v>66</v>
      </c>
      <c r="C10" s="13" t="s">
        <v>79</v>
      </c>
      <c r="D10" s="13" t="n">
        <v>1685</v>
      </c>
      <c r="E10" s="13" t="s">
        <v>80</v>
      </c>
      <c r="F10" s="13" t="s">
        <v>81</v>
      </c>
      <c r="G10" s="13" t="s">
        <v>70</v>
      </c>
      <c r="H10" s="13" t="s">
        <v>71</v>
      </c>
      <c r="I10" s="13" t="s">
        <v>72</v>
      </c>
      <c r="J10" s="14" t="s">
        <v>82</v>
      </c>
      <c r="K10" s="15" t="s">
        <v>74</v>
      </c>
      <c r="L10" s="14" t="s">
        <v>83</v>
      </c>
      <c r="M10" s="13" t="s">
        <v>76</v>
      </c>
      <c r="N10" s="14" t="s">
        <v>84</v>
      </c>
    </row>
    <row r="11" customFormat="false" ht="20.85" hidden="false" customHeight="false" outlineLevel="0" collapsed="false">
      <c r="A11" s="13" t="s">
        <v>85</v>
      </c>
      <c r="B11" s="13" t="s">
        <v>86</v>
      </c>
      <c r="C11" s="13" t="s">
        <v>87</v>
      </c>
      <c r="D11" s="13" t="n">
        <v>298</v>
      </c>
      <c r="E11" s="13" t="s">
        <v>88</v>
      </c>
      <c r="F11" s="13" t="s">
        <v>89</v>
      </c>
      <c r="G11" s="13" t="s">
        <v>90</v>
      </c>
      <c r="H11" s="13" t="s">
        <v>71</v>
      </c>
      <c r="I11" s="13" t="s">
        <v>72</v>
      </c>
      <c r="J11" s="14" t="s">
        <v>73</v>
      </c>
      <c r="K11" s="15" t="s">
        <v>74</v>
      </c>
      <c r="L11" s="14" t="s">
        <v>75</v>
      </c>
      <c r="M11" s="13" t="s">
        <v>76</v>
      </c>
      <c r="N11" s="14" t="s">
        <v>91</v>
      </c>
    </row>
    <row r="12" customFormat="false" ht="20.85" hidden="false" customHeight="false" outlineLevel="0" collapsed="false">
      <c r="A12" s="13" t="s">
        <v>92</v>
      </c>
      <c r="B12" s="13" t="s">
        <v>66</v>
      </c>
      <c r="C12" s="13" t="s">
        <v>93</v>
      </c>
      <c r="D12" s="13" t="n">
        <v>959</v>
      </c>
      <c r="E12" s="13" t="s">
        <v>94</v>
      </c>
      <c r="F12" s="13" t="s">
        <v>95</v>
      </c>
      <c r="G12" s="13" t="s">
        <v>96</v>
      </c>
      <c r="H12" s="13" t="s">
        <v>97</v>
      </c>
      <c r="I12" s="13" t="s">
        <v>72</v>
      </c>
      <c r="J12" s="14" t="s">
        <v>98</v>
      </c>
      <c r="K12" s="15" t="s">
        <v>74</v>
      </c>
      <c r="L12" s="14" t="s">
        <v>99</v>
      </c>
      <c r="M12" s="13" t="s">
        <v>76</v>
      </c>
      <c r="N12" s="14" t="s">
        <v>100</v>
      </c>
    </row>
    <row r="13" customFormat="false" ht="15" hidden="false" customHeight="false" outlineLevel="0" collapsed="false">
      <c r="A13" s="13" t="s">
        <v>101</v>
      </c>
      <c r="B13" s="13" t="s">
        <v>102</v>
      </c>
      <c r="C13" s="13" t="s">
        <v>103</v>
      </c>
      <c r="D13" s="13" t="n">
        <v>695</v>
      </c>
      <c r="E13" s="13" t="s">
        <v>104</v>
      </c>
      <c r="F13" s="13" t="s">
        <v>105</v>
      </c>
      <c r="G13" s="13" t="s">
        <v>106</v>
      </c>
      <c r="H13" s="13" t="s">
        <v>71</v>
      </c>
      <c r="I13" s="13" t="s">
        <v>107</v>
      </c>
      <c r="J13" s="14" t="s">
        <v>82</v>
      </c>
      <c r="K13" s="16" t="s">
        <v>48</v>
      </c>
      <c r="L13" s="14" t="s">
        <v>108</v>
      </c>
      <c r="M13" s="13" t="s">
        <v>76</v>
      </c>
      <c r="N13" s="14" t="s">
        <v>109</v>
      </c>
    </row>
    <row r="14" customFormat="false" ht="20.85" hidden="false" customHeight="false" outlineLevel="0" collapsed="false">
      <c r="A14" s="13" t="s">
        <v>110</v>
      </c>
      <c r="B14" s="13" t="s">
        <v>111</v>
      </c>
      <c r="C14" s="13" t="s">
        <v>112</v>
      </c>
      <c r="D14" s="13" t="n">
        <v>1565</v>
      </c>
      <c r="E14" s="13" t="s">
        <v>113</v>
      </c>
      <c r="F14" s="13" t="s">
        <v>114</v>
      </c>
      <c r="G14" s="13" t="s">
        <v>90</v>
      </c>
      <c r="H14" s="13" t="s">
        <v>71</v>
      </c>
      <c r="I14" s="13" t="s">
        <v>72</v>
      </c>
      <c r="J14" s="14" t="s">
        <v>115</v>
      </c>
      <c r="K14" s="15" t="s">
        <v>74</v>
      </c>
      <c r="L14" s="14" t="s">
        <v>116</v>
      </c>
      <c r="M14" s="13" t="s">
        <v>76</v>
      </c>
      <c r="N14" s="14" t="s">
        <v>117</v>
      </c>
    </row>
    <row r="15" customFormat="false" ht="20.85" hidden="false" customHeight="false" outlineLevel="0" collapsed="false">
      <c r="A15" s="13" t="s">
        <v>118</v>
      </c>
      <c r="B15" s="13" t="s">
        <v>119</v>
      </c>
      <c r="C15" s="13" t="s">
        <v>120</v>
      </c>
      <c r="D15" s="13" t="n">
        <v>1664</v>
      </c>
      <c r="E15" s="13" t="s">
        <v>121</v>
      </c>
      <c r="F15" s="13" t="s">
        <v>122</v>
      </c>
      <c r="G15" s="13" t="s">
        <v>90</v>
      </c>
      <c r="H15" s="13" t="s">
        <v>123</v>
      </c>
      <c r="I15" s="13" t="s">
        <v>72</v>
      </c>
      <c r="J15" s="14" t="s">
        <v>98</v>
      </c>
      <c r="K15" s="15" t="s">
        <v>74</v>
      </c>
      <c r="L15" s="14" t="s">
        <v>124</v>
      </c>
      <c r="M15" s="13" t="s">
        <v>76</v>
      </c>
      <c r="N15" s="14" t="s">
        <v>125</v>
      </c>
    </row>
    <row r="16" customFormat="false" ht="20.85" hidden="false" customHeight="false" outlineLevel="0" collapsed="false">
      <c r="A16" s="13" t="s">
        <v>126</v>
      </c>
      <c r="B16" s="13" t="s">
        <v>127</v>
      </c>
      <c r="C16" s="13" t="s">
        <v>128</v>
      </c>
      <c r="D16" s="13" t="n">
        <v>2582</v>
      </c>
      <c r="E16" s="13" t="s">
        <v>129</v>
      </c>
      <c r="F16" s="13" t="s">
        <v>130</v>
      </c>
      <c r="G16" s="13" t="s">
        <v>90</v>
      </c>
      <c r="H16" s="13" t="s">
        <v>97</v>
      </c>
      <c r="I16" s="13" t="s">
        <v>72</v>
      </c>
      <c r="J16" s="14" t="s">
        <v>82</v>
      </c>
      <c r="K16" s="15" t="s">
        <v>74</v>
      </c>
      <c r="L16" s="14" t="s">
        <v>131</v>
      </c>
      <c r="M16" s="13" t="s">
        <v>76</v>
      </c>
      <c r="N16" s="14" t="s">
        <v>132</v>
      </c>
    </row>
    <row r="17" customFormat="false" ht="20.85" hidden="false" customHeight="false" outlineLevel="0" collapsed="false">
      <c r="A17" s="13" t="s">
        <v>133</v>
      </c>
      <c r="B17" s="13" t="s">
        <v>134</v>
      </c>
      <c r="C17" s="13" t="s">
        <v>135</v>
      </c>
      <c r="D17" s="13" t="n">
        <v>1918</v>
      </c>
      <c r="E17" s="13" t="s">
        <v>136</v>
      </c>
      <c r="F17" s="13" t="s">
        <v>137</v>
      </c>
      <c r="G17" s="13" t="s">
        <v>70</v>
      </c>
      <c r="H17" s="13" t="s">
        <v>138</v>
      </c>
      <c r="I17" s="13" t="s">
        <v>72</v>
      </c>
      <c r="J17" s="14" t="s">
        <v>73</v>
      </c>
      <c r="K17" s="15" t="s">
        <v>74</v>
      </c>
      <c r="L17" s="14" t="s">
        <v>139</v>
      </c>
      <c r="M17" s="13" t="s">
        <v>76</v>
      </c>
      <c r="N17" s="14" t="s">
        <v>140</v>
      </c>
    </row>
    <row r="18" customFormat="false" ht="15" hidden="false" customHeight="false" outlineLevel="0" collapsed="false">
      <c r="A18" s="13" t="s">
        <v>141</v>
      </c>
      <c r="B18" s="13" t="s">
        <v>142</v>
      </c>
      <c r="C18" s="13" t="s">
        <v>143</v>
      </c>
      <c r="D18" s="13" t="n">
        <v>2523</v>
      </c>
      <c r="E18" s="13" t="s">
        <v>144</v>
      </c>
      <c r="F18" s="13" t="s">
        <v>145</v>
      </c>
      <c r="G18" s="13" t="s">
        <v>146</v>
      </c>
      <c r="H18" s="13" t="s">
        <v>71</v>
      </c>
      <c r="I18" s="13" t="s">
        <v>107</v>
      </c>
      <c r="J18" s="14" t="s">
        <v>98</v>
      </c>
      <c r="K18" s="16" t="s">
        <v>48</v>
      </c>
      <c r="L18" s="14" t="s">
        <v>108</v>
      </c>
      <c r="M18" s="13" t="s">
        <v>76</v>
      </c>
      <c r="N18" s="14" t="s">
        <v>147</v>
      </c>
    </row>
    <row r="19" customFormat="false" ht="20.85" hidden="false" customHeight="false" outlineLevel="0" collapsed="false">
      <c r="A19" s="13" t="s">
        <v>148</v>
      </c>
      <c r="B19" s="13" t="s">
        <v>149</v>
      </c>
      <c r="C19" s="13" t="s">
        <v>150</v>
      </c>
      <c r="D19" s="13" t="n">
        <v>1366</v>
      </c>
      <c r="E19" s="13" t="s">
        <v>151</v>
      </c>
      <c r="F19" s="13" t="s">
        <v>137</v>
      </c>
      <c r="G19" s="13" t="s">
        <v>70</v>
      </c>
      <c r="H19" s="13" t="s">
        <v>71</v>
      </c>
      <c r="I19" s="13" t="s">
        <v>72</v>
      </c>
      <c r="J19" s="14" t="s">
        <v>98</v>
      </c>
      <c r="K19" s="15" t="s">
        <v>74</v>
      </c>
      <c r="L19" s="14" t="s">
        <v>152</v>
      </c>
      <c r="M19" s="13" t="s">
        <v>76</v>
      </c>
      <c r="N19" s="14" t="s">
        <v>153</v>
      </c>
    </row>
    <row r="20" customFormat="false" ht="20.85" hidden="false" customHeight="false" outlineLevel="0" collapsed="false">
      <c r="A20" s="13" t="s">
        <v>154</v>
      </c>
      <c r="B20" s="13" t="s">
        <v>155</v>
      </c>
      <c r="C20" s="13" t="s">
        <v>156</v>
      </c>
      <c r="D20" s="13" t="n">
        <v>388</v>
      </c>
      <c r="E20" s="13" t="s">
        <v>157</v>
      </c>
      <c r="F20" s="13" t="s">
        <v>158</v>
      </c>
      <c r="G20" s="13" t="s">
        <v>146</v>
      </c>
      <c r="H20" s="13" t="s">
        <v>71</v>
      </c>
      <c r="I20" s="13" t="s">
        <v>72</v>
      </c>
      <c r="J20" s="14" t="s">
        <v>115</v>
      </c>
      <c r="K20" s="15" t="s">
        <v>74</v>
      </c>
      <c r="L20" s="14" t="s">
        <v>116</v>
      </c>
      <c r="M20" s="13" t="s">
        <v>76</v>
      </c>
      <c r="N20" s="14" t="s">
        <v>159</v>
      </c>
    </row>
    <row r="21" customFormat="false" ht="20.85" hidden="false" customHeight="false" outlineLevel="0" collapsed="false">
      <c r="A21" s="13" t="s">
        <v>160</v>
      </c>
      <c r="B21" s="13" t="s">
        <v>161</v>
      </c>
      <c r="C21" s="13" t="s">
        <v>162</v>
      </c>
      <c r="D21" s="13" t="n">
        <v>984</v>
      </c>
      <c r="E21" s="13" t="s">
        <v>163</v>
      </c>
      <c r="F21" s="13" t="s">
        <v>164</v>
      </c>
      <c r="G21" s="13" t="s">
        <v>90</v>
      </c>
      <c r="H21" s="13" t="s">
        <v>138</v>
      </c>
      <c r="I21" s="13" t="s">
        <v>72</v>
      </c>
      <c r="J21" s="14" t="s">
        <v>98</v>
      </c>
      <c r="K21" s="15" t="s">
        <v>74</v>
      </c>
      <c r="L21" s="14" t="s">
        <v>165</v>
      </c>
      <c r="M21" s="13" t="s">
        <v>76</v>
      </c>
      <c r="N21" s="14" t="s">
        <v>166</v>
      </c>
    </row>
    <row r="22" customFormat="false" ht="20.85" hidden="false" customHeight="false" outlineLevel="0" collapsed="false">
      <c r="A22" s="13" t="s">
        <v>167</v>
      </c>
      <c r="B22" s="13" t="s">
        <v>168</v>
      </c>
      <c r="C22" s="13" t="s">
        <v>169</v>
      </c>
      <c r="D22" s="13" t="n">
        <v>649</v>
      </c>
      <c r="E22" s="13" t="s">
        <v>170</v>
      </c>
      <c r="F22" s="13" t="s">
        <v>171</v>
      </c>
      <c r="G22" s="13" t="s">
        <v>96</v>
      </c>
      <c r="H22" s="13" t="s">
        <v>71</v>
      </c>
      <c r="I22" s="13" t="s">
        <v>72</v>
      </c>
      <c r="J22" s="14" t="s">
        <v>115</v>
      </c>
      <c r="K22" s="15" t="s">
        <v>74</v>
      </c>
      <c r="L22" s="14" t="s">
        <v>116</v>
      </c>
      <c r="M22" s="13" t="s">
        <v>76</v>
      </c>
      <c r="N22" s="14" t="s">
        <v>172</v>
      </c>
    </row>
    <row r="23" customFormat="false" ht="20.85" hidden="false" customHeight="false" outlineLevel="0" collapsed="false">
      <c r="A23" s="13" t="s">
        <v>173</v>
      </c>
      <c r="B23" s="13" t="s">
        <v>174</v>
      </c>
      <c r="C23" s="13" t="s">
        <v>175</v>
      </c>
      <c r="D23" s="13" t="n">
        <v>2535</v>
      </c>
      <c r="E23" s="13" t="s">
        <v>176</v>
      </c>
      <c r="F23" s="13" t="s">
        <v>177</v>
      </c>
      <c r="G23" s="13" t="s">
        <v>90</v>
      </c>
      <c r="H23" s="13" t="s">
        <v>71</v>
      </c>
      <c r="I23" s="13" t="s">
        <v>72</v>
      </c>
      <c r="J23" s="14" t="s">
        <v>73</v>
      </c>
      <c r="K23" s="15" t="s">
        <v>74</v>
      </c>
      <c r="L23" s="14" t="s">
        <v>75</v>
      </c>
      <c r="M23" s="13" t="s">
        <v>76</v>
      </c>
      <c r="N23" s="14" t="s">
        <v>178</v>
      </c>
    </row>
    <row r="24" customFormat="false" ht="20.85" hidden="false" customHeight="false" outlineLevel="0" collapsed="false">
      <c r="A24" s="13" t="s">
        <v>179</v>
      </c>
      <c r="B24" s="13" t="s">
        <v>180</v>
      </c>
      <c r="C24" s="13" t="s">
        <v>181</v>
      </c>
      <c r="D24" s="13" t="n">
        <v>473</v>
      </c>
      <c r="E24" s="13" t="s">
        <v>182</v>
      </c>
      <c r="F24" s="13" t="s">
        <v>183</v>
      </c>
      <c r="G24" s="13" t="s">
        <v>146</v>
      </c>
      <c r="H24" s="13" t="s">
        <v>71</v>
      </c>
      <c r="I24" s="13" t="s">
        <v>72</v>
      </c>
      <c r="J24" s="14" t="s">
        <v>82</v>
      </c>
      <c r="K24" s="15" t="s">
        <v>74</v>
      </c>
      <c r="L24" s="14" t="s">
        <v>83</v>
      </c>
      <c r="M24" s="13" t="s">
        <v>76</v>
      </c>
      <c r="N24" s="14" t="s">
        <v>184</v>
      </c>
    </row>
    <row r="25" customFormat="false" ht="20.85" hidden="false" customHeight="false" outlineLevel="0" collapsed="false">
      <c r="A25" s="13" t="s">
        <v>185</v>
      </c>
      <c r="B25" s="13" t="s">
        <v>180</v>
      </c>
      <c r="C25" s="13" t="s">
        <v>186</v>
      </c>
      <c r="D25" s="13" t="n">
        <v>1941</v>
      </c>
      <c r="E25" s="13" t="s">
        <v>187</v>
      </c>
      <c r="F25" s="13" t="s">
        <v>188</v>
      </c>
      <c r="G25" s="13" t="s">
        <v>146</v>
      </c>
      <c r="H25" s="13" t="s">
        <v>71</v>
      </c>
      <c r="I25" s="13" t="s">
        <v>72</v>
      </c>
      <c r="J25" s="14" t="s">
        <v>73</v>
      </c>
      <c r="K25" s="15" t="s">
        <v>74</v>
      </c>
      <c r="L25" s="14" t="s">
        <v>75</v>
      </c>
      <c r="M25" s="13" t="s">
        <v>76</v>
      </c>
      <c r="N25" s="14" t="s">
        <v>189</v>
      </c>
    </row>
    <row r="26" customFormat="false" ht="20.85" hidden="false" customHeight="false" outlineLevel="0" collapsed="false">
      <c r="A26" s="13" t="s">
        <v>190</v>
      </c>
      <c r="B26" s="13" t="s">
        <v>191</v>
      </c>
      <c r="C26" s="13" t="s">
        <v>192</v>
      </c>
      <c r="D26" s="13" t="n">
        <v>2014</v>
      </c>
      <c r="E26" s="13" t="s">
        <v>193</v>
      </c>
      <c r="F26" s="13" t="s">
        <v>194</v>
      </c>
      <c r="G26" s="13" t="s">
        <v>70</v>
      </c>
      <c r="H26" s="13" t="s">
        <v>71</v>
      </c>
      <c r="I26" s="13" t="s">
        <v>72</v>
      </c>
      <c r="J26" s="14" t="s">
        <v>98</v>
      </c>
      <c r="K26" s="15" t="s">
        <v>74</v>
      </c>
      <c r="L26" s="14" t="s">
        <v>152</v>
      </c>
      <c r="M26" s="13" t="s">
        <v>76</v>
      </c>
      <c r="N26" s="14" t="s">
        <v>195</v>
      </c>
    </row>
    <row r="27" customFormat="false" ht="20.85" hidden="false" customHeight="false" outlineLevel="0" collapsed="false">
      <c r="A27" s="13" t="s">
        <v>196</v>
      </c>
      <c r="B27" s="13" t="s">
        <v>197</v>
      </c>
      <c r="C27" s="13" t="s">
        <v>198</v>
      </c>
      <c r="D27" s="13" t="n">
        <v>886</v>
      </c>
      <c r="E27" s="13" t="s">
        <v>199</v>
      </c>
      <c r="F27" s="13" t="s">
        <v>114</v>
      </c>
      <c r="G27" s="13" t="s">
        <v>90</v>
      </c>
      <c r="H27" s="13" t="s">
        <v>97</v>
      </c>
      <c r="I27" s="13" t="s">
        <v>72</v>
      </c>
      <c r="J27" s="14" t="s">
        <v>98</v>
      </c>
      <c r="K27" s="15" t="s">
        <v>74</v>
      </c>
      <c r="L27" s="14" t="s">
        <v>99</v>
      </c>
      <c r="M27" s="13" t="s">
        <v>76</v>
      </c>
      <c r="N27" s="14" t="s">
        <v>200</v>
      </c>
    </row>
    <row r="28" customFormat="false" ht="20.85" hidden="false" customHeight="false" outlineLevel="0" collapsed="false">
      <c r="A28" s="13" t="s">
        <v>201</v>
      </c>
      <c r="B28" s="13" t="s">
        <v>202</v>
      </c>
      <c r="C28" s="13" t="s">
        <v>203</v>
      </c>
      <c r="D28" s="13" t="n">
        <v>1074</v>
      </c>
      <c r="E28" s="13" t="s">
        <v>204</v>
      </c>
      <c r="F28" s="13" t="s">
        <v>205</v>
      </c>
      <c r="G28" s="13" t="s">
        <v>106</v>
      </c>
      <c r="H28" s="13" t="s">
        <v>71</v>
      </c>
      <c r="I28" s="13" t="s">
        <v>72</v>
      </c>
      <c r="J28" s="14" t="s">
        <v>115</v>
      </c>
      <c r="K28" s="15" t="s">
        <v>74</v>
      </c>
      <c r="L28" s="14" t="s">
        <v>116</v>
      </c>
      <c r="M28" s="13" t="s">
        <v>76</v>
      </c>
      <c r="N28" s="14" t="s">
        <v>206</v>
      </c>
    </row>
    <row r="29" customFormat="false" ht="20.85" hidden="false" customHeight="false" outlineLevel="0" collapsed="false">
      <c r="A29" s="13" t="s">
        <v>207</v>
      </c>
      <c r="B29" s="13" t="s">
        <v>208</v>
      </c>
      <c r="C29" s="13" t="s">
        <v>209</v>
      </c>
      <c r="D29" s="13" t="n">
        <v>145</v>
      </c>
      <c r="E29" s="13" t="s">
        <v>210</v>
      </c>
      <c r="F29" s="13" t="s">
        <v>211</v>
      </c>
      <c r="G29" s="13" t="s">
        <v>106</v>
      </c>
      <c r="H29" s="13" t="s">
        <v>97</v>
      </c>
      <c r="I29" s="13" t="s">
        <v>72</v>
      </c>
      <c r="J29" s="14" t="s">
        <v>82</v>
      </c>
      <c r="K29" s="15" t="s">
        <v>74</v>
      </c>
      <c r="L29" s="14" t="s">
        <v>131</v>
      </c>
      <c r="M29" s="13" t="s">
        <v>76</v>
      </c>
      <c r="N29" s="14" t="s">
        <v>212</v>
      </c>
    </row>
    <row r="30" customFormat="false" ht="20.85" hidden="false" customHeight="false" outlineLevel="0" collapsed="false">
      <c r="A30" s="13" t="s">
        <v>213</v>
      </c>
      <c r="B30" s="13" t="s">
        <v>214</v>
      </c>
      <c r="C30" s="13" t="s">
        <v>215</v>
      </c>
      <c r="D30" s="13" t="n">
        <v>274</v>
      </c>
      <c r="E30" s="13" t="s">
        <v>216</v>
      </c>
      <c r="F30" s="13" t="s">
        <v>217</v>
      </c>
      <c r="G30" s="13" t="s">
        <v>90</v>
      </c>
      <c r="H30" s="13" t="s">
        <v>71</v>
      </c>
      <c r="I30" s="13" t="s">
        <v>72</v>
      </c>
      <c r="J30" s="14" t="s">
        <v>98</v>
      </c>
      <c r="K30" s="15" t="s">
        <v>74</v>
      </c>
      <c r="L30" s="14" t="s">
        <v>152</v>
      </c>
      <c r="M30" s="13" t="s">
        <v>76</v>
      </c>
      <c r="N30" s="14" t="s">
        <v>218</v>
      </c>
    </row>
    <row r="31" customFormat="false" ht="20.85" hidden="false" customHeight="false" outlineLevel="0" collapsed="false">
      <c r="A31" s="13" t="s">
        <v>219</v>
      </c>
      <c r="B31" s="13" t="s">
        <v>220</v>
      </c>
      <c r="C31" s="13" t="s">
        <v>221</v>
      </c>
      <c r="D31" s="13" t="n">
        <v>89</v>
      </c>
      <c r="E31" s="13" t="s">
        <v>222</v>
      </c>
      <c r="F31" s="13" t="s">
        <v>223</v>
      </c>
      <c r="G31" s="13" t="s">
        <v>90</v>
      </c>
      <c r="H31" s="13" t="s">
        <v>138</v>
      </c>
      <c r="I31" s="13" t="s">
        <v>72</v>
      </c>
      <c r="J31" s="14" t="s">
        <v>115</v>
      </c>
      <c r="K31" s="15" t="s">
        <v>74</v>
      </c>
      <c r="L31" s="14" t="s">
        <v>224</v>
      </c>
      <c r="M31" s="13" t="s">
        <v>76</v>
      </c>
      <c r="N31" s="14" t="s">
        <v>225</v>
      </c>
    </row>
    <row r="32" customFormat="false" ht="20.85" hidden="false" customHeight="false" outlineLevel="0" collapsed="false">
      <c r="A32" s="13" t="s">
        <v>226</v>
      </c>
      <c r="B32" s="13" t="s">
        <v>227</v>
      </c>
      <c r="C32" s="13" t="s">
        <v>228</v>
      </c>
      <c r="D32" s="13" t="n">
        <v>1485</v>
      </c>
      <c r="E32" s="13" t="s">
        <v>229</v>
      </c>
      <c r="F32" s="13" t="s">
        <v>230</v>
      </c>
      <c r="G32" s="13" t="s">
        <v>96</v>
      </c>
      <c r="H32" s="13" t="s">
        <v>97</v>
      </c>
      <c r="I32" s="13" t="s">
        <v>72</v>
      </c>
      <c r="J32" s="14" t="s">
        <v>82</v>
      </c>
      <c r="K32" s="15" t="s">
        <v>74</v>
      </c>
      <c r="L32" s="14" t="s">
        <v>131</v>
      </c>
      <c r="M32" s="13" t="s">
        <v>76</v>
      </c>
      <c r="N32" s="14" t="s">
        <v>231</v>
      </c>
    </row>
    <row r="33" customFormat="false" ht="20.85" hidden="false" customHeight="false" outlineLevel="0" collapsed="false">
      <c r="A33" s="13" t="s">
        <v>232</v>
      </c>
      <c r="B33" s="13" t="s">
        <v>233</v>
      </c>
      <c r="C33" s="13" t="s">
        <v>234</v>
      </c>
      <c r="D33" s="13" t="n">
        <v>2151</v>
      </c>
      <c r="E33" s="13" t="s">
        <v>235</v>
      </c>
      <c r="F33" s="13" t="s">
        <v>236</v>
      </c>
      <c r="G33" s="13" t="s">
        <v>96</v>
      </c>
      <c r="H33" s="13" t="s">
        <v>138</v>
      </c>
      <c r="I33" s="13" t="s">
        <v>72</v>
      </c>
      <c r="J33" s="14" t="s">
        <v>115</v>
      </c>
      <c r="K33" s="15" t="s">
        <v>74</v>
      </c>
      <c r="L33" s="14" t="s">
        <v>224</v>
      </c>
      <c r="M33" s="13" t="s">
        <v>76</v>
      </c>
      <c r="N33" s="14" t="s">
        <v>237</v>
      </c>
    </row>
    <row r="34" customFormat="false" ht="20.85" hidden="false" customHeight="false" outlineLevel="0" collapsed="false">
      <c r="A34" s="13" t="s">
        <v>238</v>
      </c>
      <c r="B34" s="13" t="s">
        <v>239</v>
      </c>
      <c r="C34" s="13" t="s">
        <v>240</v>
      </c>
      <c r="D34" s="13" t="n">
        <v>469</v>
      </c>
      <c r="E34" s="13" t="s">
        <v>241</v>
      </c>
      <c r="F34" s="13" t="s">
        <v>242</v>
      </c>
      <c r="G34" s="13" t="s">
        <v>70</v>
      </c>
      <c r="H34" s="13" t="s">
        <v>71</v>
      </c>
      <c r="I34" s="13" t="s">
        <v>72</v>
      </c>
      <c r="J34" s="14" t="s">
        <v>73</v>
      </c>
      <c r="K34" s="15" t="s">
        <v>74</v>
      </c>
      <c r="L34" s="14" t="s">
        <v>75</v>
      </c>
      <c r="M34" s="13" t="s">
        <v>76</v>
      </c>
      <c r="N34" s="14" t="s">
        <v>243</v>
      </c>
    </row>
    <row r="35" customFormat="false" ht="20.85" hidden="false" customHeight="false" outlineLevel="0" collapsed="false">
      <c r="A35" s="13" t="s">
        <v>244</v>
      </c>
      <c r="B35" s="13" t="s">
        <v>245</v>
      </c>
      <c r="C35" s="13" t="s">
        <v>246</v>
      </c>
      <c r="D35" s="13" t="n">
        <v>2181</v>
      </c>
      <c r="E35" s="13" t="s">
        <v>247</v>
      </c>
      <c r="F35" s="13" t="s">
        <v>248</v>
      </c>
      <c r="G35" s="13" t="s">
        <v>146</v>
      </c>
      <c r="H35" s="13" t="s">
        <v>71</v>
      </c>
      <c r="I35" s="13" t="s">
        <v>72</v>
      </c>
      <c r="J35" s="14" t="s">
        <v>73</v>
      </c>
      <c r="K35" s="15" t="s">
        <v>74</v>
      </c>
      <c r="L35" s="14" t="s">
        <v>75</v>
      </c>
      <c r="M35" s="13" t="s">
        <v>76</v>
      </c>
      <c r="N35" s="14" t="s">
        <v>249</v>
      </c>
    </row>
    <row r="36" customFormat="false" ht="20.85" hidden="false" customHeight="false" outlineLevel="0" collapsed="false">
      <c r="A36" s="13" t="s">
        <v>250</v>
      </c>
      <c r="B36" s="13" t="s">
        <v>251</v>
      </c>
      <c r="C36" s="13" t="s">
        <v>252</v>
      </c>
      <c r="D36" s="13" t="n">
        <v>2816</v>
      </c>
      <c r="E36" s="13" t="s">
        <v>253</v>
      </c>
      <c r="F36" s="13" t="s">
        <v>254</v>
      </c>
      <c r="G36" s="13" t="s">
        <v>96</v>
      </c>
      <c r="H36" s="13" t="s">
        <v>123</v>
      </c>
      <c r="I36" s="13" t="s">
        <v>72</v>
      </c>
      <c r="J36" s="14" t="s">
        <v>73</v>
      </c>
      <c r="K36" s="15" t="s">
        <v>74</v>
      </c>
      <c r="L36" s="14" t="s">
        <v>255</v>
      </c>
      <c r="M36" s="13" t="s">
        <v>76</v>
      </c>
      <c r="N36" s="14" t="s">
        <v>256</v>
      </c>
    </row>
    <row r="37" customFormat="false" ht="20.85" hidden="false" customHeight="false" outlineLevel="0" collapsed="false">
      <c r="A37" s="13" t="s">
        <v>257</v>
      </c>
      <c r="B37" s="13" t="s">
        <v>258</v>
      </c>
      <c r="C37" s="13" t="s">
        <v>259</v>
      </c>
      <c r="D37" s="13" t="n">
        <v>2712</v>
      </c>
      <c r="E37" s="13" t="s">
        <v>260</v>
      </c>
      <c r="F37" s="13" t="s">
        <v>261</v>
      </c>
      <c r="G37" s="13" t="s">
        <v>70</v>
      </c>
      <c r="H37" s="13" t="s">
        <v>138</v>
      </c>
      <c r="I37" s="13" t="s">
        <v>72</v>
      </c>
      <c r="J37" s="14" t="s">
        <v>82</v>
      </c>
      <c r="K37" s="15" t="s">
        <v>74</v>
      </c>
      <c r="L37" s="14" t="s">
        <v>262</v>
      </c>
      <c r="M37" s="13" t="s">
        <v>76</v>
      </c>
      <c r="N37" s="14" t="s">
        <v>263</v>
      </c>
    </row>
    <row r="38" customFormat="false" ht="20.85" hidden="false" customHeight="false" outlineLevel="0" collapsed="false">
      <c r="A38" s="13" t="s">
        <v>264</v>
      </c>
      <c r="B38" s="13" t="s">
        <v>265</v>
      </c>
      <c r="C38" s="13" t="s">
        <v>266</v>
      </c>
      <c r="D38" s="13" t="n">
        <v>1100</v>
      </c>
      <c r="E38" s="13" t="s">
        <v>267</v>
      </c>
      <c r="F38" s="13" t="s">
        <v>268</v>
      </c>
      <c r="G38" s="13" t="s">
        <v>96</v>
      </c>
      <c r="H38" s="13" t="s">
        <v>123</v>
      </c>
      <c r="I38" s="13" t="s">
        <v>72</v>
      </c>
      <c r="J38" s="14" t="s">
        <v>82</v>
      </c>
      <c r="K38" s="15" t="s">
        <v>74</v>
      </c>
      <c r="L38" s="14" t="s">
        <v>269</v>
      </c>
      <c r="M38" s="13" t="s">
        <v>76</v>
      </c>
      <c r="N38" s="14" t="s">
        <v>270</v>
      </c>
    </row>
    <row r="39" customFormat="false" ht="20.85" hidden="false" customHeight="false" outlineLevel="0" collapsed="false">
      <c r="A39" s="13" t="s">
        <v>271</v>
      </c>
      <c r="B39" s="13" t="s">
        <v>258</v>
      </c>
      <c r="C39" s="13" t="s">
        <v>272</v>
      </c>
      <c r="D39" s="13" t="n">
        <v>1777</v>
      </c>
      <c r="E39" s="13" t="s">
        <v>273</v>
      </c>
      <c r="F39" s="13" t="s">
        <v>274</v>
      </c>
      <c r="G39" s="13" t="s">
        <v>70</v>
      </c>
      <c r="H39" s="13" t="s">
        <v>71</v>
      </c>
      <c r="I39" s="13" t="s">
        <v>72</v>
      </c>
      <c r="J39" s="14" t="s">
        <v>73</v>
      </c>
      <c r="K39" s="15" t="s">
        <v>74</v>
      </c>
      <c r="L39" s="14" t="s">
        <v>75</v>
      </c>
      <c r="M39" s="13" t="s">
        <v>76</v>
      </c>
      <c r="N39" s="14" t="s">
        <v>275</v>
      </c>
    </row>
    <row r="40" customFormat="false" ht="20.85" hidden="false" customHeight="false" outlineLevel="0" collapsed="false">
      <c r="A40" s="13" t="s">
        <v>276</v>
      </c>
      <c r="B40" s="13" t="s">
        <v>277</v>
      </c>
      <c r="C40" s="13" t="s">
        <v>278</v>
      </c>
      <c r="D40" s="13" t="n">
        <v>1134</v>
      </c>
      <c r="E40" s="13" t="s">
        <v>279</v>
      </c>
      <c r="F40" s="13" t="s">
        <v>280</v>
      </c>
      <c r="G40" s="13" t="s">
        <v>106</v>
      </c>
      <c r="H40" s="13" t="s">
        <v>97</v>
      </c>
      <c r="I40" s="13" t="s">
        <v>72</v>
      </c>
      <c r="J40" s="14" t="s">
        <v>82</v>
      </c>
      <c r="K40" s="15" t="s">
        <v>74</v>
      </c>
      <c r="L40" s="14" t="s">
        <v>131</v>
      </c>
      <c r="M40" s="13" t="s">
        <v>76</v>
      </c>
      <c r="N40" s="14" t="s">
        <v>281</v>
      </c>
    </row>
    <row r="41" customFormat="false" ht="20.85" hidden="false" customHeight="false" outlineLevel="0" collapsed="false">
      <c r="A41" s="13" t="s">
        <v>282</v>
      </c>
      <c r="B41" s="13" t="s">
        <v>258</v>
      </c>
      <c r="C41" s="13" t="s">
        <v>283</v>
      </c>
      <c r="D41" s="13" t="n">
        <v>420</v>
      </c>
      <c r="E41" s="13" t="s">
        <v>284</v>
      </c>
      <c r="F41" s="13" t="s">
        <v>285</v>
      </c>
      <c r="G41" s="13" t="s">
        <v>146</v>
      </c>
      <c r="H41" s="13" t="s">
        <v>71</v>
      </c>
      <c r="I41" s="13" t="s">
        <v>72</v>
      </c>
      <c r="J41" s="14" t="s">
        <v>115</v>
      </c>
      <c r="K41" s="15" t="s">
        <v>74</v>
      </c>
      <c r="L41" s="14" t="s">
        <v>116</v>
      </c>
      <c r="M41" s="13" t="s">
        <v>76</v>
      </c>
      <c r="N41" s="14" t="s">
        <v>286</v>
      </c>
    </row>
    <row r="42" customFormat="false" ht="20.85" hidden="false" customHeight="false" outlineLevel="0" collapsed="false">
      <c r="A42" s="13" t="s">
        <v>287</v>
      </c>
      <c r="B42" s="13" t="s">
        <v>288</v>
      </c>
      <c r="C42" s="13" t="s">
        <v>289</v>
      </c>
      <c r="D42" s="13" t="n">
        <v>2537</v>
      </c>
      <c r="E42" s="13" t="s">
        <v>290</v>
      </c>
      <c r="F42" s="13" t="s">
        <v>291</v>
      </c>
      <c r="G42" s="13" t="s">
        <v>90</v>
      </c>
      <c r="H42" s="13" t="s">
        <v>97</v>
      </c>
      <c r="I42" s="13" t="s">
        <v>72</v>
      </c>
      <c r="J42" s="14" t="s">
        <v>73</v>
      </c>
      <c r="K42" s="15" t="s">
        <v>74</v>
      </c>
      <c r="L42" s="14" t="s">
        <v>292</v>
      </c>
      <c r="M42" s="13" t="s">
        <v>76</v>
      </c>
      <c r="N42" s="14" t="s">
        <v>293</v>
      </c>
    </row>
    <row r="43" customFormat="false" ht="20.85" hidden="false" customHeight="false" outlineLevel="0" collapsed="false">
      <c r="A43" s="13" t="s">
        <v>294</v>
      </c>
      <c r="B43" s="13" t="s">
        <v>239</v>
      </c>
      <c r="C43" s="13" t="s">
        <v>295</v>
      </c>
      <c r="D43" s="13" t="n">
        <v>2178</v>
      </c>
      <c r="E43" s="13" t="s">
        <v>296</v>
      </c>
      <c r="F43" s="13" t="s">
        <v>297</v>
      </c>
      <c r="G43" s="13" t="s">
        <v>96</v>
      </c>
      <c r="H43" s="13" t="s">
        <v>71</v>
      </c>
      <c r="I43" s="13" t="s">
        <v>72</v>
      </c>
      <c r="J43" s="14" t="s">
        <v>115</v>
      </c>
      <c r="K43" s="15" t="s">
        <v>74</v>
      </c>
      <c r="L43" s="14" t="s">
        <v>116</v>
      </c>
      <c r="M43" s="13" t="s">
        <v>76</v>
      </c>
      <c r="N43" s="14" t="s">
        <v>298</v>
      </c>
    </row>
    <row r="44" customFormat="false" ht="20.85" hidden="false" customHeight="false" outlineLevel="0" collapsed="false">
      <c r="A44" s="13" t="s">
        <v>299</v>
      </c>
      <c r="B44" s="13" t="s">
        <v>300</v>
      </c>
      <c r="C44" s="13" t="s">
        <v>301</v>
      </c>
      <c r="D44" s="13" t="n">
        <v>1924</v>
      </c>
      <c r="E44" s="13" t="s">
        <v>302</v>
      </c>
      <c r="F44" s="13" t="s">
        <v>303</v>
      </c>
      <c r="G44" s="13" t="s">
        <v>96</v>
      </c>
      <c r="H44" s="13" t="s">
        <v>97</v>
      </c>
      <c r="I44" s="13" t="s">
        <v>72</v>
      </c>
      <c r="J44" s="14" t="s">
        <v>82</v>
      </c>
      <c r="K44" s="15" t="s">
        <v>74</v>
      </c>
      <c r="L44" s="14" t="s">
        <v>131</v>
      </c>
      <c r="M44" s="13" t="s">
        <v>76</v>
      </c>
      <c r="N44" s="14" t="s">
        <v>304</v>
      </c>
    </row>
    <row r="45" customFormat="false" ht="15" hidden="false" customHeight="false" outlineLevel="0" collapsed="false">
      <c r="A45" s="13" t="s">
        <v>305</v>
      </c>
      <c r="B45" s="13" t="s">
        <v>306</v>
      </c>
      <c r="C45" s="13" t="s">
        <v>307</v>
      </c>
      <c r="D45" s="13" t="n">
        <v>781</v>
      </c>
      <c r="E45" s="13" t="s">
        <v>308</v>
      </c>
      <c r="F45" s="13" t="s">
        <v>309</v>
      </c>
      <c r="G45" s="13" t="s">
        <v>70</v>
      </c>
      <c r="H45" s="13" t="s">
        <v>123</v>
      </c>
      <c r="I45" s="13" t="s">
        <v>107</v>
      </c>
      <c r="J45" s="14" t="s">
        <v>73</v>
      </c>
      <c r="K45" s="16" t="s">
        <v>48</v>
      </c>
      <c r="L45" s="14" t="s">
        <v>310</v>
      </c>
      <c r="M45" s="13" t="s">
        <v>76</v>
      </c>
      <c r="N45" s="14" t="s">
        <v>311</v>
      </c>
    </row>
    <row r="46" customFormat="false" ht="20.85" hidden="false" customHeight="false" outlineLevel="0" collapsed="false">
      <c r="A46" s="13" t="s">
        <v>312</v>
      </c>
      <c r="B46" s="13" t="s">
        <v>313</v>
      </c>
      <c r="C46" s="13" t="s">
        <v>314</v>
      </c>
      <c r="D46" s="13" t="n">
        <v>193</v>
      </c>
      <c r="E46" s="13" t="s">
        <v>315</v>
      </c>
      <c r="F46" s="13" t="s">
        <v>316</v>
      </c>
      <c r="G46" s="13" t="s">
        <v>96</v>
      </c>
      <c r="H46" s="13" t="s">
        <v>138</v>
      </c>
      <c r="I46" s="13" t="s">
        <v>72</v>
      </c>
      <c r="J46" s="14" t="s">
        <v>115</v>
      </c>
      <c r="K46" s="15" t="s">
        <v>74</v>
      </c>
      <c r="L46" s="14" t="s">
        <v>224</v>
      </c>
      <c r="M46" s="13" t="s">
        <v>76</v>
      </c>
      <c r="N46" s="14" t="s">
        <v>317</v>
      </c>
    </row>
    <row r="47" customFormat="false" ht="20.85" hidden="false" customHeight="false" outlineLevel="0" collapsed="false">
      <c r="A47" s="13" t="s">
        <v>318</v>
      </c>
      <c r="B47" s="13" t="s">
        <v>319</v>
      </c>
      <c r="C47" s="13" t="s">
        <v>320</v>
      </c>
      <c r="D47" s="13" t="n">
        <v>319</v>
      </c>
      <c r="E47" s="13" t="s">
        <v>321</v>
      </c>
      <c r="F47" s="13" t="s">
        <v>322</v>
      </c>
      <c r="G47" s="13" t="s">
        <v>90</v>
      </c>
      <c r="H47" s="13" t="s">
        <v>97</v>
      </c>
      <c r="I47" s="13" t="s">
        <v>72</v>
      </c>
      <c r="J47" s="14" t="s">
        <v>82</v>
      </c>
      <c r="K47" s="15" t="s">
        <v>74</v>
      </c>
      <c r="L47" s="14" t="s">
        <v>131</v>
      </c>
      <c r="M47" s="13" t="s">
        <v>76</v>
      </c>
      <c r="N47" s="14" t="s">
        <v>323</v>
      </c>
    </row>
    <row r="48" customFormat="false" ht="20.85" hidden="false" customHeight="false" outlineLevel="0" collapsed="false">
      <c r="A48" s="13" t="s">
        <v>324</v>
      </c>
      <c r="B48" s="13" t="s">
        <v>325</v>
      </c>
      <c r="C48" s="13" t="s">
        <v>326</v>
      </c>
      <c r="D48" s="13" t="n">
        <v>1173</v>
      </c>
      <c r="E48" s="13" t="s">
        <v>327</v>
      </c>
      <c r="F48" s="13" t="s">
        <v>328</v>
      </c>
      <c r="G48" s="13" t="s">
        <v>146</v>
      </c>
      <c r="H48" s="13" t="s">
        <v>71</v>
      </c>
      <c r="I48" s="13" t="s">
        <v>72</v>
      </c>
      <c r="J48" s="14" t="s">
        <v>98</v>
      </c>
      <c r="K48" s="15" t="s">
        <v>74</v>
      </c>
      <c r="L48" s="14" t="s">
        <v>152</v>
      </c>
      <c r="M48" s="13" t="s">
        <v>76</v>
      </c>
      <c r="N48" s="14" t="s">
        <v>329</v>
      </c>
    </row>
    <row r="49" customFormat="false" ht="20.85" hidden="false" customHeight="false" outlineLevel="0" collapsed="false">
      <c r="A49" s="13" t="s">
        <v>330</v>
      </c>
      <c r="B49" s="13" t="s">
        <v>331</v>
      </c>
      <c r="C49" s="13" t="s">
        <v>332</v>
      </c>
      <c r="D49" s="13" t="n">
        <v>568</v>
      </c>
      <c r="E49" s="13" t="s">
        <v>333</v>
      </c>
      <c r="F49" s="13" t="s">
        <v>334</v>
      </c>
      <c r="G49" s="13" t="s">
        <v>70</v>
      </c>
      <c r="H49" s="13" t="s">
        <v>138</v>
      </c>
      <c r="I49" s="13" t="s">
        <v>72</v>
      </c>
      <c r="J49" s="14" t="s">
        <v>82</v>
      </c>
      <c r="K49" s="15" t="s">
        <v>74</v>
      </c>
      <c r="L49" s="14" t="s">
        <v>262</v>
      </c>
      <c r="M49" s="13" t="s">
        <v>76</v>
      </c>
      <c r="N49" s="14" t="s">
        <v>335</v>
      </c>
    </row>
    <row r="50" customFormat="false" ht="20.85" hidden="false" customHeight="false" outlineLevel="0" collapsed="false">
      <c r="A50" s="13" t="s">
        <v>336</v>
      </c>
      <c r="B50" s="13" t="s">
        <v>313</v>
      </c>
      <c r="C50" s="13" t="s">
        <v>337</v>
      </c>
      <c r="D50" s="13" t="n">
        <v>2758</v>
      </c>
      <c r="E50" s="13" t="s">
        <v>338</v>
      </c>
      <c r="F50" s="13" t="s">
        <v>339</v>
      </c>
      <c r="G50" s="13" t="s">
        <v>70</v>
      </c>
      <c r="H50" s="13" t="s">
        <v>123</v>
      </c>
      <c r="I50" s="13" t="s">
        <v>72</v>
      </c>
      <c r="J50" s="14" t="s">
        <v>73</v>
      </c>
      <c r="K50" s="15" t="s">
        <v>74</v>
      </c>
      <c r="L50" s="14" t="s">
        <v>255</v>
      </c>
      <c r="M50" s="13" t="s">
        <v>76</v>
      </c>
      <c r="N50" s="14" t="s">
        <v>340</v>
      </c>
    </row>
    <row r="51" customFormat="false" ht="20.85" hidden="false" customHeight="false" outlineLevel="0" collapsed="false">
      <c r="A51" s="13" t="s">
        <v>341</v>
      </c>
      <c r="B51" s="13" t="s">
        <v>342</v>
      </c>
      <c r="C51" s="13" t="s">
        <v>343</v>
      </c>
      <c r="D51" s="13" t="n">
        <v>1535</v>
      </c>
      <c r="E51" s="13" t="s">
        <v>344</v>
      </c>
      <c r="F51" s="13" t="s">
        <v>345</v>
      </c>
      <c r="G51" s="13" t="s">
        <v>96</v>
      </c>
      <c r="H51" s="13" t="s">
        <v>138</v>
      </c>
      <c r="I51" s="13" t="s">
        <v>72</v>
      </c>
      <c r="J51" s="14" t="s">
        <v>82</v>
      </c>
      <c r="K51" s="15" t="s">
        <v>74</v>
      </c>
      <c r="L51" s="14" t="s">
        <v>262</v>
      </c>
      <c r="M51" s="13" t="s">
        <v>76</v>
      </c>
      <c r="N51" s="14" t="s">
        <v>346</v>
      </c>
    </row>
    <row r="52" customFormat="false" ht="20.85" hidden="false" customHeight="false" outlineLevel="0" collapsed="false">
      <c r="A52" s="13" t="s">
        <v>347</v>
      </c>
      <c r="B52" s="13" t="s">
        <v>348</v>
      </c>
      <c r="C52" s="13" t="s">
        <v>349</v>
      </c>
      <c r="D52" s="13" t="n">
        <v>1663</v>
      </c>
      <c r="E52" s="13" t="s">
        <v>350</v>
      </c>
      <c r="F52" s="13" t="s">
        <v>351</v>
      </c>
      <c r="G52" s="13" t="s">
        <v>90</v>
      </c>
      <c r="H52" s="13" t="s">
        <v>71</v>
      </c>
      <c r="I52" s="13" t="s">
        <v>72</v>
      </c>
      <c r="J52" s="14" t="s">
        <v>82</v>
      </c>
      <c r="K52" s="15" t="s">
        <v>74</v>
      </c>
      <c r="L52" s="14" t="s">
        <v>83</v>
      </c>
      <c r="M52" s="13" t="s">
        <v>76</v>
      </c>
      <c r="N52" s="14" t="s">
        <v>352</v>
      </c>
    </row>
    <row r="53" customFormat="false" ht="20.85" hidden="false" customHeight="false" outlineLevel="0" collapsed="false">
      <c r="A53" s="13" t="s">
        <v>353</v>
      </c>
      <c r="B53" s="13" t="s">
        <v>354</v>
      </c>
      <c r="C53" s="13" t="s">
        <v>355</v>
      </c>
      <c r="D53" s="13" t="n">
        <v>129</v>
      </c>
      <c r="E53" s="13" t="s">
        <v>356</v>
      </c>
      <c r="F53" s="13" t="s">
        <v>357</v>
      </c>
      <c r="G53" s="13" t="s">
        <v>90</v>
      </c>
      <c r="H53" s="13" t="s">
        <v>123</v>
      </c>
      <c r="I53" s="13" t="s">
        <v>72</v>
      </c>
      <c r="J53" s="14" t="s">
        <v>98</v>
      </c>
      <c r="K53" s="15" t="s">
        <v>74</v>
      </c>
      <c r="L53" s="14" t="s">
        <v>124</v>
      </c>
      <c r="M53" s="13" t="s">
        <v>76</v>
      </c>
      <c r="N53" s="14" t="s">
        <v>358</v>
      </c>
    </row>
    <row r="54" customFormat="false" ht="20.85" hidden="false" customHeight="false" outlineLevel="0" collapsed="false">
      <c r="A54" s="13" t="s">
        <v>359</v>
      </c>
      <c r="B54" s="13" t="s">
        <v>300</v>
      </c>
      <c r="C54" s="13" t="s">
        <v>360</v>
      </c>
      <c r="D54" s="13" t="n">
        <v>2100</v>
      </c>
      <c r="E54" s="13" t="s">
        <v>361</v>
      </c>
      <c r="F54" s="13" t="s">
        <v>362</v>
      </c>
      <c r="G54" s="13" t="s">
        <v>106</v>
      </c>
      <c r="H54" s="13" t="s">
        <v>71</v>
      </c>
      <c r="I54" s="13" t="s">
        <v>72</v>
      </c>
      <c r="J54" s="14" t="s">
        <v>115</v>
      </c>
      <c r="K54" s="15" t="s">
        <v>74</v>
      </c>
      <c r="L54" s="14" t="s">
        <v>116</v>
      </c>
      <c r="M54" s="13" t="s">
        <v>76</v>
      </c>
      <c r="N54" s="14" t="s">
        <v>363</v>
      </c>
    </row>
    <row r="55" customFormat="false" ht="20.85" hidden="false" customHeight="false" outlineLevel="0" collapsed="false">
      <c r="A55" s="13" t="s">
        <v>364</v>
      </c>
      <c r="B55" s="13" t="s">
        <v>365</v>
      </c>
      <c r="C55" s="13" t="s">
        <v>366</v>
      </c>
      <c r="D55" s="13" t="n">
        <v>2857</v>
      </c>
      <c r="E55" s="13" t="s">
        <v>367</v>
      </c>
      <c r="F55" s="13" t="s">
        <v>368</v>
      </c>
      <c r="G55" s="13" t="s">
        <v>146</v>
      </c>
      <c r="H55" s="13" t="s">
        <v>97</v>
      </c>
      <c r="I55" s="13" t="s">
        <v>72</v>
      </c>
      <c r="J55" s="14" t="s">
        <v>73</v>
      </c>
      <c r="K55" s="15" t="s">
        <v>74</v>
      </c>
      <c r="L55" s="14" t="s">
        <v>292</v>
      </c>
      <c r="M55" s="13" t="s">
        <v>76</v>
      </c>
      <c r="N55" s="14" t="s">
        <v>369</v>
      </c>
    </row>
    <row r="56" customFormat="false" ht="20.85" hidden="false" customHeight="false" outlineLevel="0" collapsed="false">
      <c r="A56" s="13" t="s">
        <v>370</v>
      </c>
      <c r="B56" s="13" t="s">
        <v>371</v>
      </c>
      <c r="C56" s="13" t="s">
        <v>372</v>
      </c>
      <c r="D56" s="13" t="n">
        <v>54</v>
      </c>
      <c r="E56" s="13" t="s">
        <v>373</v>
      </c>
      <c r="F56" s="13" t="s">
        <v>374</v>
      </c>
      <c r="G56" s="13" t="s">
        <v>96</v>
      </c>
      <c r="H56" s="13" t="s">
        <v>71</v>
      </c>
      <c r="I56" s="13" t="s">
        <v>72</v>
      </c>
      <c r="J56" s="14" t="s">
        <v>82</v>
      </c>
      <c r="K56" s="15" t="s">
        <v>74</v>
      </c>
      <c r="L56" s="14" t="s">
        <v>83</v>
      </c>
      <c r="M56" s="13" t="s">
        <v>76</v>
      </c>
      <c r="N56" s="14" t="s">
        <v>375</v>
      </c>
    </row>
    <row r="57" customFormat="false" ht="20.85" hidden="false" customHeight="false" outlineLevel="0" collapsed="false">
      <c r="A57" s="13" t="s">
        <v>376</v>
      </c>
      <c r="B57" s="13" t="s">
        <v>377</v>
      </c>
      <c r="C57" s="13" t="s">
        <v>378</v>
      </c>
      <c r="D57" s="13" t="n">
        <v>712</v>
      </c>
      <c r="E57" s="13" t="s">
        <v>379</v>
      </c>
      <c r="F57" s="13" t="s">
        <v>380</v>
      </c>
      <c r="G57" s="13" t="s">
        <v>90</v>
      </c>
      <c r="H57" s="13" t="s">
        <v>71</v>
      </c>
      <c r="I57" s="13" t="s">
        <v>72</v>
      </c>
      <c r="J57" s="14" t="s">
        <v>82</v>
      </c>
      <c r="K57" s="15" t="s">
        <v>74</v>
      </c>
      <c r="L57" s="14" t="s">
        <v>83</v>
      </c>
      <c r="M57" s="13" t="s">
        <v>76</v>
      </c>
      <c r="N57" s="14" t="s">
        <v>381</v>
      </c>
    </row>
    <row r="58" customFormat="false" ht="20.85" hidden="false" customHeight="false" outlineLevel="0" collapsed="false">
      <c r="A58" s="13" t="s">
        <v>382</v>
      </c>
      <c r="B58" s="13" t="s">
        <v>383</v>
      </c>
      <c r="C58" s="13" t="s">
        <v>384</v>
      </c>
      <c r="D58" s="13" t="n">
        <v>1160</v>
      </c>
      <c r="E58" s="13" t="s">
        <v>385</v>
      </c>
      <c r="F58" s="13" t="s">
        <v>386</v>
      </c>
      <c r="G58" s="13" t="s">
        <v>70</v>
      </c>
      <c r="H58" s="13" t="s">
        <v>97</v>
      </c>
      <c r="I58" s="13" t="s">
        <v>72</v>
      </c>
      <c r="J58" s="14" t="s">
        <v>115</v>
      </c>
      <c r="K58" s="15" t="s">
        <v>74</v>
      </c>
      <c r="L58" s="14" t="s">
        <v>387</v>
      </c>
      <c r="M58" s="13" t="s">
        <v>76</v>
      </c>
      <c r="N58" s="14" t="s">
        <v>388</v>
      </c>
    </row>
    <row r="59" customFormat="false" ht="20.85" hidden="false" customHeight="false" outlineLevel="0" collapsed="false">
      <c r="A59" s="13" t="s">
        <v>389</v>
      </c>
      <c r="B59" s="13" t="s">
        <v>390</v>
      </c>
      <c r="C59" s="13" t="s">
        <v>391</v>
      </c>
      <c r="D59" s="13" t="n">
        <v>242</v>
      </c>
      <c r="E59" s="13" t="s">
        <v>392</v>
      </c>
      <c r="F59" s="13" t="s">
        <v>393</v>
      </c>
      <c r="G59" s="13" t="s">
        <v>146</v>
      </c>
      <c r="H59" s="13" t="s">
        <v>71</v>
      </c>
      <c r="I59" s="13" t="s">
        <v>72</v>
      </c>
      <c r="J59" s="14" t="s">
        <v>82</v>
      </c>
      <c r="K59" s="15" t="s">
        <v>74</v>
      </c>
      <c r="L59" s="14" t="s">
        <v>83</v>
      </c>
      <c r="M59" s="13" t="s">
        <v>76</v>
      </c>
      <c r="N59" s="14" t="s">
        <v>394</v>
      </c>
    </row>
    <row r="60" customFormat="false" ht="20.85" hidden="false" customHeight="false" outlineLevel="0" collapsed="false">
      <c r="A60" s="13" t="s">
        <v>395</v>
      </c>
      <c r="B60" s="13" t="s">
        <v>396</v>
      </c>
      <c r="C60" s="13" t="s">
        <v>397</v>
      </c>
      <c r="D60" s="13" t="n">
        <v>1199</v>
      </c>
      <c r="E60" s="13" t="s">
        <v>398</v>
      </c>
      <c r="F60" s="13" t="s">
        <v>399</v>
      </c>
      <c r="G60" s="13" t="s">
        <v>90</v>
      </c>
      <c r="H60" s="13" t="s">
        <v>97</v>
      </c>
      <c r="I60" s="13" t="s">
        <v>72</v>
      </c>
      <c r="J60" s="14" t="s">
        <v>82</v>
      </c>
      <c r="K60" s="15" t="s">
        <v>74</v>
      </c>
      <c r="L60" s="14" t="s">
        <v>131</v>
      </c>
      <c r="M60" s="13" t="s">
        <v>76</v>
      </c>
      <c r="N60" s="14" t="s">
        <v>400</v>
      </c>
    </row>
    <row r="61" customFormat="false" ht="20.85" hidden="false" customHeight="false" outlineLevel="0" collapsed="false">
      <c r="A61" s="13" t="s">
        <v>401</v>
      </c>
      <c r="B61" s="13" t="s">
        <v>402</v>
      </c>
      <c r="C61" s="13" t="s">
        <v>403</v>
      </c>
      <c r="D61" s="13" t="n">
        <v>248</v>
      </c>
      <c r="E61" s="13" t="s">
        <v>404</v>
      </c>
      <c r="F61" s="13" t="s">
        <v>405</v>
      </c>
      <c r="G61" s="13" t="s">
        <v>146</v>
      </c>
      <c r="H61" s="13" t="s">
        <v>123</v>
      </c>
      <c r="I61" s="13" t="s">
        <v>72</v>
      </c>
      <c r="J61" s="14" t="s">
        <v>82</v>
      </c>
      <c r="K61" s="15" t="s">
        <v>74</v>
      </c>
      <c r="L61" s="14" t="s">
        <v>269</v>
      </c>
      <c r="M61" s="13" t="s">
        <v>76</v>
      </c>
      <c r="N61" s="14" t="s">
        <v>406</v>
      </c>
    </row>
    <row r="62" customFormat="false" ht="20.85" hidden="false" customHeight="false" outlineLevel="0" collapsed="false">
      <c r="A62" s="13" t="s">
        <v>407</v>
      </c>
      <c r="B62" s="13" t="s">
        <v>408</v>
      </c>
      <c r="C62" s="13" t="s">
        <v>409</v>
      </c>
      <c r="D62" s="13" t="n">
        <v>1206</v>
      </c>
      <c r="E62" s="13" t="s">
        <v>410</v>
      </c>
      <c r="F62" s="13" t="s">
        <v>411</v>
      </c>
      <c r="G62" s="13" t="s">
        <v>90</v>
      </c>
      <c r="H62" s="13" t="s">
        <v>71</v>
      </c>
      <c r="I62" s="13" t="s">
        <v>72</v>
      </c>
      <c r="J62" s="14" t="s">
        <v>82</v>
      </c>
      <c r="K62" s="15" t="s">
        <v>74</v>
      </c>
      <c r="L62" s="14" t="s">
        <v>83</v>
      </c>
      <c r="M62" s="13" t="s">
        <v>76</v>
      </c>
      <c r="N62" s="14" t="s">
        <v>412</v>
      </c>
    </row>
    <row r="63" customFormat="false" ht="20.85" hidden="false" customHeight="false" outlineLevel="0" collapsed="false">
      <c r="A63" s="13" t="s">
        <v>413</v>
      </c>
      <c r="B63" s="13" t="s">
        <v>402</v>
      </c>
      <c r="C63" s="13" t="s">
        <v>414</v>
      </c>
      <c r="D63" s="13" t="n">
        <v>1706</v>
      </c>
      <c r="E63" s="13" t="s">
        <v>415</v>
      </c>
      <c r="F63" s="13" t="s">
        <v>416</v>
      </c>
      <c r="G63" s="13" t="s">
        <v>70</v>
      </c>
      <c r="H63" s="13" t="s">
        <v>138</v>
      </c>
      <c r="I63" s="13" t="s">
        <v>72</v>
      </c>
      <c r="J63" s="14" t="s">
        <v>73</v>
      </c>
      <c r="K63" s="15" t="s">
        <v>74</v>
      </c>
      <c r="L63" s="14" t="s">
        <v>139</v>
      </c>
      <c r="M63" s="13" t="s">
        <v>76</v>
      </c>
      <c r="N63" s="14" t="s">
        <v>417</v>
      </c>
    </row>
    <row r="64" customFormat="false" ht="20.85" hidden="false" customHeight="false" outlineLevel="0" collapsed="false">
      <c r="A64" s="13" t="s">
        <v>418</v>
      </c>
      <c r="B64" s="13" t="s">
        <v>377</v>
      </c>
      <c r="C64" s="13" t="s">
        <v>419</v>
      </c>
      <c r="D64" s="13" t="n">
        <v>924</v>
      </c>
      <c r="E64" s="13" t="s">
        <v>420</v>
      </c>
      <c r="F64" s="13" t="s">
        <v>421</v>
      </c>
      <c r="G64" s="13" t="s">
        <v>106</v>
      </c>
      <c r="H64" s="13" t="s">
        <v>71</v>
      </c>
      <c r="I64" s="13" t="s">
        <v>72</v>
      </c>
      <c r="J64" s="14" t="s">
        <v>98</v>
      </c>
      <c r="K64" s="15" t="s">
        <v>74</v>
      </c>
      <c r="L64" s="14" t="s">
        <v>152</v>
      </c>
      <c r="M64" s="13" t="s">
        <v>76</v>
      </c>
      <c r="N64" s="14" t="s">
        <v>422</v>
      </c>
    </row>
    <row r="65" customFormat="false" ht="20.85" hidden="false" customHeight="false" outlineLevel="0" collapsed="false">
      <c r="A65" s="13" t="s">
        <v>423</v>
      </c>
      <c r="B65" s="13" t="s">
        <v>424</v>
      </c>
      <c r="C65" s="13" t="s">
        <v>425</v>
      </c>
      <c r="D65" s="13" t="n">
        <v>2652</v>
      </c>
      <c r="E65" s="13" t="s">
        <v>426</v>
      </c>
      <c r="F65" s="13" t="s">
        <v>427</v>
      </c>
      <c r="G65" s="13" t="s">
        <v>90</v>
      </c>
      <c r="H65" s="13" t="s">
        <v>71</v>
      </c>
      <c r="I65" s="13" t="s">
        <v>72</v>
      </c>
      <c r="J65" s="14" t="s">
        <v>115</v>
      </c>
      <c r="K65" s="15" t="s">
        <v>74</v>
      </c>
      <c r="L65" s="14" t="s">
        <v>116</v>
      </c>
      <c r="M65" s="13" t="s">
        <v>76</v>
      </c>
      <c r="N65" s="14" t="s">
        <v>428</v>
      </c>
    </row>
    <row r="66" customFormat="false" ht="20.85" hidden="false" customHeight="false" outlineLevel="0" collapsed="false">
      <c r="A66" s="13" t="s">
        <v>429</v>
      </c>
      <c r="B66" s="13" t="s">
        <v>430</v>
      </c>
      <c r="C66" s="13" t="s">
        <v>431</v>
      </c>
      <c r="D66" s="13" t="n">
        <v>2411</v>
      </c>
      <c r="E66" s="13" t="s">
        <v>432</v>
      </c>
      <c r="F66" s="13" t="s">
        <v>433</v>
      </c>
      <c r="G66" s="13" t="s">
        <v>96</v>
      </c>
      <c r="H66" s="13" t="s">
        <v>123</v>
      </c>
      <c r="I66" s="13" t="s">
        <v>72</v>
      </c>
      <c r="J66" s="14" t="s">
        <v>98</v>
      </c>
      <c r="K66" s="15" t="s">
        <v>74</v>
      </c>
      <c r="L66" s="14" t="s">
        <v>124</v>
      </c>
      <c r="M66" s="13" t="s">
        <v>76</v>
      </c>
      <c r="N66" s="14" t="s">
        <v>434</v>
      </c>
    </row>
    <row r="67" customFormat="false" ht="20.85" hidden="false" customHeight="false" outlineLevel="0" collapsed="false">
      <c r="A67" s="13" t="s">
        <v>435</v>
      </c>
      <c r="B67" s="13" t="s">
        <v>436</v>
      </c>
      <c r="C67" s="13" t="s">
        <v>437</v>
      </c>
      <c r="D67" s="13" t="n">
        <v>29</v>
      </c>
      <c r="E67" s="13" t="s">
        <v>438</v>
      </c>
      <c r="F67" s="13" t="s">
        <v>439</v>
      </c>
      <c r="G67" s="13" t="s">
        <v>106</v>
      </c>
      <c r="H67" s="13" t="s">
        <v>123</v>
      </c>
      <c r="I67" s="13" t="s">
        <v>72</v>
      </c>
      <c r="J67" s="14" t="s">
        <v>82</v>
      </c>
      <c r="K67" s="15" t="s">
        <v>74</v>
      </c>
      <c r="L67" s="14" t="s">
        <v>269</v>
      </c>
      <c r="M67" s="13" t="s">
        <v>76</v>
      </c>
      <c r="N67" s="14" t="s">
        <v>440</v>
      </c>
    </row>
    <row r="68" customFormat="false" ht="20.85" hidden="false" customHeight="false" outlineLevel="0" collapsed="false">
      <c r="A68" s="13" t="s">
        <v>441</v>
      </c>
      <c r="B68" s="13" t="s">
        <v>442</v>
      </c>
      <c r="C68" s="13" t="s">
        <v>443</v>
      </c>
      <c r="D68" s="13" t="n">
        <v>847</v>
      </c>
      <c r="E68" s="13" t="s">
        <v>444</v>
      </c>
      <c r="F68" s="13" t="s">
        <v>445</v>
      </c>
      <c r="G68" s="13" t="s">
        <v>106</v>
      </c>
      <c r="H68" s="13" t="s">
        <v>97</v>
      </c>
      <c r="I68" s="13" t="s">
        <v>72</v>
      </c>
      <c r="J68" s="14" t="s">
        <v>73</v>
      </c>
      <c r="K68" s="15" t="s">
        <v>74</v>
      </c>
      <c r="L68" s="14" t="s">
        <v>292</v>
      </c>
      <c r="M68" s="13" t="s">
        <v>76</v>
      </c>
      <c r="N68" s="14" t="s">
        <v>446</v>
      </c>
    </row>
    <row r="69" customFormat="false" ht="20.85" hidden="false" customHeight="false" outlineLevel="0" collapsed="false">
      <c r="A69" s="13" t="s">
        <v>447</v>
      </c>
      <c r="B69" s="13" t="s">
        <v>448</v>
      </c>
      <c r="C69" s="13" t="s">
        <v>449</v>
      </c>
      <c r="D69" s="13" t="n">
        <v>297</v>
      </c>
      <c r="E69" s="13" t="s">
        <v>450</v>
      </c>
      <c r="F69" s="13" t="s">
        <v>451</v>
      </c>
      <c r="G69" s="13" t="s">
        <v>96</v>
      </c>
      <c r="H69" s="13" t="s">
        <v>97</v>
      </c>
      <c r="I69" s="13" t="s">
        <v>72</v>
      </c>
      <c r="J69" s="14" t="s">
        <v>82</v>
      </c>
      <c r="K69" s="15" t="s">
        <v>74</v>
      </c>
      <c r="L69" s="14" t="s">
        <v>131</v>
      </c>
      <c r="M69" s="13" t="s">
        <v>76</v>
      </c>
      <c r="N69" s="14" t="s">
        <v>452</v>
      </c>
    </row>
    <row r="70" customFormat="false" ht="20.85" hidden="false" customHeight="false" outlineLevel="0" collapsed="false">
      <c r="A70" s="13" t="s">
        <v>453</v>
      </c>
      <c r="B70" s="13" t="s">
        <v>454</v>
      </c>
      <c r="C70" s="13" t="s">
        <v>455</v>
      </c>
      <c r="D70" s="13" t="n">
        <v>1603</v>
      </c>
      <c r="E70" s="13" t="s">
        <v>456</v>
      </c>
      <c r="F70" s="13" t="s">
        <v>457</v>
      </c>
      <c r="G70" s="13" t="s">
        <v>90</v>
      </c>
      <c r="H70" s="13" t="s">
        <v>138</v>
      </c>
      <c r="I70" s="13" t="s">
        <v>72</v>
      </c>
      <c r="J70" s="14" t="s">
        <v>98</v>
      </c>
      <c r="K70" s="15" t="s">
        <v>74</v>
      </c>
      <c r="L70" s="14" t="s">
        <v>165</v>
      </c>
      <c r="M70" s="13" t="s">
        <v>76</v>
      </c>
      <c r="N70" s="14" t="s">
        <v>458</v>
      </c>
    </row>
    <row r="71" customFormat="false" ht="20.85" hidden="false" customHeight="false" outlineLevel="0" collapsed="false">
      <c r="A71" s="13" t="s">
        <v>459</v>
      </c>
      <c r="B71" s="13" t="s">
        <v>460</v>
      </c>
      <c r="C71" s="13" t="s">
        <v>461</v>
      </c>
      <c r="D71" s="13" t="n">
        <v>2153</v>
      </c>
      <c r="E71" s="13" t="s">
        <v>462</v>
      </c>
      <c r="F71" s="13" t="s">
        <v>463</v>
      </c>
      <c r="G71" s="13" t="s">
        <v>106</v>
      </c>
      <c r="H71" s="13" t="s">
        <v>123</v>
      </c>
      <c r="I71" s="13" t="s">
        <v>72</v>
      </c>
      <c r="J71" s="14" t="s">
        <v>115</v>
      </c>
      <c r="K71" s="15" t="s">
        <v>74</v>
      </c>
      <c r="L71" s="14" t="s">
        <v>464</v>
      </c>
      <c r="M71" s="13" t="s">
        <v>76</v>
      </c>
      <c r="N71" s="14" t="s">
        <v>465</v>
      </c>
    </row>
    <row r="72" customFormat="false" ht="20.85" hidden="false" customHeight="false" outlineLevel="0" collapsed="false">
      <c r="A72" s="13" t="s">
        <v>466</v>
      </c>
      <c r="B72" s="13" t="s">
        <v>460</v>
      </c>
      <c r="C72" s="13" t="s">
        <v>467</v>
      </c>
      <c r="D72" s="13" t="n">
        <v>1650</v>
      </c>
      <c r="E72" s="13" t="s">
        <v>468</v>
      </c>
      <c r="F72" s="13" t="s">
        <v>469</v>
      </c>
      <c r="G72" s="13" t="s">
        <v>106</v>
      </c>
      <c r="H72" s="13" t="s">
        <v>138</v>
      </c>
      <c r="I72" s="13" t="s">
        <v>72</v>
      </c>
      <c r="J72" s="14" t="s">
        <v>73</v>
      </c>
      <c r="K72" s="15" t="s">
        <v>74</v>
      </c>
      <c r="L72" s="14" t="s">
        <v>139</v>
      </c>
      <c r="M72" s="13" t="s">
        <v>76</v>
      </c>
      <c r="N72" s="14" t="s">
        <v>470</v>
      </c>
    </row>
    <row r="73" customFormat="false" ht="20.85" hidden="false" customHeight="false" outlineLevel="0" collapsed="false">
      <c r="A73" s="13" t="s">
        <v>471</v>
      </c>
      <c r="B73" s="13" t="s">
        <v>472</v>
      </c>
      <c r="C73" s="13" t="s">
        <v>473</v>
      </c>
      <c r="D73" s="13" t="n">
        <v>360</v>
      </c>
      <c r="E73" s="13" t="s">
        <v>474</v>
      </c>
      <c r="F73" s="13" t="s">
        <v>475</v>
      </c>
      <c r="G73" s="13" t="s">
        <v>70</v>
      </c>
      <c r="H73" s="13" t="s">
        <v>71</v>
      </c>
      <c r="I73" s="13" t="s">
        <v>72</v>
      </c>
      <c r="J73" s="14" t="s">
        <v>73</v>
      </c>
      <c r="K73" s="15" t="s">
        <v>74</v>
      </c>
      <c r="L73" s="14" t="s">
        <v>75</v>
      </c>
      <c r="M73" s="13" t="s">
        <v>76</v>
      </c>
      <c r="N73" s="14" t="s">
        <v>476</v>
      </c>
    </row>
    <row r="74" customFormat="false" ht="20.85" hidden="false" customHeight="false" outlineLevel="0" collapsed="false">
      <c r="A74" s="13" t="s">
        <v>477</v>
      </c>
      <c r="B74" s="13" t="s">
        <v>478</v>
      </c>
      <c r="C74" s="13" t="s">
        <v>479</v>
      </c>
      <c r="D74" s="13" t="n">
        <v>367</v>
      </c>
      <c r="E74" s="13" t="s">
        <v>480</v>
      </c>
      <c r="F74" s="13" t="s">
        <v>481</v>
      </c>
      <c r="G74" s="13" t="s">
        <v>90</v>
      </c>
      <c r="H74" s="13" t="s">
        <v>71</v>
      </c>
      <c r="I74" s="13" t="s">
        <v>72</v>
      </c>
      <c r="J74" s="14" t="s">
        <v>98</v>
      </c>
      <c r="K74" s="15" t="s">
        <v>74</v>
      </c>
      <c r="L74" s="14" t="s">
        <v>152</v>
      </c>
      <c r="M74" s="13" t="s">
        <v>76</v>
      </c>
      <c r="N74" s="14" t="s">
        <v>482</v>
      </c>
    </row>
    <row r="75" customFormat="false" ht="20.85" hidden="false" customHeight="false" outlineLevel="0" collapsed="false">
      <c r="A75" s="13" t="s">
        <v>483</v>
      </c>
      <c r="B75" s="13" t="s">
        <v>484</v>
      </c>
      <c r="C75" s="13" t="s">
        <v>485</v>
      </c>
      <c r="D75" s="13" t="n">
        <v>1793</v>
      </c>
      <c r="E75" s="13" t="s">
        <v>486</v>
      </c>
      <c r="F75" s="13" t="s">
        <v>487</v>
      </c>
      <c r="G75" s="13" t="s">
        <v>106</v>
      </c>
      <c r="H75" s="13" t="s">
        <v>71</v>
      </c>
      <c r="I75" s="13" t="s">
        <v>72</v>
      </c>
      <c r="J75" s="14" t="s">
        <v>98</v>
      </c>
      <c r="K75" s="15" t="s">
        <v>74</v>
      </c>
      <c r="L75" s="14" t="s">
        <v>152</v>
      </c>
      <c r="M75" s="13" t="s">
        <v>76</v>
      </c>
      <c r="N75" s="14" t="s">
        <v>488</v>
      </c>
    </row>
    <row r="76" customFormat="false" ht="20.85" hidden="false" customHeight="false" outlineLevel="0" collapsed="false">
      <c r="A76" s="13" t="s">
        <v>489</v>
      </c>
      <c r="B76" s="13" t="s">
        <v>490</v>
      </c>
      <c r="C76" s="13" t="s">
        <v>491</v>
      </c>
      <c r="D76" s="13" t="n">
        <v>2249</v>
      </c>
      <c r="E76" s="13" t="s">
        <v>492</v>
      </c>
      <c r="F76" s="13" t="s">
        <v>493</v>
      </c>
      <c r="G76" s="13" t="s">
        <v>106</v>
      </c>
      <c r="H76" s="13" t="s">
        <v>97</v>
      </c>
      <c r="I76" s="13" t="s">
        <v>72</v>
      </c>
      <c r="J76" s="14" t="s">
        <v>73</v>
      </c>
      <c r="K76" s="15" t="s">
        <v>74</v>
      </c>
      <c r="L76" s="14" t="s">
        <v>292</v>
      </c>
      <c r="M76" s="13" t="s">
        <v>76</v>
      </c>
      <c r="N76" s="14" t="s">
        <v>494</v>
      </c>
    </row>
    <row r="77" customFormat="false" ht="20.85" hidden="false" customHeight="false" outlineLevel="0" collapsed="false">
      <c r="A77" s="13" t="s">
        <v>495</v>
      </c>
      <c r="B77" s="13" t="s">
        <v>496</v>
      </c>
      <c r="C77" s="13" t="s">
        <v>497</v>
      </c>
      <c r="D77" s="13" t="n">
        <v>2629</v>
      </c>
      <c r="E77" s="13" t="s">
        <v>498</v>
      </c>
      <c r="F77" s="13" t="s">
        <v>137</v>
      </c>
      <c r="G77" s="13" t="s">
        <v>70</v>
      </c>
      <c r="H77" s="13" t="s">
        <v>71</v>
      </c>
      <c r="I77" s="13" t="s">
        <v>72</v>
      </c>
      <c r="J77" s="14" t="s">
        <v>73</v>
      </c>
      <c r="K77" s="15" t="s">
        <v>74</v>
      </c>
      <c r="L77" s="14" t="s">
        <v>75</v>
      </c>
      <c r="M77" s="13" t="s">
        <v>76</v>
      </c>
      <c r="N77" s="14" t="s">
        <v>499</v>
      </c>
    </row>
    <row r="78" customFormat="false" ht="20.85" hidden="false" customHeight="false" outlineLevel="0" collapsed="false">
      <c r="A78" s="13" t="s">
        <v>500</v>
      </c>
      <c r="B78" s="13" t="s">
        <v>501</v>
      </c>
      <c r="C78" s="13" t="s">
        <v>502</v>
      </c>
      <c r="D78" s="13" t="n">
        <v>2673</v>
      </c>
      <c r="E78" s="13" t="s">
        <v>503</v>
      </c>
      <c r="F78" s="13" t="s">
        <v>504</v>
      </c>
      <c r="G78" s="13" t="s">
        <v>90</v>
      </c>
      <c r="H78" s="13" t="s">
        <v>123</v>
      </c>
      <c r="I78" s="13" t="s">
        <v>72</v>
      </c>
      <c r="J78" s="14" t="s">
        <v>115</v>
      </c>
      <c r="K78" s="15" t="s">
        <v>74</v>
      </c>
      <c r="L78" s="14" t="s">
        <v>464</v>
      </c>
      <c r="M78" s="13" t="s">
        <v>76</v>
      </c>
      <c r="N78" s="14" t="s">
        <v>505</v>
      </c>
    </row>
    <row r="79" customFormat="false" ht="20.85" hidden="false" customHeight="false" outlineLevel="0" collapsed="false">
      <c r="A79" s="13" t="s">
        <v>506</v>
      </c>
      <c r="B79" s="13" t="s">
        <v>501</v>
      </c>
      <c r="C79" s="13" t="s">
        <v>507</v>
      </c>
      <c r="D79" s="13" t="n">
        <v>746</v>
      </c>
      <c r="E79" s="13" t="s">
        <v>508</v>
      </c>
      <c r="F79" s="13" t="s">
        <v>509</v>
      </c>
      <c r="G79" s="13" t="s">
        <v>146</v>
      </c>
      <c r="H79" s="13" t="s">
        <v>97</v>
      </c>
      <c r="I79" s="13" t="s">
        <v>72</v>
      </c>
      <c r="J79" s="14" t="s">
        <v>82</v>
      </c>
      <c r="K79" s="15" t="s">
        <v>74</v>
      </c>
      <c r="L79" s="14" t="s">
        <v>131</v>
      </c>
      <c r="M79" s="13" t="s">
        <v>76</v>
      </c>
      <c r="N79" s="14" t="s">
        <v>510</v>
      </c>
    </row>
    <row r="80" customFormat="false" ht="15" hidden="false" customHeight="false" outlineLevel="0" collapsed="false">
      <c r="A80" s="13" t="s">
        <v>511</v>
      </c>
      <c r="B80" s="13" t="s">
        <v>512</v>
      </c>
      <c r="C80" s="13" t="s">
        <v>513</v>
      </c>
      <c r="D80" s="13" t="n">
        <v>2844</v>
      </c>
      <c r="E80" s="13" t="s">
        <v>514</v>
      </c>
      <c r="F80" s="13" t="s">
        <v>515</v>
      </c>
      <c r="G80" s="13" t="s">
        <v>106</v>
      </c>
      <c r="H80" s="13" t="s">
        <v>71</v>
      </c>
      <c r="I80" s="13" t="s">
        <v>107</v>
      </c>
      <c r="J80" s="14" t="s">
        <v>73</v>
      </c>
      <c r="K80" s="16" t="s">
        <v>48</v>
      </c>
      <c r="L80" s="14" t="s">
        <v>108</v>
      </c>
      <c r="M80" s="13" t="s">
        <v>76</v>
      </c>
      <c r="N80" s="14" t="s">
        <v>516</v>
      </c>
    </row>
    <row r="81" customFormat="false" ht="20.85" hidden="false" customHeight="false" outlineLevel="0" collapsed="false">
      <c r="A81" s="13" t="s">
        <v>517</v>
      </c>
      <c r="B81" s="13" t="s">
        <v>518</v>
      </c>
      <c r="C81" s="13" t="s">
        <v>519</v>
      </c>
      <c r="D81" s="13" t="n">
        <v>566</v>
      </c>
      <c r="E81" s="13" t="s">
        <v>520</v>
      </c>
      <c r="F81" s="13" t="s">
        <v>521</v>
      </c>
      <c r="G81" s="13" t="s">
        <v>70</v>
      </c>
      <c r="H81" s="13" t="s">
        <v>71</v>
      </c>
      <c r="I81" s="13" t="s">
        <v>72</v>
      </c>
      <c r="J81" s="14" t="s">
        <v>82</v>
      </c>
      <c r="K81" s="15" t="s">
        <v>74</v>
      </c>
      <c r="L81" s="14" t="s">
        <v>83</v>
      </c>
      <c r="M81" s="13" t="s">
        <v>76</v>
      </c>
      <c r="N81" s="14" t="s">
        <v>522</v>
      </c>
    </row>
    <row r="82" customFormat="false" ht="20.85" hidden="false" customHeight="false" outlineLevel="0" collapsed="false">
      <c r="A82" s="13" t="s">
        <v>523</v>
      </c>
      <c r="B82" s="13" t="s">
        <v>524</v>
      </c>
      <c r="C82" s="13" t="s">
        <v>525</v>
      </c>
      <c r="D82" s="13" t="n">
        <v>1912</v>
      </c>
      <c r="E82" s="13" t="s">
        <v>526</v>
      </c>
      <c r="F82" s="13" t="s">
        <v>527</v>
      </c>
      <c r="G82" s="13" t="s">
        <v>146</v>
      </c>
      <c r="H82" s="13" t="s">
        <v>71</v>
      </c>
      <c r="I82" s="13" t="s">
        <v>72</v>
      </c>
      <c r="J82" s="14" t="s">
        <v>82</v>
      </c>
      <c r="K82" s="15" t="s">
        <v>74</v>
      </c>
      <c r="L82" s="14" t="s">
        <v>83</v>
      </c>
      <c r="M82" s="13" t="s">
        <v>76</v>
      </c>
      <c r="N82" s="14" t="s">
        <v>528</v>
      </c>
    </row>
    <row r="83" customFormat="false" ht="20.85" hidden="false" customHeight="false" outlineLevel="0" collapsed="false">
      <c r="A83" s="13" t="s">
        <v>529</v>
      </c>
      <c r="B83" s="13" t="s">
        <v>530</v>
      </c>
      <c r="C83" s="13" t="s">
        <v>531</v>
      </c>
      <c r="D83" s="13" t="n">
        <v>168</v>
      </c>
      <c r="E83" s="13" t="s">
        <v>532</v>
      </c>
      <c r="F83" s="13" t="s">
        <v>533</v>
      </c>
      <c r="G83" s="13" t="s">
        <v>70</v>
      </c>
      <c r="H83" s="13" t="s">
        <v>138</v>
      </c>
      <c r="I83" s="13" t="s">
        <v>72</v>
      </c>
      <c r="J83" s="14" t="s">
        <v>73</v>
      </c>
      <c r="K83" s="15" t="s">
        <v>74</v>
      </c>
      <c r="L83" s="14" t="s">
        <v>139</v>
      </c>
      <c r="M83" s="13" t="s">
        <v>76</v>
      </c>
      <c r="N83" s="14" t="s">
        <v>534</v>
      </c>
    </row>
    <row r="84" customFormat="false" ht="20.85" hidden="false" customHeight="false" outlineLevel="0" collapsed="false">
      <c r="A84" s="13" t="s">
        <v>535</v>
      </c>
      <c r="B84" s="13" t="s">
        <v>536</v>
      </c>
      <c r="C84" s="13" t="s">
        <v>537</v>
      </c>
      <c r="D84" s="13" t="n">
        <v>2700</v>
      </c>
      <c r="E84" s="13" t="s">
        <v>538</v>
      </c>
      <c r="F84" s="13" t="s">
        <v>539</v>
      </c>
      <c r="G84" s="13" t="s">
        <v>70</v>
      </c>
      <c r="H84" s="13" t="s">
        <v>97</v>
      </c>
      <c r="I84" s="13" t="s">
        <v>72</v>
      </c>
      <c r="J84" s="14" t="s">
        <v>73</v>
      </c>
      <c r="K84" s="15" t="s">
        <v>74</v>
      </c>
      <c r="L84" s="14" t="s">
        <v>292</v>
      </c>
      <c r="M84" s="13" t="s">
        <v>76</v>
      </c>
      <c r="N84" s="14" t="s">
        <v>540</v>
      </c>
    </row>
    <row r="85" customFormat="false" ht="20.85" hidden="false" customHeight="false" outlineLevel="0" collapsed="false">
      <c r="A85" s="13" t="s">
        <v>541</v>
      </c>
      <c r="B85" s="13" t="s">
        <v>512</v>
      </c>
      <c r="C85" s="13" t="s">
        <v>542</v>
      </c>
      <c r="D85" s="13" t="n">
        <v>1000</v>
      </c>
      <c r="E85" s="13" t="s">
        <v>543</v>
      </c>
      <c r="F85" s="13" t="s">
        <v>544</v>
      </c>
      <c r="G85" s="13" t="s">
        <v>96</v>
      </c>
      <c r="H85" s="13" t="s">
        <v>123</v>
      </c>
      <c r="I85" s="13" t="s">
        <v>72</v>
      </c>
      <c r="J85" s="14" t="s">
        <v>115</v>
      </c>
      <c r="K85" s="15" t="s">
        <v>74</v>
      </c>
      <c r="L85" s="14" t="s">
        <v>464</v>
      </c>
      <c r="M85" s="13" t="s">
        <v>76</v>
      </c>
      <c r="N85" s="14" t="s">
        <v>545</v>
      </c>
    </row>
    <row r="86" customFormat="false" ht="20.85" hidden="false" customHeight="false" outlineLevel="0" collapsed="false">
      <c r="A86" s="13" t="s">
        <v>546</v>
      </c>
      <c r="B86" s="13" t="s">
        <v>547</v>
      </c>
      <c r="C86" s="13" t="s">
        <v>548</v>
      </c>
      <c r="D86" s="13" t="n">
        <v>80</v>
      </c>
      <c r="E86" s="13" t="s">
        <v>549</v>
      </c>
      <c r="F86" s="13" t="s">
        <v>550</v>
      </c>
      <c r="G86" s="13" t="s">
        <v>106</v>
      </c>
      <c r="H86" s="13" t="s">
        <v>138</v>
      </c>
      <c r="I86" s="13" t="s">
        <v>72</v>
      </c>
      <c r="J86" s="14" t="s">
        <v>73</v>
      </c>
      <c r="K86" s="15" t="s">
        <v>74</v>
      </c>
      <c r="L86" s="14" t="s">
        <v>139</v>
      </c>
      <c r="M86" s="13" t="s">
        <v>76</v>
      </c>
      <c r="N86" s="14" t="s">
        <v>551</v>
      </c>
    </row>
    <row r="87" customFormat="false" ht="20.85" hidden="false" customHeight="false" outlineLevel="0" collapsed="false">
      <c r="A87" s="13" t="s">
        <v>552</v>
      </c>
      <c r="B87" s="13" t="s">
        <v>553</v>
      </c>
      <c r="C87" s="13" t="s">
        <v>554</v>
      </c>
      <c r="D87" s="13" t="n">
        <v>2715</v>
      </c>
      <c r="E87" s="13" t="s">
        <v>555</v>
      </c>
      <c r="F87" s="13" t="s">
        <v>556</v>
      </c>
      <c r="G87" s="13" t="s">
        <v>96</v>
      </c>
      <c r="H87" s="13" t="s">
        <v>71</v>
      </c>
      <c r="I87" s="13" t="s">
        <v>72</v>
      </c>
      <c r="J87" s="14" t="s">
        <v>98</v>
      </c>
      <c r="K87" s="15" t="s">
        <v>74</v>
      </c>
      <c r="L87" s="14" t="s">
        <v>152</v>
      </c>
      <c r="M87" s="13" t="s">
        <v>76</v>
      </c>
      <c r="N87" s="14" t="s">
        <v>557</v>
      </c>
    </row>
    <row r="88" customFormat="false" ht="15" hidden="false" customHeight="false" outlineLevel="0" collapsed="false">
      <c r="A88" s="13" t="s">
        <v>558</v>
      </c>
      <c r="B88" s="13" t="s">
        <v>496</v>
      </c>
      <c r="C88" s="13" t="s">
        <v>559</v>
      </c>
      <c r="D88" s="13" t="n">
        <v>1285</v>
      </c>
      <c r="E88" s="13" t="s">
        <v>560</v>
      </c>
      <c r="F88" s="13" t="s">
        <v>561</v>
      </c>
      <c r="G88" s="13" t="s">
        <v>106</v>
      </c>
      <c r="H88" s="13" t="s">
        <v>138</v>
      </c>
      <c r="I88" s="13" t="s">
        <v>107</v>
      </c>
      <c r="J88" s="14" t="s">
        <v>98</v>
      </c>
      <c r="K88" s="16" t="s">
        <v>48</v>
      </c>
      <c r="L88" s="14" t="s">
        <v>562</v>
      </c>
      <c r="M88" s="13" t="s">
        <v>76</v>
      </c>
      <c r="N88" s="14" t="s">
        <v>563</v>
      </c>
    </row>
    <row r="89" customFormat="false" ht="20.85" hidden="false" customHeight="false" outlineLevel="0" collapsed="false">
      <c r="A89" s="13" t="s">
        <v>564</v>
      </c>
      <c r="B89" s="13" t="s">
        <v>565</v>
      </c>
      <c r="C89" s="13" t="s">
        <v>566</v>
      </c>
      <c r="D89" s="13" t="n">
        <v>3</v>
      </c>
      <c r="E89" s="13" t="s">
        <v>567</v>
      </c>
      <c r="F89" s="13" t="s">
        <v>568</v>
      </c>
      <c r="G89" s="13" t="s">
        <v>146</v>
      </c>
      <c r="H89" s="13" t="s">
        <v>97</v>
      </c>
      <c r="I89" s="13" t="s">
        <v>72</v>
      </c>
      <c r="J89" s="14" t="s">
        <v>82</v>
      </c>
      <c r="K89" s="15" t="s">
        <v>74</v>
      </c>
      <c r="L89" s="14" t="s">
        <v>131</v>
      </c>
      <c r="M89" s="13" t="s">
        <v>76</v>
      </c>
      <c r="N89" s="14" t="s">
        <v>569</v>
      </c>
    </row>
    <row r="90" customFormat="false" ht="20.85" hidden="false" customHeight="false" outlineLevel="0" collapsed="false">
      <c r="A90" s="13" t="s">
        <v>570</v>
      </c>
      <c r="B90" s="13" t="s">
        <v>571</v>
      </c>
      <c r="C90" s="13" t="s">
        <v>572</v>
      </c>
      <c r="D90" s="13" t="n">
        <v>594</v>
      </c>
      <c r="E90" s="13" t="s">
        <v>573</v>
      </c>
      <c r="F90" s="13" t="s">
        <v>574</v>
      </c>
      <c r="G90" s="13" t="s">
        <v>90</v>
      </c>
      <c r="H90" s="13" t="s">
        <v>71</v>
      </c>
      <c r="I90" s="13" t="s">
        <v>72</v>
      </c>
      <c r="J90" s="14" t="s">
        <v>115</v>
      </c>
      <c r="K90" s="15" t="s">
        <v>74</v>
      </c>
      <c r="L90" s="14" t="s">
        <v>116</v>
      </c>
      <c r="M90" s="13" t="s">
        <v>76</v>
      </c>
      <c r="N90" s="14" t="s">
        <v>575</v>
      </c>
    </row>
    <row r="91" customFormat="false" ht="20.85" hidden="false" customHeight="false" outlineLevel="0" collapsed="false">
      <c r="A91" s="13" t="s">
        <v>576</v>
      </c>
      <c r="B91" s="13" t="s">
        <v>577</v>
      </c>
      <c r="C91" s="13" t="s">
        <v>578</v>
      </c>
      <c r="D91" s="13" t="n">
        <v>918</v>
      </c>
      <c r="E91" s="13" t="s">
        <v>579</v>
      </c>
      <c r="F91" s="13" t="s">
        <v>580</v>
      </c>
      <c r="G91" s="13" t="s">
        <v>96</v>
      </c>
      <c r="H91" s="13" t="s">
        <v>123</v>
      </c>
      <c r="I91" s="13" t="s">
        <v>72</v>
      </c>
      <c r="J91" s="14" t="s">
        <v>115</v>
      </c>
      <c r="K91" s="15" t="s">
        <v>74</v>
      </c>
      <c r="L91" s="14" t="s">
        <v>464</v>
      </c>
      <c r="M91" s="13" t="s">
        <v>76</v>
      </c>
      <c r="N91" s="14" t="s">
        <v>581</v>
      </c>
    </row>
    <row r="92" customFormat="false" ht="20.85" hidden="false" customHeight="false" outlineLevel="0" collapsed="false">
      <c r="A92" s="13" t="s">
        <v>582</v>
      </c>
      <c r="B92" s="13" t="s">
        <v>583</v>
      </c>
      <c r="C92" s="13" t="s">
        <v>584</v>
      </c>
      <c r="D92" s="13" t="n">
        <v>2849</v>
      </c>
      <c r="E92" s="13" t="s">
        <v>585</v>
      </c>
      <c r="F92" s="13" t="s">
        <v>586</v>
      </c>
      <c r="G92" s="13" t="s">
        <v>146</v>
      </c>
      <c r="H92" s="13" t="s">
        <v>97</v>
      </c>
      <c r="I92" s="13" t="s">
        <v>72</v>
      </c>
      <c r="J92" s="14" t="s">
        <v>73</v>
      </c>
      <c r="K92" s="15" t="s">
        <v>74</v>
      </c>
      <c r="L92" s="14" t="s">
        <v>292</v>
      </c>
      <c r="M92" s="13" t="s">
        <v>76</v>
      </c>
      <c r="N92" s="14" t="s">
        <v>587</v>
      </c>
    </row>
    <row r="93" customFormat="false" ht="20.85" hidden="false" customHeight="false" outlineLevel="0" collapsed="false">
      <c r="A93" s="13" t="s">
        <v>588</v>
      </c>
      <c r="B93" s="13" t="s">
        <v>589</v>
      </c>
      <c r="C93" s="13" t="s">
        <v>590</v>
      </c>
      <c r="D93" s="13" t="n">
        <v>704</v>
      </c>
      <c r="E93" s="13" t="s">
        <v>591</v>
      </c>
      <c r="F93" s="13" t="s">
        <v>592</v>
      </c>
      <c r="G93" s="13" t="s">
        <v>106</v>
      </c>
      <c r="H93" s="13" t="s">
        <v>123</v>
      </c>
      <c r="I93" s="13" t="s">
        <v>72</v>
      </c>
      <c r="J93" s="14" t="s">
        <v>98</v>
      </c>
      <c r="K93" s="15" t="s">
        <v>74</v>
      </c>
      <c r="L93" s="14" t="s">
        <v>124</v>
      </c>
      <c r="M93" s="13" t="s">
        <v>76</v>
      </c>
      <c r="N93" s="14" t="s">
        <v>593</v>
      </c>
    </row>
    <row r="94" customFormat="false" ht="20.85" hidden="false" customHeight="false" outlineLevel="0" collapsed="false">
      <c r="A94" s="13" t="s">
        <v>594</v>
      </c>
      <c r="B94" s="13" t="s">
        <v>595</v>
      </c>
      <c r="C94" s="13" t="s">
        <v>596</v>
      </c>
      <c r="D94" s="13" t="n">
        <v>2696</v>
      </c>
      <c r="E94" s="13" t="s">
        <v>597</v>
      </c>
      <c r="F94" s="13" t="s">
        <v>598</v>
      </c>
      <c r="G94" s="13" t="s">
        <v>70</v>
      </c>
      <c r="H94" s="13" t="s">
        <v>71</v>
      </c>
      <c r="I94" s="13" t="s">
        <v>72</v>
      </c>
      <c r="J94" s="14" t="s">
        <v>73</v>
      </c>
      <c r="K94" s="15" t="s">
        <v>74</v>
      </c>
      <c r="L94" s="14" t="s">
        <v>75</v>
      </c>
      <c r="M94" s="13" t="s">
        <v>76</v>
      </c>
      <c r="N94" s="14" t="s">
        <v>599</v>
      </c>
    </row>
    <row r="95" customFormat="false" ht="20.85" hidden="false" customHeight="false" outlineLevel="0" collapsed="false">
      <c r="A95" s="13" t="s">
        <v>600</v>
      </c>
      <c r="B95" s="13" t="s">
        <v>601</v>
      </c>
      <c r="C95" s="13" t="s">
        <v>602</v>
      </c>
      <c r="D95" s="13" t="n">
        <v>16</v>
      </c>
      <c r="E95" s="13" t="s">
        <v>603</v>
      </c>
      <c r="F95" s="13" t="s">
        <v>604</v>
      </c>
      <c r="G95" s="13" t="s">
        <v>70</v>
      </c>
      <c r="H95" s="13" t="s">
        <v>71</v>
      </c>
      <c r="I95" s="13" t="s">
        <v>72</v>
      </c>
      <c r="J95" s="14" t="s">
        <v>82</v>
      </c>
      <c r="K95" s="15" t="s">
        <v>74</v>
      </c>
      <c r="L95" s="14" t="s">
        <v>83</v>
      </c>
      <c r="M95" s="13" t="s">
        <v>76</v>
      </c>
      <c r="N95" s="14" t="s">
        <v>605</v>
      </c>
    </row>
    <row r="96" customFormat="false" ht="20.85" hidden="false" customHeight="false" outlineLevel="0" collapsed="false">
      <c r="A96" s="13" t="s">
        <v>606</v>
      </c>
      <c r="B96" s="13" t="s">
        <v>607</v>
      </c>
      <c r="C96" s="13" t="s">
        <v>608</v>
      </c>
      <c r="D96" s="13" t="n">
        <v>186</v>
      </c>
      <c r="E96" s="13" t="s">
        <v>609</v>
      </c>
      <c r="F96" s="13" t="s">
        <v>610</v>
      </c>
      <c r="G96" s="13" t="s">
        <v>146</v>
      </c>
      <c r="H96" s="13" t="s">
        <v>97</v>
      </c>
      <c r="I96" s="13" t="s">
        <v>72</v>
      </c>
      <c r="J96" s="14" t="s">
        <v>98</v>
      </c>
      <c r="K96" s="15" t="s">
        <v>74</v>
      </c>
      <c r="L96" s="14" t="s">
        <v>99</v>
      </c>
      <c r="M96" s="13" t="s">
        <v>76</v>
      </c>
      <c r="N96" s="14" t="s">
        <v>611</v>
      </c>
    </row>
    <row r="97" customFormat="false" ht="20.85" hidden="false" customHeight="false" outlineLevel="0" collapsed="false">
      <c r="A97" s="13" t="s">
        <v>612</v>
      </c>
      <c r="B97" s="13" t="s">
        <v>613</v>
      </c>
      <c r="C97" s="13" t="s">
        <v>614</v>
      </c>
      <c r="D97" s="13" t="n">
        <v>524</v>
      </c>
      <c r="E97" s="13" t="s">
        <v>615</v>
      </c>
      <c r="F97" s="13" t="s">
        <v>616</v>
      </c>
      <c r="G97" s="13" t="s">
        <v>96</v>
      </c>
      <c r="H97" s="13" t="s">
        <v>97</v>
      </c>
      <c r="I97" s="13" t="s">
        <v>72</v>
      </c>
      <c r="J97" s="14" t="s">
        <v>115</v>
      </c>
      <c r="K97" s="15" t="s">
        <v>74</v>
      </c>
      <c r="L97" s="14" t="s">
        <v>387</v>
      </c>
      <c r="M97" s="13" t="s">
        <v>76</v>
      </c>
      <c r="N97" s="14" t="s">
        <v>617</v>
      </c>
    </row>
    <row r="98" customFormat="false" ht="20.85" hidden="false" customHeight="false" outlineLevel="0" collapsed="false">
      <c r="A98" s="13" t="s">
        <v>618</v>
      </c>
      <c r="B98" s="13" t="s">
        <v>613</v>
      </c>
      <c r="C98" s="13" t="s">
        <v>619</v>
      </c>
      <c r="D98" s="13" t="n">
        <v>2111</v>
      </c>
      <c r="E98" s="13" t="s">
        <v>620</v>
      </c>
      <c r="F98" s="13" t="s">
        <v>621</v>
      </c>
      <c r="G98" s="13" t="s">
        <v>96</v>
      </c>
      <c r="H98" s="13" t="s">
        <v>97</v>
      </c>
      <c r="I98" s="13" t="s">
        <v>72</v>
      </c>
      <c r="J98" s="14" t="s">
        <v>115</v>
      </c>
      <c r="K98" s="15" t="s">
        <v>74</v>
      </c>
      <c r="L98" s="14" t="s">
        <v>387</v>
      </c>
      <c r="M98" s="13" t="s">
        <v>76</v>
      </c>
      <c r="N98" s="14" t="s">
        <v>622</v>
      </c>
    </row>
    <row r="99" customFormat="false" ht="20.85" hidden="false" customHeight="false" outlineLevel="0" collapsed="false">
      <c r="A99" s="13" t="s">
        <v>623</v>
      </c>
      <c r="B99" s="13" t="s">
        <v>624</v>
      </c>
      <c r="C99" s="13" t="s">
        <v>625</v>
      </c>
      <c r="D99" s="13" t="n">
        <v>1726</v>
      </c>
      <c r="E99" s="13" t="s">
        <v>626</v>
      </c>
      <c r="F99" s="13" t="s">
        <v>627</v>
      </c>
      <c r="G99" s="13" t="s">
        <v>106</v>
      </c>
      <c r="H99" s="13" t="s">
        <v>71</v>
      </c>
      <c r="I99" s="13" t="s">
        <v>72</v>
      </c>
      <c r="J99" s="14" t="s">
        <v>115</v>
      </c>
      <c r="K99" s="15" t="s">
        <v>74</v>
      </c>
      <c r="L99" s="14" t="s">
        <v>116</v>
      </c>
      <c r="M99" s="13" t="s">
        <v>76</v>
      </c>
      <c r="N99" s="14" t="s">
        <v>628</v>
      </c>
    </row>
    <row r="100" customFormat="false" ht="20.85" hidden="false" customHeight="false" outlineLevel="0" collapsed="false">
      <c r="A100" s="13" t="s">
        <v>629</v>
      </c>
      <c r="B100" s="13" t="s">
        <v>630</v>
      </c>
      <c r="C100" s="13" t="s">
        <v>419</v>
      </c>
      <c r="D100" s="13" t="n">
        <v>924</v>
      </c>
      <c r="E100" s="13" t="s">
        <v>420</v>
      </c>
      <c r="F100" s="13" t="s">
        <v>631</v>
      </c>
      <c r="G100" s="13" t="s">
        <v>106</v>
      </c>
      <c r="H100" s="13" t="s">
        <v>138</v>
      </c>
      <c r="I100" s="13" t="s">
        <v>72</v>
      </c>
      <c r="J100" s="14" t="s">
        <v>98</v>
      </c>
      <c r="K100" s="15" t="s">
        <v>74</v>
      </c>
      <c r="L100" s="14" t="s">
        <v>165</v>
      </c>
      <c r="M100" s="13" t="s">
        <v>76</v>
      </c>
      <c r="N100" s="14" t="s">
        <v>632</v>
      </c>
    </row>
    <row r="101" customFormat="false" ht="20.85" hidden="false" customHeight="false" outlineLevel="0" collapsed="false">
      <c r="A101" s="13" t="s">
        <v>633</v>
      </c>
      <c r="B101" s="13" t="s">
        <v>634</v>
      </c>
      <c r="C101" s="13" t="s">
        <v>635</v>
      </c>
      <c r="D101" s="13" t="n">
        <v>1759</v>
      </c>
      <c r="E101" s="13" t="s">
        <v>636</v>
      </c>
      <c r="F101" s="13" t="s">
        <v>637</v>
      </c>
      <c r="G101" s="13" t="s">
        <v>106</v>
      </c>
      <c r="H101" s="13" t="s">
        <v>71</v>
      </c>
      <c r="I101" s="13" t="s">
        <v>72</v>
      </c>
      <c r="J101" s="14" t="s">
        <v>82</v>
      </c>
      <c r="K101" s="15" t="s">
        <v>74</v>
      </c>
      <c r="L101" s="14" t="s">
        <v>83</v>
      </c>
      <c r="M101" s="13" t="s">
        <v>76</v>
      </c>
      <c r="N101" s="14" t="s">
        <v>638</v>
      </c>
    </row>
    <row r="102" customFormat="false" ht="20.85" hidden="false" customHeight="false" outlineLevel="0" collapsed="false">
      <c r="A102" s="13" t="s">
        <v>639</v>
      </c>
      <c r="B102" s="13" t="s">
        <v>640</v>
      </c>
      <c r="C102" s="13" t="s">
        <v>641</v>
      </c>
      <c r="D102" s="13" t="n">
        <v>632</v>
      </c>
      <c r="E102" s="13" t="s">
        <v>642</v>
      </c>
      <c r="F102" s="13" t="s">
        <v>643</v>
      </c>
      <c r="G102" s="13" t="s">
        <v>146</v>
      </c>
      <c r="H102" s="13" t="s">
        <v>123</v>
      </c>
      <c r="I102" s="13" t="s">
        <v>72</v>
      </c>
      <c r="J102" s="14" t="s">
        <v>82</v>
      </c>
      <c r="K102" s="15" t="s">
        <v>74</v>
      </c>
      <c r="L102" s="14" t="s">
        <v>269</v>
      </c>
      <c r="M102" s="13" t="s">
        <v>76</v>
      </c>
      <c r="N102" s="14" t="s">
        <v>644</v>
      </c>
    </row>
    <row r="103" customFormat="false" ht="20.85" hidden="false" customHeight="false" outlineLevel="0" collapsed="false">
      <c r="A103" s="13" t="s">
        <v>645</v>
      </c>
      <c r="B103" s="13" t="s">
        <v>646</v>
      </c>
      <c r="C103" s="13" t="s">
        <v>647</v>
      </c>
      <c r="D103" s="13" t="n">
        <v>2141</v>
      </c>
      <c r="E103" s="13" t="s">
        <v>648</v>
      </c>
      <c r="F103" s="13" t="s">
        <v>649</v>
      </c>
      <c r="G103" s="13" t="s">
        <v>70</v>
      </c>
      <c r="H103" s="13" t="s">
        <v>71</v>
      </c>
      <c r="I103" s="13" t="s">
        <v>72</v>
      </c>
      <c r="J103" s="14" t="s">
        <v>98</v>
      </c>
      <c r="K103" s="15" t="s">
        <v>74</v>
      </c>
      <c r="L103" s="14" t="s">
        <v>152</v>
      </c>
      <c r="M103" s="13" t="s">
        <v>76</v>
      </c>
      <c r="N103" s="14" t="s">
        <v>650</v>
      </c>
    </row>
    <row r="104" customFormat="false" ht="20.85" hidden="false" customHeight="false" outlineLevel="0" collapsed="false">
      <c r="A104" s="13" t="s">
        <v>651</v>
      </c>
      <c r="B104" s="13" t="s">
        <v>652</v>
      </c>
      <c r="C104" s="13" t="s">
        <v>653</v>
      </c>
      <c r="D104" s="13" t="n">
        <v>1349</v>
      </c>
      <c r="E104" s="13" t="s">
        <v>654</v>
      </c>
      <c r="F104" s="13" t="s">
        <v>655</v>
      </c>
      <c r="G104" s="13" t="s">
        <v>146</v>
      </c>
      <c r="H104" s="13" t="s">
        <v>123</v>
      </c>
      <c r="I104" s="13" t="s">
        <v>72</v>
      </c>
      <c r="J104" s="14" t="s">
        <v>115</v>
      </c>
      <c r="K104" s="15" t="s">
        <v>74</v>
      </c>
      <c r="L104" s="14" t="s">
        <v>464</v>
      </c>
      <c r="M104" s="13" t="s">
        <v>76</v>
      </c>
      <c r="N104" s="14" t="s">
        <v>656</v>
      </c>
    </row>
    <row r="105" customFormat="false" ht="20.85" hidden="false" customHeight="false" outlineLevel="0" collapsed="false">
      <c r="A105" s="13" t="s">
        <v>657</v>
      </c>
      <c r="B105" s="13" t="s">
        <v>658</v>
      </c>
      <c r="C105" s="13" t="s">
        <v>659</v>
      </c>
      <c r="D105" s="13" t="n">
        <v>253</v>
      </c>
      <c r="E105" s="13" t="s">
        <v>660</v>
      </c>
      <c r="F105" s="13" t="s">
        <v>661</v>
      </c>
      <c r="G105" s="13" t="s">
        <v>70</v>
      </c>
      <c r="H105" s="13" t="s">
        <v>138</v>
      </c>
      <c r="I105" s="13" t="s">
        <v>72</v>
      </c>
      <c r="J105" s="14" t="s">
        <v>82</v>
      </c>
      <c r="K105" s="15" t="s">
        <v>74</v>
      </c>
      <c r="L105" s="14" t="s">
        <v>262</v>
      </c>
      <c r="M105" s="13" t="s">
        <v>76</v>
      </c>
      <c r="N105" s="14" t="s">
        <v>662</v>
      </c>
    </row>
    <row r="106" customFormat="false" ht="20.85" hidden="false" customHeight="false" outlineLevel="0" collapsed="false">
      <c r="A106" s="13" t="s">
        <v>663</v>
      </c>
      <c r="B106" s="13" t="s">
        <v>664</v>
      </c>
      <c r="C106" s="13" t="s">
        <v>665</v>
      </c>
      <c r="D106" s="13" t="n">
        <v>2127</v>
      </c>
      <c r="E106" s="13" t="s">
        <v>666</v>
      </c>
      <c r="F106" s="13" t="s">
        <v>667</v>
      </c>
      <c r="G106" s="13" t="s">
        <v>70</v>
      </c>
      <c r="H106" s="13" t="s">
        <v>123</v>
      </c>
      <c r="I106" s="13" t="s">
        <v>72</v>
      </c>
      <c r="J106" s="14" t="s">
        <v>98</v>
      </c>
      <c r="K106" s="15" t="s">
        <v>74</v>
      </c>
      <c r="L106" s="14" t="s">
        <v>124</v>
      </c>
      <c r="M106" s="13" t="s">
        <v>76</v>
      </c>
      <c r="N106" s="14" t="s">
        <v>668</v>
      </c>
    </row>
    <row r="107" customFormat="false" ht="20.85" hidden="false" customHeight="false" outlineLevel="0" collapsed="false">
      <c r="A107" s="13" t="s">
        <v>669</v>
      </c>
      <c r="B107" s="13" t="s">
        <v>670</v>
      </c>
      <c r="C107" s="13" t="s">
        <v>671</v>
      </c>
      <c r="D107" s="13" t="n">
        <v>1653</v>
      </c>
      <c r="E107" s="13" t="s">
        <v>672</v>
      </c>
      <c r="F107" s="13" t="s">
        <v>673</v>
      </c>
      <c r="G107" s="13" t="s">
        <v>146</v>
      </c>
      <c r="H107" s="13" t="s">
        <v>71</v>
      </c>
      <c r="I107" s="13" t="s">
        <v>72</v>
      </c>
      <c r="J107" s="14" t="s">
        <v>73</v>
      </c>
      <c r="K107" s="15" t="s">
        <v>74</v>
      </c>
      <c r="L107" s="14" t="s">
        <v>75</v>
      </c>
      <c r="M107" s="13" t="s">
        <v>76</v>
      </c>
      <c r="N107" s="14" t="s">
        <v>674</v>
      </c>
    </row>
    <row r="108" customFormat="false" ht="20.85" hidden="false" customHeight="false" outlineLevel="0" collapsed="false">
      <c r="A108" s="13" t="s">
        <v>675</v>
      </c>
      <c r="B108" s="13" t="s">
        <v>676</v>
      </c>
      <c r="C108" s="13" t="s">
        <v>677</v>
      </c>
      <c r="D108" s="13" t="n">
        <v>347</v>
      </c>
      <c r="E108" s="13" t="s">
        <v>678</v>
      </c>
      <c r="F108" s="13" t="s">
        <v>679</v>
      </c>
      <c r="G108" s="13" t="s">
        <v>106</v>
      </c>
      <c r="H108" s="13" t="s">
        <v>123</v>
      </c>
      <c r="I108" s="13" t="s">
        <v>72</v>
      </c>
      <c r="J108" s="14" t="s">
        <v>98</v>
      </c>
      <c r="K108" s="15" t="s">
        <v>74</v>
      </c>
      <c r="L108" s="14" t="s">
        <v>124</v>
      </c>
      <c r="M108" s="13" t="s">
        <v>76</v>
      </c>
      <c r="N108" s="14" t="s">
        <v>680</v>
      </c>
    </row>
    <row r="109" customFormat="false" ht="20.85" hidden="false" customHeight="false" outlineLevel="0" collapsed="false">
      <c r="A109" s="13" t="s">
        <v>681</v>
      </c>
      <c r="B109" s="13" t="s">
        <v>682</v>
      </c>
      <c r="C109" s="13" t="s">
        <v>683</v>
      </c>
      <c r="D109" s="13" t="n">
        <v>562</v>
      </c>
      <c r="E109" s="13" t="s">
        <v>684</v>
      </c>
      <c r="F109" s="13" t="s">
        <v>685</v>
      </c>
      <c r="G109" s="13" t="s">
        <v>90</v>
      </c>
      <c r="H109" s="13" t="s">
        <v>123</v>
      </c>
      <c r="I109" s="13" t="s">
        <v>72</v>
      </c>
      <c r="J109" s="14" t="s">
        <v>115</v>
      </c>
      <c r="K109" s="15" t="s">
        <v>74</v>
      </c>
      <c r="L109" s="14" t="s">
        <v>464</v>
      </c>
      <c r="M109" s="13" t="s">
        <v>76</v>
      </c>
      <c r="N109" s="14" t="s">
        <v>686</v>
      </c>
    </row>
    <row r="110" customFormat="false" ht="20.85" hidden="false" customHeight="false" outlineLevel="0" collapsed="false">
      <c r="A110" s="13" t="s">
        <v>687</v>
      </c>
      <c r="B110" s="13" t="s">
        <v>688</v>
      </c>
      <c r="C110" s="13" t="s">
        <v>689</v>
      </c>
      <c r="D110" s="13" t="n">
        <v>1629</v>
      </c>
      <c r="E110" s="13" t="s">
        <v>690</v>
      </c>
      <c r="F110" s="13" t="s">
        <v>691</v>
      </c>
      <c r="G110" s="13" t="s">
        <v>96</v>
      </c>
      <c r="H110" s="13" t="s">
        <v>71</v>
      </c>
      <c r="I110" s="13" t="s">
        <v>72</v>
      </c>
      <c r="J110" s="14" t="s">
        <v>115</v>
      </c>
      <c r="K110" s="15" t="s">
        <v>74</v>
      </c>
      <c r="L110" s="14" t="s">
        <v>116</v>
      </c>
      <c r="M110" s="13" t="s">
        <v>76</v>
      </c>
      <c r="N110" s="14" t="s">
        <v>692</v>
      </c>
    </row>
    <row r="111" customFormat="false" ht="20.85" hidden="false" customHeight="false" outlineLevel="0" collapsed="false">
      <c r="A111" s="13" t="s">
        <v>693</v>
      </c>
      <c r="B111" s="13" t="s">
        <v>694</v>
      </c>
      <c r="C111" s="13" t="s">
        <v>695</v>
      </c>
      <c r="D111" s="13" t="n">
        <v>2621</v>
      </c>
      <c r="E111" s="13" t="s">
        <v>696</v>
      </c>
      <c r="F111" s="13" t="s">
        <v>697</v>
      </c>
      <c r="G111" s="13" t="s">
        <v>146</v>
      </c>
      <c r="H111" s="13" t="s">
        <v>138</v>
      </c>
      <c r="I111" s="13" t="s">
        <v>72</v>
      </c>
      <c r="J111" s="14" t="s">
        <v>73</v>
      </c>
      <c r="K111" s="15" t="s">
        <v>74</v>
      </c>
      <c r="L111" s="14" t="s">
        <v>139</v>
      </c>
      <c r="M111" s="13" t="s">
        <v>76</v>
      </c>
      <c r="N111" s="14" t="s">
        <v>698</v>
      </c>
    </row>
    <row r="112" customFormat="false" ht="20.85" hidden="false" customHeight="false" outlineLevel="0" collapsed="false">
      <c r="A112" s="13" t="s">
        <v>699</v>
      </c>
      <c r="B112" s="13" t="s">
        <v>700</v>
      </c>
      <c r="C112" s="13" t="s">
        <v>701</v>
      </c>
      <c r="D112" s="13" t="n">
        <v>1027</v>
      </c>
      <c r="E112" s="13" t="s">
        <v>702</v>
      </c>
      <c r="F112" s="13" t="s">
        <v>504</v>
      </c>
      <c r="G112" s="13" t="s">
        <v>90</v>
      </c>
      <c r="H112" s="13" t="s">
        <v>97</v>
      </c>
      <c r="I112" s="13" t="s">
        <v>72</v>
      </c>
      <c r="J112" s="14" t="s">
        <v>98</v>
      </c>
      <c r="K112" s="15" t="s">
        <v>74</v>
      </c>
      <c r="L112" s="14" t="s">
        <v>99</v>
      </c>
      <c r="M112" s="13" t="s">
        <v>76</v>
      </c>
      <c r="N112" s="14" t="s">
        <v>703</v>
      </c>
    </row>
    <row r="113" customFormat="false" ht="20.85" hidden="false" customHeight="false" outlineLevel="0" collapsed="false">
      <c r="A113" s="13" t="s">
        <v>704</v>
      </c>
      <c r="B113" s="13" t="s">
        <v>705</v>
      </c>
      <c r="C113" s="13" t="s">
        <v>706</v>
      </c>
      <c r="D113" s="13" t="n">
        <v>2185</v>
      </c>
      <c r="E113" s="13" t="s">
        <v>707</v>
      </c>
      <c r="F113" s="13" t="s">
        <v>708</v>
      </c>
      <c r="G113" s="13" t="s">
        <v>146</v>
      </c>
      <c r="H113" s="13" t="s">
        <v>71</v>
      </c>
      <c r="I113" s="13" t="s">
        <v>72</v>
      </c>
      <c r="J113" s="14" t="s">
        <v>73</v>
      </c>
      <c r="K113" s="15" t="s">
        <v>74</v>
      </c>
      <c r="L113" s="14" t="s">
        <v>75</v>
      </c>
      <c r="M113" s="13" t="s">
        <v>76</v>
      </c>
      <c r="N113" s="14" t="s">
        <v>709</v>
      </c>
    </row>
    <row r="114" customFormat="false" ht="20.85" hidden="false" customHeight="false" outlineLevel="0" collapsed="false">
      <c r="A114" s="13" t="s">
        <v>710</v>
      </c>
      <c r="B114" s="13" t="s">
        <v>711</v>
      </c>
      <c r="C114" s="13" t="s">
        <v>712</v>
      </c>
      <c r="D114" s="13" t="n">
        <v>1893</v>
      </c>
      <c r="E114" s="13" t="s">
        <v>713</v>
      </c>
      <c r="F114" s="13" t="s">
        <v>714</v>
      </c>
      <c r="G114" s="13" t="s">
        <v>106</v>
      </c>
      <c r="H114" s="13" t="s">
        <v>138</v>
      </c>
      <c r="I114" s="13" t="s">
        <v>72</v>
      </c>
      <c r="J114" s="14" t="s">
        <v>82</v>
      </c>
      <c r="K114" s="15" t="s">
        <v>74</v>
      </c>
      <c r="L114" s="14" t="s">
        <v>262</v>
      </c>
      <c r="M114" s="13" t="s">
        <v>76</v>
      </c>
      <c r="N114" s="14" t="s">
        <v>715</v>
      </c>
    </row>
    <row r="115" customFormat="false" ht="20.85" hidden="false" customHeight="false" outlineLevel="0" collapsed="false">
      <c r="A115" s="13" t="s">
        <v>716</v>
      </c>
      <c r="B115" s="13" t="s">
        <v>717</v>
      </c>
      <c r="C115" s="13" t="s">
        <v>718</v>
      </c>
      <c r="D115" s="13" t="n">
        <v>1274</v>
      </c>
      <c r="E115" s="13" t="s">
        <v>719</v>
      </c>
      <c r="F115" s="13" t="s">
        <v>720</v>
      </c>
      <c r="G115" s="13" t="s">
        <v>96</v>
      </c>
      <c r="H115" s="13" t="s">
        <v>71</v>
      </c>
      <c r="I115" s="13" t="s">
        <v>72</v>
      </c>
      <c r="J115" s="14" t="s">
        <v>98</v>
      </c>
      <c r="K115" s="15" t="s">
        <v>74</v>
      </c>
      <c r="L115" s="14" t="s">
        <v>152</v>
      </c>
      <c r="M115" s="13" t="s">
        <v>76</v>
      </c>
      <c r="N115" s="14" t="s">
        <v>721</v>
      </c>
    </row>
    <row r="116" customFormat="false" ht="20.85" hidden="false" customHeight="false" outlineLevel="0" collapsed="false">
      <c r="A116" s="13" t="s">
        <v>722</v>
      </c>
      <c r="B116" s="13" t="s">
        <v>723</v>
      </c>
      <c r="C116" s="13" t="s">
        <v>724</v>
      </c>
      <c r="D116" s="13" t="n">
        <v>2661</v>
      </c>
      <c r="E116" s="13" t="s">
        <v>725</v>
      </c>
      <c r="F116" s="13" t="s">
        <v>726</v>
      </c>
      <c r="G116" s="13" t="s">
        <v>106</v>
      </c>
      <c r="H116" s="13" t="s">
        <v>71</v>
      </c>
      <c r="I116" s="13" t="s">
        <v>72</v>
      </c>
      <c r="J116" s="14" t="s">
        <v>82</v>
      </c>
      <c r="K116" s="15" t="s">
        <v>74</v>
      </c>
      <c r="L116" s="14" t="s">
        <v>83</v>
      </c>
      <c r="M116" s="13" t="s">
        <v>76</v>
      </c>
      <c r="N116" s="14" t="s">
        <v>727</v>
      </c>
    </row>
    <row r="117" customFormat="false" ht="20.85" hidden="false" customHeight="false" outlineLevel="0" collapsed="false">
      <c r="A117" s="13" t="s">
        <v>728</v>
      </c>
      <c r="B117" s="13" t="s">
        <v>711</v>
      </c>
      <c r="C117" s="13" t="s">
        <v>729</v>
      </c>
      <c r="D117" s="13" t="n">
        <v>1769</v>
      </c>
      <c r="E117" s="13" t="s">
        <v>730</v>
      </c>
      <c r="F117" s="13" t="s">
        <v>731</v>
      </c>
      <c r="G117" s="13" t="s">
        <v>106</v>
      </c>
      <c r="H117" s="13" t="s">
        <v>138</v>
      </c>
      <c r="I117" s="13" t="s">
        <v>72</v>
      </c>
      <c r="J117" s="14" t="s">
        <v>73</v>
      </c>
      <c r="K117" s="15" t="s">
        <v>74</v>
      </c>
      <c r="L117" s="14" t="s">
        <v>139</v>
      </c>
      <c r="M117" s="13" t="s">
        <v>76</v>
      </c>
      <c r="N117" s="14" t="s">
        <v>732</v>
      </c>
    </row>
    <row r="118" customFormat="false" ht="15" hidden="false" customHeight="false" outlineLevel="0" collapsed="false">
      <c r="A118" s="13" t="s">
        <v>733</v>
      </c>
      <c r="B118" s="13" t="s">
        <v>734</v>
      </c>
      <c r="C118" s="13" t="s">
        <v>735</v>
      </c>
      <c r="D118" s="13" t="n">
        <v>950</v>
      </c>
      <c r="E118" s="13" t="s">
        <v>736</v>
      </c>
      <c r="F118" s="13" t="s">
        <v>737</v>
      </c>
      <c r="G118" s="13" t="s">
        <v>106</v>
      </c>
      <c r="H118" s="13" t="s">
        <v>71</v>
      </c>
      <c r="I118" s="13" t="s">
        <v>107</v>
      </c>
      <c r="J118" s="14" t="s">
        <v>73</v>
      </c>
      <c r="K118" s="16" t="s">
        <v>48</v>
      </c>
      <c r="L118" s="14" t="s">
        <v>108</v>
      </c>
      <c r="M118" s="13" t="s">
        <v>76</v>
      </c>
      <c r="N118" s="14" t="s">
        <v>738</v>
      </c>
    </row>
    <row r="119" customFormat="false" ht="20.85" hidden="false" customHeight="false" outlineLevel="0" collapsed="false">
      <c r="A119" s="13" t="s">
        <v>739</v>
      </c>
      <c r="B119" s="13" t="s">
        <v>740</v>
      </c>
      <c r="C119" s="13" t="s">
        <v>741</v>
      </c>
      <c r="D119" s="13" t="n">
        <v>1895</v>
      </c>
      <c r="E119" s="13" t="s">
        <v>742</v>
      </c>
      <c r="F119" s="13" t="s">
        <v>743</v>
      </c>
      <c r="G119" s="13" t="s">
        <v>106</v>
      </c>
      <c r="H119" s="13" t="s">
        <v>71</v>
      </c>
      <c r="I119" s="13" t="s">
        <v>72</v>
      </c>
      <c r="J119" s="14" t="s">
        <v>82</v>
      </c>
      <c r="K119" s="15" t="s">
        <v>74</v>
      </c>
      <c r="L119" s="14" t="s">
        <v>83</v>
      </c>
      <c r="M119" s="13" t="s">
        <v>76</v>
      </c>
      <c r="N119" s="14" t="s">
        <v>744</v>
      </c>
    </row>
    <row r="120" customFormat="false" ht="20.85" hidden="false" customHeight="false" outlineLevel="0" collapsed="false">
      <c r="A120" s="13" t="s">
        <v>745</v>
      </c>
      <c r="B120" s="13" t="s">
        <v>746</v>
      </c>
      <c r="C120" s="13" t="s">
        <v>747</v>
      </c>
      <c r="D120" s="13" t="n">
        <v>2018</v>
      </c>
      <c r="E120" s="13" t="s">
        <v>748</v>
      </c>
      <c r="F120" s="13" t="s">
        <v>749</v>
      </c>
      <c r="G120" s="13" t="s">
        <v>96</v>
      </c>
      <c r="H120" s="13" t="s">
        <v>71</v>
      </c>
      <c r="I120" s="13" t="s">
        <v>72</v>
      </c>
      <c r="J120" s="14" t="s">
        <v>115</v>
      </c>
      <c r="K120" s="15" t="s">
        <v>74</v>
      </c>
      <c r="L120" s="14" t="s">
        <v>116</v>
      </c>
      <c r="M120" s="13" t="s">
        <v>76</v>
      </c>
      <c r="N120" s="14" t="s">
        <v>750</v>
      </c>
    </row>
    <row r="121" customFormat="false" ht="15" hidden="false" customHeight="false" outlineLevel="0" collapsed="false">
      <c r="A121" s="13" t="s">
        <v>751</v>
      </c>
      <c r="B121" s="13" t="s">
        <v>752</v>
      </c>
      <c r="C121" s="13" t="s">
        <v>753</v>
      </c>
      <c r="D121" s="13" t="n">
        <v>1948</v>
      </c>
      <c r="E121" s="13" t="s">
        <v>754</v>
      </c>
      <c r="F121" s="13" t="s">
        <v>755</v>
      </c>
      <c r="G121" s="13" t="s">
        <v>90</v>
      </c>
      <c r="H121" s="13" t="s">
        <v>71</v>
      </c>
      <c r="I121" s="13" t="s">
        <v>107</v>
      </c>
      <c r="J121" s="14" t="s">
        <v>82</v>
      </c>
      <c r="K121" s="16" t="s">
        <v>48</v>
      </c>
      <c r="L121" s="14" t="s">
        <v>108</v>
      </c>
      <c r="M121" s="13" t="s">
        <v>76</v>
      </c>
      <c r="N121" s="14" t="s">
        <v>756</v>
      </c>
    </row>
    <row r="122" customFormat="false" ht="20.85" hidden="false" customHeight="false" outlineLevel="0" collapsed="false">
      <c r="A122" s="13" t="s">
        <v>757</v>
      </c>
      <c r="B122" s="13" t="s">
        <v>758</v>
      </c>
      <c r="C122" s="13" t="s">
        <v>759</v>
      </c>
      <c r="D122" s="13" t="n">
        <v>1305</v>
      </c>
      <c r="E122" s="13" t="s">
        <v>760</v>
      </c>
      <c r="F122" s="13" t="s">
        <v>761</v>
      </c>
      <c r="G122" s="13" t="s">
        <v>90</v>
      </c>
      <c r="H122" s="13" t="s">
        <v>138</v>
      </c>
      <c r="I122" s="13" t="s">
        <v>72</v>
      </c>
      <c r="J122" s="14" t="s">
        <v>115</v>
      </c>
      <c r="K122" s="15" t="s">
        <v>74</v>
      </c>
      <c r="L122" s="14" t="s">
        <v>224</v>
      </c>
      <c r="M122" s="13" t="s">
        <v>76</v>
      </c>
      <c r="N122" s="14" t="s">
        <v>762</v>
      </c>
    </row>
    <row r="123" customFormat="false" ht="20.85" hidden="false" customHeight="false" outlineLevel="0" collapsed="false">
      <c r="A123" s="13" t="s">
        <v>763</v>
      </c>
      <c r="B123" s="13" t="s">
        <v>764</v>
      </c>
      <c r="C123" s="13" t="s">
        <v>765</v>
      </c>
      <c r="D123" s="13" t="n">
        <v>675</v>
      </c>
      <c r="E123" s="13" t="s">
        <v>113</v>
      </c>
      <c r="F123" s="13" t="s">
        <v>766</v>
      </c>
      <c r="G123" s="13" t="s">
        <v>96</v>
      </c>
      <c r="H123" s="13" t="s">
        <v>123</v>
      </c>
      <c r="I123" s="13" t="s">
        <v>72</v>
      </c>
      <c r="J123" s="14" t="s">
        <v>82</v>
      </c>
      <c r="K123" s="15" t="s">
        <v>74</v>
      </c>
      <c r="L123" s="14" t="s">
        <v>269</v>
      </c>
      <c r="M123" s="13" t="s">
        <v>76</v>
      </c>
      <c r="N123" s="14" t="s">
        <v>767</v>
      </c>
    </row>
    <row r="124" customFormat="false" ht="20.85" hidden="false" customHeight="false" outlineLevel="0" collapsed="false">
      <c r="A124" s="13" t="s">
        <v>768</v>
      </c>
      <c r="B124" s="13" t="s">
        <v>769</v>
      </c>
      <c r="C124" s="13" t="s">
        <v>391</v>
      </c>
      <c r="D124" s="13" t="n">
        <v>242</v>
      </c>
      <c r="E124" s="13" t="s">
        <v>392</v>
      </c>
      <c r="F124" s="13" t="s">
        <v>217</v>
      </c>
      <c r="G124" s="13" t="s">
        <v>90</v>
      </c>
      <c r="H124" s="13" t="s">
        <v>138</v>
      </c>
      <c r="I124" s="13" t="s">
        <v>72</v>
      </c>
      <c r="J124" s="14" t="s">
        <v>115</v>
      </c>
      <c r="K124" s="15" t="s">
        <v>74</v>
      </c>
      <c r="L124" s="14" t="s">
        <v>224</v>
      </c>
      <c r="M124" s="13" t="s">
        <v>76</v>
      </c>
      <c r="N124" s="14" t="s">
        <v>770</v>
      </c>
    </row>
    <row r="125" customFormat="false" ht="20.85" hidden="false" customHeight="false" outlineLevel="0" collapsed="false">
      <c r="A125" s="13" t="s">
        <v>771</v>
      </c>
      <c r="B125" s="13" t="s">
        <v>772</v>
      </c>
      <c r="C125" s="13" t="s">
        <v>773</v>
      </c>
      <c r="D125" s="13" t="n">
        <v>536</v>
      </c>
      <c r="E125" s="13" t="s">
        <v>774</v>
      </c>
      <c r="F125" s="13" t="s">
        <v>775</v>
      </c>
      <c r="G125" s="13" t="s">
        <v>90</v>
      </c>
      <c r="H125" s="13" t="s">
        <v>97</v>
      </c>
      <c r="I125" s="13" t="s">
        <v>72</v>
      </c>
      <c r="J125" s="14" t="s">
        <v>82</v>
      </c>
      <c r="K125" s="15" t="s">
        <v>74</v>
      </c>
      <c r="L125" s="14" t="s">
        <v>131</v>
      </c>
      <c r="M125" s="13" t="s">
        <v>76</v>
      </c>
      <c r="N125" s="14" t="s">
        <v>776</v>
      </c>
    </row>
    <row r="126" customFormat="false" ht="20.85" hidden="false" customHeight="false" outlineLevel="0" collapsed="false">
      <c r="A126" s="13" t="s">
        <v>777</v>
      </c>
      <c r="B126" s="13" t="s">
        <v>778</v>
      </c>
      <c r="C126" s="13" t="s">
        <v>779</v>
      </c>
      <c r="D126" s="13" t="n">
        <v>1013</v>
      </c>
      <c r="E126" s="13" t="s">
        <v>780</v>
      </c>
      <c r="F126" s="13" t="s">
        <v>781</v>
      </c>
      <c r="G126" s="13" t="s">
        <v>96</v>
      </c>
      <c r="H126" s="13" t="s">
        <v>97</v>
      </c>
      <c r="I126" s="13" t="s">
        <v>72</v>
      </c>
      <c r="J126" s="14" t="s">
        <v>115</v>
      </c>
      <c r="K126" s="15" t="s">
        <v>74</v>
      </c>
      <c r="L126" s="14" t="s">
        <v>387</v>
      </c>
      <c r="M126" s="13" t="s">
        <v>76</v>
      </c>
      <c r="N126" s="14" t="s">
        <v>782</v>
      </c>
    </row>
    <row r="127" customFormat="false" ht="20.85" hidden="false" customHeight="false" outlineLevel="0" collapsed="false">
      <c r="A127" s="13" t="s">
        <v>783</v>
      </c>
      <c r="B127" s="13" t="s">
        <v>784</v>
      </c>
      <c r="C127" s="13" t="s">
        <v>785</v>
      </c>
      <c r="D127" s="13" t="n">
        <v>753</v>
      </c>
      <c r="E127" s="13" t="s">
        <v>786</v>
      </c>
      <c r="F127" s="13" t="s">
        <v>787</v>
      </c>
      <c r="G127" s="13" t="s">
        <v>70</v>
      </c>
      <c r="H127" s="13" t="s">
        <v>138</v>
      </c>
      <c r="I127" s="13" t="s">
        <v>72</v>
      </c>
      <c r="J127" s="14" t="s">
        <v>82</v>
      </c>
      <c r="K127" s="15" t="s">
        <v>74</v>
      </c>
      <c r="L127" s="14" t="s">
        <v>262</v>
      </c>
      <c r="M127" s="13" t="s">
        <v>76</v>
      </c>
      <c r="N127" s="14" t="s">
        <v>788</v>
      </c>
    </row>
    <row r="128" customFormat="false" ht="20.85" hidden="false" customHeight="false" outlineLevel="0" collapsed="false">
      <c r="A128" s="13" t="s">
        <v>789</v>
      </c>
      <c r="B128" s="13" t="s">
        <v>790</v>
      </c>
      <c r="C128" s="13" t="s">
        <v>791</v>
      </c>
      <c r="D128" s="13" t="n">
        <v>318</v>
      </c>
      <c r="E128" s="13" t="s">
        <v>792</v>
      </c>
      <c r="F128" s="13" t="s">
        <v>285</v>
      </c>
      <c r="G128" s="13" t="s">
        <v>146</v>
      </c>
      <c r="H128" s="13" t="s">
        <v>123</v>
      </c>
      <c r="I128" s="13" t="s">
        <v>72</v>
      </c>
      <c r="J128" s="14" t="s">
        <v>115</v>
      </c>
      <c r="K128" s="15" t="s">
        <v>74</v>
      </c>
      <c r="L128" s="14" t="s">
        <v>464</v>
      </c>
      <c r="M128" s="13" t="s">
        <v>76</v>
      </c>
      <c r="N128" s="14" t="s">
        <v>793</v>
      </c>
    </row>
    <row r="129" customFormat="false" ht="20.85" hidden="false" customHeight="false" outlineLevel="0" collapsed="false">
      <c r="A129" s="13" t="s">
        <v>794</v>
      </c>
      <c r="B129" s="13" t="s">
        <v>795</v>
      </c>
      <c r="C129" s="13" t="s">
        <v>796</v>
      </c>
      <c r="D129" s="13" t="n">
        <v>2891</v>
      </c>
      <c r="E129" s="13" t="s">
        <v>797</v>
      </c>
      <c r="F129" s="13" t="s">
        <v>798</v>
      </c>
      <c r="G129" s="13" t="s">
        <v>106</v>
      </c>
      <c r="H129" s="13" t="s">
        <v>71</v>
      </c>
      <c r="I129" s="13" t="s">
        <v>72</v>
      </c>
      <c r="J129" s="14" t="s">
        <v>115</v>
      </c>
      <c r="K129" s="15" t="s">
        <v>74</v>
      </c>
      <c r="L129" s="14" t="s">
        <v>116</v>
      </c>
      <c r="M129" s="13" t="s">
        <v>76</v>
      </c>
      <c r="N129" s="14" t="s">
        <v>799</v>
      </c>
    </row>
    <row r="130" customFormat="false" ht="20.85" hidden="false" customHeight="false" outlineLevel="0" collapsed="false">
      <c r="A130" s="13" t="s">
        <v>800</v>
      </c>
      <c r="B130" s="13" t="s">
        <v>801</v>
      </c>
      <c r="C130" s="13" t="s">
        <v>802</v>
      </c>
      <c r="D130" s="13" t="n">
        <v>2026</v>
      </c>
      <c r="E130" s="13" t="s">
        <v>803</v>
      </c>
      <c r="F130" s="13" t="s">
        <v>804</v>
      </c>
      <c r="G130" s="13" t="s">
        <v>70</v>
      </c>
      <c r="H130" s="13" t="s">
        <v>97</v>
      </c>
      <c r="I130" s="13" t="s">
        <v>72</v>
      </c>
      <c r="J130" s="14" t="s">
        <v>73</v>
      </c>
      <c r="K130" s="15" t="s">
        <v>74</v>
      </c>
      <c r="L130" s="14" t="s">
        <v>292</v>
      </c>
      <c r="M130" s="13" t="s">
        <v>76</v>
      </c>
      <c r="N130" s="14" t="s">
        <v>805</v>
      </c>
    </row>
    <row r="131" customFormat="false" ht="20.85" hidden="false" customHeight="false" outlineLevel="0" collapsed="false">
      <c r="A131" s="13" t="s">
        <v>806</v>
      </c>
      <c r="B131" s="13" t="s">
        <v>807</v>
      </c>
      <c r="C131" s="13" t="s">
        <v>808</v>
      </c>
      <c r="D131" s="13" t="n">
        <v>2245</v>
      </c>
      <c r="E131" s="13" t="s">
        <v>809</v>
      </c>
      <c r="F131" s="13" t="s">
        <v>810</v>
      </c>
      <c r="G131" s="13" t="s">
        <v>70</v>
      </c>
      <c r="H131" s="13" t="s">
        <v>71</v>
      </c>
      <c r="I131" s="13" t="s">
        <v>72</v>
      </c>
      <c r="J131" s="14" t="s">
        <v>73</v>
      </c>
      <c r="K131" s="15" t="s">
        <v>74</v>
      </c>
      <c r="L131" s="14" t="s">
        <v>75</v>
      </c>
      <c r="M131" s="13" t="s">
        <v>76</v>
      </c>
      <c r="N131" s="14" t="s">
        <v>811</v>
      </c>
    </row>
    <row r="132" customFormat="false" ht="20.85" hidden="false" customHeight="false" outlineLevel="0" collapsed="false">
      <c r="A132" s="13" t="s">
        <v>812</v>
      </c>
      <c r="B132" s="13" t="s">
        <v>813</v>
      </c>
      <c r="C132" s="13" t="s">
        <v>814</v>
      </c>
      <c r="D132" s="13" t="n">
        <v>2527</v>
      </c>
      <c r="E132" s="13" t="s">
        <v>815</v>
      </c>
      <c r="F132" s="13" t="s">
        <v>816</v>
      </c>
      <c r="G132" s="13" t="s">
        <v>106</v>
      </c>
      <c r="H132" s="13" t="s">
        <v>97</v>
      </c>
      <c r="I132" s="13" t="s">
        <v>72</v>
      </c>
      <c r="J132" s="14" t="s">
        <v>82</v>
      </c>
      <c r="K132" s="15" t="s">
        <v>74</v>
      </c>
      <c r="L132" s="14" t="s">
        <v>131</v>
      </c>
      <c r="M132" s="13" t="s">
        <v>76</v>
      </c>
      <c r="N132" s="14" t="s">
        <v>817</v>
      </c>
    </row>
    <row r="133" customFormat="false" ht="15" hidden="false" customHeight="false" outlineLevel="0" collapsed="false">
      <c r="A133" s="13" t="s">
        <v>818</v>
      </c>
      <c r="B133" s="13" t="s">
        <v>819</v>
      </c>
      <c r="C133" s="13" t="s">
        <v>820</v>
      </c>
      <c r="D133" s="13" t="n">
        <v>144</v>
      </c>
      <c r="E133" s="13" t="s">
        <v>821</v>
      </c>
      <c r="F133" s="13" t="s">
        <v>822</v>
      </c>
      <c r="G133" s="13" t="s">
        <v>70</v>
      </c>
      <c r="H133" s="13" t="s">
        <v>71</v>
      </c>
      <c r="I133" s="13" t="s">
        <v>107</v>
      </c>
      <c r="J133" s="14" t="s">
        <v>98</v>
      </c>
      <c r="K133" s="16" t="s">
        <v>48</v>
      </c>
      <c r="L133" s="14" t="s">
        <v>108</v>
      </c>
      <c r="M133" s="13" t="s">
        <v>76</v>
      </c>
      <c r="N133" s="14" t="s">
        <v>823</v>
      </c>
    </row>
    <row r="134" customFormat="false" ht="20.85" hidden="false" customHeight="false" outlineLevel="0" collapsed="false">
      <c r="A134" s="13" t="s">
        <v>824</v>
      </c>
      <c r="B134" s="13" t="s">
        <v>825</v>
      </c>
      <c r="C134" s="13" t="s">
        <v>826</v>
      </c>
      <c r="D134" s="13" t="n">
        <v>2390</v>
      </c>
      <c r="E134" s="13" t="s">
        <v>827</v>
      </c>
      <c r="F134" s="13" t="s">
        <v>828</v>
      </c>
      <c r="G134" s="13" t="s">
        <v>146</v>
      </c>
      <c r="H134" s="13" t="s">
        <v>138</v>
      </c>
      <c r="I134" s="13" t="s">
        <v>72</v>
      </c>
      <c r="J134" s="14" t="s">
        <v>82</v>
      </c>
      <c r="K134" s="15" t="s">
        <v>74</v>
      </c>
      <c r="L134" s="14" t="s">
        <v>262</v>
      </c>
      <c r="M134" s="13" t="s">
        <v>76</v>
      </c>
      <c r="N134" s="14" t="s">
        <v>829</v>
      </c>
    </row>
    <row r="135" customFormat="false" ht="20.85" hidden="false" customHeight="false" outlineLevel="0" collapsed="false">
      <c r="A135" s="13" t="s">
        <v>830</v>
      </c>
      <c r="B135" s="13" t="s">
        <v>831</v>
      </c>
      <c r="C135" s="13" t="s">
        <v>832</v>
      </c>
      <c r="D135" s="13" t="n">
        <v>368</v>
      </c>
      <c r="E135" s="13" t="s">
        <v>833</v>
      </c>
      <c r="F135" s="13" t="s">
        <v>834</v>
      </c>
      <c r="G135" s="13" t="s">
        <v>96</v>
      </c>
      <c r="H135" s="13" t="s">
        <v>123</v>
      </c>
      <c r="I135" s="13" t="s">
        <v>72</v>
      </c>
      <c r="J135" s="14" t="s">
        <v>73</v>
      </c>
      <c r="K135" s="15" t="s">
        <v>74</v>
      </c>
      <c r="L135" s="14" t="s">
        <v>255</v>
      </c>
      <c r="M135" s="13" t="s">
        <v>76</v>
      </c>
      <c r="N135" s="14" t="s">
        <v>835</v>
      </c>
    </row>
    <row r="136" customFormat="false" ht="20.85" hidden="false" customHeight="false" outlineLevel="0" collapsed="false">
      <c r="A136" s="13" t="s">
        <v>836</v>
      </c>
      <c r="B136" s="13" t="s">
        <v>837</v>
      </c>
      <c r="C136" s="13" t="s">
        <v>838</v>
      </c>
      <c r="D136" s="13" t="n">
        <v>889</v>
      </c>
      <c r="E136" s="13" t="s">
        <v>839</v>
      </c>
      <c r="F136" s="13" t="s">
        <v>840</v>
      </c>
      <c r="G136" s="13" t="s">
        <v>90</v>
      </c>
      <c r="H136" s="13" t="s">
        <v>71</v>
      </c>
      <c r="I136" s="13" t="s">
        <v>72</v>
      </c>
      <c r="J136" s="14" t="s">
        <v>115</v>
      </c>
      <c r="K136" s="15" t="s">
        <v>74</v>
      </c>
      <c r="L136" s="14" t="s">
        <v>116</v>
      </c>
      <c r="M136" s="13" t="s">
        <v>76</v>
      </c>
      <c r="N136" s="14" t="s">
        <v>841</v>
      </c>
    </row>
    <row r="137" customFormat="false" ht="20.85" hidden="false" customHeight="false" outlineLevel="0" collapsed="false">
      <c r="A137" s="13" t="s">
        <v>842</v>
      </c>
      <c r="B137" s="13" t="s">
        <v>843</v>
      </c>
      <c r="C137" s="13" t="s">
        <v>844</v>
      </c>
      <c r="D137" s="13" t="n">
        <v>691</v>
      </c>
      <c r="E137" s="13" t="s">
        <v>845</v>
      </c>
      <c r="F137" s="13" t="s">
        <v>846</v>
      </c>
      <c r="G137" s="13" t="s">
        <v>70</v>
      </c>
      <c r="H137" s="13" t="s">
        <v>123</v>
      </c>
      <c r="I137" s="13" t="s">
        <v>72</v>
      </c>
      <c r="J137" s="14" t="s">
        <v>82</v>
      </c>
      <c r="K137" s="15" t="s">
        <v>74</v>
      </c>
      <c r="L137" s="14" t="s">
        <v>269</v>
      </c>
      <c r="M137" s="13" t="s">
        <v>76</v>
      </c>
      <c r="N137" s="14" t="s">
        <v>847</v>
      </c>
    </row>
    <row r="138" customFormat="false" ht="20.85" hidden="false" customHeight="false" outlineLevel="0" collapsed="false">
      <c r="A138" s="13" t="s">
        <v>848</v>
      </c>
      <c r="B138" s="13" t="s">
        <v>849</v>
      </c>
      <c r="C138" s="13" t="s">
        <v>850</v>
      </c>
      <c r="D138" s="13" t="n">
        <v>1850</v>
      </c>
      <c r="E138" s="13" t="s">
        <v>851</v>
      </c>
      <c r="F138" s="13" t="s">
        <v>852</v>
      </c>
      <c r="G138" s="13" t="s">
        <v>146</v>
      </c>
      <c r="H138" s="13" t="s">
        <v>71</v>
      </c>
      <c r="I138" s="13" t="s">
        <v>72</v>
      </c>
      <c r="J138" s="14" t="s">
        <v>73</v>
      </c>
      <c r="K138" s="15" t="s">
        <v>74</v>
      </c>
      <c r="L138" s="14" t="s">
        <v>75</v>
      </c>
      <c r="M138" s="13" t="s">
        <v>76</v>
      </c>
      <c r="N138" s="14" t="s">
        <v>853</v>
      </c>
    </row>
    <row r="139" customFormat="false" ht="20.85" hidden="false" customHeight="false" outlineLevel="0" collapsed="false">
      <c r="A139" s="13" t="s">
        <v>854</v>
      </c>
      <c r="B139" s="13" t="s">
        <v>855</v>
      </c>
      <c r="C139" s="13" t="s">
        <v>856</v>
      </c>
      <c r="D139" s="13" t="n">
        <v>2762</v>
      </c>
      <c r="E139" s="13" t="s">
        <v>857</v>
      </c>
      <c r="F139" s="13" t="s">
        <v>858</v>
      </c>
      <c r="G139" s="13" t="s">
        <v>70</v>
      </c>
      <c r="H139" s="13" t="s">
        <v>71</v>
      </c>
      <c r="I139" s="13" t="s">
        <v>72</v>
      </c>
      <c r="J139" s="14" t="s">
        <v>82</v>
      </c>
      <c r="K139" s="15" t="s">
        <v>74</v>
      </c>
      <c r="L139" s="14" t="s">
        <v>83</v>
      </c>
      <c r="M139" s="13" t="s">
        <v>76</v>
      </c>
      <c r="N139" s="14" t="s">
        <v>859</v>
      </c>
    </row>
    <row r="140" customFormat="false" ht="20.85" hidden="false" customHeight="false" outlineLevel="0" collapsed="false">
      <c r="A140" s="13" t="s">
        <v>860</v>
      </c>
      <c r="B140" s="13" t="s">
        <v>861</v>
      </c>
      <c r="C140" s="13" t="s">
        <v>862</v>
      </c>
      <c r="D140" s="13" t="n">
        <v>2542</v>
      </c>
      <c r="E140" s="13" t="s">
        <v>863</v>
      </c>
      <c r="F140" s="13" t="s">
        <v>864</v>
      </c>
      <c r="G140" s="13" t="s">
        <v>146</v>
      </c>
      <c r="H140" s="13" t="s">
        <v>71</v>
      </c>
      <c r="I140" s="13" t="s">
        <v>72</v>
      </c>
      <c r="J140" s="14" t="s">
        <v>115</v>
      </c>
      <c r="K140" s="15" t="s">
        <v>74</v>
      </c>
      <c r="L140" s="14" t="s">
        <v>116</v>
      </c>
      <c r="M140" s="13" t="s">
        <v>76</v>
      </c>
      <c r="N140" s="14" t="s">
        <v>865</v>
      </c>
    </row>
    <row r="141" customFormat="false" ht="20.85" hidden="false" customHeight="false" outlineLevel="0" collapsed="false">
      <c r="A141" s="13" t="s">
        <v>866</v>
      </c>
      <c r="B141" s="13" t="s">
        <v>867</v>
      </c>
      <c r="C141" s="13" t="s">
        <v>868</v>
      </c>
      <c r="D141" s="13" t="n">
        <v>2759</v>
      </c>
      <c r="E141" s="13" t="s">
        <v>869</v>
      </c>
      <c r="F141" s="13" t="s">
        <v>870</v>
      </c>
      <c r="G141" s="13" t="s">
        <v>90</v>
      </c>
      <c r="H141" s="13" t="s">
        <v>97</v>
      </c>
      <c r="I141" s="13" t="s">
        <v>72</v>
      </c>
      <c r="J141" s="14" t="s">
        <v>82</v>
      </c>
      <c r="K141" s="15" t="s">
        <v>74</v>
      </c>
      <c r="L141" s="14" t="s">
        <v>131</v>
      </c>
      <c r="M141" s="13" t="s">
        <v>76</v>
      </c>
      <c r="N141" s="14" t="s">
        <v>871</v>
      </c>
    </row>
    <row r="142" customFormat="false" ht="20.85" hidden="false" customHeight="false" outlineLevel="0" collapsed="false">
      <c r="A142" s="13" t="s">
        <v>872</v>
      </c>
      <c r="B142" s="13" t="s">
        <v>873</v>
      </c>
      <c r="C142" s="13" t="s">
        <v>874</v>
      </c>
      <c r="D142" s="13" t="n">
        <v>1</v>
      </c>
      <c r="E142" s="13" t="s">
        <v>875</v>
      </c>
      <c r="F142" s="13" t="s">
        <v>876</v>
      </c>
      <c r="G142" s="13" t="s">
        <v>96</v>
      </c>
      <c r="H142" s="13" t="s">
        <v>97</v>
      </c>
      <c r="I142" s="13" t="s">
        <v>72</v>
      </c>
      <c r="J142" s="14" t="s">
        <v>115</v>
      </c>
      <c r="K142" s="15" t="s">
        <v>74</v>
      </c>
      <c r="L142" s="14" t="s">
        <v>387</v>
      </c>
      <c r="M142" s="13" t="s">
        <v>76</v>
      </c>
      <c r="N142" s="14" t="s">
        <v>877</v>
      </c>
    </row>
    <row r="143" customFormat="false" ht="20.85" hidden="false" customHeight="false" outlineLevel="0" collapsed="false">
      <c r="A143" s="13" t="s">
        <v>878</v>
      </c>
      <c r="B143" s="13" t="s">
        <v>879</v>
      </c>
      <c r="C143" s="13" t="s">
        <v>880</v>
      </c>
      <c r="D143" s="13" t="n">
        <v>1791</v>
      </c>
      <c r="E143" s="13" t="s">
        <v>881</v>
      </c>
      <c r="F143" s="13" t="s">
        <v>328</v>
      </c>
      <c r="G143" s="13" t="s">
        <v>146</v>
      </c>
      <c r="H143" s="13" t="s">
        <v>71</v>
      </c>
      <c r="I143" s="13" t="s">
        <v>72</v>
      </c>
      <c r="J143" s="14" t="s">
        <v>82</v>
      </c>
      <c r="K143" s="15" t="s">
        <v>74</v>
      </c>
      <c r="L143" s="14" t="s">
        <v>83</v>
      </c>
      <c r="M143" s="13" t="s">
        <v>76</v>
      </c>
      <c r="N143" s="14" t="s">
        <v>882</v>
      </c>
    </row>
    <row r="144" customFormat="false" ht="20.85" hidden="false" customHeight="false" outlineLevel="0" collapsed="false">
      <c r="A144" s="13" t="s">
        <v>883</v>
      </c>
      <c r="B144" s="13" t="s">
        <v>884</v>
      </c>
      <c r="C144" s="13" t="s">
        <v>885</v>
      </c>
      <c r="D144" s="13" t="n">
        <v>998</v>
      </c>
      <c r="E144" s="13" t="s">
        <v>886</v>
      </c>
      <c r="F144" s="13" t="s">
        <v>887</v>
      </c>
      <c r="G144" s="13" t="s">
        <v>106</v>
      </c>
      <c r="H144" s="13" t="s">
        <v>71</v>
      </c>
      <c r="I144" s="13" t="s">
        <v>72</v>
      </c>
      <c r="J144" s="14" t="s">
        <v>82</v>
      </c>
      <c r="K144" s="15" t="s">
        <v>74</v>
      </c>
      <c r="L144" s="14" t="s">
        <v>83</v>
      </c>
      <c r="M144" s="13" t="s">
        <v>76</v>
      </c>
      <c r="N144" s="14" t="s">
        <v>888</v>
      </c>
    </row>
    <row r="145" customFormat="false" ht="20.85" hidden="false" customHeight="false" outlineLevel="0" collapsed="false">
      <c r="A145" s="13" t="s">
        <v>889</v>
      </c>
      <c r="B145" s="13" t="s">
        <v>890</v>
      </c>
      <c r="C145" s="13" t="s">
        <v>891</v>
      </c>
      <c r="D145" s="13" t="n">
        <v>1925</v>
      </c>
      <c r="E145" s="13" t="s">
        <v>892</v>
      </c>
      <c r="F145" s="13" t="s">
        <v>893</v>
      </c>
      <c r="G145" s="13" t="s">
        <v>106</v>
      </c>
      <c r="H145" s="13" t="s">
        <v>123</v>
      </c>
      <c r="I145" s="13" t="s">
        <v>72</v>
      </c>
      <c r="J145" s="14" t="s">
        <v>98</v>
      </c>
      <c r="K145" s="15" t="s">
        <v>74</v>
      </c>
      <c r="L145" s="14" t="s">
        <v>124</v>
      </c>
      <c r="M145" s="13" t="s">
        <v>76</v>
      </c>
      <c r="N145" s="14" t="s">
        <v>894</v>
      </c>
    </row>
    <row r="146" customFormat="false" ht="20.85" hidden="false" customHeight="false" outlineLevel="0" collapsed="false">
      <c r="A146" s="13" t="s">
        <v>895</v>
      </c>
      <c r="B146" s="13" t="s">
        <v>896</v>
      </c>
      <c r="C146" s="13" t="s">
        <v>897</v>
      </c>
      <c r="D146" s="13" t="n">
        <v>2615</v>
      </c>
      <c r="E146" s="13" t="s">
        <v>898</v>
      </c>
      <c r="F146" s="13" t="s">
        <v>899</v>
      </c>
      <c r="G146" s="13" t="s">
        <v>96</v>
      </c>
      <c r="H146" s="13" t="s">
        <v>138</v>
      </c>
      <c r="I146" s="13" t="s">
        <v>72</v>
      </c>
      <c r="J146" s="14" t="s">
        <v>82</v>
      </c>
      <c r="K146" s="15" t="s">
        <v>74</v>
      </c>
      <c r="L146" s="14" t="s">
        <v>262</v>
      </c>
      <c r="M146" s="13" t="s">
        <v>76</v>
      </c>
      <c r="N146" s="14" t="s">
        <v>900</v>
      </c>
    </row>
    <row r="147" customFormat="false" ht="20.85" hidden="false" customHeight="false" outlineLevel="0" collapsed="false">
      <c r="A147" s="13" t="s">
        <v>901</v>
      </c>
      <c r="B147" s="13" t="s">
        <v>902</v>
      </c>
      <c r="C147" s="13" t="s">
        <v>903</v>
      </c>
      <c r="D147" s="13" t="n">
        <v>2062</v>
      </c>
      <c r="E147" s="13" t="s">
        <v>904</v>
      </c>
      <c r="F147" s="13" t="s">
        <v>905</v>
      </c>
      <c r="G147" s="13" t="s">
        <v>70</v>
      </c>
      <c r="H147" s="13" t="s">
        <v>138</v>
      </c>
      <c r="I147" s="13" t="s">
        <v>72</v>
      </c>
      <c r="J147" s="14" t="s">
        <v>98</v>
      </c>
      <c r="K147" s="15" t="s">
        <v>74</v>
      </c>
      <c r="L147" s="14" t="s">
        <v>165</v>
      </c>
      <c r="M147" s="13" t="s">
        <v>76</v>
      </c>
      <c r="N147" s="14" t="s">
        <v>906</v>
      </c>
    </row>
    <row r="148" customFormat="false" ht="20.85" hidden="false" customHeight="false" outlineLevel="0" collapsed="false">
      <c r="A148" s="13" t="s">
        <v>907</v>
      </c>
      <c r="B148" s="13" t="s">
        <v>908</v>
      </c>
      <c r="C148" s="13" t="s">
        <v>909</v>
      </c>
      <c r="D148" s="13" t="n">
        <v>779</v>
      </c>
      <c r="E148" s="13" t="s">
        <v>910</v>
      </c>
      <c r="F148" s="13" t="s">
        <v>911</v>
      </c>
      <c r="G148" s="13" t="s">
        <v>146</v>
      </c>
      <c r="H148" s="13" t="s">
        <v>123</v>
      </c>
      <c r="I148" s="13" t="s">
        <v>72</v>
      </c>
      <c r="J148" s="14" t="s">
        <v>73</v>
      </c>
      <c r="K148" s="15" t="s">
        <v>74</v>
      </c>
      <c r="L148" s="14" t="s">
        <v>255</v>
      </c>
      <c r="M148" s="13" t="s">
        <v>76</v>
      </c>
      <c r="N148" s="14" t="s">
        <v>912</v>
      </c>
    </row>
    <row r="149" customFormat="false" ht="20.85" hidden="false" customHeight="false" outlineLevel="0" collapsed="false">
      <c r="A149" s="13" t="s">
        <v>913</v>
      </c>
      <c r="B149" s="13" t="s">
        <v>896</v>
      </c>
      <c r="C149" s="13" t="s">
        <v>914</v>
      </c>
      <c r="D149" s="13" t="n">
        <v>2228</v>
      </c>
      <c r="E149" s="13" t="s">
        <v>915</v>
      </c>
      <c r="F149" s="13" t="s">
        <v>916</v>
      </c>
      <c r="G149" s="13" t="s">
        <v>106</v>
      </c>
      <c r="H149" s="13" t="s">
        <v>138</v>
      </c>
      <c r="I149" s="13" t="s">
        <v>72</v>
      </c>
      <c r="J149" s="14" t="s">
        <v>98</v>
      </c>
      <c r="K149" s="15" t="s">
        <v>74</v>
      </c>
      <c r="L149" s="14" t="s">
        <v>165</v>
      </c>
      <c r="M149" s="13" t="s">
        <v>76</v>
      </c>
      <c r="N149" s="14" t="s">
        <v>917</v>
      </c>
    </row>
    <row r="150" customFormat="false" ht="20.85" hidden="false" customHeight="false" outlineLevel="0" collapsed="false">
      <c r="A150" s="13" t="s">
        <v>918</v>
      </c>
      <c r="B150" s="13" t="s">
        <v>919</v>
      </c>
      <c r="C150" s="13" t="s">
        <v>920</v>
      </c>
      <c r="D150" s="13" t="n">
        <v>2479</v>
      </c>
      <c r="E150" s="13" t="s">
        <v>921</v>
      </c>
      <c r="F150" s="13" t="s">
        <v>922</v>
      </c>
      <c r="G150" s="13" t="s">
        <v>146</v>
      </c>
      <c r="H150" s="13" t="s">
        <v>71</v>
      </c>
      <c r="I150" s="13" t="s">
        <v>72</v>
      </c>
      <c r="J150" s="14" t="s">
        <v>98</v>
      </c>
      <c r="K150" s="15" t="s">
        <v>74</v>
      </c>
      <c r="L150" s="14" t="s">
        <v>152</v>
      </c>
      <c r="M150" s="13" t="s">
        <v>76</v>
      </c>
      <c r="N150" s="14" t="s">
        <v>923</v>
      </c>
    </row>
    <row r="151" customFormat="false" ht="20.85" hidden="false" customHeight="false" outlineLevel="0" collapsed="false">
      <c r="A151" s="13" t="s">
        <v>924</v>
      </c>
      <c r="B151" s="13" t="s">
        <v>925</v>
      </c>
      <c r="C151" s="13" t="s">
        <v>926</v>
      </c>
      <c r="D151" s="13" t="n">
        <v>1574</v>
      </c>
      <c r="E151" s="13" t="s">
        <v>927</v>
      </c>
      <c r="F151" s="13" t="s">
        <v>655</v>
      </c>
      <c r="G151" s="13" t="s">
        <v>146</v>
      </c>
      <c r="H151" s="13" t="s">
        <v>97</v>
      </c>
      <c r="I151" s="13" t="s">
        <v>72</v>
      </c>
      <c r="J151" s="14" t="s">
        <v>82</v>
      </c>
      <c r="K151" s="15" t="s">
        <v>74</v>
      </c>
      <c r="L151" s="14" t="s">
        <v>131</v>
      </c>
      <c r="M151" s="13" t="s">
        <v>76</v>
      </c>
      <c r="N151" s="14" t="s">
        <v>928</v>
      </c>
    </row>
    <row r="152" customFormat="false" ht="20.85" hidden="false" customHeight="false" outlineLevel="0" collapsed="false">
      <c r="A152" s="13" t="s">
        <v>929</v>
      </c>
      <c r="B152" s="13" t="s">
        <v>919</v>
      </c>
      <c r="C152" s="13" t="s">
        <v>930</v>
      </c>
      <c r="D152" s="13" t="n">
        <v>1336</v>
      </c>
      <c r="E152" s="13" t="s">
        <v>931</v>
      </c>
      <c r="F152" s="13" t="s">
        <v>932</v>
      </c>
      <c r="G152" s="13" t="s">
        <v>96</v>
      </c>
      <c r="H152" s="13" t="s">
        <v>97</v>
      </c>
      <c r="I152" s="13" t="s">
        <v>72</v>
      </c>
      <c r="J152" s="14" t="s">
        <v>98</v>
      </c>
      <c r="K152" s="15" t="s">
        <v>74</v>
      </c>
      <c r="L152" s="14" t="s">
        <v>99</v>
      </c>
      <c r="M152" s="13" t="s">
        <v>76</v>
      </c>
      <c r="N152" s="14" t="s">
        <v>933</v>
      </c>
    </row>
    <row r="153" customFormat="false" ht="20.85" hidden="false" customHeight="false" outlineLevel="0" collapsed="false">
      <c r="A153" s="13" t="s">
        <v>934</v>
      </c>
      <c r="B153" s="13" t="s">
        <v>935</v>
      </c>
      <c r="C153" s="13" t="s">
        <v>936</v>
      </c>
      <c r="D153" s="13" t="n">
        <v>504</v>
      </c>
      <c r="E153" s="13" t="s">
        <v>937</v>
      </c>
      <c r="F153" s="13" t="s">
        <v>938</v>
      </c>
      <c r="G153" s="13" t="s">
        <v>96</v>
      </c>
      <c r="H153" s="13" t="s">
        <v>71</v>
      </c>
      <c r="I153" s="13" t="s">
        <v>72</v>
      </c>
      <c r="J153" s="14" t="s">
        <v>115</v>
      </c>
      <c r="K153" s="15" t="s">
        <v>74</v>
      </c>
      <c r="L153" s="14" t="s">
        <v>116</v>
      </c>
      <c r="M153" s="13" t="s">
        <v>76</v>
      </c>
      <c r="N153" s="14" t="s">
        <v>939</v>
      </c>
    </row>
    <row r="154" customFormat="false" ht="20.85" hidden="false" customHeight="false" outlineLevel="0" collapsed="false">
      <c r="A154" s="13" t="s">
        <v>940</v>
      </c>
      <c r="B154" s="13" t="s">
        <v>941</v>
      </c>
      <c r="C154" s="13" t="s">
        <v>942</v>
      </c>
      <c r="D154" s="13" t="n">
        <v>718</v>
      </c>
      <c r="E154" s="13" t="s">
        <v>943</v>
      </c>
      <c r="F154" s="13" t="s">
        <v>944</v>
      </c>
      <c r="G154" s="13" t="s">
        <v>146</v>
      </c>
      <c r="H154" s="13" t="s">
        <v>138</v>
      </c>
      <c r="I154" s="13" t="s">
        <v>72</v>
      </c>
      <c r="J154" s="14" t="s">
        <v>115</v>
      </c>
      <c r="K154" s="15" t="s">
        <v>74</v>
      </c>
      <c r="L154" s="14" t="s">
        <v>224</v>
      </c>
      <c r="M154" s="13" t="s">
        <v>76</v>
      </c>
      <c r="N154" s="14" t="s">
        <v>945</v>
      </c>
    </row>
    <row r="155" customFormat="false" ht="20.85" hidden="false" customHeight="false" outlineLevel="0" collapsed="false">
      <c r="A155" s="13" t="s">
        <v>946</v>
      </c>
      <c r="B155" s="13" t="s">
        <v>947</v>
      </c>
      <c r="C155" s="13" t="s">
        <v>948</v>
      </c>
      <c r="D155" s="13" t="n">
        <v>26</v>
      </c>
      <c r="E155" s="13" t="s">
        <v>949</v>
      </c>
      <c r="F155" s="13" t="s">
        <v>950</v>
      </c>
      <c r="G155" s="13" t="s">
        <v>146</v>
      </c>
      <c r="H155" s="13" t="s">
        <v>138</v>
      </c>
      <c r="I155" s="13" t="s">
        <v>72</v>
      </c>
      <c r="J155" s="14" t="s">
        <v>82</v>
      </c>
      <c r="K155" s="15" t="s">
        <v>74</v>
      </c>
      <c r="L155" s="14" t="s">
        <v>262</v>
      </c>
      <c r="M155" s="13" t="s">
        <v>76</v>
      </c>
      <c r="N155" s="14" t="s">
        <v>951</v>
      </c>
    </row>
    <row r="156" customFormat="false" ht="20.85" hidden="false" customHeight="false" outlineLevel="0" collapsed="false">
      <c r="A156" s="13" t="s">
        <v>952</v>
      </c>
      <c r="B156" s="13" t="s">
        <v>953</v>
      </c>
      <c r="C156" s="13" t="s">
        <v>954</v>
      </c>
      <c r="D156" s="13" t="n">
        <v>2831</v>
      </c>
      <c r="E156" s="13" t="s">
        <v>955</v>
      </c>
      <c r="F156" s="13" t="s">
        <v>956</v>
      </c>
      <c r="G156" s="13" t="s">
        <v>106</v>
      </c>
      <c r="H156" s="13" t="s">
        <v>97</v>
      </c>
      <c r="I156" s="13" t="s">
        <v>72</v>
      </c>
      <c r="J156" s="14" t="s">
        <v>73</v>
      </c>
      <c r="K156" s="15" t="s">
        <v>74</v>
      </c>
      <c r="L156" s="14" t="s">
        <v>292</v>
      </c>
      <c r="M156" s="13" t="s">
        <v>76</v>
      </c>
      <c r="N156" s="14" t="s">
        <v>957</v>
      </c>
    </row>
    <row r="157" customFormat="false" ht="20.85" hidden="false" customHeight="false" outlineLevel="0" collapsed="false">
      <c r="A157" s="13" t="s">
        <v>958</v>
      </c>
      <c r="B157" s="13" t="s">
        <v>953</v>
      </c>
      <c r="C157" s="13" t="s">
        <v>959</v>
      </c>
      <c r="D157" s="13" t="n">
        <v>264</v>
      </c>
      <c r="E157" s="13" t="s">
        <v>960</v>
      </c>
      <c r="F157" s="13" t="s">
        <v>961</v>
      </c>
      <c r="G157" s="13" t="s">
        <v>96</v>
      </c>
      <c r="H157" s="13" t="s">
        <v>123</v>
      </c>
      <c r="I157" s="13" t="s">
        <v>72</v>
      </c>
      <c r="J157" s="14" t="s">
        <v>82</v>
      </c>
      <c r="K157" s="15" t="s">
        <v>74</v>
      </c>
      <c r="L157" s="14" t="s">
        <v>269</v>
      </c>
      <c r="M157" s="13" t="s">
        <v>76</v>
      </c>
      <c r="N157" s="14" t="s">
        <v>962</v>
      </c>
    </row>
    <row r="158" customFormat="false" ht="20.85" hidden="false" customHeight="false" outlineLevel="0" collapsed="false">
      <c r="A158" s="13" t="s">
        <v>963</v>
      </c>
      <c r="B158" s="13" t="s">
        <v>964</v>
      </c>
      <c r="C158" s="13" t="s">
        <v>965</v>
      </c>
      <c r="D158" s="13" t="n">
        <v>2708</v>
      </c>
      <c r="E158" s="13" t="s">
        <v>966</v>
      </c>
      <c r="F158" s="13" t="s">
        <v>967</v>
      </c>
      <c r="G158" s="13" t="s">
        <v>90</v>
      </c>
      <c r="H158" s="13" t="s">
        <v>97</v>
      </c>
      <c r="I158" s="13" t="s">
        <v>72</v>
      </c>
      <c r="J158" s="14" t="s">
        <v>82</v>
      </c>
      <c r="K158" s="15" t="s">
        <v>74</v>
      </c>
      <c r="L158" s="14" t="s">
        <v>131</v>
      </c>
      <c r="M158" s="13" t="s">
        <v>76</v>
      </c>
      <c r="N158" s="14" t="s">
        <v>968</v>
      </c>
    </row>
    <row r="159" customFormat="false" ht="20.85" hidden="false" customHeight="false" outlineLevel="0" collapsed="false">
      <c r="A159" s="13" t="s">
        <v>969</v>
      </c>
      <c r="B159" s="13" t="s">
        <v>970</v>
      </c>
      <c r="C159" s="13" t="s">
        <v>971</v>
      </c>
      <c r="D159" s="13" t="n">
        <v>2808</v>
      </c>
      <c r="E159" s="13" t="s">
        <v>972</v>
      </c>
      <c r="F159" s="13" t="s">
        <v>973</v>
      </c>
      <c r="G159" s="13" t="s">
        <v>96</v>
      </c>
      <c r="H159" s="13" t="s">
        <v>138</v>
      </c>
      <c r="I159" s="13" t="s">
        <v>72</v>
      </c>
      <c r="J159" s="14" t="s">
        <v>98</v>
      </c>
      <c r="K159" s="15" t="s">
        <v>74</v>
      </c>
      <c r="L159" s="14" t="s">
        <v>165</v>
      </c>
      <c r="M159" s="13" t="s">
        <v>76</v>
      </c>
      <c r="N159" s="14" t="s">
        <v>974</v>
      </c>
    </row>
    <row r="160" customFormat="false" ht="20.85" hidden="false" customHeight="false" outlineLevel="0" collapsed="false">
      <c r="A160" s="13" t="s">
        <v>975</v>
      </c>
      <c r="B160" s="13" t="s">
        <v>976</v>
      </c>
      <c r="C160" s="13" t="s">
        <v>977</v>
      </c>
      <c r="D160" s="13" t="n">
        <v>269</v>
      </c>
      <c r="E160" s="13" t="s">
        <v>978</v>
      </c>
      <c r="F160" s="13" t="s">
        <v>979</v>
      </c>
      <c r="G160" s="13" t="s">
        <v>96</v>
      </c>
      <c r="H160" s="13" t="s">
        <v>71</v>
      </c>
      <c r="I160" s="13" t="s">
        <v>72</v>
      </c>
      <c r="J160" s="14" t="s">
        <v>98</v>
      </c>
      <c r="K160" s="15" t="s">
        <v>74</v>
      </c>
      <c r="L160" s="14" t="s">
        <v>152</v>
      </c>
      <c r="M160" s="13" t="s">
        <v>76</v>
      </c>
      <c r="N160" s="14" t="s">
        <v>980</v>
      </c>
    </row>
    <row r="161" customFormat="false" ht="20.85" hidden="false" customHeight="false" outlineLevel="0" collapsed="false">
      <c r="A161" s="13" t="s">
        <v>981</v>
      </c>
      <c r="B161" s="13" t="s">
        <v>982</v>
      </c>
      <c r="C161" s="13" t="s">
        <v>983</v>
      </c>
      <c r="D161" s="13" t="n">
        <v>2733</v>
      </c>
      <c r="E161" s="13" t="s">
        <v>984</v>
      </c>
      <c r="F161" s="13" t="s">
        <v>985</v>
      </c>
      <c r="G161" s="13" t="s">
        <v>90</v>
      </c>
      <c r="H161" s="13" t="s">
        <v>71</v>
      </c>
      <c r="I161" s="13" t="s">
        <v>72</v>
      </c>
      <c r="J161" s="14" t="s">
        <v>98</v>
      </c>
      <c r="K161" s="15" t="s">
        <v>74</v>
      </c>
      <c r="L161" s="14" t="s">
        <v>152</v>
      </c>
      <c r="M161" s="13" t="s">
        <v>76</v>
      </c>
      <c r="N161" s="14" t="s">
        <v>986</v>
      </c>
    </row>
    <row r="162" customFormat="false" ht="20.85" hidden="false" customHeight="false" outlineLevel="0" collapsed="false">
      <c r="A162" s="13" t="s">
        <v>987</v>
      </c>
      <c r="B162" s="13" t="s">
        <v>988</v>
      </c>
      <c r="C162" s="13" t="s">
        <v>989</v>
      </c>
      <c r="D162" s="13" t="n">
        <v>1139</v>
      </c>
      <c r="E162" s="13" t="s">
        <v>990</v>
      </c>
      <c r="F162" s="13" t="s">
        <v>991</v>
      </c>
      <c r="G162" s="13" t="s">
        <v>70</v>
      </c>
      <c r="H162" s="13" t="s">
        <v>71</v>
      </c>
      <c r="I162" s="13" t="s">
        <v>72</v>
      </c>
      <c r="J162" s="14" t="s">
        <v>82</v>
      </c>
      <c r="K162" s="15" t="s">
        <v>74</v>
      </c>
      <c r="L162" s="14" t="s">
        <v>83</v>
      </c>
      <c r="M162" s="13" t="s">
        <v>76</v>
      </c>
      <c r="N162" s="14" t="s">
        <v>992</v>
      </c>
    </row>
    <row r="163" customFormat="false" ht="15" hidden="false" customHeight="false" outlineLevel="0" collapsed="false">
      <c r="A163" s="13" t="s">
        <v>993</v>
      </c>
      <c r="B163" s="13" t="s">
        <v>994</v>
      </c>
      <c r="C163" s="13" t="s">
        <v>995</v>
      </c>
      <c r="D163" s="13" t="n">
        <v>1598</v>
      </c>
      <c r="E163" s="13" t="s">
        <v>996</v>
      </c>
      <c r="F163" s="13" t="s">
        <v>997</v>
      </c>
      <c r="G163" s="13" t="s">
        <v>90</v>
      </c>
      <c r="H163" s="13" t="s">
        <v>71</v>
      </c>
      <c r="I163" s="13" t="s">
        <v>107</v>
      </c>
      <c r="J163" s="14" t="s">
        <v>82</v>
      </c>
      <c r="K163" s="16" t="s">
        <v>48</v>
      </c>
      <c r="L163" s="14" t="s">
        <v>108</v>
      </c>
      <c r="M163" s="13" t="s">
        <v>76</v>
      </c>
      <c r="N163" s="14" t="s">
        <v>998</v>
      </c>
    </row>
    <row r="164" customFormat="false" ht="20.85" hidden="false" customHeight="false" outlineLevel="0" collapsed="false">
      <c r="A164" s="13" t="s">
        <v>999</v>
      </c>
      <c r="B164" s="13" t="s">
        <v>1000</v>
      </c>
      <c r="C164" s="13" t="s">
        <v>1001</v>
      </c>
      <c r="D164" s="13" t="n">
        <v>832</v>
      </c>
      <c r="E164" s="13" t="s">
        <v>1002</v>
      </c>
      <c r="F164" s="13" t="s">
        <v>1003</v>
      </c>
      <c r="G164" s="13" t="s">
        <v>96</v>
      </c>
      <c r="H164" s="13" t="s">
        <v>97</v>
      </c>
      <c r="I164" s="13" t="s">
        <v>72</v>
      </c>
      <c r="J164" s="14" t="s">
        <v>82</v>
      </c>
      <c r="K164" s="15" t="s">
        <v>74</v>
      </c>
      <c r="L164" s="14" t="s">
        <v>131</v>
      </c>
      <c r="M164" s="13" t="s">
        <v>76</v>
      </c>
      <c r="N164" s="14" t="s">
        <v>1004</v>
      </c>
    </row>
    <row r="165" customFormat="false" ht="20.85" hidden="false" customHeight="false" outlineLevel="0" collapsed="false">
      <c r="A165" s="13" t="s">
        <v>1005</v>
      </c>
      <c r="B165" s="13" t="s">
        <v>1006</v>
      </c>
      <c r="C165" s="13" t="s">
        <v>366</v>
      </c>
      <c r="D165" s="13" t="n">
        <v>2857</v>
      </c>
      <c r="E165" s="13" t="s">
        <v>367</v>
      </c>
      <c r="F165" s="13" t="s">
        <v>1007</v>
      </c>
      <c r="G165" s="13" t="s">
        <v>146</v>
      </c>
      <c r="H165" s="13" t="s">
        <v>71</v>
      </c>
      <c r="I165" s="13" t="s">
        <v>72</v>
      </c>
      <c r="J165" s="14" t="s">
        <v>73</v>
      </c>
      <c r="K165" s="15" t="s">
        <v>74</v>
      </c>
      <c r="L165" s="14" t="s">
        <v>75</v>
      </c>
      <c r="M165" s="13" t="s">
        <v>76</v>
      </c>
      <c r="N165" s="14" t="s">
        <v>1008</v>
      </c>
    </row>
    <row r="166" customFormat="false" ht="20.85" hidden="false" customHeight="false" outlineLevel="0" collapsed="false">
      <c r="A166" s="13" t="s">
        <v>1009</v>
      </c>
      <c r="B166" s="13" t="s">
        <v>1010</v>
      </c>
      <c r="C166" s="13" t="s">
        <v>1011</v>
      </c>
      <c r="D166" s="13" t="n">
        <v>1412</v>
      </c>
      <c r="E166" s="13" t="s">
        <v>1012</v>
      </c>
      <c r="F166" s="13" t="s">
        <v>1013</v>
      </c>
      <c r="G166" s="13" t="s">
        <v>90</v>
      </c>
      <c r="H166" s="13" t="s">
        <v>123</v>
      </c>
      <c r="I166" s="13" t="s">
        <v>72</v>
      </c>
      <c r="J166" s="14" t="s">
        <v>73</v>
      </c>
      <c r="K166" s="15" t="s">
        <v>74</v>
      </c>
      <c r="L166" s="14" t="s">
        <v>255</v>
      </c>
      <c r="M166" s="13" t="s">
        <v>76</v>
      </c>
      <c r="N166" s="14" t="s">
        <v>1014</v>
      </c>
    </row>
    <row r="167" customFormat="false" ht="20.85" hidden="false" customHeight="false" outlineLevel="0" collapsed="false">
      <c r="A167" s="13" t="s">
        <v>1015</v>
      </c>
      <c r="B167" s="13" t="s">
        <v>1016</v>
      </c>
      <c r="C167" s="13" t="s">
        <v>1017</v>
      </c>
      <c r="D167" s="13" t="n">
        <v>2079</v>
      </c>
      <c r="E167" s="13" t="s">
        <v>1018</v>
      </c>
      <c r="F167" s="13" t="s">
        <v>1019</v>
      </c>
      <c r="G167" s="13" t="s">
        <v>146</v>
      </c>
      <c r="H167" s="13" t="s">
        <v>97</v>
      </c>
      <c r="I167" s="13" t="s">
        <v>72</v>
      </c>
      <c r="J167" s="14" t="s">
        <v>73</v>
      </c>
      <c r="K167" s="15" t="s">
        <v>74</v>
      </c>
      <c r="L167" s="14" t="s">
        <v>292</v>
      </c>
      <c r="M167" s="13" t="s">
        <v>76</v>
      </c>
      <c r="N167" s="14" t="s">
        <v>1020</v>
      </c>
    </row>
    <row r="168" customFormat="false" ht="20.85" hidden="false" customHeight="false" outlineLevel="0" collapsed="false">
      <c r="A168" s="13" t="s">
        <v>1021</v>
      </c>
      <c r="B168" s="13" t="s">
        <v>1022</v>
      </c>
      <c r="C168" s="13" t="s">
        <v>1023</v>
      </c>
      <c r="D168" s="13" t="n">
        <v>2294</v>
      </c>
      <c r="E168" s="13" t="s">
        <v>1024</v>
      </c>
      <c r="F168" s="13" t="s">
        <v>1025</v>
      </c>
      <c r="G168" s="13" t="s">
        <v>70</v>
      </c>
      <c r="H168" s="13" t="s">
        <v>71</v>
      </c>
      <c r="I168" s="13" t="s">
        <v>72</v>
      </c>
      <c r="J168" s="14" t="s">
        <v>82</v>
      </c>
      <c r="K168" s="15" t="s">
        <v>74</v>
      </c>
      <c r="L168" s="14" t="s">
        <v>83</v>
      </c>
      <c r="M168" s="13" t="s">
        <v>76</v>
      </c>
      <c r="N168" s="14" t="s">
        <v>1026</v>
      </c>
    </row>
    <row r="169" customFormat="false" ht="20.85" hidden="false" customHeight="false" outlineLevel="0" collapsed="false">
      <c r="A169" s="13" t="s">
        <v>1027</v>
      </c>
      <c r="B169" s="13" t="s">
        <v>1028</v>
      </c>
      <c r="C169" s="13" t="s">
        <v>1029</v>
      </c>
      <c r="D169" s="13" t="n">
        <v>844</v>
      </c>
      <c r="E169" s="13" t="s">
        <v>1030</v>
      </c>
      <c r="F169" s="13" t="s">
        <v>1031</v>
      </c>
      <c r="G169" s="13" t="s">
        <v>106</v>
      </c>
      <c r="H169" s="13" t="s">
        <v>71</v>
      </c>
      <c r="I169" s="13" t="s">
        <v>72</v>
      </c>
      <c r="J169" s="14" t="s">
        <v>82</v>
      </c>
      <c r="K169" s="15" t="s">
        <v>74</v>
      </c>
      <c r="L169" s="14" t="s">
        <v>83</v>
      </c>
      <c r="M169" s="13" t="s">
        <v>76</v>
      </c>
      <c r="N169" s="14" t="s">
        <v>1032</v>
      </c>
    </row>
    <row r="170" customFormat="false" ht="20.85" hidden="false" customHeight="false" outlineLevel="0" collapsed="false">
      <c r="A170" s="13" t="s">
        <v>1033</v>
      </c>
      <c r="B170" s="13" t="s">
        <v>1034</v>
      </c>
      <c r="C170" s="13" t="s">
        <v>1035</v>
      </c>
      <c r="D170" s="13" t="n">
        <v>1923</v>
      </c>
      <c r="E170" s="13" t="s">
        <v>1036</v>
      </c>
      <c r="F170" s="13" t="s">
        <v>1037</v>
      </c>
      <c r="G170" s="13" t="s">
        <v>70</v>
      </c>
      <c r="H170" s="13" t="s">
        <v>123</v>
      </c>
      <c r="I170" s="13" t="s">
        <v>72</v>
      </c>
      <c r="J170" s="14" t="s">
        <v>82</v>
      </c>
      <c r="K170" s="15" t="s">
        <v>74</v>
      </c>
      <c r="L170" s="14" t="s">
        <v>269</v>
      </c>
      <c r="M170" s="13" t="s">
        <v>76</v>
      </c>
      <c r="N170" s="14" t="s">
        <v>1038</v>
      </c>
    </row>
    <row r="171" customFormat="false" ht="20.85" hidden="false" customHeight="false" outlineLevel="0" collapsed="false">
      <c r="A171" s="13" t="s">
        <v>1039</v>
      </c>
      <c r="B171" s="13" t="s">
        <v>1040</v>
      </c>
      <c r="C171" s="13" t="s">
        <v>1041</v>
      </c>
      <c r="D171" s="13" t="n">
        <v>2628</v>
      </c>
      <c r="E171" s="13" t="s">
        <v>1042</v>
      </c>
      <c r="F171" s="13" t="s">
        <v>1043</v>
      </c>
      <c r="G171" s="13" t="s">
        <v>70</v>
      </c>
      <c r="H171" s="13" t="s">
        <v>123</v>
      </c>
      <c r="I171" s="13" t="s">
        <v>72</v>
      </c>
      <c r="J171" s="14" t="s">
        <v>73</v>
      </c>
      <c r="K171" s="15" t="s">
        <v>74</v>
      </c>
      <c r="L171" s="14" t="s">
        <v>255</v>
      </c>
      <c r="M171" s="13" t="s">
        <v>76</v>
      </c>
      <c r="N171" s="14" t="s">
        <v>1044</v>
      </c>
    </row>
    <row r="172" customFormat="false" ht="20.85" hidden="false" customHeight="false" outlineLevel="0" collapsed="false">
      <c r="A172" s="13" t="s">
        <v>1045</v>
      </c>
      <c r="B172" s="13" t="s">
        <v>1046</v>
      </c>
      <c r="C172" s="13" t="s">
        <v>578</v>
      </c>
      <c r="D172" s="13" t="n">
        <v>918</v>
      </c>
      <c r="E172" s="13" t="s">
        <v>579</v>
      </c>
      <c r="F172" s="13" t="s">
        <v>1047</v>
      </c>
      <c r="G172" s="13" t="s">
        <v>90</v>
      </c>
      <c r="H172" s="13" t="s">
        <v>97</v>
      </c>
      <c r="I172" s="13" t="s">
        <v>72</v>
      </c>
      <c r="J172" s="14" t="s">
        <v>115</v>
      </c>
      <c r="K172" s="15" t="s">
        <v>74</v>
      </c>
      <c r="L172" s="14" t="s">
        <v>387</v>
      </c>
      <c r="M172" s="13" t="s">
        <v>76</v>
      </c>
      <c r="N172" s="14" t="s">
        <v>1048</v>
      </c>
    </row>
    <row r="173" customFormat="false" ht="20.85" hidden="false" customHeight="false" outlineLevel="0" collapsed="false">
      <c r="A173" s="13" t="s">
        <v>1049</v>
      </c>
      <c r="B173" s="13" t="s">
        <v>1050</v>
      </c>
      <c r="C173" s="13" t="s">
        <v>1051</v>
      </c>
      <c r="D173" s="13" t="n">
        <v>382</v>
      </c>
      <c r="E173" s="13" t="s">
        <v>1052</v>
      </c>
      <c r="F173" s="13" t="s">
        <v>1053</v>
      </c>
      <c r="G173" s="13" t="s">
        <v>90</v>
      </c>
      <c r="H173" s="13" t="s">
        <v>71</v>
      </c>
      <c r="I173" s="13" t="s">
        <v>72</v>
      </c>
      <c r="J173" s="14" t="s">
        <v>73</v>
      </c>
      <c r="K173" s="15" t="s">
        <v>74</v>
      </c>
      <c r="L173" s="14" t="s">
        <v>75</v>
      </c>
      <c r="M173" s="13" t="s">
        <v>76</v>
      </c>
      <c r="N173" s="14" t="s">
        <v>1054</v>
      </c>
    </row>
    <row r="174" customFormat="false" ht="20.85" hidden="false" customHeight="false" outlineLevel="0" collapsed="false">
      <c r="A174" s="13" t="s">
        <v>1055</v>
      </c>
      <c r="B174" s="13" t="s">
        <v>1056</v>
      </c>
      <c r="C174" s="13" t="s">
        <v>1057</v>
      </c>
      <c r="D174" s="13" t="n">
        <v>2888</v>
      </c>
      <c r="E174" s="13" t="s">
        <v>1058</v>
      </c>
      <c r="F174" s="13" t="s">
        <v>1059</v>
      </c>
      <c r="G174" s="13" t="s">
        <v>146</v>
      </c>
      <c r="H174" s="13" t="s">
        <v>138</v>
      </c>
      <c r="I174" s="13" t="s">
        <v>72</v>
      </c>
      <c r="J174" s="14" t="s">
        <v>98</v>
      </c>
      <c r="K174" s="15" t="s">
        <v>74</v>
      </c>
      <c r="L174" s="14" t="s">
        <v>165</v>
      </c>
      <c r="M174" s="13" t="s">
        <v>76</v>
      </c>
      <c r="N174" s="14" t="s">
        <v>1060</v>
      </c>
    </row>
    <row r="175" customFormat="false" ht="20.85" hidden="false" customHeight="false" outlineLevel="0" collapsed="false">
      <c r="A175" s="13" t="s">
        <v>1061</v>
      </c>
      <c r="B175" s="13" t="s">
        <v>1062</v>
      </c>
      <c r="C175" s="13" t="s">
        <v>1063</v>
      </c>
      <c r="D175" s="13" t="n">
        <v>1733</v>
      </c>
      <c r="E175" s="13" t="s">
        <v>1064</v>
      </c>
      <c r="F175" s="13" t="s">
        <v>1065</v>
      </c>
      <c r="G175" s="13" t="s">
        <v>70</v>
      </c>
      <c r="H175" s="13" t="s">
        <v>71</v>
      </c>
      <c r="I175" s="13" t="s">
        <v>72</v>
      </c>
      <c r="J175" s="14" t="s">
        <v>98</v>
      </c>
      <c r="K175" s="15" t="s">
        <v>74</v>
      </c>
      <c r="L175" s="14" t="s">
        <v>152</v>
      </c>
      <c r="M175" s="13" t="s">
        <v>76</v>
      </c>
      <c r="N175" s="14" t="s">
        <v>1066</v>
      </c>
    </row>
    <row r="176" customFormat="false" ht="20.85" hidden="false" customHeight="false" outlineLevel="0" collapsed="false">
      <c r="A176" s="13" t="s">
        <v>1067</v>
      </c>
      <c r="B176" s="13" t="s">
        <v>1068</v>
      </c>
      <c r="C176" s="13" t="s">
        <v>1069</v>
      </c>
      <c r="D176" s="13" t="n">
        <v>2244</v>
      </c>
      <c r="E176" s="13" t="s">
        <v>1070</v>
      </c>
      <c r="F176" s="13" t="s">
        <v>1071</v>
      </c>
      <c r="G176" s="13" t="s">
        <v>106</v>
      </c>
      <c r="H176" s="13" t="s">
        <v>97</v>
      </c>
      <c r="I176" s="13" t="s">
        <v>72</v>
      </c>
      <c r="J176" s="14" t="s">
        <v>98</v>
      </c>
      <c r="K176" s="15" t="s">
        <v>74</v>
      </c>
      <c r="L176" s="14" t="s">
        <v>99</v>
      </c>
      <c r="M176" s="13" t="s">
        <v>76</v>
      </c>
      <c r="N176" s="14" t="s">
        <v>1072</v>
      </c>
    </row>
    <row r="177" customFormat="false" ht="20.85" hidden="false" customHeight="false" outlineLevel="0" collapsed="false">
      <c r="A177" s="13" t="s">
        <v>1073</v>
      </c>
      <c r="B177" s="13" t="s">
        <v>1074</v>
      </c>
      <c r="C177" s="13" t="s">
        <v>1075</v>
      </c>
      <c r="D177" s="13" t="n">
        <v>1067</v>
      </c>
      <c r="E177" s="13" t="s">
        <v>1076</v>
      </c>
      <c r="F177" s="13" t="s">
        <v>1077</v>
      </c>
      <c r="G177" s="13" t="s">
        <v>70</v>
      </c>
      <c r="H177" s="13" t="s">
        <v>97</v>
      </c>
      <c r="I177" s="13" t="s">
        <v>72</v>
      </c>
      <c r="J177" s="14" t="s">
        <v>115</v>
      </c>
      <c r="K177" s="15" t="s">
        <v>74</v>
      </c>
      <c r="L177" s="14" t="s">
        <v>387</v>
      </c>
      <c r="M177" s="13" t="s">
        <v>76</v>
      </c>
      <c r="N177" s="14" t="s">
        <v>1078</v>
      </c>
    </row>
    <row r="178" customFormat="false" ht="20.85" hidden="false" customHeight="false" outlineLevel="0" collapsed="false">
      <c r="A178" s="13" t="s">
        <v>1079</v>
      </c>
      <c r="B178" s="13" t="s">
        <v>1080</v>
      </c>
      <c r="C178" s="13" t="s">
        <v>1081</v>
      </c>
      <c r="D178" s="13" t="n">
        <v>523</v>
      </c>
      <c r="E178" s="13" t="s">
        <v>1082</v>
      </c>
      <c r="F178" s="13" t="s">
        <v>1083</v>
      </c>
      <c r="G178" s="13" t="s">
        <v>70</v>
      </c>
      <c r="H178" s="13" t="s">
        <v>97</v>
      </c>
      <c r="I178" s="13" t="s">
        <v>72</v>
      </c>
      <c r="J178" s="14" t="s">
        <v>98</v>
      </c>
      <c r="K178" s="15" t="s">
        <v>74</v>
      </c>
      <c r="L178" s="14" t="s">
        <v>99</v>
      </c>
      <c r="M178" s="13" t="s">
        <v>76</v>
      </c>
      <c r="N178" s="14" t="s">
        <v>1084</v>
      </c>
    </row>
    <row r="179" customFormat="false" ht="20.85" hidden="false" customHeight="false" outlineLevel="0" collapsed="false">
      <c r="A179" s="13" t="s">
        <v>1085</v>
      </c>
      <c r="B179" s="13" t="s">
        <v>1086</v>
      </c>
      <c r="C179" s="13" t="s">
        <v>1087</v>
      </c>
      <c r="D179" s="13" t="n">
        <v>2442</v>
      </c>
      <c r="E179" s="13" t="s">
        <v>1088</v>
      </c>
      <c r="F179" s="13" t="s">
        <v>1089</v>
      </c>
      <c r="G179" s="13" t="s">
        <v>146</v>
      </c>
      <c r="H179" s="13" t="s">
        <v>97</v>
      </c>
      <c r="I179" s="13" t="s">
        <v>72</v>
      </c>
      <c r="J179" s="14" t="s">
        <v>73</v>
      </c>
      <c r="K179" s="15" t="s">
        <v>74</v>
      </c>
      <c r="L179" s="14" t="s">
        <v>292</v>
      </c>
      <c r="M179" s="13" t="s">
        <v>76</v>
      </c>
      <c r="N179" s="14" t="s">
        <v>1090</v>
      </c>
    </row>
    <row r="180" customFormat="false" ht="20.85" hidden="false" customHeight="false" outlineLevel="0" collapsed="false">
      <c r="A180" s="13" t="s">
        <v>1091</v>
      </c>
      <c r="B180" s="13" t="s">
        <v>1092</v>
      </c>
      <c r="C180" s="13" t="s">
        <v>1093</v>
      </c>
      <c r="D180" s="13" t="n">
        <v>2604</v>
      </c>
      <c r="E180" s="13" t="s">
        <v>1094</v>
      </c>
      <c r="F180" s="13" t="s">
        <v>1095</v>
      </c>
      <c r="G180" s="13" t="s">
        <v>106</v>
      </c>
      <c r="H180" s="13" t="s">
        <v>97</v>
      </c>
      <c r="I180" s="13" t="s">
        <v>72</v>
      </c>
      <c r="J180" s="14" t="s">
        <v>115</v>
      </c>
      <c r="K180" s="15" t="s">
        <v>74</v>
      </c>
      <c r="L180" s="14" t="s">
        <v>387</v>
      </c>
      <c r="M180" s="13" t="s">
        <v>76</v>
      </c>
      <c r="N180" s="14" t="s">
        <v>1096</v>
      </c>
    </row>
    <row r="181" customFormat="false" ht="20.85" hidden="false" customHeight="false" outlineLevel="0" collapsed="false">
      <c r="A181" s="13" t="s">
        <v>1097</v>
      </c>
      <c r="B181" s="13" t="s">
        <v>1098</v>
      </c>
      <c r="C181" s="13" t="s">
        <v>1099</v>
      </c>
      <c r="D181" s="13" t="n">
        <v>2815</v>
      </c>
      <c r="E181" s="13" t="s">
        <v>1100</v>
      </c>
      <c r="F181" s="13" t="s">
        <v>804</v>
      </c>
      <c r="G181" s="13" t="s">
        <v>70</v>
      </c>
      <c r="H181" s="13" t="s">
        <v>123</v>
      </c>
      <c r="I181" s="13" t="s">
        <v>72</v>
      </c>
      <c r="J181" s="14" t="s">
        <v>82</v>
      </c>
      <c r="K181" s="15" t="s">
        <v>74</v>
      </c>
      <c r="L181" s="14" t="s">
        <v>269</v>
      </c>
      <c r="M181" s="13" t="s">
        <v>76</v>
      </c>
      <c r="N181" s="14" t="s">
        <v>1101</v>
      </c>
    </row>
    <row r="182" customFormat="false" ht="20.85" hidden="false" customHeight="false" outlineLevel="0" collapsed="false">
      <c r="A182" s="13" t="s">
        <v>1102</v>
      </c>
      <c r="B182" s="13" t="s">
        <v>1103</v>
      </c>
      <c r="C182" s="13" t="s">
        <v>1104</v>
      </c>
      <c r="D182" s="13" t="n">
        <v>578</v>
      </c>
      <c r="E182" s="13" t="s">
        <v>1105</v>
      </c>
      <c r="F182" s="13" t="s">
        <v>1106</v>
      </c>
      <c r="G182" s="13" t="s">
        <v>70</v>
      </c>
      <c r="H182" s="13" t="s">
        <v>97</v>
      </c>
      <c r="I182" s="13" t="s">
        <v>72</v>
      </c>
      <c r="J182" s="14" t="s">
        <v>73</v>
      </c>
      <c r="K182" s="15" t="s">
        <v>74</v>
      </c>
      <c r="L182" s="14" t="s">
        <v>292</v>
      </c>
      <c r="M182" s="13" t="s">
        <v>76</v>
      </c>
      <c r="N182" s="14" t="s">
        <v>1107</v>
      </c>
    </row>
    <row r="183" customFormat="false" ht="20.85" hidden="false" customHeight="false" outlineLevel="0" collapsed="false">
      <c r="A183" s="13" t="s">
        <v>1108</v>
      </c>
      <c r="B183" s="13" t="s">
        <v>1109</v>
      </c>
      <c r="C183" s="13" t="s">
        <v>1110</v>
      </c>
      <c r="D183" s="13" t="n">
        <v>1178</v>
      </c>
      <c r="E183" s="13" t="s">
        <v>1111</v>
      </c>
      <c r="F183" s="13" t="s">
        <v>1013</v>
      </c>
      <c r="G183" s="13" t="s">
        <v>90</v>
      </c>
      <c r="H183" s="13" t="s">
        <v>71</v>
      </c>
      <c r="I183" s="13" t="s">
        <v>72</v>
      </c>
      <c r="J183" s="14" t="s">
        <v>82</v>
      </c>
      <c r="K183" s="15" t="s">
        <v>74</v>
      </c>
      <c r="L183" s="14" t="s">
        <v>83</v>
      </c>
      <c r="M183" s="13" t="s">
        <v>76</v>
      </c>
      <c r="N183" s="14" t="s">
        <v>1112</v>
      </c>
    </row>
    <row r="184" customFormat="false" ht="20.85" hidden="false" customHeight="false" outlineLevel="0" collapsed="false">
      <c r="A184" s="13" t="s">
        <v>1113</v>
      </c>
      <c r="B184" s="13" t="s">
        <v>1114</v>
      </c>
      <c r="C184" s="13" t="s">
        <v>671</v>
      </c>
      <c r="D184" s="13" t="n">
        <v>1653</v>
      </c>
      <c r="E184" s="13" t="s">
        <v>672</v>
      </c>
      <c r="F184" s="13" t="s">
        <v>130</v>
      </c>
      <c r="G184" s="13" t="s">
        <v>90</v>
      </c>
      <c r="H184" s="13" t="s">
        <v>97</v>
      </c>
      <c r="I184" s="13" t="s">
        <v>72</v>
      </c>
      <c r="J184" s="14" t="s">
        <v>115</v>
      </c>
      <c r="K184" s="15" t="s">
        <v>74</v>
      </c>
      <c r="L184" s="14" t="s">
        <v>387</v>
      </c>
      <c r="M184" s="13" t="s">
        <v>76</v>
      </c>
      <c r="N184" s="14" t="s">
        <v>1115</v>
      </c>
    </row>
    <row r="185" customFormat="false" ht="20.85" hidden="false" customHeight="false" outlineLevel="0" collapsed="false">
      <c r="A185" s="13" t="s">
        <v>1116</v>
      </c>
      <c r="B185" s="13" t="s">
        <v>1117</v>
      </c>
      <c r="C185" s="13" t="s">
        <v>1118</v>
      </c>
      <c r="D185" s="13" t="n">
        <v>808</v>
      </c>
      <c r="E185" s="13" t="s">
        <v>1119</v>
      </c>
      <c r="F185" s="13" t="s">
        <v>1120</v>
      </c>
      <c r="G185" s="13" t="s">
        <v>70</v>
      </c>
      <c r="H185" s="13" t="s">
        <v>97</v>
      </c>
      <c r="I185" s="13" t="s">
        <v>72</v>
      </c>
      <c r="J185" s="14" t="s">
        <v>73</v>
      </c>
      <c r="K185" s="15" t="s">
        <v>74</v>
      </c>
      <c r="L185" s="14" t="s">
        <v>292</v>
      </c>
      <c r="M185" s="13" t="s">
        <v>76</v>
      </c>
      <c r="N185" s="14" t="s">
        <v>1121</v>
      </c>
    </row>
    <row r="186" customFormat="false" ht="20.85" hidden="false" customHeight="false" outlineLevel="0" collapsed="false">
      <c r="A186" s="13" t="s">
        <v>1122</v>
      </c>
      <c r="B186" s="13" t="s">
        <v>1123</v>
      </c>
      <c r="C186" s="13" t="s">
        <v>1124</v>
      </c>
      <c r="D186" s="13" t="n">
        <v>1693</v>
      </c>
      <c r="E186" s="13" t="s">
        <v>1125</v>
      </c>
      <c r="F186" s="13" t="s">
        <v>1126</v>
      </c>
      <c r="G186" s="13" t="s">
        <v>96</v>
      </c>
      <c r="H186" s="13" t="s">
        <v>123</v>
      </c>
      <c r="I186" s="13" t="s">
        <v>72</v>
      </c>
      <c r="J186" s="14" t="s">
        <v>98</v>
      </c>
      <c r="K186" s="15" t="s">
        <v>74</v>
      </c>
      <c r="L186" s="14" t="s">
        <v>124</v>
      </c>
      <c r="M186" s="13" t="s">
        <v>76</v>
      </c>
      <c r="N186" s="14" t="s">
        <v>1127</v>
      </c>
    </row>
    <row r="187" customFormat="false" ht="20.85" hidden="false" customHeight="false" outlineLevel="0" collapsed="false">
      <c r="A187" s="13" t="s">
        <v>1128</v>
      </c>
      <c r="B187" s="13" t="s">
        <v>1129</v>
      </c>
      <c r="C187" s="13" t="s">
        <v>1130</v>
      </c>
      <c r="D187" s="13" t="n">
        <v>328</v>
      </c>
      <c r="E187" s="13" t="s">
        <v>1131</v>
      </c>
      <c r="F187" s="13" t="s">
        <v>1132</v>
      </c>
      <c r="G187" s="13" t="s">
        <v>146</v>
      </c>
      <c r="H187" s="13" t="s">
        <v>71</v>
      </c>
      <c r="I187" s="13" t="s">
        <v>72</v>
      </c>
      <c r="J187" s="14" t="s">
        <v>73</v>
      </c>
      <c r="K187" s="15" t="s">
        <v>74</v>
      </c>
      <c r="L187" s="14" t="s">
        <v>75</v>
      </c>
      <c r="M187" s="13" t="s">
        <v>76</v>
      </c>
      <c r="N187" s="14" t="s">
        <v>1133</v>
      </c>
    </row>
    <row r="188" customFormat="false" ht="20.85" hidden="false" customHeight="false" outlineLevel="0" collapsed="false">
      <c r="A188" s="13" t="s">
        <v>1134</v>
      </c>
      <c r="B188" s="13" t="s">
        <v>1114</v>
      </c>
      <c r="C188" s="13" t="s">
        <v>1135</v>
      </c>
      <c r="D188" s="13" t="n">
        <v>1188</v>
      </c>
      <c r="E188" s="13" t="s">
        <v>1136</v>
      </c>
      <c r="F188" s="13" t="s">
        <v>1137</v>
      </c>
      <c r="G188" s="13" t="s">
        <v>70</v>
      </c>
      <c r="H188" s="13" t="s">
        <v>71</v>
      </c>
      <c r="I188" s="13" t="s">
        <v>72</v>
      </c>
      <c r="J188" s="14" t="s">
        <v>115</v>
      </c>
      <c r="K188" s="15" t="s">
        <v>74</v>
      </c>
      <c r="L188" s="14" t="s">
        <v>116</v>
      </c>
      <c r="M188" s="13" t="s">
        <v>76</v>
      </c>
      <c r="N188" s="14" t="s">
        <v>1138</v>
      </c>
    </row>
    <row r="189" customFormat="false" ht="20.85" hidden="false" customHeight="false" outlineLevel="0" collapsed="false">
      <c r="A189" s="13" t="s">
        <v>1139</v>
      </c>
      <c r="B189" s="13" t="s">
        <v>1140</v>
      </c>
      <c r="C189" s="13" t="s">
        <v>1141</v>
      </c>
      <c r="D189" s="13" t="n">
        <v>1524</v>
      </c>
      <c r="E189" s="13" t="s">
        <v>1142</v>
      </c>
      <c r="F189" s="13" t="s">
        <v>1143</v>
      </c>
      <c r="G189" s="13" t="s">
        <v>146</v>
      </c>
      <c r="H189" s="13" t="s">
        <v>71</v>
      </c>
      <c r="I189" s="13" t="s">
        <v>72</v>
      </c>
      <c r="J189" s="14" t="s">
        <v>73</v>
      </c>
      <c r="K189" s="15" t="s">
        <v>74</v>
      </c>
      <c r="L189" s="14" t="s">
        <v>75</v>
      </c>
      <c r="M189" s="13" t="s">
        <v>76</v>
      </c>
      <c r="N189" s="14" t="s">
        <v>1144</v>
      </c>
    </row>
    <row r="190" customFormat="false" ht="20.85" hidden="false" customHeight="false" outlineLevel="0" collapsed="false">
      <c r="A190" s="13" t="s">
        <v>1145</v>
      </c>
      <c r="B190" s="13" t="s">
        <v>1146</v>
      </c>
      <c r="C190" s="13" t="s">
        <v>1147</v>
      </c>
      <c r="D190" s="13" t="n">
        <v>1845</v>
      </c>
      <c r="E190" s="13" t="s">
        <v>1148</v>
      </c>
      <c r="F190" s="13" t="s">
        <v>1149</v>
      </c>
      <c r="G190" s="13" t="s">
        <v>146</v>
      </c>
      <c r="H190" s="13" t="s">
        <v>138</v>
      </c>
      <c r="I190" s="13" t="s">
        <v>72</v>
      </c>
      <c r="J190" s="14" t="s">
        <v>115</v>
      </c>
      <c r="K190" s="15" t="s">
        <v>74</v>
      </c>
      <c r="L190" s="14" t="s">
        <v>224</v>
      </c>
      <c r="M190" s="13" t="s">
        <v>76</v>
      </c>
      <c r="N190" s="14" t="s">
        <v>1150</v>
      </c>
    </row>
    <row r="191" customFormat="false" ht="20.85" hidden="false" customHeight="false" outlineLevel="0" collapsed="false">
      <c r="A191" s="13" t="s">
        <v>1151</v>
      </c>
      <c r="B191" s="13" t="s">
        <v>1152</v>
      </c>
      <c r="C191" s="13" t="s">
        <v>1153</v>
      </c>
      <c r="D191" s="13" t="n">
        <v>2839</v>
      </c>
      <c r="E191" s="13" t="s">
        <v>1154</v>
      </c>
      <c r="F191" s="13" t="s">
        <v>1155</v>
      </c>
      <c r="G191" s="13" t="s">
        <v>106</v>
      </c>
      <c r="H191" s="13" t="s">
        <v>71</v>
      </c>
      <c r="I191" s="13" t="s">
        <v>72</v>
      </c>
      <c r="J191" s="14" t="s">
        <v>73</v>
      </c>
      <c r="K191" s="15" t="s">
        <v>74</v>
      </c>
      <c r="L191" s="14" t="s">
        <v>75</v>
      </c>
      <c r="M191" s="13" t="s">
        <v>76</v>
      </c>
      <c r="N191" s="14" t="s">
        <v>1156</v>
      </c>
    </row>
    <row r="192" customFormat="false" ht="20.85" hidden="false" customHeight="false" outlineLevel="0" collapsed="false">
      <c r="A192" s="13" t="s">
        <v>1157</v>
      </c>
      <c r="B192" s="13" t="s">
        <v>1158</v>
      </c>
      <c r="C192" s="13" t="s">
        <v>1159</v>
      </c>
      <c r="D192" s="13" t="n">
        <v>2094</v>
      </c>
      <c r="E192" s="13" t="s">
        <v>1160</v>
      </c>
      <c r="F192" s="13" t="s">
        <v>1120</v>
      </c>
      <c r="G192" s="13" t="s">
        <v>70</v>
      </c>
      <c r="H192" s="13" t="s">
        <v>71</v>
      </c>
      <c r="I192" s="13" t="s">
        <v>72</v>
      </c>
      <c r="J192" s="14" t="s">
        <v>73</v>
      </c>
      <c r="K192" s="15" t="s">
        <v>74</v>
      </c>
      <c r="L192" s="14" t="s">
        <v>75</v>
      </c>
      <c r="M192" s="13" t="s">
        <v>76</v>
      </c>
      <c r="N192" s="14" t="s">
        <v>1161</v>
      </c>
    </row>
    <row r="193" customFormat="false" ht="20.85" hidden="false" customHeight="false" outlineLevel="0" collapsed="false">
      <c r="A193" s="13" t="s">
        <v>1162</v>
      </c>
      <c r="B193" s="13" t="s">
        <v>1163</v>
      </c>
      <c r="C193" s="13" t="s">
        <v>1164</v>
      </c>
      <c r="D193" s="13" t="n">
        <v>2662</v>
      </c>
      <c r="E193" s="13" t="s">
        <v>1165</v>
      </c>
      <c r="F193" s="13" t="s">
        <v>1166</v>
      </c>
      <c r="G193" s="13" t="s">
        <v>96</v>
      </c>
      <c r="H193" s="13" t="s">
        <v>97</v>
      </c>
      <c r="I193" s="13" t="s">
        <v>72</v>
      </c>
      <c r="J193" s="14" t="s">
        <v>73</v>
      </c>
      <c r="K193" s="15" t="s">
        <v>74</v>
      </c>
      <c r="L193" s="14" t="s">
        <v>292</v>
      </c>
      <c r="M193" s="13" t="s">
        <v>76</v>
      </c>
      <c r="N193" s="14" t="s">
        <v>1167</v>
      </c>
    </row>
    <row r="194" customFormat="false" ht="20.85" hidden="false" customHeight="false" outlineLevel="0" collapsed="false">
      <c r="A194" s="13" t="s">
        <v>1168</v>
      </c>
      <c r="B194" s="13" t="s">
        <v>1152</v>
      </c>
      <c r="C194" s="13" t="s">
        <v>1169</v>
      </c>
      <c r="D194" s="13" t="n">
        <v>472</v>
      </c>
      <c r="E194" s="13" t="s">
        <v>1170</v>
      </c>
      <c r="F194" s="13" t="s">
        <v>1171</v>
      </c>
      <c r="G194" s="13" t="s">
        <v>146</v>
      </c>
      <c r="H194" s="13" t="s">
        <v>123</v>
      </c>
      <c r="I194" s="13" t="s">
        <v>72</v>
      </c>
      <c r="J194" s="14" t="s">
        <v>73</v>
      </c>
      <c r="K194" s="15" t="s">
        <v>74</v>
      </c>
      <c r="L194" s="14" t="s">
        <v>255</v>
      </c>
      <c r="M194" s="13" t="s">
        <v>76</v>
      </c>
      <c r="N194" s="14" t="s">
        <v>1172</v>
      </c>
    </row>
    <row r="195" customFormat="false" ht="20.85" hidden="false" customHeight="false" outlineLevel="0" collapsed="false">
      <c r="A195" s="13" t="s">
        <v>1173</v>
      </c>
      <c r="B195" s="13" t="s">
        <v>1174</v>
      </c>
      <c r="C195" s="13" t="s">
        <v>1175</v>
      </c>
      <c r="D195" s="13" t="n">
        <v>2360</v>
      </c>
      <c r="E195" s="13" t="s">
        <v>1176</v>
      </c>
      <c r="F195" s="13" t="s">
        <v>1177</v>
      </c>
      <c r="G195" s="13" t="s">
        <v>106</v>
      </c>
      <c r="H195" s="13" t="s">
        <v>97</v>
      </c>
      <c r="I195" s="13" t="s">
        <v>72</v>
      </c>
      <c r="J195" s="14" t="s">
        <v>115</v>
      </c>
      <c r="K195" s="15" t="s">
        <v>74</v>
      </c>
      <c r="L195" s="14" t="s">
        <v>387</v>
      </c>
      <c r="M195" s="13" t="s">
        <v>76</v>
      </c>
      <c r="N195" s="14" t="s">
        <v>1178</v>
      </c>
    </row>
    <row r="196" customFormat="false" ht="20.85" hidden="false" customHeight="false" outlineLevel="0" collapsed="false">
      <c r="A196" s="13" t="s">
        <v>1179</v>
      </c>
      <c r="B196" s="13" t="s">
        <v>1180</v>
      </c>
      <c r="C196" s="13" t="s">
        <v>1181</v>
      </c>
      <c r="D196" s="13" t="n">
        <v>1747</v>
      </c>
      <c r="E196" s="13" t="s">
        <v>1182</v>
      </c>
      <c r="F196" s="13" t="s">
        <v>1183</v>
      </c>
      <c r="G196" s="13" t="s">
        <v>90</v>
      </c>
      <c r="H196" s="13" t="s">
        <v>123</v>
      </c>
      <c r="I196" s="13" t="s">
        <v>72</v>
      </c>
      <c r="J196" s="14" t="s">
        <v>115</v>
      </c>
      <c r="K196" s="15" t="s">
        <v>74</v>
      </c>
      <c r="L196" s="14" t="s">
        <v>464</v>
      </c>
      <c r="M196" s="13" t="s">
        <v>76</v>
      </c>
      <c r="N196" s="14" t="s">
        <v>1184</v>
      </c>
    </row>
    <row r="197" customFormat="false" ht="20.85" hidden="false" customHeight="false" outlineLevel="0" collapsed="false">
      <c r="A197" s="13" t="s">
        <v>1185</v>
      </c>
      <c r="B197" s="13" t="s">
        <v>1180</v>
      </c>
      <c r="C197" s="13" t="s">
        <v>1186</v>
      </c>
      <c r="D197" s="13" t="n">
        <v>333</v>
      </c>
      <c r="E197" s="13" t="s">
        <v>1187</v>
      </c>
      <c r="F197" s="13" t="s">
        <v>1188</v>
      </c>
      <c r="G197" s="13" t="s">
        <v>70</v>
      </c>
      <c r="H197" s="13" t="s">
        <v>97</v>
      </c>
      <c r="I197" s="13" t="s">
        <v>72</v>
      </c>
      <c r="J197" s="14" t="s">
        <v>98</v>
      </c>
      <c r="K197" s="15" t="s">
        <v>74</v>
      </c>
      <c r="L197" s="14" t="s">
        <v>99</v>
      </c>
      <c r="M197" s="13" t="s">
        <v>76</v>
      </c>
      <c r="N197" s="14" t="s">
        <v>1189</v>
      </c>
    </row>
    <row r="198" customFormat="false" ht="20.85" hidden="false" customHeight="false" outlineLevel="0" collapsed="false">
      <c r="A198" s="13" t="s">
        <v>1190</v>
      </c>
      <c r="B198" s="13" t="s">
        <v>1191</v>
      </c>
      <c r="C198" s="13" t="s">
        <v>1192</v>
      </c>
      <c r="D198" s="13" t="n">
        <v>1698</v>
      </c>
      <c r="E198" s="13" t="s">
        <v>1193</v>
      </c>
      <c r="F198" s="13" t="s">
        <v>1194</v>
      </c>
      <c r="G198" s="13" t="s">
        <v>96</v>
      </c>
      <c r="H198" s="13" t="s">
        <v>123</v>
      </c>
      <c r="I198" s="13" t="s">
        <v>72</v>
      </c>
      <c r="J198" s="14" t="s">
        <v>82</v>
      </c>
      <c r="K198" s="15" t="s">
        <v>74</v>
      </c>
      <c r="L198" s="14" t="s">
        <v>269</v>
      </c>
      <c r="M198" s="13" t="s">
        <v>76</v>
      </c>
      <c r="N198" s="14" t="s">
        <v>1195</v>
      </c>
    </row>
    <row r="199" customFormat="false" ht="20.85" hidden="false" customHeight="false" outlineLevel="0" collapsed="false">
      <c r="A199" s="13" t="s">
        <v>1196</v>
      </c>
      <c r="B199" s="13" t="s">
        <v>1197</v>
      </c>
      <c r="C199" s="13" t="s">
        <v>1198</v>
      </c>
      <c r="D199" s="13" t="n">
        <v>2047</v>
      </c>
      <c r="E199" s="13" t="s">
        <v>1199</v>
      </c>
      <c r="F199" s="13" t="s">
        <v>1200</v>
      </c>
      <c r="G199" s="13" t="s">
        <v>106</v>
      </c>
      <c r="H199" s="13" t="s">
        <v>123</v>
      </c>
      <c r="I199" s="13" t="s">
        <v>72</v>
      </c>
      <c r="J199" s="14" t="s">
        <v>115</v>
      </c>
      <c r="K199" s="15" t="s">
        <v>74</v>
      </c>
      <c r="L199" s="14" t="s">
        <v>464</v>
      </c>
      <c r="M199" s="13" t="s">
        <v>76</v>
      </c>
      <c r="N199" s="14" t="s">
        <v>1201</v>
      </c>
    </row>
    <row r="200" customFormat="false" ht="20.85" hidden="false" customHeight="false" outlineLevel="0" collapsed="false">
      <c r="A200" s="13" t="s">
        <v>1202</v>
      </c>
      <c r="B200" s="13" t="s">
        <v>1203</v>
      </c>
      <c r="C200" s="13" t="s">
        <v>1204</v>
      </c>
      <c r="D200" s="13" t="n">
        <v>151</v>
      </c>
      <c r="E200" s="13" t="s">
        <v>1205</v>
      </c>
      <c r="F200" s="13" t="s">
        <v>1206</v>
      </c>
      <c r="G200" s="13" t="s">
        <v>146</v>
      </c>
      <c r="H200" s="13" t="s">
        <v>97</v>
      </c>
      <c r="I200" s="13" t="s">
        <v>72</v>
      </c>
      <c r="J200" s="14" t="s">
        <v>73</v>
      </c>
      <c r="K200" s="15" t="s">
        <v>74</v>
      </c>
      <c r="L200" s="14" t="s">
        <v>292</v>
      </c>
      <c r="M200" s="13" t="s">
        <v>76</v>
      </c>
      <c r="N200" s="14" t="s">
        <v>1207</v>
      </c>
    </row>
    <row r="201" customFormat="false" ht="20.85" hidden="false" customHeight="false" outlineLevel="0" collapsed="false">
      <c r="A201" s="13" t="s">
        <v>1208</v>
      </c>
      <c r="B201" s="13" t="s">
        <v>1209</v>
      </c>
      <c r="C201" s="13" t="s">
        <v>1210</v>
      </c>
      <c r="D201" s="13" t="n">
        <v>1314</v>
      </c>
      <c r="E201" s="13" t="s">
        <v>1211</v>
      </c>
      <c r="F201" s="13" t="s">
        <v>1212</v>
      </c>
      <c r="G201" s="13" t="s">
        <v>70</v>
      </c>
      <c r="H201" s="13" t="s">
        <v>97</v>
      </c>
      <c r="I201" s="13" t="s">
        <v>72</v>
      </c>
      <c r="J201" s="14" t="s">
        <v>98</v>
      </c>
      <c r="K201" s="15" t="s">
        <v>74</v>
      </c>
      <c r="L201" s="14" t="s">
        <v>99</v>
      </c>
      <c r="M201" s="13" t="s">
        <v>76</v>
      </c>
      <c r="N201" s="14" t="s">
        <v>1213</v>
      </c>
    </row>
    <row r="202" customFormat="false" ht="20.85" hidden="false" customHeight="false" outlineLevel="0" collapsed="false">
      <c r="A202" s="13" t="s">
        <v>1214</v>
      </c>
      <c r="B202" s="13" t="s">
        <v>1215</v>
      </c>
      <c r="C202" s="13" t="s">
        <v>1216</v>
      </c>
      <c r="D202" s="13" t="n">
        <v>1356</v>
      </c>
      <c r="E202" s="13" t="s">
        <v>1217</v>
      </c>
      <c r="F202" s="13" t="s">
        <v>1218</v>
      </c>
      <c r="G202" s="13" t="s">
        <v>146</v>
      </c>
      <c r="H202" s="13" t="s">
        <v>123</v>
      </c>
      <c r="I202" s="13" t="s">
        <v>72</v>
      </c>
      <c r="J202" s="14" t="s">
        <v>82</v>
      </c>
      <c r="K202" s="15" t="s">
        <v>74</v>
      </c>
      <c r="L202" s="14" t="s">
        <v>269</v>
      </c>
      <c r="M202" s="13" t="s">
        <v>76</v>
      </c>
      <c r="N202" s="14" t="s">
        <v>1219</v>
      </c>
    </row>
    <row r="203" customFormat="false" ht="20.85" hidden="false" customHeight="false" outlineLevel="0" collapsed="false">
      <c r="A203" s="13" t="s">
        <v>1220</v>
      </c>
      <c r="B203" s="13" t="s">
        <v>1197</v>
      </c>
      <c r="C203" s="13" t="s">
        <v>779</v>
      </c>
      <c r="D203" s="13" t="n">
        <v>1013</v>
      </c>
      <c r="E203" s="13" t="s">
        <v>780</v>
      </c>
      <c r="F203" s="13" t="s">
        <v>1221</v>
      </c>
      <c r="G203" s="13" t="s">
        <v>70</v>
      </c>
      <c r="H203" s="13" t="s">
        <v>97</v>
      </c>
      <c r="I203" s="13" t="s">
        <v>72</v>
      </c>
      <c r="J203" s="14" t="s">
        <v>73</v>
      </c>
      <c r="K203" s="15" t="s">
        <v>74</v>
      </c>
      <c r="L203" s="14" t="s">
        <v>292</v>
      </c>
      <c r="M203" s="13" t="s">
        <v>76</v>
      </c>
      <c r="N203" s="14" t="s">
        <v>1222</v>
      </c>
    </row>
    <row r="204" customFormat="false" ht="20.85" hidden="false" customHeight="false" outlineLevel="0" collapsed="false">
      <c r="A204" s="13" t="s">
        <v>1223</v>
      </c>
      <c r="B204" s="13" t="s">
        <v>1224</v>
      </c>
      <c r="C204" s="13" t="s">
        <v>1225</v>
      </c>
      <c r="D204" s="13" t="n">
        <v>813</v>
      </c>
      <c r="E204" s="13" t="s">
        <v>1226</v>
      </c>
      <c r="F204" s="13" t="s">
        <v>1227</v>
      </c>
      <c r="G204" s="13" t="s">
        <v>90</v>
      </c>
      <c r="H204" s="13" t="s">
        <v>97</v>
      </c>
      <c r="I204" s="13" t="s">
        <v>72</v>
      </c>
      <c r="J204" s="14" t="s">
        <v>115</v>
      </c>
      <c r="K204" s="15" t="s">
        <v>74</v>
      </c>
      <c r="L204" s="14" t="s">
        <v>387</v>
      </c>
      <c r="M204" s="13" t="s">
        <v>76</v>
      </c>
      <c r="N204" s="14" t="s">
        <v>1228</v>
      </c>
    </row>
    <row r="205" customFormat="false" ht="20.85" hidden="false" customHeight="false" outlineLevel="0" collapsed="false">
      <c r="A205" s="13" t="s">
        <v>1229</v>
      </c>
      <c r="B205" s="13" t="s">
        <v>1230</v>
      </c>
      <c r="C205" s="13" t="s">
        <v>1231</v>
      </c>
      <c r="D205" s="13" t="n">
        <v>2227</v>
      </c>
      <c r="E205" s="13" t="s">
        <v>1232</v>
      </c>
      <c r="F205" s="13" t="s">
        <v>1233</v>
      </c>
      <c r="G205" s="13" t="s">
        <v>70</v>
      </c>
      <c r="H205" s="13" t="s">
        <v>138</v>
      </c>
      <c r="I205" s="13" t="s">
        <v>72</v>
      </c>
      <c r="J205" s="14" t="s">
        <v>98</v>
      </c>
      <c r="K205" s="15" t="s">
        <v>74</v>
      </c>
      <c r="L205" s="14" t="s">
        <v>165</v>
      </c>
      <c r="M205" s="13" t="s">
        <v>76</v>
      </c>
      <c r="N205" s="14" t="s">
        <v>1234</v>
      </c>
    </row>
    <row r="206" customFormat="false" ht="15" hidden="false" customHeight="false" outlineLevel="0" collapsed="false">
      <c r="A206" s="13" t="s">
        <v>1235</v>
      </c>
      <c r="B206" s="13" t="s">
        <v>1236</v>
      </c>
      <c r="C206" s="13" t="s">
        <v>1237</v>
      </c>
      <c r="D206" s="13" t="n">
        <v>1298</v>
      </c>
      <c r="E206" s="13" t="s">
        <v>1238</v>
      </c>
      <c r="F206" s="13" t="s">
        <v>1239</v>
      </c>
      <c r="G206" s="13" t="s">
        <v>90</v>
      </c>
      <c r="H206" s="13" t="s">
        <v>71</v>
      </c>
      <c r="I206" s="13" t="s">
        <v>107</v>
      </c>
      <c r="J206" s="14" t="s">
        <v>115</v>
      </c>
      <c r="K206" s="16" t="s">
        <v>48</v>
      </c>
      <c r="L206" s="14" t="s">
        <v>108</v>
      </c>
      <c r="M206" s="13" t="s">
        <v>76</v>
      </c>
      <c r="N206" s="14" t="s">
        <v>1240</v>
      </c>
    </row>
    <row r="207" customFormat="false" ht="20.85" hidden="false" customHeight="false" outlineLevel="0" collapsed="false">
      <c r="A207" s="13" t="s">
        <v>1241</v>
      </c>
      <c r="B207" s="13" t="s">
        <v>1242</v>
      </c>
      <c r="C207" s="13" t="s">
        <v>1243</v>
      </c>
      <c r="D207" s="13" t="n">
        <v>2516</v>
      </c>
      <c r="E207" s="13" t="s">
        <v>1244</v>
      </c>
      <c r="F207" s="13" t="s">
        <v>1245</v>
      </c>
      <c r="G207" s="13" t="s">
        <v>96</v>
      </c>
      <c r="H207" s="13" t="s">
        <v>123</v>
      </c>
      <c r="I207" s="13" t="s">
        <v>72</v>
      </c>
      <c r="J207" s="14" t="s">
        <v>73</v>
      </c>
      <c r="K207" s="15" t="s">
        <v>74</v>
      </c>
      <c r="L207" s="14" t="s">
        <v>255</v>
      </c>
      <c r="M207" s="13" t="s">
        <v>76</v>
      </c>
      <c r="N207" s="14" t="s">
        <v>1246</v>
      </c>
    </row>
    <row r="208" customFormat="false" ht="20.85" hidden="false" customHeight="false" outlineLevel="0" collapsed="false">
      <c r="A208" s="13" t="s">
        <v>1247</v>
      </c>
      <c r="B208" s="13" t="s">
        <v>1248</v>
      </c>
      <c r="C208" s="13" t="s">
        <v>1249</v>
      </c>
      <c r="D208" s="13" t="n">
        <v>2579</v>
      </c>
      <c r="E208" s="13" t="s">
        <v>1250</v>
      </c>
      <c r="F208" s="13" t="s">
        <v>1251</v>
      </c>
      <c r="G208" s="13" t="s">
        <v>70</v>
      </c>
      <c r="H208" s="13" t="s">
        <v>138</v>
      </c>
      <c r="I208" s="13" t="s">
        <v>72</v>
      </c>
      <c r="J208" s="14" t="s">
        <v>115</v>
      </c>
      <c r="K208" s="15" t="s">
        <v>74</v>
      </c>
      <c r="L208" s="14" t="s">
        <v>224</v>
      </c>
      <c r="M208" s="13" t="s">
        <v>76</v>
      </c>
      <c r="N208" s="14" t="s">
        <v>1252</v>
      </c>
    </row>
    <row r="209" customFormat="false" ht="20.85" hidden="false" customHeight="false" outlineLevel="0" collapsed="false">
      <c r="A209" s="13" t="s">
        <v>1253</v>
      </c>
      <c r="B209" s="13" t="s">
        <v>1254</v>
      </c>
      <c r="C209" s="13" t="s">
        <v>1255</v>
      </c>
      <c r="D209" s="13" t="n">
        <v>2248</v>
      </c>
      <c r="E209" s="13" t="s">
        <v>1256</v>
      </c>
      <c r="F209" s="13" t="s">
        <v>1257</v>
      </c>
      <c r="G209" s="13" t="s">
        <v>70</v>
      </c>
      <c r="H209" s="13" t="s">
        <v>123</v>
      </c>
      <c r="I209" s="13" t="s">
        <v>72</v>
      </c>
      <c r="J209" s="14" t="s">
        <v>98</v>
      </c>
      <c r="K209" s="15" t="s">
        <v>74</v>
      </c>
      <c r="L209" s="14" t="s">
        <v>124</v>
      </c>
      <c r="M209" s="13" t="s">
        <v>76</v>
      </c>
      <c r="N209" s="14" t="s">
        <v>1258</v>
      </c>
    </row>
    <row r="210" customFormat="false" ht="20.85" hidden="false" customHeight="false" outlineLevel="0" collapsed="false">
      <c r="A210" s="13" t="s">
        <v>1259</v>
      </c>
      <c r="B210" s="13" t="s">
        <v>1260</v>
      </c>
      <c r="C210" s="13" t="s">
        <v>1261</v>
      </c>
      <c r="D210" s="13" t="n">
        <v>2526</v>
      </c>
      <c r="E210" s="13" t="s">
        <v>1262</v>
      </c>
      <c r="F210" s="13" t="s">
        <v>1143</v>
      </c>
      <c r="G210" s="13" t="s">
        <v>146</v>
      </c>
      <c r="H210" s="13" t="s">
        <v>123</v>
      </c>
      <c r="I210" s="13" t="s">
        <v>72</v>
      </c>
      <c r="J210" s="14" t="s">
        <v>73</v>
      </c>
      <c r="K210" s="15" t="s">
        <v>74</v>
      </c>
      <c r="L210" s="14" t="s">
        <v>255</v>
      </c>
      <c r="M210" s="13" t="s">
        <v>76</v>
      </c>
      <c r="N210" s="14" t="s">
        <v>1263</v>
      </c>
    </row>
    <row r="211" customFormat="false" ht="15" hidden="false" customHeight="false" outlineLevel="0" collapsed="false">
      <c r="A211" s="13" t="s">
        <v>1264</v>
      </c>
      <c r="B211" s="13" t="s">
        <v>1265</v>
      </c>
      <c r="C211" s="13" t="s">
        <v>1159</v>
      </c>
      <c r="D211" s="13" t="n">
        <v>2094</v>
      </c>
      <c r="E211" s="13" t="s">
        <v>1160</v>
      </c>
      <c r="F211" s="13" t="s">
        <v>1266</v>
      </c>
      <c r="G211" s="13" t="s">
        <v>90</v>
      </c>
      <c r="H211" s="13" t="s">
        <v>97</v>
      </c>
      <c r="I211" s="13" t="s">
        <v>107</v>
      </c>
      <c r="J211" s="14" t="s">
        <v>115</v>
      </c>
      <c r="K211" s="16" t="s">
        <v>48</v>
      </c>
      <c r="L211" s="14" t="s">
        <v>1267</v>
      </c>
      <c r="M211" s="13" t="s">
        <v>76</v>
      </c>
      <c r="N211" s="14" t="s">
        <v>1268</v>
      </c>
    </row>
    <row r="212" customFormat="false" ht="20.85" hidden="false" customHeight="false" outlineLevel="0" collapsed="false">
      <c r="A212" s="13" t="s">
        <v>1269</v>
      </c>
      <c r="B212" s="13" t="s">
        <v>1270</v>
      </c>
      <c r="C212" s="13" t="s">
        <v>1271</v>
      </c>
      <c r="D212" s="13" t="n">
        <v>1774</v>
      </c>
      <c r="E212" s="13" t="s">
        <v>1272</v>
      </c>
      <c r="F212" s="13" t="s">
        <v>1188</v>
      </c>
      <c r="G212" s="13" t="s">
        <v>70</v>
      </c>
      <c r="H212" s="13" t="s">
        <v>138</v>
      </c>
      <c r="I212" s="13" t="s">
        <v>72</v>
      </c>
      <c r="J212" s="14" t="s">
        <v>82</v>
      </c>
      <c r="K212" s="15" t="s">
        <v>74</v>
      </c>
      <c r="L212" s="14" t="s">
        <v>262</v>
      </c>
      <c r="M212" s="13" t="s">
        <v>76</v>
      </c>
      <c r="N212" s="14" t="s">
        <v>1273</v>
      </c>
    </row>
    <row r="213" customFormat="false" ht="20.85" hidden="false" customHeight="false" outlineLevel="0" collapsed="false">
      <c r="A213" s="13" t="s">
        <v>1274</v>
      </c>
      <c r="B213" s="13" t="s">
        <v>1270</v>
      </c>
      <c r="C213" s="13" t="s">
        <v>1275</v>
      </c>
      <c r="D213" s="13" t="n">
        <v>2311</v>
      </c>
      <c r="E213" s="13" t="s">
        <v>1276</v>
      </c>
      <c r="F213" s="13" t="s">
        <v>114</v>
      </c>
      <c r="G213" s="13" t="s">
        <v>90</v>
      </c>
      <c r="H213" s="13" t="s">
        <v>123</v>
      </c>
      <c r="I213" s="13" t="s">
        <v>72</v>
      </c>
      <c r="J213" s="14" t="s">
        <v>115</v>
      </c>
      <c r="K213" s="15" t="s">
        <v>74</v>
      </c>
      <c r="L213" s="14" t="s">
        <v>464</v>
      </c>
      <c r="M213" s="13" t="s">
        <v>76</v>
      </c>
      <c r="N213" s="14" t="s">
        <v>1277</v>
      </c>
    </row>
    <row r="214" customFormat="false" ht="20.85" hidden="false" customHeight="false" outlineLevel="0" collapsed="false">
      <c r="A214" s="13" t="s">
        <v>1278</v>
      </c>
      <c r="B214" s="13" t="s">
        <v>1279</v>
      </c>
      <c r="C214" s="13" t="s">
        <v>1280</v>
      </c>
      <c r="D214" s="13" t="n">
        <v>537</v>
      </c>
      <c r="E214" s="13" t="s">
        <v>1281</v>
      </c>
      <c r="F214" s="13" t="s">
        <v>1282</v>
      </c>
      <c r="G214" s="13" t="s">
        <v>90</v>
      </c>
      <c r="H214" s="13" t="s">
        <v>71</v>
      </c>
      <c r="I214" s="13" t="s">
        <v>72</v>
      </c>
      <c r="J214" s="14" t="s">
        <v>73</v>
      </c>
      <c r="K214" s="15" t="s">
        <v>74</v>
      </c>
      <c r="L214" s="14" t="s">
        <v>75</v>
      </c>
      <c r="M214" s="13" t="s">
        <v>76</v>
      </c>
      <c r="N214" s="14" t="s">
        <v>1283</v>
      </c>
    </row>
    <row r="215" customFormat="false" ht="20.85" hidden="false" customHeight="false" outlineLevel="0" collapsed="false">
      <c r="A215" s="13" t="s">
        <v>1284</v>
      </c>
      <c r="B215" s="13" t="s">
        <v>1270</v>
      </c>
      <c r="C215" s="13" t="s">
        <v>1285</v>
      </c>
      <c r="D215" s="13" t="n">
        <v>788</v>
      </c>
      <c r="E215" s="13" t="s">
        <v>1286</v>
      </c>
      <c r="F215" s="13" t="s">
        <v>1287</v>
      </c>
      <c r="G215" s="13" t="s">
        <v>90</v>
      </c>
      <c r="H215" s="13" t="s">
        <v>71</v>
      </c>
      <c r="I215" s="13" t="s">
        <v>72</v>
      </c>
      <c r="J215" s="14" t="s">
        <v>82</v>
      </c>
      <c r="K215" s="15" t="s">
        <v>74</v>
      </c>
      <c r="L215" s="14" t="s">
        <v>83</v>
      </c>
      <c r="M215" s="13" t="s">
        <v>76</v>
      </c>
      <c r="N215" s="14" t="s">
        <v>1288</v>
      </c>
    </row>
    <row r="216" customFormat="false" ht="20.85" hidden="false" customHeight="false" outlineLevel="0" collapsed="false">
      <c r="A216" s="13" t="s">
        <v>1289</v>
      </c>
      <c r="B216" s="13" t="s">
        <v>1290</v>
      </c>
      <c r="C216" s="13" t="s">
        <v>1291</v>
      </c>
      <c r="D216" s="13" t="n">
        <v>702</v>
      </c>
      <c r="E216" s="13" t="s">
        <v>1292</v>
      </c>
      <c r="F216" s="13" t="s">
        <v>1293</v>
      </c>
      <c r="G216" s="13" t="s">
        <v>96</v>
      </c>
      <c r="H216" s="13" t="s">
        <v>71</v>
      </c>
      <c r="I216" s="13" t="s">
        <v>72</v>
      </c>
      <c r="J216" s="14" t="s">
        <v>115</v>
      </c>
      <c r="K216" s="15" t="s">
        <v>74</v>
      </c>
      <c r="L216" s="14" t="s">
        <v>116</v>
      </c>
      <c r="M216" s="13" t="s">
        <v>76</v>
      </c>
      <c r="N216" s="14" t="s">
        <v>1294</v>
      </c>
    </row>
    <row r="217" customFormat="false" ht="20.85" hidden="false" customHeight="false" outlineLevel="0" collapsed="false">
      <c r="A217" s="13" t="s">
        <v>1295</v>
      </c>
      <c r="B217" s="13" t="s">
        <v>1296</v>
      </c>
      <c r="C217" s="13" t="s">
        <v>1297</v>
      </c>
      <c r="D217" s="13" t="n">
        <v>1607</v>
      </c>
      <c r="E217" s="13" t="s">
        <v>1298</v>
      </c>
      <c r="F217" s="13" t="s">
        <v>846</v>
      </c>
      <c r="G217" s="13" t="s">
        <v>70</v>
      </c>
      <c r="H217" s="13" t="s">
        <v>71</v>
      </c>
      <c r="I217" s="13" t="s">
        <v>72</v>
      </c>
      <c r="J217" s="14" t="s">
        <v>82</v>
      </c>
      <c r="K217" s="15" t="s">
        <v>74</v>
      </c>
      <c r="L217" s="14" t="s">
        <v>83</v>
      </c>
      <c r="M217" s="13" t="s">
        <v>76</v>
      </c>
      <c r="N217" s="14" t="s">
        <v>1299</v>
      </c>
    </row>
    <row r="218" customFormat="false" ht="20.85" hidden="false" customHeight="false" outlineLevel="0" collapsed="false">
      <c r="A218" s="13" t="s">
        <v>1300</v>
      </c>
      <c r="B218" s="13" t="s">
        <v>1301</v>
      </c>
      <c r="C218" s="13" t="s">
        <v>1302</v>
      </c>
      <c r="D218" s="13" t="n">
        <v>2314</v>
      </c>
      <c r="E218" s="13" t="s">
        <v>1303</v>
      </c>
      <c r="F218" s="13" t="s">
        <v>1304</v>
      </c>
      <c r="G218" s="13" t="s">
        <v>70</v>
      </c>
      <c r="H218" s="13" t="s">
        <v>123</v>
      </c>
      <c r="I218" s="13" t="s">
        <v>72</v>
      </c>
      <c r="J218" s="14" t="s">
        <v>115</v>
      </c>
      <c r="K218" s="15" t="s">
        <v>74</v>
      </c>
      <c r="L218" s="14" t="s">
        <v>464</v>
      </c>
      <c r="M218" s="13" t="s">
        <v>76</v>
      </c>
      <c r="N218" s="14" t="s">
        <v>1305</v>
      </c>
    </row>
    <row r="219" customFormat="false" ht="20.85" hidden="false" customHeight="false" outlineLevel="0" collapsed="false">
      <c r="A219" s="13" t="s">
        <v>1306</v>
      </c>
      <c r="B219" s="13" t="s">
        <v>1307</v>
      </c>
      <c r="C219" s="13" t="s">
        <v>1308</v>
      </c>
      <c r="D219" s="13" t="n">
        <v>2134</v>
      </c>
      <c r="E219" s="13" t="s">
        <v>1309</v>
      </c>
      <c r="F219" s="13" t="s">
        <v>1310</v>
      </c>
      <c r="G219" s="13" t="s">
        <v>146</v>
      </c>
      <c r="H219" s="13" t="s">
        <v>71</v>
      </c>
      <c r="I219" s="13" t="s">
        <v>72</v>
      </c>
      <c r="J219" s="14" t="s">
        <v>98</v>
      </c>
      <c r="K219" s="15" t="s">
        <v>74</v>
      </c>
      <c r="L219" s="14" t="s">
        <v>152</v>
      </c>
      <c r="M219" s="13" t="s">
        <v>76</v>
      </c>
      <c r="N219" s="14" t="s">
        <v>1311</v>
      </c>
    </row>
    <row r="220" customFormat="false" ht="20.85" hidden="false" customHeight="false" outlineLevel="0" collapsed="false">
      <c r="A220" s="13" t="s">
        <v>1312</v>
      </c>
      <c r="B220" s="13" t="s">
        <v>1313</v>
      </c>
      <c r="C220" s="13" t="s">
        <v>525</v>
      </c>
      <c r="D220" s="13" t="n">
        <v>1912</v>
      </c>
      <c r="E220" s="13" t="s">
        <v>526</v>
      </c>
      <c r="F220" s="13" t="s">
        <v>1314</v>
      </c>
      <c r="G220" s="13" t="s">
        <v>146</v>
      </c>
      <c r="H220" s="13" t="s">
        <v>123</v>
      </c>
      <c r="I220" s="13" t="s">
        <v>72</v>
      </c>
      <c r="J220" s="14" t="s">
        <v>73</v>
      </c>
      <c r="K220" s="15" t="s">
        <v>74</v>
      </c>
      <c r="L220" s="14" t="s">
        <v>255</v>
      </c>
      <c r="M220" s="13" t="s">
        <v>76</v>
      </c>
      <c r="N220" s="14" t="s">
        <v>1315</v>
      </c>
    </row>
    <row r="221" customFormat="false" ht="20.85" hidden="false" customHeight="false" outlineLevel="0" collapsed="false">
      <c r="A221" s="13" t="s">
        <v>1316</v>
      </c>
      <c r="B221" s="13" t="s">
        <v>1317</v>
      </c>
      <c r="C221" s="13" t="s">
        <v>1318</v>
      </c>
      <c r="D221" s="13" t="n">
        <v>1323</v>
      </c>
      <c r="E221" s="13" t="s">
        <v>1319</v>
      </c>
      <c r="F221" s="13" t="s">
        <v>887</v>
      </c>
      <c r="G221" s="13" t="s">
        <v>106</v>
      </c>
      <c r="H221" s="13" t="s">
        <v>97</v>
      </c>
      <c r="I221" s="13" t="s">
        <v>72</v>
      </c>
      <c r="J221" s="14" t="s">
        <v>82</v>
      </c>
      <c r="K221" s="15" t="s">
        <v>74</v>
      </c>
      <c r="L221" s="14" t="s">
        <v>131</v>
      </c>
      <c r="M221" s="13" t="s">
        <v>76</v>
      </c>
      <c r="N221" s="14" t="s">
        <v>1320</v>
      </c>
    </row>
    <row r="222" customFormat="false" ht="20.85" hidden="false" customHeight="false" outlineLevel="0" collapsed="false">
      <c r="A222" s="13" t="s">
        <v>1321</v>
      </c>
      <c r="B222" s="13" t="s">
        <v>1322</v>
      </c>
      <c r="C222" s="13" t="s">
        <v>1323</v>
      </c>
      <c r="D222" s="13" t="n">
        <v>2481</v>
      </c>
      <c r="E222" s="13" t="s">
        <v>1324</v>
      </c>
      <c r="F222" s="13" t="s">
        <v>1325</v>
      </c>
      <c r="G222" s="13" t="s">
        <v>90</v>
      </c>
      <c r="H222" s="13" t="s">
        <v>71</v>
      </c>
      <c r="I222" s="13" t="s">
        <v>72</v>
      </c>
      <c r="J222" s="14" t="s">
        <v>73</v>
      </c>
      <c r="K222" s="15" t="s">
        <v>74</v>
      </c>
      <c r="L222" s="14" t="s">
        <v>75</v>
      </c>
      <c r="M222" s="13" t="s">
        <v>76</v>
      </c>
      <c r="N222" s="14" t="s">
        <v>1326</v>
      </c>
    </row>
    <row r="223" customFormat="false" ht="15" hidden="false" customHeight="false" outlineLevel="0" collapsed="false">
      <c r="A223" s="13" t="s">
        <v>1327</v>
      </c>
      <c r="B223" s="13" t="s">
        <v>1328</v>
      </c>
      <c r="C223" s="13" t="s">
        <v>1329</v>
      </c>
      <c r="D223" s="13" t="n">
        <v>1838</v>
      </c>
      <c r="E223" s="13" t="s">
        <v>1330</v>
      </c>
      <c r="F223" s="13" t="s">
        <v>1331</v>
      </c>
      <c r="G223" s="13" t="s">
        <v>70</v>
      </c>
      <c r="H223" s="13" t="s">
        <v>138</v>
      </c>
      <c r="I223" s="13" t="s">
        <v>107</v>
      </c>
      <c r="J223" s="14" t="s">
        <v>98</v>
      </c>
      <c r="K223" s="16" t="s">
        <v>48</v>
      </c>
      <c r="L223" s="14" t="s">
        <v>562</v>
      </c>
      <c r="M223" s="13" t="s">
        <v>76</v>
      </c>
      <c r="N223" s="14" t="s">
        <v>1332</v>
      </c>
    </row>
    <row r="224" customFormat="false" ht="20.85" hidden="false" customHeight="false" outlineLevel="0" collapsed="false">
      <c r="A224" s="13" t="s">
        <v>1333</v>
      </c>
      <c r="B224" s="13" t="s">
        <v>1328</v>
      </c>
      <c r="C224" s="13" t="s">
        <v>1334</v>
      </c>
      <c r="D224" s="13" t="n">
        <v>617</v>
      </c>
      <c r="E224" s="13" t="s">
        <v>1335</v>
      </c>
      <c r="F224" s="13" t="s">
        <v>1336</v>
      </c>
      <c r="G224" s="13" t="s">
        <v>96</v>
      </c>
      <c r="H224" s="13" t="s">
        <v>71</v>
      </c>
      <c r="I224" s="13" t="s">
        <v>72</v>
      </c>
      <c r="J224" s="14" t="s">
        <v>115</v>
      </c>
      <c r="K224" s="15" t="s">
        <v>74</v>
      </c>
      <c r="L224" s="14" t="s">
        <v>116</v>
      </c>
      <c r="M224" s="13" t="s">
        <v>76</v>
      </c>
      <c r="N224" s="14" t="s">
        <v>1337</v>
      </c>
    </row>
    <row r="225" customFormat="false" ht="20.85" hidden="false" customHeight="false" outlineLevel="0" collapsed="false">
      <c r="A225" s="13" t="s">
        <v>1338</v>
      </c>
      <c r="B225" s="13" t="s">
        <v>1339</v>
      </c>
      <c r="C225" s="13" t="s">
        <v>1340</v>
      </c>
      <c r="D225" s="13" t="n">
        <v>843</v>
      </c>
      <c r="E225" s="13" t="s">
        <v>1341</v>
      </c>
      <c r="F225" s="13" t="s">
        <v>188</v>
      </c>
      <c r="G225" s="13" t="s">
        <v>146</v>
      </c>
      <c r="H225" s="13" t="s">
        <v>123</v>
      </c>
      <c r="I225" s="13" t="s">
        <v>72</v>
      </c>
      <c r="J225" s="14" t="s">
        <v>82</v>
      </c>
      <c r="K225" s="15" t="s">
        <v>74</v>
      </c>
      <c r="L225" s="14" t="s">
        <v>269</v>
      </c>
      <c r="M225" s="13" t="s">
        <v>76</v>
      </c>
      <c r="N225" s="14" t="s">
        <v>1342</v>
      </c>
    </row>
    <row r="226" customFormat="false" ht="20.85" hidden="false" customHeight="false" outlineLevel="0" collapsed="false">
      <c r="A226" s="13" t="s">
        <v>1343</v>
      </c>
      <c r="B226" s="13" t="s">
        <v>1344</v>
      </c>
      <c r="C226" s="13" t="s">
        <v>1345</v>
      </c>
      <c r="D226" s="13" t="n">
        <v>715</v>
      </c>
      <c r="E226" s="13" t="s">
        <v>1346</v>
      </c>
      <c r="F226" s="13" t="s">
        <v>1347</v>
      </c>
      <c r="G226" s="13" t="s">
        <v>90</v>
      </c>
      <c r="H226" s="13" t="s">
        <v>71</v>
      </c>
      <c r="I226" s="13" t="s">
        <v>72</v>
      </c>
      <c r="J226" s="14" t="s">
        <v>115</v>
      </c>
      <c r="K226" s="15" t="s">
        <v>74</v>
      </c>
      <c r="L226" s="14" t="s">
        <v>116</v>
      </c>
      <c r="M226" s="13" t="s">
        <v>76</v>
      </c>
      <c r="N226" s="14" t="s">
        <v>1348</v>
      </c>
    </row>
    <row r="227" customFormat="false" ht="20.85" hidden="false" customHeight="false" outlineLevel="0" collapsed="false">
      <c r="A227" s="13" t="s">
        <v>1349</v>
      </c>
      <c r="B227" s="13" t="s">
        <v>1350</v>
      </c>
      <c r="C227" s="13" t="s">
        <v>1351</v>
      </c>
      <c r="D227" s="13" t="n">
        <v>334</v>
      </c>
      <c r="E227" s="13" t="s">
        <v>1352</v>
      </c>
      <c r="F227" s="13" t="s">
        <v>1353</v>
      </c>
      <c r="G227" s="13" t="s">
        <v>70</v>
      </c>
      <c r="H227" s="13" t="s">
        <v>97</v>
      </c>
      <c r="I227" s="13" t="s">
        <v>72</v>
      </c>
      <c r="J227" s="14" t="s">
        <v>82</v>
      </c>
      <c r="K227" s="15" t="s">
        <v>74</v>
      </c>
      <c r="L227" s="14" t="s">
        <v>131</v>
      </c>
      <c r="M227" s="13" t="s">
        <v>76</v>
      </c>
      <c r="N227" s="14" t="s">
        <v>1354</v>
      </c>
    </row>
    <row r="228" customFormat="false" ht="20.85" hidden="false" customHeight="false" outlineLevel="0" collapsed="false">
      <c r="A228" s="13" t="s">
        <v>1355</v>
      </c>
      <c r="B228" s="13" t="s">
        <v>1344</v>
      </c>
      <c r="C228" s="13" t="s">
        <v>1356</v>
      </c>
      <c r="D228" s="13" t="n">
        <v>1428</v>
      </c>
      <c r="E228" s="13" t="s">
        <v>1357</v>
      </c>
      <c r="F228" s="13" t="s">
        <v>188</v>
      </c>
      <c r="G228" s="13" t="s">
        <v>146</v>
      </c>
      <c r="H228" s="13" t="s">
        <v>71</v>
      </c>
      <c r="I228" s="13" t="s">
        <v>72</v>
      </c>
      <c r="J228" s="14" t="s">
        <v>115</v>
      </c>
      <c r="K228" s="15" t="s">
        <v>74</v>
      </c>
      <c r="L228" s="14" t="s">
        <v>116</v>
      </c>
      <c r="M228" s="13" t="s">
        <v>76</v>
      </c>
      <c r="N228" s="14" t="s">
        <v>1358</v>
      </c>
    </row>
    <row r="229" customFormat="false" ht="20.85" hidden="false" customHeight="false" outlineLevel="0" collapsed="false">
      <c r="A229" s="13" t="s">
        <v>1359</v>
      </c>
      <c r="B229" s="13" t="s">
        <v>1360</v>
      </c>
      <c r="C229" s="13" t="s">
        <v>1361</v>
      </c>
      <c r="D229" s="13" t="n">
        <v>2861</v>
      </c>
      <c r="E229" s="13" t="s">
        <v>1362</v>
      </c>
      <c r="F229" s="13" t="s">
        <v>1363</v>
      </c>
      <c r="G229" s="13" t="s">
        <v>96</v>
      </c>
      <c r="H229" s="13" t="s">
        <v>97</v>
      </c>
      <c r="I229" s="13" t="s">
        <v>72</v>
      </c>
      <c r="J229" s="14" t="s">
        <v>115</v>
      </c>
      <c r="K229" s="15" t="s">
        <v>74</v>
      </c>
      <c r="L229" s="14" t="s">
        <v>387</v>
      </c>
      <c r="M229" s="13" t="s">
        <v>76</v>
      </c>
      <c r="N229" s="14" t="s">
        <v>1364</v>
      </c>
    </row>
    <row r="230" customFormat="false" ht="20.85" hidden="false" customHeight="false" outlineLevel="0" collapsed="false">
      <c r="A230" s="13" t="s">
        <v>1365</v>
      </c>
      <c r="B230" s="13" t="s">
        <v>1366</v>
      </c>
      <c r="C230" s="13" t="s">
        <v>1367</v>
      </c>
      <c r="D230" s="13" t="n">
        <v>1153</v>
      </c>
      <c r="E230" s="13" t="s">
        <v>1368</v>
      </c>
      <c r="F230" s="13" t="s">
        <v>261</v>
      </c>
      <c r="G230" s="13" t="s">
        <v>70</v>
      </c>
      <c r="H230" s="13" t="s">
        <v>123</v>
      </c>
      <c r="I230" s="13" t="s">
        <v>72</v>
      </c>
      <c r="J230" s="14" t="s">
        <v>82</v>
      </c>
      <c r="K230" s="15" t="s">
        <v>74</v>
      </c>
      <c r="L230" s="14" t="s">
        <v>269</v>
      </c>
      <c r="M230" s="13" t="s">
        <v>76</v>
      </c>
      <c r="N230" s="14" t="s">
        <v>1369</v>
      </c>
    </row>
    <row r="231" customFormat="false" ht="20.85" hidden="false" customHeight="false" outlineLevel="0" collapsed="false">
      <c r="A231" s="13" t="s">
        <v>1370</v>
      </c>
      <c r="B231" s="13" t="s">
        <v>1371</v>
      </c>
      <c r="C231" s="13" t="s">
        <v>1372</v>
      </c>
      <c r="D231" s="13" t="n">
        <v>1445</v>
      </c>
      <c r="E231" s="13" t="s">
        <v>1373</v>
      </c>
      <c r="F231" s="13" t="s">
        <v>1374</v>
      </c>
      <c r="G231" s="13" t="s">
        <v>146</v>
      </c>
      <c r="H231" s="13" t="s">
        <v>71</v>
      </c>
      <c r="I231" s="13" t="s">
        <v>72</v>
      </c>
      <c r="J231" s="14" t="s">
        <v>98</v>
      </c>
      <c r="K231" s="15" t="s">
        <v>74</v>
      </c>
      <c r="L231" s="14" t="s">
        <v>152</v>
      </c>
      <c r="M231" s="13" t="s">
        <v>76</v>
      </c>
      <c r="N231" s="14" t="s">
        <v>1375</v>
      </c>
    </row>
    <row r="232" customFormat="false" ht="20.85" hidden="false" customHeight="false" outlineLevel="0" collapsed="false">
      <c r="A232" s="13" t="s">
        <v>1376</v>
      </c>
      <c r="B232" s="13" t="s">
        <v>1377</v>
      </c>
      <c r="C232" s="13" t="s">
        <v>1378</v>
      </c>
      <c r="D232" s="13" t="n">
        <v>1890</v>
      </c>
      <c r="E232" s="13" t="s">
        <v>1379</v>
      </c>
      <c r="F232" s="13" t="s">
        <v>1380</v>
      </c>
      <c r="G232" s="13" t="s">
        <v>106</v>
      </c>
      <c r="H232" s="13" t="s">
        <v>97</v>
      </c>
      <c r="I232" s="13" t="s">
        <v>72</v>
      </c>
      <c r="J232" s="14" t="s">
        <v>82</v>
      </c>
      <c r="K232" s="15" t="s">
        <v>74</v>
      </c>
      <c r="L232" s="14" t="s">
        <v>131</v>
      </c>
      <c r="M232" s="13" t="s">
        <v>76</v>
      </c>
      <c r="N232" s="14" t="s">
        <v>1381</v>
      </c>
    </row>
    <row r="233" customFormat="false" ht="20.85" hidden="false" customHeight="false" outlineLevel="0" collapsed="false">
      <c r="A233" s="13" t="s">
        <v>1382</v>
      </c>
      <c r="B233" s="13" t="s">
        <v>1366</v>
      </c>
      <c r="C233" s="13" t="s">
        <v>1383</v>
      </c>
      <c r="D233" s="13" t="n">
        <v>913</v>
      </c>
      <c r="E233" s="13" t="s">
        <v>1384</v>
      </c>
      <c r="F233" s="13" t="s">
        <v>1385</v>
      </c>
      <c r="G233" s="13" t="s">
        <v>106</v>
      </c>
      <c r="H233" s="13" t="s">
        <v>123</v>
      </c>
      <c r="I233" s="13" t="s">
        <v>72</v>
      </c>
      <c r="J233" s="14" t="s">
        <v>73</v>
      </c>
      <c r="K233" s="15" t="s">
        <v>74</v>
      </c>
      <c r="L233" s="14" t="s">
        <v>255</v>
      </c>
      <c r="M233" s="13" t="s">
        <v>76</v>
      </c>
      <c r="N233" s="14" t="s">
        <v>1386</v>
      </c>
    </row>
    <row r="234" customFormat="false" ht="20.85" hidden="false" customHeight="false" outlineLevel="0" collapsed="false">
      <c r="A234" s="13" t="s">
        <v>1387</v>
      </c>
      <c r="B234" s="13" t="s">
        <v>1388</v>
      </c>
      <c r="C234" s="13" t="s">
        <v>1389</v>
      </c>
      <c r="D234" s="13" t="n">
        <v>1167</v>
      </c>
      <c r="E234" s="13" t="s">
        <v>1390</v>
      </c>
      <c r="F234" s="13" t="s">
        <v>1391</v>
      </c>
      <c r="G234" s="13" t="s">
        <v>96</v>
      </c>
      <c r="H234" s="13" t="s">
        <v>71</v>
      </c>
      <c r="I234" s="13" t="s">
        <v>72</v>
      </c>
      <c r="J234" s="14" t="s">
        <v>73</v>
      </c>
      <c r="K234" s="15" t="s">
        <v>74</v>
      </c>
      <c r="L234" s="14" t="s">
        <v>75</v>
      </c>
      <c r="M234" s="13" t="s">
        <v>76</v>
      </c>
      <c r="N234" s="14" t="s">
        <v>1392</v>
      </c>
    </row>
    <row r="235" customFormat="false" ht="20.85" hidden="false" customHeight="false" outlineLevel="0" collapsed="false">
      <c r="A235" s="13" t="s">
        <v>1393</v>
      </c>
      <c r="B235" s="13" t="s">
        <v>1394</v>
      </c>
      <c r="C235" s="13" t="s">
        <v>1395</v>
      </c>
      <c r="D235" s="13" t="n">
        <v>2865</v>
      </c>
      <c r="E235" s="13" t="s">
        <v>1396</v>
      </c>
      <c r="F235" s="13" t="s">
        <v>1019</v>
      </c>
      <c r="G235" s="13" t="s">
        <v>146</v>
      </c>
      <c r="H235" s="13" t="s">
        <v>138</v>
      </c>
      <c r="I235" s="13" t="s">
        <v>72</v>
      </c>
      <c r="J235" s="14" t="s">
        <v>82</v>
      </c>
      <c r="K235" s="15" t="s">
        <v>74</v>
      </c>
      <c r="L235" s="14" t="s">
        <v>262</v>
      </c>
      <c r="M235" s="13" t="s">
        <v>76</v>
      </c>
      <c r="N235" s="14" t="s">
        <v>1397</v>
      </c>
    </row>
    <row r="236" customFormat="false" ht="20.85" hidden="false" customHeight="false" outlineLevel="0" collapsed="false">
      <c r="A236" s="13" t="s">
        <v>1398</v>
      </c>
      <c r="B236" s="13" t="s">
        <v>1399</v>
      </c>
      <c r="C236" s="13" t="s">
        <v>1400</v>
      </c>
      <c r="D236" s="13" t="n">
        <v>1002</v>
      </c>
      <c r="E236" s="13" t="s">
        <v>1401</v>
      </c>
      <c r="F236" s="13" t="s">
        <v>1037</v>
      </c>
      <c r="G236" s="13" t="s">
        <v>70</v>
      </c>
      <c r="H236" s="13" t="s">
        <v>97</v>
      </c>
      <c r="I236" s="13" t="s">
        <v>72</v>
      </c>
      <c r="J236" s="14" t="s">
        <v>115</v>
      </c>
      <c r="K236" s="15" t="s">
        <v>74</v>
      </c>
      <c r="L236" s="14" t="s">
        <v>387</v>
      </c>
      <c r="M236" s="13" t="s">
        <v>76</v>
      </c>
      <c r="N236" s="14" t="s">
        <v>1402</v>
      </c>
    </row>
    <row r="237" customFormat="false" ht="20.85" hidden="false" customHeight="false" outlineLevel="0" collapsed="false">
      <c r="A237" s="13" t="s">
        <v>1403</v>
      </c>
      <c r="B237" s="13" t="s">
        <v>1404</v>
      </c>
      <c r="C237" s="13" t="s">
        <v>1405</v>
      </c>
      <c r="D237" s="13" t="n">
        <v>1284</v>
      </c>
      <c r="E237" s="13" t="s">
        <v>1406</v>
      </c>
      <c r="F237" s="13" t="s">
        <v>1407</v>
      </c>
      <c r="G237" s="13" t="s">
        <v>146</v>
      </c>
      <c r="H237" s="13" t="s">
        <v>71</v>
      </c>
      <c r="I237" s="13" t="s">
        <v>72</v>
      </c>
      <c r="J237" s="14" t="s">
        <v>73</v>
      </c>
      <c r="K237" s="15" t="s">
        <v>74</v>
      </c>
      <c r="L237" s="14" t="s">
        <v>75</v>
      </c>
      <c r="M237" s="13" t="s">
        <v>76</v>
      </c>
      <c r="N237" s="14" t="s">
        <v>1408</v>
      </c>
    </row>
    <row r="238" customFormat="false" ht="20.85" hidden="false" customHeight="false" outlineLevel="0" collapsed="false">
      <c r="A238" s="13" t="s">
        <v>1409</v>
      </c>
      <c r="B238" s="13" t="s">
        <v>1410</v>
      </c>
      <c r="C238" s="13" t="s">
        <v>1411</v>
      </c>
      <c r="D238" s="13" t="n">
        <v>1187</v>
      </c>
      <c r="E238" s="13" t="s">
        <v>1412</v>
      </c>
      <c r="F238" s="13" t="s">
        <v>1413</v>
      </c>
      <c r="G238" s="13" t="s">
        <v>146</v>
      </c>
      <c r="H238" s="13" t="s">
        <v>71</v>
      </c>
      <c r="I238" s="13" t="s">
        <v>72</v>
      </c>
      <c r="J238" s="14" t="s">
        <v>82</v>
      </c>
      <c r="K238" s="15" t="s">
        <v>74</v>
      </c>
      <c r="L238" s="14" t="s">
        <v>83</v>
      </c>
      <c r="M238" s="13" t="s">
        <v>76</v>
      </c>
      <c r="N238" s="14" t="s">
        <v>1414</v>
      </c>
    </row>
    <row r="239" customFormat="false" ht="20.85" hidden="false" customHeight="false" outlineLevel="0" collapsed="false">
      <c r="A239" s="13" t="s">
        <v>1415</v>
      </c>
      <c r="B239" s="13" t="s">
        <v>1416</v>
      </c>
      <c r="C239" s="13" t="s">
        <v>1417</v>
      </c>
      <c r="D239" s="13" t="n">
        <v>2750</v>
      </c>
      <c r="E239" s="13" t="s">
        <v>1418</v>
      </c>
      <c r="F239" s="13" t="s">
        <v>1419</v>
      </c>
      <c r="G239" s="13" t="s">
        <v>90</v>
      </c>
      <c r="H239" s="13" t="s">
        <v>71</v>
      </c>
      <c r="I239" s="13" t="s">
        <v>72</v>
      </c>
      <c r="J239" s="14" t="s">
        <v>98</v>
      </c>
      <c r="K239" s="15" t="s">
        <v>74</v>
      </c>
      <c r="L239" s="14" t="s">
        <v>152</v>
      </c>
      <c r="M239" s="13" t="s">
        <v>76</v>
      </c>
      <c r="N239" s="14" t="s">
        <v>1420</v>
      </c>
    </row>
    <row r="240" customFormat="false" ht="20.85" hidden="false" customHeight="false" outlineLevel="0" collapsed="false">
      <c r="A240" s="13" t="s">
        <v>1421</v>
      </c>
      <c r="B240" s="13" t="s">
        <v>1404</v>
      </c>
      <c r="C240" s="13" t="s">
        <v>366</v>
      </c>
      <c r="D240" s="13" t="n">
        <v>2857</v>
      </c>
      <c r="E240" s="13" t="s">
        <v>367</v>
      </c>
      <c r="F240" s="13" t="s">
        <v>1422</v>
      </c>
      <c r="G240" s="13" t="s">
        <v>70</v>
      </c>
      <c r="H240" s="13" t="s">
        <v>97</v>
      </c>
      <c r="I240" s="13" t="s">
        <v>72</v>
      </c>
      <c r="J240" s="14" t="s">
        <v>98</v>
      </c>
      <c r="K240" s="15" t="s">
        <v>74</v>
      </c>
      <c r="L240" s="14" t="s">
        <v>99</v>
      </c>
      <c r="M240" s="13" t="s">
        <v>76</v>
      </c>
      <c r="N240" s="14" t="s">
        <v>1423</v>
      </c>
    </row>
    <row r="241" customFormat="false" ht="20.85" hidden="false" customHeight="false" outlineLevel="0" collapsed="false">
      <c r="A241" s="13" t="s">
        <v>1424</v>
      </c>
      <c r="B241" s="13" t="s">
        <v>1425</v>
      </c>
      <c r="C241" s="13" t="s">
        <v>1426</v>
      </c>
      <c r="D241" s="13" t="n">
        <v>645</v>
      </c>
      <c r="E241" s="13" t="s">
        <v>1427</v>
      </c>
      <c r="F241" s="13" t="s">
        <v>1428</v>
      </c>
      <c r="G241" s="13" t="s">
        <v>90</v>
      </c>
      <c r="H241" s="13" t="s">
        <v>138</v>
      </c>
      <c r="I241" s="13" t="s">
        <v>72</v>
      </c>
      <c r="J241" s="14" t="s">
        <v>73</v>
      </c>
      <c r="K241" s="15" t="s">
        <v>74</v>
      </c>
      <c r="L241" s="14" t="s">
        <v>139</v>
      </c>
      <c r="M241" s="13" t="s">
        <v>76</v>
      </c>
      <c r="N241" s="14" t="s">
        <v>1429</v>
      </c>
    </row>
    <row r="242" customFormat="false" ht="15" hidden="false" customHeight="false" outlineLevel="0" collapsed="false">
      <c r="A242" s="13" t="s">
        <v>1430</v>
      </c>
      <c r="B242" s="13" t="s">
        <v>1431</v>
      </c>
      <c r="C242" s="13" t="s">
        <v>221</v>
      </c>
      <c r="D242" s="13" t="n">
        <v>89</v>
      </c>
      <c r="E242" s="13" t="s">
        <v>222</v>
      </c>
      <c r="F242" s="13" t="s">
        <v>1432</v>
      </c>
      <c r="G242" s="13" t="s">
        <v>146</v>
      </c>
      <c r="H242" s="13" t="s">
        <v>71</v>
      </c>
      <c r="I242" s="13" t="s">
        <v>107</v>
      </c>
      <c r="J242" s="14" t="s">
        <v>115</v>
      </c>
      <c r="K242" s="16" t="s">
        <v>48</v>
      </c>
      <c r="L242" s="14" t="s">
        <v>108</v>
      </c>
      <c r="M242" s="13" t="s">
        <v>76</v>
      </c>
      <c r="N242" s="14" t="s">
        <v>1433</v>
      </c>
    </row>
    <row r="243" customFormat="false" ht="20.85" hidden="false" customHeight="false" outlineLevel="0" collapsed="false">
      <c r="A243" s="13" t="s">
        <v>1434</v>
      </c>
      <c r="B243" s="13" t="s">
        <v>1435</v>
      </c>
      <c r="C243" s="13" t="s">
        <v>1436</v>
      </c>
      <c r="D243" s="13" t="n">
        <v>128</v>
      </c>
      <c r="E243" s="13" t="s">
        <v>1437</v>
      </c>
      <c r="F243" s="13" t="s">
        <v>1438</v>
      </c>
      <c r="G243" s="13" t="s">
        <v>70</v>
      </c>
      <c r="H243" s="13" t="s">
        <v>138</v>
      </c>
      <c r="I243" s="13" t="s">
        <v>72</v>
      </c>
      <c r="J243" s="14" t="s">
        <v>73</v>
      </c>
      <c r="K243" s="15" t="s">
        <v>74</v>
      </c>
      <c r="L243" s="14" t="s">
        <v>139</v>
      </c>
      <c r="M243" s="13" t="s">
        <v>76</v>
      </c>
      <c r="N243" s="14" t="s">
        <v>1439</v>
      </c>
    </row>
    <row r="244" customFormat="false" ht="20.85" hidden="false" customHeight="false" outlineLevel="0" collapsed="false">
      <c r="A244" s="13" t="s">
        <v>1440</v>
      </c>
      <c r="B244" s="13" t="s">
        <v>1441</v>
      </c>
      <c r="C244" s="13" t="s">
        <v>1442</v>
      </c>
      <c r="D244" s="13" t="n">
        <v>1676</v>
      </c>
      <c r="E244" s="13" t="s">
        <v>1443</v>
      </c>
      <c r="F244" s="13" t="s">
        <v>1444</v>
      </c>
      <c r="G244" s="13" t="s">
        <v>106</v>
      </c>
      <c r="H244" s="13" t="s">
        <v>71</v>
      </c>
      <c r="I244" s="13" t="s">
        <v>72</v>
      </c>
      <c r="J244" s="14" t="s">
        <v>98</v>
      </c>
      <c r="K244" s="15" t="s">
        <v>74</v>
      </c>
      <c r="L244" s="14" t="s">
        <v>152</v>
      </c>
      <c r="M244" s="13" t="s">
        <v>76</v>
      </c>
      <c r="N244" s="14" t="s">
        <v>1445</v>
      </c>
    </row>
    <row r="245" customFormat="false" ht="20.85" hidden="false" customHeight="false" outlineLevel="0" collapsed="false">
      <c r="A245" s="13" t="s">
        <v>1446</v>
      </c>
      <c r="B245" s="13" t="s">
        <v>1447</v>
      </c>
      <c r="C245" s="13" t="s">
        <v>1448</v>
      </c>
      <c r="D245" s="13" t="n">
        <v>2455</v>
      </c>
      <c r="E245" s="13" t="s">
        <v>1449</v>
      </c>
      <c r="F245" s="13" t="s">
        <v>1450</v>
      </c>
      <c r="G245" s="13" t="s">
        <v>146</v>
      </c>
      <c r="H245" s="13" t="s">
        <v>71</v>
      </c>
      <c r="I245" s="13" t="s">
        <v>72</v>
      </c>
      <c r="J245" s="14" t="s">
        <v>73</v>
      </c>
      <c r="K245" s="15" t="s">
        <v>74</v>
      </c>
      <c r="L245" s="14" t="s">
        <v>75</v>
      </c>
      <c r="M245" s="13" t="s">
        <v>76</v>
      </c>
      <c r="N245" s="14" t="s">
        <v>1451</v>
      </c>
    </row>
    <row r="246" customFormat="false" ht="20.85" hidden="false" customHeight="false" outlineLevel="0" collapsed="false">
      <c r="A246" s="13" t="s">
        <v>1452</v>
      </c>
      <c r="B246" s="13" t="s">
        <v>1435</v>
      </c>
      <c r="C246" s="13" t="s">
        <v>1453</v>
      </c>
      <c r="D246" s="13" t="n">
        <v>1711</v>
      </c>
      <c r="E246" s="13" t="s">
        <v>1454</v>
      </c>
      <c r="F246" s="13" t="s">
        <v>991</v>
      </c>
      <c r="G246" s="13" t="s">
        <v>70</v>
      </c>
      <c r="H246" s="13" t="s">
        <v>138</v>
      </c>
      <c r="I246" s="13" t="s">
        <v>72</v>
      </c>
      <c r="J246" s="14" t="s">
        <v>73</v>
      </c>
      <c r="K246" s="15" t="s">
        <v>74</v>
      </c>
      <c r="L246" s="14" t="s">
        <v>139</v>
      </c>
      <c r="M246" s="13" t="s">
        <v>76</v>
      </c>
      <c r="N246" s="14" t="s">
        <v>1455</v>
      </c>
    </row>
    <row r="247" customFormat="false" ht="20.85" hidden="false" customHeight="false" outlineLevel="0" collapsed="false">
      <c r="A247" s="13" t="s">
        <v>1456</v>
      </c>
      <c r="B247" s="13" t="s">
        <v>1435</v>
      </c>
      <c r="C247" s="13" t="s">
        <v>1457</v>
      </c>
      <c r="D247" s="13" t="n">
        <v>1448</v>
      </c>
      <c r="E247" s="13" t="s">
        <v>1458</v>
      </c>
      <c r="F247" s="13" t="s">
        <v>1459</v>
      </c>
      <c r="G247" s="13" t="s">
        <v>70</v>
      </c>
      <c r="H247" s="13" t="s">
        <v>71</v>
      </c>
      <c r="I247" s="13" t="s">
        <v>72</v>
      </c>
      <c r="J247" s="14" t="s">
        <v>98</v>
      </c>
      <c r="K247" s="15" t="s">
        <v>74</v>
      </c>
      <c r="L247" s="14" t="s">
        <v>152</v>
      </c>
      <c r="M247" s="13" t="s">
        <v>76</v>
      </c>
      <c r="N247" s="14" t="s">
        <v>1460</v>
      </c>
    </row>
    <row r="248" customFormat="false" ht="20.85" hidden="false" customHeight="false" outlineLevel="0" collapsed="false">
      <c r="A248" s="13" t="s">
        <v>1461</v>
      </c>
      <c r="B248" s="13" t="s">
        <v>1462</v>
      </c>
      <c r="C248" s="13" t="s">
        <v>959</v>
      </c>
      <c r="D248" s="13" t="n">
        <v>264</v>
      </c>
      <c r="E248" s="13" t="s">
        <v>960</v>
      </c>
      <c r="F248" s="13" t="s">
        <v>183</v>
      </c>
      <c r="G248" s="13" t="s">
        <v>146</v>
      </c>
      <c r="H248" s="13" t="s">
        <v>71</v>
      </c>
      <c r="I248" s="13" t="s">
        <v>72</v>
      </c>
      <c r="J248" s="14" t="s">
        <v>115</v>
      </c>
      <c r="K248" s="15" t="s">
        <v>74</v>
      </c>
      <c r="L248" s="14" t="s">
        <v>116</v>
      </c>
      <c r="M248" s="13" t="s">
        <v>76</v>
      </c>
      <c r="N248" s="14" t="s">
        <v>1463</v>
      </c>
    </row>
    <row r="249" customFormat="false" ht="20.85" hidden="false" customHeight="false" outlineLevel="0" collapsed="false">
      <c r="A249" s="13" t="s">
        <v>1464</v>
      </c>
      <c r="B249" s="13" t="s">
        <v>1465</v>
      </c>
      <c r="C249" s="13" t="s">
        <v>1466</v>
      </c>
      <c r="D249" s="13" t="n">
        <v>1404</v>
      </c>
      <c r="E249" s="13" t="s">
        <v>1467</v>
      </c>
      <c r="F249" s="13" t="s">
        <v>1468</v>
      </c>
      <c r="G249" s="13" t="s">
        <v>96</v>
      </c>
      <c r="H249" s="13" t="s">
        <v>97</v>
      </c>
      <c r="I249" s="13" t="s">
        <v>72</v>
      </c>
      <c r="J249" s="14" t="s">
        <v>98</v>
      </c>
      <c r="K249" s="15" t="s">
        <v>74</v>
      </c>
      <c r="L249" s="14" t="s">
        <v>99</v>
      </c>
      <c r="M249" s="13" t="s">
        <v>76</v>
      </c>
      <c r="N249" s="14" t="s">
        <v>1469</v>
      </c>
    </row>
    <row r="250" customFormat="false" ht="20.85" hidden="false" customHeight="false" outlineLevel="0" collapsed="false">
      <c r="A250" s="13" t="s">
        <v>1470</v>
      </c>
      <c r="B250" s="13" t="s">
        <v>1471</v>
      </c>
      <c r="C250" s="13" t="s">
        <v>1472</v>
      </c>
      <c r="D250" s="13" t="n">
        <v>776</v>
      </c>
      <c r="E250" s="13" t="s">
        <v>1473</v>
      </c>
      <c r="F250" s="13" t="s">
        <v>1474</v>
      </c>
      <c r="G250" s="13" t="s">
        <v>90</v>
      </c>
      <c r="H250" s="13" t="s">
        <v>97</v>
      </c>
      <c r="I250" s="13" t="s">
        <v>72</v>
      </c>
      <c r="J250" s="14" t="s">
        <v>73</v>
      </c>
      <c r="K250" s="15" t="s">
        <v>74</v>
      </c>
      <c r="L250" s="14" t="s">
        <v>292</v>
      </c>
      <c r="M250" s="13" t="s">
        <v>76</v>
      </c>
      <c r="N250" s="14" t="s">
        <v>1475</v>
      </c>
    </row>
    <row r="251" customFormat="false" ht="20.85" hidden="false" customHeight="false" outlineLevel="0" collapsed="false">
      <c r="A251" s="13" t="s">
        <v>1476</v>
      </c>
      <c r="B251" s="13" t="s">
        <v>1477</v>
      </c>
      <c r="C251" s="13" t="s">
        <v>1478</v>
      </c>
      <c r="D251" s="13" t="n">
        <v>1991</v>
      </c>
      <c r="E251" s="13" t="s">
        <v>1479</v>
      </c>
      <c r="F251" s="13" t="s">
        <v>1480</v>
      </c>
      <c r="G251" s="13" t="s">
        <v>146</v>
      </c>
      <c r="H251" s="13" t="s">
        <v>71</v>
      </c>
      <c r="I251" s="13" t="s">
        <v>72</v>
      </c>
      <c r="J251" s="14" t="s">
        <v>98</v>
      </c>
      <c r="K251" s="15" t="s">
        <v>74</v>
      </c>
      <c r="L251" s="14" t="s">
        <v>152</v>
      </c>
      <c r="M251" s="13" t="s">
        <v>76</v>
      </c>
      <c r="N251" s="14" t="s">
        <v>1481</v>
      </c>
    </row>
    <row r="252" customFormat="false" ht="20.85" hidden="false" customHeight="false" outlineLevel="0" collapsed="false">
      <c r="A252" s="13" t="s">
        <v>1482</v>
      </c>
      <c r="B252" s="13" t="s">
        <v>1483</v>
      </c>
      <c r="C252" s="13" t="s">
        <v>1484</v>
      </c>
      <c r="D252" s="13" t="n">
        <v>2011</v>
      </c>
      <c r="E252" s="13" t="s">
        <v>1485</v>
      </c>
      <c r="F252" s="13" t="s">
        <v>1486</v>
      </c>
      <c r="G252" s="13" t="s">
        <v>146</v>
      </c>
      <c r="H252" s="13" t="s">
        <v>71</v>
      </c>
      <c r="I252" s="13" t="s">
        <v>72</v>
      </c>
      <c r="J252" s="14" t="s">
        <v>73</v>
      </c>
      <c r="K252" s="15" t="s">
        <v>74</v>
      </c>
      <c r="L252" s="14" t="s">
        <v>75</v>
      </c>
      <c r="M252" s="13" t="s">
        <v>76</v>
      </c>
      <c r="N252" s="14" t="s">
        <v>1487</v>
      </c>
    </row>
    <row r="253" customFormat="false" ht="20.85" hidden="false" customHeight="false" outlineLevel="0" collapsed="false">
      <c r="A253" s="13" t="s">
        <v>1488</v>
      </c>
      <c r="B253" s="13" t="s">
        <v>1483</v>
      </c>
      <c r="C253" s="13" t="s">
        <v>832</v>
      </c>
      <c r="D253" s="13" t="n">
        <v>368</v>
      </c>
      <c r="E253" s="13" t="s">
        <v>833</v>
      </c>
      <c r="F253" s="13" t="s">
        <v>1489</v>
      </c>
      <c r="G253" s="13" t="s">
        <v>106</v>
      </c>
      <c r="H253" s="13" t="s">
        <v>123</v>
      </c>
      <c r="I253" s="13" t="s">
        <v>72</v>
      </c>
      <c r="J253" s="14" t="s">
        <v>115</v>
      </c>
      <c r="K253" s="15" t="s">
        <v>74</v>
      </c>
      <c r="L253" s="14" t="s">
        <v>464</v>
      </c>
      <c r="M253" s="13" t="s">
        <v>76</v>
      </c>
      <c r="N253" s="14" t="s">
        <v>1490</v>
      </c>
    </row>
    <row r="254" customFormat="false" ht="20.85" hidden="false" customHeight="false" outlineLevel="0" collapsed="false">
      <c r="A254" s="13" t="s">
        <v>1491</v>
      </c>
      <c r="B254" s="13" t="s">
        <v>1492</v>
      </c>
      <c r="C254" s="13" t="s">
        <v>1493</v>
      </c>
      <c r="D254" s="13" t="n">
        <v>435</v>
      </c>
      <c r="E254" s="13" t="s">
        <v>1494</v>
      </c>
      <c r="F254" s="13" t="s">
        <v>89</v>
      </c>
      <c r="G254" s="13" t="s">
        <v>90</v>
      </c>
      <c r="H254" s="13" t="s">
        <v>97</v>
      </c>
      <c r="I254" s="13" t="s">
        <v>72</v>
      </c>
      <c r="J254" s="14" t="s">
        <v>82</v>
      </c>
      <c r="K254" s="15" t="s">
        <v>74</v>
      </c>
      <c r="L254" s="14" t="s">
        <v>131</v>
      </c>
      <c r="M254" s="13" t="s">
        <v>76</v>
      </c>
      <c r="N254" s="14" t="s">
        <v>1495</v>
      </c>
    </row>
    <row r="255" customFormat="false" ht="20.85" hidden="false" customHeight="false" outlineLevel="0" collapsed="false">
      <c r="A255" s="13" t="s">
        <v>1496</v>
      </c>
      <c r="B255" s="13" t="s">
        <v>1497</v>
      </c>
      <c r="C255" s="13" t="s">
        <v>1498</v>
      </c>
      <c r="D255" s="13" t="n">
        <v>2197</v>
      </c>
      <c r="E255" s="13" t="s">
        <v>1499</v>
      </c>
      <c r="F255" s="13" t="s">
        <v>1500</v>
      </c>
      <c r="G255" s="13" t="s">
        <v>70</v>
      </c>
      <c r="H255" s="13" t="s">
        <v>138</v>
      </c>
      <c r="I255" s="13" t="s">
        <v>72</v>
      </c>
      <c r="J255" s="14" t="s">
        <v>115</v>
      </c>
      <c r="K255" s="15" t="s">
        <v>74</v>
      </c>
      <c r="L255" s="14" t="s">
        <v>224</v>
      </c>
      <c r="M255" s="13" t="s">
        <v>76</v>
      </c>
      <c r="N255" s="14" t="s">
        <v>1501</v>
      </c>
    </row>
    <row r="256" customFormat="false" ht="20.85" hidden="false" customHeight="false" outlineLevel="0" collapsed="false">
      <c r="A256" s="13" t="s">
        <v>1502</v>
      </c>
      <c r="B256" s="13" t="s">
        <v>1503</v>
      </c>
      <c r="C256" s="13" t="s">
        <v>1504</v>
      </c>
      <c r="D256" s="13" t="n">
        <v>558</v>
      </c>
      <c r="E256" s="13" t="s">
        <v>1505</v>
      </c>
      <c r="F256" s="13" t="s">
        <v>1506</v>
      </c>
      <c r="G256" s="13" t="s">
        <v>106</v>
      </c>
      <c r="H256" s="13" t="s">
        <v>71</v>
      </c>
      <c r="I256" s="13" t="s">
        <v>72</v>
      </c>
      <c r="J256" s="14" t="s">
        <v>98</v>
      </c>
      <c r="K256" s="15" t="s">
        <v>74</v>
      </c>
      <c r="L256" s="14" t="s">
        <v>152</v>
      </c>
      <c r="M256" s="13" t="s">
        <v>76</v>
      </c>
      <c r="N256" s="14" t="s">
        <v>1507</v>
      </c>
    </row>
    <row r="257" customFormat="false" ht="15" hidden="false" customHeight="false" outlineLevel="0" collapsed="false">
      <c r="A257" s="13" t="s">
        <v>1508</v>
      </c>
      <c r="B257" s="13" t="s">
        <v>1503</v>
      </c>
      <c r="C257" s="13" t="s">
        <v>1509</v>
      </c>
      <c r="D257" s="13" t="n">
        <v>2054</v>
      </c>
      <c r="E257" s="13" t="s">
        <v>1510</v>
      </c>
      <c r="F257" s="13" t="s">
        <v>1511</v>
      </c>
      <c r="G257" s="13" t="s">
        <v>96</v>
      </c>
      <c r="H257" s="13" t="s">
        <v>71</v>
      </c>
      <c r="I257" s="13" t="s">
        <v>107</v>
      </c>
      <c r="J257" s="14" t="s">
        <v>73</v>
      </c>
      <c r="K257" s="16" t="s">
        <v>48</v>
      </c>
      <c r="L257" s="14" t="s">
        <v>108</v>
      </c>
      <c r="M257" s="13" t="s">
        <v>76</v>
      </c>
      <c r="N257" s="14" t="s">
        <v>1512</v>
      </c>
    </row>
    <row r="258" customFormat="false" ht="20.85" hidden="false" customHeight="false" outlineLevel="0" collapsed="false">
      <c r="A258" s="13" t="s">
        <v>1513</v>
      </c>
      <c r="B258" s="13" t="s">
        <v>1514</v>
      </c>
      <c r="C258" s="13" t="s">
        <v>1515</v>
      </c>
      <c r="D258" s="13" t="n">
        <v>2817</v>
      </c>
      <c r="E258" s="13" t="s">
        <v>1516</v>
      </c>
      <c r="F258" s="13" t="s">
        <v>1517</v>
      </c>
      <c r="G258" s="13" t="s">
        <v>146</v>
      </c>
      <c r="H258" s="13" t="s">
        <v>71</v>
      </c>
      <c r="I258" s="13" t="s">
        <v>72</v>
      </c>
      <c r="J258" s="14" t="s">
        <v>82</v>
      </c>
      <c r="K258" s="15" t="s">
        <v>74</v>
      </c>
      <c r="L258" s="14" t="s">
        <v>83</v>
      </c>
      <c r="M258" s="13" t="s">
        <v>76</v>
      </c>
      <c r="N258" s="14" t="s">
        <v>1518</v>
      </c>
    </row>
    <row r="259" customFormat="false" ht="20.85" hidden="false" customHeight="false" outlineLevel="0" collapsed="false">
      <c r="A259" s="13" t="s">
        <v>1519</v>
      </c>
      <c r="B259" s="13" t="s">
        <v>1520</v>
      </c>
      <c r="C259" s="13" t="s">
        <v>1521</v>
      </c>
      <c r="D259" s="13" t="n">
        <v>2653</v>
      </c>
      <c r="E259" s="13" t="s">
        <v>1522</v>
      </c>
      <c r="F259" s="13" t="s">
        <v>1523</v>
      </c>
      <c r="G259" s="13" t="s">
        <v>70</v>
      </c>
      <c r="H259" s="13" t="s">
        <v>71</v>
      </c>
      <c r="I259" s="13" t="s">
        <v>72</v>
      </c>
      <c r="J259" s="14" t="s">
        <v>73</v>
      </c>
      <c r="K259" s="15" t="s">
        <v>74</v>
      </c>
      <c r="L259" s="14" t="s">
        <v>75</v>
      </c>
      <c r="M259" s="13" t="s">
        <v>76</v>
      </c>
      <c r="N259" s="14" t="s">
        <v>1524</v>
      </c>
    </row>
    <row r="260" customFormat="false" ht="20.85" hidden="false" customHeight="false" outlineLevel="0" collapsed="false">
      <c r="A260" s="13" t="s">
        <v>1525</v>
      </c>
      <c r="B260" s="13" t="s">
        <v>1526</v>
      </c>
      <c r="C260" s="13" t="s">
        <v>1527</v>
      </c>
      <c r="D260" s="13" t="n">
        <v>605</v>
      </c>
      <c r="E260" s="13" t="s">
        <v>1528</v>
      </c>
      <c r="F260" s="13" t="s">
        <v>1529</v>
      </c>
      <c r="G260" s="13" t="s">
        <v>96</v>
      </c>
      <c r="H260" s="13" t="s">
        <v>123</v>
      </c>
      <c r="I260" s="13" t="s">
        <v>72</v>
      </c>
      <c r="J260" s="14" t="s">
        <v>115</v>
      </c>
      <c r="K260" s="15" t="s">
        <v>74</v>
      </c>
      <c r="L260" s="14" t="s">
        <v>464</v>
      </c>
      <c r="M260" s="13" t="s">
        <v>76</v>
      </c>
      <c r="N260" s="14" t="s">
        <v>1530</v>
      </c>
    </row>
    <row r="261" customFormat="false" ht="20.85" hidden="false" customHeight="false" outlineLevel="0" collapsed="false">
      <c r="A261" s="13" t="s">
        <v>1531</v>
      </c>
      <c r="B261" s="13" t="s">
        <v>1514</v>
      </c>
      <c r="C261" s="13" t="s">
        <v>1532</v>
      </c>
      <c r="D261" s="13" t="n">
        <v>550</v>
      </c>
      <c r="E261" s="13" t="s">
        <v>1533</v>
      </c>
      <c r="F261" s="13" t="s">
        <v>1071</v>
      </c>
      <c r="G261" s="13" t="s">
        <v>106</v>
      </c>
      <c r="H261" s="13" t="s">
        <v>71</v>
      </c>
      <c r="I261" s="13" t="s">
        <v>72</v>
      </c>
      <c r="J261" s="14" t="s">
        <v>73</v>
      </c>
      <c r="K261" s="15" t="s">
        <v>74</v>
      </c>
      <c r="L261" s="14" t="s">
        <v>75</v>
      </c>
      <c r="M261" s="13" t="s">
        <v>76</v>
      </c>
      <c r="N261" s="14" t="s">
        <v>1534</v>
      </c>
    </row>
    <row r="262" customFormat="false" ht="20.85" hidden="false" customHeight="false" outlineLevel="0" collapsed="false">
      <c r="A262" s="13" t="s">
        <v>1535</v>
      </c>
      <c r="B262" s="13" t="s">
        <v>1514</v>
      </c>
      <c r="C262" s="13" t="s">
        <v>1536</v>
      </c>
      <c r="D262" s="13" t="n">
        <v>1930</v>
      </c>
      <c r="E262" s="13" t="s">
        <v>1537</v>
      </c>
      <c r="F262" s="13" t="s">
        <v>1538</v>
      </c>
      <c r="G262" s="13" t="s">
        <v>70</v>
      </c>
      <c r="H262" s="13" t="s">
        <v>138</v>
      </c>
      <c r="I262" s="13" t="s">
        <v>72</v>
      </c>
      <c r="J262" s="14" t="s">
        <v>73</v>
      </c>
      <c r="K262" s="15" t="s">
        <v>74</v>
      </c>
      <c r="L262" s="14" t="s">
        <v>139</v>
      </c>
      <c r="M262" s="13" t="s">
        <v>76</v>
      </c>
      <c r="N262" s="14" t="s">
        <v>1539</v>
      </c>
    </row>
    <row r="263" customFormat="false" ht="20.85" hidden="false" customHeight="false" outlineLevel="0" collapsed="false">
      <c r="A263" s="13" t="s">
        <v>1540</v>
      </c>
      <c r="B263" s="13" t="s">
        <v>1541</v>
      </c>
      <c r="C263" s="13" t="s">
        <v>252</v>
      </c>
      <c r="D263" s="13" t="n">
        <v>2816</v>
      </c>
      <c r="E263" s="13" t="s">
        <v>253</v>
      </c>
      <c r="F263" s="13" t="s">
        <v>592</v>
      </c>
      <c r="G263" s="13" t="s">
        <v>106</v>
      </c>
      <c r="H263" s="13" t="s">
        <v>71</v>
      </c>
      <c r="I263" s="13" t="s">
        <v>72</v>
      </c>
      <c r="J263" s="14" t="s">
        <v>98</v>
      </c>
      <c r="K263" s="15" t="s">
        <v>74</v>
      </c>
      <c r="L263" s="14" t="s">
        <v>152</v>
      </c>
      <c r="M263" s="13" t="s">
        <v>76</v>
      </c>
      <c r="N263" s="14" t="s">
        <v>1542</v>
      </c>
    </row>
    <row r="264" customFormat="false" ht="20.85" hidden="false" customHeight="false" outlineLevel="0" collapsed="false">
      <c r="A264" s="13" t="s">
        <v>1543</v>
      </c>
      <c r="B264" s="13" t="s">
        <v>1544</v>
      </c>
      <c r="C264" s="13" t="s">
        <v>1545</v>
      </c>
      <c r="D264" s="13" t="n">
        <v>38</v>
      </c>
      <c r="E264" s="13" t="s">
        <v>1546</v>
      </c>
      <c r="F264" s="13" t="s">
        <v>1547</v>
      </c>
      <c r="G264" s="13" t="s">
        <v>90</v>
      </c>
      <c r="H264" s="13" t="s">
        <v>97</v>
      </c>
      <c r="I264" s="13" t="s">
        <v>72</v>
      </c>
      <c r="J264" s="14" t="s">
        <v>73</v>
      </c>
      <c r="K264" s="15" t="s">
        <v>74</v>
      </c>
      <c r="L264" s="14" t="s">
        <v>292</v>
      </c>
      <c r="M264" s="13" t="s">
        <v>76</v>
      </c>
      <c r="N264" s="14" t="s">
        <v>1548</v>
      </c>
    </row>
    <row r="265" customFormat="false" ht="20.85" hidden="false" customHeight="false" outlineLevel="0" collapsed="false">
      <c r="A265" s="13" t="s">
        <v>1549</v>
      </c>
      <c r="B265" s="13" t="s">
        <v>1550</v>
      </c>
      <c r="C265" s="13" t="s">
        <v>1551</v>
      </c>
      <c r="D265" s="13" t="n">
        <v>1306</v>
      </c>
      <c r="E265" s="13" t="s">
        <v>1552</v>
      </c>
      <c r="F265" s="13" t="s">
        <v>1553</v>
      </c>
      <c r="G265" s="13" t="s">
        <v>146</v>
      </c>
      <c r="H265" s="13" t="s">
        <v>97</v>
      </c>
      <c r="I265" s="13" t="s">
        <v>72</v>
      </c>
      <c r="J265" s="14" t="s">
        <v>82</v>
      </c>
      <c r="K265" s="15" t="s">
        <v>74</v>
      </c>
      <c r="L265" s="14" t="s">
        <v>131</v>
      </c>
      <c r="M265" s="13" t="s">
        <v>76</v>
      </c>
      <c r="N265" s="14" t="s">
        <v>1554</v>
      </c>
    </row>
    <row r="266" customFormat="false" ht="20.85" hidden="false" customHeight="false" outlineLevel="0" collapsed="false">
      <c r="A266" s="13" t="s">
        <v>1555</v>
      </c>
      <c r="B266" s="13" t="s">
        <v>1556</v>
      </c>
      <c r="C266" s="13" t="s">
        <v>1557</v>
      </c>
      <c r="D266" s="13" t="n">
        <v>139</v>
      </c>
      <c r="E266" s="13" t="s">
        <v>1558</v>
      </c>
      <c r="F266" s="13" t="s">
        <v>1559</v>
      </c>
      <c r="G266" s="13" t="s">
        <v>90</v>
      </c>
      <c r="H266" s="13" t="s">
        <v>71</v>
      </c>
      <c r="I266" s="13" t="s">
        <v>72</v>
      </c>
      <c r="J266" s="14" t="s">
        <v>98</v>
      </c>
      <c r="K266" s="15" t="s">
        <v>74</v>
      </c>
      <c r="L266" s="14" t="s">
        <v>152</v>
      </c>
      <c r="M266" s="13" t="s">
        <v>76</v>
      </c>
      <c r="N266" s="14" t="s">
        <v>1560</v>
      </c>
    </row>
    <row r="267" customFormat="false" ht="20.85" hidden="false" customHeight="false" outlineLevel="0" collapsed="false">
      <c r="A267" s="13" t="s">
        <v>1561</v>
      </c>
      <c r="B267" s="13" t="s">
        <v>1562</v>
      </c>
      <c r="C267" s="13" t="s">
        <v>1563</v>
      </c>
      <c r="D267" s="13" t="n">
        <v>2279</v>
      </c>
      <c r="E267" s="13" t="s">
        <v>1564</v>
      </c>
      <c r="F267" s="13" t="s">
        <v>627</v>
      </c>
      <c r="G267" s="13" t="s">
        <v>106</v>
      </c>
      <c r="H267" s="13" t="s">
        <v>71</v>
      </c>
      <c r="I267" s="13" t="s">
        <v>72</v>
      </c>
      <c r="J267" s="14" t="s">
        <v>82</v>
      </c>
      <c r="K267" s="15" t="s">
        <v>74</v>
      </c>
      <c r="L267" s="14" t="s">
        <v>83</v>
      </c>
      <c r="M267" s="13" t="s">
        <v>76</v>
      </c>
      <c r="N267" s="14" t="s">
        <v>1565</v>
      </c>
    </row>
    <row r="268" customFormat="false" ht="20.85" hidden="false" customHeight="false" outlineLevel="0" collapsed="false">
      <c r="A268" s="13" t="s">
        <v>1566</v>
      </c>
      <c r="B268" s="13" t="s">
        <v>1556</v>
      </c>
      <c r="C268" s="13" t="s">
        <v>1567</v>
      </c>
      <c r="D268" s="13" t="n">
        <v>2305</v>
      </c>
      <c r="E268" s="13" t="s">
        <v>1568</v>
      </c>
      <c r="F268" s="13" t="s">
        <v>1569</v>
      </c>
      <c r="G268" s="13" t="s">
        <v>90</v>
      </c>
      <c r="H268" s="13" t="s">
        <v>138</v>
      </c>
      <c r="I268" s="13" t="s">
        <v>72</v>
      </c>
      <c r="J268" s="14" t="s">
        <v>98</v>
      </c>
      <c r="K268" s="15" t="s">
        <v>74</v>
      </c>
      <c r="L268" s="14" t="s">
        <v>165</v>
      </c>
      <c r="M268" s="13" t="s">
        <v>76</v>
      </c>
      <c r="N268" s="14" t="s">
        <v>1570</v>
      </c>
    </row>
    <row r="269" customFormat="false" ht="20.85" hidden="false" customHeight="false" outlineLevel="0" collapsed="false">
      <c r="A269" s="13" t="s">
        <v>1571</v>
      </c>
      <c r="B269" s="13" t="s">
        <v>1572</v>
      </c>
      <c r="C269" s="13" t="s">
        <v>1573</v>
      </c>
      <c r="D269" s="13" t="n">
        <v>1417</v>
      </c>
      <c r="E269" s="13" t="s">
        <v>1574</v>
      </c>
      <c r="F269" s="13" t="s">
        <v>1575</v>
      </c>
      <c r="G269" s="13" t="s">
        <v>90</v>
      </c>
      <c r="H269" s="13" t="s">
        <v>138</v>
      </c>
      <c r="I269" s="13" t="s">
        <v>72</v>
      </c>
      <c r="J269" s="14" t="s">
        <v>73</v>
      </c>
      <c r="K269" s="15" t="s">
        <v>74</v>
      </c>
      <c r="L269" s="14" t="s">
        <v>139</v>
      </c>
      <c r="M269" s="13" t="s">
        <v>76</v>
      </c>
      <c r="N269" s="14" t="s">
        <v>1576</v>
      </c>
    </row>
    <row r="270" customFormat="false" ht="20.85" hidden="false" customHeight="false" outlineLevel="0" collapsed="false">
      <c r="A270" s="13" t="s">
        <v>1577</v>
      </c>
      <c r="B270" s="13" t="s">
        <v>1578</v>
      </c>
      <c r="C270" s="13" t="s">
        <v>1579</v>
      </c>
      <c r="D270" s="13" t="n">
        <v>84</v>
      </c>
      <c r="E270" s="13" t="s">
        <v>1580</v>
      </c>
      <c r="F270" s="13" t="s">
        <v>1581</v>
      </c>
      <c r="G270" s="13" t="s">
        <v>146</v>
      </c>
      <c r="H270" s="13" t="s">
        <v>138</v>
      </c>
      <c r="I270" s="13" t="s">
        <v>72</v>
      </c>
      <c r="J270" s="14" t="s">
        <v>115</v>
      </c>
      <c r="K270" s="15" t="s">
        <v>74</v>
      </c>
      <c r="L270" s="14" t="s">
        <v>224</v>
      </c>
      <c r="M270" s="13" t="s">
        <v>76</v>
      </c>
      <c r="N270" s="14" t="s">
        <v>1582</v>
      </c>
    </row>
    <row r="271" customFormat="false" ht="20.85" hidden="false" customHeight="false" outlineLevel="0" collapsed="false">
      <c r="A271" s="13" t="s">
        <v>1583</v>
      </c>
      <c r="B271" s="13" t="s">
        <v>1584</v>
      </c>
      <c r="C271" s="13" t="s">
        <v>1585</v>
      </c>
      <c r="D271" s="13" t="n">
        <v>2306</v>
      </c>
      <c r="E271" s="13" t="s">
        <v>1586</v>
      </c>
      <c r="F271" s="13" t="s">
        <v>1587</v>
      </c>
      <c r="G271" s="13" t="s">
        <v>146</v>
      </c>
      <c r="H271" s="13" t="s">
        <v>138</v>
      </c>
      <c r="I271" s="13" t="s">
        <v>72</v>
      </c>
      <c r="J271" s="14" t="s">
        <v>115</v>
      </c>
      <c r="K271" s="15" t="s">
        <v>74</v>
      </c>
      <c r="L271" s="14" t="s">
        <v>224</v>
      </c>
      <c r="M271" s="13" t="s">
        <v>76</v>
      </c>
      <c r="N271" s="14" t="s">
        <v>1588</v>
      </c>
    </row>
    <row r="272" customFormat="false" ht="20.85" hidden="false" customHeight="false" outlineLevel="0" collapsed="false">
      <c r="A272" s="13" t="s">
        <v>1589</v>
      </c>
      <c r="B272" s="13" t="s">
        <v>1590</v>
      </c>
      <c r="C272" s="13" t="s">
        <v>1591</v>
      </c>
      <c r="D272" s="13" t="n">
        <v>283</v>
      </c>
      <c r="E272" s="13" t="s">
        <v>1592</v>
      </c>
      <c r="F272" s="13" t="s">
        <v>1593</v>
      </c>
      <c r="G272" s="13" t="s">
        <v>146</v>
      </c>
      <c r="H272" s="13" t="s">
        <v>71</v>
      </c>
      <c r="I272" s="13" t="s">
        <v>72</v>
      </c>
      <c r="J272" s="14" t="s">
        <v>82</v>
      </c>
      <c r="K272" s="15" t="s">
        <v>74</v>
      </c>
      <c r="L272" s="14" t="s">
        <v>83</v>
      </c>
      <c r="M272" s="13" t="s">
        <v>76</v>
      </c>
      <c r="N272" s="14" t="s">
        <v>1594</v>
      </c>
    </row>
    <row r="273" customFormat="false" ht="20.85" hidden="false" customHeight="false" outlineLevel="0" collapsed="false">
      <c r="A273" s="13" t="s">
        <v>1595</v>
      </c>
      <c r="B273" s="13" t="s">
        <v>1578</v>
      </c>
      <c r="C273" s="13" t="s">
        <v>1596</v>
      </c>
      <c r="D273" s="13" t="n">
        <v>1766</v>
      </c>
      <c r="E273" s="13" t="s">
        <v>1597</v>
      </c>
      <c r="F273" s="13" t="s">
        <v>1598</v>
      </c>
      <c r="G273" s="13" t="s">
        <v>146</v>
      </c>
      <c r="H273" s="13" t="s">
        <v>97</v>
      </c>
      <c r="I273" s="13" t="s">
        <v>72</v>
      </c>
      <c r="J273" s="14" t="s">
        <v>82</v>
      </c>
      <c r="K273" s="15" t="s">
        <v>74</v>
      </c>
      <c r="L273" s="14" t="s">
        <v>131</v>
      </c>
      <c r="M273" s="13" t="s">
        <v>76</v>
      </c>
      <c r="N273" s="14" t="s">
        <v>1599</v>
      </c>
    </row>
    <row r="274" customFormat="false" ht="20.85" hidden="false" customHeight="false" outlineLevel="0" collapsed="false">
      <c r="A274" s="13" t="s">
        <v>1600</v>
      </c>
      <c r="B274" s="13" t="s">
        <v>1584</v>
      </c>
      <c r="C274" s="13" t="s">
        <v>1601</v>
      </c>
      <c r="D274" s="13" t="n">
        <v>2088</v>
      </c>
      <c r="E274" s="13" t="s">
        <v>1602</v>
      </c>
      <c r="F274" s="13" t="s">
        <v>1603</v>
      </c>
      <c r="G274" s="13" t="s">
        <v>146</v>
      </c>
      <c r="H274" s="13" t="s">
        <v>138</v>
      </c>
      <c r="I274" s="13" t="s">
        <v>72</v>
      </c>
      <c r="J274" s="14" t="s">
        <v>73</v>
      </c>
      <c r="K274" s="15" t="s">
        <v>74</v>
      </c>
      <c r="L274" s="14" t="s">
        <v>139</v>
      </c>
      <c r="M274" s="13" t="s">
        <v>76</v>
      </c>
      <c r="N274" s="14" t="s">
        <v>1604</v>
      </c>
    </row>
    <row r="275" customFormat="false" ht="20.85" hidden="false" customHeight="false" outlineLevel="0" collapsed="false">
      <c r="A275" s="13" t="s">
        <v>1605</v>
      </c>
      <c r="B275" s="13" t="s">
        <v>1606</v>
      </c>
      <c r="C275" s="13" t="s">
        <v>1607</v>
      </c>
      <c r="D275" s="13" t="n">
        <v>2139</v>
      </c>
      <c r="E275" s="13" t="s">
        <v>1608</v>
      </c>
      <c r="F275" s="13" t="s">
        <v>1609</v>
      </c>
      <c r="G275" s="13" t="s">
        <v>90</v>
      </c>
      <c r="H275" s="13" t="s">
        <v>138</v>
      </c>
      <c r="I275" s="13" t="s">
        <v>72</v>
      </c>
      <c r="J275" s="14" t="s">
        <v>115</v>
      </c>
      <c r="K275" s="15" t="s">
        <v>74</v>
      </c>
      <c r="L275" s="14" t="s">
        <v>224</v>
      </c>
      <c r="M275" s="13" t="s">
        <v>76</v>
      </c>
      <c r="N275" s="14" t="s">
        <v>1610</v>
      </c>
    </row>
    <row r="276" customFormat="false" ht="20.85" hidden="false" customHeight="false" outlineLevel="0" collapsed="false">
      <c r="A276" s="13" t="s">
        <v>1611</v>
      </c>
      <c r="B276" s="13" t="s">
        <v>1612</v>
      </c>
      <c r="C276" s="13" t="s">
        <v>1613</v>
      </c>
      <c r="D276" s="13" t="n">
        <v>1120</v>
      </c>
      <c r="E276" s="13" t="s">
        <v>1614</v>
      </c>
      <c r="F276" s="13" t="s">
        <v>1615</v>
      </c>
      <c r="G276" s="13" t="s">
        <v>70</v>
      </c>
      <c r="H276" s="13" t="s">
        <v>71</v>
      </c>
      <c r="I276" s="13" t="s">
        <v>72</v>
      </c>
      <c r="J276" s="14" t="s">
        <v>82</v>
      </c>
      <c r="K276" s="15" t="s">
        <v>74</v>
      </c>
      <c r="L276" s="14" t="s">
        <v>83</v>
      </c>
      <c r="M276" s="13" t="s">
        <v>76</v>
      </c>
      <c r="N276" s="14" t="s">
        <v>1616</v>
      </c>
    </row>
    <row r="277" customFormat="false" ht="20.85" hidden="false" customHeight="false" outlineLevel="0" collapsed="false">
      <c r="A277" s="13" t="s">
        <v>1617</v>
      </c>
      <c r="B277" s="13" t="s">
        <v>1618</v>
      </c>
      <c r="C277" s="13" t="s">
        <v>1619</v>
      </c>
      <c r="D277" s="13" t="n">
        <v>1353</v>
      </c>
      <c r="E277" s="13" t="s">
        <v>1620</v>
      </c>
      <c r="F277" s="13" t="s">
        <v>1621</v>
      </c>
      <c r="G277" s="13" t="s">
        <v>70</v>
      </c>
      <c r="H277" s="13" t="s">
        <v>123</v>
      </c>
      <c r="I277" s="13" t="s">
        <v>72</v>
      </c>
      <c r="J277" s="14" t="s">
        <v>82</v>
      </c>
      <c r="K277" s="15" t="s">
        <v>74</v>
      </c>
      <c r="L277" s="14" t="s">
        <v>269</v>
      </c>
      <c r="M277" s="13" t="s">
        <v>76</v>
      </c>
      <c r="N277" s="14" t="s">
        <v>1622</v>
      </c>
    </row>
    <row r="278" customFormat="false" ht="20.85" hidden="false" customHeight="false" outlineLevel="0" collapsed="false">
      <c r="A278" s="13" t="s">
        <v>1623</v>
      </c>
      <c r="B278" s="13" t="s">
        <v>1624</v>
      </c>
      <c r="C278" s="13" t="s">
        <v>1625</v>
      </c>
      <c r="D278" s="13" t="n">
        <v>1504</v>
      </c>
      <c r="E278" s="13" t="s">
        <v>1626</v>
      </c>
      <c r="F278" s="13" t="s">
        <v>1627</v>
      </c>
      <c r="G278" s="13" t="s">
        <v>146</v>
      </c>
      <c r="H278" s="13" t="s">
        <v>97</v>
      </c>
      <c r="I278" s="13" t="s">
        <v>72</v>
      </c>
      <c r="J278" s="14" t="s">
        <v>82</v>
      </c>
      <c r="K278" s="15" t="s">
        <v>74</v>
      </c>
      <c r="L278" s="14" t="s">
        <v>131</v>
      </c>
      <c r="M278" s="13" t="s">
        <v>76</v>
      </c>
      <c r="N278" s="14" t="s">
        <v>1628</v>
      </c>
    </row>
    <row r="279" customFormat="false" ht="20.85" hidden="false" customHeight="false" outlineLevel="0" collapsed="false">
      <c r="A279" s="13" t="s">
        <v>1629</v>
      </c>
      <c r="B279" s="13" t="s">
        <v>1630</v>
      </c>
      <c r="C279" s="13" t="s">
        <v>414</v>
      </c>
      <c r="D279" s="13" t="n">
        <v>1706</v>
      </c>
      <c r="E279" s="13" t="s">
        <v>415</v>
      </c>
      <c r="F279" s="13" t="s">
        <v>1631</v>
      </c>
      <c r="G279" s="13" t="s">
        <v>90</v>
      </c>
      <c r="H279" s="13" t="s">
        <v>97</v>
      </c>
      <c r="I279" s="13" t="s">
        <v>72</v>
      </c>
      <c r="J279" s="14" t="s">
        <v>115</v>
      </c>
      <c r="K279" s="15" t="s">
        <v>74</v>
      </c>
      <c r="L279" s="14" t="s">
        <v>387</v>
      </c>
      <c r="M279" s="13" t="s">
        <v>76</v>
      </c>
      <c r="N279" s="14" t="s">
        <v>1632</v>
      </c>
    </row>
    <row r="280" customFormat="false" ht="20.85" hidden="false" customHeight="false" outlineLevel="0" collapsed="false">
      <c r="A280" s="13" t="s">
        <v>1633</v>
      </c>
      <c r="B280" s="13" t="s">
        <v>1634</v>
      </c>
      <c r="C280" s="13" t="s">
        <v>1635</v>
      </c>
      <c r="D280" s="13" t="n">
        <v>288</v>
      </c>
      <c r="E280" s="13" t="s">
        <v>1636</v>
      </c>
      <c r="F280" s="13" t="s">
        <v>1637</v>
      </c>
      <c r="G280" s="13" t="s">
        <v>96</v>
      </c>
      <c r="H280" s="13" t="s">
        <v>138</v>
      </c>
      <c r="I280" s="13" t="s">
        <v>72</v>
      </c>
      <c r="J280" s="14" t="s">
        <v>82</v>
      </c>
      <c r="K280" s="15" t="s">
        <v>74</v>
      </c>
      <c r="L280" s="14" t="s">
        <v>262</v>
      </c>
      <c r="M280" s="13" t="s">
        <v>76</v>
      </c>
      <c r="N280" s="14" t="s">
        <v>1638</v>
      </c>
    </row>
    <row r="281" customFormat="false" ht="20.85" hidden="false" customHeight="false" outlineLevel="0" collapsed="false">
      <c r="A281" s="13" t="s">
        <v>1639</v>
      </c>
      <c r="B281" s="13" t="s">
        <v>1640</v>
      </c>
      <c r="C281" s="13" t="s">
        <v>1641</v>
      </c>
      <c r="D281" s="13" t="n">
        <v>1639</v>
      </c>
      <c r="E281" s="13" t="s">
        <v>1642</v>
      </c>
      <c r="F281" s="13" t="s">
        <v>1643</v>
      </c>
      <c r="G281" s="13" t="s">
        <v>70</v>
      </c>
      <c r="H281" s="13" t="s">
        <v>71</v>
      </c>
      <c r="I281" s="13" t="s">
        <v>72</v>
      </c>
      <c r="J281" s="14" t="s">
        <v>115</v>
      </c>
      <c r="K281" s="15" t="s">
        <v>74</v>
      </c>
      <c r="L281" s="14" t="s">
        <v>116</v>
      </c>
      <c r="M281" s="13" t="s">
        <v>76</v>
      </c>
      <c r="N281" s="14" t="s">
        <v>1644</v>
      </c>
    </row>
    <row r="282" customFormat="false" ht="20.85" hidden="false" customHeight="false" outlineLevel="0" collapsed="false">
      <c r="A282" s="13" t="s">
        <v>1645</v>
      </c>
      <c r="B282" s="13" t="s">
        <v>1646</v>
      </c>
      <c r="C282" s="13" t="s">
        <v>1647</v>
      </c>
      <c r="D282" s="13" t="n">
        <v>2754</v>
      </c>
      <c r="E282" s="13" t="s">
        <v>1648</v>
      </c>
      <c r="F282" s="13" t="s">
        <v>1649</v>
      </c>
      <c r="G282" s="13" t="s">
        <v>70</v>
      </c>
      <c r="H282" s="13" t="s">
        <v>97</v>
      </c>
      <c r="I282" s="13" t="s">
        <v>72</v>
      </c>
      <c r="J282" s="14" t="s">
        <v>82</v>
      </c>
      <c r="K282" s="15" t="s">
        <v>74</v>
      </c>
      <c r="L282" s="14" t="s">
        <v>131</v>
      </c>
      <c r="M282" s="13" t="s">
        <v>76</v>
      </c>
      <c r="N282" s="14" t="s">
        <v>1650</v>
      </c>
    </row>
    <row r="283" customFormat="false" ht="20.85" hidden="false" customHeight="false" outlineLevel="0" collapsed="false">
      <c r="A283" s="13" t="s">
        <v>1651</v>
      </c>
      <c r="B283" s="13" t="s">
        <v>1652</v>
      </c>
      <c r="C283" s="13" t="s">
        <v>1653</v>
      </c>
      <c r="D283" s="13" t="n">
        <v>205</v>
      </c>
      <c r="E283" s="13" t="s">
        <v>1654</v>
      </c>
      <c r="F283" s="13" t="s">
        <v>1655</v>
      </c>
      <c r="G283" s="13" t="s">
        <v>90</v>
      </c>
      <c r="H283" s="13" t="s">
        <v>123</v>
      </c>
      <c r="I283" s="13" t="s">
        <v>72</v>
      </c>
      <c r="J283" s="14" t="s">
        <v>98</v>
      </c>
      <c r="K283" s="15" t="s">
        <v>74</v>
      </c>
      <c r="L283" s="14" t="s">
        <v>124</v>
      </c>
      <c r="M283" s="13" t="s">
        <v>76</v>
      </c>
      <c r="N283" s="14" t="s">
        <v>1656</v>
      </c>
    </row>
    <row r="284" customFormat="false" ht="20.85" hidden="false" customHeight="false" outlineLevel="0" collapsed="false">
      <c r="A284" s="13" t="s">
        <v>1657</v>
      </c>
      <c r="B284" s="13" t="s">
        <v>1658</v>
      </c>
      <c r="C284" s="13" t="s">
        <v>1659</v>
      </c>
      <c r="D284" s="13" t="n">
        <v>2607</v>
      </c>
      <c r="E284" s="13" t="s">
        <v>1660</v>
      </c>
      <c r="F284" s="13" t="s">
        <v>1661</v>
      </c>
      <c r="G284" s="13" t="s">
        <v>70</v>
      </c>
      <c r="H284" s="13" t="s">
        <v>97</v>
      </c>
      <c r="I284" s="13" t="s">
        <v>72</v>
      </c>
      <c r="J284" s="14" t="s">
        <v>73</v>
      </c>
      <c r="K284" s="15" t="s">
        <v>74</v>
      </c>
      <c r="L284" s="14" t="s">
        <v>292</v>
      </c>
      <c r="M284" s="13" t="s">
        <v>76</v>
      </c>
      <c r="N284" s="14" t="s">
        <v>1662</v>
      </c>
    </row>
    <row r="285" customFormat="false" ht="15" hidden="false" customHeight="false" outlineLevel="0" collapsed="false">
      <c r="A285" s="13" t="s">
        <v>1663</v>
      </c>
      <c r="B285" s="13" t="s">
        <v>1664</v>
      </c>
      <c r="C285" s="13" t="s">
        <v>1665</v>
      </c>
      <c r="D285" s="13" t="n">
        <v>2896</v>
      </c>
      <c r="E285" s="13" t="s">
        <v>1666</v>
      </c>
      <c r="F285" s="13" t="s">
        <v>309</v>
      </c>
      <c r="G285" s="13" t="s">
        <v>70</v>
      </c>
      <c r="H285" s="13" t="s">
        <v>71</v>
      </c>
      <c r="I285" s="13" t="s">
        <v>107</v>
      </c>
      <c r="J285" s="14" t="s">
        <v>98</v>
      </c>
      <c r="K285" s="16" t="s">
        <v>48</v>
      </c>
      <c r="L285" s="14" t="s">
        <v>108</v>
      </c>
      <c r="M285" s="13" t="s">
        <v>76</v>
      </c>
      <c r="N285" s="14" t="s">
        <v>1667</v>
      </c>
    </row>
    <row r="286" customFormat="false" ht="20.85" hidden="false" customHeight="false" outlineLevel="0" collapsed="false">
      <c r="A286" s="13" t="s">
        <v>1668</v>
      </c>
      <c r="B286" s="13" t="s">
        <v>1669</v>
      </c>
      <c r="C286" s="13" t="s">
        <v>1670</v>
      </c>
      <c r="D286" s="13" t="n">
        <v>2247</v>
      </c>
      <c r="E286" s="13" t="s">
        <v>1671</v>
      </c>
      <c r="F286" s="13" t="s">
        <v>1637</v>
      </c>
      <c r="G286" s="13" t="s">
        <v>96</v>
      </c>
      <c r="H286" s="13" t="s">
        <v>71</v>
      </c>
      <c r="I286" s="13" t="s">
        <v>72</v>
      </c>
      <c r="J286" s="14" t="s">
        <v>73</v>
      </c>
      <c r="K286" s="15" t="s">
        <v>74</v>
      </c>
      <c r="L286" s="14" t="s">
        <v>75</v>
      </c>
      <c r="M286" s="13" t="s">
        <v>76</v>
      </c>
      <c r="N286" s="14" t="s">
        <v>1672</v>
      </c>
    </row>
    <row r="287" customFormat="false" ht="20.85" hidden="false" customHeight="false" outlineLevel="0" collapsed="false">
      <c r="A287" s="13" t="s">
        <v>1673</v>
      </c>
      <c r="B287" s="13" t="s">
        <v>1674</v>
      </c>
      <c r="C287" s="13" t="s">
        <v>1675</v>
      </c>
      <c r="D287" s="13" t="n">
        <v>1671</v>
      </c>
      <c r="E287" s="13" t="s">
        <v>1676</v>
      </c>
      <c r="F287" s="13" t="s">
        <v>1677</v>
      </c>
      <c r="G287" s="13" t="s">
        <v>70</v>
      </c>
      <c r="H287" s="13" t="s">
        <v>71</v>
      </c>
      <c r="I287" s="13" t="s">
        <v>72</v>
      </c>
      <c r="J287" s="14" t="s">
        <v>115</v>
      </c>
      <c r="K287" s="15" t="s">
        <v>74</v>
      </c>
      <c r="L287" s="14" t="s">
        <v>116</v>
      </c>
      <c r="M287" s="13" t="s">
        <v>76</v>
      </c>
      <c r="N287" s="14" t="s">
        <v>1678</v>
      </c>
    </row>
    <row r="288" customFormat="false" ht="20.85" hidden="false" customHeight="false" outlineLevel="0" collapsed="false">
      <c r="A288" s="13" t="s">
        <v>1679</v>
      </c>
      <c r="B288" s="13" t="s">
        <v>1680</v>
      </c>
      <c r="C288" s="13" t="s">
        <v>1681</v>
      </c>
      <c r="D288" s="13" t="n">
        <v>404</v>
      </c>
      <c r="E288" s="13" t="s">
        <v>1682</v>
      </c>
      <c r="F288" s="13" t="s">
        <v>1683</v>
      </c>
      <c r="G288" s="13" t="s">
        <v>96</v>
      </c>
      <c r="H288" s="13" t="s">
        <v>97</v>
      </c>
      <c r="I288" s="13" t="s">
        <v>72</v>
      </c>
      <c r="J288" s="14" t="s">
        <v>82</v>
      </c>
      <c r="K288" s="15" t="s">
        <v>74</v>
      </c>
      <c r="L288" s="14" t="s">
        <v>131</v>
      </c>
      <c r="M288" s="13" t="s">
        <v>76</v>
      </c>
      <c r="N288" s="14" t="s">
        <v>1684</v>
      </c>
    </row>
    <row r="289" customFormat="false" ht="20.85" hidden="false" customHeight="false" outlineLevel="0" collapsed="false">
      <c r="A289" s="13" t="s">
        <v>1685</v>
      </c>
      <c r="B289" s="13" t="s">
        <v>1658</v>
      </c>
      <c r="C289" s="13" t="s">
        <v>1686</v>
      </c>
      <c r="D289" s="13" t="n">
        <v>299</v>
      </c>
      <c r="E289" s="13" t="s">
        <v>1687</v>
      </c>
      <c r="F289" s="13" t="s">
        <v>985</v>
      </c>
      <c r="G289" s="13" t="s">
        <v>90</v>
      </c>
      <c r="H289" s="13" t="s">
        <v>97</v>
      </c>
      <c r="I289" s="13" t="s">
        <v>72</v>
      </c>
      <c r="J289" s="14" t="s">
        <v>73</v>
      </c>
      <c r="K289" s="15" t="s">
        <v>74</v>
      </c>
      <c r="L289" s="14" t="s">
        <v>292</v>
      </c>
      <c r="M289" s="13" t="s">
        <v>76</v>
      </c>
      <c r="N289" s="14" t="s">
        <v>1688</v>
      </c>
    </row>
    <row r="290" customFormat="false" ht="20.85" hidden="false" customHeight="false" outlineLevel="0" collapsed="false">
      <c r="A290" s="13" t="s">
        <v>1689</v>
      </c>
      <c r="B290" s="13" t="s">
        <v>1674</v>
      </c>
      <c r="C290" s="13" t="s">
        <v>1690</v>
      </c>
      <c r="D290" s="13" t="n">
        <v>2152</v>
      </c>
      <c r="E290" s="13" t="s">
        <v>1691</v>
      </c>
      <c r="F290" s="13" t="s">
        <v>416</v>
      </c>
      <c r="G290" s="13" t="s">
        <v>70</v>
      </c>
      <c r="H290" s="13" t="s">
        <v>123</v>
      </c>
      <c r="I290" s="13" t="s">
        <v>72</v>
      </c>
      <c r="J290" s="14" t="s">
        <v>73</v>
      </c>
      <c r="K290" s="15" t="s">
        <v>74</v>
      </c>
      <c r="L290" s="14" t="s">
        <v>255</v>
      </c>
      <c r="M290" s="13" t="s">
        <v>76</v>
      </c>
      <c r="N290" s="14" t="s">
        <v>1692</v>
      </c>
    </row>
    <row r="291" customFormat="false" ht="20.85" hidden="false" customHeight="false" outlineLevel="0" collapsed="false">
      <c r="A291" s="13" t="s">
        <v>1693</v>
      </c>
      <c r="B291" s="13" t="s">
        <v>1694</v>
      </c>
      <c r="C291" s="13" t="s">
        <v>1695</v>
      </c>
      <c r="D291" s="13" t="n">
        <v>255</v>
      </c>
      <c r="E291" s="13" t="s">
        <v>1696</v>
      </c>
      <c r="F291" s="13" t="s">
        <v>1697</v>
      </c>
      <c r="G291" s="13" t="s">
        <v>106</v>
      </c>
      <c r="H291" s="13" t="s">
        <v>97</v>
      </c>
      <c r="I291" s="13" t="s">
        <v>72</v>
      </c>
      <c r="J291" s="14" t="s">
        <v>98</v>
      </c>
      <c r="K291" s="15" t="s">
        <v>74</v>
      </c>
      <c r="L291" s="14" t="s">
        <v>99</v>
      </c>
      <c r="M291" s="13" t="s">
        <v>76</v>
      </c>
      <c r="N291" s="14" t="s">
        <v>1698</v>
      </c>
    </row>
    <row r="292" customFormat="false" ht="20.85" hidden="false" customHeight="false" outlineLevel="0" collapsed="false">
      <c r="A292" s="13" t="s">
        <v>1699</v>
      </c>
      <c r="B292" s="13" t="s">
        <v>1700</v>
      </c>
      <c r="C292" s="13" t="s">
        <v>1701</v>
      </c>
      <c r="D292" s="13" t="n">
        <v>109</v>
      </c>
      <c r="E292" s="13" t="s">
        <v>1702</v>
      </c>
      <c r="F292" s="13" t="s">
        <v>1703</v>
      </c>
      <c r="G292" s="13" t="s">
        <v>70</v>
      </c>
      <c r="H292" s="13" t="s">
        <v>123</v>
      </c>
      <c r="I292" s="13" t="s">
        <v>72</v>
      </c>
      <c r="J292" s="14" t="s">
        <v>115</v>
      </c>
      <c r="K292" s="15" t="s">
        <v>74</v>
      </c>
      <c r="L292" s="14" t="s">
        <v>464</v>
      </c>
      <c r="M292" s="13" t="s">
        <v>76</v>
      </c>
      <c r="N292" s="14" t="s">
        <v>1704</v>
      </c>
    </row>
    <row r="293" customFormat="false" ht="20.85" hidden="false" customHeight="false" outlineLevel="0" collapsed="false">
      <c r="A293" s="13" t="s">
        <v>1705</v>
      </c>
      <c r="B293" s="13" t="s">
        <v>1706</v>
      </c>
      <c r="C293" s="13" t="s">
        <v>1707</v>
      </c>
      <c r="D293" s="13" t="n">
        <v>1315</v>
      </c>
      <c r="E293" s="13" t="s">
        <v>1708</v>
      </c>
      <c r="F293" s="13" t="s">
        <v>828</v>
      </c>
      <c r="G293" s="13" t="s">
        <v>146</v>
      </c>
      <c r="H293" s="13" t="s">
        <v>97</v>
      </c>
      <c r="I293" s="13" t="s">
        <v>72</v>
      </c>
      <c r="J293" s="14" t="s">
        <v>82</v>
      </c>
      <c r="K293" s="15" t="s">
        <v>74</v>
      </c>
      <c r="L293" s="14" t="s">
        <v>131</v>
      </c>
      <c r="M293" s="13" t="s">
        <v>76</v>
      </c>
      <c r="N293" s="14" t="s">
        <v>1709</v>
      </c>
    </row>
    <row r="294" customFormat="false" ht="20.85" hidden="false" customHeight="false" outlineLevel="0" collapsed="false">
      <c r="A294" s="13" t="s">
        <v>1710</v>
      </c>
      <c r="B294" s="13" t="s">
        <v>1711</v>
      </c>
      <c r="C294" s="13" t="s">
        <v>1712</v>
      </c>
      <c r="D294" s="13" t="n">
        <v>2078</v>
      </c>
      <c r="E294" s="13" t="s">
        <v>1713</v>
      </c>
      <c r="F294" s="13" t="s">
        <v>1714</v>
      </c>
      <c r="G294" s="13" t="s">
        <v>96</v>
      </c>
      <c r="H294" s="13" t="s">
        <v>138</v>
      </c>
      <c r="I294" s="13" t="s">
        <v>72</v>
      </c>
      <c r="J294" s="14" t="s">
        <v>115</v>
      </c>
      <c r="K294" s="15" t="s">
        <v>74</v>
      </c>
      <c r="L294" s="14" t="s">
        <v>224</v>
      </c>
      <c r="M294" s="13" t="s">
        <v>76</v>
      </c>
      <c r="N294" s="14" t="s">
        <v>1715</v>
      </c>
    </row>
    <row r="295" customFormat="false" ht="20.85" hidden="false" customHeight="false" outlineLevel="0" collapsed="false">
      <c r="A295" s="13" t="s">
        <v>1716</v>
      </c>
      <c r="B295" s="13" t="s">
        <v>1717</v>
      </c>
      <c r="C295" s="13" t="s">
        <v>1718</v>
      </c>
      <c r="D295" s="13" t="n">
        <v>954</v>
      </c>
      <c r="E295" s="13" t="s">
        <v>1719</v>
      </c>
      <c r="F295" s="13" t="s">
        <v>1720</v>
      </c>
      <c r="G295" s="13" t="s">
        <v>146</v>
      </c>
      <c r="H295" s="13" t="s">
        <v>123</v>
      </c>
      <c r="I295" s="13" t="s">
        <v>72</v>
      </c>
      <c r="J295" s="14" t="s">
        <v>73</v>
      </c>
      <c r="K295" s="15" t="s">
        <v>74</v>
      </c>
      <c r="L295" s="14" t="s">
        <v>255</v>
      </c>
      <c r="M295" s="13" t="s">
        <v>76</v>
      </c>
      <c r="N295" s="14" t="s">
        <v>1721</v>
      </c>
    </row>
    <row r="296" customFormat="false" ht="20.85" hidden="false" customHeight="false" outlineLevel="0" collapsed="false">
      <c r="A296" s="13" t="s">
        <v>1722</v>
      </c>
      <c r="B296" s="13" t="s">
        <v>1723</v>
      </c>
      <c r="C296" s="13" t="s">
        <v>1724</v>
      </c>
      <c r="D296" s="13" t="n">
        <v>1098</v>
      </c>
      <c r="E296" s="13" t="s">
        <v>1725</v>
      </c>
      <c r="F296" s="13" t="s">
        <v>1726</v>
      </c>
      <c r="G296" s="13" t="s">
        <v>96</v>
      </c>
      <c r="H296" s="13" t="s">
        <v>71</v>
      </c>
      <c r="I296" s="13" t="s">
        <v>72</v>
      </c>
      <c r="J296" s="14" t="s">
        <v>98</v>
      </c>
      <c r="K296" s="15" t="s">
        <v>74</v>
      </c>
      <c r="L296" s="14" t="s">
        <v>152</v>
      </c>
      <c r="M296" s="13" t="s">
        <v>76</v>
      </c>
      <c r="N296" s="14" t="s">
        <v>1727</v>
      </c>
    </row>
    <row r="297" customFormat="false" ht="20.85" hidden="false" customHeight="false" outlineLevel="0" collapsed="false">
      <c r="A297" s="13" t="s">
        <v>1728</v>
      </c>
      <c r="B297" s="13" t="s">
        <v>1729</v>
      </c>
      <c r="C297" s="13" t="s">
        <v>1730</v>
      </c>
      <c r="D297" s="13" t="n">
        <v>256</v>
      </c>
      <c r="E297" s="13" t="s">
        <v>1731</v>
      </c>
      <c r="F297" s="13" t="s">
        <v>1732</v>
      </c>
      <c r="G297" s="13" t="s">
        <v>70</v>
      </c>
      <c r="H297" s="13" t="s">
        <v>97</v>
      </c>
      <c r="I297" s="13" t="s">
        <v>72</v>
      </c>
      <c r="J297" s="14" t="s">
        <v>115</v>
      </c>
      <c r="K297" s="15" t="s">
        <v>74</v>
      </c>
      <c r="L297" s="14" t="s">
        <v>387</v>
      </c>
      <c r="M297" s="13" t="s">
        <v>76</v>
      </c>
      <c r="N297" s="14" t="s">
        <v>1733</v>
      </c>
    </row>
    <row r="298" customFormat="false" ht="15" hidden="false" customHeight="false" outlineLevel="0" collapsed="false">
      <c r="A298" s="13" t="s">
        <v>1734</v>
      </c>
      <c r="B298" s="13" t="s">
        <v>1735</v>
      </c>
      <c r="C298" s="13" t="s">
        <v>1736</v>
      </c>
      <c r="D298" s="13" t="n">
        <v>936</v>
      </c>
      <c r="E298" s="13" t="s">
        <v>1737</v>
      </c>
      <c r="F298" s="13" t="s">
        <v>1738</v>
      </c>
      <c r="G298" s="13" t="s">
        <v>96</v>
      </c>
      <c r="H298" s="13" t="s">
        <v>97</v>
      </c>
      <c r="I298" s="13" t="s">
        <v>107</v>
      </c>
      <c r="J298" s="14" t="s">
        <v>98</v>
      </c>
      <c r="K298" s="16" t="s">
        <v>48</v>
      </c>
      <c r="L298" s="14" t="s">
        <v>1267</v>
      </c>
      <c r="M298" s="13" t="s">
        <v>76</v>
      </c>
      <c r="N298" s="14" t="s">
        <v>1739</v>
      </c>
    </row>
    <row r="299" customFormat="false" ht="20.85" hidden="false" customHeight="false" outlineLevel="0" collapsed="false">
      <c r="A299" s="13" t="s">
        <v>1740</v>
      </c>
      <c r="B299" s="13" t="s">
        <v>1741</v>
      </c>
      <c r="C299" s="13" t="s">
        <v>1742</v>
      </c>
      <c r="D299" s="13" t="n">
        <v>2690</v>
      </c>
      <c r="E299" s="13" t="s">
        <v>760</v>
      </c>
      <c r="F299" s="13" t="s">
        <v>1743</v>
      </c>
      <c r="G299" s="13" t="s">
        <v>96</v>
      </c>
      <c r="H299" s="13" t="s">
        <v>71</v>
      </c>
      <c r="I299" s="13" t="s">
        <v>72</v>
      </c>
      <c r="J299" s="14" t="s">
        <v>98</v>
      </c>
      <c r="K299" s="15" t="s">
        <v>74</v>
      </c>
      <c r="L299" s="14" t="s">
        <v>152</v>
      </c>
      <c r="M299" s="13" t="s">
        <v>76</v>
      </c>
      <c r="N299" s="14" t="s">
        <v>1744</v>
      </c>
    </row>
    <row r="300" customFormat="false" ht="20.85" hidden="false" customHeight="false" outlineLevel="0" collapsed="false">
      <c r="A300" s="13" t="s">
        <v>1745</v>
      </c>
      <c r="B300" s="13" t="s">
        <v>1746</v>
      </c>
      <c r="C300" s="13" t="s">
        <v>1747</v>
      </c>
      <c r="D300" s="13" t="n">
        <v>2787</v>
      </c>
      <c r="E300" s="13" t="s">
        <v>1748</v>
      </c>
      <c r="F300" s="13" t="s">
        <v>1749</v>
      </c>
      <c r="G300" s="13" t="s">
        <v>90</v>
      </c>
      <c r="H300" s="13" t="s">
        <v>138</v>
      </c>
      <c r="I300" s="13" t="s">
        <v>72</v>
      </c>
      <c r="J300" s="14" t="s">
        <v>115</v>
      </c>
      <c r="K300" s="15" t="s">
        <v>74</v>
      </c>
      <c r="L300" s="14" t="s">
        <v>224</v>
      </c>
      <c r="M300" s="13" t="s">
        <v>76</v>
      </c>
      <c r="N300" s="14" t="s">
        <v>1750</v>
      </c>
    </row>
    <row r="301" customFormat="false" ht="20.85" hidden="false" customHeight="false" outlineLevel="0" collapsed="false">
      <c r="A301" s="13" t="s">
        <v>1751</v>
      </c>
      <c r="B301" s="13" t="s">
        <v>1741</v>
      </c>
      <c r="C301" s="13" t="s">
        <v>1340</v>
      </c>
      <c r="D301" s="13" t="n">
        <v>843</v>
      </c>
      <c r="E301" s="13" t="s">
        <v>1341</v>
      </c>
      <c r="F301" s="13" t="s">
        <v>1752</v>
      </c>
      <c r="G301" s="13" t="s">
        <v>96</v>
      </c>
      <c r="H301" s="13" t="s">
        <v>97</v>
      </c>
      <c r="I301" s="13" t="s">
        <v>72</v>
      </c>
      <c r="J301" s="14" t="s">
        <v>115</v>
      </c>
      <c r="K301" s="15" t="s">
        <v>74</v>
      </c>
      <c r="L301" s="14" t="s">
        <v>387</v>
      </c>
      <c r="M301" s="13" t="s">
        <v>76</v>
      </c>
      <c r="N301" s="14" t="s">
        <v>1753</v>
      </c>
    </row>
    <row r="302" customFormat="false" ht="20.85" hidden="false" customHeight="false" outlineLevel="0" collapsed="false">
      <c r="A302" s="13" t="s">
        <v>1754</v>
      </c>
      <c r="B302" s="13" t="s">
        <v>1755</v>
      </c>
      <c r="C302" s="13" t="s">
        <v>1756</v>
      </c>
      <c r="D302" s="13" t="n">
        <v>982</v>
      </c>
      <c r="E302" s="13" t="s">
        <v>1757</v>
      </c>
      <c r="F302" s="13" t="s">
        <v>1287</v>
      </c>
      <c r="G302" s="13" t="s">
        <v>90</v>
      </c>
      <c r="H302" s="13" t="s">
        <v>71</v>
      </c>
      <c r="I302" s="13" t="s">
        <v>72</v>
      </c>
      <c r="J302" s="14" t="s">
        <v>73</v>
      </c>
      <c r="K302" s="15" t="s">
        <v>74</v>
      </c>
      <c r="L302" s="14" t="s">
        <v>75</v>
      </c>
      <c r="M302" s="13" t="s">
        <v>76</v>
      </c>
      <c r="N302" s="14" t="s">
        <v>1758</v>
      </c>
    </row>
    <row r="303" customFormat="false" ht="20.85" hidden="false" customHeight="false" outlineLevel="0" collapsed="false">
      <c r="A303" s="13" t="s">
        <v>1759</v>
      </c>
      <c r="B303" s="13" t="s">
        <v>1760</v>
      </c>
      <c r="C303" s="13" t="s">
        <v>779</v>
      </c>
      <c r="D303" s="13" t="n">
        <v>1013</v>
      </c>
      <c r="E303" s="13" t="s">
        <v>780</v>
      </c>
      <c r="F303" s="13" t="s">
        <v>1761</v>
      </c>
      <c r="G303" s="13" t="s">
        <v>146</v>
      </c>
      <c r="H303" s="13" t="s">
        <v>97</v>
      </c>
      <c r="I303" s="13" t="s">
        <v>72</v>
      </c>
      <c r="J303" s="14" t="s">
        <v>98</v>
      </c>
      <c r="K303" s="15" t="s">
        <v>74</v>
      </c>
      <c r="L303" s="14" t="s">
        <v>99</v>
      </c>
      <c r="M303" s="13" t="s">
        <v>76</v>
      </c>
      <c r="N303" s="14" t="s">
        <v>1762</v>
      </c>
    </row>
    <row r="304" customFormat="false" ht="20.85" hidden="false" customHeight="false" outlineLevel="0" collapsed="false">
      <c r="A304" s="13" t="s">
        <v>1763</v>
      </c>
      <c r="B304" s="13" t="s">
        <v>1764</v>
      </c>
      <c r="C304" s="13" t="s">
        <v>1765</v>
      </c>
      <c r="D304" s="13" t="n">
        <v>2071</v>
      </c>
      <c r="E304" s="13" t="s">
        <v>1766</v>
      </c>
      <c r="F304" s="13" t="s">
        <v>1218</v>
      </c>
      <c r="G304" s="13" t="s">
        <v>146</v>
      </c>
      <c r="H304" s="13" t="s">
        <v>71</v>
      </c>
      <c r="I304" s="13" t="s">
        <v>72</v>
      </c>
      <c r="J304" s="14" t="s">
        <v>98</v>
      </c>
      <c r="K304" s="15" t="s">
        <v>74</v>
      </c>
      <c r="L304" s="14" t="s">
        <v>152</v>
      </c>
      <c r="M304" s="13" t="s">
        <v>76</v>
      </c>
      <c r="N304" s="14" t="s">
        <v>1767</v>
      </c>
    </row>
    <row r="305" customFormat="false" ht="20.85" hidden="false" customHeight="false" outlineLevel="0" collapsed="false">
      <c r="A305" s="13" t="s">
        <v>1768</v>
      </c>
      <c r="B305" s="13" t="s">
        <v>1769</v>
      </c>
      <c r="C305" s="13" t="s">
        <v>1770</v>
      </c>
      <c r="D305" s="13" t="n">
        <v>2106</v>
      </c>
      <c r="E305" s="13" t="s">
        <v>1771</v>
      </c>
      <c r="F305" s="13" t="s">
        <v>1772</v>
      </c>
      <c r="G305" s="13" t="s">
        <v>70</v>
      </c>
      <c r="H305" s="13" t="s">
        <v>97</v>
      </c>
      <c r="I305" s="13" t="s">
        <v>72</v>
      </c>
      <c r="J305" s="14" t="s">
        <v>115</v>
      </c>
      <c r="K305" s="15" t="s">
        <v>74</v>
      </c>
      <c r="L305" s="14" t="s">
        <v>387</v>
      </c>
      <c r="M305" s="13" t="s">
        <v>76</v>
      </c>
      <c r="N305" s="14" t="s">
        <v>1773</v>
      </c>
    </row>
    <row r="306" customFormat="false" ht="20.85" hidden="false" customHeight="false" outlineLevel="0" collapsed="false">
      <c r="A306" s="13" t="s">
        <v>1774</v>
      </c>
      <c r="B306" s="13" t="s">
        <v>1775</v>
      </c>
      <c r="C306" s="13" t="s">
        <v>1776</v>
      </c>
      <c r="D306" s="13" t="n">
        <v>2260</v>
      </c>
      <c r="E306" s="13" t="s">
        <v>1777</v>
      </c>
      <c r="F306" s="13" t="s">
        <v>1778</v>
      </c>
      <c r="G306" s="13" t="s">
        <v>106</v>
      </c>
      <c r="H306" s="13" t="s">
        <v>123</v>
      </c>
      <c r="I306" s="13" t="s">
        <v>72</v>
      </c>
      <c r="J306" s="14" t="s">
        <v>73</v>
      </c>
      <c r="K306" s="15" t="s">
        <v>74</v>
      </c>
      <c r="L306" s="14" t="s">
        <v>255</v>
      </c>
      <c r="M306" s="13" t="s">
        <v>76</v>
      </c>
      <c r="N306" s="14" t="s">
        <v>1779</v>
      </c>
    </row>
    <row r="307" customFormat="false" ht="20.85" hidden="false" customHeight="false" outlineLevel="0" collapsed="false">
      <c r="A307" s="13" t="s">
        <v>1780</v>
      </c>
      <c r="B307" s="13" t="s">
        <v>1781</v>
      </c>
      <c r="C307" s="13" t="s">
        <v>1782</v>
      </c>
      <c r="D307" s="13" t="n">
        <v>1358</v>
      </c>
      <c r="E307" s="13" t="s">
        <v>1783</v>
      </c>
      <c r="F307" s="13" t="s">
        <v>1784</v>
      </c>
      <c r="G307" s="13" t="s">
        <v>70</v>
      </c>
      <c r="H307" s="13" t="s">
        <v>138</v>
      </c>
      <c r="I307" s="13" t="s">
        <v>72</v>
      </c>
      <c r="J307" s="14" t="s">
        <v>115</v>
      </c>
      <c r="K307" s="15" t="s">
        <v>74</v>
      </c>
      <c r="L307" s="14" t="s">
        <v>224</v>
      </c>
      <c r="M307" s="13" t="s">
        <v>76</v>
      </c>
      <c r="N307" s="14" t="s">
        <v>1785</v>
      </c>
    </row>
    <row r="308" customFormat="false" ht="20.85" hidden="false" customHeight="false" outlineLevel="0" collapsed="false">
      <c r="A308" s="13" t="s">
        <v>1786</v>
      </c>
      <c r="B308" s="13" t="s">
        <v>1787</v>
      </c>
      <c r="C308" s="13" t="s">
        <v>1788</v>
      </c>
      <c r="D308" s="13" t="n">
        <v>2397</v>
      </c>
      <c r="E308" s="13" t="s">
        <v>1789</v>
      </c>
      <c r="F308" s="13" t="s">
        <v>416</v>
      </c>
      <c r="G308" s="13" t="s">
        <v>70</v>
      </c>
      <c r="H308" s="13" t="s">
        <v>138</v>
      </c>
      <c r="I308" s="13" t="s">
        <v>72</v>
      </c>
      <c r="J308" s="14" t="s">
        <v>115</v>
      </c>
      <c r="K308" s="15" t="s">
        <v>74</v>
      </c>
      <c r="L308" s="14" t="s">
        <v>224</v>
      </c>
      <c r="M308" s="13" t="s">
        <v>76</v>
      </c>
      <c r="N308" s="14" t="s">
        <v>1790</v>
      </c>
    </row>
    <row r="309" customFormat="false" ht="20.85" hidden="false" customHeight="false" outlineLevel="0" collapsed="false">
      <c r="A309" s="13" t="s">
        <v>1791</v>
      </c>
      <c r="B309" s="13" t="s">
        <v>1792</v>
      </c>
      <c r="C309" s="13" t="s">
        <v>1793</v>
      </c>
      <c r="D309" s="13" t="n">
        <v>1900</v>
      </c>
      <c r="E309" s="13" t="s">
        <v>1794</v>
      </c>
      <c r="F309" s="13" t="s">
        <v>1795</v>
      </c>
      <c r="G309" s="13" t="s">
        <v>90</v>
      </c>
      <c r="H309" s="13" t="s">
        <v>123</v>
      </c>
      <c r="I309" s="13" t="s">
        <v>72</v>
      </c>
      <c r="J309" s="14" t="s">
        <v>82</v>
      </c>
      <c r="K309" s="15" t="s">
        <v>74</v>
      </c>
      <c r="L309" s="14" t="s">
        <v>269</v>
      </c>
      <c r="M309" s="13" t="s">
        <v>76</v>
      </c>
      <c r="N309" s="14" t="s">
        <v>1796</v>
      </c>
    </row>
    <row r="310" customFormat="false" ht="20.85" hidden="false" customHeight="false" outlineLevel="0" collapsed="false">
      <c r="A310" s="13" t="s">
        <v>1797</v>
      </c>
      <c r="B310" s="13" t="s">
        <v>1798</v>
      </c>
      <c r="C310" s="13" t="s">
        <v>1799</v>
      </c>
      <c r="D310" s="13" t="n">
        <v>1436</v>
      </c>
      <c r="E310" s="13" t="s">
        <v>1800</v>
      </c>
      <c r="F310" s="13" t="s">
        <v>1801</v>
      </c>
      <c r="G310" s="13" t="s">
        <v>146</v>
      </c>
      <c r="H310" s="13" t="s">
        <v>123</v>
      </c>
      <c r="I310" s="13" t="s">
        <v>72</v>
      </c>
      <c r="J310" s="14" t="s">
        <v>115</v>
      </c>
      <c r="K310" s="15" t="s">
        <v>74</v>
      </c>
      <c r="L310" s="14" t="s">
        <v>464</v>
      </c>
      <c r="M310" s="13" t="s">
        <v>76</v>
      </c>
      <c r="N310" s="14" t="s">
        <v>1802</v>
      </c>
    </row>
    <row r="311" customFormat="false" ht="20.85" hidden="false" customHeight="false" outlineLevel="0" collapsed="false">
      <c r="A311" s="13" t="s">
        <v>1803</v>
      </c>
      <c r="B311" s="13" t="s">
        <v>1769</v>
      </c>
      <c r="C311" s="13" t="s">
        <v>1804</v>
      </c>
      <c r="D311" s="13" t="n">
        <v>722</v>
      </c>
      <c r="E311" s="13" t="s">
        <v>1805</v>
      </c>
      <c r="F311" s="13" t="s">
        <v>1806</v>
      </c>
      <c r="G311" s="13" t="s">
        <v>96</v>
      </c>
      <c r="H311" s="13" t="s">
        <v>97</v>
      </c>
      <c r="I311" s="13" t="s">
        <v>72</v>
      </c>
      <c r="J311" s="14" t="s">
        <v>73</v>
      </c>
      <c r="K311" s="15" t="s">
        <v>74</v>
      </c>
      <c r="L311" s="14" t="s">
        <v>292</v>
      </c>
      <c r="M311" s="13" t="s">
        <v>76</v>
      </c>
      <c r="N311" s="14" t="s">
        <v>1807</v>
      </c>
    </row>
    <row r="312" customFormat="false" ht="20.85" hidden="false" customHeight="false" outlineLevel="0" collapsed="false">
      <c r="A312" s="13" t="s">
        <v>1808</v>
      </c>
      <c r="B312" s="13" t="s">
        <v>1809</v>
      </c>
      <c r="C312" s="13" t="s">
        <v>1810</v>
      </c>
      <c r="D312" s="13" t="n">
        <v>2059</v>
      </c>
      <c r="E312" s="13" t="s">
        <v>1811</v>
      </c>
      <c r="F312" s="13" t="s">
        <v>1812</v>
      </c>
      <c r="G312" s="13" t="s">
        <v>90</v>
      </c>
      <c r="H312" s="13" t="s">
        <v>97</v>
      </c>
      <c r="I312" s="13" t="s">
        <v>72</v>
      </c>
      <c r="J312" s="14" t="s">
        <v>98</v>
      </c>
      <c r="K312" s="15" t="s">
        <v>74</v>
      </c>
      <c r="L312" s="14" t="s">
        <v>99</v>
      </c>
      <c r="M312" s="13" t="s">
        <v>76</v>
      </c>
      <c r="N312" s="14" t="s">
        <v>1813</v>
      </c>
    </row>
    <row r="313" customFormat="false" ht="30.55" hidden="false" customHeight="false" outlineLevel="0" collapsed="false">
      <c r="A313" s="13" t="s">
        <v>1814</v>
      </c>
      <c r="B313" s="13" t="s">
        <v>239</v>
      </c>
      <c r="C313" s="13" t="s">
        <v>1815</v>
      </c>
      <c r="D313" s="13" t="n">
        <v>1618</v>
      </c>
      <c r="E313" s="13" t="s">
        <v>1816</v>
      </c>
      <c r="F313" s="13" t="s">
        <v>1817</v>
      </c>
      <c r="G313" s="13" t="s">
        <v>90</v>
      </c>
      <c r="H313" s="13" t="s">
        <v>71</v>
      </c>
      <c r="I313" s="13" t="s">
        <v>107</v>
      </c>
      <c r="J313" s="14" t="s">
        <v>1818</v>
      </c>
      <c r="K313" s="16" t="s">
        <v>48</v>
      </c>
      <c r="L313" s="14" t="s">
        <v>1819</v>
      </c>
      <c r="M313" s="13" t="s">
        <v>76</v>
      </c>
      <c r="N313" s="14" t="s">
        <v>1820</v>
      </c>
    </row>
    <row r="314" customFormat="false" ht="30.55" hidden="false" customHeight="false" outlineLevel="0" collapsed="false">
      <c r="A314" s="13" t="s">
        <v>1821</v>
      </c>
      <c r="B314" s="13" t="s">
        <v>646</v>
      </c>
      <c r="C314" s="13" t="s">
        <v>1822</v>
      </c>
      <c r="D314" s="13" t="n">
        <v>2044</v>
      </c>
      <c r="E314" s="13" t="s">
        <v>1823</v>
      </c>
      <c r="F314" s="13" t="s">
        <v>1824</v>
      </c>
      <c r="G314" s="13" t="s">
        <v>96</v>
      </c>
      <c r="H314" s="13" t="s">
        <v>123</v>
      </c>
      <c r="I314" s="13" t="s">
        <v>107</v>
      </c>
      <c r="J314" s="14" t="s">
        <v>1818</v>
      </c>
      <c r="K314" s="16" t="s">
        <v>48</v>
      </c>
      <c r="L314" s="14" t="s">
        <v>1825</v>
      </c>
      <c r="M314" s="13" t="s">
        <v>76</v>
      </c>
      <c r="N314" s="14" t="s">
        <v>1826</v>
      </c>
    </row>
    <row r="315" customFormat="false" ht="30.55" hidden="false" customHeight="false" outlineLevel="0" collapsed="false">
      <c r="A315" s="13" t="s">
        <v>1827</v>
      </c>
      <c r="B315" s="13" t="s">
        <v>1828</v>
      </c>
      <c r="C315" s="13" t="s">
        <v>826</v>
      </c>
      <c r="D315" s="13" t="n">
        <v>2390</v>
      </c>
      <c r="E315" s="13" t="s">
        <v>827</v>
      </c>
      <c r="F315" s="13" t="s">
        <v>1829</v>
      </c>
      <c r="G315" s="13" t="s">
        <v>146</v>
      </c>
      <c r="H315" s="13" t="s">
        <v>138</v>
      </c>
      <c r="I315" s="13" t="s">
        <v>107</v>
      </c>
      <c r="J315" s="14" t="s">
        <v>1818</v>
      </c>
      <c r="K315" s="16" t="s">
        <v>48</v>
      </c>
      <c r="L315" s="14" t="s">
        <v>1830</v>
      </c>
      <c r="M315" s="13" t="s">
        <v>76</v>
      </c>
      <c r="N315" s="14" t="s">
        <v>1831</v>
      </c>
    </row>
    <row r="316" customFormat="false" ht="20.85" hidden="false" customHeight="false" outlineLevel="0" collapsed="false">
      <c r="A316" s="13" t="s">
        <v>1832</v>
      </c>
      <c r="B316" s="13" t="s">
        <v>1833</v>
      </c>
      <c r="C316" s="13" t="s">
        <v>1834</v>
      </c>
      <c r="D316" s="13" t="n">
        <v>1877</v>
      </c>
      <c r="E316" s="13" t="s">
        <v>1835</v>
      </c>
      <c r="F316" s="13" t="s">
        <v>1836</v>
      </c>
      <c r="G316" s="13" t="s">
        <v>90</v>
      </c>
      <c r="H316" s="13" t="s">
        <v>71</v>
      </c>
      <c r="I316" s="13" t="s">
        <v>72</v>
      </c>
      <c r="J316" s="14" t="s">
        <v>115</v>
      </c>
      <c r="K316" s="16" t="s">
        <v>49</v>
      </c>
      <c r="L316" s="14" t="s">
        <v>1837</v>
      </c>
      <c r="M316" s="13" t="s">
        <v>76</v>
      </c>
      <c r="N316" s="14" t="s">
        <v>1838</v>
      </c>
    </row>
    <row r="317" customFormat="false" ht="30.55" hidden="false" customHeight="false" outlineLevel="0" collapsed="false">
      <c r="A317" s="13" t="s">
        <v>1839</v>
      </c>
      <c r="B317" s="13" t="s">
        <v>1388</v>
      </c>
      <c r="C317" s="13" t="s">
        <v>1840</v>
      </c>
      <c r="D317" s="13" t="n">
        <v>2102</v>
      </c>
      <c r="E317" s="13" t="s">
        <v>1841</v>
      </c>
      <c r="F317" s="13" t="s">
        <v>1842</v>
      </c>
      <c r="G317" s="13" t="s">
        <v>70</v>
      </c>
      <c r="H317" s="13" t="s">
        <v>123</v>
      </c>
      <c r="I317" s="13" t="s">
        <v>72</v>
      </c>
      <c r="J317" s="14" t="s">
        <v>73</v>
      </c>
      <c r="K317" s="16" t="s">
        <v>49</v>
      </c>
      <c r="L317" s="14" t="s">
        <v>1843</v>
      </c>
      <c r="M317" s="13" t="s">
        <v>76</v>
      </c>
      <c r="N317" s="14" t="s">
        <v>1844</v>
      </c>
    </row>
  </sheetData>
  <autoFilter ref="A8:N317"/>
  <mergeCells count="3">
    <mergeCell ref="A1:N1"/>
    <mergeCell ref="A2:N2"/>
    <mergeCell ref="A3:N3"/>
  </mergeCells>
  <printOptions headings="false" gridLines="false" gridLinesSet="true" horizontalCentered="false" verticalCentered="false"/>
  <pageMargins left="0.25" right="0.25" top="0.45" bottom="0.45" header="0.511811023622047" footer="0.179861111111111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&amp;K5e6b75Chaldale Harbor District | Moorage audit | August 1, 2026&amp;R&amp;8 &amp;K5e6b75Page &amp;P of &amp;N</oddFooter>
  </headerFooter>
  <rowBreaks count="3" manualBreakCount="3">
    <brk id="86" man="true" max="16383" min="0"/>
    <brk id="164" man="true" max="16383" min="0"/>
    <brk id="242" man="true" max="16383" min="0"/>
  </rowBreaks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0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true" outlineLevel="0" max="3" min="3" style="0" width="12"/>
    <col collapsed="false" customWidth="true" hidden="true" outlineLevel="0" max="4" min="4" style="0" width="11"/>
    <col collapsed="false" customWidth="true" hidden="true" outlineLevel="0" max="5" min="5" style="0" width="14"/>
    <col collapsed="false" customWidth="true" hidden="false" outlineLevel="0" max="6" min="6" style="0" width="22"/>
    <col collapsed="false" customWidth="true" hidden="true" outlineLevel="0" max="7" min="7" style="0" width="21"/>
    <col collapsed="false" customWidth="true" hidden="false" outlineLevel="0" max="9" min="8" style="0" width="13"/>
    <col collapsed="false" customWidth="true" hidden="true" outlineLevel="0" max="10" min="10" style="0" width="21"/>
    <col collapsed="false" customWidth="true" hidden="true" outlineLevel="0" max="11" min="11" style="0" width="11"/>
    <col collapsed="false" customWidth="true" hidden="tru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true" outlineLevel="0" max="15" min="15" style="0" width="14"/>
    <col collapsed="false" customWidth="true" hidden="false" outlineLevel="0" max="17" min="16" style="0" width="16"/>
    <col collapsed="false" customWidth="true" hidden="false" outlineLevel="0" max="18" min="18" style="0" width="20"/>
    <col collapsed="false" customWidth="true" hidden="true" outlineLevel="0" max="19" min="19" style="0" width="32"/>
  </cols>
  <sheetData>
    <row r="1" customFormat="false" ht="30" hidden="false" customHeight="true" outlineLevel="0" collapsed="false">
      <c r="A1" s="1" t="s">
        <v>1845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7" hidden="false" customHeight="true" outlineLevel="0" collapsed="false">
      <c r="A2" s="2" t="s">
        <v>1846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33.75" hidden="false" customHeight="true" outlineLevel="0" collapsed="false">
      <c r="A3" s="10" t="s">
        <v>1847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customFormat="false" ht="30.75" hidden="false" customHeight="true" outlineLevel="0" collapsed="false">
      <c r="A4" s="17" t="s">
        <v>1848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customFormat="false" ht="15" hidden="false" customHeight="false" outlineLevel="0" collapsed="false">
      <c r="A5" s="11" t="s">
        <v>1849</v>
      </c>
      <c r="F5" s="11" t="s">
        <v>1850</v>
      </c>
      <c r="H5" s="11" t="s">
        <v>1851</v>
      </c>
      <c r="M5" s="11" t="s">
        <v>1852</v>
      </c>
      <c r="P5" s="11" t="s">
        <v>1853</v>
      </c>
    </row>
    <row r="6" customFormat="false" ht="15" hidden="false" customHeight="false" outlineLevel="0" collapsed="false">
      <c r="B6" s="12" t="n">
        <f aca="false">COUNTA(A9:A2000)</f>
        <v>1086</v>
      </c>
      <c r="F6" s="12" t="n">
        <f aca="false">COUNTIFS(A9:A2000,"&lt;&gt;",R9:R2000,"&lt;&gt;MISSING BILL")</f>
        <v>769</v>
      </c>
      <c r="H6" s="12" t="n">
        <f aca="false">COUNTIF(R9:R2000,"MISSING BILL")</f>
        <v>317</v>
      </c>
      <c r="M6" s="12" t="n">
        <f aca="false">COUNTIF(R9:R2000,"CALCULATION ERROR")</f>
        <v>0</v>
      </c>
      <c r="P6" s="18" t="n">
        <f aca="false">SUM(Q9:Q2000)</f>
        <v>120158.25</v>
      </c>
    </row>
    <row r="8" customFormat="false" ht="30" hidden="false" customHeight="true" outlineLevel="0" collapsed="false">
      <c r="A8" s="4" t="s">
        <v>1854</v>
      </c>
      <c r="B8" s="4" t="s">
        <v>57</v>
      </c>
      <c r="C8" s="4" t="s">
        <v>1855</v>
      </c>
      <c r="D8" s="4" t="s">
        <v>1856</v>
      </c>
      <c r="E8" s="4" t="s">
        <v>1857</v>
      </c>
      <c r="F8" s="4" t="s">
        <v>1858</v>
      </c>
      <c r="G8" s="4" t="s">
        <v>1859</v>
      </c>
      <c r="H8" s="4" t="s">
        <v>1860</v>
      </c>
      <c r="I8" s="4" t="s">
        <v>1861</v>
      </c>
      <c r="J8" s="4" t="s">
        <v>1862</v>
      </c>
      <c r="K8" s="4" t="s">
        <v>1863</v>
      </c>
      <c r="L8" s="4" t="s">
        <v>1864</v>
      </c>
      <c r="M8" s="19" t="s">
        <v>1865</v>
      </c>
      <c r="N8" s="19" t="s">
        <v>1866</v>
      </c>
      <c r="O8" s="4" t="s">
        <v>1867</v>
      </c>
      <c r="P8" s="19" t="s">
        <v>1868</v>
      </c>
      <c r="Q8" s="19" t="s">
        <v>1853</v>
      </c>
      <c r="R8" s="19" t="s">
        <v>1869</v>
      </c>
      <c r="S8" s="4" t="s">
        <v>1870</v>
      </c>
    </row>
    <row r="9" customFormat="false" ht="15" hidden="false" customHeight="false" outlineLevel="0" collapsed="false">
      <c r="A9" s="13" t="s">
        <v>1871</v>
      </c>
      <c r="B9" s="13" t="s">
        <v>90</v>
      </c>
      <c r="C9" s="13" t="s">
        <v>1872</v>
      </c>
      <c r="D9" s="13" t="s">
        <v>1873</v>
      </c>
      <c r="E9" s="13" t="s">
        <v>1874</v>
      </c>
      <c r="F9" s="14" t="s">
        <v>1875</v>
      </c>
      <c r="G9" s="14" t="s">
        <v>1876</v>
      </c>
      <c r="H9" s="20" t="n">
        <v>36.5</v>
      </c>
      <c r="I9" s="13" t="n">
        <v>60</v>
      </c>
      <c r="J9" s="13"/>
      <c r="K9" s="13"/>
      <c r="L9" s="21"/>
      <c r="M9" s="21" t="n">
        <f aca="false">IF(C9="covered",10.4,7.55)</f>
        <v>7.55</v>
      </c>
      <c r="N9" s="13" t="n">
        <f aca="false">MAX(ROUNDUP(H9,0),I9)</f>
        <v>60</v>
      </c>
      <c r="O9" s="21"/>
      <c r="P9" s="21" t="n">
        <f aca="false">ROUND(M9*N9,2)</f>
        <v>453</v>
      </c>
      <c r="Q9" s="21" t="n">
        <f aca="false">ROUND(P9-IF(O9="",0,O9),2)</f>
        <v>453</v>
      </c>
      <c r="R9" s="14" t="str">
        <f aca="false">IF(J9="","MISSING BILL",IF(AND(K9=N9,ABS(L9-M9)&lt;0.001,ABS(O9-P9)&lt;0.01),"RECONCILED","CALCULATION ERROR"))</f>
        <v>MISSING BILL</v>
      </c>
      <c r="S9" s="22" t="s">
        <v>1877</v>
      </c>
    </row>
    <row r="10" customFormat="false" ht="15" hidden="false" customHeight="false" outlineLevel="0" collapsed="false">
      <c r="A10" s="13" t="s">
        <v>1878</v>
      </c>
      <c r="B10" s="13" t="s">
        <v>90</v>
      </c>
      <c r="C10" s="13" t="s">
        <v>1872</v>
      </c>
      <c r="D10" s="13" t="s">
        <v>1873</v>
      </c>
      <c r="E10" s="13" t="s">
        <v>1879</v>
      </c>
      <c r="F10" s="14" t="s">
        <v>1880</v>
      </c>
      <c r="G10" s="14" t="s">
        <v>1881</v>
      </c>
      <c r="H10" s="20" t="n">
        <v>43.9</v>
      </c>
      <c r="I10" s="13" t="n">
        <v>32</v>
      </c>
      <c r="J10" s="13"/>
      <c r="K10" s="13"/>
      <c r="L10" s="21"/>
      <c r="M10" s="21" t="n">
        <f aca="false">IF(C10="covered",10.4,7.55)</f>
        <v>7.55</v>
      </c>
      <c r="N10" s="13" t="n">
        <f aca="false">MAX(ROUNDUP(H10,0),I10)</f>
        <v>44</v>
      </c>
      <c r="O10" s="21"/>
      <c r="P10" s="21" t="n">
        <f aca="false">ROUND(M10*N10,2)</f>
        <v>332.2</v>
      </c>
      <c r="Q10" s="21" t="n">
        <f aca="false">ROUND(P10-IF(O10="",0,O10),2)</f>
        <v>332.2</v>
      </c>
      <c r="R10" s="14" t="str">
        <f aca="false">IF(J10="","MISSING BILL",IF(AND(K10=N10,ABS(L10-M10)&lt;0.001,ABS(O10-P10)&lt;0.01),"RECONCILED","CALCULATION ERROR"))</f>
        <v>MISSING BILL</v>
      </c>
      <c r="S10" s="22" t="s">
        <v>1877</v>
      </c>
    </row>
    <row r="11" customFormat="false" ht="15" hidden="false" customHeight="false" outlineLevel="0" collapsed="false">
      <c r="A11" s="13" t="s">
        <v>1882</v>
      </c>
      <c r="B11" s="13" t="s">
        <v>90</v>
      </c>
      <c r="C11" s="13" t="s">
        <v>1872</v>
      </c>
      <c r="D11" s="13" t="s">
        <v>1873</v>
      </c>
      <c r="E11" s="13" t="s">
        <v>1883</v>
      </c>
      <c r="F11" s="14" t="s">
        <v>1884</v>
      </c>
      <c r="G11" s="14" t="s">
        <v>1885</v>
      </c>
      <c r="H11" s="20" t="n">
        <v>25.2</v>
      </c>
      <c r="I11" s="13" t="n">
        <v>50</v>
      </c>
      <c r="J11" s="13"/>
      <c r="K11" s="13"/>
      <c r="L11" s="21"/>
      <c r="M11" s="21" t="n">
        <f aca="false">IF(C11="covered",10.4,7.55)</f>
        <v>7.55</v>
      </c>
      <c r="N11" s="13" t="n">
        <f aca="false">MAX(ROUNDUP(H11,0),I11)</f>
        <v>50</v>
      </c>
      <c r="O11" s="21"/>
      <c r="P11" s="21" t="n">
        <f aca="false">ROUND(M11*N11,2)</f>
        <v>377.5</v>
      </c>
      <c r="Q11" s="21" t="n">
        <f aca="false">ROUND(P11-IF(O11="",0,O11),2)</f>
        <v>377.5</v>
      </c>
      <c r="R11" s="14" t="str">
        <f aca="false">IF(J11="","MISSING BILL",IF(AND(K11=N11,ABS(L11-M11)&lt;0.001,ABS(O11-P11)&lt;0.01),"RECONCILED","CALCULATION ERROR"))</f>
        <v>MISSING BILL</v>
      </c>
      <c r="S11" s="22" t="s">
        <v>1877</v>
      </c>
    </row>
    <row r="12" customFormat="false" ht="15" hidden="false" customHeight="false" outlineLevel="0" collapsed="false">
      <c r="A12" s="13" t="s">
        <v>1886</v>
      </c>
      <c r="B12" s="13" t="s">
        <v>90</v>
      </c>
      <c r="C12" s="13" t="s">
        <v>1872</v>
      </c>
      <c r="D12" s="13" t="s">
        <v>1873</v>
      </c>
      <c r="E12" s="13" t="s">
        <v>221</v>
      </c>
      <c r="F12" s="14" t="s">
        <v>222</v>
      </c>
      <c r="G12" s="14" t="s">
        <v>1887</v>
      </c>
      <c r="H12" s="20" t="n">
        <v>54.3</v>
      </c>
      <c r="I12" s="13" t="n">
        <v>60</v>
      </c>
      <c r="J12" s="13"/>
      <c r="K12" s="13"/>
      <c r="L12" s="21"/>
      <c r="M12" s="21" t="n">
        <f aca="false">IF(C12="covered",10.4,7.55)</f>
        <v>7.55</v>
      </c>
      <c r="N12" s="13" t="n">
        <f aca="false">MAX(ROUNDUP(H12,0),I12)</f>
        <v>60</v>
      </c>
      <c r="O12" s="21"/>
      <c r="P12" s="21" t="n">
        <f aca="false">ROUND(M12*N12,2)</f>
        <v>453</v>
      </c>
      <c r="Q12" s="21" t="n">
        <f aca="false">ROUND(P12-IF(O12="",0,O12),2)</f>
        <v>453</v>
      </c>
      <c r="R12" s="14" t="str">
        <f aca="false">IF(J12="","MISSING BILL",IF(AND(K12=N12,ABS(L12-M12)&lt;0.001,ABS(O12-P12)&lt;0.01),"RECONCILED","CALCULATION ERROR"))</f>
        <v>MISSING BILL</v>
      </c>
      <c r="S12" s="22" t="s">
        <v>1877</v>
      </c>
    </row>
    <row r="13" customFormat="false" ht="15" hidden="false" customHeight="false" outlineLevel="0" collapsed="false">
      <c r="A13" s="13" t="s">
        <v>1888</v>
      </c>
      <c r="B13" s="13" t="s">
        <v>90</v>
      </c>
      <c r="C13" s="13" t="s">
        <v>1872</v>
      </c>
      <c r="D13" s="13" t="s">
        <v>1873</v>
      </c>
      <c r="E13" s="13" t="s">
        <v>897</v>
      </c>
      <c r="F13" s="14" t="s">
        <v>898</v>
      </c>
      <c r="G13" s="14" t="s">
        <v>1889</v>
      </c>
      <c r="H13" s="20" t="n">
        <v>25.2</v>
      </c>
      <c r="I13" s="13" t="n">
        <v>45</v>
      </c>
      <c r="J13" s="13"/>
      <c r="K13" s="13"/>
      <c r="L13" s="21"/>
      <c r="M13" s="21" t="n">
        <f aca="false">IF(C13="covered",10.4,7.55)</f>
        <v>7.55</v>
      </c>
      <c r="N13" s="13" t="n">
        <f aca="false">MAX(ROUNDUP(H13,0),I13)</f>
        <v>45</v>
      </c>
      <c r="O13" s="21"/>
      <c r="P13" s="21" t="n">
        <f aca="false">ROUND(M13*N13,2)</f>
        <v>339.75</v>
      </c>
      <c r="Q13" s="21" t="n">
        <f aca="false">ROUND(P13-IF(O13="",0,O13),2)</f>
        <v>339.75</v>
      </c>
      <c r="R13" s="14" t="str">
        <f aca="false">IF(J13="","MISSING BILL",IF(AND(K13=N13,ABS(L13-M13)&lt;0.001,ABS(O13-P13)&lt;0.01),"RECONCILED","CALCULATION ERROR"))</f>
        <v>MISSING BILL</v>
      </c>
      <c r="S13" s="22" t="s">
        <v>1877</v>
      </c>
    </row>
    <row r="14" customFormat="false" ht="15" hidden="false" customHeight="false" outlineLevel="0" collapsed="false">
      <c r="A14" s="13" t="s">
        <v>1890</v>
      </c>
      <c r="B14" s="13" t="s">
        <v>90</v>
      </c>
      <c r="C14" s="13" t="s">
        <v>1872</v>
      </c>
      <c r="D14" s="13" t="s">
        <v>1873</v>
      </c>
      <c r="E14" s="13" t="s">
        <v>1891</v>
      </c>
      <c r="F14" s="14" t="s">
        <v>1892</v>
      </c>
      <c r="G14" s="14" t="s">
        <v>1893</v>
      </c>
      <c r="H14" s="20" t="n">
        <v>38.3</v>
      </c>
      <c r="I14" s="13" t="n">
        <v>24</v>
      </c>
      <c r="J14" s="13"/>
      <c r="K14" s="13"/>
      <c r="L14" s="21"/>
      <c r="M14" s="21" t="n">
        <f aca="false">IF(C14="covered",10.4,7.55)</f>
        <v>7.55</v>
      </c>
      <c r="N14" s="13" t="n">
        <f aca="false">MAX(ROUNDUP(H14,0),I14)</f>
        <v>39</v>
      </c>
      <c r="O14" s="21"/>
      <c r="P14" s="21" t="n">
        <f aca="false">ROUND(M14*N14,2)</f>
        <v>294.45</v>
      </c>
      <c r="Q14" s="21" t="n">
        <f aca="false">ROUND(P14-IF(O14="",0,O14),2)</f>
        <v>294.45</v>
      </c>
      <c r="R14" s="14" t="str">
        <f aca="false">IF(J14="","MISSING BILL",IF(AND(K14=N14,ABS(L14-M14)&lt;0.001,ABS(O14-P14)&lt;0.01),"RECONCILED","CALCULATION ERROR"))</f>
        <v>MISSING BILL</v>
      </c>
      <c r="S14" s="22" t="s">
        <v>1877</v>
      </c>
    </row>
    <row r="15" customFormat="false" ht="15" hidden="false" customHeight="false" outlineLevel="0" collapsed="false">
      <c r="A15" s="13" t="s">
        <v>1894</v>
      </c>
      <c r="B15" s="13" t="s">
        <v>90</v>
      </c>
      <c r="C15" s="13" t="s">
        <v>1872</v>
      </c>
      <c r="D15" s="13" t="s">
        <v>1873</v>
      </c>
      <c r="E15" s="13" t="s">
        <v>1895</v>
      </c>
      <c r="F15" s="14" t="s">
        <v>1896</v>
      </c>
      <c r="G15" s="14" t="s">
        <v>1897</v>
      </c>
      <c r="H15" s="20" t="n">
        <v>25.9</v>
      </c>
      <c r="I15" s="13" t="n">
        <v>70</v>
      </c>
      <c r="J15" s="13"/>
      <c r="K15" s="13"/>
      <c r="L15" s="21"/>
      <c r="M15" s="21" t="n">
        <f aca="false">IF(C15="covered",10.4,7.55)</f>
        <v>7.55</v>
      </c>
      <c r="N15" s="13" t="n">
        <f aca="false">MAX(ROUNDUP(H15,0),I15)</f>
        <v>70</v>
      </c>
      <c r="O15" s="21"/>
      <c r="P15" s="21" t="n">
        <f aca="false">ROUND(M15*N15,2)</f>
        <v>528.5</v>
      </c>
      <c r="Q15" s="21" t="n">
        <f aca="false">ROUND(P15-IF(O15="",0,O15),2)</f>
        <v>528.5</v>
      </c>
      <c r="R15" s="14" t="str">
        <f aca="false">IF(J15="","MISSING BILL",IF(AND(K15=N15,ABS(L15-M15)&lt;0.001,ABS(O15-P15)&lt;0.01),"RECONCILED","CALCULATION ERROR"))</f>
        <v>MISSING BILL</v>
      </c>
      <c r="S15" s="22" t="s">
        <v>1877</v>
      </c>
    </row>
    <row r="16" customFormat="false" ht="15" hidden="false" customHeight="false" outlineLevel="0" collapsed="false">
      <c r="A16" s="13" t="s">
        <v>1569</v>
      </c>
      <c r="B16" s="13" t="s">
        <v>90</v>
      </c>
      <c r="C16" s="13" t="s">
        <v>1872</v>
      </c>
      <c r="D16" s="13" t="s">
        <v>1873</v>
      </c>
      <c r="E16" s="13" t="s">
        <v>1898</v>
      </c>
      <c r="F16" s="14" t="s">
        <v>1899</v>
      </c>
      <c r="G16" s="14" t="s">
        <v>1900</v>
      </c>
      <c r="H16" s="20" t="n">
        <v>35.6</v>
      </c>
      <c r="I16" s="13" t="n">
        <v>45</v>
      </c>
      <c r="J16" s="13"/>
      <c r="K16" s="13"/>
      <c r="L16" s="21"/>
      <c r="M16" s="21" t="n">
        <f aca="false">IF(C16="covered",10.4,7.55)</f>
        <v>7.55</v>
      </c>
      <c r="N16" s="13" t="n">
        <f aca="false">MAX(ROUNDUP(H16,0),I16)</f>
        <v>45</v>
      </c>
      <c r="O16" s="21"/>
      <c r="P16" s="21" t="n">
        <f aca="false">ROUND(M16*N16,2)</f>
        <v>339.75</v>
      </c>
      <c r="Q16" s="21" t="n">
        <f aca="false">ROUND(P16-IF(O16="",0,O16),2)</f>
        <v>339.75</v>
      </c>
      <c r="R16" s="14" t="str">
        <f aca="false">IF(J16="","MISSING BILL",IF(AND(K16=N16,ABS(L16-M16)&lt;0.001,ABS(O16-P16)&lt;0.01),"RECONCILED","CALCULATION ERROR"))</f>
        <v>MISSING BILL</v>
      </c>
      <c r="S16" s="22" t="s">
        <v>1877</v>
      </c>
    </row>
    <row r="17" customFormat="false" ht="15" hidden="false" customHeight="false" outlineLevel="0" collapsed="false">
      <c r="A17" s="13" t="s">
        <v>1901</v>
      </c>
      <c r="B17" s="13" t="s">
        <v>90</v>
      </c>
      <c r="C17" s="13" t="s">
        <v>1872</v>
      </c>
      <c r="D17" s="13" t="s">
        <v>1873</v>
      </c>
      <c r="E17" s="13" t="s">
        <v>1902</v>
      </c>
      <c r="F17" s="14" t="s">
        <v>1903</v>
      </c>
      <c r="G17" s="14" t="s">
        <v>1904</v>
      </c>
      <c r="H17" s="20" t="n">
        <v>28.7</v>
      </c>
      <c r="I17" s="13" t="n">
        <v>70</v>
      </c>
      <c r="J17" s="13"/>
      <c r="K17" s="13"/>
      <c r="L17" s="21"/>
      <c r="M17" s="21" t="n">
        <f aca="false">IF(C17="covered",10.4,7.55)</f>
        <v>7.55</v>
      </c>
      <c r="N17" s="13" t="n">
        <f aca="false">MAX(ROUNDUP(H17,0),I17)</f>
        <v>70</v>
      </c>
      <c r="O17" s="21"/>
      <c r="P17" s="21" t="n">
        <f aca="false">ROUND(M17*N17,2)</f>
        <v>528.5</v>
      </c>
      <c r="Q17" s="21" t="n">
        <f aca="false">ROUND(P17-IF(O17="",0,O17),2)</f>
        <v>528.5</v>
      </c>
      <c r="R17" s="14" t="str">
        <f aca="false">IF(J17="","MISSING BILL",IF(AND(K17=N17,ABS(L17-M17)&lt;0.001,ABS(O17-P17)&lt;0.01),"RECONCILED","CALCULATION ERROR"))</f>
        <v>MISSING BILL</v>
      </c>
      <c r="S17" s="22" t="s">
        <v>1877</v>
      </c>
    </row>
    <row r="18" customFormat="false" ht="15" hidden="false" customHeight="false" outlineLevel="0" collapsed="false">
      <c r="A18" s="13" t="s">
        <v>1905</v>
      </c>
      <c r="B18" s="13" t="s">
        <v>90</v>
      </c>
      <c r="C18" s="13" t="s">
        <v>1872</v>
      </c>
      <c r="D18" s="13" t="s">
        <v>1873</v>
      </c>
      <c r="E18" s="13" t="s">
        <v>1906</v>
      </c>
      <c r="F18" s="14" t="s">
        <v>1907</v>
      </c>
      <c r="G18" s="14" t="s">
        <v>1908</v>
      </c>
      <c r="H18" s="20" t="n">
        <v>37</v>
      </c>
      <c r="I18" s="13" t="n">
        <v>32</v>
      </c>
      <c r="J18" s="13"/>
      <c r="K18" s="13"/>
      <c r="L18" s="21"/>
      <c r="M18" s="21" t="n">
        <f aca="false">IF(C18="covered",10.4,7.55)</f>
        <v>7.55</v>
      </c>
      <c r="N18" s="13" t="n">
        <f aca="false">MAX(ROUNDUP(H18,0),I18)</f>
        <v>37</v>
      </c>
      <c r="O18" s="21"/>
      <c r="P18" s="21" t="n">
        <f aca="false">ROUND(M18*N18,2)</f>
        <v>279.35</v>
      </c>
      <c r="Q18" s="21" t="n">
        <f aca="false">ROUND(P18-IF(O18="",0,O18),2)</f>
        <v>279.35</v>
      </c>
      <c r="R18" s="14" t="str">
        <f aca="false">IF(J18="","MISSING BILL",IF(AND(K18=N18,ABS(L18-M18)&lt;0.001,ABS(O18-P18)&lt;0.01),"RECONCILED","CALCULATION ERROR"))</f>
        <v>MISSING BILL</v>
      </c>
      <c r="S18" s="22" t="s">
        <v>1877</v>
      </c>
    </row>
    <row r="19" customFormat="false" ht="15" hidden="false" customHeight="false" outlineLevel="0" collapsed="false">
      <c r="A19" s="13" t="s">
        <v>1631</v>
      </c>
      <c r="B19" s="13" t="s">
        <v>90</v>
      </c>
      <c r="C19" s="13" t="s">
        <v>1872</v>
      </c>
      <c r="D19" s="13" t="s">
        <v>1873</v>
      </c>
      <c r="E19" s="13" t="s">
        <v>1909</v>
      </c>
      <c r="F19" s="14" t="s">
        <v>1910</v>
      </c>
      <c r="G19" s="14" t="s">
        <v>1911</v>
      </c>
      <c r="H19" s="20" t="n">
        <v>51.6</v>
      </c>
      <c r="I19" s="13" t="n">
        <v>32</v>
      </c>
      <c r="J19" s="13"/>
      <c r="K19" s="13"/>
      <c r="L19" s="21"/>
      <c r="M19" s="21" t="n">
        <f aca="false">IF(C19="covered",10.4,7.55)</f>
        <v>7.55</v>
      </c>
      <c r="N19" s="13" t="n">
        <f aca="false">MAX(ROUNDUP(H19,0),I19)</f>
        <v>52</v>
      </c>
      <c r="O19" s="21"/>
      <c r="P19" s="21" t="n">
        <f aca="false">ROUND(M19*N19,2)</f>
        <v>392.6</v>
      </c>
      <c r="Q19" s="21" t="n">
        <f aca="false">ROUND(P19-IF(O19="",0,O19),2)</f>
        <v>392.6</v>
      </c>
      <c r="R19" s="14" t="str">
        <f aca="false">IF(J19="","MISSING BILL",IF(AND(K19=N19,ABS(L19-M19)&lt;0.001,ABS(O19-P19)&lt;0.01),"RECONCILED","CALCULATION ERROR"))</f>
        <v>MISSING BILL</v>
      </c>
      <c r="S19" s="22" t="s">
        <v>1877</v>
      </c>
    </row>
    <row r="20" customFormat="false" ht="15" hidden="false" customHeight="false" outlineLevel="0" collapsed="false">
      <c r="A20" s="13" t="s">
        <v>1912</v>
      </c>
      <c r="B20" s="13" t="s">
        <v>90</v>
      </c>
      <c r="C20" s="13" t="s">
        <v>1872</v>
      </c>
      <c r="D20" s="13" t="s">
        <v>1873</v>
      </c>
      <c r="E20" s="13" t="s">
        <v>1913</v>
      </c>
      <c r="F20" s="14" t="s">
        <v>1914</v>
      </c>
      <c r="G20" s="14" t="s">
        <v>1915</v>
      </c>
      <c r="H20" s="20" t="n">
        <v>32.5</v>
      </c>
      <c r="I20" s="13" t="n">
        <v>40</v>
      </c>
      <c r="J20" s="13"/>
      <c r="K20" s="13"/>
      <c r="L20" s="21"/>
      <c r="M20" s="21" t="n">
        <f aca="false">IF(C20="covered",10.4,7.55)</f>
        <v>7.55</v>
      </c>
      <c r="N20" s="13" t="n">
        <f aca="false">MAX(ROUNDUP(H20,0),I20)</f>
        <v>40</v>
      </c>
      <c r="O20" s="21"/>
      <c r="P20" s="21" t="n">
        <f aca="false">ROUND(M20*N20,2)</f>
        <v>302</v>
      </c>
      <c r="Q20" s="21" t="n">
        <f aca="false">ROUND(P20-IF(O20="",0,O20),2)</f>
        <v>302</v>
      </c>
      <c r="R20" s="14" t="str">
        <f aca="false">IF(J20="","MISSING BILL",IF(AND(K20=N20,ABS(L20-M20)&lt;0.001,ABS(O20-P20)&lt;0.01),"RECONCILED","CALCULATION ERROR"))</f>
        <v>MISSING BILL</v>
      </c>
      <c r="S20" s="22" t="s">
        <v>1877</v>
      </c>
    </row>
    <row r="21" customFormat="false" ht="15" hidden="false" customHeight="false" outlineLevel="0" collapsed="false">
      <c r="A21" s="13" t="s">
        <v>1916</v>
      </c>
      <c r="B21" s="13" t="s">
        <v>90</v>
      </c>
      <c r="C21" s="13" t="s">
        <v>1872</v>
      </c>
      <c r="D21" s="13" t="s">
        <v>1873</v>
      </c>
      <c r="E21" s="13" t="s">
        <v>1917</v>
      </c>
      <c r="F21" s="14" t="s">
        <v>1918</v>
      </c>
      <c r="G21" s="14" t="s">
        <v>1919</v>
      </c>
      <c r="H21" s="20" t="n">
        <v>18.1</v>
      </c>
      <c r="I21" s="13" t="n">
        <v>32</v>
      </c>
      <c r="J21" s="13"/>
      <c r="K21" s="13"/>
      <c r="L21" s="21"/>
      <c r="M21" s="21" t="n">
        <f aca="false">IF(C21="covered",10.4,7.55)</f>
        <v>7.55</v>
      </c>
      <c r="N21" s="13" t="n">
        <f aca="false">MAX(ROUNDUP(H21,0),I21)</f>
        <v>32</v>
      </c>
      <c r="O21" s="21"/>
      <c r="P21" s="21" t="n">
        <f aca="false">ROUND(M21*N21,2)</f>
        <v>241.6</v>
      </c>
      <c r="Q21" s="21" t="n">
        <f aca="false">ROUND(P21-IF(O21="",0,O21),2)</f>
        <v>241.6</v>
      </c>
      <c r="R21" s="14" t="str">
        <f aca="false">IF(J21="","MISSING BILL",IF(AND(K21=N21,ABS(L21-M21)&lt;0.001,ABS(O21-P21)&lt;0.01),"RECONCILED","CALCULATION ERROR"))</f>
        <v>MISSING BILL</v>
      </c>
      <c r="S21" s="22" t="s">
        <v>1877</v>
      </c>
    </row>
    <row r="22" customFormat="false" ht="15" hidden="false" customHeight="false" outlineLevel="0" collapsed="false">
      <c r="A22" s="13" t="s">
        <v>1920</v>
      </c>
      <c r="B22" s="13" t="s">
        <v>90</v>
      </c>
      <c r="C22" s="13" t="s">
        <v>1872</v>
      </c>
      <c r="D22" s="13" t="s">
        <v>1873</v>
      </c>
      <c r="E22" s="13" t="s">
        <v>1921</v>
      </c>
      <c r="F22" s="14" t="s">
        <v>1922</v>
      </c>
      <c r="G22" s="14" t="s">
        <v>1923</v>
      </c>
      <c r="H22" s="20" t="n">
        <v>52.3</v>
      </c>
      <c r="I22" s="13" t="n">
        <v>70</v>
      </c>
      <c r="J22" s="13"/>
      <c r="K22" s="13"/>
      <c r="L22" s="21"/>
      <c r="M22" s="21" t="n">
        <f aca="false">IF(C22="covered",10.4,7.55)</f>
        <v>7.55</v>
      </c>
      <c r="N22" s="13" t="n">
        <f aca="false">MAX(ROUNDUP(H22,0),I22)</f>
        <v>70</v>
      </c>
      <c r="O22" s="21"/>
      <c r="P22" s="21" t="n">
        <f aca="false">ROUND(M22*N22,2)</f>
        <v>528.5</v>
      </c>
      <c r="Q22" s="21" t="n">
        <f aca="false">ROUND(P22-IF(O22="",0,O22),2)</f>
        <v>528.5</v>
      </c>
      <c r="R22" s="14" t="str">
        <f aca="false">IF(J22="","MISSING BILL",IF(AND(K22=N22,ABS(L22-M22)&lt;0.001,ABS(O22-P22)&lt;0.01),"RECONCILED","CALCULATION ERROR"))</f>
        <v>MISSING BILL</v>
      </c>
      <c r="S22" s="22" t="s">
        <v>1877</v>
      </c>
    </row>
    <row r="23" customFormat="false" ht="15" hidden="false" customHeight="false" outlineLevel="0" collapsed="false">
      <c r="A23" s="13" t="s">
        <v>1047</v>
      </c>
      <c r="B23" s="13" t="s">
        <v>90</v>
      </c>
      <c r="C23" s="13" t="s">
        <v>1872</v>
      </c>
      <c r="D23" s="13" t="s">
        <v>1873</v>
      </c>
      <c r="E23" s="13" t="s">
        <v>1924</v>
      </c>
      <c r="F23" s="14" t="s">
        <v>1925</v>
      </c>
      <c r="G23" s="14" t="s">
        <v>1926</v>
      </c>
      <c r="H23" s="20" t="n">
        <v>46.9</v>
      </c>
      <c r="I23" s="13" t="n">
        <v>24</v>
      </c>
      <c r="J23" s="13"/>
      <c r="K23" s="13"/>
      <c r="L23" s="21"/>
      <c r="M23" s="21" t="n">
        <f aca="false">IF(C23="covered",10.4,7.55)</f>
        <v>7.55</v>
      </c>
      <c r="N23" s="13" t="n">
        <f aca="false">MAX(ROUNDUP(H23,0),I23)</f>
        <v>47</v>
      </c>
      <c r="O23" s="21"/>
      <c r="P23" s="21" t="n">
        <f aca="false">ROUND(M23*N23,2)</f>
        <v>354.85</v>
      </c>
      <c r="Q23" s="21" t="n">
        <f aca="false">ROUND(P23-IF(O23="",0,O23),2)</f>
        <v>354.85</v>
      </c>
      <c r="R23" s="14" t="str">
        <f aca="false">IF(J23="","MISSING BILL",IF(AND(K23=N23,ABS(L23-M23)&lt;0.001,ABS(O23-P23)&lt;0.01),"RECONCILED","CALCULATION ERROR"))</f>
        <v>MISSING BILL</v>
      </c>
      <c r="S23" s="22" t="s">
        <v>1877</v>
      </c>
    </row>
    <row r="24" customFormat="false" ht="15" hidden="false" customHeight="false" outlineLevel="0" collapsed="false">
      <c r="A24" s="13" t="s">
        <v>1927</v>
      </c>
      <c r="B24" s="13" t="s">
        <v>90</v>
      </c>
      <c r="C24" s="13" t="s">
        <v>1872</v>
      </c>
      <c r="D24" s="13" t="s">
        <v>1873</v>
      </c>
      <c r="E24" s="13" t="s">
        <v>1928</v>
      </c>
      <c r="F24" s="14" t="s">
        <v>1929</v>
      </c>
      <c r="G24" s="14" t="s">
        <v>1930</v>
      </c>
      <c r="H24" s="20" t="n">
        <v>54.3</v>
      </c>
      <c r="I24" s="13" t="n">
        <v>80</v>
      </c>
      <c r="J24" s="13"/>
      <c r="K24" s="13"/>
      <c r="L24" s="21"/>
      <c r="M24" s="21" t="n">
        <f aca="false">IF(C24="covered",10.4,7.55)</f>
        <v>7.55</v>
      </c>
      <c r="N24" s="13" t="n">
        <f aca="false">MAX(ROUNDUP(H24,0),I24)</f>
        <v>80</v>
      </c>
      <c r="O24" s="21"/>
      <c r="P24" s="21" t="n">
        <f aca="false">ROUND(M24*N24,2)</f>
        <v>604</v>
      </c>
      <c r="Q24" s="21" t="n">
        <f aca="false">ROUND(P24-IF(O24="",0,O24),2)</f>
        <v>604</v>
      </c>
      <c r="R24" s="14" t="str">
        <f aca="false">IF(J24="","MISSING BILL",IF(AND(K24=N24,ABS(L24-M24)&lt;0.001,ABS(O24-P24)&lt;0.01),"RECONCILED","CALCULATION ERROR"))</f>
        <v>MISSING BILL</v>
      </c>
      <c r="S24" s="22" t="s">
        <v>1877</v>
      </c>
    </row>
    <row r="25" customFormat="false" ht="15" hidden="false" customHeight="false" outlineLevel="0" collapsed="false">
      <c r="A25" s="13" t="s">
        <v>1931</v>
      </c>
      <c r="B25" s="13" t="s">
        <v>90</v>
      </c>
      <c r="C25" s="13" t="s">
        <v>1872</v>
      </c>
      <c r="D25" s="13" t="s">
        <v>1873</v>
      </c>
      <c r="E25" s="13" t="s">
        <v>1932</v>
      </c>
      <c r="F25" s="14" t="s">
        <v>1933</v>
      </c>
      <c r="G25" s="14" t="s">
        <v>1934</v>
      </c>
      <c r="H25" s="20" t="n">
        <v>33.7</v>
      </c>
      <c r="I25" s="13" t="n">
        <v>40</v>
      </c>
      <c r="J25" s="13"/>
      <c r="K25" s="13"/>
      <c r="L25" s="21"/>
      <c r="M25" s="21" t="n">
        <f aca="false">IF(C25="covered",10.4,7.55)</f>
        <v>7.55</v>
      </c>
      <c r="N25" s="13" t="n">
        <f aca="false">MAX(ROUNDUP(H25,0),I25)</f>
        <v>40</v>
      </c>
      <c r="O25" s="21"/>
      <c r="P25" s="21" t="n">
        <f aca="false">ROUND(M25*N25,2)</f>
        <v>302</v>
      </c>
      <c r="Q25" s="21" t="n">
        <f aca="false">ROUND(P25-IF(O25="",0,O25),2)</f>
        <v>302</v>
      </c>
      <c r="R25" s="14" t="str">
        <f aca="false">IF(J25="","MISSING BILL",IF(AND(K25=N25,ABS(L25-M25)&lt;0.001,ABS(O25-P25)&lt;0.01),"RECONCILED","CALCULATION ERROR"))</f>
        <v>MISSING BILL</v>
      </c>
      <c r="S25" s="22" t="s">
        <v>1877</v>
      </c>
    </row>
    <row r="26" customFormat="false" ht="15" hidden="false" customHeight="false" outlineLevel="0" collapsed="false">
      <c r="A26" s="13" t="s">
        <v>1935</v>
      </c>
      <c r="B26" s="13" t="s">
        <v>90</v>
      </c>
      <c r="C26" s="13" t="s">
        <v>1872</v>
      </c>
      <c r="D26" s="13" t="s">
        <v>1873</v>
      </c>
      <c r="E26" s="13" t="s">
        <v>1936</v>
      </c>
      <c r="F26" s="14" t="s">
        <v>1937</v>
      </c>
      <c r="G26" s="14" t="s">
        <v>1938</v>
      </c>
      <c r="H26" s="20" t="n">
        <v>61.4</v>
      </c>
      <c r="I26" s="13" t="n">
        <v>70</v>
      </c>
      <c r="J26" s="13"/>
      <c r="K26" s="13"/>
      <c r="L26" s="21"/>
      <c r="M26" s="21" t="n">
        <f aca="false">IF(C26="covered",10.4,7.55)</f>
        <v>7.55</v>
      </c>
      <c r="N26" s="13" t="n">
        <f aca="false">MAX(ROUNDUP(H26,0),I26)</f>
        <v>70</v>
      </c>
      <c r="O26" s="21"/>
      <c r="P26" s="21" t="n">
        <f aca="false">ROUND(M26*N26,2)</f>
        <v>528.5</v>
      </c>
      <c r="Q26" s="21" t="n">
        <f aca="false">ROUND(P26-IF(O26="",0,O26),2)</f>
        <v>528.5</v>
      </c>
      <c r="R26" s="14" t="str">
        <f aca="false">IF(J26="","MISSING BILL",IF(AND(K26=N26,ABS(L26-M26)&lt;0.001,ABS(O26-P26)&lt;0.01),"RECONCILED","CALCULATION ERROR"))</f>
        <v>MISSING BILL</v>
      </c>
      <c r="S26" s="22" t="s">
        <v>1877</v>
      </c>
    </row>
    <row r="27" customFormat="false" ht="15" hidden="false" customHeight="false" outlineLevel="0" collapsed="false">
      <c r="A27" s="13" t="s">
        <v>1939</v>
      </c>
      <c r="B27" s="13" t="s">
        <v>90</v>
      </c>
      <c r="C27" s="13" t="s">
        <v>1872</v>
      </c>
      <c r="D27" s="13" t="s">
        <v>1873</v>
      </c>
      <c r="E27" s="13" t="s">
        <v>1940</v>
      </c>
      <c r="F27" s="14" t="s">
        <v>1941</v>
      </c>
      <c r="G27" s="14" t="s">
        <v>1942</v>
      </c>
      <c r="H27" s="20" t="n">
        <v>19.9</v>
      </c>
      <c r="I27" s="13" t="n">
        <v>80</v>
      </c>
      <c r="J27" s="13"/>
      <c r="K27" s="13"/>
      <c r="L27" s="21"/>
      <c r="M27" s="21" t="n">
        <f aca="false">IF(C27="covered",10.4,7.55)</f>
        <v>7.55</v>
      </c>
      <c r="N27" s="13" t="n">
        <f aca="false">MAX(ROUNDUP(H27,0),I27)</f>
        <v>80</v>
      </c>
      <c r="O27" s="21"/>
      <c r="P27" s="21" t="n">
        <f aca="false">ROUND(M27*N27,2)</f>
        <v>604</v>
      </c>
      <c r="Q27" s="21" t="n">
        <f aca="false">ROUND(P27-IF(O27="",0,O27),2)</f>
        <v>604</v>
      </c>
      <c r="R27" s="14" t="str">
        <f aca="false">IF(J27="","MISSING BILL",IF(AND(K27=N27,ABS(L27-M27)&lt;0.001,ABS(O27-P27)&lt;0.01),"RECONCILED","CALCULATION ERROR"))</f>
        <v>MISSING BILL</v>
      </c>
      <c r="S27" s="22" t="s">
        <v>1877</v>
      </c>
    </row>
    <row r="28" customFormat="false" ht="15" hidden="false" customHeight="false" outlineLevel="0" collapsed="false">
      <c r="A28" s="13" t="s">
        <v>775</v>
      </c>
      <c r="B28" s="13" t="s">
        <v>90</v>
      </c>
      <c r="C28" s="13" t="s">
        <v>1872</v>
      </c>
      <c r="D28" s="13" t="s">
        <v>1873</v>
      </c>
      <c r="E28" s="13" t="s">
        <v>1943</v>
      </c>
      <c r="F28" s="14" t="s">
        <v>1944</v>
      </c>
      <c r="G28" s="14" t="s">
        <v>1945</v>
      </c>
      <c r="H28" s="20" t="n">
        <v>46.7</v>
      </c>
      <c r="I28" s="13" t="n">
        <v>28</v>
      </c>
      <c r="J28" s="13"/>
      <c r="K28" s="13"/>
      <c r="L28" s="21"/>
      <c r="M28" s="21" t="n">
        <f aca="false">IF(C28="covered",10.4,7.55)</f>
        <v>7.55</v>
      </c>
      <c r="N28" s="13" t="n">
        <f aca="false">MAX(ROUNDUP(H28,0),I28)</f>
        <v>47</v>
      </c>
      <c r="O28" s="21"/>
      <c r="P28" s="21" t="n">
        <f aca="false">ROUND(M28*N28,2)</f>
        <v>354.85</v>
      </c>
      <c r="Q28" s="21" t="n">
        <f aca="false">ROUND(P28-IF(O28="",0,O28),2)</f>
        <v>354.85</v>
      </c>
      <c r="R28" s="14" t="str">
        <f aca="false">IF(J28="","MISSING BILL",IF(AND(K28=N28,ABS(L28-M28)&lt;0.001,ABS(O28-P28)&lt;0.01),"RECONCILED","CALCULATION ERROR"))</f>
        <v>MISSING BILL</v>
      </c>
      <c r="S28" s="22" t="s">
        <v>1877</v>
      </c>
    </row>
    <row r="29" customFormat="false" ht="15" hidden="false" customHeight="false" outlineLevel="0" collapsed="false">
      <c r="A29" s="13" t="s">
        <v>1946</v>
      </c>
      <c r="B29" s="13" t="s">
        <v>90</v>
      </c>
      <c r="C29" s="13" t="s">
        <v>1872</v>
      </c>
      <c r="D29" s="13" t="s">
        <v>1873</v>
      </c>
      <c r="E29" s="13" t="s">
        <v>1947</v>
      </c>
      <c r="F29" s="14" t="s">
        <v>1948</v>
      </c>
      <c r="G29" s="14" t="s">
        <v>1949</v>
      </c>
      <c r="H29" s="20" t="n">
        <v>41.9</v>
      </c>
      <c r="I29" s="13" t="n">
        <v>28</v>
      </c>
      <c r="J29" s="13"/>
      <c r="K29" s="13"/>
      <c r="L29" s="21"/>
      <c r="M29" s="21" t="n">
        <f aca="false">IF(C29="covered",10.4,7.55)</f>
        <v>7.55</v>
      </c>
      <c r="N29" s="13" t="n">
        <f aca="false">MAX(ROUNDUP(H29,0),I29)</f>
        <v>42</v>
      </c>
      <c r="O29" s="21"/>
      <c r="P29" s="21" t="n">
        <f aca="false">ROUND(M29*N29,2)</f>
        <v>317.1</v>
      </c>
      <c r="Q29" s="21" t="n">
        <f aca="false">ROUND(P29-IF(O29="",0,O29),2)</f>
        <v>317.1</v>
      </c>
      <c r="R29" s="14" t="str">
        <f aca="false">IF(J29="","MISSING BILL",IF(AND(K29=N29,ABS(L29-M29)&lt;0.001,ABS(O29-P29)&lt;0.01),"RECONCILED","CALCULATION ERROR"))</f>
        <v>MISSING BILL</v>
      </c>
      <c r="S29" s="22" t="s">
        <v>1877</v>
      </c>
    </row>
    <row r="30" customFormat="false" ht="15" hidden="false" customHeight="false" outlineLevel="0" collapsed="false">
      <c r="A30" s="13" t="s">
        <v>1609</v>
      </c>
      <c r="B30" s="13" t="s">
        <v>90</v>
      </c>
      <c r="C30" s="13" t="s">
        <v>1872</v>
      </c>
      <c r="D30" s="13" t="s">
        <v>1873</v>
      </c>
      <c r="E30" s="13" t="s">
        <v>1950</v>
      </c>
      <c r="F30" s="14" t="s">
        <v>1951</v>
      </c>
      <c r="G30" s="14" t="s">
        <v>1952</v>
      </c>
      <c r="H30" s="20" t="n">
        <v>19.1</v>
      </c>
      <c r="I30" s="13" t="n">
        <v>32</v>
      </c>
      <c r="J30" s="13"/>
      <c r="K30" s="13"/>
      <c r="L30" s="21"/>
      <c r="M30" s="21" t="n">
        <f aca="false">IF(C30="covered",10.4,7.55)</f>
        <v>7.55</v>
      </c>
      <c r="N30" s="13" t="n">
        <f aca="false">MAX(ROUNDUP(H30,0),I30)</f>
        <v>32</v>
      </c>
      <c r="O30" s="21"/>
      <c r="P30" s="21" t="n">
        <f aca="false">ROUND(M30*N30,2)</f>
        <v>241.6</v>
      </c>
      <c r="Q30" s="21" t="n">
        <f aca="false">ROUND(P30-IF(O30="",0,O30),2)</f>
        <v>241.6</v>
      </c>
      <c r="R30" s="14" t="str">
        <f aca="false">IF(J30="","MISSING BILL",IF(AND(K30=N30,ABS(L30-M30)&lt;0.001,ABS(O30-P30)&lt;0.01),"RECONCILED","CALCULATION ERROR"))</f>
        <v>MISSING BILL</v>
      </c>
      <c r="S30" s="22" t="s">
        <v>1877</v>
      </c>
    </row>
    <row r="31" customFormat="false" ht="15" hidden="false" customHeight="false" outlineLevel="0" collapsed="false">
      <c r="A31" s="13" t="s">
        <v>1953</v>
      </c>
      <c r="B31" s="13" t="s">
        <v>90</v>
      </c>
      <c r="C31" s="13" t="s">
        <v>1872</v>
      </c>
      <c r="D31" s="13" t="s">
        <v>1873</v>
      </c>
      <c r="E31" s="13" t="s">
        <v>1954</v>
      </c>
      <c r="F31" s="14" t="s">
        <v>1955</v>
      </c>
      <c r="G31" s="14" t="s">
        <v>1956</v>
      </c>
      <c r="H31" s="20" t="n">
        <v>30.9</v>
      </c>
      <c r="I31" s="13" t="n">
        <v>70</v>
      </c>
      <c r="J31" s="13"/>
      <c r="K31" s="13"/>
      <c r="L31" s="21"/>
      <c r="M31" s="21" t="n">
        <f aca="false">IF(C31="covered",10.4,7.55)</f>
        <v>7.55</v>
      </c>
      <c r="N31" s="13" t="n">
        <f aca="false">MAX(ROUNDUP(H31,0),I31)</f>
        <v>70</v>
      </c>
      <c r="O31" s="21"/>
      <c r="P31" s="21" t="n">
        <f aca="false">ROUND(M31*N31,2)</f>
        <v>528.5</v>
      </c>
      <c r="Q31" s="21" t="n">
        <f aca="false">ROUND(P31-IF(O31="",0,O31),2)</f>
        <v>528.5</v>
      </c>
      <c r="R31" s="14" t="str">
        <f aca="false">IF(J31="","MISSING BILL",IF(AND(K31=N31,ABS(L31-M31)&lt;0.001,ABS(O31-P31)&lt;0.01),"RECONCILED","CALCULATION ERROR"))</f>
        <v>MISSING BILL</v>
      </c>
      <c r="S31" s="22" t="s">
        <v>1877</v>
      </c>
    </row>
    <row r="32" customFormat="false" ht="15" hidden="false" customHeight="false" outlineLevel="0" collapsed="false">
      <c r="A32" s="13" t="s">
        <v>1957</v>
      </c>
      <c r="B32" s="13" t="s">
        <v>90</v>
      </c>
      <c r="C32" s="13" t="s">
        <v>1872</v>
      </c>
      <c r="D32" s="13" t="s">
        <v>1873</v>
      </c>
      <c r="E32" s="13" t="s">
        <v>1958</v>
      </c>
      <c r="F32" s="14" t="s">
        <v>1959</v>
      </c>
      <c r="G32" s="14" t="s">
        <v>1960</v>
      </c>
      <c r="H32" s="20" t="n">
        <v>41.2</v>
      </c>
      <c r="I32" s="13" t="n">
        <v>70</v>
      </c>
      <c r="J32" s="13"/>
      <c r="K32" s="13"/>
      <c r="L32" s="21"/>
      <c r="M32" s="21" t="n">
        <f aca="false">IF(C32="covered",10.4,7.55)</f>
        <v>7.55</v>
      </c>
      <c r="N32" s="13" t="n">
        <f aca="false">MAX(ROUNDUP(H32,0),I32)</f>
        <v>70</v>
      </c>
      <c r="O32" s="21"/>
      <c r="P32" s="21" t="n">
        <f aca="false">ROUND(M32*N32,2)</f>
        <v>528.5</v>
      </c>
      <c r="Q32" s="21" t="n">
        <f aca="false">ROUND(P32-IF(O32="",0,O32),2)</f>
        <v>528.5</v>
      </c>
      <c r="R32" s="14" t="str">
        <f aca="false">IF(J32="","MISSING BILL",IF(AND(K32=N32,ABS(L32-M32)&lt;0.001,ABS(O32-P32)&lt;0.01),"RECONCILED","CALCULATION ERROR"))</f>
        <v>MISSING BILL</v>
      </c>
      <c r="S32" s="22" t="s">
        <v>1877</v>
      </c>
    </row>
    <row r="33" customFormat="false" ht="15" hidden="false" customHeight="false" outlineLevel="0" collapsed="false">
      <c r="A33" s="13" t="s">
        <v>1961</v>
      </c>
      <c r="B33" s="13" t="s">
        <v>90</v>
      </c>
      <c r="C33" s="13" t="s">
        <v>1872</v>
      </c>
      <c r="D33" s="13" t="s">
        <v>1873</v>
      </c>
      <c r="E33" s="13" t="s">
        <v>1962</v>
      </c>
      <c r="F33" s="14" t="s">
        <v>1963</v>
      </c>
      <c r="G33" s="14" t="s">
        <v>1964</v>
      </c>
      <c r="H33" s="20" t="n">
        <v>60.9</v>
      </c>
      <c r="I33" s="13" t="n">
        <v>24</v>
      </c>
      <c r="J33" s="13"/>
      <c r="K33" s="13"/>
      <c r="L33" s="21"/>
      <c r="M33" s="21" t="n">
        <f aca="false">IF(C33="covered",10.4,7.55)</f>
        <v>7.55</v>
      </c>
      <c r="N33" s="13" t="n">
        <f aca="false">MAX(ROUNDUP(H33,0),I33)</f>
        <v>61</v>
      </c>
      <c r="O33" s="21"/>
      <c r="P33" s="21" t="n">
        <f aca="false">ROUND(M33*N33,2)</f>
        <v>460.55</v>
      </c>
      <c r="Q33" s="21" t="n">
        <f aca="false">ROUND(P33-IF(O33="",0,O33),2)</f>
        <v>460.55</v>
      </c>
      <c r="R33" s="14" t="str">
        <f aca="false">IF(J33="","MISSING BILL",IF(AND(K33=N33,ABS(L33-M33)&lt;0.001,ABS(O33-P33)&lt;0.01),"RECONCILED","CALCULATION ERROR"))</f>
        <v>MISSING BILL</v>
      </c>
      <c r="S33" s="22" t="s">
        <v>1877</v>
      </c>
    </row>
    <row r="34" customFormat="false" ht="15" hidden="false" customHeight="false" outlineLevel="0" collapsed="false">
      <c r="A34" s="13" t="s">
        <v>164</v>
      </c>
      <c r="B34" s="13" t="s">
        <v>90</v>
      </c>
      <c r="C34" s="13" t="s">
        <v>1872</v>
      </c>
      <c r="D34" s="13" t="s">
        <v>1873</v>
      </c>
      <c r="E34" s="13" t="s">
        <v>1965</v>
      </c>
      <c r="F34" s="14" t="s">
        <v>1966</v>
      </c>
      <c r="G34" s="14" t="s">
        <v>1967</v>
      </c>
      <c r="H34" s="20" t="n">
        <v>31.3</v>
      </c>
      <c r="I34" s="13" t="n">
        <v>60</v>
      </c>
      <c r="J34" s="13"/>
      <c r="K34" s="13"/>
      <c r="L34" s="21"/>
      <c r="M34" s="21" t="n">
        <f aca="false">IF(C34="covered",10.4,7.55)</f>
        <v>7.55</v>
      </c>
      <c r="N34" s="13" t="n">
        <f aca="false">MAX(ROUNDUP(H34,0),I34)</f>
        <v>60</v>
      </c>
      <c r="O34" s="21"/>
      <c r="P34" s="21" t="n">
        <f aca="false">ROUND(M34*N34,2)</f>
        <v>453</v>
      </c>
      <c r="Q34" s="21" t="n">
        <f aca="false">ROUND(P34-IF(O34="",0,O34),2)</f>
        <v>453</v>
      </c>
      <c r="R34" s="14" t="str">
        <f aca="false">IF(J34="","MISSING BILL",IF(AND(K34=N34,ABS(L34-M34)&lt;0.001,ABS(O34-P34)&lt;0.01),"RECONCILED","CALCULATION ERROR"))</f>
        <v>MISSING BILL</v>
      </c>
      <c r="S34" s="22" t="s">
        <v>1877</v>
      </c>
    </row>
    <row r="35" customFormat="false" ht="15" hidden="false" customHeight="false" outlineLevel="0" collapsed="false">
      <c r="A35" s="13" t="s">
        <v>1968</v>
      </c>
      <c r="B35" s="13" t="s">
        <v>90</v>
      </c>
      <c r="C35" s="13" t="s">
        <v>1872</v>
      </c>
      <c r="D35" s="13" t="s">
        <v>1873</v>
      </c>
      <c r="E35" s="13" t="s">
        <v>1969</v>
      </c>
      <c r="F35" s="14" t="s">
        <v>1970</v>
      </c>
      <c r="G35" s="14" t="s">
        <v>1971</v>
      </c>
      <c r="H35" s="20" t="n">
        <v>29.8</v>
      </c>
      <c r="I35" s="13" t="n">
        <v>60</v>
      </c>
      <c r="J35" s="13"/>
      <c r="K35" s="13"/>
      <c r="L35" s="21"/>
      <c r="M35" s="21" t="n">
        <f aca="false">IF(C35="covered",10.4,7.55)</f>
        <v>7.55</v>
      </c>
      <c r="N35" s="13" t="n">
        <f aca="false">MAX(ROUNDUP(H35,0),I35)</f>
        <v>60</v>
      </c>
      <c r="O35" s="21"/>
      <c r="P35" s="21" t="n">
        <f aca="false">ROUND(M35*N35,2)</f>
        <v>453</v>
      </c>
      <c r="Q35" s="21" t="n">
        <f aca="false">ROUND(P35-IF(O35="",0,O35),2)</f>
        <v>453</v>
      </c>
      <c r="R35" s="14" t="str">
        <f aca="false">IF(J35="","MISSING BILL",IF(AND(K35=N35,ABS(L35-M35)&lt;0.001,ABS(O35-P35)&lt;0.01),"RECONCILED","CALCULATION ERROR"))</f>
        <v>MISSING BILL</v>
      </c>
      <c r="S35" s="22" t="s">
        <v>1877</v>
      </c>
    </row>
    <row r="36" customFormat="false" ht="15" hidden="false" customHeight="false" outlineLevel="0" collapsed="false">
      <c r="A36" s="13" t="s">
        <v>1972</v>
      </c>
      <c r="B36" s="13" t="s">
        <v>90</v>
      </c>
      <c r="C36" s="13" t="s">
        <v>1872</v>
      </c>
      <c r="D36" s="13" t="s">
        <v>1873</v>
      </c>
      <c r="E36" s="13" t="s">
        <v>1973</v>
      </c>
      <c r="F36" s="14" t="s">
        <v>1974</v>
      </c>
      <c r="G36" s="14" t="s">
        <v>1975</v>
      </c>
      <c r="H36" s="20" t="n">
        <v>53.7</v>
      </c>
      <c r="I36" s="13" t="n">
        <v>70</v>
      </c>
      <c r="J36" s="13"/>
      <c r="K36" s="13"/>
      <c r="L36" s="21"/>
      <c r="M36" s="21" t="n">
        <f aca="false">IF(C36="covered",10.4,7.55)</f>
        <v>7.55</v>
      </c>
      <c r="N36" s="13" t="n">
        <f aca="false">MAX(ROUNDUP(H36,0),I36)</f>
        <v>70</v>
      </c>
      <c r="O36" s="21"/>
      <c r="P36" s="21" t="n">
        <f aca="false">ROUND(M36*N36,2)</f>
        <v>528.5</v>
      </c>
      <c r="Q36" s="21" t="n">
        <f aca="false">ROUND(P36-IF(O36="",0,O36),2)</f>
        <v>528.5</v>
      </c>
      <c r="R36" s="14" t="str">
        <f aca="false">IF(J36="","MISSING BILL",IF(AND(K36=N36,ABS(L36-M36)&lt;0.001,ABS(O36-P36)&lt;0.01),"RECONCILED","CALCULATION ERROR"))</f>
        <v>MISSING BILL</v>
      </c>
      <c r="S36" s="22" t="s">
        <v>1877</v>
      </c>
    </row>
    <row r="37" customFormat="false" ht="15" hidden="false" customHeight="false" outlineLevel="0" collapsed="false">
      <c r="A37" s="13" t="s">
        <v>1976</v>
      </c>
      <c r="B37" s="13" t="s">
        <v>90</v>
      </c>
      <c r="C37" s="13" t="s">
        <v>1872</v>
      </c>
      <c r="D37" s="13" t="s">
        <v>1873</v>
      </c>
      <c r="E37" s="13" t="s">
        <v>1977</v>
      </c>
      <c r="F37" s="14" t="s">
        <v>1978</v>
      </c>
      <c r="G37" s="14" t="s">
        <v>1979</v>
      </c>
      <c r="H37" s="20" t="n">
        <v>28.3</v>
      </c>
      <c r="I37" s="13" t="n">
        <v>24</v>
      </c>
      <c r="J37" s="13"/>
      <c r="K37" s="13"/>
      <c r="L37" s="21"/>
      <c r="M37" s="21" t="n">
        <f aca="false">IF(C37="covered",10.4,7.55)</f>
        <v>7.55</v>
      </c>
      <c r="N37" s="13" t="n">
        <f aca="false">MAX(ROUNDUP(H37,0),I37)</f>
        <v>29</v>
      </c>
      <c r="O37" s="21"/>
      <c r="P37" s="21" t="n">
        <f aca="false">ROUND(M37*N37,2)</f>
        <v>218.95</v>
      </c>
      <c r="Q37" s="21" t="n">
        <f aca="false">ROUND(P37-IF(O37="",0,O37),2)</f>
        <v>218.95</v>
      </c>
      <c r="R37" s="14" t="str">
        <f aca="false">IF(J37="","MISSING BILL",IF(AND(K37=N37,ABS(L37-M37)&lt;0.001,ABS(O37-P37)&lt;0.01),"RECONCILED","CALCULATION ERROR"))</f>
        <v>MISSING BILL</v>
      </c>
      <c r="S37" s="22" t="s">
        <v>1877</v>
      </c>
    </row>
    <row r="38" customFormat="false" ht="15" hidden="false" customHeight="false" outlineLevel="0" collapsed="false">
      <c r="A38" s="13" t="s">
        <v>1817</v>
      </c>
      <c r="B38" s="13" t="s">
        <v>90</v>
      </c>
      <c r="C38" s="13" t="s">
        <v>1872</v>
      </c>
      <c r="D38" s="13" t="s">
        <v>1873</v>
      </c>
      <c r="E38" s="13" t="s">
        <v>1980</v>
      </c>
      <c r="F38" s="14" t="s">
        <v>1981</v>
      </c>
      <c r="G38" s="14" t="s">
        <v>1982</v>
      </c>
      <c r="H38" s="20" t="n">
        <v>41.9</v>
      </c>
      <c r="I38" s="13" t="n">
        <v>32</v>
      </c>
      <c r="J38" s="13"/>
      <c r="K38" s="13"/>
      <c r="L38" s="21"/>
      <c r="M38" s="21" t="n">
        <f aca="false">IF(C38="covered",10.4,7.55)</f>
        <v>7.55</v>
      </c>
      <c r="N38" s="13" t="n">
        <f aca="false">MAX(ROUNDUP(H38,0),I38)</f>
        <v>42</v>
      </c>
      <c r="O38" s="21"/>
      <c r="P38" s="21" t="n">
        <f aca="false">ROUND(M38*N38,2)</f>
        <v>317.1</v>
      </c>
      <c r="Q38" s="21" t="n">
        <f aca="false">ROUND(P38-IF(O38="",0,O38),2)</f>
        <v>317.1</v>
      </c>
      <c r="R38" s="14" t="str">
        <f aca="false">IF(J38="","MISSING BILL",IF(AND(K38=N38,ABS(L38-M38)&lt;0.001,ABS(O38-P38)&lt;0.01),"RECONCILED","CALCULATION ERROR"))</f>
        <v>MISSING BILL</v>
      </c>
      <c r="S38" s="22" t="s">
        <v>1877</v>
      </c>
    </row>
    <row r="39" customFormat="false" ht="15" hidden="false" customHeight="false" outlineLevel="0" collapsed="false">
      <c r="A39" s="13" t="s">
        <v>1983</v>
      </c>
      <c r="B39" s="13" t="s">
        <v>90</v>
      </c>
      <c r="C39" s="13" t="s">
        <v>1872</v>
      </c>
      <c r="D39" s="13" t="s">
        <v>1873</v>
      </c>
      <c r="E39" s="13" t="s">
        <v>1984</v>
      </c>
      <c r="F39" s="14" t="s">
        <v>1985</v>
      </c>
      <c r="G39" s="14" t="s">
        <v>1986</v>
      </c>
      <c r="H39" s="20" t="n">
        <v>21</v>
      </c>
      <c r="I39" s="13" t="n">
        <v>32</v>
      </c>
      <c r="J39" s="13"/>
      <c r="K39" s="13"/>
      <c r="L39" s="21"/>
      <c r="M39" s="21" t="n">
        <f aca="false">IF(C39="covered",10.4,7.55)</f>
        <v>7.55</v>
      </c>
      <c r="N39" s="13" t="n">
        <f aca="false">MAX(ROUNDUP(H39,0),I39)</f>
        <v>32</v>
      </c>
      <c r="O39" s="21"/>
      <c r="P39" s="21" t="n">
        <f aca="false">ROUND(M39*N39,2)</f>
        <v>241.6</v>
      </c>
      <c r="Q39" s="21" t="n">
        <f aca="false">ROUND(P39-IF(O39="",0,O39),2)</f>
        <v>241.6</v>
      </c>
      <c r="R39" s="14" t="str">
        <f aca="false">IF(J39="","MISSING BILL",IF(AND(K39=N39,ABS(L39-M39)&lt;0.001,ABS(O39-P39)&lt;0.01),"RECONCILED","CALCULATION ERROR"))</f>
        <v>MISSING BILL</v>
      </c>
      <c r="S39" s="22" t="s">
        <v>1877</v>
      </c>
    </row>
    <row r="40" customFormat="false" ht="15" hidden="false" customHeight="false" outlineLevel="0" collapsed="false">
      <c r="A40" s="13" t="s">
        <v>1987</v>
      </c>
      <c r="B40" s="13" t="s">
        <v>90</v>
      </c>
      <c r="C40" s="13" t="s">
        <v>1872</v>
      </c>
      <c r="D40" s="13" t="s">
        <v>1873</v>
      </c>
      <c r="E40" s="13" t="s">
        <v>1988</v>
      </c>
      <c r="F40" s="14" t="s">
        <v>1989</v>
      </c>
      <c r="G40" s="14" t="s">
        <v>1990</v>
      </c>
      <c r="H40" s="20" t="n">
        <v>30.7</v>
      </c>
      <c r="I40" s="13" t="n">
        <v>28</v>
      </c>
      <c r="J40" s="13"/>
      <c r="K40" s="13"/>
      <c r="L40" s="21"/>
      <c r="M40" s="21" t="n">
        <f aca="false">IF(C40="covered",10.4,7.55)</f>
        <v>7.55</v>
      </c>
      <c r="N40" s="13" t="n">
        <f aca="false">MAX(ROUNDUP(H40,0),I40)</f>
        <v>31</v>
      </c>
      <c r="O40" s="21"/>
      <c r="P40" s="21" t="n">
        <f aca="false">ROUND(M40*N40,2)</f>
        <v>234.05</v>
      </c>
      <c r="Q40" s="21" t="n">
        <f aca="false">ROUND(P40-IF(O40="",0,O40),2)</f>
        <v>234.05</v>
      </c>
      <c r="R40" s="14" t="str">
        <f aca="false">IF(J40="","MISSING BILL",IF(AND(K40=N40,ABS(L40-M40)&lt;0.001,ABS(O40-P40)&lt;0.01),"RECONCILED","CALCULATION ERROR"))</f>
        <v>MISSING BILL</v>
      </c>
      <c r="S40" s="22" t="s">
        <v>1877</v>
      </c>
    </row>
    <row r="41" customFormat="false" ht="15" hidden="false" customHeight="false" outlineLevel="0" collapsed="false">
      <c r="A41" s="13" t="s">
        <v>1991</v>
      </c>
      <c r="B41" s="13" t="s">
        <v>90</v>
      </c>
      <c r="C41" s="13" t="s">
        <v>1872</v>
      </c>
      <c r="D41" s="13" t="s">
        <v>1873</v>
      </c>
      <c r="E41" s="13" t="s">
        <v>1992</v>
      </c>
      <c r="F41" s="14" t="s">
        <v>1993</v>
      </c>
      <c r="G41" s="14" t="s">
        <v>1994</v>
      </c>
      <c r="H41" s="20" t="n">
        <v>55.7</v>
      </c>
      <c r="I41" s="13" t="n">
        <v>32</v>
      </c>
      <c r="J41" s="13"/>
      <c r="K41" s="13"/>
      <c r="L41" s="21"/>
      <c r="M41" s="21" t="n">
        <f aca="false">IF(C41="covered",10.4,7.55)</f>
        <v>7.55</v>
      </c>
      <c r="N41" s="13" t="n">
        <f aca="false">MAX(ROUNDUP(H41,0),I41)</f>
        <v>56</v>
      </c>
      <c r="O41" s="21"/>
      <c r="P41" s="21" t="n">
        <f aca="false">ROUND(M41*N41,2)</f>
        <v>422.8</v>
      </c>
      <c r="Q41" s="21" t="n">
        <f aca="false">ROUND(P41-IF(O41="",0,O41),2)</f>
        <v>422.8</v>
      </c>
      <c r="R41" s="14" t="str">
        <f aca="false">IF(J41="","MISSING BILL",IF(AND(K41=N41,ABS(L41-M41)&lt;0.001,ABS(O41-P41)&lt;0.01),"RECONCILED","CALCULATION ERROR"))</f>
        <v>MISSING BILL</v>
      </c>
      <c r="S41" s="22" t="s">
        <v>1877</v>
      </c>
    </row>
    <row r="42" customFormat="false" ht="15" hidden="false" customHeight="false" outlineLevel="0" collapsed="false">
      <c r="A42" s="13" t="s">
        <v>130</v>
      </c>
      <c r="B42" s="13" t="s">
        <v>90</v>
      </c>
      <c r="C42" s="13" t="s">
        <v>1872</v>
      </c>
      <c r="D42" s="13" t="s">
        <v>1873</v>
      </c>
      <c r="E42" s="13" t="s">
        <v>1291</v>
      </c>
      <c r="F42" s="14" t="s">
        <v>1292</v>
      </c>
      <c r="G42" s="14" t="s">
        <v>1995</v>
      </c>
      <c r="H42" s="20" t="n">
        <v>58.3</v>
      </c>
      <c r="I42" s="13" t="n">
        <v>24</v>
      </c>
      <c r="J42" s="13"/>
      <c r="K42" s="13"/>
      <c r="L42" s="21"/>
      <c r="M42" s="21" t="n">
        <f aca="false">IF(C42="covered",10.4,7.55)</f>
        <v>7.55</v>
      </c>
      <c r="N42" s="13" t="n">
        <f aca="false">MAX(ROUNDUP(H42,0),I42)</f>
        <v>59</v>
      </c>
      <c r="O42" s="21"/>
      <c r="P42" s="21" t="n">
        <f aca="false">ROUND(M42*N42,2)</f>
        <v>445.45</v>
      </c>
      <c r="Q42" s="21" t="n">
        <f aca="false">ROUND(P42-IF(O42="",0,O42),2)</f>
        <v>445.45</v>
      </c>
      <c r="R42" s="14" t="str">
        <f aca="false">IF(J42="","MISSING BILL",IF(AND(K42=N42,ABS(L42-M42)&lt;0.001,ABS(O42-P42)&lt;0.01),"RECONCILED","CALCULATION ERROR"))</f>
        <v>MISSING BILL</v>
      </c>
      <c r="S42" s="22" t="s">
        <v>1877</v>
      </c>
    </row>
    <row r="43" customFormat="false" ht="15" hidden="false" customHeight="false" outlineLevel="0" collapsed="false">
      <c r="A43" s="13" t="s">
        <v>1996</v>
      </c>
      <c r="B43" s="13" t="s">
        <v>90</v>
      </c>
      <c r="C43" s="13" t="s">
        <v>1872</v>
      </c>
      <c r="D43" s="13" t="s">
        <v>1873</v>
      </c>
      <c r="E43" s="13" t="s">
        <v>1997</v>
      </c>
      <c r="F43" s="14" t="s">
        <v>1998</v>
      </c>
      <c r="G43" s="14" t="s">
        <v>1999</v>
      </c>
      <c r="H43" s="20" t="n">
        <v>50.2</v>
      </c>
      <c r="I43" s="13" t="n">
        <v>32</v>
      </c>
      <c r="J43" s="13"/>
      <c r="K43" s="13"/>
      <c r="L43" s="21"/>
      <c r="M43" s="21" t="n">
        <f aca="false">IF(C43="covered",10.4,7.55)</f>
        <v>7.55</v>
      </c>
      <c r="N43" s="13" t="n">
        <f aca="false">MAX(ROUNDUP(H43,0),I43)</f>
        <v>51</v>
      </c>
      <c r="O43" s="21"/>
      <c r="P43" s="21" t="n">
        <f aca="false">ROUND(M43*N43,2)</f>
        <v>385.05</v>
      </c>
      <c r="Q43" s="21" t="n">
        <f aca="false">ROUND(P43-IF(O43="",0,O43),2)</f>
        <v>385.05</v>
      </c>
      <c r="R43" s="14" t="str">
        <f aca="false">IF(J43="","MISSING BILL",IF(AND(K43=N43,ABS(L43-M43)&lt;0.001,ABS(O43-P43)&lt;0.01),"RECONCILED","CALCULATION ERROR"))</f>
        <v>MISSING BILL</v>
      </c>
      <c r="S43" s="22" t="s">
        <v>1877</v>
      </c>
    </row>
    <row r="44" customFormat="false" ht="15" hidden="false" customHeight="false" outlineLevel="0" collapsed="false">
      <c r="A44" s="13" t="s">
        <v>2000</v>
      </c>
      <c r="B44" s="13" t="s">
        <v>90</v>
      </c>
      <c r="C44" s="13" t="s">
        <v>1872</v>
      </c>
      <c r="D44" s="13" t="s">
        <v>1873</v>
      </c>
      <c r="E44" s="13" t="s">
        <v>2001</v>
      </c>
      <c r="F44" s="14" t="s">
        <v>2002</v>
      </c>
      <c r="G44" s="14" t="s">
        <v>2003</v>
      </c>
      <c r="H44" s="20" t="n">
        <v>30.5</v>
      </c>
      <c r="I44" s="13" t="n">
        <v>24</v>
      </c>
      <c r="J44" s="13"/>
      <c r="K44" s="13"/>
      <c r="L44" s="21"/>
      <c r="M44" s="21" t="n">
        <f aca="false">IF(C44="covered",10.4,7.55)</f>
        <v>7.55</v>
      </c>
      <c r="N44" s="13" t="n">
        <f aca="false">MAX(ROUNDUP(H44,0),I44)</f>
        <v>31</v>
      </c>
      <c r="O44" s="21"/>
      <c r="P44" s="21" t="n">
        <f aca="false">ROUND(M44*N44,2)</f>
        <v>234.05</v>
      </c>
      <c r="Q44" s="21" t="n">
        <f aca="false">ROUND(P44-IF(O44="",0,O44),2)</f>
        <v>234.05</v>
      </c>
      <c r="R44" s="14" t="str">
        <f aca="false">IF(J44="","MISSING BILL",IF(AND(K44=N44,ABS(L44-M44)&lt;0.001,ABS(O44-P44)&lt;0.01),"RECONCILED","CALCULATION ERROR"))</f>
        <v>MISSING BILL</v>
      </c>
      <c r="S44" s="22" t="s">
        <v>1877</v>
      </c>
    </row>
    <row r="45" customFormat="false" ht="15" hidden="false" customHeight="false" outlineLevel="0" collapsed="false">
      <c r="A45" s="13" t="s">
        <v>2004</v>
      </c>
      <c r="B45" s="13" t="s">
        <v>90</v>
      </c>
      <c r="C45" s="13" t="s">
        <v>1872</v>
      </c>
      <c r="D45" s="13" t="s">
        <v>1873</v>
      </c>
      <c r="E45" s="13" t="s">
        <v>2005</v>
      </c>
      <c r="F45" s="14" t="s">
        <v>2006</v>
      </c>
      <c r="G45" s="14" t="s">
        <v>2007</v>
      </c>
      <c r="H45" s="20" t="n">
        <v>28.6</v>
      </c>
      <c r="I45" s="13" t="n">
        <v>45</v>
      </c>
      <c r="J45" s="13"/>
      <c r="K45" s="13"/>
      <c r="L45" s="21"/>
      <c r="M45" s="21" t="n">
        <f aca="false">IF(C45="covered",10.4,7.55)</f>
        <v>7.55</v>
      </c>
      <c r="N45" s="13" t="n">
        <f aca="false">MAX(ROUNDUP(H45,0),I45)</f>
        <v>45</v>
      </c>
      <c r="O45" s="21"/>
      <c r="P45" s="21" t="n">
        <f aca="false">ROUND(M45*N45,2)</f>
        <v>339.75</v>
      </c>
      <c r="Q45" s="21" t="n">
        <f aca="false">ROUND(P45-IF(O45="",0,O45),2)</f>
        <v>339.75</v>
      </c>
      <c r="R45" s="14" t="str">
        <f aca="false">IF(J45="","MISSING BILL",IF(AND(K45=N45,ABS(L45-M45)&lt;0.001,ABS(O45-P45)&lt;0.01),"RECONCILED","CALCULATION ERROR"))</f>
        <v>MISSING BILL</v>
      </c>
      <c r="S45" s="22" t="s">
        <v>1877</v>
      </c>
    </row>
    <row r="46" customFormat="false" ht="15" hidden="false" customHeight="false" outlineLevel="0" collapsed="false">
      <c r="A46" s="13" t="s">
        <v>1655</v>
      </c>
      <c r="B46" s="13" t="s">
        <v>90</v>
      </c>
      <c r="C46" s="13" t="s">
        <v>1872</v>
      </c>
      <c r="D46" s="13" t="s">
        <v>1873</v>
      </c>
      <c r="E46" s="13" t="s">
        <v>2008</v>
      </c>
      <c r="F46" s="14" t="s">
        <v>2009</v>
      </c>
      <c r="G46" s="14" t="s">
        <v>2010</v>
      </c>
      <c r="H46" s="20" t="n">
        <v>39.9</v>
      </c>
      <c r="I46" s="13" t="n">
        <v>70</v>
      </c>
      <c r="J46" s="13"/>
      <c r="K46" s="13"/>
      <c r="L46" s="21"/>
      <c r="M46" s="21" t="n">
        <f aca="false">IF(C46="covered",10.4,7.55)</f>
        <v>7.55</v>
      </c>
      <c r="N46" s="13" t="n">
        <f aca="false">MAX(ROUNDUP(H46,0),I46)</f>
        <v>70</v>
      </c>
      <c r="O46" s="21"/>
      <c r="P46" s="21" t="n">
        <f aca="false">ROUND(M46*N46,2)</f>
        <v>528.5</v>
      </c>
      <c r="Q46" s="21" t="n">
        <f aca="false">ROUND(P46-IF(O46="",0,O46),2)</f>
        <v>528.5</v>
      </c>
      <c r="R46" s="14" t="str">
        <f aca="false">IF(J46="","MISSING BILL",IF(AND(K46=N46,ABS(L46-M46)&lt;0.001,ABS(O46-P46)&lt;0.01),"RECONCILED","CALCULATION ERROR"))</f>
        <v>MISSING BILL</v>
      </c>
      <c r="S46" s="22" t="s">
        <v>1877</v>
      </c>
    </row>
    <row r="47" customFormat="false" ht="15" hidden="false" customHeight="false" outlineLevel="0" collapsed="false">
      <c r="A47" s="13" t="s">
        <v>2011</v>
      </c>
      <c r="B47" s="13" t="s">
        <v>90</v>
      </c>
      <c r="C47" s="13" t="s">
        <v>1872</v>
      </c>
      <c r="D47" s="13" t="s">
        <v>1873</v>
      </c>
      <c r="E47" s="13" t="s">
        <v>2012</v>
      </c>
      <c r="F47" s="14" t="s">
        <v>2013</v>
      </c>
      <c r="G47" s="14" t="s">
        <v>2014</v>
      </c>
      <c r="H47" s="20" t="n">
        <v>36.1</v>
      </c>
      <c r="I47" s="13" t="n">
        <v>28</v>
      </c>
      <c r="J47" s="13"/>
      <c r="K47" s="13"/>
      <c r="L47" s="21"/>
      <c r="M47" s="21" t="n">
        <f aca="false">IF(C47="covered",10.4,7.55)</f>
        <v>7.55</v>
      </c>
      <c r="N47" s="13" t="n">
        <f aca="false">MAX(ROUNDUP(H47,0),I47)</f>
        <v>37</v>
      </c>
      <c r="O47" s="21"/>
      <c r="P47" s="21" t="n">
        <f aca="false">ROUND(M47*N47,2)</f>
        <v>279.35</v>
      </c>
      <c r="Q47" s="21" t="n">
        <f aca="false">ROUND(P47-IF(O47="",0,O47),2)</f>
        <v>279.35</v>
      </c>
      <c r="R47" s="14" t="str">
        <f aca="false">IF(J47="","MISSING BILL",IF(AND(K47=N47,ABS(L47-M47)&lt;0.001,ABS(O47-P47)&lt;0.01),"RECONCILED","CALCULATION ERROR"))</f>
        <v>MISSING BILL</v>
      </c>
      <c r="S47" s="22" t="s">
        <v>1877</v>
      </c>
    </row>
    <row r="48" customFormat="false" ht="15" hidden="false" customHeight="false" outlineLevel="0" collapsed="false">
      <c r="A48" s="13" t="s">
        <v>1419</v>
      </c>
      <c r="B48" s="13" t="s">
        <v>90</v>
      </c>
      <c r="C48" s="13" t="s">
        <v>1872</v>
      </c>
      <c r="D48" s="13" t="s">
        <v>1873</v>
      </c>
      <c r="E48" s="13" t="s">
        <v>2015</v>
      </c>
      <c r="F48" s="14" t="s">
        <v>2016</v>
      </c>
      <c r="G48" s="14" t="s">
        <v>2017</v>
      </c>
      <c r="H48" s="20" t="n">
        <v>53.2</v>
      </c>
      <c r="I48" s="13" t="n">
        <v>60</v>
      </c>
      <c r="J48" s="13"/>
      <c r="K48" s="13"/>
      <c r="L48" s="21"/>
      <c r="M48" s="21" t="n">
        <f aca="false">IF(C48="covered",10.4,7.55)</f>
        <v>7.55</v>
      </c>
      <c r="N48" s="13" t="n">
        <f aca="false">MAX(ROUNDUP(H48,0),I48)</f>
        <v>60</v>
      </c>
      <c r="O48" s="21"/>
      <c r="P48" s="21" t="n">
        <f aca="false">ROUND(M48*N48,2)</f>
        <v>453</v>
      </c>
      <c r="Q48" s="21" t="n">
        <f aca="false">ROUND(P48-IF(O48="",0,O48),2)</f>
        <v>453</v>
      </c>
      <c r="R48" s="14" t="str">
        <f aca="false">IF(J48="","MISSING BILL",IF(AND(K48=N48,ABS(L48-M48)&lt;0.001,ABS(O48-P48)&lt;0.01),"RECONCILED","CALCULATION ERROR"))</f>
        <v>MISSING BILL</v>
      </c>
      <c r="S48" s="22" t="s">
        <v>1877</v>
      </c>
    </row>
    <row r="49" customFormat="false" ht="15" hidden="false" customHeight="false" outlineLevel="0" collapsed="false">
      <c r="A49" s="13" t="s">
        <v>2018</v>
      </c>
      <c r="B49" s="13" t="s">
        <v>90</v>
      </c>
      <c r="C49" s="13" t="s">
        <v>1872</v>
      </c>
      <c r="D49" s="13" t="s">
        <v>1873</v>
      </c>
      <c r="E49" s="13" t="s">
        <v>2019</v>
      </c>
      <c r="F49" s="14" t="s">
        <v>2020</v>
      </c>
      <c r="G49" s="14" t="s">
        <v>1893</v>
      </c>
      <c r="H49" s="20" t="n">
        <v>34.2</v>
      </c>
      <c r="I49" s="13" t="n">
        <v>70</v>
      </c>
      <c r="J49" s="13"/>
      <c r="K49" s="13"/>
      <c r="L49" s="21"/>
      <c r="M49" s="21" t="n">
        <f aca="false">IF(C49="covered",10.4,7.55)</f>
        <v>7.55</v>
      </c>
      <c r="N49" s="13" t="n">
        <f aca="false">MAX(ROUNDUP(H49,0),I49)</f>
        <v>70</v>
      </c>
      <c r="O49" s="21"/>
      <c r="P49" s="21" t="n">
        <f aca="false">ROUND(M49*N49,2)</f>
        <v>528.5</v>
      </c>
      <c r="Q49" s="21" t="n">
        <f aca="false">ROUND(P49-IF(O49="",0,O49),2)</f>
        <v>528.5</v>
      </c>
      <c r="R49" s="14" t="str">
        <f aca="false">IF(J49="","MISSING BILL",IF(AND(K49=N49,ABS(L49-M49)&lt;0.001,ABS(O49-P49)&lt;0.01),"RECONCILED","CALCULATION ERROR"))</f>
        <v>MISSING BILL</v>
      </c>
      <c r="S49" s="22" t="s">
        <v>1877</v>
      </c>
    </row>
    <row r="50" customFormat="false" ht="15" hidden="false" customHeight="false" outlineLevel="0" collapsed="false">
      <c r="A50" s="13" t="s">
        <v>2021</v>
      </c>
      <c r="B50" s="13" t="s">
        <v>90</v>
      </c>
      <c r="C50" s="13" t="s">
        <v>1872</v>
      </c>
      <c r="D50" s="13" t="s">
        <v>1873</v>
      </c>
      <c r="E50" s="13" t="s">
        <v>2022</v>
      </c>
      <c r="F50" s="14" t="s">
        <v>2023</v>
      </c>
      <c r="G50" s="14" t="s">
        <v>2024</v>
      </c>
      <c r="H50" s="20" t="n">
        <v>36.4</v>
      </c>
      <c r="I50" s="13" t="n">
        <v>32</v>
      </c>
      <c r="J50" s="13"/>
      <c r="K50" s="13"/>
      <c r="L50" s="21"/>
      <c r="M50" s="21" t="n">
        <f aca="false">IF(C50="covered",10.4,7.55)</f>
        <v>7.55</v>
      </c>
      <c r="N50" s="13" t="n">
        <f aca="false">MAX(ROUNDUP(H50,0),I50)</f>
        <v>37</v>
      </c>
      <c r="O50" s="21"/>
      <c r="P50" s="21" t="n">
        <f aca="false">ROUND(M50*N50,2)</f>
        <v>279.35</v>
      </c>
      <c r="Q50" s="21" t="n">
        <f aca="false">ROUND(P50-IF(O50="",0,O50),2)</f>
        <v>279.35</v>
      </c>
      <c r="R50" s="14" t="str">
        <f aca="false">IF(J50="","MISSING BILL",IF(AND(K50=N50,ABS(L50-M50)&lt;0.001,ABS(O50-P50)&lt;0.01),"RECONCILED","CALCULATION ERROR"))</f>
        <v>MISSING BILL</v>
      </c>
      <c r="S50" s="22" t="s">
        <v>1877</v>
      </c>
    </row>
    <row r="51" customFormat="false" ht="15" hidden="false" customHeight="false" outlineLevel="0" collapsed="false">
      <c r="A51" s="13" t="s">
        <v>481</v>
      </c>
      <c r="B51" s="13" t="s">
        <v>90</v>
      </c>
      <c r="C51" s="13" t="s">
        <v>1872</v>
      </c>
      <c r="D51" s="13" t="s">
        <v>1873</v>
      </c>
      <c r="E51" s="13" t="s">
        <v>2025</v>
      </c>
      <c r="F51" s="14" t="s">
        <v>2026</v>
      </c>
      <c r="G51" s="14" t="s">
        <v>2027</v>
      </c>
      <c r="H51" s="20" t="n">
        <v>53.6</v>
      </c>
      <c r="I51" s="13" t="n">
        <v>32</v>
      </c>
      <c r="J51" s="13"/>
      <c r="K51" s="13"/>
      <c r="L51" s="21"/>
      <c r="M51" s="21" t="n">
        <f aca="false">IF(C51="covered",10.4,7.55)</f>
        <v>7.55</v>
      </c>
      <c r="N51" s="13" t="n">
        <f aca="false">MAX(ROUNDUP(H51,0),I51)</f>
        <v>54</v>
      </c>
      <c r="O51" s="21"/>
      <c r="P51" s="21" t="n">
        <f aca="false">ROUND(M51*N51,2)</f>
        <v>407.7</v>
      </c>
      <c r="Q51" s="21" t="n">
        <f aca="false">ROUND(P51-IF(O51="",0,O51),2)</f>
        <v>407.7</v>
      </c>
      <c r="R51" s="14" t="str">
        <f aca="false">IF(J51="","MISSING BILL",IF(AND(K51=N51,ABS(L51-M51)&lt;0.001,ABS(O51-P51)&lt;0.01),"RECONCILED","CALCULATION ERROR"))</f>
        <v>MISSING BILL</v>
      </c>
      <c r="S51" s="22" t="s">
        <v>1877</v>
      </c>
    </row>
    <row r="52" customFormat="false" ht="15" hidden="false" customHeight="false" outlineLevel="0" collapsed="false">
      <c r="A52" s="13" t="s">
        <v>2028</v>
      </c>
      <c r="B52" s="13" t="s">
        <v>90</v>
      </c>
      <c r="C52" s="13" t="s">
        <v>1872</v>
      </c>
      <c r="D52" s="13" t="s">
        <v>1873</v>
      </c>
      <c r="E52" s="13" t="s">
        <v>602</v>
      </c>
      <c r="F52" s="14" t="s">
        <v>603</v>
      </c>
      <c r="G52" s="14" t="s">
        <v>2029</v>
      </c>
      <c r="H52" s="20" t="n">
        <v>43.6</v>
      </c>
      <c r="I52" s="13" t="n">
        <v>50</v>
      </c>
      <c r="J52" s="13"/>
      <c r="K52" s="13"/>
      <c r="L52" s="21"/>
      <c r="M52" s="21" t="n">
        <f aca="false">IF(C52="covered",10.4,7.55)</f>
        <v>7.55</v>
      </c>
      <c r="N52" s="13" t="n">
        <f aca="false">MAX(ROUNDUP(H52,0),I52)</f>
        <v>50</v>
      </c>
      <c r="O52" s="21"/>
      <c r="P52" s="21" t="n">
        <f aca="false">ROUND(M52*N52,2)</f>
        <v>377.5</v>
      </c>
      <c r="Q52" s="21" t="n">
        <f aca="false">ROUND(P52-IF(O52="",0,O52),2)</f>
        <v>377.5</v>
      </c>
      <c r="R52" s="14" t="str">
        <f aca="false">IF(J52="","MISSING BILL",IF(AND(K52=N52,ABS(L52-M52)&lt;0.001,ABS(O52-P52)&lt;0.01),"RECONCILED","CALCULATION ERROR"))</f>
        <v>MISSING BILL</v>
      </c>
      <c r="S52" s="22" t="s">
        <v>1877</v>
      </c>
    </row>
    <row r="53" customFormat="false" ht="15" hidden="false" customHeight="false" outlineLevel="0" collapsed="false">
      <c r="A53" s="13" t="s">
        <v>574</v>
      </c>
      <c r="B53" s="13" t="s">
        <v>90</v>
      </c>
      <c r="C53" s="13" t="s">
        <v>1872</v>
      </c>
      <c r="D53" s="13" t="s">
        <v>1873</v>
      </c>
      <c r="E53" s="13" t="s">
        <v>2030</v>
      </c>
      <c r="F53" s="14" t="s">
        <v>2031</v>
      </c>
      <c r="G53" s="14" t="s">
        <v>2032</v>
      </c>
      <c r="H53" s="20" t="n">
        <v>58.6</v>
      </c>
      <c r="I53" s="13" t="n">
        <v>24</v>
      </c>
      <c r="J53" s="13"/>
      <c r="K53" s="13"/>
      <c r="L53" s="21"/>
      <c r="M53" s="21" t="n">
        <f aca="false">IF(C53="covered",10.4,7.55)</f>
        <v>7.55</v>
      </c>
      <c r="N53" s="13" t="n">
        <f aca="false">MAX(ROUNDUP(H53,0),I53)</f>
        <v>59</v>
      </c>
      <c r="O53" s="21"/>
      <c r="P53" s="21" t="n">
        <f aca="false">ROUND(M53*N53,2)</f>
        <v>445.45</v>
      </c>
      <c r="Q53" s="21" t="n">
        <f aca="false">ROUND(P53-IF(O53="",0,O53),2)</f>
        <v>445.45</v>
      </c>
      <c r="R53" s="14" t="str">
        <f aca="false">IF(J53="","MISSING BILL",IF(AND(K53=N53,ABS(L53-M53)&lt;0.001,ABS(O53-P53)&lt;0.01),"RECONCILED","CALCULATION ERROR"))</f>
        <v>MISSING BILL</v>
      </c>
      <c r="S53" s="22" t="s">
        <v>1877</v>
      </c>
    </row>
    <row r="54" customFormat="false" ht="15" hidden="false" customHeight="false" outlineLevel="0" collapsed="false">
      <c r="A54" s="13" t="s">
        <v>2033</v>
      </c>
      <c r="B54" s="13" t="s">
        <v>90</v>
      </c>
      <c r="C54" s="13" t="s">
        <v>1872</v>
      </c>
      <c r="D54" s="13" t="s">
        <v>1873</v>
      </c>
      <c r="E54" s="13" t="s">
        <v>2034</v>
      </c>
      <c r="F54" s="14" t="s">
        <v>2035</v>
      </c>
      <c r="G54" s="14" t="s">
        <v>2036</v>
      </c>
      <c r="H54" s="20" t="n">
        <v>33.4</v>
      </c>
      <c r="I54" s="13" t="n">
        <v>80</v>
      </c>
      <c r="J54" s="13"/>
      <c r="K54" s="13"/>
      <c r="L54" s="21"/>
      <c r="M54" s="21" t="n">
        <f aca="false">IF(C54="covered",10.4,7.55)</f>
        <v>7.55</v>
      </c>
      <c r="N54" s="13" t="n">
        <f aca="false">MAX(ROUNDUP(H54,0),I54)</f>
        <v>80</v>
      </c>
      <c r="O54" s="21"/>
      <c r="P54" s="21" t="n">
        <f aca="false">ROUND(M54*N54,2)</f>
        <v>604</v>
      </c>
      <c r="Q54" s="21" t="n">
        <f aca="false">ROUND(P54-IF(O54="",0,O54),2)</f>
        <v>604</v>
      </c>
      <c r="R54" s="14" t="str">
        <f aca="false">IF(J54="","MISSING BILL",IF(AND(K54=N54,ABS(L54-M54)&lt;0.001,ABS(O54-P54)&lt;0.01),"RECONCILED","CALCULATION ERROR"))</f>
        <v>MISSING BILL</v>
      </c>
      <c r="S54" s="22" t="s">
        <v>1877</v>
      </c>
    </row>
    <row r="55" customFormat="false" ht="15" hidden="false" customHeight="false" outlineLevel="0" collapsed="false">
      <c r="A55" s="13" t="s">
        <v>2037</v>
      </c>
      <c r="B55" s="13" t="s">
        <v>90</v>
      </c>
      <c r="C55" s="13" t="s">
        <v>1872</v>
      </c>
      <c r="D55" s="13" t="s">
        <v>1873</v>
      </c>
      <c r="E55" s="13" t="s">
        <v>2038</v>
      </c>
      <c r="F55" s="14" t="s">
        <v>2039</v>
      </c>
      <c r="G55" s="14" t="s">
        <v>2040</v>
      </c>
      <c r="H55" s="20" t="n">
        <v>39.3</v>
      </c>
      <c r="I55" s="13" t="n">
        <v>24</v>
      </c>
      <c r="J55" s="13"/>
      <c r="K55" s="13"/>
      <c r="L55" s="21"/>
      <c r="M55" s="21" t="n">
        <f aca="false">IF(C55="covered",10.4,7.55)</f>
        <v>7.55</v>
      </c>
      <c r="N55" s="13" t="n">
        <f aca="false">MAX(ROUNDUP(H55,0),I55)</f>
        <v>40</v>
      </c>
      <c r="O55" s="21"/>
      <c r="P55" s="21" t="n">
        <f aca="false">ROUND(M55*N55,2)</f>
        <v>302</v>
      </c>
      <c r="Q55" s="21" t="n">
        <f aca="false">ROUND(P55-IF(O55="",0,O55),2)</f>
        <v>302</v>
      </c>
      <c r="R55" s="14" t="str">
        <f aca="false">IF(J55="","MISSING BILL",IF(AND(K55=N55,ABS(L55-M55)&lt;0.001,ABS(O55-P55)&lt;0.01),"RECONCILED","CALCULATION ERROR"))</f>
        <v>MISSING BILL</v>
      </c>
      <c r="S55" s="22" t="s">
        <v>1877</v>
      </c>
    </row>
    <row r="56" customFormat="false" ht="15" hidden="false" customHeight="false" outlineLevel="0" collapsed="false">
      <c r="A56" s="13" t="s">
        <v>89</v>
      </c>
      <c r="B56" s="13" t="s">
        <v>90</v>
      </c>
      <c r="C56" s="13" t="s">
        <v>1872</v>
      </c>
      <c r="D56" s="13" t="s">
        <v>1873</v>
      </c>
      <c r="E56" s="13" t="s">
        <v>2041</v>
      </c>
      <c r="F56" s="14" t="s">
        <v>2042</v>
      </c>
      <c r="G56" s="14" t="s">
        <v>2043</v>
      </c>
      <c r="H56" s="20" t="n">
        <v>28.7</v>
      </c>
      <c r="I56" s="13" t="n">
        <v>70</v>
      </c>
      <c r="J56" s="13"/>
      <c r="K56" s="13"/>
      <c r="L56" s="21"/>
      <c r="M56" s="21" t="n">
        <f aca="false">IF(C56="covered",10.4,7.55)</f>
        <v>7.55</v>
      </c>
      <c r="N56" s="13" t="n">
        <f aca="false">MAX(ROUNDUP(H56,0),I56)</f>
        <v>70</v>
      </c>
      <c r="O56" s="21"/>
      <c r="P56" s="21" t="n">
        <f aca="false">ROUND(M56*N56,2)</f>
        <v>528.5</v>
      </c>
      <c r="Q56" s="21" t="n">
        <f aca="false">ROUND(P56-IF(O56="",0,O56),2)</f>
        <v>528.5</v>
      </c>
      <c r="R56" s="14" t="str">
        <f aca="false">IF(J56="","MISSING BILL",IF(AND(K56=N56,ABS(L56-M56)&lt;0.001,ABS(O56-P56)&lt;0.01),"RECONCILED","CALCULATION ERROR"))</f>
        <v>MISSING BILL</v>
      </c>
      <c r="S56" s="22" t="s">
        <v>1877</v>
      </c>
    </row>
    <row r="57" customFormat="false" ht="15" hidden="false" customHeight="false" outlineLevel="0" collapsed="false">
      <c r="A57" s="13" t="s">
        <v>2044</v>
      </c>
      <c r="B57" s="13" t="s">
        <v>90</v>
      </c>
      <c r="C57" s="13" t="s">
        <v>1872</v>
      </c>
      <c r="D57" s="13" t="s">
        <v>1873</v>
      </c>
      <c r="E57" s="13" t="s">
        <v>2045</v>
      </c>
      <c r="F57" s="14" t="s">
        <v>2046</v>
      </c>
      <c r="G57" s="14" t="s">
        <v>2047</v>
      </c>
      <c r="H57" s="20" t="n">
        <v>43.8</v>
      </c>
      <c r="I57" s="13" t="n">
        <v>36</v>
      </c>
      <c r="J57" s="13"/>
      <c r="K57" s="13"/>
      <c r="L57" s="21"/>
      <c r="M57" s="21" t="n">
        <f aca="false">IF(C57="covered",10.4,7.55)</f>
        <v>7.55</v>
      </c>
      <c r="N57" s="13" t="n">
        <f aca="false">MAX(ROUNDUP(H57,0),I57)</f>
        <v>44</v>
      </c>
      <c r="O57" s="21"/>
      <c r="P57" s="21" t="n">
        <f aca="false">ROUND(M57*N57,2)</f>
        <v>332.2</v>
      </c>
      <c r="Q57" s="21" t="n">
        <f aca="false">ROUND(P57-IF(O57="",0,O57),2)</f>
        <v>332.2</v>
      </c>
      <c r="R57" s="14" t="str">
        <f aca="false">IF(J57="","MISSING BILL",IF(AND(K57=N57,ABS(L57-M57)&lt;0.001,ABS(O57-P57)&lt;0.01),"RECONCILED","CALCULATION ERROR"))</f>
        <v>MISSING BILL</v>
      </c>
      <c r="S57" s="22" t="s">
        <v>1877</v>
      </c>
    </row>
    <row r="58" customFormat="false" ht="15" hidden="false" customHeight="false" outlineLevel="0" collapsed="false">
      <c r="A58" s="13" t="s">
        <v>2048</v>
      </c>
      <c r="B58" s="13" t="s">
        <v>90</v>
      </c>
      <c r="C58" s="13" t="s">
        <v>1872</v>
      </c>
      <c r="D58" s="13" t="s">
        <v>1873</v>
      </c>
      <c r="E58" s="13" t="s">
        <v>2049</v>
      </c>
      <c r="F58" s="14" t="s">
        <v>2050</v>
      </c>
      <c r="G58" s="14" t="s">
        <v>2051</v>
      </c>
      <c r="H58" s="20" t="n">
        <v>40.5</v>
      </c>
      <c r="I58" s="13" t="n">
        <v>45</v>
      </c>
      <c r="J58" s="13"/>
      <c r="K58" s="13"/>
      <c r="L58" s="21"/>
      <c r="M58" s="21" t="n">
        <f aca="false">IF(C58="covered",10.4,7.55)</f>
        <v>7.55</v>
      </c>
      <c r="N58" s="13" t="n">
        <f aca="false">MAX(ROUNDUP(H58,0),I58)</f>
        <v>45</v>
      </c>
      <c r="O58" s="21"/>
      <c r="P58" s="21" t="n">
        <f aca="false">ROUND(M58*N58,2)</f>
        <v>339.75</v>
      </c>
      <c r="Q58" s="21" t="n">
        <f aca="false">ROUND(P58-IF(O58="",0,O58),2)</f>
        <v>339.75</v>
      </c>
      <c r="R58" s="14" t="str">
        <f aca="false">IF(J58="","MISSING BILL",IF(AND(K58=N58,ABS(L58-M58)&lt;0.001,ABS(O58-P58)&lt;0.01),"RECONCILED","CALCULATION ERROR"))</f>
        <v>MISSING BILL</v>
      </c>
      <c r="S58" s="22" t="s">
        <v>1877</v>
      </c>
    </row>
    <row r="59" customFormat="false" ht="15" hidden="false" customHeight="false" outlineLevel="0" collapsed="false">
      <c r="A59" s="13" t="s">
        <v>2052</v>
      </c>
      <c r="B59" s="13" t="s">
        <v>90</v>
      </c>
      <c r="C59" s="13" t="s">
        <v>1872</v>
      </c>
      <c r="D59" s="13" t="s">
        <v>1873</v>
      </c>
      <c r="E59" s="13" t="s">
        <v>1104</v>
      </c>
      <c r="F59" s="14" t="s">
        <v>1105</v>
      </c>
      <c r="G59" s="14" t="s">
        <v>2053</v>
      </c>
      <c r="H59" s="20" t="n">
        <v>48.3</v>
      </c>
      <c r="I59" s="13" t="n">
        <v>45</v>
      </c>
      <c r="J59" s="13"/>
      <c r="K59" s="13"/>
      <c r="L59" s="21"/>
      <c r="M59" s="21" t="n">
        <f aca="false">IF(C59="covered",10.4,7.55)</f>
        <v>7.55</v>
      </c>
      <c r="N59" s="13" t="n">
        <f aca="false">MAX(ROUNDUP(H59,0),I59)</f>
        <v>49</v>
      </c>
      <c r="O59" s="21"/>
      <c r="P59" s="21" t="n">
        <f aca="false">ROUND(M59*N59,2)</f>
        <v>369.95</v>
      </c>
      <c r="Q59" s="21" t="n">
        <f aca="false">ROUND(P59-IF(O59="",0,O59),2)</f>
        <v>369.95</v>
      </c>
      <c r="R59" s="14" t="str">
        <f aca="false">IF(J59="","MISSING BILL",IF(AND(K59=N59,ABS(L59-M59)&lt;0.001,ABS(O59-P59)&lt;0.01),"RECONCILED","CALCULATION ERROR"))</f>
        <v>MISSING BILL</v>
      </c>
      <c r="S59" s="22" t="s">
        <v>1877</v>
      </c>
    </row>
    <row r="60" customFormat="false" ht="15" hidden="false" customHeight="false" outlineLevel="0" collapsed="false">
      <c r="A60" s="13" t="s">
        <v>2054</v>
      </c>
      <c r="B60" s="13" t="s">
        <v>90</v>
      </c>
      <c r="C60" s="13" t="s">
        <v>1872</v>
      </c>
      <c r="D60" s="13" t="s">
        <v>1873</v>
      </c>
      <c r="E60" s="13" t="s">
        <v>2055</v>
      </c>
      <c r="F60" s="14" t="s">
        <v>2056</v>
      </c>
      <c r="G60" s="14" t="s">
        <v>2057</v>
      </c>
      <c r="H60" s="20" t="n">
        <v>45</v>
      </c>
      <c r="I60" s="13" t="n">
        <v>80</v>
      </c>
      <c r="J60" s="13"/>
      <c r="K60" s="13"/>
      <c r="L60" s="21"/>
      <c r="M60" s="21" t="n">
        <f aca="false">IF(C60="covered",10.4,7.55)</f>
        <v>7.55</v>
      </c>
      <c r="N60" s="13" t="n">
        <f aca="false">MAX(ROUNDUP(H60,0),I60)</f>
        <v>80</v>
      </c>
      <c r="O60" s="21"/>
      <c r="P60" s="21" t="n">
        <f aca="false">ROUND(M60*N60,2)</f>
        <v>604</v>
      </c>
      <c r="Q60" s="21" t="n">
        <f aca="false">ROUND(P60-IF(O60="",0,O60),2)</f>
        <v>604</v>
      </c>
      <c r="R60" s="14" t="str">
        <f aca="false">IF(J60="","MISSING BILL",IF(AND(K60=N60,ABS(L60-M60)&lt;0.001,ABS(O60-P60)&lt;0.01),"RECONCILED","CALCULATION ERROR"))</f>
        <v>MISSING BILL</v>
      </c>
      <c r="S60" s="22" t="s">
        <v>1877</v>
      </c>
    </row>
    <row r="61" customFormat="false" ht="15" hidden="false" customHeight="false" outlineLevel="0" collapsed="false">
      <c r="A61" s="13" t="s">
        <v>2058</v>
      </c>
      <c r="B61" s="13" t="s">
        <v>90</v>
      </c>
      <c r="C61" s="13" t="s">
        <v>1872</v>
      </c>
      <c r="D61" s="13" t="s">
        <v>1873</v>
      </c>
      <c r="E61" s="13" t="s">
        <v>2059</v>
      </c>
      <c r="F61" s="14" t="s">
        <v>2060</v>
      </c>
      <c r="G61" s="14" t="s">
        <v>2061</v>
      </c>
      <c r="H61" s="20" t="n">
        <v>40.5</v>
      </c>
      <c r="I61" s="13" t="n">
        <v>28</v>
      </c>
      <c r="J61" s="13"/>
      <c r="K61" s="13"/>
      <c r="L61" s="21"/>
      <c r="M61" s="21" t="n">
        <f aca="false">IF(C61="covered",10.4,7.55)</f>
        <v>7.55</v>
      </c>
      <c r="N61" s="13" t="n">
        <f aca="false">MAX(ROUNDUP(H61,0),I61)</f>
        <v>41</v>
      </c>
      <c r="O61" s="21"/>
      <c r="P61" s="21" t="n">
        <f aca="false">ROUND(M61*N61,2)</f>
        <v>309.55</v>
      </c>
      <c r="Q61" s="21" t="n">
        <f aca="false">ROUND(P61-IF(O61="",0,O61),2)</f>
        <v>309.55</v>
      </c>
      <c r="R61" s="14" t="str">
        <f aca="false">IF(J61="","MISSING BILL",IF(AND(K61=N61,ABS(L61-M61)&lt;0.001,ABS(O61-P61)&lt;0.01),"RECONCILED","CALCULATION ERROR"))</f>
        <v>MISSING BILL</v>
      </c>
      <c r="S61" s="22" t="s">
        <v>1877</v>
      </c>
    </row>
    <row r="62" customFormat="false" ht="15" hidden="false" customHeight="false" outlineLevel="0" collapsed="false">
      <c r="A62" s="13" t="s">
        <v>2062</v>
      </c>
      <c r="B62" s="13" t="s">
        <v>90</v>
      </c>
      <c r="C62" s="13" t="s">
        <v>1872</v>
      </c>
      <c r="D62" s="13" t="s">
        <v>1873</v>
      </c>
      <c r="E62" s="13" t="s">
        <v>2063</v>
      </c>
      <c r="F62" s="14" t="s">
        <v>2064</v>
      </c>
      <c r="G62" s="14" t="s">
        <v>2065</v>
      </c>
      <c r="H62" s="20" t="n">
        <v>34.6</v>
      </c>
      <c r="I62" s="13" t="n">
        <v>24</v>
      </c>
      <c r="J62" s="13"/>
      <c r="K62" s="13"/>
      <c r="L62" s="21"/>
      <c r="M62" s="21" t="n">
        <f aca="false">IF(C62="covered",10.4,7.55)</f>
        <v>7.55</v>
      </c>
      <c r="N62" s="13" t="n">
        <f aca="false">MAX(ROUNDUP(H62,0),I62)</f>
        <v>35</v>
      </c>
      <c r="O62" s="21"/>
      <c r="P62" s="21" t="n">
        <f aca="false">ROUND(M62*N62,2)</f>
        <v>264.25</v>
      </c>
      <c r="Q62" s="21" t="n">
        <f aca="false">ROUND(P62-IF(O62="",0,O62),2)</f>
        <v>264.25</v>
      </c>
      <c r="R62" s="14" t="str">
        <f aca="false">IF(J62="","MISSING BILL",IF(AND(K62=N62,ABS(L62-M62)&lt;0.001,ABS(O62-P62)&lt;0.01),"RECONCILED","CALCULATION ERROR"))</f>
        <v>MISSING BILL</v>
      </c>
      <c r="S62" s="22" t="s">
        <v>1877</v>
      </c>
    </row>
    <row r="63" customFormat="false" ht="15" hidden="false" customHeight="false" outlineLevel="0" collapsed="false">
      <c r="A63" s="13" t="s">
        <v>2066</v>
      </c>
      <c r="B63" s="13" t="s">
        <v>90</v>
      </c>
      <c r="C63" s="13" t="s">
        <v>1872</v>
      </c>
      <c r="D63" s="13" t="s">
        <v>1873</v>
      </c>
      <c r="E63" s="13" t="s">
        <v>2067</v>
      </c>
      <c r="F63" s="14" t="s">
        <v>2068</v>
      </c>
      <c r="G63" s="14" t="s">
        <v>2069</v>
      </c>
      <c r="H63" s="20" t="n">
        <v>27.9</v>
      </c>
      <c r="I63" s="13" t="n">
        <v>24</v>
      </c>
      <c r="J63" s="13"/>
      <c r="K63" s="13"/>
      <c r="L63" s="21"/>
      <c r="M63" s="21" t="n">
        <f aca="false">IF(C63="covered",10.4,7.55)</f>
        <v>7.55</v>
      </c>
      <c r="N63" s="13" t="n">
        <f aca="false">MAX(ROUNDUP(H63,0),I63)</f>
        <v>28</v>
      </c>
      <c r="O63" s="21"/>
      <c r="P63" s="21" t="n">
        <f aca="false">ROUND(M63*N63,2)</f>
        <v>211.4</v>
      </c>
      <c r="Q63" s="21" t="n">
        <f aca="false">ROUND(P63-IF(O63="",0,O63),2)</f>
        <v>211.4</v>
      </c>
      <c r="R63" s="14" t="str">
        <f aca="false">IF(J63="","MISSING BILL",IF(AND(K63=N63,ABS(L63-M63)&lt;0.001,ABS(O63-P63)&lt;0.01),"RECONCILED","CALCULATION ERROR"))</f>
        <v>MISSING BILL</v>
      </c>
      <c r="S63" s="22" t="s">
        <v>1877</v>
      </c>
    </row>
    <row r="64" customFormat="false" ht="15" hidden="false" customHeight="false" outlineLevel="0" collapsed="false">
      <c r="A64" s="13" t="s">
        <v>2070</v>
      </c>
      <c r="B64" s="13" t="s">
        <v>90</v>
      </c>
      <c r="C64" s="13" t="s">
        <v>1872</v>
      </c>
      <c r="D64" s="13" t="s">
        <v>1873</v>
      </c>
      <c r="E64" s="13" t="s">
        <v>2071</v>
      </c>
      <c r="F64" s="14" t="s">
        <v>2072</v>
      </c>
      <c r="G64" s="14" t="s">
        <v>2073</v>
      </c>
      <c r="H64" s="20" t="n">
        <v>49.7</v>
      </c>
      <c r="I64" s="13" t="n">
        <v>60</v>
      </c>
      <c r="J64" s="13"/>
      <c r="K64" s="13"/>
      <c r="L64" s="21"/>
      <c r="M64" s="21" t="n">
        <f aca="false">IF(C64="covered",10.4,7.55)</f>
        <v>7.55</v>
      </c>
      <c r="N64" s="13" t="n">
        <f aca="false">MAX(ROUNDUP(H64,0),I64)</f>
        <v>60</v>
      </c>
      <c r="O64" s="21"/>
      <c r="P64" s="21" t="n">
        <f aca="false">ROUND(M64*N64,2)</f>
        <v>453</v>
      </c>
      <c r="Q64" s="21" t="n">
        <f aca="false">ROUND(P64-IF(O64="",0,O64),2)</f>
        <v>453</v>
      </c>
      <c r="R64" s="14" t="str">
        <f aca="false">IF(J64="","MISSING BILL",IF(AND(K64=N64,ABS(L64-M64)&lt;0.001,ABS(O64-P64)&lt;0.01),"RECONCILED","CALCULATION ERROR"))</f>
        <v>MISSING BILL</v>
      </c>
      <c r="S64" s="22" t="s">
        <v>1877</v>
      </c>
    </row>
    <row r="65" customFormat="false" ht="15" hidden="false" customHeight="false" outlineLevel="0" collapsed="false">
      <c r="A65" s="13" t="s">
        <v>411</v>
      </c>
      <c r="B65" s="13" t="s">
        <v>90</v>
      </c>
      <c r="C65" s="13" t="s">
        <v>1872</v>
      </c>
      <c r="D65" s="13" t="s">
        <v>1873</v>
      </c>
      <c r="E65" s="13" t="s">
        <v>2074</v>
      </c>
      <c r="F65" s="14" t="s">
        <v>2075</v>
      </c>
      <c r="G65" s="14" t="s">
        <v>2051</v>
      </c>
      <c r="H65" s="20" t="n">
        <v>42</v>
      </c>
      <c r="I65" s="13" t="n">
        <v>50</v>
      </c>
      <c r="J65" s="13"/>
      <c r="K65" s="13"/>
      <c r="L65" s="21"/>
      <c r="M65" s="21" t="n">
        <f aca="false">IF(C65="covered",10.4,7.55)</f>
        <v>7.55</v>
      </c>
      <c r="N65" s="13" t="n">
        <f aca="false">MAX(ROUNDUP(H65,0),I65)</f>
        <v>50</v>
      </c>
      <c r="O65" s="21"/>
      <c r="P65" s="21" t="n">
        <f aca="false">ROUND(M65*N65,2)</f>
        <v>377.5</v>
      </c>
      <c r="Q65" s="21" t="n">
        <f aca="false">ROUND(P65-IF(O65="",0,O65),2)</f>
        <v>377.5</v>
      </c>
      <c r="R65" s="14" t="str">
        <f aca="false">IF(J65="","MISSING BILL",IF(AND(K65=N65,ABS(L65-M65)&lt;0.001,ABS(O65-P65)&lt;0.01),"RECONCILED","CALCULATION ERROR"))</f>
        <v>MISSING BILL</v>
      </c>
      <c r="S65" s="22" t="s">
        <v>1877</v>
      </c>
    </row>
    <row r="66" customFormat="false" ht="15" hidden="false" customHeight="false" outlineLevel="0" collapsed="false">
      <c r="A66" s="13" t="s">
        <v>2076</v>
      </c>
      <c r="B66" s="13" t="s">
        <v>90</v>
      </c>
      <c r="C66" s="13" t="s">
        <v>1872</v>
      </c>
      <c r="D66" s="13" t="s">
        <v>1873</v>
      </c>
      <c r="E66" s="13" t="s">
        <v>2077</v>
      </c>
      <c r="F66" s="14" t="s">
        <v>2078</v>
      </c>
      <c r="G66" s="14" t="s">
        <v>2079</v>
      </c>
      <c r="H66" s="20" t="n">
        <v>37.4</v>
      </c>
      <c r="I66" s="13" t="n">
        <v>50</v>
      </c>
      <c r="J66" s="13"/>
      <c r="K66" s="13"/>
      <c r="L66" s="21"/>
      <c r="M66" s="21" t="n">
        <f aca="false">IF(C66="covered",10.4,7.55)</f>
        <v>7.55</v>
      </c>
      <c r="N66" s="13" t="n">
        <f aca="false">MAX(ROUNDUP(H66,0),I66)</f>
        <v>50</v>
      </c>
      <c r="O66" s="21"/>
      <c r="P66" s="21" t="n">
        <f aca="false">ROUND(M66*N66,2)</f>
        <v>377.5</v>
      </c>
      <c r="Q66" s="21" t="n">
        <f aca="false">ROUND(P66-IF(O66="",0,O66),2)</f>
        <v>377.5</v>
      </c>
      <c r="R66" s="14" t="str">
        <f aca="false">IF(J66="","MISSING BILL",IF(AND(K66=N66,ABS(L66-M66)&lt;0.001,ABS(O66-P66)&lt;0.01),"RECONCILED","CALCULATION ERROR"))</f>
        <v>MISSING BILL</v>
      </c>
      <c r="S66" s="22" t="s">
        <v>1877</v>
      </c>
    </row>
    <row r="67" customFormat="false" ht="15" hidden="false" customHeight="false" outlineLevel="0" collapsed="false">
      <c r="A67" s="13" t="s">
        <v>2080</v>
      </c>
      <c r="B67" s="13" t="s">
        <v>90</v>
      </c>
      <c r="C67" s="13" t="s">
        <v>1872</v>
      </c>
      <c r="D67" s="13" t="s">
        <v>1873</v>
      </c>
      <c r="E67" s="13" t="s">
        <v>2081</v>
      </c>
      <c r="F67" s="14" t="s">
        <v>2082</v>
      </c>
      <c r="G67" s="14" t="s">
        <v>2083</v>
      </c>
      <c r="H67" s="20" t="n">
        <v>59.7</v>
      </c>
      <c r="I67" s="13" t="n">
        <v>50</v>
      </c>
      <c r="J67" s="13"/>
      <c r="K67" s="13"/>
      <c r="L67" s="21"/>
      <c r="M67" s="21" t="n">
        <f aca="false">IF(C67="covered",10.4,7.55)</f>
        <v>7.55</v>
      </c>
      <c r="N67" s="13" t="n">
        <f aca="false">MAX(ROUNDUP(H67,0),I67)</f>
        <v>60</v>
      </c>
      <c r="O67" s="21"/>
      <c r="P67" s="21" t="n">
        <f aca="false">ROUND(M67*N67,2)</f>
        <v>453</v>
      </c>
      <c r="Q67" s="21" t="n">
        <f aca="false">ROUND(P67-IF(O67="",0,O67),2)</f>
        <v>453</v>
      </c>
      <c r="R67" s="14" t="str">
        <f aca="false">IF(J67="","MISSING BILL",IF(AND(K67=N67,ABS(L67-M67)&lt;0.001,ABS(O67-P67)&lt;0.01),"RECONCILED","CALCULATION ERROR"))</f>
        <v>MISSING BILL</v>
      </c>
      <c r="S67" s="22" t="s">
        <v>1877</v>
      </c>
    </row>
    <row r="68" customFormat="false" ht="15" hidden="false" customHeight="false" outlineLevel="0" collapsed="false">
      <c r="A68" s="13" t="s">
        <v>2084</v>
      </c>
      <c r="B68" s="13" t="s">
        <v>90</v>
      </c>
      <c r="C68" s="13" t="s">
        <v>1872</v>
      </c>
      <c r="D68" s="13" t="s">
        <v>1873</v>
      </c>
      <c r="E68" s="13" t="s">
        <v>2085</v>
      </c>
      <c r="F68" s="14" t="s">
        <v>2086</v>
      </c>
      <c r="G68" s="14" t="s">
        <v>2087</v>
      </c>
      <c r="H68" s="20" t="n">
        <v>39.4</v>
      </c>
      <c r="I68" s="13" t="n">
        <v>32</v>
      </c>
      <c r="J68" s="13"/>
      <c r="K68" s="13"/>
      <c r="L68" s="21"/>
      <c r="M68" s="21" t="n">
        <f aca="false">IF(C68="covered",10.4,7.55)</f>
        <v>7.55</v>
      </c>
      <c r="N68" s="13" t="n">
        <f aca="false">MAX(ROUNDUP(H68,0),I68)</f>
        <v>40</v>
      </c>
      <c r="O68" s="21"/>
      <c r="P68" s="21" t="n">
        <f aca="false">ROUND(M68*N68,2)</f>
        <v>302</v>
      </c>
      <c r="Q68" s="21" t="n">
        <f aca="false">ROUND(P68-IF(O68="",0,O68),2)</f>
        <v>302</v>
      </c>
      <c r="R68" s="14" t="str">
        <f aca="false">IF(J68="","MISSING BILL",IF(AND(K68=N68,ABS(L68-M68)&lt;0.001,ABS(O68-P68)&lt;0.01),"RECONCILED","CALCULATION ERROR"))</f>
        <v>MISSING BILL</v>
      </c>
      <c r="S68" s="22" t="s">
        <v>1877</v>
      </c>
    </row>
    <row r="69" customFormat="false" ht="15" hidden="false" customHeight="false" outlineLevel="0" collapsed="false">
      <c r="A69" s="13" t="s">
        <v>2088</v>
      </c>
      <c r="B69" s="13" t="s">
        <v>90</v>
      </c>
      <c r="C69" s="13" t="s">
        <v>1872</v>
      </c>
      <c r="D69" s="13" t="s">
        <v>1873</v>
      </c>
      <c r="E69" s="13" t="s">
        <v>2089</v>
      </c>
      <c r="F69" s="14" t="s">
        <v>2090</v>
      </c>
      <c r="G69" s="14" t="s">
        <v>2091</v>
      </c>
      <c r="H69" s="20" t="n">
        <v>37</v>
      </c>
      <c r="I69" s="13" t="n">
        <v>45</v>
      </c>
      <c r="J69" s="13"/>
      <c r="K69" s="13"/>
      <c r="L69" s="21"/>
      <c r="M69" s="21" t="n">
        <f aca="false">IF(C69="covered",10.4,7.55)</f>
        <v>7.55</v>
      </c>
      <c r="N69" s="13" t="n">
        <f aca="false">MAX(ROUNDUP(H69,0),I69)</f>
        <v>45</v>
      </c>
      <c r="O69" s="21"/>
      <c r="P69" s="21" t="n">
        <f aca="false">ROUND(M69*N69,2)</f>
        <v>339.75</v>
      </c>
      <c r="Q69" s="21" t="n">
        <f aca="false">ROUND(P69-IF(O69="",0,O69),2)</f>
        <v>339.75</v>
      </c>
      <c r="R69" s="14" t="str">
        <f aca="false">IF(J69="","MISSING BILL",IF(AND(K69=N69,ABS(L69-M69)&lt;0.001,ABS(O69-P69)&lt;0.01),"RECONCILED","CALCULATION ERROR"))</f>
        <v>MISSING BILL</v>
      </c>
      <c r="S69" s="22" t="s">
        <v>1877</v>
      </c>
    </row>
    <row r="70" customFormat="false" ht="15" hidden="false" customHeight="false" outlineLevel="0" collapsed="false">
      <c r="A70" s="13" t="s">
        <v>2092</v>
      </c>
      <c r="B70" s="13" t="s">
        <v>90</v>
      </c>
      <c r="C70" s="13" t="s">
        <v>1872</v>
      </c>
      <c r="D70" s="13" t="s">
        <v>1873</v>
      </c>
      <c r="E70" s="13" t="s">
        <v>2093</v>
      </c>
      <c r="F70" s="14" t="s">
        <v>2094</v>
      </c>
      <c r="G70" s="14" t="s">
        <v>2095</v>
      </c>
      <c r="H70" s="20" t="n">
        <v>46.2</v>
      </c>
      <c r="I70" s="13" t="n">
        <v>45</v>
      </c>
      <c r="J70" s="13"/>
      <c r="K70" s="13"/>
      <c r="L70" s="21"/>
      <c r="M70" s="21" t="n">
        <f aca="false">IF(C70="covered",10.4,7.55)</f>
        <v>7.55</v>
      </c>
      <c r="N70" s="13" t="n">
        <f aca="false">MAX(ROUNDUP(H70,0),I70)</f>
        <v>47</v>
      </c>
      <c r="O70" s="21"/>
      <c r="P70" s="21" t="n">
        <f aca="false">ROUND(M70*N70,2)</f>
        <v>354.85</v>
      </c>
      <c r="Q70" s="21" t="n">
        <f aca="false">ROUND(P70-IF(O70="",0,O70),2)</f>
        <v>354.85</v>
      </c>
      <c r="R70" s="14" t="str">
        <f aca="false">IF(J70="","MISSING BILL",IF(AND(K70=N70,ABS(L70-M70)&lt;0.001,ABS(O70-P70)&lt;0.01),"RECONCILED","CALCULATION ERROR"))</f>
        <v>MISSING BILL</v>
      </c>
      <c r="S70" s="22" t="s">
        <v>1877</v>
      </c>
    </row>
    <row r="71" customFormat="false" ht="15" hidden="false" customHeight="false" outlineLevel="0" collapsed="false">
      <c r="A71" s="13" t="s">
        <v>2096</v>
      </c>
      <c r="B71" s="13" t="s">
        <v>90</v>
      </c>
      <c r="C71" s="13" t="s">
        <v>1872</v>
      </c>
      <c r="D71" s="13" t="s">
        <v>1873</v>
      </c>
      <c r="E71" s="13" t="s">
        <v>2097</v>
      </c>
      <c r="F71" s="14" t="s">
        <v>2098</v>
      </c>
      <c r="G71" s="14" t="s">
        <v>2099</v>
      </c>
      <c r="H71" s="20" t="n">
        <v>59.8</v>
      </c>
      <c r="I71" s="13" t="n">
        <v>45</v>
      </c>
      <c r="J71" s="13"/>
      <c r="K71" s="13"/>
      <c r="L71" s="21"/>
      <c r="M71" s="21" t="n">
        <f aca="false">IF(C71="covered",10.4,7.55)</f>
        <v>7.55</v>
      </c>
      <c r="N71" s="13" t="n">
        <f aca="false">MAX(ROUNDUP(H71,0),I71)</f>
        <v>60</v>
      </c>
      <c r="O71" s="21"/>
      <c r="P71" s="21" t="n">
        <f aca="false">ROUND(M71*N71,2)</f>
        <v>453</v>
      </c>
      <c r="Q71" s="21" t="n">
        <f aca="false">ROUND(P71-IF(O71="",0,O71),2)</f>
        <v>453</v>
      </c>
      <c r="R71" s="14" t="str">
        <f aca="false">IF(J71="","MISSING BILL",IF(AND(K71=N71,ABS(L71-M71)&lt;0.001,ABS(O71-P71)&lt;0.01),"RECONCILED","CALCULATION ERROR"))</f>
        <v>MISSING BILL</v>
      </c>
      <c r="S71" s="22" t="s">
        <v>1877</v>
      </c>
    </row>
    <row r="72" customFormat="false" ht="15" hidden="false" customHeight="false" outlineLevel="0" collapsed="false">
      <c r="A72" s="13" t="s">
        <v>2100</v>
      </c>
      <c r="B72" s="13" t="s">
        <v>90</v>
      </c>
      <c r="C72" s="13" t="s">
        <v>1872</v>
      </c>
      <c r="D72" s="13" t="s">
        <v>1873</v>
      </c>
      <c r="E72" s="13" t="s">
        <v>2101</v>
      </c>
      <c r="F72" s="14" t="s">
        <v>2102</v>
      </c>
      <c r="G72" s="14" t="s">
        <v>2103</v>
      </c>
      <c r="H72" s="20" t="n">
        <v>31.6</v>
      </c>
      <c r="I72" s="13" t="n">
        <v>40</v>
      </c>
      <c r="J72" s="13"/>
      <c r="K72" s="13"/>
      <c r="L72" s="21"/>
      <c r="M72" s="21" t="n">
        <f aca="false">IF(C72="covered",10.4,7.55)</f>
        <v>7.55</v>
      </c>
      <c r="N72" s="13" t="n">
        <f aca="false">MAX(ROUNDUP(H72,0),I72)</f>
        <v>40</v>
      </c>
      <c r="O72" s="21"/>
      <c r="P72" s="21" t="n">
        <f aca="false">ROUND(M72*N72,2)</f>
        <v>302</v>
      </c>
      <c r="Q72" s="21" t="n">
        <f aca="false">ROUND(P72-IF(O72="",0,O72),2)</f>
        <v>302</v>
      </c>
      <c r="R72" s="14" t="str">
        <f aca="false">IF(J72="","MISSING BILL",IF(AND(K72=N72,ABS(L72-M72)&lt;0.001,ABS(O72-P72)&lt;0.01),"RECONCILED","CALCULATION ERROR"))</f>
        <v>MISSING BILL</v>
      </c>
      <c r="S72" s="22" t="s">
        <v>1877</v>
      </c>
    </row>
    <row r="73" customFormat="false" ht="15" hidden="false" customHeight="false" outlineLevel="0" collapsed="false">
      <c r="A73" s="13" t="s">
        <v>2104</v>
      </c>
      <c r="B73" s="13" t="s">
        <v>90</v>
      </c>
      <c r="C73" s="13" t="s">
        <v>1872</v>
      </c>
      <c r="D73" s="13" t="s">
        <v>1873</v>
      </c>
      <c r="E73" s="13" t="s">
        <v>2105</v>
      </c>
      <c r="F73" s="14" t="s">
        <v>2106</v>
      </c>
      <c r="G73" s="14" t="s">
        <v>2107</v>
      </c>
      <c r="H73" s="20" t="n">
        <v>38.3</v>
      </c>
      <c r="I73" s="13" t="n">
        <v>28</v>
      </c>
      <c r="J73" s="13"/>
      <c r="K73" s="13"/>
      <c r="L73" s="21"/>
      <c r="M73" s="21" t="n">
        <f aca="false">IF(C73="covered",10.4,7.55)</f>
        <v>7.55</v>
      </c>
      <c r="N73" s="13" t="n">
        <f aca="false">MAX(ROUNDUP(H73,0),I73)</f>
        <v>39</v>
      </c>
      <c r="O73" s="21"/>
      <c r="P73" s="21" t="n">
        <f aca="false">ROUND(M73*N73,2)</f>
        <v>294.45</v>
      </c>
      <c r="Q73" s="21" t="n">
        <f aca="false">ROUND(P73-IF(O73="",0,O73),2)</f>
        <v>294.45</v>
      </c>
      <c r="R73" s="14" t="str">
        <f aca="false">IF(J73="","MISSING BILL",IF(AND(K73=N73,ABS(L73-M73)&lt;0.001,ABS(O73-P73)&lt;0.01),"RECONCILED","CALCULATION ERROR"))</f>
        <v>MISSING BILL</v>
      </c>
      <c r="S73" s="22" t="s">
        <v>1877</v>
      </c>
    </row>
    <row r="74" customFormat="false" ht="15" hidden="false" customHeight="false" outlineLevel="0" collapsed="false">
      <c r="A74" s="13" t="s">
        <v>2108</v>
      </c>
      <c r="B74" s="13" t="s">
        <v>90</v>
      </c>
      <c r="C74" s="13" t="s">
        <v>1872</v>
      </c>
      <c r="D74" s="13" t="s">
        <v>1873</v>
      </c>
      <c r="E74" s="13" t="s">
        <v>2109</v>
      </c>
      <c r="F74" s="14" t="s">
        <v>2110</v>
      </c>
      <c r="G74" s="14" t="s">
        <v>2111</v>
      </c>
      <c r="H74" s="20" t="n">
        <v>55.4</v>
      </c>
      <c r="I74" s="13" t="n">
        <v>36</v>
      </c>
      <c r="J74" s="13"/>
      <c r="K74" s="13"/>
      <c r="L74" s="21"/>
      <c r="M74" s="21" t="n">
        <f aca="false">IF(C74="covered",10.4,7.55)</f>
        <v>7.55</v>
      </c>
      <c r="N74" s="13" t="n">
        <f aca="false">MAX(ROUNDUP(H74,0),I74)</f>
        <v>56</v>
      </c>
      <c r="O74" s="21"/>
      <c r="P74" s="21" t="n">
        <f aca="false">ROUND(M74*N74,2)</f>
        <v>422.8</v>
      </c>
      <c r="Q74" s="21" t="n">
        <f aca="false">ROUND(P74-IF(O74="",0,O74),2)</f>
        <v>422.8</v>
      </c>
      <c r="R74" s="14" t="str">
        <f aca="false">IF(J74="","MISSING BILL",IF(AND(K74=N74,ABS(L74-M74)&lt;0.001,ABS(O74-P74)&lt;0.01),"RECONCILED","CALCULATION ERROR"))</f>
        <v>MISSING BILL</v>
      </c>
      <c r="S74" s="22" t="s">
        <v>1877</v>
      </c>
    </row>
    <row r="75" customFormat="false" ht="15" hidden="false" customHeight="false" outlineLevel="0" collapsed="false">
      <c r="A75" s="13" t="s">
        <v>2112</v>
      </c>
      <c r="B75" s="13" t="s">
        <v>90</v>
      </c>
      <c r="C75" s="13" t="s">
        <v>1872</v>
      </c>
      <c r="D75" s="13" t="s">
        <v>1873</v>
      </c>
      <c r="E75" s="13" t="s">
        <v>2113</v>
      </c>
      <c r="F75" s="14" t="s">
        <v>2114</v>
      </c>
      <c r="G75" s="14" t="s">
        <v>2115</v>
      </c>
      <c r="H75" s="20" t="n">
        <v>57.4</v>
      </c>
      <c r="I75" s="13" t="n">
        <v>45</v>
      </c>
      <c r="J75" s="13"/>
      <c r="K75" s="13"/>
      <c r="L75" s="21"/>
      <c r="M75" s="21" t="n">
        <f aca="false">IF(C75="covered",10.4,7.55)</f>
        <v>7.55</v>
      </c>
      <c r="N75" s="13" t="n">
        <f aca="false">MAX(ROUNDUP(H75,0),I75)</f>
        <v>58</v>
      </c>
      <c r="O75" s="21"/>
      <c r="P75" s="21" t="n">
        <f aca="false">ROUND(M75*N75,2)</f>
        <v>437.9</v>
      </c>
      <c r="Q75" s="21" t="n">
        <f aca="false">ROUND(P75-IF(O75="",0,O75),2)</f>
        <v>437.9</v>
      </c>
      <c r="R75" s="14" t="str">
        <f aca="false">IF(J75="","MISSING BILL",IF(AND(K75=N75,ABS(L75-M75)&lt;0.001,ABS(O75-P75)&lt;0.01),"RECONCILED","CALCULATION ERROR"))</f>
        <v>MISSING BILL</v>
      </c>
      <c r="S75" s="22" t="s">
        <v>1877</v>
      </c>
    </row>
    <row r="76" customFormat="false" ht="15" hidden="false" customHeight="false" outlineLevel="0" collapsed="false">
      <c r="A76" s="13" t="s">
        <v>2116</v>
      </c>
      <c r="B76" s="13" t="s">
        <v>90</v>
      </c>
      <c r="C76" s="13" t="s">
        <v>1872</v>
      </c>
      <c r="D76" s="13" t="s">
        <v>1873</v>
      </c>
      <c r="E76" s="13" t="s">
        <v>2117</v>
      </c>
      <c r="F76" s="14" t="s">
        <v>2118</v>
      </c>
      <c r="G76" s="14" t="s">
        <v>2119</v>
      </c>
      <c r="H76" s="20" t="n">
        <v>43.1</v>
      </c>
      <c r="I76" s="13" t="n">
        <v>28</v>
      </c>
      <c r="J76" s="13"/>
      <c r="K76" s="13"/>
      <c r="L76" s="21"/>
      <c r="M76" s="21" t="n">
        <f aca="false">IF(C76="covered",10.4,7.55)</f>
        <v>7.55</v>
      </c>
      <c r="N76" s="13" t="n">
        <f aca="false">MAX(ROUNDUP(H76,0),I76)</f>
        <v>44</v>
      </c>
      <c r="O76" s="21"/>
      <c r="P76" s="21" t="n">
        <f aca="false">ROUND(M76*N76,2)</f>
        <v>332.2</v>
      </c>
      <c r="Q76" s="21" t="n">
        <f aca="false">ROUND(P76-IF(O76="",0,O76),2)</f>
        <v>332.2</v>
      </c>
      <c r="R76" s="14" t="str">
        <f aca="false">IF(J76="","MISSING BILL",IF(AND(K76=N76,ABS(L76-M76)&lt;0.001,ABS(O76-P76)&lt;0.01),"RECONCILED","CALCULATION ERROR"))</f>
        <v>MISSING BILL</v>
      </c>
      <c r="S76" s="22" t="s">
        <v>1877</v>
      </c>
    </row>
    <row r="77" customFormat="false" ht="15" hidden="false" customHeight="false" outlineLevel="0" collapsed="false">
      <c r="A77" s="13" t="s">
        <v>2120</v>
      </c>
      <c r="B77" s="13" t="s">
        <v>90</v>
      </c>
      <c r="C77" s="13" t="s">
        <v>1872</v>
      </c>
      <c r="D77" s="13" t="s">
        <v>1873</v>
      </c>
      <c r="E77" s="13" t="s">
        <v>2121</v>
      </c>
      <c r="F77" s="14" t="s">
        <v>2122</v>
      </c>
      <c r="G77" s="14" t="s">
        <v>2123</v>
      </c>
      <c r="H77" s="20" t="n">
        <v>29.2</v>
      </c>
      <c r="I77" s="13" t="n">
        <v>70</v>
      </c>
      <c r="J77" s="13"/>
      <c r="K77" s="13"/>
      <c r="L77" s="21"/>
      <c r="M77" s="21" t="n">
        <f aca="false">IF(C77="covered",10.4,7.55)</f>
        <v>7.55</v>
      </c>
      <c r="N77" s="13" t="n">
        <f aca="false">MAX(ROUNDUP(H77,0),I77)</f>
        <v>70</v>
      </c>
      <c r="O77" s="21"/>
      <c r="P77" s="21" t="n">
        <f aca="false">ROUND(M77*N77,2)</f>
        <v>528.5</v>
      </c>
      <c r="Q77" s="21" t="n">
        <f aca="false">ROUND(P77-IF(O77="",0,O77),2)</f>
        <v>528.5</v>
      </c>
      <c r="R77" s="14" t="str">
        <f aca="false">IF(J77="","MISSING BILL",IF(AND(K77=N77,ABS(L77-M77)&lt;0.001,ABS(O77-P77)&lt;0.01),"RECONCILED","CALCULATION ERROR"))</f>
        <v>MISSING BILL</v>
      </c>
      <c r="S77" s="22" t="s">
        <v>1877</v>
      </c>
    </row>
    <row r="78" customFormat="false" ht="15" hidden="false" customHeight="false" outlineLevel="0" collapsed="false">
      <c r="A78" s="13" t="s">
        <v>351</v>
      </c>
      <c r="B78" s="13" t="s">
        <v>90</v>
      </c>
      <c r="C78" s="13" t="s">
        <v>1872</v>
      </c>
      <c r="D78" s="13" t="s">
        <v>1873</v>
      </c>
      <c r="E78" s="13" t="s">
        <v>814</v>
      </c>
      <c r="F78" s="14" t="s">
        <v>815</v>
      </c>
      <c r="G78" s="14" t="s">
        <v>2124</v>
      </c>
      <c r="H78" s="20" t="n">
        <v>30.5</v>
      </c>
      <c r="I78" s="13" t="n">
        <v>70</v>
      </c>
      <c r="J78" s="13"/>
      <c r="K78" s="13"/>
      <c r="L78" s="21"/>
      <c r="M78" s="21" t="n">
        <f aca="false">IF(C78="covered",10.4,7.55)</f>
        <v>7.55</v>
      </c>
      <c r="N78" s="13" t="n">
        <f aca="false">MAX(ROUNDUP(H78,0),I78)</f>
        <v>70</v>
      </c>
      <c r="O78" s="21"/>
      <c r="P78" s="21" t="n">
        <f aca="false">ROUND(M78*N78,2)</f>
        <v>528.5</v>
      </c>
      <c r="Q78" s="21" t="n">
        <f aca="false">ROUND(P78-IF(O78="",0,O78),2)</f>
        <v>528.5</v>
      </c>
      <c r="R78" s="14" t="str">
        <f aca="false">IF(J78="","MISSING BILL",IF(AND(K78=N78,ABS(L78-M78)&lt;0.001,ABS(O78-P78)&lt;0.01),"RECONCILED","CALCULATION ERROR"))</f>
        <v>MISSING BILL</v>
      </c>
      <c r="S78" s="22" t="s">
        <v>1877</v>
      </c>
    </row>
    <row r="79" customFormat="false" ht="15" hidden="false" customHeight="false" outlineLevel="0" collapsed="false">
      <c r="A79" s="13" t="s">
        <v>2125</v>
      </c>
      <c r="B79" s="13" t="s">
        <v>90</v>
      </c>
      <c r="C79" s="13" t="s">
        <v>1872</v>
      </c>
      <c r="D79" s="13" t="s">
        <v>1873</v>
      </c>
      <c r="E79" s="13" t="s">
        <v>2126</v>
      </c>
      <c r="F79" s="14" t="s">
        <v>2127</v>
      </c>
      <c r="G79" s="14" t="s">
        <v>2128</v>
      </c>
      <c r="H79" s="20" t="n">
        <v>34.6</v>
      </c>
      <c r="I79" s="13" t="n">
        <v>45</v>
      </c>
      <c r="J79" s="13"/>
      <c r="K79" s="13"/>
      <c r="L79" s="21"/>
      <c r="M79" s="21" t="n">
        <f aca="false">IF(C79="covered",10.4,7.55)</f>
        <v>7.55</v>
      </c>
      <c r="N79" s="13" t="n">
        <f aca="false">MAX(ROUNDUP(H79,0),I79)</f>
        <v>45</v>
      </c>
      <c r="O79" s="21"/>
      <c r="P79" s="21" t="n">
        <f aca="false">ROUND(M79*N79,2)</f>
        <v>339.75</v>
      </c>
      <c r="Q79" s="21" t="n">
        <f aca="false">ROUND(P79-IF(O79="",0,O79),2)</f>
        <v>339.75</v>
      </c>
      <c r="R79" s="14" t="str">
        <f aca="false">IF(J79="","MISSING BILL",IF(AND(K79=N79,ABS(L79-M79)&lt;0.001,ABS(O79-P79)&lt;0.01),"RECONCILED","CALCULATION ERROR"))</f>
        <v>MISSING BILL</v>
      </c>
      <c r="S79" s="22" t="s">
        <v>1877</v>
      </c>
    </row>
    <row r="80" customFormat="false" ht="15" hidden="false" customHeight="false" outlineLevel="0" collapsed="false">
      <c r="A80" s="13" t="s">
        <v>2129</v>
      </c>
      <c r="B80" s="13" t="s">
        <v>90</v>
      </c>
      <c r="C80" s="13" t="s">
        <v>1872</v>
      </c>
      <c r="D80" s="13" t="s">
        <v>1873</v>
      </c>
      <c r="E80" s="13" t="s">
        <v>625</v>
      </c>
      <c r="F80" s="14" t="s">
        <v>626</v>
      </c>
      <c r="G80" s="14" t="s">
        <v>2130</v>
      </c>
      <c r="H80" s="20" t="n">
        <v>48.3</v>
      </c>
      <c r="I80" s="13" t="n">
        <v>28</v>
      </c>
      <c r="J80" s="13"/>
      <c r="K80" s="13"/>
      <c r="L80" s="21"/>
      <c r="M80" s="21" t="n">
        <f aca="false">IF(C80="covered",10.4,7.55)</f>
        <v>7.55</v>
      </c>
      <c r="N80" s="13" t="n">
        <f aca="false">MAX(ROUNDUP(H80,0),I80)</f>
        <v>49</v>
      </c>
      <c r="O80" s="21"/>
      <c r="P80" s="21" t="n">
        <f aca="false">ROUND(M80*N80,2)</f>
        <v>369.95</v>
      </c>
      <c r="Q80" s="21" t="n">
        <f aca="false">ROUND(P80-IF(O80="",0,O80),2)</f>
        <v>369.95</v>
      </c>
      <c r="R80" s="14" t="str">
        <f aca="false">IF(J80="","MISSING BILL",IF(AND(K80=N80,ABS(L80-M80)&lt;0.001,ABS(O80-P80)&lt;0.01),"RECONCILED","CALCULATION ERROR"))</f>
        <v>MISSING BILL</v>
      </c>
      <c r="S80" s="22" t="s">
        <v>1877</v>
      </c>
    </row>
    <row r="81" customFormat="false" ht="15" hidden="false" customHeight="false" outlineLevel="0" collapsed="false">
      <c r="A81" s="13" t="s">
        <v>967</v>
      </c>
      <c r="B81" s="13" t="s">
        <v>90</v>
      </c>
      <c r="C81" s="13" t="s">
        <v>1872</v>
      </c>
      <c r="D81" s="13" t="s">
        <v>1873</v>
      </c>
      <c r="E81" s="13" t="s">
        <v>2131</v>
      </c>
      <c r="F81" s="14" t="s">
        <v>2132</v>
      </c>
      <c r="G81" s="14" t="s">
        <v>2133</v>
      </c>
      <c r="H81" s="20" t="n">
        <v>48.7</v>
      </c>
      <c r="I81" s="13" t="n">
        <v>28</v>
      </c>
      <c r="J81" s="13"/>
      <c r="K81" s="13"/>
      <c r="L81" s="21"/>
      <c r="M81" s="21" t="n">
        <f aca="false">IF(C81="covered",10.4,7.55)</f>
        <v>7.55</v>
      </c>
      <c r="N81" s="13" t="n">
        <f aca="false">MAX(ROUNDUP(H81,0),I81)</f>
        <v>49</v>
      </c>
      <c r="O81" s="21"/>
      <c r="P81" s="21" t="n">
        <f aca="false">ROUND(M81*N81,2)</f>
        <v>369.95</v>
      </c>
      <c r="Q81" s="21" t="n">
        <f aca="false">ROUND(P81-IF(O81="",0,O81),2)</f>
        <v>369.95</v>
      </c>
      <c r="R81" s="14" t="str">
        <f aca="false">IF(J81="","MISSING BILL",IF(AND(K81=N81,ABS(L81-M81)&lt;0.001,ABS(O81-P81)&lt;0.01),"RECONCILED","CALCULATION ERROR"))</f>
        <v>MISSING BILL</v>
      </c>
      <c r="S81" s="22" t="s">
        <v>1877</v>
      </c>
    </row>
    <row r="82" customFormat="false" ht="15" hidden="false" customHeight="false" outlineLevel="0" collapsed="false">
      <c r="A82" s="13" t="s">
        <v>985</v>
      </c>
      <c r="B82" s="13" t="s">
        <v>90</v>
      </c>
      <c r="C82" s="13" t="s">
        <v>1872</v>
      </c>
      <c r="D82" s="13" t="s">
        <v>1873</v>
      </c>
      <c r="E82" s="13" t="s">
        <v>2134</v>
      </c>
      <c r="F82" s="14" t="s">
        <v>2135</v>
      </c>
      <c r="G82" s="14" t="s">
        <v>2136</v>
      </c>
      <c r="H82" s="20" t="n">
        <v>33.1</v>
      </c>
      <c r="I82" s="13" t="n">
        <v>70</v>
      </c>
      <c r="J82" s="13"/>
      <c r="K82" s="13"/>
      <c r="L82" s="21"/>
      <c r="M82" s="21" t="n">
        <f aca="false">IF(C82="covered",10.4,7.55)</f>
        <v>7.55</v>
      </c>
      <c r="N82" s="13" t="n">
        <f aca="false">MAX(ROUNDUP(H82,0),I82)</f>
        <v>70</v>
      </c>
      <c r="O82" s="21"/>
      <c r="P82" s="21" t="n">
        <f aca="false">ROUND(M82*N82,2)</f>
        <v>528.5</v>
      </c>
      <c r="Q82" s="21" t="n">
        <f aca="false">ROUND(P82-IF(O82="",0,O82),2)</f>
        <v>528.5</v>
      </c>
      <c r="R82" s="14" t="str">
        <f aca="false">IF(J82="","MISSING BILL",IF(AND(K82=N82,ABS(L82-M82)&lt;0.001,ABS(O82-P82)&lt;0.01),"RECONCILED","CALCULATION ERROR"))</f>
        <v>MISSING BILL</v>
      </c>
      <c r="S82" s="22" t="s">
        <v>1877</v>
      </c>
    </row>
    <row r="83" customFormat="false" ht="15" hidden="false" customHeight="false" outlineLevel="0" collapsed="false">
      <c r="A83" s="13" t="s">
        <v>2137</v>
      </c>
      <c r="B83" s="13" t="s">
        <v>90</v>
      </c>
      <c r="C83" s="13" t="s">
        <v>1872</v>
      </c>
      <c r="D83" s="13" t="s">
        <v>1873</v>
      </c>
      <c r="E83" s="13" t="s">
        <v>2138</v>
      </c>
      <c r="F83" s="14" t="s">
        <v>2139</v>
      </c>
      <c r="G83" s="14" t="s">
        <v>2140</v>
      </c>
      <c r="H83" s="20" t="n">
        <v>55.9</v>
      </c>
      <c r="I83" s="13" t="n">
        <v>70</v>
      </c>
      <c r="J83" s="13"/>
      <c r="K83" s="13"/>
      <c r="L83" s="21"/>
      <c r="M83" s="21" t="n">
        <f aca="false">IF(C83="covered",10.4,7.55)</f>
        <v>7.55</v>
      </c>
      <c r="N83" s="13" t="n">
        <f aca="false">MAX(ROUNDUP(H83,0),I83)</f>
        <v>70</v>
      </c>
      <c r="O83" s="21"/>
      <c r="P83" s="21" t="n">
        <f aca="false">ROUND(M83*N83,2)</f>
        <v>528.5</v>
      </c>
      <c r="Q83" s="21" t="n">
        <f aca="false">ROUND(P83-IF(O83="",0,O83),2)</f>
        <v>528.5</v>
      </c>
      <c r="R83" s="14" t="str">
        <f aca="false">IF(J83="","MISSING BILL",IF(AND(K83=N83,ABS(L83-M83)&lt;0.001,ABS(O83-P83)&lt;0.01),"RECONCILED","CALCULATION ERROR"))</f>
        <v>MISSING BILL</v>
      </c>
      <c r="S83" s="22" t="s">
        <v>1877</v>
      </c>
    </row>
    <row r="84" customFormat="false" ht="15" hidden="false" customHeight="false" outlineLevel="0" collapsed="false">
      <c r="A84" s="13" t="s">
        <v>2141</v>
      </c>
      <c r="B84" s="13" t="s">
        <v>90</v>
      </c>
      <c r="C84" s="13" t="s">
        <v>1872</v>
      </c>
      <c r="D84" s="13" t="s">
        <v>1873</v>
      </c>
      <c r="E84" s="13" t="s">
        <v>2142</v>
      </c>
      <c r="F84" s="14" t="s">
        <v>2143</v>
      </c>
      <c r="G84" s="14" t="s">
        <v>1967</v>
      </c>
      <c r="H84" s="20" t="n">
        <v>56.6</v>
      </c>
      <c r="I84" s="13" t="n">
        <v>60</v>
      </c>
      <c r="J84" s="13"/>
      <c r="K84" s="13"/>
      <c r="L84" s="21"/>
      <c r="M84" s="21" t="n">
        <f aca="false">IF(C84="covered",10.4,7.55)</f>
        <v>7.55</v>
      </c>
      <c r="N84" s="13" t="n">
        <f aca="false">MAX(ROUNDUP(H84,0),I84)</f>
        <v>60</v>
      </c>
      <c r="O84" s="21"/>
      <c r="P84" s="21" t="n">
        <f aca="false">ROUND(M84*N84,2)</f>
        <v>453</v>
      </c>
      <c r="Q84" s="21" t="n">
        <f aca="false">ROUND(P84-IF(O84="",0,O84),2)</f>
        <v>453</v>
      </c>
      <c r="R84" s="14" t="str">
        <f aca="false">IF(J84="","MISSING BILL",IF(AND(K84=N84,ABS(L84-M84)&lt;0.001,ABS(O84-P84)&lt;0.01),"RECONCILED","CALCULATION ERROR"))</f>
        <v>MISSING BILL</v>
      </c>
      <c r="S84" s="22" t="s">
        <v>1877</v>
      </c>
    </row>
    <row r="85" customFormat="false" ht="15" hidden="false" customHeight="false" outlineLevel="0" collapsed="false">
      <c r="A85" s="13" t="s">
        <v>2144</v>
      </c>
      <c r="B85" s="13" t="s">
        <v>90</v>
      </c>
      <c r="C85" s="13" t="s">
        <v>1872</v>
      </c>
      <c r="D85" s="13" t="s">
        <v>1873</v>
      </c>
      <c r="E85" s="13" t="s">
        <v>2145</v>
      </c>
      <c r="F85" s="14" t="s">
        <v>2146</v>
      </c>
      <c r="G85" s="14" t="s">
        <v>2147</v>
      </c>
      <c r="H85" s="20" t="n">
        <v>56</v>
      </c>
      <c r="I85" s="13" t="n">
        <v>70</v>
      </c>
      <c r="J85" s="13"/>
      <c r="K85" s="13"/>
      <c r="L85" s="21"/>
      <c r="M85" s="21" t="n">
        <f aca="false">IF(C85="covered",10.4,7.55)</f>
        <v>7.55</v>
      </c>
      <c r="N85" s="13" t="n">
        <f aca="false">MAX(ROUNDUP(H85,0),I85)</f>
        <v>70</v>
      </c>
      <c r="O85" s="21"/>
      <c r="P85" s="21" t="n">
        <f aca="false">ROUND(M85*N85,2)</f>
        <v>528.5</v>
      </c>
      <c r="Q85" s="21" t="n">
        <f aca="false">ROUND(P85-IF(O85="",0,O85),2)</f>
        <v>528.5</v>
      </c>
      <c r="R85" s="14" t="str">
        <f aca="false">IF(J85="","MISSING BILL",IF(AND(K85=N85,ABS(L85-M85)&lt;0.001,ABS(O85-P85)&lt;0.01),"RECONCILED","CALCULATION ERROR"))</f>
        <v>MISSING BILL</v>
      </c>
      <c r="S85" s="22" t="s">
        <v>1877</v>
      </c>
    </row>
    <row r="86" customFormat="false" ht="15" hidden="false" customHeight="false" outlineLevel="0" collapsed="false">
      <c r="A86" s="13" t="s">
        <v>2148</v>
      </c>
      <c r="B86" s="13" t="s">
        <v>90</v>
      </c>
      <c r="C86" s="13" t="s">
        <v>1872</v>
      </c>
      <c r="D86" s="13" t="s">
        <v>1873</v>
      </c>
      <c r="E86" s="13" t="s">
        <v>2149</v>
      </c>
      <c r="F86" s="14" t="s">
        <v>2150</v>
      </c>
      <c r="G86" s="14" t="s">
        <v>2010</v>
      </c>
      <c r="H86" s="20" t="n">
        <v>43.9</v>
      </c>
      <c r="I86" s="13" t="n">
        <v>24</v>
      </c>
      <c r="J86" s="13"/>
      <c r="K86" s="13"/>
      <c r="L86" s="21"/>
      <c r="M86" s="21" t="n">
        <f aca="false">IF(C86="covered",10.4,7.55)</f>
        <v>7.55</v>
      </c>
      <c r="N86" s="13" t="n">
        <f aca="false">MAX(ROUNDUP(H86,0),I86)</f>
        <v>44</v>
      </c>
      <c r="O86" s="21"/>
      <c r="P86" s="21" t="n">
        <f aca="false">ROUND(M86*N86,2)</f>
        <v>332.2</v>
      </c>
      <c r="Q86" s="21" t="n">
        <f aca="false">ROUND(P86-IF(O86="",0,O86),2)</f>
        <v>332.2</v>
      </c>
      <c r="R86" s="14" t="str">
        <f aca="false">IF(J86="","MISSING BILL",IF(AND(K86=N86,ABS(L86-M86)&lt;0.001,ABS(O86-P86)&lt;0.01),"RECONCILED","CALCULATION ERROR"))</f>
        <v>MISSING BILL</v>
      </c>
      <c r="S86" s="22" t="s">
        <v>1877</v>
      </c>
    </row>
    <row r="87" customFormat="false" ht="15" hidden="false" customHeight="false" outlineLevel="0" collapsed="false">
      <c r="A87" s="13" t="s">
        <v>2151</v>
      </c>
      <c r="B87" s="13" t="s">
        <v>90</v>
      </c>
      <c r="C87" s="13" t="s">
        <v>1872</v>
      </c>
      <c r="D87" s="13" t="s">
        <v>1873</v>
      </c>
      <c r="E87" s="13" t="s">
        <v>2152</v>
      </c>
      <c r="F87" s="14" t="s">
        <v>2153</v>
      </c>
      <c r="G87" s="14" t="s">
        <v>2154</v>
      </c>
      <c r="H87" s="20" t="n">
        <v>57.9</v>
      </c>
      <c r="I87" s="13" t="n">
        <v>28</v>
      </c>
      <c r="J87" s="13"/>
      <c r="K87" s="13"/>
      <c r="L87" s="21"/>
      <c r="M87" s="21" t="n">
        <f aca="false">IF(C87="covered",10.4,7.55)</f>
        <v>7.55</v>
      </c>
      <c r="N87" s="13" t="n">
        <f aca="false">MAX(ROUNDUP(H87,0),I87)</f>
        <v>58</v>
      </c>
      <c r="O87" s="21"/>
      <c r="P87" s="21" t="n">
        <f aca="false">ROUND(M87*N87,2)</f>
        <v>437.9</v>
      </c>
      <c r="Q87" s="21" t="n">
        <f aca="false">ROUND(P87-IF(O87="",0,O87),2)</f>
        <v>437.9</v>
      </c>
      <c r="R87" s="14" t="str">
        <f aca="false">IF(J87="","MISSING BILL",IF(AND(K87=N87,ABS(L87-M87)&lt;0.001,ABS(O87-P87)&lt;0.01),"RECONCILED","CALCULATION ERROR"))</f>
        <v>MISSING BILL</v>
      </c>
      <c r="S87" s="22" t="s">
        <v>1877</v>
      </c>
    </row>
    <row r="88" customFormat="false" ht="15" hidden="false" customHeight="false" outlineLevel="0" collapsed="false">
      <c r="A88" s="13" t="s">
        <v>2155</v>
      </c>
      <c r="B88" s="13" t="s">
        <v>90</v>
      </c>
      <c r="C88" s="13" t="s">
        <v>1872</v>
      </c>
      <c r="D88" s="13" t="s">
        <v>1873</v>
      </c>
      <c r="E88" s="13" t="s">
        <v>2156</v>
      </c>
      <c r="F88" s="14" t="s">
        <v>2157</v>
      </c>
      <c r="G88" s="14" t="s">
        <v>2158</v>
      </c>
      <c r="H88" s="20" t="n">
        <v>48.4</v>
      </c>
      <c r="I88" s="13" t="n">
        <v>24</v>
      </c>
      <c r="J88" s="13"/>
      <c r="K88" s="13"/>
      <c r="L88" s="21"/>
      <c r="M88" s="21" t="n">
        <f aca="false">IF(C88="covered",10.4,7.55)</f>
        <v>7.55</v>
      </c>
      <c r="N88" s="13" t="n">
        <f aca="false">MAX(ROUNDUP(H88,0),I88)</f>
        <v>49</v>
      </c>
      <c r="O88" s="21"/>
      <c r="P88" s="21" t="n">
        <f aca="false">ROUND(M88*N88,2)</f>
        <v>369.95</v>
      </c>
      <c r="Q88" s="21" t="n">
        <f aca="false">ROUND(P88-IF(O88="",0,O88),2)</f>
        <v>369.95</v>
      </c>
      <c r="R88" s="14" t="str">
        <f aca="false">IF(J88="","MISSING BILL",IF(AND(K88=N88,ABS(L88-M88)&lt;0.001,ABS(O88-P88)&lt;0.01),"RECONCILED","CALCULATION ERROR"))</f>
        <v>MISSING BILL</v>
      </c>
      <c r="S88" s="22" t="s">
        <v>1877</v>
      </c>
    </row>
    <row r="89" customFormat="false" ht="15" hidden="false" customHeight="false" outlineLevel="0" collapsed="false">
      <c r="A89" s="13" t="s">
        <v>2159</v>
      </c>
      <c r="B89" s="13" t="s">
        <v>90</v>
      </c>
      <c r="C89" s="13" t="s">
        <v>1872</v>
      </c>
      <c r="D89" s="13" t="s">
        <v>1873</v>
      </c>
      <c r="E89" s="13" t="s">
        <v>2160</v>
      </c>
      <c r="F89" s="14" t="s">
        <v>2161</v>
      </c>
      <c r="G89" s="14" t="s">
        <v>2162</v>
      </c>
      <c r="H89" s="20" t="n">
        <v>27.3</v>
      </c>
      <c r="I89" s="13" t="n">
        <v>24</v>
      </c>
      <c r="J89" s="13"/>
      <c r="K89" s="13"/>
      <c r="L89" s="21"/>
      <c r="M89" s="21" t="n">
        <f aca="false">IF(C89="covered",10.4,7.55)</f>
        <v>7.55</v>
      </c>
      <c r="N89" s="13" t="n">
        <f aca="false">MAX(ROUNDUP(H89,0),I89)</f>
        <v>28</v>
      </c>
      <c r="O89" s="21"/>
      <c r="P89" s="21" t="n">
        <f aca="false">ROUND(M89*N89,2)</f>
        <v>211.4</v>
      </c>
      <c r="Q89" s="21" t="n">
        <f aca="false">ROUND(P89-IF(O89="",0,O89),2)</f>
        <v>211.4</v>
      </c>
      <c r="R89" s="14" t="str">
        <f aca="false">IF(J89="","MISSING BILL",IF(AND(K89=N89,ABS(L89-M89)&lt;0.001,ABS(O89-P89)&lt;0.01),"RECONCILED","CALCULATION ERROR"))</f>
        <v>MISSING BILL</v>
      </c>
      <c r="S89" s="22" t="s">
        <v>1877</v>
      </c>
    </row>
    <row r="90" customFormat="false" ht="15" hidden="false" customHeight="false" outlineLevel="0" collapsed="false">
      <c r="A90" s="13" t="s">
        <v>761</v>
      </c>
      <c r="B90" s="13" t="s">
        <v>90</v>
      </c>
      <c r="C90" s="13" t="s">
        <v>1872</v>
      </c>
      <c r="D90" s="13" t="s">
        <v>1873</v>
      </c>
      <c r="E90" s="13" t="s">
        <v>2163</v>
      </c>
      <c r="F90" s="14" t="s">
        <v>2164</v>
      </c>
      <c r="G90" s="14" t="s">
        <v>2057</v>
      </c>
      <c r="H90" s="20" t="n">
        <v>29.8</v>
      </c>
      <c r="I90" s="13" t="n">
        <v>60</v>
      </c>
      <c r="J90" s="13"/>
      <c r="K90" s="13"/>
      <c r="L90" s="21"/>
      <c r="M90" s="21" t="n">
        <f aca="false">IF(C90="covered",10.4,7.55)</f>
        <v>7.55</v>
      </c>
      <c r="N90" s="13" t="n">
        <f aca="false">MAX(ROUNDUP(H90,0),I90)</f>
        <v>60</v>
      </c>
      <c r="O90" s="21"/>
      <c r="P90" s="21" t="n">
        <f aca="false">ROUND(M90*N90,2)</f>
        <v>453</v>
      </c>
      <c r="Q90" s="21" t="n">
        <f aca="false">ROUND(P90-IF(O90="",0,O90),2)</f>
        <v>453</v>
      </c>
      <c r="R90" s="14" t="str">
        <f aca="false">IF(J90="","MISSING BILL",IF(AND(K90=N90,ABS(L90-M90)&lt;0.001,ABS(O90-P90)&lt;0.01),"RECONCILED","CALCULATION ERROR"))</f>
        <v>MISSING BILL</v>
      </c>
      <c r="S90" s="22" t="s">
        <v>1877</v>
      </c>
    </row>
    <row r="91" customFormat="false" ht="15" hidden="false" customHeight="false" outlineLevel="0" collapsed="false">
      <c r="A91" s="13" t="s">
        <v>2165</v>
      </c>
      <c r="B91" s="13" t="s">
        <v>90</v>
      </c>
      <c r="C91" s="13" t="s">
        <v>1872</v>
      </c>
      <c r="D91" s="13" t="s">
        <v>1873</v>
      </c>
      <c r="E91" s="13" t="s">
        <v>2166</v>
      </c>
      <c r="F91" s="14" t="s">
        <v>2167</v>
      </c>
      <c r="G91" s="14" t="s">
        <v>2168</v>
      </c>
      <c r="H91" s="20" t="n">
        <v>45.8</v>
      </c>
      <c r="I91" s="13" t="n">
        <v>24</v>
      </c>
      <c r="J91" s="13"/>
      <c r="K91" s="13"/>
      <c r="L91" s="21"/>
      <c r="M91" s="21" t="n">
        <f aca="false">IF(C91="covered",10.4,7.55)</f>
        <v>7.55</v>
      </c>
      <c r="N91" s="13" t="n">
        <f aca="false">MAX(ROUNDUP(H91,0),I91)</f>
        <v>46</v>
      </c>
      <c r="O91" s="21"/>
      <c r="P91" s="21" t="n">
        <f aca="false">ROUND(M91*N91,2)</f>
        <v>347.3</v>
      </c>
      <c r="Q91" s="21" t="n">
        <f aca="false">ROUND(P91-IF(O91="",0,O91),2)</f>
        <v>347.3</v>
      </c>
      <c r="R91" s="14" t="str">
        <f aca="false">IF(J91="","MISSING BILL",IF(AND(K91=N91,ABS(L91-M91)&lt;0.001,ABS(O91-P91)&lt;0.01),"RECONCILED","CALCULATION ERROR"))</f>
        <v>MISSING BILL</v>
      </c>
      <c r="S91" s="22" t="s">
        <v>1877</v>
      </c>
    </row>
    <row r="92" customFormat="false" ht="15" hidden="false" customHeight="false" outlineLevel="0" collapsed="false">
      <c r="A92" s="13" t="s">
        <v>997</v>
      </c>
      <c r="B92" s="13" t="s">
        <v>90</v>
      </c>
      <c r="C92" s="13" t="s">
        <v>1872</v>
      </c>
      <c r="D92" s="13" t="s">
        <v>1873</v>
      </c>
      <c r="E92" s="13" t="s">
        <v>2169</v>
      </c>
      <c r="F92" s="14" t="s">
        <v>2170</v>
      </c>
      <c r="G92" s="14" t="s">
        <v>2171</v>
      </c>
      <c r="H92" s="20" t="n">
        <v>59.7</v>
      </c>
      <c r="I92" s="13" t="n">
        <v>36</v>
      </c>
      <c r="J92" s="13"/>
      <c r="K92" s="13"/>
      <c r="L92" s="21"/>
      <c r="M92" s="21" t="n">
        <f aca="false">IF(C92="covered",10.4,7.55)</f>
        <v>7.55</v>
      </c>
      <c r="N92" s="13" t="n">
        <f aca="false">MAX(ROUNDUP(H92,0),I92)</f>
        <v>60</v>
      </c>
      <c r="O92" s="21"/>
      <c r="P92" s="21" t="n">
        <f aca="false">ROUND(M92*N92,2)</f>
        <v>453</v>
      </c>
      <c r="Q92" s="21" t="n">
        <f aca="false">ROUND(P92-IF(O92="",0,O92),2)</f>
        <v>453</v>
      </c>
      <c r="R92" s="14" t="str">
        <f aca="false">IF(J92="","MISSING BILL",IF(AND(K92=N92,ABS(L92-M92)&lt;0.001,ABS(O92-P92)&lt;0.01),"RECONCILED","CALCULATION ERROR"))</f>
        <v>MISSING BILL</v>
      </c>
      <c r="S92" s="22" t="s">
        <v>1877</v>
      </c>
    </row>
    <row r="93" customFormat="false" ht="15" hidden="false" customHeight="false" outlineLevel="0" collapsed="false">
      <c r="A93" s="13" t="s">
        <v>2172</v>
      </c>
      <c r="B93" s="13" t="s">
        <v>90</v>
      </c>
      <c r="C93" s="13" t="s">
        <v>1872</v>
      </c>
      <c r="D93" s="13" t="s">
        <v>1873</v>
      </c>
      <c r="E93" s="13" t="s">
        <v>2173</v>
      </c>
      <c r="F93" s="14" t="s">
        <v>2174</v>
      </c>
      <c r="G93" s="14" t="s">
        <v>2175</v>
      </c>
      <c r="H93" s="20" t="n">
        <v>59.9</v>
      </c>
      <c r="I93" s="13" t="n">
        <v>36</v>
      </c>
      <c r="J93" s="13"/>
      <c r="K93" s="13"/>
      <c r="L93" s="21"/>
      <c r="M93" s="21" t="n">
        <f aca="false">IF(C93="covered",10.4,7.55)</f>
        <v>7.55</v>
      </c>
      <c r="N93" s="13" t="n">
        <f aca="false">MAX(ROUNDUP(H93,0),I93)</f>
        <v>60</v>
      </c>
      <c r="O93" s="21"/>
      <c r="P93" s="21" t="n">
        <f aca="false">ROUND(M93*N93,2)</f>
        <v>453</v>
      </c>
      <c r="Q93" s="21" t="n">
        <f aca="false">ROUND(P93-IF(O93="",0,O93),2)</f>
        <v>453</v>
      </c>
      <c r="R93" s="14" t="str">
        <f aca="false">IF(J93="","MISSING BILL",IF(AND(K93=N93,ABS(L93-M93)&lt;0.001,ABS(O93-P93)&lt;0.01),"RECONCILED","CALCULATION ERROR"))</f>
        <v>MISSING BILL</v>
      </c>
      <c r="S93" s="22" t="s">
        <v>1877</v>
      </c>
    </row>
    <row r="94" customFormat="false" ht="15" hidden="false" customHeight="false" outlineLevel="0" collapsed="false">
      <c r="A94" s="13" t="s">
        <v>2176</v>
      </c>
      <c r="B94" s="13" t="s">
        <v>90</v>
      </c>
      <c r="C94" s="13" t="s">
        <v>1872</v>
      </c>
      <c r="D94" s="13" t="s">
        <v>1873</v>
      </c>
      <c r="E94" s="13" t="s">
        <v>2177</v>
      </c>
      <c r="F94" s="14" t="s">
        <v>2178</v>
      </c>
      <c r="G94" s="14" t="s">
        <v>2179</v>
      </c>
      <c r="H94" s="20" t="n">
        <v>49.7</v>
      </c>
      <c r="I94" s="13" t="n">
        <v>32</v>
      </c>
      <c r="J94" s="13"/>
      <c r="K94" s="13"/>
      <c r="L94" s="21"/>
      <c r="M94" s="21" t="n">
        <f aca="false">IF(C94="covered",10.4,7.55)</f>
        <v>7.55</v>
      </c>
      <c r="N94" s="13" t="n">
        <f aca="false">MAX(ROUNDUP(H94,0),I94)</f>
        <v>50</v>
      </c>
      <c r="O94" s="21"/>
      <c r="P94" s="21" t="n">
        <f aca="false">ROUND(M94*N94,2)</f>
        <v>377.5</v>
      </c>
      <c r="Q94" s="21" t="n">
        <f aca="false">ROUND(P94-IF(O94="",0,O94),2)</f>
        <v>377.5</v>
      </c>
      <c r="R94" s="14" t="str">
        <f aca="false">IF(J94="","MISSING BILL",IF(AND(K94=N94,ABS(L94-M94)&lt;0.001,ABS(O94-P94)&lt;0.01),"RECONCILED","CALCULATION ERROR"))</f>
        <v>MISSING BILL</v>
      </c>
      <c r="S94" s="22" t="s">
        <v>1877</v>
      </c>
    </row>
    <row r="95" customFormat="false" ht="15" hidden="false" customHeight="false" outlineLevel="0" collapsed="false">
      <c r="A95" s="13" t="s">
        <v>217</v>
      </c>
      <c r="B95" s="13" t="s">
        <v>90</v>
      </c>
      <c r="C95" s="13" t="s">
        <v>1872</v>
      </c>
      <c r="D95" s="13" t="s">
        <v>1873</v>
      </c>
      <c r="E95" s="13" t="s">
        <v>2180</v>
      </c>
      <c r="F95" s="14" t="s">
        <v>2181</v>
      </c>
      <c r="G95" s="14" t="s">
        <v>2182</v>
      </c>
      <c r="H95" s="20" t="n">
        <v>38.9</v>
      </c>
      <c r="I95" s="13" t="n">
        <v>50</v>
      </c>
      <c r="J95" s="13"/>
      <c r="K95" s="13"/>
      <c r="L95" s="21"/>
      <c r="M95" s="21" t="n">
        <f aca="false">IF(C95="covered",10.4,7.55)</f>
        <v>7.55</v>
      </c>
      <c r="N95" s="13" t="n">
        <f aca="false">MAX(ROUNDUP(H95,0),I95)</f>
        <v>50</v>
      </c>
      <c r="O95" s="21"/>
      <c r="P95" s="21" t="n">
        <f aca="false">ROUND(M95*N95,2)</f>
        <v>377.5</v>
      </c>
      <c r="Q95" s="21" t="n">
        <f aca="false">ROUND(P95-IF(O95="",0,O95),2)</f>
        <v>377.5</v>
      </c>
      <c r="R95" s="14" t="str">
        <f aca="false">IF(J95="","MISSING BILL",IF(AND(K95=N95,ABS(L95-M95)&lt;0.001,ABS(O95-P95)&lt;0.01),"RECONCILED","CALCULATION ERROR"))</f>
        <v>MISSING BILL</v>
      </c>
      <c r="S95" s="22" t="s">
        <v>1877</v>
      </c>
    </row>
    <row r="96" customFormat="false" ht="15" hidden="false" customHeight="false" outlineLevel="0" collapsed="false">
      <c r="A96" s="13" t="s">
        <v>2183</v>
      </c>
      <c r="B96" s="13" t="s">
        <v>90</v>
      </c>
      <c r="C96" s="13" t="s">
        <v>1872</v>
      </c>
      <c r="D96" s="13" t="s">
        <v>1873</v>
      </c>
      <c r="E96" s="13" t="s">
        <v>2184</v>
      </c>
      <c r="F96" s="14" t="s">
        <v>2185</v>
      </c>
      <c r="G96" s="14" t="s">
        <v>2186</v>
      </c>
      <c r="H96" s="20" t="n">
        <v>53.3</v>
      </c>
      <c r="I96" s="13" t="n">
        <v>45</v>
      </c>
      <c r="J96" s="13"/>
      <c r="K96" s="13"/>
      <c r="L96" s="21"/>
      <c r="M96" s="21" t="n">
        <f aca="false">IF(C96="covered",10.4,7.55)</f>
        <v>7.55</v>
      </c>
      <c r="N96" s="13" t="n">
        <f aca="false">MAX(ROUNDUP(H96,0),I96)</f>
        <v>54</v>
      </c>
      <c r="O96" s="21"/>
      <c r="P96" s="21" t="n">
        <f aca="false">ROUND(M96*N96,2)</f>
        <v>407.7</v>
      </c>
      <c r="Q96" s="21" t="n">
        <f aca="false">ROUND(P96-IF(O96="",0,O96),2)</f>
        <v>407.7</v>
      </c>
      <c r="R96" s="14" t="str">
        <f aca="false">IF(J96="","MISSING BILL",IF(AND(K96=N96,ABS(L96-M96)&lt;0.001,ABS(O96-P96)&lt;0.01),"RECONCILED","CALCULATION ERROR"))</f>
        <v>MISSING BILL</v>
      </c>
      <c r="S96" s="22" t="s">
        <v>1877</v>
      </c>
    </row>
    <row r="97" customFormat="false" ht="15" hidden="false" customHeight="false" outlineLevel="0" collapsed="false">
      <c r="A97" s="13" t="s">
        <v>2187</v>
      </c>
      <c r="B97" s="13" t="s">
        <v>90</v>
      </c>
      <c r="C97" s="13" t="s">
        <v>1872</v>
      </c>
      <c r="D97" s="13" t="s">
        <v>1873</v>
      </c>
      <c r="E97" s="13" t="s">
        <v>2188</v>
      </c>
      <c r="F97" s="14" t="s">
        <v>2189</v>
      </c>
      <c r="G97" s="14" t="s">
        <v>2190</v>
      </c>
      <c r="H97" s="20" t="n">
        <v>25.5</v>
      </c>
      <c r="I97" s="13" t="n">
        <v>45</v>
      </c>
      <c r="J97" s="13"/>
      <c r="K97" s="13"/>
      <c r="L97" s="21"/>
      <c r="M97" s="21" t="n">
        <f aca="false">IF(C97="covered",10.4,7.55)</f>
        <v>7.55</v>
      </c>
      <c r="N97" s="13" t="n">
        <f aca="false">MAX(ROUNDUP(H97,0),I97)</f>
        <v>45</v>
      </c>
      <c r="O97" s="21"/>
      <c r="P97" s="21" t="n">
        <f aca="false">ROUND(M97*N97,2)</f>
        <v>339.75</v>
      </c>
      <c r="Q97" s="21" t="n">
        <f aca="false">ROUND(P97-IF(O97="",0,O97),2)</f>
        <v>339.75</v>
      </c>
      <c r="R97" s="14" t="str">
        <f aca="false">IF(J97="","MISSING BILL",IF(AND(K97=N97,ABS(L97-M97)&lt;0.001,ABS(O97-P97)&lt;0.01),"RECONCILED","CALCULATION ERROR"))</f>
        <v>MISSING BILL</v>
      </c>
      <c r="S97" s="22" t="s">
        <v>1877</v>
      </c>
    </row>
    <row r="98" customFormat="false" ht="15" hidden="false" customHeight="false" outlineLevel="0" collapsed="false">
      <c r="A98" s="13" t="s">
        <v>1053</v>
      </c>
      <c r="B98" s="13" t="s">
        <v>90</v>
      </c>
      <c r="C98" s="13" t="s">
        <v>1872</v>
      </c>
      <c r="D98" s="13" t="s">
        <v>1873</v>
      </c>
      <c r="E98" s="13" t="s">
        <v>2191</v>
      </c>
      <c r="F98" s="14" t="s">
        <v>2192</v>
      </c>
      <c r="G98" s="14" t="s">
        <v>2193</v>
      </c>
      <c r="H98" s="20" t="n">
        <v>50.9</v>
      </c>
      <c r="I98" s="13" t="n">
        <v>24</v>
      </c>
      <c r="J98" s="13"/>
      <c r="K98" s="13"/>
      <c r="L98" s="21"/>
      <c r="M98" s="21" t="n">
        <f aca="false">IF(C98="covered",10.4,7.55)</f>
        <v>7.55</v>
      </c>
      <c r="N98" s="13" t="n">
        <f aca="false">MAX(ROUNDUP(H98,0),I98)</f>
        <v>51</v>
      </c>
      <c r="O98" s="21"/>
      <c r="P98" s="21" t="n">
        <f aca="false">ROUND(M98*N98,2)</f>
        <v>385.05</v>
      </c>
      <c r="Q98" s="21" t="n">
        <f aca="false">ROUND(P98-IF(O98="",0,O98),2)</f>
        <v>385.05</v>
      </c>
      <c r="R98" s="14" t="str">
        <f aca="false">IF(J98="","MISSING BILL",IF(AND(K98=N98,ABS(L98-M98)&lt;0.001,ABS(O98-P98)&lt;0.01),"RECONCILED","CALCULATION ERROR"))</f>
        <v>MISSING BILL</v>
      </c>
      <c r="S98" s="22" t="s">
        <v>1877</v>
      </c>
    </row>
    <row r="99" customFormat="false" ht="15" hidden="false" customHeight="false" outlineLevel="0" collapsed="false">
      <c r="A99" s="13" t="s">
        <v>2194</v>
      </c>
      <c r="B99" s="13" t="s">
        <v>90</v>
      </c>
      <c r="C99" s="13" t="s">
        <v>1872</v>
      </c>
      <c r="D99" s="13" t="s">
        <v>1873</v>
      </c>
      <c r="E99" s="13" t="s">
        <v>2195</v>
      </c>
      <c r="F99" s="14" t="s">
        <v>2196</v>
      </c>
      <c r="G99" s="14" t="s">
        <v>2197</v>
      </c>
      <c r="H99" s="20" t="n">
        <v>29</v>
      </c>
      <c r="I99" s="13" t="n">
        <v>40</v>
      </c>
      <c r="J99" s="13"/>
      <c r="K99" s="13"/>
      <c r="L99" s="21"/>
      <c r="M99" s="21" t="n">
        <f aca="false">IF(C99="covered",10.4,7.55)</f>
        <v>7.55</v>
      </c>
      <c r="N99" s="13" t="n">
        <f aca="false">MAX(ROUNDUP(H99,0),I99)</f>
        <v>40</v>
      </c>
      <c r="O99" s="21"/>
      <c r="P99" s="21" t="n">
        <f aca="false">ROUND(M99*N99,2)</f>
        <v>302</v>
      </c>
      <c r="Q99" s="21" t="n">
        <f aca="false">ROUND(P99-IF(O99="",0,O99),2)</f>
        <v>302</v>
      </c>
      <c r="R99" s="14" t="str">
        <f aca="false">IF(J99="","MISSING BILL",IF(AND(K99=N99,ABS(L99-M99)&lt;0.001,ABS(O99-P99)&lt;0.01),"RECONCILED","CALCULATION ERROR"))</f>
        <v>MISSING BILL</v>
      </c>
      <c r="S99" s="22" t="s">
        <v>1877</v>
      </c>
    </row>
    <row r="100" customFormat="false" ht="15" hidden="false" customHeight="false" outlineLevel="0" collapsed="false">
      <c r="A100" s="13" t="s">
        <v>1227</v>
      </c>
      <c r="B100" s="13" t="s">
        <v>90</v>
      </c>
      <c r="C100" s="13" t="s">
        <v>1872</v>
      </c>
      <c r="D100" s="13" t="s">
        <v>1873</v>
      </c>
      <c r="E100" s="13" t="s">
        <v>2198</v>
      </c>
      <c r="F100" s="14" t="s">
        <v>2199</v>
      </c>
      <c r="G100" s="14" t="s">
        <v>2200</v>
      </c>
      <c r="H100" s="20" t="n">
        <v>25.9</v>
      </c>
      <c r="I100" s="13" t="n">
        <v>50</v>
      </c>
      <c r="J100" s="13"/>
      <c r="K100" s="13"/>
      <c r="L100" s="21"/>
      <c r="M100" s="21" t="n">
        <f aca="false">IF(C100="covered",10.4,7.55)</f>
        <v>7.55</v>
      </c>
      <c r="N100" s="13" t="n">
        <f aca="false">MAX(ROUNDUP(H100,0),I100)</f>
        <v>50</v>
      </c>
      <c r="O100" s="21"/>
      <c r="P100" s="21" t="n">
        <f aca="false">ROUND(M100*N100,2)</f>
        <v>377.5</v>
      </c>
      <c r="Q100" s="21" t="n">
        <f aca="false">ROUND(P100-IF(O100="",0,O100),2)</f>
        <v>377.5</v>
      </c>
      <c r="R100" s="14" t="str">
        <f aca="false">IF(J100="","MISSING BILL",IF(AND(K100=N100,ABS(L100-M100)&lt;0.001,ABS(O100-P100)&lt;0.01),"RECONCILED","CALCULATION ERROR"))</f>
        <v>MISSING BILL</v>
      </c>
      <c r="S100" s="22" t="s">
        <v>1877</v>
      </c>
    </row>
    <row r="101" customFormat="false" ht="15" hidden="false" customHeight="false" outlineLevel="0" collapsed="false">
      <c r="A101" s="13" t="s">
        <v>2201</v>
      </c>
      <c r="B101" s="13" t="s">
        <v>90</v>
      </c>
      <c r="C101" s="13" t="s">
        <v>1872</v>
      </c>
      <c r="D101" s="13" t="s">
        <v>1873</v>
      </c>
      <c r="E101" s="13" t="s">
        <v>2202</v>
      </c>
      <c r="F101" s="14" t="s">
        <v>2203</v>
      </c>
      <c r="G101" s="14" t="s">
        <v>2204</v>
      </c>
      <c r="H101" s="20" t="n">
        <v>36.5</v>
      </c>
      <c r="I101" s="13" t="n">
        <v>32</v>
      </c>
      <c r="J101" s="13"/>
      <c r="K101" s="13"/>
      <c r="L101" s="21"/>
      <c r="M101" s="21" t="n">
        <f aca="false">IF(C101="covered",10.4,7.55)</f>
        <v>7.55</v>
      </c>
      <c r="N101" s="13" t="n">
        <f aca="false">MAX(ROUNDUP(H101,0),I101)</f>
        <v>37</v>
      </c>
      <c r="O101" s="21"/>
      <c r="P101" s="21" t="n">
        <f aca="false">ROUND(M101*N101,2)</f>
        <v>279.35</v>
      </c>
      <c r="Q101" s="21" t="n">
        <f aca="false">ROUND(P101-IF(O101="",0,O101),2)</f>
        <v>279.35</v>
      </c>
      <c r="R101" s="14" t="str">
        <f aca="false">IF(J101="","MISSING BILL",IF(AND(K101=N101,ABS(L101-M101)&lt;0.001,ABS(O101-P101)&lt;0.01),"RECONCILED","CALCULATION ERROR"))</f>
        <v>MISSING BILL</v>
      </c>
      <c r="S101" s="22" t="s">
        <v>1877</v>
      </c>
    </row>
    <row r="102" customFormat="false" ht="15" hidden="false" customHeight="false" outlineLevel="0" collapsed="false">
      <c r="A102" s="13" t="s">
        <v>2205</v>
      </c>
      <c r="B102" s="13" t="s">
        <v>90</v>
      </c>
      <c r="C102" s="13" t="s">
        <v>1872</v>
      </c>
      <c r="D102" s="13" t="s">
        <v>1873</v>
      </c>
      <c r="E102" s="13" t="s">
        <v>2206</v>
      </c>
      <c r="F102" s="14" t="s">
        <v>2207</v>
      </c>
      <c r="G102" s="14" t="s">
        <v>2208</v>
      </c>
      <c r="H102" s="20" t="n">
        <v>59</v>
      </c>
      <c r="I102" s="13" t="n">
        <v>32</v>
      </c>
      <c r="J102" s="13"/>
      <c r="K102" s="13"/>
      <c r="L102" s="21"/>
      <c r="M102" s="21" t="n">
        <f aca="false">IF(C102="covered",10.4,7.55)</f>
        <v>7.55</v>
      </c>
      <c r="N102" s="13" t="n">
        <f aca="false">MAX(ROUNDUP(H102,0),I102)</f>
        <v>59</v>
      </c>
      <c r="O102" s="21"/>
      <c r="P102" s="21" t="n">
        <f aca="false">ROUND(M102*N102,2)</f>
        <v>445.45</v>
      </c>
      <c r="Q102" s="21" t="n">
        <f aca="false">ROUND(P102-IF(O102="",0,O102),2)</f>
        <v>445.45</v>
      </c>
      <c r="R102" s="14" t="str">
        <f aca="false">IF(J102="","MISSING BILL",IF(AND(K102=N102,ABS(L102-M102)&lt;0.001,ABS(O102-P102)&lt;0.01),"RECONCILED","CALCULATION ERROR"))</f>
        <v>MISSING BILL</v>
      </c>
      <c r="S102" s="22" t="s">
        <v>1877</v>
      </c>
    </row>
    <row r="103" customFormat="false" ht="15" hidden="false" customHeight="false" outlineLevel="0" collapsed="false">
      <c r="A103" s="13" t="s">
        <v>2209</v>
      </c>
      <c r="B103" s="13" t="s">
        <v>90</v>
      </c>
      <c r="C103" s="13" t="s">
        <v>1872</v>
      </c>
      <c r="D103" s="13" t="s">
        <v>1873</v>
      </c>
      <c r="E103" s="13" t="s">
        <v>143</v>
      </c>
      <c r="F103" s="14" t="s">
        <v>144</v>
      </c>
      <c r="G103" s="14" t="s">
        <v>1930</v>
      </c>
      <c r="H103" s="20" t="n">
        <v>53.1</v>
      </c>
      <c r="I103" s="13" t="n">
        <v>28</v>
      </c>
      <c r="J103" s="13"/>
      <c r="K103" s="13"/>
      <c r="L103" s="21"/>
      <c r="M103" s="21" t="n">
        <f aca="false">IF(C103="covered",10.4,7.55)</f>
        <v>7.55</v>
      </c>
      <c r="N103" s="13" t="n">
        <f aca="false">MAX(ROUNDUP(H103,0),I103)</f>
        <v>54</v>
      </c>
      <c r="O103" s="21"/>
      <c r="P103" s="21" t="n">
        <f aca="false">ROUND(M103*N103,2)</f>
        <v>407.7</v>
      </c>
      <c r="Q103" s="21" t="n">
        <f aca="false">ROUND(P103-IF(O103="",0,O103),2)</f>
        <v>407.7</v>
      </c>
      <c r="R103" s="14" t="str">
        <f aca="false">IF(J103="","MISSING BILL",IF(AND(K103=N103,ABS(L103-M103)&lt;0.001,ABS(O103-P103)&lt;0.01),"RECONCILED","CALCULATION ERROR"))</f>
        <v>MISSING BILL</v>
      </c>
      <c r="S103" s="22" t="s">
        <v>1877</v>
      </c>
    </row>
    <row r="104" customFormat="false" ht="15" hidden="false" customHeight="false" outlineLevel="0" collapsed="false">
      <c r="A104" s="13" t="s">
        <v>2210</v>
      </c>
      <c r="B104" s="13" t="s">
        <v>90</v>
      </c>
      <c r="C104" s="13" t="s">
        <v>1872</v>
      </c>
      <c r="D104" s="13" t="s">
        <v>1873</v>
      </c>
      <c r="E104" s="13" t="s">
        <v>2211</v>
      </c>
      <c r="F104" s="14" t="s">
        <v>2212</v>
      </c>
      <c r="G104" s="14" t="s">
        <v>2213</v>
      </c>
      <c r="H104" s="20" t="n">
        <v>45.4</v>
      </c>
      <c r="I104" s="13" t="n">
        <v>24</v>
      </c>
      <c r="J104" s="13"/>
      <c r="K104" s="13"/>
      <c r="L104" s="21"/>
      <c r="M104" s="21" t="n">
        <f aca="false">IF(C104="covered",10.4,7.55)</f>
        <v>7.55</v>
      </c>
      <c r="N104" s="13" t="n">
        <f aca="false">MAX(ROUNDUP(H104,0),I104)</f>
        <v>46</v>
      </c>
      <c r="O104" s="21"/>
      <c r="P104" s="21" t="n">
        <f aca="false">ROUND(M104*N104,2)</f>
        <v>347.3</v>
      </c>
      <c r="Q104" s="21" t="n">
        <f aca="false">ROUND(P104-IF(O104="",0,O104),2)</f>
        <v>347.3</v>
      </c>
      <c r="R104" s="14" t="str">
        <f aca="false">IF(J104="","MISSING BILL",IF(AND(K104=N104,ABS(L104-M104)&lt;0.001,ABS(O104-P104)&lt;0.01),"RECONCILED","CALCULATION ERROR"))</f>
        <v>MISSING BILL</v>
      </c>
      <c r="S104" s="22" t="s">
        <v>1877</v>
      </c>
    </row>
    <row r="105" customFormat="false" ht="15" hidden="false" customHeight="false" outlineLevel="0" collapsed="false">
      <c r="A105" s="13" t="s">
        <v>1325</v>
      </c>
      <c r="B105" s="13" t="s">
        <v>90</v>
      </c>
      <c r="C105" s="13" t="s">
        <v>1872</v>
      </c>
      <c r="D105" s="13" t="s">
        <v>1873</v>
      </c>
      <c r="E105" s="13" t="s">
        <v>2214</v>
      </c>
      <c r="F105" s="14" t="s">
        <v>2215</v>
      </c>
      <c r="G105" s="14" t="s">
        <v>2216</v>
      </c>
      <c r="H105" s="20" t="n">
        <v>55.2</v>
      </c>
      <c r="I105" s="13" t="n">
        <v>32</v>
      </c>
      <c r="J105" s="13"/>
      <c r="K105" s="13"/>
      <c r="L105" s="21"/>
      <c r="M105" s="21" t="n">
        <f aca="false">IF(C105="covered",10.4,7.55)</f>
        <v>7.55</v>
      </c>
      <c r="N105" s="13" t="n">
        <f aca="false">MAX(ROUNDUP(H105,0),I105)</f>
        <v>56</v>
      </c>
      <c r="O105" s="21"/>
      <c r="P105" s="21" t="n">
        <f aca="false">ROUND(M105*N105,2)</f>
        <v>422.8</v>
      </c>
      <c r="Q105" s="21" t="n">
        <f aca="false">ROUND(P105-IF(O105="",0,O105),2)</f>
        <v>422.8</v>
      </c>
      <c r="R105" s="14" t="str">
        <f aca="false">IF(J105="","MISSING BILL",IF(AND(K105=N105,ABS(L105-M105)&lt;0.001,ABS(O105-P105)&lt;0.01),"RECONCILED","CALCULATION ERROR"))</f>
        <v>MISSING BILL</v>
      </c>
      <c r="S105" s="22" t="s">
        <v>1877</v>
      </c>
    </row>
    <row r="106" customFormat="false" ht="15" hidden="false" customHeight="false" outlineLevel="0" collapsed="false">
      <c r="A106" s="13" t="s">
        <v>2217</v>
      </c>
      <c r="B106" s="13" t="s">
        <v>90</v>
      </c>
      <c r="C106" s="13" t="s">
        <v>1872</v>
      </c>
      <c r="D106" s="13" t="s">
        <v>1873</v>
      </c>
      <c r="E106" s="13" t="s">
        <v>2218</v>
      </c>
      <c r="F106" s="14" t="s">
        <v>2219</v>
      </c>
      <c r="G106" s="14" t="s">
        <v>2095</v>
      </c>
      <c r="H106" s="20" t="n">
        <v>61.5</v>
      </c>
      <c r="I106" s="13" t="n">
        <v>24</v>
      </c>
      <c r="J106" s="13"/>
      <c r="K106" s="13"/>
      <c r="L106" s="21"/>
      <c r="M106" s="21" t="n">
        <f aca="false">IF(C106="covered",10.4,7.55)</f>
        <v>7.55</v>
      </c>
      <c r="N106" s="13" t="n">
        <f aca="false">MAX(ROUNDUP(H106,0),I106)</f>
        <v>62</v>
      </c>
      <c r="O106" s="21"/>
      <c r="P106" s="21" t="n">
        <f aca="false">ROUND(M106*N106,2)</f>
        <v>468.1</v>
      </c>
      <c r="Q106" s="21" t="n">
        <f aca="false">ROUND(P106-IF(O106="",0,O106),2)</f>
        <v>468.1</v>
      </c>
      <c r="R106" s="14" t="str">
        <f aca="false">IF(J106="","MISSING BILL",IF(AND(K106=N106,ABS(L106-M106)&lt;0.001,ABS(O106-P106)&lt;0.01),"RECONCILED","CALCULATION ERROR"))</f>
        <v>MISSING BILL</v>
      </c>
      <c r="S106" s="22" t="s">
        <v>1877</v>
      </c>
    </row>
    <row r="107" customFormat="false" ht="15" hidden="false" customHeight="false" outlineLevel="0" collapsed="false">
      <c r="A107" s="13" t="s">
        <v>2220</v>
      </c>
      <c r="B107" s="13" t="s">
        <v>90</v>
      </c>
      <c r="C107" s="13" t="s">
        <v>1872</v>
      </c>
      <c r="D107" s="13" t="s">
        <v>1873</v>
      </c>
      <c r="E107" s="13" t="s">
        <v>455</v>
      </c>
      <c r="F107" s="14" t="s">
        <v>456</v>
      </c>
      <c r="G107" s="14" t="s">
        <v>2221</v>
      </c>
      <c r="H107" s="20" t="n">
        <v>56.4</v>
      </c>
      <c r="I107" s="13" t="n">
        <v>24</v>
      </c>
      <c r="J107" s="13"/>
      <c r="K107" s="13"/>
      <c r="L107" s="21"/>
      <c r="M107" s="21" t="n">
        <f aca="false">IF(C107="covered",10.4,7.55)</f>
        <v>7.55</v>
      </c>
      <c r="N107" s="13" t="n">
        <f aca="false">MAX(ROUNDUP(H107,0),I107)</f>
        <v>57</v>
      </c>
      <c r="O107" s="21"/>
      <c r="P107" s="21" t="n">
        <f aca="false">ROUND(M107*N107,2)</f>
        <v>430.35</v>
      </c>
      <c r="Q107" s="21" t="n">
        <f aca="false">ROUND(P107-IF(O107="",0,O107),2)</f>
        <v>430.35</v>
      </c>
      <c r="R107" s="14" t="str">
        <f aca="false">IF(J107="","MISSING BILL",IF(AND(K107=N107,ABS(L107-M107)&lt;0.001,ABS(O107-P107)&lt;0.01),"RECONCILED","CALCULATION ERROR"))</f>
        <v>MISSING BILL</v>
      </c>
      <c r="S107" s="22" t="s">
        <v>1877</v>
      </c>
    </row>
    <row r="108" customFormat="false" ht="15" hidden="false" customHeight="false" outlineLevel="0" collapsed="false">
      <c r="A108" s="13" t="s">
        <v>2222</v>
      </c>
      <c r="B108" s="13" t="s">
        <v>90</v>
      </c>
      <c r="C108" s="13" t="s">
        <v>1872</v>
      </c>
      <c r="D108" s="13" t="s">
        <v>1873</v>
      </c>
      <c r="E108" s="13" t="s">
        <v>2223</v>
      </c>
      <c r="F108" s="14" t="s">
        <v>2224</v>
      </c>
      <c r="G108" s="14" t="s">
        <v>2225</v>
      </c>
      <c r="H108" s="20" t="n">
        <v>61.6</v>
      </c>
      <c r="I108" s="13" t="n">
        <v>50</v>
      </c>
      <c r="J108" s="13"/>
      <c r="K108" s="13"/>
      <c r="L108" s="21"/>
      <c r="M108" s="21" t="n">
        <f aca="false">IF(C108="covered",10.4,7.55)</f>
        <v>7.55</v>
      </c>
      <c r="N108" s="13" t="n">
        <f aca="false">MAX(ROUNDUP(H108,0),I108)</f>
        <v>62</v>
      </c>
      <c r="O108" s="21"/>
      <c r="P108" s="21" t="n">
        <f aca="false">ROUND(M108*N108,2)</f>
        <v>468.1</v>
      </c>
      <c r="Q108" s="21" t="n">
        <f aca="false">ROUND(P108-IF(O108="",0,O108),2)</f>
        <v>468.1</v>
      </c>
      <c r="R108" s="14" t="str">
        <f aca="false">IF(J108="","MISSING BILL",IF(AND(K108=N108,ABS(L108-M108)&lt;0.001,ABS(O108-P108)&lt;0.01),"RECONCILED","CALCULATION ERROR"))</f>
        <v>MISSING BILL</v>
      </c>
      <c r="S108" s="22" t="s">
        <v>1877</v>
      </c>
    </row>
    <row r="109" customFormat="false" ht="15" hidden="false" customHeight="false" outlineLevel="0" collapsed="false">
      <c r="A109" s="13" t="s">
        <v>2226</v>
      </c>
      <c r="B109" s="13" t="s">
        <v>90</v>
      </c>
      <c r="C109" s="13" t="s">
        <v>1872</v>
      </c>
      <c r="D109" s="13" t="s">
        <v>1873</v>
      </c>
      <c r="E109" s="13" t="s">
        <v>2227</v>
      </c>
      <c r="F109" s="14" t="s">
        <v>2228</v>
      </c>
      <c r="G109" s="14" t="s">
        <v>2229</v>
      </c>
      <c r="H109" s="20" t="n">
        <v>53.5</v>
      </c>
      <c r="I109" s="13" t="n">
        <v>36</v>
      </c>
      <c r="J109" s="13"/>
      <c r="K109" s="13"/>
      <c r="L109" s="21"/>
      <c r="M109" s="21" t="n">
        <f aca="false">IF(C109="covered",10.4,7.55)</f>
        <v>7.55</v>
      </c>
      <c r="N109" s="13" t="n">
        <f aca="false">MAX(ROUNDUP(H109,0),I109)</f>
        <v>54</v>
      </c>
      <c r="O109" s="21"/>
      <c r="P109" s="21" t="n">
        <f aca="false">ROUND(M109*N109,2)</f>
        <v>407.7</v>
      </c>
      <c r="Q109" s="21" t="n">
        <f aca="false">ROUND(P109-IF(O109="",0,O109),2)</f>
        <v>407.7</v>
      </c>
      <c r="R109" s="14" t="str">
        <f aca="false">IF(J109="","MISSING BILL",IF(AND(K109=N109,ABS(L109-M109)&lt;0.001,ABS(O109-P109)&lt;0.01),"RECONCILED","CALCULATION ERROR"))</f>
        <v>MISSING BILL</v>
      </c>
      <c r="S109" s="22" t="s">
        <v>1877</v>
      </c>
    </row>
    <row r="110" customFormat="false" ht="15" hidden="false" customHeight="false" outlineLevel="0" collapsed="false">
      <c r="A110" s="13" t="s">
        <v>2230</v>
      </c>
      <c r="B110" s="13" t="s">
        <v>90</v>
      </c>
      <c r="C110" s="13" t="s">
        <v>1872</v>
      </c>
      <c r="D110" s="13" t="s">
        <v>1873</v>
      </c>
      <c r="E110" s="13" t="s">
        <v>2231</v>
      </c>
      <c r="F110" s="14" t="s">
        <v>2232</v>
      </c>
      <c r="G110" s="14" t="s">
        <v>2233</v>
      </c>
      <c r="H110" s="20" t="n">
        <v>35.7</v>
      </c>
      <c r="I110" s="13" t="n">
        <v>28</v>
      </c>
      <c r="J110" s="13"/>
      <c r="K110" s="13"/>
      <c r="L110" s="21"/>
      <c r="M110" s="21" t="n">
        <f aca="false">IF(C110="covered",10.4,7.55)</f>
        <v>7.55</v>
      </c>
      <c r="N110" s="13" t="n">
        <f aca="false">MAX(ROUNDUP(H110,0),I110)</f>
        <v>36</v>
      </c>
      <c r="O110" s="21"/>
      <c r="P110" s="21" t="n">
        <f aca="false">ROUND(M110*N110,2)</f>
        <v>271.8</v>
      </c>
      <c r="Q110" s="21" t="n">
        <f aca="false">ROUND(P110-IF(O110="",0,O110),2)</f>
        <v>271.8</v>
      </c>
      <c r="R110" s="14" t="str">
        <f aca="false">IF(J110="","MISSING BILL",IF(AND(K110=N110,ABS(L110-M110)&lt;0.001,ABS(O110-P110)&lt;0.01),"RECONCILED","CALCULATION ERROR"))</f>
        <v>MISSING BILL</v>
      </c>
      <c r="S110" s="22" t="s">
        <v>1877</v>
      </c>
    </row>
    <row r="111" customFormat="false" ht="15" hidden="false" customHeight="false" outlineLevel="0" collapsed="false">
      <c r="A111" s="13" t="s">
        <v>2234</v>
      </c>
      <c r="B111" s="13" t="s">
        <v>90</v>
      </c>
      <c r="C111" s="13" t="s">
        <v>1872</v>
      </c>
      <c r="D111" s="13" t="s">
        <v>1873</v>
      </c>
      <c r="E111" s="13" t="s">
        <v>2235</v>
      </c>
      <c r="F111" s="14" t="s">
        <v>2236</v>
      </c>
      <c r="G111" s="14" t="s">
        <v>2119</v>
      </c>
      <c r="H111" s="20" t="n">
        <v>46.7</v>
      </c>
      <c r="I111" s="13" t="n">
        <v>32</v>
      </c>
      <c r="J111" s="13"/>
      <c r="K111" s="13"/>
      <c r="L111" s="21"/>
      <c r="M111" s="21" t="n">
        <f aca="false">IF(C111="covered",10.4,7.55)</f>
        <v>7.55</v>
      </c>
      <c r="N111" s="13" t="n">
        <f aca="false">MAX(ROUNDUP(H111,0),I111)</f>
        <v>47</v>
      </c>
      <c r="O111" s="21"/>
      <c r="P111" s="21" t="n">
        <f aca="false">ROUND(M111*N111,2)</f>
        <v>354.85</v>
      </c>
      <c r="Q111" s="21" t="n">
        <f aca="false">ROUND(P111-IF(O111="",0,O111),2)</f>
        <v>354.85</v>
      </c>
      <c r="R111" s="14" t="str">
        <f aca="false">IF(J111="","MISSING BILL",IF(AND(K111=N111,ABS(L111-M111)&lt;0.001,ABS(O111-P111)&lt;0.01),"RECONCILED","CALCULATION ERROR"))</f>
        <v>MISSING BILL</v>
      </c>
      <c r="S111" s="22" t="s">
        <v>1877</v>
      </c>
    </row>
    <row r="112" customFormat="false" ht="15" hidden="false" customHeight="false" outlineLevel="0" collapsed="false">
      <c r="A112" s="13" t="s">
        <v>2237</v>
      </c>
      <c r="B112" s="13" t="s">
        <v>90</v>
      </c>
      <c r="C112" s="13" t="s">
        <v>1872</v>
      </c>
      <c r="D112" s="13" t="s">
        <v>1873</v>
      </c>
      <c r="E112" s="13" t="s">
        <v>2238</v>
      </c>
      <c r="F112" s="14" t="s">
        <v>2239</v>
      </c>
      <c r="G112" s="14" t="s">
        <v>2240</v>
      </c>
      <c r="H112" s="20" t="n">
        <v>47.4</v>
      </c>
      <c r="I112" s="13" t="n">
        <v>70</v>
      </c>
      <c r="J112" s="13"/>
      <c r="K112" s="13"/>
      <c r="L112" s="21"/>
      <c r="M112" s="21" t="n">
        <f aca="false">IF(C112="covered",10.4,7.55)</f>
        <v>7.55</v>
      </c>
      <c r="N112" s="13" t="n">
        <f aca="false">MAX(ROUNDUP(H112,0),I112)</f>
        <v>70</v>
      </c>
      <c r="O112" s="21"/>
      <c r="P112" s="21" t="n">
        <f aca="false">ROUND(M112*N112,2)</f>
        <v>528.5</v>
      </c>
      <c r="Q112" s="21" t="n">
        <f aca="false">ROUND(P112-IF(O112="",0,O112),2)</f>
        <v>528.5</v>
      </c>
      <c r="R112" s="14" t="str">
        <f aca="false">IF(J112="","MISSING BILL",IF(AND(K112=N112,ABS(L112-M112)&lt;0.001,ABS(O112-P112)&lt;0.01),"RECONCILED","CALCULATION ERROR"))</f>
        <v>MISSING BILL</v>
      </c>
      <c r="S112" s="22" t="s">
        <v>1877</v>
      </c>
    </row>
    <row r="113" customFormat="false" ht="15" hidden="false" customHeight="false" outlineLevel="0" collapsed="false">
      <c r="A113" s="13" t="s">
        <v>2241</v>
      </c>
      <c r="B113" s="13" t="s">
        <v>90</v>
      </c>
      <c r="C113" s="13" t="s">
        <v>1872</v>
      </c>
      <c r="D113" s="13" t="s">
        <v>1873</v>
      </c>
      <c r="E113" s="13" t="s">
        <v>926</v>
      </c>
      <c r="F113" s="14" t="s">
        <v>927</v>
      </c>
      <c r="G113" s="14" t="s">
        <v>2242</v>
      </c>
      <c r="H113" s="20" t="n">
        <v>26.3</v>
      </c>
      <c r="I113" s="13" t="n">
        <v>70</v>
      </c>
      <c r="J113" s="13"/>
      <c r="K113" s="13"/>
      <c r="L113" s="21"/>
      <c r="M113" s="21" t="n">
        <f aca="false">IF(C113="covered",10.4,7.55)</f>
        <v>7.55</v>
      </c>
      <c r="N113" s="13" t="n">
        <f aca="false">MAX(ROUNDUP(H113,0),I113)</f>
        <v>70</v>
      </c>
      <c r="O113" s="21"/>
      <c r="P113" s="21" t="n">
        <f aca="false">ROUND(M113*N113,2)</f>
        <v>528.5</v>
      </c>
      <c r="Q113" s="21" t="n">
        <f aca="false">ROUND(P113-IF(O113="",0,O113),2)</f>
        <v>528.5</v>
      </c>
      <c r="R113" s="14" t="str">
        <f aca="false">IF(J113="","MISSING BILL",IF(AND(K113=N113,ABS(L113-M113)&lt;0.001,ABS(O113-P113)&lt;0.01),"RECONCILED","CALCULATION ERROR"))</f>
        <v>MISSING BILL</v>
      </c>
      <c r="S113" s="22" t="s">
        <v>1877</v>
      </c>
    </row>
    <row r="114" customFormat="false" ht="15" hidden="false" customHeight="false" outlineLevel="0" collapsed="false">
      <c r="A114" s="13" t="s">
        <v>2243</v>
      </c>
      <c r="B114" s="13" t="s">
        <v>90</v>
      </c>
      <c r="C114" s="13" t="s">
        <v>1872</v>
      </c>
      <c r="D114" s="13" t="s">
        <v>1873</v>
      </c>
      <c r="E114" s="13" t="s">
        <v>2244</v>
      </c>
      <c r="F114" s="14" t="s">
        <v>2245</v>
      </c>
      <c r="G114" s="14" t="s">
        <v>2246</v>
      </c>
      <c r="H114" s="20" t="n">
        <v>47.2</v>
      </c>
      <c r="I114" s="13" t="n">
        <v>32</v>
      </c>
      <c r="J114" s="13"/>
      <c r="K114" s="13"/>
      <c r="L114" s="21"/>
      <c r="M114" s="21" t="n">
        <f aca="false">IF(C114="covered",10.4,7.55)</f>
        <v>7.55</v>
      </c>
      <c r="N114" s="13" t="n">
        <f aca="false">MAX(ROUNDUP(H114,0),I114)</f>
        <v>48</v>
      </c>
      <c r="O114" s="21"/>
      <c r="P114" s="21" t="n">
        <f aca="false">ROUND(M114*N114,2)</f>
        <v>362.4</v>
      </c>
      <c r="Q114" s="21" t="n">
        <f aca="false">ROUND(P114-IF(O114="",0,O114),2)</f>
        <v>362.4</v>
      </c>
      <c r="R114" s="14" t="str">
        <f aca="false">IF(J114="","MISSING BILL",IF(AND(K114=N114,ABS(L114-M114)&lt;0.001,ABS(O114-P114)&lt;0.01),"RECONCILED","CALCULATION ERROR"))</f>
        <v>MISSING BILL</v>
      </c>
      <c r="S114" s="22" t="s">
        <v>1877</v>
      </c>
    </row>
    <row r="115" customFormat="false" ht="15" hidden="false" customHeight="false" outlineLevel="0" collapsed="false">
      <c r="A115" s="13" t="s">
        <v>2247</v>
      </c>
      <c r="B115" s="13" t="s">
        <v>90</v>
      </c>
      <c r="C115" s="13" t="s">
        <v>1872</v>
      </c>
      <c r="D115" s="13" t="s">
        <v>1873</v>
      </c>
      <c r="E115" s="13" t="s">
        <v>2248</v>
      </c>
      <c r="F115" s="14" t="s">
        <v>2249</v>
      </c>
      <c r="G115" s="14" t="s">
        <v>2250</v>
      </c>
      <c r="H115" s="20" t="n">
        <v>36.7</v>
      </c>
      <c r="I115" s="13" t="n">
        <v>60</v>
      </c>
      <c r="J115" s="13"/>
      <c r="K115" s="13"/>
      <c r="L115" s="21"/>
      <c r="M115" s="21" t="n">
        <f aca="false">IF(C115="covered",10.4,7.55)</f>
        <v>7.55</v>
      </c>
      <c r="N115" s="13" t="n">
        <f aca="false">MAX(ROUNDUP(H115,0),I115)</f>
        <v>60</v>
      </c>
      <c r="O115" s="21"/>
      <c r="P115" s="21" t="n">
        <f aca="false">ROUND(M115*N115,2)</f>
        <v>453</v>
      </c>
      <c r="Q115" s="21" t="n">
        <f aca="false">ROUND(P115-IF(O115="",0,O115),2)</f>
        <v>453</v>
      </c>
      <c r="R115" s="14" t="str">
        <f aca="false">IF(J115="","MISSING BILL",IF(AND(K115=N115,ABS(L115-M115)&lt;0.001,ABS(O115-P115)&lt;0.01),"RECONCILED","CALCULATION ERROR"))</f>
        <v>MISSING BILL</v>
      </c>
      <c r="S115" s="22" t="s">
        <v>1877</v>
      </c>
    </row>
    <row r="116" customFormat="false" ht="15" hidden="false" customHeight="false" outlineLevel="0" collapsed="false">
      <c r="A116" s="13" t="s">
        <v>399</v>
      </c>
      <c r="B116" s="13" t="s">
        <v>90</v>
      </c>
      <c r="C116" s="13" t="s">
        <v>1872</v>
      </c>
      <c r="D116" s="13" t="s">
        <v>1873</v>
      </c>
      <c r="E116" s="13" t="s">
        <v>2251</v>
      </c>
      <c r="F116" s="14" t="s">
        <v>2252</v>
      </c>
      <c r="G116" s="14" t="s">
        <v>2253</v>
      </c>
      <c r="H116" s="20" t="n">
        <v>19</v>
      </c>
      <c r="I116" s="13" t="n">
        <v>24</v>
      </c>
      <c r="J116" s="13"/>
      <c r="K116" s="13"/>
      <c r="L116" s="21"/>
      <c r="M116" s="21" t="n">
        <f aca="false">IF(C116="covered",10.4,7.55)</f>
        <v>7.55</v>
      </c>
      <c r="N116" s="13" t="n">
        <f aca="false">MAX(ROUNDUP(H116,0),I116)</f>
        <v>24</v>
      </c>
      <c r="O116" s="21"/>
      <c r="P116" s="21" t="n">
        <f aca="false">ROUND(M116*N116,2)</f>
        <v>181.2</v>
      </c>
      <c r="Q116" s="21" t="n">
        <f aca="false">ROUND(P116-IF(O116="",0,O116),2)</f>
        <v>181.2</v>
      </c>
      <c r="R116" s="14" t="str">
        <f aca="false">IF(J116="","MISSING BILL",IF(AND(K116=N116,ABS(L116-M116)&lt;0.001,ABS(O116-P116)&lt;0.01),"RECONCILED","CALCULATION ERROR"))</f>
        <v>MISSING BILL</v>
      </c>
      <c r="S116" s="22" t="s">
        <v>1877</v>
      </c>
    </row>
    <row r="117" customFormat="false" ht="15" hidden="false" customHeight="false" outlineLevel="0" collapsed="false">
      <c r="A117" s="13" t="s">
        <v>2254</v>
      </c>
      <c r="B117" s="13" t="s">
        <v>90</v>
      </c>
      <c r="C117" s="13" t="s">
        <v>1872</v>
      </c>
      <c r="D117" s="13" t="s">
        <v>1873</v>
      </c>
      <c r="E117" s="13" t="s">
        <v>2255</v>
      </c>
      <c r="F117" s="14" t="s">
        <v>2256</v>
      </c>
      <c r="G117" s="14" t="s">
        <v>2257</v>
      </c>
      <c r="H117" s="20" t="n">
        <v>25.8</v>
      </c>
      <c r="I117" s="13" t="n">
        <v>36</v>
      </c>
      <c r="J117" s="13"/>
      <c r="K117" s="13"/>
      <c r="L117" s="21"/>
      <c r="M117" s="21" t="n">
        <f aca="false">IF(C117="covered",10.4,7.55)</f>
        <v>7.55</v>
      </c>
      <c r="N117" s="13" t="n">
        <f aca="false">MAX(ROUNDUP(H117,0),I117)</f>
        <v>36</v>
      </c>
      <c r="O117" s="21"/>
      <c r="P117" s="21" t="n">
        <f aca="false">ROUND(M117*N117,2)</f>
        <v>271.8</v>
      </c>
      <c r="Q117" s="21" t="n">
        <f aca="false">ROUND(P117-IF(O117="",0,O117),2)</f>
        <v>271.8</v>
      </c>
      <c r="R117" s="14" t="str">
        <f aca="false">IF(J117="","MISSING BILL",IF(AND(K117=N117,ABS(L117-M117)&lt;0.001,ABS(O117-P117)&lt;0.01),"RECONCILED","CALCULATION ERROR"))</f>
        <v>MISSING BILL</v>
      </c>
      <c r="S117" s="22" t="s">
        <v>1877</v>
      </c>
    </row>
    <row r="118" customFormat="false" ht="15" hidden="false" customHeight="false" outlineLevel="0" collapsed="false">
      <c r="A118" s="13" t="s">
        <v>2258</v>
      </c>
      <c r="B118" s="13" t="s">
        <v>90</v>
      </c>
      <c r="C118" s="13" t="s">
        <v>1872</v>
      </c>
      <c r="D118" s="13" t="s">
        <v>1873</v>
      </c>
      <c r="E118" s="13" t="s">
        <v>2259</v>
      </c>
      <c r="F118" s="14" t="s">
        <v>2260</v>
      </c>
      <c r="G118" s="14" t="s">
        <v>2261</v>
      </c>
      <c r="H118" s="20" t="n">
        <v>58.4</v>
      </c>
      <c r="I118" s="13" t="n">
        <v>32</v>
      </c>
      <c r="J118" s="13"/>
      <c r="K118" s="13"/>
      <c r="L118" s="21"/>
      <c r="M118" s="21" t="n">
        <f aca="false">IF(C118="covered",10.4,7.55)</f>
        <v>7.55</v>
      </c>
      <c r="N118" s="13" t="n">
        <f aca="false">MAX(ROUNDUP(H118,0),I118)</f>
        <v>59</v>
      </c>
      <c r="O118" s="21"/>
      <c r="P118" s="21" t="n">
        <f aca="false">ROUND(M118*N118,2)</f>
        <v>445.45</v>
      </c>
      <c r="Q118" s="21" t="n">
        <f aca="false">ROUND(P118-IF(O118="",0,O118),2)</f>
        <v>445.45</v>
      </c>
      <c r="R118" s="14" t="str">
        <f aca="false">IF(J118="","MISSING BILL",IF(AND(K118=N118,ABS(L118-M118)&lt;0.001,ABS(O118-P118)&lt;0.01),"RECONCILED","CALCULATION ERROR"))</f>
        <v>MISSING BILL</v>
      </c>
      <c r="S118" s="22" t="s">
        <v>1877</v>
      </c>
    </row>
    <row r="119" customFormat="false" ht="15" hidden="false" customHeight="false" outlineLevel="0" collapsed="false">
      <c r="A119" s="13" t="s">
        <v>2262</v>
      </c>
      <c r="B119" s="13" t="s">
        <v>90</v>
      </c>
      <c r="C119" s="13" t="s">
        <v>1872</v>
      </c>
      <c r="D119" s="13" t="s">
        <v>1873</v>
      </c>
      <c r="E119" s="13" t="s">
        <v>2263</v>
      </c>
      <c r="F119" s="14" t="s">
        <v>2264</v>
      </c>
      <c r="G119" s="14" t="s">
        <v>2087</v>
      </c>
      <c r="H119" s="20" t="n">
        <v>31.4</v>
      </c>
      <c r="I119" s="13" t="n">
        <v>32</v>
      </c>
      <c r="J119" s="13"/>
      <c r="K119" s="13"/>
      <c r="L119" s="21"/>
      <c r="M119" s="21" t="n">
        <f aca="false">IF(C119="covered",10.4,7.55)</f>
        <v>7.55</v>
      </c>
      <c r="N119" s="13" t="n">
        <f aca="false">MAX(ROUNDUP(H119,0),I119)</f>
        <v>32</v>
      </c>
      <c r="O119" s="21"/>
      <c r="P119" s="21" t="n">
        <f aca="false">ROUND(M119*N119,2)</f>
        <v>241.6</v>
      </c>
      <c r="Q119" s="21" t="n">
        <f aca="false">ROUND(P119-IF(O119="",0,O119),2)</f>
        <v>241.6</v>
      </c>
      <c r="R119" s="14" t="str">
        <f aca="false">IF(J119="","MISSING BILL",IF(AND(K119=N119,ABS(L119-M119)&lt;0.001,ABS(O119-P119)&lt;0.01),"RECONCILED","CALCULATION ERROR"))</f>
        <v>MISSING BILL</v>
      </c>
      <c r="S119" s="22" t="s">
        <v>1877</v>
      </c>
    </row>
    <row r="120" customFormat="false" ht="15" hidden="false" customHeight="false" outlineLevel="0" collapsed="false">
      <c r="A120" s="13" t="s">
        <v>2265</v>
      </c>
      <c r="B120" s="13" t="s">
        <v>90</v>
      </c>
      <c r="C120" s="13" t="s">
        <v>1872</v>
      </c>
      <c r="D120" s="13" t="s">
        <v>1873</v>
      </c>
      <c r="E120" s="13" t="s">
        <v>2266</v>
      </c>
      <c r="F120" s="14" t="s">
        <v>2267</v>
      </c>
      <c r="G120" s="14" t="s">
        <v>2268</v>
      </c>
      <c r="H120" s="20" t="n">
        <v>29.1</v>
      </c>
      <c r="I120" s="13" t="n">
        <v>60</v>
      </c>
      <c r="J120" s="13"/>
      <c r="K120" s="13"/>
      <c r="L120" s="21"/>
      <c r="M120" s="21" t="n">
        <f aca="false">IF(C120="covered",10.4,7.55)</f>
        <v>7.55</v>
      </c>
      <c r="N120" s="13" t="n">
        <f aca="false">MAX(ROUNDUP(H120,0),I120)</f>
        <v>60</v>
      </c>
      <c r="O120" s="21"/>
      <c r="P120" s="21" t="n">
        <f aca="false">ROUND(M120*N120,2)</f>
        <v>453</v>
      </c>
      <c r="Q120" s="21" t="n">
        <f aca="false">ROUND(P120-IF(O120="",0,O120),2)</f>
        <v>453</v>
      </c>
      <c r="R120" s="14" t="str">
        <f aca="false">IF(J120="","MISSING BILL",IF(AND(K120=N120,ABS(L120-M120)&lt;0.001,ABS(O120-P120)&lt;0.01),"RECONCILED","CALCULATION ERROR"))</f>
        <v>MISSING BILL</v>
      </c>
      <c r="S120" s="22" t="s">
        <v>1877</v>
      </c>
    </row>
    <row r="121" customFormat="false" ht="15" hidden="false" customHeight="false" outlineLevel="0" collapsed="false">
      <c r="A121" s="13" t="s">
        <v>322</v>
      </c>
      <c r="B121" s="13" t="s">
        <v>90</v>
      </c>
      <c r="C121" s="13" t="s">
        <v>1872</v>
      </c>
      <c r="D121" s="13" t="s">
        <v>1873</v>
      </c>
      <c r="E121" s="13" t="s">
        <v>2269</v>
      </c>
      <c r="F121" s="14" t="s">
        <v>2270</v>
      </c>
      <c r="G121" s="14" t="s">
        <v>2271</v>
      </c>
      <c r="H121" s="20" t="n">
        <v>58.3</v>
      </c>
      <c r="I121" s="13" t="n">
        <v>60</v>
      </c>
      <c r="J121" s="13"/>
      <c r="K121" s="13"/>
      <c r="L121" s="21"/>
      <c r="M121" s="21" t="n">
        <f aca="false">IF(C121="covered",10.4,7.55)</f>
        <v>7.55</v>
      </c>
      <c r="N121" s="13" t="n">
        <f aca="false">MAX(ROUNDUP(H121,0),I121)</f>
        <v>60</v>
      </c>
      <c r="O121" s="21"/>
      <c r="P121" s="21" t="n">
        <f aca="false">ROUND(M121*N121,2)</f>
        <v>453</v>
      </c>
      <c r="Q121" s="21" t="n">
        <f aca="false">ROUND(P121-IF(O121="",0,O121),2)</f>
        <v>453</v>
      </c>
      <c r="R121" s="14" t="str">
        <f aca="false">IF(J121="","MISSING BILL",IF(AND(K121=N121,ABS(L121-M121)&lt;0.001,ABS(O121-P121)&lt;0.01),"RECONCILED","CALCULATION ERROR"))</f>
        <v>MISSING BILL</v>
      </c>
      <c r="S121" s="22" t="s">
        <v>1877</v>
      </c>
    </row>
    <row r="122" customFormat="false" ht="15" hidden="false" customHeight="false" outlineLevel="0" collapsed="false">
      <c r="A122" s="13" t="s">
        <v>2272</v>
      </c>
      <c r="B122" s="13" t="s">
        <v>90</v>
      </c>
      <c r="C122" s="13" t="s">
        <v>1872</v>
      </c>
      <c r="D122" s="13" t="s">
        <v>1873</v>
      </c>
      <c r="E122" s="13" t="s">
        <v>914</v>
      </c>
      <c r="F122" s="14" t="s">
        <v>915</v>
      </c>
      <c r="G122" s="14" t="s">
        <v>2273</v>
      </c>
      <c r="H122" s="20" t="n">
        <v>47.5</v>
      </c>
      <c r="I122" s="13" t="n">
        <v>45</v>
      </c>
      <c r="J122" s="13"/>
      <c r="K122" s="13"/>
      <c r="L122" s="21"/>
      <c r="M122" s="21" t="n">
        <f aca="false">IF(C122="covered",10.4,7.55)</f>
        <v>7.55</v>
      </c>
      <c r="N122" s="13" t="n">
        <f aca="false">MAX(ROUNDUP(H122,0),I122)</f>
        <v>48</v>
      </c>
      <c r="O122" s="21"/>
      <c r="P122" s="21" t="n">
        <f aca="false">ROUND(M122*N122,2)</f>
        <v>362.4</v>
      </c>
      <c r="Q122" s="21" t="n">
        <f aca="false">ROUND(P122-IF(O122="",0,O122),2)</f>
        <v>362.4</v>
      </c>
      <c r="R122" s="14" t="str">
        <f aca="false">IF(J122="","MISSING BILL",IF(AND(K122=N122,ABS(L122-M122)&lt;0.001,ABS(O122-P122)&lt;0.01),"RECONCILED","CALCULATION ERROR"))</f>
        <v>MISSING BILL</v>
      </c>
      <c r="S122" s="22" t="s">
        <v>1877</v>
      </c>
    </row>
    <row r="123" customFormat="false" ht="15" hidden="false" customHeight="false" outlineLevel="0" collapsed="false">
      <c r="A123" s="13" t="s">
        <v>2274</v>
      </c>
      <c r="B123" s="13" t="s">
        <v>90</v>
      </c>
      <c r="C123" s="13" t="s">
        <v>1872</v>
      </c>
      <c r="D123" s="13" t="s">
        <v>1873</v>
      </c>
      <c r="E123" s="13" t="s">
        <v>2275</v>
      </c>
      <c r="F123" s="14" t="s">
        <v>2276</v>
      </c>
      <c r="G123" s="14" t="s">
        <v>2277</v>
      </c>
      <c r="H123" s="20" t="n">
        <v>27.2</v>
      </c>
      <c r="I123" s="13" t="n">
        <v>45</v>
      </c>
      <c r="J123" s="13"/>
      <c r="K123" s="13"/>
      <c r="L123" s="21"/>
      <c r="M123" s="21" t="n">
        <f aca="false">IF(C123="covered",10.4,7.55)</f>
        <v>7.55</v>
      </c>
      <c r="N123" s="13" t="n">
        <f aca="false">MAX(ROUNDUP(H123,0),I123)</f>
        <v>45</v>
      </c>
      <c r="O123" s="21"/>
      <c r="P123" s="21" t="n">
        <f aca="false">ROUND(M123*N123,2)</f>
        <v>339.75</v>
      </c>
      <c r="Q123" s="21" t="n">
        <f aca="false">ROUND(P123-IF(O123="",0,O123),2)</f>
        <v>339.75</v>
      </c>
      <c r="R123" s="14" t="str">
        <f aca="false">IF(J123="","MISSING BILL",IF(AND(K123=N123,ABS(L123-M123)&lt;0.001,ABS(O123-P123)&lt;0.01),"RECONCILED","CALCULATION ERROR"))</f>
        <v>MISSING BILL</v>
      </c>
      <c r="S123" s="22" t="s">
        <v>1877</v>
      </c>
    </row>
    <row r="124" customFormat="false" ht="15" hidden="false" customHeight="false" outlineLevel="0" collapsed="false">
      <c r="A124" s="13" t="s">
        <v>2278</v>
      </c>
      <c r="B124" s="13" t="s">
        <v>90</v>
      </c>
      <c r="C124" s="13" t="s">
        <v>1872</v>
      </c>
      <c r="D124" s="13" t="s">
        <v>1873</v>
      </c>
      <c r="E124" s="13" t="s">
        <v>2279</v>
      </c>
      <c r="F124" s="14" t="s">
        <v>2280</v>
      </c>
      <c r="G124" s="14" t="s">
        <v>2281</v>
      </c>
      <c r="H124" s="20" t="n">
        <v>51.7</v>
      </c>
      <c r="I124" s="13" t="n">
        <v>80</v>
      </c>
      <c r="J124" s="13"/>
      <c r="K124" s="13"/>
      <c r="L124" s="21"/>
      <c r="M124" s="21" t="n">
        <f aca="false">IF(C124="covered",10.4,7.55)</f>
        <v>7.55</v>
      </c>
      <c r="N124" s="13" t="n">
        <f aca="false">MAX(ROUNDUP(H124,0),I124)</f>
        <v>80</v>
      </c>
      <c r="O124" s="21"/>
      <c r="P124" s="21" t="n">
        <f aca="false">ROUND(M124*N124,2)</f>
        <v>604</v>
      </c>
      <c r="Q124" s="21" t="n">
        <f aca="false">ROUND(P124-IF(O124="",0,O124),2)</f>
        <v>604</v>
      </c>
      <c r="R124" s="14" t="str">
        <f aca="false">IF(J124="","MISSING BILL",IF(AND(K124=N124,ABS(L124-M124)&lt;0.001,ABS(O124-P124)&lt;0.01),"RECONCILED","CALCULATION ERROR"))</f>
        <v>MISSING BILL</v>
      </c>
      <c r="S124" s="22" t="s">
        <v>1877</v>
      </c>
    </row>
    <row r="125" customFormat="false" ht="15" hidden="false" customHeight="false" outlineLevel="0" collapsed="false">
      <c r="A125" s="13" t="s">
        <v>1836</v>
      </c>
      <c r="B125" s="13" t="s">
        <v>90</v>
      </c>
      <c r="C125" s="13" t="s">
        <v>1872</v>
      </c>
      <c r="D125" s="13" t="s">
        <v>1873</v>
      </c>
      <c r="E125" s="13" t="s">
        <v>2282</v>
      </c>
      <c r="F125" s="14" t="s">
        <v>2283</v>
      </c>
      <c r="G125" s="14" t="s">
        <v>2284</v>
      </c>
      <c r="H125" s="20" t="n">
        <v>48</v>
      </c>
      <c r="I125" s="13" t="n">
        <v>80</v>
      </c>
      <c r="J125" s="13"/>
      <c r="K125" s="13"/>
      <c r="L125" s="21"/>
      <c r="M125" s="21" t="n">
        <f aca="false">IF(C125="covered",10.4,7.55)</f>
        <v>7.55</v>
      </c>
      <c r="N125" s="13" t="n">
        <f aca="false">MAX(ROUNDUP(H125,0),I125)</f>
        <v>80</v>
      </c>
      <c r="O125" s="21"/>
      <c r="P125" s="21" t="n">
        <f aca="false">ROUND(M125*N125,2)</f>
        <v>604</v>
      </c>
      <c r="Q125" s="21" t="n">
        <f aca="false">ROUND(P125-IF(O125="",0,O125),2)</f>
        <v>604</v>
      </c>
      <c r="R125" s="14" t="str">
        <f aca="false">IF(J125="","MISSING BILL",IF(AND(K125=N125,ABS(L125-M125)&lt;0.001,ABS(O125-P125)&lt;0.01),"RECONCILED","CALCULATION ERROR"))</f>
        <v>MISSING BILL</v>
      </c>
      <c r="S125" s="22" t="s">
        <v>1877</v>
      </c>
    </row>
    <row r="126" customFormat="false" ht="15" hidden="false" customHeight="false" outlineLevel="0" collapsed="false">
      <c r="A126" s="13" t="s">
        <v>755</v>
      </c>
      <c r="B126" s="13" t="s">
        <v>90</v>
      </c>
      <c r="C126" s="13" t="s">
        <v>1872</v>
      </c>
      <c r="D126" s="13" t="s">
        <v>1873</v>
      </c>
      <c r="E126" s="13" t="s">
        <v>2285</v>
      </c>
      <c r="F126" s="14" t="s">
        <v>2286</v>
      </c>
      <c r="G126" s="14" t="s">
        <v>2287</v>
      </c>
      <c r="H126" s="20" t="n">
        <v>27.1</v>
      </c>
      <c r="I126" s="13" t="n">
        <v>60</v>
      </c>
      <c r="J126" s="13"/>
      <c r="K126" s="13"/>
      <c r="L126" s="21"/>
      <c r="M126" s="21" t="n">
        <f aca="false">IF(C126="covered",10.4,7.55)</f>
        <v>7.55</v>
      </c>
      <c r="N126" s="13" t="n">
        <f aca="false">MAX(ROUNDUP(H126,0),I126)</f>
        <v>60</v>
      </c>
      <c r="O126" s="21"/>
      <c r="P126" s="21" t="n">
        <f aca="false">ROUND(M126*N126,2)</f>
        <v>453</v>
      </c>
      <c r="Q126" s="21" t="n">
        <f aca="false">ROUND(P126-IF(O126="",0,O126),2)</f>
        <v>453</v>
      </c>
      <c r="R126" s="14" t="str">
        <f aca="false">IF(J126="","MISSING BILL",IF(AND(K126=N126,ABS(L126-M126)&lt;0.001,ABS(O126-P126)&lt;0.01),"RECONCILED","CALCULATION ERROR"))</f>
        <v>MISSING BILL</v>
      </c>
      <c r="S126" s="22" t="s">
        <v>1877</v>
      </c>
    </row>
    <row r="127" customFormat="false" ht="15" hidden="false" customHeight="false" outlineLevel="0" collapsed="false">
      <c r="A127" s="13" t="s">
        <v>2288</v>
      </c>
      <c r="B127" s="13" t="s">
        <v>90</v>
      </c>
      <c r="C127" s="13" t="s">
        <v>1872</v>
      </c>
      <c r="D127" s="13" t="s">
        <v>1873</v>
      </c>
      <c r="E127" s="13" t="s">
        <v>2289</v>
      </c>
      <c r="F127" s="14" t="s">
        <v>2290</v>
      </c>
      <c r="G127" s="14" t="s">
        <v>2291</v>
      </c>
      <c r="H127" s="20" t="n">
        <v>30.6</v>
      </c>
      <c r="I127" s="13" t="n">
        <v>32</v>
      </c>
      <c r="J127" s="13"/>
      <c r="K127" s="13"/>
      <c r="L127" s="21"/>
      <c r="M127" s="21" t="n">
        <f aca="false">IF(C127="covered",10.4,7.55)</f>
        <v>7.55</v>
      </c>
      <c r="N127" s="13" t="n">
        <f aca="false">MAX(ROUNDUP(H127,0),I127)</f>
        <v>32</v>
      </c>
      <c r="O127" s="21"/>
      <c r="P127" s="21" t="n">
        <f aca="false">ROUND(M127*N127,2)</f>
        <v>241.6</v>
      </c>
      <c r="Q127" s="21" t="n">
        <f aca="false">ROUND(P127-IF(O127="",0,O127),2)</f>
        <v>241.6</v>
      </c>
      <c r="R127" s="14" t="str">
        <f aca="false">IF(J127="","MISSING BILL",IF(AND(K127=N127,ABS(L127-M127)&lt;0.001,ABS(O127-P127)&lt;0.01),"RECONCILED","CALCULATION ERROR"))</f>
        <v>MISSING BILL</v>
      </c>
      <c r="S127" s="22" t="s">
        <v>1877</v>
      </c>
    </row>
    <row r="128" customFormat="false" ht="15" hidden="false" customHeight="false" outlineLevel="0" collapsed="false">
      <c r="A128" s="13" t="s">
        <v>2292</v>
      </c>
      <c r="B128" s="13" t="s">
        <v>90</v>
      </c>
      <c r="C128" s="13" t="s">
        <v>1872</v>
      </c>
      <c r="D128" s="13" t="s">
        <v>1873</v>
      </c>
      <c r="E128" s="13" t="s">
        <v>2293</v>
      </c>
      <c r="F128" s="14" t="s">
        <v>2294</v>
      </c>
      <c r="G128" s="14" t="s">
        <v>2295</v>
      </c>
      <c r="H128" s="20" t="n">
        <v>50.8</v>
      </c>
      <c r="I128" s="13" t="n">
        <v>70</v>
      </c>
      <c r="J128" s="13"/>
      <c r="K128" s="13"/>
      <c r="L128" s="21"/>
      <c r="M128" s="21" t="n">
        <f aca="false">IF(C128="covered",10.4,7.55)</f>
        <v>7.55</v>
      </c>
      <c r="N128" s="13" t="n">
        <f aca="false">MAX(ROUNDUP(H128,0),I128)</f>
        <v>70</v>
      </c>
      <c r="O128" s="21"/>
      <c r="P128" s="21" t="n">
        <f aca="false">ROUND(M128*N128,2)</f>
        <v>528.5</v>
      </c>
      <c r="Q128" s="21" t="n">
        <f aca="false">ROUND(P128-IF(O128="",0,O128),2)</f>
        <v>528.5</v>
      </c>
      <c r="R128" s="14" t="str">
        <f aca="false">IF(J128="","MISSING BILL",IF(AND(K128=N128,ABS(L128-M128)&lt;0.001,ABS(O128-P128)&lt;0.01),"RECONCILED","CALCULATION ERROR"))</f>
        <v>MISSING BILL</v>
      </c>
      <c r="S128" s="22" t="s">
        <v>1877</v>
      </c>
    </row>
    <row r="129" customFormat="false" ht="15" hidden="false" customHeight="false" outlineLevel="0" collapsed="false">
      <c r="A129" s="13" t="s">
        <v>2296</v>
      </c>
      <c r="B129" s="13" t="s">
        <v>90</v>
      </c>
      <c r="C129" s="13" t="s">
        <v>1872</v>
      </c>
      <c r="D129" s="13" t="s">
        <v>1873</v>
      </c>
      <c r="E129" s="13" t="s">
        <v>2297</v>
      </c>
      <c r="F129" s="14" t="s">
        <v>2298</v>
      </c>
      <c r="G129" s="14" t="s">
        <v>2299</v>
      </c>
      <c r="H129" s="20" t="n">
        <v>31.6</v>
      </c>
      <c r="I129" s="13" t="n">
        <v>24</v>
      </c>
      <c r="J129" s="13"/>
      <c r="K129" s="13"/>
      <c r="L129" s="21"/>
      <c r="M129" s="21" t="n">
        <f aca="false">IF(C129="covered",10.4,7.55)</f>
        <v>7.55</v>
      </c>
      <c r="N129" s="13" t="n">
        <f aca="false">MAX(ROUNDUP(H129,0),I129)</f>
        <v>32</v>
      </c>
      <c r="O129" s="21"/>
      <c r="P129" s="21" t="n">
        <f aca="false">ROUND(M129*N129,2)</f>
        <v>241.6</v>
      </c>
      <c r="Q129" s="21" t="n">
        <f aca="false">ROUND(P129-IF(O129="",0,O129),2)</f>
        <v>241.6</v>
      </c>
      <c r="R129" s="14" t="str">
        <f aca="false">IF(J129="","MISSING BILL",IF(AND(K129=N129,ABS(L129-M129)&lt;0.001,ABS(O129-P129)&lt;0.01),"RECONCILED","CALCULATION ERROR"))</f>
        <v>MISSING BILL</v>
      </c>
      <c r="S129" s="22" t="s">
        <v>1877</v>
      </c>
    </row>
    <row r="130" customFormat="false" ht="15" hidden="false" customHeight="false" outlineLevel="0" collapsed="false">
      <c r="A130" s="13" t="s">
        <v>1239</v>
      </c>
      <c r="B130" s="13" t="s">
        <v>90</v>
      </c>
      <c r="C130" s="13" t="s">
        <v>1872</v>
      </c>
      <c r="D130" s="13" t="s">
        <v>1873</v>
      </c>
      <c r="E130" s="13" t="s">
        <v>2300</v>
      </c>
      <c r="F130" s="14" t="s">
        <v>2301</v>
      </c>
      <c r="G130" s="14" t="s">
        <v>2257</v>
      </c>
      <c r="H130" s="20" t="n">
        <v>22.5</v>
      </c>
      <c r="I130" s="13" t="n">
        <v>32</v>
      </c>
      <c r="J130" s="13"/>
      <c r="K130" s="13"/>
      <c r="L130" s="21"/>
      <c r="M130" s="21" t="n">
        <f aca="false">IF(C130="covered",10.4,7.55)</f>
        <v>7.55</v>
      </c>
      <c r="N130" s="13" t="n">
        <f aca="false">MAX(ROUNDUP(H130,0),I130)</f>
        <v>32</v>
      </c>
      <c r="O130" s="21"/>
      <c r="P130" s="21" t="n">
        <f aca="false">ROUND(M130*N130,2)</f>
        <v>241.6</v>
      </c>
      <c r="Q130" s="21" t="n">
        <f aca="false">ROUND(P130-IF(O130="",0,O130),2)</f>
        <v>241.6</v>
      </c>
      <c r="R130" s="14" t="str">
        <f aca="false">IF(J130="","MISSING BILL",IF(AND(K130=N130,ABS(L130-M130)&lt;0.001,ABS(O130-P130)&lt;0.01),"RECONCILED","CALCULATION ERROR"))</f>
        <v>MISSING BILL</v>
      </c>
      <c r="S130" s="22" t="s">
        <v>1877</v>
      </c>
    </row>
    <row r="131" customFormat="false" ht="15" hidden="false" customHeight="false" outlineLevel="0" collapsed="false">
      <c r="A131" s="13" t="s">
        <v>2302</v>
      </c>
      <c r="B131" s="13" t="s">
        <v>90</v>
      </c>
      <c r="C131" s="13" t="s">
        <v>1872</v>
      </c>
      <c r="D131" s="13" t="s">
        <v>1873</v>
      </c>
      <c r="E131" s="13" t="s">
        <v>186</v>
      </c>
      <c r="F131" s="14" t="s">
        <v>187</v>
      </c>
      <c r="G131" s="14" t="s">
        <v>2303</v>
      </c>
      <c r="H131" s="20" t="n">
        <v>51</v>
      </c>
      <c r="I131" s="13" t="n">
        <v>24</v>
      </c>
      <c r="J131" s="13"/>
      <c r="K131" s="13"/>
      <c r="L131" s="21"/>
      <c r="M131" s="21" t="n">
        <f aca="false">IF(C131="covered",10.4,7.55)</f>
        <v>7.55</v>
      </c>
      <c r="N131" s="13" t="n">
        <f aca="false">MAX(ROUNDUP(H131,0),I131)</f>
        <v>51</v>
      </c>
      <c r="O131" s="21"/>
      <c r="P131" s="21" t="n">
        <f aca="false">ROUND(M131*N131,2)</f>
        <v>385.05</v>
      </c>
      <c r="Q131" s="21" t="n">
        <f aca="false">ROUND(P131-IF(O131="",0,O131),2)</f>
        <v>385.05</v>
      </c>
      <c r="R131" s="14" t="str">
        <f aca="false">IF(J131="","MISSING BILL",IF(AND(K131=N131,ABS(L131-M131)&lt;0.001,ABS(O131-P131)&lt;0.01),"RECONCILED","CALCULATION ERROR"))</f>
        <v>MISSING BILL</v>
      </c>
      <c r="S131" s="22" t="s">
        <v>1877</v>
      </c>
    </row>
    <row r="132" customFormat="false" ht="15" hidden="false" customHeight="false" outlineLevel="0" collapsed="false">
      <c r="A132" s="13" t="s">
        <v>2304</v>
      </c>
      <c r="B132" s="13" t="s">
        <v>90</v>
      </c>
      <c r="C132" s="13" t="s">
        <v>1872</v>
      </c>
      <c r="D132" s="13" t="s">
        <v>1873</v>
      </c>
      <c r="E132" s="13" t="s">
        <v>2305</v>
      </c>
      <c r="F132" s="14" t="s">
        <v>2306</v>
      </c>
      <c r="G132" s="14" t="s">
        <v>2307</v>
      </c>
      <c r="H132" s="20" t="n">
        <v>42.1</v>
      </c>
      <c r="I132" s="13" t="n">
        <v>45</v>
      </c>
      <c r="J132" s="13"/>
      <c r="K132" s="13"/>
      <c r="L132" s="21"/>
      <c r="M132" s="21" t="n">
        <f aca="false">IF(C132="covered",10.4,7.55)</f>
        <v>7.55</v>
      </c>
      <c r="N132" s="13" t="n">
        <f aca="false">MAX(ROUNDUP(H132,0),I132)</f>
        <v>45</v>
      </c>
      <c r="O132" s="21"/>
      <c r="P132" s="21" t="n">
        <f aca="false">ROUND(M132*N132,2)</f>
        <v>339.75</v>
      </c>
      <c r="Q132" s="21" t="n">
        <f aca="false">ROUND(P132-IF(O132="",0,O132),2)</f>
        <v>339.75</v>
      </c>
      <c r="R132" s="14" t="str">
        <f aca="false">IF(J132="","MISSING BILL",IF(AND(K132=N132,ABS(L132-M132)&lt;0.001,ABS(O132-P132)&lt;0.01),"RECONCILED","CALCULATION ERROR"))</f>
        <v>MISSING BILL</v>
      </c>
      <c r="S132" s="22" t="s">
        <v>1877</v>
      </c>
    </row>
    <row r="133" customFormat="false" ht="15" hidden="false" customHeight="false" outlineLevel="0" collapsed="false">
      <c r="A133" s="13" t="s">
        <v>1428</v>
      </c>
      <c r="B133" s="13" t="s">
        <v>90</v>
      </c>
      <c r="C133" s="13" t="s">
        <v>1872</v>
      </c>
      <c r="D133" s="13" t="s">
        <v>1873</v>
      </c>
      <c r="E133" s="13" t="s">
        <v>2308</v>
      </c>
      <c r="F133" s="14" t="s">
        <v>2309</v>
      </c>
      <c r="G133" s="14" t="s">
        <v>2310</v>
      </c>
      <c r="H133" s="20" t="n">
        <v>19.8</v>
      </c>
      <c r="I133" s="13" t="n">
        <v>32</v>
      </c>
      <c r="J133" s="13"/>
      <c r="K133" s="13"/>
      <c r="L133" s="21"/>
      <c r="M133" s="21" t="n">
        <f aca="false">IF(C133="covered",10.4,7.55)</f>
        <v>7.55</v>
      </c>
      <c r="N133" s="13" t="n">
        <f aca="false">MAX(ROUNDUP(H133,0),I133)</f>
        <v>32</v>
      </c>
      <c r="O133" s="21"/>
      <c r="P133" s="21" t="n">
        <f aca="false">ROUND(M133*N133,2)</f>
        <v>241.6</v>
      </c>
      <c r="Q133" s="21" t="n">
        <f aca="false">ROUND(P133-IF(O133="",0,O133),2)</f>
        <v>241.6</v>
      </c>
      <c r="R133" s="14" t="str">
        <f aca="false">IF(J133="","MISSING BILL",IF(AND(K133=N133,ABS(L133-M133)&lt;0.001,ABS(O133-P133)&lt;0.01),"RECONCILED","CALCULATION ERROR"))</f>
        <v>MISSING BILL</v>
      </c>
      <c r="S133" s="22" t="s">
        <v>1877</v>
      </c>
    </row>
    <row r="134" customFormat="false" ht="15" hidden="false" customHeight="false" outlineLevel="0" collapsed="false">
      <c r="A134" s="13" t="s">
        <v>2311</v>
      </c>
      <c r="B134" s="13" t="s">
        <v>90</v>
      </c>
      <c r="C134" s="13" t="s">
        <v>1872</v>
      </c>
      <c r="D134" s="13" t="s">
        <v>1873</v>
      </c>
      <c r="E134" s="13" t="s">
        <v>2312</v>
      </c>
      <c r="F134" s="14" t="s">
        <v>2313</v>
      </c>
      <c r="G134" s="14" t="s">
        <v>2314</v>
      </c>
      <c r="H134" s="20" t="n">
        <v>28.5</v>
      </c>
      <c r="I134" s="13" t="n">
        <v>45</v>
      </c>
      <c r="J134" s="13"/>
      <c r="K134" s="13"/>
      <c r="L134" s="21"/>
      <c r="M134" s="21" t="n">
        <f aca="false">IF(C134="covered",10.4,7.55)</f>
        <v>7.55</v>
      </c>
      <c r="N134" s="13" t="n">
        <f aca="false">MAX(ROUNDUP(H134,0),I134)</f>
        <v>45</v>
      </c>
      <c r="O134" s="21"/>
      <c r="P134" s="21" t="n">
        <f aca="false">ROUND(M134*N134,2)</f>
        <v>339.75</v>
      </c>
      <c r="Q134" s="21" t="n">
        <f aca="false">ROUND(P134-IF(O134="",0,O134),2)</f>
        <v>339.75</v>
      </c>
      <c r="R134" s="14" t="str">
        <f aca="false">IF(J134="","MISSING BILL",IF(AND(K134=N134,ABS(L134-M134)&lt;0.001,ABS(O134-P134)&lt;0.01),"RECONCILED","CALCULATION ERROR"))</f>
        <v>MISSING BILL</v>
      </c>
      <c r="S134" s="22" t="s">
        <v>1877</v>
      </c>
    </row>
    <row r="135" customFormat="false" ht="15" hidden="false" customHeight="false" outlineLevel="0" collapsed="false">
      <c r="A135" s="13" t="s">
        <v>2315</v>
      </c>
      <c r="B135" s="13" t="s">
        <v>90</v>
      </c>
      <c r="C135" s="13" t="s">
        <v>1872</v>
      </c>
      <c r="D135" s="13" t="s">
        <v>1873</v>
      </c>
      <c r="E135" s="13" t="s">
        <v>2316</v>
      </c>
      <c r="F135" s="14" t="s">
        <v>2317</v>
      </c>
      <c r="G135" s="14" t="s">
        <v>1971</v>
      </c>
      <c r="H135" s="20" t="n">
        <v>35</v>
      </c>
      <c r="I135" s="13" t="n">
        <v>28</v>
      </c>
      <c r="J135" s="13"/>
      <c r="K135" s="13"/>
      <c r="L135" s="21"/>
      <c r="M135" s="21" t="n">
        <f aca="false">IF(C135="covered",10.4,7.55)</f>
        <v>7.55</v>
      </c>
      <c r="N135" s="13" t="n">
        <f aca="false">MAX(ROUNDUP(H135,0),I135)</f>
        <v>35</v>
      </c>
      <c r="O135" s="21"/>
      <c r="P135" s="21" t="n">
        <f aca="false">ROUND(M135*N135,2)</f>
        <v>264.25</v>
      </c>
      <c r="Q135" s="21" t="n">
        <f aca="false">ROUND(P135-IF(O135="",0,O135),2)</f>
        <v>264.25</v>
      </c>
      <c r="R135" s="14" t="str">
        <f aca="false">IF(J135="","MISSING BILL",IF(AND(K135=N135,ABS(L135-M135)&lt;0.001,ABS(O135-P135)&lt;0.01),"RECONCILED","CALCULATION ERROR"))</f>
        <v>MISSING BILL</v>
      </c>
      <c r="S135" s="22" t="s">
        <v>1877</v>
      </c>
    </row>
    <row r="136" customFormat="false" ht="15" hidden="false" customHeight="false" outlineLevel="0" collapsed="false">
      <c r="A136" s="13" t="s">
        <v>2318</v>
      </c>
      <c r="B136" s="13" t="s">
        <v>146</v>
      </c>
      <c r="C136" s="13" t="s">
        <v>1872</v>
      </c>
      <c r="D136" s="13" t="s">
        <v>1873</v>
      </c>
      <c r="E136" s="13" t="s">
        <v>2319</v>
      </c>
      <c r="F136" s="14" t="s">
        <v>2320</v>
      </c>
      <c r="G136" s="14" t="s">
        <v>2321</v>
      </c>
      <c r="H136" s="20" t="n">
        <v>27.6</v>
      </c>
      <c r="I136" s="13" t="n">
        <v>70</v>
      </c>
      <c r="J136" s="13"/>
      <c r="K136" s="13"/>
      <c r="L136" s="21"/>
      <c r="M136" s="21" t="n">
        <f aca="false">IF(C136="covered",10.4,7.55)</f>
        <v>7.55</v>
      </c>
      <c r="N136" s="13" t="n">
        <f aca="false">MAX(ROUNDUP(H136,0),I136)</f>
        <v>70</v>
      </c>
      <c r="O136" s="21"/>
      <c r="P136" s="21" t="n">
        <f aca="false">ROUND(M136*N136,2)</f>
        <v>528.5</v>
      </c>
      <c r="Q136" s="21" t="n">
        <f aca="false">ROUND(P136-IF(O136="",0,O136),2)</f>
        <v>528.5</v>
      </c>
      <c r="R136" s="14" t="str">
        <f aca="false">IF(J136="","MISSING BILL",IF(AND(K136=N136,ABS(L136-M136)&lt;0.001,ABS(O136-P136)&lt;0.01),"RECONCILED","CALCULATION ERROR"))</f>
        <v>MISSING BILL</v>
      </c>
      <c r="S136" s="22" t="s">
        <v>1877</v>
      </c>
    </row>
    <row r="137" customFormat="false" ht="15" hidden="false" customHeight="false" outlineLevel="0" collapsed="false">
      <c r="A137" s="13" t="s">
        <v>1143</v>
      </c>
      <c r="B137" s="13" t="s">
        <v>146</v>
      </c>
      <c r="C137" s="13" t="s">
        <v>1872</v>
      </c>
      <c r="D137" s="13" t="s">
        <v>1873</v>
      </c>
      <c r="E137" s="13" t="s">
        <v>2322</v>
      </c>
      <c r="F137" s="14" t="s">
        <v>2323</v>
      </c>
      <c r="G137" s="14" t="s">
        <v>2324</v>
      </c>
      <c r="H137" s="20" t="n">
        <v>44.3</v>
      </c>
      <c r="I137" s="13" t="n">
        <v>32</v>
      </c>
      <c r="J137" s="13"/>
      <c r="K137" s="13"/>
      <c r="L137" s="21"/>
      <c r="M137" s="21" t="n">
        <f aca="false">IF(C137="covered",10.4,7.55)</f>
        <v>7.55</v>
      </c>
      <c r="N137" s="13" t="n">
        <f aca="false">MAX(ROUNDUP(H137,0),I137)</f>
        <v>45</v>
      </c>
      <c r="O137" s="21"/>
      <c r="P137" s="21" t="n">
        <f aca="false">ROUND(M137*N137,2)</f>
        <v>339.75</v>
      </c>
      <c r="Q137" s="21" t="n">
        <f aca="false">ROUND(P137-IF(O137="",0,O137),2)</f>
        <v>339.75</v>
      </c>
      <c r="R137" s="14" t="str">
        <f aca="false">IF(J137="","MISSING BILL",IF(AND(K137=N137,ABS(L137-M137)&lt;0.001,ABS(O137-P137)&lt;0.01),"RECONCILED","CALCULATION ERROR"))</f>
        <v>MISSING BILL</v>
      </c>
      <c r="S137" s="22" t="s">
        <v>1877</v>
      </c>
    </row>
    <row r="138" customFormat="false" ht="15" hidden="false" customHeight="false" outlineLevel="0" collapsed="false">
      <c r="A138" s="13" t="s">
        <v>2325</v>
      </c>
      <c r="B138" s="13" t="s">
        <v>146</v>
      </c>
      <c r="C138" s="13" t="s">
        <v>1872</v>
      </c>
      <c r="D138" s="13" t="s">
        <v>1873</v>
      </c>
      <c r="E138" s="13" t="s">
        <v>2326</v>
      </c>
      <c r="F138" s="14" t="s">
        <v>2327</v>
      </c>
      <c r="G138" s="14" t="s">
        <v>2328</v>
      </c>
      <c r="H138" s="20" t="n">
        <v>55.5</v>
      </c>
      <c r="I138" s="13" t="n">
        <v>36</v>
      </c>
      <c r="J138" s="13"/>
      <c r="K138" s="13"/>
      <c r="L138" s="21"/>
      <c r="M138" s="21" t="n">
        <f aca="false">IF(C138="covered",10.4,7.55)</f>
        <v>7.55</v>
      </c>
      <c r="N138" s="13" t="n">
        <f aca="false">MAX(ROUNDUP(H138,0),I138)</f>
        <v>56</v>
      </c>
      <c r="O138" s="21"/>
      <c r="P138" s="21" t="n">
        <f aca="false">ROUND(M138*N138,2)</f>
        <v>422.8</v>
      </c>
      <c r="Q138" s="21" t="n">
        <f aca="false">ROUND(P138-IF(O138="",0,O138),2)</f>
        <v>422.8</v>
      </c>
      <c r="R138" s="14" t="str">
        <f aca="false">IF(J138="","MISSING BILL",IF(AND(K138=N138,ABS(L138-M138)&lt;0.001,ABS(O138-P138)&lt;0.01),"RECONCILED","CALCULATION ERROR"))</f>
        <v>MISSING BILL</v>
      </c>
      <c r="S138" s="22" t="s">
        <v>1877</v>
      </c>
    </row>
    <row r="139" customFormat="false" ht="15" hidden="false" customHeight="false" outlineLevel="0" collapsed="false">
      <c r="A139" s="13" t="s">
        <v>1627</v>
      </c>
      <c r="B139" s="13" t="s">
        <v>146</v>
      </c>
      <c r="C139" s="13" t="s">
        <v>1872</v>
      </c>
      <c r="D139" s="13" t="s">
        <v>1873</v>
      </c>
      <c r="E139" s="13" t="s">
        <v>2329</v>
      </c>
      <c r="F139" s="14" t="s">
        <v>2330</v>
      </c>
      <c r="G139" s="14" t="s">
        <v>2154</v>
      </c>
      <c r="H139" s="20" t="n">
        <v>52.4</v>
      </c>
      <c r="I139" s="13" t="n">
        <v>50</v>
      </c>
      <c r="J139" s="13"/>
      <c r="K139" s="13"/>
      <c r="L139" s="21"/>
      <c r="M139" s="21" t="n">
        <f aca="false">IF(C139="covered",10.4,7.55)</f>
        <v>7.55</v>
      </c>
      <c r="N139" s="13" t="n">
        <f aca="false">MAX(ROUNDUP(H139,0),I139)</f>
        <v>53</v>
      </c>
      <c r="O139" s="21"/>
      <c r="P139" s="21" t="n">
        <f aca="false">ROUND(M139*N139,2)</f>
        <v>400.15</v>
      </c>
      <c r="Q139" s="21" t="n">
        <f aca="false">ROUND(P139-IF(O139="",0,O139),2)</f>
        <v>400.15</v>
      </c>
      <c r="R139" s="14" t="str">
        <f aca="false">IF(J139="","MISSING BILL",IF(AND(K139=N139,ABS(L139-M139)&lt;0.001,ABS(O139-P139)&lt;0.01),"RECONCILED","CALCULATION ERROR"))</f>
        <v>MISSING BILL</v>
      </c>
      <c r="S139" s="22" t="s">
        <v>1877</v>
      </c>
    </row>
    <row r="140" customFormat="false" ht="15" hidden="false" customHeight="false" outlineLevel="0" collapsed="false">
      <c r="A140" s="13" t="s">
        <v>1019</v>
      </c>
      <c r="B140" s="13" t="s">
        <v>146</v>
      </c>
      <c r="C140" s="13" t="s">
        <v>1872</v>
      </c>
      <c r="D140" s="13" t="s">
        <v>1873</v>
      </c>
      <c r="E140" s="13" t="s">
        <v>2331</v>
      </c>
      <c r="F140" s="14" t="s">
        <v>2332</v>
      </c>
      <c r="G140" s="14" t="s">
        <v>2333</v>
      </c>
      <c r="H140" s="20" t="n">
        <v>36.9</v>
      </c>
      <c r="I140" s="13" t="n">
        <v>28</v>
      </c>
      <c r="J140" s="13"/>
      <c r="K140" s="13"/>
      <c r="L140" s="21"/>
      <c r="M140" s="21" t="n">
        <f aca="false">IF(C140="covered",10.4,7.55)</f>
        <v>7.55</v>
      </c>
      <c r="N140" s="13" t="n">
        <f aca="false">MAX(ROUNDUP(H140,0),I140)</f>
        <v>37</v>
      </c>
      <c r="O140" s="21"/>
      <c r="P140" s="21" t="n">
        <f aca="false">ROUND(M140*N140,2)</f>
        <v>279.35</v>
      </c>
      <c r="Q140" s="21" t="n">
        <f aca="false">ROUND(P140-IF(O140="",0,O140),2)</f>
        <v>279.35</v>
      </c>
      <c r="R140" s="14" t="str">
        <f aca="false">IF(J140="","MISSING BILL",IF(AND(K140=N140,ABS(L140-M140)&lt;0.001,ABS(O140-P140)&lt;0.01),"RECONCILED","CALCULATION ERROR"))</f>
        <v>MISSING BILL</v>
      </c>
      <c r="S140" s="22" t="s">
        <v>1877</v>
      </c>
    </row>
    <row r="141" customFormat="false" ht="15" hidden="false" customHeight="false" outlineLevel="0" collapsed="false">
      <c r="A141" s="13" t="s">
        <v>852</v>
      </c>
      <c r="B141" s="13" t="s">
        <v>146</v>
      </c>
      <c r="C141" s="13" t="s">
        <v>1872</v>
      </c>
      <c r="D141" s="13" t="s">
        <v>1873</v>
      </c>
      <c r="E141" s="13" t="s">
        <v>2334</v>
      </c>
      <c r="F141" s="14" t="s">
        <v>2335</v>
      </c>
      <c r="G141" s="14" t="s">
        <v>2336</v>
      </c>
      <c r="H141" s="20" t="n">
        <v>47.8</v>
      </c>
      <c r="I141" s="13" t="n">
        <v>40</v>
      </c>
      <c r="J141" s="13"/>
      <c r="K141" s="13"/>
      <c r="L141" s="21"/>
      <c r="M141" s="21" t="n">
        <f aca="false">IF(C141="covered",10.4,7.55)</f>
        <v>7.55</v>
      </c>
      <c r="N141" s="13" t="n">
        <f aca="false">MAX(ROUNDUP(H141,0),I141)</f>
        <v>48</v>
      </c>
      <c r="O141" s="21"/>
      <c r="P141" s="21" t="n">
        <f aca="false">ROUND(M141*N141,2)</f>
        <v>362.4</v>
      </c>
      <c r="Q141" s="21" t="n">
        <f aca="false">ROUND(P141-IF(O141="",0,O141),2)</f>
        <v>362.4</v>
      </c>
      <c r="R141" s="14" t="str">
        <f aca="false">IF(J141="","MISSING BILL",IF(AND(K141=N141,ABS(L141-M141)&lt;0.001,ABS(O141-P141)&lt;0.01),"RECONCILED","CALCULATION ERROR"))</f>
        <v>MISSING BILL</v>
      </c>
      <c r="S141" s="22" t="s">
        <v>1877</v>
      </c>
    </row>
    <row r="142" customFormat="false" ht="15" hidden="false" customHeight="false" outlineLevel="0" collapsed="false">
      <c r="A142" s="13" t="s">
        <v>2337</v>
      </c>
      <c r="B142" s="13" t="s">
        <v>146</v>
      </c>
      <c r="C142" s="13" t="s">
        <v>1872</v>
      </c>
      <c r="D142" s="13" t="s">
        <v>1873</v>
      </c>
      <c r="E142" s="13" t="s">
        <v>2338</v>
      </c>
      <c r="F142" s="14" t="s">
        <v>2339</v>
      </c>
      <c r="G142" s="14" t="s">
        <v>2186</v>
      </c>
      <c r="H142" s="20" t="n">
        <v>34</v>
      </c>
      <c r="I142" s="13" t="n">
        <v>28</v>
      </c>
      <c r="J142" s="13"/>
      <c r="K142" s="13"/>
      <c r="L142" s="21"/>
      <c r="M142" s="21" t="n">
        <f aca="false">IF(C142="covered",10.4,7.55)</f>
        <v>7.55</v>
      </c>
      <c r="N142" s="13" t="n">
        <f aca="false">MAX(ROUNDUP(H142,0),I142)</f>
        <v>34</v>
      </c>
      <c r="O142" s="21"/>
      <c r="P142" s="21" t="n">
        <f aca="false">ROUND(M142*N142,2)</f>
        <v>256.7</v>
      </c>
      <c r="Q142" s="21" t="n">
        <f aca="false">ROUND(P142-IF(O142="",0,O142),2)</f>
        <v>256.7</v>
      </c>
      <c r="R142" s="14" t="str">
        <f aca="false">IF(J142="","MISSING BILL",IF(AND(K142=N142,ABS(L142-M142)&lt;0.001,ABS(O142-P142)&lt;0.01),"RECONCILED","CALCULATION ERROR"))</f>
        <v>MISSING BILL</v>
      </c>
      <c r="S142" s="22" t="s">
        <v>1877</v>
      </c>
    </row>
    <row r="143" customFormat="false" ht="15" hidden="false" customHeight="false" outlineLevel="0" collapsed="false">
      <c r="A143" s="13" t="s">
        <v>188</v>
      </c>
      <c r="B143" s="13" t="s">
        <v>146</v>
      </c>
      <c r="C143" s="13" t="s">
        <v>1872</v>
      </c>
      <c r="D143" s="13" t="s">
        <v>1873</v>
      </c>
      <c r="E143" s="13" t="s">
        <v>2340</v>
      </c>
      <c r="F143" s="14" t="s">
        <v>2341</v>
      </c>
      <c r="G143" s="14" t="s">
        <v>2342</v>
      </c>
      <c r="H143" s="20" t="n">
        <v>24.7</v>
      </c>
      <c r="I143" s="13" t="n">
        <v>32</v>
      </c>
      <c r="J143" s="13"/>
      <c r="K143" s="13"/>
      <c r="L143" s="21"/>
      <c r="M143" s="21" t="n">
        <f aca="false">IF(C143="covered",10.4,7.55)</f>
        <v>7.55</v>
      </c>
      <c r="N143" s="13" t="n">
        <f aca="false">MAX(ROUNDUP(H143,0),I143)</f>
        <v>32</v>
      </c>
      <c r="O143" s="21"/>
      <c r="P143" s="21" t="n">
        <f aca="false">ROUND(M143*N143,2)</f>
        <v>241.6</v>
      </c>
      <c r="Q143" s="21" t="n">
        <f aca="false">ROUND(P143-IF(O143="",0,O143),2)</f>
        <v>241.6</v>
      </c>
      <c r="R143" s="14" t="str">
        <f aca="false">IF(J143="","MISSING BILL",IF(AND(K143=N143,ABS(L143-M143)&lt;0.001,ABS(O143-P143)&lt;0.01),"RECONCILED","CALCULATION ERROR"))</f>
        <v>MISSING BILL</v>
      </c>
      <c r="S143" s="22" t="s">
        <v>1877</v>
      </c>
    </row>
    <row r="144" customFormat="false" ht="15" hidden="false" customHeight="false" outlineLevel="0" collapsed="false">
      <c r="A144" s="13" t="s">
        <v>2343</v>
      </c>
      <c r="B144" s="13" t="s">
        <v>146</v>
      </c>
      <c r="C144" s="13" t="s">
        <v>1872</v>
      </c>
      <c r="D144" s="13" t="s">
        <v>1873</v>
      </c>
      <c r="E144" s="13" t="s">
        <v>2344</v>
      </c>
      <c r="F144" s="14" t="s">
        <v>2345</v>
      </c>
      <c r="G144" s="14" t="s">
        <v>2346</v>
      </c>
      <c r="H144" s="20" t="n">
        <v>34.6</v>
      </c>
      <c r="I144" s="13" t="n">
        <v>28</v>
      </c>
      <c r="J144" s="13"/>
      <c r="K144" s="13"/>
      <c r="L144" s="21"/>
      <c r="M144" s="21" t="n">
        <f aca="false">IF(C144="covered",10.4,7.55)</f>
        <v>7.55</v>
      </c>
      <c r="N144" s="13" t="n">
        <f aca="false">MAX(ROUNDUP(H144,0),I144)</f>
        <v>35</v>
      </c>
      <c r="O144" s="21"/>
      <c r="P144" s="21" t="n">
        <f aca="false">ROUND(M144*N144,2)</f>
        <v>264.25</v>
      </c>
      <c r="Q144" s="21" t="n">
        <f aca="false">ROUND(P144-IF(O144="",0,O144),2)</f>
        <v>264.25</v>
      </c>
      <c r="R144" s="14" t="str">
        <f aca="false">IF(J144="","MISSING BILL",IF(AND(K144=N144,ABS(L144-M144)&lt;0.001,ABS(O144-P144)&lt;0.01),"RECONCILED","CALCULATION ERROR"))</f>
        <v>MISSING BILL</v>
      </c>
      <c r="S144" s="22" t="s">
        <v>1877</v>
      </c>
    </row>
    <row r="145" customFormat="false" ht="15" hidden="false" customHeight="false" outlineLevel="0" collapsed="false">
      <c r="A145" s="13" t="s">
        <v>2347</v>
      </c>
      <c r="B145" s="13" t="s">
        <v>146</v>
      </c>
      <c r="C145" s="13" t="s">
        <v>1872</v>
      </c>
      <c r="D145" s="13" t="s">
        <v>1873</v>
      </c>
      <c r="E145" s="13" t="s">
        <v>2348</v>
      </c>
      <c r="F145" s="14" t="s">
        <v>2349</v>
      </c>
      <c r="G145" s="14" t="s">
        <v>2057</v>
      </c>
      <c r="H145" s="20" t="n">
        <v>30.5</v>
      </c>
      <c r="I145" s="13" t="n">
        <v>45</v>
      </c>
      <c r="J145" s="13"/>
      <c r="K145" s="13"/>
      <c r="L145" s="21"/>
      <c r="M145" s="21" t="n">
        <f aca="false">IF(C145="covered",10.4,7.55)</f>
        <v>7.55</v>
      </c>
      <c r="N145" s="13" t="n">
        <f aca="false">MAX(ROUNDUP(H145,0),I145)</f>
        <v>45</v>
      </c>
      <c r="O145" s="21"/>
      <c r="P145" s="21" t="n">
        <f aca="false">ROUND(M145*N145,2)</f>
        <v>339.75</v>
      </c>
      <c r="Q145" s="21" t="n">
        <f aca="false">ROUND(P145-IF(O145="",0,O145),2)</f>
        <v>339.75</v>
      </c>
      <c r="R145" s="14" t="str">
        <f aca="false">IF(J145="","MISSING BILL",IF(AND(K145=N145,ABS(L145-M145)&lt;0.001,ABS(O145-P145)&lt;0.01),"RECONCILED","CALCULATION ERROR"))</f>
        <v>MISSING BILL</v>
      </c>
      <c r="S145" s="22" t="s">
        <v>1877</v>
      </c>
    </row>
    <row r="146" customFormat="false" ht="15" hidden="false" customHeight="false" outlineLevel="0" collapsed="false">
      <c r="A146" s="13" t="s">
        <v>2350</v>
      </c>
      <c r="B146" s="13" t="s">
        <v>146</v>
      </c>
      <c r="C146" s="13" t="s">
        <v>1872</v>
      </c>
      <c r="D146" s="13" t="s">
        <v>1873</v>
      </c>
      <c r="E146" s="13" t="s">
        <v>2351</v>
      </c>
      <c r="F146" s="14" t="s">
        <v>2352</v>
      </c>
      <c r="G146" s="14" t="s">
        <v>2353</v>
      </c>
      <c r="H146" s="20" t="n">
        <v>49.9</v>
      </c>
      <c r="I146" s="13" t="n">
        <v>32</v>
      </c>
      <c r="J146" s="13"/>
      <c r="K146" s="13"/>
      <c r="L146" s="21"/>
      <c r="M146" s="21" t="n">
        <f aca="false">IF(C146="covered",10.4,7.55)</f>
        <v>7.55</v>
      </c>
      <c r="N146" s="13" t="n">
        <f aca="false">MAX(ROUNDUP(H146,0),I146)</f>
        <v>50</v>
      </c>
      <c r="O146" s="21"/>
      <c r="P146" s="21" t="n">
        <f aca="false">ROUND(M146*N146,2)</f>
        <v>377.5</v>
      </c>
      <c r="Q146" s="21" t="n">
        <f aca="false">ROUND(P146-IF(O146="",0,O146),2)</f>
        <v>377.5</v>
      </c>
      <c r="R146" s="14" t="str">
        <f aca="false">IF(J146="","MISSING BILL",IF(AND(K146=N146,ABS(L146-M146)&lt;0.001,ABS(O146-P146)&lt;0.01),"RECONCILED","CALCULATION ERROR"))</f>
        <v>MISSING BILL</v>
      </c>
      <c r="S146" s="22" t="s">
        <v>1877</v>
      </c>
    </row>
    <row r="147" customFormat="false" ht="15" hidden="false" customHeight="false" outlineLevel="0" collapsed="false">
      <c r="A147" s="13" t="s">
        <v>2354</v>
      </c>
      <c r="B147" s="13" t="s">
        <v>146</v>
      </c>
      <c r="C147" s="13" t="s">
        <v>1872</v>
      </c>
      <c r="D147" s="13" t="s">
        <v>1873</v>
      </c>
      <c r="E147" s="13" t="s">
        <v>2355</v>
      </c>
      <c r="F147" s="14" t="s">
        <v>2356</v>
      </c>
      <c r="G147" s="14" t="s">
        <v>1934</v>
      </c>
      <c r="H147" s="20" t="n">
        <v>50.7</v>
      </c>
      <c r="I147" s="13" t="n">
        <v>36</v>
      </c>
      <c r="J147" s="13"/>
      <c r="K147" s="13"/>
      <c r="L147" s="21"/>
      <c r="M147" s="21" t="n">
        <f aca="false">IF(C147="covered",10.4,7.55)</f>
        <v>7.55</v>
      </c>
      <c r="N147" s="13" t="n">
        <f aca="false">MAX(ROUNDUP(H147,0),I147)</f>
        <v>51</v>
      </c>
      <c r="O147" s="21"/>
      <c r="P147" s="21" t="n">
        <f aca="false">ROUND(M147*N147,2)</f>
        <v>385.05</v>
      </c>
      <c r="Q147" s="21" t="n">
        <f aca="false">ROUND(P147-IF(O147="",0,O147),2)</f>
        <v>385.05</v>
      </c>
      <c r="R147" s="14" t="str">
        <f aca="false">IF(J147="","MISSING BILL",IF(AND(K147=N147,ABS(L147-M147)&lt;0.001,ABS(O147-P147)&lt;0.01),"RECONCILED","CALCULATION ERROR"))</f>
        <v>MISSING BILL</v>
      </c>
      <c r="S147" s="22" t="s">
        <v>1877</v>
      </c>
    </row>
    <row r="148" customFormat="false" ht="15" hidden="false" customHeight="false" outlineLevel="0" collapsed="false">
      <c r="A148" s="13" t="s">
        <v>2357</v>
      </c>
      <c r="B148" s="13" t="s">
        <v>146</v>
      </c>
      <c r="C148" s="13" t="s">
        <v>1872</v>
      </c>
      <c r="D148" s="13" t="s">
        <v>1873</v>
      </c>
      <c r="E148" s="13" t="s">
        <v>2358</v>
      </c>
      <c r="F148" s="14" t="s">
        <v>2359</v>
      </c>
      <c r="G148" s="14" t="s">
        <v>1975</v>
      </c>
      <c r="H148" s="20" t="n">
        <v>21</v>
      </c>
      <c r="I148" s="13" t="n">
        <v>32</v>
      </c>
      <c r="J148" s="13"/>
      <c r="K148" s="13"/>
      <c r="L148" s="21"/>
      <c r="M148" s="21" t="n">
        <f aca="false">IF(C148="covered",10.4,7.55)</f>
        <v>7.55</v>
      </c>
      <c r="N148" s="13" t="n">
        <f aca="false">MAX(ROUNDUP(H148,0),I148)</f>
        <v>32</v>
      </c>
      <c r="O148" s="21"/>
      <c r="P148" s="21" t="n">
        <f aca="false">ROUND(M148*N148,2)</f>
        <v>241.6</v>
      </c>
      <c r="Q148" s="21" t="n">
        <f aca="false">ROUND(P148-IF(O148="",0,O148),2)</f>
        <v>241.6</v>
      </c>
      <c r="R148" s="14" t="str">
        <f aca="false">IF(J148="","MISSING BILL",IF(AND(K148=N148,ABS(L148-M148)&lt;0.001,ABS(O148-P148)&lt;0.01),"RECONCILED","CALCULATION ERROR"))</f>
        <v>MISSING BILL</v>
      </c>
      <c r="S148" s="22" t="s">
        <v>1877</v>
      </c>
    </row>
    <row r="149" customFormat="false" ht="15" hidden="false" customHeight="false" outlineLevel="0" collapsed="false">
      <c r="A149" s="13" t="s">
        <v>1432</v>
      </c>
      <c r="B149" s="13" t="s">
        <v>146</v>
      </c>
      <c r="C149" s="13" t="s">
        <v>1872</v>
      </c>
      <c r="D149" s="13" t="s">
        <v>1873</v>
      </c>
      <c r="E149" s="13" t="s">
        <v>747</v>
      </c>
      <c r="F149" s="14" t="s">
        <v>748</v>
      </c>
      <c r="G149" s="14" t="s">
        <v>2360</v>
      </c>
      <c r="H149" s="20" t="n">
        <v>19.8</v>
      </c>
      <c r="I149" s="13" t="n">
        <v>24</v>
      </c>
      <c r="J149" s="13"/>
      <c r="K149" s="13"/>
      <c r="L149" s="21"/>
      <c r="M149" s="21" t="n">
        <f aca="false">IF(C149="covered",10.4,7.55)</f>
        <v>7.55</v>
      </c>
      <c r="N149" s="13" t="n">
        <f aca="false">MAX(ROUNDUP(H149,0),I149)</f>
        <v>24</v>
      </c>
      <c r="O149" s="21"/>
      <c r="P149" s="21" t="n">
        <f aca="false">ROUND(M149*N149,2)</f>
        <v>181.2</v>
      </c>
      <c r="Q149" s="21" t="n">
        <f aca="false">ROUND(P149-IF(O149="",0,O149),2)</f>
        <v>181.2</v>
      </c>
      <c r="R149" s="14" t="str">
        <f aca="false">IF(J149="","MISSING BILL",IF(AND(K149=N149,ABS(L149-M149)&lt;0.001,ABS(O149-P149)&lt;0.01),"RECONCILED","CALCULATION ERROR"))</f>
        <v>MISSING BILL</v>
      </c>
      <c r="S149" s="22" t="s">
        <v>1877</v>
      </c>
    </row>
    <row r="150" customFormat="false" ht="15" hidden="false" customHeight="false" outlineLevel="0" collapsed="false">
      <c r="A150" s="13" t="s">
        <v>2361</v>
      </c>
      <c r="B150" s="13" t="s">
        <v>146</v>
      </c>
      <c r="C150" s="13" t="s">
        <v>1872</v>
      </c>
      <c r="D150" s="13" t="s">
        <v>1873</v>
      </c>
      <c r="E150" s="13" t="s">
        <v>1153</v>
      </c>
      <c r="F150" s="14" t="s">
        <v>1154</v>
      </c>
      <c r="G150" s="14" t="s">
        <v>2362</v>
      </c>
      <c r="H150" s="20" t="n">
        <v>43.2</v>
      </c>
      <c r="I150" s="13" t="n">
        <v>70</v>
      </c>
      <c r="J150" s="13"/>
      <c r="K150" s="13"/>
      <c r="L150" s="21"/>
      <c r="M150" s="21" t="n">
        <f aca="false">IF(C150="covered",10.4,7.55)</f>
        <v>7.55</v>
      </c>
      <c r="N150" s="13" t="n">
        <f aca="false">MAX(ROUNDUP(H150,0),I150)</f>
        <v>70</v>
      </c>
      <c r="O150" s="21"/>
      <c r="P150" s="21" t="n">
        <f aca="false">ROUND(M150*N150,2)</f>
        <v>528.5</v>
      </c>
      <c r="Q150" s="21" t="n">
        <f aca="false">ROUND(P150-IF(O150="",0,O150),2)</f>
        <v>528.5</v>
      </c>
      <c r="R150" s="14" t="str">
        <f aca="false">IF(J150="","MISSING BILL",IF(AND(K150=N150,ABS(L150-M150)&lt;0.001,ABS(O150-P150)&lt;0.01),"RECONCILED","CALCULATION ERROR"))</f>
        <v>MISSING BILL</v>
      </c>
      <c r="S150" s="22" t="s">
        <v>1877</v>
      </c>
    </row>
    <row r="151" customFormat="false" ht="15" hidden="false" customHeight="false" outlineLevel="0" collapsed="false">
      <c r="A151" s="13" t="s">
        <v>2363</v>
      </c>
      <c r="B151" s="13" t="s">
        <v>146</v>
      </c>
      <c r="C151" s="13" t="s">
        <v>1872</v>
      </c>
      <c r="D151" s="13" t="s">
        <v>1873</v>
      </c>
      <c r="E151" s="13" t="s">
        <v>2364</v>
      </c>
      <c r="F151" s="14" t="s">
        <v>2365</v>
      </c>
      <c r="G151" s="14" t="s">
        <v>2366</v>
      </c>
      <c r="H151" s="20" t="n">
        <v>31.6</v>
      </c>
      <c r="I151" s="13" t="n">
        <v>24</v>
      </c>
      <c r="J151" s="13"/>
      <c r="K151" s="13"/>
      <c r="L151" s="21"/>
      <c r="M151" s="21" t="n">
        <f aca="false">IF(C151="covered",10.4,7.55)</f>
        <v>7.55</v>
      </c>
      <c r="N151" s="13" t="n">
        <f aca="false">MAX(ROUNDUP(H151,0),I151)</f>
        <v>32</v>
      </c>
      <c r="O151" s="21"/>
      <c r="P151" s="21" t="n">
        <f aca="false">ROUND(M151*N151,2)</f>
        <v>241.6</v>
      </c>
      <c r="Q151" s="21" t="n">
        <f aca="false">ROUND(P151-IF(O151="",0,O151),2)</f>
        <v>241.6</v>
      </c>
      <c r="R151" s="14" t="str">
        <f aca="false">IF(J151="","MISSING BILL",IF(AND(K151=N151,ABS(L151-M151)&lt;0.001,ABS(O151-P151)&lt;0.01),"RECONCILED","CALCULATION ERROR"))</f>
        <v>MISSING BILL</v>
      </c>
      <c r="S151" s="22" t="s">
        <v>1877</v>
      </c>
    </row>
    <row r="152" customFormat="false" ht="15" hidden="false" customHeight="false" outlineLevel="0" collapsed="false">
      <c r="A152" s="13" t="s">
        <v>2367</v>
      </c>
      <c r="B152" s="13" t="s">
        <v>146</v>
      </c>
      <c r="C152" s="13" t="s">
        <v>1872</v>
      </c>
      <c r="D152" s="13" t="s">
        <v>1873</v>
      </c>
      <c r="E152" s="13" t="s">
        <v>2368</v>
      </c>
      <c r="F152" s="14" t="s">
        <v>2369</v>
      </c>
      <c r="G152" s="14" t="s">
        <v>2370</v>
      </c>
      <c r="H152" s="20" t="n">
        <v>52.3</v>
      </c>
      <c r="I152" s="13" t="n">
        <v>60</v>
      </c>
      <c r="J152" s="13"/>
      <c r="K152" s="13"/>
      <c r="L152" s="21"/>
      <c r="M152" s="21" t="n">
        <f aca="false">IF(C152="covered",10.4,7.55)</f>
        <v>7.55</v>
      </c>
      <c r="N152" s="13" t="n">
        <f aca="false">MAX(ROUNDUP(H152,0),I152)</f>
        <v>60</v>
      </c>
      <c r="O152" s="21"/>
      <c r="P152" s="21" t="n">
        <f aca="false">ROUND(M152*N152,2)</f>
        <v>453</v>
      </c>
      <c r="Q152" s="21" t="n">
        <f aca="false">ROUND(P152-IF(O152="",0,O152),2)</f>
        <v>453</v>
      </c>
      <c r="R152" s="14" t="str">
        <f aca="false">IF(J152="","MISSING BILL",IF(AND(K152=N152,ABS(L152-M152)&lt;0.001,ABS(O152-P152)&lt;0.01),"RECONCILED","CALCULATION ERROR"))</f>
        <v>MISSING BILL</v>
      </c>
      <c r="S152" s="22" t="s">
        <v>1877</v>
      </c>
    </row>
    <row r="153" customFormat="false" ht="15" hidden="false" customHeight="false" outlineLevel="0" collapsed="false">
      <c r="A153" s="13" t="s">
        <v>2371</v>
      </c>
      <c r="B153" s="13" t="s">
        <v>146</v>
      </c>
      <c r="C153" s="13" t="s">
        <v>1872</v>
      </c>
      <c r="D153" s="13" t="s">
        <v>1873</v>
      </c>
      <c r="E153" s="13" t="s">
        <v>2372</v>
      </c>
      <c r="F153" s="14" t="s">
        <v>2373</v>
      </c>
      <c r="G153" s="14" t="s">
        <v>2374</v>
      </c>
      <c r="H153" s="20" t="n">
        <v>27.8</v>
      </c>
      <c r="I153" s="13" t="n">
        <v>32</v>
      </c>
      <c r="J153" s="13"/>
      <c r="K153" s="13"/>
      <c r="L153" s="21"/>
      <c r="M153" s="21" t="n">
        <f aca="false">IF(C153="covered",10.4,7.55)</f>
        <v>7.55</v>
      </c>
      <c r="N153" s="13" t="n">
        <f aca="false">MAX(ROUNDUP(H153,0),I153)</f>
        <v>32</v>
      </c>
      <c r="O153" s="21"/>
      <c r="P153" s="21" t="n">
        <f aca="false">ROUND(M153*N153,2)</f>
        <v>241.6</v>
      </c>
      <c r="Q153" s="21" t="n">
        <f aca="false">ROUND(P153-IF(O153="",0,O153),2)</f>
        <v>241.6</v>
      </c>
      <c r="R153" s="14" t="str">
        <f aca="false">IF(J153="","MISSING BILL",IF(AND(K153=N153,ABS(L153-M153)&lt;0.001,ABS(O153-P153)&lt;0.01),"RECONCILED","CALCULATION ERROR"))</f>
        <v>MISSING BILL</v>
      </c>
      <c r="S153" s="22" t="s">
        <v>1877</v>
      </c>
    </row>
    <row r="154" customFormat="false" ht="15" hidden="false" customHeight="false" outlineLevel="0" collapsed="false">
      <c r="A154" s="13" t="s">
        <v>1829</v>
      </c>
      <c r="B154" s="13" t="s">
        <v>146</v>
      </c>
      <c r="C154" s="13" t="s">
        <v>1872</v>
      </c>
      <c r="D154" s="13" t="s">
        <v>1873</v>
      </c>
      <c r="E154" s="13" t="s">
        <v>2375</v>
      </c>
      <c r="F154" s="14" t="s">
        <v>2376</v>
      </c>
      <c r="G154" s="14" t="s">
        <v>2377</v>
      </c>
      <c r="H154" s="20" t="n">
        <v>57.3</v>
      </c>
      <c r="I154" s="13" t="n">
        <v>40</v>
      </c>
      <c r="J154" s="13"/>
      <c r="K154" s="13"/>
      <c r="L154" s="21"/>
      <c r="M154" s="21" t="n">
        <f aca="false">IF(C154="covered",10.4,7.55)</f>
        <v>7.55</v>
      </c>
      <c r="N154" s="13" t="n">
        <f aca="false">MAX(ROUNDUP(H154,0),I154)</f>
        <v>58</v>
      </c>
      <c r="O154" s="21"/>
      <c r="P154" s="21" t="n">
        <f aca="false">ROUND(M154*N154,2)</f>
        <v>437.9</v>
      </c>
      <c r="Q154" s="21" t="n">
        <f aca="false">ROUND(P154-IF(O154="",0,O154),2)</f>
        <v>437.9</v>
      </c>
      <c r="R154" s="14" t="str">
        <f aca="false">IF(J154="","MISSING BILL",IF(AND(K154=N154,ABS(L154-M154)&lt;0.001,ABS(O154-P154)&lt;0.01),"RECONCILED","CALCULATION ERROR"))</f>
        <v>MISSING BILL</v>
      </c>
      <c r="S154" s="22" t="s">
        <v>1877</v>
      </c>
    </row>
    <row r="155" customFormat="false" ht="15" hidden="false" customHeight="false" outlineLevel="0" collapsed="false">
      <c r="A155" s="13" t="s">
        <v>2378</v>
      </c>
      <c r="B155" s="13" t="s">
        <v>146</v>
      </c>
      <c r="C155" s="13" t="s">
        <v>1872</v>
      </c>
      <c r="D155" s="13" t="s">
        <v>1873</v>
      </c>
      <c r="E155" s="13" t="s">
        <v>2379</v>
      </c>
      <c r="F155" s="14" t="s">
        <v>2380</v>
      </c>
      <c r="G155" s="14" t="s">
        <v>2381</v>
      </c>
      <c r="H155" s="20" t="n">
        <v>53.4</v>
      </c>
      <c r="I155" s="13" t="n">
        <v>80</v>
      </c>
      <c r="J155" s="13"/>
      <c r="K155" s="13"/>
      <c r="L155" s="21"/>
      <c r="M155" s="21" t="n">
        <f aca="false">IF(C155="covered",10.4,7.55)</f>
        <v>7.55</v>
      </c>
      <c r="N155" s="13" t="n">
        <f aca="false">MAX(ROUNDUP(H155,0),I155)</f>
        <v>80</v>
      </c>
      <c r="O155" s="21"/>
      <c r="P155" s="21" t="n">
        <f aca="false">ROUND(M155*N155,2)</f>
        <v>604</v>
      </c>
      <c r="Q155" s="21" t="n">
        <f aca="false">ROUND(P155-IF(O155="",0,O155),2)</f>
        <v>604</v>
      </c>
      <c r="R155" s="14" t="str">
        <f aca="false">IF(J155="","MISSING BILL",IF(AND(K155=N155,ABS(L155-M155)&lt;0.001,ABS(O155-P155)&lt;0.01),"RECONCILED","CALCULATION ERROR"))</f>
        <v>MISSING BILL</v>
      </c>
      <c r="S155" s="22" t="s">
        <v>1877</v>
      </c>
    </row>
    <row r="156" customFormat="false" ht="15" hidden="false" customHeight="false" outlineLevel="0" collapsed="false">
      <c r="A156" s="13" t="s">
        <v>2382</v>
      </c>
      <c r="B156" s="13" t="s">
        <v>146</v>
      </c>
      <c r="C156" s="13" t="s">
        <v>1872</v>
      </c>
      <c r="D156" s="13" t="s">
        <v>1873</v>
      </c>
      <c r="E156" s="13" t="s">
        <v>2383</v>
      </c>
      <c r="F156" s="14" t="s">
        <v>2384</v>
      </c>
      <c r="G156" s="14" t="s">
        <v>2253</v>
      </c>
      <c r="H156" s="20" t="n">
        <v>23.5</v>
      </c>
      <c r="I156" s="13" t="n">
        <v>24</v>
      </c>
      <c r="J156" s="13"/>
      <c r="K156" s="13"/>
      <c r="L156" s="21"/>
      <c r="M156" s="21" t="n">
        <f aca="false">IF(C156="covered",10.4,7.55)</f>
        <v>7.55</v>
      </c>
      <c r="N156" s="13" t="n">
        <f aca="false">MAX(ROUNDUP(H156,0),I156)</f>
        <v>24</v>
      </c>
      <c r="O156" s="21"/>
      <c r="P156" s="21" t="n">
        <f aca="false">ROUND(M156*N156,2)</f>
        <v>181.2</v>
      </c>
      <c r="Q156" s="21" t="n">
        <f aca="false">ROUND(P156-IF(O156="",0,O156),2)</f>
        <v>181.2</v>
      </c>
      <c r="R156" s="14" t="str">
        <f aca="false">IF(J156="","MISSING BILL",IF(AND(K156=N156,ABS(L156-M156)&lt;0.001,ABS(O156-P156)&lt;0.01),"RECONCILED","CALCULATION ERROR"))</f>
        <v>MISSING BILL</v>
      </c>
      <c r="S156" s="22" t="s">
        <v>1877</v>
      </c>
    </row>
    <row r="157" customFormat="false" ht="15" hidden="false" customHeight="false" outlineLevel="0" collapsed="false">
      <c r="A157" s="13" t="s">
        <v>2385</v>
      </c>
      <c r="B157" s="13" t="s">
        <v>146</v>
      </c>
      <c r="C157" s="13" t="s">
        <v>1872</v>
      </c>
      <c r="D157" s="13" t="s">
        <v>1873</v>
      </c>
      <c r="E157" s="13" t="s">
        <v>2386</v>
      </c>
      <c r="F157" s="14" t="s">
        <v>2387</v>
      </c>
      <c r="G157" s="14" t="s">
        <v>2047</v>
      </c>
      <c r="H157" s="20" t="n">
        <v>39.8</v>
      </c>
      <c r="I157" s="13" t="n">
        <v>32</v>
      </c>
      <c r="J157" s="13"/>
      <c r="K157" s="13"/>
      <c r="L157" s="21"/>
      <c r="M157" s="21" t="n">
        <f aca="false">IF(C157="covered",10.4,7.55)</f>
        <v>7.55</v>
      </c>
      <c r="N157" s="13" t="n">
        <f aca="false">MAX(ROUNDUP(H157,0),I157)</f>
        <v>40</v>
      </c>
      <c r="O157" s="21"/>
      <c r="P157" s="21" t="n">
        <f aca="false">ROUND(M157*N157,2)</f>
        <v>302</v>
      </c>
      <c r="Q157" s="21" t="n">
        <f aca="false">ROUND(P157-IF(O157="",0,O157),2)</f>
        <v>302</v>
      </c>
      <c r="R157" s="14" t="str">
        <f aca="false">IF(J157="","MISSING BILL",IF(AND(K157=N157,ABS(L157-M157)&lt;0.001,ABS(O157-P157)&lt;0.01),"RECONCILED","CALCULATION ERROR"))</f>
        <v>MISSING BILL</v>
      </c>
      <c r="S157" s="22" t="s">
        <v>1877</v>
      </c>
    </row>
    <row r="158" customFormat="false" ht="15" hidden="false" customHeight="false" outlineLevel="0" collapsed="false">
      <c r="A158" s="13" t="s">
        <v>2388</v>
      </c>
      <c r="B158" s="13" t="s">
        <v>146</v>
      </c>
      <c r="C158" s="13" t="s">
        <v>1872</v>
      </c>
      <c r="D158" s="13" t="s">
        <v>1873</v>
      </c>
      <c r="E158" s="13" t="s">
        <v>2389</v>
      </c>
      <c r="F158" s="14" t="s">
        <v>2390</v>
      </c>
      <c r="G158" s="14" t="s">
        <v>2391</v>
      </c>
      <c r="H158" s="20" t="n">
        <v>57.9</v>
      </c>
      <c r="I158" s="13" t="n">
        <v>80</v>
      </c>
      <c r="J158" s="13"/>
      <c r="K158" s="13"/>
      <c r="L158" s="21"/>
      <c r="M158" s="21" t="n">
        <f aca="false">IF(C158="covered",10.4,7.55)</f>
        <v>7.55</v>
      </c>
      <c r="N158" s="13" t="n">
        <f aca="false">MAX(ROUNDUP(H158,0),I158)</f>
        <v>80</v>
      </c>
      <c r="O158" s="21"/>
      <c r="P158" s="21" t="n">
        <f aca="false">ROUND(M158*N158,2)</f>
        <v>604</v>
      </c>
      <c r="Q158" s="21" t="n">
        <f aca="false">ROUND(P158-IF(O158="",0,O158),2)</f>
        <v>604</v>
      </c>
      <c r="R158" s="14" t="str">
        <f aca="false">IF(J158="","MISSING BILL",IF(AND(K158=N158,ABS(L158-M158)&lt;0.001,ABS(O158-P158)&lt;0.01),"RECONCILED","CALCULATION ERROR"))</f>
        <v>MISSING BILL</v>
      </c>
      <c r="S158" s="22" t="s">
        <v>1877</v>
      </c>
    </row>
    <row r="159" customFormat="false" ht="15" hidden="false" customHeight="false" outlineLevel="0" collapsed="false">
      <c r="A159" s="13" t="s">
        <v>2392</v>
      </c>
      <c r="B159" s="13" t="s">
        <v>146</v>
      </c>
      <c r="C159" s="13" t="s">
        <v>1872</v>
      </c>
      <c r="D159" s="13" t="s">
        <v>1873</v>
      </c>
      <c r="E159" s="13" t="s">
        <v>590</v>
      </c>
      <c r="F159" s="14" t="s">
        <v>591</v>
      </c>
      <c r="G159" s="14" t="s">
        <v>2393</v>
      </c>
      <c r="H159" s="20" t="n">
        <v>24.6</v>
      </c>
      <c r="I159" s="13" t="n">
        <v>32</v>
      </c>
      <c r="J159" s="13"/>
      <c r="K159" s="13"/>
      <c r="L159" s="21"/>
      <c r="M159" s="21" t="n">
        <f aca="false">IF(C159="covered",10.4,7.55)</f>
        <v>7.55</v>
      </c>
      <c r="N159" s="13" t="n">
        <f aca="false">MAX(ROUNDUP(H159,0),I159)</f>
        <v>32</v>
      </c>
      <c r="O159" s="21"/>
      <c r="P159" s="21" t="n">
        <f aca="false">ROUND(M159*N159,2)</f>
        <v>241.6</v>
      </c>
      <c r="Q159" s="21" t="n">
        <f aca="false">ROUND(P159-IF(O159="",0,O159),2)</f>
        <v>241.6</v>
      </c>
      <c r="R159" s="14" t="str">
        <f aca="false">IF(J159="","MISSING BILL",IF(AND(K159=N159,ABS(L159-M159)&lt;0.001,ABS(O159-P159)&lt;0.01),"RECONCILED","CALCULATION ERROR"))</f>
        <v>MISSING BILL</v>
      </c>
      <c r="S159" s="22" t="s">
        <v>1877</v>
      </c>
    </row>
    <row r="160" customFormat="false" ht="15" hidden="false" customHeight="false" outlineLevel="0" collapsed="false">
      <c r="A160" s="13" t="s">
        <v>328</v>
      </c>
      <c r="B160" s="13" t="s">
        <v>146</v>
      </c>
      <c r="C160" s="13" t="s">
        <v>1872</v>
      </c>
      <c r="D160" s="13" t="s">
        <v>1873</v>
      </c>
      <c r="E160" s="13" t="s">
        <v>2394</v>
      </c>
      <c r="F160" s="14" t="s">
        <v>2395</v>
      </c>
      <c r="G160" s="14" t="s">
        <v>2396</v>
      </c>
      <c r="H160" s="20" t="n">
        <v>48.4</v>
      </c>
      <c r="I160" s="13" t="n">
        <v>45</v>
      </c>
      <c r="J160" s="13"/>
      <c r="K160" s="13"/>
      <c r="L160" s="21"/>
      <c r="M160" s="21" t="n">
        <f aca="false">IF(C160="covered",10.4,7.55)</f>
        <v>7.55</v>
      </c>
      <c r="N160" s="13" t="n">
        <f aca="false">MAX(ROUNDUP(H160,0),I160)</f>
        <v>49</v>
      </c>
      <c r="O160" s="21"/>
      <c r="P160" s="21" t="n">
        <f aca="false">ROUND(M160*N160,2)</f>
        <v>369.95</v>
      </c>
      <c r="Q160" s="21" t="n">
        <f aca="false">ROUND(P160-IF(O160="",0,O160),2)</f>
        <v>369.95</v>
      </c>
      <c r="R160" s="14" t="str">
        <f aca="false">IF(J160="","MISSING BILL",IF(AND(K160=N160,ABS(L160-M160)&lt;0.001,ABS(O160-P160)&lt;0.01),"RECONCILED","CALCULATION ERROR"))</f>
        <v>MISSING BILL</v>
      </c>
      <c r="S160" s="22" t="s">
        <v>1877</v>
      </c>
    </row>
    <row r="161" customFormat="false" ht="15" hidden="false" customHeight="false" outlineLevel="0" collapsed="false">
      <c r="A161" s="13" t="s">
        <v>2397</v>
      </c>
      <c r="B161" s="13" t="s">
        <v>146</v>
      </c>
      <c r="C161" s="13" t="s">
        <v>1872</v>
      </c>
      <c r="D161" s="13" t="s">
        <v>1873</v>
      </c>
      <c r="E161" s="13" t="s">
        <v>2398</v>
      </c>
      <c r="F161" s="14" t="s">
        <v>2399</v>
      </c>
      <c r="G161" s="14" t="s">
        <v>2400</v>
      </c>
      <c r="H161" s="20" t="n">
        <v>27.3</v>
      </c>
      <c r="I161" s="13" t="n">
        <v>32</v>
      </c>
      <c r="J161" s="13"/>
      <c r="K161" s="13"/>
      <c r="L161" s="21"/>
      <c r="M161" s="21" t="n">
        <f aca="false">IF(C161="covered",10.4,7.55)</f>
        <v>7.55</v>
      </c>
      <c r="N161" s="13" t="n">
        <f aca="false">MAX(ROUNDUP(H161,0),I161)</f>
        <v>32</v>
      </c>
      <c r="O161" s="21"/>
      <c r="P161" s="21" t="n">
        <f aca="false">ROUND(M161*N161,2)</f>
        <v>241.6</v>
      </c>
      <c r="Q161" s="21" t="n">
        <f aca="false">ROUND(P161-IF(O161="",0,O161),2)</f>
        <v>241.6</v>
      </c>
      <c r="R161" s="14" t="str">
        <f aca="false">IF(J161="","MISSING BILL",IF(AND(K161=N161,ABS(L161-M161)&lt;0.001,ABS(O161-P161)&lt;0.01),"RECONCILED","CALCULATION ERROR"))</f>
        <v>MISSING BILL</v>
      </c>
      <c r="S161" s="22" t="s">
        <v>1877</v>
      </c>
    </row>
    <row r="162" customFormat="false" ht="15" hidden="false" customHeight="false" outlineLevel="0" collapsed="false">
      <c r="A162" s="13" t="s">
        <v>2401</v>
      </c>
      <c r="B162" s="13" t="s">
        <v>146</v>
      </c>
      <c r="C162" s="13" t="s">
        <v>1872</v>
      </c>
      <c r="D162" s="13" t="s">
        <v>1873</v>
      </c>
      <c r="E162" s="13" t="s">
        <v>559</v>
      </c>
      <c r="F162" s="14" t="s">
        <v>560</v>
      </c>
      <c r="G162" s="14" t="s">
        <v>2402</v>
      </c>
      <c r="H162" s="20" t="n">
        <v>46</v>
      </c>
      <c r="I162" s="13" t="n">
        <v>24</v>
      </c>
      <c r="J162" s="13"/>
      <c r="K162" s="13"/>
      <c r="L162" s="21"/>
      <c r="M162" s="21" t="n">
        <f aca="false">IF(C162="covered",10.4,7.55)</f>
        <v>7.55</v>
      </c>
      <c r="N162" s="13" t="n">
        <f aca="false">MAX(ROUNDUP(H162,0),I162)</f>
        <v>46</v>
      </c>
      <c r="O162" s="21"/>
      <c r="P162" s="21" t="n">
        <f aca="false">ROUND(M162*N162,2)</f>
        <v>347.3</v>
      </c>
      <c r="Q162" s="21" t="n">
        <f aca="false">ROUND(P162-IF(O162="",0,O162),2)</f>
        <v>347.3</v>
      </c>
      <c r="R162" s="14" t="str">
        <f aca="false">IF(J162="","MISSING BILL",IF(AND(K162=N162,ABS(L162-M162)&lt;0.001,ABS(O162-P162)&lt;0.01),"RECONCILED","CALCULATION ERROR"))</f>
        <v>MISSING BILL</v>
      </c>
      <c r="S162" s="22" t="s">
        <v>1877</v>
      </c>
    </row>
    <row r="163" customFormat="false" ht="15" hidden="false" customHeight="false" outlineLevel="0" collapsed="false">
      <c r="A163" s="13" t="s">
        <v>2403</v>
      </c>
      <c r="B163" s="13" t="s">
        <v>146</v>
      </c>
      <c r="C163" s="13" t="s">
        <v>1872</v>
      </c>
      <c r="D163" s="13" t="s">
        <v>1873</v>
      </c>
      <c r="E163" s="13" t="s">
        <v>2404</v>
      </c>
      <c r="F163" s="14" t="s">
        <v>2405</v>
      </c>
      <c r="G163" s="14" t="s">
        <v>1945</v>
      </c>
      <c r="H163" s="20" t="n">
        <v>27.6</v>
      </c>
      <c r="I163" s="13" t="n">
        <v>24</v>
      </c>
      <c r="J163" s="13"/>
      <c r="K163" s="13"/>
      <c r="L163" s="21"/>
      <c r="M163" s="21" t="n">
        <f aca="false">IF(C163="covered",10.4,7.55)</f>
        <v>7.55</v>
      </c>
      <c r="N163" s="13" t="n">
        <f aca="false">MAX(ROUNDUP(H163,0),I163)</f>
        <v>28</v>
      </c>
      <c r="O163" s="21"/>
      <c r="P163" s="21" t="n">
        <f aca="false">ROUND(M163*N163,2)</f>
        <v>211.4</v>
      </c>
      <c r="Q163" s="21" t="n">
        <f aca="false">ROUND(P163-IF(O163="",0,O163),2)</f>
        <v>211.4</v>
      </c>
      <c r="R163" s="14" t="str">
        <f aca="false">IF(J163="","MISSING BILL",IF(AND(K163=N163,ABS(L163-M163)&lt;0.001,ABS(O163-P163)&lt;0.01),"RECONCILED","CALCULATION ERROR"))</f>
        <v>MISSING BILL</v>
      </c>
      <c r="S163" s="22" t="s">
        <v>1877</v>
      </c>
    </row>
    <row r="164" customFormat="false" ht="15" hidden="false" customHeight="false" outlineLevel="0" collapsed="false">
      <c r="A164" s="13" t="s">
        <v>509</v>
      </c>
      <c r="B164" s="13" t="s">
        <v>146</v>
      </c>
      <c r="C164" s="13" t="s">
        <v>1872</v>
      </c>
      <c r="D164" s="13" t="s">
        <v>1873</v>
      </c>
      <c r="E164" s="13" t="s">
        <v>2406</v>
      </c>
      <c r="F164" s="14" t="s">
        <v>2407</v>
      </c>
      <c r="G164" s="14" t="s">
        <v>2408</v>
      </c>
      <c r="H164" s="20" t="n">
        <v>46.5</v>
      </c>
      <c r="I164" s="13" t="n">
        <v>24</v>
      </c>
      <c r="J164" s="13"/>
      <c r="K164" s="13"/>
      <c r="L164" s="21"/>
      <c r="M164" s="21" t="n">
        <f aca="false">IF(C164="covered",10.4,7.55)</f>
        <v>7.55</v>
      </c>
      <c r="N164" s="13" t="n">
        <f aca="false">MAX(ROUNDUP(H164,0),I164)</f>
        <v>47</v>
      </c>
      <c r="O164" s="21"/>
      <c r="P164" s="21" t="n">
        <f aca="false">ROUND(M164*N164,2)</f>
        <v>354.85</v>
      </c>
      <c r="Q164" s="21" t="n">
        <f aca="false">ROUND(P164-IF(O164="",0,O164),2)</f>
        <v>354.85</v>
      </c>
      <c r="R164" s="14" t="str">
        <f aca="false">IF(J164="","MISSING BILL",IF(AND(K164=N164,ABS(L164-M164)&lt;0.001,ABS(O164-P164)&lt;0.01),"RECONCILED","CALCULATION ERROR"))</f>
        <v>MISSING BILL</v>
      </c>
      <c r="S164" s="22" t="s">
        <v>1877</v>
      </c>
    </row>
    <row r="165" customFormat="false" ht="15" hidden="false" customHeight="false" outlineLevel="0" collapsed="false">
      <c r="A165" s="13" t="s">
        <v>145</v>
      </c>
      <c r="B165" s="13" t="s">
        <v>146</v>
      </c>
      <c r="C165" s="13" t="s">
        <v>1872</v>
      </c>
      <c r="D165" s="13" t="s">
        <v>1873</v>
      </c>
      <c r="E165" s="13" t="s">
        <v>2409</v>
      </c>
      <c r="F165" s="14" t="s">
        <v>2410</v>
      </c>
      <c r="G165" s="14" t="s">
        <v>2411</v>
      </c>
      <c r="H165" s="20" t="n">
        <v>39.1</v>
      </c>
      <c r="I165" s="13" t="n">
        <v>24</v>
      </c>
      <c r="J165" s="13"/>
      <c r="K165" s="13"/>
      <c r="L165" s="21"/>
      <c r="M165" s="21" t="n">
        <f aca="false">IF(C165="covered",10.4,7.55)</f>
        <v>7.55</v>
      </c>
      <c r="N165" s="13" t="n">
        <f aca="false">MAX(ROUNDUP(H165,0),I165)</f>
        <v>40</v>
      </c>
      <c r="O165" s="21"/>
      <c r="P165" s="21" t="n">
        <f aca="false">ROUND(M165*N165,2)</f>
        <v>302</v>
      </c>
      <c r="Q165" s="21" t="n">
        <f aca="false">ROUND(P165-IF(O165="",0,O165),2)</f>
        <v>302</v>
      </c>
      <c r="R165" s="14" t="str">
        <f aca="false">IF(J165="","MISSING BILL",IF(AND(K165=N165,ABS(L165-M165)&lt;0.001,ABS(O165-P165)&lt;0.01),"RECONCILED","CALCULATION ERROR"))</f>
        <v>MISSING BILL</v>
      </c>
      <c r="S165" s="22" t="s">
        <v>1877</v>
      </c>
    </row>
    <row r="166" customFormat="false" ht="15" hidden="false" customHeight="false" outlineLevel="0" collapsed="false">
      <c r="A166" s="13" t="s">
        <v>2412</v>
      </c>
      <c r="B166" s="13" t="s">
        <v>146</v>
      </c>
      <c r="C166" s="13" t="s">
        <v>1872</v>
      </c>
      <c r="D166" s="13" t="s">
        <v>1873</v>
      </c>
      <c r="E166" s="13" t="s">
        <v>2413</v>
      </c>
      <c r="F166" s="14" t="s">
        <v>2414</v>
      </c>
      <c r="G166" s="14" t="s">
        <v>2415</v>
      </c>
      <c r="H166" s="20" t="n">
        <v>60.3</v>
      </c>
      <c r="I166" s="13" t="n">
        <v>45</v>
      </c>
      <c r="J166" s="13"/>
      <c r="K166" s="13"/>
      <c r="L166" s="21"/>
      <c r="M166" s="21" t="n">
        <f aca="false">IF(C166="covered",10.4,7.55)</f>
        <v>7.55</v>
      </c>
      <c r="N166" s="13" t="n">
        <f aca="false">MAX(ROUNDUP(H166,0),I166)</f>
        <v>61</v>
      </c>
      <c r="O166" s="21"/>
      <c r="P166" s="21" t="n">
        <f aca="false">ROUND(M166*N166,2)</f>
        <v>460.55</v>
      </c>
      <c r="Q166" s="21" t="n">
        <f aca="false">ROUND(P166-IF(O166="",0,O166),2)</f>
        <v>460.55</v>
      </c>
      <c r="R166" s="14" t="str">
        <f aca="false">IF(J166="","MISSING BILL",IF(AND(K166=N166,ABS(L166-M166)&lt;0.001,ABS(O166-P166)&lt;0.01),"RECONCILED","CALCULATION ERROR"))</f>
        <v>MISSING BILL</v>
      </c>
      <c r="S166" s="22" t="s">
        <v>1877</v>
      </c>
    </row>
    <row r="167" customFormat="false" ht="15" hidden="false" customHeight="false" outlineLevel="0" collapsed="false">
      <c r="A167" s="13" t="s">
        <v>2416</v>
      </c>
      <c r="B167" s="13" t="s">
        <v>146</v>
      </c>
      <c r="C167" s="13" t="s">
        <v>1872</v>
      </c>
      <c r="D167" s="13" t="s">
        <v>1873</v>
      </c>
      <c r="E167" s="13" t="s">
        <v>2417</v>
      </c>
      <c r="F167" s="14" t="s">
        <v>2418</v>
      </c>
      <c r="G167" s="14" t="s">
        <v>2179</v>
      </c>
      <c r="H167" s="20" t="n">
        <v>58.9</v>
      </c>
      <c r="I167" s="13" t="n">
        <v>32</v>
      </c>
      <c r="J167" s="13"/>
      <c r="K167" s="13"/>
      <c r="L167" s="21"/>
      <c r="M167" s="21" t="n">
        <f aca="false">IF(C167="covered",10.4,7.55)</f>
        <v>7.55</v>
      </c>
      <c r="N167" s="13" t="n">
        <f aca="false">MAX(ROUNDUP(H167,0),I167)</f>
        <v>59</v>
      </c>
      <c r="O167" s="21"/>
      <c r="P167" s="21" t="n">
        <f aca="false">ROUND(M167*N167,2)</f>
        <v>445.45</v>
      </c>
      <c r="Q167" s="21" t="n">
        <f aca="false">ROUND(P167-IF(O167="",0,O167),2)</f>
        <v>445.45</v>
      </c>
      <c r="R167" s="14" t="str">
        <f aca="false">IF(J167="","MISSING BILL",IF(AND(K167=N167,ABS(L167-M167)&lt;0.001,ABS(O167-P167)&lt;0.01),"RECONCILED","CALCULATION ERROR"))</f>
        <v>MISSING BILL</v>
      </c>
      <c r="S167" s="22" t="s">
        <v>1877</v>
      </c>
    </row>
    <row r="168" customFormat="false" ht="15" hidden="false" customHeight="false" outlineLevel="0" collapsed="false">
      <c r="A168" s="13" t="s">
        <v>1603</v>
      </c>
      <c r="B168" s="13" t="s">
        <v>146</v>
      </c>
      <c r="C168" s="13" t="s">
        <v>1872</v>
      </c>
      <c r="D168" s="13" t="s">
        <v>1873</v>
      </c>
      <c r="E168" s="13" t="s">
        <v>2419</v>
      </c>
      <c r="F168" s="14" t="s">
        <v>2420</v>
      </c>
      <c r="G168" s="14" t="s">
        <v>1911</v>
      </c>
      <c r="H168" s="20" t="n">
        <v>22.7</v>
      </c>
      <c r="I168" s="13" t="n">
        <v>40</v>
      </c>
      <c r="J168" s="13"/>
      <c r="K168" s="13"/>
      <c r="L168" s="21"/>
      <c r="M168" s="21" t="n">
        <f aca="false">IF(C168="covered",10.4,7.55)</f>
        <v>7.55</v>
      </c>
      <c r="N168" s="13" t="n">
        <f aca="false">MAX(ROUNDUP(H168,0),I168)</f>
        <v>40</v>
      </c>
      <c r="O168" s="21"/>
      <c r="P168" s="21" t="n">
        <f aca="false">ROUND(M168*N168,2)</f>
        <v>302</v>
      </c>
      <c r="Q168" s="21" t="n">
        <f aca="false">ROUND(P168-IF(O168="",0,O168),2)</f>
        <v>302</v>
      </c>
      <c r="R168" s="14" t="str">
        <f aca="false">IF(J168="","MISSING BILL",IF(AND(K168=N168,ABS(L168-M168)&lt;0.001,ABS(O168-P168)&lt;0.01),"RECONCILED","CALCULATION ERROR"))</f>
        <v>MISSING BILL</v>
      </c>
      <c r="S168" s="22" t="s">
        <v>1877</v>
      </c>
    </row>
    <row r="169" customFormat="false" ht="15" hidden="false" customHeight="false" outlineLevel="0" collapsed="false">
      <c r="A169" s="13" t="s">
        <v>950</v>
      </c>
      <c r="B169" s="13" t="s">
        <v>146</v>
      </c>
      <c r="C169" s="13" t="s">
        <v>1872</v>
      </c>
      <c r="D169" s="13" t="s">
        <v>1873</v>
      </c>
      <c r="E169" s="13" t="s">
        <v>2421</v>
      </c>
      <c r="F169" s="14" t="s">
        <v>2422</v>
      </c>
      <c r="G169" s="14" t="s">
        <v>2423</v>
      </c>
      <c r="H169" s="20" t="n">
        <v>58.1</v>
      </c>
      <c r="I169" s="13" t="n">
        <v>28</v>
      </c>
      <c r="J169" s="13"/>
      <c r="K169" s="13"/>
      <c r="L169" s="21"/>
      <c r="M169" s="21" t="n">
        <f aca="false">IF(C169="covered",10.4,7.55)</f>
        <v>7.55</v>
      </c>
      <c r="N169" s="13" t="n">
        <f aca="false">MAX(ROUNDUP(H169,0),I169)</f>
        <v>59</v>
      </c>
      <c r="O169" s="21"/>
      <c r="P169" s="21" t="n">
        <f aca="false">ROUND(M169*N169,2)</f>
        <v>445.45</v>
      </c>
      <c r="Q169" s="21" t="n">
        <f aca="false">ROUND(P169-IF(O169="",0,O169),2)</f>
        <v>445.45</v>
      </c>
      <c r="R169" s="14" t="str">
        <f aca="false">IF(J169="","MISSING BILL",IF(AND(K169=N169,ABS(L169-M169)&lt;0.001,ABS(O169-P169)&lt;0.01),"RECONCILED","CALCULATION ERROR"))</f>
        <v>MISSING BILL</v>
      </c>
      <c r="S169" s="22" t="s">
        <v>1877</v>
      </c>
    </row>
    <row r="170" customFormat="false" ht="15" hidden="false" customHeight="false" outlineLevel="0" collapsed="false">
      <c r="A170" s="13" t="s">
        <v>2424</v>
      </c>
      <c r="B170" s="13" t="s">
        <v>146</v>
      </c>
      <c r="C170" s="13" t="s">
        <v>1872</v>
      </c>
      <c r="D170" s="13" t="s">
        <v>1873</v>
      </c>
      <c r="E170" s="13" t="s">
        <v>2425</v>
      </c>
      <c r="F170" s="14" t="s">
        <v>2426</v>
      </c>
      <c r="G170" s="14" t="s">
        <v>2061</v>
      </c>
      <c r="H170" s="20" t="n">
        <v>47.1</v>
      </c>
      <c r="I170" s="13" t="n">
        <v>70</v>
      </c>
      <c r="J170" s="13"/>
      <c r="K170" s="13"/>
      <c r="L170" s="21"/>
      <c r="M170" s="21" t="n">
        <f aca="false">IF(C170="covered",10.4,7.55)</f>
        <v>7.55</v>
      </c>
      <c r="N170" s="13" t="n">
        <f aca="false">MAX(ROUNDUP(H170,0),I170)</f>
        <v>70</v>
      </c>
      <c r="O170" s="21"/>
      <c r="P170" s="21" t="n">
        <f aca="false">ROUND(M170*N170,2)</f>
        <v>528.5</v>
      </c>
      <c r="Q170" s="21" t="n">
        <f aca="false">ROUND(P170-IF(O170="",0,O170),2)</f>
        <v>528.5</v>
      </c>
      <c r="R170" s="14" t="str">
        <f aca="false">IF(J170="","MISSING BILL",IF(AND(K170=N170,ABS(L170-M170)&lt;0.001,ABS(O170-P170)&lt;0.01),"RECONCILED","CALCULATION ERROR"))</f>
        <v>MISSING BILL</v>
      </c>
      <c r="S170" s="22" t="s">
        <v>1877</v>
      </c>
    </row>
    <row r="171" customFormat="false" ht="15" hidden="false" customHeight="false" outlineLevel="0" collapsed="false">
      <c r="A171" s="13" t="s">
        <v>2427</v>
      </c>
      <c r="B171" s="13" t="s">
        <v>146</v>
      </c>
      <c r="C171" s="13" t="s">
        <v>1872</v>
      </c>
      <c r="D171" s="13" t="s">
        <v>1873</v>
      </c>
      <c r="E171" s="13" t="s">
        <v>2428</v>
      </c>
      <c r="F171" s="14" t="s">
        <v>2429</v>
      </c>
      <c r="G171" s="14" t="s">
        <v>2430</v>
      </c>
      <c r="H171" s="20" t="n">
        <v>37.5</v>
      </c>
      <c r="I171" s="13" t="n">
        <v>28</v>
      </c>
      <c r="J171" s="13"/>
      <c r="K171" s="13"/>
      <c r="L171" s="21"/>
      <c r="M171" s="21" t="n">
        <f aca="false">IF(C171="covered",10.4,7.55)</f>
        <v>7.55</v>
      </c>
      <c r="N171" s="13" t="n">
        <f aca="false">MAX(ROUNDUP(H171,0),I171)</f>
        <v>38</v>
      </c>
      <c r="O171" s="21"/>
      <c r="P171" s="21" t="n">
        <f aca="false">ROUND(M171*N171,2)</f>
        <v>286.9</v>
      </c>
      <c r="Q171" s="21" t="n">
        <f aca="false">ROUND(P171-IF(O171="",0,O171),2)</f>
        <v>286.9</v>
      </c>
      <c r="R171" s="14" t="str">
        <f aca="false">IF(J171="","MISSING BILL",IF(AND(K171=N171,ABS(L171-M171)&lt;0.001,ABS(O171-P171)&lt;0.01),"RECONCILED","CALCULATION ERROR"))</f>
        <v>MISSING BILL</v>
      </c>
      <c r="S171" s="22" t="s">
        <v>1877</v>
      </c>
    </row>
    <row r="172" customFormat="false" ht="15" hidden="false" customHeight="false" outlineLevel="0" collapsed="false">
      <c r="A172" s="13" t="s">
        <v>2431</v>
      </c>
      <c r="B172" s="13" t="s">
        <v>146</v>
      </c>
      <c r="C172" s="13" t="s">
        <v>1872</v>
      </c>
      <c r="D172" s="13" t="s">
        <v>1873</v>
      </c>
      <c r="E172" s="13" t="s">
        <v>2432</v>
      </c>
      <c r="F172" s="14" t="s">
        <v>2433</v>
      </c>
      <c r="G172" s="14" t="s">
        <v>2434</v>
      </c>
      <c r="H172" s="20" t="n">
        <v>44.2</v>
      </c>
      <c r="I172" s="13" t="n">
        <v>50</v>
      </c>
      <c r="J172" s="13"/>
      <c r="K172" s="13"/>
      <c r="L172" s="21"/>
      <c r="M172" s="21" t="n">
        <f aca="false">IF(C172="covered",10.4,7.55)</f>
        <v>7.55</v>
      </c>
      <c r="N172" s="13" t="n">
        <f aca="false">MAX(ROUNDUP(H172,0),I172)</f>
        <v>50</v>
      </c>
      <c r="O172" s="21"/>
      <c r="P172" s="21" t="n">
        <f aca="false">ROUND(M172*N172,2)</f>
        <v>377.5</v>
      </c>
      <c r="Q172" s="21" t="n">
        <f aca="false">ROUND(P172-IF(O172="",0,O172),2)</f>
        <v>377.5</v>
      </c>
      <c r="R172" s="14" t="str">
        <f aca="false">IF(J172="","MISSING BILL",IF(AND(K172=N172,ABS(L172-M172)&lt;0.001,ABS(O172-P172)&lt;0.01),"RECONCILED","CALCULATION ERROR"))</f>
        <v>MISSING BILL</v>
      </c>
      <c r="S172" s="22" t="s">
        <v>1877</v>
      </c>
    </row>
    <row r="173" customFormat="false" ht="15" hidden="false" customHeight="false" outlineLevel="0" collapsed="false">
      <c r="A173" s="13" t="s">
        <v>2435</v>
      </c>
      <c r="B173" s="13" t="s">
        <v>146</v>
      </c>
      <c r="C173" s="13" t="s">
        <v>1872</v>
      </c>
      <c r="D173" s="13" t="s">
        <v>1873</v>
      </c>
      <c r="E173" s="13" t="s">
        <v>2436</v>
      </c>
      <c r="F173" s="14" t="s">
        <v>2437</v>
      </c>
      <c r="G173" s="14" t="s">
        <v>2438</v>
      </c>
      <c r="H173" s="20" t="n">
        <v>48.8</v>
      </c>
      <c r="I173" s="13" t="n">
        <v>50</v>
      </c>
      <c r="J173" s="13"/>
      <c r="K173" s="13"/>
      <c r="L173" s="21"/>
      <c r="M173" s="21" t="n">
        <f aca="false">IF(C173="covered",10.4,7.55)</f>
        <v>7.55</v>
      </c>
      <c r="N173" s="13" t="n">
        <f aca="false">MAX(ROUNDUP(H173,0),I173)</f>
        <v>50</v>
      </c>
      <c r="O173" s="21"/>
      <c r="P173" s="21" t="n">
        <f aca="false">ROUND(M173*N173,2)</f>
        <v>377.5</v>
      </c>
      <c r="Q173" s="21" t="n">
        <f aca="false">ROUND(P173-IF(O173="",0,O173),2)</f>
        <v>377.5</v>
      </c>
      <c r="R173" s="14" t="str">
        <f aca="false">IF(J173="","MISSING BILL",IF(AND(K173=N173,ABS(L173-M173)&lt;0.001,ABS(O173-P173)&lt;0.01),"RECONCILED","CALCULATION ERROR"))</f>
        <v>MISSING BILL</v>
      </c>
      <c r="S173" s="22" t="s">
        <v>1877</v>
      </c>
    </row>
    <row r="174" customFormat="false" ht="15" hidden="false" customHeight="false" outlineLevel="0" collapsed="false">
      <c r="A174" s="13" t="s">
        <v>2439</v>
      </c>
      <c r="B174" s="13" t="s">
        <v>146</v>
      </c>
      <c r="C174" s="13" t="s">
        <v>1872</v>
      </c>
      <c r="D174" s="13" t="s">
        <v>1873</v>
      </c>
      <c r="E174" s="13" t="s">
        <v>2440</v>
      </c>
      <c r="F174" s="14" t="s">
        <v>2441</v>
      </c>
      <c r="G174" s="14" t="s">
        <v>2442</v>
      </c>
      <c r="H174" s="20" t="n">
        <v>51.5</v>
      </c>
      <c r="I174" s="13" t="n">
        <v>28</v>
      </c>
      <c r="J174" s="13"/>
      <c r="K174" s="13"/>
      <c r="L174" s="21"/>
      <c r="M174" s="21" t="n">
        <f aca="false">IF(C174="covered",10.4,7.55)</f>
        <v>7.55</v>
      </c>
      <c r="N174" s="13" t="n">
        <f aca="false">MAX(ROUNDUP(H174,0),I174)</f>
        <v>52</v>
      </c>
      <c r="O174" s="21"/>
      <c r="P174" s="21" t="n">
        <f aca="false">ROUND(M174*N174,2)</f>
        <v>392.6</v>
      </c>
      <c r="Q174" s="21" t="n">
        <f aca="false">ROUND(P174-IF(O174="",0,O174),2)</f>
        <v>392.6</v>
      </c>
      <c r="R174" s="14" t="str">
        <f aca="false">IF(J174="","MISSING BILL",IF(AND(K174=N174,ABS(L174-M174)&lt;0.001,ABS(O174-P174)&lt;0.01),"RECONCILED","CALCULATION ERROR"))</f>
        <v>MISSING BILL</v>
      </c>
      <c r="S174" s="22" t="s">
        <v>1877</v>
      </c>
    </row>
    <row r="175" customFormat="false" ht="15" hidden="false" customHeight="false" outlineLevel="0" collapsed="false">
      <c r="A175" s="13" t="s">
        <v>2443</v>
      </c>
      <c r="B175" s="13" t="s">
        <v>146</v>
      </c>
      <c r="C175" s="13" t="s">
        <v>1872</v>
      </c>
      <c r="D175" s="13" t="s">
        <v>1873</v>
      </c>
      <c r="E175" s="13" t="s">
        <v>2444</v>
      </c>
      <c r="F175" s="14" t="s">
        <v>2445</v>
      </c>
      <c r="G175" s="14" t="s">
        <v>2087</v>
      </c>
      <c r="H175" s="20" t="n">
        <v>26.4</v>
      </c>
      <c r="I175" s="13" t="n">
        <v>40</v>
      </c>
      <c r="J175" s="13"/>
      <c r="K175" s="13"/>
      <c r="L175" s="21"/>
      <c r="M175" s="21" t="n">
        <f aca="false">IF(C175="covered",10.4,7.55)</f>
        <v>7.55</v>
      </c>
      <c r="N175" s="13" t="n">
        <f aca="false">MAX(ROUNDUP(H175,0),I175)</f>
        <v>40</v>
      </c>
      <c r="O175" s="21"/>
      <c r="P175" s="21" t="n">
        <f aca="false">ROUND(M175*N175,2)</f>
        <v>302</v>
      </c>
      <c r="Q175" s="21" t="n">
        <f aca="false">ROUND(P175-IF(O175="",0,O175),2)</f>
        <v>302</v>
      </c>
      <c r="R175" s="14" t="str">
        <f aca="false">IF(J175="","MISSING BILL",IF(AND(K175=N175,ABS(L175-M175)&lt;0.001,ABS(O175-P175)&lt;0.01),"RECONCILED","CALCULATION ERROR"))</f>
        <v>MISSING BILL</v>
      </c>
      <c r="S175" s="22" t="s">
        <v>1877</v>
      </c>
    </row>
    <row r="176" customFormat="false" ht="15" hidden="false" customHeight="false" outlineLevel="0" collapsed="false">
      <c r="A176" s="13" t="s">
        <v>1374</v>
      </c>
      <c r="B176" s="13" t="s">
        <v>146</v>
      </c>
      <c r="C176" s="13" t="s">
        <v>1872</v>
      </c>
      <c r="D176" s="13" t="s">
        <v>1873</v>
      </c>
      <c r="E176" s="13" t="s">
        <v>2446</v>
      </c>
      <c r="F176" s="14" t="s">
        <v>2447</v>
      </c>
      <c r="G176" s="14" t="s">
        <v>2370</v>
      </c>
      <c r="H176" s="20" t="n">
        <v>23.2</v>
      </c>
      <c r="I176" s="13" t="n">
        <v>32</v>
      </c>
      <c r="J176" s="13"/>
      <c r="K176" s="13"/>
      <c r="L176" s="21"/>
      <c r="M176" s="21" t="n">
        <f aca="false">IF(C176="covered",10.4,7.55)</f>
        <v>7.55</v>
      </c>
      <c r="N176" s="13" t="n">
        <f aca="false">MAX(ROUNDUP(H176,0),I176)</f>
        <v>32</v>
      </c>
      <c r="O176" s="21"/>
      <c r="P176" s="21" t="n">
        <f aca="false">ROUND(M176*N176,2)</f>
        <v>241.6</v>
      </c>
      <c r="Q176" s="21" t="n">
        <f aca="false">ROUND(P176-IF(O176="",0,O176),2)</f>
        <v>241.6</v>
      </c>
      <c r="R176" s="14" t="str">
        <f aca="false">IF(J176="","MISSING BILL",IF(AND(K176=N176,ABS(L176-M176)&lt;0.001,ABS(O176-P176)&lt;0.01),"RECONCILED","CALCULATION ERROR"))</f>
        <v>MISSING BILL</v>
      </c>
      <c r="S176" s="22" t="s">
        <v>1877</v>
      </c>
    </row>
    <row r="177" customFormat="false" ht="15" hidden="false" customHeight="false" outlineLevel="0" collapsed="false">
      <c r="A177" s="13" t="s">
        <v>2448</v>
      </c>
      <c r="B177" s="13" t="s">
        <v>146</v>
      </c>
      <c r="C177" s="13" t="s">
        <v>1872</v>
      </c>
      <c r="D177" s="13" t="s">
        <v>1873</v>
      </c>
      <c r="E177" s="13" t="s">
        <v>2449</v>
      </c>
      <c r="F177" s="14" t="s">
        <v>2450</v>
      </c>
      <c r="G177" s="14" t="s">
        <v>2451</v>
      </c>
      <c r="H177" s="20" t="n">
        <v>48.6</v>
      </c>
      <c r="I177" s="13" t="n">
        <v>80</v>
      </c>
      <c r="J177" s="13"/>
      <c r="K177" s="13"/>
      <c r="L177" s="21"/>
      <c r="M177" s="21" t="n">
        <f aca="false">IF(C177="covered",10.4,7.55)</f>
        <v>7.55</v>
      </c>
      <c r="N177" s="13" t="n">
        <f aca="false">MAX(ROUNDUP(H177,0),I177)</f>
        <v>80</v>
      </c>
      <c r="O177" s="21"/>
      <c r="P177" s="21" t="n">
        <f aca="false">ROUND(M177*N177,2)</f>
        <v>604</v>
      </c>
      <c r="Q177" s="21" t="n">
        <f aca="false">ROUND(P177-IF(O177="",0,O177),2)</f>
        <v>604</v>
      </c>
      <c r="R177" s="14" t="str">
        <f aca="false">IF(J177="","MISSING BILL",IF(AND(K177=N177,ABS(L177-M177)&lt;0.001,ABS(O177-P177)&lt;0.01),"RECONCILED","CALCULATION ERROR"))</f>
        <v>MISSING BILL</v>
      </c>
      <c r="S177" s="22" t="s">
        <v>1877</v>
      </c>
    </row>
    <row r="178" customFormat="false" ht="15" hidden="false" customHeight="false" outlineLevel="0" collapsed="false">
      <c r="A178" s="13" t="s">
        <v>2452</v>
      </c>
      <c r="B178" s="13" t="s">
        <v>146</v>
      </c>
      <c r="C178" s="13" t="s">
        <v>1872</v>
      </c>
      <c r="D178" s="13" t="s">
        <v>1873</v>
      </c>
      <c r="E178" s="13" t="s">
        <v>2453</v>
      </c>
      <c r="F178" s="14" t="s">
        <v>2454</v>
      </c>
      <c r="G178" s="14" t="s">
        <v>2455</v>
      </c>
      <c r="H178" s="20" t="n">
        <v>30.9</v>
      </c>
      <c r="I178" s="13" t="n">
        <v>32</v>
      </c>
      <c r="J178" s="13"/>
      <c r="K178" s="13"/>
      <c r="L178" s="21"/>
      <c r="M178" s="21" t="n">
        <f aca="false">IF(C178="covered",10.4,7.55)</f>
        <v>7.55</v>
      </c>
      <c r="N178" s="13" t="n">
        <f aca="false">MAX(ROUNDUP(H178,0),I178)</f>
        <v>32</v>
      </c>
      <c r="O178" s="21"/>
      <c r="P178" s="21" t="n">
        <f aca="false">ROUND(M178*N178,2)</f>
        <v>241.6</v>
      </c>
      <c r="Q178" s="21" t="n">
        <f aca="false">ROUND(P178-IF(O178="",0,O178),2)</f>
        <v>241.6</v>
      </c>
      <c r="R178" s="14" t="str">
        <f aca="false">IF(J178="","MISSING BILL",IF(AND(K178=N178,ABS(L178-M178)&lt;0.001,ABS(O178-P178)&lt;0.01),"RECONCILED","CALCULATION ERROR"))</f>
        <v>MISSING BILL</v>
      </c>
      <c r="S178" s="22" t="s">
        <v>1877</v>
      </c>
    </row>
    <row r="179" customFormat="false" ht="15" hidden="false" customHeight="false" outlineLevel="0" collapsed="false">
      <c r="A179" s="13" t="s">
        <v>2456</v>
      </c>
      <c r="B179" s="13" t="s">
        <v>146</v>
      </c>
      <c r="C179" s="13" t="s">
        <v>1872</v>
      </c>
      <c r="D179" s="13" t="s">
        <v>1873</v>
      </c>
      <c r="E179" s="13" t="s">
        <v>2457</v>
      </c>
      <c r="F179" s="14" t="s">
        <v>2458</v>
      </c>
      <c r="G179" s="14" t="s">
        <v>2123</v>
      </c>
      <c r="H179" s="20" t="n">
        <v>57.4</v>
      </c>
      <c r="I179" s="13" t="n">
        <v>70</v>
      </c>
      <c r="J179" s="13"/>
      <c r="K179" s="13"/>
      <c r="L179" s="21"/>
      <c r="M179" s="21" t="n">
        <f aca="false">IF(C179="covered",10.4,7.55)</f>
        <v>7.55</v>
      </c>
      <c r="N179" s="13" t="n">
        <f aca="false">MAX(ROUNDUP(H179,0),I179)</f>
        <v>70</v>
      </c>
      <c r="O179" s="21"/>
      <c r="P179" s="21" t="n">
        <f aca="false">ROUND(M179*N179,2)</f>
        <v>528.5</v>
      </c>
      <c r="Q179" s="21" t="n">
        <f aca="false">ROUND(P179-IF(O179="",0,O179),2)</f>
        <v>528.5</v>
      </c>
      <c r="R179" s="14" t="str">
        <f aca="false">IF(J179="","MISSING BILL",IF(AND(K179=N179,ABS(L179-M179)&lt;0.001,ABS(O179-P179)&lt;0.01),"RECONCILED","CALCULATION ERROR"))</f>
        <v>MISSING BILL</v>
      </c>
      <c r="S179" s="22" t="s">
        <v>1877</v>
      </c>
    </row>
    <row r="180" customFormat="false" ht="15" hidden="false" customHeight="false" outlineLevel="0" collapsed="false">
      <c r="A180" s="13" t="s">
        <v>828</v>
      </c>
      <c r="B180" s="13" t="s">
        <v>146</v>
      </c>
      <c r="C180" s="13" t="s">
        <v>1872</v>
      </c>
      <c r="D180" s="13" t="s">
        <v>1873</v>
      </c>
      <c r="E180" s="13" t="s">
        <v>2459</v>
      </c>
      <c r="F180" s="14" t="s">
        <v>2460</v>
      </c>
      <c r="G180" s="14" t="s">
        <v>2186</v>
      </c>
      <c r="H180" s="20" t="n">
        <v>20.7</v>
      </c>
      <c r="I180" s="13" t="n">
        <v>28</v>
      </c>
      <c r="J180" s="13"/>
      <c r="K180" s="13"/>
      <c r="L180" s="21"/>
      <c r="M180" s="21" t="n">
        <f aca="false">IF(C180="covered",10.4,7.55)</f>
        <v>7.55</v>
      </c>
      <c r="N180" s="13" t="n">
        <f aca="false">MAX(ROUNDUP(H180,0),I180)</f>
        <v>28</v>
      </c>
      <c r="O180" s="21"/>
      <c r="P180" s="21" t="n">
        <f aca="false">ROUND(M180*N180,2)</f>
        <v>211.4</v>
      </c>
      <c r="Q180" s="21" t="n">
        <f aca="false">ROUND(P180-IF(O180="",0,O180),2)</f>
        <v>211.4</v>
      </c>
      <c r="R180" s="14" t="str">
        <f aca="false">IF(J180="","MISSING BILL",IF(AND(K180=N180,ABS(L180-M180)&lt;0.001,ABS(O180-P180)&lt;0.01),"RECONCILED","CALCULATION ERROR"))</f>
        <v>MISSING BILL</v>
      </c>
      <c r="S180" s="22" t="s">
        <v>1877</v>
      </c>
    </row>
    <row r="181" customFormat="false" ht="15" hidden="false" customHeight="false" outlineLevel="0" collapsed="false">
      <c r="A181" s="13" t="s">
        <v>2461</v>
      </c>
      <c r="B181" s="13" t="s">
        <v>146</v>
      </c>
      <c r="C181" s="13" t="s">
        <v>1872</v>
      </c>
      <c r="D181" s="13" t="s">
        <v>1873</v>
      </c>
      <c r="E181" s="13" t="s">
        <v>2462</v>
      </c>
      <c r="F181" s="14" t="s">
        <v>2463</v>
      </c>
      <c r="G181" s="14" t="s">
        <v>2464</v>
      </c>
      <c r="H181" s="20" t="n">
        <v>30</v>
      </c>
      <c r="I181" s="13" t="n">
        <v>24</v>
      </c>
      <c r="J181" s="13"/>
      <c r="K181" s="13"/>
      <c r="L181" s="21"/>
      <c r="M181" s="21" t="n">
        <f aca="false">IF(C181="covered",10.4,7.55)</f>
        <v>7.55</v>
      </c>
      <c r="N181" s="13" t="n">
        <f aca="false">MAX(ROUNDUP(H181,0),I181)</f>
        <v>30</v>
      </c>
      <c r="O181" s="21"/>
      <c r="P181" s="21" t="n">
        <f aca="false">ROUND(M181*N181,2)</f>
        <v>226.5</v>
      </c>
      <c r="Q181" s="21" t="n">
        <f aca="false">ROUND(P181-IF(O181="",0,O181),2)</f>
        <v>226.5</v>
      </c>
      <c r="R181" s="14" t="str">
        <f aca="false">IF(J181="","MISSING BILL",IF(AND(K181=N181,ABS(L181-M181)&lt;0.001,ABS(O181-P181)&lt;0.01),"RECONCILED","CALCULATION ERROR"))</f>
        <v>MISSING BILL</v>
      </c>
      <c r="S181" s="22" t="s">
        <v>1877</v>
      </c>
    </row>
    <row r="182" customFormat="false" ht="15" hidden="false" customHeight="false" outlineLevel="0" collapsed="false">
      <c r="A182" s="13" t="s">
        <v>2465</v>
      </c>
      <c r="B182" s="13" t="s">
        <v>146</v>
      </c>
      <c r="C182" s="13" t="s">
        <v>1872</v>
      </c>
      <c r="D182" s="13" t="s">
        <v>1873</v>
      </c>
      <c r="E182" s="13" t="s">
        <v>2466</v>
      </c>
      <c r="F182" s="14" t="s">
        <v>2467</v>
      </c>
      <c r="G182" s="14" t="s">
        <v>1885</v>
      </c>
      <c r="H182" s="20" t="n">
        <v>58.1</v>
      </c>
      <c r="I182" s="13" t="n">
        <v>24</v>
      </c>
      <c r="J182" s="13"/>
      <c r="K182" s="13"/>
      <c r="L182" s="21"/>
      <c r="M182" s="21" t="n">
        <f aca="false">IF(C182="covered",10.4,7.55)</f>
        <v>7.55</v>
      </c>
      <c r="N182" s="13" t="n">
        <f aca="false">MAX(ROUNDUP(H182,0),I182)</f>
        <v>59</v>
      </c>
      <c r="O182" s="21"/>
      <c r="P182" s="21" t="n">
        <f aca="false">ROUND(M182*N182,2)</f>
        <v>445.45</v>
      </c>
      <c r="Q182" s="21" t="n">
        <f aca="false">ROUND(P182-IF(O182="",0,O182),2)</f>
        <v>445.45</v>
      </c>
      <c r="R182" s="14" t="str">
        <f aca="false">IF(J182="","MISSING BILL",IF(AND(K182=N182,ABS(L182-M182)&lt;0.001,ABS(O182-P182)&lt;0.01),"RECONCILED","CALCULATION ERROR"))</f>
        <v>MISSING BILL</v>
      </c>
      <c r="S182" s="22" t="s">
        <v>1877</v>
      </c>
    </row>
    <row r="183" customFormat="false" ht="15" hidden="false" customHeight="false" outlineLevel="0" collapsed="false">
      <c r="A183" s="13" t="s">
        <v>2468</v>
      </c>
      <c r="B183" s="13" t="s">
        <v>146</v>
      </c>
      <c r="C183" s="13" t="s">
        <v>1872</v>
      </c>
      <c r="D183" s="13" t="s">
        <v>1873</v>
      </c>
      <c r="E183" s="13" t="s">
        <v>2469</v>
      </c>
      <c r="F183" s="14" t="s">
        <v>2470</v>
      </c>
      <c r="G183" s="14" t="s">
        <v>2471</v>
      </c>
      <c r="H183" s="20" t="n">
        <v>58.3</v>
      </c>
      <c r="I183" s="13" t="n">
        <v>70</v>
      </c>
      <c r="J183" s="13"/>
      <c r="K183" s="13"/>
      <c r="L183" s="21"/>
      <c r="M183" s="21" t="n">
        <f aca="false">IF(C183="covered",10.4,7.55)</f>
        <v>7.55</v>
      </c>
      <c r="N183" s="13" t="n">
        <f aca="false">MAX(ROUNDUP(H183,0),I183)</f>
        <v>70</v>
      </c>
      <c r="O183" s="21"/>
      <c r="P183" s="21" t="n">
        <f aca="false">ROUND(M183*N183,2)</f>
        <v>528.5</v>
      </c>
      <c r="Q183" s="21" t="n">
        <f aca="false">ROUND(P183-IF(O183="",0,O183),2)</f>
        <v>528.5</v>
      </c>
      <c r="R183" s="14" t="str">
        <f aca="false">IF(J183="","MISSING BILL",IF(AND(K183=N183,ABS(L183-M183)&lt;0.001,ABS(O183-P183)&lt;0.01),"RECONCILED","CALCULATION ERROR"))</f>
        <v>MISSING BILL</v>
      </c>
      <c r="S183" s="22" t="s">
        <v>1877</v>
      </c>
    </row>
    <row r="184" customFormat="false" ht="15" hidden="false" customHeight="false" outlineLevel="0" collapsed="false">
      <c r="A184" s="13" t="s">
        <v>643</v>
      </c>
      <c r="B184" s="13" t="s">
        <v>146</v>
      </c>
      <c r="C184" s="13" t="s">
        <v>1872</v>
      </c>
      <c r="D184" s="13" t="s">
        <v>1873</v>
      </c>
      <c r="E184" s="13" t="s">
        <v>2472</v>
      </c>
      <c r="F184" s="14" t="s">
        <v>2473</v>
      </c>
      <c r="G184" s="14" t="s">
        <v>2233</v>
      </c>
      <c r="H184" s="20" t="n">
        <v>35.4</v>
      </c>
      <c r="I184" s="13" t="n">
        <v>70</v>
      </c>
      <c r="J184" s="13"/>
      <c r="K184" s="13"/>
      <c r="L184" s="21"/>
      <c r="M184" s="21" t="n">
        <f aca="false">IF(C184="covered",10.4,7.55)</f>
        <v>7.55</v>
      </c>
      <c r="N184" s="13" t="n">
        <f aca="false">MAX(ROUNDUP(H184,0),I184)</f>
        <v>70</v>
      </c>
      <c r="O184" s="21"/>
      <c r="P184" s="21" t="n">
        <f aca="false">ROUND(M184*N184,2)</f>
        <v>528.5</v>
      </c>
      <c r="Q184" s="21" t="n">
        <f aca="false">ROUND(P184-IF(O184="",0,O184),2)</f>
        <v>528.5</v>
      </c>
      <c r="R184" s="14" t="str">
        <f aca="false">IF(J184="","MISSING BILL",IF(AND(K184=N184,ABS(L184-M184)&lt;0.001,ABS(O184-P184)&lt;0.01),"RECONCILED","CALCULATION ERROR"))</f>
        <v>MISSING BILL</v>
      </c>
      <c r="S184" s="22" t="s">
        <v>1877</v>
      </c>
    </row>
    <row r="185" customFormat="false" ht="15" hidden="false" customHeight="false" outlineLevel="0" collapsed="false">
      <c r="A185" s="13" t="s">
        <v>1587</v>
      </c>
      <c r="B185" s="13" t="s">
        <v>146</v>
      </c>
      <c r="C185" s="13" t="s">
        <v>1872</v>
      </c>
      <c r="D185" s="13" t="s">
        <v>1873</v>
      </c>
      <c r="E185" s="13" t="s">
        <v>2474</v>
      </c>
      <c r="F185" s="14" t="s">
        <v>2475</v>
      </c>
      <c r="G185" s="14" t="s">
        <v>2476</v>
      </c>
      <c r="H185" s="20" t="n">
        <v>60.3</v>
      </c>
      <c r="I185" s="13" t="n">
        <v>32</v>
      </c>
      <c r="J185" s="13"/>
      <c r="K185" s="13"/>
      <c r="L185" s="21"/>
      <c r="M185" s="21" t="n">
        <f aca="false">IF(C185="covered",10.4,7.55)</f>
        <v>7.55</v>
      </c>
      <c r="N185" s="13" t="n">
        <f aca="false">MAX(ROUNDUP(H185,0),I185)</f>
        <v>61</v>
      </c>
      <c r="O185" s="21"/>
      <c r="P185" s="21" t="n">
        <f aca="false">ROUND(M185*N185,2)</f>
        <v>460.55</v>
      </c>
      <c r="Q185" s="21" t="n">
        <f aca="false">ROUND(P185-IF(O185="",0,O185),2)</f>
        <v>460.55</v>
      </c>
      <c r="R185" s="14" t="str">
        <f aca="false">IF(J185="","MISSING BILL",IF(AND(K185=N185,ABS(L185-M185)&lt;0.001,ABS(O185-P185)&lt;0.01),"RECONCILED","CALCULATION ERROR"))</f>
        <v>MISSING BILL</v>
      </c>
      <c r="S185" s="22" t="s">
        <v>1877</v>
      </c>
    </row>
    <row r="186" customFormat="false" ht="15" hidden="false" customHeight="false" outlineLevel="0" collapsed="false">
      <c r="A186" s="13" t="s">
        <v>2477</v>
      </c>
      <c r="B186" s="13" t="s">
        <v>146</v>
      </c>
      <c r="C186" s="13" t="s">
        <v>1872</v>
      </c>
      <c r="D186" s="13" t="s">
        <v>1873</v>
      </c>
      <c r="E186" s="13" t="s">
        <v>2478</v>
      </c>
      <c r="F186" s="14" t="s">
        <v>2479</v>
      </c>
      <c r="G186" s="14" t="s">
        <v>2480</v>
      </c>
      <c r="H186" s="20" t="n">
        <v>20.9</v>
      </c>
      <c r="I186" s="13" t="n">
        <v>50</v>
      </c>
      <c r="J186" s="13"/>
      <c r="K186" s="13"/>
      <c r="L186" s="21"/>
      <c r="M186" s="21" t="n">
        <f aca="false">IF(C186="covered",10.4,7.55)</f>
        <v>7.55</v>
      </c>
      <c r="N186" s="13" t="n">
        <f aca="false">MAX(ROUNDUP(H186,0),I186)</f>
        <v>50</v>
      </c>
      <c r="O186" s="21"/>
      <c r="P186" s="21" t="n">
        <f aca="false">ROUND(M186*N186,2)</f>
        <v>377.5</v>
      </c>
      <c r="Q186" s="21" t="n">
        <f aca="false">ROUND(P186-IF(O186="",0,O186),2)</f>
        <v>377.5</v>
      </c>
      <c r="R186" s="14" t="str">
        <f aca="false">IF(J186="","MISSING BILL",IF(AND(K186=N186,ABS(L186-M186)&lt;0.001,ABS(O186-P186)&lt;0.01),"RECONCILED","CALCULATION ERROR"))</f>
        <v>MISSING BILL</v>
      </c>
      <c r="S186" s="22" t="s">
        <v>1877</v>
      </c>
    </row>
    <row r="187" customFormat="false" ht="15" hidden="false" customHeight="false" outlineLevel="0" collapsed="false">
      <c r="A187" s="13" t="s">
        <v>2481</v>
      </c>
      <c r="B187" s="13" t="s">
        <v>146</v>
      </c>
      <c r="C187" s="13" t="s">
        <v>1872</v>
      </c>
      <c r="D187" s="13" t="s">
        <v>1873</v>
      </c>
      <c r="E187" s="13" t="s">
        <v>2482</v>
      </c>
      <c r="F187" s="14" t="s">
        <v>2483</v>
      </c>
      <c r="G187" s="14" t="s">
        <v>2484</v>
      </c>
      <c r="H187" s="20" t="n">
        <v>26.6</v>
      </c>
      <c r="I187" s="13" t="n">
        <v>40</v>
      </c>
      <c r="J187" s="13"/>
      <c r="K187" s="13"/>
      <c r="L187" s="21"/>
      <c r="M187" s="21" t="n">
        <f aca="false">IF(C187="covered",10.4,7.55)</f>
        <v>7.55</v>
      </c>
      <c r="N187" s="13" t="n">
        <f aca="false">MAX(ROUNDUP(H187,0),I187)</f>
        <v>40</v>
      </c>
      <c r="O187" s="21"/>
      <c r="P187" s="21" t="n">
        <f aca="false">ROUND(M187*N187,2)</f>
        <v>302</v>
      </c>
      <c r="Q187" s="21" t="n">
        <f aca="false">ROUND(P187-IF(O187="",0,O187),2)</f>
        <v>302</v>
      </c>
      <c r="R187" s="14" t="str">
        <f aca="false">IF(J187="","MISSING BILL",IF(AND(K187=N187,ABS(L187-M187)&lt;0.001,ABS(O187-P187)&lt;0.01),"RECONCILED","CALCULATION ERROR"))</f>
        <v>MISSING BILL</v>
      </c>
      <c r="S187" s="22" t="s">
        <v>1877</v>
      </c>
    </row>
    <row r="188" customFormat="false" ht="15" hidden="false" customHeight="false" outlineLevel="0" collapsed="false">
      <c r="A188" s="13" t="s">
        <v>2485</v>
      </c>
      <c r="B188" s="13" t="s">
        <v>146</v>
      </c>
      <c r="C188" s="13" t="s">
        <v>1872</v>
      </c>
      <c r="D188" s="13" t="s">
        <v>1873</v>
      </c>
      <c r="E188" s="13" t="s">
        <v>2486</v>
      </c>
      <c r="F188" s="14" t="s">
        <v>2487</v>
      </c>
      <c r="G188" s="14" t="s">
        <v>2488</v>
      </c>
      <c r="H188" s="20" t="n">
        <v>43.8</v>
      </c>
      <c r="I188" s="13" t="n">
        <v>28</v>
      </c>
      <c r="J188" s="13"/>
      <c r="K188" s="13"/>
      <c r="L188" s="21"/>
      <c r="M188" s="21" t="n">
        <f aca="false">IF(C188="covered",10.4,7.55)</f>
        <v>7.55</v>
      </c>
      <c r="N188" s="13" t="n">
        <f aca="false">MAX(ROUNDUP(H188,0),I188)</f>
        <v>44</v>
      </c>
      <c r="O188" s="21"/>
      <c r="P188" s="21" t="n">
        <f aca="false">ROUND(M188*N188,2)</f>
        <v>332.2</v>
      </c>
      <c r="Q188" s="21" t="n">
        <f aca="false">ROUND(P188-IF(O188="",0,O188),2)</f>
        <v>332.2</v>
      </c>
      <c r="R188" s="14" t="str">
        <f aca="false">IF(J188="","MISSING BILL",IF(AND(K188=N188,ABS(L188-M188)&lt;0.001,ABS(O188-P188)&lt;0.01),"RECONCILED","CALCULATION ERROR"))</f>
        <v>MISSING BILL</v>
      </c>
      <c r="S188" s="22" t="s">
        <v>1877</v>
      </c>
    </row>
    <row r="189" customFormat="false" ht="15" hidden="false" customHeight="false" outlineLevel="0" collapsed="false">
      <c r="A189" s="13" t="s">
        <v>2489</v>
      </c>
      <c r="B189" s="13" t="s">
        <v>146</v>
      </c>
      <c r="C189" s="13" t="s">
        <v>1872</v>
      </c>
      <c r="D189" s="13" t="s">
        <v>1873</v>
      </c>
      <c r="E189" s="13" t="s">
        <v>2490</v>
      </c>
      <c r="F189" s="14" t="s">
        <v>2491</v>
      </c>
      <c r="G189" s="14" t="s">
        <v>2492</v>
      </c>
      <c r="H189" s="20" t="n">
        <v>37.7</v>
      </c>
      <c r="I189" s="13" t="n">
        <v>50</v>
      </c>
      <c r="J189" s="13"/>
      <c r="K189" s="13"/>
      <c r="L189" s="21"/>
      <c r="M189" s="21" t="n">
        <f aca="false">IF(C189="covered",10.4,7.55)</f>
        <v>7.55</v>
      </c>
      <c r="N189" s="13" t="n">
        <f aca="false">MAX(ROUNDUP(H189,0),I189)</f>
        <v>50</v>
      </c>
      <c r="O189" s="21"/>
      <c r="P189" s="21" t="n">
        <f aca="false">ROUND(M189*N189,2)</f>
        <v>377.5</v>
      </c>
      <c r="Q189" s="21" t="n">
        <f aca="false">ROUND(P189-IF(O189="",0,O189),2)</f>
        <v>377.5</v>
      </c>
      <c r="R189" s="14" t="str">
        <f aca="false">IF(J189="","MISSING BILL",IF(AND(K189=N189,ABS(L189-M189)&lt;0.001,ABS(O189-P189)&lt;0.01),"RECONCILED","CALCULATION ERROR"))</f>
        <v>MISSING BILL</v>
      </c>
      <c r="S189" s="22" t="s">
        <v>1877</v>
      </c>
    </row>
    <row r="190" customFormat="false" ht="15" hidden="false" customHeight="false" outlineLevel="0" collapsed="false">
      <c r="A190" s="13" t="s">
        <v>911</v>
      </c>
      <c r="B190" s="13" t="s">
        <v>146</v>
      </c>
      <c r="C190" s="13" t="s">
        <v>1872</v>
      </c>
      <c r="D190" s="13" t="s">
        <v>1873</v>
      </c>
      <c r="E190" s="13" t="s">
        <v>2493</v>
      </c>
      <c r="F190" s="14" t="s">
        <v>2494</v>
      </c>
      <c r="G190" s="14" t="s">
        <v>2495</v>
      </c>
      <c r="H190" s="20" t="n">
        <v>52.1</v>
      </c>
      <c r="I190" s="13" t="n">
        <v>24</v>
      </c>
      <c r="J190" s="13"/>
      <c r="K190" s="13"/>
      <c r="L190" s="21"/>
      <c r="M190" s="21" t="n">
        <f aca="false">IF(C190="covered",10.4,7.55)</f>
        <v>7.55</v>
      </c>
      <c r="N190" s="13" t="n">
        <f aca="false">MAX(ROUNDUP(H190,0),I190)</f>
        <v>53</v>
      </c>
      <c r="O190" s="21"/>
      <c r="P190" s="21" t="n">
        <f aca="false">ROUND(M190*N190,2)</f>
        <v>400.15</v>
      </c>
      <c r="Q190" s="21" t="n">
        <f aca="false">ROUND(P190-IF(O190="",0,O190),2)</f>
        <v>400.15</v>
      </c>
      <c r="R190" s="14" t="str">
        <f aca="false">IF(J190="","MISSING BILL",IF(AND(K190=N190,ABS(L190-M190)&lt;0.001,ABS(O190-P190)&lt;0.01),"RECONCILED","CALCULATION ERROR"))</f>
        <v>MISSING BILL</v>
      </c>
      <c r="S190" s="22" t="s">
        <v>1877</v>
      </c>
    </row>
    <row r="191" customFormat="false" ht="15" hidden="false" customHeight="false" outlineLevel="0" collapsed="false">
      <c r="A191" s="13" t="s">
        <v>393</v>
      </c>
      <c r="B191" s="13" t="s">
        <v>146</v>
      </c>
      <c r="C191" s="13" t="s">
        <v>1872</v>
      </c>
      <c r="D191" s="13" t="s">
        <v>1873</v>
      </c>
      <c r="E191" s="13" t="s">
        <v>2496</v>
      </c>
      <c r="F191" s="14" t="s">
        <v>2497</v>
      </c>
      <c r="G191" s="14" t="s">
        <v>2498</v>
      </c>
      <c r="H191" s="20" t="n">
        <v>59.9</v>
      </c>
      <c r="I191" s="13" t="n">
        <v>70</v>
      </c>
      <c r="J191" s="13"/>
      <c r="K191" s="13"/>
      <c r="L191" s="21"/>
      <c r="M191" s="21" t="n">
        <f aca="false">IF(C191="covered",10.4,7.55)</f>
        <v>7.55</v>
      </c>
      <c r="N191" s="13" t="n">
        <f aca="false">MAX(ROUNDUP(H191,0),I191)</f>
        <v>70</v>
      </c>
      <c r="O191" s="21"/>
      <c r="P191" s="21" t="n">
        <f aca="false">ROUND(M191*N191,2)</f>
        <v>528.5</v>
      </c>
      <c r="Q191" s="21" t="n">
        <f aca="false">ROUND(P191-IF(O191="",0,O191),2)</f>
        <v>528.5</v>
      </c>
      <c r="R191" s="14" t="str">
        <f aca="false">IF(J191="","MISSING BILL",IF(AND(K191=N191,ABS(L191-M191)&lt;0.001,ABS(O191-P191)&lt;0.01),"RECONCILED","CALCULATION ERROR"))</f>
        <v>MISSING BILL</v>
      </c>
      <c r="S191" s="22" t="s">
        <v>1877</v>
      </c>
    </row>
    <row r="192" customFormat="false" ht="15" hidden="false" customHeight="false" outlineLevel="0" collapsed="false">
      <c r="A192" s="13" t="s">
        <v>2499</v>
      </c>
      <c r="B192" s="13" t="s">
        <v>146</v>
      </c>
      <c r="C192" s="13" t="s">
        <v>1872</v>
      </c>
      <c r="D192" s="13" t="s">
        <v>1873</v>
      </c>
      <c r="E192" s="13" t="s">
        <v>2500</v>
      </c>
      <c r="F192" s="14" t="s">
        <v>2501</v>
      </c>
      <c r="G192" s="14" t="s">
        <v>2502</v>
      </c>
      <c r="H192" s="20" t="n">
        <v>55.5</v>
      </c>
      <c r="I192" s="13" t="n">
        <v>24</v>
      </c>
      <c r="J192" s="13"/>
      <c r="K192" s="13"/>
      <c r="L192" s="21"/>
      <c r="M192" s="21" t="n">
        <f aca="false">IF(C192="covered",10.4,7.55)</f>
        <v>7.55</v>
      </c>
      <c r="N192" s="13" t="n">
        <f aca="false">MAX(ROUNDUP(H192,0),I192)</f>
        <v>56</v>
      </c>
      <c r="O192" s="21"/>
      <c r="P192" s="21" t="n">
        <f aca="false">ROUND(M192*N192,2)</f>
        <v>422.8</v>
      </c>
      <c r="Q192" s="21" t="n">
        <f aca="false">ROUND(P192-IF(O192="",0,O192),2)</f>
        <v>422.8</v>
      </c>
      <c r="R192" s="14" t="str">
        <f aca="false">IF(J192="","MISSING BILL",IF(AND(K192=N192,ABS(L192-M192)&lt;0.001,ABS(O192-P192)&lt;0.01),"RECONCILED","CALCULATION ERROR"))</f>
        <v>MISSING BILL</v>
      </c>
      <c r="S192" s="22" t="s">
        <v>1877</v>
      </c>
    </row>
    <row r="193" customFormat="false" ht="15" hidden="false" customHeight="false" outlineLevel="0" collapsed="false">
      <c r="A193" s="13" t="s">
        <v>2503</v>
      </c>
      <c r="B193" s="13" t="s">
        <v>146</v>
      </c>
      <c r="C193" s="13" t="s">
        <v>1872</v>
      </c>
      <c r="D193" s="13" t="s">
        <v>1873</v>
      </c>
      <c r="E193" s="13" t="s">
        <v>2504</v>
      </c>
      <c r="F193" s="14" t="s">
        <v>2505</v>
      </c>
      <c r="G193" s="14" t="s">
        <v>2506</v>
      </c>
      <c r="H193" s="20" t="n">
        <v>32.9</v>
      </c>
      <c r="I193" s="13" t="n">
        <v>24</v>
      </c>
      <c r="J193" s="13"/>
      <c r="K193" s="13"/>
      <c r="L193" s="21"/>
      <c r="M193" s="21" t="n">
        <f aca="false">IF(C193="covered",10.4,7.55)</f>
        <v>7.55</v>
      </c>
      <c r="N193" s="13" t="n">
        <f aca="false">MAX(ROUNDUP(H193,0),I193)</f>
        <v>33</v>
      </c>
      <c r="O193" s="21"/>
      <c r="P193" s="21" t="n">
        <f aca="false">ROUND(M193*N193,2)</f>
        <v>249.15</v>
      </c>
      <c r="Q193" s="21" t="n">
        <f aca="false">ROUND(P193-IF(O193="",0,O193),2)</f>
        <v>249.15</v>
      </c>
      <c r="R193" s="14" t="str">
        <f aca="false">IF(J193="","MISSING BILL",IF(AND(K193=N193,ABS(L193-M193)&lt;0.001,ABS(O193-P193)&lt;0.01),"RECONCILED","CALCULATION ERROR"))</f>
        <v>MISSING BILL</v>
      </c>
      <c r="S193" s="22" t="s">
        <v>1877</v>
      </c>
    </row>
    <row r="194" customFormat="false" ht="15" hidden="false" customHeight="false" outlineLevel="0" collapsed="false">
      <c r="A194" s="13" t="s">
        <v>2507</v>
      </c>
      <c r="B194" s="13" t="s">
        <v>146</v>
      </c>
      <c r="C194" s="13" t="s">
        <v>1872</v>
      </c>
      <c r="D194" s="13" t="s">
        <v>1873</v>
      </c>
      <c r="E194" s="13" t="s">
        <v>2508</v>
      </c>
      <c r="F194" s="14" t="s">
        <v>2509</v>
      </c>
      <c r="G194" s="14" t="s">
        <v>2353</v>
      </c>
      <c r="H194" s="20" t="n">
        <v>45.8</v>
      </c>
      <c r="I194" s="13" t="n">
        <v>28</v>
      </c>
      <c r="J194" s="13"/>
      <c r="K194" s="13"/>
      <c r="L194" s="21"/>
      <c r="M194" s="21" t="n">
        <f aca="false">IF(C194="covered",10.4,7.55)</f>
        <v>7.55</v>
      </c>
      <c r="N194" s="13" t="n">
        <f aca="false">MAX(ROUNDUP(H194,0),I194)</f>
        <v>46</v>
      </c>
      <c r="O194" s="21"/>
      <c r="P194" s="21" t="n">
        <f aca="false">ROUND(M194*N194,2)</f>
        <v>347.3</v>
      </c>
      <c r="Q194" s="21" t="n">
        <f aca="false">ROUND(P194-IF(O194="",0,O194),2)</f>
        <v>347.3</v>
      </c>
      <c r="R194" s="14" t="str">
        <f aca="false">IF(J194="","MISSING BILL",IF(AND(K194=N194,ABS(L194-M194)&lt;0.001,ABS(O194-P194)&lt;0.01),"RECONCILED","CALCULATION ERROR"))</f>
        <v>MISSING BILL</v>
      </c>
      <c r="S194" s="22" t="s">
        <v>1877</v>
      </c>
    </row>
    <row r="195" customFormat="false" ht="15" hidden="false" customHeight="false" outlineLevel="0" collapsed="false">
      <c r="A195" s="13" t="s">
        <v>2510</v>
      </c>
      <c r="B195" s="13" t="s">
        <v>146</v>
      </c>
      <c r="C195" s="13" t="s">
        <v>1872</v>
      </c>
      <c r="D195" s="13" t="s">
        <v>1873</v>
      </c>
      <c r="E195" s="13" t="s">
        <v>2511</v>
      </c>
      <c r="F195" s="14" t="s">
        <v>2512</v>
      </c>
      <c r="G195" s="14" t="s">
        <v>2513</v>
      </c>
      <c r="H195" s="20" t="n">
        <v>27.1</v>
      </c>
      <c r="I195" s="13" t="n">
        <v>28</v>
      </c>
      <c r="J195" s="13"/>
      <c r="K195" s="13"/>
      <c r="L195" s="21"/>
      <c r="M195" s="21" t="n">
        <f aca="false">IF(C195="covered",10.4,7.55)</f>
        <v>7.55</v>
      </c>
      <c r="N195" s="13" t="n">
        <f aca="false">MAX(ROUNDUP(H195,0),I195)</f>
        <v>28</v>
      </c>
      <c r="O195" s="21"/>
      <c r="P195" s="21" t="n">
        <f aca="false">ROUND(M195*N195,2)</f>
        <v>211.4</v>
      </c>
      <c r="Q195" s="21" t="n">
        <f aca="false">ROUND(P195-IF(O195="",0,O195),2)</f>
        <v>211.4</v>
      </c>
      <c r="R195" s="14" t="str">
        <f aca="false">IF(J195="","MISSING BILL",IF(AND(K195=N195,ABS(L195-M195)&lt;0.001,ABS(O195-P195)&lt;0.01),"RECONCILED","CALCULATION ERROR"))</f>
        <v>MISSING BILL</v>
      </c>
      <c r="S195" s="22" t="s">
        <v>1877</v>
      </c>
    </row>
    <row r="196" customFormat="false" ht="15" hidden="false" customHeight="false" outlineLevel="0" collapsed="false">
      <c r="A196" s="13" t="s">
        <v>864</v>
      </c>
      <c r="B196" s="13" t="s">
        <v>146</v>
      </c>
      <c r="C196" s="13" t="s">
        <v>1872</v>
      </c>
      <c r="D196" s="13" t="s">
        <v>1873</v>
      </c>
      <c r="E196" s="13" t="s">
        <v>2514</v>
      </c>
      <c r="F196" s="14" t="s">
        <v>2515</v>
      </c>
      <c r="G196" s="14" t="s">
        <v>2516</v>
      </c>
      <c r="H196" s="20" t="n">
        <v>53.4</v>
      </c>
      <c r="I196" s="13" t="n">
        <v>32</v>
      </c>
      <c r="J196" s="13"/>
      <c r="K196" s="13"/>
      <c r="L196" s="21"/>
      <c r="M196" s="21" t="n">
        <f aca="false">IF(C196="covered",10.4,7.55)</f>
        <v>7.55</v>
      </c>
      <c r="N196" s="13" t="n">
        <f aca="false">MAX(ROUNDUP(H196,0),I196)</f>
        <v>54</v>
      </c>
      <c r="O196" s="21"/>
      <c r="P196" s="21" t="n">
        <f aca="false">ROUND(M196*N196,2)</f>
        <v>407.7</v>
      </c>
      <c r="Q196" s="21" t="n">
        <f aca="false">ROUND(P196-IF(O196="",0,O196),2)</f>
        <v>407.7</v>
      </c>
      <c r="R196" s="14" t="str">
        <f aca="false">IF(J196="","MISSING BILL",IF(AND(K196=N196,ABS(L196-M196)&lt;0.001,ABS(O196-P196)&lt;0.01),"RECONCILED","CALCULATION ERROR"))</f>
        <v>MISSING BILL</v>
      </c>
      <c r="S196" s="22" t="s">
        <v>1877</v>
      </c>
    </row>
    <row r="197" customFormat="false" ht="15" hidden="false" customHeight="false" outlineLevel="0" collapsed="false">
      <c r="A197" s="13" t="s">
        <v>2517</v>
      </c>
      <c r="B197" s="13" t="s">
        <v>146</v>
      </c>
      <c r="C197" s="13" t="s">
        <v>1872</v>
      </c>
      <c r="D197" s="13" t="s">
        <v>1873</v>
      </c>
      <c r="E197" s="13" t="s">
        <v>2518</v>
      </c>
      <c r="F197" s="14" t="s">
        <v>2519</v>
      </c>
      <c r="G197" s="14" t="s">
        <v>1945</v>
      </c>
      <c r="H197" s="20" t="n">
        <v>28.9</v>
      </c>
      <c r="I197" s="13" t="n">
        <v>36</v>
      </c>
      <c r="J197" s="13"/>
      <c r="K197" s="13"/>
      <c r="L197" s="21"/>
      <c r="M197" s="21" t="n">
        <f aca="false">IF(C197="covered",10.4,7.55)</f>
        <v>7.55</v>
      </c>
      <c r="N197" s="13" t="n">
        <f aca="false">MAX(ROUNDUP(H197,0),I197)</f>
        <v>36</v>
      </c>
      <c r="O197" s="21"/>
      <c r="P197" s="21" t="n">
        <f aca="false">ROUND(M197*N197,2)</f>
        <v>271.8</v>
      </c>
      <c r="Q197" s="21" t="n">
        <f aca="false">ROUND(P197-IF(O197="",0,O197),2)</f>
        <v>271.8</v>
      </c>
      <c r="R197" s="14" t="str">
        <f aca="false">IF(J197="","MISSING BILL",IF(AND(K197=N197,ABS(L197-M197)&lt;0.001,ABS(O197-P197)&lt;0.01),"RECONCILED","CALCULATION ERROR"))</f>
        <v>MISSING BILL</v>
      </c>
      <c r="S197" s="22" t="s">
        <v>1877</v>
      </c>
    </row>
    <row r="198" customFormat="false" ht="15" hidden="false" customHeight="false" outlineLevel="0" collapsed="false">
      <c r="A198" s="13" t="s">
        <v>2520</v>
      </c>
      <c r="B198" s="13" t="s">
        <v>146</v>
      </c>
      <c r="C198" s="13" t="s">
        <v>1872</v>
      </c>
      <c r="D198" s="13" t="s">
        <v>1873</v>
      </c>
      <c r="E198" s="13" t="s">
        <v>2521</v>
      </c>
      <c r="F198" s="14" t="s">
        <v>2522</v>
      </c>
      <c r="G198" s="14" t="s">
        <v>2523</v>
      </c>
      <c r="H198" s="20" t="n">
        <v>24</v>
      </c>
      <c r="I198" s="13" t="n">
        <v>45</v>
      </c>
      <c r="J198" s="13"/>
      <c r="K198" s="13"/>
      <c r="L198" s="21"/>
      <c r="M198" s="21" t="n">
        <f aca="false">IF(C198="covered",10.4,7.55)</f>
        <v>7.55</v>
      </c>
      <c r="N198" s="13" t="n">
        <f aca="false">MAX(ROUNDUP(H198,0),I198)</f>
        <v>45</v>
      </c>
      <c r="O198" s="21"/>
      <c r="P198" s="21" t="n">
        <f aca="false">ROUND(M198*N198,2)</f>
        <v>339.75</v>
      </c>
      <c r="Q198" s="21" t="n">
        <f aca="false">ROUND(P198-IF(O198="",0,O198),2)</f>
        <v>339.75</v>
      </c>
      <c r="R198" s="14" t="str">
        <f aca="false">IF(J198="","MISSING BILL",IF(AND(K198=N198,ABS(L198-M198)&lt;0.001,ABS(O198-P198)&lt;0.01),"RECONCILED","CALCULATION ERROR"))</f>
        <v>MISSING BILL</v>
      </c>
      <c r="S198" s="22" t="s">
        <v>1877</v>
      </c>
    </row>
    <row r="199" customFormat="false" ht="15" hidden="false" customHeight="false" outlineLevel="0" collapsed="false">
      <c r="A199" s="13" t="s">
        <v>2524</v>
      </c>
      <c r="B199" s="13" t="s">
        <v>146</v>
      </c>
      <c r="C199" s="13" t="s">
        <v>1872</v>
      </c>
      <c r="D199" s="13" t="s">
        <v>1873</v>
      </c>
      <c r="E199" s="13" t="s">
        <v>2525</v>
      </c>
      <c r="F199" s="14" t="s">
        <v>2526</v>
      </c>
      <c r="G199" s="14" t="s">
        <v>2527</v>
      </c>
      <c r="H199" s="20" t="n">
        <v>35.5</v>
      </c>
      <c r="I199" s="13" t="n">
        <v>24</v>
      </c>
      <c r="J199" s="13"/>
      <c r="K199" s="13"/>
      <c r="L199" s="21"/>
      <c r="M199" s="21" t="n">
        <f aca="false">IF(C199="covered",10.4,7.55)</f>
        <v>7.55</v>
      </c>
      <c r="N199" s="13" t="n">
        <f aca="false">MAX(ROUNDUP(H199,0),I199)</f>
        <v>36</v>
      </c>
      <c r="O199" s="21"/>
      <c r="P199" s="21" t="n">
        <f aca="false">ROUND(M199*N199,2)</f>
        <v>271.8</v>
      </c>
      <c r="Q199" s="21" t="n">
        <f aca="false">ROUND(P199-IF(O199="",0,O199),2)</f>
        <v>271.8</v>
      </c>
      <c r="R199" s="14" t="str">
        <f aca="false">IF(J199="","MISSING BILL",IF(AND(K199=N199,ABS(L199-M199)&lt;0.001,ABS(O199-P199)&lt;0.01),"RECONCILED","CALCULATION ERROR"))</f>
        <v>MISSING BILL</v>
      </c>
      <c r="S199" s="22" t="s">
        <v>1877</v>
      </c>
    </row>
    <row r="200" customFormat="false" ht="15" hidden="false" customHeight="false" outlineLevel="0" collapsed="false">
      <c r="A200" s="13" t="s">
        <v>2528</v>
      </c>
      <c r="B200" s="13" t="s">
        <v>146</v>
      </c>
      <c r="C200" s="13" t="s">
        <v>1872</v>
      </c>
      <c r="D200" s="13" t="s">
        <v>1873</v>
      </c>
      <c r="E200" s="13" t="s">
        <v>2529</v>
      </c>
      <c r="F200" s="14" t="s">
        <v>2530</v>
      </c>
      <c r="G200" s="14" t="s">
        <v>2531</v>
      </c>
      <c r="H200" s="20" t="n">
        <v>47.1</v>
      </c>
      <c r="I200" s="13" t="n">
        <v>70</v>
      </c>
      <c r="J200" s="13"/>
      <c r="K200" s="13"/>
      <c r="L200" s="21"/>
      <c r="M200" s="21" t="n">
        <f aca="false">IF(C200="covered",10.4,7.55)</f>
        <v>7.55</v>
      </c>
      <c r="N200" s="13" t="n">
        <f aca="false">MAX(ROUNDUP(H200,0),I200)</f>
        <v>70</v>
      </c>
      <c r="O200" s="21"/>
      <c r="P200" s="21" t="n">
        <f aca="false">ROUND(M200*N200,2)</f>
        <v>528.5</v>
      </c>
      <c r="Q200" s="21" t="n">
        <f aca="false">ROUND(P200-IF(O200="",0,O200),2)</f>
        <v>528.5</v>
      </c>
      <c r="R200" s="14" t="str">
        <f aca="false">IF(J200="","MISSING BILL",IF(AND(K200=N200,ABS(L200-M200)&lt;0.001,ABS(O200-P200)&lt;0.01),"RECONCILED","CALCULATION ERROR"))</f>
        <v>MISSING BILL</v>
      </c>
      <c r="S200" s="22" t="s">
        <v>1877</v>
      </c>
    </row>
    <row r="201" customFormat="false" ht="15" hidden="false" customHeight="false" outlineLevel="0" collapsed="false">
      <c r="A201" s="13" t="s">
        <v>2532</v>
      </c>
      <c r="B201" s="13" t="s">
        <v>146</v>
      </c>
      <c r="C201" s="13" t="s">
        <v>1872</v>
      </c>
      <c r="D201" s="13" t="s">
        <v>1873</v>
      </c>
      <c r="E201" s="13" t="s">
        <v>2533</v>
      </c>
      <c r="F201" s="14" t="s">
        <v>2534</v>
      </c>
      <c r="G201" s="14" t="s">
        <v>2535</v>
      </c>
      <c r="H201" s="20" t="n">
        <v>48.1</v>
      </c>
      <c r="I201" s="13" t="n">
        <v>32</v>
      </c>
      <c r="J201" s="13"/>
      <c r="K201" s="13"/>
      <c r="L201" s="21"/>
      <c r="M201" s="21" t="n">
        <f aca="false">IF(C201="covered",10.4,7.55)</f>
        <v>7.55</v>
      </c>
      <c r="N201" s="13" t="n">
        <f aca="false">MAX(ROUNDUP(H201,0),I201)</f>
        <v>49</v>
      </c>
      <c r="O201" s="21"/>
      <c r="P201" s="21" t="n">
        <f aca="false">ROUND(M201*N201,2)</f>
        <v>369.95</v>
      </c>
      <c r="Q201" s="21" t="n">
        <f aca="false">ROUND(P201-IF(O201="",0,O201),2)</f>
        <v>369.95</v>
      </c>
      <c r="R201" s="14" t="str">
        <f aca="false">IF(J201="","MISSING BILL",IF(AND(K201=N201,ABS(L201-M201)&lt;0.001,ABS(O201-P201)&lt;0.01),"RECONCILED","CALCULATION ERROR"))</f>
        <v>MISSING BILL</v>
      </c>
      <c r="S201" s="22" t="s">
        <v>1877</v>
      </c>
    </row>
    <row r="202" customFormat="false" ht="15" hidden="false" customHeight="false" outlineLevel="0" collapsed="false">
      <c r="A202" s="13" t="s">
        <v>568</v>
      </c>
      <c r="B202" s="13" t="s">
        <v>146</v>
      </c>
      <c r="C202" s="13" t="s">
        <v>1872</v>
      </c>
      <c r="D202" s="13" t="s">
        <v>1873</v>
      </c>
      <c r="E202" s="13" t="s">
        <v>2536</v>
      </c>
      <c r="F202" s="14" t="s">
        <v>2537</v>
      </c>
      <c r="G202" s="14" t="s">
        <v>2538</v>
      </c>
      <c r="H202" s="20" t="n">
        <v>23.8</v>
      </c>
      <c r="I202" s="13" t="n">
        <v>60</v>
      </c>
      <c r="J202" s="13"/>
      <c r="K202" s="13"/>
      <c r="L202" s="21"/>
      <c r="M202" s="21" t="n">
        <f aca="false">IF(C202="covered",10.4,7.55)</f>
        <v>7.55</v>
      </c>
      <c r="N202" s="13" t="n">
        <f aca="false">MAX(ROUNDUP(H202,0),I202)</f>
        <v>60</v>
      </c>
      <c r="O202" s="21"/>
      <c r="P202" s="21" t="n">
        <f aca="false">ROUND(M202*N202,2)</f>
        <v>453</v>
      </c>
      <c r="Q202" s="21" t="n">
        <f aca="false">ROUND(P202-IF(O202="",0,O202),2)</f>
        <v>453</v>
      </c>
      <c r="R202" s="14" t="str">
        <f aca="false">IF(J202="","MISSING BILL",IF(AND(K202=N202,ABS(L202-M202)&lt;0.001,ABS(O202-P202)&lt;0.01),"RECONCILED","CALCULATION ERROR"))</f>
        <v>MISSING BILL</v>
      </c>
      <c r="S202" s="22" t="s">
        <v>1877</v>
      </c>
    </row>
    <row r="203" customFormat="false" ht="15" hidden="false" customHeight="false" outlineLevel="0" collapsed="false">
      <c r="A203" s="13" t="s">
        <v>1450</v>
      </c>
      <c r="B203" s="13" t="s">
        <v>146</v>
      </c>
      <c r="C203" s="13" t="s">
        <v>1872</v>
      </c>
      <c r="D203" s="13" t="s">
        <v>1873</v>
      </c>
      <c r="E203" s="13" t="s">
        <v>2539</v>
      </c>
      <c r="F203" s="14" t="s">
        <v>2540</v>
      </c>
      <c r="G203" s="14" t="s">
        <v>2541</v>
      </c>
      <c r="H203" s="20" t="n">
        <v>53.9</v>
      </c>
      <c r="I203" s="13" t="n">
        <v>32</v>
      </c>
      <c r="J203" s="13"/>
      <c r="K203" s="13"/>
      <c r="L203" s="21"/>
      <c r="M203" s="21" t="n">
        <f aca="false">IF(C203="covered",10.4,7.55)</f>
        <v>7.55</v>
      </c>
      <c r="N203" s="13" t="n">
        <f aca="false">MAX(ROUNDUP(H203,0),I203)</f>
        <v>54</v>
      </c>
      <c r="O203" s="21"/>
      <c r="P203" s="21" t="n">
        <f aca="false">ROUND(M203*N203,2)</f>
        <v>407.7</v>
      </c>
      <c r="Q203" s="21" t="n">
        <f aca="false">ROUND(P203-IF(O203="",0,O203),2)</f>
        <v>407.7</v>
      </c>
      <c r="R203" s="14" t="str">
        <f aca="false">IF(J203="","MISSING BILL",IF(AND(K203=N203,ABS(L203-M203)&lt;0.001,ABS(O203-P203)&lt;0.01),"RECONCILED","CALCULATION ERROR"))</f>
        <v>MISSING BILL</v>
      </c>
      <c r="S203" s="22" t="s">
        <v>1877</v>
      </c>
    </row>
    <row r="204" customFormat="false" ht="15" hidden="false" customHeight="false" outlineLevel="0" collapsed="false">
      <c r="A204" s="13" t="s">
        <v>655</v>
      </c>
      <c r="B204" s="13" t="s">
        <v>146</v>
      </c>
      <c r="C204" s="13" t="s">
        <v>1872</v>
      </c>
      <c r="D204" s="13" t="s">
        <v>1873</v>
      </c>
      <c r="E204" s="13" t="s">
        <v>2542</v>
      </c>
      <c r="F204" s="14" t="s">
        <v>2543</v>
      </c>
      <c r="G204" s="14" t="s">
        <v>2544</v>
      </c>
      <c r="H204" s="20" t="n">
        <v>47.7</v>
      </c>
      <c r="I204" s="13" t="n">
        <v>24</v>
      </c>
      <c r="J204" s="13"/>
      <c r="K204" s="13"/>
      <c r="L204" s="21"/>
      <c r="M204" s="21" t="n">
        <f aca="false">IF(C204="covered",10.4,7.55)</f>
        <v>7.55</v>
      </c>
      <c r="N204" s="13" t="n">
        <f aca="false">MAX(ROUNDUP(H204,0),I204)</f>
        <v>48</v>
      </c>
      <c r="O204" s="21"/>
      <c r="P204" s="21" t="n">
        <f aca="false">ROUND(M204*N204,2)</f>
        <v>362.4</v>
      </c>
      <c r="Q204" s="21" t="n">
        <f aca="false">ROUND(P204-IF(O204="",0,O204),2)</f>
        <v>362.4</v>
      </c>
      <c r="R204" s="14" t="str">
        <f aca="false">IF(J204="","MISSING BILL",IF(AND(K204=N204,ABS(L204-M204)&lt;0.001,ABS(O204-P204)&lt;0.01),"RECONCILED","CALCULATION ERROR"))</f>
        <v>MISSING BILL</v>
      </c>
      <c r="S204" s="22" t="s">
        <v>1877</v>
      </c>
    </row>
    <row r="205" customFormat="false" ht="15" hidden="false" customHeight="false" outlineLevel="0" collapsed="false">
      <c r="A205" s="13" t="s">
        <v>2545</v>
      </c>
      <c r="B205" s="13" t="s">
        <v>146</v>
      </c>
      <c r="C205" s="13" t="s">
        <v>1872</v>
      </c>
      <c r="D205" s="13" t="s">
        <v>1873</v>
      </c>
      <c r="E205" s="13" t="s">
        <v>384</v>
      </c>
      <c r="F205" s="14" t="s">
        <v>385</v>
      </c>
      <c r="G205" s="14" t="s">
        <v>2546</v>
      </c>
      <c r="H205" s="20" t="n">
        <v>54.9</v>
      </c>
      <c r="I205" s="13" t="n">
        <v>40</v>
      </c>
      <c r="J205" s="13"/>
      <c r="K205" s="13"/>
      <c r="L205" s="21"/>
      <c r="M205" s="21" t="n">
        <f aca="false">IF(C205="covered",10.4,7.55)</f>
        <v>7.55</v>
      </c>
      <c r="N205" s="13" t="n">
        <f aca="false">MAX(ROUNDUP(H205,0),I205)</f>
        <v>55</v>
      </c>
      <c r="O205" s="21"/>
      <c r="P205" s="21" t="n">
        <f aca="false">ROUND(M205*N205,2)</f>
        <v>415.25</v>
      </c>
      <c r="Q205" s="21" t="n">
        <f aca="false">ROUND(P205-IF(O205="",0,O205),2)</f>
        <v>415.25</v>
      </c>
      <c r="R205" s="14" t="str">
        <f aca="false">IF(J205="","MISSING BILL",IF(AND(K205=N205,ABS(L205-M205)&lt;0.001,ABS(O205-P205)&lt;0.01),"RECONCILED","CALCULATION ERROR"))</f>
        <v>MISSING BILL</v>
      </c>
      <c r="S205" s="22" t="s">
        <v>1877</v>
      </c>
    </row>
    <row r="206" customFormat="false" ht="15" hidden="false" customHeight="false" outlineLevel="0" collapsed="false">
      <c r="A206" s="13" t="s">
        <v>285</v>
      </c>
      <c r="B206" s="13" t="s">
        <v>146</v>
      </c>
      <c r="C206" s="13" t="s">
        <v>1872</v>
      </c>
      <c r="D206" s="13" t="s">
        <v>1873</v>
      </c>
      <c r="E206" s="13" t="s">
        <v>2547</v>
      </c>
      <c r="F206" s="14" t="s">
        <v>2548</v>
      </c>
      <c r="G206" s="14" t="s">
        <v>2549</v>
      </c>
      <c r="H206" s="20" t="n">
        <v>57.3</v>
      </c>
      <c r="I206" s="13" t="n">
        <v>45</v>
      </c>
      <c r="J206" s="13"/>
      <c r="K206" s="13"/>
      <c r="L206" s="21"/>
      <c r="M206" s="21" t="n">
        <f aca="false">IF(C206="covered",10.4,7.55)</f>
        <v>7.55</v>
      </c>
      <c r="N206" s="13" t="n">
        <f aca="false">MAX(ROUNDUP(H206,0),I206)</f>
        <v>58</v>
      </c>
      <c r="O206" s="21"/>
      <c r="P206" s="21" t="n">
        <f aca="false">ROUND(M206*N206,2)</f>
        <v>437.9</v>
      </c>
      <c r="Q206" s="21" t="n">
        <f aca="false">ROUND(P206-IF(O206="",0,O206),2)</f>
        <v>437.9</v>
      </c>
      <c r="R206" s="14" t="str">
        <f aca="false">IF(J206="","MISSING BILL",IF(AND(K206=N206,ABS(L206-M206)&lt;0.001,ABS(O206-P206)&lt;0.01),"RECONCILED","CALCULATION ERROR"))</f>
        <v>MISSING BILL</v>
      </c>
      <c r="S206" s="22" t="s">
        <v>1877</v>
      </c>
    </row>
    <row r="207" customFormat="false" ht="15" hidden="false" customHeight="false" outlineLevel="0" collapsed="false">
      <c r="A207" s="13" t="s">
        <v>586</v>
      </c>
      <c r="B207" s="13" t="s">
        <v>146</v>
      </c>
      <c r="C207" s="13" t="s">
        <v>1872</v>
      </c>
      <c r="D207" s="13" t="s">
        <v>1873</v>
      </c>
      <c r="E207" s="13" t="s">
        <v>2550</v>
      </c>
      <c r="F207" s="14" t="s">
        <v>2551</v>
      </c>
      <c r="G207" s="14" t="s">
        <v>2552</v>
      </c>
      <c r="H207" s="20" t="n">
        <v>55.3</v>
      </c>
      <c r="I207" s="13" t="n">
        <v>40</v>
      </c>
      <c r="J207" s="13"/>
      <c r="K207" s="13"/>
      <c r="L207" s="21"/>
      <c r="M207" s="21" t="n">
        <f aca="false">IF(C207="covered",10.4,7.55)</f>
        <v>7.55</v>
      </c>
      <c r="N207" s="13" t="n">
        <f aca="false">MAX(ROUNDUP(H207,0),I207)</f>
        <v>56</v>
      </c>
      <c r="O207" s="21"/>
      <c r="P207" s="21" t="n">
        <f aca="false">ROUND(M207*N207,2)</f>
        <v>422.8</v>
      </c>
      <c r="Q207" s="21" t="n">
        <f aca="false">ROUND(P207-IF(O207="",0,O207),2)</f>
        <v>422.8</v>
      </c>
      <c r="R207" s="14" t="str">
        <f aca="false">IF(J207="","MISSING BILL",IF(AND(K207=N207,ABS(L207-M207)&lt;0.001,ABS(O207-P207)&lt;0.01),"RECONCILED","CALCULATION ERROR"))</f>
        <v>MISSING BILL</v>
      </c>
      <c r="S207" s="22" t="s">
        <v>1877</v>
      </c>
    </row>
    <row r="208" customFormat="false" ht="15" hidden="false" customHeight="false" outlineLevel="0" collapsed="false">
      <c r="A208" s="13" t="s">
        <v>1007</v>
      </c>
      <c r="B208" s="13" t="s">
        <v>146</v>
      </c>
      <c r="C208" s="13" t="s">
        <v>1872</v>
      </c>
      <c r="D208" s="13" t="s">
        <v>1873</v>
      </c>
      <c r="E208" s="13" t="s">
        <v>2553</v>
      </c>
      <c r="F208" s="14" t="s">
        <v>2554</v>
      </c>
      <c r="G208" s="14" t="s">
        <v>2555</v>
      </c>
      <c r="H208" s="20" t="n">
        <v>32.7</v>
      </c>
      <c r="I208" s="13" t="n">
        <v>24</v>
      </c>
      <c r="J208" s="13"/>
      <c r="K208" s="13"/>
      <c r="L208" s="21"/>
      <c r="M208" s="21" t="n">
        <f aca="false">IF(C208="covered",10.4,7.55)</f>
        <v>7.55</v>
      </c>
      <c r="N208" s="13" t="n">
        <f aca="false">MAX(ROUNDUP(H208,0),I208)</f>
        <v>33</v>
      </c>
      <c r="O208" s="21"/>
      <c r="P208" s="21" t="n">
        <f aca="false">ROUND(M208*N208,2)</f>
        <v>249.15</v>
      </c>
      <c r="Q208" s="21" t="n">
        <f aca="false">ROUND(P208-IF(O208="",0,O208),2)</f>
        <v>249.15</v>
      </c>
      <c r="R208" s="14" t="str">
        <f aca="false">IF(J208="","MISSING BILL",IF(AND(K208=N208,ABS(L208-M208)&lt;0.001,ABS(O208-P208)&lt;0.01),"RECONCILED","CALCULATION ERROR"))</f>
        <v>MISSING BILL</v>
      </c>
      <c r="S208" s="22" t="s">
        <v>1877</v>
      </c>
    </row>
    <row r="209" customFormat="false" ht="15" hidden="false" customHeight="false" outlineLevel="0" collapsed="false">
      <c r="A209" s="13" t="s">
        <v>1480</v>
      </c>
      <c r="B209" s="13" t="s">
        <v>146</v>
      </c>
      <c r="C209" s="13" t="s">
        <v>1872</v>
      </c>
      <c r="D209" s="13" t="s">
        <v>1873</v>
      </c>
      <c r="E209" s="13" t="s">
        <v>2556</v>
      </c>
      <c r="F209" s="14" t="s">
        <v>2557</v>
      </c>
      <c r="G209" s="14" t="s">
        <v>2558</v>
      </c>
      <c r="H209" s="20" t="n">
        <v>50.7</v>
      </c>
      <c r="I209" s="13" t="n">
        <v>28</v>
      </c>
      <c r="J209" s="13"/>
      <c r="K209" s="13"/>
      <c r="L209" s="21"/>
      <c r="M209" s="21" t="n">
        <f aca="false">IF(C209="covered",10.4,7.55)</f>
        <v>7.55</v>
      </c>
      <c r="N209" s="13" t="n">
        <f aca="false">MAX(ROUNDUP(H209,0),I209)</f>
        <v>51</v>
      </c>
      <c r="O209" s="21"/>
      <c r="P209" s="21" t="n">
        <f aca="false">ROUND(M209*N209,2)</f>
        <v>385.05</v>
      </c>
      <c r="Q209" s="21" t="n">
        <f aca="false">ROUND(P209-IF(O209="",0,O209),2)</f>
        <v>385.05</v>
      </c>
      <c r="R209" s="14" t="str">
        <f aca="false">IF(J209="","MISSING BILL",IF(AND(K209=N209,ABS(L209-M209)&lt;0.001,ABS(O209-P209)&lt;0.01),"RECONCILED","CALCULATION ERROR"))</f>
        <v>MISSING BILL</v>
      </c>
      <c r="S209" s="22" t="s">
        <v>1877</v>
      </c>
    </row>
    <row r="210" customFormat="false" ht="15" hidden="false" customHeight="false" outlineLevel="0" collapsed="false">
      <c r="A210" s="13" t="s">
        <v>2559</v>
      </c>
      <c r="B210" s="13" t="s">
        <v>146</v>
      </c>
      <c r="C210" s="13" t="s">
        <v>1872</v>
      </c>
      <c r="D210" s="13" t="s">
        <v>1873</v>
      </c>
      <c r="E210" s="13" t="s">
        <v>2560</v>
      </c>
      <c r="F210" s="14" t="s">
        <v>2561</v>
      </c>
      <c r="G210" s="14" t="s">
        <v>2562</v>
      </c>
      <c r="H210" s="20" t="n">
        <v>28.6</v>
      </c>
      <c r="I210" s="13" t="n">
        <v>40</v>
      </c>
      <c r="J210" s="13"/>
      <c r="K210" s="13"/>
      <c r="L210" s="21"/>
      <c r="M210" s="21" t="n">
        <f aca="false">IF(C210="covered",10.4,7.55)</f>
        <v>7.55</v>
      </c>
      <c r="N210" s="13" t="n">
        <f aca="false">MAX(ROUNDUP(H210,0),I210)</f>
        <v>40</v>
      </c>
      <c r="O210" s="21"/>
      <c r="P210" s="21" t="n">
        <f aca="false">ROUND(M210*N210,2)</f>
        <v>302</v>
      </c>
      <c r="Q210" s="21" t="n">
        <f aca="false">ROUND(P210-IF(O210="",0,O210),2)</f>
        <v>302</v>
      </c>
      <c r="R210" s="14" t="str">
        <f aca="false">IF(J210="","MISSING BILL",IF(AND(K210=N210,ABS(L210-M210)&lt;0.001,ABS(O210-P210)&lt;0.01),"RECONCILED","CALCULATION ERROR"))</f>
        <v>MISSING BILL</v>
      </c>
      <c r="S210" s="22" t="s">
        <v>1877</v>
      </c>
    </row>
    <row r="211" customFormat="false" ht="15" hidden="false" customHeight="false" outlineLevel="0" collapsed="false">
      <c r="A211" s="13" t="s">
        <v>1149</v>
      </c>
      <c r="B211" s="13" t="s">
        <v>146</v>
      </c>
      <c r="C211" s="13" t="s">
        <v>1872</v>
      </c>
      <c r="D211" s="13" t="s">
        <v>1873</v>
      </c>
      <c r="E211" s="13" t="s">
        <v>2563</v>
      </c>
      <c r="F211" s="14" t="s">
        <v>2564</v>
      </c>
      <c r="G211" s="14" t="s">
        <v>2402</v>
      </c>
      <c r="H211" s="20" t="n">
        <v>31.4</v>
      </c>
      <c r="I211" s="13" t="n">
        <v>24</v>
      </c>
      <c r="J211" s="13"/>
      <c r="K211" s="13"/>
      <c r="L211" s="21"/>
      <c r="M211" s="21" t="n">
        <f aca="false">IF(C211="covered",10.4,7.55)</f>
        <v>7.55</v>
      </c>
      <c r="N211" s="13" t="n">
        <f aca="false">MAX(ROUNDUP(H211,0),I211)</f>
        <v>32</v>
      </c>
      <c r="O211" s="21"/>
      <c r="P211" s="21" t="n">
        <f aca="false">ROUND(M211*N211,2)</f>
        <v>241.6</v>
      </c>
      <c r="Q211" s="21" t="n">
        <f aca="false">ROUND(P211-IF(O211="",0,O211),2)</f>
        <v>241.6</v>
      </c>
      <c r="R211" s="14" t="str">
        <f aca="false">IF(J211="","MISSING BILL",IF(AND(K211=N211,ABS(L211-M211)&lt;0.001,ABS(O211-P211)&lt;0.01),"RECONCILED","CALCULATION ERROR"))</f>
        <v>MISSING BILL</v>
      </c>
      <c r="S211" s="22" t="s">
        <v>1877</v>
      </c>
    </row>
    <row r="212" customFormat="false" ht="15" hidden="false" customHeight="false" outlineLevel="0" collapsed="false">
      <c r="A212" s="13" t="s">
        <v>1218</v>
      </c>
      <c r="B212" s="13" t="s">
        <v>146</v>
      </c>
      <c r="C212" s="13" t="s">
        <v>1872</v>
      </c>
      <c r="D212" s="13" t="s">
        <v>1873</v>
      </c>
      <c r="E212" s="13" t="s">
        <v>2565</v>
      </c>
      <c r="F212" s="14" t="s">
        <v>2566</v>
      </c>
      <c r="G212" s="14" t="s">
        <v>2567</v>
      </c>
      <c r="H212" s="20" t="n">
        <v>28.3</v>
      </c>
      <c r="I212" s="13" t="n">
        <v>24</v>
      </c>
      <c r="J212" s="13"/>
      <c r="K212" s="13"/>
      <c r="L212" s="21"/>
      <c r="M212" s="21" t="n">
        <f aca="false">IF(C212="covered",10.4,7.55)</f>
        <v>7.55</v>
      </c>
      <c r="N212" s="13" t="n">
        <f aca="false">MAX(ROUNDUP(H212,0),I212)</f>
        <v>29</v>
      </c>
      <c r="O212" s="21"/>
      <c r="P212" s="21" t="n">
        <f aca="false">ROUND(M212*N212,2)</f>
        <v>218.95</v>
      </c>
      <c r="Q212" s="21" t="n">
        <f aca="false">ROUND(P212-IF(O212="",0,O212),2)</f>
        <v>218.95</v>
      </c>
      <c r="R212" s="14" t="str">
        <f aca="false">IF(J212="","MISSING BILL",IF(AND(K212=N212,ABS(L212-M212)&lt;0.001,ABS(O212-P212)&lt;0.01),"RECONCILED","CALCULATION ERROR"))</f>
        <v>MISSING BILL</v>
      </c>
      <c r="S212" s="22" t="s">
        <v>1877</v>
      </c>
    </row>
    <row r="213" customFormat="false" ht="15" hidden="false" customHeight="false" outlineLevel="0" collapsed="false">
      <c r="A213" s="13" t="s">
        <v>2568</v>
      </c>
      <c r="B213" s="13" t="s">
        <v>146</v>
      </c>
      <c r="C213" s="13" t="s">
        <v>1872</v>
      </c>
      <c r="D213" s="13" t="s">
        <v>1873</v>
      </c>
      <c r="E213" s="13" t="s">
        <v>2569</v>
      </c>
      <c r="F213" s="14" t="s">
        <v>2570</v>
      </c>
      <c r="G213" s="14" t="s">
        <v>2571</v>
      </c>
      <c r="H213" s="20" t="n">
        <v>53.3</v>
      </c>
      <c r="I213" s="13" t="n">
        <v>70</v>
      </c>
      <c r="J213" s="13"/>
      <c r="K213" s="13"/>
      <c r="L213" s="21"/>
      <c r="M213" s="21" t="n">
        <f aca="false">IF(C213="covered",10.4,7.55)</f>
        <v>7.55</v>
      </c>
      <c r="N213" s="13" t="n">
        <f aca="false">MAX(ROUNDUP(H213,0),I213)</f>
        <v>70</v>
      </c>
      <c r="O213" s="21"/>
      <c r="P213" s="21" t="n">
        <f aca="false">ROUND(M213*N213,2)</f>
        <v>528.5</v>
      </c>
      <c r="Q213" s="21" t="n">
        <f aca="false">ROUND(P213-IF(O213="",0,O213),2)</f>
        <v>528.5</v>
      </c>
      <c r="R213" s="14" t="str">
        <f aca="false">IF(J213="","MISSING BILL",IF(AND(K213=N213,ABS(L213-M213)&lt;0.001,ABS(O213-P213)&lt;0.01),"RECONCILED","CALCULATION ERROR"))</f>
        <v>MISSING BILL</v>
      </c>
      <c r="S213" s="22" t="s">
        <v>1877</v>
      </c>
    </row>
    <row r="214" customFormat="false" ht="15" hidden="false" customHeight="false" outlineLevel="0" collapsed="false">
      <c r="A214" s="13" t="s">
        <v>2572</v>
      </c>
      <c r="B214" s="13" t="s">
        <v>146</v>
      </c>
      <c r="C214" s="13" t="s">
        <v>1872</v>
      </c>
      <c r="D214" s="13" t="s">
        <v>1873</v>
      </c>
      <c r="E214" s="13" t="s">
        <v>2573</v>
      </c>
      <c r="F214" s="14" t="s">
        <v>2574</v>
      </c>
      <c r="G214" s="14" t="s">
        <v>2575</v>
      </c>
      <c r="H214" s="20" t="n">
        <v>27.8</v>
      </c>
      <c r="I214" s="13" t="n">
        <v>45</v>
      </c>
      <c r="J214" s="13"/>
      <c r="K214" s="13"/>
      <c r="L214" s="21"/>
      <c r="M214" s="21" t="n">
        <f aca="false">IF(C214="covered",10.4,7.55)</f>
        <v>7.55</v>
      </c>
      <c r="N214" s="13" t="n">
        <f aca="false">MAX(ROUNDUP(H214,0),I214)</f>
        <v>45</v>
      </c>
      <c r="O214" s="21"/>
      <c r="P214" s="21" t="n">
        <f aca="false">ROUND(M214*N214,2)</f>
        <v>339.75</v>
      </c>
      <c r="Q214" s="21" t="n">
        <f aca="false">ROUND(P214-IF(O214="",0,O214),2)</f>
        <v>339.75</v>
      </c>
      <c r="R214" s="14" t="str">
        <f aca="false">IF(J214="","MISSING BILL",IF(AND(K214=N214,ABS(L214-M214)&lt;0.001,ABS(O214-P214)&lt;0.01),"RECONCILED","CALCULATION ERROR"))</f>
        <v>MISSING BILL</v>
      </c>
      <c r="S214" s="22" t="s">
        <v>1877</v>
      </c>
    </row>
    <row r="215" customFormat="false" ht="15" hidden="false" customHeight="false" outlineLevel="0" collapsed="false">
      <c r="A215" s="13" t="s">
        <v>2576</v>
      </c>
      <c r="B215" s="13" t="s">
        <v>146</v>
      </c>
      <c r="C215" s="13" t="s">
        <v>1872</v>
      </c>
      <c r="D215" s="13" t="s">
        <v>1873</v>
      </c>
      <c r="E215" s="13" t="s">
        <v>2577</v>
      </c>
      <c r="F215" s="14" t="s">
        <v>2578</v>
      </c>
      <c r="G215" s="14" t="s">
        <v>2579</v>
      </c>
      <c r="H215" s="20" t="n">
        <v>59.1</v>
      </c>
      <c r="I215" s="13" t="n">
        <v>32</v>
      </c>
      <c r="J215" s="13"/>
      <c r="K215" s="13"/>
      <c r="L215" s="21"/>
      <c r="M215" s="21" t="n">
        <f aca="false">IF(C215="covered",10.4,7.55)</f>
        <v>7.55</v>
      </c>
      <c r="N215" s="13" t="n">
        <f aca="false">MAX(ROUNDUP(H215,0),I215)</f>
        <v>60</v>
      </c>
      <c r="O215" s="21"/>
      <c r="P215" s="21" t="n">
        <f aca="false">ROUND(M215*N215,2)</f>
        <v>453</v>
      </c>
      <c r="Q215" s="21" t="n">
        <f aca="false">ROUND(P215-IF(O215="",0,O215),2)</f>
        <v>453</v>
      </c>
      <c r="R215" s="14" t="str">
        <f aca="false">IF(J215="","MISSING BILL",IF(AND(K215=N215,ABS(L215-M215)&lt;0.001,ABS(O215-P215)&lt;0.01),"RECONCILED","CALCULATION ERROR"))</f>
        <v>MISSING BILL</v>
      </c>
      <c r="S215" s="22" t="s">
        <v>1877</v>
      </c>
    </row>
    <row r="216" customFormat="false" ht="15" hidden="false" customHeight="false" outlineLevel="0" collapsed="false">
      <c r="A216" s="13" t="s">
        <v>2580</v>
      </c>
      <c r="B216" s="13" t="s">
        <v>146</v>
      </c>
      <c r="C216" s="13" t="s">
        <v>1872</v>
      </c>
      <c r="D216" s="13" t="s">
        <v>1873</v>
      </c>
      <c r="E216" s="13" t="s">
        <v>2581</v>
      </c>
      <c r="F216" s="14" t="s">
        <v>2582</v>
      </c>
      <c r="G216" s="14" t="s">
        <v>2583</v>
      </c>
      <c r="H216" s="20" t="n">
        <v>41.5</v>
      </c>
      <c r="I216" s="13" t="n">
        <v>28</v>
      </c>
      <c r="J216" s="13"/>
      <c r="K216" s="13"/>
      <c r="L216" s="21"/>
      <c r="M216" s="21" t="n">
        <f aca="false">IF(C216="covered",10.4,7.55)</f>
        <v>7.55</v>
      </c>
      <c r="N216" s="13" t="n">
        <f aca="false">MAX(ROUNDUP(H216,0),I216)</f>
        <v>42</v>
      </c>
      <c r="O216" s="21"/>
      <c r="P216" s="21" t="n">
        <f aca="false">ROUND(M216*N216,2)</f>
        <v>317.1</v>
      </c>
      <c r="Q216" s="21" t="n">
        <f aca="false">ROUND(P216-IF(O216="",0,O216),2)</f>
        <v>317.1</v>
      </c>
      <c r="R216" s="14" t="str">
        <f aca="false">IF(J216="","MISSING BILL",IF(AND(K216=N216,ABS(L216-M216)&lt;0.001,ABS(O216-P216)&lt;0.01),"RECONCILED","CALCULATION ERROR"))</f>
        <v>MISSING BILL</v>
      </c>
      <c r="S216" s="22" t="s">
        <v>1877</v>
      </c>
    </row>
    <row r="217" customFormat="false" ht="15" hidden="false" customHeight="false" outlineLevel="0" collapsed="false">
      <c r="A217" s="13" t="s">
        <v>1720</v>
      </c>
      <c r="B217" s="13" t="s">
        <v>146</v>
      </c>
      <c r="C217" s="13" t="s">
        <v>1872</v>
      </c>
      <c r="D217" s="13" t="s">
        <v>1873</v>
      </c>
      <c r="E217" s="13" t="s">
        <v>2584</v>
      </c>
      <c r="F217" s="14" t="s">
        <v>2585</v>
      </c>
      <c r="G217" s="14" t="s">
        <v>2586</v>
      </c>
      <c r="H217" s="20" t="n">
        <v>41.9</v>
      </c>
      <c r="I217" s="13" t="n">
        <v>28</v>
      </c>
      <c r="J217" s="13"/>
      <c r="K217" s="13"/>
      <c r="L217" s="21"/>
      <c r="M217" s="21" t="n">
        <f aca="false">IF(C217="covered",10.4,7.55)</f>
        <v>7.55</v>
      </c>
      <c r="N217" s="13" t="n">
        <f aca="false">MAX(ROUNDUP(H217,0),I217)</f>
        <v>42</v>
      </c>
      <c r="O217" s="21"/>
      <c r="P217" s="21" t="n">
        <f aca="false">ROUND(M217*N217,2)</f>
        <v>317.1</v>
      </c>
      <c r="Q217" s="21" t="n">
        <f aca="false">ROUND(P217-IF(O217="",0,O217),2)</f>
        <v>317.1</v>
      </c>
      <c r="R217" s="14" t="str">
        <f aca="false">IF(J217="","MISSING BILL",IF(AND(K217=N217,ABS(L217-M217)&lt;0.001,ABS(O217-P217)&lt;0.01),"RECONCILED","CALCULATION ERROR"))</f>
        <v>MISSING BILL</v>
      </c>
      <c r="S217" s="22" t="s">
        <v>1877</v>
      </c>
    </row>
    <row r="218" customFormat="false" ht="15" hidden="false" customHeight="false" outlineLevel="0" collapsed="false">
      <c r="A218" s="13" t="s">
        <v>2587</v>
      </c>
      <c r="B218" s="13" t="s">
        <v>146</v>
      </c>
      <c r="C218" s="13" t="s">
        <v>1872</v>
      </c>
      <c r="D218" s="13" t="s">
        <v>1873</v>
      </c>
      <c r="E218" s="13" t="s">
        <v>2588</v>
      </c>
      <c r="F218" s="14" t="s">
        <v>2589</v>
      </c>
      <c r="G218" s="14" t="s">
        <v>2590</v>
      </c>
      <c r="H218" s="20" t="n">
        <v>38.2</v>
      </c>
      <c r="I218" s="13" t="n">
        <v>45</v>
      </c>
      <c r="J218" s="13"/>
      <c r="K218" s="13"/>
      <c r="L218" s="21"/>
      <c r="M218" s="21" t="n">
        <f aca="false">IF(C218="covered",10.4,7.55)</f>
        <v>7.55</v>
      </c>
      <c r="N218" s="13" t="n">
        <f aca="false">MAX(ROUNDUP(H218,0),I218)</f>
        <v>45</v>
      </c>
      <c r="O218" s="21"/>
      <c r="P218" s="21" t="n">
        <f aca="false">ROUND(M218*N218,2)</f>
        <v>339.75</v>
      </c>
      <c r="Q218" s="21" t="n">
        <f aca="false">ROUND(P218-IF(O218="",0,O218),2)</f>
        <v>339.75</v>
      </c>
      <c r="R218" s="14" t="str">
        <f aca="false">IF(J218="","MISSING BILL",IF(AND(K218=N218,ABS(L218-M218)&lt;0.001,ABS(O218-P218)&lt;0.01),"RECONCILED","CALCULATION ERROR"))</f>
        <v>MISSING BILL</v>
      </c>
      <c r="S218" s="22" t="s">
        <v>1877</v>
      </c>
    </row>
    <row r="219" customFormat="false" ht="15" hidden="false" customHeight="false" outlineLevel="0" collapsed="false">
      <c r="A219" s="13" t="s">
        <v>1581</v>
      </c>
      <c r="B219" s="13" t="s">
        <v>146</v>
      </c>
      <c r="C219" s="13" t="s">
        <v>1872</v>
      </c>
      <c r="D219" s="13" t="s">
        <v>1873</v>
      </c>
      <c r="E219" s="13" t="s">
        <v>2591</v>
      </c>
      <c r="F219" s="14" t="s">
        <v>2592</v>
      </c>
      <c r="G219" s="14" t="s">
        <v>2593</v>
      </c>
      <c r="H219" s="20" t="n">
        <v>48.2</v>
      </c>
      <c r="I219" s="13" t="n">
        <v>32</v>
      </c>
      <c r="J219" s="13"/>
      <c r="K219" s="13"/>
      <c r="L219" s="21"/>
      <c r="M219" s="21" t="n">
        <f aca="false">IF(C219="covered",10.4,7.55)</f>
        <v>7.55</v>
      </c>
      <c r="N219" s="13" t="n">
        <f aca="false">MAX(ROUNDUP(H219,0),I219)</f>
        <v>49</v>
      </c>
      <c r="O219" s="21"/>
      <c r="P219" s="21" t="n">
        <f aca="false">ROUND(M219*N219,2)</f>
        <v>369.95</v>
      </c>
      <c r="Q219" s="21" t="n">
        <f aca="false">ROUND(P219-IF(O219="",0,O219),2)</f>
        <v>369.95</v>
      </c>
      <c r="R219" s="14" t="str">
        <f aca="false">IF(J219="","MISSING BILL",IF(AND(K219=N219,ABS(L219-M219)&lt;0.001,ABS(O219-P219)&lt;0.01),"RECONCILED","CALCULATION ERROR"))</f>
        <v>MISSING BILL</v>
      </c>
      <c r="S219" s="22" t="s">
        <v>1877</v>
      </c>
    </row>
    <row r="220" customFormat="false" ht="15" hidden="false" customHeight="false" outlineLevel="0" collapsed="false">
      <c r="A220" s="13" t="s">
        <v>1314</v>
      </c>
      <c r="B220" s="13" t="s">
        <v>146</v>
      </c>
      <c r="C220" s="13" t="s">
        <v>1872</v>
      </c>
      <c r="D220" s="13" t="s">
        <v>1873</v>
      </c>
      <c r="E220" s="13" t="s">
        <v>2594</v>
      </c>
      <c r="F220" s="14" t="s">
        <v>2595</v>
      </c>
      <c r="G220" s="14" t="s">
        <v>2596</v>
      </c>
      <c r="H220" s="20" t="n">
        <v>61.2</v>
      </c>
      <c r="I220" s="13" t="n">
        <v>32</v>
      </c>
      <c r="J220" s="13"/>
      <c r="K220" s="13"/>
      <c r="L220" s="21"/>
      <c r="M220" s="21" t="n">
        <f aca="false">IF(C220="covered",10.4,7.55)</f>
        <v>7.55</v>
      </c>
      <c r="N220" s="13" t="n">
        <f aca="false">MAX(ROUNDUP(H220,0),I220)</f>
        <v>62</v>
      </c>
      <c r="O220" s="21"/>
      <c r="P220" s="21" t="n">
        <f aca="false">ROUND(M220*N220,2)</f>
        <v>468.1</v>
      </c>
      <c r="Q220" s="21" t="n">
        <f aca="false">ROUND(P220-IF(O220="",0,O220),2)</f>
        <v>468.1</v>
      </c>
      <c r="R220" s="14" t="str">
        <f aca="false">IF(J220="","MISSING BILL",IF(AND(K220=N220,ABS(L220-M220)&lt;0.001,ABS(O220-P220)&lt;0.01),"RECONCILED","CALCULATION ERROR"))</f>
        <v>MISSING BILL</v>
      </c>
      <c r="S220" s="22" t="s">
        <v>1877</v>
      </c>
    </row>
    <row r="221" customFormat="false" ht="15" hidden="false" customHeight="false" outlineLevel="0" collapsed="false">
      <c r="A221" s="13" t="s">
        <v>2597</v>
      </c>
      <c r="B221" s="13" t="s">
        <v>146</v>
      </c>
      <c r="C221" s="13" t="s">
        <v>1872</v>
      </c>
      <c r="D221" s="13" t="s">
        <v>1873</v>
      </c>
      <c r="E221" s="13" t="s">
        <v>2598</v>
      </c>
      <c r="F221" s="14" t="s">
        <v>2599</v>
      </c>
      <c r="G221" s="14" t="s">
        <v>2593</v>
      </c>
      <c r="H221" s="20" t="n">
        <v>48.4</v>
      </c>
      <c r="I221" s="13" t="n">
        <v>60</v>
      </c>
      <c r="J221" s="13"/>
      <c r="K221" s="13"/>
      <c r="L221" s="21"/>
      <c r="M221" s="21" t="n">
        <f aca="false">IF(C221="covered",10.4,7.55)</f>
        <v>7.55</v>
      </c>
      <c r="N221" s="13" t="n">
        <f aca="false">MAX(ROUNDUP(H221,0),I221)</f>
        <v>60</v>
      </c>
      <c r="O221" s="21"/>
      <c r="P221" s="21" t="n">
        <f aca="false">ROUND(M221*N221,2)</f>
        <v>453</v>
      </c>
      <c r="Q221" s="21" t="n">
        <f aca="false">ROUND(P221-IF(O221="",0,O221),2)</f>
        <v>453</v>
      </c>
      <c r="R221" s="14" t="str">
        <f aca="false">IF(J221="","MISSING BILL",IF(AND(K221=N221,ABS(L221-M221)&lt;0.001,ABS(O221-P221)&lt;0.01),"RECONCILED","CALCULATION ERROR"))</f>
        <v>MISSING BILL</v>
      </c>
      <c r="S221" s="22" t="s">
        <v>1877</v>
      </c>
    </row>
    <row r="222" customFormat="false" ht="15" hidden="false" customHeight="false" outlineLevel="0" collapsed="false">
      <c r="A222" s="13" t="s">
        <v>2600</v>
      </c>
      <c r="B222" s="13" t="s">
        <v>146</v>
      </c>
      <c r="C222" s="13" t="s">
        <v>1872</v>
      </c>
      <c r="D222" s="13" t="s">
        <v>1873</v>
      </c>
      <c r="E222" s="13" t="s">
        <v>2601</v>
      </c>
      <c r="F222" s="14" t="s">
        <v>2602</v>
      </c>
      <c r="G222" s="14" t="s">
        <v>2603</v>
      </c>
      <c r="H222" s="20" t="n">
        <v>26.5</v>
      </c>
      <c r="I222" s="13" t="n">
        <v>24</v>
      </c>
      <c r="J222" s="13"/>
      <c r="K222" s="13"/>
      <c r="L222" s="21"/>
      <c r="M222" s="21" t="n">
        <f aca="false">IF(C222="covered",10.4,7.55)</f>
        <v>7.55</v>
      </c>
      <c r="N222" s="13" t="n">
        <f aca="false">MAX(ROUNDUP(H222,0),I222)</f>
        <v>27</v>
      </c>
      <c r="O222" s="21"/>
      <c r="P222" s="21" t="n">
        <f aca="false">ROUND(M222*N222,2)</f>
        <v>203.85</v>
      </c>
      <c r="Q222" s="21" t="n">
        <f aca="false">ROUND(P222-IF(O222="",0,O222),2)</f>
        <v>203.85</v>
      </c>
      <c r="R222" s="14" t="str">
        <f aca="false">IF(J222="","MISSING BILL",IF(AND(K222=N222,ABS(L222-M222)&lt;0.001,ABS(O222-P222)&lt;0.01),"RECONCILED","CALCULATION ERROR"))</f>
        <v>MISSING BILL</v>
      </c>
      <c r="S222" s="22" t="s">
        <v>1877</v>
      </c>
    </row>
    <row r="223" customFormat="false" ht="15" hidden="false" customHeight="false" outlineLevel="0" collapsed="false">
      <c r="A223" s="13" t="s">
        <v>2604</v>
      </c>
      <c r="B223" s="13" t="s">
        <v>146</v>
      </c>
      <c r="C223" s="13" t="s">
        <v>1872</v>
      </c>
      <c r="D223" s="13" t="s">
        <v>1873</v>
      </c>
      <c r="E223" s="13" t="s">
        <v>2605</v>
      </c>
      <c r="F223" s="14" t="s">
        <v>2606</v>
      </c>
      <c r="G223" s="14" t="s">
        <v>2402</v>
      </c>
      <c r="H223" s="20" t="n">
        <v>53.2</v>
      </c>
      <c r="I223" s="13" t="n">
        <v>80</v>
      </c>
      <c r="J223" s="13"/>
      <c r="K223" s="13"/>
      <c r="L223" s="21"/>
      <c r="M223" s="21" t="n">
        <f aca="false">IF(C223="covered",10.4,7.55)</f>
        <v>7.55</v>
      </c>
      <c r="N223" s="13" t="n">
        <f aca="false">MAX(ROUNDUP(H223,0),I223)</f>
        <v>80</v>
      </c>
      <c r="O223" s="21"/>
      <c r="P223" s="21" t="n">
        <f aca="false">ROUND(M223*N223,2)</f>
        <v>604</v>
      </c>
      <c r="Q223" s="21" t="n">
        <f aca="false">ROUND(P223-IF(O223="",0,O223),2)</f>
        <v>604</v>
      </c>
      <c r="R223" s="14" t="str">
        <f aca="false">IF(J223="","MISSING BILL",IF(AND(K223=N223,ABS(L223-M223)&lt;0.001,ABS(O223-P223)&lt;0.01),"RECONCILED","CALCULATION ERROR"))</f>
        <v>MISSING BILL</v>
      </c>
      <c r="S223" s="22" t="s">
        <v>1877</v>
      </c>
    </row>
    <row r="224" customFormat="false" ht="15" hidden="false" customHeight="false" outlineLevel="0" collapsed="false">
      <c r="A224" s="13" t="s">
        <v>2607</v>
      </c>
      <c r="B224" s="13" t="s">
        <v>146</v>
      </c>
      <c r="C224" s="13" t="s">
        <v>1872</v>
      </c>
      <c r="D224" s="13" t="s">
        <v>1873</v>
      </c>
      <c r="E224" s="13" t="s">
        <v>2608</v>
      </c>
      <c r="F224" s="14" t="s">
        <v>2609</v>
      </c>
      <c r="G224" s="14" t="s">
        <v>2610</v>
      </c>
      <c r="H224" s="20" t="n">
        <v>52.5</v>
      </c>
      <c r="I224" s="13" t="n">
        <v>24</v>
      </c>
      <c r="J224" s="13"/>
      <c r="K224" s="13"/>
      <c r="L224" s="21"/>
      <c r="M224" s="21" t="n">
        <f aca="false">IF(C224="covered",10.4,7.55)</f>
        <v>7.55</v>
      </c>
      <c r="N224" s="13" t="n">
        <f aca="false">MAX(ROUNDUP(H224,0),I224)</f>
        <v>53</v>
      </c>
      <c r="O224" s="21"/>
      <c r="P224" s="21" t="n">
        <f aca="false">ROUND(M224*N224,2)</f>
        <v>400.15</v>
      </c>
      <c r="Q224" s="21" t="n">
        <f aca="false">ROUND(P224-IF(O224="",0,O224),2)</f>
        <v>400.15</v>
      </c>
      <c r="R224" s="14" t="str">
        <f aca="false">IF(J224="","MISSING BILL",IF(AND(K224=N224,ABS(L224-M224)&lt;0.001,ABS(O224-P224)&lt;0.01),"RECONCILED","CALCULATION ERROR"))</f>
        <v>MISSING BILL</v>
      </c>
      <c r="S224" s="22" t="s">
        <v>1877</v>
      </c>
    </row>
    <row r="225" customFormat="false" ht="15" hidden="false" customHeight="false" outlineLevel="0" collapsed="false">
      <c r="A225" s="13" t="s">
        <v>2611</v>
      </c>
      <c r="B225" s="13" t="s">
        <v>146</v>
      </c>
      <c r="C225" s="13" t="s">
        <v>1872</v>
      </c>
      <c r="D225" s="13" t="s">
        <v>1873</v>
      </c>
      <c r="E225" s="13" t="s">
        <v>2612</v>
      </c>
      <c r="F225" s="14" t="s">
        <v>2613</v>
      </c>
      <c r="G225" s="14" t="s">
        <v>2614</v>
      </c>
      <c r="H225" s="20" t="n">
        <v>40.6</v>
      </c>
      <c r="I225" s="13" t="n">
        <v>80</v>
      </c>
      <c r="J225" s="13"/>
      <c r="K225" s="13"/>
      <c r="L225" s="21"/>
      <c r="M225" s="21" t="n">
        <f aca="false">IF(C225="covered",10.4,7.55)</f>
        <v>7.55</v>
      </c>
      <c r="N225" s="13" t="n">
        <f aca="false">MAX(ROUNDUP(H225,0),I225)</f>
        <v>80</v>
      </c>
      <c r="O225" s="21"/>
      <c r="P225" s="21" t="n">
        <f aca="false">ROUND(M225*N225,2)</f>
        <v>604</v>
      </c>
      <c r="Q225" s="21" t="n">
        <f aca="false">ROUND(P225-IF(O225="",0,O225),2)</f>
        <v>604</v>
      </c>
      <c r="R225" s="14" t="str">
        <f aca="false">IF(J225="","MISSING BILL",IF(AND(K225=N225,ABS(L225-M225)&lt;0.001,ABS(O225-P225)&lt;0.01),"RECONCILED","CALCULATION ERROR"))</f>
        <v>MISSING BILL</v>
      </c>
      <c r="S225" s="22" t="s">
        <v>1877</v>
      </c>
    </row>
    <row r="226" customFormat="false" ht="15" hidden="false" customHeight="false" outlineLevel="0" collapsed="false">
      <c r="A226" s="13" t="s">
        <v>2615</v>
      </c>
      <c r="B226" s="13" t="s">
        <v>146</v>
      </c>
      <c r="C226" s="13" t="s">
        <v>1872</v>
      </c>
      <c r="D226" s="13" t="s">
        <v>1873</v>
      </c>
      <c r="E226" s="13" t="s">
        <v>2616</v>
      </c>
      <c r="F226" s="14" t="s">
        <v>2617</v>
      </c>
      <c r="G226" s="14" t="s">
        <v>2618</v>
      </c>
      <c r="H226" s="20" t="n">
        <v>37.5</v>
      </c>
      <c r="I226" s="13" t="n">
        <v>45</v>
      </c>
      <c r="J226" s="13"/>
      <c r="K226" s="13"/>
      <c r="L226" s="21"/>
      <c r="M226" s="21" t="n">
        <f aca="false">IF(C226="covered",10.4,7.55)</f>
        <v>7.55</v>
      </c>
      <c r="N226" s="13" t="n">
        <f aca="false">MAX(ROUNDUP(H226,0),I226)</f>
        <v>45</v>
      </c>
      <c r="O226" s="21"/>
      <c r="P226" s="21" t="n">
        <f aca="false">ROUND(M226*N226,2)</f>
        <v>339.75</v>
      </c>
      <c r="Q226" s="21" t="n">
        <f aca="false">ROUND(P226-IF(O226="",0,O226),2)</f>
        <v>339.75</v>
      </c>
      <c r="R226" s="14" t="str">
        <f aca="false">IF(J226="","MISSING BILL",IF(AND(K226=N226,ABS(L226-M226)&lt;0.001,ABS(O226-P226)&lt;0.01),"RECONCILED","CALCULATION ERROR"))</f>
        <v>MISSING BILL</v>
      </c>
      <c r="S226" s="22" t="s">
        <v>1877</v>
      </c>
    </row>
    <row r="227" customFormat="false" ht="15" hidden="false" customHeight="false" outlineLevel="0" collapsed="false">
      <c r="A227" s="13" t="s">
        <v>2619</v>
      </c>
      <c r="B227" s="13" t="s">
        <v>146</v>
      </c>
      <c r="C227" s="13" t="s">
        <v>1872</v>
      </c>
      <c r="D227" s="13" t="s">
        <v>1873</v>
      </c>
      <c r="E227" s="13" t="s">
        <v>2620</v>
      </c>
      <c r="F227" s="14" t="s">
        <v>2621</v>
      </c>
      <c r="G227" s="14" t="s">
        <v>2622</v>
      </c>
      <c r="H227" s="20" t="n">
        <v>54.6</v>
      </c>
      <c r="I227" s="13" t="n">
        <v>70</v>
      </c>
      <c r="J227" s="13"/>
      <c r="K227" s="13"/>
      <c r="L227" s="21"/>
      <c r="M227" s="21" t="n">
        <f aca="false">IF(C227="covered",10.4,7.55)</f>
        <v>7.55</v>
      </c>
      <c r="N227" s="13" t="n">
        <f aca="false">MAX(ROUNDUP(H227,0),I227)</f>
        <v>70</v>
      </c>
      <c r="O227" s="21"/>
      <c r="P227" s="21" t="n">
        <f aca="false">ROUND(M227*N227,2)</f>
        <v>528.5</v>
      </c>
      <c r="Q227" s="21" t="n">
        <f aca="false">ROUND(P227-IF(O227="",0,O227),2)</f>
        <v>528.5</v>
      </c>
      <c r="R227" s="14" t="str">
        <f aca="false">IF(J227="","MISSING BILL",IF(AND(K227=N227,ABS(L227-M227)&lt;0.001,ABS(O227-P227)&lt;0.01),"RECONCILED","CALCULATION ERROR"))</f>
        <v>MISSING BILL</v>
      </c>
      <c r="S227" s="22" t="s">
        <v>1877</v>
      </c>
    </row>
    <row r="228" customFormat="false" ht="15" hidden="false" customHeight="false" outlineLevel="0" collapsed="false">
      <c r="A228" s="13" t="s">
        <v>2623</v>
      </c>
      <c r="B228" s="13" t="s">
        <v>146</v>
      </c>
      <c r="C228" s="13" t="s">
        <v>1872</v>
      </c>
      <c r="D228" s="13" t="s">
        <v>1873</v>
      </c>
      <c r="E228" s="13" t="s">
        <v>2624</v>
      </c>
      <c r="F228" s="14" t="s">
        <v>2625</v>
      </c>
      <c r="G228" s="14" t="s">
        <v>2626</v>
      </c>
      <c r="H228" s="20" t="n">
        <v>46.1</v>
      </c>
      <c r="I228" s="13" t="n">
        <v>80</v>
      </c>
      <c r="J228" s="13"/>
      <c r="K228" s="13"/>
      <c r="L228" s="21"/>
      <c r="M228" s="21" t="n">
        <f aca="false">IF(C228="covered",10.4,7.55)</f>
        <v>7.55</v>
      </c>
      <c r="N228" s="13" t="n">
        <f aca="false">MAX(ROUNDUP(H228,0),I228)</f>
        <v>80</v>
      </c>
      <c r="O228" s="21"/>
      <c r="P228" s="21" t="n">
        <f aca="false">ROUND(M228*N228,2)</f>
        <v>604</v>
      </c>
      <c r="Q228" s="21" t="n">
        <f aca="false">ROUND(P228-IF(O228="",0,O228),2)</f>
        <v>604</v>
      </c>
      <c r="R228" s="14" t="str">
        <f aca="false">IF(J228="","MISSING BILL",IF(AND(K228=N228,ABS(L228-M228)&lt;0.001,ABS(O228-P228)&lt;0.01),"RECONCILED","CALCULATION ERROR"))</f>
        <v>MISSING BILL</v>
      </c>
      <c r="S228" s="22" t="s">
        <v>1877</v>
      </c>
    </row>
    <row r="229" customFormat="false" ht="15" hidden="false" customHeight="false" outlineLevel="0" collapsed="false">
      <c r="A229" s="13" t="s">
        <v>2627</v>
      </c>
      <c r="B229" s="13" t="s">
        <v>146</v>
      </c>
      <c r="C229" s="13" t="s">
        <v>1872</v>
      </c>
      <c r="D229" s="13" t="s">
        <v>1873</v>
      </c>
      <c r="E229" s="13" t="s">
        <v>1075</v>
      </c>
      <c r="F229" s="14" t="s">
        <v>1076</v>
      </c>
      <c r="G229" s="14" t="s">
        <v>2628</v>
      </c>
      <c r="H229" s="20" t="n">
        <v>47.8</v>
      </c>
      <c r="I229" s="13" t="n">
        <v>32</v>
      </c>
      <c r="J229" s="13"/>
      <c r="K229" s="13"/>
      <c r="L229" s="21"/>
      <c r="M229" s="21" t="n">
        <f aca="false">IF(C229="covered",10.4,7.55)</f>
        <v>7.55</v>
      </c>
      <c r="N229" s="13" t="n">
        <f aca="false">MAX(ROUNDUP(H229,0),I229)</f>
        <v>48</v>
      </c>
      <c r="O229" s="21"/>
      <c r="P229" s="21" t="n">
        <f aca="false">ROUND(M229*N229,2)</f>
        <v>362.4</v>
      </c>
      <c r="Q229" s="21" t="n">
        <f aca="false">ROUND(P229-IF(O229="",0,O229),2)</f>
        <v>362.4</v>
      </c>
      <c r="R229" s="14" t="str">
        <f aca="false">IF(J229="","MISSING BILL",IF(AND(K229=N229,ABS(L229-M229)&lt;0.001,ABS(O229-P229)&lt;0.01),"RECONCILED","CALCULATION ERROR"))</f>
        <v>MISSING BILL</v>
      </c>
      <c r="S229" s="22" t="s">
        <v>1877</v>
      </c>
    </row>
    <row r="230" customFormat="false" ht="15" hidden="false" customHeight="false" outlineLevel="0" collapsed="false">
      <c r="A230" s="13" t="s">
        <v>2629</v>
      </c>
      <c r="B230" s="13" t="s">
        <v>146</v>
      </c>
      <c r="C230" s="13" t="s">
        <v>1872</v>
      </c>
      <c r="D230" s="13" t="s">
        <v>1873</v>
      </c>
      <c r="E230" s="13" t="s">
        <v>2630</v>
      </c>
      <c r="F230" s="14" t="s">
        <v>2631</v>
      </c>
      <c r="G230" s="14" t="s">
        <v>2333</v>
      </c>
      <c r="H230" s="20" t="n">
        <v>27.5</v>
      </c>
      <c r="I230" s="13" t="n">
        <v>24</v>
      </c>
      <c r="J230" s="13"/>
      <c r="K230" s="13"/>
      <c r="L230" s="21"/>
      <c r="M230" s="21" t="n">
        <f aca="false">IF(C230="covered",10.4,7.55)</f>
        <v>7.55</v>
      </c>
      <c r="N230" s="13" t="n">
        <f aca="false">MAX(ROUNDUP(H230,0),I230)</f>
        <v>28</v>
      </c>
      <c r="O230" s="21"/>
      <c r="P230" s="21" t="n">
        <f aca="false">ROUND(M230*N230,2)</f>
        <v>211.4</v>
      </c>
      <c r="Q230" s="21" t="n">
        <f aca="false">ROUND(P230-IF(O230="",0,O230),2)</f>
        <v>211.4</v>
      </c>
      <c r="R230" s="14" t="str">
        <f aca="false">IF(J230="","MISSING BILL",IF(AND(K230=N230,ABS(L230-M230)&lt;0.001,ABS(O230-P230)&lt;0.01),"RECONCILED","CALCULATION ERROR"))</f>
        <v>MISSING BILL</v>
      </c>
      <c r="S230" s="22" t="s">
        <v>1877</v>
      </c>
    </row>
    <row r="231" customFormat="false" ht="15" hidden="false" customHeight="false" outlineLevel="0" collapsed="false">
      <c r="A231" s="13" t="s">
        <v>2632</v>
      </c>
      <c r="B231" s="13" t="s">
        <v>146</v>
      </c>
      <c r="C231" s="13" t="s">
        <v>1872</v>
      </c>
      <c r="D231" s="13" t="s">
        <v>1873</v>
      </c>
      <c r="E231" s="13" t="s">
        <v>2633</v>
      </c>
      <c r="F231" s="14" t="s">
        <v>2634</v>
      </c>
      <c r="G231" s="14" t="s">
        <v>2635</v>
      </c>
      <c r="H231" s="20" t="n">
        <v>35.6</v>
      </c>
      <c r="I231" s="13" t="n">
        <v>32</v>
      </c>
      <c r="J231" s="13"/>
      <c r="K231" s="13"/>
      <c r="L231" s="21"/>
      <c r="M231" s="21" t="n">
        <f aca="false">IF(C231="covered",10.4,7.55)</f>
        <v>7.55</v>
      </c>
      <c r="N231" s="13" t="n">
        <f aca="false">MAX(ROUNDUP(H231,0),I231)</f>
        <v>36</v>
      </c>
      <c r="O231" s="21"/>
      <c r="P231" s="21" t="n">
        <f aca="false">ROUND(M231*N231,2)</f>
        <v>271.8</v>
      </c>
      <c r="Q231" s="21" t="n">
        <f aca="false">ROUND(P231-IF(O231="",0,O231),2)</f>
        <v>271.8</v>
      </c>
      <c r="R231" s="14" t="str">
        <f aca="false">IF(J231="","MISSING BILL",IF(AND(K231=N231,ABS(L231-M231)&lt;0.001,ABS(O231-P231)&lt;0.01),"RECONCILED","CALCULATION ERROR"))</f>
        <v>MISSING BILL</v>
      </c>
      <c r="S231" s="22" t="s">
        <v>1877</v>
      </c>
    </row>
    <row r="232" customFormat="false" ht="15" hidden="false" customHeight="false" outlineLevel="0" collapsed="false">
      <c r="A232" s="13" t="s">
        <v>2636</v>
      </c>
      <c r="B232" s="13" t="s">
        <v>146</v>
      </c>
      <c r="C232" s="13" t="s">
        <v>1872</v>
      </c>
      <c r="D232" s="13" t="s">
        <v>1873</v>
      </c>
      <c r="E232" s="13" t="s">
        <v>2637</v>
      </c>
      <c r="F232" s="14" t="s">
        <v>2638</v>
      </c>
      <c r="G232" s="14" t="s">
        <v>2639</v>
      </c>
      <c r="H232" s="20" t="n">
        <v>19.9</v>
      </c>
      <c r="I232" s="13" t="n">
        <v>32</v>
      </c>
      <c r="J232" s="13"/>
      <c r="K232" s="13"/>
      <c r="L232" s="21"/>
      <c r="M232" s="21" t="n">
        <f aca="false">IF(C232="covered",10.4,7.55)</f>
        <v>7.55</v>
      </c>
      <c r="N232" s="13" t="n">
        <f aca="false">MAX(ROUNDUP(H232,0),I232)</f>
        <v>32</v>
      </c>
      <c r="O232" s="21"/>
      <c r="P232" s="21" t="n">
        <f aca="false">ROUND(M232*N232,2)</f>
        <v>241.6</v>
      </c>
      <c r="Q232" s="21" t="n">
        <f aca="false">ROUND(P232-IF(O232="",0,O232),2)</f>
        <v>241.6</v>
      </c>
      <c r="R232" s="14" t="str">
        <f aca="false">IF(J232="","MISSING BILL",IF(AND(K232=N232,ABS(L232-M232)&lt;0.001,ABS(O232-P232)&lt;0.01),"RECONCILED","CALCULATION ERROR"))</f>
        <v>MISSING BILL</v>
      </c>
      <c r="S232" s="22" t="s">
        <v>1877</v>
      </c>
    </row>
    <row r="233" customFormat="false" ht="15" hidden="false" customHeight="false" outlineLevel="0" collapsed="false">
      <c r="A233" s="13" t="s">
        <v>2640</v>
      </c>
      <c r="B233" s="13" t="s">
        <v>146</v>
      </c>
      <c r="C233" s="13" t="s">
        <v>1872</v>
      </c>
      <c r="D233" s="13" t="s">
        <v>1873</v>
      </c>
      <c r="E233" s="13" t="s">
        <v>1029</v>
      </c>
      <c r="F233" s="14" t="s">
        <v>1030</v>
      </c>
      <c r="G233" s="14" t="s">
        <v>2641</v>
      </c>
      <c r="H233" s="20" t="n">
        <v>55.4</v>
      </c>
      <c r="I233" s="13" t="n">
        <v>36</v>
      </c>
      <c r="J233" s="13"/>
      <c r="K233" s="13"/>
      <c r="L233" s="21"/>
      <c r="M233" s="21" t="n">
        <f aca="false">IF(C233="covered",10.4,7.55)</f>
        <v>7.55</v>
      </c>
      <c r="N233" s="13" t="n">
        <f aca="false">MAX(ROUNDUP(H233,0),I233)</f>
        <v>56</v>
      </c>
      <c r="O233" s="21"/>
      <c r="P233" s="21" t="n">
        <f aca="false">ROUND(M233*N233,2)</f>
        <v>422.8</v>
      </c>
      <c r="Q233" s="21" t="n">
        <f aca="false">ROUND(P233-IF(O233="",0,O233),2)</f>
        <v>422.8</v>
      </c>
      <c r="R233" s="14" t="str">
        <f aca="false">IF(J233="","MISSING BILL",IF(AND(K233=N233,ABS(L233-M233)&lt;0.001,ABS(O233-P233)&lt;0.01),"RECONCILED","CALCULATION ERROR"))</f>
        <v>MISSING BILL</v>
      </c>
      <c r="S233" s="22" t="s">
        <v>1877</v>
      </c>
    </row>
    <row r="234" customFormat="false" ht="15" hidden="false" customHeight="false" outlineLevel="0" collapsed="false">
      <c r="A234" s="13" t="s">
        <v>2642</v>
      </c>
      <c r="B234" s="13" t="s">
        <v>146</v>
      </c>
      <c r="C234" s="13" t="s">
        <v>1872</v>
      </c>
      <c r="D234" s="13" t="s">
        <v>1873</v>
      </c>
      <c r="E234" s="13" t="s">
        <v>659</v>
      </c>
      <c r="F234" s="14" t="s">
        <v>660</v>
      </c>
      <c r="G234" s="14" t="s">
        <v>2643</v>
      </c>
      <c r="H234" s="20" t="n">
        <v>52.6</v>
      </c>
      <c r="I234" s="13" t="n">
        <v>45</v>
      </c>
      <c r="J234" s="13"/>
      <c r="K234" s="13"/>
      <c r="L234" s="21"/>
      <c r="M234" s="21" t="n">
        <f aca="false">IF(C234="covered",10.4,7.55)</f>
        <v>7.55</v>
      </c>
      <c r="N234" s="13" t="n">
        <f aca="false">MAX(ROUNDUP(H234,0),I234)</f>
        <v>53</v>
      </c>
      <c r="O234" s="21"/>
      <c r="P234" s="21" t="n">
        <f aca="false">ROUND(M234*N234,2)</f>
        <v>400.15</v>
      </c>
      <c r="Q234" s="21" t="n">
        <f aca="false">ROUND(P234-IF(O234="",0,O234),2)</f>
        <v>400.15</v>
      </c>
      <c r="R234" s="14" t="str">
        <f aca="false">IF(J234="","MISSING BILL",IF(AND(K234=N234,ABS(L234-M234)&lt;0.001,ABS(O234-P234)&lt;0.01),"RECONCILED","CALCULATION ERROR"))</f>
        <v>MISSING BILL</v>
      </c>
      <c r="S234" s="22" t="s">
        <v>1877</v>
      </c>
    </row>
    <row r="235" customFormat="false" ht="15" hidden="false" customHeight="false" outlineLevel="0" collapsed="false">
      <c r="A235" s="13" t="s">
        <v>2644</v>
      </c>
      <c r="B235" s="13" t="s">
        <v>146</v>
      </c>
      <c r="C235" s="13" t="s">
        <v>1872</v>
      </c>
      <c r="D235" s="13" t="s">
        <v>1873</v>
      </c>
      <c r="E235" s="13" t="s">
        <v>2645</v>
      </c>
      <c r="F235" s="14" t="s">
        <v>2646</v>
      </c>
      <c r="G235" s="14" t="s">
        <v>2647</v>
      </c>
      <c r="H235" s="20" t="n">
        <v>20.1</v>
      </c>
      <c r="I235" s="13" t="n">
        <v>45</v>
      </c>
      <c r="J235" s="13"/>
      <c r="K235" s="13"/>
      <c r="L235" s="21"/>
      <c r="M235" s="21" t="n">
        <f aca="false">IF(C235="covered",10.4,7.55)</f>
        <v>7.55</v>
      </c>
      <c r="N235" s="13" t="n">
        <f aca="false">MAX(ROUNDUP(H235,0),I235)</f>
        <v>45</v>
      </c>
      <c r="O235" s="21"/>
      <c r="P235" s="21" t="n">
        <f aca="false">ROUND(M235*N235,2)</f>
        <v>339.75</v>
      </c>
      <c r="Q235" s="21" t="n">
        <f aca="false">ROUND(P235-IF(O235="",0,O235),2)</f>
        <v>339.75</v>
      </c>
      <c r="R235" s="14" t="str">
        <f aca="false">IF(J235="","MISSING BILL",IF(AND(K235=N235,ABS(L235-M235)&lt;0.001,ABS(O235-P235)&lt;0.01),"RECONCILED","CALCULATION ERROR"))</f>
        <v>MISSING BILL</v>
      </c>
      <c r="S235" s="22" t="s">
        <v>1877</v>
      </c>
    </row>
    <row r="236" customFormat="false" ht="15" hidden="false" customHeight="false" outlineLevel="0" collapsed="false">
      <c r="A236" s="13" t="s">
        <v>2648</v>
      </c>
      <c r="B236" s="13" t="s">
        <v>146</v>
      </c>
      <c r="C236" s="13" t="s">
        <v>1872</v>
      </c>
      <c r="D236" s="13" t="s">
        <v>1873</v>
      </c>
      <c r="E236" s="13" t="s">
        <v>2649</v>
      </c>
      <c r="F236" s="14" t="s">
        <v>2650</v>
      </c>
      <c r="G236" s="14" t="s">
        <v>1923</v>
      </c>
      <c r="H236" s="20" t="n">
        <v>22.8</v>
      </c>
      <c r="I236" s="13" t="n">
        <v>40</v>
      </c>
      <c r="J236" s="13"/>
      <c r="K236" s="13"/>
      <c r="L236" s="21"/>
      <c r="M236" s="21" t="n">
        <f aca="false">IF(C236="covered",10.4,7.55)</f>
        <v>7.55</v>
      </c>
      <c r="N236" s="13" t="n">
        <f aca="false">MAX(ROUNDUP(H236,0),I236)</f>
        <v>40</v>
      </c>
      <c r="O236" s="21"/>
      <c r="P236" s="21" t="n">
        <f aca="false">ROUND(M236*N236,2)</f>
        <v>302</v>
      </c>
      <c r="Q236" s="21" t="n">
        <f aca="false">ROUND(P236-IF(O236="",0,O236),2)</f>
        <v>302</v>
      </c>
      <c r="R236" s="14" t="str">
        <f aca="false">IF(J236="","MISSING BILL",IF(AND(K236=N236,ABS(L236-M236)&lt;0.001,ABS(O236-P236)&lt;0.01),"RECONCILED","CALCULATION ERROR"))</f>
        <v>MISSING BILL</v>
      </c>
      <c r="S236" s="22" t="s">
        <v>1877</v>
      </c>
    </row>
    <row r="237" customFormat="false" ht="15" hidden="false" customHeight="false" outlineLevel="0" collapsed="false">
      <c r="A237" s="13" t="s">
        <v>2651</v>
      </c>
      <c r="B237" s="13" t="s">
        <v>146</v>
      </c>
      <c r="C237" s="13" t="s">
        <v>1872</v>
      </c>
      <c r="D237" s="13" t="s">
        <v>1873</v>
      </c>
      <c r="E237" s="13" t="s">
        <v>2652</v>
      </c>
      <c r="F237" s="14" t="s">
        <v>2653</v>
      </c>
      <c r="G237" s="14" t="s">
        <v>2654</v>
      </c>
      <c r="H237" s="20" t="n">
        <v>36.4</v>
      </c>
      <c r="I237" s="13" t="n">
        <v>60</v>
      </c>
      <c r="J237" s="13"/>
      <c r="K237" s="13"/>
      <c r="L237" s="21"/>
      <c r="M237" s="21" t="n">
        <f aca="false">IF(C237="covered",10.4,7.55)</f>
        <v>7.55</v>
      </c>
      <c r="N237" s="13" t="n">
        <f aca="false">MAX(ROUNDUP(H237,0),I237)</f>
        <v>60</v>
      </c>
      <c r="O237" s="21"/>
      <c r="P237" s="21" t="n">
        <f aca="false">ROUND(M237*N237,2)</f>
        <v>453</v>
      </c>
      <c r="Q237" s="21" t="n">
        <f aca="false">ROUND(P237-IF(O237="",0,O237),2)</f>
        <v>453</v>
      </c>
      <c r="R237" s="14" t="str">
        <f aca="false">IF(J237="","MISSING BILL",IF(AND(K237=N237,ABS(L237-M237)&lt;0.001,ABS(O237-P237)&lt;0.01),"RECONCILED","CALCULATION ERROR"))</f>
        <v>MISSING BILL</v>
      </c>
      <c r="S237" s="22" t="s">
        <v>1877</v>
      </c>
    </row>
    <row r="238" customFormat="false" ht="15" hidden="false" customHeight="false" outlineLevel="0" collapsed="false">
      <c r="A238" s="13" t="s">
        <v>2655</v>
      </c>
      <c r="B238" s="13" t="s">
        <v>146</v>
      </c>
      <c r="C238" s="13" t="s">
        <v>1872</v>
      </c>
      <c r="D238" s="13" t="s">
        <v>1873</v>
      </c>
      <c r="E238" s="13" t="s">
        <v>2656</v>
      </c>
      <c r="F238" s="14" t="s">
        <v>2657</v>
      </c>
      <c r="G238" s="14" t="s">
        <v>2658</v>
      </c>
      <c r="H238" s="20" t="n">
        <v>24.9</v>
      </c>
      <c r="I238" s="13" t="n">
        <v>45</v>
      </c>
      <c r="J238" s="13"/>
      <c r="K238" s="13"/>
      <c r="L238" s="21"/>
      <c r="M238" s="21" t="n">
        <f aca="false">IF(C238="covered",10.4,7.55)</f>
        <v>7.55</v>
      </c>
      <c r="N238" s="13" t="n">
        <f aca="false">MAX(ROUNDUP(H238,0),I238)</f>
        <v>45</v>
      </c>
      <c r="O238" s="21"/>
      <c r="P238" s="21" t="n">
        <f aca="false">ROUND(M238*N238,2)</f>
        <v>339.75</v>
      </c>
      <c r="Q238" s="21" t="n">
        <f aca="false">ROUND(P238-IF(O238="",0,O238),2)</f>
        <v>339.75</v>
      </c>
      <c r="R238" s="14" t="str">
        <f aca="false">IF(J238="","MISSING BILL",IF(AND(K238=N238,ABS(L238-M238)&lt;0.001,ABS(O238-P238)&lt;0.01),"RECONCILED","CALCULATION ERROR"))</f>
        <v>MISSING BILL</v>
      </c>
      <c r="S238" s="22" t="s">
        <v>1877</v>
      </c>
    </row>
    <row r="239" customFormat="false" ht="15" hidden="false" customHeight="false" outlineLevel="0" collapsed="false">
      <c r="A239" s="13" t="s">
        <v>2659</v>
      </c>
      <c r="B239" s="13" t="s">
        <v>146</v>
      </c>
      <c r="C239" s="13" t="s">
        <v>1872</v>
      </c>
      <c r="D239" s="13" t="s">
        <v>1873</v>
      </c>
      <c r="E239" s="13" t="s">
        <v>2660</v>
      </c>
      <c r="F239" s="14" t="s">
        <v>2661</v>
      </c>
      <c r="G239" s="14" t="s">
        <v>2662</v>
      </c>
      <c r="H239" s="20" t="n">
        <v>25.7</v>
      </c>
      <c r="I239" s="13" t="n">
        <v>45</v>
      </c>
      <c r="J239" s="13"/>
      <c r="K239" s="13"/>
      <c r="L239" s="21"/>
      <c r="M239" s="21" t="n">
        <f aca="false">IF(C239="covered",10.4,7.55)</f>
        <v>7.55</v>
      </c>
      <c r="N239" s="13" t="n">
        <f aca="false">MAX(ROUNDUP(H239,0),I239)</f>
        <v>45</v>
      </c>
      <c r="O239" s="21"/>
      <c r="P239" s="21" t="n">
        <f aca="false">ROUND(M239*N239,2)</f>
        <v>339.75</v>
      </c>
      <c r="Q239" s="21" t="n">
        <f aca="false">ROUND(P239-IF(O239="",0,O239),2)</f>
        <v>339.75</v>
      </c>
      <c r="R239" s="14" t="str">
        <f aca="false">IF(J239="","MISSING BILL",IF(AND(K239=N239,ABS(L239-M239)&lt;0.001,ABS(O239-P239)&lt;0.01),"RECONCILED","CALCULATION ERROR"))</f>
        <v>MISSING BILL</v>
      </c>
      <c r="S239" s="22" t="s">
        <v>1877</v>
      </c>
    </row>
    <row r="240" customFormat="false" ht="15" hidden="false" customHeight="false" outlineLevel="0" collapsed="false">
      <c r="A240" s="13" t="s">
        <v>2663</v>
      </c>
      <c r="B240" s="13" t="s">
        <v>146</v>
      </c>
      <c r="C240" s="13" t="s">
        <v>1872</v>
      </c>
      <c r="D240" s="13" t="s">
        <v>1873</v>
      </c>
      <c r="E240" s="13" t="s">
        <v>2664</v>
      </c>
      <c r="F240" s="14" t="s">
        <v>2665</v>
      </c>
      <c r="G240" s="14" t="s">
        <v>2091</v>
      </c>
      <c r="H240" s="20" t="n">
        <v>54.6</v>
      </c>
      <c r="I240" s="13" t="n">
        <v>28</v>
      </c>
      <c r="J240" s="13"/>
      <c r="K240" s="13"/>
      <c r="L240" s="21"/>
      <c r="M240" s="21" t="n">
        <f aca="false">IF(C240="covered",10.4,7.55)</f>
        <v>7.55</v>
      </c>
      <c r="N240" s="13" t="n">
        <f aca="false">MAX(ROUNDUP(H240,0),I240)</f>
        <v>55</v>
      </c>
      <c r="O240" s="21"/>
      <c r="P240" s="21" t="n">
        <f aca="false">ROUND(M240*N240,2)</f>
        <v>415.25</v>
      </c>
      <c r="Q240" s="21" t="n">
        <f aca="false">ROUND(P240-IF(O240="",0,O240),2)</f>
        <v>415.25</v>
      </c>
      <c r="R240" s="14" t="str">
        <f aca="false">IF(J240="","MISSING BILL",IF(AND(K240=N240,ABS(L240-M240)&lt;0.001,ABS(O240-P240)&lt;0.01),"RECONCILED","CALCULATION ERROR"))</f>
        <v>MISSING BILL</v>
      </c>
      <c r="S240" s="22" t="s">
        <v>1877</v>
      </c>
    </row>
    <row r="241" customFormat="false" ht="15" hidden="false" customHeight="false" outlineLevel="0" collapsed="false">
      <c r="A241" s="13" t="s">
        <v>2666</v>
      </c>
      <c r="B241" s="13" t="s">
        <v>146</v>
      </c>
      <c r="C241" s="13" t="s">
        <v>1872</v>
      </c>
      <c r="D241" s="13" t="s">
        <v>1873</v>
      </c>
      <c r="E241" s="13" t="s">
        <v>2667</v>
      </c>
      <c r="F241" s="14" t="s">
        <v>2668</v>
      </c>
      <c r="G241" s="14" t="s">
        <v>2669</v>
      </c>
      <c r="H241" s="20" t="n">
        <v>31.6</v>
      </c>
      <c r="I241" s="13" t="n">
        <v>40</v>
      </c>
      <c r="J241" s="13"/>
      <c r="K241" s="13"/>
      <c r="L241" s="21"/>
      <c r="M241" s="21" t="n">
        <f aca="false">IF(C241="covered",10.4,7.55)</f>
        <v>7.55</v>
      </c>
      <c r="N241" s="13" t="n">
        <f aca="false">MAX(ROUNDUP(H241,0),I241)</f>
        <v>40</v>
      </c>
      <c r="O241" s="21"/>
      <c r="P241" s="21" t="n">
        <f aca="false">ROUND(M241*N241,2)</f>
        <v>302</v>
      </c>
      <c r="Q241" s="21" t="n">
        <f aca="false">ROUND(P241-IF(O241="",0,O241),2)</f>
        <v>302</v>
      </c>
      <c r="R241" s="14" t="str">
        <f aca="false">IF(J241="","MISSING BILL",IF(AND(K241=N241,ABS(L241-M241)&lt;0.001,ABS(O241-P241)&lt;0.01),"RECONCILED","CALCULATION ERROR"))</f>
        <v>MISSING BILL</v>
      </c>
      <c r="S241" s="22" t="s">
        <v>1877</v>
      </c>
    </row>
    <row r="242" customFormat="false" ht="15" hidden="false" customHeight="false" outlineLevel="0" collapsed="false">
      <c r="A242" s="13" t="s">
        <v>2670</v>
      </c>
      <c r="B242" s="13" t="s">
        <v>146</v>
      </c>
      <c r="C242" s="13" t="s">
        <v>1872</v>
      </c>
      <c r="D242" s="13" t="s">
        <v>1873</v>
      </c>
      <c r="E242" s="13" t="s">
        <v>2671</v>
      </c>
      <c r="F242" s="14" t="s">
        <v>2672</v>
      </c>
      <c r="G242" s="14" t="s">
        <v>2079</v>
      </c>
      <c r="H242" s="20" t="n">
        <v>47.2</v>
      </c>
      <c r="I242" s="13" t="n">
        <v>32</v>
      </c>
      <c r="J242" s="13"/>
      <c r="K242" s="13"/>
      <c r="L242" s="21"/>
      <c r="M242" s="21" t="n">
        <f aca="false">IF(C242="covered",10.4,7.55)</f>
        <v>7.55</v>
      </c>
      <c r="N242" s="13" t="n">
        <f aca="false">MAX(ROUNDUP(H242,0),I242)</f>
        <v>48</v>
      </c>
      <c r="O242" s="21"/>
      <c r="P242" s="21" t="n">
        <f aca="false">ROUND(M242*N242,2)</f>
        <v>362.4</v>
      </c>
      <c r="Q242" s="21" t="n">
        <f aca="false">ROUND(P242-IF(O242="",0,O242),2)</f>
        <v>362.4</v>
      </c>
      <c r="R242" s="14" t="str">
        <f aca="false">IF(J242="","MISSING BILL",IF(AND(K242=N242,ABS(L242-M242)&lt;0.001,ABS(O242-P242)&lt;0.01),"RECONCILED","CALCULATION ERROR"))</f>
        <v>MISSING BILL</v>
      </c>
      <c r="S242" s="22" t="s">
        <v>1877</v>
      </c>
    </row>
    <row r="243" customFormat="false" ht="15" hidden="false" customHeight="false" outlineLevel="0" collapsed="false">
      <c r="A243" s="13" t="s">
        <v>2673</v>
      </c>
      <c r="B243" s="13" t="s">
        <v>146</v>
      </c>
      <c r="C243" s="13" t="s">
        <v>1872</v>
      </c>
      <c r="D243" s="13" t="s">
        <v>1873</v>
      </c>
      <c r="E243" s="13" t="s">
        <v>2674</v>
      </c>
      <c r="F243" s="14" t="s">
        <v>2675</v>
      </c>
      <c r="G243" s="14" t="s">
        <v>2676</v>
      </c>
      <c r="H243" s="20" t="n">
        <v>40.4</v>
      </c>
      <c r="I243" s="13" t="n">
        <v>24</v>
      </c>
      <c r="J243" s="13"/>
      <c r="K243" s="13"/>
      <c r="L243" s="21"/>
      <c r="M243" s="21" t="n">
        <f aca="false">IF(C243="covered",10.4,7.55)</f>
        <v>7.55</v>
      </c>
      <c r="N243" s="13" t="n">
        <f aca="false">MAX(ROUNDUP(H243,0),I243)</f>
        <v>41</v>
      </c>
      <c r="O243" s="21"/>
      <c r="P243" s="21" t="n">
        <f aca="false">ROUND(M243*N243,2)</f>
        <v>309.55</v>
      </c>
      <c r="Q243" s="21" t="n">
        <f aca="false">ROUND(P243-IF(O243="",0,O243),2)</f>
        <v>309.55</v>
      </c>
      <c r="R243" s="14" t="str">
        <f aca="false">IF(J243="","MISSING BILL",IF(AND(K243=N243,ABS(L243-M243)&lt;0.001,ABS(O243-P243)&lt;0.01),"RECONCILED","CALCULATION ERROR"))</f>
        <v>MISSING BILL</v>
      </c>
      <c r="S243" s="22" t="s">
        <v>1877</v>
      </c>
    </row>
    <row r="244" customFormat="false" ht="15" hidden="false" customHeight="false" outlineLevel="0" collapsed="false">
      <c r="A244" s="13" t="s">
        <v>697</v>
      </c>
      <c r="B244" s="13" t="s">
        <v>146</v>
      </c>
      <c r="C244" s="13" t="s">
        <v>1872</v>
      </c>
      <c r="D244" s="13" t="s">
        <v>1873</v>
      </c>
      <c r="E244" s="13" t="s">
        <v>2677</v>
      </c>
      <c r="F244" s="14" t="s">
        <v>2678</v>
      </c>
      <c r="G244" s="14" t="s">
        <v>2679</v>
      </c>
      <c r="H244" s="20" t="n">
        <v>34.5</v>
      </c>
      <c r="I244" s="13" t="n">
        <v>24</v>
      </c>
      <c r="J244" s="13"/>
      <c r="K244" s="13"/>
      <c r="L244" s="21"/>
      <c r="M244" s="21" t="n">
        <f aca="false">IF(C244="covered",10.4,7.55)</f>
        <v>7.55</v>
      </c>
      <c r="N244" s="13" t="n">
        <f aca="false">MAX(ROUNDUP(H244,0),I244)</f>
        <v>35</v>
      </c>
      <c r="O244" s="21"/>
      <c r="P244" s="21" t="n">
        <f aca="false">ROUND(M244*N244,2)</f>
        <v>264.25</v>
      </c>
      <c r="Q244" s="21" t="n">
        <f aca="false">ROUND(P244-IF(O244="",0,O244),2)</f>
        <v>264.25</v>
      </c>
      <c r="R244" s="14" t="str">
        <f aca="false">IF(J244="","MISSING BILL",IF(AND(K244=N244,ABS(L244-M244)&lt;0.001,ABS(O244-P244)&lt;0.01),"RECONCILED","CALCULATION ERROR"))</f>
        <v>MISSING BILL</v>
      </c>
      <c r="S244" s="22" t="s">
        <v>1877</v>
      </c>
    </row>
    <row r="245" customFormat="false" ht="15" hidden="false" customHeight="false" outlineLevel="0" collapsed="false">
      <c r="A245" s="13" t="s">
        <v>368</v>
      </c>
      <c r="B245" s="13" t="s">
        <v>146</v>
      </c>
      <c r="C245" s="13" t="s">
        <v>1872</v>
      </c>
      <c r="D245" s="13" t="s">
        <v>1873</v>
      </c>
      <c r="E245" s="13" t="s">
        <v>596</v>
      </c>
      <c r="F245" s="14" t="s">
        <v>597</v>
      </c>
      <c r="G245" s="14" t="s">
        <v>2680</v>
      </c>
      <c r="H245" s="20" t="n">
        <v>52.7</v>
      </c>
      <c r="I245" s="13" t="n">
        <v>40</v>
      </c>
      <c r="J245" s="13"/>
      <c r="K245" s="13"/>
      <c r="L245" s="21"/>
      <c r="M245" s="21" t="n">
        <f aca="false">IF(C245="covered",10.4,7.55)</f>
        <v>7.55</v>
      </c>
      <c r="N245" s="13" t="n">
        <f aca="false">MAX(ROUNDUP(H245,0),I245)</f>
        <v>53</v>
      </c>
      <c r="O245" s="21"/>
      <c r="P245" s="21" t="n">
        <f aca="false">ROUND(M245*N245,2)</f>
        <v>400.15</v>
      </c>
      <c r="Q245" s="21" t="n">
        <f aca="false">ROUND(P245-IF(O245="",0,O245),2)</f>
        <v>400.15</v>
      </c>
      <c r="R245" s="14" t="str">
        <f aca="false">IF(J245="","MISSING BILL",IF(AND(K245=N245,ABS(L245-M245)&lt;0.001,ABS(O245-P245)&lt;0.01),"RECONCILED","CALCULATION ERROR"))</f>
        <v>MISSING BILL</v>
      </c>
      <c r="S245" s="22" t="s">
        <v>1877</v>
      </c>
    </row>
    <row r="246" customFormat="false" ht="15" hidden="false" customHeight="false" outlineLevel="0" collapsed="false">
      <c r="A246" s="13" t="s">
        <v>1059</v>
      </c>
      <c r="B246" s="13" t="s">
        <v>146</v>
      </c>
      <c r="C246" s="13" t="s">
        <v>1872</v>
      </c>
      <c r="D246" s="13" t="s">
        <v>1873</v>
      </c>
      <c r="E246" s="13" t="s">
        <v>2681</v>
      </c>
      <c r="F246" s="14" t="s">
        <v>2682</v>
      </c>
      <c r="G246" s="14" t="s">
        <v>2321</v>
      </c>
      <c r="H246" s="20" t="n">
        <v>33.2</v>
      </c>
      <c r="I246" s="13" t="n">
        <v>32</v>
      </c>
      <c r="J246" s="13"/>
      <c r="K246" s="13"/>
      <c r="L246" s="21"/>
      <c r="M246" s="21" t="n">
        <f aca="false">IF(C246="covered",10.4,7.55)</f>
        <v>7.55</v>
      </c>
      <c r="N246" s="13" t="n">
        <f aca="false">MAX(ROUNDUP(H246,0),I246)</f>
        <v>34</v>
      </c>
      <c r="O246" s="21"/>
      <c r="P246" s="21" t="n">
        <f aca="false">ROUND(M246*N246,2)</f>
        <v>256.7</v>
      </c>
      <c r="Q246" s="21" t="n">
        <f aca="false">ROUND(P246-IF(O246="",0,O246),2)</f>
        <v>256.7</v>
      </c>
      <c r="R246" s="14" t="str">
        <f aca="false">IF(J246="","MISSING BILL",IF(AND(K246=N246,ABS(L246-M246)&lt;0.001,ABS(O246-P246)&lt;0.01),"RECONCILED","CALCULATION ERROR"))</f>
        <v>MISSING BILL</v>
      </c>
      <c r="S246" s="22" t="s">
        <v>1877</v>
      </c>
    </row>
    <row r="247" customFormat="false" ht="15" hidden="false" customHeight="false" outlineLevel="0" collapsed="false">
      <c r="A247" s="13" t="s">
        <v>2683</v>
      </c>
      <c r="B247" s="13" t="s">
        <v>146</v>
      </c>
      <c r="C247" s="13" t="s">
        <v>1872</v>
      </c>
      <c r="D247" s="13" t="s">
        <v>1873</v>
      </c>
      <c r="E247" s="13" t="s">
        <v>1765</v>
      </c>
      <c r="F247" s="14" t="s">
        <v>1766</v>
      </c>
      <c r="G247" s="14" t="s">
        <v>2684</v>
      </c>
      <c r="H247" s="20" t="n">
        <v>21</v>
      </c>
      <c r="I247" s="13" t="n">
        <v>80</v>
      </c>
      <c r="J247" s="13"/>
      <c r="K247" s="13"/>
      <c r="L247" s="21"/>
      <c r="M247" s="21" t="n">
        <f aca="false">IF(C247="covered",10.4,7.55)</f>
        <v>7.55</v>
      </c>
      <c r="N247" s="13" t="n">
        <f aca="false">MAX(ROUNDUP(H247,0),I247)</f>
        <v>80</v>
      </c>
      <c r="O247" s="21"/>
      <c r="P247" s="21" t="n">
        <f aca="false">ROUND(M247*N247,2)</f>
        <v>604</v>
      </c>
      <c r="Q247" s="21" t="n">
        <f aca="false">ROUND(P247-IF(O247="",0,O247),2)</f>
        <v>604</v>
      </c>
      <c r="R247" s="14" t="str">
        <f aca="false">IF(J247="","MISSING BILL",IF(AND(K247=N247,ABS(L247-M247)&lt;0.001,ABS(O247-P247)&lt;0.01),"RECONCILED","CALCULATION ERROR"))</f>
        <v>MISSING BILL</v>
      </c>
      <c r="S247" s="22" t="s">
        <v>1877</v>
      </c>
    </row>
    <row r="248" customFormat="false" ht="15" hidden="false" customHeight="false" outlineLevel="0" collapsed="false">
      <c r="A248" s="13" t="s">
        <v>2685</v>
      </c>
      <c r="B248" s="13" t="s">
        <v>146</v>
      </c>
      <c r="C248" s="13" t="s">
        <v>1872</v>
      </c>
      <c r="D248" s="13" t="s">
        <v>1873</v>
      </c>
      <c r="E248" s="13" t="s">
        <v>2686</v>
      </c>
      <c r="F248" s="14" t="s">
        <v>2687</v>
      </c>
      <c r="G248" s="14" t="s">
        <v>2053</v>
      </c>
      <c r="H248" s="20" t="n">
        <v>41.9</v>
      </c>
      <c r="I248" s="13" t="n">
        <v>24</v>
      </c>
      <c r="J248" s="13"/>
      <c r="K248" s="13"/>
      <c r="L248" s="21"/>
      <c r="M248" s="21" t="n">
        <f aca="false">IF(C248="covered",10.4,7.55)</f>
        <v>7.55</v>
      </c>
      <c r="N248" s="13" t="n">
        <f aca="false">MAX(ROUNDUP(H248,0),I248)</f>
        <v>42</v>
      </c>
      <c r="O248" s="21"/>
      <c r="P248" s="21" t="n">
        <f aca="false">ROUND(M248*N248,2)</f>
        <v>317.1</v>
      </c>
      <c r="Q248" s="21" t="n">
        <f aca="false">ROUND(P248-IF(O248="",0,O248),2)</f>
        <v>317.1</v>
      </c>
      <c r="R248" s="14" t="str">
        <f aca="false">IF(J248="","MISSING BILL",IF(AND(K248=N248,ABS(L248-M248)&lt;0.001,ABS(O248-P248)&lt;0.01),"RECONCILED","CALCULATION ERROR"))</f>
        <v>MISSING BILL</v>
      </c>
      <c r="S248" s="22" t="s">
        <v>1877</v>
      </c>
    </row>
    <row r="249" customFormat="false" ht="15" hidden="false" customHeight="false" outlineLevel="0" collapsed="false">
      <c r="A249" s="13" t="s">
        <v>2688</v>
      </c>
      <c r="B249" s="13" t="s">
        <v>146</v>
      </c>
      <c r="C249" s="13" t="s">
        <v>1872</v>
      </c>
      <c r="D249" s="13" t="s">
        <v>1873</v>
      </c>
      <c r="E249" s="13" t="s">
        <v>2689</v>
      </c>
      <c r="F249" s="14" t="s">
        <v>2690</v>
      </c>
      <c r="G249" s="14" t="s">
        <v>2179</v>
      </c>
      <c r="H249" s="20" t="n">
        <v>47.1</v>
      </c>
      <c r="I249" s="13" t="n">
        <v>80</v>
      </c>
      <c r="J249" s="13"/>
      <c r="K249" s="13"/>
      <c r="L249" s="21"/>
      <c r="M249" s="21" t="n">
        <f aca="false">IF(C249="covered",10.4,7.55)</f>
        <v>7.55</v>
      </c>
      <c r="N249" s="13" t="n">
        <f aca="false">MAX(ROUNDUP(H249,0),I249)</f>
        <v>80</v>
      </c>
      <c r="O249" s="21"/>
      <c r="P249" s="21" t="n">
        <f aca="false">ROUND(M249*N249,2)</f>
        <v>604</v>
      </c>
      <c r="Q249" s="21" t="n">
        <f aca="false">ROUND(P249-IF(O249="",0,O249),2)</f>
        <v>604</v>
      </c>
      <c r="R249" s="14" t="str">
        <f aca="false">IF(J249="","MISSING BILL",IF(AND(K249=N249,ABS(L249-M249)&lt;0.001,ABS(O249-P249)&lt;0.01),"RECONCILED","CALCULATION ERROR"))</f>
        <v>MISSING BILL</v>
      </c>
      <c r="S249" s="22" t="s">
        <v>1877</v>
      </c>
    </row>
    <row r="250" customFormat="false" ht="15" hidden="false" customHeight="false" outlineLevel="0" collapsed="false">
      <c r="A250" s="13" t="s">
        <v>922</v>
      </c>
      <c r="B250" s="13" t="s">
        <v>146</v>
      </c>
      <c r="C250" s="13" t="s">
        <v>1872</v>
      </c>
      <c r="D250" s="13" t="s">
        <v>1873</v>
      </c>
      <c r="E250" s="13" t="s">
        <v>2691</v>
      </c>
      <c r="F250" s="14" t="s">
        <v>2692</v>
      </c>
      <c r="G250" s="14" t="s">
        <v>2693</v>
      </c>
      <c r="H250" s="20" t="n">
        <v>30.9</v>
      </c>
      <c r="I250" s="13" t="n">
        <v>40</v>
      </c>
      <c r="J250" s="13"/>
      <c r="K250" s="13"/>
      <c r="L250" s="21"/>
      <c r="M250" s="21" t="n">
        <f aca="false">IF(C250="covered",10.4,7.55)</f>
        <v>7.55</v>
      </c>
      <c r="N250" s="13" t="n">
        <f aca="false">MAX(ROUNDUP(H250,0),I250)</f>
        <v>40</v>
      </c>
      <c r="O250" s="21"/>
      <c r="P250" s="21" t="n">
        <f aca="false">ROUND(M250*N250,2)</f>
        <v>302</v>
      </c>
      <c r="Q250" s="21" t="n">
        <f aca="false">ROUND(P250-IF(O250="",0,O250),2)</f>
        <v>302</v>
      </c>
      <c r="R250" s="14" t="str">
        <f aca="false">IF(J250="","MISSING BILL",IF(AND(K250=N250,ABS(L250-M250)&lt;0.001,ABS(O250-P250)&lt;0.01),"RECONCILED","CALCULATION ERROR"))</f>
        <v>MISSING BILL</v>
      </c>
      <c r="S250" s="22" t="s">
        <v>1877</v>
      </c>
    </row>
    <row r="251" customFormat="false" ht="15" hidden="false" customHeight="false" outlineLevel="0" collapsed="false">
      <c r="A251" s="13" t="s">
        <v>2694</v>
      </c>
      <c r="B251" s="13" t="s">
        <v>146</v>
      </c>
      <c r="C251" s="13" t="s">
        <v>1872</v>
      </c>
      <c r="D251" s="13" t="s">
        <v>1873</v>
      </c>
      <c r="E251" s="13" t="s">
        <v>2695</v>
      </c>
      <c r="F251" s="14" t="s">
        <v>2696</v>
      </c>
      <c r="G251" s="14" t="s">
        <v>2614</v>
      </c>
      <c r="H251" s="20" t="n">
        <v>37</v>
      </c>
      <c r="I251" s="13" t="n">
        <v>36</v>
      </c>
      <c r="J251" s="13"/>
      <c r="K251" s="13"/>
      <c r="L251" s="21"/>
      <c r="M251" s="21" t="n">
        <f aca="false">IF(C251="covered",10.4,7.55)</f>
        <v>7.55</v>
      </c>
      <c r="N251" s="13" t="n">
        <f aca="false">MAX(ROUNDUP(H251,0),I251)</f>
        <v>37</v>
      </c>
      <c r="O251" s="21"/>
      <c r="P251" s="21" t="n">
        <f aca="false">ROUND(M251*N251,2)</f>
        <v>279.35</v>
      </c>
      <c r="Q251" s="21" t="n">
        <f aca="false">ROUND(P251-IF(O251="",0,O251),2)</f>
        <v>279.35</v>
      </c>
      <c r="R251" s="14" t="str">
        <f aca="false">IF(J251="","MISSING BILL",IF(AND(K251=N251,ABS(L251-M251)&lt;0.001,ABS(O251-P251)&lt;0.01),"RECONCILED","CALCULATION ERROR"))</f>
        <v>MISSING BILL</v>
      </c>
      <c r="S251" s="22" t="s">
        <v>1877</v>
      </c>
    </row>
    <row r="252" customFormat="false" ht="15" hidden="false" customHeight="false" outlineLevel="0" collapsed="false">
      <c r="A252" s="13" t="s">
        <v>610</v>
      </c>
      <c r="B252" s="13" t="s">
        <v>146</v>
      </c>
      <c r="C252" s="13" t="s">
        <v>1872</v>
      </c>
      <c r="D252" s="13" t="s">
        <v>1873</v>
      </c>
      <c r="E252" s="13" t="s">
        <v>2697</v>
      </c>
      <c r="F252" s="14" t="s">
        <v>2698</v>
      </c>
      <c r="G252" s="14" t="s">
        <v>2699</v>
      </c>
      <c r="H252" s="20" t="n">
        <v>31.7</v>
      </c>
      <c r="I252" s="13" t="n">
        <v>60</v>
      </c>
      <c r="J252" s="13"/>
      <c r="K252" s="13"/>
      <c r="L252" s="21"/>
      <c r="M252" s="21" t="n">
        <f aca="false">IF(C252="covered",10.4,7.55)</f>
        <v>7.55</v>
      </c>
      <c r="N252" s="13" t="n">
        <f aca="false">MAX(ROUNDUP(H252,0),I252)</f>
        <v>60</v>
      </c>
      <c r="O252" s="21"/>
      <c r="P252" s="21" t="n">
        <f aca="false">ROUND(M252*N252,2)</f>
        <v>453</v>
      </c>
      <c r="Q252" s="21" t="n">
        <f aca="false">ROUND(P252-IF(O252="",0,O252),2)</f>
        <v>453</v>
      </c>
      <c r="R252" s="14" t="str">
        <f aca="false">IF(J252="","MISSING BILL",IF(AND(K252=N252,ABS(L252-M252)&lt;0.001,ABS(O252-P252)&lt;0.01),"RECONCILED","CALCULATION ERROR"))</f>
        <v>MISSING BILL</v>
      </c>
      <c r="S252" s="22" t="s">
        <v>1877</v>
      </c>
    </row>
    <row r="253" customFormat="false" ht="15" hidden="false" customHeight="false" outlineLevel="0" collapsed="false">
      <c r="A253" s="13" t="s">
        <v>2700</v>
      </c>
      <c r="B253" s="13" t="s">
        <v>146</v>
      </c>
      <c r="C253" s="13" t="s">
        <v>1872</v>
      </c>
      <c r="D253" s="13" t="s">
        <v>1873</v>
      </c>
      <c r="E253" s="13" t="s">
        <v>2701</v>
      </c>
      <c r="F253" s="14" t="s">
        <v>2702</v>
      </c>
      <c r="G253" s="14" t="s">
        <v>2438</v>
      </c>
      <c r="H253" s="20" t="n">
        <v>24.7</v>
      </c>
      <c r="I253" s="13" t="n">
        <v>36</v>
      </c>
      <c r="J253" s="13"/>
      <c r="K253" s="13"/>
      <c r="L253" s="21"/>
      <c r="M253" s="21" t="n">
        <f aca="false">IF(C253="covered",10.4,7.55)</f>
        <v>7.55</v>
      </c>
      <c r="N253" s="13" t="n">
        <f aca="false">MAX(ROUNDUP(H253,0),I253)</f>
        <v>36</v>
      </c>
      <c r="O253" s="21"/>
      <c r="P253" s="21" t="n">
        <f aca="false">ROUND(M253*N253,2)</f>
        <v>271.8</v>
      </c>
      <c r="Q253" s="21" t="n">
        <f aca="false">ROUND(P253-IF(O253="",0,O253),2)</f>
        <v>271.8</v>
      </c>
      <c r="R253" s="14" t="str">
        <f aca="false">IF(J253="","MISSING BILL",IF(AND(K253=N253,ABS(L253-M253)&lt;0.001,ABS(O253-P253)&lt;0.01),"RECONCILED","CALCULATION ERROR"))</f>
        <v>MISSING BILL</v>
      </c>
      <c r="S253" s="22" t="s">
        <v>1877</v>
      </c>
    </row>
    <row r="254" customFormat="false" ht="15" hidden="false" customHeight="false" outlineLevel="0" collapsed="false">
      <c r="A254" s="13" t="s">
        <v>2703</v>
      </c>
      <c r="B254" s="13" t="s">
        <v>146</v>
      </c>
      <c r="C254" s="13" t="s">
        <v>1872</v>
      </c>
      <c r="D254" s="13" t="s">
        <v>1873</v>
      </c>
      <c r="E254" s="13" t="s">
        <v>2704</v>
      </c>
      <c r="F254" s="14" t="s">
        <v>2705</v>
      </c>
      <c r="G254" s="14" t="s">
        <v>2706</v>
      </c>
      <c r="H254" s="20" t="n">
        <v>45</v>
      </c>
      <c r="I254" s="13" t="n">
        <v>24</v>
      </c>
      <c r="J254" s="13"/>
      <c r="K254" s="13"/>
      <c r="L254" s="21"/>
      <c r="M254" s="21" t="n">
        <f aca="false">IF(C254="covered",10.4,7.55)</f>
        <v>7.55</v>
      </c>
      <c r="N254" s="13" t="n">
        <f aca="false">MAX(ROUNDUP(H254,0),I254)</f>
        <v>45</v>
      </c>
      <c r="O254" s="21"/>
      <c r="P254" s="21" t="n">
        <f aca="false">ROUND(M254*N254,2)</f>
        <v>339.75</v>
      </c>
      <c r="Q254" s="21" t="n">
        <f aca="false">ROUND(P254-IF(O254="",0,O254),2)</f>
        <v>339.75</v>
      </c>
      <c r="R254" s="14" t="str">
        <f aca="false">IF(J254="","MISSING BILL",IF(AND(K254=N254,ABS(L254-M254)&lt;0.001,ABS(O254-P254)&lt;0.01),"RECONCILED","CALCULATION ERROR"))</f>
        <v>MISSING BILL</v>
      </c>
      <c r="S254" s="22" t="s">
        <v>1877</v>
      </c>
    </row>
    <row r="255" customFormat="false" ht="15" hidden="false" customHeight="false" outlineLevel="0" collapsed="false">
      <c r="A255" s="13" t="s">
        <v>2707</v>
      </c>
      <c r="B255" s="13" t="s">
        <v>146</v>
      </c>
      <c r="C255" s="13" t="s">
        <v>1872</v>
      </c>
      <c r="D255" s="13" t="s">
        <v>1873</v>
      </c>
      <c r="E255" s="13" t="s">
        <v>2708</v>
      </c>
      <c r="F255" s="14" t="s">
        <v>2709</v>
      </c>
      <c r="G255" s="14" t="s">
        <v>2079</v>
      </c>
      <c r="H255" s="20" t="n">
        <v>53.6</v>
      </c>
      <c r="I255" s="13" t="n">
        <v>28</v>
      </c>
      <c r="J255" s="13"/>
      <c r="K255" s="13"/>
      <c r="L255" s="21"/>
      <c r="M255" s="21" t="n">
        <f aca="false">IF(C255="covered",10.4,7.55)</f>
        <v>7.55</v>
      </c>
      <c r="N255" s="13" t="n">
        <f aca="false">MAX(ROUNDUP(H255,0),I255)</f>
        <v>54</v>
      </c>
      <c r="O255" s="21"/>
      <c r="P255" s="21" t="n">
        <f aca="false">ROUND(M255*N255,2)</f>
        <v>407.7</v>
      </c>
      <c r="Q255" s="21" t="n">
        <f aca="false">ROUND(P255-IF(O255="",0,O255),2)</f>
        <v>407.7</v>
      </c>
      <c r="R255" s="14" t="str">
        <f aca="false">IF(J255="","MISSING BILL",IF(AND(K255=N255,ABS(L255-M255)&lt;0.001,ABS(O255-P255)&lt;0.01),"RECONCILED","CALCULATION ERROR"))</f>
        <v>MISSING BILL</v>
      </c>
      <c r="S255" s="22" t="s">
        <v>1877</v>
      </c>
    </row>
    <row r="256" customFormat="false" ht="15" hidden="false" customHeight="false" outlineLevel="0" collapsed="false">
      <c r="A256" s="13" t="s">
        <v>2710</v>
      </c>
      <c r="B256" s="13" t="s">
        <v>146</v>
      </c>
      <c r="C256" s="13" t="s">
        <v>1872</v>
      </c>
      <c r="D256" s="13" t="s">
        <v>1873</v>
      </c>
      <c r="E256" s="13" t="s">
        <v>2711</v>
      </c>
      <c r="F256" s="14" t="s">
        <v>2712</v>
      </c>
      <c r="G256" s="14" t="s">
        <v>2713</v>
      </c>
      <c r="H256" s="20" t="n">
        <v>49.5</v>
      </c>
      <c r="I256" s="13" t="n">
        <v>80</v>
      </c>
      <c r="J256" s="13"/>
      <c r="K256" s="13"/>
      <c r="L256" s="21"/>
      <c r="M256" s="21" t="n">
        <f aca="false">IF(C256="covered",10.4,7.55)</f>
        <v>7.55</v>
      </c>
      <c r="N256" s="13" t="n">
        <f aca="false">MAX(ROUNDUP(H256,0),I256)</f>
        <v>80</v>
      </c>
      <c r="O256" s="21"/>
      <c r="P256" s="21" t="n">
        <f aca="false">ROUND(M256*N256,2)</f>
        <v>604</v>
      </c>
      <c r="Q256" s="21" t="n">
        <f aca="false">ROUND(P256-IF(O256="",0,O256),2)</f>
        <v>604</v>
      </c>
      <c r="R256" s="14" t="str">
        <f aca="false">IF(J256="","MISSING BILL",IF(AND(K256=N256,ABS(L256-M256)&lt;0.001,ABS(O256-P256)&lt;0.01),"RECONCILED","CALCULATION ERROR"))</f>
        <v>MISSING BILL</v>
      </c>
      <c r="S256" s="22" t="s">
        <v>1877</v>
      </c>
    </row>
    <row r="257" customFormat="false" ht="15" hidden="false" customHeight="false" outlineLevel="0" collapsed="false">
      <c r="A257" s="13" t="s">
        <v>2714</v>
      </c>
      <c r="B257" s="13" t="s">
        <v>146</v>
      </c>
      <c r="C257" s="13" t="s">
        <v>1872</v>
      </c>
      <c r="D257" s="13" t="s">
        <v>1873</v>
      </c>
      <c r="E257" s="13" t="s">
        <v>2715</v>
      </c>
      <c r="F257" s="14" t="s">
        <v>2716</v>
      </c>
      <c r="G257" s="14" t="s">
        <v>2717</v>
      </c>
      <c r="H257" s="20" t="n">
        <v>27.7</v>
      </c>
      <c r="I257" s="13" t="n">
        <v>45</v>
      </c>
      <c r="J257" s="13"/>
      <c r="K257" s="13"/>
      <c r="L257" s="21"/>
      <c r="M257" s="21" t="n">
        <f aca="false">IF(C257="covered",10.4,7.55)</f>
        <v>7.55</v>
      </c>
      <c r="N257" s="13" t="n">
        <f aca="false">MAX(ROUNDUP(H257,0),I257)</f>
        <v>45</v>
      </c>
      <c r="O257" s="21"/>
      <c r="P257" s="21" t="n">
        <f aca="false">ROUND(M257*N257,2)</f>
        <v>339.75</v>
      </c>
      <c r="Q257" s="21" t="n">
        <f aca="false">ROUND(P257-IF(O257="",0,O257),2)</f>
        <v>339.75</v>
      </c>
      <c r="R257" s="14" t="str">
        <f aca="false">IF(J257="","MISSING BILL",IF(AND(K257=N257,ABS(L257-M257)&lt;0.001,ABS(O257-P257)&lt;0.01),"RECONCILED","CALCULATION ERROR"))</f>
        <v>MISSING BILL</v>
      </c>
      <c r="S257" s="22" t="s">
        <v>1877</v>
      </c>
    </row>
    <row r="258" customFormat="false" ht="15" hidden="false" customHeight="false" outlineLevel="0" collapsed="false">
      <c r="A258" s="13" t="s">
        <v>673</v>
      </c>
      <c r="B258" s="13" t="s">
        <v>146</v>
      </c>
      <c r="C258" s="13" t="s">
        <v>1872</v>
      </c>
      <c r="D258" s="13" t="s">
        <v>1873</v>
      </c>
      <c r="E258" s="13" t="s">
        <v>2718</v>
      </c>
      <c r="F258" s="14" t="s">
        <v>2719</v>
      </c>
      <c r="G258" s="14" t="s">
        <v>2720</v>
      </c>
      <c r="H258" s="20" t="n">
        <v>41.8</v>
      </c>
      <c r="I258" s="13" t="n">
        <v>24</v>
      </c>
      <c r="J258" s="13"/>
      <c r="K258" s="13"/>
      <c r="L258" s="21"/>
      <c r="M258" s="21" t="n">
        <f aca="false">IF(C258="covered",10.4,7.55)</f>
        <v>7.55</v>
      </c>
      <c r="N258" s="13" t="n">
        <f aca="false">MAX(ROUNDUP(H258,0),I258)</f>
        <v>42</v>
      </c>
      <c r="O258" s="21"/>
      <c r="P258" s="21" t="n">
        <f aca="false">ROUND(M258*N258,2)</f>
        <v>317.1</v>
      </c>
      <c r="Q258" s="21" t="n">
        <f aca="false">ROUND(P258-IF(O258="",0,O258),2)</f>
        <v>317.1</v>
      </c>
      <c r="R258" s="14" t="str">
        <f aca="false">IF(J258="","MISSING BILL",IF(AND(K258=N258,ABS(L258-M258)&lt;0.001,ABS(O258-P258)&lt;0.01),"RECONCILED","CALCULATION ERROR"))</f>
        <v>MISSING BILL</v>
      </c>
      <c r="S258" s="22" t="s">
        <v>1877</v>
      </c>
    </row>
    <row r="259" customFormat="false" ht="15" hidden="false" customHeight="false" outlineLevel="0" collapsed="false">
      <c r="A259" s="13" t="s">
        <v>158</v>
      </c>
      <c r="B259" s="13" t="s">
        <v>146</v>
      </c>
      <c r="C259" s="13" t="s">
        <v>1872</v>
      </c>
      <c r="D259" s="13" t="s">
        <v>1873</v>
      </c>
      <c r="E259" s="13" t="s">
        <v>2721</v>
      </c>
      <c r="F259" s="14" t="s">
        <v>2722</v>
      </c>
      <c r="G259" s="14" t="s">
        <v>2723</v>
      </c>
      <c r="H259" s="20" t="n">
        <v>26.3</v>
      </c>
      <c r="I259" s="13" t="n">
        <v>36</v>
      </c>
      <c r="J259" s="13"/>
      <c r="K259" s="13"/>
      <c r="L259" s="21"/>
      <c r="M259" s="21" t="n">
        <f aca="false">IF(C259="covered",10.4,7.55)</f>
        <v>7.55</v>
      </c>
      <c r="N259" s="13" t="n">
        <f aca="false">MAX(ROUNDUP(H259,0),I259)</f>
        <v>36</v>
      </c>
      <c r="O259" s="21"/>
      <c r="P259" s="21" t="n">
        <f aca="false">ROUND(M259*N259,2)</f>
        <v>271.8</v>
      </c>
      <c r="Q259" s="21" t="n">
        <f aca="false">ROUND(P259-IF(O259="",0,O259),2)</f>
        <v>271.8</v>
      </c>
      <c r="R259" s="14" t="str">
        <f aca="false">IF(J259="","MISSING BILL",IF(AND(K259=N259,ABS(L259-M259)&lt;0.001,ABS(O259-P259)&lt;0.01),"RECONCILED","CALCULATION ERROR"))</f>
        <v>MISSING BILL</v>
      </c>
      <c r="S259" s="22" t="s">
        <v>1877</v>
      </c>
    </row>
    <row r="260" customFormat="false" ht="15" hidden="false" customHeight="false" outlineLevel="0" collapsed="false">
      <c r="A260" s="13" t="s">
        <v>2724</v>
      </c>
      <c r="B260" s="13" t="s">
        <v>146</v>
      </c>
      <c r="C260" s="13" t="s">
        <v>1872</v>
      </c>
      <c r="D260" s="13" t="s">
        <v>1873</v>
      </c>
      <c r="E260" s="13" t="s">
        <v>2725</v>
      </c>
      <c r="F260" s="14" t="s">
        <v>2726</v>
      </c>
      <c r="G260" s="14" t="s">
        <v>2087</v>
      </c>
      <c r="H260" s="20" t="n">
        <v>26.3</v>
      </c>
      <c r="I260" s="13" t="n">
        <v>24</v>
      </c>
      <c r="J260" s="13"/>
      <c r="K260" s="13"/>
      <c r="L260" s="21"/>
      <c r="M260" s="21" t="n">
        <f aca="false">IF(C260="covered",10.4,7.55)</f>
        <v>7.55</v>
      </c>
      <c r="N260" s="13" t="n">
        <f aca="false">MAX(ROUNDUP(H260,0),I260)</f>
        <v>27</v>
      </c>
      <c r="O260" s="21"/>
      <c r="P260" s="21" t="n">
        <f aca="false">ROUND(M260*N260,2)</f>
        <v>203.85</v>
      </c>
      <c r="Q260" s="21" t="n">
        <f aca="false">ROUND(P260-IF(O260="",0,O260),2)</f>
        <v>203.85</v>
      </c>
      <c r="R260" s="14" t="str">
        <f aca="false">IF(J260="","MISSING BILL",IF(AND(K260=N260,ABS(L260-M260)&lt;0.001,ABS(O260-P260)&lt;0.01),"RECONCILED","CALCULATION ERROR"))</f>
        <v>MISSING BILL</v>
      </c>
      <c r="S260" s="22" t="s">
        <v>1877</v>
      </c>
    </row>
    <row r="261" customFormat="false" ht="15" hidden="false" customHeight="false" outlineLevel="0" collapsed="false">
      <c r="A261" s="13" t="s">
        <v>2727</v>
      </c>
      <c r="B261" s="13" t="s">
        <v>146</v>
      </c>
      <c r="C261" s="13" t="s">
        <v>1872</v>
      </c>
      <c r="D261" s="13" t="s">
        <v>1873</v>
      </c>
      <c r="E261" s="13" t="s">
        <v>2728</v>
      </c>
      <c r="F261" s="14" t="s">
        <v>2729</v>
      </c>
      <c r="G261" s="14" t="s">
        <v>2658</v>
      </c>
      <c r="H261" s="20" t="n">
        <v>61.4</v>
      </c>
      <c r="I261" s="13" t="n">
        <v>60</v>
      </c>
      <c r="J261" s="13"/>
      <c r="K261" s="13"/>
      <c r="L261" s="21"/>
      <c r="M261" s="21" t="n">
        <f aca="false">IF(C261="covered",10.4,7.55)</f>
        <v>7.55</v>
      </c>
      <c r="N261" s="13" t="n">
        <f aca="false">MAX(ROUNDUP(H261,0),I261)</f>
        <v>62</v>
      </c>
      <c r="O261" s="21"/>
      <c r="P261" s="21" t="n">
        <f aca="false">ROUND(M261*N261,2)</f>
        <v>468.1</v>
      </c>
      <c r="Q261" s="21" t="n">
        <f aca="false">ROUND(P261-IF(O261="",0,O261),2)</f>
        <v>468.1</v>
      </c>
      <c r="R261" s="14" t="str">
        <f aca="false">IF(J261="","MISSING BILL",IF(AND(K261=N261,ABS(L261-M261)&lt;0.001,ABS(O261-P261)&lt;0.01),"RECONCILED","CALCULATION ERROR"))</f>
        <v>MISSING BILL</v>
      </c>
      <c r="S261" s="22" t="s">
        <v>1877</v>
      </c>
    </row>
    <row r="262" customFormat="false" ht="15" hidden="false" customHeight="false" outlineLevel="0" collapsed="false">
      <c r="A262" s="13" t="s">
        <v>2730</v>
      </c>
      <c r="B262" s="13" t="s">
        <v>146</v>
      </c>
      <c r="C262" s="13" t="s">
        <v>1872</v>
      </c>
      <c r="D262" s="13" t="s">
        <v>1873</v>
      </c>
      <c r="E262" s="13" t="s">
        <v>2731</v>
      </c>
      <c r="F262" s="14" t="s">
        <v>2732</v>
      </c>
      <c r="G262" s="14" t="s">
        <v>2733</v>
      </c>
      <c r="H262" s="20" t="n">
        <v>25.8</v>
      </c>
      <c r="I262" s="13" t="n">
        <v>32</v>
      </c>
      <c r="J262" s="13"/>
      <c r="K262" s="13"/>
      <c r="L262" s="21"/>
      <c r="M262" s="21" t="n">
        <f aca="false">IF(C262="covered",10.4,7.55)</f>
        <v>7.55</v>
      </c>
      <c r="N262" s="13" t="n">
        <f aca="false">MAX(ROUNDUP(H262,0),I262)</f>
        <v>32</v>
      </c>
      <c r="O262" s="21"/>
      <c r="P262" s="21" t="n">
        <f aca="false">ROUND(M262*N262,2)</f>
        <v>241.6</v>
      </c>
      <c r="Q262" s="21" t="n">
        <f aca="false">ROUND(P262-IF(O262="",0,O262),2)</f>
        <v>241.6</v>
      </c>
      <c r="R262" s="14" t="str">
        <f aca="false">IF(J262="","MISSING BILL",IF(AND(K262=N262,ABS(L262-M262)&lt;0.001,ABS(O262-P262)&lt;0.01),"RECONCILED","CALCULATION ERROR"))</f>
        <v>MISSING BILL</v>
      </c>
      <c r="S262" s="22" t="s">
        <v>1877</v>
      </c>
    </row>
    <row r="263" customFormat="false" ht="15" hidden="false" customHeight="false" outlineLevel="0" collapsed="false">
      <c r="A263" s="13" t="s">
        <v>2734</v>
      </c>
      <c r="B263" s="13" t="s">
        <v>146</v>
      </c>
      <c r="C263" s="13" t="s">
        <v>1872</v>
      </c>
      <c r="D263" s="13" t="s">
        <v>1873</v>
      </c>
      <c r="E263" s="13" t="s">
        <v>2735</v>
      </c>
      <c r="F263" s="14" t="s">
        <v>2736</v>
      </c>
      <c r="G263" s="14" t="s">
        <v>2737</v>
      </c>
      <c r="H263" s="20" t="n">
        <v>34.1</v>
      </c>
      <c r="I263" s="13" t="n">
        <v>32</v>
      </c>
      <c r="J263" s="13"/>
      <c r="K263" s="13"/>
      <c r="L263" s="21"/>
      <c r="M263" s="21" t="n">
        <f aca="false">IF(C263="covered",10.4,7.55)</f>
        <v>7.55</v>
      </c>
      <c r="N263" s="13" t="n">
        <f aca="false">MAX(ROUNDUP(H263,0),I263)</f>
        <v>35</v>
      </c>
      <c r="O263" s="21"/>
      <c r="P263" s="21" t="n">
        <f aca="false">ROUND(M263*N263,2)</f>
        <v>264.25</v>
      </c>
      <c r="Q263" s="21" t="n">
        <f aca="false">ROUND(P263-IF(O263="",0,O263),2)</f>
        <v>264.25</v>
      </c>
      <c r="R263" s="14" t="str">
        <f aca="false">IF(J263="","MISSING BILL",IF(AND(K263=N263,ABS(L263-M263)&lt;0.001,ABS(O263-P263)&lt;0.01),"RECONCILED","CALCULATION ERROR"))</f>
        <v>MISSING BILL</v>
      </c>
      <c r="S263" s="22" t="s">
        <v>1877</v>
      </c>
    </row>
    <row r="264" customFormat="false" ht="15" hidden="false" customHeight="false" outlineLevel="0" collapsed="false">
      <c r="A264" s="13" t="s">
        <v>183</v>
      </c>
      <c r="B264" s="13" t="s">
        <v>146</v>
      </c>
      <c r="C264" s="13" t="s">
        <v>1872</v>
      </c>
      <c r="D264" s="13" t="s">
        <v>1873</v>
      </c>
      <c r="E264" s="13" t="s">
        <v>2738</v>
      </c>
      <c r="F264" s="14" t="s">
        <v>2739</v>
      </c>
      <c r="G264" s="14" t="s">
        <v>2740</v>
      </c>
      <c r="H264" s="20" t="n">
        <v>41.8</v>
      </c>
      <c r="I264" s="13" t="n">
        <v>28</v>
      </c>
      <c r="J264" s="13"/>
      <c r="K264" s="13"/>
      <c r="L264" s="21"/>
      <c r="M264" s="21" t="n">
        <f aca="false">IF(C264="covered",10.4,7.55)</f>
        <v>7.55</v>
      </c>
      <c r="N264" s="13" t="n">
        <f aca="false">MAX(ROUNDUP(H264,0),I264)</f>
        <v>42</v>
      </c>
      <c r="O264" s="21"/>
      <c r="P264" s="21" t="n">
        <f aca="false">ROUND(M264*N264,2)</f>
        <v>317.1</v>
      </c>
      <c r="Q264" s="21" t="n">
        <f aca="false">ROUND(P264-IF(O264="",0,O264),2)</f>
        <v>317.1</v>
      </c>
      <c r="R264" s="14" t="str">
        <f aca="false">IF(J264="","MISSING BILL",IF(AND(K264=N264,ABS(L264-M264)&lt;0.001,ABS(O264-P264)&lt;0.01),"RECONCILED","CALCULATION ERROR"))</f>
        <v>MISSING BILL</v>
      </c>
      <c r="S264" s="22" t="s">
        <v>1877</v>
      </c>
    </row>
    <row r="265" customFormat="false" ht="15" hidden="false" customHeight="false" outlineLevel="0" collapsed="false">
      <c r="A265" s="13" t="s">
        <v>1310</v>
      </c>
      <c r="B265" s="13" t="s">
        <v>146</v>
      </c>
      <c r="C265" s="13" t="s">
        <v>1872</v>
      </c>
      <c r="D265" s="13" t="s">
        <v>1873</v>
      </c>
      <c r="E265" s="13" t="s">
        <v>2741</v>
      </c>
      <c r="F265" s="14" t="s">
        <v>2742</v>
      </c>
      <c r="G265" s="14" t="s">
        <v>2743</v>
      </c>
      <c r="H265" s="20" t="n">
        <v>32.4</v>
      </c>
      <c r="I265" s="13" t="n">
        <v>24</v>
      </c>
      <c r="J265" s="13"/>
      <c r="K265" s="13"/>
      <c r="L265" s="21"/>
      <c r="M265" s="21" t="n">
        <f aca="false">IF(C265="covered",10.4,7.55)</f>
        <v>7.55</v>
      </c>
      <c r="N265" s="13" t="n">
        <f aca="false">MAX(ROUNDUP(H265,0),I265)</f>
        <v>33</v>
      </c>
      <c r="O265" s="21"/>
      <c r="P265" s="21" t="n">
        <f aca="false">ROUND(M265*N265,2)</f>
        <v>249.15</v>
      </c>
      <c r="Q265" s="21" t="n">
        <f aca="false">ROUND(P265-IF(O265="",0,O265),2)</f>
        <v>249.15</v>
      </c>
      <c r="R265" s="14" t="str">
        <f aca="false">IF(J265="","MISSING BILL",IF(AND(K265=N265,ABS(L265-M265)&lt;0.001,ABS(O265-P265)&lt;0.01),"RECONCILED","CALCULATION ERROR"))</f>
        <v>MISSING BILL</v>
      </c>
      <c r="S265" s="22" t="s">
        <v>1877</v>
      </c>
    </row>
    <row r="266" customFormat="false" ht="15" hidden="false" customHeight="false" outlineLevel="0" collapsed="false">
      <c r="A266" s="13" t="s">
        <v>2744</v>
      </c>
      <c r="B266" s="13" t="s">
        <v>146</v>
      </c>
      <c r="C266" s="13" t="s">
        <v>1872</v>
      </c>
      <c r="D266" s="13" t="s">
        <v>1873</v>
      </c>
      <c r="E266" s="13" t="s">
        <v>2745</v>
      </c>
      <c r="F266" s="14" t="s">
        <v>2746</v>
      </c>
      <c r="G266" s="14" t="s">
        <v>2277</v>
      </c>
      <c r="H266" s="20" t="n">
        <v>37.3</v>
      </c>
      <c r="I266" s="13" t="n">
        <v>28</v>
      </c>
      <c r="J266" s="13"/>
      <c r="K266" s="13"/>
      <c r="L266" s="21"/>
      <c r="M266" s="21" t="n">
        <f aca="false">IF(C266="covered",10.4,7.55)</f>
        <v>7.55</v>
      </c>
      <c r="N266" s="13" t="n">
        <f aca="false">MAX(ROUNDUP(H266,0),I266)</f>
        <v>38</v>
      </c>
      <c r="O266" s="21"/>
      <c r="P266" s="21" t="n">
        <f aca="false">ROUND(M266*N266,2)</f>
        <v>286.9</v>
      </c>
      <c r="Q266" s="21" t="n">
        <f aca="false">ROUND(P266-IF(O266="",0,O266),2)</f>
        <v>286.9</v>
      </c>
      <c r="R266" s="14" t="str">
        <f aca="false">IF(J266="","MISSING BILL",IF(AND(K266=N266,ABS(L266-M266)&lt;0.001,ABS(O266-P266)&lt;0.01),"RECONCILED","CALCULATION ERROR"))</f>
        <v>MISSING BILL</v>
      </c>
      <c r="S266" s="22" t="s">
        <v>1877</v>
      </c>
    </row>
    <row r="267" customFormat="false" ht="15" hidden="false" customHeight="false" outlineLevel="0" collapsed="false">
      <c r="A267" s="13" t="s">
        <v>2747</v>
      </c>
      <c r="B267" s="13" t="s">
        <v>146</v>
      </c>
      <c r="C267" s="13" t="s">
        <v>1872</v>
      </c>
      <c r="D267" s="13" t="s">
        <v>1873</v>
      </c>
      <c r="E267" s="13" t="s">
        <v>2748</v>
      </c>
      <c r="F267" s="14" t="s">
        <v>2749</v>
      </c>
      <c r="G267" s="14" t="s">
        <v>2750</v>
      </c>
      <c r="H267" s="20" t="n">
        <v>19.2</v>
      </c>
      <c r="I267" s="13" t="n">
        <v>50</v>
      </c>
      <c r="J267" s="13"/>
      <c r="K267" s="13"/>
      <c r="L267" s="21"/>
      <c r="M267" s="21" t="n">
        <f aca="false">IF(C267="covered",10.4,7.55)</f>
        <v>7.55</v>
      </c>
      <c r="N267" s="13" t="n">
        <f aca="false">MAX(ROUNDUP(H267,0),I267)</f>
        <v>50</v>
      </c>
      <c r="O267" s="21"/>
      <c r="P267" s="21" t="n">
        <f aca="false">ROUND(M267*N267,2)</f>
        <v>377.5</v>
      </c>
      <c r="Q267" s="21" t="n">
        <f aca="false">ROUND(P267-IF(O267="",0,O267),2)</f>
        <v>377.5</v>
      </c>
      <c r="R267" s="14" t="str">
        <f aca="false">IF(J267="","MISSING BILL",IF(AND(K267=N267,ABS(L267-M267)&lt;0.001,ABS(O267-P267)&lt;0.01),"RECONCILED","CALCULATION ERROR"))</f>
        <v>MISSING BILL</v>
      </c>
      <c r="S267" s="22" t="s">
        <v>1877</v>
      </c>
    </row>
    <row r="268" customFormat="false" ht="15" hidden="false" customHeight="false" outlineLevel="0" collapsed="false">
      <c r="A268" s="13" t="s">
        <v>2751</v>
      </c>
      <c r="B268" s="13" t="s">
        <v>146</v>
      </c>
      <c r="C268" s="13" t="s">
        <v>1872</v>
      </c>
      <c r="D268" s="13" t="s">
        <v>1873</v>
      </c>
      <c r="E268" s="13" t="s">
        <v>1822</v>
      </c>
      <c r="F268" s="14" t="s">
        <v>1823</v>
      </c>
      <c r="G268" s="14" t="s">
        <v>2752</v>
      </c>
      <c r="H268" s="20" t="n">
        <v>23.6</v>
      </c>
      <c r="I268" s="13" t="n">
        <v>32</v>
      </c>
      <c r="J268" s="13"/>
      <c r="K268" s="13"/>
      <c r="L268" s="21"/>
      <c r="M268" s="21" t="n">
        <f aca="false">IF(C268="covered",10.4,7.55)</f>
        <v>7.55</v>
      </c>
      <c r="N268" s="13" t="n">
        <f aca="false">MAX(ROUNDUP(H268,0),I268)</f>
        <v>32</v>
      </c>
      <c r="O268" s="21"/>
      <c r="P268" s="21" t="n">
        <f aca="false">ROUND(M268*N268,2)</f>
        <v>241.6</v>
      </c>
      <c r="Q268" s="21" t="n">
        <f aca="false">ROUND(P268-IF(O268="",0,O268),2)</f>
        <v>241.6</v>
      </c>
      <c r="R268" s="14" t="str">
        <f aca="false">IF(J268="","MISSING BILL",IF(AND(K268=N268,ABS(L268-M268)&lt;0.001,ABS(O268-P268)&lt;0.01),"RECONCILED","CALCULATION ERROR"))</f>
        <v>MISSING BILL</v>
      </c>
      <c r="S268" s="22" t="s">
        <v>1877</v>
      </c>
    </row>
    <row r="269" customFormat="false" ht="15" hidden="false" customHeight="false" outlineLevel="0" collapsed="false">
      <c r="A269" s="13" t="s">
        <v>1132</v>
      </c>
      <c r="B269" s="13" t="s">
        <v>146</v>
      </c>
      <c r="C269" s="13" t="s">
        <v>1872</v>
      </c>
      <c r="D269" s="13" t="s">
        <v>1873</v>
      </c>
      <c r="E269" s="13" t="s">
        <v>2753</v>
      </c>
      <c r="F269" s="14" t="s">
        <v>2754</v>
      </c>
      <c r="G269" s="14" t="s">
        <v>2755</v>
      </c>
      <c r="H269" s="20" t="n">
        <v>25.3</v>
      </c>
      <c r="I269" s="13" t="n">
        <v>70</v>
      </c>
      <c r="J269" s="13"/>
      <c r="K269" s="13"/>
      <c r="L269" s="21"/>
      <c r="M269" s="21" t="n">
        <f aca="false">IF(C269="covered",10.4,7.55)</f>
        <v>7.55</v>
      </c>
      <c r="N269" s="13" t="n">
        <f aca="false">MAX(ROUNDUP(H269,0),I269)</f>
        <v>70</v>
      </c>
      <c r="O269" s="21"/>
      <c r="P269" s="21" t="n">
        <f aca="false">ROUND(M269*N269,2)</f>
        <v>528.5</v>
      </c>
      <c r="Q269" s="21" t="n">
        <f aca="false">ROUND(P269-IF(O269="",0,O269),2)</f>
        <v>528.5</v>
      </c>
      <c r="R269" s="14" t="str">
        <f aca="false">IF(J269="","MISSING BILL",IF(AND(K269=N269,ABS(L269-M269)&lt;0.001,ABS(O269-P269)&lt;0.01),"RECONCILED","CALCULATION ERROR"))</f>
        <v>MISSING BILL</v>
      </c>
      <c r="S269" s="22" t="s">
        <v>1877</v>
      </c>
    </row>
    <row r="270" customFormat="false" ht="15" hidden="false" customHeight="false" outlineLevel="0" collapsed="false">
      <c r="A270" s="13" t="s">
        <v>2756</v>
      </c>
      <c r="B270" s="13" t="s">
        <v>146</v>
      </c>
      <c r="C270" s="13" t="s">
        <v>1872</v>
      </c>
      <c r="D270" s="13" t="s">
        <v>1873</v>
      </c>
      <c r="E270" s="13" t="s">
        <v>2757</v>
      </c>
      <c r="F270" s="14" t="s">
        <v>2758</v>
      </c>
      <c r="G270" s="14" t="s">
        <v>2759</v>
      </c>
      <c r="H270" s="20" t="n">
        <v>48.9</v>
      </c>
      <c r="I270" s="13" t="n">
        <v>28</v>
      </c>
      <c r="J270" s="13"/>
      <c r="K270" s="13"/>
      <c r="L270" s="21"/>
      <c r="M270" s="21" t="n">
        <f aca="false">IF(C270="covered",10.4,7.55)</f>
        <v>7.55</v>
      </c>
      <c r="N270" s="13" t="n">
        <f aca="false">MAX(ROUNDUP(H270,0),I270)</f>
        <v>49</v>
      </c>
      <c r="O270" s="21"/>
      <c r="P270" s="21" t="n">
        <f aca="false">ROUND(M270*N270,2)</f>
        <v>369.95</v>
      </c>
      <c r="Q270" s="21" t="n">
        <f aca="false">ROUND(P270-IF(O270="",0,O270),2)</f>
        <v>369.95</v>
      </c>
      <c r="R270" s="14" t="str">
        <f aca="false">IF(J270="","MISSING BILL",IF(AND(K270=N270,ABS(L270-M270)&lt;0.001,ABS(O270-P270)&lt;0.01),"RECONCILED","CALCULATION ERROR"))</f>
        <v>MISSING BILL</v>
      </c>
      <c r="S270" s="22" t="s">
        <v>1877</v>
      </c>
    </row>
    <row r="271" customFormat="false" ht="15" hidden="false" customHeight="false" outlineLevel="0" collapsed="false">
      <c r="A271" s="13" t="s">
        <v>2760</v>
      </c>
      <c r="B271" s="13" t="s">
        <v>146</v>
      </c>
      <c r="C271" s="13" t="s">
        <v>1872</v>
      </c>
      <c r="D271" s="13" t="s">
        <v>1873</v>
      </c>
      <c r="E271" s="13" t="s">
        <v>2761</v>
      </c>
      <c r="F271" s="14" t="s">
        <v>2762</v>
      </c>
      <c r="G271" s="14" t="s">
        <v>2763</v>
      </c>
      <c r="H271" s="20" t="n">
        <v>44.5</v>
      </c>
      <c r="I271" s="13" t="n">
        <v>28</v>
      </c>
      <c r="J271" s="13"/>
      <c r="K271" s="13"/>
      <c r="L271" s="21"/>
      <c r="M271" s="21" t="n">
        <f aca="false">IF(C271="covered",10.4,7.55)</f>
        <v>7.55</v>
      </c>
      <c r="N271" s="13" t="n">
        <f aca="false">MAX(ROUNDUP(H271,0),I271)</f>
        <v>45</v>
      </c>
      <c r="O271" s="21"/>
      <c r="P271" s="21" t="n">
        <f aca="false">ROUND(M271*N271,2)</f>
        <v>339.75</v>
      </c>
      <c r="Q271" s="21" t="n">
        <f aca="false">ROUND(P271-IF(O271="",0,O271),2)</f>
        <v>339.75</v>
      </c>
      <c r="R271" s="14" t="str">
        <f aca="false">IF(J271="","MISSING BILL",IF(AND(K271=N271,ABS(L271-M271)&lt;0.001,ABS(O271-P271)&lt;0.01),"RECONCILED","CALCULATION ERROR"))</f>
        <v>MISSING BILL</v>
      </c>
      <c r="S271" s="22" t="s">
        <v>1877</v>
      </c>
    </row>
    <row r="272" customFormat="false" ht="15" hidden="false" customHeight="false" outlineLevel="0" collapsed="false">
      <c r="A272" s="13" t="s">
        <v>2764</v>
      </c>
      <c r="B272" s="13" t="s">
        <v>146</v>
      </c>
      <c r="C272" s="13" t="s">
        <v>1872</v>
      </c>
      <c r="D272" s="13" t="s">
        <v>1873</v>
      </c>
      <c r="E272" s="13" t="s">
        <v>2765</v>
      </c>
      <c r="F272" s="14" t="s">
        <v>2766</v>
      </c>
      <c r="G272" s="14" t="s">
        <v>2377</v>
      </c>
      <c r="H272" s="20" t="n">
        <v>38.7</v>
      </c>
      <c r="I272" s="13" t="n">
        <v>45</v>
      </c>
      <c r="J272" s="13"/>
      <c r="K272" s="13"/>
      <c r="L272" s="21"/>
      <c r="M272" s="21" t="n">
        <f aca="false">IF(C272="covered",10.4,7.55)</f>
        <v>7.55</v>
      </c>
      <c r="N272" s="13" t="n">
        <f aca="false">MAX(ROUNDUP(H272,0),I272)</f>
        <v>45</v>
      </c>
      <c r="O272" s="21"/>
      <c r="P272" s="21" t="n">
        <f aca="false">ROUND(M272*N272,2)</f>
        <v>339.75</v>
      </c>
      <c r="Q272" s="21" t="n">
        <f aca="false">ROUND(P272-IF(O272="",0,O272),2)</f>
        <v>339.75</v>
      </c>
      <c r="R272" s="14" t="str">
        <f aca="false">IF(J272="","MISSING BILL",IF(AND(K272=N272,ABS(L272-M272)&lt;0.001,ABS(O272-P272)&lt;0.01),"RECONCILED","CALCULATION ERROR"))</f>
        <v>MISSING BILL</v>
      </c>
      <c r="S272" s="22" t="s">
        <v>1877</v>
      </c>
    </row>
    <row r="273" customFormat="false" ht="15" hidden="false" customHeight="false" outlineLevel="0" collapsed="false">
      <c r="A273" s="13" t="s">
        <v>2767</v>
      </c>
      <c r="B273" s="13" t="s">
        <v>146</v>
      </c>
      <c r="C273" s="13" t="s">
        <v>1872</v>
      </c>
      <c r="D273" s="13" t="s">
        <v>1873</v>
      </c>
      <c r="E273" s="13" t="s">
        <v>2768</v>
      </c>
      <c r="F273" s="14" t="s">
        <v>2769</v>
      </c>
      <c r="G273" s="14" t="s">
        <v>2770</v>
      </c>
      <c r="H273" s="20" t="n">
        <v>25.7</v>
      </c>
      <c r="I273" s="13" t="n">
        <v>24</v>
      </c>
      <c r="J273" s="13"/>
      <c r="K273" s="13"/>
      <c r="L273" s="21"/>
      <c r="M273" s="21" t="n">
        <f aca="false">IF(C273="covered",10.4,7.55)</f>
        <v>7.55</v>
      </c>
      <c r="N273" s="13" t="n">
        <f aca="false">MAX(ROUNDUP(H273,0),I273)</f>
        <v>26</v>
      </c>
      <c r="O273" s="21"/>
      <c r="P273" s="21" t="n">
        <f aca="false">ROUND(M273*N273,2)</f>
        <v>196.3</v>
      </c>
      <c r="Q273" s="21" t="n">
        <f aca="false">ROUND(P273-IF(O273="",0,O273),2)</f>
        <v>196.3</v>
      </c>
      <c r="R273" s="14" t="str">
        <f aca="false">IF(J273="","MISSING BILL",IF(AND(K273=N273,ABS(L273-M273)&lt;0.001,ABS(O273-P273)&lt;0.01),"RECONCILED","CALCULATION ERROR"))</f>
        <v>MISSING BILL</v>
      </c>
      <c r="S273" s="22" t="s">
        <v>1877</v>
      </c>
    </row>
    <row r="274" customFormat="false" ht="15" hidden="false" customHeight="false" outlineLevel="0" collapsed="false">
      <c r="A274" s="13" t="s">
        <v>1553</v>
      </c>
      <c r="B274" s="13" t="s">
        <v>146</v>
      </c>
      <c r="C274" s="13" t="s">
        <v>1872</v>
      </c>
      <c r="D274" s="13" t="s">
        <v>1873</v>
      </c>
      <c r="E274" s="13" t="s">
        <v>2771</v>
      </c>
      <c r="F274" s="14" t="s">
        <v>2772</v>
      </c>
      <c r="G274" s="14" t="s">
        <v>2032</v>
      </c>
      <c r="H274" s="20" t="n">
        <v>27.1</v>
      </c>
      <c r="I274" s="13" t="n">
        <v>28</v>
      </c>
      <c r="J274" s="13"/>
      <c r="K274" s="13"/>
      <c r="L274" s="21"/>
      <c r="M274" s="21" t="n">
        <f aca="false">IF(C274="covered",10.4,7.55)</f>
        <v>7.55</v>
      </c>
      <c r="N274" s="13" t="n">
        <f aca="false">MAX(ROUNDUP(H274,0),I274)</f>
        <v>28</v>
      </c>
      <c r="O274" s="21"/>
      <c r="P274" s="21" t="n">
        <f aca="false">ROUND(M274*N274,2)</f>
        <v>211.4</v>
      </c>
      <c r="Q274" s="21" t="n">
        <f aca="false">ROUND(P274-IF(O274="",0,O274),2)</f>
        <v>211.4</v>
      </c>
      <c r="R274" s="14" t="str">
        <f aca="false">IF(J274="","MISSING BILL",IF(AND(K274=N274,ABS(L274-M274)&lt;0.001,ABS(O274-P274)&lt;0.01),"RECONCILED","CALCULATION ERROR"))</f>
        <v>MISSING BILL</v>
      </c>
      <c r="S274" s="22" t="s">
        <v>1877</v>
      </c>
    </row>
    <row r="275" customFormat="false" ht="15" hidden="false" customHeight="false" outlineLevel="0" collapsed="false">
      <c r="A275" s="13" t="s">
        <v>2773</v>
      </c>
      <c r="B275" s="13" t="s">
        <v>146</v>
      </c>
      <c r="C275" s="13" t="s">
        <v>1872</v>
      </c>
      <c r="D275" s="13" t="s">
        <v>1873</v>
      </c>
      <c r="E275" s="13" t="s">
        <v>2774</v>
      </c>
      <c r="F275" s="14" t="s">
        <v>2775</v>
      </c>
      <c r="G275" s="14" t="s">
        <v>1904</v>
      </c>
      <c r="H275" s="20" t="n">
        <v>36.7</v>
      </c>
      <c r="I275" s="13" t="n">
        <v>50</v>
      </c>
      <c r="J275" s="13"/>
      <c r="K275" s="13"/>
      <c r="L275" s="21"/>
      <c r="M275" s="21" t="n">
        <f aca="false">IF(C275="covered",10.4,7.55)</f>
        <v>7.55</v>
      </c>
      <c r="N275" s="13" t="n">
        <f aca="false">MAX(ROUNDUP(H275,0),I275)</f>
        <v>50</v>
      </c>
      <c r="O275" s="21"/>
      <c r="P275" s="21" t="n">
        <f aca="false">ROUND(M275*N275,2)</f>
        <v>377.5</v>
      </c>
      <c r="Q275" s="21" t="n">
        <f aca="false">ROUND(P275-IF(O275="",0,O275),2)</f>
        <v>377.5</v>
      </c>
      <c r="R275" s="14" t="str">
        <f aca="false">IF(J275="","MISSING BILL",IF(AND(K275=N275,ABS(L275-M275)&lt;0.001,ABS(O275-P275)&lt;0.01),"RECONCILED","CALCULATION ERROR"))</f>
        <v>MISSING BILL</v>
      </c>
      <c r="S275" s="22" t="s">
        <v>1877</v>
      </c>
    </row>
    <row r="276" customFormat="false" ht="15" hidden="false" customHeight="false" outlineLevel="0" collapsed="false">
      <c r="A276" s="13" t="s">
        <v>2776</v>
      </c>
      <c r="B276" s="13" t="s">
        <v>146</v>
      </c>
      <c r="C276" s="13" t="s">
        <v>1872</v>
      </c>
      <c r="D276" s="13" t="s">
        <v>1873</v>
      </c>
      <c r="E276" s="13" t="s">
        <v>1361</v>
      </c>
      <c r="F276" s="14" t="s">
        <v>1362</v>
      </c>
      <c r="G276" s="14" t="s">
        <v>2492</v>
      </c>
      <c r="H276" s="20" t="n">
        <v>49.2</v>
      </c>
      <c r="I276" s="13" t="n">
        <v>24</v>
      </c>
      <c r="J276" s="13"/>
      <c r="K276" s="13"/>
      <c r="L276" s="21"/>
      <c r="M276" s="21" t="n">
        <f aca="false">IF(C276="covered",10.4,7.55)</f>
        <v>7.55</v>
      </c>
      <c r="N276" s="13" t="n">
        <f aca="false">MAX(ROUNDUP(H276,0),I276)</f>
        <v>50</v>
      </c>
      <c r="O276" s="21"/>
      <c r="P276" s="21" t="n">
        <f aca="false">ROUND(M276*N276,2)</f>
        <v>377.5</v>
      </c>
      <c r="Q276" s="21" t="n">
        <f aca="false">ROUND(P276-IF(O276="",0,O276),2)</f>
        <v>377.5</v>
      </c>
      <c r="R276" s="14" t="str">
        <f aca="false">IF(J276="","MISSING BILL",IF(AND(K276=N276,ABS(L276-M276)&lt;0.001,ABS(O276-P276)&lt;0.01),"RECONCILED","CALCULATION ERROR"))</f>
        <v>MISSING BILL</v>
      </c>
      <c r="S276" s="22" t="s">
        <v>1877</v>
      </c>
    </row>
    <row r="277" customFormat="false" ht="15" hidden="false" customHeight="false" outlineLevel="0" collapsed="false">
      <c r="A277" s="13" t="s">
        <v>2777</v>
      </c>
      <c r="B277" s="13" t="s">
        <v>146</v>
      </c>
      <c r="C277" s="13" t="s">
        <v>1872</v>
      </c>
      <c r="D277" s="13" t="s">
        <v>1873</v>
      </c>
      <c r="E277" s="13" t="s">
        <v>1255</v>
      </c>
      <c r="F277" s="14" t="s">
        <v>1256</v>
      </c>
      <c r="G277" s="14" t="s">
        <v>2295</v>
      </c>
      <c r="H277" s="20" t="n">
        <v>20.5</v>
      </c>
      <c r="I277" s="13" t="n">
        <v>70</v>
      </c>
      <c r="J277" s="13"/>
      <c r="K277" s="13"/>
      <c r="L277" s="21"/>
      <c r="M277" s="21" t="n">
        <f aca="false">IF(C277="covered",10.4,7.55)</f>
        <v>7.55</v>
      </c>
      <c r="N277" s="13" t="n">
        <f aca="false">MAX(ROUNDUP(H277,0),I277)</f>
        <v>70</v>
      </c>
      <c r="O277" s="21"/>
      <c r="P277" s="21" t="n">
        <f aca="false">ROUND(M277*N277,2)</f>
        <v>528.5</v>
      </c>
      <c r="Q277" s="21" t="n">
        <f aca="false">ROUND(P277-IF(O277="",0,O277),2)</f>
        <v>528.5</v>
      </c>
      <c r="R277" s="14" t="str">
        <f aca="false">IF(J277="","MISSING BILL",IF(AND(K277=N277,ABS(L277-M277)&lt;0.001,ABS(O277-P277)&lt;0.01),"RECONCILED","CALCULATION ERROR"))</f>
        <v>MISSING BILL</v>
      </c>
      <c r="S277" s="22" t="s">
        <v>1877</v>
      </c>
    </row>
    <row r="278" customFormat="false" ht="15" hidden="false" customHeight="false" outlineLevel="0" collapsed="false">
      <c r="A278" s="13" t="s">
        <v>2778</v>
      </c>
      <c r="B278" s="13" t="s">
        <v>146</v>
      </c>
      <c r="C278" s="13" t="s">
        <v>1872</v>
      </c>
      <c r="D278" s="13" t="s">
        <v>1873</v>
      </c>
      <c r="E278" s="13" t="s">
        <v>2779</v>
      </c>
      <c r="F278" s="14" t="s">
        <v>2780</v>
      </c>
      <c r="G278" s="14" t="s">
        <v>2186</v>
      </c>
      <c r="H278" s="20" t="n">
        <v>42</v>
      </c>
      <c r="I278" s="13" t="n">
        <v>60</v>
      </c>
      <c r="J278" s="13"/>
      <c r="K278" s="13"/>
      <c r="L278" s="21"/>
      <c r="M278" s="21" t="n">
        <f aca="false">IF(C278="covered",10.4,7.55)</f>
        <v>7.55</v>
      </c>
      <c r="N278" s="13" t="n">
        <f aca="false">MAX(ROUNDUP(H278,0),I278)</f>
        <v>60</v>
      </c>
      <c r="O278" s="21"/>
      <c r="P278" s="21" t="n">
        <f aca="false">ROUND(M278*N278,2)</f>
        <v>453</v>
      </c>
      <c r="Q278" s="21" t="n">
        <f aca="false">ROUND(P278-IF(O278="",0,O278),2)</f>
        <v>453</v>
      </c>
      <c r="R278" s="14" t="str">
        <f aca="false">IF(J278="","MISSING BILL",IF(AND(K278=N278,ABS(L278-M278)&lt;0.001,ABS(O278-P278)&lt;0.01),"RECONCILED","CALCULATION ERROR"))</f>
        <v>MISSING BILL</v>
      </c>
      <c r="S278" s="22" t="s">
        <v>1877</v>
      </c>
    </row>
    <row r="279" customFormat="false" ht="15" hidden="false" customHeight="false" outlineLevel="0" collapsed="false">
      <c r="A279" s="13" t="s">
        <v>2781</v>
      </c>
      <c r="B279" s="13" t="s">
        <v>146</v>
      </c>
      <c r="C279" s="13" t="s">
        <v>1872</v>
      </c>
      <c r="D279" s="13" t="s">
        <v>1873</v>
      </c>
      <c r="E279" s="13" t="s">
        <v>2782</v>
      </c>
      <c r="F279" s="14" t="s">
        <v>2783</v>
      </c>
      <c r="G279" s="14" t="s">
        <v>2784</v>
      </c>
      <c r="H279" s="20" t="n">
        <v>24.4</v>
      </c>
      <c r="I279" s="13" t="n">
        <v>70</v>
      </c>
      <c r="J279" s="13"/>
      <c r="K279" s="13"/>
      <c r="L279" s="21"/>
      <c r="M279" s="21" t="n">
        <f aca="false">IF(C279="covered",10.4,7.55)</f>
        <v>7.55</v>
      </c>
      <c r="N279" s="13" t="n">
        <f aca="false">MAX(ROUNDUP(H279,0),I279)</f>
        <v>70</v>
      </c>
      <c r="O279" s="21"/>
      <c r="P279" s="21" t="n">
        <f aca="false">ROUND(M279*N279,2)</f>
        <v>528.5</v>
      </c>
      <c r="Q279" s="21" t="n">
        <f aca="false">ROUND(P279-IF(O279="",0,O279),2)</f>
        <v>528.5</v>
      </c>
      <c r="R279" s="14" t="str">
        <f aca="false">IF(J279="","MISSING BILL",IF(AND(K279=N279,ABS(L279-M279)&lt;0.001,ABS(O279-P279)&lt;0.01),"RECONCILED","CALCULATION ERROR"))</f>
        <v>MISSING BILL</v>
      </c>
      <c r="S279" s="22" t="s">
        <v>1877</v>
      </c>
    </row>
    <row r="280" customFormat="false" ht="15" hidden="false" customHeight="false" outlineLevel="0" collapsed="false">
      <c r="A280" s="13" t="s">
        <v>2785</v>
      </c>
      <c r="B280" s="13" t="s">
        <v>146</v>
      </c>
      <c r="C280" s="13" t="s">
        <v>1872</v>
      </c>
      <c r="D280" s="13" t="s">
        <v>1873</v>
      </c>
      <c r="E280" s="13" t="s">
        <v>2786</v>
      </c>
      <c r="F280" s="14" t="s">
        <v>2787</v>
      </c>
      <c r="G280" s="14" t="s">
        <v>2788</v>
      </c>
      <c r="H280" s="20" t="n">
        <v>56.7</v>
      </c>
      <c r="I280" s="13" t="n">
        <v>28</v>
      </c>
      <c r="J280" s="13"/>
      <c r="K280" s="13"/>
      <c r="L280" s="21"/>
      <c r="M280" s="21" t="n">
        <f aca="false">IF(C280="covered",10.4,7.55)</f>
        <v>7.55</v>
      </c>
      <c r="N280" s="13" t="n">
        <f aca="false">MAX(ROUNDUP(H280,0),I280)</f>
        <v>57</v>
      </c>
      <c r="O280" s="21"/>
      <c r="P280" s="21" t="n">
        <f aca="false">ROUND(M280*N280,2)</f>
        <v>430.35</v>
      </c>
      <c r="Q280" s="21" t="n">
        <f aca="false">ROUND(P280-IF(O280="",0,O280),2)</f>
        <v>430.35</v>
      </c>
      <c r="R280" s="14" t="str">
        <f aca="false">IF(J280="","MISSING BILL",IF(AND(K280=N280,ABS(L280-M280)&lt;0.001,ABS(O280-P280)&lt;0.01),"RECONCILED","CALCULATION ERROR"))</f>
        <v>MISSING BILL</v>
      </c>
      <c r="S280" s="22" t="s">
        <v>1877</v>
      </c>
    </row>
    <row r="281" customFormat="false" ht="15" hidden="false" customHeight="false" outlineLevel="0" collapsed="false">
      <c r="A281" s="13" t="s">
        <v>2789</v>
      </c>
      <c r="B281" s="13" t="s">
        <v>146</v>
      </c>
      <c r="C281" s="13" t="s">
        <v>1872</v>
      </c>
      <c r="D281" s="13" t="s">
        <v>1873</v>
      </c>
      <c r="E281" s="13" t="s">
        <v>2790</v>
      </c>
      <c r="F281" s="14" t="s">
        <v>2791</v>
      </c>
      <c r="G281" s="14" t="s">
        <v>2792</v>
      </c>
      <c r="H281" s="20" t="n">
        <v>61.6</v>
      </c>
      <c r="I281" s="13" t="n">
        <v>24</v>
      </c>
      <c r="J281" s="13"/>
      <c r="K281" s="13"/>
      <c r="L281" s="21"/>
      <c r="M281" s="21" t="n">
        <f aca="false">IF(C281="covered",10.4,7.55)</f>
        <v>7.55</v>
      </c>
      <c r="N281" s="13" t="n">
        <f aca="false">MAX(ROUNDUP(H281,0),I281)</f>
        <v>62</v>
      </c>
      <c r="O281" s="21"/>
      <c r="P281" s="21" t="n">
        <f aca="false">ROUND(M281*N281,2)</f>
        <v>468.1</v>
      </c>
      <c r="Q281" s="21" t="n">
        <f aca="false">ROUND(P281-IF(O281="",0,O281),2)</f>
        <v>468.1</v>
      </c>
      <c r="R281" s="14" t="str">
        <f aca="false">IF(J281="","MISSING BILL",IF(AND(K281=N281,ABS(L281-M281)&lt;0.001,ABS(O281-P281)&lt;0.01),"RECONCILED","CALCULATION ERROR"))</f>
        <v>MISSING BILL</v>
      </c>
      <c r="S281" s="22" t="s">
        <v>1877</v>
      </c>
    </row>
    <row r="282" customFormat="false" ht="15" hidden="false" customHeight="false" outlineLevel="0" collapsed="false">
      <c r="A282" s="13" t="s">
        <v>2793</v>
      </c>
      <c r="B282" s="13" t="s">
        <v>146</v>
      </c>
      <c r="C282" s="13" t="s">
        <v>1872</v>
      </c>
      <c r="D282" s="13" t="s">
        <v>1873</v>
      </c>
      <c r="E282" s="13" t="s">
        <v>724</v>
      </c>
      <c r="F282" s="14" t="s">
        <v>725</v>
      </c>
      <c r="G282" s="14" t="s">
        <v>2794</v>
      </c>
      <c r="H282" s="20" t="n">
        <v>54.8</v>
      </c>
      <c r="I282" s="13" t="n">
        <v>60</v>
      </c>
      <c r="J282" s="13"/>
      <c r="K282" s="13"/>
      <c r="L282" s="21"/>
      <c r="M282" s="21" t="n">
        <f aca="false">IF(C282="covered",10.4,7.55)</f>
        <v>7.55</v>
      </c>
      <c r="N282" s="13" t="n">
        <f aca="false">MAX(ROUNDUP(H282,0),I282)</f>
        <v>60</v>
      </c>
      <c r="O282" s="21"/>
      <c r="P282" s="21" t="n">
        <f aca="false">ROUND(M282*N282,2)</f>
        <v>453</v>
      </c>
      <c r="Q282" s="21" t="n">
        <f aca="false">ROUND(P282-IF(O282="",0,O282),2)</f>
        <v>453</v>
      </c>
      <c r="R282" s="14" t="str">
        <f aca="false">IF(J282="","MISSING BILL",IF(AND(K282=N282,ABS(L282-M282)&lt;0.001,ABS(O282-P282)&lt;0.01),"RECONCILED","CALCULATION ERROR"))</f>
        <v>MISSING BILL</v>
      </c>
      <c r="S282" s="22" t="s">
        <v>1877</v>
      </c>
    </row>
    <row r="283" customFormat="false" ht="15" hidden="false" customHeight="false" outlineLevel="0" collapsed="false">
      <c r="A283" s="13" t="s">
        <v>2795</v>
      </c>
      <c r="B283" s="13" t="s">
        <v>146</v>
      </c>
      <c r="C283" s="13" t="s">
        <v>1872</v>
      </c>
      <c r="D283" s="13" t="s">
        <v>1873</v>
      </c>
      <c r="E283" s="13" t="s">
        <v>2796</v>
      </c>
      <c r="F283" s="14" t="s">
        <v>2797</v>
      </c>
      <c r="G283" s="14" t="s">
        <v>2798</v>
      </c>
      <c r="H283" s="20" t="n">
        <v>20.2</v>
      </c>
      <c r="I283" s="13" t="n">
        <v>80</v>
      </c>
      <c r="J283" s="13"/>
      <c r="K283" s="13"/>
      <c r="L283" s="21"/>
      <c r="M283" s="21" t="n">
        <f aca="false">IF(C283="covered",10.4,7.55)</f>
        <v>7.55</v>
      </c>
      <c r="N283" s="13" t="n">
        <f aca="false">MAX(ROUNDUP(H283,0),I283)</f>
        <v>80</v>
      </c>
      <c r="O283" s="21"/>
      <c r="P283" s="21" t="n">
        <f aca="false">ROUND(M283*N283,2)</f>
        <v>604</v>
      </c>
      <c r="Q283" s="21" t="n">
        <f aca="false">ROUND(P283-IF(O283="",0,O283),2)</f>
        <v>604</v>
      </c>
      <c r="R283" s="14" t="str">
        <f aca="false">IF(J283="","MISSING BILL",IF(AND(K283=N283,ABS(L283-M283)&lt;0.001,ABS(O283-P283)&lt;0.01),"RECONCILED","CALCULATION ERROR"))</f>
        <v>MISSING BILL</v>
      </c>
      <c r="S283" s="22" t="s">
        <v>1877</v>
      </c>
    </row>
    <row r="284" customFormat="false" ht="15" hidden="false" customHeight="false" outlineLevel="0" collapsed="false">
      <c r="A284" s="13" t="s">
        <v>1486</v>
      </c>
      <c r="B284" s="13" t="s">
        <v>146</v>
      </c>
      <c r="C284" s="13" t="s">
        <v>1872</v>
      </c>
      <c r="D284" s="13" t="s">
        <v>1873</v>
      </c>
      <c r="E284" s="13" t="s">
        <v>2799</v>
      </c>
      <c r="F284" s="14" t="s">
        <v>2800</v>
      </c>
      <c r="G284" s="14" t="s">
        <v>2801</v>
      </c>
      <c r="H284" s="20" t="n">
        <v>59</v>
      </c>
      <c r="I284" s="13" t="n">
        <v>28</v>
      </c>
      <c r="J284" s="13"/>
      <c r="K284" s="13"/>
      <c r="L284" s="21"/>
      <c r="M284" s="21" t="n">
        <f aca="false">IF(C284="covered",10.4,7.55)</f>
        <v>7.55</v>
      </c>
      <c r="N284" s="13" t="n">
        <f aca="false">MAX(ROUNDUP(H284,0),I284)</f>
        <v>59</v>
      </c>
      <c r="O284" s="21"/>
      <c r="P284" s="21" t="n">
        <f aca="false">ROUND(M284*N284,2)</f>
        <v>445.45</v>
      </c>
      <c r="Q284" s="21" t="n">
        <f aca="false">ROUND(P284-IF(O284="",0,O284),2)</f>
        <v>445.45</v>
      </c>
      <c r="R284" s="14" t="str">
        <f aca="false">IF(J284="","MISSING BILL",IF(AND(K284=N284,ABS(L284-M284)&lt;0.001,ABS(O284-P284)&lt;0.01),"RECONCILED","CALCULATION ERROR"))</f>
        <v>MISSING BILL</v>
      </c>
      <c r="S284" s="22" t="s">
        <v>1877</v>
      </c>
    </row>
    <row r="285" customFormat="false" ht="15" hidden="false" customHeight="false" outlineLevel="0" collapsed="false">
      <c r="A285" s="13" t="s">
        <v>1171</v>
      </c>
      <c r="B285" s="13" t="s">
        <v>146</v>
      </c>
      <c r="C285" s="13" t="s">
        <v>1872</v>
      </c>
      <c r="D285" s="13" t="s">
        <v>1873</v>
      </c>
      <c r="E285" s="13" t="s">
        <v>2802</v>
      </c>
      <c r="F285" s="14" t="s">
        <v>2803</v>
      </c>
      <c r="G285" s="14" t="s">
        <v>2804</v>
      </c>
      <c r="H285" s="20" t="n">
        <v>31.5</v>
      </c>
      <c r="I285" s="13" t="n">
        <v>28</v>
      </c>
      <c r="J285" s="13"/>
      <c r="K285" s="13"/>
      <c r="L285" s="21"/>
      <c r="M285" s="21" t="n">
        <f aca="false">IF(C285="covered",10.4,7.55)</f>
        <v>7.55</v>
      </c>
      <c r="N285" s="13" t="n">
        <f aca="false">MAX(ROUNDUP(H285,0),I285)</f>
        <v>32</v>
      </c>
      <c r="O285" s="21"/>
      <c r="P285" s="21" t="n">
        <f aca="false">ROUND(M285*N285,2)</f>
        <v>241.6</v>
      </c>
      <c r="Q285" s="21" t="n">
        <f aca="false">ROUND(P285-IF(O285="",0,O285),2)</f>
        <v>241.6</v>
      </c>
      <c r="R285" s="14" t="str">
        <f aca="false">IF(J285="","MISSING BILL",IF(AND(K285=N285,ABS(L285-M285)&lt;0.001,ABS(O285-P285)&lt;0.01),"RECONCILED","CALCULATION ERROR"))</f>
        <v>MISSING BILL</v>
      </c>
      <c r="S285" s="22" t="s">
        <v>1877</v>
      </c>
    </row>
    <row r="286" customFormat="false" ht="15" hidden="false" customHeight="false" outlineLevel="0" collapsed="false">
      <c r="A286" s="13" t="s">
        <v>2805</v>
      </c>
      <c r="B286" s="13" t="s">
        <v>146</v>
      </c>
      <c r="C286" s="13" t="s">
        <v>1872</v>
      </c>
      <c r="D286" s="13" t="s">
        <v>1873</v>
      </c>
      <c r="E286" s="13" t="s">
        <v>2806</v>
      </c>
      <c r="F286" s="14" t="s">
        <v>2807</v>
      </c>
      <c r="G286" s="14" t="s">
        <v>1960</v>
      </c>
      <c r="H286" s="20" t="n">
        <v>29.7</v>
      </c>
      <c r="I286" s="13" t="n">
        <v>28</v>
      </c>
      <c r="J286" s="13"/>
      <c r="K286" s="13"/>
      <c r="L286" s="21"/>
      <c r="M286" s="21" t="n">
        <f aca="false">IF(C286="covered",10.4,7.55)</f>
        <v>7.55</v>
      </c>
      <c r="N286" s="13" t="n">
        <f aca="false">MAX(ROUNDUP(H286,0),I286)</f>
        <v>30</v>
      </c>
      <c r="O286" s="21"/>
      <c r="P286" s="21" t="n">
        <f aca="false">ROUND(M286*N286,2)</f>
        <v>226.5</v>
      </c>
      <c r="Q286" s="21" t="n">
        <f aca="false">ROUND(P286-IF(O286="",0,O286),2)</f>
        <v>226.5</v>
      </c>
      <c r="R286" s="14" t="str">
        <f aca="false">IF(J286="","MISSING BILL",IF(AND(K286=N286,ABS(L286-M286)&lt;0.001,ABS(O286-P286)&lt;0.01),"RECONCILED","CALCULATION ERROR"))</f>
        <v>MISSING BILL</v>
      </c>
      <c r="S286" s="22" t="s">
        <v>1877</v>
      </c>
    </row>
    <row r="287" customFormat="false" ht="15" hidden="false" customHeight="false" outlineLevel="0" collapsed="false">
      <c r="A287" s="13" t="s">
        <v>2808</v>
      </c>
      <c r="B287" s="13" t="s">
        <v>146</v>
      </c>
      <c r="C287" s="13" t="s">
        <v>1872</v>
      </c>
      <c r="D287" s="13" t="s">
        <v>1873</v>
      </c>
      <c r="E287" s="13" t="s">
        <v>2809</v>
      </c>
      <c r="F287" s="14" t="s">
        <v>2810</v>
      </c>
      <c r="G287" s="14" t="s">
        <v>2662</v>
      </c>
      <c r="H287" s="20" t="n">
        <v>54</v>
      </c>
      <c r="I287" s="13" t="n">
        <v>24</v>
      </c>
      <c r="J287" s="13"/>
      <c r="K287" s="13"/>
      <c r="L287" s="21"/>
      <c r="M287" s="21" t="n">
        <f aca="false">IF(C287="covered",10.4,7.55)</f>
        <v>7.55</v>
      </c>
      <c r="N287" s="13" t="n">
        <f aca="false">MAX(ROUNDUP(H287,0),I287)</f>
        <v>54</v>
      </c>
      <c r="O287" s="21"/>
      <c r="P287" s="21" t="n">
        <f aca="false">ROUND(M287*N287,2)</f>
        <v>407.7</v>
      </c>
      <c r="Q287" s="21" t="n">
        <f aca="false">ROUND(P287-IF(O287="",0,O287),2)</f>
        <v>407.7</v>
      </c>
      <c r="R287" s="14" t="str">
        <f aca="false">IF(J287="","MISSING BILL",IF(AND(K287=N287,ABS(L287-M287)&lt;0.001,ABS(O287-P287)&lt;0.01),"RECONCILED","CALCULATION ERROR"))</f>
        <v>MISSING BILL</v>
      </c>
      <c r="S287" s="22" t="s">
        <v>1877</v>
      </c>
    </row>
    <row r="288" customFormat="false" ht="15" hidden="false" customHeight="false" outlineLevel="0" collapsed="false">
      <c r="A288" s="13" t="s">
        <v>2811</v>
      </c>
      <c r="B288" s="13" t="s">
        <v>146</v>
      </c>
      <c r="C288" s="13" t="s">
        <v>1872</v>
      </c>
      <c r="D288" s="13" t="s">
        <v>1873</v>
      </c>
      <c r="E288" s="13" t="s">
        <v>2812</v>
      </c>
      <c r="F288" s="14" t="s">
        <v>2813</v>
      </c>
      <c r="G288" s="14" t="s">
        <v>2814</v>
      </c>
      <c r="H288" s="20" t="n">
        <v>40.1</v>
      </c>
      <c r="I288" s="13" t="n">
        <v>24</v>
      </c>
      <c r="J288" s="13"/>
      <c r="K288" s="13"/>
      <c r="L288" s="21"/>
      <c r="M288" s="21" t="n">
        <f aca="false">IF(C288="covered",10.4,7.55)</f>
        <v>7.55</v>
      </c>
      <c r="N288" s="13" t="n">
        <f aca="false">MAX(ROUNDUP(H288,0),I288)</f>
        <v>41</v>
      </c>
      <c r="O288" s="21"/>
      <c r="P288" s="21" t="n">
        <f aca="false">ROUND(M288*N288,2)</f>
        <v>309.55</v>
      </c>
      <c r="Q288" s="21" t="n">
        <f aca="false">ROUND(P288-IF(O288="",0,O288),2)</f>
        <v>309.55</v>
      </c>
      <c r="R288" s="14" t="str">
        <f aca="false">IF(J288="","MISSING BILL",IF(AND(K288=N288,ABS(L288-M288)&lt;0.001,ABS(O288-P288)&lt;0.01),"RECONCILED","CALCULATION ERROR"))</f>
        <v>MISSING BILL</v>
      </c>
      <c r="S288" s="22" t="s">
        <v>1877</v>
      </c>
    </row>
    <row r="289" customFormat="false" ht="15" hidden="false" customHeight="false" outlineLevel="0" collapsed="false">
      <c r="A289" s="13" t="s">
        <v>2815</v>
      </c>
      <c r="B289" s="13" t="s">
        <v>146</v>
      </c>
      <c r="C289" s="13" t="s">
        <v>1872</v>
      </c>
      <c r="D289" s="13" t="s">
        <v>1873</v>
      </c>
      <c r="E289" s="13" t="s">
        <v>2816</v>
      </c>
      <c r="F289" s="14" t="s">
        <v>2817</v>
      </c>
      <c r="G289" s="14" t="s">
        <v>2818</v>
      </c>
      <c r="H289" s="20" t="n">
        <v>58.8</v>
      </c>
      <c r="I289" s="13" t="n">
        <v>40</v>
      </c>
      <c r="J289" s="13"/>
      <c r="K289" s="13"/>
      <c r="L289" s="21"/>
      <c r="M289" s="21" t="n">
        <f aca="false">IF(C289="covered",10.4,7.55)</f>
        <v>7.55</v>
      </c>
      <c r="N289" s="13" t="n">
        <f aca="false">MAX(ROUNDUP(H289,0),I289)</f>
        <v>59</v>
      </c>
      <c r="O289" s="21"/>
      <c r="P289" s="21" t="n">
        <f aca="false">ROUND(M289*N289,2)</f>
        <v>445.45</v>
      </c>
      <c r="Q289" s="21" t="n">
        <f aca="false">ROUND(P289-IF(O289="",0,O289),2)</f>
        <v>445.45</v>
      </c>
      <c r="R289" s="14" t="str">
        <f aca="false">IF(J289="","MISSING BILL",IF(AND(K289=N289,ABS(L289-M289)&lt;0.001,ABS(O289-P289)&lt;0.01),"RECONCILED","CALCULATION ERROR"))</f>
        <v>MISSING BILL</v>
      </c>
      <c r="S289" s="22" t="s">
        <v>1877</v>
      </c>
    </row>
    <row r="290" customFormat="false" ht="15" hidden="false" customHeight="false" outlineLevel="0" collapsed="false">
      <c r="A290" s="13" t="s">
        <v>1407</v>
      </c>
      <c r="B290" s="13" t="s">
        <v>146</v>
      </c>
      <c r="C290" s="13" t="s">
        <v>1872</v>
      </c>
      <c r="D290" s="13" t="s">
        <v>1873</v>
      </c>
      <c r="E290" s="13" t="s">
        <v>2819</v>
      </c>
      <c r="F290" s="14" t="s">
        <v>2820</v>
      </c>
      <c r="G290" s="14" t="s">
        <v>2821</v>
      </c>
      <c r="H290" s="20" t="n">
        <v>44.8</v>
      </c>
      <c r="I290" s="13" t="n">
        <v>32</v>
      </c>
      <c r="J290" s="13"/>
      <c r="K290" s="13"/>
      <c r="L290" s="21"/>
      <c r="M290" s="21" t="n">
        <f aca="false">IF(C290="covered",10.4,7.55)</f>
        <v>7.55</v>
      </c>
      <c r="N290" s="13" t="n">
        <f aca="false">MAX(ROUNDUP(H290,0),I290)</f>
        <v>45</v>
      </c>
      <c r="O290" s="21"/>
      <c r="P290" s="21" t="n">
        <f aca="false">ROUND(M290*N290,2)</f>
        <v>339.75</v>
      </c>
      <c r="Q290" s="21" t="n">
        <f aca="false">ROUND(P290-IF(O290="",0,O290),2)</f>
        <v>339.75</v>
      </c>
      <c r="R290" s="14" t="str">
        <f aca="false">IF(J290="","MISSING BILL",IF(AND(K290=N290,ABS(L290-M290)&lt;0.001,ABS(O290-P290)&lt;0.01),"RECONCILED","CALCULATION ERROR"))</f>
        <v>MISSING BILL</v>
      </c>
      <c r="S290" s="22" t="s">
        <v>1877</v>
      </c>
    </row>
    <row r="291" customFormat="false" ht="15" hidden="false" customHeight="false" outlineLevel="0" collapsed="false">
      <c r="A291" s="13" t="s">
        <v>2822</v>
      </c>
      <c r="B291" s="13" t="s">
        <v>146</v>
      </c>
      <c r="C291" s="13" t="s">
        <v>1872</v>
      </c>
      <c r="D291" s="13" t="s">
        <v>1873</v>
      </c>
      <c r="E291" s="13" t="s">
        <v>2823</v>
      </c>
      <c r="F291" s="14" t="s">
        <v>2824</v>
      </c>
      <c r="G291" s="14" t="s">
        <v>2825</v>
      </c>
      <c r="H291" s="20" t="n">
        <v>34.3</v>
      </c>
      <c r="I291" s="13" t="n">
        <v>45</v>
      </c>
      <c r="J291" s="13"/>
      <c r="K291" s="13"/>
      <c r="L291" s="21"/>
      <c r="M291" s="21" t="n">
        <f aca="false">IF(C291="covered",10.4,7.55)</f>
        <v>7.55</v>
      </c>
      <c r="N291" s="13" t="n">
        <f aca="false">MAX(ROUNDUP(H291,0),I291)</f>
        <v>45</v>
      </c>
      <c r="O291" s="21"/>
      <c r="P291" s="21" t="n">
        <f aca="false">ROUND(M291*N291,2)</f>
        <v>339.75</v>
      </c>
      <c r="Q291" s="21" t="n">
        <f aca="false">ROUND(P291-IF(O291="",0,O291),2)</f>
        <v>339.75</v>
      </c>
      <c r="R291" s="14" t="str">
        <f aca="false">IF(J291="","MISSING BILL",IF(AND(K291=N291,ABS(L291-M291)&lt;0.001,ABS(O291-P291)&lt;0.01),"RECONCILED","CALCULATION ERROR"))</f>
        <v>MISSING BILL</v>
      </c>
      <c r="S291" s="22" t="s">
        <v>1877</v>
      </c>
    </row>
    <row r="292" customFormat="false" ht="15" hidden="false" customHeight="false" outlineLevel="0" collapsed="false">
      <c r="A292" s="13" t="s">
        <v>2826</v>
      </c>
      <c r="B292" s="13" t="s">
        <v>146</v>
      </c>
      <c r="C292" s="13" t="s">
        <v>1872</v>
      </c>
      <c r="D292" s="13" t="s">
        <v>1873</v>
      </c>
      <c r="E292" s="13" t="s">
        <v>1302</v>
      </c>
      <c r="F292" s="14" t="s">
        <v>1303</v>
      </c>
      <c r="G292" s="14" t="s">
        <v>2827</v>
      </c>
      <c r="H292" s="20" t="n">
        <v>57</v>
      </c>
      <c r="I292" s="13" t="n">
        <v>32</v>
      </c>
      <c r="J292" s="13"/>
      <c r="K292" s="13"/>
      <c r="L292" s="21"/>
      <c r="M292" s="21" t="n">
        <f aca="false">IF(C292="covered",10.4,7.55)</f>
        <v>7.55</v>
      </c>
      <c r="N292" s="13" t="n">
        <f aca="false">MAX(ROUNDUP(H292,0),I292)</f>
        <v>57</v>
      </c>
      <c r="O292" s="21"/>
      <c r="P292" s="21" t="n">
        <f aca="false">ROUND(M292*N292,2)</f>
        <v>430.35</v>
      </c>
      <c r="Q292" s="21" t="n">
        <f aca="false">ROUND(P292-IF(O292="",0,O292),2)</f>
        <v>430.35</v>
      </c>
      <c r="R292" s="14" t="str">
        <f aca="false">IF(J292="","MISSING BILL",IF(AND(K292=N292,ABS(L292-M292)&lt;0.001,ABS(O292-P292)&lt;0.01),"RECONCILED","CALCULATION ERROR"))</f>
        <v>MISSING BILL</v>
      </c>
      <c r="S292" s="22" t="s">
        <v>1877</v>
      </c>
    </row>
    <row r="293" customFormat="false" ht="15" hidden="false" customHeight="false" outlineLevel="0" collapsed="false">
      <c r="A293" s="13" t="s">
        <v>1206</v>
      </c>
      <c r="B293" s="13" t="s">
        <v>146</v>
      </c>
      <c r="C293" s="13" t="s">
        <v>1872</v>
      </c>
      <c r="D293" s="13" t="s">
        <v>1873</v>
      </c>
      <c r="E293" s="13" t="s">
        <v>2828</v>
      </c>
      <c r="F293" s="14" t="s">
        <v>2829</v>
      </c>
      <c r="G293" s="14" t="s">
        <v>2830</v>
      </c>
      <c r="H293" s="20" t="n">
        <v>44.8</v>
      </c>
      <c r="I293" s="13" t="n">
        <v>24</v>
      </c>
      <c r="J293" s="13"/>
      <c r="K293" s="13"/>
      <c r="L293" s="21"/>
      <c r="M293" s="21" t="n">
        <f aca="false">IF(C293="covered",10.4,7.55)</f>
        <v>7.55</v>
      </c>
      <c r="N293" s="13" t="n">
        <f aca="false">MAX(ROUNDUP(H293,0),I293)</f>
        <v>45</v>
      </c>
      <c r="O293" s="21"/>
      <c r="P293" s="21" t="n">
        <f aca="false">ROUND(M293*N293,2)</f>
        <v>339.75</v>
      </c>
      <c r="Q293" s="21" t="n">
        <f aca="false">ROUND(P293-IF(O293="",0,O293),2)</f>
        <v>339.75</v>
      </c>
      <c r="R293" s="14" t="str">
        <f aca="false">IF(J293="","MISSING BILL",IF(AND(K293=N293,ABS(L293-M293)&lt;0.001,ABS(O293-P293)&lt;0.01),"RECONCILED","CALCULATION ERROR"))</f>
        <v>MISSING BILL</v>
      </c>
      <c r="S293" s="22" t="s">
        <v>1877</v>
      </c>
    </row>
    <row r="294" customFormat="false" ht="15" hidden="false" customHeight="false" outlineLevel="0" collapsed="false">
      <c r="A294" s="13" t="s">
        <v>2831</v>
      </c>
      <c r="B294" s="13" t="s">
        <v>146</v>
      </c>
      <c r="C294" s="13" t="s">
        <v>1872</v>
      </c>
      <c r="D294" s="13" t="s">
        <v>1873</v>
      </c>
      <c r="E294" s="13" t="s">
        <v>2832</v>
      </c>
      <c r="F294" s="14" t="s">
        <v>2833</v>
      </c>
      <c r="G294" s="14" t="s">
        <v>2111</v>
      </c>
      <c r="H294" s="20" t="n">
        <v>21.9</v>
      </c>
      <c r="I294" s="13" t="n">
        <v>24</v>
      </c>
      <c r="J294" s="13"/>
      <c r="K294" s="13"/>
      <c r="L294" s="21"/>
      <c r="M294" s="21" t="n">
        <f aca="false">IF(C294="covered",10.4,7.55)</f>
        <v>7.55</v>
      </c>
      <c r="N294" s="13" t="n">
        <f aca="false">MAX(ROUNDUP(H294,0),I294)</f>
        <v>24</v>
      </c>
      <c r="O294" s="21"/>
      <c r="P294" s="21" t="n">
        <f aca="false">ROUND(M294*N294,2)</f>
        <v>181.2</v>
      </c>
      <c r="Q294" s="21" t="n">
        <f aca="false">ROUND(P294-IF(O294="",0,O294),2)</f>
        <v>181.2</v>
      </c>
      <c r="R294" s="14" t="str">
        <f aca="false">IF(J294="","MISSING BILL",IF(AND(K294=N294,ABS(L294-M294)&lt;0.001,ABS(O294-P294)&lt;0.01),"RECONCILED","CALCULATION ERROR"))</f>
        <v>MISSING BILL</v>
      </c>
      <c r="S294" s="22" t="s">
        <v>1877</v>
      </c>
    </row>
    <row r="295" customFormat="false" ht="15" hidden="false" customHeight="false" outlineLevel="0" collapsed="false">
      <c r="A295" s="13" t="s">
        <v>1413</v>
      </c>
      <c r="B295" s="13" t="s">
        <v>146</v>
      </c>
      <c r="C295" s="13" t="s">
        <v>1872</v>
      </c>
      <c r="D295" s="13" t="s">
        <v>1873</v>
      </c>
      <c r="E295" s="13" t="s">
        <v>2834</v>
      </c>
      <c r="F295" s="14" t="s">
        <v>2835</v>
      </c>
      <c r="G295" s="14" t="s">
        <v>2836</v>
      </c>
      <c r="H295" s="20" t="n">
        <v>61.1</v>
      </c>
      <c r="I295" s="13" t="n">
        <v>28</v>
      </c>
      <c r="J295" s="13"/>
      <c r="K295" s="13"/>
      <c r="L295" s="21"/>
      <c r="M295" s="21" t="n">
        <f aca="false">IF(C295="covered",10.4,7.55)</f>
        <v>7.55</v>
      </c>
      <c r="N295" s="13" t="n">
        <f aca="false">MAX(ROUNDUP(H295,0),I295)</f>
        <v>62</v>
      </c>
      <c r="O295" s="21"/>
      <c r="P295" s="21" t="n">
        <f aca="false">ROUND(M295*N295,2)</f>
        <v>468.1</v>
      </c>
      <c r="Q295" s="21" t="n">
        <f aca="false">ROUND(P295-IF(O295="",0,O295),2)</f>
        <v>468.1</v>
      </c>
      <c r="R295" s="14" t="str">
        <f aca="false">IF(J295="","MISSING BILL",IF(AND(K295=N295,ABS(L295-M295)&lt;0.001,ABS(O295-P295)&lt;0.01),"RECONCILED","CALCULATION ERROR"))</f>
        <v>MISSING BILL</v>
      </c>
      <c r="S295" s="22" t="s">
        <v>1877</v>
      </c>
    </row>
    <row r="296" customFormat="false" ht="15" hidden="false" customHeight="false" outlineLevel="0" collapsed="false">
      <c r="A296" s="13" t="s">
        <v>2837</v>
      </c>
      <c r="B296" s="13" t="s">
        <v>146</v>
      </c>
      <c r="C296" s="13" t="s">
        <v>1872</v>
      </c>
      <c r="D296" s="13" t="s">
        <v>1873</v>
      </c>
      <c r="E296" s="13" t="s">
        <v>301</v>
      </c>
      <c r="F296" s="14" t="s">
        <v>302</v>
      </c>
      <c r="G296" s="14" t="s">
        <v>2838</v>
      </c>
      <c r="H296" s="20" t="n">
        <v>22.2</v>
      </c>
      <c r="I296" s="13" t="n">
        <v>28</v>
      </c>
      <c r="J296" s="13"/>
      <c r="K296" s="13"/>
      <c r="L296" s="21"/>
      <c r="M296" s="21" t="n">
        <f aca="false">IF(C296="covered",10.4,7.55)</f>
        <v>7.55</v>
      </c>
      <c r="N296" s="13" t="n">
        <f aca="false">MAX(ROUNDUP(H296,0),I296)</f>
        <v>28</v>
      </c>
      <c r="O296" s="21"/>
      <c r="P296" s="21" t="n">
        <f aca="false">ROUND(M296*N296,2)</f>
        <v>211.4</v>
      </c>
      <c r="Q296" s="21" t="n">
        <f aca="false">ROUND(P296-IF(O296="",0,O296),2)</f>
        <v>211.4</v>
      </c>
      <c r="R296" s="14" t="str">
        <f aca="false">IF(J296="","MISSING BILL",IF(AND(K296=N296,ABS(L296-M296)&lt;0.001,ABS(O296-P296)&lt;0.01),"RECONCILED","CALCULATION ERROR"))</f>
        <v>MISSING BILL</v>
      </c>
      <c r="S296" s="22" t="s">
        <v>1877</v>
      </c>
    </row>
    <row r="297" customFormat="false" ht="15" hidden="false" customHeight="false" outlineLevel="0" collapsed="false">
      <c r="A297" s="13" t="s">
        <v>2839</v>
      </c>
      <c r="B297" s="13" t="s">
        <v>146</v>
      </c>
      <c r="C297" s="13" t="s">
        <v>1872</v>
      </c>
      <c r="D297" s="13" t="s">
        <v>1873</v>
      </c>
      <c r="E297" s="13" t="s">
        <v>2840</v>
      </c>
      <c r="F297" s="14" t="s">
        <v>2841</v>
      </c>
      <c r="G297" s="14" t="s">
        <v>2842</v>
      </c>
      <c r="H297" s="20" t="n">
        <v>21.2</v>
      </c>
      <c r="I297" s="13" t="n">
        <v>45</v>
      </c>
      <c r="J297" s="13"/>
      <c r="K297" s="13"/>
      <c r="L297" s="21"/>
      <c r="M297" s="21" t="n">
        <f aca="false">IF(C297="covered",10.4,7.55)</f>
        <v>7.55</v>
      </c>
      <c r="N297" s="13" t="n">
        <f aca="false">MAX(ROUNDUP(H297,0),I297)</f>
        <v>45</v>
      </c>
      <c r="O297" s="21"/>
      <c r="P297" s="21" t="n">
        <f aca="false">ROUND(M297*N297,2)</f>
        <v>339.75</v>
      </c>
      <c r="Q297" s="21" t="n">
        <f aca="false">ROUND(P297-IF(O297="",0,O297),2)</f>
        <v>339.75</v>
      </c>
      <c r="R297" s="14" t="str">
        <f aca="false">IF(J297="","MISSING BILL",IF(AND(K297=N297,ABS(L297-M297)&lt;0.001,ABS(O297-P297)&lt;0.01),"RECONCILED","CALCULATION ERROR"))</f>
        <v>MISSING BILL</v>
      </c>
      <c r="S297" s="22" t="s">
        <v>1877</v>
      </c>
    </row>
    <row r="298" customFormat="false" ht="15" hidden="false" customHeight="false" outlineLevel="0" collapsed="false">
      <c r="A298" s="13" t="s">
        <v>2843</v>
      </c>
      <c r="B298" s="13" t="s">
        <v>146</v>
      </c>
      <c r="C298" s="13" t="s">
        <v>1872</v>
      </c>
      <c r="D298" s="13" t="s">
        <v>1873</v>
      </c>
      <c r="E298" s="13" t="s">
        <v>2844</v>
      </c>
      <c r="F298" s="14" t="s">
        <v>2845</v>
      </c>
      <c r="G298" s="14" t="s">
        <v>2846</v>
      </c>
      <c r="H298" s="20" t="n">
        <v>34.1</v>
      </c>
      <c r="I298" s="13" t="n">
        <v>40</v>
      </c>
      <c r="J298" s="13"/>
      <c r="K298" s="13"/>
      <c r="L298" s="21"/>
      <c r="M298" s="21" t="n">
        <f aca="false">IF(C298="covered",10.4,7.55)</f>
        <v>7.55</v>
      </c>
      <c r="N298" s="13" t="n">
        <f aca="false">MAX(ROUNDUP(H298,0),I298)</f>
        <v>40</v>
      </c>
      <c r="O298" s="21"/>
      <c r="P298" s="21" t="n">
        <f aca="false">ROUND(M298*N298,2)</f>
        <v>302</v>
      </c>
      <c r="Q298" s="21" t="n">
        <f aca="false">ROUND(P298-IF(O298="",0,O298),2)</f>
        <v>302</v>
      </c>
      <c r="R298" s="14" t="str">
        <f aca="false">IF(J298="","MISSING BILL",IF(AND(K298=N298,ABS(L298-M298)&lt;0.001,ABS(O298-P298)&lt;0.01),"RECONCILED","CALCULATION ERROR"))</f>
        <v>MISSING BILL</v>
      </c>
      <c r="S298" s="22" t="s">
        <v>1877</v>
      </c>
    </row>
    <row r="299" customFormat="false" ht="15" hidden="false" customHeight="false" outlineLevel="0" collapsed="false">
      <c r="A299" s="13" t="s">
        <v>2847</v>
      </c>
      <c r="B299" s="13" t="s">
        <v>146</v>
      </c>
      <c r="C299" s="13" t="s">
        <v>1872</v>
      </c>
      <c r="D299" s="13" t="s">
        <v>1873</v>
      </c>
      <c r="E299" s="13" t="s">
        <v>1367</v>
      </c>
      <c r="F299" s="14" t="s">
        <v>1368</v>
      </c>
      <c r="G299" s="14" t="s">
        <v>2225</v>
      </c>
      <c r="H299" s="20" t="n">
        <v>22.1</v>
      </c>
      <c r="I299" s="13" t="n">
        <v>32</v>
      </c>
      <c r="J299" s="13"/>
      <c r="K299" s="13"/>
      <c r="L299" s="21"/>
      <c r="M299" s="21" t="n">
        <f aca="false">IF(C299="covered",10.4,7.55)</f>
        <v>7.55</v>
      </c>
      <c r="N299" s="13" t="n">
        <f aca="false">MAX(ROUNDUP(H299,0),I299)</f>
        <v>32</v>
      </c>
      <c r="O299" s="21"/>
      <c r="P299" s="21" t="n">
        <f aca="false">ROUND(M299*N299,2)</f>
        <v>241.6</v>
      </c>
      <c r="Q299" s="21" t="n">
        <f aca="false">ROUND(P299-IF(O299="",0,O299),2)</f>
        <v>241.6</v>
      </c>
      <c r="R299" s="14" t="str">
        <f aca="false">IF(J299="","MISSING BILL",IF(AND(K299=N299,ABS(L299-M299)&lt;0.001,ABS(O299-P299)&lt;0.01),"RECONCILED","CALCULATION ERROR"))</f>
        <v>MISSING BILL</v>
      </c>
      <c r="S299" s="22" t="s">
        <v>1877</v>
      </c>
    </row>
    <row r="300" customFormat="false" ht="15" hidden="false" customHeight="false" outlineLevel="0" collapsed="false">
      <c r="A300" s="13" t="s">
        <v>2848</v>
      </c>
      <c r="B300" s="13" t="s">
        <v>146</v>
      </c>
      <c r="C300" s="13" t="s">
        <v>1872</v>
      </c>
      <c r="D300" s="13" t="s">
        <v>1873</v>
      </c>
      <c r="E300" s="13" t="s">
        <v>2849</v>
      </c>
      <c r="F300" s="14" t="s">
        <v>2850</v>
      </c>
      <c r="G300" s="14" t="s">
        <v>2851</v>
      </c>
      <c r="H300" s="20" t="n">
        <v>24.6</v>
      </c>
      <c r="I300" s="13" t="n">
        <v>24</v>
      </c>
      <c r="J300" s="13"/>
      <c r="K300" s="13"/>
      <c r="L300" s="21"/>
      <c r="M300" s="21" t="n">
        <f aca="false">IF(C300="covered",10.4,7.55)</f>
        <v>7.55</v>
      </c>
      <c r="N300" s="13" t="n">
        <f aca="false">MAX(ROUNDUP(H300,0),I300)</f>
        <v>25</v>
      </c>
      <c r="O300" s="21"/>
      <c r="P300" s="21" t="n">
        <f aca="false">ROUND(M300*N300,2)</f>
        <v>188.75</v>
      </c>
      <c r="Q300" s="21" t="n">
        <f aca="false">ROUND(P300-IF(O300="",0,O300),2)</f>
        <v>188.75</v>
      </c>
      <c r="R300" s="14" t="str">
        <f aca="false">IF(J300="","MISSING BILL",IF(AND(K300=N300,ABS(L300-M300)&lt;0.001,ABS(O300-P300)&lt;0.01),"RECONCILED","CALCULATION ERROR"))</f>
        <v>MISSING BILL</v>
      </c>
      <c r="S300" s="22" t="s">
        <v>1877</v>
      </c>
    </row>
    <row r="301" customFormat="false" ht="15" hidden="false" customHeight="false" outlineLevel="0" collapsed="false">
      <c r="A301" s="13" t="s">
        <v>2852</v>
      </c>
      <c r="B301" s="13" t="s">
        <v>146</v>
      </c>
      <c r="C301" s="13" t="s">
        <v>1872</v>
      </c>
      <c r="D301" s="13" t="s">
        <v>1873</v>
      </c>
      <c r="E301" s="13" t="s">
        <v>2853</v>
      </c>
      <c r="F301" s="14" t="s">
        <v>2854</v>
      </c>
      <c r="G301" s="14" t="s">
        <v>2855</v>
      </c>
      <c r="H301" s="20" t="n">
        <v>52.3</v>
      </c>
      <c r="I301" s="13" t="n">
        <v>28</v>
      </c>
      <c r="J301" s="13"/>
      <c r="K301" s="13"/>
      <c r="L301" s="21"/>
      <c r="M301" s="21" t="n">
        <f aca="false">IF(C301="covered",10.4,7.55)</f>
        <v>7.55</v>
      </c>
      <c r="N301" s="13" t="n">
        <f aca="false">MAX(ROUNDUP(H301,0),I301)</f>
        <v>53</v>
      </c>
      <c r="O301" s="21"/>
      <c r="P301" s="21" t="n">
        <f aca="false">ROUND(M301*N301,2)</f>
        <v>400.15</v>
      </c>
      <c r="Q301" s="21" t="n">
        <f aca="false">ROUND(P301-IF(O301="",0,O301),2)</f>
        <v>400.15</v>
      </c>
      <c r="R301" s="14" t="str">
        <f aca="false">IF(J301="","MISSING BILL",IF(AND(K301=N301,ABS(L301-M301)&lt;0.001,ABS(O301-P301)&lt;0.01),"RECONCILED","CALCULATION ERROR"))</f>
        <v>MISSING BILL</v>
      </c>
      <c r="S301" s="22" t="s">
        <v>1877</v>
      </c>
    </row>
    <row r="302" customFormat="false" ht="15" hidden="false" customHeight="false" outlineLevel="0" collapsed="false">
      <c r="A302" s="13" t="s">
        <v>2856</v>
      </c>
      <c r="B302" s="13" t="s">
        <v>146</v>
      </c>
      <c r="C302" s="13" t="s">
        <v>1872</v>
      </c>
      <c r="D302" s="13" t="s">
        <v>1873</v>
      </c>
      <c r="E302" s="13" t="s">
        <v>2857</v>
      </c>
      <c r="F302" s="14" t="s">
        <v>2858</v>
      </c>
      <c r="G302" s="14" t="s">
        <v>2859</v>
      </c>
      <c r="H302" s="20" t="n">
        <v>25.9</v>
      </c>
      <c r="I302" s="13" t="n">
        <v>70</v>
      </c>
      <c r="J302" s="13"/>
      <c r="K302" s="13"/>
      <c r="L302" s="21"/>
      <c r="M302" s="21" t="n">
        <f aca="false">IF(C302="covered",10.4,7.55)</f>
        <v>7.55</v>
      </c>
      <c r="N302" s="13" t="n">
        <f aca="false">MAX(ROUNDUP(H302,0),I302)</f>
        <v>70</v>
      </c>
      <c r="O302" s="21"/>
      <c r="P302" s="21" t="n">
        <f aca="false">ROUND(M302*N302,2)</f>
        <v>528.5</v>
      </c>
      <c r="Q302" s="21" t="n">
        <f aca="false">ROUND(P302-IF(O302="",0,O302),2)</f>
        <v>528.5</v>
      </c>
      <c r="R302" s="14" t="str">
        <f aca="false">IF(J302="","MISSING BILL",IF(AND(K302=N302,ABS(L302-M302)&lt;0.001,ABS(O302-P302)&lt;0.01),"RECONCILED","CALCULATION ERROR"))</f>
        <v>MISSING BILL</v>
      </c>
      <c r="S302" s="22" t="s">
        <v>1877</v>
      </c>
    </row>
    <row r="303" customFormat="false" ht="15" hidden="false" customHeight="false" outlineLevel="0" collapsed="false">
      <c r="A303" s="13" t="s">
        <v>2860</v>
      </c>
      <c r="B303" s="13" t="s">
        <v>146</v>
      </c>
      <c r="C303" s="13" t="s">
        <v>1872</v>
      </c>
      <c r="D303" s="13" t="s">
        <v>1873</v>
      </c>
      <c r="E303" s="13" t="s">
        <v>2861</v>
      </c>
      <c r="F303" s="14" t="s">
        <v>2862</v>
      </c>
      <c r="G303" s="14" t="s">
        <v>2863</v>
      </c>
      <c r="H303" s="20" t="n">
        <v>46.5</v>
      </c>
      <c r="I303" s="13" t="n">
        <v>28</v>
      </c>
      <c r="J303" s="13"/>
      <c r="K303" s="13"/>
      <c r="L303" s="21"/>
      <c r="M303" s="21" t="n">
        <f aca="false">IF(C303="covered",10.4,7.55)</f>
        <v>7.55</v>
      </c>
      <c r="N303" s="13" t="n">
        <f aca="false">MAX(ROUNDUP(H303,0),I303)</f>
        <v>47</v>
      </c>
      <c r="O303" s="21"/>
      <c r="P303" s="21" t="n">
        <f aca="false">ROUND(M303*N303,2)</f>
        <v>354.85</v>
      </c>
      <c r="Q303" s="21" t="n">
        <f aca="false">ROUND(P303-IF(O303="",0,O303),2)</f>
        <v>354.85</v>
      </c>
      <c r="R303" s="14" t="str">
        <f aca="false">IF(J303="","MISSING BILL",IF(AND(K303=N303,ABS(L303-M303)&lt;0.001,ABS(O303-P303)&lt;0.01),"RECONCILED","CALCULATION ERROR"))</f>
        <v>MISSING BILL</v>
      </c>
      <c r="S303" s="22" t="s">
        <v>1877</v>
      </c>
    </row>
    <row r="304" customFormat="false" ht="15" hidden="false" customHeight="false" outlineLevel="0" collapsed="false">
      <c r="A304" s="13" t="s">
        <v>2864</v>
      </c>
      <c r="B304" s="13" t="s">
        <v>146</v>
      </c>
      <c r="C304" s="13" t="s">
        <v>1872</v>
      </c>
      <c r="D304" s="13" t="s">
        <v>1873</v>
      </c>
      <c r="E304" s="13" t="s">
        <v>2865</v>
      </c>
      <c r="F304" s="14" t="s">
        <v>2866</v>
      </c>
      <c r="G304" s="14" t="s">
        <v>2867</v>
      </c>
      <c r="H304" s="20" t="n">
        <v>28</v>
      </c>
      <c r="I304" s="13" t="n">
        <v>70</v>
      </c>
      <c r="J304" s="13"/>
      <c r="K304" s="13"/>
      <c r="L304" s="21"/>
      <c r="M304" s="21" t="n">
        <f aca="false">IF(C304="covered",10.4,7.55)</f>
        <v>7.55</v>
      </c>
      <c r="N304" s="13" t="n">
        <f aca="false">MAX(ROUNDUP(H304,0),I304)</f>
        <v>70</v>
      </c>
      <c r="O304" s="21"/>
      <c r="P304" s="21" t="n">
        <f aca="false">ROUND(M304*N304,2)</f>
        <v>528.5</v>
      </c>
      <c r="Q304" s="21" t="n">
        <f aca="false">ROUND(P304-IF(O304="",0,O304),2)</f>
        <v>528.5</v>
      </c>
      <c r="R304" s="14" t="str">
        <f aca="false">IF(J304="","MISSING BILL",IF(AND(K304=N304,ABS(L304-M304)&lt;0.001,ABS(O304-P304)&lt;0.01),"RECONCILED","CALCULATION ERROR"))</f>
        <v>MISSING BILL</v>
      </c>
      <c r="S304" s="22" t="s">
        <v>1877</v>
      </c>
    </row>
    <row r="305" customFormat="false" ht="15" hidden="false" customHeight="false" outlineLevel="0" collapsed="false">
      <c r="A305" s="13" t="s">
        <v>2868</v>
      </c>
      <c r="B305" s="13" t="s">
        <v>146</v>
      </c>
      <c r="C305" s="13" t="s">
        <v>1872</v>
      </c>
      <c r="D305" s="13" t="s">
        <v>1873</v>
      </c>
      <c r="E305" s="13" t="s">
        <v>2869</v>
      </c>
      <c r="F305" s="14" t="s">
        <v>2870</v>
      </c>
      <c r="G305" s="14" t="s">
        <v>2079</v>
      </c>
      <c r="H305" s="20" t="n">
        <v>25.9</v>
      </c>
      <c r="I305" s="13" t="n">
        <v>24</v>
      </c>
      <c r="J305" s="13"/>
      <c r="K305" s="13"/>
      <c r="L305" s="21"/>
      <c r="M305" s="21" t="n">
        <f aca="false">IF(C305="covered",10.4,7.55)</f>
        <v>7.55</v>
      </c>
      <c r="N305" s="13" t="n">
        <f aca="false">MAX(ROUNDUP(H305,0),I305)</f>
        <v>26</v>
      </c>
      <c r="O305" s="21"/>
      <c r="P305" s="21" t="n">
        <f aca="false">ROUND(M305*N305,2)</f>
        <v>196.3</v>
      </c>
      <c r="Q305" s="21" t="n">
        <f aca="false">ROUND(P305-IF(O305="",0,O305),2)</f>
        <v>196.3</v>
      </c>
      <c r="R305" s="14" t="str">
        <f aca="false">IF(J305="","MISSING BILL",IF(AND(K305=N305,ABS(L305-M305)&lt;0.001,ABS(O305-P305)&lt;0.01),"RECONCILED","CALCULATION ERROR"))</f>
        <v>MISSING BILL</v>
      </c>
      <c r="S305" s="22" t="s">
        <v>1877</v>
      </c>
    </row>
    <row r="306" customFormat="false" ht="15" hidden="false" customHeight="false" outlineLevel="0" collapsed="false">
      <c r="A306" s="13" t="s">
        <v>2871</v>
      </c>
      <c r="B306" s="13" t="s">
        <v>146</v>
      </c>
      <c r="C306" s="13" t="s">
        <v>1872</v>
      </c>
      <c r="D306" s="13" t="s">
        <v>1873</v>
      </c>
      <c r="E306" s="13" t="s">
        <v>2872</v>
      </c>
      <c r="F306" s="14" t="s">
        <v>2873</v>
      </c>
      <c r="G306" s="14" t="s">
        <v>2821</v>
      </c>
      <c r="H306" s="20" t="n">
        <v>47.3</v>
      </c>
      <c r="I306" s="13" t="n">
        <v>40</v>
      </c>
      <c r="J306" s="13"/>
      <c r="K306" s="13"/>
      <c r="L306" s="21"/>
      <c r="M306" s="21" t="n">
        <f aca="false">IF(C306="covered",10.4,7.55)</f>
        <v>7.55</v>
      </c>
      <c r="N306" s="13" t="n">
        <f aca="false">MAX(ROUNDUP(H306,0),I306)</f>
        <v>48</v>
      </c>
      <c r="O306" s="21"/>
      <c r="P306" s="21" t="n">
        <f aca="false">ROUND(M306*N306,2)</f>
        <v>362.4</v>
      </c>
      <c r="Q306" s="21" t="n">
        <f aca="false">ROUND(P306-IF(O306="",0,O306),2)</f>
        <v>362.4</v>
      </c>
      <c r="R306" s="14" t="str">
        <f aca="false">IF(J306="","MISSING BILL",IF(AND(K306=N306,ABS(L306-M306)&lt;0.001,ABS(O306-P306)&lt;0.01),"RECONCILED","CALCULATION ERROR"))</f>
        <v>MISSING BILL</v>
      </c>
      <c r="S306" s="22" t="s">
        <v>1877</v>
      </c>
    </row>
    <row r="307" customFormat="false" ht="15" hidden="false" customHeight="false" outlineLevel="0" collapsed="false">
      <c r="A307" s="13" t="s">
        <v>944</v>
      </c>
      <c r="B307" s="13" t="s">
        <v>146</v>
      </c>
      <c r="C307" s="13" t="s">
        <v>1872</v>
      </c>
      <c r="D307" s="13" t="s">
        <v>1873</v>
      </c>
      <c r="E307" s="13" t="s">
        <v>2874</v>
      </c>
      <c r="F307" s="14" t="s">
        <v>2875</v>
      </c>
      <c r="G307" s="14" t="s">
        <v>2128</v>
      </c>
      <c r="H307" s="20" t="n">
        <v>26.8</v>
      </c>
      <c r="I307" s="13" t="n">
        <v>36</v>
      </c>
      <c r="J307" s="13"/>
      <c r="K307" s="13"/>
      <c r="L307" s="21"/>
      <c r="M307" s="21" t="n">
        <f aca="false">IF(C307="covered",10.4,7.55)</f>
        <v>7.55</v>
      </c>
      <c r="N307" s="13" t="n">
        <f aca="false">MAX(ROUNDUP(H307,0),I307)</f>
        <v>36</v>
      </c>
      <c r="O307" s="21"/>
      <c r="P307" s="21" t="n">
        <f aca="false">ROUND(M307*N307,2)</f>
        <v>271.8</v>
      </c>
      <c r="Q307" s="21" t="n">
        <f aca="false">ROUND(P307-IF(O307="",0,O307),2)</f>
        <v>271.8</v>
      </c>
      <c r="R307" s="14" t="str">
        <f aca="false">IF(J307="","MISSING BILL",IF(AND(K307=N307,ABS(L307-M307)&lt;0.001,ABS(O307-P307)&lt;0.01),"RECONCILED","CALCULATION ERROR"))</f>
        <v>MISSING BILL</v>
      </c>
      <c r="S307" s="22" t="s">
        <v>1877</v>
      </c>
    </row>
    <row r="308" customFormat="false" ht="15" hidden="false" customHeight="false" outlineLevel="0" collapsed="false">
      <c r="A308" s="13" t="s">
        <v>2876</v>
      </c>
      <c r="B308" s="13" t="s">
        <v>146</v>
      </c>
      <c r="C308" s="13" t="s">
        <v>1872</v>
      </c>
      <c r="D308" s="13" t="s">
        <v>1873</v>
      </c>
      <c r="E308" s="13" t="s">
        <v>2877</v>
      </c>
      <c r="F308" s="14" t="s">
        <v>2878</v>
      </c>
      <c r="G308" s="14" t="s">
        <v>2549</v>
      </c>
      <c r="H308" s="20" t="n">
        <v>34.6</v>
      </c>
      <c r="I308" s="13" t="n">
        <v>32</v>
      </c>
      <c r="J308" s="13"/>
      <c r="K308" s="13"/>
      <c r="L308" s="21"/>
      <c r="M308" s="21" t="n">
        <f aca="false">IF(C308="covered",10.4,7.55)</f>
        <v>7.55</v>
      </c>
      <c r="N308" s="13" t="n">
        <f aca="false">MAX(ROUNDUP(H308,0),I308)</f>
        <v>35</v>
      </c>
      <c r="O308" s="21"/>
      <c r="P308" s="21" t="n">
        <f aca="false">ROUND(M308*N308,2)</f>
        <v>264.25</v>
      </c>
      <c r="Q308" s="21" t="n">
        <f aca="false">ROUND(P308-IF(O308="",0,O308),2)</f>
        <v>264.25</v>
      </c>
      <c r="R308" s="14" t="str">
        <f aca="false">IF(J308="","MISSING BILL",IF(AND(K308=N308,ABS(L308-M308)&lt;0.001,ABS(O308-P308)&lt;0.01),"RECONCILED","CALCULATION ERROR"))</f>
        <v>MISSING BILL</v>
      </c>
      <c r="S308" s="22" t="s">
        <v>1877</v>
      </c>
    </row>
    <row r="309" customFormat="false" ht="15" hidden="false" customHeight="false" outlineLevel="0" collapsed="false">
      <c r="A309" s="13" t="s">
        <v>708</v>
      </c>
      <c r="B309" s="13" t="s">
        <v>146</v>
      </c>
      <c r="C309" s="13" t="s">
        <v>1872</v>
      </c>
      <c r="D309" s="13" t="s">
        <v>1873</v>
      </c>
      <c r="E309" s="13" t="s">
        <v>2879</v>
      </c>
      <c r="F309" s="14" t="s">
        <v>2880</v>
      </c>
      <c r="G309" s="14" t="s">
        <v>2881</v>
      </c>
      <c r="H309" s="20" t="n">
        <v>43.8</v>
      </c>
      <c r="I309" s="13" t="n">
        <v>24</v>
      </c>
      <c r="J309" s="13"/>
      <c r="K309" s="13"/>
      <c r="L309" s="21"/>
      <c r="M309" s="21" t="n">
        <f aca="false">IF(C309="covered",10.4,7.55)</f>
        <v>7.55</v>
      </c>
      <c r="N309" s="13" t="n">
        <f aca="false">MAX(ROUNDUP(H309,0),I309)</f>
        <v>44</v>
      </c>
      <c r="O309" s="21"/>
      <c r="P309" s="21" t="n">
        <f aca="false">ROUND(M309*N309,2)</f>
        <v>332.2</v>
      </c>
      <c r="Q309" s="21" t="n">
        <f aca="false">ROUND(P309-IF(O309="",0,O309),2)</f>
        <v>332.2</v>
      </c>
      <c r="R309" s="14" t="str">
        <f aca="false">IF(J309="","MISSING BILL",IF(AND(K309=N309,ABS(L309-M309)&lt;0.001,ABS(O309-P309)&lt;0.01),"RECONCILED","CALCULATION ERROR"))</f>
        <v>MISSING BILL</v>
      </c>
      <c r="S309" s="22" t="s">
        <v>1877</v>
      </c>
    </row>
    <row r="310" customFormat="false" ht="15" hidden="false" customHeight="false" outlineLevel="0" collapsed="false">
      <c r="A310" s="13" t="s">
        <v>2882</v>
      </c>
      <c r="B310" s="13" t="s">
        <v>146</v>
      </c>
      <c r="C310" s="13" t="s">
        <v>1872</v>
      </c>
      <c r="D310" s="13" t="s">
        <v>1873</v>
      </c>
      <c r="E310" s="13" t="s">
        <v>2883</v>
      </c>
      <c r="F310" s="14" t="s">
        <v>2884</v>
      </c>
      <c r="G310" s="14" t="s">
        <v>2885</v>
      </c>
      <c r="H310" s="20" t="n">
        <v>44.7</v>
      </c>
      <c r="I310" s="13" t="n">
        <v>45</v>
      </c>
      <c r="J310" s="13"/>
      <c r="K310" s="13"/>
      <c r="L310" s="21"/>
      <c r="M310" s="21" t="n">
        <f aca="false">IF(C310="covered",10.4,7.55)</f>
        <v>7.55</v>
      </c>
      <c r="N310" s="13" t="n">
        <f aca="false">MAX(ROUNDUP(H310,0),I310)</f>
        <v>45</v>
      </c>
      <c r="O310" s="21"/>
      <c r="P310" s="21" t="n">
        <f aca="false">ROUND(M310*N310,2)</f>
        <v>339.75</v>
      </c>
      <c r="Q310" s="21" t="n">
        <f aca="false">ROUND(P310-IF(O310="",0,O310),2)</f>
        <v>339.75</v>
      </c>
      <c r="R310" s="14" t="str">
        <f aca="false">IF(J310="","MISSING BILL",IF(AND(K310=N310,ABS(L310-M310)&lt;0.001,ABS(O310-P310)&lt;0.01),"RECONCILED","CALCULATION ERROR"))</f>
        <v>MISSING BILL</v>
      </c>
      <c r="S310" s="22" t="s">
        <v>1877</v>
      </c>
    </row>
    <row r="311" customFormat="false" ht="15" hidden="false" customHeight="false" outlineLevel="0" collapsed="false">
      <c r="A311" s="13" t="s">
        <v>248</v>
      </c>
      <c r="B311" s="13" t="s">
        <v>146</v>
      </c>
      <c r="C311" s="13" t="s">
        <v>1872</v>
      </c>
      <c r="D311" s="13" t="s">
        <v>1873</v>
      </c>
      <c r="E311" s="13" t="s">
        <v>2886</v>
      </c>
      <c r="F311" s="14" t="s">
        <v>2887</v>
      </c>
      <c r="G311" s="14" t="s">
        <v>2888</v>
      </c>
      <c r="H311" s="20" t="n">
        <v>31.9</v>
      </c>
      <c r="I311" s="13" t="n">
        <v>80</v>
      </c>
      <c r="J311" s="13"/>
      <c r="K311" s="13"/>
      <c r="L311" s="21"/>
      <c r="M311" s="21" t="n">
        <f aca="false">IF(C311="covered",10.4,7.55)</f>
        <v>7.55</v>
      </c>
      <c r="N311" s="13" t="n">
        <f aca="false">MAX(ROUNDUP(H311,0),I311)</f>
        <v>80</v>
      </c>
      <c r="O311" s="21"/>
      <c r="P311" s="21" t="n">
        <f aca="false">ROUND(M311*N311,2)</f>
        <v>604</v>
      </c>
      <c r="Q311" s="21" t="n">
        <f aca="false">ROUND(P311-IF(O311="",0,O311),2)</f>
        <v>604</v>
      </c>
      <c r="R311" s="14" t="str">
        <f aca="false">IF(J311="","MISSING BILL",IF(AND(K311=N311,ABS(L311-M311)&lt;0.001,ABS(O311-P311)&lt;0.01),"RECONCILED","CALCULATION ERROR"))</f>
        <v>MISSING BILL</v>
      </c>
      <c r="S311" s="22" t="s">
        <v>1877</v>
      </c>
    </row>
    <row r="312" customFormat="false" ht="15" hidden="false" customHeight="false" outlineLevel="0" collapsed="false">
      <c r="A312" s="13" t="s">
        <v>2889</v>
      </c>
      <c r="B312" s="13" t="s">
        <v>146</v>
      </c>
      <c r="C312" s="13" t="s">
        <v>1872</v>
      </c>
      <c r="D312" s="13" t="s">
        <v>1873</v>
      </c>
      <c r="E312" s="13" t="s">
        <v>2890</v>
      </c>
      <c r="F312" s="14" t="s">
        <v>2891</v>
      </c>
      <c r="G312" s="14" t="s">
        <v>2892</v>
      </c>
      <c r="H312" s="20" t="n">
        <v>59.4</v>
      </c>
      <c r="I312" s="13" t="n">
        <v>80</v>
      </c>
      <c r="J312" s="13"/>
      <c r="K312" s="13"/>
      <c r="L312" s="21"/>
      <c r="M312" s="21" t="n">
        <f aca="false">IF(C312="covered",10.4,7.55)</f>
        <v>7.55</v>
      </c>
      <c r="N312" s="13" t="n">
        <f aca="false">MAX(ROUNDUP(H312,0),I312)</f>
        <v>80</v>
      </c>
      <c r="O312" s="21"/>
      <c r="P312" s="21" t="n">
        <f aca="false">ROUND(M312*N312,2)</f>
        <v>604</v>
      </c>
      <c r="Q312" s="21" t="n">
        <f aca="false">ROUND(P312-IF(O312="",0,O312),2)</f>
        <v>604</v>
      </c>
      <c r="R312" s="14" t="str">
        <f aca="false">IF(J312="","MISSING BILL",IF(AND(K312=N312,ABS(L312-M312)&lt;0.001,ABS(O312-P312)&lt;0.01),"RECONCILED","CALCULATION ERROR"))</f>
        <v>MISSING BILL</v>
      </c>
      <c r="S312" s="22" t="s">
        <v>1877</v>
      </c>
    </row>
    <row r="313" customFormat="false" ht="15" hidden="false" customHeight="false" outlineLevel="0" collapsed="false">
      <c r="A313" s="13" t="s">
        <v>1801</v>
      </c>
      <c r="B313" s="13" t="s">
        <v>146</v>
      </c>
      <c r="C313" s="13" t="s">
        <v>1872</v>
      </c>
      <c r="D313" s="13" t="s">
        <v>1873</v>
      </c>
      <c r="E313" s="13" t="s">
        <v>2893</v>
      </c>
      <c r="F313" s="14" t="s">
        <v>2894</v>
      </c>
      <c r="G313" s="14" t="s">
        <v>2464</v>
      </c>
      <c r="H313" s="20" t="n">
        <v>42.9</v>
      </c>
      <c r="I313" s="13" t="n">
        <v>32</v>
      </c>
      <c r="J313" s="13"/>
      <c r="K313" s="13"/>
      <c r="L313" s="21"/>
      <c r="M313" s="21" t="n">
        <f aca="false">IF(C313="covered",10.4,7.55)</f>
        <v>7.55</v>
      </c>
      <c r="N313" s="13" t="n">
        <f aca="false">MAX(ROUNDUP(H313,0),I313)</f>
        <v>43</v>
      </c>
      <c r="O313" s="21"/>
      <c r="P313" s="21" t="n">
        <f aca="false">ROUND(M313*N313,2)</f>
        <v>324.65</v>
      </c>
      <c r="Q313" s="21" t="n">
        <f aca="false">ROUND(P313-IF(O313="",0,O313),2)</f>
        <v>324.65</v>
      </c>
      <c r="R313" s="14" t="str">
        <f aca="false">IF(J313="","MISSING BILL",IF(AND(K313=N313,ABS(L313-M313)&lt;0.001,ABS(O313-P313)&lt;0.01),"RECONCILED","CALCULATION ERROR"))</f>
        <v>MISSING BILL</v>
      </c>
      <c r="S313" s="22" t="s">
        <v>1877</v>
      </c>
    </row>
    <row r="314" customFormat="false" ht="15" hidden="false" customHeight="false" outlineLevel="0" collapsed="false">
      <c r="A314" s="13" t="s">
        <v>2895</v>
      </c>
      <c r="B314" s="13" t="s">
        <v>146</v>
      </c>
      <c r="C314" s="13" t="s">
        <v>1872</v>
      </c>
      <c r="D314" s="13" t="s">
        <v>1873</v>
      </c>
      <c r="E314" s="13" t="s">
        <v>2896</v>
      </c>
      <c r="F314" s="14" t="s">
        <v>2897</v>
      </c>
      <c r="G314" s="14" t="s">
        <v>2888</v>
      </c>
      <c r="H314" s="20" t="n">
        <v>44</v>
      </c>
      <c r="I314" s="13" t="n">
        <v>36</v>
      </c>
      <c r="J314" s="13"/>
      <c r="K314" s="13"/>
      <c r="L314" s="21"/>
      <c r="M314" s="21" t="n">
        <f aca="false">IF(C314="covered",10.4,7.55)</f>
        <v>7.55</v>
      </c>
      <c r="N314" s="13" t="n">
        <f aca="false">MAX(ROUNDUP(H314,0),I314)</f>
        <v>44</v>
      </c>
      <c r="O314" s="21"/>
      <c r="P314" s="21" t="n">
        <f aca="false">ROUND(M314*N314,2)</f>
        <v>332.2</v>
      </c>
      <c r="Q314" s="21" t="n">
        <f aca="false">ROUND(P314-IF(O314="",0,O314),2)</f>
        <v>332.2</v>
      </c>
      <c r="R314" s="14" t="str">
        <f aca="false">IF(J314="","MISSING BILL",IF(AND(K314=N314,ABS(L314-M314)&lt;0.001,ABS(O314-P314)&lt;0.01),"RECONCILED","CALCULATION ERROR"))</f>
        <v>MISSING BILL</v>
      </c>
      <c r="S314" s="22" t="s">
        <v>1877</v>
      </c>
    </row>
    <row r="315" customFormat="false" ht="15" hidden="false" customHeight="false" outlineLevel="0" collapsed="false">
      <c r="A315" s="13" t="s">
        <v>1598</v>
      </c>
      <c r="B315" s="13" t="s">
        <v>146</v>
      </c>
      <c r="C315" s="13" t="s">
        <v>1872</v>
      </c>
      <c r="D315" s="13" t="s">
        <v>1873</v>
      </c>
      <c r="E315" s="13" t="s">
        <v>2898</v>
      </c>
      <c r="F315" s="14" t="s">
        <v>2899</v>
      </c>
      <c r="G315" s="14" t="s">
        <v>2900</v>
      </c>
      <c r="H315" s="20" t="n">
        <v>53.6</v>
      </c>
      <c r="I315" s="13" t="n">
        <v>36</v>
      </c>
      <c r="J315" s="13"/>
      <c r="K315" s="13"/>
      <c r="L315" s="21"/>
      <c r="M315" s="21" t="n">
        <f aca="false">IF(C315="covered",10.4,7.55)</f>
        <v>7.55</v>
      </c>
      <c r="N315" s="13" t="n">
        <f aca="false">MAX(ROUNDUP(H315,0),I315)</f>
        <v>54</v>
      </c>
      <c r="O315" s="21"/>
      <c r="P315" s="21" t="n">
        <f aca="false">ROUND(M315*N315,2)</f>
        <v>407.7</v>
      </c>
      <c r="Q315" s="21" t="n">
        <f aca="false">ROUND(P315-IF(O315="",0,O315),2)</f>
        <v>407.7</v>
      </c>
      <c r="R315" s="14" t="str">
        <f aca="false">IF(J315="","MISSING BILL",IF(AND(K315=N315,ABS(L315-M315)&lt;0.001,ABS(O315-P315)&lt;0.01),"RECONCILED","CALCULATION ERROR"))</f>
        <v>MISSING BILL</v>
      </c>
      <c r="S315" s="22" t="s">
        <v>1877</v>
      </c>
    </row>
    <row r="316" customFormat="false" ht="15" hidden="false" customHeight="false" outlineLevel="0" collapsed="false">
      <c r="A316" s="13" t="s">
        <v>2901</v>
      </c>
      <c r="B316" s="13" t="s">
        <v>146</v>
      </c>
      <c r="C316" s="13" t="s">
        <v>1872</v>
      </c>
      <c r="D316" s="13" t="s">
        <v>1873</v>
      </c>
      <c r="E316" s="13" t="s">
        <v>2902</v>
      </c>
      <c r="F316" s="14" t="s">
        <v>2903</v>
      </c>
      <c r="G316" s="14" t="s">
        <v>2240</v>
      </c>
      <c r="H316" s="20" t="n">
        <v>52.9</v>
      </c>
      <c r="I316" s="13" t="n">
        <v>24</v>
      </c>
      <c r="J316" s="13"/>
      <c r="K316" s="13"/>
      <c r="L316" s="21"/>
      <c r="M316" s="21" t="n">
        <f aca="false">IF(C316="covered",10.4,7.55)</f>
        <v>7.55</v>
      </c>
      <c r="N316" s="13" t="n">
        <f aca="false">MAX(ROUNDUP(H316,0),I316)</f>
        <v>53</v>
      </c>
      <c r="O316" s="21"/>
      <c r="P316" s="21" t="n">
        <f aca="false">ROUND(M316*N316,2)</f>
        <v>400.15</v>
      </c>
      <c r="Q316" s="21" t="n">
        <f aca="false">ROUND(P316-IF(O316="",0,O316),2)</f>
        <v>400.15</v>
      </c>
      <c r="R316" s="14" t="str">
        <f aca="false">IF(J316="","MISSING BILL",IF(AND(K316=N316,ABS(L316-M316)&lt;0.001,ABS(O316-P316)&lt;0.01),"RECONCILED","CALCULATION ERROR"))</f>
        <v>MISSING BILL</v>
      </c>
      <c r="S316" s="22" t="s">
        <v>1877</v>
      </c>
    </row>
    <row r="317" customFormat="false" ht="15" hidden="false" customHeight="false" outlineLevel="0" collapsed="false">
      <c r="A317" s="13" t="s">
        <v>2904</v>
      </c>
      <c r="B317" s="13" t="s">
        <v>146</v>
      </c>
      <c r="C317" s="13" t="s">
        <v>1872</v>
      </c>
      <c r="D317" s="13" t="s">
        <v>1873</v>
      </c>
      <c r="E317" s="13" t="s">
        <v>2905</v>
      </c>
      <c r="F317" s="14" t="s">
        <v>2906</v>
      </c>
      <c r="G317" s="14" t="s">
        <v>2204</v>
      </c>
      <c r="H317" s="20" t="n">
        <v>61.1</v>
      </c>
      <c r="I317" s="13" t="n">
        <v>28</v>
      </c>
      <c r="J317" s="13"/>
      <c r="K317" s="13"/>
      <c r="L317" s="21"/>
      <c r="M317" s="21" t="n">
        <f aca="false">IF(C317="covered",10.4,7.55)</f>
        <v>7.55</v>
      </c>
      <c r="N317" s="13" t="n">
        <f aca="false">MAX(ROUNDUP(H317,0),I317)</f>
        <v>62</v>
      </c>
      <c r="O317" s="21"/>
      <c r="P317" s="21" t="n">
        <f aca="false">ROUND(M317*N317,2)</f>
        <v>468.1</v>
      </c>
      <c r="Q317" s="21" t="n">
        <f aca="false">ROUND(P317-IF(O317="",0,O317),2)</f>
        <v>468.1</v>
      </c>
      <c r="R317" s="14" t="str">
        <f aca="false">IF(J317="","MISSING BILL",IF(AND(K317=N317,ABS(L317-M317)&lt;0.001,ABS(O317-P317)&lt;0.01),"RECONCILED","CALCULATION ERROR"))</f>
        <v>MISSING BILL</v>
      </c>
      <c r="S317" s="22" t="s">
        <v>1877</v>
      </c>
    </row>
    <row r="318" customFormat="false" ht="15" hidden="false" customHeight="false" outlineLevel="0" collapsed="false">
      <c r="A318" s="13" t="s">
        <v>1593</v>
      </c>
      <c r="B318" s="13" t="s">
        <v>146</v>
      </c>
      <c r="C318" s="13" t="s">
        <v>1872</v>
      </c>
      <c r="D318" s="13" t="s">
        <v>1873</v>
      </c>
      <c r="E318" s="13" t="s">
        <v>525</v>
      </c>
      <c r="F318" s="14" t="s">
        <v>526</v>
      </c>
      <c r="G318" s="14" t="s">
        <v>2907</v>
      </c>
      <c r="H318" s="20" t="n">
        <v>52.6</v>
      </c>
      <c r="I318" s="13" t="n">
        <v>28</v>
      </c>
      <c r="J318" s="13"/>
      <c r="K318" s="13"/>
      <c r="L318" s="21"/>
      <c r="M318" s="21" t="n">
        <f aca="false">IF(C318="covered",10.4,7.55)</f>
        <v>7.55</v>
      </c>
      <c r="N318" s="13" t="n">
        <f aca="false">MAX(ROUNDUP(H318,0),I318)</f>
        <v>53</v>
      </c>
      <c r="O318" s="21"/>
      <c r="P318" s="21" t="n">
        <f aca="false">ROUND(M318*N318,2)</f>
        <v>400.15</v>
      </c>
      <c r="Q318" s="21" t="n">
        <f aca="false">ROUND(P318-IF(O318="",0,O318),2)</f>
        <v>400.15</v>
      </c>
      <c r="R318" s="14" t="str">
        <f aca="false">IF(J318="","MISSING BILL",IF(AND(K318=N318,ABS(L318-M318)&lt;0.001,ABS(O318-P318)&lt;0.01),"RECONCILED","CALCULATION ERROR"))</f>
        <v>MISSING BILL</v>
      </c>
      <c r="S318" s="22" t="s">
        <v>1877</v>
      </c>
    </row>
    <row r="319" customFormat="false" ht="15" hidden="false" customHeight="false" outlineLevel="0" collapsed="false">
      <c r="A319" s="13" t="s">
        <v>2908</v>
      </c>
      <c r="B319" s="13" t="s">
        <v>146</v>
      </c>
      <c r="C319" s="13" t="s">
        <v>1872</v>
      </c>
      <c r="D319" s="13" t="s">
        <v>1873</v>
      </c>
      <c r="E319" s="13" t="s">
        <v>2909</v>
      </c>
      <c r="F319" s="14" t="s">
        <v>2910</v>
      </c>
      <c r="G319" s="14" t="s">
        <v>2273</v>
      </c>
      <c r="H319" s="20" t="n">
        <v>58.2</v>
      </c>
      <c r="I319" s="13" t="n">
        <v>32</v>
      </c>
      <c r="J319" s="13"/>
      <c r="K319" s="13"/>
      <c r="L319" s="21"/>
      <c r="M319" s="21" t="n">
        <f aca="false">IF(C319="covered",10.4,7.55)</f>
        <v>7.55</v>
      </c>
      <c r="N319" s="13" t="n">
        <f aca="false">MAX(ROUNDUP(H319,0),I319)</f>
        <v>59</v>
      </c>
      <c r="O319" s="21"/>
      <c r="P319" s="21" t="n">
        <f aca="false">ROUND(M319*N319,2)</f>
        <v>445.45</v>
      </c>
      <c r="Q319" s="21" t="n">
        <f aca="false">ROUND(P319-IF(O319="",0,O319),2)</f>
        <v>445.45</v>
      </c>
      <c r="R319" s="14" t="str">
        <f aca="false">IF(J319="","MISSING BILL",IF(AND(K319=N319,ABS(L319-M319)&lt;0.001,ABS(O319-P319)&lt;0.01),"RECONCILED","CALCULATION ERROR"))</f>
        <v>MISSING BILL</v>
      </c>
      <c r="S319" s="22" t="s">
        <v>1877</v>
      </c>
    </row>
    <row r="320" customFormat="false" ht="15" hidden="false" customHeight="false" outlineLevel="0" collapsed="false">
      <c r="A320" s="13" t="s">
        <v>2911</v>
      </c>
      <c r="B320" s="13" t="s">
        <v>146</v>
      </c>
      <c r="C320" s="13" t="s">
        <v>1872</v>
      </c>
      <c r="D320" s="13" t="s">
        <v>1873</v>
      </c>
      <c r="E320" s="13" t="s">
        <v>2912</v>
      </c>
      <c r="F320" s="14" t="s">
        <v>2913</v>
      </c>
      <c r="G320" s="14" t="s">
        <v>2914</v>
      </c>
      <c r="H320" s="20" t="n">
        <v>57.3</v>
      </c>
      <c r="I320" s="13" t="n">
        <v>28</v>
      </c>
      <c r="J320" s="13"/>
      <c r="K320" s="13"/>
      <c r="L320" s="21"/>
      <c r="M320" s="21" t="n">
        <f aca="false">IF(C320="covered",10.4,7.55)</f>
        <v>7.55</v>
      </c>
      <c r="N320" s="13" t="n">
        <f aca="false">MAX(ROUNDUP(H320,0),I320)</f>
        <v>58</v>
      </c>
      <c r="O320" s="21"/>
      <c r="P320" s="21" t="n">
        <f aca="false">ROUND(M320*N320,2)</f>
        <v>437.9</v>
      </c>
      <c r="Q320" s="21" t="n">
        <f aca="false">ROUND(P320-IF(O320="",0,O320),2)</f>
        <v>437.9</v>
      </c>
      <c r="R320" s="14" t="str">
        <f aca="false">IF(J320="","MISSING BILL",IF(AND(K320=N320,ABS(L320-M320)&lt;0.001,ABS(O320-P320)&lt;0.01),"RECONCILED","CALCULATION ERROR"))</f>
        <v>MISSING BILL</v>
      </c>
      <c r="S320" s="22" t="s">
        <v>1877</v>
      </c>
    </row>
    <row r="321" customFormat="false" ht="15" hidden="false" customHeight="false" outlineLevel="0" collapsed="false">
      <c r="A321" s="13" t="s">
        <v>2915</v>
      </c>
      <c r="B321" s="13" t="s">
        <v>146</v>
      </c>
      <c r="C321" s="13" t="s">
        <v>1872</v>
      </c>
      <c r="D321" s="13" t="s">
        <v>1873</v>
      </c>
      <c r="E321" s="13" t="s">
        <v>2916</v>
      </c>
      <c r="F321" s="14" t="s">
        <v>2917</v>
      </c>
      <c r="G321" s="14" t="s">
        <v>2918</v>
      </c>
      <c r="H321" s="20" t="n">
        <v>27.7</v>
      </c>
      <c r="I321" s="13" t="n">
        <v>50</v>
      </c>
      <c r="J321" s="13"/>
      <c r="K321" s="13"/>
      <c r="L321" s="21"/>
      <c r="M321" s="21" t="n">
        <f aca="false">IF(C321="covered",10.4,7.55)</f>
        <v>7.55</v>
      </c>
      <c r="N321" s="13" t="n">
        <f aca="false">MAX(ROUNDUP(H321,0),I321)</f>
        <v>50</v>
      </c>
      <c r="O321" s="21"/>
      <c r="P321" s="21" t="n">
        <f aca="false">ROUND(M321*N321,2)</f>
        <v>377.5</v>
      </c>
      <c r="Q321" s="21" t="n">
        <f aca="false">ROUND(P321-IF(O321="",0,O321),2)</f>
        <v>377.5</v>
      </c>
      <c r="R321" s="14" t="str">
        <f aca="false">IF(J321="","MISSING BILL",IF(AND(K321=N321,ABS(L321-M321)&lt;0.001,ABS(O321-P321)&lt;0.01),"RECONCILED","CALCULATION ERROR"))</f>
        <v>MISSING BILL</v>
      </c>
      <c r="S321" s="22" t="s">
        <v>1877</v>
      </c>
    </row>
    <row r="322" customFormat="false" ht="15" hidden="false" customHeight="false" outlineLevel="0" collapsed="false">
      <c r="A322" s="13" t="s">
        <v>405</v>
      </c>
      <c r="B322" s="13" t="s">
        <v>146</v>
      </c>
      <c r="C322" s="13" t="s">
        <v>1872</v>
      </c>
      <c r="D322" s="13" t="s">
        <v>1873</v>
      </c>
      <c r="E322" s="13" t="s">
        <v>2919</v>
      </c>
      <c r="F322" s="14" t="s">
        <v>2920</v>
      </c>
      <c r="G322" s="14" t="s">
        <v>2921</v>
      </c>
      <c r="H322" s="20" t="n">
        <v>58.9</v>
      </c>
      <c r="I322" s="13" t="n">
        <v>32</v>
      </c>
      <c r="J322" s="13"/>
      <c r="K322" s="13"/>
      <c r="L322" s="21"/>
      <c r="M322" s="21" t="n">
        <f aca="false">IF(C322="covered",10.4,7.55)</f>
        <v>7.55</v>
      </c>
      <c r="N322" s="13" t="n">
        <f aca="false">MAX(ROUNDUP(H322,0),I322)</f>
        <v>59</v>
      </c>
      <c r="O322" s="21"/>
      <c r="P322" s="21" t="n">
        <f aca="false">ROUND(M322*N322,2)</f>
        <v>445.45</v>
      </c>
      <c r="Q322" s="21" t="n">
        <f aca="false">ROUND(P322-IF(O322="",0,O322),2)</f>
        <v>445.45</v>
      </c>
      <c r="R322" s="14" t="str">
        <f aca="false">IF(J322="","MISSING BILL",IF(AND(K322=N322,ABS(L322-M322)&lt;0.001,ABS(O322-P322)&lt;0.01),"RECONCILED","CALCULATION ERROR"))</f>
        <v>MISSING BILL</v>
      </c>
      <c r="S322" s="22" t="s">
        <v>1877</v>
      </c>
    </row>
    <row r="323" customFormat="false" ht="15" hidden="false" customHeight="false" outlineLevel="0" collapsed="false">
      <c r="A323" s="13" t="s">
        <v>527</v>
      </c>
      <c r="B323" s="13" t="s">
        <v>146</v>
      </c>
      <c r="C323" s="13" t="s">
        <v>1872</v>
      </c>
      <c r="D323" s="13" t="s">
        <v>1873</v>
      </c>
      <c r="E323" s="13" t="s">
        <v>2922</v>
      </c>
      <c r="F323" s="14" t="s">
        <v>2923</v>
      </c>
      <c r="G323" s="14" t="s">
        <v>1952</v>
      </c>
      <c r="H323" s="20" t="n">
        <v>43.1</v>
      </c>
      <c r="I323" s="13" t="n">
        <v>60</v>
      </c>
      <c r="J323" s="13"/>
      <c r="K323" s="13"/>
      <c r="L323" s="21"/>
      <c r="M323" s="21" t="n">
        <f aca="false">IF(C323="covered",10.4,7.55)</f>
        <v>7.55</v>
      </c>
      <c r="N323" s="13" t="n">
        <f aca="false">MAX(ROUNDUP(H323,0),I323)</f>
        <v>60</v>
      </c>
      <c r="O323" s="21"/>
      <c r="P323" s="21" t="n">
        <f aca="false">ROUND(M323*N323,2)</f>
        <v>453</v>
      </c>
      <c r="Q323" s="21" t="n">
        <f aca="false">ROUND(P323-IF(O323="",0,O323),2)</f>
        <v>453</v>
      </c>
      <c r="R323" s="14" t="str">
        <f aca="false">IF(J323="","MISSING BILL",IF(AND(K323=N323,ABS(L323-M323)&lt;0.001,ABS(O323-P323)&lt;0.01),"RECONCILED","CALCULATION ERROR"))</f>
        <v>MISSING BILL</v>
      </c>
      <c r="S323" s="22" t="s">
        <v>1877</v>
      </c>
    </row>
    <row r="324" customFormat="false" ht="15" hidden="false" customHeight="false" outlineLevel="0" collapsed="false">
      <c r="A324" s="13" t="s">
        <v>2924</v>
      </c>
      <c r="B324" s="13" t="s">
        <v>146</v>
      </c>
      <c r="C324" s="13" t="s">
        <v>1872</v>
      </c>
      <c r="D324" s="13" t="s">
        <v>1873</v>
      </c>
      <c r="E324" s="13" t="s">
        <v>2925</v>
      </c>
      <c r="F324" s="14" t="s">
        <v>2926</v>
      </c>
      <c r="G324" s="14" t="s">
        <v>2927</v>
      </c>
      <c r="H324" s="20" t="n">
        <v>48.2</v>
      </c>
      <c r="I324" s="13" t="n">
        <v>45</v>
      </c>
      <c r="J324" s="13"/>
      <c r="K324" s="13"/>
      <c r="L324" s="21"/>
      <c r="M324" s="21" t="n">
        <f aca="false">IF(C324="covered",10.4,7.55)</f>
        <v>7.55</v>
      </c>
      <c r="N324" s="13" t="n">
        <f aca="false">MAX(ROUNDUP(H324,0),I324)</f>
        <v>49</v>
      </c>
      <c r="O324" s="21"/>
      <c r="P324" s="21" t="n">
        <f aca="false">ROUND(M324*N324,2)</f>
        <v>369.95</v>
      </c>
      <c r="Q324" s="21" t="n">
        <f aca="false">ROUND(P324-IF(O324="",0,O324),2)</f>
        <v>369.95</v>
      </c>
      <c r="R324" s="14" t="str">
        <f aca="false">IF(J324="","MISSING BILL",IF(AND(K324=N324,ABS(L324-M324)&lt;0.001,ABS(O324-P324)&lt;0.01),"RECONCILED","CALCULATION ERROR"))</f>
        <v>MISSING BILL</v>
      </c>
      <c r="S324" s="22" t="s">
        <v>1877</v>
      </c>
    </row>
    <row r="325" customFormat="false" ht="15" hidden="false" customHeight="false" outlineLevel="0" collapsed="false">
      <c r="A325" s="13" t="s">
        <v>2928</v>
      </c>
      <c r="B325" s="13" t="s">
        <v>146</v>
      </c>
      <c r="C325" s="13" t="s">
        <v>1872</v>
      </c>
      <c r="D325" s="13" t="s">
        <v>1873</v>
      </c>
      <c r="E325" s="13" t="s">
        <v>2929</v>
      </c>
      <c r="F325" s="14" t="s">
        <v>2930</v>
      </c>
      <c r="G325" s="14" t="s">
        <v>2590</v>
      </c>
      <c r="H325" s="20" t="n">
        <v>56.6</v>
      </c>
      <c r="I325" s="13" t="n">
        <v>80</v>
      </c>
      <c r="J325" s="13"/>
      <c r="K325" s="13"/>
      <c r="L325" s="21"/>
      <c r="M325" s="21" t="n">
        <f aca="false">IF(C325="covered",10.4,7.55)</f>
        <v>7.55</v>
      </c>
      <c r="N325" s="13" t="n">
        <f aca="false">MAX(ROUNDUP(H325,0),I325)</f>
        <v>80</v>
      </c>
      <c r="O325" s="21"/>
      <c r="P325" s="21" t="n">
        <f aca="false">ROUND(M325*N325,2)</f>
        <v>604</v>
      </c>
      <c r="Q325" s="21" t="n">
        <f aca="false">ROUND(P325-IF(O325="",0,O325),2)</f>
        <v>604</v>
      </c>
      <c r="R325" s="14" t="str">
        <f aca="false">IF(J325="","MISSING BILL",IF(AND(K325=N325,ABS(L325-M325)&lt;0.001,ABS(O325-P325)&lt;0.01),"RECONCILED","CALCULATION ERROR"))</f>
        <v>MISSING BILL</v>
      </c>
      <c r="S325" s="22" t="s">
        <v>1877</v>
      </c>
    </row>
    <row r="326" customFormat="false" ht="15" hidden="true" customHeight="false" outlineLevel="0" collapsed="false">
      <c r="A326" s="13" t="s">
        <v>2931</v>
      </c>
      <c r="B326" s="13" t="s">
        <v>106</v>
      </c>
      <c r="C326" s="13" t="s">
        <v>1872</v>
      </c>
      <c r="D326" s="13" t="s">
        <v>1873</v>
      </c>
      <c r="E326" s="13" t="s">
        <v>2932</v>
      </c>
      <c r="F326" s="14" t="s">
        <v>2933</v>
      </c>
      <c r="G326" s="14" t="s">
        <v>2846</v>
      </c>
      <c r="H326" s="20" t="n">
        <v>29.3</v>
      </c>
      <c r="I326" s="13" t="n">
        <v>80</v>
      </c>
      <c r="J326" s="13" t="s">
        <v>2934</v>
      </c>
      <c r="K326" s="13" t="n">
        <v>80</v>
      </c>
      <c r="L326" s="21" t="n">
        <v>7.55</v>
      </c>
      <c r="M326" s="21" t="n">
        <f aca="false">IF(C326="covered",10.4,7.55)</f>
        <v>7.55</v>
      </c>
      <c r="N326" s="13" t="n">
        <f aca="false">MAX(ROUNDUP(H326,0),I326)</f>
        <v>80</v>
      </c>
      <c r="O326" s="21" t="n">
        <v>604</v>
      </c>
      <c r="P326" s="21" t="n">
        <f aca="false">ROUND(M326*N326,2)</f>
        <v>604</v>
      </c>
      <c r="Q326" s="21" t="n">
        <f aca="false">ROUND(P326-IF(O326="",0,O326),2)</f>
        <v>0</v>
      </c>
      <c r="R326" s="14" t="str">
        <f aca="false">IF(J326="","MISSING BILL",IF(AND(K326=N326,ABS(L326-M326)&lt;0.001,ABS(O326-P326)&lt;0.01),"RECONCILED","CALCULATION ERROR"))</f>
        <v>RECONCILED</v>
      </c>
      <c r="S326" s="14" t="s">
        <v>2935</v>
      </c>
    </row>
    <row r="327" customFormat="false" ht="15" hidden="true" customHeight="false" outlineLevel="0" collapsed="false">
      <c r="A327" s="13" t="s">
        <v>2936</v>
      </c>
      <c r="B327" s="13" t="s">
        <v>106</v>
      </c>
      <c r="C327" s="13" t="s">
        <v>1872</v>
      </c>
      <c r="D327" s="13" t="s">
        <v>1873</v>
      </c>
      <c r="E327" s="13" t="s">
        <v>2937</v>
      </c>
      <c r="F327" s="14" t="s">
        <v>2938</v>
      </c>
      <c r="G327" s="14" t="s">
        <v>2939</v>
      </c>
      <c r="H327" s="20" t="n">
        <v>55.3</v>
      </c>
      <c r="I327" s="13" t="n">
        <v>24</v>
      </c>
      <c r="J327" s="13" t="s">
        <v>2940</v>
      </c>
      <c r="K327" s="13" t="n">
        <v>56</v>
      </c>
      <c r="L327" s="21" t="n">
        <v>7.55</v>
      </c>
      <c r="M327" s="21" t="n">
        <f aca="false">IF(C327="covered",10.4,7.55)</f>
        <v>7.55</v>
      </c>
      <c r="N327" s="13" t="n">
        <f aca="false">MAX(ROUNDUP(H327,0),I327)</f>
        <v>56</v>
      </c>
      <c r="O327" s="21" t="n">
        <v>422.8</v>
      </c>
      <c r="P327" s="21" t="n">
        <f aca="false">ROUND(M327*N327,2)</f>
        <v>422.8</v>
      </c>
      <c r="Q327" s="21" t="n">
        <f aca="false">ROUND(P327-IF(O327="",0,O327),2)</f>
        <v>0</v>
      </c>
      <c r="R327" s="14" t="str">
        <f aca="false">IF(J327="","MISSING BILL",IF(AND(K327=N327,ABS(L327-M327)&lt;0.001,ABS(O327-P327)&lt;0.01),"RECONCILED","CALCULATION ERROR"))</f>
        <v>RECONCILED</v>
      </c>
      <c r="S327" s="14" t="s">
        <v>2935</v>
      </c>
    </row>
    <row r="328" customFormat="false" ht="15" hidden="true" customHeight="false" outlineLevel="0" collapsed="false">
      <c r="A328" s="13" t="s">
        <v>2941</v>
      </c>
      <c r="B328" s="13" t="s">
        <v>106</v>
      </c>
      <c r="C328" s="13" t="s">
        <v>1872</v>
      </c>
      <c r="D328" s="13" t="s">
        <v>1873</v>
      </c>
      <c r="E328" s="13" t="s">
        <v>2942</v>
      </c>
      <c r="F328" s="14" t="s">
        <v>2943</v>
      </c>
      <c r="G328" s="14" t="s">
        <v>2792</v>
      </c>
      <c r="H328" s="20" t="n">
        <v>42.6</v>
      </c>
      <c r="I328" s="13" t="n">
        <v>36</v>
      </c>
      <c r="J328" s="13" t="s">
        <v>2944</v>
      </c>
      <c r="K328" s="13" t="n">
        <v>43</v>
      </c>
      <c r="L328" s="21" t="n">
        <v>7.55</v>
      </c>
      <c r="M328" s="21" t="n">
        <f aca="false">IF(C328="covered",10.4,7.55)</f>
        <v>7.55</v>
      </c>
      <c r="N328" s="13" t="n">
        <f aca="false">MAX(ROUNDUP(H328,0),I328)</f>
        <v>43</v>
      </c>
      <c r="O328" s="21" t="n">
        <v>324.65</v>
      </c>
      <c r="P328" s="21" t="n">
        <f aca="false">ROUND(M328*N328,2)</f>
        <v>324.65</v>
      </c>
      <c r="Q328" s="21" t="n">
        <f aca="false">ROUND(P328-IF(O328="",0,O328),2)</f>
        <v>0</v>
      </c>
      <c r="R328" s="14" t="str">
        <f aca="false">IF(J328="","MISSING BILL",IF(AND(K328=N328,ABS(L328-M328)&lt;0.001,ABS(O328-P328)&lt;0.01),"RECONCILED","CALCULATION ERROR"))</f>
        <v>RECONCILED</v>
      </c>
      <c r="S328" s="14" t="s">
        <v>2935</v>
      </c>
    </row>
    <row r="329" customFormat="false" ht="15" hidden="true" customHeight="false" outlineLevel="0" collapsed="false">
      <c r="A329" s="13" t="s">
        <v>2945</v>
      </c>
      <c r="B329" s="13" t="s">
        <v>106</v>
      </c>
      <c r="C329" s="13" t="s">
        <v>1872</v>
      </c>
      <c r="D329" s="13" t="s">
        <v>1873</v>
      </c>
      <c r="E329" s="13" t="s">
        <v>2946</v>
      </c>
      <c r="F329" s="14" t="s">
        <v>2947</v>
      </c>
      <c r="G329" s="14" t="s">
        <v>2513</v>
      </c>
      <c r="H329" s="20" t="n">
        <v>60.2</v>
      </c>
      <c r="I329" s="13" t="n">
        <v>36</v>
      </c>
      <c r="J329" s="13" t="s">
        <v>2948</v>
      </c>
      <c r="K329" s="13" t="n">
        <v>61</v>
      </c>
      <c r="L329" s="21" t="n">
        <v>7.55</v>
      </c>
      <c r="M329" s="21" t="n">
        <f aca="false">IF(C329="covered",10.4,7.55)</f>
        <v>7.55</v>
      </c>
      <c r="N329" s="13" t="n">
        <f aca="false">MAX(ROUNDUP(H329,0),I329)</f>
        <v>61</v>
      </c>
      <c r="O329" s="21" t="n">
        <v>460.55</v>
      </c>
      <c r="P329" s="21" t="n">
        <f aca="false">ROUND(M329*N329,2)</f>
        <v>460.55</v>
      </c>
      <c r="Q329" s="21" t="n">
        <f aca="false">ROUND(P329-IF(O329="",0,O329),2)</f>
        <v>0</v>
      </c>
      <c r="R329" s="14" t="str">
        <f aca="false">IF(J329="","MISSING BILL",IF(AND(K329=N329,ABS(L329-M329)&lt;0.001,ABS(O329-P329)&lt;0.01),"RECONCILED","CALCULATION ERROR"))</f>
        <v>RECONCILED</v>
      </c>
      <c r="S329" s="14" t="s">
        <v>2935</v>
      </c>
    </row>
    <row r="330" customFormat="false" ht="15" hidden="true" customHeight="false" outlineLevel="0" collapsed="false">
      <c r="A330" s="13" t="s">
        <v>2949</v>
      </c>
      <c r="B330" s="13" t="s">
        <v>106</v>
      </c>
      <c r="C330" s="13" t="s">
        <v>1872</v>
      </c>
      <c r="D330" s="13" t="s">
        <v>1873</v>
      </c>
      <c r="E330" s="13" t="s">
        <v>2950</v>
      </c>
      <c r="F330" s="14" t="s">
        <v>2951</v>
      </c>
      <c r="G330" s="14" t="s">
        <v>2952</v>
      </c>
      <c r="H330" s="20" t="n">
        <v>47.5</v>
      </c>
      <c r="I330" s="13" t="n">
        <v>45</v>
      </c>
      <c r="J330" s="13" t="s">
        <v>2953</v>
      </c>
      <c r="K330" s="13" t="n">
        <v>48</v>
      </c>
      <c r="L330" s="21" t="n">
        <v>7.55</v>
      </c>
      <c r="M330" s="21" t="n">
        <f aca="false">IF(C330="covered",10.4,7.55)</f>
        <v>7.55</v>
      </c>
      <c r="N330" s="13" t="n">
        <f aca="false">MAX(ROUNDUP(H330,0),I330)</f>
        <v>48</v>
      </c>
      <c r="O330" s="21" t="n">
        <v>362.4</v>
      </c>
      <c r="P330" s="21" t="n">
        <f aca="false">ROUND(M330*N330,2)</f>
        <v>362.4</v>
      </c>
      <c r="Q330" s="21" t="n">
        <f aca="false">ROUND(P330-IF(O330="",0,O330),2)</f>
        <v>0</v>
      </c>
      <c r="R330" s="14" t="str">
        <f aca="false">IF(J330="","MISSING BILL",IF(AND(K330=N330,ABS(L330-M330)&lt;0.001,ABS(O330-P330)&lt;0.01),"RECONCILED","CALCULATION ERROR"))</f>
        <v>RECONCILED</v>
      </c>
      <c r="S330" s="14" t="s">
        <v>2935</v>
      </c>
    </row>
    <row r="331" customFormat="false" ht="15" hidden="true" customHeight="false" outlineLevel="0" collapsed="false">
      <c r="A331" s="13" t="s">
        <v>561</v>
      </c>
      <c r="B331" s="13" t="s">
        <v>106</v>
      </c>
      <c r="C331" s="13" t="s">
        <v>1872</v>
      </c>
      <c r="D331" s="13" t="s">
        <v>1873</v>
      </c>
      <c r="E331" s="13" t="s">
        <v>832</v>
      </c>
      <c r="F331" s="14" t="s">
        <v>833</v>
      </c>
      <c r="G331" s="14" t="s">
        <v>2954</v>
      </c>
      <c r="H331" s="20" t="n">
        <v>23.7</v>
      </c>
      <c r="I331" s="13" t="n">
        <v>28</v>
      </c>
      <c r="J331" s="13" t="s">
        <v>2955</v>
      </c>
      <c r="K331" s="13" t="n">
        <v>28</v>
      </c>
      <c r="L331" s="21" t="n">
        <v>7.55</v>
      </c>
      <c r="M331" s="21" t="n">
        <f aca="false">IF(C331="covered",10.4,7.55)</f>
        <v>7.55</v>
      </c>
      <c r="N331" s="13" t="n">
        <f aca="false">MAX(ROUNDUP(H331,0),I331)</f>
        <v>28</v>
      </c>
      <c r="O331" s="21" t="n">
        <v>211.4</v>
      </c>
      <c r="P331" s="21" t="n">
        <f aca="false">ROUND(M331*N331,2)</f>
        <v>211.4</v>
      </c>
      <c r="Q331" s="21" t="n">
        <f aca="false">ROUND(P331-IF(O331="",0,O331),2)</f>
        <v>0</v>
      </c>
      <c r="R331" s="14" t="str">
        <f aca="false">IF(J331="","MISSING BILL",IF(AND(K331=N331,ABS(L331-M331)&lt;0.001,ABS(O331-P331)&lt;0.01),"RECONCILED","CALCULATION ERROR"))</f>
        <v>RECONCILED</v>
      </c>
      <c r="S331" s="14" t="s">
        <v>2935</v>
      </c>
    </row>
    <row r="332" customFormat="false" ht="15" hidden="true" customHeight="false" outlineLevel="0" collapsed="false">
      <c r="A332" s="13" t="s">
        <v>2956</v>
      </c>
      <c r="B332" s="13" t="s">
        <v>106</v>
      </c>
      <c r="C332" s="13" t="s">
        <v>1872</v>
      </c>
      <c r="D332" s="13" t="s">
        <v>1873</v>
      </c>
      <c r="E332" s="13" t="s">
        <v>2957</v>
      </c>
      <c r="F332" s="14" t="s">
        <v>2958</v>
      </c>
      <c r="G332" s="14" t="s">
        <v>2959</v>
      </c>
      <c r="H332" s="20" t="n">
        <v>59.3</v>
      </c>
      <c r="I332" s="13" t="n">
        <v>40</v>
      </c>
      <c r="J332" s="13" t="s">
        <v>2960</v>
      </c>
      <c r="K332" s="13" t="n">
        <v>60</v>
      </c>
      <c r="L332" s="21" t="n">
        <v>7.55</v>
      </c>
      <c r="M332" s="21" t="n">
        <f aca="false">IF(C332="covered",10.4,7.55)</f>
        <v>7.55</v>
      </c>
      <c r="N332" s="13" t="n">
        <f aca="false">MAX(ROUNDUP(H332,0),I332)</f>
        <v>60</v>
      </c>
      <c r="O332" s="21" t="n">
        <v>453</v>
      </c>
      <c r="P332" s="21" t="n">
        <f aca="false">ROUND(M332*N332,2)</f>
        <v>453</v>
      </c>
      <c r="Q332" s="21" t="n">
        <f aca="false">ROUND(P332-IF(O332="",0,O332),2)</f>
        <v>0</v>
      </c>
      <c r="R332" s="14" t="str">
        <f aca="false">IF(J332="","MISSING BILL",IF(AND(K332=N332,ABS(L332-M332)&lt;0.001,ABS(O332-P332)&lt;0.01),"RECONCILED","CALCULATION ERROR"))</f>
        <v>RECONCILED</v>
      </c>
      <c r="S332" s="14" t="s">
        <v>2935</v>
      </c>
    </row>
    <row r="333" customFormat="false" ht="15" hidden="true" customHeight="false" outlineLevel="0" collapsed="false">
      <c r="A333" s="13" t="s">
        <v>515</v>
      </c>
      <c r="B333" s="13" t="s">
        <v>106</v>
      </c>
      <c r="C333" s="13" t="s">
        <v>1872</v>
      </c>
      <c r="D333" s="13" t="s">
        <v>1873</v>
      </c>
      <c r="E333" s="13" t="s">
        <v>2961</v>
      </c>
      <c r="F333" s="14" t="s">
        <v>2962</v>
      </c>
      <c r="G333" s="14" t="s">
        <v>2654</v>
      </c>
      <c r="H333" s="20" t="n">
        <v>30.9</v>
      </c>
      <c r="I333" s="13" t="n">
        <v>60</v>
      </c>
      <c r="J333" s="13" t="s">
        <v>2963</v>
      </c>
      <c r="K333" s="13" t="n">
        <v>60</v>
      </c>
      <c r="L333" s="21" t="n">
        <v>7.55</v>
      </c>
      <c r="M333" s="21" t="n">
        <f aca="false">IF(C333="covered",10.4,7.55)</f>
        <v>7.55</v>
      </c>
      <c r="N333" s="13" t="n">
        <f aca="false">MAX(ROUNDUP(H333,0),I333)</f>
        <v>60</v>
      </c>
      <c r="O333" s="21" t="n">
        <v>453</v>
      </c>
      <c r="P333" s="21" t="n">
        <f aca="false">ROUND(M333*N333,2)</f>
        <v>453</v>
      </c>
      <c r="Q333" s="21" t="n">
        <f aca="false">ROUND(P333-IF(O333="",0,O333),2)</f>
        <v>0</v>
      </c>
      <c r="R333" s="14" t="str">
        <f aca="false">IF(J333="","MISSING BILL",IF(AND(K333=N333,ABS(L333-M333)&lt;0.001,ABS(O333-P333)&lt;0.01),"RECONCILED","CALCULATION ERROR"))</f>
        <v>RECONCILED</v>
      </c>
      <c r="S333" s="14" t="s">
        <v>2935</v>
      </c>
    </row>
    <row r="334" customFormat="false" ht="15" hidden="true" customHeight="false" outlineLevel="0" collapsed="false">
      <c r="A334" s="13" t="s">
        <v>445</v>
      </c>
      <c r="B334" s="13" t="s">
        <v>106</v>
      </c>
      <c r="C334" s="13" t="s">
        <v>1872</v>
      </c>
      <c r="D334" s="13" t="s">
        <v>1873</v>
      </c>
      <c r="E334" s="13" t="s">
        <v>2964</v>
      </c>
      <c r="F334" s="14" t="s">
        <v>2965</v>
      </c>
      <c r="G334" s="14" t="s">
        <v>2423</v>
      </c>
      <c r="H334" s="20" t="n">
        <v>36.3</v>
      </c>
      <c r="I334" s="13" t="n">
        <v>28</v>
      </c>
      <c r="J334" s="13" t="s">
        <v>2966</v>
      </c>
      <c r="K334" s="13" t="n">
        <v>37</v>
      </c>
      <c r="L334" s="21" t="n">
        <v>7.55</v>
      </c>
      <c r="M334" s="21" t="n">
        <f aca="false">IF(C334="covered",10.4,7.55)</f>
        <v>7.55</v>
      </c>
      <c r="N334" s="13" t="n">
        <f aca="false">MAX(ROUNDUP(H334,0),I334)</f>
        <v>37</v>
      </c>
      <c r="O334" s="21" t="n">
        <v>279.35</v>
      </c>
      <c r="P334" s="21" t="n">
        <f aca="false">ROUND(M334*N334,2)</f>
        <v>279.35</v>
      </c>
      <c r="Q334" s="21" t="n">
        <f aca="false">ROUND(P334-IF(O334="",0,O334),2)</f>
        <v>0</v>
      </c>
      <c r="R334" s="14" t="str">
        <f aca="false">IF(J334="","MISSING BILL",IF(AND(K334=N334,ABS(L334-M334)&lt;0.001,ABS(O334-P334)&lt;0.01),"RECONCILED","CALCULATION ERROR"))</f>
        <v>RECONCILED</v>
      </c>
      <c r="S334" s="14" t="s">
        <v>2935</v>
      </c>
    </row>
    <row r="335" customFormat="false" ht="15" hidden="true" customHeight="false" outlineLevel="0" collapsed="false">
      <c r="A335" s="13" t="s">
        <v>421</v>
      </c>
      <c r="B335" s="13" t="s">
        <v>106</v>
      </c>
      <c r="C335" s="13" t="s">
        <v>1872</v>
      </c>
      <c r="D335" s="13" t="s">
        <v>1873</v>
      </c>
      <c r="E335" s="13" t="s">
        <v>1334</v>
      </c>
      <c r="F335" s="14" t="s">
        <v>1335</v>
      </c>
      <c r="G335" s="14" t="s">
        <v>2579</v>
      </c>
      <c r="H335" s="20" t="n">
        <v>43.9</v>
      </c>
      <c r="I335" s="13" t="n">
        <v>28</v>
      </c>
      <c r="J335" s="13" t="s">
        <v>2967</v>
      </c>
      <c r="K335" s="13" t="n">
        <v>44</v>
      </c>
      <c r="L335" s="21" t="n">
        <v>7.55</v>
      </c>
      <c r="M335" s="21" t="n">
        <f aca="false">IF(C335="covered",10.4,7.55)</f>
        <v>7.55</v>
      </c>
      <c r="N335" s="13" t="n">
        <f aca="false">MAX(ROUNDUP(H335,0),I335)</f>
        <v>44</v>
      </c>
      <c r="O335" s="21" t="n">
        <v>332.2</v>
      </c>
      <c r="P335" s="21" t="n">
        <f aca="false">ROUND(M335*N335,2)</f>
        <v>332.2</v>
      </c>
      <c r="Q335" s="21" t="n">
        <f aca="false">ROUND(P335-IF(O335="",0,O335),2)</f>
        <v>0</v>
      </c>
      <c r="R335" s="14" t="str">
        <f aca="false">IF(J335="","MISSING BILL",IF(AND(K335=N335,ABS(L335-M335)&lt;0.001,ABS(O335-P335)&lt;0.01),"RECONCILED","CALCULATION ERROR"))</f>
        <v>RECONCILED</v>
      </c>
      <c r="S335" s="14" t="s">
        <v>2935</v>
      </c>
    </row>
    <row r="336" customFormat="false" ht="15" hidden="true" customHeight="false" outlineLevel="0" collapsed="false">
      <c r="A336" s="13" t="s">
        <v>2968</v>
      </c>
      <c r="B336" s="13" t="s">
        <v>106</v>
      </c>
      <c r="C336" s="13" t="s">
        <v>1872</v>
      </c>
      <c r="D336" s="13" t="s">
        <v>1873</v>
      </c>
      <c r="E336" s="13" t="s">
        <v>2969</v>
      </c>
      <c r="F336" s="14" t="s">
        <v>2970</v>
      </c>
      <c r="G336" s="14" t="s">
        <v>2971</v>
      </c>
      <c r="H336" s="20" t="n">
        <v>38.7</v>
      </c>
      <c r="I336" s="13" t="n">
        <v>70</v>
      </c>
      <c r="J336" s="13" t="s">
        <v>2972</v>
      </c>
      <c r="K336" s="13" t="n">
        <v>70</v>
      </c>
      <c r="L336" s="21" t="n">
        <v>7.55</v>
      </c>
      <c r="M336" s="21" t="n">
        <f aca="false">IF(C336="covered",10.4,7.55)</f>
        <v>7.55</v>
      </c>
      <c r="N336" s="13" t="n">
        <f aca="false">MAX(ROUNDUP(H336,0),I336)</f>
        <v>70</v>
      </c>
      <c r="O336" s="21" t="n">
        <v>528.5</v>
      </c>
      <c r="P336" s="21" t="n">
        <f aca="false">ROUND(M336*N336,2)</f>
        <v>528.5</v>
      </c>
      <c r="Q336" s="21" t="n">
        <f aca="false">ROUND(P336-IF(O336="",0,O336),2)</f>
        <v>0</v>
      </c>
      <c r="R336" s="14" t="str">
        <f aca="false">IF(J336="","MISSING BILL",IF(AND(K336=N336,ABS(L336-M336)&lt;0.001,ABS(O336-P336)&lt;0.01),"RECONCILED","CALCULATION ERROR"))</f>
        <v>RECONCILED</v>
      </c>
      <c r="S336" s="14" t="s">
        <v>2935</v>
      </c>
    </row>
    <row r="337" customFormat="false" ht="15" hidden="true" customHeight="false" outlineLevel="0" collapsed="false">
      <c r="A337" s="13" t="s">
        <v>2973</v>
      </c>
      <c r="B337" s="13" t="s">
        <v>106</v>
      </c>
      <c r="C337" s="13" t="s">
        <v>1872</v>
      </c>
      <c r="D337" s="13" t="s">
        <v>1873</v>
      </c>
      <c r="E337" s="13" t="s">
        <v>2974</v>
      </c>
      <c r="F337" s="14" t="s">
        <v>2975</v>
      </c>
      <c r="G337" s="14" t="s">
        <v>2976</v>
      </c>
      <c r="H337" s="20" t="n">
        <v>61.3</v>
      </c>
      <c r="I337" s="13" t="n">
        <v>45</v>
      </c>
      <c r="J337" s="13" t="s">
        <v>2977</v>
      </c>
      <c r="K337" s="13" t="n">
        <v>62</v>
      </c>
      <c r="L337" s="21" t="n">
        <v>7.55</v>
      </c>
      <c r="M337" s="21" t="n">
        <f aca="false">IF(C337="covered",10.4,7.55)</f>
        <v>7.55</v>
      </c>
      <c r="N337" s="13" t="n">
        <f aca="false">MAX(ROUNDUP(H337,0),I337)</f>
        <v>62</v>
      </c>
      <c r="O337" s="21" t="n">
        <v>468.1</v>
      </c>
      <c r="P337" s="21" t="n">
        <f aca="false">ROUND(M337*N337,2)</f>
        <v>468.1</v>
      </c>
      <c r="Q337" s="21" t="n">
        <f aca="false">ROUND(P337-IF(O337="",0,O337),2)</f>
        <v>0</v>
      </c>
      <c r="R337" s="14" t="str">
        <f aca="false">IF(J337="","MISSING BILL",IF(AND(K337=N337,ABS(L337-M337)&lt;0.001,ABS(O337-P337)&lt;0.01),"RECONCILED","CALCULATION ERROR"))</f>
        <v>RECONCILED</v>
      </c>
      <c r="S337" s="14" t="s">
        <v>2935</v>
      </c>
    </row>
    <row r="338" customFormat="false" ht="15" hidden="true" customHeight="false" outlineLevel="0" collapsed="false">
      <c r="A338" s="13" t="s">
        <v>2978</v>
      </c>
      <c r="B338" s="13" t="s">
        <v>106</v>
      </c>
      <c r="C338" s="13" t="s">
        <v>1872</v>
      </c>
      <c r="D338" s="13" t="s">
        <v>1873</v>
      </c>
      <c r="E338" s="13" t="s">
        <v>2979</v>
      </c>
      <c r="F338" s="14" t="s">
        <v>2980</v>
      </c>
      <c r="G338" s="14" t="s">
        <v>2492</v>
      </c>
      <c r="H338" s="20" t="n">
        <v>41.6</v>
      </c>
      <c r="I338" s="13" t="n">
        <v>24</v>
      </c>
      <c r="J338" s="13" t="s">
        <v>2981</v>
      </c>
      <c r="K338" s="13" t="n">
        <v>42</v>
      </c>
      <c r="L338" s="21" t="n">
        <v>7.55</v>
      </c>
      <c r="M338" s="21" t="n">
        <f aca="false">IF(C338="covered",10.4,7.55)</f>
        <v>7.55</v>
      </c>
      <c r="N338" s="13" t="n">
        <f aca="false">MAX(ROUNDUP(H338,0),I338)</f>
        <v>42</v>
      </c>
      <c r="O338" s="21" t="n">
        <v>317.1</v>
      </c>
      <c r="P338" s="21" t="n">
        <f aca="false">ROUND(M338*N338,2)</f>
        <v>317.1</v>
      </c>
      <c r="Q338" s="21" t="n">
        <f aca="false">ROUND(P338-IF(O338="",0,O338),2)</f>
        <v>0</v>
      </c>
      <c r="R338" s="14" t="str">
        <f aca="false">IF(J338="","MISSING BILL",IF(AND(K338=N338,ABS(L338-M338)&lt;0.001,ABS(O338-P338)&lt;0.01),"RECONCILED","CALCULATION ERROR"))</f>
        <v>RECONCILED</v>
      </c>
      <c r="S338" s="14" t="s">
        <v>2935</v>
      </c>
    </row>
    <row r="339" customFormat="false" ht="15" hidden="true" customHeight="false" outlineLevel="0" collapsed="false">
      <c r="A339" s="13" t="s">
        <v>2982</v>
      </c>
      <c r="B339" s="13" t="s">
        <v>106</v>
      </c>
      <c r="C339" s="13" t="s">
        <v>1872</v>
      </c>
      <c r="D339" s="13" t="s">
        <v>1873</v>
      </c>
      <c r="E339" s="13" t="s">
        <v>2983</v>
      </c>
      <c r="F339" s="14" t="s">
        <v>2984</v>
      </c>
      <c r="G339" s="14" t="s">
        <v>2985</v>
      </c>
      <c r="H339" s="20" t="n">
        <v>38.4</v>
      </c>
      <c r="I339" s="13" t="n">
        <v>32</v>
      </c>
      <c r="J339" s="13" t="s">
        <v>2986</v>
      </c>
      <c r="K339" s="13" t="n">
        <v>39</v>
      </c>
      <c r="L339" s="21" t="n">
        <v>7.55</v>
      </c>
      <c r="M339" s="21" t="n">
        <f aca="false">IF(C339="covered",10.4,7.55)</f>
        <v>7.55</v>
      </c>
      <c r="N339" s="13" t="n">
        <f aca="false">MAX(ROUNDUP(H339,0),I339)</f>
        <v>39</v>
      </c>
      <c r="O339" s="21" t="n">
        <v>294.45</v>
      </c>
      <c r="P339" s="21" t="n">
        <f aca="false">ROUND(M339*N339,2)</f>
        <v>294.45</v>
      </c>
      <c r="Q339" s="21" t="n">
        <f aca="false">ROUND(P339-IF(O339="",0,O339),2)</f>
        <v>0</v>
      </c>
      <c r="R339" s="14" t="str">
        <f aca="false">IF(J339="","MISSING BILL",IF(AND(K339=N339,ABS(L339-M339)&lt;0.001,ABS(O339-P339)&lt;0.01),"RECONCILED","CALCULATION ERROR"))</f>
        <v>RECONCILED</v>
      </c>
      <c r="S339" s="14" t="s">
        <v>2935</v>
      </c>
    </row>
    <row r="340" customFormat="false" ht="15" hidden="true" customHeight="false" outlineLevel="0" collapsed="false">
      <c r="A340" s="13" t="s">
        <v>2987</v>
      </c>
      <c r="B340" s="13" t="s">
        <v>106</v>
      </c>
      <c r="C340" s="13" t="s">
        <v>1872</v>
      </c>
      <c r="D340" s="13" t="s">
        <v>1873</v>
      </c>
      <c r="E340" s="13" t="s">
        <v>2988</v>
      </c>
      <c r="F340" s="14" t="s">
        <v>2989</v>
      </c>
      <c r="G340" s="14" t="s">
        <v>2990</v>
      </c>
      <c r="H340" s="20" t="n">
        <v>25.7</v>
      </c>
      <c r="I340" s="13" t="n">
        <v>32</v>
      </c>
      <c r="J340" s="13" t="s">
        <v>2991</v>
      </c>
      <c r="K340" s="13" t="n">
        <v>32</v>
      </c>
      <c r="L340" s="21" t="n">
        <v>7.55</v>
      </c>
      <c r="M340" s="21" t="n">
        <f aca="false">IF(C340="covered",10.4,7.55)</f>
        <v>7.55</v>
      </c>
      <c r="N340" s="13" t="n">
        <f aca="false">MAX(ROUNDUP(H340,0),I340)</f>
        <v>32</v>
      </c>
      <c r="O340" s="21" t="n">
        <v>241.6</v>
      </c>
      <c r="P340" s="21" t="n">
        <f aca="false">ROUND(M340*N340,2)</f>
        <v>241.6</v>
      </c>
      <c r="Q340" s="21" t="n">
        <f aca="false">ROUND(P340-IF(O340="",0,O340),2)</f>
        <v>0</v>
      </c>
      <c r="R340" s="14" t="str">
        <f aca="false">IF(J340="","MISSING BILL",IF(AND(K340=N340,ABS(L340-M340)&lt;0.001,ABS(O340-P340)&lt;0.01),"RECONCILED","CALCULATION ERROR"))</f>
        <v>RECONCILED</v>
      </c>
      <c r="S340" s="14" t="s">
        <v>2935</v>
      </c>
    </row>
    <row r="341" customFormat="false" ht="15" hidden="true" customHeight="false" outlineLevel="0" collapsed="false">
      <c r="A341" s="13" t="s">
        <v>887</v>
      </c>
      <c r="B341" s="13" t="s">
        <v>106</v>
      </c>
      <c r="C341" s="13" t="s">
        <v>1872</v>
      </c>
      <c r="D341" s="13" t="s">
        <v>1873</v>
      </c>
      <c r="E341" s="13" t="s">
        <v>2992</v>
      </c>
      <c r="F341" s="14" t="s">
        <v>2993</v>
      </c>
      <c r="G341" s="14" t="s">
        <v>2492</v>
      </c>
      <c r="H341" s="20" t="n">
        <v>48.3</v>
      </c>
      <c r="I341" s="13" t="n">
        <v>45</v>
      </c>
      <c r="J341" s="13" t="s">
        <v>2994</v>
      </c>
      <c r="K341" s="13" t="n">
        <v>49</v>
      </c>
      <c r="L341" s="21" t="n">
        <v>7.55</v>
      </c>
      <c r="M341" s="21" t="n">
        <f aca="false">IF(C341="covered",10.4,7.55)</f>
        <v>7.55</v>
      </c>
      <c r="N341" s="13" t="n">
        <f aca="false">MAX(ROUNDUP(H341,0),I341)</f>
        <v>49</v>
      </c>
      <c r="O341" s="21" t="n">
        <v>369.95</v>
      </c>
      <c r="P341" s="21" t="n">
        <f aca="false">ROUND(M341*N341,2)</f>
        <v>369.95</v>
      </c>
      <c r="Q341" s="21" t="n">
        <f aca="false">ROUND(P341-IF(O341="",0,O341),2)</f>
        <v>0</v>
      </c>
      <c r="R341" s="14" t="str">
        <f aca="false">IF(J341="","MISSING BILL",IF(AND(K341=N341,ABS(L341-M341)&lt;0.001,ABS(O341-P341)&lt;0.01),"RECONCILED","CALCULATION ERROR"))</f>
        <v>RECONCILED</v>
      </c>
      <c r="S341" s="14" t="s">
        <v>2935</v>
      </c>
    </row>
    <row r="342" customFormat="false" ht="15" hidden="true" customHeight="false" outlineLevel="0" collapsed="false">
      <c r="A342" s="13" t="s">
        <v>439</v>
      </c>
      <c r="B342" s="13" t="s">
        <v>106</v>
      </c>
      <c r="C342" s="13" t="s">
        <v>1872</v>
      </c>
      <c r="D342" s="13" t="s">
        <v>1873</v>
      </c>
      <c r="E342" s="13" t="s">
        <v>1573</v>
      </c>
      <c r="F342" s="14" t="s">
        <v>1574</v>
      </c>
      <c r="G342" s="14" t="s">
        <v>2567</v>
      </c>
      <c r="H342" s="20" t="n">
        <v>48.3</v>
      </c>
      <c r="I342" s="13" t="n">
        <v>32</v>
      </c>
      <c r="J342" s="13" t="s">
        <v>2995</v>
      </c>
      <c r="K342" s="13" t="n">
        <v>49</v>
      </c>
      <c r="L342" s="21" t="n">
        <v>7.55</v>
      </c>
      <c r="M342" s="21" t="n">
        <f aca="false">IF(C342="covered",10.4,7.55)</f>
        <v>7.55</v>
      </c>
      <c r="N342" s="13" t="n">
        <f aca="false">MAX(ROUNDUP(H342,0),I342)</f>
        <v>49</v>
      </c>
      <c r="O342" s="21" t="n">
        <v>369.95</v>
      </c>
      <c r="P342" s="21" t="n">
        <f aca="false">ROUND(M342*N342,2)</f>
        <v>369.95</v>
      </c>
      <c r="Q342" s="21" t="n">
        <f aca="false">ROUND(P342-IF(O342="",0,O342),2)</f>
        <v>0</v>
      </c>
      <c r="R342" s="14" t="str">
        <f aca="false">IF(J342="","MISSING BILL",IF(AND(K342=N342,ABS(L342-M342)&lt;0.001,ABS(O342-P342)&lt;0.01),"RECONCILED","CALCULATION ERROR"))</f>
        <v>RECONCILED</v>
      </c>
      <c r="S342" s="14" t="s">
        <v>2935</v>
      </c>
    </row>
    <row r="343" customFormat="false" ht="15" hidden="true" customHeight="false" outlineLevel="0" collapsed="false">
      <c r="A343" s="13" t="s">
        <v>2996</v>
      </c>
      <c r="B343" s="13" t="s">
        <v>106</v>
      </c>
      <c r="C343" s="13" t="s">
        <v>1872</v>
      </c>
      <c r="D343" s="13" t="s">
        <v>1873</v>
      </c>
      <c r="E343" s="13" t="s">
        <v>2997</v>
      </c>
      <c r="F343" s="14" t="s">
        <v>2998</v>
      </c>
      <c r="G343" s="14" t="s">
        <v>2999</v>
      </c>
      <c r="H343" s="20" t="n">
        <v>59.3</v>
      </c>
      <c r="I343" s="13" t="n">
        <v>80</v>
      </c>
      <c r="J343" s="13" t="s">
        <v>3000</v>
      </c>
      <c r="K343" s="13" t="n">
        <v>80</v>
      </c>
      <c r="L343" s="21" t="n">
        <v>7.55</v>
      </c>
      <c r="M343" s="21" t="n">
        <f aca="false">IF(C343="covered",10.4,7.55)</f>
        <v>7.55</v>
      </c>
      <c r="N343" s="13" t="n">
        <f aca="false">MAX(ROUNDUP(H343,0),I343)</f>
        <v>80</v>
      </c>
      <c r="O343" s="21" t="n">
        <v>604</v>
      </c>
      <c r="P343" s="21" t="n">
        <f aca="false">ROUND(M343*N343,2)</f>
        <v>604</v>
      </c>
      <c r="Q343" s="21" t="n">
        <f aca="false">ROUND(P343-IF(O343="",0,O343),2)</f>
        <v>0</v>
      </c>
      <c r="R343" s="14" t="str">
        <f aca="false">IF(J343="","MISSING BILL",IF(AND(K343=N343,ABS(L343-M343)&lt;0.001,ABS(O343-P343)&lt;0.01),"RECONCILED","CALCULATION ERROR"))</f>
        <v>RECONCILED</v>
      </c>
      <c r="S343" s="14" t="s">
        <v>2935</v>
      </c>
    </row>
    <row r="344" customFormat="false" ht="15" hidden="true" customHeight="false" outlineLevel="0" collapsed="false">
      <c r="A344" s="13" t="s">
        <v>3001</v>
      </c>
      <c r="B344" s="13" t="s">
        <v>106</v>
      </c>
      <c r="C344" s="13" t="s">
        <v>1872</v>
      </c>
      <c r="D344" s="13" t="s">
        <v>1873</v>
      </c>
      <c r="E344" s="13" t="s">
        <v>3002</v>
      </c>
      <c r="F344" s="14" t="s">
        <v>3003</v>
      </c>
      <c r="G344" s="14" t="s">
        <v>3004</v>
      </c>
      <c r="H344" s="20" t="n">
        <v>37.9</v>
      </c>
      <c r="I344" s="13" t="n">
        <v>28</v>
      </c>
      <c r="J344" s="13" t="s">
        <v>3005</v>
      </c>
      <c r="K344" s="13" t="n">
        <v>38</v>
      </c>
      <c r="L344" s="21" t="n">
        <v>7.55</v>
      </c>
      <c r="M344" s="21" t="n">
        <f aca="false">IF(C344="covered",10.4,7.55)</f>
        <v>7.55</v>
      </c>
      <c r="N344" s="13" t="n">
        <f aca="false">MAX(ROUNDUP(H344,0),I344)</f>
        <v>38</v>
      </c>
      <c r="O344" s="21" t="n">
        <v>286.9</v>
      </c>
      <c r="P344" s="21" t="n">
        <f aca="false">ROUND(M344*N344,2)</f>
        <v>286.9</v>
      </c>
      <c r="Q344" s="21" t="n">
        <f aca="false">ROUND(P344-IF(O344="",0,O344),2)</f>
        <v>0</v>
      </c>
      <c r="R344" s="14" t="str">
        <f aca="false">IF(J344="","MISSING BILL",IF(AND(K344=N344,ABS(L344-M344)&lt;0.001,ABS(O344-P344)&lt;0.01),"RECONCILED","CALCULATION ERROR"))</f>
        <v>RECONCILED</v>
      </c>
      <c r="S344" s="14" t="s">
        <v>2935</v>
      </c>
    </row>
    <row r="345" customFormat="false" ht="15" hidden="true" customHeight="false" outlineLevel="0" collapsed="false">
      <c r="A345" s="13" t="s">
        <v>3006</v>
      </c>
      <c r="B345" s="13" t="s">
        <v>106</v>
      </c>
      <c r="C345" s="13" t="s">
        <v>1872</v>
      </c>
      <c r="D345" s="13" t="s">
        <v>1873</v>
      </c>
      <c r="E345" s="13" t="s">
        <v>252</v>
      </c>
      <c r="F345" s="14" t="s">
        <v>253</v>
      </c>
      <c r="G345" s="14" t="s">
        <v>2863</v>
      </c>
      <c r="H345" s="20" t="n">
        <v>25.7</v>
      </c>
      <c r="I345" s="13" t="n">
        <v>70</v>
      </c>
      <c r="J345" s="13" t="s">
        <v>3007</v>
      </c>
      <c r="K345" s="13" t="n">
        <v>70</v>
      </c>
      <c r="L345" s="21" t="n">
        <v>7.55</v>
      </c>
      <c r="M345" s="21" t="n">
        <f aca="false">IF(C345="covered",10.4,7.55)</f>
        <v>7.55</v>
      </c>
      <c r="N345" s="13" t="n">
        <f aca="false">MAX(ROUNDUP(H345,0),I345)</f>
        <v>70</v>
      </c>
      <c r="O345" s="21" t="n">
        <v>528.5</v>
      </c>
      <c r="P345" s="21" t="n">
        <f aca="false">ROUND(M345*N345,2)</f>
        <v>528.5</v>
      </c>
      <c r="Q345" s="21" t="n">
        <f aca="false">ROUND(P345-IF(O345="",0,O345),2)</f>
        <v>0</v>
      </c>
      <c r="R345" s="14" t="str">
        <f aca="false">IF(J345="","MISSING BILL",IF(AND(K345=N345,ABS(L345-M345)&lt;0.001,ABS(O345-P345)&lt;0.01),"RECONCILED","CALCULATION ERROR"))</f>
        <v>RECONCILED</v>
      </c>
      <c r="S345" s="14" t="s">
        <v>2935</v>
      </c>
    </row>
    <row r="346" customFormat="false" ht="15" hidden="true" customHeight="false" outlineLevel="0" collapsed="false">
      <c r="A346" s="13" t="s">
        <v>3008</v>
      </c>
      <c r="B346" s="13" t="s">
        <v>106</v>
      </c>
      <c r="C346" s="13" t="s">
        <v>1872</v>
      </c>
      <c r="D346" s="13" t="s">
        <v>1873</v>
      </c>
      <c r="E346" s="13" t="s">
        <v>3009</v>
      </c>
      <c r="F346" s="14" t="s">
        <v>3010</v>
      </c>
      <c r="G346" s="14" t="s">
        <v>2091</v>
      </c>
      <c r="H346" s="20" t="n">
        <v>44.4</v>
      </c>
      <c r="I346" s="13" t="n">
        <v>28</v>
      </c>
      <c r="J346" s="13" t="s">
        <v>3011</v>
      </c>
      <c r="K346" s="13" t="n">
        <v>45</v>
      </c>
      <c r="L346" s="21" t="n">
        <v>7.55</v>
      </c>
      <c r="M346" s="21" t="n">
        <f aca="false">IF(C346="covered",10.4,7.55)</f>
        <v>7.55</v>
      </c>
      <c r="N346" s="13" t="n">
        <f aca="false">MAX(ROUNDUP(H346,0),I346)</f>
        <v>45</v>
      </c>
      <c r="O346" s="21" t="n">
        <v>339.75</v>
      </c>
      <c r="P346" s="21" t="n">
        <f aca="false">ROUND(M346*N346,2)</f>
        <v>339.75</v>
      </c>
      <c r="Q346" s="21" t="n">
        <f aca="false">ROUND(P346-IF(O346="",0,O346),2)</f>
        <v>0</v>
      </c>
      <c r="R346" s="14" t="str">
        <f aca="false">IF(J346="","MISSING BILL",IF(AND(K346=N346,ABS(L346-M346)&lt;0.001,ABS(O346-P346)&lt;0.01),"RECONCILED","CALCULATION ERROR"))</f>
        <v>RECONCILED</v>
      </c>
      <c r="S346" s="14" t="s">
        <v>2935</v>
      </c>
    </row>
    <row r="347" customFormat="false" ht="15" hidden="true" customHeight="false" outlineLevel="0" collapsed="false">
      <c r="A347" s="13" t="s">
        <v>1444</v>
      </c>
      <c r="B347" s="13" t="s">
        <v>106</v>
      </c>
      <c r="C347" s="13" t="s">
        <v>1872</v>
      </c>
      <c r="D347" s="13" t="s">
        <v>1873</v>
      </c>
      <c r="E347" s="13" t="s">
        <v>3012</v>
      </c>
      <c r="F347" s="14" t="s">
        <v>3013</v>
      </c>
      <c r="G347" s="14" t="s">
        <v>3014</v>
      </c>
      <c r="H347" s="20" t="n">
        <v>55.7</v>
      </c>
      <c r="I347" s="13" t="n">
        <v>32</v>
      </c>
      <c r="J347" s="13" t="s">
        <v>3015</v>
      </c>
      <c r="K347" s="13" t="n">
        <v>56</v>
      </c>
      <c r="L347" s="21" t="n">
        <v>7.55</v>
      </c>
      <c r="M347" s="21" t="n">
        <f aca="false">IF(C347="covered",10.4,7.55)</f>
        <v>7.55</v>
      </c>
      <c r="N347" s="13" t="n">
        <f aca="false">MAX(ROUNDUP(H347,0),I347)</f>
        <v>56</v>
      </c>
      <c r="O347" s="21" t="n">
        <v>422.8</v>
      </c>
      <c r="P347" s="21" t="n">
        <f aca="false">ROUND(M347*N347,2)</f>
        <v>422.8</v>
      </c>
      <c r="Q347" s="21" t="n">
        <f aca="false">ROUND(P347-IF(O347="",0,O347),2)</f>
        <v>0</v>
      </c>
      <c r="R347" s="14" t="str">
        <f aca="false">IF(J347="","MISSING BILL",IF(AND(K347=N347,ABS(L347-M347)&lt;0.001,ABS(O347-P347)&lt;0.01),"RECONCILED","CALCULATION ERROR"))</f>
        <v>RECONCILED</v>
      </c>
      <c r="S347" s="14" t="s">
        <v>2935</v>
      </c>
    </row>
    <row r="348" customFormat="false" ht="15" hidden="true" customHeight="false" outlineLevel="0" collapsed="false">
      <c r="A348" s="13" t="s">
        <v>3016</v>
      </c>
      <c r="B348" s="13" t="s">
        <v>106</v>
      </c>
      <c r="C348" s="13" t="s">
        <v>1872</v>
      </c>
      <c r="D348" s="13" t="s">
        <v>1873</v>
      </c>
      <c r="E348" s="13" t="s">
        <v>3017</v>
      </c>
      <c r="F348" s="14" t="s">
        <v>3018</v>
      </c>
      <c r="G348" s="14" t="s">
        <v>3019</v>
      </c>
      <c r="H348" s="20" t="n">
        <v>39.3</v>
      </c>
      <c r="I348" s="13" t="n">
        <v>36</v>
      </c>
      <c r="J348" s="13" t="s">
        <v>3020</v>
      </c>
      <c r="K348" s="13" t="n">
        <v>40</v>
      </c>
      <c r="L348" s="21" t="n">
        <v>7.55</v>
      </c>
      <c r="M348" s="21" t="n">
        <f aca="false">IF(C348="covered",10.4,7.55)</f>
        <v>7.55</v>
      </c>
      <c r="N348" s="13" t="n">
        <f aca="false">MAX(ROUNDUP(H348,0),I348)</f>
        <v>40</v>
      </c>
      <c r="O348" s="21" t="n">
        <v>302</v>
      </c>
      <c r="P348" s="21" t="n">
        <f aca="false">ROUND(M348*N348,2)</f>
        <v>302</v>
      </c>
      <c r="Q348" s="21" t="n">
        <f aca="false">ROUND(P348-IF(O348="",0,O348),2)</f>
        <v>0</v>
      </c>
      <c r="R348" s="14" t="str">
        <f aca="false">IF(J348="","MISSING BILL",IF(AND(K348=N348,ABS(L348-M348)&lt;0.001,ABS(O348-P348)&lt;0.01),"RECONCILED","CALCULATION ERROR"))</f>
        <v>RECONCILED</v>
      </c>
      <c r="S348" s="14" t="s">
        <v>2935</v>
      </c>
    </row>
    <row r="349" customFormat="false" ht="15" hidden="true" customHeight="false" outlineLevel="0" collapsed="false">
      <c r="A349" s="13" t="s">
        <v>3021</v>
      </c>
      <c r="B349" s="13" t="s">
        <v>106</v>
      </c>
      <c r="C349" s="13" t="s">
        <v>1872</v>
      </c>
      <c r="D349" s="13" t="s">
        <v>1873</v>
      </c>
      <c r="E349" s="13" t="s">
        <v>3022</v>
      </c>
      <c r="F349" s="14" t="s">
        <v>3023</v>
      </c>
      <c r="G349" s="14" t="s">
        <v>3024</v>
      </c>
      <c r="H349" s="20" t="n">
        <v>49.2</v>
      </c>
      <c r="I349" s="13" t="n">
        <v>32</v>
      </c>
      <c r="J349" s="13" t="s">
        <v>3025</v>
      </c>
      <c r="K349" s="13" t="n">
        <v>50</v>
      </c>
      <c r="L349" s="21" t="n">
        <v>7.55</v>
      </c>
      <c r="M349" s="21" t="n">
        <f aca="false">IF(C349="covered",10.4,7.55)</f>
        <v>7.55</v>
      </c>
      <c r="N349" s="13" t="n">
        <f aca="false">MAX(ROUNDUP(H349,0),I349)</f>
        <v>50</v>
      </c>
      <c r="O349" s="21" t="n">
        <v>377.5</v>
      </c>
      <c r="P349" s="21" t="n">
        <f aca="false">ROUND(M349*N349,2)</f>
        <v>377.5</v>
      </c>
      <c r="Q349" s="21" t="n">
        <f aca="false">ROUND(P349-IF(O349="",0,O349),2)</f>
        <v>0</v>
      </c>
      <c r="R349" s="14" t="str">
        <f aca="false">IF(J349="","MISSING BILL",IF(AND(K349=N349,ABS(L349-M349)&lt;0.001,ABS(O349-P349)&lt;0.01),"RECONCILED","CALCULATION ERROR"))</f>
        <v>RECONCILED</v>
      </c>
      <c r="S349" s="14" t="s">
        <v>2935</v>
      </c>
    </row>
    <row r="350" customFormat="false" ht="15" hidden="true" customHeight="false" outlineLevel="0" collapsed="false">
      <c r="A350" s="13" t="s">
        <v>105</v>
      </c>
      <c r="B350" s="13" t="s">
        <v>106</v>
      </c>
      <c r="C350" s="13" t="s">
        <v>1872</v>
      </c>
      <c r="D350" s="13" t="s">
        <v>1873</v>
      </c>
      <c r="E350" s="13" t="s">
        <v>1442</v>
      </c>
      <c r="F350" s="14" t="s">
        <v>1443</v>
      </c>
      <c r="G350" s="14" t="s">
        <v>2583</v>
      </c>
      <c r="H350" s="20" t="n">
        <v>34.1</v>
      </c>
      <c r="I350" s="13" t="n">
        <v>28</v>
      </c>
      <c r="J350" s="13" t="s">
        <v>3026</v>
      </c>
      <c r="K350" s="13" t="n">
        <v>35</v>
      </c>
      <c r="L350" s="21" t="n">
        <v>7.55</v>
      </c>
      <c r="M350" s="21" t="n">
        <f aca="false">IF(C350="covered",10.4,7.55)</f>
        <v>7.55</v>
      </c>
      <c r="N350" s="13" t="n">
        <f aca="false">MAX(ROUNDUP(H350,0),I350)</f>
        <v>35</v>
      </c>
      <c r="O350" s="21" t="n">
        <v>264.25</v>
      </c>
      <c r="P350" s="21" t="n">
        <f aca="false">ROUND(M350*N350,2)</f>
        <v>264.25</v>
      </c>
      <c r="Q350" s="21" t="n">
        <f aca="false">ROUND(P350-IF(O350="",0,O350),2)</f>
        <v>0</v>
      </c>
      <c r="R350" s="14" t="str">
        <f aca="false">IF(J350="","MISSING BILL",IF(AND(K350=N350,ABS(L350-M350)&lt;0.001,ABS(O350-P350)&lt;0.01),"RECONCILED","CALCULATION ERROR"))</f>
        <v>RECONCILED</v>
      </c>
      <c r="S350" s="14" t="s">
        <v>2935</v>
      </c>
    </row>
    <row r="351" customFormat="false" ht="15" hidden="true" customHeight="false" outlineLevel="0" collapsed="false">
      <c r="A351" s="13" t="s">
        <v>3027</v>
      </c>
      <c r="B351" s="13" t="s">
        <v>106</v>
      </c>
      <c r="C351" s="13" t="s">
        <v>1872</v>
      </c>
      <c r="D351" s="13" t="s">
        <v>1873</v>
      </c>
      <c r="E351" s="13" t="s">
        <v>3028</v>
      </c>
      <c r="F351" s="14" t="s">
        <v>3029</v>
      </c>
      <c r="G351" s="14" t="s">
        <v>1919</v>
      </c>
      <c r="H351" s="20" t="n">
        <v>21.1</v>
      </c>
      <c r="I351" s="13" t="n">
        <v>40</v>
      </c>
      <c r="J351" s="13" t="s">
        <v>3030</v>
      </c>
      <c r="K351" s="13" t="n">
        <v>40</v>
      </c>
      <c r="L351" s="21" t="n">
        <v>7.55</v>
      </c>
      <c r="M351" s="21" t="n">
        <f aca="false">IF(C351="covered",10.4,7.55)</f>
        <v>7.55</v>
      </c>
      <c r="N351" s="13" t="n">
        <f aca="false">MAX(ROUNDUP(H351,0),I351)</f>
        <v>40</v>
      </c>
      <c r="O351" s="21" t="n">
        <v>302</v>
      </c>
      <c r="P351" s="21" t="n">
        <f aca="false">ROUND(M351*N351,2)</f>
        <v>302</v>
      </c>
      <c r="Q351" s="21" t="n">
        <f aca="false">ROUND(P351-IF(O351="",0,O351),2)</f>
        <v>0</v>
      </c>
      <c r="R351" s="14" t="str">
        <f aca="false">IF(J351="","MISSING BILL",IF(AND(K351=N351,ABS(L351-M351)&lt;0.001,ABS(O351-P351)&lt;0.01),"RECONCILED","CALCULATION ERROR"))</f>
        <v>RECONCILED</v>
      </c>
      <c r="S351" s="14" t="s">
        <v>2935</v>
      </c>
    </row>
    <row r="352" customFormat="false" ht="15" hidden="true" customHeight="false" outlineLevel="0" collapsed="false">
      <c r="A352" s="13" t="s">
        <v>3031</v>
      </c>
      <c r="B352" s="13" t="s">
        <v>106</v>
      </c>
      <c r="C352" s="13" t="s">
        <v>1872</v>
      </c>
      <c r="D352" s="13" t="s">
        <v>1873</v>
      </c>
      <c r="E352" s="13" t="s">
        <v>3032</v>
      </c>
      <c r="F352" s="14" t="s">
        <v>3033</v>
      </c>
      <c r="G352" s="14" t="s">
        <v>2662</v>
      </c>
      <c r="H352" s="20" t="n">
        <v>35.2</v>
      </c>
      <c r="I352" s="13" t="n">
        <v>24</v>
      </c>
      <c r="J352" s="13" t="s">
        <v>3034</v>
      </c>
      <c r="K352" s="13" t="n">
        <v>36</v>
      </c>
      <c r="L352" s="21" t="n">
        <v>7.55</v>
      </c>
      <c r="M352" s="21" t="n">
        <f aca="false">IF(C352="covered",10.4,7.55)</f>
        <v>7.55</v>
      </c>
      <c r="N352" s="13" t="n">
        <f aca="false">MAX(ROUNDUP(H352,0),I352)</f>
        <v>36</v>
      </c>
      <c r="O352" s="21" t="n">
        <v>271.8</v>
      </c>
      <c r="P352" s="21" t="n">
        <f aca="false">ROUND(M352*N352,2)</f>
        <v>271.8</v>
      </c>
      <c r="Q352" s="21" t="n">
        <f aca="false">ROUND(P352-IF(O352="",0,O352),2)</f>
        <v>0</v>
      </c>
      <c r="R352" s="14" t="str">
        <f aca="false">IF(J352="","MISSING BILL",IF(AND(K352=N352,ABS(L352-M352)&lt;0.001,ABS(O352-P352)&lt;0.01),"RECONCILED","CALCULATION ERROR"))</f>
        <v>RECONCILED</v>
      </c>
      <c r="S352" s="14" t="s">
        <v>2935</v>
      </c>
    </row>
    <row r="353" customFormat="false" ht="15" hidden="true" customHeight="false" outlineLevel="0" collapsed="false">
      <c r="A353" s="13" t="s">
        <v>3035</v>
      </c>
      <c r="B353" s="13" t="s">
        <v>106</v>
      </c>
      <c r="C353" s="13" t="s">
        <v>1872</v>
      </c>
      <c r="D353" s="13" t="s">
        <v>1873</v>
      </c>
      <c r="E353" s="13" t="s">
        <v>3036</v>
      </c>
      <c r="F353" s="14" t="s">
        <v>3037</v>
      </c>
      <c r="G353" s="14" t="s">
        <v>3038</v>
      </c>
      <c r="H353" s="20" t="n">
        <v>42.1</v>
      </c>
      <c r="I353" s="13" t="n">
        <v>45</v>
      </c>
      <c r="J353" s="13" t="s">
        <v>3039</v>
      </c>
      <c r="K353" s="13" t="n">
        <v>45</v>
      </c>
      <c r="L353" s="21" t="n">
        <v>7.55</v>
      </c>
      <c r="M353" s="21" t="n">
        <f aca="false">IF(C353="covered",10.4,7.55)</f>
        <v>7.55</v>
      </c>
      <c r="N353" s="13" t="n">
        <f aca="false">MAX(ROUNDUP(H353,0),I353)</f>
        <v>45</v>
      </c>
      <c r="O353" s="21" t="n">
        <v>339.75</v>
      </c>
      <c r="P353" s="21" t="n">
        <f aca="false">ROUND(M353*N353,2)</f>
        <v>339.75</v>
      </c>
      <c r="Q353" s="21" t="n">
        <f aca="false">ROUND(P353-IF(O353="",0,O353),2)</f>
        <v>0</v>
      </c>
      <c r="R353" s="14" t="str">
        <f aca="false">IF(J353="","MISSING BILL",IF(AND(K353=N353,ABS(L353-M353)&lt;0.001,ABS(O353-P353)&lt;0.01),"RECONCILED","CALCULATION ERROR"))</f>
        <v>RECONCILED</v>
      </c>
      <c r="S353" s="14" t="s">
        <v>2935</v>
      </c>
    </row>
    <row r="354" customFormat="false" ht="15" hidden="true" customHeight="false" outlineLevel="0" collapsed="false">
      <c r="A354" s="13" t="s">
        <v>3040</v>
      </c>
      <c r="B354" s="13" t="s">
        <v>106</v>
      </c>
      <c r="C354" s="13" t="s">
        <v>1872</v>
      </c>
      <c r="D354" s="13" t="s">
        <v>1873</v>
      </c>
      <c r="E354" s="13" t="s">
        <v>3041</v>
      </c>
      <c r="F354" s="14" t="s">
        <v>3042</v>
      </c>
      <c r="G354" s="14" t="s">
        <v>3043</v>
      </c>
      <c r="H354" s="20" t="n">
        <v>24.5</v>
      </c>
      <c r="I354" s="13" t="n">
        <v>32</v>
      </c>
      <c r="J354" s="13" t="s">
        <v>3044</v>
      </c>
      <c r="K354" s="13" t="n">
        <v>32</v>
      </c>
      <c r="L354" s="21" t="n">
        <v>7.55</v>
      </c>
      <c r="M354" s="21" t="n">
        <f aca="false">IF(C354="covered",10.4,7.55)</f>
        <v>7.55</v>
      </c>
      <c r="N354" s="13" t="n">
        <f aca="false">MAX(ROUNDUP(H354,0),I354)</f>
        <v>32</v>
      </c>
      <c r="O354" s="21" t="n">
        <v>241.6</v>
      </c>
      <c r="P354" s="21" t="n">
        <f aca="false">ROUND(M354*N354,2)</f>
        <v>241.6</v>
      </c>
      <c r="Q354" s="21" t="n">
        <f aca="false">ROUND(P354-IF(O354="",0,O354),2)</f>
        <v>0</v>
      </c>
      <c r="R354" s="14" t="str">
        <f aca="false">IF(J354="","MISSING BILL",IF(AND(K354=N354,ABS(L354-M354)&lt;0.001,ABS(O354-P354)&lt;0.01),"RECONCILED","CALCULATION ERROR"))</f>
        <v>RECONCILED</v>
      </c>
      <c r="S354" s="14" t="s">
        <v>2935</v>
      </c>
    </row>
    <row r="355" customFormat="false" ht="15" hidden="true" customHeight="false" outlineLevel="0" collapsed="false">
      <c r="A355" s="13" t="s">
        <v>1155</v>
      </c>
      <c r="B355" s="13" t="s">
        <v>106</v>
      </c>
      <c r="C355" s="13" t="s">
        <v>1872</v>
      </c>
      <c r="D355" s="13" t="s">
        <v>1873</v>
      </c>
      <c r="E355" s="13" t="s">
        <v>3045</v>
      </c>
      <c r="F355" s="14" t="s">
        <v>3046</v>
      </c>
      <c r="G355" s="14" t="s">
        <v>2186</v>
      </c>
      <c r="H355" s="20" t="n">
        <v>30.4</v>
      </c>
      <c r="I355" s="13" t="n">
        <v>36</v>
      </c>
      <c r="J355" s="13" t="s">
        <v>3047</v>
      </c>
      <c r="K355" s="13" t="n">
        <v>36</v>
      </c>
      <c r="L355" s="21" t="n">
        <v>7.55</v>
      </c>
      <c r="M355" s="21" t="n">
        <f aca="false">IF(C355="covered",10.4,7.55)</f>
        <v>7.55</v>
      </c>
      <c r="N355" s="13" t="n">
        <f aca="false">MAX(ROUNDUP(H355,0),I355)</f>
        <v>36</v>
      </c>
      <c r="O355" s="21" t="n">
        <v>271.8</v>
      </c>
      <c r="P355" s="21" t="n">
        <f aca="false">ROUND(M355*N355,2)</f>
        <v>271.8</v>
      </c>
      <c r="Q355" s="21" t="n">
        <f aca="false">ROUND(P355-IF(O355="",0,O355),2)</f>
        <v>0</v>
      </c>
      <c r="R355" s="14" t="str">
        <f aca="false">IF(J355="","MISSING BILL",IF(AND(K355=N355,ABS(L355-M355)&lt;0.001,ABS(O355-P355)&lt;0.01),"RECONCILED","CALCULATION ERROR"))</f>
        <v>RECONCILED</v>
      </c>
      <c r="S355" s="14" t="s">
        <v>2935</v>
      </c>
    </row>
    <row r="356" customFormat="false" ht="15" hidden="true" customHeight="false" outlineLevel="0" collapsed="false">
      <c r="A356" s="13" t="s">
        <v>3048</v>
      </c>
      <c r="B356" s="13" t="s">
        <v>106</v>
      </c>
      <c r="C356" s="13" t="s">
        <v>1872</v>
      </c>
      <c r="D356" s="13" t="s">
        <v>1873</v>
      </c>
      <c r="E356" s="13" t="s">
        <v>3049</v>
      </c>
      <c r="F356" s="14" t="s">
        <v>3050</v>
      </c>
      <c r="G356" s="14" t="s">
        <v>2498</v>
      </c>
      <c r="H356" s="20" t="n">
        <v>39.6</v>
      </c>
      <c r="I356" s="13" t="n">
        <v>24</v>
      </c>
      <c r="J356" s="13" t="s">
        <v>3051</v>
      </c>
      <c r="K356" s="13" t="n">
        <v>40</v>
      </c>
      <c r="L356" s="21" t="n">
        <v>7.55</v>
      </c>
      <c r="M356" s="21" t="n">
        <f aca="false">IF(C356="covered",10.4,7.55)</f>
        <v>7.55</v>
      </c>
      <c r="N356" s="13" t="n">
        <f aca="false">MAX(ROUNDUP(H356,0),I356)</f>
        <v>40</v>
      </c>
      <c r="O356" s="21" t="n">
        <v>302</v>
      </c>
      <c r="P356" s="21" t="n">
        <f aca="false">ROUND(M356*N356,2)</f>
        <v>302</v>
      </c>
      <c r="Q356" s="21" t="n">
        <f aca="false">ROUND(P356-IF(O356="",0,O356),2)</f>
        <v>0</v>
      </c>
      <c r="R356" s="14" t="str">
        <f aca="false">IF(J356="","MISSING BILL",IF(AND(K356=N356,ABS(L356-M356)&lt;0.001,ABS(O356-P356)&lt;0.01),"RECONCILED","CALCULATION ERROR"))</f>
        <v>RECONCILED</v>
      </c>
      <c r="S356" s="14" t="s">
        <v>2935</v>
      </c>
    </row>
    <row r="357" customFormat="false" ht="15" hidden="true" customHeight="false" outlineLevel="0" collapsed="false">
      <c r="A357" s="13" t="s">
        <v>3052</v>
      </c>
      <c r="B357" s="13" t="s">
        <v>106</v>
      </c>
      <c r="C357" s="13" t="s">
        <v>1872</v>
      </c>
      <c r="D357" s="13" t="s">
        <v>1873</v>
      </c>
      <c r="E357" s="13" t="s">
        <v>3053</v>
      </c>
      <c r="F357" s="14" t="s">
        <v>3054</v>
      </c>
      <c r="G357" s="14" t="s">
        <v>2743</v>
      </c>
      <c r="H357" s="20" t="n">
        <v>41.5</v>
      </c>
      <c r="I357" s="13" t="n">
        <v>50</v>
      </c>
      <c r="J357" s="13" t="s">
        <v>3055</v>
      </c>
      <c r="K357" s="13" t="n">
        <v>50</v>
      </c>
      <c r="L357" s="21" t="n">
        <v>7.55</v>
      </c>
      <c r="M357" s="21" t="n">
        <f aca="false">IF(C357="covered",10.4,7.55)</f>
        <v>7.55</v>
      </c>
      <c r="N357" s="13" t="n">
        <f aca="false">MAX(ROUNDUP(H357,0),I357)</f>
        <v>50</v>
      </c>
      <c r="O357" s="21" t="n">
        <v>377.5</v>
      </c>
      <c r="P357" s="21" t="n">
        <f aca="false">ROUND(M357*N357,2)</f>
        <v>377.5</v>
      </c>
      <c r="Q357" s="21" t="n">
        <f aca="false">ROUND(P357-IF(O357="",0,O357),2)</f>
        <v>0</v>
      </c>
      <c r="R357" s="14" t="str">
        <f aca="false">IF(J357="","MISSING BILL",IF(AND(K357=N357,ABS(L357-M357)&lt;0.001,ABS(O357-P357)&lt;0.01),"RECONCILED","CALCULATION ERROR"))</f>
        <v>RECONCILED</v>
      </c>
      <c r="S357" s="14" t="s">
        <v>2935</v>
      </c>
    </row>
    <row r="358" customFormat="false" ht="15" hidden="true" customHeight="false" outlineLevel="0" collapsed="false">
      <c r="A358" s="13" t="s">
        <v>3056</v>
      </c>
      <c r="B358" s="13" t="s">
        <v>106</v>
      </c>
      <c r="C358" s="13" t="s">
        <v>1872</v>
      </c>
      <c r="D358" s="13" t="s">
        <v>1873</v>
      </c>
      <c r="E358" s="13" t="s">
        <v>3057</v>
      </c>
      <c r="F358" s="14" t="s">
        <v>3058</v>
      </c>
      <c r="G358" s="14" t="s">
        <v>3059</v>
      </c>
      <c r="H358" s="20" t="n">
        <v>19.5</v>
      </c>
      <c r="I358" s="13" t="n">
        <v>32</v>
      </c>
      <c r="J358" s="13" t="s">
        <v>3060</v>
      </c>
      <c r="K358" s="13" t="n">
        <v>32</v>
      </c>
      <c r="L358" s="21" t="n">
        <v>7.55</v>
      </c>
      <c r="M358" s="21" t="n">
        <f aca="false">IF(C358="covered",10.4,7.55)</f>
        <v>7.55</v>
      </c>
      <c r="N358" s="13" t="n">
        <f aca="false">MAX(ROUNDUP(H358,0),I358)</f>
        <v>32</v>
      </c>
      <c r="O358" s="21" t="n">
        <v>241.6</v>
      </c>
      <c r="P358" s="21" t="n">
        <f aca="false">ROUND(M358*N358,2)</f>
        <v>241.6</v>
      </c>
      <c r="Q358" s="21" t="n">
        <f aca="false">ROUND(P358-IF(O358="",0,O358),2)</f>
        <v>0</v>
      </c>
      <c r="R358" s="14" t="str">
        <f aca="false">IF(J358="","MISSING BILL",IF(AND(K358=N358,ABS(L358-M358)&lt;0.001,ABS(O358-P358)&lt;0.01),"RECONCILED","CALCULATION ERROR"))</f>
        <v>RECONCILED</v>
      </c>
      <c r="S358" s="14" t="s">
        <v>2935</v>
      </c>
    </row>
    <row r="359" customFormat="false" ht="15" hidden="true" customHeight="false" outlineLevel="0" collapsed="false">
      <c r="A359" s="13" t="s">
        <v>3061</v>
      </c>
      <c r="B359" s="13" t="s">
        <v>106</v>
      </c>
      <c r="C359" s="13" t="s">
        <v>1872</v>
      </c>
      <c r="D359" s="13" t="s">
        <v>1873</v>
      </c>
      <c r="E359" s="13" t="s">
        <v>3062</v>
      </c>
      <c r="F359" s="14" t="s">
        <v>3063</v>
      </c>
      <c r="G359" s="14" t="s">
        <v>3064</v>
      </c>
      <c r="H359" s="20" t="n">
        <v>23.2</v>
      </c>
      <c r="I359" s="13" t="n">
        <v>60</v>
      </c>
      <c r="J359" s="13" t="s">
        <v>3065</v>
      </c>
      <c r="K359" s="13" t="n">
        <v>60</v>
      </c>
      <c r="L359" s="21" t="n">
        <v>7.55</v>
      </c>
      <c r="M359" s="21" t="n">
        <f aca="false">IF(C359="covered",10.4,7.55)</f>
        <v>7.55</v>
      </c>
      <c r="N359" s="13" t="n">
        <f aca="false">MAX(ROUNDUP(H359,0),I359)</f>
        <v>60</v>
      </c>
      <c r="O359" s="21" t="n">
        <v>453</v>
      </c>
      <c r="P359" s="21" t="n">
        <f aca="false">ROUND(M359*N359,2)</f>
        <v>453</v>
      </c>
      <c r="Q359" s="21" t="n">
        <f aca="false">ROUND(P359-IF(O359="",0,O359),2)</f>
        <v>0</v>
      </c>
      <c r="R359" s="14" t="str">
        <f aca="false">IF(J359="","MISSING BILL",IF(AND(K359=N359,ABS(L359-M359)&lt;0.001,ABS(O359-P359)&lt;0.01),"RECONCILED","CALCULATION ERROR"))</f>
        <v>RECONCILED</v>
      </c>
      <c r="S359" s="14" t="s">
        <v>2935</v>
      </c>
    </row>
    <row r="360" customFormat="false" ht="15" hidden="true" customHeight="false" outlineLevel="0" collapsed="false">
      <c r="A360" s="13" t="s">
        <v>3066</v>
      </c>
      <c r="B360" s="13" t="s">
        <v>106</v>
      </c>
      <c r="C360" s="13" t="s">
        <v>1872</v>
      </c>
      <c r="D360" s="13" t="s">
        <v>1873</v>
      </c>
      <c r="E360" s="13" t="s">
        <v>3067</v>
      </c>
      <c r="F360" s="14" t="s">
        <v>3068</v>
      </c>
      <c r="G360" s="14" t="s">
        <v>3069</v>
      </c>
      <c r="H360" s="20" t="n">
        <v>20.4</v>
      </c>
      <c r="I360" s="13" t="n">
        <v>32</v>
      </c>
      <c r="J360" s="13" t="s">
        <v>3070</v>
      </c>
      <c r="K360" s="13" t="n">
        <v>32</v>
      </c>
      <c r="L360" s="21" t="n">
        <v>7.55</v>
      </c>
      <c r="M360" s="21" t="n">
        <f aca="false">IF(C360="covered",10.4,7.55)</f>
        <v>7.55</v>
      </c>
      <c r="N360" s="13" t="n">
        <f aca="false">MAX(ROUNDUP(H360,0),I360)</f>
        <v>32</v>
      </c>
      <c r="O360" s="21" t="n">
        <v>241.6</v>
      </c>
      <c r="P360" s="21" t="n">
        <f aca="false">ROUND(M360*N360,2)</f>
        <v>241.6</v>
      </c>
      <c r="Q360" s="21" t="n">
        <f aca="false">ROUND(P360-IF(O360="",0,O360),2)</f>
        <v>0</v>
      </c>
      <c r="R360" s="14" t="str">
        <f aca="false">IF(J360="","MISSING BILL",IF(AND(K360=N360,ABS(L360-M360)&lt;0.001,ABS(O360-P360)&lt;0.01),"RECONCILED","CALCULATION ERROR"))</f>
        <v>RECONCILED</v>
      </c>
      <c r="S360" s="14" t="s">
        <v>2935</v>
      </c>
    </row>
    <row r="361" customFormat="false" ht="15" hidden="true" customHeight="false" outlineLevel="0" collapsed="false">
      <c r="A361" s="13" t="s">
        <v>3071</v>
      </c>
      <c r="B361" s="13" t="s">
        <v>106</v>
      </c>
      <c r="C361" s="13" t="s">
        <v>1872</v>
      </c>
      <c r="D361" s="13" t="s">
        <v>1873</v>
      </c>
      <c r="E361" s="13" t="s">
        <v>3072</v>
      </c>
      <c r="F361" s="14" t="s">
        <v>3073</v>
      </c>
      <c r="G361" s="14" t="s">
        <v>3074</v>
      </c>
      <c r="H361" s="20" t="n">
        <v>42.6</v>
      </c>
      <c r="I361" s="13" t="n">
        <v>50</v>
      </c>
      <c r="J361" s="13" t="s">
        <v>3075</v>
      </c>
      <c r="K361" s="13" t="n">
        <v>50</v>
      </c>
      <c r="L361" s="21" t="n">
        <v>7.55</v>
      </c>
      <c r="M361" s="21" t="n">
        <f aca="false">IF(C361="covered",10.4,7.55)</f>
        <v>7.55</v>
      </c>
      <c r="N361" s="13" t="n">
        <f aca="false">MAX(ROUNDUP(H361,0),I361)</f>
        <v>50</v>
      </c>
      <c r="O361" s="21" t="n">
        <v>377.5</v>
      </c>
      <c r="P361" s="21" t="n">
        <f aca="false">ROUND(M361*N361,2)</f>
        <v>377.5</v>
      </c>
      <c r="Q361" s="21" t="n">
        <f aca="false">ROUND(P361-IF(O361="",0,O361),2)</f>
        <v>0</v>
      </c>
      <c r="R361" s="14" t="str">
        <f aca="false">IF(J361="","MISSING BILL",IF(AND(K361=N361,ABS(L361-M361)&lt;0.001,ABS(O361-P361)&lt;0.01),"RECONCILED","CALCULATION ERROR"))</f>
        <v>RECONCILED</v>
      </c>
      <c r="S361" s="14" t="s">
        <v>2935</v>
      </c>
    </row>
    <row r="362" customFormat="false" ht="15" hidden="true" customHeight="false" outlineLevel="0" collapsed="false">
      <c r="A362" s="13" t="s">
        <v>3076</v>
      </c>
      <c r="B362" s="13" t="s">
        <v>106</v>
      </c>
      <c r="C362" s="13" t="s">
        <v>1872</v>
      </c>
      <c r="D362" s="13" t="s">
        <v>1873</v>
      </c>
      <c r="E362" s="13" t="s">
        <v>519</v>
      </c>
      <c r="F362" s="14" t="s">
        <v>520</v>
      </c>
      <c r="G362" s="14" t="s">
        <v>1964</v>
      </c>
      <c r="H362" s="20" t="n">
        <v>32.9</v>
      </c>
      <c r="I362" s="13" t="n">
        <v>32</v>
      </c>
      <c r="J362" s="13" t="s">
        <v>3077</v>
      </c>
      <c r="K362" s="13" t="n">
        <v>33</v>
      </c>
      <c r="L362" s="21" t="n">
        <v>7.55</v>
      </c>
      <c r="M362" s="21" t="n">
        <f aca="false">IF(C362="covered",10.4,7.55)</f>
        <v>7.55</v>
      </c>
      <c r="N362" s="13" t="n">
        <f aca="false">MAX(ROUNDUP(H362,0),I362)</f>
        <v>33</v>
      </c>
      <c r="O362" s="21" t="n">
        <v>249.15</v>
      </c>
      <c r="P362" s="21" t="n">
        <f aca="false">ROUND(M362*N362,2)</f>
        <v>249.15</v>
      </c>
      <c r="Q362" s="21" t="n">
        <f aca="false">ROUND(P362-IF(O362="",0,O362),2)</f>
        <v>0</v>
      </c>
      <c r="R362" s="14" t="str">
        <f aca="false">IF(J362="","MISSING BILL",IF(AND(K362=N362,ABS(L362-M362)&lt;0.001,ABS(O362-P362)&lt;0.01),"RECONCILED","CALCULATION ERROR"))</f>
        <v>RECONCILED</v>
      </c>
      <c r="S362" s="14" t="s">
        <v>2935</v>
      </c>
    </row>
    <row r="363" customFormat="false" ht="15" hidden="true" customHeight="false" outlineLevel="0" collapsed="false">
      <c r="A363" s="13" t="s">
        <v>3078</v>
      </c>
      <c r="B363" s="13" t="s">
        <v>106</v>
      </c>
      <c r="C363" s="13" t="s">
        <v>1872</v>
      </c>
      <c r="D363" s="13" t="s">
        <v>1873</v>
      </c>
      <c r="E363" s="13" t="s">
        <v>3079</v>
      </c>
      <c r="F363" s="14" t="s">
        <v>3080</v>
      </c>
      <c r="G363" s="14" t="s">
        <v>2676</v>
      </c>
      <c r="H363" s="20" t="n">
        <v>23</v>
      </c>
      <c r="I363" s="13" t="n">
        <v>36</v>
      </c>
      <c r="J363" s="13" t="s">
        <v>3081</v>
      </c>
      <c r="K363" s="13" t="n">
        <v>36</v>
      </c>
      <c r="L363" s="21" t="n">
        <v>7.55</v>
      </c>
      <c r="M363" s="21" t="n">
        <f aca="false">IF(C363="covered",10.4,7.55)</f>
        <v>7.55</v>
      </c>
      <c r="N363" s="13" t="n">
        <f aca="false">MAX(ROUNDUP(H363,0),I363)</f>
        <v>36</v>
      </c>
      <c r="O363" s="21" t="n">
        <v>271.8</v>
      </c>
      <c r="P363" s="21" t="n">
        <f aca="false">ROUND(M363*N363,2)</f>
        <v>271.8</v>
      </c>
      <c r="Q363" s="21" t="n">
        <f aca="false">ROUND(P363-IF(O363="",0,O363),2)</f>
        <v>0</v>
      </c>
      <c r="R363" s="14" t="str">
        <f aca="false">IF(J363="","MISSING BILL",IF(AND(K363=N363,ABS(L363-M363)&lt;0.001,ABS(O363-P363)&lt;0.01),"RECONCILED","CALCULATION ERROR"))</f>
        <v>RECONCILED</v>
      </c>
      <c r="S363" s="14" t="s">
        <v>2935</v>
      </c>
    </row>
    <row r="364" customFormat="false" ht="15" hidden="true" customHeight="false" outlineLevel="0" collapsed="false">
      <c r="A364" s="13" t="s">
        <v>3082</v>
      </c>
      <c r="B364" s="13" t="s">
        <v>106</v>
      </c>
      <c r="C364" s="13" t="s">
        <v>1872</v>
      </c>
      <c r="D364" s="13" t="s">
        <v>1873</v>
      </c>
      <c r="E364" s="13" t="s">
        <v>3083</v>
      </c>
      <c r="F364" s="14" t="s">
        <v>3084</v>
      </c>
      <c r="G364" s="14" t="s">
        <v>3085</v>
      </c>
      <c r="H364" s="20" t="n">
        <v>21.3</v>
      </c>
      <c r="I364" s="13" t="n">
        <v>70</v>
      </c>
      <c r="J364" s="13" t="s">
        <v>3086</v>
      </c>
      <c r="K364" s="13" t="n">
        <v>70</v>
      </c>
      <c r="L364" s="21" t="n">
        <v>7.55</v>
      </c>
      <c r="M364" s="21" t="n">
        <f aca="false">IF(C364="covered",10.4,7.55)</f>
        <v>7.55</v>
      </c>
      <c r="N364" s="13" t="n">
        <f aca="false">MAX(ROUNDUP(H364,0),I364)</f>
        <v>70</v>
      </c>
      <c r="O364" s="21" t="n">
        <v>528.5</v>
      </c>
      <c r="P364" s="21" t="n">
        <f aca="false">ROUND(M364*N364,2)</f>
        <v>528.5</v>
      </c>
      <c r="Q364" s="21" t="n">
        <f aca="false">ROUND(P364-IF(O364="",0,O364),2)</f>
        <v>0</v>
      </c>
      <c r="R364" s="14" t="str">
        <f aca="false">IF(J364="","MISSING BILL",IF(AND(K364=N364,ABS(L364-M364)&lt;0.001,ABS(O364-P364)&lt;0.01),"RECONCILED","CALCULATION ERROR"))</f>
        <v>RECONCILED</v>
      </c>
      <c r="S364" s="14" t="s">
        <v>2935</v>
      </c>
    </row>
    <row r="365" customFormat="false" ht="15" hidden="true" customHeight="false" outlineLevel="0" collapsed="false">
      <c r="A365" s="13" t="s">
        <v>3087</v>
      </c>
      <c r="B365" s="13" t="s">
        <v>106</v>
      </c>
      <c r="C365" s="13" t="s">
        <v>1872</v>
      </c>
      <c r="D365" s="13" t="s">
        <v>1873</v>
      </c>
      <c r="E365" s="13" t="s">
        <v>3088</v>
      </c>
      <c r="F365" s="14" t="s">
        <v>3089</v>
      </c>
      <c r="G365" s="14" t="s">
        <v>3090</v>
      </c>
      <c r="H365" s="20" t="n">
        <v>22.1</v>
      </c>
      <c r="I365" s="13" t="n">
        <v>40</v>
      </c>
      <c r="J365" s="13" t="s">
        <v>3091</v>
      </c>
      <c r="K365" s="13" t="n">
        <v>40</v>
      </c>
      <c r="L365" s="21" t="n">
        <v>7.55</v>
      </c>
      <c r="M365" s="21" t="n">
        <f aca="false">IF(C365="covered",10.4,7.55)</f>
        <v>7.55</v>
      </c>
      <c r="N365" s="13" t="n">
        <f aca="false">MAX(ROUNDUP(H365,0),I365)</f>
        <v>40</v>
      </c>
      <c r="O365" s="21" t="n">
        <v>302</v>
      </c>
      <c r="P365" s="21" t="n">
        <f aca="false">ROUND(M365*N365,2)</f>
        <v>302</v>
      </c>
      <c r="Q365" s="21" t="n">
        <f aca="false">ROUND(P365-IF(O365="",0,O365),2)</f>
        <v>0</v>
      </c>
      <c r="R365" s="14" t="str">
        <f aca="false">IF(J365="","MISSING BILL",IF(AND(K365=N365,ABS(L365-M365)&lt;0.001,ABS(O365-P365)&lt;0.01),"RECONCILED","CALCULATION ERROR"))</f>
        <v>RECONCILED</v>
      </c>
      <c r="S365" s="14" t="s">
        <v>2935</v>
      </c>
    </row>
    <row r="366" customFormat="false" ht="15" hidden="true" customHeight="false" outlineLevel="0" collapsed="false">
      <c r="A366" s="13" t="s">
        <v>3092</v>
      </c>
      <c r="B366" s="13" t="s">
        <v>106</v>
      </c>
      <c r="C366" s="13" t="s">
        <v>1872</v>
      </c>
      <c r="D366" s="13" t="s">
        <v>1873</v>
      </c>
      <c r="E366" s="13" t="s">
        <v>3093</v>
      </c>
      <c r="F366" s="14" t="s">
        <v>3094</v>
      </c>
      <c r="G366" s="14" t="s">
        <v>2863</v>
      </c>
      <c r="H366" s="20" t="n">
        <v>57.1</v>
      </c>
      <c r="I366" s="13" t="n">
        <v>28</v>
      </c>
      <c r="J366" s="13" t="s">
        <v>3095</v>
      </c>
      <c r="K366" s="13" t="n">
        <v>58</v>
      </c>
      <c r="L366" s="21" t="n">
        <v>7.55</v>
      </c>
      <c r="M366" s="21" t="n">
        <f aca="false">IF(C366="covered",10.4,7.55)</f>
        <v>7.55</v>
      </c>
      <c r="N366" s="13" t="n">
        <f aca="false">MAX(ROUNDUP(H366,0),I366)</f>
        <v>58</v>
      </c>
      <c r="O366" s="21" t="n">
        <v>437.9</v>
      </c>
      <c r="P366" s="21" t="n">
        <f aca="false">ROUND(M366*N366,2)</f>
        <v>437.9</v>
      </c>
      <c r="Q366" s="21" t="n">
        <f aca="false">ROUND(P366-IF(O366="",0,O366),2)</f>
        <v>0</v>
      </c>
      <c r="R366" s="14" t="str">
        <f aca="false">IF(J366="","MISSING BILL",IF(AND(K366=N366,ABS(L366-M366)&lt;0.001,ABS(O366-P366)&lt;0.01),"RECONCILED","CALCULATION ERROR"))</f>
        <v>RECONCILED</v>
      </c>
      <c r="S366" s="14" t="s">
        <v>2935</v>
      </c>
    </row>
    <row r="367" customFormat="false" ht="15" hidden="true" customHeight="false" outlineLevel="0" collapsed="false">
      <c r="A367" s="13" t="s">
        <v>3096</v>
      </c>
      <c r="B367" s="13" t="s">
        <v>106</v>
      </c>
      <c r="C367" s="13" t="s">
        <v>1872</v>
      </c>
      <c r="D367" s="13" t="s">
        <v>1873</v>
      </c>
      <c r="E367" s="13" t="s">
        <v>3097</v>
      </c>
      <c r="F367" s="14" t="s">
        <v>3098</v>
      </c>
      <c r="G367" s="14" t="s">
        <v>2451</v>
      </c>
      <c r="H367" s="20" t="n">
        <v>29.3</v>
      </c>
      <c r="I367" s="13" t="n">
        <v>24</v>
      </c>
      <c r="J367" s="13" t="s">
        <v>3099</v>
      </c>
      <c r="K367" s="13" t="n">
        <v>30</v>
      </c>
      <c r="L367" s="21" t="n">
        <v>7.55</v>
      </c>
      <c r="M367" s="21" t="n">
        <f aca="false">IF(C367="covered",10.4,7.55)</f>
        <v>7.55</v>
      </c>
      <c r="N367" s="13" t="n">
        <f aca="false">MAX(ROUNDUP(H367,0),I367)</f>
        <v>30</v>
      </c>
      <c r="O367" s="21" t="n">
        <v>226.5</v>
      </c>
      <c r="P367" s="21" t="n">
        <f aca="false">ROUND(M367*N367,2)</f>
        <v>226.5</v>
      </c>
      <c r="Q367" s="21" t="n">
        <f aca="false">ROUND(P367-IF(O367="",0,O367),2)</f>
        <v>0</v>
      </c>
      <c r="R367" s="14" t="str">
        <f aca="false">IF(J367="","MISSING BILL",IF(AND(K367=N367,ABS(L367-M367)&lt;0.001,ABS(O367-P367)&lt;0.01),"RECONCILED","CALCULATION ERROR"))</f>
        <v>RECONCILED</v>
      </c>
      <c r="S367" s="14" t="s">
        <v>2935</v>
      </c>
    </row>
    <row r="368" customFormat="false" ht="15" hidden="true" customHeight="false" outlineLevel="0" collapsed="false">
      <c r="A368" s="13" t="s">
        <v>3100</v>
      </c>
      <c r="B368" s="13" t="s">
        <v>106</v>
      </c>
      <c r="C368" s="13" t="s">
        <v>1872</v>
      </c>
      <c r="D368" s="13" t="s">
        <v>1873</v>
      </c>
      <c r="E368" s="13" t="s">
        <v>3101</v>
      </c>
      <c r="F368" s="14" t="s">
        <v>3102</v>
      </c>
      <c r="G368" s="14" t="s">
        <v>2128</v>
      </c>
      <c r="H368" s="20" t="n">
        <v>19</v>
      </c>
      <c r="I368" s="13" t="n">
        <v>36</v>
      </c>
      <c r="J368" s="13" t="s">
        <v>3103</v>
      </c>
      <c r="K368" s="13" t="n">
        <v>36</v>
      </c>
      <c r="L368" s="21" t="n">
        <v>7.55</v>
      </c>
      <c r="M368" s="21" t="n">
        <f aca="false">IF(C368="covered",10.4,7.55)</f>
        <v>7.55</v>
      </c>
      <c r="N368" s="13" t="n">
        <f aca="false">MAX(ROUNDUP(H368,0),I368)</f>
        <v>36</v>
      </c>
      <c r="O368" s="21" t="n">
        <v>271.8</v>
      </c>
      <c r="P368" s="21" t="n">
        <f aca="false">ROUND(M368*N368,2)</f>
        <v>271.8</v>
      </c>
      <c r="Q368" s="21" t="n">
        <f aca="false">ROUND(P368-IF(O368="",0,O368),2)</f>
        <v>0</v>
      </c>
      <c r="R368" s="14" t="str">
        <f aca="false">IF(J368="","MISSING BILL",IF(AND(K368=N368,ABS(L368-M368)&lt;0.001,ABS(O368-P368)&lt;0.01),"RECONCILED","CALCULATION ERROR"))</f>
        <v>RECONCILED</v>
      </c>
      <c r="S368" s="14" t="s">
        <v>2935</v>
      </c>
    </row>
    <row r="369" customFormat="false" ht="15" hidden="true" customHeight="false" outlineLevel="0" collapsed="false">
      <c r="A369" s="13" t="s">
        <v>3104</v>
      </c>
      <c r="B369" s="13" t="s">
        <v>106</v>
      </c>
      <c r="C369" s="13" t="s">
        <v>1872</v>
      </c>
      <c r="D369" s="13" t="s">
        <v>1873</v>
      </c>
      <c r="E369" s="13" t="s">
        <v>3105</v>
      </c>
      <c r="F369" s="14" t="s">
        <v>3106</v>
      </c>
      <c r="G369" s="14" t="s">
        <v>3019</v>
      </c>
      <c r="H369" s="20" t="n">
        <v>49.6</v>
      </c>
      <c r="I369" s="13" t="n">
        <v>24</v>
      </c>
      <c r="J369" s="13" t="s">
        <v>3107</v>
      </c>
      <c r="K369" s="13" t="n">
        <v>50</v>
      </c>
      <c r="L369" s="21" t="n">
        <v>7.55</v>
      </c>
      <c r="M369" s="21" t="n">
        <f aca="false">IF(C369="covered",10.4,7.55)</f>
        <v>7.55</v>
      </c>
      <c r="N369" s="13" t="n">
        <f aca="false">MAX(ROUNDUP(H369,0),I369)</f>
        <v>50</v>
      </c>
      <c r="O369" s="21" t="n">
        <v>377.5</v>
      </c>
      <c r="P369" s="21" t="n">
        <f aca="false">ROUND(M369*N369,2)</f>
        <v>377.5</v>
      </c>
      <c r="Q369" s="21" t="n">
        <f aca="false">ROUND(P369-IF(O369="",0,O369),2)</f>
        <v>0</v>
      </c>
      <c r="R369" s="14" t="str">
        <f aca="false">IF(J369="","MISSING BILL",IF(AND(K369=N369,ABS(L369-M369)&lt;0.001,ABS(O369-P369)&lt;0.01),"RECONCILED","CALCULATION ERROR"))</f>
        <v>RECONCILED</v>
      </c>
      <c r="S369" s="14" t="s">
        <v>2935</v>
      </c>
    </row>
    <row r="370" customFormat="false" ht="15" hidden="true" customHeight="false" outlineLevel="0" collapsed="false">
      <c r="A370" s="13" t="s">
        <v>3108</v>
      </c>
      <c r="B370" s="13" t="s">
        <v>106</v>
      </c>
      <c r="C370" s="13" t="s">
        <v>1872</v>
      </c>
      <c r="D370" s="13" t="s">
        <v>1873</v>
      </c>
      <c r="E370" s="13" t="s">
        <v>3109</v>
      </c>
      <c r="F370" s="14" t="s">
        <v>3110</v>
      </c>
      <c r="G370" s="14" t="s">
        <v>1971</v>
      </c>
      <c r="H370" s="20" t="n">
        <v>49.2</v>
      </c>
      <c r="I370" s="13" t="n">
        <v>40</v>
      </c>
      <c r="J370" s="13" t="s">
        <v>3111</v>
      </c>
      <c r="K370" s="13" t="n">
        <v>50</v>
      </c>
      <c r="L370" s="21" t="n">
        <v>7.55</v>
      </c>
      <c r="M370" s="21" t="n">
        <f aca="false">IF(C370="covered",10.4,7.55)</f>
        <v>7.55</v>
      </c>
      <c r="N370" s="13" t="n">
        <f aca="false">MAX(ROUNDUP(H370,0),I370)</f>
        <v>50</v>
      </c>
      <c r="O370" s="21" t="n">
        <v>377.5</v>
      </c>
      <c r="P370" s="21" t="n">
        <f aca="false">ROUND(M370*N370,2)</f>
        <v>377.5</v>
      </c>
      <c r="Q370" s="21" t="n">
        <f aca="false">ROUND(P370-IF(O370="",0,O370),2)</f>
        <v>0</v>
      </c>
      <c r="R370" s="14" t="str">
        <f aca="false">IF(J370="","MISSING BILL",IF(AND(K370=N370,ABS(L370-M370)&lt;0.001,ABS(O370-P370)&lt;0.01),"RECONCILED","CALCULATION ERROR"))</f>
        <v>RECONCILED</v>
      </c>
      <c r="S370" s="14" t="s">
        <v>2935</v>
      </c>
    </row>
    <row r="371" customFormat="false" ht="15" hidden="true" customHeight="false" outlineLevel="0" collapsed="false">
      <c r="A371" s="13" t="s">
        <v>3112</v>
      </c>
      <c r="B371" s="13" t="s">
        <v>106</v>
      </c>
      <c r="C371" s="13" t="s">
        <v>1872</v>
      </c>
      <c r="D371" s="13" t="s">
        <v>1873</v>
      </c>
      <c r="E371" s="13" t="s">
        <v>3113</v>
      </c>
      <c r="F371" s="14" t="s">
        <v>3114</v>
      </c>
      <c r="G371" s="14" t="s">
        <v>3115</v>
      </c>
      <c r="H371" s="20" t="n">
        <v>29.4</v>
      </c>
      <c r="I371" s="13" t="n">
        <v>40</v>
      </c>
      <c r="J371" s="13" t="s">
        <v>3116</v>
      </c>
      <c r="K371" s="13" t="n">
        <v>40</v>
      </c>
      <c r="L371" s="21" t="n">
        <v>7.55</v>
      </c>
      <c r="M371" s="21" t="n">
        <f aca="false">IF(C371="covered",10.4,7.55)</f>
        <v>7.55</v>
      </c>
      <c r="N371" s="13" t="n">
        <f aca="false">MAX(ROUNDUP(H371,0),I371)</f>
        <v>40</v>
      </c>
      <c r="O371" s="21" t="n">
        <v>302</v>
      </c>
      <c r="P371" s="21" t="n">
        <f aca="false">ROUND(M371*N371,2)</f>
        <v>302</v>
      </c>
      <c r="Q371" s="21" t="n">
        <f aca="false">ROUND(P371-IF(O371="",0,O371),2)</f>
        <v>0</v>
      </c>
      <c r="R371" s="14" t="str">
        <f aca="false">IF(J371="","MISSING BILL",IF(AND(K371=N371,ABS(L371-M371)&lt;0.001,ABS(O371-P371)&lt;0.01),"RECONCILED","CALCULATION ERROR"))</f>
        <v>RECONCILED</v>
      </c>
      <c r="S371" s="14" t="s">
        <v>2935</v>
      </c>
    </row>
    <row r="372" customFormat="false" ht="15" hidden="true" customHeight="false" outlineLevel="0" collapsed="false">
      <c r="A372" s="13" t="s">
        <v>211</v>
      </c>
      <c r="B372" s="13" t="s">
        <v>106</v>
      </c>
      <c r="C372" s="13" t="s">
        <v>1872</v>
      </c>
      <c r="D372" s="13" t="s">
        <v>1873</v>
      </c>
      <c r="E372" s="13" t="s">
        <v>3117</v>
      </c>
      <c r="F372" s="14" t="s">
        <v>3118</v>
      </c>
      <c r="G372" s="14" t="s">
        <v>2257</v>
      </c>
      <c r="H372" s="20" t="n">
        <v>39.1</v>
      </c>
      <c r="I372" s="13" t="n">
        <v>36</v>
      </c>
      <c r="J372" s="13" t="s">
        <v>3119</v>
      </c>
      <c r="K372" s="13" t="n">
        <v>40</v>
      </c>
      <c r="L372" s="21" t="n">
        <v>7.55</v>
      </c>
      <c r="M372" s="21" t="n">
        <f aca="false">IF(C372="covered",10.4,7.55)</f>
        <v>7.55</v>
      </c>
      <c r="N372" s="13" t="n">
        <f aca="false">MAX(ROUNDUP(H372,0),I372)</f>
        <v>40</v>
      </c>
      <c r="O372" s="21" t="n">
        <v>302</v>
      </c>
      <c r="P372" s="21" t="n">
        <f aca="false">ROUND(M372*N372,2)</f>
        <v>302</v>
      </c>
      <c r="Q372" s="21" t="n">
        <f aca="false">ROUND(P372-IF(O372="",0,O372),2)</f>
        <v>0</v>
      </c>
      <c r="R372" s="14" t="str">
        <f aca="false">IF(J372="","MISSING BILL",IF(AND(K372=N372,ABS(L372-M372)&lt;0.001,ABS(O372-P372)&lt;0.01),"RECONCILED","CALCULATION ERROR"))</f>
        <v>RECONCILED</v>
      </c>
      <c r="S372" s="14" t="s">
        <v>2935</v>
      </c>
    </row>
    <row r="373" customFormat="false" ht="15" hidden="true" customHeight="false" outlineLevel="0" collapsed="false">
      <c r="A373" s="13" t="s">
        <v>3120</v>
      </c>
      <c r="B373" s="13" t="s">
        <v>106</v>
      </c>
      <c r="C373" s="13" t="s">
        <v>1872</v>
      </c>
      <c r="D373" s="13" t="s">
        <v>1873</v>
      </c>
      <c r="E373" s="13" t="s">
        <v>3121</v>
      </c>
      <c r="F373" s="14" t="s">
        <v>3122</v>
      </c>
      <c r="G373" s="14" t="s">
        <v>3123</v>
      </c>
      <c r="H373" s="20" t="n">
        <v>61.9</v>
      </c>
      <c r="I373" s="13" t="n">
        <v>40</v>
      </c>
      <c r="J373" s="13" t="s">
        <v>3124</v>
      </c>
      <c r="K373" s="13" t="n">
        <v>62</v>
      </c>
      <c r="L373" s="21" t="n">
        <v>7.55</v>
      </c>
      <c r="M373" s="21" t="n">
        <f aca="false">IF(C373="covered",10.4,7.55)</f>
        <v>7.55</v>
      </c>
      <c r="N373" s="13" t="n">
        <f aca="false">MAX(ROUNDUP(H373,0),I373)</f>
        <v>62</v>
      </c>
      <c r="O373" s="21" t="n">
        <v>468.1</v>
      </c>
      <c r="P373" s="21" t="n">
        <f aca="false">ROUND(M373*N373,2)</f>
        <v>468.1</v>
      </c>
      <c r="Q373" s="21" t="n">
        <f aca="false">ROUND(P373-IF(O373="",0,O373),2)</f>
        <v>0</v>
      </c>
      <c r="R373" s="14" t="str">
        <f aca="false">IF(J373="","MISSING BILL",IF(AND(K373=N373,ABS(L373-M373)&lt;0.001,ABS(O373-P373)&lt;0.01),"RECONCILED","CALCULATION ERROR"))</f>
        <v>RECONCILED</v>
      </c>
      <c r="S373" s="14" t="s">
        <v>2935</v>
      </c>
    </row>
    <row r="374" customFormat="false" ht="15" hidden="true" customHeight="false" outlineLevel="0" collapsed="false">
      <c r="A374" s="13" t="s">
        <v>743</v>
      </c>
      <c r="B374" s="13" t="s">
        <v>106</v>
      </c>
      <c r="C374" s="13" t="s">
        <v>1872</v>
      </c>
      <c r="D374" s="13" t="s">
        <v>1873</v>
      </c>
      <c r="E374" s="13" t="s">
        <v>3125</v>
      </c>
      <c r="F374" s="14" t="s">
        <v>3126</v>
      </c>
      <c r="G374" s="14" t="s">
        <v>2999</v>
      </c>
      <c r="H374" s="20" t="n">
        <v>21</v>
      </c>
      <c r="I374" s="13" t="n">
        <v>50</v>
      </c>
      <c r="J374" s="13" t="s">
        <v>3127</v>
      </c>
      <c r="K374" s="13" t="n">
        <v>50</v>
      </c>
      <c r="L374" s="21" t="n">
        <v>7.55</v>
      </c>
      <c r="M374" s="21" t="n">
        <f aca="false">IF(C374="covered",10.4,7.55)</f>
        <v>7.55</v>
      </c>
      <c r="N374" s="13" t="n">
        <f aca="false">MAX(ROUNDUP(H374,0),I374)</f>
        <v>50</v>
      </c>
      <c r="O374" s="21" t="n">
        <v>377.5</v>
      </c>
      <c r="P374" s="21" t="n">
        <f aca="false">ROUND(M374*N374,2)</f>
        <v>377.5</v>
      </c>
      <c r="Q374" s="21" t="n">
        <f aca="false">ROUND(P374-IF(O374="",0,O374),2)</f>
        <v>0</v>
      </c>
      <c r="R374" s="14" t="str">
        <f aca="false">IF(J374="","MISSING BILL",IF(AND(K374=N374,ABS(L374-M374)&lt;0.001,ABS(O374-P374)&lt;0.01),"RECONCILED","CALCULATION ERROR"))</f>
        <v>RECONCILED</v>
      </c>
      <c r="S374" s="14" t="s">
        <v>2935</v>
      </c>
    </row>
    <row r="375" customFormat="false" ht="15" hidden="true" customHeight="false" outlineLevel="0" collapsed="false">
      <c r="A375" s="13" t="s">
        <v>3128</v>
      </c>
      <c r="B375" s="13" t="s">
        <v>106</v>
      </c>
      <c r="C375" s="13" t="s">
        <v>1872</v>
      </c>
      <c r="D375" s="13" t="s">
        <v>1873</v>
      </c>
      <c r="E375" s="13" t="s">
        <v>3129</v>
      </c>
      <c r="F375" s="14" t="s">
        <v>3130</v>
      </c>
      <c r="G375" s="14" t="s">
        <v>2552</v>
      </c>
      <c r="H375" s="20" t="n">
        <v>19.3</v>
      </c>
      <c r="I375" s="13" t="n">
        <v>70</v>
      </c>
      <c r="J375" s="13" t="s">
        <v>3131</v>
      </c>
      <c r="K375" s="13" t="n">
        <v>70</v>
      </c>
      <c r="L375" s="21" t="n">
        <v>7.55</v>
      </c>
      <c r="M375" s="21" t="n">
        <f aca="false">IF(C375="covered",10.4,7.55)</f>
        <v>7.55</v>
      </c>
      <c r="N375" s="13" t="n">
        <f aca="false">MAX(ROUNDUP(H375,0),I375)</f>
        <v>70</v>
      </c>
      <c r="O375" s="21" t="n">
        <v>528.5</v>
      </c>
      <c r="P375" s="21" t="n">
        <f aca="false">ROUND(M375*N375,2)</f>
        <v>528.5</v>
      </c>
      <c r="Q375" s="21" t="n">
        <f aca="false">ROUND(P375-IF(O375="",0,O375),2)</f>
        <v>0</v>
      </c>
      <c r="R375" s="14" t="str">
        <f aca="false">IF(J375="","MISSING BILL",IF(AND(K375=N375,ABS(L375-M375)&lt;0.001,ABS(O375-P375)&lt;0.01),"RECONCILED","CALCULATION ERROR"))</f>
        <v>RECONCILED</v>
      </c>
      <c r="S375" s="14" t="s">
        <v>2935</v>
      </c>
    </row>
    <row r="376" customFormat="false" ht="15" hidden="true" customHeight="false" outlineLevel="0" collapsed="false">
      <c r="A376" s="13" t="s">
        <v>3132</v>
      </c>
      <c r="B376" s="13" t="s">
        <v>106</v>
      </c>
      <c r="C376" s="13" t="s">
        <v>1872</v>
      </c>
      <c r="D376" s="13" t="s">
        <v>1873</v>
      </c>
      <c r="E376" s="13" t="s">
        <v>3133</v>
      </c>
      <c r="F376" s="14" t="s">
        <v>3134</v>
      </c>
      <c r="G376" s="14" t="s">
        <v>2618</v>
      </c>
      <c r="H376" s="20" t="n">
        <v>26.7</v>
      </c>
      <c r="I376" s="13" t="n">
        <v>28</v>
      </c>
      <c r="J376" s="13" t="s">
        <v>3135</v>
      </c>
      <c r="K376" s="13" t="n">
        <v>28</v>
      </c>
      <c r="L376" s="21" t="n">
        <v>7.55</v>
      </c>
      <c r="M376" s="21" t="n">
        <f aca="false">IF(C376="covered",10.4,7.55)</f>
        <v>7.55</v>
      </c>
      <c r="N376" s="13" t="n">
        <f aca="false">MAX(ROUNDUP(H376,0),I376)</f>
        <v>28</v>
      </c>
      <c r="O376" s="21" t="n">
        <v>211.4</v>
      </c>
      <c r="P376" s="21" t="n">
        <f aca="false">ROUND(M376*N376,2)</f>
        <v>211.4</v>
      </c>
      <c r="Q376" s="21" t="n">
        <f aca="false">ROUND(P376-IF(O376="",0,O376),2)</f>
        <v>0</v>
      </c>
      <c r="R376" s="14" t="str">
        <f aca="false">IF(J376="","MISSING BILL",IF(AND(K376=N376,ABS(L376-M376)&lt;0.001,ABS(O376-P376)&lt;0.01),"RECONCILED","CALCULATION ERROR"))</f>
        <v>RECONCILED</v>
      </c>
      <c r="S376" s="14" t="s">
        <v>2935</v>
      </c>
    </row>
    <row r="377" customFormat="false" ht="15" hidden="true" customHeight="false" outlineLevel="0" collapsed="false">
      <c r="A377" s="13" t="s">
        <v>3136</v>
      </c>
      <c r="B377" s="13" t="s">
        <v>106</v>
      </c>
      <c r="C377" s="13" t="s">
        <v>1872</v>
      </c>
      <c r="D377" s="13" t="s">
        <v>1873</v>
      </c>
      <c r="E377" s="13" t="s">
        <v>3137</v>
      </c>
      <c r="F377" s="14" t="s">
        <v>3138</v>
      </c>
      <c r="G377" s="14" t="s">
        <v>2408</v>
      </c>
      <c r="H377" s="20" t="n">
        <v>43.4</v>
      </c>
      <c r="I377" s="13" t="n">
        <v>50</v>
      </c>
      <c r="J377" s="13" t="s">
        <v>3139</v>
      </c>
      <c r="K377" s="13" t="n">
        <v>50</v>
      </c>
      <c r="L377" s="21" t="n">
        <v>7.55</v>
      </c>
      <c r="M377" s="21" t="n">
        <f aca="false">IF(C377="covered",10.4,7.55)</f>
        <v>7.55</v>
      </c>
      <c r="N377" s="13" t="n">
        <f aca="false">MAX(ROUNDUP(H377,0),I377)</f>
        <v>50</v>
      </c>
      <c r="O377" s="21" t="n">
        <v>377.5</v>
      </c>
      <c r="P377" s="21" t="n">
        <f aca="false">ROUND(M377*N377,2)</f>
        <v>377.5</v>
      </c>
      <c r="Q377" s="21" t="n">
        <f aca="false">ROUND(P377-IF(O377="",0,O377),2)</f>
        <v>0</v>
      </c>
      <c r="R377" s="14" t="str">
        <f aca="false">IF(J377="","MISSING BILL",IF(AND(K377=N377,ABS(L377-M377)&lt;0.001,ABS(O377-P377)&lt;0.01),"RECONCILED","CALCULATION ERROR"))</f>
        <v>RECONCILED</v>
      </c>
      <c r="S377" s="14" t="s">
        <v>2935</v>
      </c>
    </row>
    <row r="378" customFormat="false" ht="15" hidden="true" customHeight="false" outlineLevel="0" collapsed="false">
      <c r="A378" s="13" t="s">
        <v>3140</v>
      </c>
      <c r="B378" s="13" t="s">
        <v>106</v>
      </c>
      <c r="C378" s="13" t="s">
        <v>1872</v>
      </c>
      <c r="D378" s="13" t="s">
        <v>1873</v>
      </c>
      <c r="E378" s="13" t="s">
        <v>3141</v>
      </c>
      <c r="F378" s="14" t="s">
        <v>3142</v>
      </c>
      <c r="G378" s="14" t="s">
        <v>3143</v>
      </c>
      <c r="H378" s="20" t="n">
        <v>22.3</v>
      </c>
      <c r="I378" s="13" t="n">
        <v>32</v>
      </c>
      <c r="J378" s="13" t="s">
        <v>3144</v>
      </c>
      <c r="K378" s="13" t="n">
        <v>32</v>
      </c>
      <c r="L378" s="21" t="n">
        <v>7.55</v>
      </c>
      <c r="M378" s="21" t="n">
        <f aca="false">IF(C378="covered",10.4,7.55)</f>
        <v>7.55</v>
      </c>
      <c r="N378" s="13" t="n">
        <f aca="false">MAX(ROUNDUP(H378,0),I378)</f>
        <v>32</v>
      </c>
      <c r="O378" s="21" t="n">
        <v>241.6</v>
      </c>
      <c r="P378" s="21" t="n">
        <f aca="false">ROUND(M378*N378,2)</f>
        <v>241.6</v>
      </c>
      <c r="Q378" s="21" t="n">
        <f aca="false">ROUND(P378-IF(O378="",0,O378),2)</f>
        <v>0</v>
      </c>
      <c r="R378" s="14" t="str">
        <f aca="false">IF(J378="","MISSING BILL",IF(AND(K378=N378,ABS(L378-M378)&lt;0.001,ABS(O378-P378)&lt;0.01),"RECONCILED","CALCULATION ERROR"))</f>
        <v>RECONCILED</v>
      </c>
      <c r="S378" s="14" t="s">
        <v>2935</v>
      </c>
    </row>
    <row r="379" customFormat="false" ht="15" hidden="true" customHeight="false" outlineLevel="0" collapsed="false">
      <c r="A379" s="13" t="s">
        <v>3145</v>
      </c>
      <c r="B379" s="13" t="s">
        <v>106</v>
      </c>
      <c r="C379" s="13" t="s">
        <v>1872</v>
      </c>
      <c r="D379" s="13" t="s">
        <v>1873</v>
      </c>
      <c r="E379" s="13" t="s">
        <v>3146</v>
      </c>
      <c r="F379" s="14" t="s">
        <v>3147</v>
      </c>
      <c r="G379" s="14" t="s">
        <v>2017</v>
      </c>
      <c r="H379" s="20" t="n">
        <v>30.1</v>
      </c>
      <c r="I379" s="13" t="n">
        <v>28</v>
      </c>
      <c r="J379" s="13" t="s">
        <v>3148</v>
      </c>
      <c r="K379" s="13" t="n">
        <v>31</v>
      </c>
      <c r="L379" s="21" t="n">
        <v>7.55</v>
      </c>
      <c r="M379" s="21" t="n">
        <f aca="false">IF(C379="covered",10.4,7.55)</f>
        <v>7.55</v>
      </c>
      <c r="N379" s="13" t="n">
        <f aca="false">MAX(ROUNDUP(H379,0),I379)</f>
        <v>31</v>
      </c>
      <c r="O379" s="21" t="n">
        <v>234.05</v>
      </c>
      <c r="P379" s="21" t="n">
        <f aca="false">ROUND(M379*N379,2)</f>
        <v>234.05</v>
      </c>
      <c r="Q379" s="21" t="n">
        <f aca="false">ROUND(P379-IF(O379="",0,O379),2)</f>
        <v>0</v>
      </c>
      <c r="R379" s="14" t="str">
        <f aca="false">IF(J379="","MISSING BILL",IF(AND(K379=N379,ABS(L379-M379)&lt;0.001,ABS(O379-P379)&lt;0.01),"RECONCILED","CALCULATION ERROR"))</f>
        <v>RECONCILED</v>
      </c>
      <c r="S379" s="14" t="s">
        <v>2935</v>
      </c>
    </row>
    <row r="380" customFormat="false" ht="15" hidden="true" customHeight="false" outlineLevel="0" collapsed="false">
      <c r="A380" s="13" t="s">
        <v>3149</v>
      </c>
      <c r="B380" s="13" t="s">
        <v>106</v>
      </c>
      <c r="C380" s="13" t="s">
        <v>1872</v>
      </c>
      <c r="D380" s="13" t="s">
        <v>1873</v>
      </c>
      <c r="E380" s="13" t="s">
        <v>3150</v>
      </c>
      <c r="F380" s="14" t="s">
        <v>3151</v>
      </c>
      <c r="G380" s="14" t="s">
        <v>3152</v>
      </c>
      <c r="H380" s="20" t="n">
        <v>21.8</v>
      </c>
      <c r="I380" s="13" t="n">
        <v>50</v>
      </c>
      <c r="J380" s="13" t="s">
        <v>3153</v>
      </c>
      <c r="K380" s="13" t="n">
        <v>50</v>
      </c>
      <c r="L380" s="21" t="n">
        <v>7.55</v>
      </c>
      <c r="M380" s="21" t="n">
        <f aca="false">IF(C380="covered",10.4,7.55)</f>
        <v>7.55</v>
      </c>
      <c r="N380" s="13" t="n">
        <f aca="false">MAX(ROUNDUP(H380,0),I380)</f>
        <v>50</v>
      </c>
      <c r="O380" s="21" t="n">
        <v>377.5</v>
      </c>
      <c r="P380" s="21" t="n">
        <f aca="false">ROUND(M380*N380,2)</f>
        <v>377.5</v>
      </c>
      <c r="Q380" s="21" t="n">
        <f aca="false">ROUND(P380-IF(O380="",0,O380),2)</f>
        <v>0</v>
      </c>
      <c r="R380" s="14" t="str">
        <f aca="false">IF(J380="","MISSING BILL",IF(AND(K380=N380,ABS(L380-M380)&lt;0.001,ABS(O380-P380)&lt;0.01),"RECONCILED","CALCULATION ERROR"))</f>
        <v>RECONCILED</v>
      </c>
      <c r="S380" s="14" t="s">
        <v>2935</v>
      </c>
    </row>
    <row r="381" customFormat="false" ht="15" hidden="true" customHeight="false" outlineLevel="0" collapsed="false">
      <c r="A381" s="13" t="s">
        <v>3154</v>
      </c>
      <c r="B381" s="13" t="s">
        <v>106</v>
      </c>
      <c r="C381" s="13" t="s">
        <v>1872</v>
      </c>
      <c r="D381" s="13" t="s">
        <v>1873</v>
      </c>
      <c r="E381" s="13" t="s">
        <v>3155</v>
      </c>
      <c r="F381" s="14" t="s">
        <v>3156</v>
      </c>
      <c r="G381" s="14" t="s">
        <v>3157</v>
      </c>
      <c r="H381" s="20" t="n">
        <v>32.5</v>
      </c>
      <c r="I381" s="13" t="n">
        <v>32</v>
      </c>
      <c r="J381" s="13" t="s">
        <v>3158</v>
      </c>
      <c r="K381" s="13" t="n">
        <v>33</v>
      </c>
      <c r="L381" s="21" t="n">
        <v>7.55</v>
      </c>
      <c r="M381" s="21" t="n">
        <f aca="false">IF(C381="covered",10.4,7.55)</f>
        <v>7.55</v>
      </c>
      <c r="N381" s="13" t="n">
        <f aca="false">MAX(ROUNDUP(H381,0),I381)</f>
        <v>33</v>
      </c>
      <c r="O381" s="21" t="n">
        <v>249.15</v>
      </c>
      <c r="P381" s="21" t="n">
        <f aca="false">ROUND(M381*N381,2)</f>
        <v>249.15</v>
      </c>
      <c r="Q381" s="21" t="n">
        <f aca="false">ROUND(P381-IF(O381="",0,O381),2)</f>
        <v>0</v>
      </c>
      <c r="R381" s="14" t="str">
        <f aca="false">IF(J381="","MISSING BILL",IF(AND(K381=N381,ABS(L381-M381)&lt;0.001,ABS(O381-P381)&lt;0.01),"RECONCILED","CALCULATION ERROR"))</f>
        <v>RECONCILED</v>
      </c>
      <c r="S381" s="14" t="s">
        <v>2935</v>
      </c>
    </row>
    <row r="382" customFormat="false" ht="15" hidden="true" customHeight="false" outlineLevel="0" collapsed="false">
      <c r="A382" s="13" t="s">
        <v>3159</v>
      </c>
      <c r="B382" s="13" t="s">
        <v>106</v>
      </c>
      <c r="C382" s="13" t="s">
        <v>1872</v>
      </c>
      <c r="D382" s="13" t="s">
        <v>1873</v>
      </c>
      <c r="E382" s="13" t="s">
        <v>3160</v>
      </c>
      <c r="F382" s="14" t="s">
        <v>3161</v>
      </c>
      <c r="G382" s="14" t="s">
        <v>3162</v>
      </c>
      <c r="H382" s="20" t="n">
        <v>43.2</v>
      </c>
      <c r="I382" s="13" t="n">
        <v>24</v>
      </c>
      <c r="J382" s="13" t="s">
        <v>3163</v>
      </c>
      <c r="K382" s="13" t="n">
        <v>44</v>
      </c>
      <c r="L382" s="21" t="n">
        <v>7.55</v>
      </c>
      <c r="M382" s="21" t="n">
        <f aca="false">IF(C382="covered",10.4,7.55)</f>
        <v>7.55</v>
      </c>
      <c r="N382" s="13" t="n">
        <f aca="false">MAX(ROUNDUP(H382,0),I382)</f>
        <v>44</v>
      </c>
      <c r="O382" s="21" t="n">
        <v>332.2</v>
      </c>
      <c r="P382" s="21" t="n">
        <f aca="false">ROUND(M382*N382,2)</f>
        <v>332.2</v>
      </c>
      <c r="Q382" s="21" t="n">
        <f aca="false">ROUND(P382-IF(O382="",0,O382),2)</f>
        <v>0</v>
      </c>
      <c r="R382" s="14" t="str">
        <f aca="false">IF(J382="","MISSING BILL",IF(AND(K382=N382,ABS(L382-M382)&lt;0.001,ABS(O382-P382)&lt;0.01),"RECONCILED","CALCULATION ERROR"))</f>
        <v>RECONCILED</v>
      </c>
      <c r="S382" s="14" t="s">
        <v>2935</v>
      </c>
    </row>
    <row r="383" customFormat="false" ht="15" hidden="true" customHeight="false" outlineLevel="0" collapsed="false">
      <c r="A383" s="13" t="s">
        <v>3164</v>
      </c>
      <c r="B383" s="13" t="s">
        <v>106</v>
      </c>
      <c r="C383" s="13" t="s">
        <v>1872</v>
      </c>
      <c r="D383" s="13" t="s">
        <v>1873</v>
      </c>
      <c r="E383" s="13" t="s">
        <v>3165</v>
      </c>
      <c r="F383" s="14" t="s">
        <v>3166</v>
      </c>
      <c r="G383" s="14" t="s">
        <v>3167</v>
      </c>
      <c r="H383" s="20" t="n">
        <v>60.1</v>
      </c>
      <c r="I383" s="13" t="n">
        <v>36</v>
      </c>
      <c r="J383" s="13" t="s">
        <v>3168</v>
      </c>
      <c r="K383" s="13" t="n">
        <v>61</v>
      </c>
      <c r="L383" s="21" t="n">
        <v>7.55</v>
      </c>
      <c r="M383" s="21" t="n">
        <f aca="false">IF(C383="covered",10.4,7.55)</f>
        <v>7.55</v>
      </c>
      <c r="N383" s="13" t="n">
        <f aca="false">MAX(ROUNDUP(H383,0),I383)</f>
        <v>61</v>
      </c>
      <c r="O383" s="21" t="n">
        <v>460.55</v>
      </c>
      <c r="P383" s="21" t="n">
        <f aca="false">ROUND(M383*N383,2)</f>
        <v>460.55</v>
      </c>
      <c r="Q383" s="21" t="n">
        <f aca="false">ROUND(P383-IF(O383="",0,O383),2)</f>
        <v>0</v>
      </c>
      <c r="R383" s="14" t="str">
        <f aca="false">IF(J383="","MISSING BILL",IF(AND(K383=N383,ABS(L383-M383)&lt;0.001,ABS(O383-P383)&lt;0.01),"RECONCILED","CALCULATION ERROR"))</f>
        <v>RECONCILED</v>
      </c>
      <c r="S383" s="14" t="s">
        <v>2935</v>
      </c>
    </row>
    <row r="384" customFormat="false" ht="15" hidden="true" customHeight="false" outlineLevel="0" collapsed="false">
      <c r="A384" s="13" t="s">
        <v>3169</v>
      </c>
      <c r="B384" s="13" t="s">
        <v>106</v>
      </c>
      <c r="C384" s="13" t="s">
        <v>1872</v>
      </c>
      <c r="D384" s="13" t="s">
        <v>1873</v>
      </c>
      <c r="E384" s="13" t="s">
        <v>3170</v>
      </c>
      <c r="F384" s="14" t="s">
        <v>3171</v>
      </c>
      <c r="G384" s="14" t="s">
        <v>3172</v>
      </c>
      <c r="H384" s="20" t="n">
        <v>44.2</v>
      </c>
      <c r="I384" s="13" t="n">
        <v>36</v>
      </c>
      <c r="J384" s="13" t="s">
        <v>3173</v>
      </c>
      <c r="K384" s="13" t="n">
        <v>45</v>
      </c>
      <c r="L384" s="21" t="n">
        <v>7.55</v>
      </c>
      <c r="M384" s="21" t="n">
        <f aca="false">IF(C384="covered",10.4,7.55)</f>
        <v>7.55</v>
      </c>
      <c r="N384" s="13" t="n">
        <f aca="false">MAX(ROUNDUP(H384,0),I384)</f>
        <v>45</v>
      </c>
      <c r="O384" s="21" t="n">
        <v>339.75</v>
      </c>
      <c r="P384" s="21" t="n">
        <f aca="false">ROUND(M384*N384,2)</f>
        <v>339.75</v>
      </c>
      <c r="Q384" s="21" t="n">
        <f aca="false">ROUND(P384-IF(O384="",0,O384),2)</f>
        <v>0</v>
      </c>
      <c r="R384" s="14" t="str">
        <f aca="false">IF(J384="","MISSING BILL",IF(AND(K384=N384,ABS(L384-M384)&lt;0.001,ABS(O384-P384)&lt;0.01),"RECONCILED","CALCULATION ERROR"))</f>
        <v>RECONCILED</v>
      </c>
      <c r="S384" s="14" t="s">
        <v>2935</v>
      </c>
    </row>
    <row r="385" customFormat="false" ht="15" hidden="true" customHeight="false" outlineLevel="0" collapsed="false">
      <c r="A385" s="13" t="s">
        <v>3174</v>
      </c>
      <c r="B385" s="13" t="s">
        <v>106</v>
      </c>
      <c r="C385" s="13" t="s">
        <v>1872</v>
      </c>
      <c r="D385" s="13" t="s">
        <v>1873</v>
      </c>
      <c r="E385" s="13" t="s">
        <v>3175</v>
      </c>
      <c r="F385" s="14" t="s">
        <v>3176</v>
      </c>
      <c r="G385" s="14" t="s">
        <v>2408</v>
      </c>
      <c r="H385" s="20" t="n">
        <v>37</v>
      </c>
      <c r="I385" s="13" t="n">
        <v>32</v>
      </c>
      <c r="J385" s="13" t="s">
        <v>3177</v>
      </c>
      <c r="K385" s="13" t="n">
        <v>37</v>
      </c>
      <c r="L385" s="21" t="n">
        <v>7.55</v>
      </c>
      <c r="M385" s="21" t="n">
        <f aca="false">IF(C385="covered",10.4,7.55)</f>
        <v>7.55</v>
      </c>
      <c r="N385" s="13" t="n">
        <f aca="false">MAX(ROUNDUP(H385,0),I385)</f>
        <v>37</v>
      </c>
      <c r="O385" s="21" t="n">
        <v>279.35</v>
      </c>
      <c r="P385" s="21" t="n">
        <f aca="false">ROUND(M385*N385,2)</f>
        <v>279.35</v>
      </c>
      <c r="Q385" s="21" t="n">
        <f aca="false">ROUND(P385-IF(O385="",0,O385),2)</f>
        <v>0</v>
      </c>
      <c r="R385" s="14" t="str">
        <f aca="false">IF(J385="","MISSING BILL",IF(AND(K385=N385,ABS(L385-M385)&lt;0.001,ABS(O385-P385)&lt;0.01),"RECONCILED","CALCULATION ERROR"))</f>
        <v>RECONCILED</v>
      </c>
      <c r="S385" s="14" t="s">
        <v>2935</v>
      </c>
    </row>
    <row r="386" customFormat="false" ht="15" hidden="true" customHeight="false" outlineLevel="0" collapsed="false">
      <c r="A386" s="13" t="s">
        <v>916</v>
      </c>
      <c r="B386" s="13" t="s">
        <v>106</v>
      </c>
      <c r="C386" s="13" t="s">
        <v>1872</v>
      </c>
      <c r="D386" s="13" t="s">
        <v>1873</v>
      </c>
      <c r="E386" s="13" t="s">
        <v>3178</v>
      </c>
      <c r="F386" s="14" t="s">
        <v>3179</v>
      </c>
      <c r="G386" s="14" t="s">
        <v>3180</v>
      </c>
      <c r="H386" s="20" t="n">
        <v>56.8</v>
      </c>
      <c r="I386" s="13" t="n">
        <v>70</v>
      </c>
      <c r="J386" s="13" t="s">
        <v>3181</v>
      </c>
      <c r="K386" s="13" t="n">
        <v>70</v>
      </c>
      <c r="L386" s="21" t="n">
        <v>7.55</v>
      </c>
      <c r="M386" s="21" t="n">
        <f aca="false">IF(C386="covered",10.4,7.55)</f>
        <v>7.55</v>
      </c>
      <c r="N386" s="13" t="n">
        <f aca="false">MAX(ROUNDUP(H386,0),I386)</f>
        <v>70</v>
      </c>
      <c r="O386" s="21" t="n">
        <v>528.5</v>
      </c>
      <c r="P386" s="21" t="n">
        <f aca="false">ROUND(M386*N386,2)</f>
        <v>528.5</v>
      </c>
      <c r="Q386" s="21" t="n">
        <f aca="false">ROUND(P386-IF(O386="",0,O386),2)</f>
        <v>0</v>
      </c>
      <c r="R386" s="14" t="str">
        <f aca="false">IF(J386="","MISSING BILL",IF(AND(K386=N386,ABS(L386-M386)&lt;0.001,ABS(O386-P386)&lt;0.01),"RECONCILED","CALCULATION ERROR"))</f>
        <v>RECONCILED</v>
      </c>
      <c r="S386" s="14" t="s">
        <v>2935</v>
      </c>
    </row>
    <row r="387" customFormat="false" ht="15" hidden="true" customHeight="false" outlineLevel="0" collapsed="false">
      <c r="A387" s="13" t="s">
        <v>3182</v>
      </c>
      <c r="B387" s="13" t="s">
        <v>106</v>
      </c>
      <c r="C387" s="13" t="s">
        <v>1872</v>
      </c>
      <c r="D387" s="13" t="s">
        <v>1873</v>
      </c>
      <c r="E387" s="13" t="s">
        <v>3183</v>
      </c>
      <c r="F387" s="14" t="s">
        <v>3184</v>
      </c>
      <c r="G387" s="14" t="s">
        <v>2842</v>
      </c>
      <c r="H387" s="20" t="n">
        <v>18.7</v>
      </c>
      <c r="I387" s="13" t="n">
        <v>70</v>
      </c>
      <c r="J387" s="13" t="s">
        <v>3185</v>
      </c>
      <c r="K387" s="13" t="n">
        <v>70</v>
      </c>
      <c r="L387" s="21" t="n">
        <v>7.55</v>
      </c>
      <c r="M387" s="21" t="n">
        <f aca="false">IF(C387="covered",10.4,7.55)</f>
        <v>7.55</v>
      </c>
      <c r="N387" s="13" t="n">
        <f aca="false">MAX(ROUNDUP(H387,0),I387)</f>
        <v>70</v>
      </c>
      <c r="O387" s="21" t="n">
        <v>528.5</v>
      </c>
      <c r="P387" s="21" t="n">
        <f aca="false">ROUND(M387*N387,2)</f>
        <v>528.5</v>
      </c>
      <c r="Q387" s="21" t="n">
        <f aca="false">ROUND(P387-IF(O387="",0,O387),2)</f>
        <v>0</v>
      </c>
      <c r="R387" s="14" t="str">
        <f aca="false">IF(J387="","MISSING BILL",IF(AND(K387=N387,ABS(L387-M387)&lt;0.001,ABS(O387-P387)&lt;0.01),"RECONCILED","CALCULATION ERROR"))</f>
        <v>RECONCILED</v>
      </c>
      <c r="S387" s="14" t="s">
        <v>2935</v>
      </c>
    </row>
    <row r="388" customFormat="false" ht="15" hidden="true" customHeight="false" outlineLevel="0" collapsed="false">
      <c r="A388" s="13" t="s">
        <v>3186</v>
      </c>
      <c r="B388" s="13" t="s">
        <v>106</v>
      </c>
      <c r="C388" s="13" t="s">
        <v>1872</v>
      </c>
      <c r="D388" s="13" t="s">
        <v>1873</v>
      </c>
      <c r="E388" s="13" t="s">
        <v>3187</v>
      </c>
      <c r="F388" s="14" t="s">
        <v>3188</v>
      </c>
      <c r="G388" s="14" t="s">
        <v>1979</v>
      </c>
      <c r="H388" s="20" t="n">
        <v>56.7</v>
      </c>
      <c r="I388" s="13" t="n">
        <v>28</v>
      </c>
      <c r="J388" s="13" t="s">
        <v>3189</v>
      </c>
      <c r="K388" s="13" t="n">
        <v>57</v>
      </c>
      <c r="L388" s="21" t="n">
        <v>7.55</v>
      </c>
      <c r="M388" s="21" t="n">
        <f aca="false">IF(C388="covered",10.4,7.55)</f>
        <v>7.55</v>
      </c>
      <c r="N388" s="13" t="n">
        <f aca="false">MAX(ROUNDUP(H388,0),I388)</f>
        <v>57</v>
      </c>
      <c r="O388" s="21" t="n">
        <v>430.35</v>
      </c>
      <c r="P388" s="21" t="n">
        <f aca="false">ROUND(M388*N388,2)</f>
        <v>430.35</v>
      </c>
      <c r="Q388" s="21" t="n">
        <f aca="false">ROUND(P388-IF(O388="",0,O388),2)</f>
        <v>0</v>
      </c>
      <c r="R388" s="14" t="str">
        <f aca="false">IF(J388="","MISSING BILL",IF(AND(K388=N388,ABS(L388-M388)&lt;0.001,ABS(O388-P388)&lt;0.01),"RECONCILED","CALCULATION ERROR"))</f>
        <v>RECONCILED</v>
      </c>
      <c r="S388" s="14" t="s">
        <v>2935</v>
      </c>
    </row>
    <row r="389" customFormat="false" ht="15" hidden="true" customHeight="false" outlineLevel="0" collapsed="false">
      <c r="A389" s="13" t="s">
        <v>3190</v>
      </c>
      <c r="B389" s="13" t="s">
        <v>106</v>
      </c>
      <c r="C389" s="13" t="s">
        <v>1872</v>
      </c>
      <c r="D389" s="13" t="s">
        <v>1873</v>
      </c>
      <c r="E389" s="13" t="s">
        <v>79</v>
      </c>
      <c r="F389" s="14" t="s">
        <v>80</v>
      </c>
      <c r="G389" s="14" t="s">
        <v>2827</v>
      </c>
      <c r="H389" s="20" t="n">
        <v>50.2</v>
      </c>
      <c r="I389" s="13" t="n">
        <v>36</v>
      </c>
      <c r="J389" s="13" t="s">
        <v>3191</v>
      </c>
      <c r="K389" s="13" t="n">
        <v>51</v>
      </c>
      <c r="L389" s="21" t="n">
        <v>7.55</v>
      </c>
      <c r="M389" s="21" t="n">
        <f aca="false">IF(C389="covered",10.4,7.55)</f>
        <v>7.55</v>
      </c>
      <c r="N389" s="13" t="n">
        <f aca="false">MAX(ROUNDUP(H389,0),I389)</f>
        <v>51</v>
      </c>
      <c r="O389" s="21" t="n">
        <v>385.05</v>
      </c>
      <c r="P389" s="21" t="n">
        <f aca="false">ROUND(M389*N389,2)</f>
        <v>385.05</v>
      </c>
      <c r="Q389" s="21" t="n">
        <f aca="false">ROUND(P389-IF(O389="",0,O389),2)</f>
        <v>0</v>
      </c>
      <c r="R389" s="14" t="str">
        <f aca="false">IF(J389="","MISSING BILL",IF(AND(K389=N389,ABS(L389-M389)&lt;0.001,ABS(O389-P389)&lt;0.01),"RECONCILED","CALCULATION ERROR"))</f>
        <v>RECONCILED</v>
      </c>
      <c r="S389" s="14" t="s">
        <v>2935</v>
      </c>
    </row>
    <row r="390" customFormat="false" ht="15" hidden="true" customHeight="false" outlineLevel="0" collapsed="false">
      <c r="A390" s="13" t="s">
        <v>893</v>
      </c>
      <c r="B390" s="13" t="s">
        <v>106</v>
      </c>
      <c r="C390" s="13" t="s">
        <v>1872</v>
      </c>
      <c r="D390" s="13" t="s">
        <v>1873</v>
      </c>
      <c r="E390" s="13" t="s">
        <v>3192</v>
      </c>
      <c r="F390" s="14" t="s">
        <v>3193</v>
      </c>
      <c r="G390" s="14" t="s">
        <v>2400</v>
      </c>
      <c r="H390" s="20" t="n">
        <v>19.3</v>
      </c>
      <c r="I390" s="13" t="n">
        <v>80</v>
      </c>
      <c r="J390" s="13" t="s">
        <v>3194</v>
      </c>
      <c r="K390" s="13" t="n">
        <v>80</v>
      </c>
      <c r="L390" s="21" t="n">
        <v>7.55</v>
      </c>
      <c r="M390" s="21" t="n">
        <f aca="false">IF(C390="covered",10.4,7.55)</f>
        <v>7.55</v>
      </c>
      <c r="N390" s="13" t="n">
        <f aca="false">MAX(ROUNDUP(H390,0),I390)</f>
        <v>80</v>
      </c>
      <c r="O390" s="21" t="n">
        <v>604</v>
      </c>
      <c r="P390" s="21" t="n">
        <f aca="false">ROUND(M390*N390,2)</f>
        <v>604</v>
      </c>
      <c r="Q390" s="21" t="n">
        <f aca="false">ROUND(P390-IF(O390="",0,O390),2)</f>
        <v>0</v>
      </c>
      <c r="R390" s="14" t="str">
        <f aca="false">IF(J390="","MISSING BILL",IF(AND(K390=N390,ABS(L390-M390)&lt;0.001,ABS(O390-P390)&lt;0.01),"RECONCILED","CALCULATION ERROR"))</f>
        <v>RECONCILED</v>
      </c>
      <c r="S390" s="14" t="s">
        <v>2935</v>
      </c>
    </row>
    <row r="391" customFormat="false" ht="15" hidden="true" customHeight="false" outlineLevel="0" collapsed="false">
      <c r="A391" s="13" t="s">
        <v>3195</v>
      </c>
      <c r="B391" s="13" t="s">
        <v>106</v>
      </c>
      <c r="C391" s="13" t="s">
        <v>1872</v>
      </c>
      <c r="D391" s="13" t="s">
        <v>1873</v>
      </c>
      <c r="E391" s="13" t="s">
        <v>3196</v>
      </c>
      <c r="F391" s="14" t="s">
        <v>3197</v>
      </c>
      <c r="G391" s="14" t="s">
        <v>3198</v>
      </c>
      <c r="H391" s="20" t="n">
        <v>50.5</v>
      </c>
      <c r="I391" s="13" t="n">
        <v>28</v>
      </c>
      <c r="J391" s="13" t="s">
        <v>3199</v>
      </c>
      <c r="K391" s="13" t="n">
        <v>51</v>
      </c>
      <c r="L391" s="21" t="n">
        <v>7.55</v>
      </c>
      <c r="M391" s="21" t="n">
        <f aca="false">IF(C391="covered",10.4,7.55)</f>
        <v>7.55</v>
      </c>
      <c r="N391" s="13" t="n">
        <f aca="false">MAX(ROUNDUP(H391,0),I391)</f>
        <v>51</v>
      </c>
      <c r="O391" s="21" t="n">
        <v>385.05</v>
      </c>
      <c r="P391" s="21" t="n">
        <f aca="false">ROUND(M391*N391,2)</f>
        <v>385.05</v>
      </c>
      <c r="Q391" s="21" t="n">
        <f aca="false">ROUND(P391-IF(O391="",0,O391),2)</f>
        <v>0</v>
      </c>
      <c r="R391" s="14" t="str">
        <f aca="false">IF(J391="","MISSING BILL",IF(AND(K391=N391,ABS(L391-M391)&lt;0.001,ABS(O391-P391)&lt;0.01),"RECONCILED","CALCULATION ERROR"))</f>
        <v>RECONCILED</v>
      </c>
      <c r="S391" s="14" t="s">
        <v>2935</v>
      </c>
    </row>
    <row r="392" customFormat="false" ht="15" hidden="true" customHeight="false" outlineLevel="0" collapsed="false">
      <c r="A392" s="13" t="s">
        <v>3200</v>
      </c>
      <c r="B392" s="13" t="s">
        <v>106</v>
      </c>
      <c r="C392" s="13" t="s">
        <v>1872</v>
      </c>
      <c r="D392" s="13" t="s">
        <v>1873</v>
      </c>
      <c r="E392" s="13" t="s">
        <v>3201</v>
      </c>
      <c r="F392" s="14" t="s">
        <v>3202</v>
      </c>
      <c r="G392" s="14" t="s">
        <v>3203</v>
      </c>
      <c r="H392" s="20" t="n">
        <v>31.6</v>
      </c>
      <c r="I392" s="13" t="n">
        <v>40</v>
      </c>
      <c r="J392" s="13" t="s">
        <v>3204</v>
      </c>
      <c r="K392" s="13" t="n">
        <v>40</v>
      </c>
      <c r="L392" s="21" t="n">
        <v>7.55</v>
      </c>
      <c r="M392" s="21" t="n">
        <f aca="false">IF(C392="covered",10.4,7.55)</f>
        <v>7.55</v>
      </c>
      <c r="N392" s="13" t="n">
        <f aca="false">MAX(ROUNDUP(H392,0),I392)</f>
        <v>40</v>
      </c>
      <c r="O392" s="21" t="n">
        <v>302</v>
      </c>
      <c r="P392" s="21" t="n">
        <f aca="false">ROUND(M392*N392,2)</f>
        <v>302</v>
      </c>
      <c r="Q392" s="21" t="n">
        <f aca="false">ROUND(P392-IF(O392="",0,O392),2)</f>
        <v>0</v>
      </c>
      <c r="R392" s="14" t="str">
        <f aca="false">IF(J392="","MISSING BILL",IF(AND(K392=N392,ABS(L392-M392)&lt;0.001,ABS(O392-P392)&lt;0.01),"RECONCILED","CALCULATION ERROR"))</f>
        <v>RECONCILED</v>
      </c>
      <c r="S392" s="14" t="s">
        <v>2935</v>
      </c>
    </row>
    <row r="393" customFormat="false" ht="15" hidden="true" customHeight="false" outlineLevel="0" collapsed="false">
      <c r="A393" s="13" t="s">
        <v>3205</v>
      </c>
      <c r="B393" s="13" t="s">
        <v>106</v>
      </c>
      <c r="C393" s="13" t="s">
        <v>1872</v>
      </c>
      <c r="D393" s="13" t="s">
        <v>1873</v>
      </c>
      <c r="E393" s="13" t="s">
        <v>3206</v>
      </c>
      <c r="F393" s="14" t="s">
        <v>3207</v>
      </c>
      <c r="G393" s="14" t="s">
        <v>3208</v>
      </c>
      <c r="H393" s="20" t="n">
        <v>60</v>
      </c>
      <c r="I393" s="13" t="n">
        <v>50</v>
      </c>
      <c r="J393" s="13" t="s">
        <v>3209</v>
      </c>
      <c r="K393" s="13" t="n">
        <v>60</v>
      </c>
      <c r="L393" s="21" t="n">
        <v>7.55</v>
      </c>
      <c r="M393" s="21" t="n">
        <f aca="false">IF(C393="covered",10.4,7.55)</f>
        <v>7.55</v>
      </c>
      <c r="N393" s="13" t="n">
        <f aca="false">MAX(ROUNDUP(H393,0),I393)</f>
        <v>60</v>
      </c>
      <c r="O393" s="21" t="n">
        <v>453</v>
      </c>
      <c r="P393" s="21" t="n">
        <f aca="false">ROUND(M393*N393,2)</f>
        <v>453</v>
      </c>
      <c r="Q393" s="21" t="n">
        <f aca="false">ROUND(P393-IF(O393="",0,O393),2)</f>
        <v>0</v>
      </c>
      <c r="R393" s="14" t="str">
        <f aca="false">IF(J393="","MISSING BILL",IF(AND(K393=N393,ABS(L393-M393)&lt;0.001,ABS(O393-P393)&lt;0.01),"RECONCILED","CALCULATION ERROR"))</f>
        <v>RECONCILED</v>
      </c>
      <c r="S393" s="14" t="s">
        <v>2935</v>
      </c>
    </row>
    <row r="394" customFormat="false" ht="15" hidden="true" customHeight="false" outlineLevel="0" collapsed="false">
      <c r="A394" s="13" t="s">
        <v>3210</v>
      </c>
      <c r="B394" s="13" t="s">
        <v>106</v>
      </c>
      <c r="C394" s="13" t="s">
        <v>1872</v>
      </c>
      <c r="D394" s="13" t="s">
        <v>1873</v>
      </c>
      <c r="E394" s="13" t="s">
        <v>3211</v>
      </c>
      <c r="F394" s="14" t="s">
        <v>3212</v>
      </c>
      <c r="G394" s="14" t="s">
        <v>3213</v>
      </c>
      <c r="H394" s="20" t="n">
        <v>31.8</v>
      </c>
      <c r="I394" s="13" t="n">
        <v>70</v>
      </c>
      <c r="J394" s="13" t="s">
        <v>3214</v>
      </c>
      <c r="K394" s="13" t="n">
        <v>70</v>
      </c>
      <c r="L394" s="21" t="n">
        <v>7.55</v>
      </c>
      <c r="M394" s="21" t="n">
        <f aca="false">IF(C394="covered",10.4,7.55)</f>
        <v>7.55</v>
      </c>
      <c r="N394" s="13" t="n">
        <f aca="false">MAX(ROUNDUP(H394,0),I394)</f>
        <v>70</v>
      </c>
      <c r="O394" s="21" t="n">
        <v>528.5</v>
      </c>
      <c r="P394" s="21" t="n">
        <f aca="false">ROUND(M394*N394,2)</f>
        <v>528.5</v>
      </c>
      <c r="Q394" s="21" t="n">
        <f aca="false">ROUND(P394-IF(O394="",0,O394),2)</f>
        <v>0</v>
      </c>
      <c r="R394" s="14" t="str">
        <f aca="false">IF(J394="","MISSING BILL",IF(AND(K394=N394,ABS(L394-M394)&lt;0.001,ABS(O394-P394)&lt;0.01),"RECONCILED","CALCULATION ERROR"))</f>
        <v>RECONCILED</v>
      </c>
      <c r="S394" s="14" t="s">
        <v>2935</v>
      </c>
    </row>
    <row r="395" customFormat="false" ht="15" hidden="true" customHeight="false" outlineLevel="0" collapsed="false">
      <c r="A395" s="13" t="s">
        <v>3215</v>
      </c>
      <c r="B395" s="13" t="s">
        <v>106</v>
      </c>
      <c r="C395" s="13" t="s">
        <v>1872</v>
      </c>
      <c r="D395" s="13" t="s">
        <v>1873</v>
      </c>
      <c r="E395" s="13" t="s">
        <v>3216</v>
      </c>
      <c r="F395" s="14" t="s">
        <v>3217</v>
      </c>
      <c r="G395" s="14" t="s">
        <v>2402</v>
      </c>
      <c r="H395" s="20" t="n">
        <v>46.9</v>
      </c>
      <c r="I395" s="13" t="n">
        <v>24</v>
      </c>
      <c r="J395" s="13" t="s">
        <v>3218</v>
      </c>
      <c r="K395" s="13" t="n">
        <v>47</v>
      </c>
      <c r="L395" s="21" t="n">
        <v>7.55</v>
      </c>
      <c r="M395" s="21" t="n">
        <f aca="false">IF(C395="covered",10.4,7.55)</f>
        <v>7.55</v>
      </c>
      <c r="N395" s="13" t="n">
        <f aca="false">MAX(ROUNDUP(H395,0),I395)</f>
        <v>47</v>
      </c>
      <c r="O395" s="21" t="n">
        <v>354.85</v>
      </c>
      <c r="P395" s="21" t="n">
        <f aca="false">ROUND(M395*N395,2)</f>
        <v>354.85</v>
      </c>
      <c r="Q395" s="21" t="n">
        <f aca="false">ROUND(P395-IF(O395="",0,O395),2)</f>
        <v>0</v>
      </c>
      <c r="R395" s="14" t="str">
        <f aca="false">IF(J395="","MISSING BILL",IF(AND(K395=N395,ABS(L395-M395)&lt;0.001,ABS(O395-P395)&lt;0.01),"RECONCILED","CALCULATION ERROR"))</f>
        <v>RECONCILED</v>
      </c>
      <c r="S395" s="14" t="s">
        <v>2935</v>
      </c>
    </row>
    <row r="396" customFormat="false" ht="15" hidden="true" customHeight="false" outlineLevel="0" collapsed="false">
      <c r="A396" s="13" t="s">
        <v>3219</v>
      </c>
      <c r="B396" s="13" t="s">
        <v>106</v>
      </c>
      <c r="C396" s="13" t="s">
        <v>1872</v>
      </c>
      <c r="D396" s="13" t="s">
        <v>1873</v>
      </c>
      <c r="E396" s="13" t="s">
        <v>3220</v>
      </c>
      <c r="F396" s="14" t="s">
        <v>3221</v>
      </c>
      <c r="G396" s="14" t="s">
        <v>2229</v>
      </c>
      <c r="H396" s="20" t="n">
        <v>29.4</v>
      </c>
      <c r="I396" s="13" t="n">
        <v>40</v>
      </c>
      <c r="J396" s="13" t="s">
        <v>3222</v>
      </c>
      <c r="K396" s="13" t="n">
        <v>40</v>
      </c>
      <c r="L396" s="21" t="n">
        <v>7.55</v>
      </c>
      <c r="M396" s="21" t="n">
        <f aca="false">IF(C396="covered",10.4,7.55)</f>
        <v>7.55</v>
      </c>
      <c r="N396" s="13" t="n">
        <f aca="false">MAX(ROUNDUP(H396,0),I396)</f>
        <v>40</v>
      </c>
      <c r="O396" s="21" t="n">
        <v>302</v>
      </c>
      <c r="P396" s="21" t="n">
        <f aca="false">ROUND(M396*N396,2)</f>
        <v>302</v>
      </c>
      <c r="Q396" s="21" t="n">
        <f aca="false">ROUND(P396-IF(O396="",0,O396),2)</f>
        <v>0</v>
      </c>
      <c r="R396" s="14" t="str">
        <f aca="false">IF(J396="","MISSING BILL",IF(AND(K396=N396,ABS(L396-M396)&lt;0.001,ABS(O396-P396)&lt;0.01),"RECONCILED","CALCULATION ERROR"))</f>
        <v>RECONCILED</v>
      </c>
      <c r="S396" s="14" t="s">
        <v>2935</v>
      </c>
    </row>
    <row r="397" customFormat="false" ht="15" hidden="true" customHeight="false" outlineLevel="0" collapsed="false">
      <c r="A397" s="13" t="s">
        <v>3223</v>
      </c>
      <c r="B397" s="13" t="s">
        <v>106</v>
      </c>
      <c r="C397" s="13" t="s">
        <v>1872</v>
      </c>
      <c r="D397" s="13" t="s">
        <v>1873</v>
      </c>
      <c r="E397" s="13" t="s">
        <v>1210</v>
      </c>
      <c r="F397" s="14" t="s">
        <v>1211</v>
      </c>
      <c r="G397" s="14" t="s">
        <v>3224</v>
      </c>
      <c r="H397" s="20" t="n">
        <v>31.1</v>
      </c>
      <c r="I397" s="13" t="n">
        <v>45</v>
      </c>
      <c r="J397" s="13" t="s">
        <v>3225</v>
      </c>
      <c r="K397" s="13" t="n">
        <v>45</v>
      </c>
      <c r="L397" s="21" t="n">
        <v>7.55</v>
      </c>
      <c r="M397" s="21" t="n">
        <f aca="false">IF(C397="covered",10.4,7.55)</f>
        <v>7.55</v>
      </c>
      <c r="N397" s="13" t="n">
        <f aca="false">MAX(ROUNDUP(H397,0),I397)</f>
        <v>45</v>
      </c>
      <c r="O397" s="21" t="n">
        <v>339.75</v>
      </c>
      <c r="P397" s="21" t="n">
        <f aca="false">ROUND(M397*N397,2)</f>
        <v>339.75</v>
      </c>
      <c r="Q397" s="21" t="n">
        <f aca="false">ROUND(P397-IF(O397="",0,O397),2)</f>
        <v>0</v>
      </c>
      <c r="R397" s="14" t="str">
        <f aca="false">IF(J397="","MISSING BILL",IF(AND(K397=N397,ABS(L397-M397)&lt;0.001,ABS(O397-P397)&lt;0.01),"RECONCILED","CALCULATION ERROR"))</f>
        <v>RECONCILED</v>
      </c>
      <c r="S397" s="14" t="s">
        <v>2935</v>
      </c>
    </row>
    <row r="398" customFormat="false" ht="15" hidden="true" customHeight="false" outlineLevel="0" collapsed="false">
      <c r="A398" s="13" t="s">
        <v>3226</v>
      </c>
      <c r="B398" s="13" t="s">
        <v>106</v>
      </c>
      <c r="C398" s="13" t="s">
        <v>1872</v>
      </c>
      <c r="D398" s="13" t="s">
        <v>1873</v>
      </c>
      <c r="E398" s="13" t="s">
        <v>3227</v>
      </c>
      <c r="F398" s="14" t="s">
        <v>3228</v>
      </c>
      <c r="G398" s="14" t="s">
        <v>2366</v>
      </c>
      <c r="H398" s="20" t="n">
        <v>59.4</v>
      </c>
      <c r="I398" s="13" t="n">
        <v>28</v>
      </c>
      <c r="J398" s="13" t="s">
        <v>3229</v>
      </c>
      <c r="K398" s="13" t="n">
        <v>60</v>
      </c>
      <c r="L398" s="21" t="n">
        <v>7.55</v>
      </c>
      <c r="M398" s="21" t="n">
        <f aca="false">IF(C398="covered",10.4,7.55)</f>
        <v>7.55</v>
      </c>
      <c r="N398" s="13" t="n">
        <f aca="false">MAX(ROUNDUP(H398,0),I398)</f>
        <v>60</v>
      </c>
      <c r="O398" s="21" t="n">
        <v>453</v>
      </c>
      <c r="P398" s="21" t="n">
        <f aca="false">ROUND(M398*N398,2)</f>
        <v>453</v>
      </c>
      <c r="Q398" s="21" t="n">
        <f aca="false">ROUND(P398-IF(O398="",0,O398),2)</f>
        <v>0</v>
      </c>
      <c r="R398" s="14" t="str">
        <f aca="false">IF(J398="","MISSING BILL",IF(AND(K398=N398,ABS(L398-M398)&lt;0.001,ABS(O398-P398)&lt;0.01),"RECONCILED","CALCULATION ERROR"))</f>
        <v>RECONCILED</v>
      </c>
      <c r="S398" s="14" t="s">
        <v>2935</v>
      </c>
    </row>
    <row r="399" customFormat="false" ht="15" hidden="true" customHeight="false" outlineLevel="0" collapsed="false">
      <c r="A399" s="13" t="s">
        <v>3230</v>
      </c>
      <c r="B399" s="13" t="s">
        <v>106</v>
      </c>
      <c r="C399" s="13" t="s">
        <v>1872</v>
      </c>
      <c r="D399" s="13" t="s">
        <v>1873</v>
      </c>
      <c r="E399" s="13" t="s">
        <v>959</v>
      </c>
      <c r="F399" s="14" t="s">
        <v>960</v>
      </c>
      <c r="G399" s="14" t="s">
        <v>3231</v>
      </c>
      <c r="H399" s="20" t="n">
        <v>51.6</v>
      </c>
      <c r="I399" s="13" t="n">
        <v>70</v>
      </c>
      <c r="J399" s="13" t="s">
        <v>3232</v>
      </c>
      <c r="K399" s="13" t="n">
        <v>70</v>
      </c>
      <c r="L399" s="21" t="n">
        <v>7.55</v>
      </c>
      <c r="M399" s="21" t="n">
        <f aca="false">IF(C399="covered",10.4,7.55)</f>
        <v>7.55</v>
      </c>
      <c r="N399" s="13" t="n">
        <f aca="false">MAX(ROUNDUP(H399,0),I399)</f>
        <v>70</v>
      </c>
      <c r="O399" s="21" t="n">
        <v>528.5</v>
      </c>
      <c r="P399" s="21" t="n">
        <f aca="false">ROUND(M399*N399,2)</f>
        <v>528.5</v>
      </c>
      <c r="Q399" s="21" t="n">
        <f aca="false">ROUND(P399-IF(O399="",0,O399),2)</f>
        <v>0</v>
      </c>
      <c r="R399" s="14" t="str">
        <f aca="false">IF(J399="","MISSING BILL",IF(AND(K399=N399,ABS(L399-M399)&lt;0.001,ABS(O399-P399)&lt;0.01),"RECONCILED","CALCULATION ERROR"))</f>
        <v>RECONCILED</v>
      </c>
      <c r="S399" s="14" t="s">
        <v>2935</v>
      </c>
    </row>
    <row r="400" customFormat="false" ht="15" hidden="true" customHeight="false" outlineLevel="0" collapsed="false">
      <c r="A400" s="13" t="s">
        <v>3233</v>
      </c>
      <c r="B400" s="13" t="s">
        <v>106</v>
      </c>
      <c r="C400" s="13" t="s">
        <v>1872</v>
      </c>
      <c r="D400" s="13" t="s">
        <v>1873</v>
      </c>
      <c r="E400" s="13" t="s">
        <v>3234</v>
      </c>
      <c r="F400" s="14" t="s">
        <v>3235</v>
      </c>
      <c r="G400" s="14" t="s">
        <v>2618</v>
      </c>
      <c r="H400" s="20" t="n">
        <v>44.8</v>
      </c>
      <c r="I400" s="13" t="n">
        <v>32</v>
      </c>
      <c r="J400" s="13" t="s">
        <v>3236</v>
      </c>
      <c r="K400" s="13" t="n">
        <v>45</v>
      </c>
      <c r="L400" s="21" t="n">
        <v>7.55</v>
      </c>
      <c r="M400" s="21" t="n">
        <f aca="false">IF(C400="covered",10.4,7.55)</f>
        <v>7.55</v>
      </c>
      <c r="N400" s="13" t="n">
        <f aca="false">MAX(ROUNDUP(H400,0),I400)</f>
        <v>45</v>
      </c>
      <c r="O400" s="21" t="n">
        <v>339.75</v>
      </c>
      <c r="P400" s="21" t="n">
        <f aca="false">ROUND(M400*N400,2)</f>
        <v>339.75</v>
      </c>
      <c r="Q400" s="21" t="n">
        <f aca="false">ROUND(P400-IF(O400="",0,O400),2)</f>
        <v>0</v>
      </c>
      <c r="R400" s="14" t="str">
        <f aca="false">IF(J400="","MISSING BILL",IF(AND(K400=N400,ABS(L400-M400)&lt;0.001,ABS(O400-P400)&lt;0.01),"RECONCILED","CALCULATION ERROR"))</f>
        <v>RECONCILED</v>
      </c>
      <c r="S400" s="14" t="s">
        <v>2935</v>
      </c>
    </row>
    <row r="401" customFormat="false" ht="15" hidden="true" customHeight="false" outlineLevel="0" collapsed="false">
      <c r="A401" s="13" t="s">
        <v>3237</v>
      </c>
      <c r="B401" s="13" t="s">
        <v>106</v>
      </c>
      <c r="C401" s="13" t="s">
        <v>1872</v>
      </c>
      <c r="D401" s="13" t="s">
        <v>1873</v>
      </c>
      <c r="E401" s="13" t="s">
        <v>3238</v>
      </c>
      <c r="F401" s="14" t="s">
        <v>3239</v>
      </c>
      <c r="G401" s="14" t="s">
        <v>2662</v>
      </c>
      <c r="H401" s="20" t="n">
        <v>26.8</v>
      </c>
      <c r="I401" s="13" t="n">
        <v>70</v>
      </c>
      <c r="J401" s="13" t="s">
        <v>3240</v>
      </c>
      <c r="K401" s="13" t="n">
        <v>70</v>
      </c>
      <c r="L401" s="21" t="n">
        <v>7.55</v>
      </c>
      <c r="M401" s="21" t="n">
        <f aca="false">IF(C401="covered",10.4,7.55)</f>
        <v>7.55</v>
      </c>
      <c r="N401" s="13" t="n">
        <f aca="false">MAX(ROUNDUP(H401,0),I401)</f>
        <v>70</v>
      </c>
      <c r="O401" s="21" t="n">
        <v>528.5</v>
      </c>
      <c r="P401" s="21" t="n">
        <f aca="false">ROUND(M401*N401,2)</f>
        <v>528.5</v>
      </c>
      <c r="Q401" s="21" t="n">
        <f aca="false">ROUND(P401-IF(O401="",0,O401),2)</f>
        <v>0</v>
      </c>
      <c r="R401" s="14" t="str">
        <f aca="false">IF(J401="","MISSING BILL",IF(AND(K401=N401,ABS(L401-M401)&lt;0.001,ABS(O401-P401)&lt;0.01),"RECONCILED","CALCULATION ERROR"))</f>
        <v>RECONCILED</v>
      </c>
      <c r="S401" s="14" t="s">
        <v>2935</v>
      </c>
    </row>
    <row r="402" customFormat="false" ht="15" hidden="true" customHeight="false" outlineLevel="0" collapsed="false">
      <c r="A402" s="13" t="s">
        <v>3241</v>
      </c>
      <c r="B402" s="13" t="s">
        <v>106</v>
      </c>
      <c r="C402" s="13" t="s">
        <v>1872</v>
      </c>
      <c r="D402" s="13" t="s">
        <v>1873</v>
      </c>
      <c r="E402" s="13" t="s">
        <v>3242</v>
      </c>
      <c r="F402" s="14" t="s">
        <v>3243</v>
      </c>
      <c r="G402" s="14" t="s">
        <v>3244</v>
      </c>
      <c r="H402" s="20" t="n">
        <v>42.5</v>
      </c>
      <c r="I402" s="13" t="n">
        <v>70</v>
      </c>
      <c r="J402" s="13" t="s">
        <v>3245</v>
      </c>
      <c r="K402" s="13" t="n">
        <v>70</v>
      </c>
      <c r="L402" s="21" t="n">
        <v>7.55</v>
      </c>
      <c r="M402" s="21" t="n">
        <f aca="false">IF(C402="covered",10.4,7.55)</f>
        <v>7.55</v>
      </c>
      <c r="N402" s="13" t="n">
        <f aca="false">MAX(ROUNDUP(H402,0),I402)</f>
        <v>70</v>
      </c>
      <c r="O402" s="21" t="n">
        <v>528.5</v>
      </c>
      <c r="P402" s="21" t="n">
        <f aca="false">ROUND(M402*N402,2)</f>
        <v>528.5</v>
      </c>
      <c r="Q402" s="21" t="n">
        <f aca="false">ROUND(P402-IF(O402="",0,O402),2)</f>
        <v>0</v>
      </c>
      <c r="R402" s="14" t="str">
        <f aca="false">IF(J402="","MISSING BILL",IF(AND(K402=N402,ABS(L402-M402)&lt;0.001,ABS(O402-P402)&lt;0.01),"RECONCILED","CALCULATION ERROR"))</f>
        <v>RECONCILED</v>
      </c>
      <c r="S402" s="14" t="s">
        <v>2935</v>
      </c>
    </row>
    <row r="403" customFormat="false" ht="15" hidden="true" customHeight="false" outlineLevel="0" collapsed="false">
      <c r="A403" s="13" t="s">
        <v>3246</v>
      </c>
      <c r="B403" s="13" t="s">
        <v>106</v>
      </c>
      <c r="C403" s="13" t="s">
        <v>1872</v>
      </c>
      <c r="D403" s="13" t="s">
        <v>1873</v>
      </c>
      <c r="E403" s="13" t="s">
        <v>3247</v>
      </c>
      <c r="F403" s="14" t="s">
        <v>3248</v>
      </c>
      <c r="G403" s="14" t="s">
        <v>3249</v>
      </c>
      <c r="H403" s="20" t="n">
        <v>58.8</v>
      </c>
      <c r="I403" s="13" t="n">
        <v>70</v>
      </c>
      <c r="J403" s="13" t="s">
        <v>3250</v>
      </c>
      <c r="K403" s="13" t="n">
        <v>70</v>
      </c>
      <c r="L403" s="21" t="n">
        <v>7.55</v>
      </c>
      <c r="M403" s="21" t="n">
        <f aca="false">IF(C403="covered",10.4,7.55)</f>
        <v>7.55</v>
      </c>
      <c r="N403" s="13" t="n">
        <f aca="false">MAX(ROUNDUP(H403,0),I403)</f>
        <v>70</v>
      </c>
      <c r="O403" s="21" t="n">
        <v>528.5</v>
      </c>
      <c r="P403" s="21" t="n">
        <f aca="false">ROUND(M403*N403,2)</f>
        <v>528.5</v>
      </c>
      <c r="Q403" s="21" t="n">
        <f aca="false">ROUND(P403-IF(O403="",0,O403),2)</f>
        <v>0</v>
      </c>
      <c r="R403" s="14" t="str">
        <f aca="false">IF(J403="","MISSING BILL",IF(AND(K403=N403,ABS(L403-M403)&lt;0.001,ABS(O403-P403)&lt;0.01),"RECONCILED","CALCULATION ERROR"))</f>
        <v>RECONCILED</v>
      </c>
      <c r="S403" s="14" t="s">
        <v>2935</v>
      </c>
    </row>
    <row r="404" customFormat="false" ht="15" hidden="true" customHeight="false" outlineLevel="0" collapsed="false">
      <c r="A404" s="13" t="s">
        <v>3251</v>
      </c>
      <c r="B404" s="13" t="s">
        <v>106</v>
      </c>
      <c r="C404" s="13" t="s">
        <v>1872</v>
      </c>
      <c r="D404" s="13" t="s">
        <v>1873</v>
      </c>
      <c r="E404" s="13" t="s">
        <v>3252</v>
      </c>
      <c r="F404" s="14" t="s">
        <v>3253</v>
      </c>
      <c r="G404" s="14" t="s">
        <v>2069</v>
      </c>
      <c r="H404" s="20" t="n">
        <v>20.6</v>
      </c>
      <c r="I404" s="13" t="n">
        <v>40</v>
      </c>
      <c r="J404" s="13" t="s">
        <v>3254</v>
      </c>
      <c r="K404" s="13" t="n">
        <v>40</v>
      </c>
      <c r="L404" s="21" t="n">
        <v>7.55</v>
      </c>
      <c r="M404" s="21" t="n">
        <f aca="false">IF(C404="covered",10.4,7.55)</f>
        <v>7.55</v>
      </c>
      <c r="N404" s="13" t="n">
        <f aca="false">MAX(ROUNDUP(H404,0),I404)</f>
        <v>40</v>
      </c>
      <c r="O404" s="21" t="n">
        <v>302</v>
      </c>
      <c r="P404" s="21" t="n">
        <f aca="false">ROUND(M404*N404,2)</f>
        <v>302</v>
      </c>
      <c r="Q404" s="21" t="n">
        <f aca="false">ROUND(P404-IF(O404="",0,O404),2)</f>
        <v>0</v>
      </c>
      <c r="R404" s="14" t="str">
        <f aca="false">IF(J404="","MISSING BILL",IF(AND(K404=N404,ABS(L404-M404)&lt;0.001,ABS(O404-P404)&lt;0.01),"RECONCILED","CALCULATION ERROR"))</f>
        <v>RECONCILED</v>
      </c>
      <c r="S404" s="14" t="s">
        <v>2935</v>
      </c>
    </row>
    <row r="405" customFormat="false" ht="15" hidden="true" customHeight="false" outlineLevel="0" collapsed="false">
      <c r="A405" s="13" t="s">
        <v>1200</v>
      </c>
      <c r="B405" s="13" t="s">
        <v>106</v>
      </c>
      <c r="C405" s="13" t="s">
        <v>1872</v>
      </c>
      <c r="D405" s="13" t="s">
        <v>1873</v>
      </c>
      <c r="E405" s="13" t="s">
        <v>3255</v>
      </c>
      <c r="F405" s="14" t="s">
        <v>3256</v>
      </c>
      <c r="G405" s="14" t="s">
        <v>2079</v>
      </c>
      <c r="H405" s="20" t="n">
        <v>42.4</v>
      </c>
      <c r="I405" s="13" t="n">
        <v>24</v>
      </c>
      <c r="J405" s="13" t="s">
        <v>3257</v>
      </c>
      <c r="K405" s="13" t="n">
        <v>43</v>
      </c>
      <c r="L405" s="21" t="n">
        <v>7.55</v>
      </c>
      <c r="M405" s="21" t="n">
        <f aca="false">IF(C405="covered",10.4,7.55)</f>
        <v>7.55</v>
      </c>
      <c r="N405" s="13" t="n">
        <f aca="false">MAX(ROUNDUP(H405,0),I405)</f>
        <v>43</v>
      </c>
      <c r="O405" s="21" t="n">
        <v>324.65</v>
      </c>
      <c r="P405" s="21" t="n">
        <f aca="false">ROUND(M405*N405,2)</f>
        <v>324.65</v>
      </c>
      <c r="Q405" s="21" t="n">
        <f aca="false">ROUND(P405-IF(O405="",0,O405),2)</f>
        <v>0</v>
      </c>
      <c r="R405" s="14" t="str">
        <f aca="false">IF(J405="","MISSING BILL",IF(AND(K405=N405,ABS(L405-M405)&lt;0.001,ABS(O405-P405)&lt;0.01),"RECONCILED","CALCULATION ERROR"))</f>
        <v>RECONCILED</v>
      </c>
      <c r="S405" s="14" t="s">
        <v>2935</v>
      </c>
    </row>
    <row r="406" customFormat="false" ht="15" hidden="true" customHeight="false" outlineLevel="0" collapsed="false">
      <c r="A406" s="13" t="s">
        <v>3258</v>
      </c>
      <c r="B406" s="13" t="s">
        <v>106</v>
      </c>
      <c r="C406" s="13" t="s">
        <v>1872</v>
      </c>
      <c r="D406" s="13" t="s">
        <v>1873</v>
      </c>
      <c r="E406" s="13" t="s">
        <v>3259</v>
      </c>
      <c r="F406" s="14" t="s">
        <v>3260</v>
      </c>
      <c r="G406" s="14" t="s">
        <v>2240</v>
      </c>
      <c r="H406" s="20" t="n">
        <v>33.7</v>
      </c>
      <c r="I406" s="13" t="n">
        <v>24</v>
      </c>
      <c r="J406" s="13" t="s">
        <v>3261</v>
      </c>
      <c r="K406" s="13" t="n">
        <v>34</v>
      </c>
      <c r="L406" s="21" t="n">
        <v>7.55</v>
      </c>
      <c r="M406" s="21" t="n">
        <f aca="false">IF(C406="covered",10.4,7.55)</f>
        <v>7.55</v>
      </c>
      <c r="N406" s="13" t="n">
        <f aca="false">MAX(ROUNDUP(H406,0),I406)</f>
        <v>34</v>
      </c>
      <c r="O406" s="21" t="n">
        <v>256.7</v>
      </c>
      <c r="P406" s="21" t="n">
        <f aca="false">ROUND(M406*N406,2)</f>
        <v>256.7</v>
      </c>
      <c r="Q406" s="21" t="n">
        <f aca="false">ROUND(P406-IF(O406="",0,O406),2)</f>
        <v>0</v>
      </c>
      <c r="R406" s="14" t="str">
        <f aca="false">IF(J406="","MISSING BILL",IF(AND(K406=N406,ABS(L406-M406)&lt;0.001,ABS(O406-P406)&lt;0.01),"RECONCILED","CALCULATION ERROR"))</f>
        <v>RECONCILED</v>
      </c>
      <c r="S406" s="14" t="s">
        <v>2935</v>
      </c>
    </row>
    <row r="407" customFormat="false" ht="15" hidden="true" customHeight="false" outlineLevel="0" collapsed="false">
      <c r="A407" s="13" t="s">
        <v>3262</v>
      </c>
      <c r="B407" s="13" t="s">
        <v>106</v>
      </c>
      <c r="C407" s="13" t="s">
        <v>1872</v>
      </c>
      <c r="D407" s="13" t="s">
        <v>1873</v>
      </c>
      <c r="E407" s="13" t="s">
        <v>3263</v>
      </c>
      <c r="F407" s="14" t="s">
        <v>3264</v>
      </c>
      <c r="G407" s="14" t="s">
        <v>2362</v>
      </c>
      <c r="H407" s="20" t="n">
        <v>56.9</v>
      </c>
      <c r="I407" s="13" t="n">
        <v>28</v>
      </c>
      <c r="J407" s="13" t="s">
        <v>3265</v>
      </c>
      <c r="K407" s="13" t="n">
        <v>57</v>
      </c>
      <c r="L407" s="21" t="n">
        <v>7.55</v>
      </c>
      <c r="M407" s="21" t="n">
        <f aca="false">IF(C407="covered",10.4,7.55)</f>
        <v>7.55</v>
      </c>
      <c r="N407" s="13" t="n">
        <f aca="false">MAX(ROUNDUP(H407,0),I407)</f>
        <v>57</v>
      </c>
      <c r="O407" s="21" t="n">
        <v>430.35</v>
      </c>
      <c r="P407" s="21" t="n">
        <f aca="false">ROUND(M407*N407,2)</f>
        <v>430.35</v>
      </c>
      <c r="Q407" s="21" t="n">
        <f aca="false">ROUND(P407-IF(O407="",0,O407),2)</f>
        <v>0</v>
      </c>
      <c r="R407" s="14" t="str">
        <f aca="false">IF(J407="","MISSING BILL",IF(AND(K407=N407,ABS(L407-M407)&lt;0.001,ABS(O407-P407)&lt;0.01),"RECONCILED","CALCULATION ERROR"))</f>
        <v>RECONCILED</v>
      </c>
      <c r="S407" s="14" t="s">
        <v>2935</v>
      </c>
    </row>
    <row r="408" customFormat="false" ht="15" hidden="true" customHeight="false" outlineLevel="0" collapsed="false">
      <c r="A408" s="13" t="s">
        <v>3266</v>
      </c>
      <c r="B408" s="13" t="s">
        <v>106</v>
      </c>
      <c r="C408" s="13" t="s">
        <v>1872</v>
      </c>
      <c r="D408" s="13" t="s">
        <v>1873</v>
      </c>
      <c r="E408" s="13" t="s">
        <v>3267</v>
      </c>
      <c r="F408" s="14" t="s">
        <v>3268</v>
      </c>
      <c r="G408" s="14" t="s">
        <v>3269</v>
      </c>
      <c r="H408" s="20" t="n">
        <v>58</v>
      </c>
      <c r="I408" s="13" t="n">
        <v>24</v>
      </c>
      <c r="J408" s="13" t="s">
        <v>3270</v>
      </c>
      <c r="K408" s="13" t="n">
        <v>58</v>
      </c>
      <c r="L408" s="21" t="n">
        <v>7.55</v>
      </c>
      <c r="M408" s="21" t="n">
        <f aca="false">IF(C408="covered",10.4,7.55)</f>
        <v>7.55</v>
      </c>
      <c r="N408" s="13" t="n">
        <f aca="false">MAX(ROUNDUP(H408,0),I408)</f>
        <v>58</v>
      </c>
      <c r="O408" s="21" t="n">
        <v>437.9</v>
      </c>
      <c r="P408" s="21" t="n">
        <f aca="false">ROUND(M408*N408,2)</f>
        <v>437.9</v>
      </c>
      <c r="Q408" s="21" t="n">
        <f aca="false">ROUND(P408-IF(O408="",0,O408),2)</f>
        <v>0</v>
      </c>
      <c r="R408" s="14" t="str">
        <f aca="false">IF(J408="","MISSING BILL",IF(AND(K408=N408,ABS(L408-M408)&lt;0.001,ABS(O408-P408)&lt;0.01),"RECONCILED","CALCULATION ERROR"))</f>
        <v>RECONCILED</v>
      </c>
      <c r="S408" s="14" t="s">
        <v>2935</v>
      </c>
    </row>
    <row r="409" customFormat="false" ht="15" hidden="true" customHeight="false" outlineLevel="0" collapsed="false">
      <c r="A409" s="13" t="s">
        <v>3271</v>
      </c>
      <c r="B409" s="13" t="s">
        <v>106</v>
      </c>
      <c r="C409" s="13" t="s">
        <v>1872</v>
      </c>
      <c r="D409" s="13" t="s">
        <v>1873</v>
      </c>
      <c r="E409" s="13" t="s">
        <v>1417</v>
      </c>
      <c r="F409" s="14" t="s">
        <v>1418</v>
      </c>
      <c r="G409" s="14" t="s">
        <v>1990</v>
      </c>
      <c r="H409" s="20" t="n">
        <v>36.5</v>
      </c>
      <c r="I409" s="13" t="n">
        <v>45</v>
      </c>
      <c r="J409" s="13" t="s">
        <v>3272</v>
      </c>
      <c r="K409" s="13" t="n">
        <v>45</v>
      </c>
      <c r="L409" s="21" t="n">
        <v>7.55</v>
      </c>
      <c r="M409" s="21" t="n">
        <f aca="false">IF(C409="covered",10.4,7.55)</f>
        <v>7.55</v>
      </c>
      <c r="N409" s="13" t="n">
        <f aca="false">MAX(ROUNDUP(H409,0),I409)</f>
        <v>45</v>
      </c>
      <c r="O409" s="21" t="n">
        <v>339.75</v>
      </c>
      <c r="P409" s="21" t="n">
        <f aca="false">ROUND(M409*N409,2)</f>
        <v>339.75</v>
      </c>
      <c r="Q409" s="21" t="n">
        <f aca="false">ROUND(P409-IF(O409="",0,O409),2)</f>
        <v>0</v>
      </c>
      <c r="R409" s="14" t="str">
        <f aca="false">IF(J409="","MISSING BILL",IF(AND(K409=N409,ABS(L409-M409)&lt;0.001,ABS(O409-P409)&lt;0.01),"RECONCILED","CALCULATION ERROR"))</f>
        <v>RECONCILED</v>
      </c>
      <c r="S409" s="14" t="s">
        <v>2935</v>
      </c>
    </row>
    <row r="410" customFormat="false" ht="15" hidden="true" customHeight="false" outlineLevel="0" collapsed="false">
      <c r="A410" s="13" t="s">
        <v>3273</v>
      </c>
      <c r="B410" s="13" t="s">
        <v>106</v>
      </c>
      <c r="C410" s="13" t="s">
        <v>1872</v>
      </c>
      <c r="D410" s="13" t="s">
        <v>1873</v>
      </c>
      <c r="E410" s="13" t="s">
        <v>3274</v>
      </c>
      <c r="F410" s="14" t="s">
        <v>3275</v>
      </c>
      <c r="G410" s="14" t="s">
        <v>2221</v>
      </c>
      <c r="H410" s="20" t="n">
        <v>21.8</v>
      </c>
      <c r="I410" s="13" t="n">
        <v>32</v>
      </c>
      <c r="J410" s="13" t="s">
        <v>3276</v>
      </c>
      <c r="K410" s="13" t="n">
        <v>32</v>
      </c>
      <c r="L410" s="21" t="n">
        <v>7.55</v>
      </c>
      <c r="M410" s="21" t="n">
        <f aca="false">IF(C410="covered",10.4,7.55)</f>
        <v>7.55</v>
      </c>
      <c r="N410" s="13" t="n">
        <f aca="false">MAX(ROUNDUP(H410,0),I410)</f>
        <v>32</v>
      </c>
      <c r="O410" s="21" t="n">
        <v>241.6</v>
      </c>
      <c r="P410" s="21" t="n">
        <f aca="false">ROUND(M410*N410,2)</f>
        <v>241.6</v>
      </c>
      <c r="Q410" s="21" t="n">
        <f aca="false">ROUND(P410-IF(O410="",0,O410),2)</f>
        <v>0</v>
      </c>
      <c r="R410" s="14" t="str">
        <f aca="false">IF(J410="","MISSING BILL",IF(AND(K410=N410,ABS(L410-M410)&lt;0.001,ABS(O410-P410)&lt;0.01),"RECONCILED","CALCULATION ERROR"))</f>
        <v>RECONCILED</v>
      </c>
      <c r="S410" s="14" t="s">
        <v>2935</v>
      </c>
    </row>
    <row r="411" customFormat="false" ht="15" hidden="true" customHeight="false" outlineLevel="0" collapsed="false">
      <c r="A411" s="13" t="s">
        <v>1506</v>
      </c>
      <c r="B411" s="13" t="s">
        <v>106</v>
      </c>
      <c r="C411" s="13" t="s">
        <v>1872</v>
      </c>
      <c r="D411" s="13" t="s">
        <v>1873</v>
      </c>
      <c r="E411" s="13" t="s">
        <v>283</v>
      </c>
      <c r="F411" s="14" t="s">
        <v>284</v>
      </c>
      <c r="G411" s="14" t="s">
        <v>2863</v>
      </c>
      <c r="H411" s="20" t="n">
        <v>26.2</v>
      </c>
      <c r="I411" s="13" t="n">
        <v>36</v>
      </c>
      <c r="J411" s="13" t="s">
        <v>3277</v>
      </c>
      <c r="K411" s="13" t="n">
        <v>36</v>
      </c>
      <c r="L411" s="21" t="n">
        <v>7.55</v>
      </c>
      <c r="M411" s="21" t="n">
        <f aca="false">IF(C411="covered",10.4,7.55)</f>
        <v>7.55</v>
      </c>
      <c r="N411" s="13" t="n">
        <f aca="false">MAX(ROUNDUP(H411,0),I411)</f>
        <v>36</v>
      </c>
      <c r="O411" s="21" t="n">
        <v>271.8</v>
      </c>
      <c r="P411" s="21" t="n">
        <f aca="false">ROUND(M411*N411,2)</f>
        <v>271.8</v>
      </c>
      <c r="Q411" s="21" t="n">
        <f aca="false">ROUND(P411-IF(O411="",0,O411),2)</f>
        <v>0</v>
      </c>
      <c r="R411" s="14" t="str">
        <f aca="false">IF(J411="","MISSING BILL",IF(AND(K411=N411,ABS(L411-M411)&lt;0.001,ABS(O411-P411)&lt;0.01),"RECONCILED","CALCULATION ERROR"))</f>
        <v>RECONCILED</v>
      </c>
      <c r="S411" s="14" t="s">
        <v>2935</v>
      </c>
    </row>
    <row r="412" customFormat="false" ht="15" hidden="true" customHeight="false" outlineLevel="0" collapsed="false">
      <c r="A412" s="13" t="s">
        <v>3278</v>
      </c>
      <c r="B412" s="13" t="s">
        <v>106</v>
      </c>
      <c r="C412" s="13" t="s">
        <v>1872</v>
      </c>
      <c r="D412" s="13" t="s">
        <v>1873</v>
      </c>
      <c r="E412" s="13" t="s">
        <v>3279</v>
      </c>
      <c r="F412" s="14" t="s">
        <v>3280</v>
      </c>
      <c r="G412" s="14" t="s">
        <v>2546</v>
      </c>
      <c r="H412" s="20" t="n">
        <v>37.2</v>
      </c>
      <c r="I412" s="13" t="n">
        <v>70</v>
      </c>
      <c r="J412" s="13" t="s">
        <v>3281</v>
      </c>
      <c r="K412" s="13" t="n">
        <v>70</v>
      </c>
      <c r="L412" s="21" t="n">
        <v>7.55</v>
      </c>
      <c r="M412" s="21" t="n">
        <f aca="false">IF(C412="covered",10.4,7.55)</f>
        <v>7.55</v>
      </c>
      <c r="N412" s="13" t="n">
        <f aca="false">MAX(ROUNDUP(H412,0),I412)</f>
        <v>70</v>
      </c>
      <c r="O412" s="21" t="n">
        <v>528.5</v>
      </c>
      <c r="P412" s="21" t="n">
        <f aca="false">ROUND(M412*N412,2)</f>
        <v>528.5</v>
      </c>
      <c r="Q412" s="21" t="n">
        <f aca="false">ROUND(P412-IF(O412="",0,O412),2)</f>
        <v>0</v>
      </c>
      <c r="R412" s="14" t="str">
        <f aca="false">IF(J412="","MISSING BILL",IF(AND(K412=N412,ABS(L412-M412)&lt;0.001,ABS(O412-P412)&lt;0.01),"RECONCILED","CALCULATION ERROR"))</f>
        <v>RECONCILED</v>
      </c>
      <c r="S412" s="14" t="s">
        <v>2935</v>
      </c>
    </row>
    <row r="413" customFormat="false" ht="15" hidden="true" customHeight="false" outlineLevel="0" collapsed="false">
      <c r="A413" s="13" t="s">
        <v>3282</v>
      </c>
      <c r="B413" s="13" t="s">
        <v>106</v>
      </c>
      <c r="C413" s="13" t="s">
        <v>1872</v>
      </c>
      <c r="D413" s="13" t="s">
        <v>1873</v>
      </c>
      <c r="E413" s="13" t="s">
        <v>3283</v>
      </c>
      <c r="F413" s="14" t="s">
        <v>3284</v>
      </c>
      <c r="G413" s="14" t="s">
        <v>3285</v>
      </c>
      <c r="H413" s="20" t="n">
        <v>51.9</v>
      </c>
      <c r="I413" s="13" t="n">
        <v>45</v>
      </c>
      <c r="J413" s="13" t="s">
        <v>3286</v>
      </c>
      <c r="K413" s="13" t="n">
        <v>52</v>
      </c>
      <c r="L413" s="21" t="n">
        <v>7.55</v>
      </c>
      <c r="M413" s="21" t="n">
        <f aca="false">IF(C413="covered",10.4,7.55)</f>
        <v>7.55</v>
      </c>
      <c r="N413" s="13" t="n">
        <f aca="false">MAX(ROUNDUP(H413,0),I413)</f>
        <v>52</v>
      </c>
      <c r="O413" s="21" t="n">
        <v>392.6</v>
      </c>
      <c r="P413" s="21" t="n">
        <f aca="false">ROUND(M413*N413,2)</f>
        <v>392.6</v>
      </c>
      <c r="Q413" s="21" t="n">
        <f aca="false">ROUND(P413-IF(O413="",0,O413),2)</f>
        <v>0</v>
      </c>
      <c r="R413" s="14" t="str">
        <f aca="false">IF(J413="","MISSING BILL",IF(AND(K413=N413,ABS(L413-M413)&lt;0.001,ABS(O413-P413)&lt;0.01),"RECONCILED","CALCULATION ERROR"))</f>
        <v>RECONCILED</v>
      </c>
      <c r="S413" s="14" t="s">
        <v>2935</v>
      </c>
    </row>
    <row r="414" customFormat="false" ht="15" hidden="true" customHeight="false" outlineLevel="0" collapsed="false">
      <c r="A414" s="13" t="s">
        <v>3287</v>
      </c>
      <c r="B414" s="13" t="s">
        <v>106</v>
      </c>
      <c r="C414" s="13" t="s">
        <v>1872</v>
      </c>
      <c r="D414" s="13" t="s">
        <v>1873</v>
      </c>
      <c r="E414" s="13" t="s">
        <v>3288</v>
      </c>
      <c r="F414" s="14" t="s">
        <v>3289</v>
      </c>
      <c r="G414" s="14" t="s">
        <v>2147</v>
      </c>
      <c r="H414" s="20" t="n">
        <v>46.4</v>
      </c>
      <c r="I414" s="13" t="n">
        <v>32</v>
      </c>
      <c r="J414" s="13" t="s">
        <v>3290</v>
      </c>
      <c r="K414" s="13" t="n">
        <v>47</v>
      </c>
      <c r="L414" s="21" t="n">
        <v>7.55</v>
      </c>
      <c r="M414" s="21" t="n">
        <f aca="false">IF(C414="covered",10.4,7.55)</f>
        <v>7.55</v>
      </c>
      <c r="N414" s="13" t="n">
        <f aca="false">MAX(ROUNDUP(H414,0),I414)</f>
        <v>47</v>
      </c>
      <c r="O414" s="21" t="n">
        <v>354.85</v>
      </c>
      <c r="P414" s="21" t="n">
        <f aca="false">ROUND(M414*N414,2)</f>
        <v>354.85</v>
      </c>
      <c r="Q414" s="21" t="n">
        <f aca="false">ROUND(P414-IF(O414="",0,O414),2)</f>
        <v>0</v>
      </c>
      <c r="R414" s="14" t="str">
        <f aca="false">IF(J414="","MISSING BILL",IF(AND(K414=N414,ABS(L414-M414)&lt;0.001,ABS(O414-P414)&lt;0.01),"RECONCILED","CALCULATION ERROR"))</f>
        <v>RECONCILED</v>
      </c>
      <c r="S414" s="14" t="s">
        <v>2935</v>
      </c>
    </row>
    <row r="415" customFormat="false" ht="15" hidden="true" customHeight="false" outlineLevel="0" collapsed="false">
      <c r="A415" s="13" t="s">
        <v>3291</v>
      </c>
      <c r="B415" s="13" t="s">
        <v>106</v>
      </c>
      <c r="C415" s="13" t="s">
        <v>1872</v>
      </c>
      <c r="D415" s="13" t="s">
        <v>1873</v>
      </c>
      <c r="E415" s="13" t="s">
        <v>3292</v>
      </c>
      <c r="F415" s="14" t="s">
        <v>3293</v>
      </c>
      <c r="G415" s="14" t="s">
        <v>3294</v>
      </c>
      <c r="H415" s="20" t="n">
        <v>58.9</v>
      </c>
      <c r="I415" s="13" t="n">
        <v>36</v>
      </c>
      <c r="J415" s="13" t="s">
        <v>3295</v>
      </c>
      <c r="K415" s="13" t="n">
        <v>59</v>
      </c>
      <c r="L415" s="21" t="n">
        <v>7.55</v>
      </c>
      <c r="M415" s="21" t="n">
        <f aca="false">IF(C415="covered",10.4,7.55)</f>
        <v>7.55</v>
      </c>
      <c r="N415" s="13" t="n">
        <f aca="false">MAX(ROUNDUP(H415,0),I415)</f>
        <v>59</v>
      </c>
      <c r="O415" s="21" t="n">
        <v>445.45</v>
      </c>
      <c r="P415" s="21" t="n">
        <f aca="false">ROUND(M415*N415,2)</f>
        <v>445.45</v>
      </c>
      <c r="Q415" s="21" t="n">
        <f aca="false">ROUND(P415-IF(O415="",0,O415),2)</f>
        <v>0</v>
      </c>
      <c r="R415" s="14" t="str">
        <f aca="false">IF(J415="","MISSING BILL",IF(AND(K415=N415,ABS(L415-M415)&lt;0.001,ABS(O415-P415)&lt;0.01),"RECONCILED","CALCULATION ERROR"))</f>
        <v>RECONCILED</v>
      </c>
      <c r="S415" s="14" t="s">
        <v>2935</v>
      </c>
    </row>
    <row r="416" customFormat="false" ht="15" hidden="true" customHeight="false" outlineLevel="0" collapsed="false">
      <c r="A416" s="13" t="s">
        <v>3296</v>
      </c>
      <c r="B416" s="13" t="s">
        <v>106</v>
      </c>
      <c r="C416" s="13" t="s">
        <v>1872</v>
      </c>
      <c r="D416" s="13" t="s">
        <v>1873</v>
      </c>
      <c r="E416" s="13" t="s">
        <v>3297</v>
      </c>
      <c r="F416" s="14" t="s">
        <v>3298</v>
      </c>
      <c r="G416" s="14" t="s">
        <v>2381</v>
      </c>
      <c r="H416" s="20" t="n">
        <v>54.2</v>
      </c>
      <c r="I416" s="13" t="n">
        <v>28</v>
      </c>
      <c r="J416" s="13" t="s">
        <v>3299</v>
      </c>
      <c r="K416" s="13" t="n">
        <v>55</v>
      </c>
      <c r="L416" s="21" t="n">
        <v>7.55</v>
      </c>
      <c r="M416" s="21" t="n">
        <f aca="false">IF(C416="covered",10.4,7.55)</f>
        <v>7.55</v>
      </c>
      <c r="N416" s="13" t="n">
        <f aca="false">MAX(ROUNDUP(H416,0),I416)</f>
        <v>55</v>
      </c>
      <c r="O416" s="21" t="n">
        <v>415.25</v>
      </c>
      <c r="P416" s="21" t="n">
        <f aca="false">ROUND(M416*N416,2)</f>
        <v>415.25</v>
      </c>
      <c r="Q416" s="21" t="n">
        <f aca="false">ROUND(P416-IF(O416="",0,O416),2)</f>
        <v>0</v>
      </c>
      <c r="R416" s="14" t="str">
        <f aca="false">IF(J416="","MISSING BILL",IF(AND(K416=N416,ABS(L416-M416)&lt;0.001,ABS(O416-P416)&lt;0.01),"RECONCILED","CALCULATION ERROR"))</f>
        <v>RECONCILED</v>
      </c>
      <c r="S416" s="14" t="s">
        <v>2935</v>
      </c>
    </row>
    <row r="417" customFormat="false" ht="15" hidden="true" customHeight="false" outlineLevel="0" collapsed="false">
      <c r="A417" s="13" t="s">
        <v>3300</v>
      </c>
      <c r="B417" s="13" t="s">
        <v>106</v>
      </c>
      <c r="C417" s="13" t="s">
        <v>1872</v>
      </c>
      <c r="D417" s="13" t="s">
        <v>1873</v>
      </c>
      <c r="E417" s="13" t="s">
        <v>3301</v>
      </c>
      <c r="F417" s="14" t="s">
        <v>3302</v>
      </c>
      <c r="G417" s="14" t="s">
        <v>2622</v>
      </c>
      <c r="H417" s="20" t="n">
        <v>26.2</v>
      </c>
      <c r="I417" s="13" t="n">
        <v>32</v>
      </c>
      <c r="J417" s="13" t="s">
        <v>3303</v>
      </c>
      <c r="K417" s="13" t="n">
        <v>32</v>
      </c>
      <c r="L417" s="21" t="n">
        <v>7.55</v>
      </c>
      <c r="M417" s="21" t="n">
        <f aca="false">IF(C417="covered",10.4,7.55)</f>
        <v>7.55</v>
      </c>
      <c r="N417" s="13" t="n">
        <f aca="false">MAX(ROUNDUP(H417,0),I417)</f>
        <v>32</v>
      </c>
      <c r="O417" s="21" t="n">
        <v>241.6</v>
      </c>
      <c r="P417" s="21" t="n">
        <f aca="false">ROUND(M417*N417,2)</f>
        <v>241.6</v>
      </c>
      <c r="Q417" s="21" t="n">
        <f aca="false">ROUND(P417-IF(O417="",0,O417),2)</f>
        <v>0</v>
      </c>
      <c r="R417" s="14" t="str">
        <f aca="false">IF(J417="","MISSING BILL",IF(AND(K417=N417,ABS(L417-M417)&lt;0.001,ABS(O417-P417)&lt;0.01),"RECONCILED","CALCULATION ERROR"))</f>
        <v>RECONCILED</v>
      </c>
      <c r="S417" s="14" t="s">
        <v>2935</v>
      </c>
    </row>
    <row r="418" customFormat="false" ht="15" hidden="true" customHeight="false" outlineLevel="0" collapsed="false">
      <c r="A418" s="13" t="s">
        <v>3304</v>
      </c>
      <c r="B418" s="13" t="s">
        <v>106</v>
      </c>
      <c r="C418" s="13" t="s">
        <v>1872</v>
      </c>
      <c r="D418" s="13" t="s">
        <v>1873</v>
      </c>
      <c r="E418" s="13" t="s">
        <v>3305</v>
      </c>
      <c r="F418" s="14" t="s">
        <v>3306</v>
      </c>
      <c r="G418" s="14" t="s">
        <v>3307</v>
      </c>
      <c r="H418" s="20" t="n">
        <v>37.4</v>
      </c>
      <c r="I418" s="13" t="n">
        <v>60</v>
      </c>
      <c r="J418" s="13" t="s">
        <v>3308</v>
      </c>
      <c r="K418" s="13" t="n">
        <v>60</v>
      </c>
      <c r="L418" s="21" t="n">
        <v>7.55</v>
      </c>
      <c r="M418" s="21" t="n">
        <f aca="false">IF(C418="covered",10.4,7.55)</f>
        <v>7.55</v>
      </c>
      <c r="N418" s="13" t="n">
        <f aca="false">MAX(ROUNDUP(H418,0),I418)</f>
        <v>60</v>
      </c>
      <c r="O418" s="21" t="n">
        <v>453</v>
      </c>
      <c r="P418" s="21" t="n">
        <f aca="false">ROUND(M418*N418,2)</f>
        <v>453</v>
      </c>
      <c r="Q418" s="21" t="n">
        <f aca="false">ROUND(P418-IF(O418="",0,O418),2)</f>
        <v>0</v>
      </c>
      <c r="R418" s="14" t="str">
        <f aca="false">IF(J418="","MISSING BILL",IF(AND(K418=N418,ABS(L418-M418)&lt;0.001,ABS(O418-P418)&lt;0.01),"RECONCILED","CALCULATION ERROR"))</f>
        <v>RECONCILED</v>
      </c>
      <c r="S418" s="14" t="s">
        <v>2935</v>
      </c>
    </row>
    <row r="419" customFormat="false" ht="15" hidden="true" customHeight="false" outlineLevel="0" collapsed="false">
      <c r="A419" s="13" t="s">
        <v>3309</v>
      </c>
      <c r="B419" s="13" t="s">
        <v>106</v>
      </c>
      <c r="C419" s="13" t="s">
        <v>1872</v>
      </c>
      <c r="D419" s="13" t="s">
        <v>1873</v>
      </c>
      <c r="E419" s="13" t="s">
        <v>3310</v>
      </c>
      <c r="F419" s="14" t="s">
        <v>3311</v>
      </c>
      <c r="G419" s="14" t="s">
        <v>2128</v>
      </c>
      <c r="H419" s="20" t="n">
        <v>55.2</v>
      </c>
      <c r="I419" s="13" t="n">
        <v>70</v>
      </c>
      <c r="J419" s="13" t="s">
        <v>3312</v>
      </c>
      <c r="K419" s="13" t="n">
        <v>70</v>
      </c>
      <c r="L419" s="21" t="n">
        <v>7.55</v>
      </c>
      <c r="M419" s="21" t="n">
        <f aca="false">IF(C419="covered",10.4,7.55)</f>
        <v>7.55</v>
      </c>
      <c r="N419" s="13" t="n">
        <f aca="false">MAX(ROUNDUP(H419,0),I419)</f>
        <v>70</v>
      </c>
      <c r="O419" s="21" t="n">
        <v>528.5</v>
      </c>
      <c r="P419" s="21" t="n">
        <f aca="false">ROUND(M419*N419,2)</f>
        <v>528.5</v>
      </c>
      <c r="Q419" s="21" t="n">
        <f aca="false">ROUND(P419-IF(O419="",0,O419),2)</f>
        <v>0</v>
      </c>
      <c r="R419" s="14" t="str">
        <f aca="false">IF(J419="","MISSING BILL",IF(AND(K419=N419,ABS(L419-M419)&lt;0.001,ABS(O419-P419)&lt;0.01),"RECONCILED","CALCULATION ERROR"))</f>
        <v>RECONCILED</v>
      </c>
      <c r="S419" s="14" t="s">
        <v>2935</v>
      </c>
    </row>
    <row r="420" customFormat="false" ht="15" hidden="true" customHeight="false" outlineLevel="0" collapsed="false">
      <c r="A420" s="13" t="s">
        <v>3313</v>
      </c>
      <c r="B420" s="13" t="s">
        <v>106</v>
      </c>
      <c r="C420" s="13" t="s">
        <v>1872</v>
      </c>
      <c r="D420" s="13" t="s">
        <v>1873</v>
      </c>
      <c r="E420" s="13" t="s">
        <v>3314</v>
      </c>
      <c r="F420" s="14" t="s">
        <v>3315</v>
      </c>
      <c r="G420" s="14" t="s">
        <v>2246</v>
      </c>
      <c r="H420" s="20" t="n">
        <v>59.7</v>
      </c>
      <c r="I420" s="13" t="n">
        <v>36</v>
      </c>
      <c r="J420" s="13" t="s">
        <v>3316</v>
      </c>
      <c r="K420" s="13" t="n">
        <v>60</v>
      </c>
      <c r="L420" s="21" t="n">
        <v>7.55</v>
      </c>
      <c r="M420" s="21" t="n">
        <f aca="false">IF(C420="covered",10.4,7.55)</f>
        <v>7.55</v>
      </c>
      <c r="N420" s="13" t="n">
        <f aca="false">MAX(ROUNDUP(H420,0),I420)</f>
        <v>60</v>
      </c>
      <c r="O420" s="21" t="n">
        <v>453</v>
      </c>
      <c r="P420" s="21" t="n">
        <f aca="false">ROUND(M420*N420,2)</f>
        <v>453</v>
      </c>
      <c r="Q420" s="21" t="n">
        <f aca="false">ROUND(P420-IF(O420="",0,O420),2)</f>
        <v>0</v>
      </c>
      <c r="R420" s="14" t="str">
        <f aca="false">IF(J420="","MISSING BILL",IF(AND(K420=N420,ABS(L420-M420)&lt;0.001,ABS(O420-P420)&lt;0.01),"RECONCILED","CALCULATION ERROR"))</f>
        <v>RECONCILED</v>
      </c>
      <c r="S420" s="14" t="s">
        <v>2935</v>
      </c>
    </row>
    <row r="421" customFormat="false" ht="15" hidden="true" customHeight="false" outlineLevel="0" collapsed="false">
      <c r="A421" s="13" t="s">
        <v>3317</v>
      </c>
      <c r="B421" s="13" t="s">
        <v>106</v>
      </c>
      <c r="C421" s="13" t="s">
        <v>1872</v>
      </c>
      <c r="D421" s="13" t="s">
        <v>1873</v>
      </c>
      <c r="E421" s="13" t="s">
        <v>3318</v>
      </c>
      <c r="F421" s="14" t="s">
        <v>3084</v>
      </c>
      <c r="G421" s="14" t="s">
        <v>2346</v>
      </c>
      <c r="H421" s="20" t="n">
        <v>52.5</v>
      </c>
      <c r="I421" s="13" t="n">
        <v>28</v>
      </c>
      <c r="J421" s="13" t="s">
        <v>3319</v>
      </c>
      <c r="K421" s="13" t="n">
        <v>53</v>
      </c>
      <c r="L421" s="21" t="n">
        <v>7.55</v>
      </c>
      <c r="M421" s="21" t="n">
        <f aca="false">IF(C421="covered",10.4,7.55)</f>
        <v>7.55</v>
      </c>
      <c r="N421" s="13" t="n">
        <f aca="false">MAX(ROUNDUP(H421,0),I421)</f>
        <v>53</v>
      </c>
      <c r="O421" s="21" t="n">
        <v>400.15</v>
      </c>
      <c r="P421" s="21" t="n">
        <f aca="false">ROUND(M421*N421,2)</f>
        <v>400.15</v>
      </c>
      <c r="Q421" s="21" t="n">
        <f aca="false">ROUND(P421-IF(O421="",0,O421),2)</f>
        <v>0</v>
      </c>
      <c r="R421" s="14" t="str">
        <f aca="false">IF(J421="","MISSING BILL",IF(AND(K421=N421,ABS(L421-M421)&lt;0.001,ABS(O421-P421)&lt;0.01),"RECONCILED","CALCULATION ERROR"))</f>
        <v>RECONCILED</v>
      </c>
      <c r="S421" s="14" t="s">
        <v>2935</v>
      </c>
    </row>
    <row r="422" customFormat="false" ht="15" hidden="true" customHeight="false" outlineLevel="0" collapsed="false">
      <c r="A422" s="13" t="s">
        <v>550</v>
      </c>
      <c r="B422" s="13" t="s">
        <v>106</v>
      </c>
      <c r="C422" s="13" t="s">
        <v>1872</v>
      </c>
      <c r="D422" s="13" t="s">
        <v>1873</v>
      </c>
      <c r="E422" s="13" t="s">
        <v>3320</v>
      </c>
      <c r="F422" s="14" t="s">
        <v>3321</v>
      </c>
      <c r="G422" s="14" t="s">
        <v>2770</v>
      </c>
      <c r="H422" s="20" t="n">
        <v>35.3</v>
      </c>
      <c r="I422" s="13" t="n">
        <v>28</v>
      </c>
      <c r="J422" s="13" t="s">
        <v>3322</v>
      </c>
      <c r="K422" s="13" t="n">
        <v>36</v>
      </c>
      <c r="L422" s="21" t="n">
        <v>7.55</v>
      </c>
      <c r="M422" s="21" t="n">
        <f aca="false">IF(C422="covered",10.4,7.55)</f>
        <v>7.55</v>
      </c>
      <c r="N422" s="13" t="n">
        <f aca="false">MAX(ROUNDUP(H422,0),I422)</f>
        <v>36</v>
      </c>
      <c r="O422" s="21" t="n">
        <v>271.8</v>
      </c>
      <c r="P422" s="21" t="n">
        <f aca="false">ROUND(M422*N422,2)</f>
        <v>271.8</v>
      </c>
      <c r="Q422" s="21" t="n">
        <f aca="false">ROUND(P422-IF(O422="",0,O422),2)</f>
        <v>0</v>
      </c>
      <c r="R422" s="14" t="str">
        <f aca="false">IF(J422="","MISSING BILL",IF(AND(K422=N422,ABS(L422-M422)&lt;0.001,ABS(O422-P422)&lt;0.01),"RECONCILED","CALCULATION ERROR"))</f>
        <v>RECONCILED</v>
      </c>
      <c r="S422" s="14" t="s">
        <v>2935</v>
      </c>
    </row>
    <row r="423" customFormat="false" ht="15" hidden="true" customHeight="false" outlineLevel="0" collapsed="false">
      <c r="A423" s="13" t="s">
        <v>3323</v>
      </c>
      <c r="B423" s="13" t="s">
        <v>106</v>
      </c>
      <c r="C423" s="13" t="s">
        <v>1872</v>
      </c>
      <c r="D423" s="13" t="s">
        <v>1873</v>
      </c>
      <c r="E423" s="13" t="s">
        <v>3324</v>
      </c>
      <c r="F423" s="14" t="s">
        <v>3325</v>
      </c>
      <c r="G423" s="14" t="s">
        <v>2374</v>
      </c>
      <c r="H423" s="20" t="n">
        <v>43.8</v>
      </c>
      <c r="I423" s="13" t="n">
        <v>60</v>
      </c>
      <c r="J423" s="13" t="s">
        <v>3326</v>
      </c>
      <c r="K423" s="13" t="n">
        <v>60</v>
      </c>
      <c r="L423" s="21" t="n">
        <v>7.55</v>
      </c>
      <c r="M423" s="21" t="n">
        <f aca="false">IF(C423="covered",10.4,7.55)</f>
        <v>7.55</v>
      </c>
      <c r="N423" s="13" t="n">
        <f aca="false">MAX(ROUNDUP(H423,0),I423)</f>
        <v>60</v>
      </c>
      <c r="O423" s="21" t="n">
        <v>453</v>
      </c>
      <c r="P423" s="21" t="n">
        <f aca="false">ROUND(M423*N423,2)</f>
        <v>453</v>
      </c>
      <c r="Q423" s="21" t="n">
        <f aca="false">ROUND(P423-IF(O423="",0,O423),2)</f>
        <v>0</v>
      </c>
      <c r="R423" s="14" t="str">
        <f aca="false">IF(J423="","MISSING BILL",IF(AND(K423=N423,ABS(L423-M423)&lt;0.001,ABS(O423-P423)&lt;0.01),"RECONCILED","CALCULATION ERROR"))</f>
        <v>RECONCILED</v>
      </c>
      <c r="S423" s="14" t="s">
        <v>2935</v>
      </c>
    </row>
    <row r="424" customFormat="false" ht="15" hidden="true" customHeight="false" outlineLevel="0" collapsed="false">
      <c r="A424" s="13" t="s">
        <v>3327</v>
      </c>
      <c r="B424" s="13" t="s">
        <v>106</v>
      </c>
      <c r="C424" s="13" t="s">
        <v>1872</v>
      </c>
      <c r="D424" s="13" t="s">
        <v>1873</v>
      </c>
      <c r="E424" s="13" t="s">
        <v>3328</v>
      </c>
      <c r="F424" s="14" t="s">
        <v>3329</v>
      </c>
      <c r="G424" s="14" t="s">
        <v>3330</v>
      </c>
      <c r="H424" s="20" t="n">
        <v>40.1</v>
      </c>
      <c r="I424" s="13" t="n">
        <v>24</v>
      </c>
      <c r="J424" s="13" t="s">
        <v>3331</v>
      </c>
      <c r="K424" s="13" t="n">
        <v>41</v>
      </c>
      <c r="L424" s="21" t="n">
        <v>7.55</v>
      </c>
      <c r="M424" s="21" t="n">
        <f aca="false">IF(C424="covered",10.4,7.55)</f>
        <v>7.55</v>
      </c>
      <c r="N424" s="13" t="n">
        <f aca="false">MAX(ROUNDUP(H424,0),I424)</f>
        <v>41</v>
      </c>
      <c r="O424" s="21" t="n">
        <v>309.55</v>
      </c>
      <c r="P424" s="21" t="n">
        <f aca="false">ROUND(M424*N424,2)</f>
        <v>309.55</v>
      </c>
      <c r="Q424" s="21" t="n">
        <f aca="false">ROUND(P424-IF(O424="",0,O424),2)</f>
        <v>0</v>
      </c>
      <c r="R424" s="14" t="str">
        <f aca="false">IF(J424="","MISSING BILL",IF(AND(K424=N424,ABS(L424-M424)&lt;0.001,ABS(O424-P424)&lt;0.01),"RECONCILED","CALCULATION ERROR"))</f>
        <v>RECONCILED</v>
      </c>
      <c r="S424" s="14" t="s">
        <v>2935</v>
      </c>
    </row>
    <row r="425" customFormat="false" ht="15" hidden="true" customHeight="false" outlineLevel="0" collapsed="false">
      <c r="A425" s="13" t="s">
        <v>3332</v>
      </c>
      <c r="B425" s="13" t="s">
        <v>106</v>
      </c>
      <c r="C425" s="13" t="s">
        <v>1872</v>
      </c>
      <c r="D425" s="13" t="s">
        <v>1873</v>
      </c>
      <c r="E425" s="13" t="s">
        <v>3333</v>
      </c>
      <c r="F425" s="14" t="s">
        <v>3334</v>
      </c>
      <c r="G425" s="14" t="s">
        <v>3335</v>
      </c>
      <c r="H425" s="20" t="n">
        <v>50.2</v>
      </c>
      <c r="I425" s="13" t="n">
        <v>24</v>
      </c>
      <c r="J425" s="13" t="s">
        <v>3336</v>
      </c>
      <c r="K425" s="13" t="n">
        <v>51</v>
      </c>
      <c r="L425" s="21" t="n">
        <v>7.55</v>
      </c>
      <c r="M425" s="21" t="n">
        <f aca="false">IF(C425="covered",10.4,7.55)</f>
        <v>7.55</v>
      </c>
      <c r="N425" s="13" t="n">
        <f aca="false">MAX(ROUNDUP(H425,0),I425)</f>
        <v>51</v>
      </c>
      <c r="O425" s="21" t="n">
        <v>385.05</v>
      </c>
      <c r="P425" s="21" t="n">
        <f aca="false">ROUND(M425*N425,2)</f>
        <v>385.05</v>
      </c>
      <c r="Q425" s="21" t="n">
        <f aca="false">ROUND(P425-IF(O425="",0,O425),2)</f>
        <v>0</v>
      </c>
      <c r="R425" s="14" t="str">
        <f aca="false">IF(J425="","MISSING BILL",IF(AND(K425=N425,ABS(L425-M425)&lt;0.001,ABS(O425-P425)&lt;0.01),"RECONCILED","CALCULATION ERROR"))</f>
        <v>RECONCILED</v>
      </c>
      <c r="S425" s="14" t="s">
        <v>2935</v>
      </c>
    </row>
    <row r="426" customFormat="false" ht="15" hidden="true" customHeight="false" outlineLevel="0" collapsed="false">
      <c r="A426" s="13" t="s">
        <v>3337</v>
      </c>
      <c r="B426" s="13" t="s">
        <v>106</v>
      </c>
      <c r="C426" s="13" t="s">
        <v>1872</v>
      </c>
      <c r="D426" s="13" t="s">
        <v>1873</v>
      </c>
      <c r="E426" s="13" t="s">
        <v>1736</v>
      </c>
      <c r="F426" s="14" t="s">
        <v>1737</v>
      </c>
      <c r="G426" s="14" t="s">
        <v>3338</v>
      </c>
      <c r="H426" s="20" t="n">
        <v>61</v>
      </c>
      <c r="I426" s="13" t="n">
        <v>24</v>
      </c>
      <c r="J426" s="13" t="s">
        <v>3339</v>
      </c>
      <c r="K426" s="13" t="n">
        <v>61</v>
      </c>
      <c r="L426" s="21" t="n">
        <v>7.55</v>
      </c>
      <c r="M426" s="21" t="n">
        <f aca="false">IF(C426="covered",10.4,7.55)</f>
        <v>7.55</v>
      </c>
      <c r="N426" s="13" t="n">
        <f aca="false">MAX(ROUNDUP(H426,0),I426)</f>
        <v>61</v>
      </c>
      <c r="O426" s="21" t="n">
        <v>460.55</v>
      </c>
      <c r="P426" s="21" t="n">
        <f aca="false">ROUND(M426*N426,2)</f>
        <v>460.55</v>
      </c>
      <c r="Q426" s="21" t="n">
        <f aca="false">ROUND(P426-IF(O426="",0,O426),2)</f>
        <v>0</v>
      </c>
      <c r="R426" s="14" t="str">
        <f aca="false">IF(J426="","MISSING BILL",IF(AND(K426=N426,ABS(L426-M426)&lt;0.001,ABS(O426-P426)&lt;0.01),"RECONCILED","CALCULATION ERROR"))</f>
        <v>RECONCILED</v>
      </c>
      <c r="S426" s="14" t="s">
        <v>2935</v>
      </c>
    </row>
    <row r="427" customFormat="false" ht="15" hidden="true" customHeight="false" outlineLevel="0" collapsed="false">
      <c r="A427" s="13" t="s">
        <v>3340</v>
      </c>
      <c r="B427" s="13" t="s">
        <v>106</v>
      </c>
      <c r="C427" s="13" t="s">
        <v>1872</v>
      </c>
      <c r="D427" s="13" t="s">
        <v>1873</v>
      </c>
      <c r="E427" s="13" t="s">
        <v>3341</v>
      </c>
      <c r="F427" s="14" t="s">
        <v>3342</v>
      </c>
      <c r="G427" s="14" t="s">
        <v>3343</v>
      </c>
      <c r="H427" s="20" t="n">
        <v>30.5</v>
      </c>
      <c r="I427" s="13" t="n">
        <v>40</v>
      </c>
      <c r="J427" s="13" t="s">
        <v>3344</v>
      </c>
      <c r="K427" s="13" t="n">
        <v>40</v>
      </c>
      <c r="L427" s="21" t="n">
        <v>7.55</v>
      </c>
      <c r="M427" s="21" t="n">
        <f aca="false">IF(C427="covered",10.4,7.55)</f>
        <v>7.55</v>
      </c>
      <c r="N427" s="13" t="n">
        <f aca="false">MAX(ROUNDUP(H427,0),I427)</f>
        <v>40</v>
      </c>
      <c r="O427" s="21" t="n">
        <v>302</v>
      </c>
      <c r="P427" s="21" t="n">
        <f aca="false">ROUND(M427*N427,2)</f>
        <v>302</v>
      </c>
      <c r="Q427" s="21" t="n">
        <f aca="false">ROUND(P427-IF(O427="",0,O427),2)</f>
        <v>0</v>
      </c>
      <c r="R427" s="14" t="str">
        <f aca="false">IF(J427="","MISSING BILL",IF(AND(K427=N427,ABS(L427-M427)&lt;0.001,ABS(O427-P427)&lt;0.01),"RECONCILED","CALCULATION ERROR"))</f>
        <v>RECONCILED</v>
      </c>
      <c r="S427" s="14" t="s">
        <v>2935</v>
      </c>
    </row>
    <row r="428" customFormat="false" ht="15" hidden="true" customHeight="false" outlineLevel="0" collapsed="false">
      <c r="A428" s="13" t="s">
        <v>3345</v>
      </c>
      <c r="B428" s="13" t="s">
        <v>106</v>
      </c>
      <c r="C428" s="13" t="s">
        <v>1872</v>
      </c>
      <c r="D428" s="13" t="s">
        <v>1873</v>
      </c>
      <c r="E428" s="13" t="s">
        <v>3346</v>
      </c>
      <c r="F428" s="14" t="s">
        <v>3347</v>
      </c>
      <c r="G428" s="14" t="s">
        <v>3348</v>
      </c>
      <c r="H428" s="20" t="n">
        <v>38.6</v>
      </c>
      <c r="I428" s="13" t="n">
        <v>24</v>
      </c>
      <c r="J428" s="13" t="s">
        <v>3349</v>
      </c>
      <c r="K428" s="13" t="n">
        <v>39</v>
      </c>
      <c r="L428" s="21" t="n">
        <v>7.55</v>
      </c>
      <c r="M428" s="21" t="n">
        <f aca="false">IF(C428="covered",10.4,7.55)</f>
        <v>7.55</v>
      </c>
      <c r="N428" s="13" t="n">
        <f aca="false">MAX(ROUNDUP(H428,0),I428)</f>
        <v>39</v>
      </c>
      <c r="O428" s="21" t="n">
        <v>294.45</v>
      </c>
      <c r="P428" s="21" t="n">
        <f aca="false">ROUND(M428*N428,2)</f>
        <v>294.45</v>
      </c>
      <c r="Q428" s="21" t="n">
        <f aca="false">ROUND(P428-IF(O428="",0,O428),2)</f>
        <v>0</v>
      </c>
      <c r="R428" s="14" t="str">
        <f aca="false">IF(J428="","MISSING BILL",IF(AND(K428=N428,ABS(L428-M428)&lt;0.001,ABS(O428-P428)&lt;0.01),"RECONCILED","CALCULATION ERROR"))</f>
        <v>RECONCILED</v>
      </c>
      <c r="S428" s="14" t="s">
        <v>2935</v>
      </c>
    </row>
    <row r="429" customFormat="false" ht="15" hidden="true" customHeight="false" outlineLevel="0" collapsed="false">
      <c r="A429" s="13" t="s">
        <v>493</v>
      </c>
      <c r="B429" s="13" t="s">
        <v>106</v>
      </c>
      <c r="C429" s="13" t="s">
        <v>1872</v>
      </c>
      <c r="D429" s="13" t="s">
        <v>1873</v>
      </c>
      <c r="E429" s="13" t="s">
        <v>3350</v>
      </c>
      <c r="F429" s="14" t="s">
        <v>3351</v>
      </c>
      <c r="G429" s="14" t="s">
        <v>3352</v>
      </c>
      <c r="H429" s="20" t="n">
        <v>36.8</v>
      </c>
      <c r="I429" s="13" t="n">
        <v>50</v>
      </c>
      <c r="J429" s="13" t="s">
        <v>3353</v>
      </c>
      <c r="K429" s="13" t="n">
        <v>50</v>
      </c>
      <c r="L429" s="21" t="n">
        <v>7.55</v>
      </c>
      <c r="M429" s="21" t="n">
        <f aca="false">IF(C429="covered",10.4,7.55)</f>
        <v>7.55</v>
      </c>
      <c r="N429" s="13" t="n">
        <f aca="false">MAX(ROUNDUP(H429,0),I429)</f>
        <v>50</v>
      </c>
      <c r="O429" s="21" t="n">
        <v>377.5</v>
      </c>
      <c r="P429" s="21" t="n">
        <f aca="false">ROUND(M429*N429,2)</f>
        <v>377.5</v>
      </c>
      <c r="Q429" s="21" t="n">
        <f aca="false">ROUND(P429-IF(O429="",0,O429),2)</f>
        <v>0</v>
      </c>
      <c r="R429" s="14" t="str">
        <f aca="false">IF(J429="","MISSING BILL",IF(AND(K429=N429,ABS(L429-M429)&lt;0.001,ABS(O429-P429)&lt;0.01),"RECONCILED","CALCULATION ERROR"))</f>
        <v>RECONCILED</v>
      </c>
      <c r="S429" s="14" t="s">
        <v>2935</v>
      </c>
    </row>
    <row r="430" customFormat="false" ht="15" hidden="true" customHeight="false" outlineLevel="0" collapsed="false">
      <c r="A430" s="13" t="s">
        <v>1031</v>
      </c>
      <c r="B430" s="13" t="s">
        <v>106</v>
      </c>
      <c r="C430" s="13" t="s">
        <v>1872</v>
      </c>
      <c r="D430" s="13" t="s">
        <v>1873</v>
      </c>
      <c r="E430" s="13" t="s">
        <v>3354</v>
      </c>
      <c r="F430" s="14" t="s">
        <v>3355</v>
      </c>
      <c r="G430" s="14" t="s">
        <v>2010</v>
      </c>
      <c r="H430" s="20" t="n">
        <v>53.2</v>
      </c>
      <c r="I430" s="13" t="n">
        <v>32</v>
      </c>
      <c r="J430" s="13" t="s">
        <v>3356</v>
      </c>
      <c r="K430" s="13" t="n">
        <v>54</v>
      </c>
      <c r="L430" s="21" t="n">
        <v>7.55</v>
      </c>
      <c r="M430" s="21" t="n">
        <f aca="false">IF(C430="covered",10.4,7.55)</f>
        <v>7.55</v>
      </c>
      <c r="N430" s="13" t="n">
        <f aca="false">MAX(ROUNDUP(H430,0),I430)</f>
        <v>54</v>
      </c>
      <c r="O430" s="21" t="n">
        <v>407.7</v>
      </c>
      <c r="P430" s="21" t="n">
        <f aca="false">ROUND(M430*N430,2)</f>
        <v>407.7</v>
      </c>
      <c r="Q430" s="21" t="n">
        <f aca="false">ROUND(P430-IF(O430="",0,O430),2)</f>
        <v>0</v>
      </c>
      <c r="R430" s="14" t="str">
        <f aca="false">IF(J430="","MISSING BILL",IF(AND(K430=N430,ABS(L430-M430)&lt;0.001,ABS(O430-P430)&lt;0.01),"RECONCILED","CALCULATION ERROR"))</f>
        <v>RECONCILED</v>
      </c>
      <c r="S430" s="14" t="s">
        <v>2935</v>
      </c>
    </row>
    <row r="431" customFormat="false" ht="15" hidden="true" customHeight="false" outlineLevel="0" collapsed="false">
      <c r="A431" s="13" t="s">
        <v>3357</v>
      </c>
      <c r="B431" s="13" t="s">
        <v>106</v>
      </c>
      <c r="C431" s="13" t="s">
        <v>1872</v>
      </c>
      <c r="D431" s="13" t="s">
        <v>1873</v>
      </c>
      <c r="E431" s="13" t="s">
        <v>3358</v>
      </c>
      <c r="F431" s="14" t="s">
        <v>3359</v>
      </c>
      <c r="G431" s="14" t="s">
        <v>3360</v>
      </c>
      <c r="H431" s="20" t="n">
        <v>26.9</v>
      </c>
      <c r="I431" s="13" t="n">
        <v>24</v>
      </c>
      <c r="J431" s="13" t="s">
        <v>3361</v>
      </c>
      <c r="K431" s="13" t="n">
        <v>27</v>
      </c>
      <c r="L431" s="21" t="n">
        <v>7.55</v>
      </c>
      <c r="M431" s="21" t="n">
        <f aca="false">IF(C431="covered",10.4,7.55)</f>
        <v>7.55</v>
      </c>
      <c r="N431" s="13" t="n">
        <f aca="false">MAX(ROUNDUP(H431,0),I431)</f>
        <v>27</v>
      </c>
      <c r="O431" s="21" t="n">
        <v>203.85</v>
      </c>
      <c r="P431" s="21" t="n">
        <f aca="false">ROUND(M431*N431,2)</f>
        <v>203.85</v>
      </c>
      <c r="Q431" s="21" t="n">
        <f aca="false">ROUND(P431-IF(O431="",0,O431),2)</f>
        <v>0</v>
      </c>
      <c r="R431" s="14" t="str">
        <f aca="false">IF(J431="","MISSING BILL",IF(AND(K431=N431,ABS(L431-M431)&lt;0.001,ABS(O431-P431)&lt;0.01),"RECONCILED","CALCULATION ERROR"))</f>
        <v>RECONCILED</v>
      </c>
      <c r="S431" s="14" t="s">
        <v>2935</v>
      </c>
    </row>
    <row r="432" customFormat="false" ht="15" hidden="true" customHeight="false" outlineLevel="0" collapsed="false">
      <c r="A432" s="13" t="s">
        <v>3362</v>
      </c>
      <c r="B432" s="13" t="s">
        <v>106</v>
      </c>
      <c r="C432" s="13" t="s">
        <v>1872</v>
      </c>
      <c r="D432" s="13" t="s">
        <v>1873</v>
      </c>
      <c r="E432" s="13" t="s">
        <v>3363</v>
      </c>
      <c r="F432" s="14" t="s">
        <v>3364</v>
      </c>
      <c r="G432" s="14" t="s">
        <v>2017</v>
      </c>
      <c r="H432" s="20" t="n">
        <v>38.3</v>
      </c>
      <c r="I432" s="13" t="n">
        <v>50</v>
      </c>
      <c r="J432" s="13" t="s">
        <v>3365</v>
      </c>
      <c r="K432" s="13" t="n">
        <v>50</v>
      </c>
      <c r="L432" s="21" t="n">
        <v>7.55</v>
      </c>
      <c r="M432" s="21" t="n">
        <f aca="false">IF(C432="covered",10.4,7.55)</f>
        <v>7.55</v>
      </c>
      <c r="N432" s="13" t="n">
        <f aca="false">MAX(ROUNDUP(H432,0),I432)</f>
        <v>50</v>
      </c>
      <c r="O432" s="21" t="n">
        <v>377.5</v>
      </c>
      <c r="P432" s="21" t="n">
        <f aca="false">ROUND(M432*N432,2)</f>
        <v>377.5</v>
      </c>
      <c r="Q432" s="21" t="n">
        <f aca="false">ROUND(P432-IF(O432="",0,O432),2)</f>
        <v>0</v>
      </c>
      <c r="R432" s="14" t="str">
        <f aca="false">IF(J432="","MISSING BILL",IF(AND(K432=N432,ABS(L432-M432)&lt;0.001,ABS(O432-P432)&lt;0.01),"RECONCILED","CALCULATION ERROR"))</f>
        <v>RECONCILED</v>
      </c>
      <c r="S432" s="14" t="s">
        <v>2935</v>
      </c>
    </row>
    <row r="433" customFormat="false" ht="15" hidden="true" customHeight="false" outlineLevel="0" collapsed="false">
      <c r="A433" s="13" t="s">
        <v>1697</v>
      </c>
      <c r="B433" s="13" t="s">
        <v>106</v>
      </c>
      <c r="C433" s="13" t="s">
        <v>1872</v>
      </c>
      <c r="D433" s="13" t="s">
        <v>1873</v>
      </c>
      <c r="E433" s="13" t="s">
        <v>497</v>
      </c>
      <c r="F433" s="14" t="s">
        <v>498</v>
      </c>
      <c r="G433" s="14" t="s">
        <v>3366</v>
      </c>
      <c r="H433" s="20" t="n">
        <v>26.5</v>
      </c>
      <c r="I433" s="13" t="n">
        <v>36</v>
      </c>
      <c r="J433" s="13" t="s">
        <v>3367</v>
      </c>
      <c r="K433" s="13" t="n">
        <v>36</v>
      </c>
      <c r="L433" s="21" t="n">
        <v>7.55</v>
      </c>
      <c r="M433" s="21" t="n">
        <f aca="false">IF(C433="covered",10.4,7.55)</f>
        <v>7.55</v>
      </c>
      <c r="N433" s="13" t="n">
        <f aca="false">MAX(ROUNDUP(H433,0),I433)</f>
        <v>36</v>
      </c>
      <c r="O433" s="21" t="n">
        <v>271.8</v>
      </c>
      <c r="P433" s="21" t="n">
        <f aca="false">ROUND(M433*N433,2)</f>
        <v>271.8</v>
      </c>
      <c r="Q433" s="21" t="n">
        <f aca="false">ROUND(P433-IF(O433="",0,O433),2)</f>
        <v>0</v>
      </c>
      <c r="R433" s="14" t="str">
        <f aca="false">IF(J433="","MISSING BILL",IF(AND(K433=N433,ABS(L433-M433)&lt;0.001,ABS(O433-P433)&lt;0.01),"RECONCILED","CALCULATION ERROR"))</f>
        <v>RECONCILED</v>
      </c>
      <c r="S433" s="14" t="s">
        <v>2935</v>
      </c>
    </row>
    <row r="434" customFormat="false" ht="15" hidden="true" customHeight="false" outlineLevel="0" collapsed="false">
      <c r="A434" s="13" t="s">
        <v>816</v>
      </c>
      <c r="B434" s="13" t="s">
        <v>106</v>
      </c>
      <c r="C434" s="13" t="s">
        <v>1872</v>
      </c>
      <c r="D434" s="13" t="s">
        <v>1873</v>
      </c>
      <c r="E434" s="13" t="s">
        <v>3368</v>
      </c>
      <c r="F434" s="14" t="s">
        <v>3369</v>
      </c>
      <c r="G434" s="14" t="s">
        <v>2583</v>
      </c>
      <c r="H434" s="20" t="n">
        <v>57.9</v>
      </c>
      <c r="I434" s="13" t="n">
        <v>24</v>
      </c>
      <c r="J434" s="13" t="s">
        <v>3370</v>
      </c>
      <c r="K434" s="13" t="n">
        <v>58</v>
      </c>
      <c r="L434" s="21" t="n">
        <v>7.55</v>
      </c>
      <c r="M434" s="21" t="n">
        <f aca="false">IF(C434="covered",10.4,7.55)</f>
        <v>7.55</v>
      </c>
      <c r="N434" s="13" t="n">
        <f aca="false">MAX(ROUNDUP(H434,0),I434)</f>
        <v>58</v>
      </c>
      <c r="O434" s="21" t="n">
        <v>437.9</v>
      </c>
      <c r="P434" s="21" t="n">
        <f aca="false">ROUND(M434*N434,2)</f>
        <v>437.9</v>
      </c>
      <c r="Q434" s="21" t="n">
        <f aca="false">ROUND(P434-IF(O434="",0,O434),2)</f>
        <v>0</v>
      </c>
      <c r="R434" s="14" t="str">
        <f aca="false">IF(J434="","MISSING BILL",IF(AND(K434=N434,ABS(L434-M434)&lt;0.001,ABS(O434-P434)&lt;0.01),"RECONCILED","CALCULATION ERROR"))</f>
        <v>RECONCILED</v>
      </c>
      <c r="S434" s="14" t="s">
        <v>2935</v>
      </c>
    </row>
    <row r="435" customFormat="false" ht="15" hidden="true" customHeight="false" outlineLevel="0" collapsed="false">
      <c r="A435" s="13" t="s">
        <v>3371</v>
      </c>
      <c r="B435" s="13" t="s">
        <v>106</v>
      </c>
      <c r="C435" s="13" t="s">
        <v>1872</v>
      </c>
      <c r="D435" s="13" t="s">
        <v>1873</v>
      </c>
      <c r="E435" s="13" t="s">
        <v>87</v>
      </c>
      <c r="F435" s="14" t="s">
        <v>88</v>
      </c>
      <c r="G435" s="14" t="s">
        <v>3372</v>
      </c>
      <c r="H435" s="20" t="n">
        <v>19.2</v>
      </c>
      <c r="I435" s="13" t="n">
        <v>32</v>
      </c>
      <c r="J435" s="13" t="s">
        <v>3373</v>
      </c>
      <c r="K435" s="13" t="n">
        <v>32</v>
      </c>
      <c r="L435" s="21" t="n">
        <v>7.55</v>
      </c>
      <c r="M435" s="21" t="n">
        <f aca="false">IF(C435="covered",10.4,7.55)</f>
        <v>7.55</v>
      </c>
      <c r="N435" s="13" t="n">
        <f aca="false">MAX(ROUNDUP(H435,0),I435)</f>
        <v>32</v>
      </c>
      <c r="O435" s="21" t="n">
        <v>241.6</v>
      </c>
      <c r="P435" s="21" t="n">
        <f aca="false">ROUND(M435*N435,2)</f>
        <v>241.6</v>
      </c>
      <c r="Q435" s="21" t="n">
        <f aca="false">ROUND(P435-IF(O435="",0,O435),2)</f>
        <v>0</v>
      </c>
      <c r="R435" s="14" t="str">
        <f aca="false">IF(J435="","MISSING BILL",IF(AND(K435=N435,ABS(L435-M435)&lt;0.001,ABS(O435-P435)&lt;0.01),"RECONCILED","CALCULATION ERROR"))</f>
        <v>RECONCILED</v>
      </c>
      <c r="S435" s="14" t="s">
        <v>2935</v>
      </c>
    </row>
    <row r="436" customFormat="false" ht="15" hidden="true" customHeight="false" outlineLevel="0" collapsed="false">
      <c r="A436" s="13" t="s">
        <v>3374</v>
      </c>
      <c r="B436" s="13" t="s">
        <v>106</v>
      </c>
      <c r="C436" s="13" t="s">
        <v>1872</v>
      </c>
      <c r="D436" s="13" t="s">
        <v>1873</v>
      </c>
      <c r="E436" s="13" t="s">
        <v>3375</v>
      </c>
      <c r="F436" s="14" t="s">
        <v>3376</v>
      </c>
      <c r="G436" s="14" t="s">
        <v>3377</v>
      </c>
      <c r="H436" s="20" t="n">
        <v>22.8</v>
      </c>
      <c r="I436" s="13" t="n">
        <v>24</v>
      </c>
      <c r="J436" s="13" t="s">
        <v>3378</v>
      </c>
      <c r="K436" s="13" t="n">
        <v>24</v>
      </c>
      <c r="L436" s="21" t="n">
        <v>7.55</v>
      </c>
      <c r="M436" s="21" t="n">
        <f aca="false">IF(C436="covered",10.4,7.55)</f>
        <v>7.55</v>
      </c>
      <c r="N436" s="13" t="n">
        <f aca="false">MAX(ROUNDUP(H436,0),I436)</f>
        <v>24</v>
      </c>
      <c r="O436" s="21" t="n">
        <v>181.2</v>
      </c>
      <c r="P436" s="21" t="n">
        <f aca="false">ROUND(M436*N436,2)</f>
        <v>181.2</v>
      </c>
      <c r="Q436" s="21" t="n">
        <f aca="false">ROUND(P436-IF(O436="",0,O436),2)</f>
        <v>0</v>
      </c>
      <c r="R436" s="14" t="str">
        <f aca="false">IF(J436="","MISSING BILL",IF(AND(K436=N436,ABS(L436-M436)&lt;0.001,ABS(O436-P436)&lt;0.01),"RECONCILED","CALCULATION ERROR"))</f>
        <v>RECONCILED</v>
      </c>
      <c r="S436" s="14" t="s">
        <v>2935</v>
      </c>
    </row>
    <row r="437" customFormat="false" ht="15" hidden="true" customHeight="false" outlineLevel="0" collapsed="false">
      <c r="A437" s="13" t="s">
        <v>3379</v>
      </c>
      <c r="B437" s="13" t="s">
        <v>106</v>
      </c>
      <c r="C437" s="13" t="s">
        <v>1872</v>
      </c>
      <c r="D437" s="13" t="s">
        <v>1873</v>
      </c>
      <c r="E437" s="13" t="s">
        <v>3380</v>
      </c>
      <c r="F437" s="14" t="s">
        <v>3381</v>
      </c>
      <c r="G437" s="14" t="s">
        <v>3382</v>
      </c>
      <c r="H437" s="20" t="n">
        <v>26.9</v>
      </c>
      <c r="I437" s="13" t="n">
        <v>50</v>
      </c>
      <c r="J437" s="13" t="s">
        <v>3383</v>
      </c>
      <c r="K437" s="13" t="n">
        <v>50</v>
      </c>
      <c r="L437" s="21" t="n">
        <v>7.55</v>
      </c>
      <c r="M437" s="21" t="n">
        <f aca="false">IF(C437="covered",10.4,7.55)</f>
        <v>7.55</v>
      </c>
      <c r="N437" s="13" t="n">
        <f aca="false">MAX(ROUNDUP(H437,0),I437)</f>
        <v>50</v>
      </c>
      <c r="O437" s="21" t="n">
        <v>377.5</v>
      </c>
      <c r="P437" s="21" t="n">
        <f aca="false">ROUND(M437*N437,2)</f>
        <v>377.5</v>
      </c>
      <c r="Q437" s="21" t="n">
        <f aca="false">ROUND(P437-IF(O437="",0,O437),2)</f>
        <v>0</v>
      </c>
      <c r="R437" s="14" t="str">
        <f aca="false">IF(J437="","MISSING BILL",IF(AND(K437=N437,ABS(L437-M437)&lt;0.001,ABS(O437-P437)&lt;0.01),"RECONCILED","CALCULATION ERROR"))</f>
        <v>RECONCILED</v>
      </c>
      <c r="S437" s="14" t="s">
        <v>2935</v>
      </c>
    </row>
    <row r="438" customFormat="false" ht="15" hidden="true" customHeight="false" outlineLevel="0" collapsed="false">
      <c r="A438" s="13" t="s">
        <v>3384</v>
      </c>
      <c r="B438" s="13" t="s">
        <v>106</v>
      </c>
      <c r="C438" s="13" t="s">
        <v>1872</v>
      </c>
      <c r="D438" s="13" t="s">
        <v>1873</v>
      </c>
      <c r="E438" s="13" t="s">
        <v>3385</v>
      </c>
      <c r="F438" s="14" t="s">
        <v>3386</v>
      </c>
      <c r="G438" s="14" t="s">
        <v>1986</v>
      </c>
      <c r="H438" s="20" t="n">
        <v>22</v>
      </c>
      <c r="I438" s="13" t="n">
        <v>24</v>
      </c>
      <c r="J438" s="13" t="s">
        <v>3387</v>
      </c>
      <c r="K438" s="13" t="n">
        <v>24</v>
      </c>
      <c r="L438" s="21" t="n">
        <v>7.55</v>
      </c>
      <c r="M438" s="21" t="n">
        <f aca="false">IF(C438="covered",10.4,7.55)</f>
        <v>7.55</v>
      </c>
      <c r="N438" s="13" t="n">
        <f aca="false">MAX(ROUNDUP(H438,0),I438)</f>
        <v>24</v>
      </c>
      <c r="O438" s="21" t="n">
        <v>181.2</v>
      </c>
      <c r="P438" s="21" t="n">
        <f aca="false">ROUND(M438*N438,2)</f>
        <v>181.2</v>
      </c>
      <c r="Q438" s="21" t="n">
        <f aca="false">ROUND(P438-IF(O438="",0,O438),2)</f>
        <v>0</v>
      </c>
      <c r="R438" s="14" t="str">
        <f aca="false">IF(J438="","MISSING BILL",IF(AND(K438=N438,ABS(L438-M438)&lt;0.001,ABS(O438-P438)&lt;0.01),"RECONCILED","CALCULATION ERROR"))</f>
        <v>RECONCILED</v>
      </c>
      <c r="S438" s="14" t="s">
        <v>2935</v>
      </c>
    </row>
    <row r="439" customFormat="false" ht="15" hidden="true" customHeight="false" outlineLevel="0" collapsed="false">
      <c r="A439" s="13" t="s">
        <v>3388</v>
      </c>
      <c r="B439" s="13" t="s">
        <v>106</v>
      </c>
      <c r="C439" s="13" t="s">
        <v>1872</v>
      </c>
      <c r="D439" s="13" t="s">
        <v>1873</v>
      </c>
      <c r="E439" s="13" t="s">
        <v>3389</v>
      </c>
      <c r="F439" s="14" t="s">
        <v>3390</v>
      </c>
      <c r="G439" s="14" t="s">
        <v>3391</v>
      </c>
      <c r="H439" s="20" t="n">
        <v>35</v>
      </c>
      <c r="I439" s="13" t="n">
        <v>60</v>
      </c>
      <c r="J439" s="13" t="s">
        <v>3392</v>
      </c>
      <c r="K439" s="13" t="n">
        <v>60</v>
      </c>
      <c r="L439" s="21" t="n">
        <v>7.55</v>
      </c>
      <c r="M439" s="21" t="n">
        <f aca="false">IF(C439="covered",10.4,7.55)</f>
        <v>7.55</v>
      </c>
      <c r="N439" s="13" t="n">
        <f aca="false">MAX(ROUNDUP(H439,0),I439)</f>
        <v>60</v>
      </c>
      <c r="O439" s="21" t="n">
        <v>453</v>
      </c>
      <c r="P439" s="21" t="n">
        <f aca="false">ROUND(M439*N439,2)</f>
        <v>453</v>
      </c>
      <c r="Q439" s="21" t="n">
        <f aca="false">ROUND(P439-IF(O439="",0,O439),2)</f>
        <v>0</v>
      </c>
      <c r="R439" s="14" t="str">
        <f aca="false">IF(J439="","MISSING BILL",IF(AND(K439=N439,ABS(L439-M439)&lt;0.001,ABS(O439-P439)&lt;0.01),"RECONCILED","CALCULATION ERROR"))</f>
        <v>RECONCILED</v>
      </c>
      <c r="S439" s="14" t="s">
        <v>2935</v>
      </c>
    </row>
    <row r="440" customFormat="false" ht="15" hidden="true" customHeight="false" outlineLevel="0" collapsed="false">
      <c r="A440" s="13" t="s">
        <v>3393</v>
      </c>
      <c r="B440" s="13" t="s">
        <v>106</v>
      </c>
      <c r="C440" s="13" t="s">
        <v>1872</v>
      </c>
      <c r="D440" s="13" t="s">
        <v>1873</v>
      </c>
      <c r="E440" s="13" t="s">
        <v>3394</v>
      </c>
      <c r="F440" s="14" t="s">
        <v>3395</v>
      </c>
      <c r="G440" s="14" t="s">
        <v>2827</v>
      </c>
      <c r="H440" s="20" t="n">
        <v>54.9</v>
      </c>
      <c r="I440" s="13" t="n">
        <v>40</v>
      </c>
      <c r="J440" s="13" t="s">
        <v>3396</v>
      </c>
      <c r="K440" s="13" t="n">
        <v>55</v>
      </c>
      <c r="L440" s="21" t="n">
        <v>7.55</v>
      </c>
      <c r="M440" s="21" t="n">
        <f aca="false">IF(C440="covered",10.4,7.55)</f>
        <v>7.55</v>
      </c>
      <c r="N440" s="13" t="n">
        <f aca="false">MAX(ROUNDUP(H440,0),I440)</f>
        <v>55</v>
      </c>
      <c r="O440" s="21" t="n">
        <v>415.25</v>
      </c>
      <c r="P440" s="21" t="n">
        <f aca="false">ROUND(M440*N440,2)</f>
        <v>415.25</v>
      </c>
      <c r="Q440" s="21" t="n">
        <f aca="false">ROUND(P440-IF(O440="",0,O440),2)</f>
        <v>0</v>
      </c>
      <c r="R440" s="14" t="str">
        <f aca="false">IF(J440="","MISSING BILL",IF(AND(K440=N440,ABS(L440-M440)&lt;0.001,ABS(O440-P440)&lt;0.01),"RECONCILED","CALCULATION ERROR"))</f>
        <v>RECONCILED</v>
      </c>
      <c r="S440" s="14" t="s">
        <v>2935</v>
      </c>
    </row>
    <row r="441" customFormat="false" ht="15" hidden="true" customHeight="false" outlineLevel="0" collapsed="false">
      <c r="A441" s="13" t="s">
        <v>3397</v>
      </c>
      <c r="B441" s="13" t="s">
        <v>106</v>
      </c>
      <c r="C441" s="13" t="s">
        <v>1872</v>
      </c>
      <c r="D441" s="13" t="s">
        <v>1873</v>
      </c>
      <c r="E441" s="13" t="s">
        <v>3398</v>
      </c>
      <c r="F441" s="14" t="s">
        <v>3399</v>
      </c>
      <c r="G441" s="14" t="s">
        <v>3400</v>
      </c>
      <c r="H441" s="20" t="n">
        <v>53.8</v>
      </c>
      <c r="I441" s="13" t="n">
        <v>45</v>
      </c>
      <c r="J441" s="13" t="s">
        <v>3401</v>
      </c>
      <c r="K441" s="13" t="n">
        <v>54</v>
      </c>
      <c r="L441" s="21" t="n">
        <v>7.55</v>
      </c>
      <c r="M441" s="21" t="n">
        <f aca="false">IF(C441="covered",10.4,7.55)</f>
        <v>7.55</v>
      </c>
      <c r="N441" s="13" t="n">
        <f aca="false">MAX(ROUNDUP(H441,0),I441)</f>
        <v>54</v>
      </c>
      <c r="O441" s="21" t="n">
        <v>407.7</v>
      </c>
      <c r="P441" s="21" t="n">
        <f aca="false">ROUND(M441*N441,2)</f>
        <v>407.7</v>
      </c>
      <c r="Q441" s="21" t="n">
        <f aca="false">ROUND(P441-IF(O441="",0,O441),2)</f>
        <v>0</v>
      </c>
      <c r="R441" s="14" t="str">
        <f aca="false">IF(J441="","MISSING BILL",IF(AND(K441=N441,ABS(L441-M441)&lt;0.001,ABS(O441-P441)&lt;0.01),"RECONCILED","CALCULATION ERROR"))</f>
        <v>RECONCILED</v>
      </c>
      <c r="S441" s="14" t="s">
        <v>2935</v>
      </c>
    </row>
    <row r="442" customFormat="false" ht="15" hidden="true" customHeight="false" outlineLevel="0" collapsed="false">
      <c r="A442" s="13" t="s">
        <v>798</v>
      </c>
      <c r="B442" s="13" t="s">
        <v>106</v>
      </c>
      <c r="C442" s="13" t="s">
        <v>1872</v>
      </c>
      <c r="D442" s="13" t="s">
        <v>1873</v>
      </c>
      <c r="E442" s="13" t="s">
        <v>3402</v>
      </c>
      <c r="F442" s="14" t="s">
        <v>3403</v>
      </c>
      <c r="G442" s="14" t="s">
        <v>3404</v>
      </c>
      <c r="H442" s="20" t="n">
        <v>40</v>
      </c>
      <c r="I442" s="13" t="n">
        <v>24</v>
      </c>
      <c r="J442" s="13" t="s">
        <v>3405</v>
      </c>
      <c r="K442" s="13" t="n">
        <v>40</v>
      </c>
      <c r="L442" s="21" t="n">
        <v>7.55</v>
      </c>
      <c r="M442" s="21" t="n">
        <f aca="false">IF(C442="covered",10.4,7.55)</f>
        <v>7.55</v>
      </c>
      <c r="N442" s="13" t="n">
        <f aca="false">MAX(ROUNDUP(H442,0),I442)</f>
        <v>40</v>
      </c>
      <c r="O442" s="21" t="n">
        <v>302</v>
      </c>
      <c r="P442" s="21" t="n">
        <f aca="false">ROUND(M442*N442,2)</f>
        <v>302</v>
      </c>
      <c r="Q442" s="21" t="n">
        <f aca="false">ROUND(P442-IF(O442="",0,O442),2)</f>
        <v>0</v>
      </c>
      <c r="R442" s="14" t="str">
        <f aca="false">IF(J442="","MISSING BILL",IF(AND(K442=N442,ABS(L442-M442)&lt;0.001,ABS(O442-P442)&lt;0.01),"RECONCILED","CALCULATION ERROR"))</f>
        <v>RECONCILED</v>
      </c>
      <c r="S442" s="14" t="s">
        <v>2935</v>
      </c>
    </row>
    <row r="443" customFormat="false" ht="15" hidden="true" customHeight="false" outlineLevel="0" collapsed="false">
      <c r="A443" s="13" t="s">
        <v>737</v>
      </c>
      <c r="B443" s="13" t="s">
        <v>106</v>
      </c>
      <c r="C443" s="13" t="s">
        <v>1872</v>
      </c>
      <c r="D443" s="13" t="s">
        <v>1873</v>
      </c>
      <c r="E443" s="13" t="s">
        <v>3406</v>
      </c>
      <c r="F443" s="14" t="s">
        <v>3407</v>
      </c>
      <c r="G443" s="14" t="s">
        <v>2438</v>
      </c>
      <c r="H443" s="20" t="n">
        <v>42.7</v>
      </c>
      <c r="I443" s="13" t="n">
        <v>28</v>
      </c>
      <c r="J443" s="13" t="s">
        <v>3408</v>
      </c>
      <c r="K443" s="13" t="n">
        <v>43</v>
      </c>
      <c r="L443" s="21" t="n">
        <v>7.55</v>
      </c>
      <c r="M443" s="21" t="n">
        <f aca="false">IF(C443="covered",10.4,7.55)</f>
        <v>7.55</v>
      </c>
      <c r="N443" s="13" t="n">
        <f aca="false">MAX(ROUNDUP(H443,0),I443)</f>
        <v>43</v>
      </c>
      <c r="O443" s="21" t="n">
        <v>324.65</v>
      </c>
      <c r="P443" s="21" t="n">
        <f aca="false">ROUND(M443*N443,2)</f>
        <v>324.65</v>
      </c>
      <c r="Q443" s="21" t="n">
        <f aca="false">ROUND(P443-IF(O443="",0,O443),2)</f>
        <v>0</v>
      </c>
      <c r="R443" s="14" t="str">
        <f aca="false">IF(J443="","MISSING BILL",IF(AND(K443=N443,ABS(L443-M443)&lt;0.001,ABS(O443-P443)&lt;0.01),"RECONCILED","CALCULATION ERROR"))</f>
        <v>RECONCILED</v>
      </c>
      <c r="S443" s="14" t="s">
        <v>2935</v>
      </c>
    </row>
    <row r="444" customFormat="false" ht="15" hidden="true" customHeight="false" outlineLevel="0" collapsed="false">
      <c r="A444" s="13" t="s">
        <v>3409</v>
      </c>
      <c r="B444" s="13" t="s">
        <v>106</v>
      </c>
      <c r="C444" s="13" t="s">
        <v>1872</v>
      </c>
      <c r="D444" s="13" t="s">
        <v>1873</v>
      </c>
      <c r="E444" s="13" t="s">
        <v>3410</v>
      </c>
      <c r="F444" s="14" t="s">
        <v>3411</v>
      </c>
      <c r="G444" s="14" t="s">
        <v>3412</v>
      </c>
      <c r="H444" s="20" t="n">
        <v>51.6</v>
      </c>
      <c r="I444" s="13" t="n">
        <v>28</v>
      </c>
      <c r="J444" s="13" t="s">
        <v>3413</v>
      </c>
      <c r="K444" s="13" t="n">
        <v>52</v>
      </c>
      <c r="L444" s="21" t="n">
        <v>7.55</v>
      </c>
      <c r="M444" s="21" t="n">
        <f aca="false">IF(C444="covered",10.4,7.55)</f>
        <v>7.55</v>
      </c>
      <c r="N444" s="13" t="n">
        <f aca="false">MAX(ROUNDUP(H444,0),I444)</f>
        <v>52</v>
      </c>
      <c r="O444" s="21" t="n">
        <v>392.6</v>
      </c>
      <c r="P444" s="21" t="n">
        <f aca="false">ROUND(M444*N444,2)</f>
        <v>392.6</v>
      </c>
      <c r="Q444" s="21" t="n">
        <f aca="false">ROUND(P444-IF(O444="",0,O444),2)</f>
        <v>0</v>
      </c>
      <c r="R444" s="14" t="str">
        <f aca="false">IF(J444="","MISSING BILL",IF(AND(K444=N444,ABS(L444-M444)&lt;0.001,ABS(O444-P444)&lt;0.01),"RECONCILED","CALCULATION ERROR"))</f>
        <v>RECONCILED</v>
      </c>
      <c r="S444" s="14" t="s">
        <v>2935</v>
      </c>
    </row>
    <row r="445" customFormat="false" ht="15" hidden="true" customHeight="false" outlineLevel="0" collapsed="false">
      <c r="A445" s="13" t="s">
        <v>3414</v>
      </c>
      <c r="B445" s="13" t="s">
        <v>106</v>
      </c>
      <c r="C445" s="13" t="s">
        <v>1872</v>
      </c>
      <c r="D445" s="13" t="s">
        <v>1873</v>
      </c>
      <c r="E445" s="13" t="s">
        <v>3415</v>
      </c>
      <c r="F445" s="14" t="s">
        <v>3416</v>
      </c>
      <c r="G445" s="14" t="s">
        <v>3294</v>
      </c>
      <c r="H445" s="20" t="n">
        <v>50.3</v>
      </c>
      <c r="I445" s="13" t="n">
        <v>28</v>
      </c>
      <c r="J445" s="13" t="s">
        <v>3417</v>
      </c>
      <c r="K445" s="13" t="n">
        <v>51</v>
      </c>
      <c r="L445" s="21" t="n">
        <v>7.55</v>
      </c>
      <c r="M445" s="21" t="n">
        <f aca="false">IF(C445="covered",10.4,7.55)</f>
        <v>7.55</v>
      </c>
      <c r="N445" s="13" t="n">
        <f aca="false">MAX(ROUNDUP(H445,0),I445)</f>
        <v>51</v>
      </c>
      <c r="O445" s="21" t="n">
        <v>385.05</v>
      </c>
      <c r="P445" s="21" t="n">
        <f aca="false">ROUND(M445*N445,2)</f>
        <v>385.05</v>
      </c>
      <c r="Q445" s="21" t="n">
        <f aca="false">ROUND(P445-IF(O445="",0,O445),2)</f>
        <v>0</v>
      </c>
      <c r="R445" s="14" t="str">
        <f aca="false">IF(J445="","MISSING BILL",IF(AND(K445=N445,ABS(L445-M445)&lt;0.001,ABS(O445-P445)&lt;0.01),"RECONCILED","CALCULATION ERROR"))</f>
        <v>RECONCILED</v>
      </c>
      <c r="S445" s="14" t="s">
        <v>2935</v>
      </c>
    </row>
    <row r="446" customFormat="false" ht="15" hidden="true" customHeight="false" outlineLevel="0" collapsed="false">
      <c r="A446" s="13" t="s">
        <v>3418</v>
      </c>
      <c r="B446" s="13" t="s">
        <v>106</v>
      </c>
      <c r="C446" s="13" t="s">
        <v>1872</v>
      </c>
      <c r="D446" s="13" t="s">
        <v>1873</v>
      </c>
      <c r="E446" s="13" t="s">
        <v>3419</v>
      </c>
      <c r="F446" s="14" t="s">
        <v>1418</v>
      </c>
      <c r="G446" s="14" t="s">
        <v>2303</v>
      </c>
      <c r="H446" s="20" t="n">
        <v>47</v>
      </c>
      <c r="I446" s="13" t="n">
        <v>24</v>
      </c>
      <c r="J446" s="13" t="s">
        <v>3420</v>
      </c>
      <c r="K446" s="13" t="n">
        <v>47</v>
      </c>
      <c r="L446" s="21" t="n">
        <v>7.55</v>
      </c>
      <c r="M446" s="21" t="n">
        <f aca="false">IF(C446="covered",10.4,7.55)</f>
        <v>7.55</v>
      </c>
      <c r="N446" s="13" t="n">
        <f aca="false">MAX(ROUNDUP(H446,0),I446)</f>
        <v>47</v>
      </c>
      <c r="O446" s="21" t="n">
        <v>354.85</v>
      </c>
      <c r="P446" s="21" t="n">
        <f aca="false">ROUND(M446*N446,2)</f>
        <v>354.85</v>
      </c>
      <c r="Q446" s="21" t="n">
        <f aca="false">ROUND(P446-IF(O446="",0,O446),2)</f>
        <v>0</v>
      </c>
      <c r="R446" s="14" t="str">
        <f aca="false">IF(J446="","MISSING BILL",IF(AND(K446=N446,ABS(L446-M446)&lt;0.001,ABS(O446-P446)&lt;0.01),"RECONCILED","CALCULATION ERROR"))</f>
        <v>RECONCILED</v>
      </c>
      <c r="S446" s="14" t="s">
        <v>2935</v>
      </c>
    </row>
    <row r="447" customFormat="false" ht="15" hidden="true" customHeight="false" outlineLevel="0" collapsed="false">
      <c r="A447" s="13" t="s">
        <v>3421</v>
      </c>
      <c r="B447" s="13" t="s">
        <v>106</v>
      </c>
      <c r="C447" s="13" t="s">
        <v>1872</v>
      </c>
      <c r="D447" s="13" t="s">
        <v>1873</v>
      </c>
      <c r="E447" s="13" t="s">
        <v>3422</v>
      </c>
      <c r="F447" s="14" t="s">
        <v>3423</v>
      </c>
      <c r="G447" s="14" t="s">
        <v>3424</v>
      </c>
      <c r="H447" s="20" t="n">
        <v>53</v>
      </c>
      <c r="I447" s="13" t="n">
        <v>45</v>
      </c>
      <c r="J447" s="13" t="s">
        <v>3425</v>
      </c>
      <c r="K447" s="13" t="n">
        <v>53</v>
      </c>
      <c r="L447" s="21" t="n">
        <v>7.55</v>
      </c>
      <c r="M447" s="21" t="n">
        <f aca="false">IF(C447="covered",10.4,7.55)</f>
        <v>7.55</v>
      </c>
      <c r="N447" s="13" t="n">
        <f aca="false">MAX(ROUNDUP(H447,0),I447)</f>
        <v>53</v>
      </c>
      <c r="O447" s="21" t="n">
        <v>400.15</v>
      </c>
      <c r="P447" s="21" t="n">
        <f aca="false">ROUND(M447*N447,2)</f>
        <v>400.15</v>
      </c>
      <c r="Q447" s="21" t="n">
        <f aca="false">ROUND(P447-IF(O447="",0,O447),2)</f>
        <v>0</v>
      </c>
      <c r="R447" s="14" t="str">
        <f aca="false">IF(J447="","MISSING BILL",IF(AND(K447=N447,ABS(L447-M447)&lt;0.001,ABS(O447-P447)&lt;0.01),"RECONCILED","CALCULATION ERROR"))</f>
        <v>RECONCILED</v>
      </c>
      <c r="S447" s="14" t="s">
        <v>2935</v>
      </c>
    </row>
    <row r="448" customFormat="false" ht="15" hidden="true" customHeight="false" outlineLevel="0" collapsed="false">
      <c r="A448" s="13" t="s">
        <v>3426</v>
      </c>
      <c r="B448" s="13" t="s">
        <v>106</v>
      </c>
      <c r="C448" s="13" t="s">
        <v>1872</v>
      </c>
      <c r="D448" s="13" t="s">
        <v>1873</v>
      </c>
      <c r="E448" s="13" t="s">
        <v>3427</v>
      </c>
      <c r="F448" s="14" t="s">
        <v>3428</v>
      </c>
      <c r="G448" s="14" t="s">
        <v>2393</v>
      </c>
      <c r="H448" s="20" t="n">
        <v>23.5</v>
      </c>
      <c r="I448" s="13" t="n">
        <v>45</v>
      </c>
      <c r="J448" s="13" t="s">
        <v>3429</v>
      </c>
      <c r="K448" s="13" t="n">
        <v>45</v>
      </c>
      <c r="L448" s="21" t="n">
        <v>7.55</v>
      </c>
      <c r="M448" s="21" t="n">
        <f aca="false">IF(C448="covered",10.4,7.55)</f>
        <v>7.55</v>
      </c>
      <c r="N448" s="13" t="n">
        <f aca="false">MAX(ROUNDUP(H448,0),I448)</f>
        <v>45</v>
      </c>
      <c r="O448" s="21" t="n">
        <v>339.75</v>
      </c>
      <c r="P448" s="21" t="n">
        <f aca="false">ROUND(M448*N448,2)</f>
        <v>339.75</v>
      </c>
      <c r="Q448" s="21" t="n">
        <f aca="false">ROUND(P448-IF(O448="",0,O448),2)</f>
        <v>0</v>
      </c>
      <c r="R448" s="14" t="str">
        <f aca="false">IF(J448="","MISSING BILL",IF(AND(K448=N448,ABS(L448-M448)&lt;0.001,ABS(O448-P448)&lt;0.01),"RECONCILED","CALCULATION ERROR"))</f>
        <v>RECONCILED</v>
      </c>
      <c r="S448" s="14" t="s">
        <v>2935</v>
      </c>
    </row>
    <row r="449" customFormat="false" ht="15" hidden="true" customHeight="false" outlineLevel="0" collapsed="false">
      <c r="A449" s="13" t="s">
        <v>3430</v>
      </c>
      <c r="B449" s="13" t="s">
        <v>106</v>
      </c>
      <c r="C449" s="13" t="s">
        <v>1872</v>
      </c>
      <c r="D449" s="13" t="s">
        <v>1873</v>
      </c>
      <c r="E449" s="13" t="s">
        <v>3431</v>
      </c>
      <c r="F449" s="14" t="s">
        <v>3432</v>
      </c>
      <c r="G449" s="14" t="s">
        <v>3433</v>
      </c>
      <c r="H449" s="20" t="n">
        <v>42.6</v>
      </c>
      <c r="I449" s="13" t="n">
        <v>36</v>
      </c>
      <c r="J449" s="13" t="s">
        <v>3434</v>
      </c>
      <c r="K449" s="13" t="n">
        <v>43</v>
      </c>
      <c r="L449" s="21" t="n">
        <v>7.55</v>
      </c>
      <c r="M449" s="21" t="n">
        <f aca="false">IF(C449="covered",10.4,7.55)</f>
        <v>7.55</v>
      </c>
      <c r="N449" s="13" t="n">
        <f aca="false">MAX(ROUNDUP(H449,0),I449)</f>
        <v>43</v>
      </c>
      <c r="O449" s="21" t="n">
        <v>324.65</v>
      </c>
      <c r="P449" s="21" t="n">
        <f aca="false">ROUND(M449*N449,2)</f>
        <v>324.65</v>
      </c>
      <c r="Q449" s="21" t="n">
        <f aca="false">ROUND(P449-IF(O449="",0,O449),2)</f>
        <v>0</v>
      </c>
      <c r="R449" s="14" t="str">
        <f aca="false">IF(J449="","MISSING BILL",IF(AND(K449=N449,ABS(L449-M449)&lt;0.001,ABS(O449-P449)&lt;0.01),"RECONCILED","CALCULATION ERROR"))</f>
        <v>RECONCILED</v>
      </c>
      <c r="S449" s="14" t="s">
        <v>2935</v>
      </c>
    </row>
    <row r="450" customFormat="false" ht="15" hidden="true" customHeight="false" outlineLevel="0" collapsed="false">
      <c r="A450" s="13" t="s">
        <v>3435</v>
      </c>
      <c r="B450" s="13" t="s">
        <v>106</v>
      </c>
      <c r="C450" s="13" t="s">
        <v>1872</v>
      </c>
      <c r="D450" s="13" t="s">
        <v>1873</v>
      </c>
      <c r="E450" s="13" t="s">
        <v>3436</v>
      </c>
      <c r="F450" s="14" t="s">
        <v>3437</v>
      </c>
      <c r="G450" s="14" t="s">
        <v>2794</v>
      </c>
      <c r="H450" s="20" t="n">
        <v>27</v>
      </c>
      <c r="I450" s="13" t="n">
        <v>70</v>
      </c>
      <c r="J450" s="13" t="s">
        <v>3438</v>
      </c>
      <c r="K450" s="13" t="n">
        <v>70</v>
      </c>
      <c r="L450" s="21" t="n">
        <v>7.55</v>
      </c>
      <c r="M450" s="21" t="n">
        <f aca="false">IF(C450="covered",10.4,7.55)</f>
        <v>7.55</v>
      </c>
      <c r="N450" s="13" t="n">
        <f aca="false">MAX(ROUNDUP(H450,0),I450)</f>
        <v>70</v>
      </c>
      <c r="O450" s="21" t="n">
        <v>528.5</v>
      </c>
      <c r="P450" s="21" t="n">
        <f aca="false">ROUND(M450*N450,2)</f>
        <v>528.5</v>
      </c>
      <c r="Q450" s="21" t="n">
        <f aca="false">ROUND(P450-IF(O450="",0,O450),2)</f>
        <v>0</v>
      </c>
      <c r="R450" s="14" t="str">
        <f aca="false">IF(J450="","MISSING BILL",IF(AND(K450=N450,ABS(L450-M450)&lt;0.001,ABS(O450-P450)&lt;0.01),"RECONCILED","CALCULATION ERROR"))</f>
        <v>RECONCILED</v>
      </c>
      <c r="S450" s="14" t="s">
        <v>2935</v>
      </c>
    </row>
    <row r="451" customFormat="false" ht="15" hidden="true" customHeight="false" outlineLevel="0" collapsed="false">
      <c r="A451" s="13" t="s">
        <v>3439</v>
      </c>
      <c r="B451" s="13" t="s">
        <v>106</v>
      </c>
      <c r="C451" s="13" t="s">
        <v>1872</v>
      </c>
      <c r="D451" s="13" t="s">
        <v>1873</v>
      </c>
      <c r="E451" s="13" t="s">
        <v>3440</v>
      </c>
      <c r="F451" s="14" t="s">
        <v>3441</v>
      </c>
      <c r="G451" s="14" t="s">
        <v>1919</v>
      </c>
      <c r="H451" s="20" t="n">
        <v>27.3</v>
      </c>
      <c r="I451" s="13" t="n">
        <v>28</v>
      </c>
      <c r="J451" s="13" t="s">
        <v>3442</v>
      </c>
      <c r="K451" s="13" t="n">
        <v>28</v>
      </c>
      <c r="L451" s="21" t="n">
        <v>7.55</v>
      </c>
      <c r="M451" s="21" t="n">
        <f aca="false">IF(C451="covered",10.4,7.55)</f>
        <v>7.55</v>
      </c>
      <c r="N451" s="13" t="n">
        <f aca="false">MAX(ROUNDUP(H451,0),I451)</f>
        <v>28</v>
      </c>
      <c r="O451" s="21" t="n">
        <v>211.4</v>
      </c>
      <c r="P451" s="21" t="n">
        <f aca="false">ROUND(M451*N451,2)</f>
        <v>211.4</v>
      </c>
      <c r="Q451" s="21" t="n">
        <f aca="false">ROUND(P451-IF(O451="",0,O451),2)</f>
        <v>0</v>
      </c>
      <c r="R451" s="14" t="str">
        <f aca="false">IF(J451="","MISSING BILL",IF(AND(K451=N451,ABS(L451-M451)&lt;0.001,ABS(O451-P451)&lt;0.01),"RECONCILED","CALCULATION ERROR"))</f>
        <v>RECONCILED</v>
      </c>
      <c r="S451" s="14" t="s">
        <v>2935</v>
      </c>
    </row>
    <row r="452" customFormat="false" ht="15" hidden="true" customHeight="false" outlineLevel="0" collapsed="false">
      <c r="A452" s="13" t="s">
        <v>3443</v>
      </c>
      <c r="B452" s="13" t="s">
        <v>106</v>
      </c>
      <c r="C452" s="13" t="s">
        <v>1872</v>
      </c>
      <c r="D452" s="13" t="s">
        <v>1873</v>
      </c>
      <c r="E452" s="13" t="s">
        <v>3444</v>
      </c>
      <c r="F452" s="14" t="s">
        <v>3445</v>
      </c>
      <c r="G452" s="14" t="s">
        <v>2342</v>
      </c>
      <c r="H452" s="20" t="n">
        <v>61.6</v>
      </c>
      <c r="I452" s="13" t="n">
        <v>80</v>
      </c>
      <c r="J452" s="13" t="s">
        <v>3446</v>
      </c>
      <c r="K452" s="13" t="n">
        <v>80</v>
      </c>
      <c r="L452" s="21" t="n">
        <v>7.55</v>
      </c>
      <c r="M452" s="21" t="n">
        <f aca="false">IF(C452="covered",10.4,7.55)</f>
        <v>7.55</v>
      </c>
      <c r="N452" s="13" t="n">
        <f aca="false">MAX(ROUNDUP(H452,0),I452)</f>
        <v>80</v>
      </c>
      <c r="O452" s="21" t="n">
        <v>604</v>
      </c>
      <c r="P452" s="21" t="n">
        <f aca="false">ROUND(M452*N452,2)</f>
        <v>604</v>
      </c>
      <c r="Q452" s="21" t="n">
        <f aca="false">ROUND(P452-IF(O452="",0,O452),2)</f>
        <v>0</v>
      </c>
      <c r="R452" s="14" t="str">
        <f aca="false">IF(J452="","MISSING BILL",IF(AND(K452=N452,ABS(L452-M452)&lt;0.001,ABS(O452-P452)&lt;0.01),"RECONCILED","CALCULATION ERROR"))</f>
        <v>RECONCILED</v>
      </c>
      <c r="S452" s="14" t="s">
        <v>2935</v>
      </c>
    </row>
    <row r="453" customFormat="false" ht="15" hidden="true" customHeight="false" outlineLevel="0" collapsed="false">
      <c r="A453" s="13" t="s">
        <v>3447</v>
      </c>
      <c r="B453" s="13" t="s">
        <v>106</v>
      </c>
      <c r="C453" s="13" t="s">
        <v>1872</v>
      </c>
      <c r="D453" s="13" t="s">
        <v>1873</v>
      </c>
      <c r="E453" s="13" t="s">
        <v>3448</v>
      </c>
      <c r="F453" s="14" t="s">
        <v>3449</v>
      </c>
      <c r="G453" s="14" t="s">
        <v>2396</v>
      </c>
      <c r="H453" s="20" t="n">
        <v>61.8</v>
      </c>
      <c r="I453" s="13" t="n">
        <v>32</v>
      </c>
      <c r="J453" s="13" t="s">
        <v>3450</v>
      </c>
      <c r="K453" s="13" t="n">
        <v>62</v>
      </c>
      <c r="L453" s="21" t="n">
        <v>7.55</v>
      </c>
      <c r="M453" s="21" t="n">
        <f aca="false">IF(C453="covered",10.4,7.55)</f>
        <v>7.55</v>
      </c>
      <c r="N453" s="13" t="n">
        <f aca="false">MAX(ROUNDUP(H453,0),I453)</f>
        <v>62</v>
      </c>
      <c r="O453" s="21" t="n">
        <v>468.1</v>
      </c>
      <c r="P453" s="21" t="n">
        <f aca="false">ROUND(M453*N453,2)</f>
        <v>468.1</v>
      </c>
      <c r="Q453" s="21" t="n">
        <f aca="false">ROUND(P453-IF(O453="",0,O453),2)</f>
        <v>0</v>
      </c>
      <c r="R453" s="14" t="str">
        <f aca="false">IF(J453="","MISSING BILL",IF(AND(K453=N453,ABS(L453-M453)&lt;0.001,ABS(O453-P453)&lt;0.01),"RECONCILED","CALCULATION ERROR"))</f>
        <v>RECONCILED</v>
      </c>
      <c r="S453" s="14" t="s">
        <v>2935</v>
      </c>
    </row>
    <row r="454" customFormat="false" ht="15" hidden="true" customHeight="false" outlineLevel="0" collapsed="false">
      <c r="A454" s="13" t="s">
        <v>679</v>
      </c>
      <c r="B454" s="13" t="s">
        <v>106</v>
      </c>
      <c r="C454" s="13" t="s">
        <v>1872</v>
      </c>
      <c r="D454" s="13" t="s">
        <v>1873</v>
      </c>
      <c r="E454" s="13" t="s">
        <v>3451</v>
      </c>
      <c r="F454" s="14" t="s">
        <v>3452</v>
      </c>
      <c r="G454" s="14" t="s">
        <v>1995</v>
      </c>
      <c r="H454" s="20" t="n">
        <v>47.3</v>
      </c>
      <c r="I454" s="13" t="n">
        <v>60</v>
      </c>
      <c r="J454" s="13" t="s">
        <v>3453</v>
      </c>
      <c r="K454" s="13" t="n">
        <v>60</v>
      </c>
      <c r="L454" s="21" t="n">
        <v>7.55</v>
      </c>
      <c r="M454" s="21" t="n">
        <f aca="false">IF(C454="covered",10.4,7.55)</f>
        <v>7.55</v>
      </c>
      <c r="N454" s="13" t="n">
        <f aca="false">MAX(ROUNDUP(H454,0),I454)</f>
        <v>60</v>
      </c>
      <c r="O454" s="21" t="n">
        <v>453</v>
      </c>
      <c r="P454" s="21" t="n">
        <f aca="false">ROUND(M454*N454,2)</f>
        <v>453</v>
      </c>
      <c r="Q454" s="21" t="n">
        <f aca="false">ROUND(P454-IF(O454="",0,O454),2)</f>
        <v>0</v>
      </c>
      <c r="R454" s="14" t="str">
        <f aca="false">IF(J454="","MISSING BILL",IF(AND(K454=N454,ABS(L454-M454)&lt;0.001,ABS(O454-P454)&lt;0.01),"RECONCILED","CALCULATION ERROR"))</f>
        <v>RECONCILED</v>
      </c>
      <c r="S454" s="14" t="s">
        <v>2935</v>
      </c>
    </row>
    <row r="455" customFormat="false" ht="15" hidden="true" customHeight="false" outlineLevel="0" collapsed="false">
      <c r="A455" s="13" t="s">
        <v>3454</v>
      </c>
      <c r="B455" s="13" t="s">
        <v>106</v>
      </c>
      <c r="C455" s="13" t="s">
        <v>1872</v>
      </c>
      <c r="D455" s="13" t="s">
        <v>1873</v>
      </c>
      <c r="E455" s="13" t="s">
        <v>3455</v>
      </c>
      <c r="F455" s="14" t="s">
        <v>3456</v>
      </c>
      <c r="G455" s="14" t="s">
        <v>1900</v>
      </c>
      <c r="H455" s="20" t="n">
        <v>24</v>
      </c>
      <c r="I455" s="13" t="n">
        <v>45</v>
      </c>
      <c r="J455" s="13" t="s">
        <v>3457</v>
      </c>
      <c r="K455" s="13" t="n">
        <v>45</v>
      </c>
      <c r="L455" s="21" t="n">
        <v>7.55</v>
      </c>
      <c r="M455" s="21" t="n">
        <f aca="false">IF(C455="covered",10.4,7.55)</f>
        <v>7.55</v>
      </c>
      <c r="N455" s="13" t="n">
        <f aca="false">MAX(ROUNDUP(H455,0),I455)</f>
        <v>45</v>
      </c>
      <c r="O455" s="21" t="n">
        <v>339.75</v>
      </c>
      <c r="P455" s="21" t="n">
        <f aca="false">ROUND(M455*N455,2)</f>
        <v>339.75</v>
      </c>
      <c r="Q455" s="21" t="n">
        <f aca="false">ROUND(P455-IF(O455="",0,O455),2)</f>
        <v>0</v>
      </c>
      <c r="R455" s="14" t="str">
        <f aca="false">IF(J455="","MISSING BILL",IF(AND(K455=N455,ABS(L455-M455)&lt;0.001,ABS(O455-P455)&lt;0.01),"RECONCILED","CALCULATION ERROR"))</f>
        <v>RECONCILED</v>
      </c>
      <c r="S455" s="14" t="s">
        <v>2935</v>
      </c>
    </row>
    <row r="456" customFormat="false" ht="15" hidden="true" customHeight="false" outlineLevel="0" collapsed="false">
      <c r="A456" s="13" t="s">
        <v>3458</v>
      </c>
      <c r="B456" s="13" t="s">
        <v>106</v>
      </c>
      <c r="C456" s="13" t="s">
        <v>1872</v>
      </c>
      <c r="D456" s="13" t="s">
        <v>1873</v>
      </c>
      <c r="E456" s="13" t="s">
        <v>3459</v>
      </c>
      <c r="F456" s="14" t="s">
        <v>3460</v>
      </c>
      <c r="G456" s="14" t="s">
        <v>1990</v>
      </c>
      <c r="H456" s="20" t="n">
        <v>51.2</v>
      </c>
      <c r="I456" s="13" t="n">
        <v>32</v>
      </c>
      <c r="J456" s="13" t="s">
        <v>3461</v>
      </c>
      <c r="K456" s="13" t="n">
        <v>52</v>
      </c>
      <c r="L456" s="21" t="n">
        <v>7.55</v>
      </c>
      <c r="M456" s="21" t="n">
        <f aca="false">IF(C456="covered",10.4,7.55)</f>
        <v>7.55</v>
      </c>
      <c r="N456" s="13" t="n">
        <f aca="false">MAX(ROUNDUP(H456,0),I456)</f>
        <v>52</v>
      </c>
      <c r="O456" s="21" t="n">
        <v>392.6</v>
      </c>
      <c r="P456" s="21" t="n">
        <f aca="false">ROUND(M456*N456,2)</f>
        <v>392.6</v>
      </c>
      <c r="Q456" s="21" t="n">
        <f aca="false">ROUND(P456-IF(O456="",0,O456),2)</f>
        <v>0</v>
      </c>
      <c r="R456" s="14" t="str">
        <f aca="false">IF(J456="","MISSING BILL",IF(AND(K456=N456,ABS(L456-M456)&lt;0.001,ABS(O456-P456)&lt;0.01),"RECONCILED","CALCULATION ERROR"))</f>
        <v>RECONCILED</v>
      </c>
      <c r="S456" s="14" t="s">
        <v>2935</v>
      </c>
    </row>
    <row r="457" customFormat="false" ht="15" hidden="true" customHeight="false" outlineLevel="0" collapsed="false">
      <c r="A457" s="13" t="s">
        <v>3462</v>
      </c>
      <c r="B457" s="13" t="s">
        <v>106</v>
      </c>
      <c r="C457" s="13" t="s">
        <v>1872</v>
      </c>
      <c r="D457" s="13" t="s">
        <v>1873</v>
      </c>
      <c r="E457" s="13" t="s">
        <v>3463</v>
      </c>
      <c r="F457" s="14" t="s">
        <v>3464</v>
      </c>
      <c r="G457" s="14" t="s">
        <v>2921</v>
      </c>
      <c r="H457" s="20" t="n">
        <v>44.2</v>
      </c>
      <c r="I457" s="13" t="n">
        <v>32</v>
      </c>
      <c r="J457" s="13" t="s">
        <v>3465</v>
      </c>
      <c r="K457" s="13" t="n">
        <v>45</v>
      </c>
      <c r="L457" s="21" t="n">
        <v>7.55</v>
      </c>
      <c r="M457" s="21" t="n">
        <f aca="false">IF(C457="covered",10.4,7.55)</f>
        <v>7.55</v>
      </c>
      <c r="N457" s="13" t="n">
        <f aca="false">MAX(ROUNDUP(H457,0),I457)</f>
        <v>45</v>
      </c>
      <c r="O457" s="21" t="n">
        <v>339.75</v>
      </c>
      <c r="P457" s="21" t="n">
        <f aca="false">ROUND(M457*N457,2)</f>
        <v>339.75</v>
      </c>
      <c r="Q457" s="21" t="n">
        <f aca="false">ROUND(P457-IF(O457="",0,O457),2)</f>
        <v>0</v>
      </c>
      <c r="R457" s="14" t="str">
        <f aca="false">IF(J457="","MISSING BILL",IF(AND(K457=N457,ABS(L457-M457)&lt;0.001,ABS(O457-P457)&lt;0.01),"RECONCILED","CALCULATION ERROR"))</f>
        <v>RECONCILED</v>
      </c>
      <c r="S457" s="14" t="s">
        <v>2935</v>
      </c>
    </row>
    <row r="458" customFormat="false" ht="15" hidden="true" customHeight="false" outlineLevel="0" collapsed="false">
      <c r="A458" s="13" t="s">
        <v>3466</v>
      </c>
      <c r="B458" s="13" t="s">
        <v>106</v>
      </c>
      <c r="C458" s="13" t="s">
        <v>1872</v>
      </c>
      <c r="D458" s="13" t="s">
        <v>1873</v>
      </c>
      <c r="E458" s="13" t="s">
        <v>3467</v>
      </c>
      <c r="F458" s="14" t="s">
        <v>3468</v>
      </c>
      <c r="G458" s="14" t="s">
        <v>2123</v>
      </c>
      <c r="H458" s="20" t="n">
        <v>50.3</v>
      </c>
      <c r="I458" s="13" t="n">
        <v>40</v>
      </c>
      <c r="J458" s="13" t="s">
        <v>3469</v>
      </c>
      <c r="K458" s="13" t="n">
        <v>51</v>
      </c>
      <c r="L458" s="21" t="n">
        <v>7.55</v>
      </c>
      <c r="M458" s="21" t="n">
        <f aca="false">IF(C458="covered",10.4,7.55)</f>
        <v>7.55</v>
      </c>
      <c r="N458" s="13" t="n">
        <f aca="false">MAX(ROUNDUP(H458,0),I458)</f>
        <v>51</v>
      </c>
      <c r="O458" s="21" t="n">
        <v>385.05</v>
      </c>
      <c r="P458" s="21" t="n">
        <f aca="false">ROUND(M458*N458,2)</f>
        <v>385.05</v>
      </c>
      <c r="Q458" s="21" t="n">
        <f aca="false">ROUND(P458-IF(O458="",0,O458),2)</f>
        <v>0</v>
      </c>
      <c r="R458" s="14" t="str">
        <f aca="false">IF(J458="","MISSING BILL",IF(AND(K458=N458,ABS(L458-M458)&lt;0.001,ABS(O458-P458)&lt;0.01),"RECONCILED","CALCULATION ERROR"))</f>
        <v>RECONCILED</v>
      </c>
      <c r="S458" s="14" t="s">
        <v>2935</v>
      </c>
    </row>
    <row r="459" customFormat="false" ht="15" hidden="true" customHeight="false" outlineLevel="0" collapsed="false">
      <c r="A459" s="13" t="s">
        <v>3470</v>
      </c>
      <c r="B459" s="13" t="s">
        <v>106</v>
      </c>
      <c r="C459" s="13" t="s">
        <v>1872</v>
      </c>
      <c r="D459" s="13" t="s">
        <v>1873</v>
      </c>
      <c r="E459" s="13" t="s">
        <v>3471</v>
      </c>
      <c r="F459" s="14" t="s">
        <v>3472</v>
      </c>
      <c r="G459" s="14" t="s">
        <v>2029</v>
      </c>
      <c r="H459" s="20" t="n">
        <v>42.5</v>
      </c>
      <c r="I459" s="13" t="n">
        <v>36</v>
      </c>
      <c r="J459" s="13" t="s">
        <v>3473</v>
      </c>
      <c r="K459" s="13" t="n">
        <v>43</v>
      </c>
      <c r="L459" s="21" t="n">
        <v>7.55</v>
      </c>
      <c r="M459" s="21" t="n">
        <f aca="false">IF(C459="covered",10.4,7.55)</f>
        <v>7.55</v>
      </c>
      <c r="N459" s="13" t="n">
        <f aca="false">MAX(ROUNDUP(H459,0),I459)</f>
        <v>43</v>
      </c>
      <c r="O459" s="21" t="n">
        <v>324.65</v>
      </c>
      <c r="P459" s="21" t="n">
        <f aca="false">ROUND(M459*N459,2)</f>
        <v>324.65</v>
      </c>
      <c r="Q459" s="21" t="n">
        <f aca="false">ROUND(P459-IF(O459="",0,O459),2)</f>
        <v>0</v>
      </c>
      <c r="R459" s="14" t="str">
        <f aca="false">IF(J459="","MISSING BILL",IF(AND(K459=N459,ABS(L459-M459)&lt;0.001,ABS(O459-P459)&lt;0.01),"RECONCILED","CALCULATION ERROR"))</f>
        <v>RECONCILED</v>
      </c>
      <c r="S459" s="14" t="s">
        <v>2935</v>
      </c>
    </row>
    <row r="460" customFormat="false" ht="15" hidden="true" customHeight="false" outlineLevel="0" collapsed="false">
      <c r="A460" s="13" t="s">
        <v>637</v>
      </c>
      <c r="B460" s="13" t="s">
        <v>106</v>
      </c>
      <c r="C460" s="13" t="s">
        <v>1872</v>
      </c>
      <c r="D460" s="13" t="s">
        <v>1873</v>
      </c>
      <c r="E460" s="13" t="s">
        <v>3474</v>
      </c>
      <c r="F460" s="14" t="s">
        <v>3475</v>
      </c>
      <c r="G460" s="14" t="s">
        <v>3476</v>
      </c>
      <c r="H460" s="20" t="n">
        <v>44.2</v>
      </c>
      <c r="I460" s="13" t="n">
        <v>50</v>
      </c>
      <c r="J460" s="13" t="s">
        <v>3477</v>
      </c>
      <c r="K460" s="13" t="n">
        <v>50</v>
      </c>
      <c r="L460" s="21" t="n">
        <v>7.55</v>
      </c>
      <c r="M460" s="21" t="n">
        <f aca="false">IF(C460="covered",10.4,7.55)</f>
        <v>7.55</v>
      </c>
      <c r="N460" s="13" t="n">
        <f aca="false">MAX(ROUNDUP(H460,0),I460)</f>
        <v>50</v>
      </c>
      <c r="O460" s="21" t="n">
        <v>377.5</v>
      </c>
      <c r="P460" s="21" t="n">
        <f aca="false">ROUND(M460*N460,2)</f>
        <v>377.5</v>
      </c>
      <c r="Q460" s="21" t="n">
        <f aca="false">ROUND(P460-IF(O460="",0,O460),2)</f>
        <v>0</v>
      </c>
      <c r="R460" s="14" t="str">
        <f aca="false">IF(J460="","MISSING BILL",IF(AND(K460=N460,ABS(L460-M460)&lt;0.001,ABS(O460-P460)&lt;0.01),"RECONCILED","CALCULATION ERROR"))</f>
        <v>RECONCILED</v>
      </c>
      <c r="S460" s="14" t="s">
        <v>2935</v>
      </c>
    </row>
    <row r="461" customFormat="false" ht="15" hidden="true" customHeight="false" outlineLevel="0" collapsed="false">
      <c r="A461" s="13" t="s">
        <v>726</v>
      </c>
      <c r="B461" s="13" t="s">
        <v>106</v>
      </c>
      <c r="C461" s="13" t="s">
        <v>1872</v>
      </c>
      <c r="D461" s="13" t="s">
        <v>1873</v>
      </c>
      <c r="E461" s="13" t="s">
        <v>1695</v>
      </c>
      <c r="F461" s="14" t="s">
        <v>1696</v>
      </c>
      <c r="G461" s="14" t="s">
        <v>3478</v>
      </c>
      <c r="H461" s="20" t="n">
        <v>23.6</v>
      </c>
      <c r="I461" s="13" t="n">
        <v>28</v>
      </c>
      <c r="J461" s="13" t="s">
        <v>3479</v>
      </c>
      <c r="K461" s="13" t="n">
        <v>28</v>
      </c>
      <c r="L461" s="21" t="n">
        <v>7.55</v>
      </c>
      <c r="M461" s="21" t="n">
        <f aca="false">IF(C461="covered",10.4,7.55)</f>
        <v>7.55</v>
      </c>
      <c r="N461" s="13" t="n">
        <f aca="false">MAX(ROUNDUP(H461,0),I461)</f>
        <v>28</v>
      </c>
      <c r="O461" s="21" t="n">
        <v>211.4</v>
      </c>
      <c r="P461" s="21" t="n">
        <f aca="false">ROUND(M461*N461,2)</f>
        <v>211.4</v>
      </c>
      <c r="Q461" s="21" t="n">
        <f aca="false">ROUND(P461-IF(O461="",0,O461),2)</f>
        <v>0</v>
      </c>
      <c r="R461" s="14" t="str">
        <f aca="false">IF(J461="","MISSING BILL",IF(AND(K461=N461,ABS(L461-M461)&lt;0.001,ABS(O461-P461)&lt;0.01),"RECONCILED","CALCULATION ERROR"))</f>
        <v>RECONCILED</v>
      </c>
      <c r="S461" s="14" t="s">
        <v>2935</v>
      </c>
    </row>
    <row r="462" customFormat="false" ht="15" hidden="true" customHeight="false" outlineLevel="0" collapsed="false">
      <c r="A462" s="13" t="s">
        <v>3480</v>
      </c>
      <c r="B462" s="13" t="s">
        <v>106</v>
      </c>
      <c r="C462" s="13" t="s">
        <v>1872</v>
      </c>
      <c r="D462" s="13" t="s">
        <v>1873</v>
      </c>
      <c r="E462" s="13" t="s">
        <v>3481</v>
      </c>
      <c r="F462" s="14" t="s">
        <v>3482</v>
      </c>
      <c r="G462" s="14" t="s">
        <v>3483</v>
      </c>
      <c r="H462" s="20" t="n">
        <v>27.6</v>
      </c>
      <c r="I462" s="13" t="n">
        <v>24</v>
      </c>
      <c r="J462" s="13" t="s">
        <v>3484</v>
      </c>
      <c r="K462" s="13" t="n">
        <v>28</v>
      </c>
      <c r="L462" s="21" t="n">
        <v>7.55</v>
      </c>
      <c r="M462" s="21" t="n">
        <f aca="false">IF(C462="covered",10.4,7.55)</f>
        <v>7.55</v>
      </c>
      <c r="N462" s="13" t="n">
        <f aca="false">MAX(ROUNDUP(H462,0),I462)</f>
        <v>28</v>
      </c>
      <c r="O462" s="21" t="n">
        <v>211.4</v>
      </c>
      <c r="P462" s="21" t="n">
        <f aca="false">ROUND(M462*N462,2)</f>
        <v>211.4</v>
      </c>
      <c r="Q462" s="21" t="n">
        <f aca="false">ROUND(P462-IF(O462="",0,O462),2)</f>
        <v>0</v>
      </c>
      <c r="R462" s="14" t="str">
        <f aca="false">IF(J462="","MISSING BILL",IF(AND(K462=N462,ABS(L462-M462)&lt;0.001,ABS(O462-P462)&lt;0.01),"RECONCILED","CALCULATION ERROR"))</f>
        <v>RECONCILED</v>
      </c>
      <c r="S462" s="14" t="s">
        <v>2935</v>
      </c>
    </row>
    <row r="463" customFormat="false" ht="15" hidden="true" customHeight="false" outlineLevel="0" collapsed="false">
      <c r="A463" s="13" t="s">
        <v>3485</v>
      </c>
      <c r="B463" s="13" t="s">
        <v>106</v>
      </c>
      <c r="C463" s="13" t="s">
        <v>1872</v>
      </c>
      <c r="D463" s="13" t="s">
        <v>1873</v>
      </c>
      <c r="E463" s="13" t="s">
        <v>3486</v>
      </c>
      <c r="F463" s="14" t="s">
        <v>3487</v>
      </c>
      <c r="G463" s="14" t="s">
        <v>3488</v>
      </c>
      <c r="H463" s="20" t="n">
        <v>50.6</v>
      </c>
      <c r="I463" s="13" t="n">
        <v>32</v>
      </c>
      <c r="J463" s="13" t="s">
        <v>3489</v>
      </c>
      <c r="K463" s="13" t="n">
        <v>51</v>
      </c>
      <c r="L463" s="21" t="n">
        <v>7.55</v>
      </c>
      <c r="M463" s="21" t="n">
        <f aca="false">IF(C463="covered",10.4,7.55)</f>
        <v>7.55</v>
      </c>
      <c r="N463" s="13" t="n">
        <f aca="false">MAX(ROUNDUP(H463,0),I463)</f>
        <v>51</v>
      </c>
      <c r="O463" s="21" t="n">
        <v>385.05</v>
      </c>
      <c r="P463" s="21" t="n">
        <f aca="false">ROUND(M463*N463,2)</f>
        <v>385.05</v>
      </c>
      <c r="Q463" s="21" t="n">
        <f aca="false">ROUND(P463-IF(O463="",0,O463),2)</f>
        <v>0</v>
      </c>
      <c r="R463" s="14" t="str">
        <f aca="false">IF(J463="","MISSING BILL",IF(AND(K463=N463,ABS(L463-M463)&lt;0.001,ABS(O463-P463)&lt;0.01),"RECONCILED","CALCULATION ERROR"))</f>
        <v>RECONCILED</v>
      </c>
      <c r="S463" s="14" t="s">
        <v>2935</v>
      </c>
    </row>
    <row r="464" customFormat="false" ht="15" hidden="true" customHeight="false" outlineLevel="0" collapsed="false">
      <c r="A464" s="13" t="s">
        <v>3490</v>
      </c>
      <c r="B464" s="13" t="s">
        <v>106</v>
      </c>
      <c r="C464" s="13" t="s">
        <v>1872</v>
      </c>
      <c r="D464" s="13" t="s">
        <v>1873</v>
      </c>
      <c r="E464" s="13" t="s">
        <v>3491</v>
      </c>
      <c r="F464" s="14" t="s">
        <v>3492</v>
      </c>
      <c r="G464" s="14" t="s">
        <v>2197</v>
      </c>
      <c r="H464" s="20" t="n">
        <v>32.3</v>
      </c>
      <c r="I464" s="13" t="n">
        <v>32</v>
      </c>
      <c r="J464" s="13" t="s">
        <v>3493</v>
      </c>
      <c r="K464" s="13" t="n">
        <v>33</v>
      </c>
      <c r="L464" s="21" t="n">
        <v>7.55</v>
      </c>
      <c r="M464" s="21" t="n">
        <f aca="false">IF(C464="covered",10.4,7.55)</f>
        <v>7.55</v>
      </c>
      <c r="N464" s="13" t="n">
        <f aca="false">MAX(ROUNDUP(H464,0),I464)</f>
        <v>33</v>
      </c>
      <c r="O464" s="21" t="n">
        <v>249.15</v>
      </c>
      <c r="P464" s="21" t="n">
        <f aca="false">ROUND(M464*N464,2)</f>
        <v>249.15</v>
      </c>
      <c r="Q464" s="21" t="n">
        <f aca="false">ROUND(P464-IF(O464="",0,O464),2)</f>
        <v>0</v>
      </c>
      <c r="R464" s="14" t="str">
        <f aca="false">IF(J464="","MISSING BILL",IF(AND(K464=N464,ABS(L464-M464)&lt;0.001,ABS(O464-P464)&lt;0.01),"RECONCILED","CALCULATION ERROR"))</f>
        <v>RECONCILED</v>
      </c>
      <c r="S464" s="14" t="s">
        <v>2935</v>
      </c>
    </row>
    <row r="465" customFormat="false" ht="15" hidden="true" customHeight="false" outlineLevel="0" collapsed="false">
      <c r="A465" s="13" t="s">
        <v>3494</v>
      </c>
      <c r="B465" s="13" t="s">
        <v>106</v>
      </c>
      <c r="C465" s="13" t="s">
        <v>1872</v>
      </c>
      <c r="D465" s="13" t="s">
        <v>1873</v>
      </c>
      <c r="E465" s="13" t="s">
        <v>3495</v>
      </c>
      <c r="F465" s="14" t="s">
        <v>3496</v>
      </c>
      <c r="G465" s="14" t="s">
        <v>3497</v>
      </c>
      <c r="H465" s="20" t="n">
        <v>59.1</v>
      </c>
      <c r="I465" s="13" t="n">
        <v>50</v>
      </c>
      <c r="J465" s="13" t="s">
        <v>3498</v>
      </c>
      <c r="K465" s="13" t="n">
        <v>60</v>
      </c>
      <c r="L465" s="21" t="n">
        <v>7.55</v>
      </c>
      <c r="M465" s="21" t="n">
        <f aca="false">IF(C465="covered",10.4,7.55)</f>
        <v>7.55</v>
      </c>
      <c r="N465" s="13" t="n">
        <f aca="false">MAX(ROUNDUP(H465,0),I465)</f>
        <v>60</v>
      </c>
      <c r="O465" s="21" t="n">
        <v>453</v>
      </c>
      <c r="P465" s="21" t="n">
        <f aca="false">ROUND(M465*N465,2)</f>
        <v>453</v>
      </c>
      <c r="Q465" s="21" t="n">
        <f aca="false">ROUND(P465-IF(O465="",0,O465),2)</f>
        <v>0</v>
      </c>
      <c r="R465" s="14" t="str">
        <f aca="false">IF(J465="","MISSING BILL",IF(AND(K465=N465,ABS(L465-M465)&lt;0.001,ABS(O465-P465)&lt;0.01),"RECONCILED","CALCULATION ERROR"))</f>
        <v>RECONCILED</v>
      </c>
      <c r="S465" s="14" t="s">
        <v>2935</v>
      </c>
    </row>
    <row r="466" customFormat="false" ht="15" hidden="true" customHeight="false" outlineLevel="0" collapsed="false">
      <c r="A466" s="13" t="s">
        <v>3499</v>
      </c>
      <c r="B466" s="13" t="s">
        <v>106</v>
      </c>
      <c r="C466" s="13" t="s">
        <v>1872</v>
      </c>
      <c r="D466" s="13" t="s">
        <v>1873</v>
      </c>
      <c r="E466" s="13" t="s">
        <v>3500</v>
      </c>
      <c r="F466" s="14" t="s">
        <v>3501</v>
      </c>
      <c r="G466" s="14" t="s">
        <v>1999</v>
      </c>
      <c r="H466" s="20" t="n">
        <v>49.1</v>
      </c>
      <c r="I466" s="13" t="n">
        <v>45</v>
      </c>
      <c r="J466" s="13" t="s">
        <v>3502</v>
      </c>
      <c r="K466" s="13" t="n">
        <v>50</v>
      </c>
      <c r="L466" s="21" t="n">
        <v>7.55</v>
      </c>
      <c r="M466" s="21" t="n">
        <f aca="false">IF(C466="covered",10.4,7.55)</f>
        <v>7.55</v>
      </c>
      <c r="N466" s="13" t="n">
        <f aca="false">MAX(ROUNDUP(H466,0),I466)</f>
        <v>50</v>
      </c>
      <c r="O466" s="21" t="n">
        <v>377.5</v>
      </c>
      <c r="P466" s="21" t="n">
        <f aca="false">ROUND(M466*N466,2)</f>
        <v>377.5</v>
      </c>
      <c r="Q466" s="21" t="n">
        <f aca="false">ROUND(P466-IF(O466="",0,O466),2)</f>
        <v>0</v>
      </c>
      <c r="R466" s="14" t="str">
        <f aca="false">IF(J466="","MISSING BILL",IF(AND(K466=N466,ABS(L466-M466)&lt;0.001,ABS(O466-P466)&lt;0.01),"RECONCILED","CALCULATION ERROR"))</f>
        <v>RECONCILED</v>
      </c>
      <c r="S466" s="14" t="s">
        <v>2935</v>
      </c>
    </row>
    <row r="467" customFormat="false" ht="15" hidden="true" customHeight="false" outlineLevel="0" collapsed="false">
      <c r="A467" s="13" t="s">
        <v>1380</v>
      </c>
      <c r="B467" s="13" t="s">
        <v>106</v>
      </c>
      <c r="C467" s="13" t="s">
        <v>1872</v>
      </c>
      <c r="D467" s="13" t="s">
        <v>1873</v>
      </c>
      <c r="E467" s="13" t="s">
        <v>3503</v>
      </c>
      <c r="F467" s="14" t="s">
        <v>3504</v>
      </c>
      <c r="G467" s="14" t="s">
        <v>1956</v>
      </c>
      <c r="H467" s="20" t="n">
        <v>21.9</v>
      </c>
      <c r="I467" s="13" t="n">
        <v>28</v>
      </c>
      <c r="J467" s="13" t="s">
        <v>3505</v>
      </c>
      <c r="K467" s="13" t="n">
        <v>28</v>
      </c>
      <c r="L467" s="21" t="n">
        <v>7.55</v>
      </c>
      <c r="M467" s="21" t="n">
        <f aca="false">IF(C467="covered",10.4,7.55)</f>
        <v>7.55</v>
      </c>
      <c r="N467" s="13" t="n">
        <f aca="false">MAX(ROUNDUP(H467,0),I467)</f>
        <v>28</v>
      </c>
      <c r="O467" s="21" t="n">
        <v>211.4</v>
      </c>
      <c r="P467" s="21" t="n">
        <f aca="false">ROUND(M467*N467,2)</f>
        <v>211.4</v>
      </c>
      <c r="Q467" s="21" t="n">
        <f aca="false">ROUND(P467-IF(O467="",0,O467),2)</f>
        <v>0</v>
      </c>
      <c r="R467" s="14" t="str">
        <f aca="false">IF(J467="","MISSING BILL",IF(AND(K467=N467,ABS(L467-M467)&lt;0.001,ABS(O467-P467)&lt;0.01),"RECONCILED","CALCULATION ERROR"))</f>
        <v>RECONCILED</v>
      </c>
      <c r="S467" s="14" t="s">
        <v>2935</v>
      </c>
    </row>
    <row r="468" customFormat="false" ht="15" hidden="true" customHeight="false" outlineLevel="0" collapsed="false">
      <c r="A468" s="13" t="s">
        <v>3506</v>
      </c>
      <c r="B468" s="13" t="s">
        <v>106</v>
      </c>
      <c r="C468" s="13" t="s">
        <v>1872</v>
      </c>
      <c r="D468" s="13" t="s">
        <v>1873</v>
      </c>
      <c r="E468" s="13" t="s">
        <v>3507</v>
      </c>
      <c r="F468" s="14" t="s">
        <v>3508</v>
      </c>
      <c r="G468" s="14" t="s">
        <v>3509</v>
      </c>
      <c r="H468" s="20" t="n">
        <v>39.5</v>
      </c>
      <c r="I468" s="13" t="n">
        <v>36</v>
      </c>
      <c r="J468" s="13" t="s">
        <v>3510</v>
      </c>
      <c r="K468" s="13" t="n">
        <v>40</v>
      </c>
      <c r="L468" s="21" t="n">
        <v>7.55</v>
      </c>
      <c r="M468" s="21" t="n">
        <f aca="false">IF(C468="covered",10.4,7.55)</f>
        <v>7.55</v>
      </c>
      <c r="N468" s="13" t="n">
        <f aca="false">MAX(ROUNDUP(H468,0),I468)</f>
        <v>40</v>
      </c>
      <c r="O468" s="21" t="n">
        <v>302</v>
      </c>
      <c r="P468" s="21" t="n">
        <f aca="false">ROUND(M468*N468,2)</f>
        <v>302</v>
      </c>
      <c r="Q468" s="21" t="n">
        <f aca="false">ROUND(P468-IF(O468="",0,O468),2)</f>
        <v>0</v>
      </c>
      <c r="R468" s="14" t="str">
        <f aca="false">IF(J468="","MISSING BILL",IF(AND(K468=N468,ABS(L468-M468)&lt;0.001,ABS(O468-P468)&lt;0.01),"RECONCILED","CALCULATION ERROR"))</f>
        <v>RECONCILED</v>
      </c>
      <c r="S468" s="14" t="s">
        <v>2935</v>
      </c>
    </row>
    <row r="469" customFormat="false" ht="15" hidden="true" customHeight="false" outlineLevel="0" collapsed="false">
      <c r="A469" s="13" t="s">
        <v>3511</v>
      </c>
      <c r="B469" s="13" t="s">
        <v>106</v>
      </c>
      <c r="C469" s="13" t="s">
        <v>1872</v>
      </c>
      <c r="D469" s="13" t="s">
        <v>1873</v>
      </c>
      <c r="E469" s="13" t="s">
        <v>3512</v>
      </c>
      <c r="F469" s="14" t="s">
        <v>3513</v>
      </c>
      <c r="G469" s="14" t="s">
        <v>2750</v>
      </c>
      <c r="H469" s="20" t="n">
        <v>35.8</v>
      </c>
      <c r="I469" s="13" t="n">
        <v>60</v>
      </c>
      <c r="J469" s="13" t="s">
        <v>3514</v>
      </c>
      <c r="K469" s="13" t="n">
        <v>60</v>
      </c>
      <c r="L469" s="21" t="n">
        <v>7.55</v>
      </c>
      <c r="M469" s="21" t="n">
        <f aca="false">IF(C469="covered",10.4,7.55)</f>
        <v>7.55</v>
      </c>
      <c r="N469" s="13" t="n">
        <f aca="false">MAX(ROUNDUP(H469,0),I469)</f>
        <v>60</v>
      </c>
      <c r="O469" s="21" t="n">
        <v>453</v>
      </c>
      <c r="P469" s="21" t="n">
        <f aca="false">ROUND(M469*N469,2)</f>
        <v>453</v>
      </c>
      <c r="Q469" s="21" t="n">
        <f aca="false">ROUND(P469-IF(O469="",0,O469),2)</f>
        <v>0</v>
      </c>
      <c r="R469" s="14" t="str">
        <f aca="false">IF(J469="","MISSING BILL",IF(AND(K469=N469,ABS(L469-M469)&lt;0.001,ABS(O469-P469)&lt;0.01),"RECONCILED","CALCULATION ERROR"))</f>
        <v>RECONCILED</v>
      </c>
      <c r="S469" s="14" t="s">
        <v>2935</v>
      </c>
    </row>
    <row r="470" customFormat="false" ht="15" hidden="true" customHeight="false" outlineLevel="0" collapsed="false">
      <c r="A470" s="13" t="s">
        <v>3515</v>
      </c>
      <c r="B470" s="13" t="s">
        <v>106</v>
      </c>
      <c r="C470" s="13" t="s">
        <v>1872</v>
      </c>
      <c r="D470" s="13" t="s">
        <v>1873</v>
      </c>
      <c r="E470" s="13" t="s">
        <v>3516</v>
      </c>
      <c r="F470" s="14" t="s">
        <v>3517</v>
      </c>
      <c r="G470" s="14" t="s">
        <v>3518</v>
      </c>
      <c r="H470" s="20" t="n">
        <v>51.1</v>
      </c>
      <c r="I470" s="13" t="n">
        <v>36</v>
      </c>
      <c r="J470" s="13" t="s">
        <v>3519</v>
      </c>
      <c r="K470" s="13" t="n">
        <v>52</v>
      </c>
      <c r="L470" s="21" t="n">
        <v>7.55</v>
      </c>
      <c r="M470" s="21" t="n">
        <f aca="false">IF(C470="covered",10.4,7.55)</f>
        <v>7.55</v>
      </c>
      <c r="N470" s="13" t="n">
        <f aca="false">MAX(ROUNDUP(H470,0),I470)</f>
        <v>52</v>
      </c>
      <c r="O470" s="21" t="n">
        <v>392.6</v>
      </c>
      <c r="P470" s="21" t="n">
        <f aca="false">ROUND(M470*N470,2)</f>
        <v>392.6</v>
      </c>
      <c r="Q470" s="21" t="n">
        <f aca="false">ROUND(P470-IF(O470="",0,O470),2)</f>
        <v>0</v>
      </c>
      <c r="R470" s="14" t="str">
        <f aca="false">IF(J470="","MISSING BILL",IF(AND(K470=N470,ABS(L470-M470)&lt;0.001,ABS(O470-P470)&lt;0.01),"RECONCILED","CALCULATION ERROR"))</f>
        <v>RECONCILED</v>
      </c>
      <c r="S470" s="14" t="s">
        <v>2935</v>
      </c>
    </row>
    <row r="471" customFormat="false" ht="15" hidden="true" customHeight="false" outlineLevel="0" collapsed="false">
      <c r="A471" s="13" t="s">
        <v>3520</v>
      </c>
      <c r="B471" s="13" t="s">
        <v>106</v>
      </c>
      <c r="C471" s="13" t="s">
        <v>1872</v>
      </c>
      <c r="D471" s="13" t="s">
        <v>1873</v>
      </c>
      <c r="E471" s="13" t="s">
        <v>3521</v>
      </c>
      <c r="F471" s="14" t="s">
        <v>3522</v>
      </c>
      <c r="G471" s="14" t="s">
        <v>2535</v>
      </c>
      <c r="H471" s="20" t="n">
        <v>29.3</v>
      </c>
      <c r="I471" s="13" t="n">
        <v>40</v>
      </c>
      <c r="J471" s="13" t="s">
        <v>3523</v>
      </c>
      <c r="K471" s="13" t="n">
        <v>40</v>
      </c>
      <c r="L471" s="21" t="n">
        <v>7.55</v>
      </c>
      <c r="M471" s="21" t="n">
        <f aca="false">IF(C471="covered",10.4,7.55)</f>
        <v>7.55</v>
      </c>
      <c r="N471" s="13" t="n">
        <f aca="false">MAX(ROUNDUP(H471,0),I471)</f>
        <v>40</v>
      </c>
      <c r="O471" s="21" t="n">
        <v>302</v>
      </c>
      <c r="P471" s="21" t="n">
        <f aca="false">ROUND(M471*N471,2)</f>
        <v>302</v>
      </c>
      <c r="Q471" s="21" t="n">
        <f aca="false">ROUND(P471-IF(O471="",0,O471),2)</f>
        <v>0</v>
      </c>
      <c r="R471" s="14" t="str">
        <f aca="false">IF(J471="","MISSING BILL",IF(AND(K471=N471,ABS(L471-M471)&lt;0.001,ABS(O471-P471)&lt;0.01),"RECONCILED","CALCULATION ERROR"))</f>
        <v>RECONCILED</v>
      </c>
      <c r="S471" s="14" t="s">
        <v>2935</v>
      </c>
    </row>
    <row r="472" customFormat="false" ht="15" hidden="true" customHeight="false" outlineLevel="0" collapsed="false">
      <c r="A472" s="13" t="s">
        <v>3524</v>
      </c>
      <c r="B472" s="13" t="s">
        <v>106</v>
      </c>
      <c r="C472" s="13" t="s">
        <v>1872</v>
      </c>
      <c r="D472" s="13" t="s">
        <v>1873</v>
      </c>
      <c r="E472" s="13" t="s">
        <v>3525</v>
      </c>
      <c r="F472" s="14" t="s">
        <v>3526</v>
      </c>
      <c r="G472" s="14" t="s">
        <v>3527</v>
      </c>
      <c r="H472" s="20" t="n">
        <v>46.9</v>
      </c>
      <c r="I472" s="13" t="n">
        <v>24</v>
      </c>
      <c r="J472" s="13" t="s">
        <v>3528</v>
      </c>
      <c r="K472" s="13" t="n">
        <v>47</v>
      </c>
      <c r="L472" s="21" t="n">
        <v>7.55</v>
      </c>
      <c r="M472" s="21" t="n">
        <f aca="false">IF(C472="covered",10.4,7.55)</f>
        <v>7.55</v>
      </c>
      <c r="N472" s="13" t="n">
        <f aca="false">MAX(ROUNDUP(H472,0),I472)</f>
        <v>47</v>
      </c>
      <c r="O472" s="21" t="n">
        <v>354.85</v>
      </c>
      <c r="P472" s="21" t="n">
        <f aca="false">ROUND(M472*N472,2)</f>
        <v>354.85</v>
      </c>
      <c r="Q472" s="21" t="n">
        <f aca="false">ROUND(P472-IF(O472="",0,O472),2)</f>
        <v>0</v>
      </c>
      <c r="R472" s="14" t="str">
        <f aca="false">IF(J472="","MISSING BILL",IF(AND(K472=N472,ABS(L472-M472)&lt;0.001,ABS(O472-P472)&lt;0.01),"RECONCILED","CALCULATION ERROR"))</f>
        <v>RECONCILED</v>
      </c>
      <c r="S472" s="14" t="s">
        <v>2935</v>
      </c>
    </row>
    <row r="473" customFormat="false" ht="15" hidden="true" customHeight="false" outlineLevel="0" collapsed="false">
      <c r="A473" s="13" t="s">
        <v>3529</v>
      </c>
      <c r="B473" s="13" t="s">
        <v>106</v>
      </c>
      <c r="C473" s="13" t="s">
        <v>1872</v>
      </c>
      <c r="D473" s="13" t="s">
        <v>1873</v>
      </c>
      <c r="E473" s="13" t="s">
        <v>3530</v>
      </c>
      <c r="F473" s="14" t="s">
        <v>3531</v>
      </c>
      <c r="G473" s="14" t="s">
        <v>3532</v>
      </c>
      <c r="H473" s="20" t="n">
        <v>54.4</v>
      </c>
      <c r="I473" s="13" t="n">
        <v>32</v>
      </c>
      <c r="J473" s="13" t="s">
        <v>3533</v>
      </c>
      <c r="K473" s="13" t="n">
        <v>55</v>
      </c>
      <c r="L473" s="21" t="n">
        <v>7.55</v>
      </c>
      <c r="M473" s="21" t="n">
        <f aca="false">IF(C473="covered",10.4,7.55)</f>
        <v>7.55</v>
      </c>
      <c r="N473" s="13" t="n">
        <f aca="false">MAX(ROUNDUP(H473,0),I473)</f>
        <v>55</v>
      </c>
      <c r="O473" s="21" t="n">
        <v>415.25</v>
      </c>
      <c r="P473" s="21" t="n">
        <f aca="false">ROUND(M473*N473,2)</f>
        <v>415.25</v>
      </c>
      <c r="Q473" s="21" t="n">
        <f aca="false">ROUND(P473-IF(O473="",0,O473),2)</f>
        <v>0</v>
      </c>
      <c r="R473" s="14" t="str">
        <f aca="false">IF(J473="","MISSING BILL",IF(AND(K473=N473,ABS(L473-M473)&lt;0.001,ABS(O473-P473)&lt;0.01),"RECONCILED","CALCULATION ERROR"))</f>
        <v>RECONCILED</v>
      </c>
      <c r="S473" s="14" t="s">
        <v>2935</v>
      </c>
    </row>
    <row r="474" customFormat="false" ht="15" hidden="true" customHeight="false" outlineLevel="0" collapsed="false">
      <c r="A474" s="13" t="s">
        <v>3534</v>
      </c>
      <c r="B474" s="13" t="s">
        <v>106</v>
      </c>
      <c r="C474" s="13" t="s">
        <v>1872</v>
      </c>
      <c r="D474" s="13" t="s">
        <v>1873</v>
      </c>
      <c r="E474" s="13" t="s">
        <v>3535</v>
      </c>
      <c r="F474" s="14" t="s">
        <v>3536</v>
      </c>
      <c r="G474" s="14" t="s">
        <v>3014</v>
      </c>
      <c r="H474" s="20" t="n">
        <v>53.3</v>
      </c>
      <c r="I474" s="13" t="n">
        <v>50</v>
      </c>
      <c r="J474" s="13" t="s">
        <v>3537</v>
      </c>
      <c r="K474" s="13" t="n">
        <v>54</v>
      </c>
      <c r="L474" s="21" t="n">
        <v>7.55</v>
      </c>
      <c r="M474" s="21" t="n">
        <f aca="false">IF(C474="covered",10.4,7.55)</f>
        <v>7.55</v>
      </c>
      <c r="N474" s="13" t="n">
        <f aca="false">MAX(ROUNDUP(H474,0),I474)</f>
        <v>54</v>
      </c>
      <c r="O474" s="21" t="n">
        <v>407.7</v>
      </c>
      <c r="P474" s="21" t="n">
        <f aca="false">ROUND(M474*N474,2)</f>
        <v>407.7</v>
      </c>
      <c r="Q474" s="21" t="n">
        <f aca="false">ROUND(P474-IF(O474="",0,O474),2)</f>
        <v>0</v>
      </c>
      <c r="R474" s="14" t="str">
        <f aca="false">IF(J474="","MISSING BILL",IF(AND(K474=N474,ABS(L474-M474)&lt;0.001,ABS(O474-P474)&lt;0.01),"RECONCILED","CALCULATION ERROR"))</f>
        <v>RECONCILED</v>
      </c>
      <c r="S474" s="14" t="s">
        <v>2935</v>
      </c>
    </row>
    <row r="475" customFormat="false" ht="15" hidden="true" customHeight="false" outlineLevel="0" collapsed="false">
      <c r="A475" s="13" t="s">
        <v>3538</v>
      </c>
      <c r="B475" s="13" t="s">
        <v>106</v>
      </c>
      <c r="C475" s="13" t="s">
        <v>1872</v>
      </c>
      <c r="D475" s="13" t="s">
        <v>1873</v>
      </c>
      <c r="E475" s="13" t="s">
        <v>3539</v>
      </c>
      <c r="F475" s="14" t="s">
        <v>3540</v>
      </c>
      <c r="G475" s="14" t="s">
        <v>3541</v>
      </c>
      <c r="H475" s="20" t="n">
        <v>35.8</v>
      </c>
      <c r="I475" s="13" t="n">
        <v>70</v>
      </c>
      <c r="J475" s="13" t="s">
        <v>3542</v>
      </c>
      <c r="K475" s="13" t="n">
        <v>70</v>
      </c>
      <c r="L475" s="21" t="n">
        <v>7.55</v>
      </c>
      <c r="M475" s="21" t="n">
        <f aca="false">IF(C475="covered",10.4,7.55)</f>
        <v>7.55</v>
      </c>
      <c r="N475" s="13" t="n">
        <f aca="false">MAX(ROUNDUP(H475,0),I475)</f>
        <v>70</v>
      </c>
      <c r="O475" s="21" t="n">
        <v>528.5</v>
      </c>
      <c r="P475" s="21" t="n">
        <f aca="false">ROUND(M475*N475,2)</f>
        <v>528.5</v>
      </c>
      <c r="Q475" s="21" t="n">
        <f aca="false">ROUND(P475-IF(O475="",0,O475),2)</f>
        <v>0</v>
      </c>
      <c r="R475" s="14" t="str">
        <f aca="false">IF(J475="","MISSING BILL",IF(AND(K475=N475,ABS(L475-M475)&lt;0.001,ABS(O475-P475)&lt;0.01),"RECONCILED","CALCULATION ERROR"))</f>
        <v>RECONCILED</v>
      </c>
      <c r="S475" s="14" t="s">
        <v>2935</v>
      </c>
    </row>
    <row r="476" customFormat="false" ht="15" hidden="true" customHeight="false" outlineLevel="0" collapsed="false">
      <c r="A476" s="13" t="s">
        <v>3543</v>
      </c>
      <c r="B476" s="13" t="s">
        <v>106</v>
      </c>
      <c r="C476" s="13" t="s">
        <v>1872</v>
      </c>
      <c r="D476" s="13" t="s">
        <v>1873</v>
      </c>
      <c r="E476" s="13" t="s">
        <v>3544</v>
      </c>
      <c r="F476" s="14" t="s">
        <v>3545</v>
      </c>
      <c r="G476" s="14" t="s">
        <v>3546</v>
      </c>
      <c r="H476" s="20" t="n">
        <v>22.3</v>
      </c>
      <c r="I476" s="13" t="n">
        <v>45</v>
      </c>
      <c r="J476" s="13" t="s">
        <v>3547</v>
      </c>
      <c r="K476" s="13" t="n">
        <v>45</v>
      </c>
      <c r="L476" s="21" t="n">
        <v>7.55</v>
      </c>
      <c r="M476" s="21" t="n">
        <f aca="false">IF(C476="covered",10.4,7.55)</f>
        <v>7.55</v>
      </c>
      <c r="N476" s="13" t="n">
        <f aca="false">MAX(ROUNDUP(H476,0),I476)</f>
        <v>45</v>
      </c>
      <c r="O476" s="21" t="n">
        <v>339.75</v>
      </c>
      <c r="P476" s="21" t="n">
        <f aca="false">ROUND(M476*N476,2)</f>
        <v>339.75</v>
      </c>
      <c r="Q476" s="21" t="n">
        <f aca="false">ROUND(P476-IF(O476="",0,O476),2)</f>
        <v>0</v>
      </c>
      <c r="R476" s="14" t="str">
        <f aca="false">IF(J476="","MISSING BILL",IF(AND(K476=N476,ABS(L476-M476)&lt;0.001,ABS(O476-P476)&lt;0.01),"RECONCILED","CALCULATION ERROR"))</f>
        <v>RECONCILED</v>
      </c>
      <c r="S476" s="14" t="s">
        <v>2935</v>
      </c>
    </row>
    <row r="477" customFormat="false" ht="15" hidden="true" customHeight="false" outlineLevel="0" collapsed="false">
      <c r="A477" s="13" t="s">
        <v>3548</v>
      </c>
      <c r="B477" s="13" t="s">
        <v>106</v>
      </c>
      <c r="C477" s="13" t="s">
        <v>1872</v>
      </c>
      <c r="D477" s="13" t="s">
        <v>1873</v>
      </c>
      <c r="E477" s="13" t="s">
        <v>3549</v>
      </c>
      <c r="F477" s="14" t="s">
        <v>3550</v>
      </c>
      <c r="G477" s="14" t="s">
        <v>3352</v>
      </c>
      <c r="H477" s="20" t="n">
        <v>53.3</v>
      </c>
      <c r="I477" s="13" t="n">
        <v>70</v>
      </c>
      <c r="J477" s="13" t="s">
        <v>3551</v>
      </c>
      <c r="K477" s="13" t="n">
        <v>70</v>
      </c>
      <c r="L477" s="21" t="n">
        <v>7.55</v>
      </c>
      <c r="M477" s="21" t="n">
        <f aca="false">IF(C477="covered",10.4,7.55)</f>
        <v>7.55</v>
      </c>
      <c r="N477" s="13" t="n">
        <f aca="false">MAX(ROUNDUP(H477,0),I477)</f>
        <v>70</v>
      </c>
      <c r="O477" s="21" t="n">
        <v>528.5</v>
      </c>
      <c r="P477" s="21" t="n">
        <f aca="false">ROUND(M477*N477,2)</f>
        <v>528.5</v>
      </c>
      <c r="Q477" s="21" t="n">
        <f aca="false">ROUND(P477-IF(O477="",0,O477),2)</f>
        <v>0</v>
      </c>
      <c r="R477" s="14" t="str">
        <f aca="false">IF(J477="","MISSING BILL",IF(AND(K477=N477,ABS(L477-M477)&lt;0.001,ABS(O477-P477)&lt;0.01),"RECONCILED","CALCULATION ERROR"))</f>
        <v>RECONCILED</v>
      </c>
      <c r="S477" s="14" t="s">
        <v>2935</v>
      </c>
    </row>
    <row r="478" customFormat="false" ht="15" hidden="true" customHeight="false" outlineLevel="0" collapsed="false">
      <c r="A478" s="13" t="s">
        <v>3552</v>
      </c>
      <c r="B478" s="13" t="s">
        <v>106</v>
      </c>
      <c r="C478" s="13" t="s">
        <v>1872</v>
      </c>
      <c r="D478" s="13" t="s">
        <v>1873</v>
      </c>
      <c r="E478" s="13" t="s">
        <v>1175</v>
      </c>
      <c r="F478" s="14" t="s">
        <v>1176</v>
      </c>
      <c r="G478" s="14" t="s">
        <v>2498</v>
      </c>
      <c r="H478" s="20" t="n">
        <v>56.4</v>
      </c>
      <c r="I478" s="13" t="n">
        <v>28</v>
      </c>
      <c r="J478" s="13" t="s">
        <v>3553</v>
      </c>
      <c r="K478" s="13" t="n">
        <v>57</v>
      </c>
      <c r="L478" s="21" t="n">
        <v>7.55</v>
      </c>
      <c r="M478" s="21" t="n">
        <f aca="false">IF(C478="covered",10.4,7.55)</f>
        <v>7.55</v>
      </c>
      <c r="N478" s="13" t="n">
        <f aca="false">MAX(ROUNDUP(H478,0),I478)</f>
        <v>57</v>
      </c>
      <c r="O478" s="21" t="n">
        <v>430.35</v>
      </c>
      <c r="P478" s="21" t="n">
        <f aca="false">ROUND(M478*N478,2)</f>
        <v>430.35</v>
      </c>
      <c r="Q478" s="21" t="n">
        <f aca="false">ROUND(P478-IF(O478="",0,O478),2)</f>
        <v>0</v>
      </c>
      <c r="R478" s="14" t="str">
        <f aca="false">IF(J478="","MISSING BILL",IF(AND(K478=N478,ABS(L478-M478)&lt;0.001,ABS(O478-P478)&lt;0.01),"RECONCILED","CALCULATION ERROR"))</f>
        <v>RECONCILED</v>
      </c>
      <c r="S478" s="14" t="s">
        <v>2935</v>
      </c>
    </row>
    <row r="479" customFormat="false" ht="15" hidden="true" customHeight="false" outlineLevel="0" collapsed="false">
      <c r="A479" s="13" t="s">
        <v>592</v>
      </c>
      <c r="B479" s="13" t="s">
        <v>106</v>
      </c>
      <c r="C479" s="13" t="s">
        <v>1872</v>
      </c>
      <c r="D479" s="13" t="s">
        <v>1873</v>
      </c>
      <c r="E479" s="13" t="s">
        <v>3554</v>
      </c>
      <c r="F479" s="14" t="s">
        <v>3555</v>
      </c>
      <c r="G479" s="14" t="s">
        <v>3412</v>
      </c>
      <c r="H479" s="20" t="n">
        <v>22.4</v>
      </c>
      <c r="I479" s="13" t="n">
        <v>32</v>
      </c>
      <c r="J479" s="13" t="s">
        <v>3556</v>
      </c>
      <c r="K479" s="13" t="n">
        <v>32</v>
      </c>
      <c r="L479" s="21" t="n">
        <v>7.55</v>
      </c>
      <c r="M479" s="21" t="n">
        <f aca="false">IF(C479="covered",10.4,7.55)</f>
        <v>7.55</v>
      </c>
      <c r="N479" s="13" t="n">
        <f aca="false">MAX(ROUNDUP(H479,0),I479)</f>
        <v>32</v>
      </c>
      <c r="O479" s="21" t="n">
        <v>241.6</v>
      </c>
      <c r="P479" s="21" t="n">
        <f aca="false">ROUND(M479*N479,2)</f>
        <v>241.6</v>
      </c>
      <c r="Q479" s="21" t="n">
        <f aca="false">ROUND(P479-IF(O479="",0,O479),2)</f>
        <v>0</v>
      </c>
      <c r="R479" s="14" t="str">
        <f aca="false">IF(J479="","MISSING BILL",IF(AND(K479=N479,ABS(L479-M479)&lt;0.001,ABS(O479-P479)&lt;0.01),"RECONCILED","CALCULATION ERROR"))</f>
        <v>RECONCILED</v>
      </c>
      <c r="S479" s="14" t="s">
        <v>2935</v>
      </c>
    </row>
    <row r="480" customFormat="false" ht="15" hidden="true" customHeight="false" outlineLevel="0" collapsed="false">
      <c r="A480" s="13" t="s">
        <v>3557</v>
      </c>
      <c r="B480" s="13" t="s">
        <v>106</v>
      </c>
      <c r="C480" s="13" t="s">
        <v>1872</v>
      </c>
      <c r="D480" s="13" t="s">
        <v>1873</v>
      </c>
      <c r="E480" s="13" t="s">
        <v>3558</v>
      </c>
      <c r="F480" s="14" t="s">
        <v>3559</v>
      </c>
      <c r="G480" s="14" t="s">
        <v>3560</v>
      </c>
      <c r="H480" s="20" t="n">
        <v>59</v>
      </c>
      <c r="I480" s="13" t="n">
        <v>28</v>
      </c>
      <c r="J480" s="13" t="s">
        <v>3561</v>
      </c>
      <c r="K480" s="13" t="n">
        <v>59</v>
      </c>
      <c r="L480" s="21" t="n">
        <v>7.55</v>
      </c>
      <c r="M480" s="21" t="n">
        <f aca="false">IF(C480="covered",10.4,7.55)</f>
        <v>7.55</v>
      </c>
      <c r="N480" s="13" t="n">
        <f aca="false">MAX(ROUNDUP(H480,0),I480)</f>
        <v>59</v>
      </c>
      <c r="O480" s="21" t="n">
        <v>445.45</v>
      </c>
      <c r="P480" s="21" t="n">
        <f aca="false">ROUND(M480*N480,2)</f>
        <v>445.45</v>
      </c>
      <c r="Q480" s="21" t="n">
        <f aca="false">ROUND(P480-IF(O480="",0,O480),2)</f>
        <v>0</v>
      </c>
      <c r="R480" s="14" t="str">
        <f aca="false">IF(J480="","MISSING BILL",IF(AND(K480=N480,ABS(L480-M480)&lt;0.001,ABS(O480-P480)&lt;0.01),"RECONCILED","CALCULATION ERROR"))</f>
        <v>RECONCILED</v>
      </c>
      <c r="S480" s="14" t="s">
        <v>2935</v>
      </c>
    </row>
    <row r="481" customFormat="false" ht="15" hidden="true" customHeight="false" outlineLevel="0" collapsed="false">
      <c r="A481" s="13" t="s">
        <v>3562</v>
      </c>
      <c r="B481" s="13" t="s">
        <v>106</v>
      </c>
      <c r="C481" s="13" t="s">
        <v>1872</v>
      </c>
      <c r="D481" s="13" t="s">
        <v>1873</v>
      </c>
      <c r="E481" s="13" t="s">
        <v>3563</v>
      </c>
      <c r="F481" s="14" t="s">
        <v>3564</v>
      </c>
      <c r="G481" s="14" t="s">
        <v>2827</v>
      </c>
      <c r="H481" s="20" t="n">
        <v>33.5</v>
      </c>
      <c r="I481" s="13" t="n">
        <v>36</v>
      </c>
      <c r="J481" s="13" t="s">
        <v>3565</v>
      </c>
      <c r="K481" s="13" t="n">
        <v>36</v>
      </c>
      <c r="L481" s="21" t="n">
        <v>7.55</v>
      </c>
      <c r="M481" s="21" t="n">
        <f aca="false">IF(C481="covered",10.4,7.55)</f>
        <v>7.55</v>
      </c>
      <c r="N481" s="13" t="n">
        <f aca="false">MAX(ROUNDUP(H481,0),I481)</f>
        <v>36</v>
      </c>
      <c r="O481" s="21" t="n">
        <v>271.8</v>
      </c>
      <c r="P481" s="21" t="n">
        <f aca="false">ROUND(M481*N481,2)</f>
        <v>271.8</v>
      </c>
      <c r="Q481" s="21" t="n">
        <f aca="false">ROUND(P481-IF(O481="",0,O481),2)</f>
        <v>0</v>
      </c>
      <c r="R481" s="14" t="str">
        <f aca="false">IF(J481="","MISSING BILL",IF(AND(K481=N481,ABS(L481-M481)&lt;0.001,ABS(O481-P481)&lt;0.01),"RECONCILED","CALCULATION ERROR"))</f>
        <v>RECONCILED</v>
      </c>
      <c r="S481" s="14" t="s">
        <v>2935</v>
      </c>
    </row>
    <row r="482" customFormat="false" ht="15" hidden="true" customHeight="false" outlineLevel="0" collapsed="false">
      <c r="A482" s="13" t="s">
        <v>3566</v>
      </c>
      <c r="B482" s="13" t="s">
        <v>106</v>
      </c>
      <c r="C482" s="13" t="s">
        <v>1872</v>
      </c>
      <c r="D482" s="13" t="s">
        <v>1873</v>
      </c>
      <c r="E482" s="13" t="s">
        <v>3567</v>
      </c>
      <c r="F482" s="14" t="s">
        <v>3568</v>
      </c>
      <c r="G482" s="14" t="s">
        <v>3569</v>
      </c>
      <c r="H482" s="20" t="n">
        <v>29.3</v>
      </c>
      <c r="I482" s="13" t="n">
        <v>28</v>
      </c>
      <c r="J482" s="13" t="s">
        <v>3570</v>
      </c>
      <c r="K482" s="13" t="n">
        <v>30</v>
      </c>
      <c r="L482" s="21" t="n">
        <v>7.55</v>
      </c>
      <c r="M482" s="21" t="n">
        <f aca="false">IF(C482="covered",10.4,7.55)</f>
        <v>7.55</v>
      </c>
      <c r="N482" s="13" t="n">
        <f aca="false">MAX(ROUNDUP(H482,0),I482)</f>
        <v>30</v>
      </c>
      <c r="O482" s="21" t="n">
        <v>226.5</v>
      </c>
      <c r="P482" s="21" t="n">
        <f aca="false">ROUND(M482*N482,2)</f>
        <v>226.5</v>
      </c>
      <c r="Q482" s="21" t="n">
        <f aca="false">ROUND(P482-IF(O482="",0,O482),2)</f>
        <v>0</v>
      </c>
      <c r="R482" s="14" t="str">
        <f aca="false">IF(J482="","MISSING BILL",IF(AND(K482=N482,ABS(L482-M482)&lt;0.001,ABS(O482-P482)&lt;0.01),"RECONCILED","CALCULATION ERROR"))</f>
        <v>RECONCILED</v>
      </c>
      <c r="S482" s="14" t="s">
        <v>2935</v>
      </c>
    </row>
    <row r="483" customFormat="false" ht="15" hidden="true" customHeight="false" outlineLevel="0" collapsed="false">
      <c r="A483" s="13" t="s">
        <v>3571</v>
      </c>
      <c r="B483" s="13" t="s">
        <v>106</v>
      </c>
      <c r="C483" s="13" t="s">
        <v>1872</v>
      </c>
      <c r="D483" s="13" t="s">
        <v>1873</v>
      </c>
      <c r="E483" s="13" t="s">
        <v>3572</v>
      </c>
      <c r="F483" s="14" t="s">
        <v>3573</v>
      </c>
      <c r="G483" s="14" t="s">
        <v>3038</v>
      </c>
      <c r="H483" s="20" t="n">
        <v>49.7</v>
      </c>
      <c r="I483" s="13" t="n">
        <v>80</v>
      </c>
      <c r="J483" s="13" t="s">
        <v>3574</v>
      </c>
      <c r="K483" s="13" t="n">
        <v>80</v>
      </c>
      <c r="L483" s="21" t="n">
        <v>7.55</v>
      </c>
      <c r="M483" s="21" t="n">
        <f aca="false">IF(C483="covered",10.4,7.55)</f>
        <v>7.55</v>
      </c>
      <c r="N483" s="13" t="n">
        <f aca="false">MAX(ROUNDUP(H483,0),I483)</f>
        <v>80</v>
      </c>
      <c r="O483" s="21" t="n">
        <v>604</v>
      </c>
      <c r="P483" s="21" t="n">
        <f aca="false">ROUND(M483*N483,2)</f>
        <v>604</v>
      </c>
      <c r="Q483" s="21" t="n">
        <f aca="false">ROUND(P483-IF(O483="",0,O483),2)</f>
        <v>0</v>
      </c>
      <c r="R483" s="14" t="str">
        <f aca="false">IF(J483="","MISSING BILL",IF(AND(K483=N483,ABS(L483-M483)&lt;0.001,ABS(O483-P483)&lt;0.01),"RECONCILED","CALCULATION ERROR"))</f>
        <v>RECONCILED</v>
      </c>
      <c r="S483" s="14" t="s">
        <v>2935</v>
      </c>
    </row>
    <row r="484" customFormat="false" ht="15" hidden="true" customHeight="false" outlineLevel="0" collapsed="false">
      <c r="A484" s="13" t="s">
        <v>3575</v>
      </c>
      <c r="B484" s="13" t="s">
        <v>106</v>
      </c>
      <c r="C484" s="13" t="s">
        <v>1872</v>
      </c>
      <c r="D484" s="13" t="s">
        <v>1873</v>
      </c>
      <c r="E484" s="13" t="s">
        <v>3576</v>
      </c>
      <c r="F484" s="14" t="s">
        <v>3577</v>
      </c>
      <c r="G484" s="14" t="s">
        <v>3074</v>
      </c>
      <c r="H484" s="20" t="n">
        <v>58.3</v>
      </c>
      <c r="I484" s="13" t="n">
        <v>70</v>
      </c>
      <c r="J484" s="13" t="s">
        <v>3578</v>
      </c>
      <c r="K484" s="13" t="n">
        <v>70</v>
      </c>
      <c r="L484" s="21" t="n">
        <v>7.55</v>
      </c>
      <c r="M484" s="21" t="n">
        <f aca="false">IF(C484="covered",10.4,7.55)</f>
        <v>7.55</v>
      </c>
      <c r="N484" s="13" t="n">
        <f aca="false">MAX(ROUNDUP(H484,0),I484)</f>
        <v>70</v>
      </c>
      <c r="O484" s="21" t="n">
        <v>528.5</v>
      </c>
      <c r="P484" s="21" t="n">
        <f aca="false">ROUND(M484*N484,2)</f>
        <v>528.5</v>
      </c>
      <c r="Q484" s="21" t="n">
        <f aca="false">ROUND(P484-IF(O484="",0,O484),2)</f>
        <v>0</v>
      </c>
      <c r="R484" s="14" t="str">
        <f aca="false">IF(J484="","MISSING BILL",IF(AND(K484=N484,ABS(L484-M484)&lt;0.001,ABS(O484-P484)&lt;0.01),"RECONCILED","CALCULATION ERROR"))</f>
        <v>RECONCILED</v>
      </c>
      <c r="S484" s="14" t="s">
        <v>2935</v>
      </c>
    </row>
    <row r="485" customFormat="false" ht="15" hidden="true" customHeight="false" outlineLevel="0" collapsed="false">
      <c r="A485" s="13" t="s">
        <v>3579</v>
      </c>
      <c r="B485" s="13" t="s">
        <v>106</v>
      </c>
      <c r="C485" s="13" t="s">
        <v>1872</v>
      </c>
      <c r="D485" s="13" t="s">
        <v>1873</v>
      </c>
      <c r="E485" s="13" t="s">
        <v>3580</v>
      </c>
      <c r="F485" s="14" t="s">
        <v>3581</v>
      </c>
      <c r="G485" s="14" t="s">
        <v>2863</v>
      </c>
      <c r="H485" s="20" t="n">
        <v>26.3</v>
      </c>
      <c r="I485" s="13" t="n">
        <v>28</v>
      </c>
      <c r="J485" s="13" t="s">
        <v>3582</v>
      </c>
      <c r="K485" s="13" t="n">
        <v>28</v>
      </c>
      <c r="L485" s="21" t="n">
        <v>7.55</v>
      </c>
      <c r="M485" s="21" t="n">
        <f aca="false">IF(C485="covered",10.4,7.55)</f>
        <v>7.55</v>
      </c>
      <c r="N485" s="13" t="n">
        <f aca="false">MAX(ROUNDUP(H485,0),I485)</f>
        <v>28</v>
      </c>
      <c r="O485" s="21" t="n">
        <v>211.4</v>
      </c>
      <c r="P485" s="21" t="n">
        <f aca="false">ROUND(M485*N485,2)</f>
        <v>211.4</v>
      </c>
      <c r="Q485" s="21" t="n">
        <f aca="false">ROUND(P485-IF(O485="",0,O485),2)</f>
        <v>0</v>
      </c>
      <c r="R485" s="14" t="str">
        <f aca="false">IF(J485="","MISSING BILL",IF(AND(K485=N485,ABS(L485-M485)&lt;0.001,ABS(O485-P485)&lt;0.01),"RECONCILED","CALCULATION ERROR"))</f>
        <v>RECONCILED</v>
      </c>
      <c r="S485" s="14" t="s">
        <v>2935</v>
      </c>
    </row>
    <row r="486" customFormat="false" ht="15" hidden="true" customHeight="false" outlineLevel="0" collapsed="false">
      <c r="A486" s="13" t="s">
        <v>3583</v>
      </c>
      <c r="B486" s="13" t="s">
        <v>106</v>
      </c>
      <c r="C486" s="13" t="s">
        <v>1872</v>
      </c>
      <c r="D486" s="13" t="s">
        <v>1873</v>
      </c>
      <c r="E486" s="13" t="s">
        <v>965</v>
      </c>
      <c r="F486" s="14" t="s">
        <v>966</v>
      </c>
      <c r="G486" s="14" t="s">
        <v>2346</v>
      </c>
      <c r="H486" s="20" t="n">
        <v>61</v>
      </c>
      <c r="I486" s="13" t="n">
        <v>70</v>
      </c>
      <c r="J486" s="13" t="s">
        <v>3584</v>
      </c>
      <c r="K486" s="13" t="n">
        <v>70</v>
      </c>
      <c r="L486" s="21" t="n">
        <v>7.55</v>
      </c>
      <c r="M486" s="21" t="n">
        <f aca="false">IF(C486="covered",10.4,7.55)</f>
        <v>7.55</v>
      </c>
      <c r="N486" s="13" t="n">
        <f aca="false">MAX(ROUNDUP(H486,0),I486)</f>
        <v>70</v>
      </c>
      <c r="O486" s="21" t="n">
        <v>528.5</v>
      </c>
      <c r="P486" s="21" t="n">
        <f aca="false">ROUND(M486*N486,2)</f>
        <v>528.5</v>
      </c>
      <c r="Q486" s="21" t="n">
        <f aca="false">ROUND(P486-IF(O486="",0,O486),2)</f>
        <v>0</v>
      </c>
      <c r="R486" s="14" t="str">
        <f aca="false">IF(J486="","MISSING BILL",IF(AND(K486=N486,ABS(L486-M486)&lt;0.001,ABS(O486-P486)&lt;0.01),"RECONCILED","CALCULATION ERROR"))</f>
        <v>RECONCILED</v>
      </c>
      <c r="S486" s="14" t="s">
        <v>2935</v>
      </c>
    </row>
    <row r="487" customFormat="false" ht="15" hidden="true" customHeight="false" outlineLevel="0" collapsed="false">
      <c r="A487" s="13" t="s">
        <v>3585</v>
      </c>
      <c r="B487" s="13" t="s">
        <v>106</v>
      </c>
      <c r="C487" s="13" t="s">
        <v>1872</v>
      </c>
      <c r="D487" s="13" t="s">
        <v>1873</v>
      </c>
      <c r="E487" s="13" t="s">
        <v>3586</v>
      </c>
      <c r="F487" s="14" t="s">
        <v>3587</v>
      </c>
      <c r="G487" s="14" t="s">
        <v>2200</v>
      </c>
      <c r="H487" s="20" t="n">
        <v>26.4</v>
      </c>
      <c r="I487" s="13" t="n">
        <v>28</v>
      </c>
      <c r="J487" s="13" t="s">
        <v>3588</v>
      </c>
      <c r="K487" s="13" t="n">
        <v>28</v>
      </c>
      <c r="L487" s="21" t="n">
        <v>7.55</v>
      </c>
      <c r="M487" s="21" t="n">
        <f aca="false">IF(C487="covered",10.4,7.55)</f>
        <v>7.55</v>
      </c>
      <c r="N487" s="13" t="n">
        <f aca="false">MAX(ROUNDUP(H487,0),I487)</f>
        <v>28</v>
      </c>
      <c r="O487" s="21" t="n">
        <v>211.4</v>
      </c>
      <c r="P487" s="21" t="n">
        <f aca="false">ROUND(M487*N487,2)</f>
        <v>211.4</v>
      </c>
      <c r="Q487" s="21" t="n">
        <f aca="false">ROUND(P487-IF(O487="",0,O487),2)</f>
        <v>0</v>
      </c>
      <c r="R487" s="14" t="str">
        <f aca="false">IF(J487="","MISSING BILL",IF(AND(K487=N487,ABS(L487-M487)&lt;0.001,ABS(O487-P487)&lt;0.01),"RECONCILED","CALCULATION ERROR"))</f>
        <v>RECONCILED</v>
      </c>
      <c r="S487" s="14" t="s">
        <v>2935</v>
      </c>
    </row>
    <row r="488" customFormat="false" ht="15" hidden="true" customHeight="false" outlineLevel="0" collapsed="false">
      <c r="A488" s="13" t="s">
        <v>1489</v>
      </c>
      <c r="B488" s="13" t="s">
        <v>106</v>
      </c>
      <c r="C488" s="13" t="s">
        <v>1872</v>
      </c>
      <c r="D488" s="13" t="s">
        <v>1873</v>
      </c>
      <c r="E488" s="13" t="s">
        <v>3589</v>
      </c>
      <c r="F488" s="14" t="s">
        <v>3590</v>
      </c>
      <c r="G488" s="14" t="s">
        <v>3591</v>
      </c>
      <c r="H488" s="20" t="n">
        <v>54.3</v>
      </c>
      <c r="I488" s="13" t="n">
        <v>45</v>
      </c>
      <c r="J488" s="13" t="s">
        <v>3592</v>
      </c>
      <c r="K488" s="13" t="n">
        <v>55</v>
      </c>
      <c r="L488" s="21" t="n">
        <v>7.55</v>
      </c>
      <c r="M488" s="21" t="n">
        <f aca="false">IF(C488="covered",10.4,7.55)</f>
        <v>7.55</v>
      </c>
      <c r="N488" s="13" t="n">
        <f aca="false">MAX(ROUNDUP(H488,0),I488)</f>
        <v>55</v>
      </c>
      <c r="O488" s="21" t="n">
        <v>415.25</v>
      </c>
      <c r="P488" s="21" t="n">
        <f aca="false">ROUND(M488*N488,2)</f>
        <v>415.25</v>
      </c>
      <c r="Q488" s="21" t="n">
        <f aca="false">ROUND(P488-IF(O488="",0,O488),2)</f>
        <v>0</v>
      </c>
      <c r="R488" s="14" t="str">
        <f aca="false">IF(J488="","MISSING BILL",IF(AND(K488=N488,ABS(L488-M488)&lt;0.001,ABS(O488-P488)&lt;0.01),"RECONCILED","CALCULATION ERROR"))</f>
        <v>RECONCILED</v>
      </c>
      <c r="S488" s="14" t="s">
        <v>2935</v>
      </c>
    </row>
    <row r="489" customFormat="false" ht="15" hidden="true" customHeight="false" outlineLevel="0" collapsed="false">
      <c r="A489" s="13" t="s">
        <v>487</v>
      </c>
      <c r="B489" s="13" t="s">
        <v>106</v>
      </c>
      <c r="C489" s="13" t="s">
        <v>1872</v>
      </c>
      <c r="D489" s="13" t="s">
        <v>1873</v>
      </c>
      <c r="E489" s="13" t="s">
        <v>3593</v>
      </c>
      <c r="F489" s="14" t="s">
        <v>3594</v>
      </c>
      <c r="G489" s="14" t="s">
        <v>2881</v>
      </c>
      <c r="H489" s="20" t="n">
        <v>30.1</v>
      </c>
      <c r="I489" s="13" t="n">
        <v>40</v>
      </c>
      <c r="J489" s="13" t="s">
        <v>3595</v>
      </c>
      <c r="K489" s="13" t="n">
        <v>40</v>
      </c>
      <c r="L489" s="21" t="n">
        <v>7.55</v>
      </c>
      <c r="M489" s="21" t="n">
        <f aca="false">IF(C489="covered",10.4,7.55)</f>
        <v>7.55</v>
      </c>
      <c r="N489" s="13" t="n">
        <f aca="false">MAX(ROUNDUP(H489,0),I489)</f>
        <v>40</v>
      </c>
      <c r="O489" s="21" t="n">
        <v>302</v>
      </c>
      <c r="P489" s="21" t="n">
        <f aca="false">ROUND(M489*N489,2)</f>
        <v>302</v>
      </c>
      <c r="Q489" s="21" t="n">
        <f aca="false">ROUND(P489-IF(O489="",0,O489),2)</f>
        <v>0</v>
      </c>
      <c r="R489" s="14" t="str">
        <f aca="false">IF(J489="","MISSING BILL",IF(AND(K489=N489,ABS(L489-M489)&lt;0.001,ABS(O489-P489)&lt;0.01),"RECONCILED","CALCULATION ERROR"))</f>
        <v>RECONCILED</v>
      </c>
      <c r="S489" s="14" t="s">
        <v>2935</v>
      </c>
    </row>
    <row r="490" customFormat="false" ht="15" hidden="true" customHeight="false" outlineLevel="0" collapsed="false">
      <c r="A490" s="13" t="s">
        <v>3596</v>
      </c>
      <c r="B490" s="13" t="s">
        <v>106</v>
      </c>
      <c r="C490" s="13" t="s">
        <v>1872</v>
      </c>
      <c r="D490" s="13" t="s">
        <v>1873</v>
      </c>
      <c r="E490" s="13" t="s">
        <v>3597</v>
      </c>
      <c r="F490" s="14" t="s">
        <v>3598</v>
      </c>
      <c r="G490" s="14" t="s">
        <v>3599</v>
      </c>
      <c r="H490" s="20" t="n">
        <v>41.7</v>
      </c>
      <c r="I490" s="13" t="n">
        <v>50</v>
      </c>
      <c r="J490" s="13" t="s">
        <v>3600</v>
      </c>
      <c r="K490" s="13" t="n">
        <v>50</v>
      </c>
      <c r="L490" s="21" t="n">
        <v>7.55</v>
      </c>
      <c r="M490" s="21" t="n">
        <f aca="false">IF(C490="covered",10.4,7.55)</f>
        <v>7.55</v>
      </c>
      <c r="N490" s="13" t="n">
        <f aca="false">MAX(ROUNDUP(H490,0),I490)</f>
        <v>50</v>
      </c>
      <c r="O490" s="21" t="n">
        <v>377.5</v>
      </c>
      <c r="P490" s="21" t="n">
        <f aca="false">ROUND(M490*N490,2)</f>
        <v>377.5</v>
      </c>
      <c r="Q490" s="21" t="n">
        <f aca="false">ROUND(P490-IF(O490="",0,O490),2)</f>
        <v>0</v>
      </c>
      <c r="R490" s="14" t="str">
        <f aca="false">IF(J490="","MISSING BILL",IF(AND(K490=N490,ABS(L490-M490)&lt;0.001,ABS(O490-P490)&lt;0.01),"RECONCILED","CALCULATION ERROR"))</f>
        <v>RECONCILED</v>
      </c>
      <c r="S490" s="14" t="s">
        <v>2935</v>
      </c>
    </row>
    <row r="491" customFormat="false" ht="15" hidden="true" customHeight="false" outlineLevel="0" collapsed="false">
      <c r="A491" s="13" t="s">
        <v>3601</v>
      </c>
      <c r="B491" s="13" t="s">
        <v>106</v>
      </c>
      <c r="C491" s="13" t="s">
        <v>1872</v>
      </c>
      <c r="D491" s="13" t="s">
        <v>1873</v>
      </c>
      <c r="E491" s="13" t="s">
        <v>1372</v>
      </c>
      <c r="F491" s="14" t="s">
        <v>1373</v>
      </c>
      <c r="G491" s="14" t="s">
        <v>3602</v>
      </c>
      <c r="H491" s="20" t="n">
        <v>39.4</v>
      </c>
      <c r="I491" s="13" t="n">
        <v>80</v>
      </c>
      <c r="J491" s="13" t="s">
        <v>3603</v>
      </c>
      <c r="K491" s="13" t="n">
        <v>80</v>
      </c>
      <c r="L491" s="21" t="n">
        <v>7.55</v>
      </c>
      <c r="M491" s="21" t="n">
        <f aca="false">IF(C491="covered",10.4,7.55)</f>
        <v>7.55</v>
      </c>
      <c r="N491" s="13" t="n">
        <f aca="false">MAX(ROUNDUP(H491,0),I491)</f>
        <v>80</v>
      </c>
      <c r="O491" s="21" t="n">
        <v>604</v>
      </c>
      <c r="P491" s="21" t="n">
        <f aca="false">ROUND(M491*N491,2)</f>
        <v>604</v>
      </c>
      <c r="Q491" s="21" t="n">
        <f aca="false">ROUND(P491-IF(O491="",0,O491),2)</f>
        <v>0</v>
      </c>
      <c r="R491" s="14" t="str">
        <f aca="false">IF(J491="","MISSING BILL",IF(AND(K491=N491,ABS(L491-M491)&lt;0.001,ABS(O491-P491)&lt;0.01),"RECONCILED","CALCULATION ERROR"))</f>
        <v>RECONCILED</v>
      </c>
      <c r="S491" s="14" t="s">
        <v>2935</v>
      </c>
    </row>
    <row r="492" customFormat="false" ht="15" hidden="true" customHeight="false" outlineLevel="0" collapsed="false">
      <c r="A492" s="13" t="s">
        <v>3604</v>
      </c>
      <c r="B492" s="13" t="s">
        <v>106</v>
      </c>
      <c r="C492" s="13" t="s">
        <v>1872</v>
      </c>
      <c r="D492" s="13" t="s">
        <v>1873</v>
      </c>
      <c r="E492" s="13" t="s">
        <v>3605</v>
      </c>
      <c r="F492" s="14" t="s">
        <v>3606</v>
      </c>
      <c r="G492" s="14" t="s">
        <v>2353</v>
      </c>
      <c r="H492" s="20" t="n">
        <v>35.5</v>
      </c>
      <c r="I492" s="13" t="n">
        <v>24</v>
      </c>
      <c r="J492" s="13" t="s">
        <v>3607</v>
      </c>
      <c r="K492" s="13" t="n">
        <v>36</v>
      </c>
      <c r="L492" s="21" t="n">
        <v>7.55</v>
      </c>
      <c r="M492" s="21" t="n">
        <f aca="false">IF(C492="covered",10.4,7.55)</f>
        <v>7.55</v>
      </c>
      <c r="N492" s="13" t="n">
        <f aca="false">MAX(ROUNDUP(H492,0),I492)</f>
        <v>36</v>
      </c>
      <c r="O492" s="21" t="n">
        <v>271.8</v>
      </c>
      <c r="P492" s="21" t="n">
        <f aca="false">ROUND(M492*N492,2)</f>
        <v>271.8</v>
      </c>
      <c r="Q492" s="21" t="n">
        <f aca="false">ROUND(P492-IF(O492="",0,O492),2)</f>
        <v>0</v>
      </c>
      <c r="R492" s="14" t="str">
        <f aca="false">IF(J492="","MISSING BILL",IF(AND(K492=N492,ABS(L492-M492)&lt;0.001,ABS(O492-P492)&lt;0.01),"RECONCILED","CALCULATION ERROR"))</f>
        <v>RECONCILED</v>
      </c>
      <c r="S492" s="14" t="s">
        <v>2935</v>
      </c>
    </row>
    <row r="493" customFormat="false" ht="15" hidden="true" customHeight="false" outlineLevel="0" collapsed="false">
      <c r="A493" s="13" t="s">
        <v>3608</v>
      </c>
      <c r="B493" s="13" t="s">
        <v>106</v>
      </c>
      <c r="C493" s="13" t="s">
        <v>1872</v>
      </c>
      <c r="D493" s="13" t="s">
        <v>1873</v>
      </c>
      <c r="E493" s="13" t="s">
        <v>3609</v>
      </c>
      <c r="F493" s="14" t="s">
        <v>3610</v>
      </c>
      <c r="G493" s="14" t="s">
        <v>3611</v>
      </c>
      <c r="H493" s="20" t="n">
        <v>54.1</v>
      </c>
      <c r="I493" s="13" t="n">
        <v>32</v>
      </c>
      <c r="J493" s="13" t="s">
        <v>3612</v>
      </c>
      <c r="K493" s="13" t="n">
        <v>55</v>
      </c>
      <c r="L493" s="21" t="n">
        <v>7.55</v>
      </c>
      <c r="M493" s="21" t="n">
        <f aca="false">IF(C493="covered",10.4,7.55)</f>
        <v>7.55</v>
      </c>
      <c r="N493" s="13" t="n">
        <f aca="false">MAX(ROUNDUP(H493,0),I493)</f>
        <v>55</v>
      </c>
      <c r="O493" s="21" t="n">
        <v>415.25</v>
      </c>
      <c r="P493" s="21" t="n">
        <f aca="false">ROUND(M493*N493,2)</f>
        <v>415.25</v>
      </c>
      <c r="Q493" s="21" t="n">
        <f aca="false">ROUND(P493-IF(O493="",0,O493),2)</f>
        <v>0</v>
      </c>
      <c r="R493" s="14" t="str">
        <f aca="false">IF(J493="","MISSING BILL",IF(AND(K493=N493,ABS(L493-M493)&lt;0.001,ABS(O493-P493)&lt;0.01),"RECONCILED","CALCULATION ERROR"))</f>
        <v>RECONCILED</v>
      </c>
      <c r="S493" s="14" t="s">
        <v>2935</v>
      </c>
    </row>
    <row r="494" customFormat="false" ht="15" hidden="true" customHeight="false" outlineLevel="0" collapsed="false">
      <c r="A494" s="13" t="s">
        <v>1385</v>
      </c>
      <c r="B494" s="13" t="s">
        <v>106</v>
      </c>
      <c r="C494" s="13" t="s">
        <v>1872</v>
      </c>
      <c r="D494" s="13" t="s">
        <v>1873</v>
      </c>
      <c r="E494" s="13" t="s">
        <v>3613</v>
      </c>
      <c r="F494" s="14" t="s">
        <v>3614</v>
      </c>
      <c r="G494" s="14" t="s">
        <v>3615</v>
      </c>
      <c r="H494" s="20" t="n">
        <v>35</v>
      </c>
      <c r="I494" s="13" t="n">
        <v>24</v>
      </c>
      <c r="J494" s="13" t="s">
        <v>3616</v>
      </c>
      <c r="K494" s="13" t="n">
        <v>35</v>
      </c>
      <c r="L494" s="21" t="n">
        <v>7.55</v>
      </c>
      <c r="M494" s="21" t="n">
        <f aca="false">IF(C494="covered",10.4,7.55)</f>
        <v>7.55</v>
      </c>
      <c r="N494" s="13" t="n">
        <f aca="false">MAX(ROUNDUP(H494,0),I494)</f>
        <v>35</v>
      </c>
      <c r="O494" s="21" t="n">
        <v>264.25</v>
      </c>
      <c r="P494" s="21" t="n">
        <f aca="false">ROUND(M494*N494,2)</f>
        <v>264.25</v>
      </c>
      <c r="Q494" s="21" t="n">
        <f aca="false">ROUND(P494-IF(O494="",0,O494),2)</f>
        <v>0</v>
      </c>
      <c r="R494" s="14" t="str">
        <f aca="false">IF(J494="","MISSING BILL",IF(AND(K494=N494,ABS(L494-M494)&lt;0.001,ABS(O494-P494)&lt;0.01),"RECONCILED","CALCULATION ERROR"))</f>
        <v>RECONCILED</v>
      </c>
      <c r="S494" s="14" t="s">
        <v>2935</v>
      </c>
    </row>
    <row r="495" customFormat="false" ht="15" hidden="true" customHeight="false" outlineLevel="0" collapsed="false">
      <c r="A495" s="13" t="s">
        <v>3617</v>
      </c>
      <c r="B495" s="13" t="s">
        <v>106</v>
      </c>
      <c r="C495" s="13" t="s">
        <v>1872</v>
      </c>
      <c r="D495" s="13" t="s">
        <v>1873</v>
      </c>
      <c r="E495" s="13" t="s">
        <v>3618</v>
      </c>
      <c r="F495" s="14" t="s">
        <v>3619</v>
      </c>
      <c r="G495" s="14" t="s">
        <v>3620</v>
      </c>
      <c r="H495" s="20" t="n">
        <v>28.5</v>
      </c>
      <c r="I495" s="13" t="n">
        <v>40</v>
      </c>
      <c r="J495" s="13" t="s">
        <v>3621</v>
      </c>
      <c r="K495" s="13" t="n">
        <v>40</v>
      </c>
      <c r="L495" s="21" t="n">
        <v>7.55</v>
      </c>
      <c r="M495" s="21" t="n">
        <f aca="false">IF(C495="covered",10.4,7.55)</f>
        <v>7.55</v>
      </c>
      <c r="N495" s="13" t="n">
        <f aca="false">MAX(ROUNDUP(H495,0),I495)</f>
        <v>40</v>
      </c>
      <c r="O495" s="21" t="n">
        <v>302</v>
      </c>
      <c r="P495" s="21" t="n">
        <f aca="false">ROUND(M495*N495,2)</f>
        <v>302</v>
      </c>
      <c r="Q495" s="21" t="n">
        <f aca="false">ROUND(P495-IF(O495="",0,O495),2)</f>
        <v>0</v>
      </c>
      <c r="R495" s="14" t="str">
        <f aca="false">IF(J495="","MISSING BILL",IF(AND(K495=N495,ABS(L495-M495)&lt;0.001,ABS(O495-P495)&lt;0.01),"RECONCILED","CALCULATION ERROR"))</f>
        <v>RECONCILED</v>
      </c>
      <c r="S495" s="14" t="s">
        <v>2935</v>
      </c>
    </row>
    <row r="496" customFormat="false" ht="15" hidden="true" customHeight="false" outlineLevel="0" collapsed="false">
      <c r="A496" s="13" t="s">
        <v>3622</v>
      </c>
      <c r="B496" s="13" t="s">
        <v>106</v>
      </c>
      <c r="C496" s="13" t="s">
        <v>1872</v>
      </c>
      <c r="D496" s="13" t="s">
        <v>1873</v>
      </c>
      <c r="E496" s="13" t="s">
        <v>3623</v>
      </c>
      <c r="F496" s="14" t="s">
        <v>3624</v>
      </c>
      <c r="G496" s="14" t="s">
        <v>3625</v>
      </c>
      <c r="H496" s="20" t="n">
        <v>49.9</v>
      </c>
      <c r="I496" s="13" t="n">
        <v>60</v>
      </c>
      <c r="J496" s="13" t="s">
        <v>3626</v>
      </c>
      <c r="K496" s="13" t="n">
        <v>60</v>
      </c>
      <c r="L496" s="21" t="n">
        <v>7.55</v>
      </c>
      <c r="M496" s="21" t="n">
        <f aca="false">IF(C496="covered",10.4,7.55)</f>
        <v>7.55</v>
      </c>
      <c r="N496" s="13" t="n">
        <f aca="false">MAX(ROUNDUP(H496,0),I496)</f>
        <v>60</v>
      </c>
      <c r="O496" s="21" t="n">
        <v>453</v>
      </c>
      <c r="P496" s="21" t="n">
        <f aca="false">ROUND(M496*N496,2)</f>
        <v>453</v>
      </c>
      <c r="Q496" s="21" t="n">
        <f aca="false">ROUND(P496-IF(O496="",0,O496),2)</f>
        <v>0</v>
      </c>
      <c r="R496" s="14" t="str">
        <f aca="false">IF(J496="","MISSING BILL",IF(AND(K496=N496,ABS(L496-M496)&lt;0.001,ABS(O496-P496)&lt;0.01),"RECONCILED","CALCULATION ERROR"))</f>
        <v>RECONCILED</v>
      </c>
      <c r="S496" s="14" t="s">
        <v>2935</v>
      </c>
    </row>
    <row r="497" customFormat="false" ht="15" hidden="true" customHeight="false" outlineLevel="0" collapsed="false">
      <c r="A497" s="13" t="s">
        <v>3627</v>
      </c>
      <c r="B497" s="13" t="s">
        <v>106</v>
      </c>
      <c r="C497" s="13" t="s">
        <v>1872</v>
      </c>
      <c r="D497" s="13" t="s">
        <v>1873</v>
      </c>
      <c r="E497" s="13" t="s">
        <v>3628</v>
      </c>
      <c r="F497" s="14" t="s">
        <v>3629</v>
      </c>
      <c r="G497" s="14" t="s">
        <v>2885</v>
      </c>
      <c r="H497" s="20" t="n">
        <v>54.2</v>
      </c>
      <c r="I497" s="13" t="n">
        <v>32</v>
      </c>
      <c r="J497" s="13" t="s">
        <v>3630</v>
      </c>
      <c r="K497" s="13" t="n">
        <v>55</v>
      </c>
      <c r="L497" s="21" t="n">
        <v>7.55</v>
      </c>
      <c r="M497" s="21" t="n">
        <f aca="false">IF(C497="covered",10.4,7.55)</f>
        <v>7.55</v>
      </c>
      <c r="N497" s="13" t="n">
        <f aca="false">MAX(ROUNDUP(H497,0),I497)</f>
        <v>55</v>
      </c>
      <c r="O497" s="21" t="n">
        <v>415.25</v>
      </c>
      <c r="P497" s="21" t="n">
        <f aca="false">ROUND(M497*N497,2)</f>
        <v>415.25</v>
      </c>
      <c r="Q497" s="21" t="n">
        <f aca="false">ROUND(P497-IF(O497="",0,O497),2)</f>
        <v>0</v>
      </c>
      <c r="R497" s="14" t="str">
        <f aca="false">IF(J497="","MISSING BILL",IF(AND(K497=N497,ABS(L497-M497)&lt;0.001,ABS(O497-P497)&lt;0.01),"RECONCILED","CALCULATION ERROR"))</f>
        <v>RECONCILED</v>
      </c>
      <c r="S497" s="14" t="s">
        <v>2935</v>
      </c>
    </row>
    <row r="498" customFormat="false" ht="15" hidden="true" customHeight="false" outlineLevel="0" collapsed="false">
      <c r="A498" s="13" t="s">
        <v>3631</v>
      </c>
      <c r="B498" s="13" t="s">
        <v>106</v>
      </c>
      <c r="C498" s="13" t="s">
        <v>1872</v>
      </c>
      <c r="D498" s="13" t="s">
        <v>1873</v>
      </c>
      <c r="E498" s="13" t="s">
        <v>3632</v>
      </c>
      <c r="F498" s="14" t="s">
        <v>3633</v>
      </c>
      <c r="G498" s="14" t="s">
        <v>2693</v>
      </c>
      <c r="H498" s="20" t="n">
        <v>37.9</v>
      </c>
      <c r="I498" s="13" t="n">
        <v>28</v>
      </c>
      <c r="J498" s="13" t="s">
        <v>3634</v>
      </c>
      <c r="K498" s="13" t="n">
        <v>38</v>
      </c>
      <c r="L498" s="21" t="n">
        <v>7.55</v>
      </c>
      <c r="M498" s="21" t="n">
        <f aca="false">IF(C498="covered",10.4,7.55)</f>
        <v>7.55</v>
      </c>
      <c r="N498" s="13" t="n">
        <f aca="false">MAX(ROUNDUP(H498,0),I498)</f>
        <v>38</v>
      </c>
      <c r="O498" s="21" t="n">
        <v>286.9</v>
      </c>
      <c r="P498" s="21" t="n">
        <f aca="false">ROUND(M498*N498,2)</f>
        <v>286.9</v>
      </c>
      <c r="Q498" s="21" t="n">
        <f aca="false">ROUND(P498-IF(O498="",0,O498),2)</f>
        <v>0</v>
      </c>
      <c r="R498" s="14" t="str">
        <f aca="false">IF(J498="","MISSING BILL",IF(AND(K498=N498,ABS(L498-M498)&lt;0.001,ABS(O498-P498)&lt;0.01),"RECONCILED","CALCULATION ERROR"))</f>
        <v>RECONCILED</v>
      </c>
      <c r="S498" s="14" t="s">
        <v>2935</v>
      </c>
    </row>
    <row r="499" customFormat="false" ht="15" hidden="true" customHeight="false" outlineLevel="0" collapsed="false">
      <c r="A499" s="13" t="s">
        <v>731</v>
      </c>
      <c r="B499" s="13" t="s">
        <v>106</v>
      </c>
      <c r="C499" s="13" t="s">
        <v>1872</v>
      </c>
      <c r="D499" s="13" t="s">
        <v>1873</v>
      </c>
      <c r="E499" s="13" t="s">
        <v>1742</v>
      </c>
      <c r="F499" s="14" t="s">
        <v>760</v>
      </c>
      <c r="G499" s="14" t="s">
        <v>3635</v>
      </c>
      <c r="H499" s="20" t="n">
        <v>46.8</v>
      </c>
      <c r="I499" s="13" t="n">
        <v>80</v>
      </c>
      <c r="J499" s="13" t="s">
        <v>3636</v>
      </c>
      <c r="K499" s="13" t="n">
        <v>80</v>
      </c>
      <c r="L499" s="21" t="n">
        <v>7.55</v>
      </c>
      <c r="M499" s="21" t="n">
        <f aca="false">IF(C499="covered",10.4,7.55)</f>
        <v>7.55</v>
      </c>
      <c r="N499" s="13" t="n">
        <f aca="false">MAX(ROUNDUP(H499,0),I499)</f>
        <v>80</v>
      </c>
      <c r="O499" s="21" t="n">
        <v>604</v>
      </c>
      <c r="P499" s="21" t="n">
        <f aca="false">ROUND(M499*N499,2)</f>
        <v>604</v>
      </c>
      <c r="Q499" s="21" t="n">
        <f aca="false">ROUND(P499-IF(O499="",0,O499),2)</f>
        <v>0</v>
      </c>
      <c r="R499" s="14" t="str">
        <f aca="false">IF(J499="","MISSING BILL",IF(AND(K499=N499,ABS(L499-M499)&lt;0.001,ABS(O499-P499)&lt;0.01),"RECONCILED","CALCULATION ERROR"))</f>
        <v>RECONCILED</v>
      </c>
      <c r="S499" s="14" t="s">
        <v>2935</v>
      </c>
    </row>
    <row r="500" customFormat="false" ht="15" hidden="true" customHeight="false" outlineLevel="0" collapsed="false">
      <c r="A500" s="13" t="s">
        <v>3637</v>
      </c>
      <c r="B500" s="13" t="s">
        <v>106</v>
      </c>
      <c r="C500" s="13" t="s">
        <v>1872</v>
      </c>
      <c r="D500" s="13" t="s">
        <v>1873</v>
      </c>
      <c r="E500" s="13" t="s">
        <v>3638</v>
      </c>
      <c r="F500" s="14" t="s">
        <v>3639</v>
      </c>
      <c r="G500" s="14" t="s">
        <v>3640</v>
      </c>
      <c r="H500" s="20" t="n">
        <v>26.2</v>
      </c>
      <c r="I500" s="13" t="n">
        <v>24</v>
      </c>
      <c r="J500" s="13" t="s">
        <v>3641</v>
      </c>
      <c r="K500" s="13" t="n">
        <v>27</v>
      </c>
      <c r="L500" s="21" t="n">
        <v>7.55</v>
      </c>
      <c r="M500" s="21" t="n">
        <f aca="false">IF(C500="covered",10.4,7.55)</f>
        <v>7.55</v>
      </c>
      <c r="N500" s="13" t="n">
        <f aca="false">MAX(ROUNDUP(H500,0),I500)</f>
        <v>27</v>
      </c>
      <c r="O500" s="21" t="n">
        <v>203.85</v>
      </c>
      <c r="P500" s="21" t="n">
        <f aca="false">ROUND(M500*N500,2)</f>
        <v>203.85</v>
      </c>
      <c r="Q500" s="21" t="n">
        <f aca="false">ROUND(P500-IF(O500="",0,O500),2)</f>
        <v>0</v>
      </c>
      <c r="R500" s="14" t="str">
        <f aca="false">IF(J500="","MISSING BILL",IF(AND(K500=N500,ABS(L500-M500)&lt;0.001,ABS(O500-P500)&lt;0.01),"RECONCILED","CALCULATION ERROR"))</f>
        <v>RECONCILED</v>
      </c>
      <c r="S500" s="14" t="s">
        <v>2935</v>
      </c>
    </row>
    <row r="501" customFormat="false" ht="15" hidden="true" customHeight="false" outlineLevel="0" collapsed="false">
      <c r="A501" s="13" t="s">
        <v>3642</v>
      </c>
      <c r="B501" s="13" t="s">
        <v>106</v>
      </c>
      <c r="C501" s="13" t="s">
        <v>1872</v>
      </c>
      <c r="D501" s="13" t="s">
        <v>1873</v>
      </c>
      <c r="E501" s="13" t="s">
        <v>3643</v>
      </c>
      <c r="F501" s="14" t="s">
        <v>3644</v>
      </c>
      <c r="G501" s="14" t="s">
        <v>3645</v>
      </c>
      <c r="H501" s="20" t="n">
        <v>38.3</v>
      </c>
      <c r="I501" s="13" t="n">
        <v>45</v>
      </c>
      <c r="J501" s="13" t="s">
        <v>3646</v>
      </c>
      <c r="K501" s="13" t="n">
        <v>45</v>
      </c>
      <c r="L501" s="21" t="n">
        <v>7.55</v>
      </c>
      <c r="M501" s="21" t="n">
        <f aca="false">IF(C501="covered",10.4,7.55)</f>
        <v>7.55</v>
      </c>
      <c r="N501" s="13" t="n">
        <f aca="false">MAX(ROUNDUP(H501,0),I501)</f>
        <v>45</v>
      </c>
      <c r="O501" s="21" t="n">
        <v>339.75</v>
      </c>
      <c r="P501" s="21" t="n">
        <f aca="false">ROUND(M501*N501,2)</f>
        <v>339.75</v>
      </c>
      <c r="Q501" s="21" t="n">
        <f aca="false">ROUND(P501-IF(O501="",0,O501),2)</f>
        <v>0</v>
      </c>
      <c r="R501" s="14" t="str">
        <f aca="false">IF(J501="","MISSING BILL",IF(AND(K501=N501,ABS(L501-M501)&lt;0.001,ABS(O501-P501)&lt;0.01),"RECONCILED","CALCULATION ERROR"))</f>
        <v>RECONCILED</v>
      </c>
      <c r="S501" s="14" t="s">
        <v>2935</v>
      </c>
    </row>
    <row r="502" customFormat="false" ht="15" hidden="true" customHeight="false" outlineLevel="0" collapsed="false">
      <c r="A502" s="13" t="s">
        <v>3647</v>
      </c>
      <c r="B502" s="13" t="s">
        <v>106</v>
      </c>
      <c r="C502" s="13" t="s">
        <v>1872</v>
      </c>
      <c r="D502" s="13" t="s">
        <v>1873</v>
      </c>
      <c r="E502" s="13" t="s">
        <v>3648</v>
      </c>
      <c r="F502" s="14" t="s">
        <v>3649</v>
      </c>
      <c r="G502" s="14" t="s">
        <v>2825</v>
      </c>
      <c r="H502" s="20" t="n">
        <v>47</v>
      </c>
      <c r="I502" s="13" t="n">
        <v>45</v>
      </c>
      <c r="J502" s="13" t="s">
        <v>3650</v>
      </c>
      <c r="K502" s="13" t="n">
        <v>47</v>
      </c>
      <c r="L502" s="21" t="n">
        <v>7.55</v>
      </c>
      <c r="M502" s="21" t="n">
        <f aca="false">IF(C502="covered",10.4,7.55)</f>
        <v>7.55</v>
      </c>
      <c r="N502" s="13" t="n">
        <f aca="false">MAX(ROUNDUP(H502,0),I502)</f>
        <v>47</v>
      </c>
      <c r="O502" s="21" t="n">
        <v>354.85</v>
      </c>
      <c r="P502" s="21" t="n">
        <f aca="false">ROUND(M502*N502,2)</f>
        <v>354.85</v>
      </c>
      <c r="Q502" s="21" t="n">
        <f aca="false">ROUND(P502-IF(O502="",0,O502),2)</f>
        <v>0</v>
      </c>
      <c r="R502" s="14" t="str">
        <f aca="false">IF(J502="","MISSING BILL",IF(AND(K502=N502,ABS(L502-M502)&lt;0.001,ABS(O502-P502)&lt;0.01),"RECONCILED","CALCULATION ERROR"))</f>
        <v>RECONCILED</v>
      </c>
      <c r="S502" s="14" t="s">
        <v>2935</v>
      </c>
    </row>
    <row r="503" customFormat="false" ht="15" hidden="true" customHeight="false" outlineLevel="0" collapsed="false">
      <c r="A503" s="13" t="s">
        <v>3651</v>
      </c>
      <c r="B503" s="13" t="s">
        <v>106</v>
      </c>
      <c r="C503" s="13" t="s">
        <v>1872</v>
      </c>
      <c r="D503" s="13" t="s">
        <v>1873</v>
      </c>
      <c r="E503" s="13" t="s">
        <v>3652</v>
      </c>
      <c r="F503" s="14" t="s">
        <v>3653</v>
      </c>
      <c r="G503" s="14" t="s">
        <v>2017</v>
      </c>
      <c r="H503" s="20" t="n">
        <v>58.9</v>
      </c>
      <c r="I503" s="13" t="n">
        <v>80</v>
      </c>
      <c r="J503" s="13" t="s">
        <v>3654</v>
      </c>
      <c r="K503" s="13" t="n">
        <v>80</v>
      </c>
      <c r="L503" s="21" t="n">
        <v>7.55</v>
      </c>
      <c r="M503" s="21" t="n">
        <f aca="false">IF(C503="covered",10.4,7.55)</f>
        <v>7.55</v>
      </c>
      <c r="N503" s="13" t="n">
        <f aca="false">MAX(ROUNDUP(H503,0),I503)</f>
        <v>80</v>
      </c>
      <c r="O503" s="21" t="n">
        <v>604</v>
      </c>
      <c r="P503" s="21" t="n">
        <f aca="false">ROUND(M503*N503,2)</f>
        <v>604</v>
      </c>
      <c r="Q503" s="21" t="n">
        <f aca="false">ROUND(P503-IF(O503="",0,O503),2)</f>
        <v>0</v>
      </c>
      <c r="R503" s="14" t="str">
        <f aca="false">IF(J503="","MISSING BILL",IF(AND(K503=N503,ABS(L503-M503)&lt;0.001,ABS(O503-P503)&lt;0.01),"RECONCILED","CALCULATION ERROR"))</f>
        <v>RECONCILED</v>
      </c>
      <c r="S503" s="14" t="s">
        <v>2935</v>
      </c>
    </row>
    <row r="504" customFormat="false" ht="15" hidden="true" customHeight="false" outlineLevel="0" collapsed="false">
      <c r="A504" s="13" t="s">
        <v>3655</v>
      </c>
      <c r="B504" s="13" t="s">
        <v>106</v>
      </c>
      <c r="C504" s="13" t="s">
        <v>1872</v>
      </c>
      <c r="D504" s="13" t="s">
        <v>1873</v>
      </c>
      <c r="E504" s="13" t="s">
        <v>3656</v>
      </c>
      <c r="F504" s="14" t="s">
        <v>3657</v>
      </c>
      <c r="G504" s="14" t="s">
        <v>3658</v>
      </c>
      <c r="H504" s="20" t="n">
        <v>52</v>
      </c>
      <c r="I504" s="13" t="n">
        <v>40</v>
      </c>
      <c r="J504" s="13" t="s">
        <v>3659</v>
      </c>
      <c r="K504" s="13" t="n">
        <v>52</v>
      </c>
      <c r="L504" s="21" t="n">
        <v>7.55</v>
      </c>
      <c r="M504" s="21" t="n">
        <f aca="false">IF(C504="covered",10.4,7.55)</f>
        <v>7.55</v>
      </c>
      <c r="N504" s="13" t="n">
        <f aca="false">MAX(ROUNDUP(H504,0),I504)</f>
        <v>52</v>
      </c>
      <c r="O504" s="21" t="n">
        <v>392.6</v>
      </c>
      <c r="P504" s="21" t="n">
        <f aca="false">ROUND(M504*N504,2)</f>
        <v>392.6</v>
      </c>
      <c r="Q504" s="21" t="n">
        <f aca="false">ROUND(P504-IF(O504="",0,O504),2)</f>
        <v>0</v>
      </c>
      <c r="R504" s="14" t="str">
        <f aca="false">IF(J504="","MISSING BILL",IF(AND(K504=N504,ABS(L504-M504)&lt;0.001,ABS(O504-P504)&lt;0.01),"RECONCILED","CALCULATION ERROR"))</f>
        <v>RECONCILED</v>
      </c>
      <c r="S504" s="14" t="s">
        <v>2935</v>
      </c>
    </row>
    <row r="505" customFormat="false" ht="15" hidden="true" customHeight="false" outlineLevel="0" collapsed="false">
      <c r="A505" s="13" t="s">
        <v>3660</v>
      </c>
      <c r="B505" s="13" t="s">
        <v>106</v>
      </c>
      <c r="C505" s="13" t="s">
        <v>1872</v>
      </c>
      <c r="D505" s="13" t="s">
        <v>1873</v>
      </c>
      <c r="E505" s="13" t="s">
        <v>3661</v>
      </c>
      <c r="F505" s="14" t="s">
        <v>3662</v>
      </c>
      <c r="G505" s="14" t="s">
        <v>2079</v>
      </c>
      <c r="H505" s="20" t="n">
        <v>34.8</v>
      </c>
      <c r="I505" s="13" t="n">
        <v>40</v>
      </c>
      <c r="J505" s="13" t="s">
        <v>3663</v>
      </c>
      <c r="K505" s="13" t="n">
        <v>40</v>
      </c>
      <c r="L505" s="21" t="n">
        <v>7.55</v>
      </c>
      <c r="M505" s="21" t="n">
        <f aca="false">IF(C505="covered",10.4,7.55)</f>
        <v>7.55</v>
      </c>
      <c r="N505" s="13" t="n">
        <f aca="false">MAX(ROUNDUP(H505,0),I505)</f>
        <v>40</v>
      </c>
      <c r="O505" s="21" t="n">
        <v>302</v>
      </c>
      <c r="P505" s="21" t="n">
        <f aca="false">ROUND(M505*N505,2)</f>
        <v>302</v>
      </c>
      <c r="Q505" s="21" t="n">
        <f aca="false">ROUND(P505-IF(O505="",0,O505),2)</f>
        <v>0</v>
      </c>
      <c r="R505" s="14" t="str">
        <f aca="false">IF(J505="","MISSING BILL",IF(AND(K505=N505,ABS(L505-M505)&lt;0.001,ABS(O505-P505)&lt;0.01),"RECONCILED","CALCULATION ERROR"))</f>
        <v>RECONCILED</v>
      </c>
      <c r="S505" s="14" t="s">
        <v>2935</v>
      </c>
    </row>
    <row r="506" customFormat="false" ht="15" hidden="true" customHeight="false" outlineLevel="0" collapsed="false">
      <c r="A506" s="13" t="s">
        <v>1095</v>
      </c>
      <c r="B506" s="13" t="s">
        <v>106</v>
      </c>
      <c r="C506" s="13" t="s">
        <v>1872</v>
      </c>
      <c r="D506" s="13" t="s">
        <v>1873</v>
      </c>
      <c r="E506" s="13" t="s">
        <v>3664</v>
      </c>
      <c r="F506" s="14" t="s">
        <v>3665</v>
      </c>
      <c r="G506" s="14" t="s">
        <v>3338</v>
      </c>
      <c r="H506" s="20" t="n">
        <v>24.6</v>
      </c>
      <c r="I506" s="13" t="n">
        <v>45</v>
      </c>
      <c r="J506" s="13" t="s">
        <v>3666</v>
      </c>
      <c r="K506" s="13" t="n">
        <v>45</v>
      </c>
      <c r="L506" s="21" t="n">
        <v>7.55</v>
      </c>
      <c r="M506" s="21" t="n">
        <f aca="false">IF(C506="covered",10.4,7.55)</f>
        <v>7.55</v>
      </c>
      <c r="N506" s="13" t="n">
        <f aca="false">MAX(ROUNDUP(H506,0),I506)</f>
        <v>45</v>
      </c>
      <c r="O506" s="21" t="n">
        <v>339.75</v>
      </c>
      <c r="P506" s="21" t="n">
        <f aca="false">ROUND(M506*N506,2)</f>
        <v>339.75</v>
      </c>
      <c r="Q506" s="21" t="n">
        <f aca="false">ROUND(P506-IF(O506="",0,O506),2)</f>
        <v>0</v>
      </c>
      <c r="R506" s="14" t="str">
        <f aca="false">IF(J506="","MISSING BILL",IF(AND(K506=N506,ABS(L506-M506)&lt;0.001,ABS(O506-P506)&lt;0.01),"RECONCILED","CALCULATION ERROR"))</f>
        <v>RECONCILED</v>
      </c>
      <c r="S506" s="14" t="s">
        <v>2935</v>
      </c>
    </row>
    <row r="507" customFormat="false" ht="15" hidden="true" customHeight="false" outlineLevel="0" collapsed="false">
      <c r="A507" s="13" t="s">
        <v>3667</v>
      </c>
      <c r="B507" s="13" t="s">
        <v>106</v>
      </c>
      <c r="C507" s="13" t="s">
        <v>1872</v>
      </c>
      <c r="D507" s="13" t="s">
        <v>1873</v>
      </c>
      <c r="E507" s="13" t="s">
        <v>3668</v>
      </c>
      <c r="F507" s="14" t="s">
        <v>3669</v>
      </c>
      <c r="G507" s="14" t="s">
        <v>2825</v>
      </c>
      <c r="H507" s="20" t="n">
        <v>53.7</v>
      </c>
      <c r="I507" s="13" t="n">
        <v>70</v>
      </c>
      <c r="J507" s="13" t="s">
        <v>3670</v>
      </c>
      <c r="K507" s="13" t="n">
        <v>70</v>
      </c>
      <c r="L507" s="21" t="n">
        <v>7.55</v>
      </c>
      <c r="M507" s="21" t="n">
        <f aca="false">IF(C507="covered",10.4,7.55)</f>
        <v>7.55</v>
      </c>
      <c r="N507" s="13" t="n">
        <f aca="false">MAX(ROUNDUP(H507,0),I507)</f>
        <v>70</v>
      </c>
      <c r="O507" s="21" t="n">
        <v>528.5</v>
      </c>
      <c r="P507" s="21" t="n">
        <f aca="false">ROUND(M507*N507,2)</f>
        <v>528.5</v>
      </c>
      <c r="Q507" s="21" t="n">
        <f aca="false">ROUND(P507-IF(O507="",0,O507),2)</f>
        <v>0</v>
      </c>
      <c r="R507" s="14" t="str">
        <f aca="false">IF(J507="","MISSING BILL",IF(AND(K507=N507,ABS(L507-M507)&lt;0.001,ABS(O507-P507)&lt;0.01),"RECONCILED","CALCULATION ERROR"))</f>
        <v>RECONCILED</v>
      </c>
      <c r="S507" s="14" t="s">
        <v>2935</v>
      </c>
    </row>
    <row r="508" customFormat="false" ht="15" hidden="true" customHeight="false" outlineLevel="0" collapsed="false">
      <c r="A508" s="13" t="s">
        <v>3671</v>
      </c>
      <c r="B508" s="13" t="s">
        <v>106</v>
      </c>
      <c r="C508" s="13" t="s">
        <v>1872</v>
      </c>
      <c r="D508" s="13" t="s">
        <v>1873</v>
      </c>
      <c r="E508" s="13" t="s">
        <v>3672</v>
      </c>
      <c r="F508" s="14" t="s">
        <v>3673</v>
      </c>
      <c r="G508" s="14" t="s">
        <v>3424</v>
      </c>
      <c r="H508" s="20" t="n">
        <v>24</v>
      </c>
      <c r="I508" s="13" t="n">
        <v>60</v>
      </c>
      <c r="J508" s="13" t="s">
        <v>3674</v>
      </c>
      <c r="K508" s="13" t="n">
        <v>60</v>
      </c>
      <c r="L508" s="21" t="n">
        <v>7.55</v>
      </c>
      <c r="M508" s="21" t="n">
        <f aca="false">IF(C508="covered",10.4,7.55)</f>
        <v>7.55</v>
      </c>
      <c r="N508" s="13" t="n">
        <f aca="false">MAX(ROUNDUP(H508,0),I508)</f>
        <v>60</v>
      </c>
      <c r="O508" s="21" t="n">
        <v>453</v>
      </c>
      <c r="P508" s="21" t="n">
        <f aca="false">ROUND(M508*N508,2)</f>
        <v>453</v>
      </c>
      <c r="Q508" s="21" t="n">
        <f aca="false">ROUND(P508-IF(O508="",0,O508),2)</f>
        <v>0</v>
      </c>
      <c r="R508" s="14" t="str">
        <f aca="false">IF(J508="","MISSING BILL",IF(AND(K508=N508,ABS(L508-M508)&lt;0.001,ABS(O508-P508)&lt;0.01),"RECONCILED","CALCULATION ERROR"))</f>
        <v>RECONCILED</v>
      </c>
      <c r="S508" s="14" t="s">
        <v>2935</v>
      </c>
    </row>
    <row r="509" customFormat="false" ht="15" hidden="true" customHeight="false" outlineLevel="0" collapsed="false">
      <c r="A509" s="13" t="s">
        <v>3675</v>
      </c>
      <c r="B509" s="13" t="s">
        <v>106</v>
      </c>
      <c r="C509" s="13" t="s">
        <v>1872</v>
      </c>
      <c r="D509" s="13" t="s">
        <v>1873</v>
      </c>
      <c r="E509" s="13" t="s">
        <v>3676</v>
      </c>
      <c r="F509" s="14" t="s">
        <v>3677</v>
      </c>
      <c r="G509" s="14" t="s">
        <v>3678</v>
      </c>
      <c r="H509" s="20" t="n">
        <v>47.4</v>
      </c>
      <c r="I509" s="13" t="n">
        <v>70</v>
      </c>
      <c r="J509" s="13" t="s">
        <v>3679</v>
      </c>
      <c r="K509" s="13" t="n">
        <v>70</v>
      </c>
      <c r="L509" s="21" t="n">
        <v>7.55</v>
      </c>
      <c r="M509" s="21" t="n">
        <f aca="false">IF(C509="covered",10.4,7.55)</f>
        <v>7.55</v>
      </c>
      <c r="N509" s="13" t="n">
        <f aca="false">MAX(ROUNDUP(H509,0),I509)</f>
        <v>70</v>
      </c>
      <c r="O509" s="21" t="n">
        <v>528.5</v>
      </c>
      <c r="P509" s="21" t="n">
        <f aca="false">ROUND(M509*N509,2)</f>
        <v>528.5</v>
      </c>
      <c r="Q509" s="21" t="n">
        <f aca="false">ROUND(P509-IF(O509="",0,O509),2)</f>
        <v>0</v>
      </c>
      <c r="R509" s="14" t="str">
        <f aca="false">IF(J509="","MISSING BILL",IF(AND(K509=N509,ABS(L509-M509)&lt;0.001,ABS(O509-P509)&lt;0.01),"RECONCILED","CALCULATION ERROR"))</f>
        <v>RECONCILED</v>
      </c>
      <c r="S509" s="14" t="s">
        <v>2935</v>
      </c>
    </row>
    <row r="510" customFormat="false" ht="15" hidden="true" customHeight="false" outlineLevel="0" collapsed="false">
      <c r="A510" s="13" t="s">
        <v>3680</v>
      </c>
      <c r="B510" s="13" t="s">
        <v>106</v>
      </c>
      <c r="C510" s="13" t="s">
        <v>1872</v>
      </c>
      <c r="D510" s="13" t="s">
        <v>1873</v>
      </c>
      <c r="E510" s="13" t="s">
        <v>3681</v>
      </c>
      <c r="F510" s="14" t="s">
        <v>3682</v>
      </c>
      <c r="G510" s="14" t="s">
        <v>3683</v>
      </c>
      <c r="H510" s="20" t="n">
        <v>47.2</v>
      </c>
      <c r="I510" s="13" t="n">
        <v>32</v>
      </c>
      <c r="J510" s="13" t="s">
        <v>3684</v>
      </c>
      <c r="K510" s="13" t="n">
        <v>48</v>
      </c>
      <c r="L510" s="21" t="n">
        <v>7.55</v>
      </c>
      <c r="M510" s="21" t="n">
        <f aca="false">IF(C510="covered",10.4,7.55)</f>
        <v>7.55</v>
      </c>
      <c r="N510" s="13" t="n">
        <f aca="false">MAX(ROUNDUP(H510,0),I510)</f>
        <v>48</v>
      </c>
      <c r="O510" s="21" t="n">
        <v>362.4</v>
      </c>
      <c r="P510" s="21" t="n">
        <f aca="false">ROUND(M510*N510,2)</f>
        <v>362.4</v>
      </c>
      <c r="Q510" s="21" t="n">
        <f aca="false">ROUND(P510-IF(O510="",0,O510),2)</f>
        <v>0</v>
      </c>
      <c r="R510" s="14" t="str">
        <f aca="false">IF(J510="","MISSING BILL",IF(AND(K510=N510,ABS(L510-M510)&lt;0.001,ABS(O510-P510)&lt;0.01),"RECONCILED","CALCULATION ERROR"))</f>
        <v>RECONCILED</v>
      </c>
      <c r="S510" s="14" t="s">
        <v>2935</v>
      </c>
    </row>
    <row r="511" customFormat="false" ht="15" hidden="true" customHeight="false" outlineLevel="0" collapsed="false">
      <c r="A511" s="13" t="s">
        <v>3685</v>
      </c>
      <c r="B511" s="13" t="s">
        <v>106</v>
      </c>
      <c r="C511" s="13" t="s">
        <v>1872</v>
      </c>
      <c r="D511" s="13" t="s">
        <v>1873</v>
      </c>
      <c r="E511" s="13" t="s">
        <v>3686</v>
      </c>
      <c r="F511" s="14" t="s">
        <v>3687</v>
      </c>
      <c r="G511" s="14" t="s">
        <v>3688</v>
      </c>
      <c r="H511" s="20" t="n">
        <v>25.3</v>
      </c>
      <c r="I511" s="13" t="n">
        <v>28</v>
      </c>
      <c r="J511" s="13" t="s">
        <v>3689</v>
      </c>
      <c r="K511" s="13" t="n">
        <v>28</v>
      </c>
      <c r="L511" s="21" t="n">
        <v>7.55</v>
      </c>
      <c r="M511" s="21" t="n">
        <f aca="false">IF(C511="covered",10.4,7.55)</f>
        <v>7.55</v>
      </c>
      <c r="N511" s="13" t="n">
        <f aca="false">MAX(ROUNDUP(H511,0),I511)</f>
        <v>28</v>
      </c>
      <c r="O511" s="21" t="n">
        <v>211.4</v>
      </c>
      <c r="P511" s="21" t="n">
        <f aca="false">ROUND(M511*N511,2)</f>
        <v>211.4</v>
      </c>
      <c r="Q511" s="21" t="n">
        <f aca="false">ROUND(P511-IF(O511="",0,O511),2)</f>
        <v>0</v>
      </c>
      <c r="R511" s="14" t="str">
        <f aca="false">IF(J511="","MISSING BILL",IF(AND(K511=N511,ABS(L511-M511)&lt;0.001,ABS(O511-P511)&lt;0.01),"RECONCILED","CALCULATION ERROR"))</f>
        <v>RECONCILED</v>
      </c>
      <c r="S511" s="14" t="s">
        <v>2935</v>
      </c>
    </row>
    <row r="512" customFormat="false" ht="15" hidden="true" customHeight="false" outlineLevel="0" collapsed="false">
      <c r="A512" s="13" t="s">
        <v>3690</v>
      </c>
      <c r="B512" s="13" t="s">
        <v>106</v>
      </c>
      <c r="C512" s="13" t="s">
        <v>1872</v>
      </c>
      <c r="D512" s="13" t="s">
        <v>1873</v>
      </c>
      <c r="E512" s="13" t="s">
        <v>3691</v>
      </c>
      <c r="F512" s="14" t="s">
        <v>3692</v>
      </c>
      <c r="G512" s="14" t="s">
        <v>3693</v>
      </c>
      <c r="H512" s="20" t="n">
        <v>49.5</v>
      </c>
      <c r="I512" s="13" t="n">
        <v>50</v>
      </c>
      <c r="J512" s="13" t="s">
        <v>3694</v>
      </c>
      <c r="K512" s="13" t="n">
        <v>50</v>
      </c>
      <c r="L512" s="21" t="n">
        <v>7.55</v>
      </c>
      <c r="M512" s="21" t="n">
        <f aca="false">IF(C512="covered",10.4,7.55)</f>
        <v>7.55</v>
      </c>
      <c r="N512" s="13" t="n">
        <f aca="false">MAX(ROUNDUP(H512,0),I512)</f>
        <v>50</v>
      </c>
      <c r="O512" s="21" t="n">
        <v>377.5</v>
      </c>
      <c r="P512" s="21" t="n">
        <f aca="false">ROUND(M512*N512,2)</f>
        <v>377.5</v>
      </c>
      <c r="Q512" s="21" t="n">
        <f aca="false">ROUND(P512-IF(O512="",0,O512),2)</f>
        <v>0</v>
      </c>
      <c r="R512" s="14" t="str">
        <f aca="false">IF(J512="","MISSING BILL",IF(AND(K512=N512,ABS(L512-M512)&lt;0.001,ABS(O512-P512)&lt;0.01),"RECONCILED","CALCULATION ERROR"))</f>
        <v>RECONCILED</v>
      </c>
      <c r="S512" s="14" t="s">
        <v>2935</v>
      </c>
    </row>
    <row r="513" customFormat="false" ht="15" hidden="true" customHeight="false" outlineLevel="0" collapsed="false">
      <c r="A513" s="13" t="s">
        <v>627</v>
      </c>
      <c r="B513" s="13" t="s">
        <v>106</v>
      </c>
      <c r="C513" s="13" t="s">
        <v>1872</v>
      </c>
      <c r="D513" s="13" t="s">
        <v>1873</v>
      </c>
      <c r="E513" s="13" t="s">
        <v>3695</v>
      </c>
      <c r="F513" s="14" t="s">
        <v>3696</v>
      </c>
      <c r="G513" s="14" t="s">
        <v>2885</v>
      </c>
      <c r="H513" s="20" t="n">
        <v>53.1</v>
      </c>
      <c r="I513" s="13" t="n">
        <v>24</v>
      </c>
      <c r="J513" s="13" t="s">
        <v>3697</v>
      </c>
      <c r="K513" s="13" t="n">
        <v>54</v>
      </c>
      <c r="L513" s="21" t="n">
        <v>7.55</v>
      </c>
      <c r="M513" s="21" t="n">
        <f aca="false">IF(C513="covered",10.4,7.55)</f>
        <v>7.55</v>
      </c>
      <c r="N513" s="13" t="n">
        <f aca="false">MAX(ROUNDUP(H513,0),I513)</f>
        <v>54</v>
      </c>
      <c r="O513" s="21" t="n">
        <v>407.7</v>
      </c>
      <c r="P513" s="21" t="n">
        <f aca="false">ROUND(M513*N513,2)</f>
        <v>407.7</v>
      </c>
      <c r="Q513" s="21" t="n">
        <f aca="false">ROUND(P513-IF(O513="",0,O513),2)</f>
        <v>0</v>
      </c>
      <c r="R513" s="14" t="str">
        <f aca="false">IF(J513="","MISSING BILL",IF(AND(K513=N513,ABS(L513-M513)&lt;0.001,ABS(O513-P513)&lt;0.01),"RECONCILED","CALCULATION ERROR"))</f>
        <v>RECONCILED</v>
      </c>
      <c r="S513" s="14" t="s">
        <v>2935</v>
      </c>
    </row>
    <row r="514" customFormat="false" ht="15" hidden="true" customHeight="false" outlineLevel="0" collapsed="false">
      <c r="A514" s="13" t="s">
        <v>3698</v>
      </c>
      <c r="B514" s="13" t="s">
        <v>106</v>
      </c>
      <c r="C514" s="13" t="s">
        <v>1872</v>
      </c>
      <c r="D514" s="13" t="s">
        <v>1873</v>
      </c>
      <c r="E514" s="13" t="s">
        <v>3699</v>
      </c>
      <c r="F514" s="14" t="s">
        <v>3700</v>
      </c>
      <c r="G514" s="14" t="s">
        <v>3701</v>
      </c>
      <c r="H514" s="20" t="n">
        <v>48.6</v>
      </c>
      <c r="I514" s="13" t="n">
        <v>24</v>
      </c>
      <c r="J514" s="13" t="s">
        <v>3702</v>
      </c>
      <c r="K514" s="13" t="n">
        <v>49</v>
      </c>
      <c r="L514" s="21" t="n">
        <v>7.55</v>
      </c>
      <c r="M514" s="21" t="n">
        <f aca="false">IF(C514="covered",10.4,7.55)</f>
        <v>7.55</v>
      </c>
      <c r="N514" s="13" t="n">
        <f aca="false">MAX(ROUNDUP(H514,0),I514)</f>
        <v>49</v>
      </c>
      <c r="O514" s="21" t="n">
        <v>369.95</v>
      </c>
      <c r="P514" s="21" t="n">
        <f aca="false">ROUND(M514*N514,2)</f>
        <v>369.95</v>
      </c>
      <c r="Q514" s="21" t="n">
        <f aca="false">ROUND(P514-IF(O514="",0,O514),2)</f>
        <v>0</v>
      </c>
      <c r="R514" s="14" t="str">
        <f aca="false">IF(J514="","MISSING BILL",IF(AND(K514=N514,ABS(L514-M514)&lt;0.001,ABS(O514-P514)&lt;0.01),"RECONCILED","CALCULATION ERROR"))</f>
        <v>RECONCILED</v>
      </c>
      <c r="S514" s="14" t="s">
        <v>2935</v>
      </c>
    </row>
    <row r="515" customFormat="false" ht="15" hidden="true" customHeight="false" outlineLevel="0" collapsed="false">
      <c r="A515" s="13" t="s">
        <v>3703</v>
      </c>
      <c r="B515" s="13" t="s">
        <v>106</v>
      </c>
      <c r="C515" s="13" t="s">
        <v>1872</v>
      </c>
      <c r="D515" s="13" t="s">
        <v>1873</v>
      </c>
      <c r="E515" s="13" t="s">
        <v>3704</v>
      </c>
      <c r="F515" s="14" t="s">
        <v>3705</v>
      </c>
      <c r="G515" s="14" t="s">
        <v>3706</v>
      </c>
      <c r="H515" s="20" t="n">
        <v>29.8</v>
      </c>
      <c r="I515" s="13" t="n">
        <v>24</v>
      </c>
      <c r="J515" s="13" t="s">
        <v>3707</v>
      </c>
      <c r="K515" s="13" t="n">
        <v>30</v>
      </c>
      <c r="L515" s="21" t="n">
        <v>7.55</v>
      </c>
      <c r="M515" s="21" t="n">
        <f aca="false">IF(C515="covered",10.4,7.55)</f>
        <v>7.55</v>
      </c>
      <c r="N515" s="13" t="n">
        <f aca="false">MAX(ROUNDUP(H515,0),I515)</f>
        <v>30</v>
      </c>
      <c r="O515" s="21" t="n">
        <v>226.5</v>
      </c>
      <c r="P515" s="21" t="n">
        <f aca="false">ROUND(M515*N515,2)</f>
        <v>226.5</v>
      </c>
      <c r="Q515" s="21" t="n">
        <f aca="false">ROUND(P515-IF(O515="",0,O515),2)</f>
        <v>0</v>
      </c>
      <c r="R515" s="14" t="str">
        <f aca="false">IF(J515="","MISSING BILL",IF(AND(K515=N515,ABS(L515-M515)&lt;0.001,ABS(O515-P515)&lt;0.01),"RECONCILED","CALCULATION ERROR"))</f>
        <v>RECONCILED</v>
      </c>
      <c r="S515" s="14" t="s">
        <v>2935</v>
      </c>
    </row>
    <row r="516" customFormat="false" ht="15" hidden="true" customHeight="false" outlineLevel="0" collapsed="false">
      <c r="A516" s="13" t="s">
        <v>3708</v>
      </c>
      <c r="B516" s="13" t="s">
        <v>106</v>
      </c>
      <c r="C516" s="13" t="s">
        <v>1872</v>
      </c>
      <c r="D516" s="13" t="s">
        <v>1873</v>
      </c>
      <c r="E516" s="13" t="s">
        <v>3709</v>
      </c>
      <c r="F516" s="14" t="s">
        <v>3710</v>
      </c>
      <c r="G516" s="14" t="s">
        <v>2723</v>
      </c>
      <c r="H516" s="20" t="n">
        <v>61.3</v>
      </c>
      <c r="I516" s="13" t="n">
        <v>28</v>
      </c>
      <c r="J516" s="13" t="s">
        <v>3711</v>
      </c>
      <c r="K516" s="13" t="n">
        <v>62</v>
      </c>
      <c r="L516" s="21" t="n">
        <v>7.55</v>
      </c>
      <c r="M516" s="21" t="n">
        <f aca="false">IF(C516="covered",10.4,7.55)</f>
        <v>7.55</v>
      </c>
      <c r="N516" s="13" t="n">
        <f aca="false">MAX(ROUNDUP(H516,0),I516)</f>
        <v>62</v>
      </c>
      <c r="O516" s="21" t="n">
        <v>468.1</v>
      </c>
      <c r="P516" s="21" t="n">
        <f aca="false">ROUND(M516*N516,2)</f>
        <v>468.1</v>
      </c>
      <c r="Q516" s="21" t="n">
        <f aca="false">ROUND(P516-IF(O516="",0,O516),2)</f>
        <v>0</v>
      </c>
      <c r="R516" s="14" t="str">
        <f aca="false">IF(J516="","MISSING BILL",IF(AND(K516=N516,ABS(L516-M516)&lt;0.001,ABS(O516-P516)&lt;0.01),"RECONCILED","CALCULATION ERROR"))</f>
        <v>RECONCILED</v>
      </c>
      <c r="S516" s="14" t="s">
        <v>2935</v>
      </c>
    </row>
    <row r="517" customFormat="false" ht="15" hidden="true" customHeight="false" outlineLevel="0" collapsed="false">
      <c r="A517" s="13" t="s">
        <v>3712</v>
      </c>
      <c r="B517" s="13" t="s">
        <v>106</v>
      </c>
      <c r="C517" s="13" t="s">
        <v>1872</v>
      </c>
      <c r="D517" s="13" t="s">
        <v>1873</v>
      </c>
      <c r="E517" s="13" t="s">
        <v>3713</v>
      </c>
      <c r="F517" s="14" t="s">
        <v>3714</v>
      </c>
      <c r="G517" s="14" t="s">
        <v>3715</v>
      </c>
      <c r="H517" s="20" t="n">
        <v>51.4</v>
      </c>
      <c r="I517" s="13" t="n">
        <v>40</v>
      </c>
      <c r="J517" s="13" t="s">
        <v>3716</v>
      </c>
      <c r="K517" s="13" t="n">
        <v>52</v>
      </c>
      <c r="L517" s="21" t="n">
        <v>7.55</v>
      </c>
      <c r="M517" s="21" t="n">
        <f aca="false">IF(C517="covered",10.4,7.55)</f>
        <v>7.55</v>
      </c>
      <c r="N517" s="13" t="n">
        <f aca="false">MAX(ROUNDUP(H517,0),I517)</f>
        <v>52</v>
      </c>
      <c r="O517" s="21" t="n">
        <v>392.6</v>
      </c>
      <c r="P517" s="21" t="n">
        <f aca="false">ROUND(M517*N517,2)</f>
        <v>392.6</v>
      </c>
      <c r="Q517" s="21" t="n">
        <f aca="false">ROUND(P517-IF(O517="",0,O517),2)</f>
        <v>0</v>
      </c>
      <c r="R517" s="14" t="str">
        <f aca="false">IF(J517="","MISSING BILL",IF(AND(K517=N517,ABS(L517-M517)&lt;0.001,ABS(O517-P517)&lt;0.01),"RECONCILED","CALCULATION ERROR"))</f>
        <v>RECONCILED</v>
      </c>
      <c r="S517" s="14" t="s">
        <v>2935</v>
      </c>
    </row>
    <row r="518" customFormat="false" ht="15" hidden="true" customHeight="false" outlineLevel="0" collapsed="false">
      <c r="A518" s="13" t="s">
        <v>3717</v>
      </c>
      <c r="B518" s="13" t="s">
        <v>106</v>
      </c>
      <c r="C518" s="13" t="s">
        <v>1872</v>
      </c>
      <c r="D518" s="13" t="s">
        <v>1873</v>
      </c>
      <c r="E518" s="13" t="s">
        <v>3718</v>
      </c>
      <c r="F518" s="14" t="s">
        <v>3719</v>
      </c>
      <c r="G518" s="14" t="s">
        <v>2502</v>
      </c>
      <c r="H518" s="20" t="n">
        <v>61.9</v>
      </c>
      <c r="I518" s="13" t="n">
        <v>32</v>
      </c>
      <c r="J518" s="13" t="s">
        <v>3720</v>
      </c>
      <c r="K518" s="13" t="n">
        <v>62</v>
      </c>
      <c r="L518" s="21" t="n">
        <v>7.55</v>
      </c>
      <c r="M518" s="21" t="n">
        <f aca="false">IF(C518="covered",10.4,7.55)</f>
        <v>7.55</v>
      </c>
      <c r="N518" s="13" t="n">
        <f aca="false">MAX(ROUNDUP(H518,0),I518)</f>
        <v>62</v>
      </c>
      <c r="O518" s="21" t="n">
        <v>468.1</v>
      </c>
      <c r="P518" s="21" t="n">
        <f aca="false">ROUND(M518*N518,2)</f>
        <v>468.1</v>
      </c>
      <c r="Q518" s="21" t="n">
        <f aca="false">ROUND(P518-IF(O518="",0,O518),2)</f>
        <v>0</v>
      </c>
      <c r="R518" s="14" t="str">
        <f aca="false">IF(J518="","MISSING BILL",IF(AND(K518=N518,ABS(L518-M518)&lt;0.001,ABS(O518-P518)&lt;0.01),"RECONCILED","CALCULATION ERROR"))</f>
        <v>RECONCILED</v>
      </c>
      <c r="S518" s="14" t="s">
        <v>2935</v>
      </c>
    </row>
    <row r="519" customFormat="false" ht="15" hidden="true" customHeight="false" outlineLevel="0" collapsed="false">
      <c r="A519" s="13" t="s">
        <v>3721</v>
      </c>
      <c r="B519" s="13" t="s">
        <v>106</v>
      </c>
      <c r="C519" s="13" t="s">
        <v>1872</v>
      </c>
      <c r="D519" s="13" t="s">
        <v>1873</v>
      </c>
      <c r="E519" s="13" t="s">
        <v>3722</v>
      </c>
      <c r="F519" s="14" t="s">
        <v>3723</v>
      </c>
      <c r="G519" s="14" t="s">
        <v>3724</v>
      </c>
      <c r="H519" s="20" t="n">
        <v>26.2</v>
      </c>
      <c r="I519" s="13" t="n">
        <v>28</v>
      </c>
      <c r="J519" s="13" t="s">
        <v>3725</v>
      </c>
      <c r="K519" s="13" t="n">
        <v>28</v>
      </c>
      <c r="L519" s="21" t="n">
        <v>7.55</v>
      </c>
      <c r="M519" s="21" t="n">
        <f aca="false">IF(C519="covered",10.4,7.55)</f>
        <v>7.55</v>
      </c>
      <c r="N519" s="13" t="n">
        <f aca="false">MAX(ROUNDUP(H519,0),I519)</f>
        <v>28</v>
      </c>
      <c r="O519" s="21" t="n">
        <v>211.4</v>
      </c>
      <c r="P519" s="21" t="n">
        <f aca="false">ROUND(M519*N519,2)</f>
        <v>211.4</v>
      </c>
      <c r="Q519" s="21" t="n">
        <f aca="false">ROUND(P519-IF(O519="",0,O519),2)</f>
        <v>0</v>
      </c>
      <c r="R519" s="14" t="str">
        <f aca="false">IF(J519="","MISSING BILL",IF(AND(K519=N519,ABS(L519-M519)&lt;0.001,ABS(O519-P519)&lt;0.01),"RECONCILED","CALCULATION ERROR"))</f>
        <v>RECONCILED</v>
      </c>
      <c r="S519" s="14" t="s">
        <v>2935</v>
      </c>
    </row>
    <row r="520" customFormat="false" ht="15" hidden="true" customHeight="false" outlineLevel="0" collapsed="false">
      <c r="A520" s="13" t="s">
        <v>3726</v>
      </c>
      <c r="B520" s="13" t="s">
        <v>106</v>
      </c>
      <c r="C520" s="13" t="s">
        <v>1872</v>
      </c>
      <c r="D520" s="13" t="s">
        <v>1873</v>
      </c>
      <c r="E520" s="13" t="s">
        <v>3727</v>
      </c>
      <c r="F520" s="14" t="s">
        <v>3728</v>
      </c>
      <c r="G520" s="14" t="s">
        <v>3729</v>
      </c>
      <c r="H520" s="20" t="n">
        <v>40.6</v>
      </c>
      <c r="I520" s="13" t="n">
        <v>32</v>
      </c>
      <c r="J520" s="13" t="s">
        <v>3730</v>
      </c>
      <c r="K520" s="13" t="n">
        <v>41</v>
      </c>
      <c r="L520" s="21" t="n">
        <v>7.55</v>
      </c>
      <c r="M520" s="21" t="n">
        <f aca="false">IF(C520="covered",10.4,7.55)</f>
        <v>7.55</v>
      </c>
      <c r="N520" s="13" t="n">
        <f aca="false">MAX(ROUNDUP(H520,0),I520)</f>
        <v>41</v>
      </c>
      <c r="O520" s="21" t="n">
        <v>309.55</v>
      </c>
      <c r="P520" s="21" t="n">
        <f aca="false">ROUND(M520*N520,2)</f>
        <v>309.55</v>
      </c>
      <c r="Q520" s="21" t="n">
        <f aca="false">ROUND(P520-IF(O520="",0,O520),2)</f>
        <v>0</v>
      </c>
      <c r="R520" s="14" t="str">
        <f aca="false">IF(J520="","MISSING BILL",IF(AND(K520=N520,ABS(L520-M520)&lt;0.001,ABS(O520-P520)&lt;0.01),"RECONCILED","CALCULATION ERROR"))</f>
        <v>RECONCILED</v>
      </c>
      <c r="S520" s="14" t="s">
        <v>2935</v>
      </c>
    </row>
    <row r="521" customFormat="false" ht="15" hidden="true" customHeight="false" outlineLevel="0" collapsed="false">
      <c r="A521" s="13" t="s">
        <v>3731</v>
      </c>
      <c r="B521" s="13" t="s">
        <v>106</v>
      </c>
      <c r="C521" s="13" t="s">
        <v>1872</v>
      </c>
      <c r="D521" s="13" t="s">
        <v>1873</v>
      </c>
      <c r="E521" s="13" t="s">
        <v>3732</v>
      </c>
      <c r="F521" s="14" t="s">
        <v>3733</v>
      </c>
      <c r="G521" s="14" t="s">
        <v>2253</v>
      </c>
      <c r="H521" s="20" t="n">
        <v>59.5</v>
      </c>
      <c r="I521" s="13" t="n">
        <v>45</v>
      </c>
      <c r="J521" s="13" t="s">
        <v>3734</v>
      </c>
      <c r="K521" s="13" t="n">
        <v>60</v>
      </c>
      <c r="L521" s="21" t="n">
        <v>7.55</v>
      </c>
      <c r="M521" s="21" t="n">
        <f aca="false">IF(C521="covered",10.4,7.55)</f>
        <v>7.55</v>
      </c>
      <c r="N521" s="13" t="n">
        <f aca="false">MAX(ROUNDUP(H521,0),I521)</f>
        <v>60</v>
      </c>
      <c r="O521" s="21" t="n">
        <v>453</v>
      </c>
      <c r="P521" s="21" t="n">
        <f aca="false">ROUND(M521*N521,2)</f>
        <v>453</v>
      </c>
      <c r="Q521" s="21" t="n">
        <f aca="false">ROUND(P521-IF(O521="",0,O521),2)</f>
        <v>0</v>
      </c>
      <c r="R521" s="14" t="str">
        <f aca="false">IF(J521="","MISSING BILL",IF(AND(K521=N521,ABS(L521-M521)&lt;0.001,ABS(O521-P521)&lt;0.01),"RECONCILED","CALCULATION ERROR"))</f>
        <v>RECONCILED</v>
      </c>
      <c r="S521" s="14" t="s">
        <v>2935</v>
      </c>
    </row>
    <row r="522" customFormat="false" ht="15" hidden="true" customHeight="false" outlineLevel="0" collapsed="false">
      <c r="A522" s="13" t="s">
        <v>631</v>
      </c>
      <c r="B522" s="13" t="s">
        <v>106</v>
      </c>
      <c r="C522" s="13" t="s">
        <v>1872</v>
      </c>
      <c r="D522" s="13" t="s">
        <v>1873</v>
      </c>
      <c r="E522" s="13" t="s">
        <v>1613</v>
      </c>
      <c r="F522" s="14" t="s">
        <v>1614</v>
      </c>
      <c r="G522" s="14" t="s">
        <v>3735</v>
      </c>
      <c r="H522" s="20" t="n">
        <v>26.7</v>
      </c>
      <c r="I522" s="13" t="n">
        <v>28</v>
      </c>
      <c r="J522" s="13" t="s">
        <v>3736</v>
      </c>
      <c r="K522" s="13" t="n">
        <v>28</v>
      </c>
      <c r="L522" s="21" t="n">
        <v>7.55</v>
      </c>
      <c r="M522" s="21" t="n">
        <f aca="false">IF(C522="covered",10.4,7.55)</f>
        <v>7.55</v>
      </c>
      <c r="N522" s="13" t="n">
        <f aca="false">MAX(ROUNDUP(H522,0),I522)</f>
        <v>28</v>
      </c>
      <c r="O522" s="21" t="n">
        <v>211.4</v>
      </c>
      <c r="P522" s="21" t="n">
        <f aca="false">ROUND(M522*N522,2)</f>
        <v>211.4</v>
      </c>
      <c r="Q522" s="21" t="n">
        <f aca="false">ROUND(P522-IF(O522="",0,O522),2)</f>
        <v>0</v>
      </c>
      <c r="R522" s="14" t="str">
        <f aca="false">IF(J522="","MISSING BILL",IF(AND(K522=N522,ABS(L522-M522)&lt;0.001,ABS(O522-P522)&lt;0.01),"RECONCILED","CALCULATION ERROR"))</f>
        <v>RECONCILED</v>
      </c>
      <c r="S522" s="14" t="s">
        <v>2935</v>
      </c>
    </row>
    <row r="523" customFormat="false" ht="15" hidden="true" customHeight="false" outlineLevel="0" collapsed="false">
      <c r="A523" s="13" t="s">
        <v>1177</v>
      </c>
      <c r="B523" s="13" t="s">
        <v>106</v>
      </c>
      <c r="C523" s="13" t="s">
        <v>1872</v>
      </c>
      <c r="D523" s="13" t="s">
        <v>1873</v>
      </c>
      <c r="E523" s="13" t="s">
        <v>3737</v>
      </c>
      <c r="F523" s="14" t="s">
        <v>3738</v>
      </c>
      <c r="G523" s="14" t="s">
        <v>3739</v>
      </c>
      <c r="H523" s="20" t="n">
        <v>34.4</v>
      </c>
      <c r="I523" s="13" t="n">
        <v>40</v>
      </c>
      <c r="J523" s="13" t="s">
        <v>3740</v>
      </c>
      <c r="K523" s="13" t="n">
        <v>40</v>
      </c>
      <c r="L523" s="21" t="n">
        <v>7.55</v>
      </c>
      <c r="M523" s="21" t="n">
        <f aca="false">IF(C523="covered",10.4,7.55)</f>
        <v>7.55</v>
      </c>
      <c r="N523" s="13" t="n">
        <f aca="false">MAX(ROUNDUP(H523,0),I523)</f>
        <v>40</v>
      </c>
      <c r="O523" s="21" t="n">
        <v>302</v>
      </c>
      <c r="P523" s="21" t="n">
        <f aca="false">ROUND(M523*N523,2)</f>
        <v>302</v>
      </c>
      <c r="Q523" s="21" t="n">
        <f aca="false">ROUND(P523-IF(O523="",0,O523),2)</f>
        <v>0</v>
      </c>
      <c r="R523" s="14" t="str">
        <f aca="false">IF(J523="","MISSING BILL",IF(AND(K523=N523,ABS(L523-M523)&lt;0.001,ABS(O523-P523)&lt;0.01),"RECONCILED","CALCULATION ERROR"))</f>
        <v>RECONCILED</v>
      </c>
      <c r="S523" s="14" t="s">
        <v>2935</v>
      </c>
    </row>
    <row r="524" customFormat="false" ht="15" hidden="true" customHeight="false" outlineLevel="0" collapsed="false">
      <c r="A524" s="13" t="s">
        <v>3741</v>
      </c>
      <c r="B524" s="13" t="s">
        <v>106</v>
      </c>
      <c r="C524" s="13" t="s">
        <v>1872</v>
      </c>
      <c r="D524" s="13" t="s">
        <v>1873</v>
      </c>
      <c r="E524" s="13" t="s">
        <v>3742</v>
      </c>
      <c r="F524" s="14" t="s">
        <v>3743</v>
      </c>
      <c r="G524" s="14" t="s">
        <v>3645</v>
      </c>
      <c r="H524" s="20" t="n">
        <v>26.5</v>
      </c>
      <c r="I524" s="13" t="n">
        <v>32</v>
      </c>
      <c r="J524" s="13" t="s">
        <v>3744</v>
      </c>
      <c r="K524" s="13" t="n">
        <v>32</v>
      </c>
      <c r="L524" s="21" t="n">
        <v>7.55</v>
      </c>
      <c r="M524" s="21" t="n">
        <f aca="false">IF(C524="covered",10.4,7.55)</f>
        <v>7.55</v>
      </c>
      <c r="N524" s="13" t="n">
        <f aca="false">MAX(ROUNDUP(H524,0),I524)</f>
        <v>32</v>
      </c>
      <c r="O524" s="21" t="n">
        <v>241.6</v>
      </c>
      <c r="P524" s="21" t="n">
        <f aca="false">ROUND(M524*N524,2)</f>
        <v>241.6</v>
      </c>
      <c r="Q524" s="21" t="n">
        <f aca="false">ROUND(P524-IF(O524="",0,O524),2)</f>
        <v>0</v>
      </c>
      <c r="R524" s="14" t="str">
        <f aca="false">IF(J524="","MISSING BILL",IF(AND(K524=N524,ABS(L524-M524)&lt;0.001,ABS(O524-P524)&lt;0.01),"RECONCILED","CALCULATION ERROR"))</f>
        <v>RECONCILED</v>
      </c>
      <c r="S524" s="14" t="s">
        <v>2935</v>
      </c>
    </row>
    <row r="525" customFormat="false" ht="15" hidden="true" customHeight="false" outlineLevel="0" collapsed="false">
      <c r="A525" s="13" t="s">
        <v>205</v>
      </c>
      <c r="B525" s="13" t="s">
        <v>106</v>
      </c>
      <c r="C525" s="13" t="s">
        <v>1872</v>
      </c>
      <c r="D525" s="13" t="s">
        <v>1873</v>
      </c>
      <c r="E525" s="13" t="s">
        <v>3745</v>
      </c>
      <c r="F525" s="14" t="s">
        <v>3746</v>
      </c>
      <c r="G525" s="14" t="s">
        <v>1904</v>
      </c>
      <c r="H525" s="20" t="n">
        <v>53.6</v>
      </c>
      <c r="I525" s="13" t="n">
        <v>32</v>
      </c>
      <c r="J525" s="13" t="s">
        <v>3747</v>
      </c>
      <c r="K525" s="13" t="n">
        <v>54</v>
      </c>
      <c r="L525" s="21" t="n">
        <v>7.55</v>
      </c>
      <c r="M525" s="21" t="n">
        <f aca="false">IF(C525="covered",10.4,7.55)</f>
        <v>7.55</v>
      </c>
      <c r="N525" s="13" t="n">
        <f aca="false">MAX(ROUNDUP(H525,0),I525)</f>
        <v>54</v>
      </c>
      <c r="O525" s="21" t="n">
        <v>407.7</v>
      </c>
      <c r="P525" s="21" t="n">
        <f aca="false">ROUND(M525*N525,2)</f>
        <v>407.7</v>
      </c>
      <c r="Q525" s="21" t="n">
        <f aca="false">ROUND(P525-IF(O525="",0,O525),2)</f>
        <v>0</v>
      </c>
      <c r="R525" s="14" t="str">
        <f aca="false">IF(J525="","MISSING BILL",IF(AND(K525=N525,ABS(L525-M525)&lt;0.001,ABS(O525-P525)&lt;0.01),"RECONCILED","CALCULATION ERROR"))</f>
        <v>RECONCILED</v>
      </c>
      <c r="S525" s="14" t="s">
        <v>2935</v>
      </c>
    </row>
    <row r="526" customFormat="false" ht="15" hidden="true" customHeight="false" outlineLevel="0" collapsed="false">
      <c r="A526" s="13" t="s">
        <v>3748</v>
      </c>
      <c r="B526" s="13" t="s">
        <v>106</v>
      </c>
      <c r="C526" s="13" t="s">
        <v>1872</v>
      </c>
      <c r="D526" s="13" t="s">
        <v>1873</v>
      </c>
      <c r="E526" s="13" t="s">
        <v>3749</v>
      </c>
      <c r="F526" s="14" t="s">
        <v>3750</v>
      </c>
      <c r="G526" s="14" t="s">
        <v>1908</v>
      </c>
      <c r="H526" s="20" t="n">
        <v>19.8</v>
      </c>
      <c r="I526" s="13" t="n">
        <v>50</v>
      </c>
      <c r="J526" s="13" t="s">
        <v>3751</v>
      </c>
      <c r="K526" s="13" t="n">
        <v>50</v>
      </c>
      <c r="L526" s="21" t="n">
        <v>7.55</v>
      </c>
      <c r="M526" s="21" t="n">
        <f aca="false">IF(C526="covered",10.4,7.55)</f>
        <v>7.55</v>
      </c>
      <c r="N526" s="13" t="n">
        <f aca="false">MAX(ROUNDUP(H526,0),I526)</f>
        <v>50</v>
      </c>
      <c r="O526" s="21" t="n">
        <v>377.5</v>
      </c>
      <c r="P526" s="21" t="n">
        <f aca="false">ROUND(M526*N526,2)</f>
        <v>377.5</v>
      </c>
      <c r="Q526" s="21" t="n">
        <f aca="false">ROUND(P526-IF(O526="",0,O526),2)</f>
        <v>0</v>
      </c>
      <c r="R526" s="14" t="str">
        <f aca="false">IF(J526="","MISSING BILL",IF(AND(K526=N526,ABS(L526-M526)&lt;0.001,ABS(O526-P526)&lt;0.01),"RECONCILED","CALCULATION ERROR"))</f>
        <v>RECONCILED</v>
      </c>
      <c r="S526" s="14" t="s">
        <v>2935</v>
      </c>
    </row>
    <row r="527" customFormat="false" ht="15" hidden="true" customHeight="false" outlineLevel="0" collapsed="false">
      <c r="A527" s="13" t="s">
        <v>3752</v>
      </c>
      <c r="B527" s="13" t="s">
        <v>106</v>
      </c>
      <c r="C527" s="13" t="s">
        <v>1872</v>
      </c>
      <c r="D527" s="13" t="s">
        <v>1873</v>
      </c>
      <c r="E527" s="13" t="s">
        <v>3753</v>
      </c>
      <c r="F527" s="14" t="s">
        <v>3754</v>
      </c>
      <c r="G527" s="14" t="s">
        <v>3382</v>
      </c>
      <c r="H527" s="20" t="n">
        <v>44.2</v>
      </c>
      <c r="I527" s="13" t="n">
        <v>32</v>
      </c>
      <c r="J527" s="13" t="s">
        <v>3755</v>
      </c>
      <c r="K527" s="13" t="n">
        <v>45</v>
      </c>
      <c r="L527" s="21" t="n">
        <v>7.55</v>
      </c>
      <c r="M527" s="21" t="n">
        <f aca="false">IF(C527="covered",10.4,7.55)</f>
        <v>7.55</v>
      </c>
      <c r="N527" s="13" t="n">
        <f aca="false">MAX(ROUNDUP(H527,0),I527)</f>
        <v>45</v>
      </c>
      <c r="O527" s="21" t="n">
        <v>339.75</v>
      </c>
      <c r="P527" s="21" t="n">
        <f aca="false">ROUND(M527*N527,2)</f>
        <v>339.75</v>
      </c>
      <c r="Q527" s="21" t="n">
        <f aca="false">ROUND(P527-IF(O527="",0,O527),2)</f>
        <v>0</v>
      </c>
      <c r="R527" s="14" t="str">
        <f aca="false">IF(J527="","MISSING BILL",IF(AND(K527=N527,ABS(L527-M527)&lt;0.001,ABS(O527-P527)&lt;0.01),"RECONCILED","CALCULATION ERROR"))</f>
        <v>RECONCILED</v>
      </c>
      <c r="S527" s="14" t="s">
        <v>2935</v>
      </c>
    </row>
    <row r="528" customFormat="false" ht="15" hidden="true" customHeight="false" outlineLevel="0" collapsed="false">
      <c r="A528" s="13" t="s">
        <v>3756</v>
      </c>
      <c r="B528" s="13" t="s">
        <v>106</v>
      </c>
      <c r="C528" s="13" t="s">
        <v>1872</v>
      </c>
      <c r="D528" s="13" t="s">
        <v>1873</v>
      </c>
      <c r="E528" s="13" t="s">
        <v>3757</v>
      </c>
      <c r="F528" s="14" t="s">
        <v>3758</v>
      </c>
      <c r="G528" s="14" t="s">
        <v>3759</v>
      </c>
      <c r="H528" s="20" t="n">
        <v>40.1</v>
      </c>
      <c r="I528" s="13" t="n">
        <v>32</v>
      </c>
      <c r="J528" s="13" t="s">
        <v>3760</v>
      </c>
      <c r="K528" s="13" t="n">
        <v>41</v>
      </c>
      <c r="L528" s="21" t="n">
        <v>7.55</v>
      </c>
      <c r="M528" s="21" t="n">
        <f aca="false">IF(C528="covered",10.4,7.55)</f>
        <v>7.55</v>
      </c>
      <c r="N528" s="13" t="n">
        <f aca="false">MAX(ROUNDUP(H528,0),I528)</f>
        <v>41</v>
      </c>
      <c r="O528" s="21" t="n">
        <v>309.55</v>
      </c>
      <c r="P528" s="21" t="n">
        <f aca="false">ROUND(M528*N528,2)</f>
        <v>309.55</v>
      </c>
      <c r="Q528" s="21" t="n">
        <f aca="false">ROUND(P528-IF(O528="",0,O528),2)</f>
        <v>0</v>
      </c>
      <c r="R528" s="14" t="str">
        <f aca="false">IF(J528="","MISSING BILL",IF(AND(K528=N528,ABS(L528-M528)&lt;0.001,ABS(O528-P528)&lt;0.01),"RECONCILED","CALCULATION ERROR"))</f>
        <v>RECONCILED</v>
      </c>
      <c r="S528" s="14" t="s">
        <v>2935</v>
      </c>
    </row>
    <row r="529" customFormat="false" ht="15" hidden="true" customHeight="false" outlineLevel="0" collapsed="false">
      <c r="A529" s="13" t="s">
        <v>3761</v>
      </c>
      <c r="B529" s="13" t="s">
        <v>106</v>
      </c>
      <c r="C529" s="13" t="s">
        <v>1872</v>
      </c>
      <c r="D529" s="13" t="s">
        <v>1873</v>
      </c>
      <c r="E529" s="13" t="s">
        <v>3762</v>
      </c>
      <c r="F529" s="14" t="s">
        <v>3763</v>
      </c>
      <c r="G529" s="14" t="s">
        <v>3764</v>
      </c>
      <c r="H529" s="20" t="n">
        <v>53</v>
      </c>
      <c r="I529" s="13" t="n">
        <v>45</v>
      </c>
      <c r="J529" s="13" t="s">
        <v>3765</v>
      </c>
      <c r="K529" s="13" t="n">
        <v>53</v>
      </c>
      <c r="L529" s="21" t="n">
        <v>7.55</v>
      </c>
      <c r="M529" s="21" t="n">
        <f aca="false">IF(C529="covered",10.4,7.55)</f>
        <v>7.55</v>
      </c>
      <c r="N529" s="13" t="n">
        <f aca="false">MAX(ROUNDUP(H529,0),I529)</f>
        <v>53</v>
      </c>
      <c r="O529" s="21" t="n">
        <v>400.15</v>
      </c>
      <c r="P529" s="21" t="n">
        <f aca="false">ROUND(M529*N529,2)</f>
        <v>400.15</v>
      </c>
      <c r="Q529" s="21" t="n">
        <f aca="false">ROUND(P529-IF(O529="",0,O529),2)</f>
        <v>0</v>
      </c>
      <c r="R529" s="14" t="str">
        <f aca="false">IF(J529="","MISSING BILL",IF(AND(K529=N529,ABS(L529-M529)&lt;0.001,ABS(O529-P529)&lt;0.01),"RECONCILED","CALCULATION ERROR"))</f>
        <v>RECONCILED</v>
      </c>
      <c r="S529" s="14" t="s">
        <v>2935</v>
      </c>
    </row>
    <row r="530" customFormat="false" ht="15" hidden="true" customHeight="false" outlineLevel="0" collapsed="false">
      <c r="A530" s="13" t="s">
        <v>3766</v>
      </c>
      <c r="B530" s="13" t="s">
        <v>106</v>
      </c>
      <c r="C530" s="13" t="s">
        <v>1872</v>
      </c>
      <c r="D530" s="13" t="s">
        <v>1873</v>
      </c>
      <c r="E530" s="13" t="s">
        <v>3767</v>
      </c>
      <c r="F530" s="14" t="s">
        <v>3768</v>
      </c>
      <c r="G530" s="14" t="s">
        <v>2040</v>
      </c>
      <c r="H530" s="20" t="n">
        <v>21.2</v>
      </c>
      <c r="I530" s="13" t="n">
        <v>40</v>
      </c>
      <c r="J530" s="13" t="s">
        <v>3769</v>
      </c>
      <c r="K530" s="13" t="n">
        <v>40</v>
      </c>
      <c r="L530" s="21" t="n">
        <v>7.55</v>
      </c>
      <c r="M530" s="21" t="n">
        <f aca="false">IF(C530="covered",10.4,7.55)</f>
        <v>7.55</v>
      </c>
      <c r="N530" s="13" t="n">
        <f aca="false">MAX(ROUNDUP(H530,0),I530)</f>
        <v>40</v>
      </c>
      <c r="O530" s="21" t="n">
        <v>302</v>
      </c>
      <c r="P530" s="21" t="n">
        <f aca="false">ROUND(M530*N530,2)</f>
        <v>302</v>
      </c>
      <c r="Q530" s="21" t="n">
        <f aca="false">ROUND(P530-IF(O530="",0,O530),2)</f>
        <v>0</v>
      </c>
      <c r="R530" s="14" t="str">
        <f aca="false">IF(J530="","MISSING BILL",IF(AND(K530=N530,ABS(L530-M530)&lt;0.001,ABS(O530-P530)&lt;0.01),"RECONCILED","CALCULATION ERROR"))</f>
        <v>RECONCILED</v>
      </c>
      <c r="S530" s="14" t="s">
        <v>2935</v>
      </c>
    </row>
    <row r="531" customFormat="false" ht="15" hidden="true" customHeight="false" outlineLevel="0" collapsed="false">
      <c r="A531" s="13" t="s">
        <v>3770</v>
      </c>
      <c r="B531" s="13" t="s">
        <v>106</v>
      </c>
      <c r="C531" s="13" t="s">
        <v>1872</v>
      </c>
      <c r="D531" s="13" t="s">
        <v>1873</v>
      </c>
      <c r="E531" s="13" t="s">
        <v>3771</v>
      </c>
      <c r="F531" s="14" t="s">
        <v>3772</v>
      </c>
      <c r="G531" s="14" t="s">
        <v>3059</v>
      </c>
      <c r="H531" s="20" t="n">
        <v>34.4</v>
      </c>
      <c r="I531" s="13" t="n">
        <v>40</v>
      </c>
      <c r="J531" s="13" t="s">
        <v>3773</v>
      </c>
      <c r="K531" s="13" t="n">
        <v>40</v>
      </c>
      <c r="L531" s="21" t="n">
        <v>7.55</v>
      </c>
      <c r="M531" s="21" t="n">
        <f aca="false">IF(C531="covered",10.4,7.55)</f>
        <v>7.55</v>
      </c>
      <c r="N531" s="13" t="n">
        <f aca="false">MAX(ROUNDUP(H531,0),I531)</f>
        <v>40</v>
      </c>
      <c r="O531" s="21" t="n">
        <v>302</v>
      </c>
      <c r="P531" s="21" t="n">
        <f aca="false">ROUND(M531*N531,2)</f>
        <v>302</v>
      </c>
      <c r="Q531" s="21" t="n">
        <f aca="false">ROUND(P531-IF(O531="",0,O531),2)</f>
        <v>0</v>
      </c>
      <c r="R531" s="14" t="str">
        <f aca="false">IF(J531="","MISSING BILL",IF(AND(K531=N531,ABS(L531-M531)&lt;0.001,ABS(O531-P531)&lt;0.01),"RECONCILED","CALCULATION ERROR"))</f>
        <v>RECONCILED</v>
      </c>
      <c r="S531" s="14" t="s">
        <v>2935</v>
      </c>
    </row>
    <row r="532" customFormat="false" ht="15" hidden="true" customHeight="false" outlineLevel="0" collapsed="false">
      <c r="A532" s="13" t="s">
        <v>1071</v>
      </c>
      <c r="B532" s="13" t="s">
        <v>106</v>
      </c>
      <c r="C532" s="13" t="s">
        <v>1872</v>
      </c>
      <c r="D532" s="13" t="s">
        <v>1873</v>
      </c>
      <c r="E532" s="13" t="s">
        <v>3774</v>
      </c>
      <c r="F532" s="14" t="s">
        <v>3775</v>
      </c>
      <c r="G532" s="14" t="s">
        <v>3776</v>
      </c>
      <c r="H532" s="20" t="n">
        <v>20.7</v>
      </c>
      <c r="I532" s="13" t="n">
        <v>24</v>
      </c>
      <c r="J532" s="13" t="s">
        <v>3777</v>
      </c>
      <c r="K532" s="13" t="n">
        <v>24</v>
      </c>
      <c r="L532" s="21" t="n">
        <v>7.55</v>
      </c>
      <c r="M532" s="21" t="n">
        <f aca="false">IF(C532="covered",10.4,7.55)</f>
        <v>7.55</v>
      </c>
      <c r="N532" s="13" t="n">
        <f aca="false">MAX(ROUNDUP(H532,0),I532)</f>
        <v>24</v>
      </c>
      <c r="O532" s="21" t="n">
        <v>181.2</v>
      </c>
      <c r="P532" s="21" t="n">
        <f aca="false">ROUND(M532*N532,2)</f>
        <v>181.2</v>
      </c>
      <c r="Q532" s="21" t="n">
        <f aca="false">ROUND(P532-IF(O532="",0,O532),2)</f>
        <v>0</v>
      </c>
      <c r="R532" s="14" t="str">
        <f aca="false">IF(J532="","MISSING BILL",IF(AND(K532=N532,ABS(L532-M532)&lt;0.001,ABS(O532-P532)&lt;0.01),"RECONCILED","CALCULATION ERROR"))</f>
        <v>RECONCILED</v>
      </c>
      <c r="S532" s="14" t="s">
        <v>2935</v>
      </c>
    </row>
    <row r="533" customFormat="false" ht="15" hidden="true" customHeight="false" outlineLevel="0" collapsed="false">
      <c r="A533" s="13" t="s">
        <v>3778</v>
      </c>
      <c r="B533" s="13" t="s">
        <v>106</v>
      </c>
      <c r="C533" s="13" t="s">
        <v>1872</v>
      </c>
      <c r="D533" s="13" t="s">
        <v>1873</v>
      </c>
      <c r="E533" s="13" t="s">
        <v>507</v>
      </c>
      <c r="F533" s="14" t="s">
        <v>508</v>
      </c>
      <c r="G533" s="14" t="s">
        <v>3779</v>
      </c>
      <c r="H533" s="20" t="n">
        <v>55.1</v>
      </c>
      <c r="I533" s="13" t="n">
        <v>28</v>
      </c>
      <c r="J533" s="13" t="s">
        <v>3780</v>
      </c>
      <c r="K533" s="13" t="n">
        <v>56</v>
      </c>
      <c r="L533" s="21" t="n">
        <v>7.55</v>
      </c>
      <c r="M533" s="21" t="n">
        <f aca="false">IF(C533="covered",10.4,7.55)</f>
        <v>7.55</v>
      </c>
      <c r="N533" s="13" t="n">
        <f aca="false">MAX(ROUNDUP(H533,0),I533)</f>
        <v>56</v>
      </c>
      <c r="O533" s="21" t="n">
        <v>422.8</v>
      </c>
      <c r="P533" s="21" t="n">
        <f aca="false">ROUND(M533*N533,2)</f>
        <v>422.8</v>
      </c>
      <c r="Q533" s="21" t="n">
        <f aca="false">ROUND(P533-IF(O533="",0,O533),2)</f>
        <v>0</v>
      </c>
      <c r="R533" s="14" t="str">
        <f aca="false">IF(J533="","MISSING BILL",IF(AND(K533=N533,ABS(L533-M533)&lt;0.001,ABS(O533-P533)&lt;0.01),"RECONCILED","CALCULATION ERROR"))</f>
        <v>RECONCILED</v>
      </c>
      <c r="S533" s="14" t="s">
        <v>2935</v>
      </c>
    </row>
    <row r="534" customFormat="false" ht="15" hidden="true" customHeight="false" outlineLevel="0" collapsed="false">
      <c r="A534" s="13" t="s">
        <v>3781</v>
      </c>
      <c r="B534" s="13" t="s">
        <v>106</v>
      </c>
      <c r="C534" s="13" t="s">
        <v>1872</v>
      </c>
      <c r="D534" s="13" t="s">
        <v>1873</v>
      </c>
      <c r="E534" s="13" t="s">
        <v>3782</v>
      </c>
      <c r="F534" s="14" t="s">
        <v>3783</v>
      </c>
      <c r="G534" s="14" t="s">
        <v>3784</v>
      </c>
      <c r="H534" s="20" t="n">
        <v>61.8</v>
      </c>
      <c r="I534" s="13" t="n">
        <v>32</v>
      </c>
      <c r="J534" s="13" t="s">
        <v>3785</v>
      </c>
      <c r="K534" s="13" t="n">
        <v>62</v>
      </c>
      <c r="L534" s="21" t="n">
        <v>7.55</v>
      </c>
      <c r="M534" s="21" t="n">
        <f aca="false">IF(C534="covered",10.4,7.55)</f>
        <v>7.55</v>
      </c>
      <c r="N534" s="13" t="n">
        <f aca="false">MAX(ROUNDUP(H534,0),I534)</f>
        <v>62</v>
      </c>
      <c r="O534" s="21" t="n">
        <v>468.1</v>
      </c>
      <c r="P534" s="21" t="n">
        <f aca="false">ROUND(M534*N534,2)</f>
        <v>468.1</v>
      </c>
      <c r="Q534" s="21" t="n">
        <f aca="false">ROUND(P534-IF(O534="",0,O534),2)</f>
        <v>0</v>
      </c>
      <c r="R534" s="14" t="str">
        <f aca="false">IF(J534="","MISSING BILL",IF(AND(K534=N534,ABS(L534-M534)&lt;0.001,ABS(O534-P534)&lt;0.01),"RECONCILED","CALCULATION ERROR"))</f>
        <v>RECONCILED</v>
      </c>
      <c r="S534" s="14" t="s">
        <v>2935</v>
      </c>
    </row>
    <row r="535" customFormat="false" ht="15" hidden="true" customHeight="false" outlineLevel="0" collapsed="false">
      <c r="A535" s="13" t="s">
        <v>3786</v>
      </c>
      <c r="B535" s="13" t="s">
        <v>106</v>
      </c>
      <c r="C535" s="13" t="s">
        <v>1872</v>
      </c>
      <c r="D535" s="13" t="s">
        <v>1873</v>
      </c>
      <c r="E535" s="13" t="s">
        <v>3787</v>
      </c>
      <c r="F535" s="14" t="s">
        <v>3788</v>
      </c>
      <c r="G535" s="14" t="s">
        <v>2723</v>
      </c>
      <c r="H535" s="20" t="n">
        <v>60.8</v>
      </c>
      <c r="I535" s="13" t="n">
        <v>28</v>
      </c>
      <c r="J535" s="13" t="s">
        <v>3789</v>
      </c>
      <c r="K535" s="13" t="n">
        <v>61</v>
      </c>
      <c r="L535" s="21" t="n">
        <v>7.55</v>
      </c>
      <c r="M535" s="21" t="n">
        <f aca="false">IF(C535="covered",10.4,7.55)</f>
        <v>7.55</v>
      </c>
      <c r="N535" s="13" t="n">
        <f aca="false">MAX(ROUNDUP(H535,0),I535)</f>
        <v>61</v>
      </c>
      <c r="O535" s="21" t="n">
        <v>460.55</v>
      </c>
      <c r="P535" s="21" t="n">
        <f aca="false">ROUND(M535*N535,2)</f>
        <v>460.55</v>
      </c>
      <c r="Q535" s="21" t="n">
        <f aca="false">ROUND(P535-IF(O535="",0,O535),2)</f>
        <v>0</v>
      </c>
      <c r="R535" s="14" t="str">
        <f aca="false">IF(J535="","MISSING BILL",IF(AND(K535=N535,ABS(L535-M535)&lt;0.001,ABS(O535-P535)&lt;0.01),"RECONCILED","CALCULATION ERROR"))</f>
        <v>RECONCILED</v>
      </c>
      <c r="S535" s="14" t="s">
        <v>2935</v>
      </c>
    </row>
    <row r="536" customFormat="false" ht="15" hidden="true" customHeight="false" outlineLevel="0" collapsed="false">
      <c r="A536" s="13" t="s">
        <v>3790</v>
      </c>
      <c r="B536" s="13" t="s">
        <v>106</v>
      </c>
      <c r="C536" s="13" t="s">
        <v>1872</v>
      </c>
      <c r="D536" s="13" t="s">
        <v>1873</v>
      </c>
      <c r="E536" s="13" t="s">
        <v>3791</v>
      </c>
      <c r="F536" s="14" t="s">
        <v>3792</v>
      </c>
      <c r="G536" s="14" t="s">
        <v>3360</v>
      </c>
      <c r="H536" s="20" t="n">
        <v>50.6</v>
      </c>
      <c r="I536" s="13" t="n">
        <v>45</v>
      </c>
      <c r="J536" s="13" t="s">
        <v>3793</v>
      </c>
      <c r="K536" s="13" t="n">
        <v>51</v>
      </c>
      <c r="L536" s="21" t="n">
        <v>7.55</v>
      </c>
      <c r="M536" s="21" t="n">
        <f aca="false">IF(C536="covered",10.4,7.55)</f>
        <v>7.55</v>
      </c>
      <c r="N536" s="13" t="n">
        <f aca="false">MAX(ROUNDUP(H536,0),I536)</f>
        <v>51</v>
      </c>
      <c r="O536" s="21" t="n">
        <v>385.05</v>
      </c>
      <c r="P536" s="21" t="n">
        <f aca="false">ROUND(M536*N536,2)</f>
        <v>385.05</v>
      </c>
      <c r="Q536" s="21" t="n">
        <f aca="false">ROUND(P536-IF(O536="",0,O536),2)</f>
        <v>0</v>
      </c>
      <c r="R536" s="14" t="str">
        <f aca="false">IF(J536="","MISSING BILL",IF(AND(K536=N536,ABS(L536-M536)&lt;0.001,ABS(O536-P536)&lt;0.01),"RECONCILED","CALCULATION ERROR"))</f>
        <v>RECONCILED</v>
      </c>
      <c r="S536" s="14" t="s">
        <v>2935</v>
      </c>
    </row>
    <row r="537" customFormat="false" ht="15" hidden="true" customHeight="false" outlineLevel="0" collapsed="false">
      <c r="A537" s="13" t="s">
        <v>714</v>
      </c>
      <c r="B537" s="13" t="s">
        <v>106</v>
      </c>
      <c r="C537" s="13" t="s">
        <v>1872</v>
      </c>
      <c r="D537" s="13" t="s">
        <v>1873</v>
      </c>
      <c r="E537" s="13" t="s">
        <v>1057</v>
      </c>
      <c r="F537" s="14" t="s">
        <v>1058</v>
      </c>
      <c r="G537" s="14" t="s">
        <v>3198</v>
      </c>
      <c r="H537" s="20" t="n">
        <v>57.5</v>
      </c>
      <c r="I537" s="13" t="n">
        <v>70</v>
      </c>
      <c r="J537" s="13" t="s">
        <v>3794</v>
      </c>
      <c r="K537" s="13" t="n">
        <v>70</v>
      </c>
      <c r="L537" s="21" t="n">
        <v>7.55</v>
      </c>
      <c r="M537" s="21" t="n">
        <f aca="false">IF(C537="covered",10.4,7.55)</f>
        <v>7.55</v>
      </c>
      <c r="N537" s="13" t="n">
        <f aca="false">MAX(ROUNDUP(H537,0),I537)</f>
        <v>70</v>
      </c>
      <c r="O537" s="21" t="n">
        <v>528.5</v>
      </c>
      <c r="P537" s="21" t="n">
        <f aca="false">ROUND(M537*N537,2)</f>
        <v>528.5</v>
      </c>
      <c r="Q537" s="21" t="n">
        <f aca="false">ROUND(P537-IF(O537="",0,O537),2)</f>
        <v>0</v>
      </c>
      <c r="R537" s="14" t="str">
        <f aca="false">IF(J537="","MISSING BILL",IF(AND(K537=N537,ABS(L537-M537)&lt;0.001,ABS(O537-P537)&lt;0.01),"RECONCILED","CALCULATION ERROR"))</f>
        <v>RECONCILED</v>
      </c>
      <c r="S537" s="14" t="s">
        <v>2935</v>
      </c>
    </row>
    <row r="538" customFormat="false" ht="15" hidden="true" customHeight="false" outlineLevel="0" collapsed="false">
      <c r="A538" s="13" t="s">
        <v>956</v>
      </c>
      <c r="B538" s="13" t="s">
        <v>106</v>
      </c>
      <c r="C538" s="13" t="s">
        <v>1872</v>
      </c>
      <c r="D538" s="13" t="s">
        <v>1873</v>
      </c>
      <c r="E538" s="13" t="s">
        <v>1285</v>
      </c>
      <c r="F538" s="14" t="s">
        <v>1286</v>
      </c>
      <c r="G538" s="14" t="s">
        <v>3795</v>
      </c>
      <c r="H538" s="20" t="n">
        <v>39</v>
      </c>
      <c r="I538" s="13" t="n">
        <v>32</v>
      </c>
      <c r="J538" s="13" t="s">
        <v>3796</v>
      </c>
      <c r="K538" s="13" t="n">
        <v>39</v>
      </c>
      <c r="L538" s="21" t="n">
        <v>7.55</v>
      </c>
      <c r="M538" s="21" t="n">
        <f aca="false">IF(C538="covered",10.4,7.55)</f>
        <v>7.55</v>
      </c>
      <c r="N538" s="13" t="n">
        <f aca="false">MAX(ROUNDUP(H538,0),I538)</f>
        <v>39</v>
      </c>
      <c r="O538" s="21" t="n">
        <v>294.45</v>
      </c>
      <c r="P538" s="21" t="n">
        <f aca="false">ROUND(M538*N538,2)</f>
        <v>294.45</v>
      </c>
      <c r="Q538" s="21" t="n">
        <f aca="false">ROUND(P538-IF(O538="",0,O538),2)</f>
        <v>0</v>
      </c>
      <c r="R538" s="14" t="str">
        <f aca="false">IF(J538="","MISSING BILL",IF(AND(K538=N538,ABS(L538-M538)&lt;0.001,ABS(O538-P538)&lt;0.01),"RECONCILED","CALCULATION ERROR"))</f>
        <v>RECONCILED</v>
      </c>
      <c r="S538" s="14" t="s">
        <v>2935</v>
      </c>
    </row>
    <row r="539" customFormat="false" ht="15" hidden="true" customHeight="false" outlineLevel="0" collapsed="false">
      <c r="A539" s="13" t="s">
        <v>3797</v>
      </c>
      <c r="B539" s="13" t="s">
        <v>106</v>
      </c>
      <c r="C539" s="13" t="s">
        <v>1872</v>
      </c>
      <c r="D539" s="13" t="s">
        <v>1873</v>
      </c>
      <c r="E539" s="13" t="s">
        <v>3798</v>
      </c>
      <c r="F539" s="14" t="s">
        <v>3799</v>
      </c>
      <c r="G539" s="14" t="s">
        <v>3800</v>
      </c>
      <c r="H539" s="20" t="n">
        <v>26.5</v>
      </c>
      <c r="I539" s="13" t="n">
        <v>60</v>
      </c>
      <c r="J539" s="13" t="s">
        <v>3801</v>
      </c>
      <c r="K539" s="13" t="n">
        <v>60</v>
      </c>
      <c r="L539" s="21" t="n">
        <v>7.55</v>
      </c>
      <c r="M539" s="21" t="n">
        <f aca="false">IF(C539="covered",10.4,7.55)</f>
        <v>7.55</v>
      </c>
      <c r="N539" s="13" t="n">
        <f aca="false">MAX(ROUNDUP(H539,0),I539)</f>
        <v>60</v>
      </c>
      <c r="O539" s="21" t="n">
        <v>453</v>
      </c>
      <c r="P539" s="21" t="n">
        <f aca="false">ROUND(M539*N539,2)</f>
        <v>453</v>
      </c>
      <c r="Q539" s="21" t="n">
        <f aca="false">ROUND(P539-IF(O539="",0,O539),2)</f>
        <v>0</v>
      </c>
      <c r="R539" s="14" t="str">
        <f aca="false">IF(J539="","MISSING BILL",IF(AND(K539=N539,ABS(L539-M539)&lt;0.001,ABS(O539-P539)&lt;0.01),"RECONCILED","CALCULATION ERROR"))</f>
        <v>RECONCILED</v>
      </c>
      <c r="S539" s="14" t="s">
        <v>2935</v>
      </c>
    </row>
    <row r="540" customFormat="false" ht="15" hidden="true" customHeight="false" outlineLevel="0" collapsed="false">
      <c r="A540" s="13" t="s">
        <v>3802</v>
      </c>
      <c r="B540" s="13" t="s">
        <v>106</v>
      </c>
      <c r="C540" s="13" t="s">
        <v>1872</v>
      </c>
      <c r="D540" s="13" t="s">
        <v>1873</v>
      </c>
      <c r="E540" s="13" t="s">
        <v>3803</v>
      </c>
      <c r="F540" s="14" t="s">
        <v>3804</v>
      </c>
      <c r="G540" s="14" t="s">
        <v>2733</v>
      </c>
      <c r="H540" s="20" t="n">
        <v>33.7</v>
      </c>
      <c r="I540" s="13" t="n">
        <v>24</v>
      </c>
      <c r="J540" s="13" t="s">
        <v>3805</v>
      </c>
      <c r="K540" s="13" t="n">
        <v>34</v>
      </c>
      <c r="L540" s="21" t="n">
        <v>7.55</v>
      </c>
      <c r="M540" s="21" t="n">
        <f aca="false">IF(C540="covered",10.4,7.55)</f>
        <v>7.55</v>
      </c>
      <c r="N540" s="13" t="n">
        <f aca="false">MAX(ROUNDUP(H540,0),I540)</f>
        <v>34</v>
      </c>
      <c r="O540" s="21" t="n">
        <v>256.7</v>
      </c>
      <c r="P540" s="21" t="n">
        <f aca="false">ROUND(M540*N540,2)</f>
        <v>256.7</v>
      </c>
      <c r="Q540" s="21" t="n">
        <f aca="false">ROUND(P540-IF(O540="",0,O540),2)</f>
        <v>0</v>
      </c>
      <c r="R540" s="14" t="str">
        <f aca="false">IF(J540="","MISSING BILL",IF(AND(K540=N540,ABS(L540-M540)&lt;0.001,ABS(O540-P540)&lt;0.01),"RECONCILED","CALCULATION ERROR"))</f>
        <v>RECONCILED</v>
      </c>
      <c r="S540" s="14" t="s">
        <v>2935</v>
      </c>
    </row>
    <row r="541" customFormat="false" ht="15" hidden="true" customHeight="false" outlineLevel="0" collapsed="false">
      <c r="A541" s="13" t="s">
        <v>3806</v>
      </c>
      <c r="B541" s="13" t="s">
        <v>90</v>
      </c>
      <c r="C541" s="13" t="s">
        <v>1872</v>
      </c>
      <c r="D541" s="13" t="s">
        <v>1873</v>
      </c>
      <c r="E541" s="13" t="s">
        <v>3807</v>
      </c>
      <c r="F541" s="14" t="s">
        <v>3808</v>
      </c>
      <c r="G541" s="14" t="s">
        <v>3809</v>
      </c>
      <c r="H541" s="20" t="n">
        <v>43.8</v>
      </c>
      <c r="I541" s="13" t="n">
        <v>40</v>
      </c>
      <c r="J541" s="13" t="s">
        <v>3810</v>
      </c>
      <c r="K541" s="13" t="n">
        <v>44</v>
      </c>
      <c r="L541" s="21" t="n">
        <v>7.55</v>
      </c>
      <c r="M541" s="21" t="n">
        <f aca="false">IF(C541="covered",10.4,7.55)</f>
        <v>7.55</v>
      </c>
      <c r="N541" s="13" t="n">
        <f aca="false">MAX(ROUNDUP(H541,0),I541)</f>
        <v>44</v>
      </c>
      <c r="O541" s="21" t="n">
        <v>332.2</v>
      </c>
      <c r="P541" s="21" t="n">
        <f aca="false">ROUND(M541*N541,2)</f>
        <v>332.2</v>
      </c>
      <c r="Q541" s="21" t="n">
        <f aca="false">ROUND(P541-IF(O541="",0,O541),2)</f>
        <v>0</v>
      </c>
      <c r="R541" s="14" t="str">
        <f aca="false">IF(J541="","MISSING BILL",IF(AND(K541=N541,ABS(L541-M541)&lt;0.001,ABS(O541-P541)&lt;0.01),"RECONCILED","CALCULATION ERROR"))</f>
        <v>RECONCILED</v>
      </c>
      <c r="S541" s="14" t="s">
        <v>2935</v>
      </c>
    </row>
    <row r="542" customFormat="false" ht="15" hidden="true" customHeight="false" outlineLevel="0" collapsed="false">
      <c r="A542" s="13" t="s">
        <v>1266</v>
      </c>
      <c r="B542" s="13" t="s">
        <v>90</v>
      </c>
      <c r="C542" s="13" t="s">
        <v>1872</v>
      </c>
      <c r="D542" s="13" t="s">
        <v>1873</v>
      </c>
      <c r="E542" s="13" t="s">
        <v>3811</v>
      </c>
      <c r="F542" s="14" t="s">
        <v>3812</v>
      </c>
      <c r="G542" s="14" t="s">
        <v>1952</v>
      </c>
      <c r="H542" s="20" t="n">
        <v>21.9</v>
      </c>
      <c r="I542" s="13" t="n">
        <v>45</v>
      </c>
      <c r="J542" s="13" t="s">
        <v>3813</v>
      </c>
      <c r="K542" s="13" t="n">
        <v>45</v>
      </c>
      <c r="L542" s="21" t="n">
        <v>7.55</v>
      </c>
      <c r="M542" s="21" t="n">
        <f aca="false">IF(C542="covered",10.4,7.55)</f>
        <v>7.55</v>
      </c>
      <c r="N542" s="13" t="n">
        <f aca="false">MAX(ROUNDUP(H542,0),I542)</f>
        <v>45</v>
      </c>
      <c r="O542" s="21" t="n">
        <v>339.75</v>
      </c>
      <c r="P542" s="21" t="n">
        <f aca="false">ROUND(M542*N542,2)</f>
        <v>339.75</v>
      </c>
      <c r="Q542" s="21" t="n">
        <f aca="false">ROUND(P542-IF(O542="",0,O542),2)</f>
        <v>0</v>
      </c>
      <c r="R542" s="14" t="str">
        <f aca="false">IF(J542="","MISSING BILL",IF(AND(K542=N542,ABS(L542-M542)&lt;0.001,ABS(O542-P542)&lt;0.01),"RECONCILED","CALCULATION ERROR"))</f>
        <v>RECONCILED</v>
      </c>
      <c r="S542" s="14" t="s">
        <v>2935</v>
      </c>
    </row>
    <row r="543" customFormat="false" ht="15" hidden="true" customHeight="false" outlineLevel="0" collapsed="false">
      <c r="A543" s="13" t="s">
        <v>3814</v>
      </c>
      <c r="B543" s="13" t="s">
        <v>90</v>
      </c>
      <c r="C543" s="13" t="s">
        <v>1872</v>
      </c>
      <c r="D543" s="13" t="s">
        <v>1873</v>
      </c>
      <c r="E543" s="13" t="s">
        <v>3815</v>
      </c>
      <c r="F543" s="14" t="s">
        <v>3816</v>
      </c>
      <c r="G543" s="14" t="s">
        <v>2027</v>
      </c>
      <c r="H543" s="20" t="n">
        <v>49.6</v>
      </c>
      <c r="I543" s="13" t="n">
        <v>40</v>
      </c>
      <c r="J543" s="13" t="s">
        <v>3817</v>
      </c>
      <c r="K543" s="13" t="n">
        <v>50</v>
      </c>
      <c r="L543" s="21" t="n">
        <v>7.55</v>
      </c>
      <c r="M543" s="21" t="n">
        <f aca="false">IF(C543="covered",10.4,7.55)</f>
        <v>7.55</v>
      </c>
      <c r="N543" s="13" t="n">
        <f aca="false">MAX(ROUNDUP(H543,0),I543)</f>
        <v>50</v>
      </c>
      <c r="O543" s="21" t="n">
        <v>377.5</v>
      </c>
      <c r="P543" s="21" t="n">
        <f aca="false">ROUND(M543*N543,2)</f>
        <v>377.5</v>
      </c>
      <c r="Q543" s="21" t="n">
        <f aca="false">ROUND(P543-IF(O543="",0,O543),2)</f>
        <v>0</v>
      </c>
      <c r="R543" s="14" t="str">
        <f aca="false">IF(J543="","MISSING BILL",IF(AND(K543=N543,ABS(L543-M543)&lt;0.001,ABS(O543-P543)&lt;0.01),"RECONCILED","CALCULATION ERROR"))</f>
        <v>RECONCILED</v>
      </c>
      <c r="S543" s="14" t="s">
        <v>2935</v>
      </c>
    </row>
    <row r="544" customFormat="false" ht="15" hidden="true" customHeight="false" outlineLevel="0" collapsed="false">
      <c r="A544" s="13" t="s">
        <v>1547</v>
      </c>
      <c r="B544" s="13" t="s">
        <v>90</v>
      </c>
      <c r="C544" s="13" t="s">
        <v>1872</v>
      </c>
      <c r="D544" s="13" t="s">
        <v>1873</v>
      </c>
      <c r="E544" s="13" t="s">
        <v>3818</v>
      </c>
      <c r="F544" s="14" t="s">
        <v>3819</v>
      </c>
      <c r="G544" s="14" t="s">
        <v>3820</v>
      </c>
      <c r="H544" s="20" t="n">
        <v>35.5</v>
      </c>
      <c r="I544" s="13" t="n">
        <v>60</v>
      </c>
      <c r="J544" s="13" t="s">
        <v>3821</v>
      </c>
      <c r="K544" s="13" t="n">
        <v>60</v>
      </c>
      <c r="L544" s="21" t="n">
        <v>7.55</v>
      </c>
      <c r="M544" s="21" t="n">
        <f aca="false">IF(C544="covered",10.4,7.55)</f>
        <v>7.55</v>
      </c>
      <c r="N544" s="13" t="n">
        <f aca="false">MAX(ROUNDUP(H544,0),I544)</f>
        <v>60</v>
      </c>
      <c r="O544" s="21" t="n">
        <v>453</v>
      </c>
      <c r="P544" s="21" t="n">
        <f aca="false">ROUND(M544*N544,2)</f>
        <v>453</v>
      </c>
      <c r="Q544" s="21" t="n">
        <f aca="false">ROUND(P544-IF(O544="",0,O544),2)</f>
        <v>0</v>
      </c>
      <c r="R544" s="14" t="str">
        <f aca="false">IF(J544="","MISSING BILL",IF(AND(K544=N544,ABS(L544-M544)&lt;0.001,ABS(O544-P544)&lt;0.01),"RECONCILED","CALCULATION ERROR"))</f>
        <v>RECONCILED</v>
      </c>
      <c r="S544" s="14" t="s">
        <v>2935</v>
      </c>
    </row>
    <row r="545" customFormat="false" ht="15" hidden="true" customHeight="false" outlineLevel="0" collapsed="false">
      <c r="A545" s="13" t="s">
        <v>3822</v>
      </c>
      <c r="B545" s="13" t="s">
        <v>90</v>
      </c>
      <c r="C545" s="13" t="s">
        <v>1872</v>
      </c>
      <c r="D545" s="13" t="s">
        <v>1873</v>
      </c>
      <c r="E545" s="13" t="s">
        <v>3823</v>
      </c>
      <c r="F545" s="14" t="s">
        <v>3824</v>
      </c>
      <c r="G545" s="14" t="s">
        <v>3825</v>
      </c>
      <c r="H545" s="20" t="n">
        <v>40.5</v>
      </c>
      <c r="I545" s="13" t="n">
        <v>80</v>
      </c>
      <c r="J545" s="13" t="s">
        <v>3826</v>
      </c>
      <c r="K545" s="13" t="n">
        <v>80</v>
      </c>
      <c r="L545" s="21" t="n">
        <v>7.55</v>
      </c>
      <c r="M545" s="21" t="n">
        <f aca="false">IF(C545="covered",10.4,7.55)</f>
        <v>7.55</v>
      </c>
      <c r="N545" s="13" t="n">
        <f aca="false">MAX(ROUNDUP(H545,0),I545)</f>
        <v>80</v>
      </c>
      <c r="O545" s="21" t="n">
        <v>604</v>
      </c>
      <c r="P545" s="21" t="n">
        <f aca="false">ROUND(M545*N545,2)</f>
        <v>604</v>
      </c>
      <c r="Q545" s="21" t="n">
        <f aca="false">ROUND(P545-IF(O545="",0,O545),2)</f>
        <v>0</v>
      </c>
      <c r="R545" s="14" t="str">
        <f aca="false">IF(J545="","MISSING BILL",IF(AND(K545=N545,ABS(L545-M545)&lt;0.001,ABS(O545-P545)&lt;0.01),"RECONCILED","CALCULATION ERROR"))</f>
        <v>RECONCILED</v>
      </c>
      <c r="S545" s="14" t="s">
        <v>2935</v>
      </c>
    </row>
    <row r="546" customFormat="false" ht="15" hidden="true" customHeight="false" outlineLevel="0" collapsed="false">
      <c r="A546" s="13" t="s">
        <v>3827</v>
      </c>
      <c r="B546" s="13" t="s">
        <v>90</v>
      </c>
      <c r="C546" s="13" t="s">
        <v>1872</v>
      </c>
      <c r="D546" s="13" t="s">
        <v>1873</v>
      </c>
      <c r="E546" s="13" t="s">
        <v>3828</v>
      </c>
      <c r="F546" s="14" t="s">
        <v>3829</v>
      </c>
      <c r="G546" s="14" t="s">
        <v>2281</v>
      </c>
      <c r="H546" s="20" t="n">
        <v>46.9</v>
      </c>
      <c r="I546" s="13" t="n">
        <v>32</v>
      </c>
      <c r="J546" s="13" t="s">
        <v>3830</v>
      </c>
      <c r="K546" s="13" t="n">
        <v>47</v>
      </c>
      <c r="L546" s="21" t="n">
        <v>7.55</v>
      </c>
      <c r="M546" s="21" t="n">
        <f aca="false">IF(C546="covered",10.4,7.55)</f>
        <v>7.55</v>
      </c>
      <c r="N546" s="13" t="n">
        <f aca="false">MAX(ROUNDUP(H546,0),I546)</f>
        <v>47</v>
      </c>
      <c r="O546" s="21" t="n">
        <v>354.85</v>
      </c>
      <c r="P546" s="21" t="n">
        <f aca="false">ROUND(M546*N546,2)</f>
        <v>354.85</v>
      </c>
      <c r="Q546" s="21" t="n">
        <f aca="false">ROUND(P546-IF(O546="",0,O546),2)</f>
        <v>0</v>
      </c>
      <c r="R546" s="14" t="str">
        <f aca="false">IF(J546="","MISSING BILL",IF(AND(K546=N546,ABS(L546-M546)&lt;0.001,ABS(O546-P546)&lt;0.01),"RECONCILED","CALCULATION ERROR"))</f>
        <v>RECONCILED</v>
      </c>
      <c r="S546" s="14" t="s">
        <v>2935</v>
      </c>
    </row>
    <row r="547" customFormat="false" ht="15" hidden="true" customHeight="false" outlineLevel="0" collapsed="false">
      <c r="A547" s="13" t="s">
        <v>3831</v>
      </c>
      <c r="B547" s="13" t="s">
        <v>90</v>
      </c>
      <c r="C547" s="13" t="s">
        <v>1872</v>
      </c>
      <c r="D547" s="13" t="s">
        <v>1873</v>
      </c>
      <c r="E547" s="13" t="s">
        <v>3832</v>
      </c>
      <c r="F547" s="14" t="s">
        <v>3833</v>
      </c>
      <c r="G547" s="14" t="s">
        <v>3541</v>
      </c>
      <c r="H547" s="20" t="n">
        <v>55</v>
      </c>
      <c r="I547" s="13" t="n">
        <v>28</v>
      </c>
      <c r="J547" s="13" t="s">
        <v>3834</v>
      </c>
      <c r="K547" s="13" t="n">
        <v>55</v>
      </c>
      <c r="L547" s="21" t="n">
        <v>7.55</v>
      </c>
      <c r="M547" s="21" t="n">
        <f aca="false">IF(C547="covered",10.4,7.55)</f>
        <v>7.55</v>
      </c>
      <c r="N547" s="13" t="n">
        <f aca="false">MAX(ROUNDUP(H547,0),I547)</f>
        <v>55</v>
      </c>
      <c r="O547" s="21" t="n">
        <v>415.25</v>
      </c>
      <c r="P547" s="21" t="n">
        <f aca="false">ROUND(M547*N547,2)</f>
        <v>415.25</v>
      </c>
      <c r="Q547" s="21" t="n">
        <f aca="false">ROUND(P547-IF(O547="",0,O547),2)</f>
        <v>0</v>
      </c>
      <c r="R547" s="14" t="str">
        <f aca="false">IF(J547="","MISSING BILL",IF(AND(K547=N547,ABS(L547-M547)&lt;0.001,ABS(O547-P547)&lt;0.01),"RECONCILED","CALCULATION ERROR"))</f>
        <v>RECONCILED</v>
      </c>
      <c r="S547" s="14" t="s">
        <v>2935</v>
      </c>
    </row>
    <row r="548" customFormat="false" ht="15" hidden="true" customHeight="false" outlineLevel="0" collapsed="false">
      <c r="A548" s="13" t="s">
        <v>3835</v>
      </c>
      <c r="B548" s="13" t="s">
        <v>90</v>
      </c>
      <c r="C548" s="13" t="s">
        <v>1872</v>
      </c>
      <c r="D548" s="13" t="s">
        <v>1873</v>
      </c>
      <c r="E548" s="13" t="s">
        <v>3836</v>
      </c>
      <c r="F548" s="14" t="s">
        <v>3837</v>
      </c>
      <c r="G548" s="14" t="s">
        <v>3838</v>
      </c>
      <c r="H548" s="20" t="n">
        <v>42.1</v>
      </c>
      <c r="I548" s="13" t="n">
        <v>80</v>
      </c>
      <c r="J548" s="13" t="s">
        <v>3839</v>
      </c>
      <c r="K548" s="13" t="n">
        <v>80</v>
      </c>
      <c r="L548" s="21" t="n">
        <v>7.55</v>
      </c>
      <c r="M548" s="21" t="n">
        <f aca="false">IF(C548="covered",10.4,7.55)</f>
        <v>7.55</v>
      </c>
      <c r="N548" s="13" t="n">
        <f aca="false">MAX(ROUNDUP(H548,0),I548)</f>
        <v>80</v>
      </c>
      <c r="O548" s="21" t="n">
        <v>604</v>
      </c>
      <c r="P548" s="21" t="n">
        <f aca="false">ROUND(M548*N548,2)</f>
        <v>604</v>
      </c>
      <c r="Q548" s="21" t="n">
        <f aca="false">ROUND(P548-IF(O548="",0,O548),2)</f>
        <v>0</v>
      </c>
      <c r="R548" s="14" t="str">
        <f aca="false">IF(J548="","MISSING BILL",IF(AND(K548=N548,ABS(L548-M548)&lt;0.001,ABS(O548-P548)&lt;0.01),"RECONCILED","CALCULATION ERROR"))</f>
        <v>RECONCILED</v>
      </c>
      <c r="S548" s="14" t="s">
        <v>2935</v>
      </c>
    </row>
    <row r="549" customFormat="false" ht="15" hidden="true" customHeight="false" outlineLevel="0" collapsed="false">
      <c r="A549" s="13" t="s">
        <v>3840</v>
      </c>
      <c r="B549" s="13" t="s">
        <v>90</v>
      </c>
      <c r="C549" s="13" t="s">
        <v>1872</v>
      </c>
      <c r="D549" s="13" t="s">
        <v>1873</v>
      </c>
      <c r="E549" s="13" t="s">
        <v>3841</v>
      </c>
      <c r="F549" s="14" t="s">
        <v>3842</v>
      </c>
      <c r="G549" s="14" t="s">
        <v>3038</v>
      </c>
      <c r="H549" s="20" t="n">
        <v>59.8</v>
      </c>
      <c r="I549" s="13" t="n">
        <v>28</v>
      </c>
      <c r="J549" s="13" t="s">
        <v>3843</v>
      </c>
      <c r="K549" s="13" t="n">
        <v>60</v>
      </c>
      <c r="L549" s="21" t="n">
        <v>7.55</v>
      </c>
      <c r="M549" s="21" t="n">
        <f aca="false">IF(C549="covered",10.4,7.55)</f>
        <v>7.55</v>
      </c>
      <c r="N549" s="13" t="n">
        <f aca="false">MAX(ROUNDUP(H549,0),I549)</f>
        <v>60</v>
      </c>
      <c r="O549" s="21" t="n">
        <v>453</v>
      </c>
      <c r="P549" s="21" t="n">
        <f aca="false">ROUND(M549*N549,2)</f>
        <v>453</v>
      </c>
      <c r="Q549" s="21" t="n">
        <f aca="false">ROUND(P549-IF(O549="",0,O549),2)</f>
        <v>0</v>
      </c>
      <c r="R549" s="14" t="str">
        <f aca="false">IF(J549="","MISSING BILL",IF(AND(K549=N549,ABS(L549-M549)&lt;0.001,ABS(O549-P549)&lt;0.01),"RECONCILED","CALCULATION ERROR"))</f>
        <v>RECONCILED</v>
      </c>
      <c r="S549" s="14" t="s">
        <v>2935</v>
      </c>
    </row>
    <row r="550" customFormat="false" ht="15" hidden="true" customHeight="false" outlineLevel="0" collapsed="false">
      <c r="A550" s="13" t="s">
        <v>3844</v>
      </c>
      <c r="B550" s="13" t="s">
        <v>90</v>
      </c>
      <c r="C550" s="13" t="s">
        <v>1872</v>
      </c>
      <c r="D550" s="13" t="s">
        <v>1873</v>
      </c>
      <c r="E550" s="13" t="s">
        <v>3845</v>
      </c>
      <c r="F550" s="14" t="s">
        <v>3846</v>
      </c>
      <c r="G550" s="14" t="s">
        <v>3847</v>
      </c>
      <c r="H550" s="20" t="n">
        <v>19.8</v>
      </c>
      <c r="I550" s="13" t="n">
        <v>32</v>
      </c>
      <c r="J550" s="13" t="s">
        <v>3848</v>
      </c>
      <c r="K550" s="13" t="n">
        <v>32</v>
      </c>
      <c r="L550" s="21" t="n">
        <v>7.55</v>
      </c>
      <c r="M550" s="21" t="n">
        <f aca="false">IF(C550="covered",10.4,7.55)</f>
        <v>7.55</v>
      </c>
      <c r="N550" s="13" t="n">
        <f aca="false">MAX(ROUNDUP(H550,0),I550)</f>
        <v>32</v>
      </c>
      <c r="O550" s="21" t="n">
        <v>241.6</v>
      </c>
      <c r="P550" s="21" t="n">
        <f aca="false">ROUND(M550*N550,2)</f>
        <v>241.6</v>
      </c>
      <c r="Q550" s="21" t="n">
        <f aca="false">ROUND(P550-IF(O550="",0,O550),2)</f>
        <v>0</v>
      </c>
      <c r="R550" s="14" t="str">
        <f aca="false">IF(J550="","MISSING BILL",IF(AND(K550=N550,ABS(L550-M550)&lt;0.001,ABS(O550-P550)&lt;0.01),"RECONCILED","CALCULATION ERROR"))</f>
        <v>RECONCILED</v>
      </c>
      <c r="S550" s="14" t="s">
        <v>2935</v>
      </c>
    </row>
    <row r="551" customFormat="false" ht="15" hidden="true" customHeight="false" outlineLevel="0" collapsed="false">
      <c r="A551" s="13" t="s">
        <v>3849</v>
      </c>
      <c r="B551" s="13" t="s">
        <v>90</v>
      </c>
      <c r="C551" s="13" t="s">
        <v>1872</v>
      </c>
      <c r="D551" s="13" t="s">
        <v>1873</v>
      </c>
      <c r="E551" s="13" t="s">
        <v>3850</v>
      </c>
      <c r="F551" s="14" t="s">
        <v>3851</v>
      </c>
      <c r="G551" s="14" t="s">
        <v>3852</v>
      </c>
      <c r="H551" s="20" t="n">
        <v>45.1</v>
      </c>
      <c r="I551" s="13" t="n">
        <v>45</v>
      </c>
      <c r="J551" s="13" t="s">
        <v>3853</v>
      </c>
      <c r="K551" s="13" t="n">
        <v>46</v>
      </c>
      <c r="L551" s="21" t="n">
        <v>7.55</v>
      </c>
      <c r="M551" s="21" t="n">
        <f aca="false">IF(C551="covered",10.4,7.55)</f>
        <v>7.55</v>
      </c>
      <c r="N551" s="13" t="n">
        <f aca="false">MAX(ROUNDUP(H551,0),I551)</f>
        <v>46</v>
      </c>
      <c r="O551" s="21" t="n">
        <v>347.3</v>
      </c>
      <c r="P551" s="21" t="n">
        <f aca="false">ROUND(M551*N551,2)</f>
        <v>347.3</v>
      </c>
      <c r="Q551" s="21" t="n">
        <f aca="false">ROUND(P551-IF(O551="",0,O551),2)</f>
        <v>0</v>
      </c>
      <c r="R551" s="14" t="str">
        <f aca="false">IF(J551="","MISSING BILL",IF(AND(K551=N551,ABS(L551-M551)&lt;0.001,ABS(O551-P551)&lt;0.01),"RECONCILED","CALCULATION ERROR"))</f>
        <v>RECONCILED</v>
      </c>
      <c r="S551" s="14" t="s">
        <v>2935</v>
      </c>
    </row>
    <row r="552" customFormat="false" ht="15" hidden="true" customHeight="false" outlineLevel="0" collapsed="false">
      <c r="A552" s="13" t="s">
        <v>3854</v>
      </c>
      <c r="B552" s="13" t="s">
        <v>90</v>
      </c>
      <c r="C552" s="13" t="s">
        <v>1872</v>
      </c>
      <c r="D552" s="13" t="s">
        <v>1873</v>
      </c>
      <c r="E552" s="13" t="s">
        <v>3855</v>
      </c>
      <c r="F552" s="14" t="s">
        <v>3856</v>
      </c>
      <c r="G552" s="14" t="s">
        <v>3857</v>
      </c>
      <c r="H552" s="20" t="n">
        <v>36.6</v>
      </c>
      <c r="I552" s="13" t="n">
        <v>24</v>
      </c>
      <c r="J552" s="13" t="s">
        <v>3858</v>
      </c>
      <c r="K552" s="13" t="n">
        <v>37</v>
      </c>
      <c r="L552" s="21" t="n">
        <v>7.55</v>
      </c>
      <c r="M552" s="21" t="n">
        <f aca="false">IF(C552="covered",10.4,7.55)</f>
        <v>7.55</v>
      </c>
      <c r="N552" s="13" t="n">
        <f aca="false">MAX(ROUNDUP(H552,0),I552)</f>
        <v>37</v>
      </c>
      <c r="O552" s="21" t="n">
        <v>279.35</v>
      </c>
      <c r="P552" s="21" t="n">
        <f aca="false">ROUND(M552*N552,2)</f>
        <v>279.35</v>
      </c>
      <c r="Q552" s="21" t="n">
        <f aca="false">ROUND(P552-IF(O552="",0,O552),2)</f>
        <v>0</v>
      </c>
      <c r="R552" s="14" t="str">
        <f aca="false">IF(J552="","MISSING BILL",IF(AND(K552=N552,ABS(L552-M552)&lt;0.001,ABS(O552-P552)&lt;0.01),"RECONCILED","CALCULATION ERROR"))</f>
        <v>RECONCILED</v>
      </c>
      <c r="S552" s="14" t="s">
        <v>2935</v>
      </c>
    </row>
    <row r="553" customFormat="false" ht="15" hidden="true" customHeight="false" outlineLevel="0" collapsed="false">
      <c r="A553" s="13" t="s">
        <v>3859</v>
      </c>
      <c r="B553" s="13" t="s">
        <v>90</v>
      </c>
      <c r="C553" s="13" t="s">
        <v>1872</v>
      </c>
      <c r="D553" s="13" t="s">
        <v>1873</v>
      </c>
      <c r="E553" s="13" t="s">
        <v>3860</v>
      </c>
      <c r="F553" s="14" t="s">
        <v>3861</v>
      </c>
      <c r="G553" s="14" t="s">
        <v>3862</v>
      </c>
      <c r="H553" s="20" t="n">
        <v>26.4</v>
      </c>
      <c r="I553" s="13" t="n">
        <v>50</v>
      </c>
      <c r="J553" s="13" t="s">
        <v>3863</v>
      </c>
      <c r="K553" s="13" t="n">
        <v>50</v>
      </c>
      <c r="L553" s="21" t="n">
        <v>7.55</v>
      </c>
      <c r="M553" s="21" t="n">
        <f aca="false">IF(C553="covered",10.4,7.55)</f>
        <v>7.55</v>
      </c>
      <c r="N553" s="13" t="n">
        <f aca="false">MAX(ROUNDUP(H553,0),I553)</f>
        <v>50</v>
      </c>
      <c r="O553" s="21" t="n">
        <v>377.5</v>
      </c>
      <c r="P553" s="21" t="n">
        <f aca="false">ROUND(M553*N553,2)</f>
        <v>377.5</v>
      </c>
      <c r="Q553" s="21" t="n">
        <f aca="false">ROUND(P553-IF(O553="",0,O553),2)</f>
        <v>0</v>
      </c>
      <c r="R553" s="14" t="str">
        <f aca="false">IF(J553="","MISSING BILL",IF(AND(K553=N553,ABS(L553-M553)&lt;0.001,ABS(O553-P553)&lt;0.01),"RECONCILED","CALCULATION ERROR"))</f>
        <v>RECONCILED</v>
      </c>
      <c r="S553" s="14" t="s">
        <v>2935</v>
      </c>
    </row>
    <row r="554" customFormat="false" ht="15" hidden="true" customHeight="false" outlineLevel="0" collapsed="false">
      <c r="A554" s="13" t="s">
        <v>114</v>
      </c>
      <c r="B554" s="13" t="s">
        <v>90</v>
      </c>
      <c r="C554" s="13" t="s">
        <v>1872</v>
      </c>
      <c r="D554" s="13" t="s">
        <v>1873</v>
      </c>
      <c r="E554" s="13" t="s">
        <v>3864</v>
      </c>
      <c r="F554" s="14" t="s">
        <v>3865</v>
      </c>
      <c r="G554" s="14" t="s">
        <v>3866</v>
      </c>
      <c r="H554" s="20" t="n">
        <v>49.4</v>
      </c>
      <c r="I554" s="13" t="n">
        <v>32</v>
      </c>
      <c r="J554" s="13" t="s">
        <v>3867</v>
      </c>
      <c r="K554" s="13" t="n">
        <v>50</v>
      </c>
      <c r="L554" s="21" t="n">
        <v>7.55</v>
      </c>
      <c r="M554" s="21" t="n">
        <f aca="false">IF(C554="covered",10.4,7.55)</f>
        <v>7.55</v>
      </c>
      <c r="N554" s="13" t="n">
        <f aca="false">MAX(ROUNDUP(H554,0),I554)</f>
        <v>50</v>
      </c>
      <c r="O554" s="21" t="n">
        <v>377.5</v>
      </c>
      <c r="P554" s="21" t="n">
        <f aca="false">ROUND(M554*N554,2)</f>
        <v>377.5</v>
      </c>
      <c r="Q554" s="21" t="n">
        <f aca="false">ROUND(P554-IF(O554="",0,O554),2)</f>
        <v>0</v>
      </c>
      <c r="R554" s="14" t="str">
        <f aca="false">IF(J554="","MISSING BILL",IF(AND(K554=N554,ABS(L554-M554)&lt;0.001,ABS(O554-P554)&lt;0.01),"RECONCILED","CALCULATION ERROR"))</f>
        <v>RECONCILED</v>
      </c>
      <c r="S554" s="14" t="s">
        <v>2935</v>
      </c>
    </row>
    <row r="555" customFormat="false" ht="15" hidden="true" customHeight="false" outlineLevel="0" collapsed="false">
      <c r="A555" s="13" t="s">
        <v>3868</v>
      </c>
      <c r="B555" s="13" t="s">
        <v>90</v>
      </c>
      <c r="C555" s="13" t="s">
        <v>1872</v>
      </c>
      <c r="D555" s="13" t="s">
        <v>1873</v>
      </c>
      <c r="E555" s="13" t="s">
        <v>3869</v>
      </c>
      <c r="F555" s="14" t="s">
        <v>3870</v>
      </c>
      <c r="G555" s="14" t="s">
        <v>3871</v>
      </c>
      <c r="H555" s="20" t="n">
        <v>50</v>
      </c>
      <c r="I555" s="13" t="n">
        <v>50</v>
      </c>
      <c r="J555" s="13" t="s">
        <v>3872</v>
      </c>
      <c r="K555" s="13" t="n">
        <v>50</v>
      </c>
      <c r="L555" s="21" t="n">
        <v>7.55</v>
      </c>
      <c r="M555" s="21" t="n">
        <f aca="false">IF(C555="covered",10.4,7.55)</f>
        <v>7.55</v>
      </c>
      <c r="N555" s="13" t="n">
        <f aca="false">MAX(ROUNDUP(H555,0),I555)</f>
        <v>50</v>
      </c>
      <c r="O555" s="21" t="n">
        <v>377.5</v>
      </c>
      <c r="P555" s="21" t="n">
        <f aca="false">ROUND(M555*N555,2)</f>
        <v>377.5</v>
      </c>
      <c r="Q555" s="21" t="n">
        <f aca="false">ROUND(P555-IF(O555="",0,O555),2)</f>
        <v>0</v>
      </c>
      <c r="R555" s="14" t="str">
        <f aca="false">IF(J555="","MISSING BILL",IF(AND(K555=N555,ABS(L555-M555)&lt;0.001,ABS(O555-P555)&lt;0.01),"RECONCILED","CALCULATION ERROR"))</f>
        <v>RECONCILED</v>
      </c>
      <c r="S555" s="14" t="s">
        <v>2935</v>
      </c>
    </row>
    <row r="556" customFormat="false" ht="15" hidden="true" customHeight="false" outlineLevel="0" collapsed="false">
      <c r="A556" s="13" t="s">
        <v>380</v>
      </c>
      <c r="B556" s="13" t="s">
        <v>90</v>
      </c>
      <c r="C556" s="13" t="s">
        <v>1872</v>
      </c>
      <c r="D556" s="13" t="s">
        <v>1873</v>
      </c>
      <c r="E556" s="13" t="s">
        <v>3873</v>
      </c>
      <c r="F556" s="14" t="s">
        <v>3874</v>
      </c>
      <c r="G556" s="14" t="s">
        <v>2396</v>
      </c>
      <c r="H556" s="20" t="n">
        <v>53.9</v>
      </c>
      <c r="I556" s="13" t="n">
        <v>60</v>
      </c>
      <c r="J556" s="13" t="s">
        <v>3875</v>
      </c>
      <c r="K556" s="13" t="n">
        <v>60</v>
      </c>
      <c r="L556" s="21" t="n">
        <v>7.55</v>
      </c>
      <c r="M556" s="21" t="n">
        <f aca="false">IF(C556="covered",10.4,7.55)</f>
        <v>7.55</v>
      </c>
      <c r="N556" s="13" t="n">
        <f aca="false">MAX(ROUNDUP(H556,0),I556)</f>
        <v>60</v>
      </c>
      <c r="O556" s="21" t="n">
        <v>453</v>
      </c>
      <c r="P556" s="21" t="n">
        <f aca="false">ROUND(M556*N556,2)</f>
        <v>453</v>
      </c>
      <c r="Q556" s="21" t="n">
        <f aca="false">ROUND(P556-IF(O556="",0,O556),2)</f>
        <v>0</v>
      </c>
      <c r="R556" s="14" t="str">
        <f aca="false">IF(J556="","MISSING BILL",IF(AND(K556=N556,ABS(L556-M556)&lt;0.001,ABS(O556-P556)&lt;0.01),"RECONCILED","CALCULATION ERROR"))</f>
        <v>RECONCILED</v>
      </c>
      <c r="S556" s="14" t="s">
        <v>2935</v>
      </c>
    </row>
    <row r="557" customFormat="false" ht="15" hidden="true" customHeight="false" outlineLevel="0" collapsed="false">
      <c r="A557" s="13" t="s">
        <v>3876</v>
      </c>
      <c r="B557" s="13" t="s">
        <v>90</v>
      </c>
      <c r="C557" s="13" t="s">
        <v>1872</v>
      </c>
      <c r="D557" s="13" t="s">
        <v>1873</v>
      </c>
      <c r="E557" s="13" t="s">
        <v>3877</v>
      </c>
      <c r="F557" s="14" t="s">
        <v>3878</v>
      </c>
      <c r="G557" s="14" t="s">
        <v>2583</v>
      </c>
      <c r="H557" s="20" t="n">
        <v>37.9</v>
      </c>
      <c r="I557" s="13" t="n">
        <v>28</v>
      </c>
      <c r="J557" s="13" t="s">
        <v>3879</v>
      </c>
      <c r="K557" s="13" t="n">
        <v>38</v>
      </c>
      <c r="L557" s="21" t="n">
        <v>7.55</v>
      </c>
      <c r="M557" s="21" t="n">
        <f aca="false">IF(C557="covered",10.4,7.55)</f>
        <v>7.55</v>
      </c>
      <c r="N557" s="13" t="n">
        <f aca="false">MAX(ROUNDUP(H557,0),I557)</f>
        <v>38</v>
      </c>
      <c r="O557" s="21" t="n">
        <v>286.9</v>
      </c>
      <c r="P557" s="21" t="n">
        <f aca="false">ROUND(M557*N557,2)</f>
        <v>286.9</v>
      </c>
      <c r="Q557" s="21" t="n">
        <f aca="false">ROUND(P557-IF(O557="",0,O557),2)</f>
        <v>0</v>
      </c>
      <c r="R557" s="14" t="str">
        <f aca="false">IF(J557="","MISSING BILL",IF(AND(K557=N557,ABS(L557-M557)&lt;0.001,ABS(O557-P557)&lt;0.01),"RECONCILED","CALCULATION ERROR"))</f>
        <v>RECONCILED</v>
      </c>
      <c r="S557" s="14" t="s">
        <v>2935</v>
      </c>
    </row>
    <row r="558" customFormat="false" ht="15" hidden="true" customHeight="false" outlineLevel="0" collapsed="false">
      <c r="A558" s="13" t="s">
        <v>3880</v>
      </c>
      <c r="B558" s="13" t="s">
        <v>90</v>
      </c>
      <c r="C558" s="13" t="s">
        <v>1872</v>
      </c>
      <c r="D558" s="13" t="s">
        <v>1873</v>
      </c>
      <c r="E558" s="13" t="s">
        <v>3881</v>
      </c>
      <c r="F558" s="14" t="s">
        <v>3882</v>
      </c>
      <c r="G558" s="14" t="s">
        <v>2927</v>
      </c>
      <c r="H558" s="20" t="n">
        <v>49.8</v>
      </c>
      <c r="I558" s="13" t="n">
        <v>32</v>
      </c>
      <c r="J558" s="13" t="s">
        <v>3883</v>
      </c>
      <c r="K558" s="13" t="n">
        <v>50</v>
      </c>
      <c r="L558" s="21" t="n">
        <v>7.55</v>
      </c>
      <c r="M558" s="21" t="n">
        <f aca="false">IF(C558="covered",10.4,7.55)</f>
        <v>7.55</v>
      </c>
      <c r="N558" s="13" t="n">
        <f aca="false">MAX(ROUNDUP(H558,0),I558)</f>
        <v>50</v>
      </c>
      <c r="O558" s="21" t="n">
        <v>377.5</v>
      </c>
      <c r="P558" s="21" t="n">
        <f aca="false">ROUND(M558*N558,2)</f>
        <v>377.5</v>
      </c>
      <c r="Q558" s="21" t="n">
        <f aca="false">ROUND(P558-IF(O558="",0,O558),2)</f>
        <v>0</v>
      </c>
      <c r="R558" s="14" t="str">
        <f aca="false">IF(J558="","MISSING BILL",IF(AND(K558=N558,ABS(L558-M558)&lt;0.001,ABS(O558-P558)&lt;0.01),"RECONCILED","CALCULATION ERROR"))</f>
        <v>RECONCILED</v>
      </c>
      <c r="S558" s="14" t="s">
        <v>2935</v>
      </c>
    </row>
    <row r="559" customFormat="false" ht="15" hidden="true" customHeight="false" outlineLevel="0" collapsed="false">
      <c r="A559" s="13" t="s">
        <v>3884</v>
      </c>
      <c r="B559" s="13" t="s">
        <v>90</v>
      </c>
      <c r="C559" s="13" t="s">
        <v>1872</v>
      </c>
      <c r="D559" s="13" t="s">
        <v>1873</v>
      </c>
      <c r="E559" s="13" t="s">
        <v>3885</v>
      </c>
      <c r="F559" s="14" t="s">
        <v>3886</v>
      </c>
      <c r="G559" s="14" t="s">
        <v>1956</v>
      </c>
      <c r="H559" s="20" t="n">
        <v>40.7</v>
      </c>
      <c r="I559" s="13" t="n">
        <v>32</v>
      </c>
      <c r="J559" s="13" t="s">
        <v>3887</v>
      </c>
      <c r="K559" s="13" t="n">
        <v>41</v>
      </c>
      <c r="L559" s="21" t="n">
        <v>7.55</v>
      </c>
      <c r="M559" s="21" t="n">
        <f aca="false">IF(C559="covered",10.4,7.55)</f>
        <v>7.55</v>
      </c>
      <c r="N559" s="13" t="n">
        <f aca="false">MAX(ROUNDUP(H559,0),I559)</f>
        <v>41</v>
      </c>
      <c r="O559" s="21" t="n">
        <v>309.55</v>
      </c>
      <c r="P559" s="21" t="n">
        <f aca="false">ROUND(M559*N559,2)</f>
        <v>309.55</v>
      </c>
      <c r="Q559" s="21" t="n">
        <f aca="false">ROUND(P559-IF(O559="",0,O559),2)</f>
        <v>0</v>
      </c>
      <c r="R559" s="14" t="str">
        <f aca="false">IF(J559="","MISSING BILL",IF(AND(K559=N559,ABS(L559-M559)&lt;0.001,ABS(O559-P559)&lt;0.01),"RECONCILED","CALCULATION ERROR"))</f>
        <v>RECONCILED</v>
      </c>
      <c r="S559" s="14" t="s">
        <v>2935</v>
      </c>
    </row>
    <row r="560" customFormat="false" ht="15" hidden="true" customHeight="false" outlineLevel="0" collapsed="false">
      <c r="A560" s="13" t="s">
        <v>3888</v>
      </c>
      <c r="B560" s="13" t="s">
        <v>90</v>
      </c>
      <c r="C560" s="13" t="s">
        <v>1872</v>
      </c>
      <c r="D560" s="13" t="s">
        <v>1873</v>
      </c>
      <c r="E560" s="13" t="s">
        <v>3889</v>
      </c>
      <c r="F560" s="14" t="s">
        <v>3890</v>
      </c>
      <c r="G560" s="14" t="s">
        <v>3891</v>
      </c>
      <c r="H560" s="20" t="n">
        <v>26.5</v>
      </c>
      <c r="I560" s="13" t="n">
        <v>32</v>
      </c>
      <c r="J560" s="13" t="s">
        <v>3892</v>
      </c>
      <c r="K560" s="13" t="n">
        <v>32</v>
      </c>
      <c r="L560" s="21" t="n">
        <v>7.55</v>
      </c>
      <c r="M560" s="21" t="n">
        <f aca="false">IF(C560="covered",10.4,7.55)</f>
        <v>7.55</v>
      </c>
      <c r="N560" s="13" t="n">
        <f aca="false">MAX(ROUNDUP(H560,0),I560)</f>
        <v>32</v>
      </c>
      <c r="O560" s="21" t="n">
        <v>241.6</v>
      </c>
      <c r="P560" s="21" t="n">
        <f aca="false">ROUND(M560*N560,2)</f>
        <v>241.6</v>
      </c>
      <c r="Q560" s="21" t="n">
        <f aca="false">ROUND(P560-IF(O560="",0,O560),2)</f>
        <v>0</v>
      </c>
      <c r="R560" s="14" t="str">
        <f aca="false">IF(J560="","MISSING BILL",IF(AND(K560=N560,ABS(L560-M560)&lt;0.001,ABS(O560-P560)&lt;0.01),"RECONCILED","CALCULATION ERROR"))</f>
        <v>RECONCILED</v>
      </c>
      <c r="S560" s="14" t="s">
        <v>2935</v>
      </c>
    </row>
    <row r="561" customFormat="false" ht="15" hidden="true" customHeight="false" outlineLevel="0" collapsed="false">
      <c r="A561" s="13" t="s">
        <v>870</v>
      </c>
      <c r="B561" s="13" t="s">
        <v>90</v>
      </c>
      <c r="C561" s="13" t="s">
        <v>1872</v>
      </c>
      <c r="D561" s="13" t="s">
        <v>1873</v>
      </c>
      <c r="E561" s="13" t="s">
        <v>3893</v>
      </c>
      <c r="F561" s="14" t="s">
        <v>3894</v>
      </c>
      <c r="G561" s="14" t="s">
        <v>1926</v>
      </c>
      <c r="H561" s="20" t="n">
        <v>40.2</v>
      </c>
      <c r="I561" s="13" t="n">
        <v>80</v>
      </c>
      <c r="J561" s="13" t="s">
        <v>3895</v>
      </c>
      <c r="K561" s="13" t="n">
        <v>80</v>
      </c>
      <c r="L561" s="21" t="n">
        <v>7.55</v>
      </c>
      <c r="M561" s="21" t="n">
        <f aca="false">IF(C561="covered",10.4,7.55)</f>
        <v>7.55</v>
      </c>
      <c r="N561" s="13" t="n">
        <f aca="false">MAX(ROUNDUP(H561,0),I561)</f>
        <v>80</v>
      </c>
      <c r="O561" s="21" t="n">
        <v>604</v>
      </c>
      <c r="P561" s="21" t="n">
        <f aca="false">ROUND(M561*N561,2)</f>
        <v>604</v>
      </c>
      <c r="Q561" s="21" t="n">
        <f aca="false">ROUND(P561-IF(O561="",0,O561),2)</f>
        <v>0</v>
      </c>
      <c r="R561" s="14" t="str">
        <f aca="false">IF(J561="","MISSING BILL",IF(AND(K561=N561,ABS(L561-M561)&lt;0.001,ABS(O561-P561)&lt;0.01),"RECONCILED","CALCULATION ERROR"))</f>
        <v>RECONCILED</v>
      </c>
      <c r="S561" s="14" t="s">
        <v>2935</v>
      </c>
    </row>
    <row r="562" customFormat="false" ht="15" hidden="true" customHeight="false" outlineLevel="0" collapsed="false">
      <c r="A562" s="13" t="s">
        <v>1013</v>
      </c>
      <c r="B562" s="13" t="s">
        <v>90</v>
      </c>
      <c r="C562" s="13" t="s">
        <v>1872</v>
      </c>
      <c r="D562" s="13" t="s">
        <v>1873</v>
      </c>
      <c r="E562" s="13" t="s">
        <v>3896</v>
      </c>
      <c r="F562" s="14" t="s">
        <v>3897</v>
      </c>
      <c r="G562" s="14" t="s">
        <v>2527</v>
      </c>
      <c r="H562" s="20" t="n">
        <v>36.5</v>
      </c>
      <c r="I562" s="13" t="n">
        <v>32</v>
      </c>
      <c r="J562" s="13" t="s">
        <v>3898</v>
      </c>
      <c r="K562" s="13" t="n">
        <v>37</v>
      </c>
      <c r="L562" s="21" t="n">
        <v>7.55</v>
      </c>
      <c r="M562" s="21" t="n">
        <f aca="false">IF(C562="covered",10.4,7.55)</f>
        <v>7.55</v>
      </c>
      <c r="N562" s="13" t="n">
        <f aca="false">MAX(ROUNDUP(H562,0),I562)</f>
        <v>37</v>
      </c>
      <c r="O562" s="21" t="n">
        <v>279.35</v>
      </c>
      <c r="P562" s="21" t="n">
        <f aca="false">ROUND(M562*N562,2)</f>
        <v>279.35</v>
      </c>
      <c r="Q562" s="21" t="n">
        <f aca="false">ROUND(P562-IF(O562="",0,O562),2)</f>
        <v>0</v>
      </c>
      <c r="R562" s="14" t="str">
        <f aca="false">IF(J562="","MISSING BILL",IF(AND(K562=N562,ABS(L562-M562)&lt;0.001,ABS(O562-P562)&lt;0.01),"RECONCILED","CALCULATION ERROR"))</f>
        <v>RECONCILED</v>
      </c>
      <c r="S562" s="14" t="s">
        <v>2935</v>
      </c>
    </row>
    <row r="563" customFormat="false" ht="15" hidden="true" customHeight="false" outlineLevel="0" collapsed="false">
      <c r="A563" s="13" t="s">
        <v>3899</v>
      </c>
      <c r="B563" s="13" t="s">
        <v>90</v>
      </c>
      <c r="C563" s="13" t="s">
        <v>1872</v>
      </c>
      <c r="D563" s="13" t="s">
        <v>1873</v>
      </c>
      <c r="E563" s="13" t="s">
        <v>3900</v>
      </c>
      <c r="F563" s="14" t="s">
        <v>3901</v>
      </c>
      <c r="G563" s="14" t="s">
        <v>3902</v>
      </c>
      <c r="H563" s="20" t="n">
        <v>58.2</v>
      </c>
      <c r="I563" s="13" t="n">
        <v>80</v>
      </c>
      <c r="J563" s="13" t="s">
        <v>3903</v>
      </c>
      <c r="K563" s="13" t="n">
        <v>80</v>
      </c>
      <c r="L563" s="21" t="n">
        <v>7.55</v>
      </c>
      <c r="M563" s="21" t="n">
        <f aca="false">IF(C563="covered",10.4,7.55)</f>
        <v>7.55</v>
      </c>
      <c r="N563" s="13" t="n">
        <f aca="false">MAX(ROUNDUP(H563,0),I563)</f>
        <v>80</v>
      </c>
      <c r="O563" s="21" t="n">
        <v>604</v>
      </c>
      <c r="P563" s="21" t="n">
        <f aca="false">ROUND(M563*N563,2)</f>
        <v>604</v>
      </c>
      <c r="Q563" s="21" t="n">
        <f aca="false">ROUND(P563-IF(O563="",0,O563),2)</f>
        <v>0</v>
      </c>
      <c r="R563" s="14" t="str">
        <f aca="false">IF(J563="","MISSING BILL",IF(AND(K563=N563,ABS(L563-M563)&lt;0.001,ABS(O563-P563)&lt;0.01),"RECONCILED","CALCULATION ERROR"))</f>
        <v>RECONCILED</v>
      </c>
      <c r="S563" s="14" t="s">
        <v>2935</v>
      </c>
    </row>
    <row r="564" customFormat="false" ht="15" hidden="true" customHeight="false" outlineLevel="0" collapsed="false">
      <c r="A564" s="13" t="s">
        <v>3904</v>
      </c>
      <c r="B564" s="13" t="s">
        <v>90</v>
      </c>
      <c r="C564" s="13" t="s">
        <v>1872</v>
      </c>
      <c r="D564" s="13" t="s">
        <v>1873</v>
      </c>
      <c r="E564" s="13" t="s">
        <v>3905</v>
      </c>
      <c r="F564" s="14" t="s">
        <v>3906</v>
      </c>
      <c r="G564" s="14" t="s">
        <v>3907</v>
      </c>
      <c r="H564" s="20" t="n">
        <v>25.1</v>
      </c>
      <c r="I564" s="13" t="n">
        <v>32</v>
      </c>
      <c r="J564" s="13" t="s">
        <v>3908</v>
      </c>
      <c r="K564" s="13" t="n">
        <v>32</v>
      </c>
      <c r="L564" s="21" t="n">
        <v>7.55</v>
      </c>
      <c r="M564" s="21" t="n">
        <f aca="false">IF(C564="covered",10.4,7.55)</f>
        <v>7.55</v>
      </c>
      <c r="N564" s="13" t="n">
        <f aca="false">MAX(ROUNDUP(H564,0),I564)</f>
        <v>32</v>
      </c>
      <c r="O564" s="21" t="n">
        <v>241.6</v>
      </c>
      <c r="P564" s="21" t="n">
        <f aca="false">ROUND(M564*N564,2)</f>
        <v>241.6</v>
      </c>
      <c r="Q564" s="21" t="n">
        <f aca="false">ROUND(P564-IF(O564="",0,O564),2)</f>
        <v>0</v>
      </c>
      <c r="R564" s="14" t="str">
        <f aca="false">IF(J564="","MISSING BILL",IF(AND(K564=N564,ABS(L564-M564)&lt;0.001,ABS(O564-P564)&lt;0.01),"RECONCILED","CALCULATION ERROR"))</f>
        <v>RECONCILED</v>
      </c>
      <c r="S564" s="14" t="s">
        <v>2935</v>
      </c>
    </row>
    <row r="565" customFormat="false" ht="15" hidden="true" customHeight="false" outlineLevel="0" collapsed="false">
      <c r="A565" s="13" t="s">
        <v>3909</v>
      </c>
      <c r="B565" s="13" t="s">
        <v>90</v>
      </c>
      <c r="C565" s="13" t="s">
        <v>1872</v>
      </c>
      <c r="D565" s="13" t="s">
        <v>1873</v>
      </c>
      <c r="E565" s="13" t="s">
        <v>3910</v>
      </c>
      <c r="F565" s="14" t="s">
        <v>3911</v>
      </c>
      <c r="G565" s="14" t="s">
        <v>2200</v>
      </c>
      <c r="H565" s="20" t="n">
        <v>43.1</v>
      </c>
      <c r="I565" s="13" t="n">
        <v>50</v>
      </c>
      <c r="J565" s="13" t="s">
        <v>3912</v>
      </c>
      <c r="K565" s="13" t="n">
        <v>50</v>
      </c>
      <c r="L565" s="21" t="n">
        <v>7.55</v>
      </c>
      <c r="M565" s="21" t="n">
        <f aca="false">IF(C565="covered",10.4,7.55)</f>
        <v>7.55</v>
      </c>
      <c r="N565" s="13" t="n">
        <f aca="false">MAX(ROUNDUP(H565,0),I565)</f>
        <v>50</v>
      </c>
      <c r="O565" s="21" t="n">
        <v>377.5</v>
      </c>
      <c r="P565" s="21" t="n">
        <f aca="false">ROUND(M565*N565,2)</f>
        <v>377.5</v>
      </c>
      <c r="Q565" s="21" t="n">
        <f aca="false">ROUND(P565-IF(O565="",0,O565),2)</f>
        <v>0</v>
      </c>
      <c r="R565" s="14" t="str">
        <f aca="false">IF(J565="","MISSING BILL",IF(AND(K565=N565,ABS(L565-M565)&lt;0.001,ABS(O565-P565)&lt;0.01),"RECONCILED","CALCULATION ERROR"))</f>
        <v>RECONCILED</v>
      </c>
      <c r="S565" s="14" t="s">
        <v>2935</v>
      </c>
    </row>
    <row r="566" customFormat="false" ht="15" hidden="true" customHeight="false" outlineLevel="0" collapsed="false">
      <c r="A566" s="13" t="s">
        <v>840</v>
      </c>
      <c r="B566" s="13" t="s">
        <v>90</v>
      </c>
      <c r="C566" s="13" t="s">
        <v>1872</v>
      </c>
      <c r="D566" s="13" t="s">
        <v>1873</v>
      </c>
      <c r="E566" s="13" t="s">
        <v>3913</v>
      </c>
      <c r="F566" s="14" t="s">
        <v>3914</v>
      </c>
      <c r="G566" s="14" t="s">
        <v>2614</v>
      </c>
      <c r="H566" s="20" t="n">
        <v>55.9</v>
      </c>
      <c r="I566" s="13" t="n">
        <v>24</v>
      </c>
      <c r="J566" s="13" t="s">
        <v>3915</v>
      </c>
      <c r="K566" s="13" t="n">
        <v>56</v>
      </c>
      <c r="L566" s="21" t="n">
        <v>7.55</v>
      </c>
      <c r="M566" s="21" t="n">
        <f aca="false">IF(C566="covered",10.4,7.55)</f>
        <v>7.55</v>
      </c>
      <c r="N566" s="13" t="n">
        <f aca="false">MAX(ROUNDUP(H566,0),I566)</f>
        <v>56</v>
      </c>
      <c r="O566" s="21" t="n">
        <v>422.8</v>
      </c>
      <c r="P566" s="21" t="n">
        <f aca="false">ROUND(M566*N566,2)</f>
        <v>422.8</v>
      </c>
      <c r="Q566" s="21" t="n">
        <f aca="false">ROUND(P566-IF(O566="",0,O566),2)</f>
        <v>0</v>
      </c>
      <c r="R566" s="14" t="str">
        <f aca="false">IF(J566="","MISSING BILL",IF(AND(K566=N566,ABS(L566-M566)&lt;0.001,ABS(O566-P566)&lt;0.01),"RECONCILED","CALCULATION ERROR"))</f>
        <v>RECONCILED</v>
      </c>
      <c r="S566" s="14" t="s">
        <v>2935</v>
      </c>
    </row>
    <row r="567" customFormat="false" ht="15" hidden="true" customHeight="false" outlineLevel="0" collapsed="false">
      <c r="A567" s="13" t="s">
        <v>3916</v>
      </c>
      <c r="B567" s="13" t="s">
        <v>90</v>
      </c>
      <c r="C567" s="13" t="s">
        <v>1872</v>
      </c>
      <c r="D567" s="13" t="s">
        <v>1873</v>
      </c>
      <c r="E567" s="13" t="s">
        <v>3917</v>
      </c>
      <c r="F567" s="14" t="s">
        <v>3918</v>
      </c>
      <c r="G567" s="14" t="s">
        <v>2614</v>
      </c>
      <c r="H567" s="20" t="n">
        <v>52.2</v>
      </c>
      <c r="I567" s="13" t="n">
        <v>24</v>
      </c>
      <c r="J567" s="13" t="s">
        <v>3919</v>
      </c>
      <c r="K567" s="13" t="n">
        <v>53</v>
      </c>
      <c r="L567" s="21" t="n">
        <v>7.55</v>
      </c>
      <c r="M567" s="21" t="n">
        <f aca="false">IF(C567="covered",10.4,7.55)</f>
        <v>7.55</v>
      </c>
      <c r="N567" s="13" t="n">
        <f aca="false">MAX(ROUNDUP(H567,0),I567)</f>
        <v>53</v>
      </c>
      <c r="O567" s="21" t="n">
        <v>400.15</v>
      </c>
      <c r="P567" s="21" t="n">
        <f aca="false">ROUND(M567*N567,2)</f>
        <v>400.15</v>
      </c>
      <c r="Q567" s="21" t="n">
        <f aca="false">ROUND(P567-IF(O567="",0,O567),2)</f>
        <v>0</v>
      </c>
      <c r="R567" s="14" t="str">
        <f aca="false">IF(J567="","MISSING BILL",IF(AND(K567=N567,ABS(L567-M567)&lt;0.001,ABS(O567-P567)&lt;0.01),"RECONCILED","CALCULATION ERROR"))</f>
        <v>RECONCILED</v>
      </c>
      <c r="S567" s="14" t="s">
        <v>2935</v>
      </c>
    </row>
    <row r="568" customFormat="false" ht="15" hidden="true" customHeight="false" outlineLevel="0" collapsed="false">
      <c r="A568" s="13" t="s">
        <v>3920</v>
      </c>
      <c r="B568" s="13" t="s">
        <v>90</v>
      </c>
      <c r="C568" s="13" t="s">
        <v>1872</v>
      </c>
      <c r="D568" s="13" t="s">
        <v>1873</v>
      </c>
      <c r="E568" s="13" t="s">
        <v>3921</v>
      </c>
      <c r="F568" s="14" t="s">
        <v>3922</v>
      </c>
      <c r="G568" s="14" t="s">
        <v>2586</v>
      </c>
      <c r="H568" s="20" t="n">
        <v>57.6</v>
      </c>
      <c r="I568" s="13" t="n">
        <v>24</v>
      </c>
      <c r="J568" s="13" t="s">
        <v>3923</v>
      </c>
      <c r="K568" s="13" t="n">
        <v>58</v>
      </c>
      <c r="L568" s="21" t="n">
        <v>7.55</v>
      </c>
      <c r="M568" s="21" t="n">
        <f aca="false">IF(C568="covered",10.4,7.55)</f>
        <v>7.55</v>
      </c>
      <c r="N568" s="13" t="n">
        <f aca="false">MAX(ROUNDUP(H568,0),I568)</f>
        <v>58</v>
      </c>
      <c r="O568" s="21" t="n">
        <v>437.9</v>
      </c>
      <c r="P568" s="21" t="n">
        <f aca="false">ROUND(M568*N568,2)</f>
        <v>437.9</v>
      </c>
      <c r="Q568" s="21" t="n">
        <f aca="false">ROUND(P568-IF(O568="",0,O568),2)</f>
        <v>0</v>
      </c>
      <c r="R568" s="14" t="str">
        <f aca="false">IF(J568="","MISSING BILL",IF(AND(K568=N568,ABS(L568-M568)&lt;0.001,ABS(O568-P568)&lt;0.01),"RECONCILED","CALCULATION ERROR"))</f>
        <v>RECONCILED</v>
      </c>
      <c r="S568" s="14" t="s">
        <v>2935</v>
      </c>
    </row>
    <row r="569" customFormat="false" ht="15" hidden="true" customHeight="false" outlineLevel="0" collapsed="false">
      <c r="A569" s="13" t="s">
        <v>3924</v>
      </c>
      <c r="B569" s="13" t="s">
        <v>90</v>
      </c>
      <c r="C569" s="13" t="s">
        <v>1872</v>
      </c>
      <c r="D569" s="13" t="s">
        <v>1873</v>
      </c>
      <c r="E569" s="13" t="s">
        <v>3925</v>
      </c>
      <c r="F569" s="14" t="s">
        <v>3926</v>
      </c>
      <c r="G569" s="14" t="s">
        <v>1960</v>
      </c>
      <c r="H569" s="20" t="n">
        <v>36</v>
      </c>
      <c r="I569" s="13" t="n">
        <v>40</v>
      </c>
      <c r="J569" s="13" t="s">
        <v>3927</v>
      </c>
      <c r="K569" s="13" t="n">
        <v>40</v>
      </c>
      <c r="L569" s="21" t="n">
        <v>7.55</v>
      </c>
      <c r="M569" s="21" t="n">
        <f aca="false">IF(C569="covered",10.4,7.55)</f>
        <v>7.55</v>
      </c>
      <c r="N569" s="13" t="n">
        <f aca="false">MAX(ROUNDUP(H569,0),I569)</f>
        <v>40</v>
      </c>
      <c r="O569" s="21" t="n">
        <v>302</v>
      </c>
      <c r="P569" s="21" t="n">
        <f aca="false">ROUND(M569*N569,2)</f>
        <v>302</v>
      </c>
      <c r="Q569" s="21" t="n">
        <f aca="false">ROUND(P569-IF(O569="",0,O569),2)</f>
        <v>0</v>
      </c>
      <c r="R569" s="14" t="str">
        <f aca="false">IF(J569="","MISSING BILL",IF(AND(K569=N569,ABS(L569-M569)&lt;0.001,ABS(O569-P569)&lt;0.01),"RECONCILED","CALCULATION ERROR"))</f>
        <v>RECONCILED</v>
      </c>
      <c r="S569" s="14" t="s">
        <v>2935</v>
      </c>
    </row>
    <row r="570" customFormat="false" ht="15" hidden="true" customHeight="false" outlineLevel="0" collapsed="false">
      <c r="A570" s="13" t="s">
        <v>3928</v>
      </c>
      <c r="B570" s="13" t="s">
        <v>90</v>
      </c>
      <c r="C570" s="13" t="s">
        <v>1872</v>
      </c>
      <c r="D570" s="13" t="s">
        <v>1873</v>
      </c>
      <c r="E570" s="13" t="s">
        <v>3929</v>
      </c>
      <c r="F570" s="14" t="s">
        <v>3930</v>
      </c>
      <c r="G570" s="14" t="s">
        <v>3862</v>
      </c>
      <c r="H570" s="20" t="n">
        <v>30.9</v>
      </c>
      <c r="I570" s="13" t="n">
        <v>40</v>
      </c>
      <c r="J570" s="13" t="s">
        <v>3931</v>
      </c>
      <c r="K570" s="13" t="n">
        <v>40</v>
      </c>
      <c r="L570" s="21" t="n">
        <v>7.55</v>
      </c>
      <c r="M570" s="21" t="n">
        <f aca="false">IF(C570="covered",10.4,7.55)</f>
        <v>7.55</v>
      </c>
      <c r="N570" s="13" t="n">
        <f aca="false">MAX(ROUNDUP(H570,0),I570)</f>
        <v>40</v>
      </c>
      <c r="O570" s="21" t="n">
        <v>302</v>
      </c>
      <c r="P570" s="21" t="n">
        <f aca="false">ROUND(M570*N570,2)</f>
        <v>302</v>
      </c>
      <c r="Q570" s="21" t="n">
        <f aca="false">ROUND(P570-IF(O570="",0,O570),2)</f>
        <v>0</v>
      </c>
      <c r="R570" s="14" t="str">
        <f aca="false">IF(J570="","MISSING BILL",IF(AND(K570=N570,ABS(L570-M570)&lt;0.001,ABS(O570-P570)&lt;0.01),"RECONCILED","CALCULATION ERROR"))</f>
        <v>RECONCILED</v>
      </c>
      <c r="S570" s="14" t="s">
        <v>2935</v>
      </c>
    </row>
    <row r="571" customFormat="false" ht="15" hidden="true" customHeight="false" outlineLevel="0" collapsed="false">
      <c r="A571" s="13" t="s">
        <v>3932</v>
      </c>
      <c r="B571" s="13" t="s">
        <v>90</v>
      </c>
      <c r="C571" s="13" t="s">
        <v>1872</v>
      </c>
      <c r="D571" s="13" t="s">
        <v>1873</v>
      </c>
      <c r="E571" s="13" t="s">
        <v>1607</v>
      </c>
      <c r="F571" s="14" t="s">
        <v>1608</v>
      </c>
      <c r="G571" s="14" t="s">
        <v>3224</v>
      </c>
      <c r="H571" s="20" t="n">
        <v>22.7</v>
      </c>
      <c r="I571" s="13" t="n">
        <v>28</v>
      </c>
      <c r="J571" s="13" t="s">
        <v>3933</v>
      </c>
      <c r="K571" s="13" t="n">
        <v>28</v>
      </c>
      <c r="L571" s="21" t="n">
        <v>7.55</v>
      </c>
      <c r="M571" s="21" t="n">
        <f aca="false">IF(C571="covered",10.4,7.55)</f>
        <v>7.55</v>
      </c>
      <c r="N571" s="13" t="n">
        <f aca="false">MAX(ROUNDUP(H571,0),I571)</f>
        <v>28</v>
      </c>
      <c r="O571" s="21" t="n">
        <v>211.4</v>
      </c>
      <c r="P571" s="21" t="n">
        <f aca="false">ROUND(M571*N571,2)</f>
        <v>211.4</v>
      </c>
      <c r="Q571" s="21" t="n">
        <f aca="false">ROUND(P571-IF(O571="",0,O571),2)</f>
        <v>0</v>
      </c>
      <c r="R571" s="14" t="str">
        <f aca="false">IF(J571="","MISSING BILL",IF(AND(K571=N571,ABS(L571-M571)&lt;0.001,ABS(O571-P571)&lt;0.01),"RECONCILED","CALCULATION ERROR"))</f>
        <v>RECONCILED</v>
      </c>
      <c r="S571" s="14" t="s">
        <v>2935</v>
      </c>
    </row>
    <row r="572" customFormat="false" ht="15" hidden="true" customHeight="false" outlineLevel="0" collapsed="false">
      <c r="A572" s="13" t="s">
        <v>3934</v>
      </c>
      <c r="B572" s="13" t="s">
        <v>90</v>
      </c>
      <c r="C572" s="13" t="s">
        <v>1872</v>
      </c>
      <c r="D572" s="13" t="s">
        <v>1873</v>
      </c>
      <c r="E572" s="13" t="s">
        <v>3935</v>
      </c>
      <c r="F572" s="14" t="s">
        <v>3936</v>
      </c>
      <c r="G572" s="14" t="s">
        <v>3937</v>
      </c>
      <c r="H572" s="20" t="n">
        <v>31.8</v>
      </c>
      <c r="I572" s="13" t="n">
        <v>60</v>
      </c>
      <c r="J572" s="13" t="s">
        <v>3938</v>
      </c>
      <c r="K572" s="13" t="n">
        <v>60</v>
      </c>
      <c r="L572" s="21" t="n">
        <v>7.55</v>
      </c>
      <c r="M572" s="21" t="n">
        <f aca="false">IF(C572="covered",10.4,7.55)</f>
        <v>7.55</v>
      </c>
      <c r="N572" s="13" t="n">
        <f aca="false">MAX(ROUNDUP(H572,0),I572)</f>
        <v>60</v>
      </c>
      <c r="O572" s="21" t="n">
        <v>453</v>
      </c>
      <c r="P572" s="21" t="n">
        <f aca="false">ROUND(M572*N572,2)</f>
        <v>453</v>
      </c>
      <c r="Q572" s="21" t="n">
        <f aca="false">ROUND(P572-IF(O572="",0,O572),2)</f>
        <v>0</v>
      </c>
      <c r="R572" s="14" t="str">
        <f aca="false">IF(J572="","MISSING BILL",IF(AND(K572=N572,ABS(L572-M572)&lt;0.001,ABS(O572-P572)&lt;0.01),"RECONCILED","CALCULATION ERROR"))</f>
        <v>RECONCILED</v>
      </c>
      <c r="S572" s="14" t="s">
        <v>2935</v>
      </c>
    </row>
    <row r="573" customFormat="false" ht="15" hidden="true" customHeight="false" outlineLevel="0" collapsed="false">
      <c r="A573" s="13" t="s">
        <v>3939</v>
      </c>
      <c r="B573" s="13" t="s">
        <v>90</v>
      </c>
      <c r="C573" s="13" t="s">
        <v>1872</v>
      </c>
      <c r="D573" s="13" t="s">
        <v>1873</v>
      </c>
      <c r="E573" s="13" t="s">
        <v>3940</v>
      </c>
      <c r="F573" s="14" t="s">
        <v>2920</v>
      </c>
      <c r="G573" s="14" t="s">
        <v>1930</v>
      </c>
      <c r="H573" s="20" t="n">
        <v>28.3</v>
      </c>
      <c r="I573" s="13" t="n">
        <v>28</v>
      </c>
      <c r="J573" s="13" t="s">
        <v>3941</v>
      </c>
      <c r="K573" s="13" t="n">
        <v>29</v>
      </c>
      <c r="L573" s="21" t="n">
        <v>7.55</v>
      </c>
      <c r="M573" s="21" t="n">
        <f aca="false">IF(C573="covered",10.4,7.55)</f>
        <v>7.55</v>
      </c>
      <c r="N573" s="13" t="n">
        <f aca="false">MAX(ROUNDUP(H573,0),I573)</f>
        <v>29</v>
      </c>
      <c r="O573" s="21" t="n">
        <v>218.95</v>
      </c>
      <c r="P573" s="21" t="n">
        <f aca="false">ROUND(M573*N573,2)</f>
        <v>218.95</v>
      </c>
      <c r="Q573" s="21" t="n">
        <f aca="false">ROUND(P573-IF(O573="",0,O573),2)</f>
        <v>0</v>
      </c>
      <c r="R573" s="14" t="str">
        <f aca="false">IF(J573="","MISSING BILL",IF(AND(K573=N573,ABS(L573-M573)&lt;0.001,ABS(O573-P573)&lt;0.01),"RECONCILED","CALCULATION ERROR"))</f>
        <v>RECONCILED</v>
      </c>
      <c r="S573" s="14" t="s">
        <v>2935</v>
      </c>
    </row>
    <row r="574" customFormat="false" ht="15" hidden="true" customHeight="false" outlineLevel="0" collapsed="false">
      <c r="A574" s="13" t="s">
        <v>1749</v>
      </c>
      <c r="B574" s="13" t="s">
        <v>90</v>
      </c>
      <c r="C574" s="13" t="s">
        <v>1872</v>
      </c>
      <c r="D574" s="13" t="s">
        <v>1873</v>
      </c>
      <c r="E574" s="13" t="s">
        <v>3942</v>
      </c>
      <c r="F574" s="14" t="s">
        <v>3943</v>
      </c>
      <c r="G574" s="14" t="s">
        <v>2863</v>
      </c>
      <c r="H574" s="20" t="n">
        <v>25.2</v>
      </c>
      <c r="I574" s="13" t="n">
        <v>24</v>
      </c>
      <c r="J574" s="13" t="s">
        <v>3944</v>
      </c>
      <c r="K574" s="13" t="n">
        <v>26</v>
      </c>
      <c r="L574" s="21" t="n">
        <v>7.55</v>
      </c>
      <c r="M574" s="21" t="n">
        <f aca="false">IF(C574="covered",10.4,7.55)</f>
        <v>7.55</v>
      </c>
      <c r="N574" s="13" t="n">
        <f aca="false">MAX(ROUNDUP(H574,0),I574)</f>
        <v>26</v>
      </c>
      <c r="O574" s="21" t="n">
        <v>196.3</v>
      </c>
      <c r="P574" s="21" t="n">
        <f aca="false">ROUND(M574*N574,2)</f>
        <v>196.3</v>
      </c>
      <c r="Q574" s="21" t="n">
        <f aca="false">ROUND(P574-IF(O574="",0,O574),2)</f>
        <v>0</v>
      </c>
      <c r="R574" s="14" t="str">
        <f aca="false">IF(J574="","MISSING BILL",IF(AND(K574=N574,ABS(L574-M574)&lt;0.001,ABS(O574-P574)&lt;0.01),"RECONCILED","CALCULATION ERROR"))</f>
        <v>RECONCILED</v>
      </c>
      <c r="S574" s="14" t="s">
        <v>2935</v>
      </c>
    </row>
    <row r="575" customFormat="false" ht="15" hidden="true" customHeight="false" outlineLevel="0" collapsed="false">
      <c r="A575" s="13" t="s">
        <v>3945</v>
      </c>
      <c r="B575" s="13" t="s">
        <v>90</v>
      </c>
      <c r="C575" s="13" t="s">
        <v>1872</v>
      </c>
      <c r="D575" s="13" t="s">
        <v>1873</v>
      </c>
      <c r="E575" s="13" t="s">
        <v>3946</v>
      </c>
      <c r="F575" s="14" t="s">
        <v>3947</v>
      </c>
      <c r="G575" s="14" t="s">
        <v>2029</v>
      </c>
      <c r="H575" s="20" t="n">
        <v>33.7</v>
      </c>
      <c r="I575" s="13" t="n">
        <v>28</v>
      </c>
      <c r="J575" s="13" t="s">
        <v>3948</v>
      </c>
      <c r="K575" s="13" t="n">
        <v>34</v>
      </c>
      <c r="L575" s="21" t="n">
        <v>7.55</v>
      </c>
      <c r="M575" s="21" t="n">
        <f aca="false">IF(C575="covered",10.4,7.55)</f>
        <v>7.55</v>
      </c>
      <c r="N575" s="13" t="n">
        <f aca="false">MAX(ROUNDUP(H575,0),I575)</f>
        <v>34</v>
      </c>
      <c r="O575" s="21" t="n">
        <v>256.7</v>
      </c>
      <c r="P575" s="21" t="n">
        <f aca="false">ROUND(M575*N575,2)</f>
        <v>256.7</v>
      </c>
      <c r="Q575" s="21" t="n">
        <f aca="false">ROUND(P575-IF(O575="",0,O575),2)</f>
        <v>0</v>
      </c>
      <c r="R575" s="14" t="str">
        <f aca="false">IF(J575="","MISSING BILL",IF(AND(K575=N575,ABS(L575-M575)&lt;0.001,ABS(O575-P575)&lt;0.01),"RECONCILED","CALCULATION ERROR"))</f>
        <v>RECONCILED</v>
      </c>
      <c r="S575" s="14" t="s">
        <v>2935</v>
      </c>
    </row>
    <row r="576" customFormat="false" ht="15" hidden="true" customHeight="false" outlineLevel="0" collapsed="false">
      <c r="A576" s="13" t="s">
        <v>1347</v>
      </c>
      <c r="B576" s="13" t="s">
        <v>90</v>
      </c>
      <c r="C576" s="13" t="s">
        <v>1872</v>
      </c>
      <c r="D576" s="13" t="s">
        <v>1873</v>
      </c>
      <c r="E576" s="13" t="s">
        <v>3949</v>
      </c>
      <c r="F576" s="14" t="s">
        <v>3950</v>
      </c>
      <c r="G576" s="14" t="s">
        <v>2111</v>
      </c>
      <c r="H576" s="20" t="n">
        <v>42.5</v>
      </c>
      <c r="I576" s="13" t="n">
        <v>80</v>
      </c>
      <c r="J576" s="13" t="s">
        <v>3951</v>
      </c>
      <c r="K576" s="13" t="n">
        <v>80</v>
      </c>
      <c r="L576" s="21" t="n">
        <v>7.55</v>
      </c>
      <c r="M576" s="21" t="n">
        <f aca="false">IF(C576="covered",10.4,7.55)</f>
        <v>7.55</v>
      </c>
      <c r="N576" s="13" t="n">
        <f aca="false">MAX(ROUNDUP(H576,0),I576)</f>
        <v>80</v>
      </c>
      <c r="O576" s="21" t="n">
        <v>604</v>
      </c>
      <c r="P576" s="21" t="n">
        <f aca="false">ROUND(M576*N576,2)</f>
        <v>604</v>
      </c>
      <c r="Q576" s="21" t="n">
        <f aca="false">ROUND(P576-IF(O576="",0,O576),2)</f>
        <v>0</v>
      </c>
      <c r="R576" s="14" t="str">
        <f aca="false">IF(J576="","MISSING BILL",IF(AND(K576=N576,ABS(L576-M576)&lt;0.001,ABS(O576-P576)&lt;0.01),"RECONCILED","CALCULATION ERROR"))</f>
        <v>RECONCILED</v>
      </c>
      <c r="S576" s="14" t="s">
        <v>2935</v>
      </c>
    </row>
    <row r="577" customFormat="false" ht="15" hidden="true" customHeight="false" outlineLevel="0" collapsed="false">
      <c r="A577" s="13" t="s">
        <v>3952</v>
      </c>
      <c r="B577" s="13" t="s">
        <v>90</v>
      </c>
      <c r="C577" s="13" t="s">
        <v>1872</v>
      </c>
      <c r="D577" s="13" t="s">
        <v>1873</v>
      </c>
      <c r="E577" s="13" t="s">
        <v>3953</v>
      </c>
      <c r="F577" s="14" t="s">
        <v>3954</v>
      </c>
      <c r="G577" s="14" t="s">
        <v>1900</v>
      </c>
      <c r="H577" s="20" t="n">
        <v>58.7</v>
      </c>
      <c r="I577" s="13" t="n">
        <v>80</v>
      </c>
      <c r="J577" s="13" t="s">
        <v>3955</v>
      </c>
      <c r="K577" s="13" t="n">
        <v>80</v>
      </c>
      <c r="L577" s="21" t="n">
        <v>7.55</v>
      </c>
      <c r="M577" s="21" t="n">
        <f aca="false">IF(C577="covered",10.4,7.55)</f>
        <v>7.55</v>
      </c>
      <c r="N577" s="13" t="n">
        <f aca="false">MAX(ROUNDUP(H577,0),I577)</f>
        <v>80</v>
      </c>
      <c r="O577" s="21" t="n">
        <v>604</v>
      </c>
      <c r="P577" s="21" t="n">
        <f aca="false">ROUND(M577*N577,2)</f>
        <v>604</v>
      </c>
      <c r="Q577" s="21" t="n">
        <f aca="false">ROUND(P577-IF(O577="",0,O577),2)</f>
        <v>0</v>
      </c>
      <c r="R577" s="14" t="str">
        <f aca="false">IF(J577="","MISSING BILL",IF(AND(K577=N577,ABS(L577-M577)&lt;0.001,ABS(O577-P577)&lt;0.01),"RECONCILED","CALCULATION ERROR"))</f>
        <v>RECONCILED</v>
      </c>
      <c r="S577" s="14" t="s">
        <v>2935</v>
      </c>
    </row>
    <row r="578" customFormat="false" ht="15" hidden="true" customHeight="false" outlineLevel="0" collapsed="false">
      <c r="A578" s="13" t="s">
        <v>3956</v>
      </c>
      <c r="B578" s="13" t="s">
        <v>90</v>
      </c>
      <c r="C578" s="13" t="s">
        <v>1872</v>
      </c>
      <c r="D578" s="13" t="s">
        <v>1873</v>
      </c>
      <c r="E578" s="13" t="s">
        <v>3957</v>
      </c>
      <c r="F578" s="14" t="s">
        <v>3958</v>
      </c>
      <c r="G578" s="14" t="s">
        <v>2307</v>
      </c>
      <c r="H578" s="20" t="n">
        <v>56.1</v>
      </c>
      <c r="I578" s="13" t="n">
        <v>60</v>
      </c>
      <c r="J578" s="13" t="s">
        <v>3959</v>
      </c>
      <c r="K578" s="13" t="n">
        <v>60</v>
      </c>
      <c r="L578" s="21" t="n">
        <v>7.55</v>
      </c>
      <c r="M578" s="21" t="n">
        <f aca="false">IF(C578="covered",10.4,7.55)</f>
        <v>7.55</v>
      </c>
      <c r="N578" s="13" t="n">
        <f aca="false">MAX(ROUNDUP(H578,0),I578)</f>
        <v>60</v>
      </c>
      <c r="O578" s="21" t="n">
        <v>453</v>
      </c>
      <c r="P578" s="21" t="n">
        <f aca="false">ROUND(M578*N578,2)</f>
        <v>453</v>
      </c>
      <c r="Q578" s="21" t="n">
        <f aca="false">ROUND(P578-IF(O578="",0,O578),2)</f>
        <v>0</v>
      </c>
      <c r="R578" s="14" t="str">
        <f aca="false">IF(J578="","MISSING BILL",IF(AND(K578=N578,ABS(L578-M578)&lt;0.001,ABS(O578-P578)&lt;0.01),"RECONCILED","CALCULATION ERROR"))</f>
        <v>RECONCILED</v>
      </c>
      <c r="S578" s="14" t="s">
        <v>2935</v>
      </c>
    </row>
    <row r="579" customFormat="false" ht="15" hidden="true" customHeight="false" outlineLevel="0" collapsed="false">
      <c r="A579" s="13" t="s">
        <v>122</v>
      </c>
      <c r="B579" s="13" t="s">
        <v>90</v>
      </c>
      <c r="C579" s="13" t="s">
        <v>1872</v>
      </c>
      <c r="D579" s="13" t="s">
        <v>1873</v>
      </c>
      <c r="E579" s="13" t="s">
        <v>1799</v>
      </c>
      <c r="F579" s="14" t="s">
        <v>1800</v>
      </c>
      <c r="G579" s="14" t="s">
        <v>2360</v>
      </c>
      <c r="H579" s="20" t="n">
        <v>54.9</v>
      </c>
      <c r="I579" s="13" t="n">
        <v>60</v>
      </c>
      <c r="J579" s="13" t="s">
        <v>3960</v>
      </c>
      <c r="K579" s="13" t="n">
        <v>60</v>
      </c>
      <c r="L579" s="21" t="n">
        <v>7.55</v>
      </c>
      <c r="M579" s="21" t="n">
        <f aca="false">IF(C579="covered",10.4,7.55)</f>
        <v>7.55</v>
      </c>
      <c r="N579" s="13" t="n">
        <f aca="false">MAX(ROUNDUP(H579,0),I579)</f>
        <v>60</v>
      </c>
      <c r="O579" s="21" t="n">
        <v>453</v>
      </c>
      <c r="P579" s="21" t="n">
        <f aca="false">ROUND(M579*N579,2)</f>
        <v>453</v>
      </c>
      <c r="Q579" s="21" t="n">
        <f aca="false">ROUND(P579-IF(O579="",0,O579),2)</f>
        <v>0</v>
      </c>
      <c r="R579" s="14" t="str">
        <f aca="false">IF(J579="","MISSING BILL",IF(AND(K579=N579,ABS(L579-M579)&lt;0.001,ABS(O579-P579)&lt;0.01),"RECONCILED","CALCULATION ERROR"))</f>
        <v>RECONCILED</v>
      </c>
      <c r="S579" s="14" t="s">
        <v>2935</v>
      </c>
    </row>
    <row r="580" customFormat="false" ht="15" hidden="true" customHeight="false" outlineLevel="0" collapsed="false">
      <c r="A580" s="13" t="s">
        <v>3961</v>
      </c>
      <c r="B580" s="13" t="s">
        <v>90</v>
      </c>
      <c r="C580" s="13" t="s">
        <v>1872</v>
      </c>
      <c r="D580" s="13" t="s">
        <v>1873</v>
      </c>
      <c r="E580" s="13" t="s">
        <v>3962</v>
      </c>
      <c r="F580" s="14" t="s">
        <v>3963</v>
      </c>
      <c r="G580" s="14" t="s">
        <v>3964</v>
      </c>
      <c r="H580" s="20" t="n">
        <v>31.6</v>
      </c>
      <c r="I580" s="13" t="n">
        <v>80</v>
      </c>
      <c r="J580" s="13" t="s">
        <v>3965</v>
      </c>
      <c r="K580" s="13" t="n">
        <v>80</v>
      </c>
      <c r="L580" s="21" t="n">
        <v>7.55</v>
      </c>
      <c r="M580" s="21" t="n">
        <f aca="false">IF(C580="covered",10.4,7.55)</f>
        <v>7.55</v>
      </c>
      <c r="N580" s="13" t="n">
        <f aca="false">MAX(ROUNDUP(H580,0),I580)</f>
        <v>80</v>
      </c>
      <c r="O580" s="21" t="n">
        <v>604</v>
      </c>
      <c r="P580" s="21" t="n">
        <f aca="false">ROUND(M580*N580,2)</f>
        <v>604</v>
      </c>
      <c r="Q580" s="21" t="n">
        <f aca="false">ROUND(P580-IF(O580="",0,O580),2)</f>
        <v>0</v>
      </c>
      <c r="R580" s="14" t="str">
        <f aca="false">IF(J580="","MISSING BILL",IF(AND(K580=N580,ABS(L580-M580)&lt;0.001,ABS(O580-P580)&lt;0.01),"RECONCILED","CALCULATION ERROR"))</f>
        <v>RECONCILED</v>
      </c>
      <c r="S580" s="14" t="s">
        <v>2935</v>
      </c>
    </row>
    <row r="581" customFormat="false" ht="15" hidden="true" customHeight="false" outlineLevel="0" collapsed="false">
      <c r="A581" s="13" t="s">
        <v>3966</v>
      </c>
      <c r="B581" s="13" t="s">
        <v>90</v>
      </c>
      <c r="C581" s="13" t="s">
        <v>1872</v>
      </c>
      <c r="D581" s="13" t="s">
        <v>1873</v>
      </c>
      <c r="E581" s="13" t="s">
        <v>3967</v>
      </c>
      <c r="F581" s="14" t="s">
        <v>3968</v>
      </c>
      <c r="G581" s="14" t="s">
        <v>3969</v>
      </c>
      <c r="H581" s="20" t="n">
        <v>29.9</v>
      </c>
      <c r="I581" s="13" t="n">
        <v>60</v>
      </c>
      <c r="J581" s="13" t="s">
        <v>3970</v>
      </c>
      <c r="K581" s="13" t="n">
        <v>60</v>
      </c>
      <c r="L581" s="21" t="n">
        <v>7.55</v>
      </c>
      <c r="M581" s="21" t="n">
        <f aca="false">IF(C581="covered",10.4,7.55)</f>
        <v>7.55</v>
      </c>
      <c r="N581" s="13" t="n">
        <f aca="false">MAX(ROUNDUP(H581,0),I581)</f>
        <v>60</v>
      </c>
      <c r="O581" s="21" t="n">
        <v>453</v>
      </c>
      <c r="P581" s="21" t="n">
        <f aca="false">ROUND(M581*N581,2)</f>
        <v>453</v>
      </c>
      <c r="Q581" s="21" t="n">
        <f aca="false">ROUND(P581-IF(O581="",0,O581),2)</f>
        <v>0</v>
      </c>
      <c r="R581" s="14" t="str">
        <f aca="false">IF(J581="","MISSING BILL",IF(AND(K581=N581,ABS(L581-M581)&lt;0.001,ABS(O581-P581)&lt;0.01),"RECONCILED","CALCULATION ERROR"))</f>
        <v>RECONCILED</v>
      </c>
      <c r="S581" s="14" t="s">
        <v>2935</v>
      </c>
    </row>
    <row r="582" customFormat="false" ht="15" hidden="true" customHeight="false" outlineLevel="0" collapsed="false">
      <c r="A582" s="13" t="s">
        <v>1812</v>
      </c>
      <c r="B582" s="13" t="s">
        <v>90</v>
      </c>
      <c r="C582" s="13" t="s">
        <v>1872</v>
      </c>
      <c r="D582" s="13" t="s">
        <v>1873</v>
      </c>
      <c r="E582" s="13" t="s">
        <v>3971</v>
      </c>
      <c r="F582" s="14" t="s">
        <v>3972</v>
      </c>
      <c r="G582" s="14" t="s">
        <v>3973</v>
      </c>
      <c r="H582" s="20" t="n">
        <v>45.5</v>
      </c>
      <c r="I582" s="13" t="n">
        <v>28</v>
      </c>
      <c r="J582" s="13" t="s">
        <v>3974</v>
      </c>
      <c r="K582" s="13" t="n">
        <v>46</v>
      </c>
      <c r="L582" s="21" t="n">
        <v>7.55</v>
      </c>
      <c r="M582" s="21" t="n">
        <f aca="false">IF(C582="covered",10.4,7.55)</f>
        <v>7.55</v>
      </c>
      <c r="N582" s="13" t="n">
        <f aca="false">MAX(ROUNDUP(H582,0),I582)</f>
        <v>46</v>
      </c>
      <c r="O582" s="21" t="n">
        <v>347.3</v>
      </c>
      <c r="P582" s="21" t="n">
        <f aca="false">ROUND(M582*N582,2)</f>
        <v>347.3</v>
      </c>
      <c r="Q582" s="21" t="n">
        <f aca="false">ROUND(P582-IF(O582="",0,O582),2)</f>
        <v>0</v>
      </c>
      <c r="R582" s="14" t="str">
        <f aca="false">IF(J582="","MISSING BILL",IF(AND(K582=N582,ABS(L582-M582)&lt;0.001,ABS(O582-P582)&lt;0.01),"RECONCILED","CALCULATION ERROR"))</f>
        <v>RECONCILED</v>
      </c>
      <c r="S582" s="14" t="s">
        <v>2935</v>
      </c>
    </row>
    <row r="583" customFormat="false" ht="15" hidden="true" customHeight="false" outlineLevel="0" collapsed="false">
      <c r="A583" s="13" t="s">
        <v>427</v>
      </c>
      <c r="B583" s="13" t="s">
        <v>90</v>
      </c>
      <c r="C583" s="13" t="s">
        <v>1872</v>
      </c>
      <c r="D583" s="13" t="s">
        <v>1873</v>
      </c>
      <c r="E583" s="13" t="s">
        <v>3975</v>
      </c>
      <c r="F583" s="14" t="s">
        <v>3976</v>
      </c>
      <c r="G583" s="14" t="s">
        <v>3977</v>
      </c>
      <c r="H583" s="20" t="n">
        <v>32.4</v>
      </c>
      <c r="I583" s="13" t="n">
        <v>24</v>
      </c>
      <c r="J583" s="13" t="s">
        <v>3978</v>
      </c>
      <c r="K583" s="13" t="n">
        <v>33</v>
      </c>
      <c r="L583" s="21" t="n">
        <v>7.55</v>
      </c>
      <c r="M583" s="21" t="n">
        <f aca="false">IF(C583="covered",10.4,7.55)</f>
        <v>7.55</v>
      </c>
      <c r="N583" s="13" t="n">
        <f aca="false">MAX(ROUNDUP(H583,0),I583)</f>
        <v>33</v>
      </c>
      <c r="O583" s="21" t="n">
        <v>249.15</v>
      </c>
      <c r="P583" s="21" t="n">
        <f aca="false">ROUND(M583*N583,2)</f>
        <v>249.15</v>
      </c>
      <c r="Q583" s="21" t="n">
        <f aca="false">ROUND(P583-IF(O583="",0,O583),2)</f>
        <v>0</v>
      </c>
      <c r="R583" s="14" t="str">
        <f aca="false">IF(J583="","MISSING BILL",IF(AND(K583=N583,ABS(L583-M583)&lt;0.001,ABS(O583-P583)&lt;0.01),"RECONCILED","CALCULATION ERROR"))</f>
        <v>RECONCILED</v>
      </c>
      <c r="S583" s="14" t="s">
        <v>2935</v>
      </c>
    </row>
    <row r="584" customFormat="false" ht="15" hidden="true" customHeight="false" outlineLevel="0" collapsed="false">
      <c r="A584" s="13" t="s">
        <v>3979</v>
      </c>
      <c r="B584" s="13" t="s">
        <v>90</v>
      </c>
      <c r="C584" s="13" t="s">
        <v>1872</v>
      </c>
      <c r="D584" s="13" t="s">
        <v>1873</v>
      </c>
      <c r="E584" s="13" t="s">
        <v>3980</v>
      </c>
      <c r="F584" s="14" t="s">
        <v>3981</v>
      </c>
      <c r="G584" s="14" t="s">
        <v>3982</v>
      </c>
      <c r="H584" s="20" t="n">
        <v>55.3</v>
      </c>
      <c r="I584" s="13" t="n">
        <v>28</v>
      </c>
      <c r="J584" s="13" t="s">
        <v>3983</v>
      </c>
      <c r="K584" s="13" t="n">
        <v>56</v>
      </c>
      <c r="L584" s="21" t="n">
        <v>7.55</v>
      </c>
      <c r="M584" s="21" t="n">
        <f aca="false">IF(C584="covered",10.4,7.55)</f>
        <v>7.55</v>
      </c>
      <c r="N584" s="13" t="n">
        <f aca="false">MAX(ROUNDUP(H584,0),I584)</f>
        <v>56</v>
      </c>
      <c r="O584" s="21" t="n">
        <v>422.8</v>
      </c>
      <c r="P584" s="21" t="n">
        <f aca="false">ROUND(M584*N584,2)</f>
        <v>422.8</v>
      </c>
      <c r="Q584" s="21" t="n">
        <f aca="false">ROUND(P584-IF(O584="",0,O584),2)</f>
        <v>0</v>
      </c>
      <c r="R584" s="14" t="str">
        <f aca="false">IF(J584="","MISSING BILL",IF(AND(K584=N584,ABS(L584-M584)&lt;0.001,ABS(O584-P584)&lt;0.01),"RECONCILED","CALCULATION ERROR"))</f>
        <v>RECONCILED</v>
      </c>
      <c r="S584" s="14" t="s">
        <v>2935</v>
      </c>
    </row>
    <row r="585" customFormat="false" ht="15" hidden="true" customHeight="false" outlineLevel="0" collapsed="false">
      <c r="A585" s="13" t="s">
        <v>3984</v>
      </c>
      <c r="B585" s="13" t="s">
        <v>90</v>
      </c>
      <c r="C585" s="13" t="s">
        <v>1872</v>
      </c>
      <c r="D585" s="13" t="s">
        <v>1873</v>
      </c>
      <c r="E585" s="13" t="s">
        <v>3985</v>
      </c>
      <c r="F585" s="14" t="s">
        <v>3986</v>
      </c>
      <c r="G585" s="14" t="s">
        <v>2342</v>
      </c>
      <c r="H585" s="20" t="n">
        <v>29.9</v>
      </c>
      <c r="I585" s="13" t="n">
        <v>28</v>
      </c>
      <c r="J585" s="13" t="s">
        <v>3987</v>
      </c>
      <c r="K585" s="13" t="n">
        <v>30</v>
      </c>
      <c r="L585" s="21" t="n">
        <v>7.55</v>
      </c>
      <c r="M585" s="21" t="n">
        <f aca="false">IF(C585="covered",10.4,7.55)</f>
        <v>7.55</v>
      </c>
      <c r="N585" s="13" t="n">
        <f aca="false">MAX(ROUNDUP(H585,0),I585)</f>
        <v>30</v>
      </c>
      <c r="O585" s="21" t="n">
        <v>226.5</v>
      </c>
      <c r="P585" s="21" t="n">
        <f aca="false">ROUND(M585*N585,2)</f>
        <v>226.5</v>
      </c>
      <c r="Q585" s="21" t="n">
        <f aca="false">ROUND(P585-IF(O585="",0,O585),2)</f>
        <v>0</v>
      </c>
      <c r="R585" s="14" t="str">
        <f aca="false">IF(J585="","MISSING BILL",IF(AND(K585=N585,ABS(L585-M585)&lt;0.001,ABS(O585-P585)&lt;0.01),"RECONCILED","CALCULATION ERROR"))</f>
        <v>RECONCILED</v>
      </c>
      <c r="S585" s="14" t="s">
        <v>2935</v>
      </c>
    </row>
    <row r="586" customFormat="false" ht="15" hidden="true" customHeight="false" outlineLevel="0" collapsed="false">
      <c r="A586" s="13" t="s">
        <v>3988</v>
      </c>
      <c r="B586" s="13" t="s">
        <v>90</v>
      </c>
      <c r="C586" s="13" t="s">
        <v>1872</v>
      </c>
      <c r="D586" s="13" t="s">
        <v>1873</v>
      </c>
      <c r="E586" s="13" t="s">
        <v>3989</v>
      </c>
      <c r="F586" s="14" t="s">
        <v>3990</v>
      </c>
      <c r="G586" s="14" t="s">
        <v>3640</v>
      </c>
      <c r="H586" s="20" t="n">
        <v>35.3</v>
      </c>
      <c r="I586" s="13" t="n">
        <v>32</v>
      </c>
      <c r="J586" s="13" t="s">
        <v>3991</v>
      </c>
      <c r="K586" s="13" t="n">
        <v>36</v>
      </c>
      <c r="L586" s="21" t="n">
        <v>7.55</v>
      </c>
      <c r="M586" s="21" t="n">
        <f aca="false">IF(C586="covered",10.4,7.55)</f>
        <v>7.55</v>
      </c>
      <c r="N586" s="13" t="n">
        <f aca="false">MAX(ROUNDUP(H586,0),I586)</f>
        <v>36</v>
      </c>
      <c r="O586" s="21" t="n">
        <v>271.8</v>
      </c>
      <c r="P586" s="21" t="n">
        <f aca="false">ROUND(M586*N586,2)</f>
        <v>271.8</v>
      </c>
      <c r="Q586" s="21" t="n">
        <f aca="false">ROUND(P586-IF(O586="",0,O586),2)</f>
        <v>0</v>
      </c>
      <c r="R586" s="14" t="str">
        <f aca="false">IF(J586="","MISSING BILL",IF(AND(K586=N586,ABS(L586-M586)&lt;0.001,ABS(O586-P586)&lt;0.01),"RECONCILED","CALCULATION ERROR"))</f>
        <v>RECONCILED</v>
      </c>
      <c r="S586" s="14" t="s">
        <v>2935</v>
      </c>
    </row>
    <row r="587" customFormat="false" ht="15" hidden="true" customHeight="false" outlineLevel="0" collapsed="false">
      <c r="A587" s="13" t="s">
        <v>1287</v>
      </c>
      <c r="B587" s="13" t="s">
        <v>90</v>
      </c>
      <c r="C587" s="13" t="s">
        <v>1872</v>
      </c>
      <c r="D587" s="13" t="s">
        <v>1873</v>
      </c>
      <c r="E587" s="13" t="s">
        <v>3992</v>
      </c>
      <c r="F587" s="14" t="s">
        <v>3993</v>
      </c>
      <c r="G587" s="14" t="s">
        <v>2111</v>
      </c>
      <c r="H587" s="20" t="n">
        <v>60</v>
      </c>
      <c r="I587" s="13" t="n">
        <v>80</v>
      </c>
      <c r="J587" s="13" t="s">
        <v>3994</v>
      </c>
      <c r="K587" s="13" t="n">
        <v>80</v>
      </c>
      <c r="L587" s="21" t="n">
        <v>7.55</v>
      </c>
      <c r="M587" s="21" t="n">
        <f aca="false">IF(C587="covered",10.4,7.55)</f>
        <v>7.55</v>
      </c>
      <c r="N587" s="13" t="n">
        <f aca="false">MAX(ROUNDUP(H587,0),I587)</f>
        <v>80</v>
      </c>
      <c r="O587" s="21" t="n">
        <v>604</v>
      </c>
      <c r="P587" s="21" t="n">
        <f aca="false">ROUND(M587*N587,2)</f>
        <v>604</v>
      </c>
      <c r="Q587" s="21" t="n">
        <f aca="false">ROUND(P587-IF(O587="",0,O587),2)</f>
        <v>0</v>
      </c>
      <c r="R587" s="14" t="str">
        <f aca="false">IF(J587="","MISSING BILL",IF(AND(K587=N587,ABS(L587-M587)&lt;0.001,ABS(O587-P587)&lt;0.01),"RECONCILED","CALCULATION ERROR"))</f>
        <v>RECONCILED</v>
      </c>
      <c r="S587" s="14" t="s">
        <v>2935</v>
      </c>
    </row>
    <row r="588" customFormat="false" ht="15" hidden="true" customHeight="false" outlineLevel="0" collapsed="false">
      <c r="A588" s="13" t="s">
        <v>223</v>
      </c>
      <c r="B588" s="13" t="s">
        <v>90</v>
      </c>
      <c r="C588" s="13" t="s">
        <v>1872</v>
      </c>
      <c r="D588" s="13" t="s">
        <v>1873</v>
      </c>
      <c r="E588" s="13" t="s">
        <v>3995</v>
      </c>
      <c r="F588" s="14" t="s">
        <v>3996</v>
      </c>
      <c r="G588" s="14" t="s">
        <v>2295</v>
      </c>
      <c r="H588" s="20" t="n">
        <v>46.9</v>
      </c>
      <c r="I588" s="13" t="n">
        <v>32</v>
      </c>
      <c r="J588" s="13" t="s">
        <v>3997</v>
      </c>
      <c r="K588" s="13" t="n">
        <v>47</v>
      </c>
      <c r="L588" s="21" t="n">
        <v>7.55</v>
      </c>
      <c r="M588" s="21" t="n">
        <f aca="false">IF(C588="covered",10.4,7.55)</f>
        <v>7.55</v>
      </c>
      <c r="N588" s="13" t="n">
        <f aca="false">MAX(ROUNDUP(H588,0),I588)</f>
        <v>47</v>
      </c>
      <c r="O588" s="21" t="n">
        <v>354.85</v>
      </c>
      <c r="P588" s="21" t="n">
        <f aca="false">ROUND(M588*N588,2)</f>
        <v>354.85</v>
      </c>
      <c r="Q588" s="21" t="n">
        <f aca="false">ROUND(P588-IF(O588="",0,O588),2)</f>
        <v>0</v>
      </c>
      <c r="R588" s="14" t="str">
        <f aca="false">IF(J588="","MISSING BILL",IF(AND(K588=N588,ABS(L588-M588)&lt;0.001,ABS(O588-P588)&lt;0.01),"RECONCILED","CALCULATION ERROR"))</f>
        <v>RECONCILED</v>
      </c>
      <c r="S588" s="14" t="s">
        <v>2935</v>
      </c>
    </row>
    <row r="589" customFormat="false" ht="15" hidden="true" customHeight="false" outlineLevel="0" collapsed="false">
      <c r="A589" s="13" t="s">
        <v>3998</v>
      </c>
      <c r="B589" s="13" t="s">
        <v>90</v>
      </c>
      <c r="C589" s="13" t="s">
        <v>1872</v>
      </c>
      <c r="D589" s="13" t="s">
        <v>1873</v>
      </c>
      <c r="E589" s="13" t="s">
        <v>3999</v>
      </c>
      <c r="F589" s="14" t="s">
        <v>4000</v>
      </c>
      <c r="G589" s="14" t="s">
        <v>3059</v>
      </c>
      <c r="H589" s="20" t="n">
        <v>41.2</v>
      </c>
      <c r="I589" s="13" t="n">
        <v>32</v>
      </c>
      <c r="J589" s="13" t="s">
        <v>4001</v>
      </c>
      <c r="K589" s="13" t="n">
        <v>42</v>
      </c>
      <c r="L589" s="21" t="n">
        <v>7.55</v>
      </c>
      <c r="M589" s="21" t="n">
        <f aca="false">IF(C589="covered",10.4,7.55)</f>
        <v>7.55</v>
      </c>
      <c r="N589" s="13" t="n">
        <f aca="false">MAX(ROUNDUP(H589,0),I589)</f>
        <v>42</v>
      </c>
      <c r="O589" s="21" t="n">
        <v>317.1</v>
      </c>
      <c r="P589" s="21" t="n">
        <f aca="false">ROUND(M589*N589,2)</f>
        <v>317.1</v>
      </c>
      <c r="Q589" s="21" t="n">
        <f aca="false">ROUND(P589-IF(O589="",0,O589),2)</f>
        <v>0</v>
      </c>
      <c r="R589" s="14" t="str">
        <f aca="false">IF(J589="","MISSING BILL",IF(AND(K589=N589,ABS(L589-M589)&lt;0.001,ABS(O589-P589)&lt;0.01),"RECONCILED","CALCULATION ERROR"))</f>
        <v>RECONCILED</v>
      </c>
      <c r="S589" s="14" t="s">
        <v>2935</v>
      </c>
    </row>
    <row r="590" customFormat="false" ht="15" hidden="true" customHeight="false" outlineLevel="0" collapsed="false">
      <c r="A590" s="13" t="s">
        <v>4002</v>
      </c>
      <c r="B590" s="13" t="s">
        <v>90</v>
      </c>
      <c r="C590" s="13" t="s">
        <v>1872</v>
      </c>
      <c r="D590" s="13" t="s">
        <v>1873</v>
      </c>
      <c r="E590" s="13" t="s">
        <v>4003</v>
      </c>
      <c r="F590" s="14" t="s">
        <v>4004</v>
      </c>
      <c r="G590" s="14" t="s">
        <v>2590</v>
      </c>
      <c r="H590" s="20" t="n">
        <v>51.5</v>
      </c>
      <c r="I590" s="13" t="n">
        <v>60</v>
      </c>
      <c r="J590" s="13" t="s">
        <v>4005</v>
      </c>
      <c r="K590" s="13" t="n">
        <v>60</v>
      </c>
      <c r="L590" s="21" t="n">
        <v>7.55</v>
      </c>
      <c r="M590" s="21" t="n">
        <f aca="false">IF(C590="covered",10.4,7.55)</f>
        <v>7.55</v>
      </c>
      <c r="N590" s="13" t="n">
        <f aca="false">MAX(ROUNDUP(H590,0),I590)</f>
        <v>60</v>
      </c>
      <c r="O590" s="21" t="n">
        <v>453</v>
      </c>
      <c r="P590" s="21" t="n">
        <f aca="false">ROUND(M590*N590,2)</f>
        <v>453</v>
      </c>
      <c r="Q590" s="21" t="n">
        <f aca="false">ROUND(P590-IF(O590="",0,O590),2)</f>
        <v>0</v>
      </c>
      <c r="R590" s="14" t="str">
        <f aca="false">IF(J590="","MISSING BILL",IF(AND(K590=N590,ABS(L590-M590)&lt;0.001,ABS(O590-P590)&lt;0.01),"RECONCILED","CALCULATION ERROR"))</f>
        <v>RECONCILED</v>
      </c>
      <c r="S590" s="14" t="s">
        <v>2935</v>
      </c>
    </row>
    <row r="591" customFormat="false" ht="15" hidden="true" customHeight="false" outlineLevel="0" collapsed="false">
      <c r="A591" s="13" t="s">
        <v>4006</v>
      </c>
      <c r="B591" s="13" t="s">
        <v>90</v>
      </c>
      <c r="C591" s="13" t="s">
        <v>1872</v>
      </c>
      <c r="D591" s="13" t="s">
        <v>1873</v>
      </c>
      <c r="E591" s="13" t="s">
        <v>4007</v>
      </c>
      <c r="F591" s="14" t="s">
        <v>4008</v>
      </c>
      <c r="G591" s="14" t="s">
        <v>2792</v>
      </c>
      <c r="H591" s="20" t="n">
        <v>48.5</v>
      </c>
      <c r="I591" s="13" t="n">
        <v>40</v>
      </c>
      <c r="J591" s="13" t="s">
        <v>4009</v>
      </c>
      <c r="K591" s="13" t="n">
        <v>49</v>
      </c>
      <c r="L591" s="21" t="n">
        <v>7.55</v>
      </c>
      <c r="M591" s="21" t="n">
        <f aca="false">IF(C591="covered",10.4,7.55)</f>
        <v>7.55</v>
      </c>
      <c r="N591" s="13" t="n">
        <f aca="false">MAX(ROUNDUP(H591,0),I591)</f>
        <v>49</v>
      </c>
      <c r="O591" s="21" t="n">
        <v>369.95</v>
      </c>
      <c r="P591" s="21" t="n">
        <f aca="false">ROUND(M591*N591,2)</f>
        <v>369.95</v>
      </c>
      <c r="Q591" s="21" t="n">
        <f aca="false">ROUND(P591-IF(O591="",0,O591),2)</f>
        <v>0</v>
      </c>
      <c r="R591" s="14" t="str">
        <f aca="false">IF(J591="","MISSING BILL",IF(AND(K591=N591,ABS(L591-M591)&lt;0.001,ABS(O591-P591)&lt;0.01),"RECONCILED","CALCULATION ERROR"))</f>
        <v>RECONCILED</v>
      </c>
      <c r="S591" s="14" t="s">
        <v>2935</v>
      </c>
    </row>
    <row r="592" customFormat="false" ht="15" hidden="true" customHeight="false" outlineLevel="0" collapsed="false">
      <c r="A592" s="13" t="s">
        <v>4010</v>
      </c>
      <c r="B592" s="13" t="s">
        <v>90</v>
      </c>
      <c r="C592" s="13" t="s">
        <v>1872</v>
      </c>
      <c r="D592" s="13" t="s">
        <v>1873</v>
      </c>
      <c r="E592" s="13" t="s">
        <v>4011</v>
      </c>
      <c r="F592" s="14" t="s">
        <v>4012</v>
      </c>
      <c r="G592" s="14" t="s">
        <v>3902</v>
      </c>
      <c r="H592" s="20" t="n">
        <v>20.4</v>
      </c>
      <c r="I592" s="13" t="n">
        <v>36</v>
      </c>
      <c r="J592" s="13" t="s">
        <v>4013</v>
      </c>
      <c r="K592" s="13" t="n">
        <v>36</v>
      </c>
      <c r="L592" s="21" t="n">
        <v>7.55</v>
      </c>
      <c r="M592" s="21" t="n">
        <f aca="false">IF(C592="covered",10.4,7.55)</f>
        <v>7.55</v>
      </c>
      <c r="N592" s="13" t="n">
        <f aca="false">MAX(ROUNDUP(H592,0),I592)</f>
        <v>36</v>
      </c>
      <c r="O592" s="21" t="n">
        <v>271.8</v>
      </c>
      <c r="P592" s="21" t="n">
        <f aca="false">ROUND(M592*N592,2)</f>
        <v>271.8</v>
      </c>
      <c r="Q592" s="21" t="n">
        <f aca="false">ROUND(P592-IF(O592="",0,O592),2)</f>
        <v>0</v>
      </c>
      <c r="R592" s="14" t="str">
        <f aca="false">IF(J592="","MISSING BILL",IF(AND(K592=N592,ABS(L592-M592)&lt;0.001,ABS(O592-P592)&lt;0.01),"RECONCILED","CALCULATION ERROR"))</f>
        <v>RECONCILED</v>
      </c>
      <c r="S592" s="14" t="s">
        <v>2935</v>
      </c>
    </row>
    <row r="593" customFormat="false" ht="15" hidden="true" customHeight="false" outlineLevel="0" collapsed="false">
      <c r="A593" s="13" t="s">
        <v>4014</v>
      </c>
      <c r="B593" s="13" t="s">
        <v>90</v>
      </c>
      <c r="C593" s="13" t="s">
        <v>1872</v>
      </c>
      <c r="D593" s="13" t="s">
        <v>1873</v>
      </c>
      <c r="E593" s="13" t="s">
        <v>4015</v>
      </c>
      <c r="F593" s="14" t="s">
        <v>4016</v>
      </c>
      <c r="G593" s="14" t="s">
        <v>1982</v>
      </c>
      <c r="H593" s="20" t="n">
        <v>51.7</v>
      </c>
      <c r="I593" s="13" t="n">
        <v>70</v>
      </c>
      <c r="J593" s="13" t="s">
        <v>4017</v>
      </c>
      <c r="K593" s="13" t="n">
        <v>70</v>
      </c>
      <c r="L593" s="21" t="n">
        <v>7.55</v>
      </c>
      <c r="M593" s="21" t="n">
        <f aca="false">IF(C593="covered",10.4,7.55)</f>
        <v>7.55</v>
      </c>
      <c r="N593" s="13" t="n">
        <f aca="false">MAX(ROUNDUP(H593,0),I593)</f>
        <v>70</v>
      </c>
      <c r="O593" s="21" t="n">
        <v>528.5</v>
      </c>
      <c r="P593" s="21" t="n">
        <f aca="false">ROUND(M593*N593,2)</f>
        <v>528.5</v>
      </c>
      <c r="Q593" s="21" t="n">
        <f aca="false">ROUND(P593-IF(O593="",0,O593),2)</f>
        <v>0</v>
      </c>
      <c r="R593" s="14" t="str">
        <f aca="false">IF(J593="","MISSING BILL",IF(AND(K593=N593,ABS(L593-M593)&lt;0.001,ABS(O593-P593)&lt;0.01),"RECONCILED","CALCULATION ERROR"))</f>
        <v>RECONCILED</v>
      </c>
      <c r="S593" s="14" t="s">
        <v>2935</v>
      </c>
    </row>
    <row r="594" customFormat="false" ht="15" hidden="true" customHeight="false" outlineLevel="0" collapsed="false">
      <c r="A594" s="13" t="s">
        <v>4018</v>
      </c>
      <c r="B594" s="13" t="s">
        <v>90</v>
      </c>
      <c r="C594" s="13" t="s">
        <v>1872</v>
      </c>
      <c r="D594" s="13" t="s">
        <v>1873</v>
      </c>
      <c r="E594" s="13" t="s">
        <v>1448</v>
      </c>
      <c r="F594" s="14" t="s">
        <v>1449</v>
      </c>
      <c r="G594" s="14" t="s">
        <v>4019</v>
      </c>
      <c r="H594" s="20" t="n">
        <v>60.7</v>
      </c>
      <c r="I594" s="13" t="n">
        <v>32</v>
      </c>
      <c r="J594" s="13" t="s">
        <v>4020</v>
      </c>
      <c r="K594" s="13" t="n">
        <v>61</v>
      </c>
      <c r="L594" s="21" t="n">
        <v>7.55</v>
      </c>
      <c r="M594" s="21" t="n">
        <f aca="false">IF(C594="covered",10.4,7.55)</f>
        <v>7.55</v>
      </c>
      <c r="N594" s="13" t="n">
        <f aca="false">MAX(ROUNDUP(H594,0),I594)</f>
        <v>61</v>
      </c>
      <c r="O594" s="21" t="n">
        <v>460.55</v>
      </c>
      <c r="P594" s="21" t="n">
        <f aca="false">ROUND(M594*N594,2)</f>
        <v>460.55</v>
      </c>
      <c r="Q594" s="21" t="n">
        <f aca="false">ROUND(P594-IF(O594="",0,O594),2)</f>
        <v>0</v>
      </c>
      <c r="R594" s="14" t="str">
        <f aca="false">IF(J594="","MISSING BILL",IF(AND(K594=N594,ABS(L594-M594)&lt;0.001,ABS(O594-P594)&lt;0.01),"RECONCILED","CALCULATION ERROR"))</f>
        <v>RECONCILED</v>
      </c>
      <c r="S594" s="14" t="s">
        <v>2935</v>
      </c>
    </row>
    <row r="595" customFormat="false" ht="15" hidden="true" customHeight="false" outlineLevel="0" collapsed="false">
      <c r="A595" s="13" t="s">
        <v>4021</v>
      </c>
      <c r="B595" s="13" t="s">
        <v>90</v>
      </c>
      <c r="C595" s="13" t="s">
        <v>1872</v>
      </c>
      <c r="D595" s="13" t="s">
        <v>1873</v>
      </c>
      <c r="E595" s="13" t="s">
        <v>1585</v>
      </c>
      <c r="F595" s="14" t="s">
        <v>1586</v>
      </c>
      <c r="G595" s="14" t="s">
        <v>3907</v>
      </c>
      <c r="H595" s="20" t="n">
        <v>58.4</v>
      </c>
      <c r="I595" s="13" t="n">
        <v>32</v>
      </c>
      <c r="J595" s="13" t="s">
        <v>4022</v>
      </c>
      <c r="K595" s="13" t="n">
        <v>59</v>
      </c>
      <c r="L595" s="21" t="n">
        <v>7.55</v>
      </c>
      <c r="M595" s="21" t="n">
        <f aca="false">IF(C595="covered",10.4,7.55)</f>
        <v>7.55</v>
      </c>
      <c r="N595" s="13" t="n">
        <f aca="false">MAX(ROUNDUP(H595,0),I595)</f>
        <v>59</v>
      </c>
      <c r="O595" s="21" t="n">
        <v>445.45</v>
      </c>
      <c r="P595" s="21" t="n">
        <f aca="false">ROUND(M595*N595,2)</f>
        <v>445.45</v>
      </c>
      <c r="Q595" s="21" t="n">
        <f aca="false">ROUND(P595-IF(O595="",0,O595),2)</f>
        <v>0</v>
      </c>
      <c r="R595" s="14" t="str">
        <f aca="false">IF(J595="","MISSING BILL",IF(AND(K595=N595,ABS(L595-M595)&lt;0.001,ABS(O595-P595)&lt;0.01),"RECONCILED","CALCULATION ERROR"))</f>
        <v>RECONCILED</v>
      </c>
      <c r="S595" s="14" t="s">
        <v>2935</v>
      </c>
    </row>
    <row r="596" customFormat="false" ht="15" hidden="true" customHeight="false" outlineLevel="0" collapsed="false">
      <c r="A596" s="13" t="s">
        <v>4023</v>
      </c>
      <c r="B596" s="13" t="s">
        <v>90</v>
      </c>
      <c r="C596" s="13" t="s">
        <v>1872</v>
      </c>
      <c r="D596" s="13" t="s">
        <v>1873</v>
      </c>
      <c r="E596" s="13" t="s">
        <v>4024</v>
      </c>
      <c r="F596" s="14" t="s">
        <v>4025</v>
      </c>
      <c r="G596" s="14" t="s">
        <v>2240</v>
      </c>
      <c r="H596" s="20" t="n">
        <v>25.6</v>
      </c>
      <c r="I596" s="13" t="n">
        <v>32</v>
      </c>
      <c r="J596" s="13" t="s">
        <v>4026</v>
      </c>
      <c r="K596" s="13" t="n">
        <v>32</v>
      </c>
      <c r="L596" s="21" t="n">
        <v>7.55</v>
      </c>
      <c r="M596" s="21" t="n">
        <f aca="false">IF(C596="covered",10.4,7.55)</f>
        <v>7.55</v>
      </c>
      <c r="N596" s="13" t="n">
        <f aca="false">MAX(ROUNDUP(H596,0),I596)</f>
        <v>32</v>
      </c>
      <c r="O596" s="21" t="n">
        <v>241.6</v>
      </c>
      <c r="P596" s="21" t="n">
        <f aca="false">ROUND(M596*N596,2)</f>
        <v>241.6</v>
      </c>
      <c r="Q596" s="21" t="n">
        <f aca="false">ROUND(P596-IF(O596="",0,O596),2)</f>
        <v>0</v>
      </c>
      <c r="R596" s="14" t="str">
        <f aca="false">IF(J596="","MISSING BILL",IF(AND(K596=N596,ABS(L596-M596)&lt;0.001,ABS(O596-P596)&lt;0.01),"RECONCILED","CALCULATION ERROR"))</f>
        <v>RECONCILED</v>
      </c>
      <c r="S596" s="14" t="s">
        <v>2935</v>
      </c>
    </row>
    <row r="597" customFormat="false" ht="15" hidden="true" customHeight="false" outlineLevel="0" collapsed="false">
      <c r="A597" s="13" t="s">
        <v>4027</v>
      </c>
      <c r="B597" s="13" t="s">
        <v>90</v>
      </c>
      <c r="C597" s="13" t="s">
        <v>1872</v>
      </c>
      <c r="D597" s="13" t="s">
        <v>1873</v>
      </c>
      <c r="E597" s="13" t="s">
        <v>4028</v>
      </c>
      <c r="F597" s="14" t="s">
        <v>4029</v>
      </c>
      <c r="G597" s="14" t="s">
        <v>2976</v>
      </c>
      <c r="H597" s="20" t="n">
        <v>58.8</v>
      </c>
      <c r="I597" s="13" t="n">
        <v>32</v>
      </c>
      <c r="J597" s="13" t="s">
        <v>4030</v>
      </c>
      <c r="K597" s="13" t="n">
        <v>59</v>
      </c>
      <c r="L597" s="21" t="n">
        <v>7.55</v>
      </c>
      <c r="M597" s="21" t="n">
        <f aca="false">IF(C597="covered",10.4,7.55)</f>
        <v>7.55</v>
      </c>
      <c r="N597" s="13" t="n">
        <f aca="false">MAX(ROUNDUP(H597,0),I597)</f>
        <v>59</v>
      </c>
      <c r="O597" s="21" t="n">
        <v>445.45</v>
      </c>
      <c r="P597" s="21" t="n">
        <f aca="false">ROUND(M597*N597,2)</f>
        <v>445.45</v>
      </c>
      <c r="Q597" s="21" t="n">
        <f aca="false">ROUND(P597-IF(O597="",0,O597),2)</f>
        <v>0</v>
      </c>
      <c r="R597" s="14" t="str">
        <f aca="false">IF(J597="","MISSING BILL",IF(AND(K597=N597,ABS(L597-M597)&lt;0.001,ABS(O597-P597)&lt;0.01),"RECONCILED","CALCULATION ERROR"))</f>
        <v>RECONCILED</v>
      </c>
      <c r="S597" s="14" t="s">
        <v>2935</v>
      </c>
    </row>
    <row r="598" customFormat="false" ht="15" hidden="true" customHeight="false" outlineLevel="0" collapsed="false">
      <c r="A598" s="13" t="s">
        <v>4031</v>
      </c>
      <c r="B598" s="13" t="s">
        <v>90</v>
      </c>
      <c r="C598" s="13" t="s">
        <v>1872</v>
      </c>
      <c r="D598" s="13" t="s">
        <v>1873</v>
      </c>
      <c r="E598" s="13" t="s">
        <v>4032</v>
      </c>
      <c r="F598" s="14" t="s">
        <v>4033</v>
      </c>
      <c r="G598" s="14" t="s">
        <v>3231</v>
      </c>
      <c r="H598" s="20" t="n">
        <v>32.1</v>
      </c>
      <c r="I598" s="13" t="n">
        <v>28</v>
      </c>
      <c r="J598" s="13" t="s">
        <v>4034</v>
      </c>
      <c r="K598" s="13" t="n">
        <v>33</v>
      </c>
      <c r="L598" s="21" t="n">
        <v>7.55</v>
      </c>
      <c r="M598" s="21" t="n">
        <f aca="false">IF(C598="covered",10.4,7.55)</f>
        <v>7.55</v>
      </c>
      <c r="N598" s="13" t="n">
        <f aca="false">MAX(ROUNDUP(H598,0),I598)</f>
        <v>33</v>
      </c>
      <c r="O598" s="21" t="n">
        <v>249.15</v>
      </c>
      <c r="P598" s="21" t="n">
        <f aca="false">ROUND(M598*N598,2)</f>
        <v>249.15</v>
      </c>
      <c r="Q598" s="21" t="n">
        <f aca="false">ROUND(P598-IF(O598="",0,O598),2)</f>
        <v>0</v>
      </c>
      <c r="R598" s="14" t="str">
        <f aca="false">IF(J598="","MISSING BILL",IF(AND(K598=N598,ABS(L598-M598)&lt;0.001,ABS(O598-P598)&lt;0.01),"RECONCILED","CALCULATION ERROR"))</f>
        <v>RECONCILED</v>
      </c>
      <c r="S598" s="14" t="s">
        <v>2935</v>
      </c>
    </row>
    <row r="599" customFormat="false" ht="15" hidden="true" customHeight="false" outlineLevel="0" collapsed="false">
      <c r="A599" s="13" t="s">
        <v>4035</v>
      </c>
      <c r="B599" s="13" t="s">
        <v>90</v>
      </c>
      <c r="C599" s="13" t="s">
        <v>1872</v>
      </c>
      <c r="D599" s="13" t="s">
        <v>1873</v>
      </c>
      <c r="E599" s="13" t="s">
        <v>4036</v>
      </c>
      <c r="F599" s="14" t="s">
        <v>4037</v>
      </c>
      <c r="G599" s="14" t="s">
        <v>2124</v>
      </c>
      <c r="H599" s="20" t="n">
        <v>42.3</v>
      </c>
      <c r="I599" s="13" t="n">
        <v>36</v>
      </c>
      <c r="J599" s="13" t="s">
        <v>4038</v>
      </c>
      <c r="K599" s="13" t="n">
        <v>43</v>
      </c>
      <c r="L599" s="21" t="n">
        <v>7.55</v>
      </c>
      <c r="M599" s="21" t="n">
        <f aca="false">IF(C599="covered",10.4,7.55)</f>
        <v>7.55</v>
      </c>
      <c r="N599" s="13" t="n">
        <f aca="false">MAX(ROUNDUP(H599,0),I599)</f>
        <v>43</v>
      </c>
      <c r="O599" s="21" t="n">
        <v>324.65</v>
      </c>
      <c r="P599" s="21" t="n">
        <f aca="false">ROUND(M599*N599,2)</f>
        <v>324.65</v>
      </c>
      <c r="Q599" s="21" t="n">
        <f aca="false">ROUND(P599-IF(O599="",0,O599),2)</f>
        <v>0</v>
      </c>
      <c r="R599" s="14" t="str">
        <f aca="false">IF(J599="","MISSING BILL",IF(AND(K599=N599,ABS(L599-M599)&lt;0.001,ABS(O599-P599)&lt;0.01),"RECONCILED","CALCULATION ERROR"))</f>
        <v>RECONCILED</v>
      </c>
      <c r="S599" s="14" t="s">
        <v>2935</v>
      </c>
    </row>
    <row r="600" customFormat="false" ht="15" hidden="true" customHeight="false" outlineLevel="0" collapsed="false">
      <c r="A600" s="13" t="s">
        <v>4039</v>
      </c>
      <c r="B600" s="13" t="s">
        <v>90</v>
      </c>
      <c r="C600" s="13" t="s">
        <v>1872</v>
      </c>
      <c r="D600" s="13" t="s">
        <v>1873</v>
      </c>
      <c r="E600" s="13" t="s">
        <v>4040</v>
      </c>
      <c r="F600" s="14" t="s">
        <v>4041</v>
      </c>
      <c r="G600" s="14" t="s">
        <v>4042</v>
      </c>
      <c r="H600" s="20" t="n">
        <v>58</v>
      </c>
      <c r="I600" s="13" t="n">
        <v>45</v>
      </c>
      <c r="J600" s="13" t="s">
        <v>4043</v>
      </c>
      <c r="K600" s="13" t="n">
        <v>58</v>
      </c>
      <c r="L600" s="21" t="n">
        <v>7.55</v>
      </c>
      <c r="M600" s="21" t="n">
        <f aca="false">IF(C600="covered",10.4,7.55)</f>
        <v>7.55</v>
      </c>
      <c r="N600" s="13" t="n">
        <f aca="false">MAX(ROUNDUP(H600,0),I600)</f>
        <v>58</v>
      </c>
      <c r="O600" s="21" t="n">
        <v>437.9</v>
      </c>
      <c r="P600" s="21" t="n">
        <f aca="false">ROUND(M600*N600,2)</f>
        <v>437.9</v>
      </c>
      <c r="Q600" s="21" t="n">
        <f aca="false">ROUND(P600-IF(O600="",0,O600),2)</f>
        <v>0</v>
      </c>
      <c r="R600" s="14" t="str">
        <f aca="false">IF(J600="","MISSING BILL",IF(AND(K600=N600,ABS(L600-M600)&lt;0.001,ABS(O600-P600)&lt;0.01),"RECONCILED","CALCULATION ERROR"))</f>
        <v>RECONCILED</v>
      </c>
      <c r="S600" s="14" t="s">
        <v>2935</v>
      </c>
    </row>
    <row r="601" customFormat="false" ht="15" hidden="true" customHeight="false" outlineLevel="0" collapsed="false">
      <c r="A601" s="13" t="s">
        <v>4044</v>
      </c>
      <c r="B601" s="13" t="s">
        <v>90</v>
      </c>
      <c r="C601" s="13" t="s">
        <v>1872</v>
      </c>
      <c r="D601" s="13" t="s">
        <v>1873</v>
      </c>
      <c r="E601" s="13" t="s">
        <v>4045</v>
      </c>
      <c r="F601" s="14" t="s">
        <v>4046</v>
      </c>
      <c r="G601" s="14" t="s">
        <v>1900</v>
      </c>
      <c r="H601" s="20" t="n">
        <v>30.1</v>
      </c>
      <c r="I601" s="13" t="n">
        <v>45</v>
      </c>
      <c r="J601" s="13" t="s">
        <v>4047</v>
      </c>
      <c r="K601" s="13" t="n">
        <v>45</v>
      </c>
      <c r="L601" s="21" t="n">
        <v>7.55</v>
      </c>
      <c r="M601" s="21" t="n">
        <f aca="false">IF(C601="covered",10.4,7.55)</f>
        <v>7.55</v>
      </c>
      <c r="N601" s="13" t="n">
        <f aca="false">MAX(ROUNDUP(H601,0),I601)</f>
        <v>45</v>
      </c>
      <c r="O601" s="21" t="n">
        <v>339.75</v>
      </c>
      <c r="P601" s="21" t="n">
        <f aca="false">ROUND(M601*N601,2)</f>
        <v>339.75</v>
      </c>
      <c r="Q601" s="21" t="n">
        <f aca="false">ROUND(P601-IF(O601="",0,O601),2)</f>
        <v>0</v>
      </c>
      <c r="R601" s="14" t="str">
        <f aca="false">IF(J601="","MISSING BILL",IF(AND(K601=N601,ABS(L601-M601)&lt;0.001,ABS(O601-P601)&lt;0.01),"RECONCILED","CALCULATION ERROR"))</f>
        <v>RECONCILED</v>
      </c>
      <c r="S601" s="14" t="s">
        <v>2935</v>
      </c>
    </row>
    <row r="602" customFormat="false" ht="15" hidden="true" customHeight="false" outlineLevel="0" collapsed="false">
      <c r="A602" s="13" t="s">
        <v>1575</v>
      </c>
      <c r="B602" s="13" t="s">
        <v>90</v>
      </c>
      <c r="C602" s="13" t="s">
        <v>1872</v>
      </c>
      <c r="D602" s="13" t="s">
        <v>1873</v>
      </c>
      <c r="E602" s="13" t="s">
        <v>4048</v>
      </c>
      <c r="F602" s="14" t="s">
        <v>4049</v>
      </c>
      <c r="G602" s="14" t="s">
        <v>2240</v>
      </c>
      <c r="H602" s="20" t="n">
        <v>54.2</v>
      </c>
      <c r="I602" s="13" t="n">
        <v>80</v>
      </c>
      <c r="J602" s="13" t="s">
        <v>4050</v>
      </c>
      <c r="K602" s="13" t="n">
        <v>80</v>
      </c>
      <c r="L602" s="21" t="n">
        <v>7.55</v>
      </c>
      <c r="M602" s="21" t="n">
        <f aca="false">IF(C602="covered",10.4,7.55)</f>
        <v>7.55</v>
      </c>
      <c r="N602" s="13" t="n">
        <f aca="false">MAX(ROUNDUP(H602,0),I602)</f>
        <v>80</v>
      </c>
      <c r="O602" s="21" t="n">
        <v>604</v>
      </c>
      <c r="P602" s="21" t="n">
        <f aca="false">ROUND(M602*N602,2)</f>
        <v>604</v>
      </c>
      <c r="Q602" s="21" t="n">
        <f aca="false">ROUND(P602-IF(O602="",0,O602),2)</f>
        <v>0</v>
      </c>
      <c r="R602" s="14" t="str">
        <f aca="false">IF(J602="","MISSING BILL",IF(AND(K602=N602,ABS(L602-M602)&lt;0.001,ABS(O602-P602)&lt;0.01),"RECONCILED","CALCULATION ERROR"))</f>
        <v>RECONCILED</v>
      </c>
      <c r="S602" s="14" t="s">
        <v>2935</v>
      </c>
    </row>
    <row r="603" customFormat="false" ht="15" hidden="true" customHeight="false" outlineLevel="0" collapsed="false">
      <c r="A603" s="13" t="s">
        <v>1183</v>
      </c>
      <c r="B603" s="13" t="s">
        <v>90</v>
      </c>
      <c r="C603" s="13" t="s">
        <v>1872</v>
      </c>
      <c r="D603" s="13" t="s">
        <v>1873</v>
      </c>
      <c r="E603" s="13" t="s">
        <v>4051</v>
      </c>
      <c r="F603" s="14" t="s">
        <v>4052</v>
      </c>
      <c r="G603" s="14" t="s">
        <v>4053</v>
      </c>
      <c r="H603" s="20" t="n">
        <v>40.3</v>
      </c>
      <c r="I603" s="13" t="n">
        <v>45</v>
      </c>
      <c r="J603" s="13" t="s">
        <v>4054</v>
      </c>
      <c r="K603" s="13" t="n">
        <v>45</v>
      </c>
      <c r="L603" s="21" t="n">
        <v>7.55</v>
      </c>
      <c r="M603" s="21" t="n">
        <f aca="false">IF(C603="covered",10.4,7.55)</f>
        <v>7.55</v>
      </c>
      <c r="N603" s="13" t="n">
        <f aca="false">MAX(ROUNDUP(H603,0),I603)</f>
        <v>45</v>
      </c>
      <c r="O603" s="21" t="n">
        <v>339.75</v>
      </c>
      <c r="P603" s="21" t="n">
        <f aca="false">ROUND(M603*N603,2)</f>
        <v>339.75</v>
      </c>
      <c r="Q603" s="21" t="n">
        <f aca="false">ROUND(P603-IF(O603="",0,O603),2)</f>
        <v>0</v>
      </c>
      <c r="R603" s="14" t="str">
        <f aca="false">IF(J603="","MISSING BILL",IF(AND(K603=N603,ABS(L603-M603)&lt;0.001,ABS(O603-P603)&lt;0.01),"RECONCILED","CALCULATION ERROR"))</f>
        <v>RECONCILED</v>
      </c>
      <c r="S603" s="14" t="s">
        <v>2935</v>
      </c>
    </row>
    <row r="604" customFormat="false" ht="15" hidden="true" customHeight="false" outlineLevel="0" collapsed="false">
      <c r="A604" s="13" t="s">
        <v>4055</v>
      </c>
      <c r="B604" s="13" t="s">
        <v>90</v>
      </c>
      <c r="C604" s="13" t="s">
        <v>1872</v>
      </c>
      <c r="D604" s="13" t="s">
        <v>1873</v>
      </c>
      <c r="E604" s="13" t="s">
        <v>4056</v>
      </c>
      <c r="F604" s="14" t="s">
        <v>4057</v>
      </c>
      <c r="G604" s="14" t="s">
        <v>4058</v>
      </c>
      <c r="H604" s="20" t="n">
        <v>33.6</v>
      </c>
      <c r="I604" s="13" t="n">
        <v>24</v>
      </c>
      <c r="J604" s="13" t="s">
        <v>4059</v>
      </c>
      <c r="K604" s="13" t="n">
        <v>34</v>
      </c>
      <c r="L604" s="21" t="n">
        <v>7.55</v>
      </c>
      <c r="M604" s="21" t="n">
        <f aca="false">IF(C604="covered",10.4,7.55)</f>
        <v>7.55</v>
      </c>
      <c r="N604" s="13" t="n">
        <f aca="false">MAX(ROUNDUP(H604,0),I604)</f>
        <v>34</v>
      </c>
      <c r="O604" s="21" t="n">
        <v>256.7</v>
      </c>
      <c r="P604" s="21" t="n">
        <f aca="false">ROUND(M604*N604,2)</f>
        <v>256.7</v>
      </c>
      <c r="Q604" s="21" t="n">
        <f aca="false">ROUND(P604-IF(O604="",0,O604),2)</f>
        <v>0</v>
      </c>
      <c r="R604" s="14" t="str">
        <f aca="false">IF(J604="","MISSING BILL",IF(AND(K604=N604,ABS(L604-M604)&lt;0.001,ABS(O604-P604)&lt;0.01),"RECONCILED","CALCULATION ERROR"))</f>
        <v>RECONCILED</v>
      </c>
      <c r="S604" s="14" t="s">
        <v>2935</v>
      </c>
    </row>
    <row r="605" customFormat="false" ht="15" hidden="true" customHeight="false" outlineLevel="0" collapsed="false">
      <c r="A605" s="13" t="s">
        <v>4060</v>
      </c>
      <c r="B605" s="13" t="s">
        <v>90</v>
      </c>
      <c r="C605" s="13" t="s">
        <v>1872</v>
      </c>
      <c r="D605" s="13" t="s">
        <v>1873</v>
      </c>
      <c r="E605" s="13" t="s">
        <v>4061</v>
      </c>
      <c r="F605" s="14" t="s">
        <v>4062</v>
      </c>
      <c r="G605" s="14" t="s">
        <v>2140</v>
      </c>
      <c r="H605" s="20" t="n">
        <v>26.3</v>
      </c>
      <c r="I605" s="13" t="n">
        <v>32</v>
      </c>
      <c r="J605" s="13" t="s">
        <v>4063</v>
      </c>
      <c r="K605" s="13" t="n">
        <v>32</v>
      </c>
      <c r="L605" s="21" t="n">
        <v>7.55</v>
      </c>
      <c r="M605" s="21" t="n">
        <f aca="false">IF(C605="covered",10.4,7.55)</f>
        <v>7.55</v>
      </c>
      <c r="N605" s="13" t="n">
        <f aca="false">MAX(ROUNDUP(H605,0),I605)</f>
        <v>32</v>
      </c>
      <c r="O605" s="21" t="n">
        <v>241.6</v>
      </c>
      <c r="P605" s="21" t="n">
        <f aca="false">ROUND(M605*N605,2)</f>
        <v>241.6</v>
      </c>
      <c r="Q605" s="21" t="n">
        <f aca="false">ROUND(P605-IF(O605="",0,O605),2)</f>
        <v>0</v>
      </c>
      <c r="R605" s="14" t="str">
        <f aca="false">IF(J605="","MISSING BILL",IF(AND(K605=N605,ABS(L605-M605)&lt;0.001,ABS(O605-P605)&lt;0.01),"RECONCILED","CALCULATION ERROR"))</f>
        <v>RECONCILED</v>
      </c>
      <c r="S605" s="14" t="s">
        <v>2935</v>
      </c>
    </row>
    <row r="606" customFormat="false" ht="15" hidden="true" customHeight="false" outlineLevel="0" collapsed="false">
      <c r="A606" s="13" t="s">
        <v>4064</v>
      </c>
      <c r="B606" s="13" t="s">
        <v>90</v>
      </c>
      <c r="C606" s="13" t="s">
        <v>1872</v>
      </c>
      <c r="D606" s="13" t="s">
        <v>1873</v>
      </c>
      <c r="E606" s="13" t="s">
        <v>4065</v>
      </c>
      <c r="F606" s="14" t="s">
        <v>4066</v>
      </c>
      <c r="G606" s="14" t="s">
        <v>2881</v>
      </c>
      <c r="H606" s="20" t="n">
        <v>38.1</v>
      </c>
      <c r="I606" s="13" t="n">
        <v>60</v>
      </c>
      <c r="J606" s="13" t="s">
        <v>4067</v>
      </c>
      <c r="K606" s="13" t="n">
        <v>60</v>
      </c>
      <c r="L606" s="21" t="n">
        <v>7.55</v>
      </c>
      <c r="M606" s="21" t="n">
        <f aca="false">IF(C606="covered",10.4,7.55)</f>
        <v>7.55</v>
      </c>
      <c r="N606" s="13" t="n">
        <f aca="false">MAX(ROUNDUP(H606,0),I606)</f>
        <v>60</v>
      </c>
      <c r="O606" s="21" t="n">
        <v>453</v>
      </c>
      <c r="P606" s="21" t="n">
        <f aca="false">ROUND(M606*N606,2)</f>
        <v>453</v>
      </c>
      <c r="Q606" s="21" t="n">
        <f aca="false">ROUND(P606-IF(O606="",0,O606),2)</f>
        <v>0</v>
      </c>
      <c r="R606" s="14" t="str">
        <f aca="false">IF(J606="","MISSING BILL",IF(AND(K606=N606,ABS(L606-M606)&lt;0.001,ABS(O606-P606)&lt;0.01),"RECONCILED","CALCULATION ERROR"))</f>
        <v>RECONCILED</v>
      </c>
      <c r="S606" s="14" t="s">
        <v>2935</v>
      </c>
    </row>
    <row r="607" customFormat="false" ht="15" hidden="true" customHeight="false" outlineLevel="0" collapsed="false">
      <c r="A607" s="13" t="s">
        <v>4068</v>
      </c>
      <c r="B607" s="13" t="s">
        <v>90</v>
      </c>
      <c r="C607" s="13" t="s">
        <v>1872</v>
      </c>
      <c r="D607" s="13" t="s">
        <v>1873</v>
      </c>
      <c r="E607" s="13" t="s">
        <v>4069</v>
      </c>
      <c r="F607" s="14" t="s">
        <v>4070</v>
      </c>
      <c r="G607" s="14" t="s">
        <v>4071</v>
      </c>
      <c r="H607" s="20" t="n">
        <v>31.8</v>
      </c>
      <c r="I607" s="13" t="n">
        <v>45</v>
      </c>
      <c r="J607" s="13" t="s">
        <v>4072</v>
      </c>
      <c r="K607" s="13" t="n">
        <v>45</v>
      </c>
      <c r="L607" s="21" t="n">
        <v>7.55</v>
      </c>
      <c r="M607" s="21" t="n">
        <f aca="false">IF(C607="covered",10.4,7.55)</f>
        <v>7.55</v>
      </c>
      <c r="N607" s="13" t="n">
        <f aca="false">MAX(ROUNDUP(H607,0),I607)</f>
        <v>45</v>
      </c>
      <c r="O607" s="21" t="n">
        <v>339.75</v>
      </c>
      <c r="P607" s="21" t="n">
        <f aca="false">ROUND(M607*N607,2)</f>
        <v>339.75</v>
      </c>
      <c r="Q607" s="21" t="n">
        <f aca="false">ROUND(P607-IF(O607="",0,O607),2)</f>
        <v>0</v>
      </c>
      <c r="R607" s="14" t="str">
        <f aca="false">IF(J607="","MISSING BILL",IF(AND(K607=N607,ABS(L607-M607)&lt;0.001,ABS(O607-P607)&lt;0.01),"RECONCILED","CALCULATION ERROR"))</f>
        <v>RECONCILED</v>
      </c>
      <c r="S607" s="14" t="s">
        <v>2935</v>
      </c>
    </row>
    <row r="608" customFormat="false" ht="15" hidden="true" customHeight="false" outlineLevel="0" collapsed="false">
      <c r="A608" s="13" t="s">
        <v>4073</v>
      </c>
      <c r="B608" s="13" t="s">
        <v>90</v>
      </c>
      <c r="C608" s="13" t="s">
        <v>1872</v>
      </c>
      <c r="D608" s="13" t="s">
        <v>1873</v>
      </c>
      <c r="E608" s="13" t="s">
        <v>4074</v>
      </c>
      <c r="F608" s="14" t="s">
        <v>4075</v>
      </c>
      <c r="G608" s="14" t="s">
        <v>3074</v>
      </c>
      <c r="H608" s="20" t="n">
        <v>61.4</v>
      </c>
      <c r="I608" s="13" t="n">
        <v>28</v>
      </c>
      <c r="J608" s="13" t="s">
        <v>4076</v>
      </c>
      <c r="K608" s="13" t="n">
        <v>62</v>
      </c>
      <c r="L608" s="21" t="n">
        <v>7.55</v>
      </c>
      <c r="M608" s="21" t="n">
        <f aca="false">IF(C608="covered",10.4,7.55)</f>
        <v>7.55</v>
      </c>
      <c r="N608" s="13" t="n">
        <f aca="false">MAX(ROUNDUP(H608,0),I608)</f>
        <v>62</v>
      </c>
      <c r="O608" s="21" t="n">
        <v>468.1</v>
      </c>
      <c r="P608" s="21" t="n">
        <f aca="false">ROUND(M608*N608,2)</f>
        <v>468.1</v>
      </c>
      <c r="Q608" s="21" t="n">
        <f aca="false">ROUND(P608-IF(O608="",0,O608),2)</f>
        <v>0</v>
      </c>
      <c r="R608" s="14" t="str">
        <f aca="false">IF(J608="","MISSING BILL",IF(AND(K608=N608,ABS(L608-M608)&lt;0.001,ABS(O608-P608)&lt;0.01),"RECONCILED","CALCULATION ERROR"))</f>
        <v>RECONCILED</v>
      </c>
      <c r="S608" s="14" t="s">
        <v>2935</v>
      </c>
    </row>
    <row r="609" customFormat="false" ht="15" hidden="true" customHeight="false" outlineLevel="0" collapsed="false">
      <c r="A609" s="13" t="s">
        <v>4077</v>
      </c>
      <c r="B609" s="13" t="s">
        <v>90</v>
      </c>
      <c r="C609" s="13" t="s">
        <v>1872</v>
      </c>
      <c r="D609" s="13" t="s">
        <v>1873</v>
      </c>
      <c r="E609" s="13" t="s">
        <v>4078</v>
      </c>
      <c r="F609" s="14" t="s">
        <v>4079</v>
      </c>
      <c r="G609" s="14" t="s">
        <v>4080</v>
      </c>
      <c r="H609" s="20" t="n">
        <v>23.5</v>
      </c>
      <c r="I609" s="13" t="n">
        <v>45</v>
      </c>
      <c r="J609" s="13" t="s">
        <v>4081</v>
      </c>
      <c r="K609" s="13" t="n">
        <v>45</v>
      </c>
      <c r="L609" s="21" t="n">
        <v>7.55</v>
      </c>
      <c r="M609" s="21" t="n">
        <f aca="false">IF(C609="covered",10.4,7.55)</f>
        <v>7.55</v>
      </c>
      <c r="N609" s="13" t="n">
        <f aca="false">MAX(ROUNDUP(H609,0),I609)</f>
        <v>45</v>
      </c>
      <c r="O609" s="21" t="n">
        <v>339.75</v>
      </c>
      <c r="P609" s="21" t="n">
        <f aca="false">ROUND(M609*N609,2)</f>
        <v>339.75</v>
      </c>
      <c r="Q609" s="21" t="n">
        <f aca="false">ROUND(P609-IF(O609="",0,O609),2)</f>
        <v>0</v>
      </c>
      <c r="R609" s="14" t="str">
        <f aca="false">IF(J609="","MISSING BILL",IF(AND(K609=N609,ABS(L609-M609)&lt;0.001,ABS(O609-P609)&lt;0.01),"RECONCILED","CALCULATION ERROR"))</f>
        <v>RECONCILED</v>
      </c>
      <c r="S609" s="14" t="s">
        <v>2935</v>
      </c>
    </row>
    <row r="610" customFormat="false" ht="15" hidden="true" customHeight="false" outlineLevel="0" collapsed="false">
      <c r="A610" s="13" t="s">
        <v>4082</v>
      </c>
      <c r="B610" s="13" t="s">
        <v>90</v>
      </c>
      <c r="C610" s="13" t="s">
        <v>1872</v>
      </c>
      <c r="D610" s="13" t="s">
        <v>1873</v>
      </c>
      <c r="E610" s="13" t="s">
        <v>4083</v>
      </c>
      <c r="F610" s="14" t="s">
        <v>4084</v>
      </c>
      <c r="G610" s="14" t="s">
        <v>4085</v>
      </c>
      <c r="H610" s="20" t="n">
        <v>21</v>
      </c>
      <c r="I610" s="13" t="n">
        <v>28</v>
      </c>
      <c r="J610" s="13" t="s">
        <v>4086</v>
      </c>
      <c r="K610" s="13" t="n">
        <v>28</v>
      </c>
      <c r="L610" s="21" t="n">
        <v>7.55</v>
      </c>
      <c r="M610" s="21" t="n">
        <f aca="false">IF(C610="covered",10.4,7.55)</f>
        <v>7.55</v>
      </c>
      <c r="N610" s="13" t="n">
        <f aca="false">MAX(ROUNDUP(H610,0),I610)</f>
        <v>28</v>
      </c>
      <c r="O610" s="21" t="n">
        <v>211.4</v>
      </c>
      <c r="P610" s="21" t="n">
        <f aca="false">ROUND(M610*N610,2)</f>
        <v>211.4</v>
      </c>
      <c r="Q610" s="21" t="n">
        <f aca="false">ROUND(P610-IF(O610="",0,O610),2)</f>
        <v>0</v>
      </c>
      <c r="R610" s="14" t="str">
        <f aca="false">IF(J610="","MISSING BILL",IF(AND(K610=N610,ABS(L610-M610)&lt;0.001,ABS(O610-P610)&lt;0.01),"RECONCILED","CALCULATION ERROR"))</f>
        <v>RECONCILED</v>
      </c>
      <c r="S610" s="14" t="s">
        <v>2935</v>
      </c>
    </row>
    <row r="611" customFormat="false" ht="15" hidden="true" customHeight="false" outlineLevel="0" collapsed="false">
      <c r="A611" s="13" t="s">
        <v>4087</v>
      </c>
      <c r="B611" s="13" t="s">
        <v>90</v>
      </c>
      <c r="C611" s="13" t="s">
        <v>1872</v>
      </c>
      <c r="D611" s="13" t="s">
        <v>1873</v>
      </c>
      <c r="E611" s="13" t="s">
        <v>4088</v>
      </c>
      <c r="F611" s="14" t="s">
        <v>4089</v>
      </c>
      <c r="G611" s="14" t="s">
        <v>4090</v>
      </c>
      <c r="H611" s="20" t="n">
        <v>55.5</v>
      </c>
      <c r="I611" s="13" t="n">
        <v>45</v>
      </c>
      <c r="J611" s="13" t="s">
        <v>4091</v>
      </c>
      <c r="K611" s="13" t="n">
        <v>56</v>
      </c>
      <c r="L611" s="21" t="n">
        <v>7.55</v>
      </c>
      <c r="M611" s="21" t="n">
        <f aca="false">IF(C611="covered",10.4,7.55)</f>
        <v>7.55</v>
      </c>
      <c r="N611" s="13" t="n">
        <f aca="false">MAX(ROUNDUP(H611,0),I611)</f>
        <v>56</v>
      </c>
      <c r="O611" s="21" t="n">
        <v>422.8</v>
      </c>
      <c r="P611" s="21" t="n">
        <f aca="false">ROUND(M611*N611,2)</f>
        <v>422.8</v>
      </c>
      <c r="Q611" s="21" t="n">
        <f aca="false">ROUND(P611-IF(O611="",0,O611),2)</f>
        <v>0</v>
      </c>
      <c r="R611" s="14" t="str">
        <f aca="false">IF(J611="","MISSING BILL",IF(AND(K611=N611,ABS(L611-M611)&lt;0.001,ABS(O611-P611)&lt;0.01),"RECONCILED","CALCULATION ERROR"))</f>
        <v>RECONCILED</v>
      </c>
      <c r="S611" s="14" t="s">
        <v>2935</v>
      </c>
    </row>
    <row r="612" customFormat="false" ht="15" hidden="true" customHeight="false" outlineLevel="0" collapsed="false">
      <c r="A612" s="13" t="s">
        <v>4092</v>
      </c>
      <c r="B612" s="13" t="s">
        <v>90</v>
      </c>
      <c r="C612" s="13" t="s">
        <v>1872</v>
      </c>
      <c r="D612" s="13" t="s">
        <v>1873</v>
      </c>
      <c r="E612" s="13" t="s">
        <v>203</v>
      </c>
      <c r="F612" s="14" t="s">
        <v>204</v>
      </c>
      <c r="G612" s="14" t="s">
        <v>4093</v>
      </c>
      <c r="H612" s="20" t="n">
        <v>40.2</v>
      </c>
      <c r="I612" s="13" t="n">
        <v>70</v>
      </c>
      <c r="J612" s="13" t="s">
        <v>4094</v>
      </c>
      <c r="K612" s="13" t="n">
        <v>70</v>
      </c>
      <c r="L612" s="21" t="n">
        <v>7.55</v>
      </c>
      <c r="M612" s="21" t="n">
        <f aca="false">IF(C612="covered",10.4,7.55)</f>
        <v>7.55</v>
      </c>
      <c r="N612" s="13" t="n">
        <f aca="false">MAX(ROUNDUP(H612,0),I612)</f>
        <v>70</v>
      </c>
      <c r="O612" s="21" t="n">
        <v>528.5</v>
      </c>
      <c r="P612" s="21" t="n">
        <f aca="false">ROUND(M612*N612,2)</f>
        <v>528.5</v>
      </c>
      <c r="Q612" s="21" t="n">
        <f aca="false">ROUND(P612-IF(O612="",0,O612),2)</f>
        <v>0</v>
      </c>
      <c r="R612" s="14" t="str">
        <f aca="false">IF(J612="","MISSING BILL",IF(AND(K612=N612,ABS(L612-M612)&lt;0.001,ABS(O612-P612)&lt;0.01),"RECONCILED","CALCULATION ERROR"))</f>
        <v>RECONCILED</v>
      </c>
      <c r="S612" s="14" t="s">
        <v>2935</v>
      </c>
    </row>
    <row r="613" customFormat="false" ht="15" hidden="true" customHeight="false" outlineLevel="0" collapsed="false">
      <c r="A613" s="13" t="s">
        <v>4095</v>
      </c>
      <c r="B613" s="13" t="s">
        <v>90</v>
      </c>
      <c r="C613" s="13" t="s">
        <v>1872</v>
      </c>
      <c r="D613" s="13" t="s">
        <v>1873</v>
      </c>
      <c r="E613" s="13" t="s">
        <v>4096</v>
      </c>
      <c r="F613" s="14" t="s">
        <v>4097</v>
      </c>
      <c r="G613" s="14" t="s">
        <v>4098</v>
      </c>
      <c r="H613" s="20" t="n">
        <v>48.1</v>
      </c>
      <c r="I613" s="13" t="n">
        <v>32</v>
      </c>
      <c r="J613" s="13" t="s">
        <v>4099</v>
      </c>
      <c r="K613" s="13" t="n">
        <v>49</v>
      </c>
      <c r="L613" s="21" t="n">
        <v>7.55</v>
      </c>
      <c r="M613" s="21" t="n">
        <f aca="false">IF(C613="covered",10.4,7.55)</f>
        <v>7.55</v>
      </c>
      <c r="N613" s="13" t="n">
        <f aca="false">MAX(ROUNDUP(H613,0),I613)</f>
        <v>49</v>
      </c>
      <c r="O613" s="21" t="n">
        <v>369.95</v>
      </c>
      <c r="P613" s="21" t="n">
        <f aca="false">ROUND(M613*N613,2)</f>
        <v>369.95</v>
      </c>
      <c r="Q613" s="21" t="n">
        <f aca="false">ROUND(P613-IF(O613="",0,O613),2)</f>
        <v>0</v>
      </c>
      <c r="R613" s="14" t="str">
        <f aca="false">IF(J613="","MISSING BILL",IF(AND(K613=N613,ABS(L613-M613)&lt;0.001,ABS(O613-P613)&lt;0.01),"RECONCILED","CALCULATION ERROR"))</f>
        <v>RECONCILED</v>
      </c>
      <c r="S613" s="14" t="s">
        <v>2935</v>
      </c>
    </row>
    <row r="614" customFormat="false" ht="15" hidden="true" customHeight="false" outlineLevel="0" collapsed="false">
      <c r="A614" s="13" t="s">
        <v>4100</v>
      </c>
      <c r="B614" s="13" t="s">
        <v>90</v>
      </c>
      <c r="C614" s="13" t="s">
        <v>1872</v>
      </c>
      <c r="D614" s="13" t="s">
        <v>1873</v>
      </c>
      <c r="E614" s="13" t="s">
        <v>4101</v>
      </c>
      <c r="F614" s="14" t="s">
        <v>4102</v>
      </c>
      <c r="G614" s="14" t="s">
        <v>2268</v>
      </c>
      <c r="H614" s="20" t="n">
        <v>35.1</v>
      </c>
      <c r="I614" s="13" t="n">
        <v>24</v>
      </c>
      <c r="J614" s="13" t="s">
        <v>4103</v>
      </c>
      <c r="K614" s="13" t="n">
        <v>36</v>
      </c>
      <c r="L614" s="21" t="n">
        <v>7.55</v>
      </c>
      <c r="M614" s="21" t="n">
        <f aca="false">IF(C614="covered",10.4,7.55)</f>
        <v>7.55</v>
      </c>
      <c r="N614" s="13" t="n">
        <f aca="false">MAX(ROUNDUP(H614,0),I614)</f>
        <v>36</v>
      </c>
      <c r="O614" s="21" t="n">
        <v>271.8</v>
      </c>
      <c r="P614" s="21" t="n">
        <f aca="false">ROUND(M614*N614,2)</f>
        <v>271.8</v>
      </c>
      <c r="Q614" s="21" t="n">
        <f aca="false">ROUND(P614-IF(O614="",0,O614),2)</f>
        <v>0</v>
      </c>
      <c r="R614" s="14" t="str">
        <f aca="false">IF(J614="","MISSING BILL",IF(AND(K614=N614,ABS(L614-M614)&lt;0.001,ABS(O614-P614)&lt;0.01),"RECONCILED","CALCULATION ERROR"))</f>
        <v>RECONCILED</v>
      </c>
      <c r="S614" s="14" t="s">
        <v>2935</v>
      </c>
    </row>
    <row r="615" customFormat="false" ht="15" hidden="true" customHeight="false" outlineLevel="0" collapsed="false">
      <c r="A615" s="13" t="s">
        <v>4104</v>
      </c>
      <c r="B615" s="13" t="s">
        <v>90</v>
      </c>
      <c r="C615" s="13" t="s">
        <v>1872</v>
      </c>
      <c r="D615" s="13" t="s">
        <v>1873</v>
      </c>
      <c r="E615" s="13" t="s">
        <v>4105</v>
      </c>
      <c r="F615" s="14" t="s">
        <v>4106</v>
      </c>
      <c r="G615" s="14" t="s">
        <v>4107</v>
      </c>
      <c r="H615" s="20" t="n">
        <v>24.7</v>
      </c>
      <c r="I615" s="13" t="n">
        <v>60</v>
      </c>
      <c r="J615" s="13" t="s">
        <v>4108</v>
      </c>
      <c r="K615" s="13" t="n">
        <v>60</v>
      </c>
      <c r="L615" s="21" t="n">
        <v>7.55</v>
      </c>
      <c r="M615" s="21" t="n">
        <f aca="false">IF(C615="covered",10.4,7.55)</f>
        <v>7.55</v>
      </c>
      <c r="N615" s="13" t="n">
        <f aca="false">MAX(ROUNDUP(H615,0),I615)</f>
        <v>60</v>
      </c>
      <c r="O615" s="21" t="n">
        <v>453</v>
      </c>
      <c r="P615" s="21" t="n">
        <f aca="false">ROUND(M615*N615,2)</f>
        <v>453</v>
      </c>
      <c r="Q615" s="21" t="n">
        <f aca="false">ROUND(P615-IF(O615="",0,O615),2)</f>
        <v>0</v>
      </c>
      <c r="R615" s="14" t="str">
        <f aca="false">IF(J615="","MISSING BILL",IF(AND(K615=N615,ABS(L615-M615)&lt;0.001,ABS(O615-P615)&lt;0.01),"RECONCILED","CALCULATION ERROR"))</f>
        <v>RECONCILED</v>
      </c>
      <c r="S615" s="14" t="s">
        <v>2935</v>
      </c>
    </row>
    <row r="616" customFormat="false" ht="15" hidden="true" customHeight="false" outlineLevel="0" collapsed="false">
      <c r="A616" s="13" t="s">
        <v>357</v>
      </c>
      <c r="B616" s="13" t="s">
        <v>90</v>
      </c>
      <c r="C616" s="13" t="s">
        <v>1872</v>
      </c>
      <c r="D616" s="13" t="s">
        <v>1873</v>
      </c>
      <c r="E616" s="13" t="s">
        <v>4109</v>
      </c>
      <c r="F616" s="14" t="s">
        <v>4110</v>
      </c>
      <c r="G616" s="14" t="s">
        <v>2175</v>
      </c>
      <c r="H616" s="20" t="n">
        <v>31.7</v>
      </c>
      <c r="I616" s="13" t="n">
        <v>45</v>
      </c>
      <c r="J616" s="13" t="s">
        <v>4111</v>
      </c>
      <c r="K616" s="13" t="n">
        <v>45</v>
      </c>
      <c r="L616" s="21" t="n">
        <v>7.55</v>
      </c>
      <c r="M616" s="21" t="n">
        <f aca="false">IF(C616="covered",10.4,7.55)</f>
        <v>7.55</v>
      </c>
      <c r="N616" s="13" t="n">
        <f aca="false">MAX(ROUNDUP(H616,0),I616)</f>
        <v>45</v>
      </c>
      <c r="O616" s="21" t="n">
        <v>339.75</v>
      </c>
      <c r="P616" s="21" t="n">
        <f aca="false">ROUND(M616*N616,2)</f>
        <v>339.75</v>
      </c>
      <c r="Q616" s="21" t="n">
        <f aca="false">ROUND(P616-IF(O616="",0,O616),2)</f>
        <v>0</v>
      </c>
      <c r="R616" s="14" t="str">
        <f aca="false">IF(J616="","MISSING BILL",IF(AND(K616=N616,ABS(L616-M616)&lt;0.001,ABS(O616-P616)&lt;0.01),"RECONCILED","CALCULATION ERROR"))</f>
        <v>RECONCILED</v>
      </c>
      <c r="S616" s="14" t="s">
        <v>2935</v>
      </c>
    </row>
    <row r="617" customFormat="false" ht="15" hidden="true" customHeight="false" outlineLevel="0" collapsed="false">
      <c r="A617" s="13" t="s">
        <v>1795</v>
      </c>
      <c r="B617" s="13" t="s">
        <v>90</v>
      </c>
      <c r="C617" s="13" t="s">
        <v>1872</v>
      </c>
      <c r="D617" s="13" t="s">
        <v>1873</v>
      </c>
      <c r="E617" s="13" t="s">
        <v>4112</v>
      </c>
      <c r="F617" s="14" t="s">
        <v>4113</v>
      </c>
      <c r="G617" s="14" t="s">
        <v>4114</v>
      </c>
      <c r="H617" s="20" t="n">
        <v>47.9</v>
      </c>
      <c r="I617" s="13" t="n">
        <v>24</v>
      </c>
      <c r="J617" s="13" t="s">
        <v>4115</v>
      </c>
      <c r="K617" s="13" t="n">
        <v>48</v>
      </c>
      <c r="L617" s="21" t="n">
        <v>7.55</v>
      </c>
      <c r="M617" s="21" t="n">
        <f aca="false">IF(C617="covered",10.4,7.55)</f>
        <v>7.55</v>
      </c>
      <c r="N617" s="13" t="n">
        <f aca="false">MAX(ROUNDUP(H617,0),I617)</f>
        <v>48</v>
      </c>
      <c r="O617" s="21" t="n">
        <v>362.4</v>
      </c>
      <c r="P617" s="21" t="n">
        <f aca="false">ROUND(M617*N617,2)</f>
        <v>362.4</v>
      </c>
      <c r="Q617" s="21" t="n">
        <f aca="false">ROUND(P617-IF(O617="",0,O617),2)</f>
        <v>0</v>
      </c>
      <c r="R617" s="14" t="str">
        <f aca="false">IF(J617="","MISSING BILL",IF(AND(K617=N617,ABS(L617-M617)&lt;0.001,ABS(O617-P617)&lt;0.01),"RECONCILED","CALCULATION ERROR"))</f>
        <v>RECONCILED</v>
      </c>
      <c r="S617" s="14" t="s">
        <v>2935</v>
      </c>
    </row>
    <row r="618" customFormat="false" ht="15" hidden="true" customHeight="false" outlineLevel="0" collapsed="false">
      <c r="A618" s="13" t="s">
        <v>4116</v>
      </c>
      <c r="B618" s="13" t="s">
        <v>90</v>
      </c>
      <c r="C618" s="13" t="s">
        <v>1872</v>
      </c>
      <c r="D618" s="13" t="s">
        <v>1873</v>
      </c>
      <c r="E618" s="13" t="s">
        <v>4117</v>
      </c>
      <c r="F618" s="14" t="s">
        <v>4118</v>
      </c>
      <c r="G618" s="14" t="s">
        <v>3172</v>
      </c>
      <c r="H618" s="20" t="n">
        <v>23.7</v>
      </c>
      <c r="I618" s="13" t="n">
        <v>32</v>
      </c>
      <c r="J618" s="13" t="s">
        <v>4119</v>
      </c>
      <c r="K618" s="13" t="n">
        <v>32</v>
      </c>
      <c r="L618" s="21" t="n">
        <v>7.55</v>
      </c>
      <c r="M618" s="21" t="n">
        <f aca="false">IF(C618="covered",10.4,7.55)</f>
        <v>7.55</v>
      </c>
      <c r="N618" s="13" t="n">
        <f aca="false">MAX(ROUNDUP(H618,0),I618)</f>
        <v>32</v>
      </c>
      <c r="O618" s="21" t="n">
        <v>241.6</v>
      </c>
      <c r="P618" s="21" t="n">
        <f aca="false">ROUND(M618*N618,2)</f>
        <v>241.6</v>
      </c>
      <c r="Q618" s="21" t="n">
        <f aca="false">ROUND(P618-IF(O618="",0,O618),2)</f>
        <v>0</v>
      </c>
      <c r="R618" s="14" t="str">
        <f aca="false">IF(J618="","MISSING BILL",IF(AND(K618=N618,ABS(L618-M618)&lt;0.001,ABS(O618-P618)&lt;0.01),"RECONCILED","CALCULATION ERROR"))</f>
        <v>RECONCILED</v>
      </c>
      <c r="S618" s="14" t="s">
        <v>2935</v>
      </c>
    </row>
    <row r="619" customFormat="false" ht="15" hidden="true" customHeight="false" outlineLevel="0" collapsed="false">
      <c r="A619" s="13" t="s">
        <v>4120</v>
      </c>
      <c r="B619" s="13" t="s">
        <v>90</v>
      </c>
      <c r="C619" s="13" t="s">
        <v>1872</v>
      </c>
      <c r="D619" s="13" t="s">
        <v>1873</v>
      </c>
      <c r="E619" s="13" t="s">
        <v>4121</v>
      </c>
      <c r="F619" s="14" t="s">
        <v>4122</v>
      </c>
      <c r="G619" s="14" t="s">
        <v>3074</v>
      </c>
      <c r="H619" s="20" t="n">
        <v>52.8</v>
      </c>
      <c r="I619" s="13" t="n">
        <v>32</v>
      </c>
      <c r="J619" s="13" t="s">
        <v>4123</v>
      </c>
      <c r="K619" s="13" t="n">
        <v>53</v>
      </c>
      <c r="L619" s="21" t="n">
        <v>7.55</v>
      </c>
      <c r="M619" s="21" t="n">
        <f aca="false">IF(C619="covered",10.4,7.55)</f>
        <v>7.55</v>
      </c>
      <c r="N619" s="13" t="n">
        <f aca="false">MAX(ROUNDUP(H619,0),I619)</f>
        <v>53</v>
      </c>
      <c r="O619" s="21" t="n">
        <v>400.15</v>
      </c>
      <c r="P619" s="21" t="n">
        <f aca="false">ROUND(M619*N619,2)</f>
        <v>400.15</v>
      </c>
      <c r="Q619" s="21" t="n">
        <f aca="false">ROUND(P619-IF(O619="",0,O619),2)</f>
        <v>0</v>
      </c>
      <c r="R619" s="14" t="str">
        <f aca="false">IF(J619="","MISSING BILL",IF(AND(K619=N619,ABS(L619-M619)&lt;0.001,ABS(O619-P619)&lt;0.01),"RECONCILED","CALCULATION ERROR"))</f>
        <v>RECONCILED</v>
      </c>
      <c r="S619" s="14" t="s">
        <v>2935</v>
      </c>
    </row>
    <row r="620" customFormat="false" ht="15" hidden="true" customHeight="false" outlineLevel="0" collapsed="false">
      <c r="A620" s="13" t="s">
        <v>4124</v>
      </c>
      <c r="B620" s="13" t="s">
        <v>90</v>
      </c>
      <c r="C620" s="13" t="s">
        <v>1872</v>
      </c>
      <c r="D620" s="13" t="s">
        <v>1873</v>
      </c>
      <c r="E620" s="13" t="s">
        <v>4125</v>
      </c>
      <c r="F620" s="14" t="s">
        <v>4126</v>
      </c>
      <c r="G620" s="14" t="s">
        <v>2484</v>
      </c>
      <c r="H620" s="20" t="n">
        <v>28.3</v>
      </c>
      <c r="I620" s="13" t="n">
        <v>24</v>
      </c>
      <c r="J620" s="13" t="s">
        <v>4127</v>
      </c>
      <c r="K620" s="13" t="n">
        <v>29</v>
      </c>
      <c r="L620" s="21" t="n">
        <v>7.55</v>
      </c>
      <c r="M620" s="21" t="n">
        <f aca="false">IF(C620="covered",10.4,7.55)</f>
        <v>7.55</v>
      </c>
      <c r="N620" s="13" t="n">
        <f aca="false">MAX(ROUNDUP(H620,0),I620)</f>
        <v>29</v>
      </c>
      <c r="O620" s="21" t="n">
        <v>218.95</v>
      </c>
      <c r="P620" s="21" t="n">
        <f aca="false">ROUND(M620*N620,2)</f>
        <v>218.95</v>
      </c>
      <c r="Q620" s="21" t="n">
        <f aca="false">ROUND(P620-IF(O620="",0,O620),2)</f>
        <v>0</v>
      </c>
      <c r="R620" s="14" t="str">
        <f aca="false">IF(J620="","MISSING BILL",IF(AND(K620=N620,ABS(L620-M620)&lt;0.001,ABS(O620-P620)&lt;0.01),"RECONCILED","CALCULATION ERROR"))</f>
        <v>RECONCILED</v>
      </c>
      <c r="S620" s="14" t="s">
        <v>2935</v>
      </c>
    </row>
    <row r="621" customFormat="false" ht="15" hidden="true" customHeight="false" outlineLevel="0" collapsed="false">
      <c r="A621" s="13" t="s">
        <v>1474</v>
      </c>
      <c r="B621" s="13" t="s">
        <v>90</v>
      </c>
      <c r="C621" s="13" t="s">
        <v>1872</v>
      </c>
      <c r="D621" s="13" t="s">
        <v>1873</v>
      </c>
      <c r="E621" s="13" t="s">
        <v>4128</v>
      </c>
      <c r="F621" s="14" t="s">
        <v>4129</v>
      </c>
      <c r="G621" s="14" t="s">
        <v>4130</v>
      </c>
      <c r="H621" s="20" t="n">
        <v>27</v>
      </c>
      <c r="I621" s="13" t="n">
        <v>32</v>
      </c>
      <c r="J621" s="13" t="s">
        <v>4131</v>
      </c>
      <c r="K621" s="13" t="n">
        <v>32</v>
      </c>
      <c r="L621" s="21" t="n">
        <v>7.55</v>
      </c>
      <c r="M621" s="21" t="n">
        <f aca="false">IF(C621="covered",10.4,7.55)</f>
        <v>7.55</v>
      </c>
      <c r="N621" s="13" t="n">
        <f aca="false">MAX(ROUNDUP(H621,0),I621)</f>
        <v>32</v>
      </c>
      <c r="O621" s="21" t="n">
        <v>241.6</v>
      </c>
      <c r="P621" s="21" t="n">
        <f aca="false">ROUND(M621*N621,2)</f>
        <v>241.6</v>
      </c>
      <c r="Q621" s="21" t="n">
        <f aca="false">ROUND(P621-IF(O621="",0,O621),2)</f>
        <v>0</v>
      </c>
      <c r="R621" s="14" t="str">
        <f aca="false">IF(J621="","MISSING BILL",IF(AND(K621=N621,ABS(L621-M621)&lt;0.001,ABS(O621-P621)&lt;0.01),"RECONCILED","CALCULATION ERROR"))</f>
        <v>RECONCILED</v>
      </c>
      <c r="S621" s="14" t="s">
        <v>2935</v>
      </c>
    </row>
    <row r="622" customFormat="false" ht="15" hidden="true" customHeight="false" outlineLevel="0" collapsed="false">
      <c r="A622" s="13" t="s">
        <v>4132</v>
      </c>
      <c r="B622" s="13" t="s">
        <v>90</v>
      </c>
      <c r="C622" s="13" t="s">
        <v>1872</v>
      </c>
      <c r="D622" s="13" t="s">
        <v>1873</v>
      </c>
      <c r="E622" s="13" t="s">
        <v>4133</v>
      </c>
      <c r="F622" s="14" t="s">
        <v>4134</v>
      </c>
      <c r="G622" s="14" t="s">
        <v>4135</v>
      </c>
      <c r="H622" s="20" t="n">
        <v>18.5</v>
      </c>
      <c r="I622" s="13" t="n">
        <v>28</v>
      </c>
      <c r="J622" s="13" t="s">
        <v>4136</v>
      </c>
      <c r="K622" s="13" t="n">
        <v>28</v>
      </c>
      <c r="L622" s="21" t="n">
        <v>7.55</v>
      </c>
      <c r="M622" s="21" t="n">
        <f aca="false">IF(C622="covered",10.4,7.55)</f>
        <v>7.55</v>
      </c>
      <c r="N622" s="13" t="n">
        <f aca="false">MAX(ROUNDUP(H622,0),I622)</f>
        <v>28</v>
      </c>
      <c r="O622" s="21" t="n">
        <v>211.4</v>
      </c>
      <c r="P622" s="21" t="n">
        <f aca="false">ROUND(M622*N622,2)</f>
        <v>211.4</v>
      </c>
      <c r="Q622" s="21" t="n">
        <f aca="false">ROUND(P622-IF(O622="",0,O622),2)</f>
        <v>0</v>
      </c>
      <c r="R622" s="14" t="str">
        <f aca="false">IF(J622="","MISSING BILL",IF(AND(K622=N622,ABS(L622-M622)&lt;0.001,ABS(O622-P622)&lt;0.01),"RECONCILED","CALCULATION ERROR"))</f>
        <v>RECONCILED</v>
      </c>
      <c r="S622" s="14" t="s">
        <v>2935</v>
      </c>
    </row>
    <row r="623" customFormat="false" ht="15" hidden="true" customHeight="false" outlineLevel="0" collapsed="false">
      <c r="A623" s="13" t="s">
        <v>4137</v>
      </c>
      <c r="B623" s="13" t="s">
        <v>90</v>
      </c>
      <c r="C623" s="13" t="s">
        <v>1872</v>
      </c>
      <c r="D623" s="13" t="s">
        <v>1873</v>
      </c>
      <c r="E623" s="13" t="s">
        <v>4138</v>
      </c>
      <c r="F623" s="14" t="s">
        <v>4139</v>
      </c>
      <c r="G623" s="14" t="s">
        <v>2471</v>
      </c>
      <c r="H623" s="20" t="n">
        <v>46.6</v>
      </c>
      <c r="I623" s="13" t="n">
        <v>80</v>
      </c>
      <c r="J623" s="13" t="s">
        <v>4140</v>
      </c>
      <c r="K623" s="13" t="n">
        <v>80</v>
      </c>
      <c r="L623" s="21" t="n">
        <v>7.55</v>
      </c>
      <c r="M623" s="21" t="n">
        <f aca="false">IF(C623="covered",10.4,7.55)</f>
        <v>7.55</v>
      </c>
      <c r="N623" s="13" t="n">
        <f aca="false">MAX(ROUNDUP(H623,0),I623)</f>
        <v>80</v>
      </c>
      <c r="O623" s="21" t="n">
        <v>604</v>
      </c>
      <c r="P623" s="21" t="n">
        <f aca="false">ROUND(M623*N623,2)</f>
        <v>604</v>
      </c>
      <c r="Q623" s="21" t="n">
        <f aca="false">ROUND(P623-IF(O623="",0,O623),2)</f>
        <v>0</v>
      </c>
      <c r="R623" s="14" t="str">
        <f aca="false">IF(J623="","MISSING BILL",IF(AND(K623=N623,ABS(L623-M623)&lt;0.001,ABS(O623-P623)&lt;0.01),"RECONCILED","CALCULATION ERROR"))</f>
        <v>RECONCILED</v>
      </c>
      <c r="S623" s="14" t="s">
        <v>2935</v>
      </c>
    </row>
    <row r="624" customFormat="false" ht="15" hidden="true" customHeight="false" outlineLevel="0" collapsed="false">
      <c r="A624" s="13" t="s">
        <v>4141</v>
      </c>
      <c r="B624" s="13" t="s">
        <v>90</v>
      </c>
      <c r="C624" s="13" t="s">
        <v>1872</v>
      </c>
      <c r="D624" s="13" t="s">
        <v>1873</v>
      </c>
      <c r="E624" s="13" t="s">
        <v>4142</v>
      </c>
      <c r="F624" s="14" t="s">
        <v>4143</v>
      </c>
      <c r="G624" s="14" t="s">
        <v>2287</v>
      </c>
      <c r="H624" s="20" t="n">
        <v>40.9</v>
      </c>
      <c r="I624" s="13" t="n">
        <v>80</v>
      </c>
      <c r="J624" s="13" t="s">
        <v>4144</v>
      </c>
      <c r="K624" s="13" t="n">
        <v>80</v>
      </c>
      <c r="L624" s="21" t="n">
        <v>7.55</v>
      </c>
      <c r="M624" s="21" t="n">
        <f aca="false">IF(C624="covered",10.4,7.55)</f>
        <v>7.55</v>
      </c>
      <c r="N624" s="13" t="n">
        <f aca="false">MAX(ROUNDUP(H624,0),I624)</f>
        <v>80</v>
      </c>
      <c r="O624" s="21" t="n">
        <v>604</v>
      </c>
      <c r="P624" s="21" t="n">
        <f aca="false">ROUND(M624*N624,2)</f>
        <v>604</v>
      </c>
      <c r="Q624" s="21" t="n">
        <f aca="false">ROUND(P624-IF(O624="",0,O624),2)</f>
        <v>0</v>
      </c>
      <c r="R624" s="14" t="str">
        <f aca="false">IF(J624="","MISSING BILL",IF(AND(K624=N624,ABS(L624-M624)&lt;0.001,ABS(O624-P624)&lt;0.01),"RECONCILED","CALCULATION ERROR"))</f>
        <v>RECONCILED</v>
      </c>
      <c r="S624" s="14" t="s">
        <v>2935</v>
      </c>
    </row>
    <row r="625" customFormat="false" ht="15" hidden="true" customHeight="false" outlineLevel="0" collapsed="false">
      <c r="A625" s="13" t="s">
        <v>4145</v>
      </c>
      <c r="B625" s="13" t="s">
        <v>90</v>
      </c>
      <c r="C625" s="13" t="s">
        <v>1872</v>
      </c>
      <c r="D625" s="13" t="s">
        <v>1873</v>
      </c>
      <c r="E625" s="13" t="s">
        <v>4146</v>
      </c>
      <c r="F625" s="14" t="s">
        <v>4147</v>
      </c>
      <c r="G625" s="14" t="s">
        <v>4148</v>
      </c>
      <c r="H625" s="20" t="n">
        <v>42</v>
      </c>
      <c r="I625" s="13" t="n">
        <v>32</v>
      </c>
      <c r="J625" s="13" t="s">
        <v>4149</v>
      </c>
      <c r="K625" s="13" t="n">
        <v>42</v>
      </c>
      <c r="L625" s="21" t="n">
        <v>7.55</v>
      </c>
      <c r="M625" s="21" t="n">
        <f aca="false">IF(C625="covered",10.4,7.55)</f>
        <v>7.55</v>
      </c>
      <c r="N625" s="13" t="n">
        <f aca="false">MAX(ROUNDUP(H625,0),I625)</f>
        <v>42</v>
      </c>
      <c r="O625" s="21" t="n">
        <v>317.1</v>
      </c>
      <c r="P625" s="21" t="n">
        <f aca="false">ROUND(M625*N625,2)</f>
        <v>317.1</v>
      </c>
      <c r="Q625" s="21" t="n">
        <f aca="false">ROUND(P625-IF(O625="",0,O625),2)</f>
        <v>0</v>
      </c>
      <c r="R625" s="14" t="str">
        <f aca="false">IF(J625="","MISSING BILL",IF(AND(K625=N625,ABS(L625-M625)&lt;0.001,ABS(O625-P625)&lt;0.01),"RECONCILED","CALCULATION ERROR"))</f>
        <v>RECONCILED</v>
      </c>
      <c r="S625" s="14" t="s">
        <v>2935</v>
      </c>
    </row>
    <row r="626" customFormat="false" ht="15" hidden="true" customHeight="false" outlineLevel="0" collapsed="false">
      <c r="A626" s="13" t="s">
        <v>4150</v>
      </c>
      <c r="B626" s="13" t="s">
        <v>90</v>
      </c>
      <c r="C626" s="13" t="s">
        <v>1872</v>
      </c>
      <c r="D626" s="13" t="s">
        <v>1873</v>
      </c>
      <c r="E626" s="13" t="s">
        <v>4151</v>
      </c>
      <c r="F626" s="14" t="s">
        <v>4152</v>
      </c>
      <c r="G626" s="14" t="s">
        <v>4153</v>
      </c>
      <c r="H626" s="20" t="n">
        <v>22.6</v>
      </c>
      <c r="I626" s="13" t="n">
        <v>40</v>
      </c>
      <c r="J626" s="13" t="s">
        <v>4154</v>
      </c>
      <c r="K626" s="13" t="n">
        <v>40</v>
      </c>
      <c r="L626" s="21" t="n">
        <v>7.55</v>
      </c>
      <c r="M626" s="21" t="n">
        <f aca="false">IF(C626="covered",10.4,7.55)</f>
        <v>7.55</v>
      </c>
      <c r="N626" s="13" t="n">
        <f aca="false">MAX(ROUNDUP(H626,0),I626)</f>
        <v>40</v>
      </c>
      <c r="O626" s="21" t="n">
        <v>302</v>
      </c>
      <c r="P626" s="21" t="n">
        <f aca="false">ROUND(M626*N626,2)</f>
        <v>302</v>
      </c>
      <c r="Q626" s="21" t="n">
        <f aca="false">ROUND(P626-IF(O626="",0,O626),2)</f>
        <v>0</v>
      </c>
      <c r="R626" s="14" t="str">
        <f aca="false">IF(J626="","MISSING BILL",IF(AND(K626=N626,ABS(L626-M626)&lt;0.001,ABS(O626-P626)&lt;0.01),"RECONCILED","CALCULATION ERROR"))</f>
        <v>RECONCILED</v>
      </c>
      <c r="S626" s="14" t="s">
        <v>2935</v>
      </c>
    </row>
    <row r="627" customFormat="false" ht="15" hidden="true" customHeight="false" outlineLevel="0" collapsed="false">
      <c r="A627" s="13" t="s">
        <v>4155</v>
      </c>
      <c r="B627" s="13" t="s">
        <v>70</v>
      </c>
      <c r="C627" s="13" t="s">
        <v>4156</v>
      </c>
      <c r="D627" s="13" t="s">
        <v>1873</v>
      </c>
      <c r="E627" s="13" t="s">
        <v>4157</v>
      </c>
      <c r="F627" s="14" t="s">
        <v>4158</v>
      </c>
      <c r="G627" s="14" t="s">
        <v>4159</v>
      </c>
      <c r="H627" s="20" t="n">
        <v>51</v>
      </c>
      <c r="I627" s="13" t="n">
        <v>24</v>
      </c>
      <c r="J627" s="13" t="s">
        <v>4160</v>
      </c>
      <c r="K627" s="13" t="n">
        <v>51</v>
      </c>
      <c r="L627" s="21" t="n">
        <v>10.4</v>
      </c>
      <c r="M627" s="21" t="n">
        <f aca="false">IF(C627="covered",10.4,7.55)</f>
        <v>10.4</v>
      </c>
      <c r="N627" s="13" t="n">
        <f aca="false">MAX(ROUNDUP(H627,0),I627)</f>
        <v>51</v>
      </c>
      <c r="O627" s="21" t="n">
        <v>530.4</v>
      </c>
      <c r="P627" s="21" t="n">
        <f aca="false">ROUND(M627*N627,2)</f>
        <v>530.4</v>
      </c>
      <c r="Q627" s="21" t="n">
        <f aca="false">ROUND(P627-IF(O627="",0,O627),2)</f>
        <v>0</v>
      </c>
      <c r="R627" s="14" t="str">
        <f aca="false">IF(J627="","MISSING BILL",IF(AND(K627=N627,ABS(L627-M627)&lt;0.001,ABS(O627-P627)&lt;0.01),"RECONCILED","CALCULATION ERROR"))</f>
        <v>RECONCILED</v>
      </c>
      <c r="S627" s="14" t="s">
        <v>2935</v>
      </c>
    </row>
    <row r="628" customFormat="false" ht="15" hidden="true" customHeight="false" outlineLevel="0" collapsed="false">
      <c r="A628" s="13" t="s">
        <v>1025</v>
      </c>
      <c r="B628" s="13" t="s">
        <v>70</v>
      </c>
      <c r="C628" s="13" t="s">
        <v>4156</v>
      </c>
      <c r="D628" s="13" t="s">
        <v>1873</v>
      </c>
      <c r="E628" s="13" t="s">
        <v>4161</v>
      </c>
      <c r="F628" s="14" t="s">
        <v>4162</v>
      </c>
      <c r="G628" s="14" t="s">
        <v>4163</v>
      </c>
      <c r="H628" s="20" t="n">
        <v>21.9</v>
      </c>
      <c r="I628" s="13" t="n">
        <v>40</v>
      </c>
      <c r="J628" s="13" t="s">
        <v>4164</v>
      </c>
      <c r="K628" s="13" t="n">
        <v>40</v>
      </c>
      <c r="L628" s="21" t="n">
        <v>10.4</v>
      </c>
      <c r="M628" s="21" t="n">
        <f aca="false">IF(C628="covered",10.4,7.55)</f>
        <v>10.4</v>
      </c>
      <c r="N628" s="13" t="n">
        <f aca="false">MAX(ROUNDUP(H628,0),I628)</f>
        <v>40</v>
      </c>
      <c r="O628" s="21" t="n">
        <v>416</v>
      </c>
      <c r="P628" s="21" t="n">
        <f aca="false">ROUND(M628*N628,2)</f>
        <v>416</v>
      </c>
      <c r="Q628" s="21" t="n">
        <f aca="false">ROUND(P628-IF(O628="",0,O628),2)</f>
        <v>0</v>
      </c>
      <c r="R628" s="14" t="str">
        <f aca="false">IF(J628="","MISSING BILL",IF(AND(K628=N628,ABS(L628-M628)&lt;0.001,ABS(O628-P628)&lt;0.01),"RECONCILED","CALCULATION ERROR"))</f>
        <v>RECONCILED</v>
      </c>
      <c r="S628" s="14" t="s">
        <v>2935</v>
      </c>
    </row>
    <row r="629" customFormat="false" ht="15" hidden="true" customHeight="false" outlineLevel="0" collapsed="false">
      <c r="A629" s="13" t="s">
        <v>4165</v>
      </c>
      <c r="B629" s="13" t="s">
        <v>70</v>
      </c>
      <c r="C629" s="13" t="s">
        <v>4156</v>
      </c>
      <c r="D629" s="13" t="s">
        <v>1873</v>
      </c>
      <c r="E629" s="13" t="s">
        <v>4166</v>
      </c>
      <c r="F629" s="14" t="s">
        <v>4167</v>
      </c>
      <c r="G629" s="14" t="s">
        <v>2610</v>
      </c>
      <c r="H629" s="20" t="n">
        <v>32.7</v>
      </c>
      <c r="I629" s="13" t="n">
        <v>28</v>
      </c>
      <c r="J629" s="13" t="s">
        <v>4168</v>
      </c>
      <c r="K629" s="13" t="n">
        <v>33</v>
      </c>
      <c r="L629" s="21" t="n">
        <v>10.4</v>
      </c>
      <c r="M629" s="21" t="n">
        <f aca="false">IF(C629="covered",10.4,7.55)</f>
        <v>10.4</v>
      </c>
      <c r="N629" s="13" t="n">
        <f aca="false">MAX(ROUNDUP(H629,0),I629)</f>
        <v>33</v>
      </c>
      <c r="O629" s="21" t="n">
        <v>343.2</v>
      </c>
      <c r="P629" s="21" t="n">
        <f aca="false">ROUND(M629*N629,2)</f>
        <v>343.2</v>
      </c>
      <c r="Q629" s="21" t="n">
        <f aca="false">ROUND(P629-IF(O629="",0,O629),2)</f>
        <v>0</v>
      </c>
      <c r="R629" s="14" t="str">
        <f aca="false">IF(J629="","MISSING BILL",IF(AND(K629=N629,ABS(L629-M629)&lt;0.001,ABS(O629-P629)&lt;0.01),"RECONCILED","CALCULATION ERROR"))</f>
        <v>RECONCILED</v>
      </c>
      <c r="S629" s="14" t="s">
        <v>2935</v>
      </c>
    </row>
    <row r="630" customFormat="false" ht="15" hidden="true" customHeight="false" outlineLevel="0" collapsed="false">
      <c r="A630" s="13" t="s">
        <v>416</v>
      </c>
      <c r="B630" s="13" t="s">
        <v>70</v>
      </c>
      <c r="C630" s="13" t="s">
        <v>4156</v>
      </c>
      <c r="D630" s="13" t="s">
        <v>1873</v>
      </c>
      <c r="E630" s="13" t="s">
        <v>4169</v>
      </c>
      <c r="F630" s="14" t="s">
        <v>4170</v>
      </c>
      <c r="G630" s="14" t="s">
        <v>4171</v>
      </c>
      <c r="H630" s="20" t="n">
        <v>42.8</v>
      </c>
      <c r="I630" s="13" t="n">
        <v>24</v>
      </c>
      <c r="J630" s="13" t="s">
        <v>4172</v>
      </c>
      <c r="K630" s="13" t="n">
        <v>43</v>
      </c>
      <c r="L630" s="21" t="n">
        <v>10.4</v>
      </c>
      <c r="M630" s="21" t="n">
        <f aca="false">IF(C630="covered",10.4,7.55)</f>
        <v>10.4</v>
      </c>
      <c r="N630" s="13" t="n">
        <f aca="false">MAX(ROUNDUP(H630,0),I630)</f>
        <v>43</v>
      </c>
      <c r="O630" s="21" t="n">
        <v>447.2</v>
      </c>
      <c r="P630" s="21" t="n">
        <f aca="false">ROUND(M630*N630,2)</f>
        <v>447.2</v>
      </c>
      <c r="Q630" s="21" t="n">
        <f aca="false">ROUND(P630-IF(O630="",0,O630),2)</f>
        <v>0</v>
      </c>
      <c r="R630" s="14" t="str">
        <f aca="false">IF(J630="","MISSING BILL",IF(AND(K630=N630,ABS(L630-M630)&lt;0.001,ABS(O630-P630)&lt;0.01),"RECONCILED","CALCULATION ERROR"))</f>
        <v>RECONCILED</v>
      </c>
      <c r="S630" s="14" t="s">
        <v>2935</v>
      </c>
    </row>
    <row r="631" customFormat="false" ht="15" hidden="true" customHeight="false" outlineLevel="0" collapsed="false">
      <c r="A631" s="13" t="s">
        <v>4173</v>
      </c>
      <c r="B631" s="13" t="s">
        <v>70</v>
      </c>
      <c r="C631" s="13" t="s">
        <v>4156</v>
      </c>
      <c r="D631" s="13" t="s">
        <v>1873</v>
      </c>
      <c r="E631" s="13" t="s">
        <v>4174</v>
      </c>
      <c r="F631" s="14" t="s">
        <v>4175</v>
      </c>
      <c r="G631" s="14" t="s">
        <v>3244</v>
      </c>
      <c r="H631" s="20" t="n">
        <v>39</v>
      </c>
      <c r="I631" s="13" t="n">
        <v>36</v>
      </c>
      <c r="J631" s="13" t="s">
        <v>4176</v>
      </c>
      <c r="K631" s="13" t="n">
        <v>39</v>
      </c>
      <c r="L631" s="21" t="n">
        <v>10.4</v>
      </c>
      <c r="M631" s="21" t="n">
        <f aca="false">IF(C631="covered",10.4,7.55)</f>
        <v>10.4</v>
      </c>
      <c r="N631" s="13" t="n">
        <f aca="false">MAX(ROUNDUP(H631,0),I631)</f>
        <v>39</v>
      </c>
      <c r="O631" s="21" t="n">
        <v>405.6</v>
      </c>
      <c r="P631" s="21" t="n">
        <f aca="false">ROUND(M631*N631,2)</f>
        <v>405.6</v>
      </c>
      <c r="Q631" s="21" t="n">
        <f aca="false">ROUND(P631-IF(O631="",0,O631),2)</f>
        <v>0</v>
      </c>
      <c r="R631" s="14" t="str">
        <f aca="false">IF(J631="","MISSING BILL",IF(AND(K631=N631,ABS(L631-M631)&lt;0.001,ABS(O631-P631)&lt;0.01),"RECONCILED","CALCULATION ERROR"))</f>
        <v>RECONCILED</v>
      </c>
      <c r="S631" s="14" t="s">
        <v>2935</v>
      </c>
    </row>
    <row r="632" customFormat="false" ht="15" hidden="true" customHeight="false" outlineLevel="0" collapsed="false">
      <c r="A632" s="13" t="s">
        <v>4177</v>
      </c>
      <c r="B632" s="13" t="s">
        <v>70</v>
      </c>
      <c r="C632" s="13" t="s">
        <v>4156</v>
      </c>
      <c r="D632" s="13" t="s">
        <v>1873</v>
      </c>
      <c r="E632" s="13" t="s">
        <v>4178</v>
      </c>
      <c r="F632" s="14" t="s">
        <v>4179</v>
      </c>
      <c r="G632" s="14" t="s">
        <v>4180</v>
      </c>
      <c r="H632" s="20" t="n">
        <v>39</v>
      </c>
      <c r="I632" s="13" t="n">
        <v>24</v>
      </c>
      <c r="J632" s="13" t="s">
        <v>4181</v>
      </c>
      <c r="K632" s="13" t="n">
        <v>39</v>
      </c>
      <c r="L632" s="21" t="n">
        <v>10.4</v>
      </c>
      <c r="M632" s="21" t="n">
        <f aca="false">IF(C632="covered",10.4,7.55)</f>
        <v>10.4</v>
      </c>
      <c r="N632" s="13" t="n">
        <f aca="false">MAX(ROUNDUP(H632,0),I632)</f>
        <v>39</v>
      </c>
      <c r="O632" s="21" t="n">
        <v>405.6</v>
      </c>
      <c r="P632" s="21" t="n">
        <f aca="false">ROUND(M632*N632,2)</f>
        <v>405.6</v>
      </c>
      <c r="Q632" s="21" t="n">
        <f aca="false">ROUND(P632-IF(O632="",0,O632),2)</f>
        <v>0</v>
      </c>
      <c r="R632" s="14" t="str">
        <f aca="false">IF(J632="","MISSING BILL",IF(AND(K632=N632,ABS(L632-M632)&lt;0.001,ABS(O632-P632)&lt;0.01),"RECONCILED","CALCULATION ERROR"))</f>
        <v>RECONCILED</v>
      </c>
      <c r="S632" s="14" t="s">
        <v>2935</v>
      </c>
    </row>
    <row r="633" customFormat="false" ht="15" hidden="true" customHeight="false" outlineLevel="0" collapsed="false">
      <c r="A633" s="13" t="s">
        <v>4182</v>
      </c>
      <c r="B633" s="13" t="s">
        <v>70</v>
      </c>
      <c r="C633" s="13" t="s">
        <v>4156</v>
      </c>
      <c r="D633" s="13" t="s">
        <v>1873</v>
      </c>
      <c r="E633" s="13" t="s">
        <v>1297</v>
      </c>
      <c r="F633" s="14" t="s">
        <v>1298</v>
      </c>
      <c r="G633" s="14" t="s">
        <v>4183</v>
      </c>
      <c r="H633" s="20" t="n">
        <v>30.4</v>
      </c>
      <c r="I633" s="13" t="n">
        <v>24</v>
      </c>
      <c r="J633" s="13" t="s">
        <v>4184</v>
      </c>
      <c r="K633" s="13" t="n">
        <v>31</v>
      </c>
      <c r="L633" s="21" t="n">
        <v>10.4</v>
      </c>
      <c r="M633" s="21" t="n">
        <f aca="false">IF(C633="covered",10.4,7.55)</f>
        <v>10.4</v>
      </c>
      <c r="N633" s="13" t="n">
        <f aca="false">MAX(ROUNDUP(H633,0),I633)</f>
        <v>31</v>
      </c>
      <c r="O633" s="21" t="n">
        <v>322.4</v>
      </c>
      <c r="P633" s="21" t="n">
        <f aca="false">ROUND(M633*N633,2)</f>
        <v>322.4</v>
      </c>
      <c r="Q633" s="21" t="n">
        <f aca="false">ROUND(P633-IF(O633="",0,O633),2)</f>
        <v>0</v>
      </c>
      <c r="R633" s="14" t="str">
        <f aca="false">IF(J633="","MISSING BILL",IF(AND(K633=N633,ABS(L633-M633)&lt;0.001,ABS(O633-P633)&lt;0.01),"RECONCILED","CALCULATION ERROR"))</f>
        <v>RECONCILED</v>
      </c>
      <c r="S633" s="14" t="s">
        <v>2935</v>
      </c>
    </row>
    <row r="634" customFormat="false" ht="15" hidden="true" customHeight="false" outlineLevel="0" collapsed="false">
      <c r="A634" s="13" t="s">
        <v>4185</v>
      </c>
      <c r="B634" s="13" t="s">
        <v>70</v>
      </c>
      <c r="C634" s="13" t="s">
        <v>4156</v>
      </c>
      <c r="D634" s="13" t="s">
        <v>1873</v>
      </c>
      <c r="E634" s="13" t="s">
        <v>4186</v>
      </c>
      <c r="F634" s="14" t="s">
        <v>4187</v>
      </c>
      <c r="G634" s="14" t="s">
        <v>3715</v>
      </c>
      <c r="H634" s="20" t="n">
        <v>23.4</v>
      </c>
      <c r="I634" s="13" t="n">
        <v>32</v>
      </c>
      <c r="J634" s="13" t="s">
        <v>4188</v>
      </c>
      <c r="K634" s="13" t="n">
        <v>32</v>
      </c>
      <c r="L634" s="21" t="n">
        <v>10.4</v>
      </c>
      <c r="M634" s="21" t="n">
        <f aca="false">IF(C634="covered",10.4,7.55)</f>
        <v>10.4</v>
      </c>
      <c r="N634" s="13" t="n">
        <f aca="false">MAX(ROUNDUP(H634,0),I634)</f>
        <v>32</v>
      </c>
      <c r="O634" s="21" t="n">
        <v>332.8</v>
      </c>
      <c r="P634" s="21" t="n">
        <f aca="false">ROUND(M634*N634,2)</f>
        <v>332.8</v>
      </c>
      <c r="Q634" s="21" t="n">
        <f aca="false">ROUND(P634-IF(O634="",0,O634),2)</f>
        <v>0</v>
      </c>
      <c r="R634" s="14" t="str">
        <f aca="false">IF(J634="","MISSING BILL",IF(AND(K634=N634,ABS(L634-M634)&lt;0.001,ABS(O634-P634)&lt;0.01),"RECONCILED","CALCULATION ERROR"))</f>
        <v>RECONCILED</v>
      </c>
      <c r="S634" s="14" t="s">
        <v>2935</v>
      </c>
    </row>
    <row r="635" customFormat="false" ht="15" hidden="true" customHeight="false" outlineLevel="0" collapsed="false">
      <c r="A635" s="13" t="s">
        <v>4189</v>
      </c>
      <c r="B635" s="13" t="s">
        <v>70</v>
      </c>
      <c r="C635" s="13" t="s">
        <v>4156</v>
      </c>
      <c r="D635" s="13" t="s">
        <v>1873</v>
      </c>
      <c r="E635" s="13" t="s">
        <v>4190</v>
      </c>
      <c r="F635" s="14" t="s">
        <v>4191</v>
      </c>
      <c r="G635" s="14" t="s">
        <v>2471</v>
      </c>
      <c r="H635" s="20" t="n">
        <v>20.8</v>
      </c>
      <c r="I635" s="13" t="n">
        <v>32</v>
      </c>
      <c r="J635" s="13" t="s">
        <v>4192</v>
      </c>
      <c r="K635" s="13" t="n">
        <v>32</v>
      </c>
      <c r="L635" s="21" t="n">
        <v>10.4</v>
      </c>
      <c r="M635" s="21" t="n">
        <f aca="false">IF(C635="covered",10.4,7.55)</f>
        <v>10.4</v>
      </c>
      <c r="N635" s="13" t="n">
        <f aca="false">MAX(ROUNDUP(H635,0),I635)</f>
        <v>32</v>
      </c>
      <c r="O635" s="21" t="n">
        <v>332.8</v>
      </c>
      <c r="P635" s="21" t="n">
        <f aca="false">ROUND(M635*N635,2)</f>
        <v>332.8</v>
      </c>
      <c r="Q635" s="21" t="n">
        <f aca="false">ROUND(P635-IF(O635="",0,O635),2)</f>
        <v>0</v>
      </c>
      <c r="R635" s="14" t="str">
        <f aca="false">IF(J635="","MISSING BILL",IF(AND(K635=N635,ABS(L635-M635)&lt;0.001,ABS(O635-P635)&lt;0.01),"RECONCILED","CALCULATION ERROR"))</f>
        <v>RECONCILED</v>
      </c>
      <c r="S635" s="14" t="s">
        <v>2935</v>
      </c>
    </row>
    <row r="636" customFormat="false" ht="15" hidden="true" customHeight="false" outlineLevel="0" collapsed="false">
      <c r="A636" s="13" t="s">
        <v>4193</v>
      </c>
      <c r="B636" s="13" t="s">
        <v>70</v>
      </c>
      <c r="C636" s="13" t="s">
        <v>4156</v>
      </c>
      <c r="D636" s="13" t="s">
        <v>1873</v>
      </c>
      <c r="E636" s="13" t="s">
        <v>4194</v>
      </c>
      <c r="F636" s="14" t="s">
        <v>4195</v>
      </c>
      <c r="G636" s="14" t="s">
        <v>4196</v>
      </c>
      <c r="H636" s="20" t="n">
        <v>26</v>
      </c>
      <c r="I636" s="13" t="n">
        <v>28</v>
      </c>
      <c r="J636" s="13" t="s">
        <v>4197</v>
      </c>
      <c r="K636" s="13" t="n">
        <v>28</v>
      </c>
      <c r="L636" s="21" t="n">
        <v>10.4</v>
      </c>
      <c r="M636" s="21" t="n">
        <f aca="false">IF(C636="covered",10.4,7.55)</f>
        <v>10.4</v>
      </c>
      <c r="N636" s="13" t="n">
        <f aca="false">MAX(ROUNDUP(H636,0),I636)</f>
        <v>28</v>
      </c>
      <c r="O636" s="21" t="n">
        <v>291.2</v>
      </c>
      <c r="P636" s="21" t="n">
        <f aca="false">ROUND(M636*N636,2)</f>
        <v>291.2</v>
      </c>
      <c r="Q636" s="21" t="n">
        <f aca="false">ROUND(P636-IF(O636="",0,O636),2)</f>
        <v>0</v>
      </c>
      <c r="R636" s="14" t="str">
        <f aca="false">IF(J636="","MISSING BILL",IF(AND(K636=N636,ABS(L636-M636)&lt;0.001,ABS(O636-P636)&lt;0.01),"RECONCILED","CALCULATION ERROR"))</f>
        <v>RECONCILED</v>
      </c>
      <c r="S636" s="14" t="s">
        <v>2935</v>
      </c>
    </row>
    <row r="637" customFormat="false" ht="15" hidden="true" customHeight="false" outlineLevel="0" collapsed="false">
      <c r="A637" s="13" t="s">
        <v>4198</v>
      </c>
      <c r="B637" s="13" t="s">
        <v>70</v>
      </c>
      <c r="C637" s="13" t="s">
        <v>4156</v>
      </c>
      <c r="D637" s="13" t="s">
        <v>1873</v>
      </c>
      <c r="E637" s="13" t="s">
        <v>695</v>
      </c>
      <c r="F637" s="14" t="s">
        <v>696</v>
      </c>
      <c r="G637" s="14" t="s">
        <v>4199</v>
      </c>
      <c r="H637" s="20" t="n">
        <v>53.5</v>
      </c>
      <c r="I637" s="13" t="n">
        <v>40</v>
      </c>
      <c r="J637" s="13" t="s">
        <v>4200</v>
      </c>
      <c r="K637" s="13" t="n">
        <v>54</v>
      </c>
      <c r="L637" s="21" t="n">
        <v>10.4</v>
      </c>
      <c r="M637" s="21" t="n">
        <f aca="false">IF(C637="covered",10.4,7.55)</f>
        <v>10.4</v>
      </c>
      <c r="N637" s="13" t="n">
        <f aca="false">MAX(ROUNDUP(H637,0),I637)</f>
        <v>54</v>
      </c>
      <c r="O637" s="21" t="n">
        <v>561.6</v>
      </c>
      <c r="P637" s="21" t="n">
        <f aca="false">ROUND(M637*N637,2)</f>
        <v>561.6</v>
      </c>
      <c r="Q637" s="21" t="n">
        <f aca="false">ROUND(P637-IF(O637="",0,O637),2)</f>
        <v>0</v>
      </c>
      <c r="R637" s="14" t="str">
        <f aca="false">IF(J637="","MISSING BILL",IF(AND(K637=N637,ABS(L637-M637)&lt;0.001,ABS(O637-P637)&lt;0.01),"RECONCILED","CALCULATION ERROR"))</f>
        <v>RECONCILED</v>
      </c>
      <c r="S637" s="14" t="s">
        <v>2935</v>
      </c>
    </row>
    <row r="638" customFormat="false" ht="15" hidden="true" customHeight="false" outlineLevel="0" collapsed="false">
      <c r="A638" s="13" t="s">
        <v>261</v>
      </c>
      <c r="B638" s="13" t="s">
        <v>70</v>
      </c>
      <c r="C638" s="13" t="s">
        <v>4156</v>
      </c>
      <c r="D638" s="13" t="s">
        <v>1873</v>
      </c>
      <c r="E638" s="13" t="s">
        <v>4201</v>
      </c>
      <c r="F638" s="14" t="s">
        <v>4202</v>
      </c>
      <c r="G638" s="14" t="s">
        <v>2053</v>
      </c>
      <c r="H638" s="20" t="n">
        <v>26</v>
      </c>
      <c r="I638" s="13" t="n">
        <v>36</v>
      </c>
      <c r="J638" s="13" t="s">
        <v>4203</v>
      </c>
      <c r="K638" s="13" t="n">
        <v>36</v>
      </c>
      <c r="L638" s="21" t="n">
        <v>10.4</v>
      </c>
      <c r="M638" s="21" t="n">
        <f aca="false">IF(C638="covered",10.4,7.55)</f>
        <v>10.4</v>
      </c>
      <c r="N638" s="13" t="n">
        <f aca="false">MAX(ROUNDUP(H638,0),I638)</f>
        <v>36</v>
      </c>
      <c r="O638" s="21" t="n">
        <v>374.4</v>
      </c>
      <c r="P638" s="21" t="n">
        <f aca="false">ROUND(M638*N638,2)</f>
        <v>374.4</v>
      </c>
      <c r="Q638" s="21" t="n">
        <f aca="false">ROUND(P638-IF(O638="",0,O638),2)</f>
        <v>0</v>
      </c>
      <c r="R638" s="14" t="str">
        <f aca="false">IF(J638="","MISSING BILL",IF(AND(K638=N638,ABS(L638-M638)&lt;0.001,ABS(O638-P638)&lt;0.01),"RECONCILED","CALCULATION ERROR"))</f>
        <v>RECONCILED</v>
      </c>
      <c r="S638" s="14" t="s">
        <v>2935</v>
      </c>
    </row>
    <row r="639" customFormat="false" ht="15" hidden="true" customHeight="false" outlineLevel="0" collapsed="false">
      <c r="A639" s="13" t="s">
        <v>598</v>
      </c>
      <c r="B639" s="13" t="s">
        <v>70</v>
      </c>
      <c r="C639" s="13" t="s">
        <v>4156</v>
      </c>
      <c r="D639" s="13" t="s">
        <v>1873</v>
      </c>
      <c r="E639" s="13" t="s">
        <v>4204</v>
      </c>
      <c r="F639" s="14" t="s">
        <v>4205</v>
      </c>
      <c r="G639" s="14" t="s">
        <v>2047</v>
      </c>
      <c r="H639" s="20" t="n">
        <v>28.2</v>
      </c>
      <c r="I639" s="13" t="n">
        <v>24</v>
      </c>
      <c r="J639" s="13" t="s">
        <v>4206</v>
      </c>
      <c r="K639" s="13" t="n">
        <v>29</v>
      </c>
      <c r="L639" s="21" t="n">
        <v>10.4</v>
      </c>
      <c r="M639" s="21" t="n">
        <f aca="false">IF(C639="covered",10.4,7.55)</f>
        <v>10.4</v>
      </c>
      <c r="N639" s="13" t="n">
        <f aca="false">MAX(ROUNDUP(H639,0),I639)</f>
        <v>29</v>
      </c>
      <c r="O639" s="21" t="n">
        <v>301.6</v>
      </c>
      <c r="P639" s="21" t="n">
        <f aca="false">ROUND(M639*N639,2)</f>
        <v>301.6</v>
      </c>
      <c r="Q639" s="21" t="n">
        <f aca="false">ROUND(P639-IF(O639="",0,O639),2)</f>
        <v>0</v>
      </c>
      <c r="R639" s="14" t="str">
        <f aca="false">IF(J639="","MISSING BILL",IF(AND(K639=N639,ABS(L639-M639)&lt;0.001,ABS(O639-P639)&lt;0.01),"RECONCILED","CALCULATION ERROR"))</f>
        <v>RECONCILED</v>
      </c>
      <c r="S639" s="14" t="s">
        <v>2935</v>
      </c>
    </row>
    <row r="640" customFormat="false" ht="15" hidden="true" customHeight="false" outlineLevel="0" collapsed="false">
      <c r="A640" s="13" t="s">
        <v>4207</v>
      </c>
      <c r="B640" s="13" t="s">
        <v>70</v>
      </c>
      <c r="C640" s="13" t="s">
        <v>4156</v>
      </c>
      <c r="D640" s="13" t="s">
        <v>1873</v>
      </c>
      <c r="E640" s="13" t="s">
        <v>4208</v>
      </c>
      <c r="F640" s="14" t="s">
        <v>4209</v>
      </c>
      <c r="G640" s="14" t="s">
        <v>2851</v>
      </c>
      <c r="H640" s="20" t="n">
        <v>18.8</v>
      </c>
      <c r="I640" s="13" t="n">
        <v>28</v>
      </c>
      <c r="J640" s="13" t="s">
        <v>4210</v>
      </c>
      <c r="K640" s="13" t="n">
        <v>28</v>
      </c>
      <c r="L640" s="21" t="n">
        <v>10.4</v>
      </c>
      <c r="M640" s="21" t="n">
        <f aca="false">IF(C640="covered",10.4,7.55)</f>
        <v>10.4</v>
      </c>
      <c r="N640" s="13" t="n">
        <f aca="false">MAX(ROUNDUP(H640,0),I640)</f>
        <v>28</v>
      </c>
      <c r="O640" s="21" t="n">
        <v>291.2</v>
      </c>
      <c r="P640" s="21" t="n">
        <f aca="false">ROUND(M640*N640,2)</f>
        <v>291.2</v>
      </c>
      <c r="Q640" s="21" t="n">
        <f aca="false">ROUND(P640-IF(O640="",0,O640),2)</f>
        <v>0</v>
      </c>
      <c r="R640" s="14" t="str">
        <f aca="false">IF(J640="","MISSING BILL",IF(AND(K640=N640,ABS(L640-M640)&lt;0.001,ABS(O640-P640)&lt;0.01),"RECONCILED","CALCULATION ERROR"))</f>
        <v>RECONCILED</v>
      </c>
      <c r="S640" s="14" t="s">
        <v>2935</v>
      </c>
    </row>
    <row r="641" customFormat="false" ht="15" hidden="true" customHeight="false" outlineLevel="0" collapsed="false">
      <c r="A641" s="13" t="s">
        <v>4211</v>
      </c>
      <c r="B641" s="13" t="s">
        <v>70</v>
      </c>
      <c r="C641" s="13" t="s">
        <v>4156</v>
      </c>
      <c r="D641" s="13" t="s">
        <v>1873</v>
      </c>
      <c r="E641" s="13" t="s">
        <v>4212</v>
      </c>
      <c r="F641" s="14" t="s">
        <v>4213</v>
      </c>
      <c r="G641" s="14" t="s">
        <v>4214</v>
      </c>
      <c r="H641" s="20" t="n">
        <v>19.2</v>
      </c>
      <c r="I641" s="13" t="n">
        <v>28</v>
      </c>
      <c r="J641" s="13" t="s">
        <v>4215</v>
      </c>
      <c r="K641" s="13" t="n">
        <v>28</v>
      </c>
      <c r="L641" s="21" t="n">
        <v>10.4</v>
      </c>
      <c r="M641" s="21" t="n">
        <f aca="false">IF(C641="covered",10.4,7.55)</f>
        <v>10.4</v>
      </c>
      <c r="N641" s="13" t="n">
        <f aca="false">MAX(ROUNDUP(H641,0),I641)</f>
        <v>28</v>
      </c>
      <c r="O641" s="21" t="n">
        <v>291.2</v>
      </c>
      <c r="P641" s="21" t="n">
        <f aca="false">ROUND(M641*N641,2)</f>
        <v>291.2</v>
      </c>
      <c r="Q641" s="21" t="n">
        <f aca="false">ROUND(P641-IF(O641="",0,O641),2)</f>
        <v>0</v>
      </c>
      <c r="R641" s="14" t="str">
        <f aca="false">IF(J641="","MISSING BILL",IF(AND(K641=N641,ABS(L641-M641)&lt;0.001,ABS(O641-P641)&lt;0.01),"RECONCILED","CALCULATION ERROR"))</f>
        <v>RECONCILED</v>
      </c>
      <c r="S641" s="14" t="s">
        <v>2935</v>
      </c>
    </row>
    <row r="642" customFormat="false" ht="15" hidden="true" customHeight="false" outlineLevel="0" collapsed="false">
      <c r="A642" s="13" t="s">
        <v>4216</v>
      </c>
      <c r="B642" s="13" t="s">
        <v>70</v>
      </c>
      <c r="C642" s="13" t="s">
        <v>4156</v>
      </c>
      <c r="D642" s="13" t="s">
        <v>1873</v>
      </c>
      <c r="E642" s="13" t="s">
        <v>4217</v>
      </c>
      <c r="F642" s="14" t="s">
        <v>4218</v>
      </c>
      <c r="G642" s="14" t="s">
        <v>4219</v>
      </c>
      <c r="H642" s="20" t="n">
        <v>28.7</v>
      </c>
      <c r="I642" s="13" t="n">
        <v>32</v>
      </c>
      <c r="J642" s="13" t="s">
        <v>4220</v>
      </c>
      <c r="K642" s="13" t="n">
        <v>32</v>
      </c>
      <c r="L642" s="21" t="n">
        <v>10.4</v>
      </c>
      <c r="M642" s="21" t="n">
        <f aca="false">IF(C642="covered",10.4,7.55)</f>
        <v>10.4</v>
      </c>
      <c r="N642" s="13" t="n">
        <f aca="false">MAX(ROUNDUP(H642,0),I642)</f>
        <v>32</v>
      </c>
      <c r="O642" s="21" t="n">
        <v>332.8</v>
      </c>
      <c r="P642" s="21" t="n">
        <f aca="false">ROUND(M642*N642,2)</f>
        <v>332.8</v>
      </c>
      <c r="Q642" s="21" t="n">
        <f aca="false">ROUND(P642-IF(O642="",0,O642),2)</f>
        <v>0</v>
      </c>
      <c r="R642" s="14" t="str">
        <f aca="false">IF(J642="","MISSING BILL",IF(AND(K642=N642,ABS(L642-M642)&lt;0.001,ABS(O642-P642)&lt;0.01),"RECONCILED","CALCULATION ERROR"))</f>
        <v>RECONCILED</v>
      </c>
      <c r="S642" s="14" t="s">
        <v>2935</v>
      </c>
    </row>
    <row r="643" customFormat="false" ht="15" hidden="true" customHeight="false" outlineLevel="0" collapsed="false">
      <c r="A643" s="13" t="s">
        <v>4221</v>
      </c>
      <c r="B643" s="13" t="s">
        <v>70</v>
      </c>
      <c r="C643" s="13" t="s">
        <v>4156</v>
      </c>
      <c r="D643" s="13" t="s">
        <v>1873</v>
      </c>
      <c r="E643" s="13" t="s">
        <v>4222</v>
      </c>
      <c r="F643" s="14" t="s">
        <v>4223</v>
      </c>
      <c r="G643" s="14" t="s">
        <v>3433</v>
      </c>
      <c r="H643" s="20" t="n">
        <v>22.1</v>
      </c>
      <c r="I643" s="13" t="n">
        <v>24</v>
      </c>
      <c r="J643" s="13" t="s">
        <v>4224</v>
      </c>
      <c r="K643" s="13" t="n">
        <v>24</v>
      </c>
      <c r="L643" s="21" t="n">
        <v>10.4</v>
      </c>
      <c r="M643" s="21" t="n">
        <f aca="false">IF(C643="covered",10.4,7.55)</f>
        <v>10.4</v>
      </c>
      <c r="N643" s="13" t="n">
        <f aca="false">MAX(ROUNDUP(H643,0),I643)</f>
        <v>24</v>
      </c>
      <c r="O643" s="21" t="n">
        <v>249.6</v>
      </c>
      <c r="P643" s="21" t="n">
        <f aca="false">ROUND(M643*N643,2)</f>
        <v>249.6</v>
      </c>
      <c r="Q643" s="21" t="n">
        <f aca="false">ROUND(P643-IF(O643="",0,O643),2)</f>
        <v>0</v>
      </c>
      <c r="R643" s="14" t="str">
        <f aca="false">IF(J643="","MISSING BILL",IF(AND(K643=N643,ABS(L643-M643)&lt;0.001,ABS(O643-P643)&lt;0.01),"RECONCILED","CALCULATION ERROR"))</f>
        <v>RECONCILED</v>
      </c>
      <c r="S643" s="14" t="s">
        <v>2935</v>
      </c>
    </row>
    <row r="644" customFormat="false" ht="15" hidden="true" customHeight="false" outlineLevel="0" collapsed="false">
      <c r="A644" s="13" t="s">
        <v>4225</v>
      </c>
      <c r="B644" s="13" t="s">
        <v>70</v>
      </c>
      <c r="C644" s="13" t="s">
        <v>4156</v>
      </c>
      <c r="D644" s="13" t="s">
        <v>1873</v>
      </c>
      <c r="E644" s="13" t="s">
        <v>4226</v>
      </c>
      <c r="F644" s="14" t="s">
        <v>4227</v>
      </c>
      <c r="G644" s="14" t="s">
        <v>2271</v>
      </c>
      <c r="H644" s="20" t="n">
        <v>43.5</v>
      </c>
      <c r="I644" s="13" t="n">
        <v>24</v>
      </c>
      <c r="J644" s="13" t="s">
        <v>4228</v>
      </c>
      <c r="K644" s="13" t="n">
        <v>44</v>
      </c>
      <c r="L644" s="21" t="n">
        <v>10.4</v>
      </c>
      <c r="M644" s="21" t="n">
        <f aca="false">IF(C644="covered",10.4,7.55)</f>
        <v>10.4</v>
      </c>
      <c r="N644" s="13" t="n">
        <f aca="false">MAX(ROUNDUP(H644,0),I644)</f>
        <v>44</v>
      </c>
      <c r="O644" s="21" t="n">
        <v>457.6</v>
      </c>
      <c r="P644" s="21" t="n">
        <f aca="false">ROUND(M644*N644,2)</f>
        <v>457.6</v>
      </c>
      <c r="Q644" s="21" t="n">
        <f aca="false">ROUND(P644-IF(O644="",0,O644),2)</f>
        <v>0</v>
      </c>
      <c r="R644" s="14" t="str">
        <f aca="false">IF(J644="","MISSING BILL",IF(AND(K644=N644,ABS(L644-M644)&lt;0.001,ABS(O644-P644)&lt;0.01),"RECONCILED","CALCULATION ERROR"))</f>
        <v>RECONCILED</v>
      </c>
      <c r="S644" s="14" t="s">
        <v>2935</v>
      </c>
    </row>
    <row r="645" customFormat="false" ht="15" hidden="true" customHeight="false" outlineLevel="0" collapsed="false">
      <c r="A645" s="13" t="s">
        <v>4229</v>
      </c>
      <c r="B645" s="13" t="s">
        <v>70</v>
      </c>
      <c r="C645" s="13" t="s">
        <v>4156</v>
      </c>
      <c r="D645" s="13" t="s">
        <v>1873</v>
      </c>
      <c r="E645" s="13" t="s">
        <v>4230</v>
      </c>
      <c r="F645" s="14" t="s">
        <v>4231</v>
      </c>
      <c r="G645" s="14" t="s">
        <v>4232</v>
      </c>
      <c r="H645" s="20" t="n">
        <v>30.8</v>
      </c>
      <c r="I645" s="13" t="n">
        <v>32</v>
      </c>
      <c r="J645" s="13" t="s">
        <v>4233</v>
      </c>
      <c r="K645" s="13" t="n">
        <v>32</v>
      </c>
      <c r="L645" s="21" t="n">
        <v>10.4</v>
      </c>
      <c r="M645" s="21" t="n">
        <f aca="false">IF(C645="covered",10.4,7.55)</f>
        <v>10.4</v>
      </c>
      <c r="N645" s="13" t="n">
        <f aca="false">MAX(ROUNDUP(H645,0),I645)</f>
        <v>32</v>
      </c>
      <c r="O645" s="21" t="n">
        <v>332.8</v>
      </c>
      <c r="P645" s="21" t="n">
        <f aca="false">ROUND(M645*N645,2)</f>
        <v>332.8</v>
      </c>
      <c r="Q645" s="21" t="n">
        <f aca="false">ROUND(P645-IF(O645="",0,O645),2)</f>
        <v>0</v>
      </c>
      <c r="R645" s="14" t="str">
        <f aca="false">IF(J645="","MISSING BILL",IF(AND(K645=N645,ABS(L645-M645)&lt;0.001,ABS(O645-P645)&lt;0.01),"RECONCILED","CALCULATION ERROR"))</f>
        <v>RECONCILED</v>
      </c>
      <c r="S645" s="14" t="s">
        <v>2935</v>
      </c>
    </row>
    <row r="646" customFormat="false" ht="15" hidden="true" customHeight="false" outlineLevel="0" collapsed="false">
      <c r="A646" s="13" t="s">
        <v>339</v>
      </c>
      <c r="B646" s="13" t="s">
        <v>70</v>
      </c>
      <c r="C646" s="13" t="s">
        <v>4156</v>
      </c>
      <c r="D646" s="13" t="s">
        <v>1873</v>
      </c>
      <c r="E646" s="13" t="s">
        <v>4234</v>
      </c>
      <c r="F646" s="14" t="s">
        <v>4235</v>
      </c>
      <c r="G646" s="14" t="s">
        <v>2900</v>
      </c>
      <c r="H646" s="20" t="n">
        <v>51.3</v>
      </c>
      <c r="I646" s="13" t="n">
        <v>32</v>
      </c>
      <c r="J646" s="13" t="s">
        <v>4236</v>
      </c>
      <c r="K646" s="13" t="n">
        <v>52</v>
      </c>
      <c r="L646" s="21" t="n">
        <v>10.4</v>
      </c>
      <c r="M646" s="21" t="n">
        <f aca="false">IF(C646="covered",10.4,7.55)</f>
        <v>10.4</v>
      </c>
      <c r="N646" s="13" t="n">
        <f aca="false">MAX(ROUNDUP(H646,0),I646)</f>
        <v>52</v>
      </c>
      <c r="O646" s="21" t="n">
        <v>540.8</v>
      </c>
      <c r="P646" s="21" t="n">
        <f aca="false">ROUND(M646*N646,2)</f>
        <v>540.8</v>
      </c>
      <c r="Q646" s="21" t="n">
        <f aca="false">ROUND(P646-IF(O646="",0,O646),2)</f>
        <v>0</v>
      </c>
      <c r="R646" s="14" t="str">
        <f aca="false">IF(J646="","MISSING BILL",IF(AND(K646=N646,ABS(L646-M646)&lt;0.001,ABS(O646-P646)&lt;0.01),"RECONCILED","CALCULATION ERROR"))</f>
        <v>RECONCILED</v>
      </c>
      <c r="S646" s="14" t="s">
        <v>2935</v>
      </c>
    </row>
    <row r="647" customFormat="false" ht="15" hidden="true" customHeight="false" outlineLevel="0" collapsed="false">
      <c r="A647" s="13" t="s">
        <v>4237</v>
      </c>
      <c r="B647" s="13" t="s">
        <v>70</v>
      </c>
      <c r="C647" s="13" t="s">
        <v>4156</v>
      </c>
      <c r="D647" s="13" t="s">
        <v>1873</v>
      </c>
      <c r="E647" s="13" t="s">
        <v>4238</v>
      </c>
      <c r="F647" s="14" t="s">
        <v>4239</v>
      </c>
      <c r="G647" s="14" t="s">
        <v>2531</v>
      </c>
      <c r="H647" s="20" t="n">
        <v>48.2</v>
      </c>
      <c r="I647" s="13" t="n">
        <v>36</v>
      </c>
      <c r="J647" s="13" t="s">
        <v>4240</v>
      </c>
      <c r="K647" s="13" t="n">
        <v>49</v>
      </c>
      <c r="L647" s="21" t="n">
        <v>10.4</v>
      </c>
      <c r="M647" s="21" t="n">
        <f aca="false">IF(C647="covered",10.4,7.55)</f>
        <v>10.4</v>
      </c>
      <c r="N647" s="13" t="n">
        <f aca="false">MAX(ROUNDUP(H647,0),I647)</f>
        <v>49</v>
      </c>
      <c r="O647" s="21" t="n">
        <v>509.6</v>
      </c>
      <c r="P647" s="21" t="n">
        <f aca="false">ROUND(M647*N647,2)</f>
        <v>509.6</v>
      </c>
      <c r="Q647" s="21" t="n">
        <f aca="false">ROUND(P647-IF(O647="",0,O647),2)</f>
        <v>0</v>
      </c>
      <c r="R647" s="14" t="str">
        <f aca="false">IF(J647="","MISSING BILL",IF(AND(K647=N647,ABS(L647-M647)&lt;0.001,ABS(O647-P647)&lt;0.01),"RECONCILED","CALCULATION ERROR"))</f>
        <v>RECONCILED</v>
      </c>
      <c r="S647" s="14" t="s">
        <v>2935</v>
      </c>
    </row>
    <row r="648" customFormat="false" ht="15" hidden="true" customHeight="false" outlineLevel="0" collapsed="false">
      <c r="A648" s="13" t="s">
        <v>4241</v>
      </c>
      <c r="B648" s="13" t="s">
        <v>70</v>
      </c>
      <c r="C648" s="13" t="s">
        <v>4156</v>
      </c>
      <c r="D648" s="13" t="s">
        <v>1873</v>
      </c>
      <c r="E648" s="13" t="s">
        <v>920</v>
      </c>
      <c r="F648" s="14" t="s">
        <v>921</v>
      </c>
      <c r="G648" s="14" t="s">
        <v>2635</v>
      </c>
      <c r="H648" s="20" t="n">
        <v>25.3</v>
      </c>
      <c r="I648" s="13" t="n">
        <v>32</v>
      </c>
      <c r="J648" s="13" t="s">
        <v>4242</v>
      </c>
      <c r="K648" s="13" t="n">
        <v>32</v>
      </c>
      <c r="L648" s="21" t="n">
        <v>10.4</v>
      </c>
      <c r="M648" s="21" t="n">
        <f aca="false">IF(C648="covered",10.4,7.55)</f>
        <v>10.4</v>
      </c>
      <c r="N648" s="13" t="n">
        <f aca="false">MAX(ROUNDUP(H648,0),I648)</f>
        <v>32</v>
      </c>
      <c r="O648" s="21" t="n">
        <v>332.8</v>
      </c>
      <c r="P648" s="21" t="n">
        <f aca="false">ROUND(M648*N648,2)</f>
        <v>332.8</v>
      </c>
      <c r="Q648" s="21" t="n">
        <f aca="false">ROUND(P648-IF(O648="",0,O648),2)</f>
        <v>0</v>
      </c>
      <c r="R648" s="14" t="str">
        <f aca="false">IF(J648="","MISSING BILL",IF(AND(K648=N648,ABS(L648-M648)&lt;0.001,ABS(O648-P648)&lt;0.01),"RECONCILED","CALCULATION ERROR"))</f>
        <v>RECONCILED</v>
      </c>
      <c r="S648" s="14" t="s">
        <v>2935</v>
      </c>
    </row>
    <row r="649" customFormat="false" ht="15" hidden="true" customHeight="false" outlineLevel="0" collapsed="false">
      <c r="A649" s="13" t="s">
        <v>1212</v>
      </c>
      <c r="B649" s="13" t="s">
        <v>70</v>
      </c>
      <c r="C649" s="13" t="s">
        <v>4156</v>
      </c>
      <c r="D649" s="13" t="s">
        <v>1873</v>
      </c>
      <c r="E649" s="13" t="s">
        <v>4243</v>
      </c>
      <c r="F649" s="14" t="s">
        <v>4244</v>
      </c>
      <c r="G649" s="14" t="s">
        <v>2451</v>
      </c>
      <c r="H649" s="20" t="n">
        <v>38.8</v>
      </c>
      <c r="I649" s="13" t="n">
        <v>28</v>
      </c>
      <c r="J649" s="13" t="s">
        <v>4245</v>
      </c>
      <c r="K649" s="13" t="n">
        <v>39</v>
      </c>
      <c r="L649" s="21" t="n">
        <v>10.4</v>
      </c>
      <c r="M649" s="21" t="n">
        <f aca="false">IF(C649="covered",10.4,7.55)</f>
        <v>10.4</v>
      </c>
      <c r="N649" s="13" t="n">
        <f aca="false">MAX(ROUNDUP(H649,0),I649)</f>
        <v>39</v>
      </c>
      <c r="O649" s="21" t="n">
        <v>405.6</v>
      </c>
      <c r="P649" s="21" t="n">
        <f aca="false">ROUND(M649*N649,2)</f>
        <v>405.6</v>
      </c>
      <c r="Q649" s="21" t="n">
        <f aca="false">ROUND(P649-IF(O649="",0,O649),2)</f>
        <v>0</v>
      </c>
      <c r="R649" s="14" t="str">
        <f aca="false">IF(J649="","MISSING BILL",IF(AND(K649=N649,ABS(L649-M649)&lt;0.001,ABS(O649-P649)&lt;0.01),"RECONCILED","CALCULATION ERROR"))</f>
        <v>RECONCILED</v>
      </c>
      <c r="S649" s="14" t="s">
        <v>2935</v>
      </c>
    </row>
    <row r="650" customFormat="false" ht="15" hidden="true" customHeight="false" outlineLevel="0" collapsed="false">
      <c r="A650" s="13" t="s">
        <v>4246</v>
      </c>
      <c r="B650" s="13" t="s">
        <v>70</v>
      </c>
      <c r="C650" s="13" t="s">
        <v>4156</v>
      </c>
      <c r="D650" s="13" t="s">
        <v>1873</v>
      </c>
      <c r="E650" s="13" t="s">
        <v>4247</v>
      </c>
      <c r="F650" s="14" t="s">
        <v>4248</v>
      </c>
      <c r="G650" s="14" t="s">
        <v>3611</v>
      </c>
      <c r="H650" s="20" t="n">
        <v>51.3</v>
      </c>
      <c r="I650" s="13" t="n">
        <v>36</v>
      </c>
      <c r="J650" s="13" t="s">
        <v>4249</v>
      </c>
      <c r="K650" s="13" t="n">
        <v>52</v>
      </c>
      <c r="L650" s="21" t="n">
        <v>10.4</v>
      </c>
      <c r="M650" s="21" t="n">
        <f aca="false">IF(C650="covered",10.4,7.55)</f>
        <v>10.4</v>
      </c>
      <c r="N650" s="13" t="n">
        <f aca="false">MAX(ROUNDUP(H650,0),I650)</f>
        <v>52</v>
      </c>
      <c r="O650" s="21" t="n">
        <v>540.8</v>
      </c>
      <c r="P650" s="21" t="n">
        <f aca="false">ROUND(M650*N650,2)</f>
        <v>540.8</v>
      </c>
      <c r="Q650" s="21" t="n">
        <f aca="false">ROUND(P650-IF(O650="",0,O650),2)</f>
        <v>0</v>
      </c>
      <c r="R650" s="14" t="str">
        <f aca="false">IF(J650="","MISSING BILL",IF(AND(K650=N650,ABS(L650-M650)&lt;0.001,ABS(O650-P650)&lt;0.01),"RECONCILED","CALCULATION ERROR"))</f>
        <v>RECONCILED</v>
      </c>
      <c r="S650" s="14" t="s">
        <v>2935</v>
      </c>
    </row>
    <row r="651" customFormat="false" ht="15" hidden="true" customHeight="false" outlineLevel="0" collapsed="false">
      <c r="A651" s="13" t="s">
        <v>4250</v>
      </c>
      <c r="B651" s="13" t="s">
        <v>70</v>
      </c>
      <c r="C651" s="13" t="s">
        <v>4156</v>
      </c>
      <c r="D651" s="13" t="s">
        <v>1873</v>
      </c>
      <c r="E651" s="13" t="s">
        <v>4251</v>
      </c>
      <c r="F651" s="14" t="s">
        <v>4252</v>
      </c>
      <c r="G651" s="14" t="s">
        <v>4253</v>
      </c>
      <c r="H651" s="20" t="n">
        <v>37.5</v>
      </c>
      <c r="I651" s="13" t="n">
        <v>36</v>
      </c>
      <c r="J651" s="13" t="s">
        <v>4254</v>
      </c>
      <c r="K651" s="13" t="n">
        <v>38</v>
      </c>
      <c r="L651" s="21" t="n">
        <v>10.4</v>
      </c>
      <c r="M651" s="21" t="n">
        <f aca="false">IF(C651="covered",10.4,7.55)</f>
        <v>10.4</v>
      </c>
      <c r="N651" s="13" t="n">
        <f aca="false">MAX(ROUNDUP(H651,0),I651)</f>
        <v>38</v>
      </c>
      <c r="O651" s="21" t="n">
        <v>395.2</v>
      </c>
      <c r="P651" s="21" t="n">
        <f aca="false">ROUND(M651*N651,2)</f>
        <v>395.2</v>
      </c>
      <c r="Q651" s="21" t="n">
        <f aca="false">ROUND(P651-IF(O651="",0,O651),2)</f>
        <v>0</v>
      </c>
      <c r="R651" s="14" t="str">
        <f aca="false">IF(J651="","MISSING BILL",IF(AND(K651=N651,ABS(L651-M651)&lt;0.001,ABS(O651-P651)&lt;0.01),"RECONCILED","CALCULATION ERROR"))</f>
        <v>RECONCILED</v>
      </c>
      <c r="S651" s="14" t="s">
        <v>2935</v>
      </c>
    </row>
    <row r="652" customFormat="false" ht="15" hidden="true" customHeight="false" outlineLevel="0" collapsed="false">
      <c r="A652" s="13" t="s">
        <v>649</v>
      </c>
      <c r="B652" s="13" t="s">
        <v>70</v>
      </c>
      <c r="C652" s="13" t="s">
        <v>4156</v>
      </c>
      <c r="D652" s="13" t="s">
        <v>1873</v>
      </c>
      <c r="E652" s="13" t="s">
        <v>4255</v>
      </c>
      <c r="F652" s="14" t="s">
        <v>4256</v>
      </c>
      <c r="G652" s="14" t="s">
        <v>2492</v>
      </c>
      <c r="H652" s="20" t="n">
        <v>28.3</v>
      </c>
      <c r="I652" s="13" t="n">
        <v>28</v>
      </c>
      <c r="J652" s="13" t="s">
        <v>4257</v>
      </c>
      <c r="K652" s="13" t="n">
        <v>29</v>
      </c>
      <c r="L652" s="21" t="n">
        <v>10.4</v>
      </c>
      <c r="M652" s="21" t="n">
        <f aca="false">IF(C652="covered",10.4,7.55)</f>
        <v>10.4</v>
      </c>
      <c r="N652" s="13" t="n">
        <f aca="false">MAX(ROUNDUP(H652,0),I652)</f>
        <v>29</v>
      </c>
      <c r="O652" s="21" t="n">
        <v>301.6</v>
      </c>
      <c r="P652" s="21" t="n">
        <f aca="false">ROUND(M652*N652,2)</f>
        <v>301.6</v>
      </c>
      <c r="Q652" s="21" t="n">
        <f aca="false">ROUND(P652-IF(O652="",0,O652),2)</f>
        <v>0</v>
      </c>
      <c r="R652" s="14" t="str">
        <f aca="false">IF(J652="","MISSING BILL",IF(AND(K652=N652,ABS(L652-M652)&lt;0.001,ABS(O652-P652)&lt;0.01),"RECONCILED","CALCULATION ERROR"))</f>
        <v>RECONCILED</v>
      </c>
      <c r="S652" s="14" t="s">
        <v>2935</v>
      </c>
    </row>
    <row r="653" customFormat="false" ht="15" hidden="true" customHeight="false" outlineLevel="0" collapsed="false">
      <c r="A653" s="13" t="s">
        <v>194</v>
      </c>
      <c r="B653" s="13" t="s">
        <v>70</v>
      </c>
      <c r="C653" s="13" t="s">
        <v>4156</v>
      </c>
      <c r="D653" s="13" t="s">
        <v>1873</v>
      </c>
      <c r="E653" s="13" t="s">
        <v>4258</v>
      </c>
      <c r="F653" s="14" t="s">
        <v>4259</v>
      </c>
      <c r="G653" s="14" t="s">
        <v>2171</v>
      </c>
      <c r="H653" s="20" t="n">
        <v>35.6</v>
      </c>
      <c r="I653" s="13" t="n">
        <v>28</v>
      </c>
      <c r="J653" s="13" t="s">
        <v>4260</v>
      </c>
      <c r="K653" s="13" t="n">
        <v>36</v>
      </c>
      <c r="L653" s="21" t="n">
        <v>10.4</v>
      </c>
      <c r="M653" s="21" t="n">
        <f aca="false">IF(C653="covered",10.4,7.55)</f>
        <v>10.4</v>
      </c>
      <c r="N653" s="13" t="n">
        <f aca="false">MAX(ROUNDUP(H653,0),I653)</f>
        <v>36</v>
      </c>
      <c r="O653" s="21" t="n">
        <v>374.4</v>
      </c>
      <c r="P653" s="21" t="n">
        <f aca="false">ROUND(M653*N653,2)</f>
        <v>374.4</v>
      </c>
      <c r="Q653" s="21" t="n">
        <f aca="false">ROUND(P653-IF(O653="",0,O653),2)</f>
        <v>0</v>
      </c>
      <c r="R653" s="14" t="str">
        <f aca="false">IF(J653="","MISSING BILL",IF(AND(K653=N653,ABS(L653-M653)&lt;0.001,ABS(O653-P653)&lt;0.01),"RECONCILED","CALCULATION ERROR"))</f>
        <v>RECONCILED</v>
      </c>
      <c r="S653" s="14" t="s">
        <v>2935</v>
      </c>
    </row>
    <row r="654" customFormat="false" ht="15" hidden="true" customHeight="false" outlineLevel="0" collapsed="false">
      <c r="A654" s="13" t="s">
        <v>4261</v>
      </c>
      <c r="B654" s="13" t="s">
        <v>70</v>
      </c>
      <c r="C654" s="13" t="s">
        <v>4156</v>
      </c>
      <c r="D654" s="13" t="s">
        <v>1873</v>
      </c>
      <c r="E654" s="13" t="s">
        <v>4262</v>
      </c>
      <c r="F654" s="14" t="s">
        <v>4263</v>
      </c>
      <c r="G654" s="14" t="s">
        <v>2914</v>
      </c>
      <c r="H654" s="20" t="n">
        <v>23</v>
      </c>
      <c r="I654" s="13" t="n">
        <v>40</v>
      </c>
      <c r="J654" s="13" t="s">
        <v>4264</v>
      </c>
      <c r="K654" s="13" t="n">
        <v>40</v>
      </c>
      <c r="L654" s="21" t="n">
        <v>10.4</v>
      </c>
      <c r="M654" s="21" t="n">
        <f aca="false">IF(C654="covered",10.4,7.55)</f>
        <v>10.4</v>
      </c>
      <c r="N654" s="13" t="n">
        <f aca="false">MAX(ROUNDUP(H654,0),I654)</f>
        <v>40</v>
      </c>
      <c r="O654" s="21" t="n">
        <v>416</v>
      </c>
      <c r="P654" s="21" t="n">
        <f aca="false">ROUND(M654*N654,2)</f>
        <v>416</v>
      </c>
      <c r="Q654" s="21" t="n">
        <f aca="false">ROUND(P654-IF(O654="",0,O654),2)</f>
        <v>0</v>
      </c>
      <c r="R654" s="14" t="str">
        <f aca="false">IF(J654="","MISSING BILL",IF(AND(K654=N654,ABS(L654-M654)&lt;0.001,ABS(O654-P654)&lt;0.01),"RECONCILED","CALCULATION ERROR"))</f>
        <v>RECONCILED</v>
      </c>
      <c r="S654" s="14" t="s">
        <v>2935</v>
      </c>
    </row>
    <row r="655" customFormat="false" ht="15" hidden="true" customHeight="false" outlineLevel="0" collapsed="false">
      <c r="A655" s="13" t="s">
        <v>4265</v>
      </c>
      <c r="B655" s="13" t="s">
        <v>70</v>
      </c>
      <c r="C655" s="13" t="s">
        <v>4156</v>
      </c>
      <c r="D655" s="13" t="s">
        <v>1873</v>
      </c>
      <c r="E655" s="13" t="s">
        <v>1017</v>
      </c>
      <c r="F655" s="14" t="s">
        <v>1018</v>
      </c>
      <c r="G655" s="14" t="s">
        <v>2662</v>
      </c>
      <c r="H655" s="20" t="n">
        <v>41.4</v>
      </c>
      <c r="I655" s="13" t="n">
        <v>24</v>
      </c>
      <c r="J655" s="13" t="s">
        <v>4266</v>
      </c>
      <c r="K655" s="13" t="n">
        <v>42</v>
      </c>
      <c r="L655" s="21" t="n">
        <v>10.4</v>
      </c>
      <c r="M655" s="21" t="n">
        <f aca="false">IF(C655="covered",10.4,7.55)</f>
        <v>10.4</v>
      </c>
      <c r="N655" s="13" t="n">
        <f aca="false">MAX(ROUNDUP(H655,0),I655)</f>
        <v>42</v>
      </c>
      <c r="O655" s="21" t="n">
        <v>436.8</v>
      </c>
      <c r="P655" s="21" t="n">
        <f aca="false">ROUND(M655*N655,2)</f>
        <v>436.8</v>
      </c>
      <c r="Q655" s="21" t="n">
        <f aca="false">ROUND(P655-IF(O655="",0,O655),2)</f>
        <v>0</v>
      </c>
      <c r="R655" s="14" t="str">
        <f aca="false">IF(J655="","MISSING BILL",IF(AND(K655=N655,ABS(L655-M655)&lt;0.001,ABS(O655-P655)&lt;0.01),"RECONCILED","CALCULATION ERROR"))</f>
        <v>RECONCILED</v>
      </c>
      <c r="S655" s="14" t="s">
        <v>2935</v>
      </c>
    </row>
    <row r="656" customFormat="false" ht="15" hidden="true" customHeight="false" outlineLevel="0" collapsed="false">
      <c r="A656" s="13" t="s">
        <v>1188</v>
      </c>
      <c r="B656" s="13" t="s">
        <v>70</v>
      </c>
      <c r="C656" s="13" t="s">
        <v>4156</v>
      </c>
      <c r="D656" s="13" t="s">
        <v>1873</v>
      </c>
      <c r="E656" s="13" t="s">
        <v>4267</v>
      </c>
      <c r="F656" s="14" t="s">
        <v>4268</v>
      </c>
      <c r="G656" s="14" t="s">
        <v>4269</v>
      </c>
      <c r="H656" s="20" t="n">
        <v>35.9</v>
      </c>
      <c r="I656" s="13" t="n">
        <v>32</v>
      </c>
      <c r="J656" s="13" t="s">
        <v>4270</v>
      </c>
      <c r="K656" s="13" t="n">
        <v>36</v>
      </c>
      <c r="L656" s="21" t="n">
        <v>10.4</v>
      </c>
      <c r="M656" s="21" t="n">
        <f aca="false">IF(C656="covered",10.4,7.55)</f>
        <v>10.4</v>
      </c>
      <c r="N656" s="13" t="n">
        <f aca="false">MAX(ROUNDUP(H656,0),I656)</f>
        <v>36</v>
      </c>
      <c r="O656" s="21" t="n">
        <v>374.4</v>
      </c>
      <c r="P656" s="21" t="n">
        <f aca="false">ROUND(M656*N656,2)</f>
        <v>374.4</v>
      </c>
      <c r="Q656" s="21" t="n">
        <f aca="false">ROUND(P656-IF(O656="",0,O656),2)</f>
        <v>0</v>
      </c>
      <c r="R656" s="14" t="str">
        <f aca="false">IF(J656="","MISSING BILL",IF(AND(K656=N656,ABS(L656-M656)&lt;0.001,ABS(O656-P656)&lt;0.01),"RECONCILED","CALCULATION ERROR"))</f>
        <v>RECONCILED</v>
      </c>
      <c r="S656" s="14" t="s">
        <v>2935</v>
      </c>
    </row>
    <row r="657" customFormat="false" ht="15" hidden="true" customHeight="false" outlineLevel="0" collapsed="false">
      <c r="A657" s="13" t="s">
        <v>4271</v>
      </c>
      <c r="B657" s="13" t="s">
        <v>70</v>
      </c>
      <c r="C657" s="13" t="s">
        <v>4156</v>
      </c>
      <c r="D657" s="13" t="s">
        <v>1873</v>
      </c>
      <c r="E657" s="13" t="s">
        <v>4272</v>
      </c>
      <c r="F657" s="14" t="s">
        <v>4273</v>
      </c>
      <c r="G657" s="14" t="s">
        <v>2284</v>
      </c>
      <c r="H657" s="20" t="n">
        <v>19.8</v>
      </c>
      <c r="I657" s="13" t="n">
        <v>32</v>
      </c>
      <c r="J657" s="13" t="s">
        <v>4274</v>
      </c>
      <c r="K657" s="13" t="n">
        <v>32</v>
      </c>
      <c r="L657" s="21" t="n">
        <v>10.4</v>
      </c>
      <c r="M657" s="21" t="n">
        <f aca="false">IF(C657="covered",10.4,7.55)</f>
        <v>10.4</v>
      </c>
      <c r="N657" s="13" t="n">
        <f aca="false">MAX(ROUNDUP(H657,0),I657)</f>
        <v>32</v>
      </c>
      <c r="O657" s="21" t="n">
        <v>332.8</v>
      </c>
      <c r="P657" s="21" t="n">
        <f aca="false">ROUND(M657*N657,2)</f>
        <v>332.8</v>
      </c>
      <c r="Q657" s="21" t="n">
        <f aca="false">ROUND(P657-IF(O657="",0,O657),2)</f>
        <v>0</v>
      </c>
      <c r="R657" s="14" t="str">
        <f aca="false">IF(J657="","MISSING BILL",IF(AND(K657=N657,ABS(L657-M657)&lt;0.001,ABS(O657-P657)&lt;0.01),"RECONCILED","CALCULATION ERROR"))</f>
        <v>RECONCILED</v>
      </c>
      <c r="S657" s="14" t="s">
        <v>2935</v>
      </c>
    </row>
    <row r="658" customFormat="false" ht="15" hidden="true" customHeight="false" outlineLevel="0" collapsed="false">
      <c r="A658" s="13" t="s">
        <v>4275</v>
      </c>
      <c r="B658" s="13" t="s">
        <v>70</v>
      </c>
      <c r="C658" s="13" t="s">
        <v>4156</v>
      </c>
      <c r="D658" s="13" t="s">
        <v>1873</v>
      </c>
      <c r="E658" s="13" t="s">
        <v>1110</v>
      </c>
      <c r="F658" s="14" t="s">
        <v>1111</v>
      </c>
      <c r="G658" s="14" t="s">
        <v>4276</v>
      </c>
      <c r="H658" s="20" t="n">
        <v>24.8</v>
      </c>
      <c r="I658" s="13" t="n">
        <v>40</v>
      </c>
      <c r="J658" s="13" t="s">
        <v>4277</v>
      </c>
      <c r="K658" s="13" t="n">
        <v>40</v>
      </c>
      <c r="L658" s="21" t="n">
        <v>10.4</v>
      </c>
      <c r="M658" s="21" t="n">
        <f aca="false">IF(C658="covered",10.4,7.55)</f>
        <v>10.4</v>
      </c>
      <c r="N658" s="13" t="n">
        <f aca="false">MAX(ROUNDUP(H658,0),I658)</f>
        <v>40</v>
      </c>
      <c r="O658" s="21" t="n">
        <v>416</v>
      </c>
      <c r="P658" s="21" t="n">
        <f aca="false">ROUND(M658*N658,2)</f>
        <v>416</v>
      </c>
      <c r="Q658" s="21" t="n">
        <f aca="false">ROUND(P658-IF(O658="",0,O658),2)</f>
        <v>0</v>
      </c>
      <c r="R658" s="14" t="str">
        <f aca="false">IF(J658="","MISSING BILL",IF(AND(K658=N658,ABS(L658-M658)&lt;0.001,ABS(O658-P658)&lt;0.01),"RECONCILED","CALCULATION ERROR"))</f>
        <v>RECONCILED</v>
      </c>
      <c r="S658" s="14" t="s">
        <v>2935</v>
      </c>
    </row>
    <row r="659" customFormat="false" ht="15" hidden="true" customHeight="false" outlineLevel="0" collapsed="false">
      <c r="A659" s="13" t="s">
        <v>4278</v>
      </c>
      <c r="B659" s="13" t="s">
        <v>70</v>
      </c>
      <c r="C659" s="13" t="s">
        <v>4156</v>
      </c>
      <c r="D659" s="13" t="s">
        <v>1873</v>
      </c>
      <c r="E659" s="13" t="s">
        <v>4279</v>
      </c>
      <c r="F659" s="14" t="s">
        <v>4280</v>
      </c>
      <c r="G659" s="14" t="s">
        <v>4281</v>
      </c>
      <c r="H659" s="20" t="n">
        <v>57.4</v>
      </c>
      <c r="I659" s="13" t="n">
        <v>24</v>
      </c>
      <c r="J659" s="13" t="s">
        <v>4282</v>
      </c>
      <c r="K659" s="13" t="n">
        <v>58</v>
      </c>
      <c r="L659" s="21" t="n">
        <v>10.4</v>
      </c>
      <c r="M659" s="21" t="n">
        <f aca="false">IF(C659="covered",10.4,7.55)</f>
        <v>10.4</v>
      </c>
      <c r="N659" s="13" t="n">
        <f aca="false">MAX(ROUNDUP(H659,0),I659)</f>
        <v>58</v>
      </c>
      <c r="O659" s="21" t="n">
        <v>603.2</v>
      </c>
      <c r="P659" s="21" t="n">
        <f aca="false">ROUND(M659*N659,2)</f>
        <v>603.2</v>
      </c>
      <c r="Q659" s="21" t="n">
        <f aca="false">ROUND(P659-IF(O659="",0,O659),2)</f>
        <v>0</v>
      </c>
      <c r="R659" s="14" t="str">
        <f aca="false">IF(J659="","MISSING BILL",IF(AND(K659=N659,ABS(L659-M659)&lt;0.001,ABS(O659-P659)&lt;0.01),"RECONCILED","CALCULATION ERROR"))</f>
        <v>RECONCILED</v>
      </c>
      <c r="S659" s="14" t="s">
        <v>2935</v>
      </c>
    </row>
    <row r="660" customFormat="false" ht="15" hidden="true" customHeight="false" outlineLevel="0" collapsed="false">
      <c r="A660" s="13" t="s">
        <v>4283</v>
      </c>
      <c r="B660" s="13" t="s">
        <v>70</v>
      </c>
      <c r="C660" s="13" t="s">
        <v>4156</v>
      </c>
      <c r="D660" s="13" t="s">
        <v>1873</v>
      </c>
      <c r="E660" s="13" t="s">
        <v>4284</v>
      </c>
      <c r="F660" s="14" t="s">
        <v>4285</v>
      </c>
      <c r="G660" s="14" t="s">
        <v>3862</v>
      </c>
      <c r="H660" s="20" t="n">
        <v>49.7</v>
      </c>
      <c r="I660" s="13" t="n">
        <v>40</v>
      </c>
      <c r="J660" s="13" t="s">
        <v>4286</v>
      </c>
      <c r="K660" s="13" t="n">
        <v>50</v>
      </c>
      <c r="L660" s="21" t="n">
        <v>10.4</v>
      </c>
      <c r="M660" s="21" t="n">
        <f aca="false">IF(C660="covered",10.4,7.55)</f>
        <v>10.4</v>
      </c>
      <c r="N660" s="13" t="n">
        <f aca="false">MAX(ROUNDUP(H660,0),I660)</f>
        <v>50</v>
      </c>
      <c r="O660" s="21" t="n">
        <v>520</v>
      </c>
      <c r="P660" s="21" t="n">
        <f aca="false">ROUND(M660*N660,2)</f>
        <v>520</v>
      </c>
      <c r="Q660" s="21" t="n">
        <f aca="false">ROUND(P660-IF(O660="",0,O660),2)</f>
        <v>0</v>
      </c>
      <c r="R660" s="14" t="str">
        <f aca="false">IF(J660="","MISSING BILL",IF(AND(K660=N660,ABS(L660-M660)&lt;0.001,ABS(O660-P660)&lt;0.01),"RECONCILED","CALCULATION ERROR"))</f>
        <v>RECONCILED</v>
      </c>
      <c r="S660" s="14" t="s">
        <v>2935</v>
      </c>
    </row>
    <row r="661" customFormat="false" ht="15" hidden="true" customHeight="false" outlineLevel="0" collapsed="false">
      <c r="A661" s="13" t="s">
        <v>4287</v>
      </c>
      <c r="B661" s="13" t="s">
        <v>70</v>
      </c>
      <c r="C661" s="13" t="s">
        <v>4156</v>
      </c>
      <c r="D661" s="13" t="s">
        <v>1873</v>
      </c>
      <c r="E661" s="13" t="s">
        <v>4288</v>
      </c>
      <c r="F661" s="14" t="s">
        <v>4289</v>
      </c>
      <c r="G661" s="14" t="s">
        <v>2855</v>
      </c>
      <c r="H661" s="20" t="n">
        <v>31</v>
      </c>
      <c r="I661" s="13" t="n">
        <v>28</v>
      </c>
      <c r="J661" s="13" t="s">
        <v>4290</v>
      </c>
      <c r="K661" s="13" t="n">
        <v>31</v>
      </c>
      <c r="L661" s="21" t="n">
        <v>10.4</v>
      </c>
      <c r="M661" s="21" t="n">
        <f aca="false">IF(C661="covered",10.4,7.55)</f>
        <v>10.4</v>
      </c>
      <c r="N661" s="13" t="n">
        <f aca="false">MAX(ROUNDUP(H661,0),I661)</f>
        <v>31</v>
      </c>
      <c r="O661" s="21" t="n">
        <v>322.4</v>
      </c>
      <c r="P661" s="21" t="n">
        <f aca="false">ROUND(M661*N661,2)</f>
        <v>322.4</v>
      </c>
      <c r="Q661" s="21" t="n">
        <f aca="false">ROUND(P661-IF(O661="",0,O661),2)</f>
        <v>0</v>
      </c>
      <c r="R661" s="14" t="str">
        <f aca="false">IF(J661="","MISSING BILL",IF(AND(K661=N661,ABS(L661-M661)&lt;0.001,ABS(O661-P661)&lt;0.01),"RECONCILED","CALCULATION ERROR"))</f>
        <v>RECONCILED</v>
      </c>
      <c r="S661" s="14" t="s">
        <v>2935</v>
      </c>
    </row>
    <row r="662" customFormat="false" ht="15" hidden="true" customHeight="false" outlineLevel="0" collapsed="false">
      <c r="A662" s="13" t="s">
        <v>991</v>
      </c>
      <c r="B662" s="13" t="s">
        <v>70</v>
      </c>
      <c r="C662" s="13" t="s">
        <v>4156</v>
      </c>
      <c r="D662" s="13" t="s">
        <v>1873</v>
      </c>
      <c r="E662" s="13" t="s">
        <v>4291</v>
      </c>
      <c r="F662" s="14" t="s">
        <v>4292</v>
      </c>
      <c r="G662" s="14" t="s">
        <v>2079</v>
      </c>
      <c r="H662" s="20" t="n">
        <v>26.3</v>
      </c>
      <c r="I662" s="13" t="n">
        <v>28</v>
      </c>
      <c r="J662" s="13" t="s">
        <v>4293</v>
      </c>
      <c r="K662" s="13" t="n">
        <v>28</v>
      </c>
      <c r="L662" s="21" t="n">
        <v>10.4</v>
      </c>
      <c r="M662" s="21" t="n">
        <f aca="false">IF(C662="covered",10.4,7.55)</f>
        <v>10.4</v>
      </c>
      <c r="N662" s="13" t="n">
        <f aca="false">MAX(ROUNDUP(H662,0),I662)</f>
        <v>28</v>
      </c>
      <c r="O662" s="21" t="n">
        <v>291.2</v>
      </c>
      <c r="P662" s="21" t="n">
        <f aca="false">ROUND(M662*N662,2)</f>
        <v>291.2</v>
      </c>
      <c r="Q662" s="21" t="n">
        <f aca="false">ROUND(P662-IF(O662="",0,O662),2)</f>
        <v>0</v>
      </c>
      <c r="R662" s="14" t="str">
        <f aca="false">IF(J662="","MISSING BILL",IF(AND(K662=N662,ABS(L662-M662)&lt;0.001,ABS(O662-P662)&lt;0.01),"RECONCILED","CALCULATION ERROR"))</f>
        <v>RECONCILED</v>
      </c>
      <c r="S662" s="14" t="s">
        <v>2935</v>
      </c>
    </row>
    <row r="663" customFormat="false" ht="15" hidden="true" customHeight="false" outlineLevel="0" collapsed="false">
      <c r="A663" s="13" t="s">
        <v>822</v>
      </c>
      <c r="B663" s="13" t="s">
        <v>70</v>
      </c>
      <c r="C663" s="13" t="s">
        <v>4156</v>
      </c>
      <c r="D663" s="13" t="s">
        <v>1873</v>
      </c>
      <c r="E663" s="13" t="s">
        <v>4294</v>
      </c>
      <c r="F663" s="14" t="s">
        <v>4295</v>
      </c>
      <c r="G663" s="14" t="s">
        <v>3891</v>
      </c>
      <c r="H663" s="20" t="n">
        <v>57</v>
      </c>
      <c r="I663" s="13" t="n">
        <v>32</v>
      </c>
      <c r="J663" s="13" t="s">
        <v>4296</v>
      </c>
      <c r="K663" s="13" t="n">
        <v>57</v>
      </c>
      <c r="L663" s="21" t="n">
        <v>10.4</v>
      </c>
      <c r="M663" s="21" t="n">
        <f aca="false">IF(C663="covered",10.4,7.55)</f>
        <v>10.4</v>
      </c>
      <c r="N663" s="13" t="n">
        <f aca="false">MAX(ROUNDUP(H663,0),I663)</f>
        <v>57</v>
      </c>
      <c r="O663" s="21" t="n">
        <v>592.8</v>
      </c>
      <c r="P663" s="21" t="n">
        <f aca="false">ROUND(M663*N663,2)</f>
        <v>592.8</v>
      </c>
      <c r="Q663" s="21" t="n">
        <f aca="false">ROUND(P663-IF(O663="",0,O663),2)</f>
        <v>0</v>
      </c>
      <c r="R663" s="14" t="str">
        <f aca="false">IF(J663="","MISSING BILL",IF(AND(K663=N663,ABS(L663-M663)&lt;0.001,ABS(O663-P663)&lt;0.01),"RECONCILED","CALCULATION ERROR"))</f>
        <v>RECONCILED</v>
      </c>
      <c r="S663" s="14" t="s">
        <v>2935</v>
      </c>
    </row>
    <row r="664" customFormat="false" ht="15" hidden="true" customHeight="false" outlineLevel="0" collapsed="false">
      <c r="A664" s="13" t="s">
        <v>4297</v>
      </c>
      <c r="B664" s="13" t="s">
        <v>70</v>
      </c>
      <c r="C664" s="13" t="s">
        <v>4156</v>
      </c>
      <c r="D664" s="13" t="s">
        <v>1873</v>
      </c>
      <c r="E664" s="13" t="s">
        <v>4298</v>
      </c>
      <c r="F664" s="14" t="s">
        <v>4299</v>
      </c>
      <c r="G664" s="14" t="s">
        <v>4300</v>
      </c>
      <c r="H664" s="20" t="n">
        <v>58.7</v>
      </c>
      <c r="I664" s="13" t="n">
        <v>40</v>
      </c>
      <c r="J664" s="13" t="s">
        <v>4301</v>
      </c>
      <c r="K664" s="13" t="n">
        <v>59</v>
      </c>
      <c r="L664" s="21" t="n">
        <v>10.4</v>
      </c>
      <c r="M664" s="21" t="n">
        <f aca="false">IF(C664="covered",10.4,7.55)</f>
        <v>10.4</v>
      </c>
      <c r="N664" s="13" t="n">
        <f aca="false">MAX(ROUNDUP(H664,0),I664)</f>
        <v>59</v>
      </c>
      <c r="O664" s="21" t="n">
        <v>613.6</v>
      </c>
      <c r="P664" s="21" t="n">
        <f aca="false">ROUND(M664*N664,2)</f>
        <v>613.6</v>
      </c>
      <c r="Q664" s="21" t="n">
        <f aca="false">ROUND(P664-IF(O664="",0,O664),2)</f>
        <v>0</v>
      </c>
      <c r="R664" s="14" t="str">
        <f aca="false">IF(J664="","MISSING BILL",IF(AND(K664=N664,ABS(L664-M664)&lt;0.001,ABS(O664-P664)&lt;0.01),"RECONCILED","CALCULATION ERROR"))</f>
        <v>RECONCILED</v>
      </c>
      <c r="S664" s="14" t="s">
        <v>2935</v>
      </c>
    </row>
    <row r="665" customFormat="false" ht="15" hidden="true" customHeight="false" outlineLevel="0" collapsed="false">
      <c r="A665" s="13" t="s">
        <v>4302</v>
      </c>
      <c r="B665" s="13" t="s">
        <v>70</v>
      </c>
      <c r="C665" s="13" t="s">
        <v>4156</v>
      </c>
      <c r="D665" s="13" t="s">
        <v>1873</v>
      </c>
      <c r="E665" s="13" t="s">
        <v>4303</v>
      </c>
      <c r="F665" s="14" t="s">
        <v>4304</v>
      </c>
      <c r="G665" s="14" t="s">
        <v>2464</v>
      </c>
      <c r="H665" s="20" t="n">
        <v>41.6</v>
      </c>
      <c r="I665" s="13" t="n">
        <v>24</v>
      </c>
      <c r="J665" s="13" t="s">
        <v>4305</v>
      </c>
      <c r="K665" s="13" t="n">
        <v>42</v>
      </c>
      <c r="L665" s="21" t="n">
        <v>10.4</v>
      </c>
      <c r="M665" s="21" t="n">
        <f aca="false">IF(C665="covered",10.4,7.55)</f>
        <v>10.4</v>
      </c>
      <c r="N665" s="13" t="n">
        <f aca="false">MAX(ROUNDUP(H665,0),I665)</f>
        <v>42</v>
      </c>
      <c r="O665" s="21" t="n">
        <v>436.8</v>
      </c>
      <c r="P665" s="21" t="n">
        <f aca="false">ROUND(M665*N665,2)</f>
        <v>436.8</v>
      </c>
      <c r="Q665" s="21" t="n">
        <f aca="false">ROUND(P665-IF(O665="",0,O665),2)</f>
        <v>0</v>
      </c>
      <c r="R665" s="14" t="str">
        <f aca="false">IF(J665="","MISSING BILL",IF(AND(K665=N665,ABS(L665-M665)&lt;0.001,ABS(O665-P665)&lt;0.01),"RECONCILED","CALCULATION ERROR"))</f>
        <v>RECONCILED</v>
      </c>
      <c r="S665" s="14" t="s">
        <v>2935</v>
      </c>
    </row>
    <row r="666" customFormat="false" ht="15" hidden="true" customHeight="false" outlineLevel="0" collapsed="false">
      <c r="A666" s="13" t="s">
        <v>334</v>
      </c>
      <c r="B666" s="13" t="s">
        <v>70</v>
      </c>
      <c r="C666" s="13" t="s">
        <v>4156</v>
      </c>
      <c r="D666" s="13" t="s">
        <v>1873</v>
      </c>
      <c r="E666" s="13" t="s">
        <v>4306</v>
      </c>
      <c r="F666" s="14" t="s">
        <v>4307</v>
      </c>
      <c r="G666" s="14" t="s">
        <v>4308</v>
      </c>
      <c r="H666" s="20" t="n">
        <v>46.9</v>
      </c>
      <c r="I666" s="13" t="n">
        <v>28</v>
      </c>
      <c r="J666" s="13" t="s">
        <v>4309</v>
      </c>
      <c r="K666" s="13" t="n">
        <v>47</v>
      </c>
      <c r="L666" s="21" t="n">
        <v>10.4</v>
      </c>
      <c r="M666" s="21" t="n">
        <f aca="false">IF(C666="covered",10.4,7.55)</f>
        <v>10.4</v>
      </c>
      <c r="N666" s="13" t="n">
        <f aca="false">MAX(ROUNDUP(H666,0),I666)</f>
        <v>47</v>
      </c>
      <c r="O666" s="21" t="n">
        <v>488.8</v>
      </c>
      <c r="P666" s="21" t="n">
        <f aca="false">ROUND(M666*N666,2)</f>
        <v>488.8</v>
      </c>
      <c r="Q666" s="21" t="n">
        <f aca="false">ROUND(P666-IF(O666="",0,O666),2)</f>
        <v>0</v>
      </c>
      <c r="R666" s="14" t="str">
        <f aca="false">IF(J666="","MISSING BILL",IF(AND(K666=N666,ABS(L666-M666)&lt;0.001,ABS(O666-P666)&lt;0.01),"RECONCILED","CALCULATION ERROR"))</f>
        <v>RECONCILED</v>
      </c>
      <c r="S666" s="14" t="s">
        <v>2935</v>
      </c>
    </row>
    <row r="667" customFormat="false" ht="15" hidden="true" customHeight="false" outlineLevel="0" collapsed="false">
      <c r="A667" s="13" t="s">
        <v>309</v>
      </c>
      <c r="B667" s="13" t="s">
        <v>70</v>
      </c>
      <c r="C667" s="13" t="s">
        <v>4156</v>
      </c>
      <c r="D667" s="13" t="s">
        <v>1873</v>
      </c>
      <c r="E667" s="13" t="s">
        <v>4310</v>
      </c>
      <c r="F667" s="14" t="s">
        <v>4311</v>
      </c>
      <c r="G667" s="14" t="s">
        <v>4269</v>
      </c>
      <c r="H667" s="20" t="n">
        <v>45.1</v>
      </c>
      <c r="I667" s="13" t="n">
        <v>28</v>
      </c>
      <c r="J667" s="13" t="s">
        <v>4312</v>
      </c>
      <c r="K667" s="13" t="n">
        <v>46</v>
      </c>
      <c r="L667" s="21" t="n">
        <v>10.4</v>
      </c>
      <c r="M667" s="21" t="n">
        <f aca="false">IF(C667="covered",10.4,7.55)</f>
        <v>10.4</v>
      </c>
      <c r="N667" s="13" t="n">
        <f aca="false">MAX(ROUNDUP(H667,0),I667)</f>
        <v>46</v>
      </c>
      <c r="O667" s="21" t="n">
        <v>478.4</v>
      </c>
      <c r="P667" s="21" t="n">
        <f aca="false">ROUND(M667*N667,2)</f>
        <v>478.4</v>
      </c>
      <c r="Q667" s="21" t="n">
        <f aca="false">ROUND(P667-IF(O667="",0,O667),2)</f>
        <v>0</v>
      </c>
      <c r="R667" s="14" t="str">
        <f aca="false">IF(J667="","MISSING BILL",IF(AND(K667=N667,ABS(L667-M667)&lt;0.001,ABS(O667-P667)&lt;0.01),"RECONCILED","CALCULATION ERROR"))</f>
        <v>RECONCILED</v>
      </c>
      <c r="S667" s="14" t="s">
        <v>2935</v>
      </c>
    </row>
    <row r="668" customFormat="false" ht="15" hidden="true" customHeight="false" outlineLevel="0" collapsed="false">
      <c r="A668" s="13" t="s">
        <v>4313</v>
      </c>
      <c r="B668" s="13" t="s">
        <v>70</v>
      </c>
      <c r="C668" s="13" t="s">
        <v>4156</v>
      </c>
      <c r="D668" s="13" t="s">
        <v>1873</v>
      </c>
      <c r="E668" s="13" t="s">
        <v>4314</v>
      </c>
      <c r="F668" s="14" t="s">
        <v>4315</v>
      </c>
      <c r="G668" s="14" t="s">
        <v>3907</v>
      </c>
      <c r="H668" s="20" t="n">
        <v>57.8</v>
      </c>
      <c r="I668" s="13" t="n">
        <v>24</v>
      </c>
      <c r="J668" s="13" t="s">
        <v>4316</v>
      </c>
      <c r="K668" s="13" t="n">
        <v>58</v>
      </c>
      <c r="L668" s="21" t="n">
        <v>10.4</v>
      </c>
      <c r="M668" s="21" t="n">
        <f aca="false">IF(C668="covered",10.4,7.55)</f>
        <v>10.4</v>
      </c>
      <c r="N668" s="13" t="n">
        <f aca="false">MAX(ROUNDUP(H668,0),I668)</f>
        <v>58</v>
      </c>
      <c r="O668" s="21" t="n">
        <v>603.2</v>
      </c>
      <c r="P668" s="21" t="n">
        <f aca="false">ROUND(M668*N668,2)</f>
        <v>603.2</v>
      </c>
      <c r="Q668" s="21" t="n">
        <f aca="false">ROUND(P668-IF(O668="",0,O668),2)</f>
        <v>0</v>
      </c>
      <c r="R668" s="14" t="str">
        <f aca="false">IF(J668="","MISSING BILL",IF(AND(K668=N668,ABS(L668-M668)&lt;0.001,ABS(O668-P668)&lt;0.01),"RECONCILED","CALCULATION ERROR"))</f>
        <v>RECONCILED</v>
      </c>
      <c r="S668" s="14" t="s">
        <v>2935</v>
      </c>
    </row>
    <row r="669" customFormat="false" ht="15" hidden="true" customHeight="false" outlineLevel="0" collapsed="false">
      <c r="A669" s="13" t="s">
        <v>4317</v>
      </c>
      <c r="B669" s="13" t="s">
        <v>70</v>
      </c>
      <c r="C669" s="13" t="s">
        <v>4156</v>
      </c>
      <c r="D669" s="13" t="s">
        <v>1873</v>
      </c>
      <c r="E669" s="13" t="s">
        <v>4318</v>
      </c>
      <c r="F669" s="14" t="s">
        <v>4319</v>
      </c>
      <c r="G669" s="14" t="s">
        <v>2575</v>
      </c>
      <c r="H669" s="20" t="n">
        <v>25.5</v>
      </c>
      <c r="I669" s="13" t="n">
        <v>36</v>
      </c>
      <c r="J669" s="13" t="s">
        <v>4320</v>
      </c>
      <c r="K669" s="13" t="n">
        <v>36</v>
      </c>
      <c r="L669" s="21" t="n">
        <v>10.4</v>
      </c>
      <c r="M669" s="21" t="n">
        <f aca="false">IF(C669="covered",10.4,7.55)</f>
        <v>10.4</v>
      </c>
      <c r="N669" s="13" t="n">
        <f aca="false">MAX(ROUNDUP(H669,0),I669)</f>
        <v>36</v>
      </c>
      <c r="O669" s="21" t="n">
        <v>374.4</v>
      </c>
      <c r="P669" s="21" t="n">
        <f aca="false">ROUND(M669*N669,2)</f>
        <v>374.4</v>
      </c>
      <c r="Q669" s="21" t="n">
        <f aca="false">ROUND(P669-IF(O669="",0,O669),2)</f>
        <v>0</v>
      </c>
      <c r="R669" s="14" t="str">
        <f aca="false">IF(J669="","MISSING BILL",IF(AND(K669=N669,ABS(L669-M669)&lt;0.001,ABS(O669-P669)&lt;0.01),"RECONCILED","CALCULATION ERROR"))</f>
        <v>RECONCILED</v>
      </c>
      <c r="S669" s="14" t="s">
        <v>2935</v>
      </c>
    </row>
    <row r="670" customFormat="false" ht="15" hidden="true" customHeight="false" outlineLevel="0" collapsed="false">
      <c r="A670" s="13" t="s">
        <v>4321</v>
      </c>
      <c r="B670" s="13" t="s">
        <v>70</v>
      </c>
      <c r="C670" s="13" t="s">
        <v>4156</v>
      </c>
      <c r="D670" s="13" t="s">
        <v>1873</v>
      </c>
      <c r="E670" s="13" t="s">
        <v>4322</v>
      </c>
      <c r="F670" s="14" t="s">
        <v>4323</v>
      </c>
      <c r="G670" s="14" t="s">
        <v>2618</v>
      </c>
      <c r="H670" s="20" t="n">
        <v>49.8</v>
      </c>
      <c r="I670" s="13" t="n">
        <v>24</v>
      </c>
      <c r="J670" s="13" t="s">
        <v>4324</v>
      </c>
      <c r="K670" s="13" t="n">
        <v>50</v>
      </c>
      <c r="L670" s="21" t="n">
        <v>10.4</v>
      </c>
      <c r="M670" s="21" t="n">
        <f aca="false">IF(C670="covered",10.4,7.55)</f>
        <v>10.4</v>
      </c>
      <c r="N670" s="13" t="n">
        <f aca="false">MAX(ROUNDUP(H670,0),I670)</f>
        <v>50</v>
      </c>
      <c r="O670" s="21" t="n">
        <v>520</v>
      </c>
      <c r="P670" s="21" t="n">
        <f aca="false">ROUND(M670*N670,2)</f>
        <v>520</v>
      </c>
      <c r="Q670" s="21" t="n">
        <f aca="false">ROUND(P670-IF(O670="",0,O670),2)</f>
        <v>0</v>
      </c>
      <c r="R670" s="14" t="str">
        <f aca="false">IF(J670="","MISSING BILL",IF(AND(K670=N670,ABS(L670-M670)&lt;0.001,ABS(O670-P670)&lt;0.01),"RECONCILED","CALCULATION ERROR"))</f>
        <v>RECONCILED</v>
      </c>
      <c r="S670" s="14" t="s">
        <v>2935</v>
      </c>
    </row>
    <row r="671" customFormat="false" ht="15" hidden="true" customHeight="false" outlineLevel="0" collapsed="false">
      <c r="A671" s="13" t="s">
        <v>4325</v>
      </c>
      <c r="B671" s="13" t="s">
        <v>70</v>
      </c>
      <c r="C671" s="13" t="s">
        <v>4156</v>
      </c>
      <c r="D671" s="13" t="s">
        <v>1873</v>
      </c>
      <c r="E671" s="13" t="s">
        <v>4326</v>
      </c>
      <c r="F671" s="14" t="s">
        <v>4327</v>
      </c>
      <c r="G671" s="14" t="s">
        <v>4328</v>
      </c>
      <c r="H671" s="20" t="n">
        <v>26.7</v>
      </c>
      <c r="I671" s="13" t="n">
        <v>40</v>
      </c>
      <c r="J671" s="13" t="s">
        <v>4329</v>
      </c>
      <c r="K671" s="13" t="n">
        <v>40</v>
      </c>
      <c r="L671" s="21" t="n">
        <v>10.4</v>
      </c>
      <c r="M671" s="21" t="n">
        <f aca="false">IF(C671="covered",10.4,7.55)</f>
        <v>10.4</v>
      </c>
      <c r="N671" s="13" t="n">
        <f aca="false">MAX(ROUNDUP(H671,0),I671)</f>
        <v>40</v>
      </c>
      <c r="O671" s="21" t="n">
        <v>416</v>
      </c>
      <c r="P671" s="21" t="n">
        <f aca="false">ROUND(M671*N671,2)</f>
        <v>416</v>
      </c>
      <c r="Q671" s="21" t="n">
        <f aca="false">ROUND(P671-IF(O671="",0,O671),2)</f>
        <v>0</v>
      </c>
      <c r="R671" s="14" t="str">
        <f aca="false">IF(J671="","MISSING BILL",IF(AND(K671=N671,ABS(L671-M671)&lt;0.001,ABS(O671-P671)&lt;0.01),"RECONCILED","CALCULATION ERROR"))</f>
        <v>RECONCILED</v>
      </c>
      <c r="S671" s="14" t="s">
        <v>2935</v>
      </c>
    </row>
    <row r="672" customFormat="false" ht="15" hidden="true" customHeight="false" outlineLevel="0" collapsed="false">
      <c r="A672" s="13" t="s">
        <v>4330</v>
      </c>
      <c r="B672" s="13" t="s">
        <v>70</v>
      </c>
      <c r="C672" s="13" t="s">
        <v>4156</v>
      </c>
      <c r="D672" s="13" t="s">
        <v>1873</v>
      </c>
      <c r="E672" s="13" t="s">
        <v>4331</v>
      </c>
      <c r="F672" s="14" t="s">
        <v>4332</v>
      </c>
      <c r="G672" s="14" t="s">
        <v>2246</v>
      </c>
      <c r="H672" s="20" t="n">
        <v>18.4</v>
      </c>
      <c r="I672" s="13" t="n">
        <v>28</v>
      </c>
      <c r="J672" s="13" t="s">
        <v>4333</v>
      </c>
      <c r="K672" s="13" t="n">
        <v>28</v>
      </c>
      <c r="L672" s="21" t="n">
        <v>10.4</v>
      </c>
      <c r="M672" s="21" t="n">
        <f aca="false">IF(C672="covered",10.4,7.55)</f>
        <v>10.4</v>
      </c>
      <c r="N672" s="13" t="n">
        <f aca="false">MAX(ROUNDUP(H672,0),I672)</f>
        <v>28</v>
      </c>
      <c r="O672" s="21" t="n">
        <v>291.2</v>
      </c>
      <c r="P672" s="21" t="n">
        <f aca="false">ROUND(M672*N672,2)</f>
        <v>291.2</v>
      </c>
      <c r="Q672" s="21" t="n">
        <f aca="false">ROUND(P672-IF(O672="",0,O672),2)</f>
        <v>0</v>
      </c>
      <c r="R672" s="14" t="str">
        <f aca="false">IF(J672="","MISSING BILL",IF(AND(K672=N672,ABS(L672-M672)&lt;0.001,ABS(O672-P672)&lt;0.01),"RECONCILED","CALCULATION ERROR"))</f>
        <v>RECONCILED</v>
      </c>
      <c r="S672" s="14" t="s">
        <v>2935</v>
      </c>
    </row>
    <row r="673" customFormat="false" ht="15" hidden="true" customHeight="false" outlineLevel="0" collapsed="false">
      <c r="A673" s="13" t="s">
        <v>4334</v>
      </c>
      <c r="B673" s="13" t="s">
        <v>70</v>
      </c>
      <c r="C673" s="13" t="s">
        <v>4156</v>
      </c>
      <c r="D673" s="13" t="s">
        <v>1873</v>
      </c>
      <c r="E673" s="13" t="s">
        <v>4335</v>
      </c>
      <c r="F673" s="14" t="s">
        <v>4336</v>
      </c>
      <c r="G673" s="14" t="s">
        <v>2451</v>
      </c>
      <c r="H673" s="20" t="n">
        <v>37.3</v>
      </c>
      <c r="I673" s="13" t="n">
        <v>32</v>
      </c>
      <c r="J673" s="13" t="s">
        <v>4337</v>
      </c>
      <c r="K673" s="13" t="n">
        <v>38</v>
      </c>
      <c r="L673" s="21" t="n">
        <v>10.4</v>
      </c>
      <c r="M673" s="21" t="n">
        <f aca="false">IF(C673="covered",10.4,7.55)</f>
        <v>10.4</v>
      </c>
      <c r="N673" s="13" t="n">
        <f aca="false">MAX(ROUNDUP(H673,0),I673)</f>
        <v>38</v>
      </c>
      <c r="O673" s="21" t="n">
        <v>395.2</v>
      </c>
      <c r="P673" s="21" t="n">
        <f aca="false">ROUND(M673*N673,2)</f>
        <v>395.2</v>
      </c>
      <c r="Q673" s="21" t="n">
        <f aca="false">ROUND(P673-IF(O673="",0,O673),2)</f>
        <v>0</v>
      </c>
      <c r="R673" s="14" t="str">
        <f aca="false">IF(J673="","MISSING BILL",IF(AND(K673=N673,ABS(L673-M673)&lt;0.001,ABS(O673-P673)&lt;0.01),"RECONCILED","CALCULATION ERROR"))</f>
        <v>RECONCILED</v>
      </c>
      <c r="S673" s="14" t="s">
        <v>2935</v>
      </c>
    </row>
    <row r="674" customFormat="false" ht="15" hidden="true" customHeight="false" outlineLevel="0" collapsed="false">
      <c r="A674" s="13" t="s">
        <v>905</v>
      </c>
      <c r="B674" s="13" t="s">
        <v>70</v>
      </c>
      <c r="C674" s="13" t="s">
        <v>4156</v>
      </c>
      <c r="D674" s="13" t="s">
        <v>1873</v>
      </c>
      <c r="E674" s="13" t="s">
        <v>4338</v>
      </c>
      <c r="F674" s="14" t="s">
        <v>4339</v>
      </c>
      <c r="G674" s="14" t="s">
        <v>4135</v>
      </c>
      <c r="H674" s="20" t="n">
        <v>54</v>
      </c>
      <c r="I674" s="13" t="n">
        <v>32</v>
      </c>
      <c r="J674" s="13" t="s">
        <v>4340</v>
      </c>
      <c r="K674" s="13" t="n">
        <v>54</v>
      </c>
      <c r="L674" s="21" t="n">
        <v>10.4</v>
      </c>
      <c r="M674" s="21" t="n">
        <f aca="false">IF(C674="covered",10.4,7.55)</f>
        <v>10.4</v>
      </c>
      <c r="N674" s="13" t="n">
        <f aca="false">MAX(ROUNDUP(H674,0),I674)</f>
        <v>54</v>
      </c>
      <c r="O674" s="21" t="n">
        <v>561.6</v>
      </c>
      <c r="P674" s="21" t="n">
        <f aca="false">ROUND(M674*N674,2)</f>
        <v>561.6</v>
      </c>
      <c r="Q674" s="21" t="n">
        <f aca="false">ROUND(P674-IF(O674="",0,O674),2)</f>
        <v>0</v>
      </c>
      <c r="R674" s="14" t="str">
        <f aca="false">IF(J674="","MISSING BILL",IF(AND(K674=N674,ABS(L674-M674)&lt;0.001,ABS(O674-P674)&lt;0.01),"RECONCILED","CALCULATION ERROR"))</f>
        <v>RECONCILED</v>
      </c>
      <c r="S674" s="14" t="s">
        <v>2935</v>
      </c>
    </row>
    <row r="675" customFormat="false" ht="15" hidden="true" customHeight="false" outlineLevel="0" collapsed="false">
      <c r="A675" s="13" t="s">
        <v>4341</v>
      </c>
      <c r="B675" s="13" t="s">
        <v>70</v>
      </c>
      <c r="C675" s="13" t="s">
        <v>4156</v>
      </c>
      <c r="D675" s="13" t="s">
        <v>1873</v>
      </c>
      <c r="E675" s="13" t="s">
        <v>4342</v>
      </c>
      <c r="F675" s="14" t="s">
        <v>4343</v>
      </c>
      <c r="G675" s="14" t="s">
        <v>2680</v>
      </c>
      <c r="H675" s="20" t="n">
        <v>19.4</v>
      </c>
      <c r="I675" s="13" t="n">
        <v>32</v>
      </c>
      <c r="J675" s="13" t="s">
        <v>4344</v>
      </c>
      <c r="K675" s="13" t="n">
        <v>32</v>
      </c>
      <c r="L675" s="21" t="n">
        <v>10.4</v>
      </c>
      <c r="M675" s="21" t="n">
        <f aca="false">IF(C675="covered",10.4,7.55)</f>
        <v>10.4</v>
      </c>
      <c r="N675" s="13" t="n">
        <f aca="false">MAX(ROUNDUP(H675,0),I675)</f>
        <v>32</v>
      </c>
      <c r="O675" s="21" t="n">
        <v>332.8</v>
      </c>
      <c r="P675" s="21" t="n">
        <f aca="false">ROUND(M675*N675,2)</f>
        <v>332.8</v>
      </c>
      <c r="Q675" s="21" t="n">
        <f aca="false">ROUND(P675-IF(O675="",0,O675),2)</f>
        <v>0</v>
      </c>
      <c r="R675" s="14" t="str">
        <f aca="false">IF(J675="","MISSING BILL",IF(AND(K675=N675,ABS(L675-M675)&lt;0.001,ABS(O675-P675)&lt;0.01),"RECONCILED","CALCULATION ERROR"))</f>
        <v>RECONCILED</v>
      </c>
      <c r="S675" s="14" t="s">
        <v>2935</v>
      </c>
    </row>
    <row r="676" customFormat="false" ht="15" hidden="true" customHeight="false" outlineLevel="0" collapsed="false">
      <c r="A676" s="13" t="s">
        <v>4345</v>
      </c>
      <c r="B676" s="13" t="s">
        <v>70</v>
      </c>
      <c r="C676" s="13" t="s">
        <v>4156</v>
      </c>
      <c r="D676" s="13" t="s">
        <v>1873</v>
      </c>
      <c r="E676" s="13" t="s">
        <v>4346</v>
      </c>
      <c r="F676" s="14" t="s">
        <v>4347</v>
      </c>
      <c r="G676" s="14" t="s">
        <v>2792</v>
      </c>
      <c r="H676" s="20" t="n">
        <v>54.1</v>
      </c>
      <c r="I676" s="13" t="n">
        <v>32</v>
      </c>
      <c r="J676" s="13" t="s">
        <v>4348</v>
      </c>
      <c r="K676" s="13" t="n">
        <v>55</v>
      </c>
      <c r="L676" s="21" t="n">
        <v>10.4</v>
      </c>
      <c r="M676" s="21" t="n">
        <f aca="false">IF(C676="covered",10.4,7.55)</f>
        <v>10.4</v>
      </c>
      <c r="N676" s="13" t="n">
        <f aca="false">MAX(ROUNDUP(H676,0),I676)</f>
        <v>55</v>
      </c>
      <c r="O676" s="21" t="n">
        <v>572</v>
      </c>
      <c r="P676" s="21" t="n">
        <f aca="false">ROUND(M676*N676,2)</f>
        <v>572</v>
      </c>
      <c r="Q676" s="21" t="n">
        <f aca="false">ROUND(P676-IF(O676="",0,O676),2)</f>
        <v>0</v>
      </c>
      <c r="R676" s="14" t="str">
        <f aca="false">IF(J676="","MISSING BILL",IF(AND(K676=N676,ABS(L676-M676)&lt;0.001,ABS(O676-P676)&lt;0.01),"RECONCILED","CALCULATION ERROR"))</f>
        <v>RECONCILED</v>
      </c>
      <c r="S676" s="14" t="s">
        <v>2935</v>
      </c>
    </row>
    <row r="677" customFormat="false" ht="15" hidden="true" customHeight="false" outlineLevel="0" collapsed="false">
      <c r="A677" s="13" t="s">
        <v>661</v>
      </c>
      <c r="B677" s="13" t="s">
        <v>70</v>
      </c>
      <c r="C677" s="13" t="s">
        <v>4156</v>
      </c>
      <c r="D677" s="13" t="s">
        <v>1873</v>
      </c>
      <c r="E677" s="13" t="s">
        <v>4349</v>
      </c>
      <c r="F677" s="14" t="s">
        <v>4350</v>
      </c>
      <c r="G677" s="14" t="s">
        <v>4351</v>
      </c>
      <c r="H677" s="20" t="n">
        <v>60.7</v>
      </c>
      <c r="I677" s="13" t="n">
        <v>36</v>
      </c>
      <c r="J677" s="13" t="s">
        <v>4352</v>
      </c>
      <c r="K677" s="13" t="n">
        <v>61</v>
      </c>
      <c r="L677" s="21" t="n">
        <v>10.4</v>
      </c>
      <c r="M677" s="21" t="n">
        <f aca="false">IF(C677="covered",10.4,7.55)</f>
        <v>10.4</v>
      </c>
      <c r="N677" s="13" t="n">
        <f aca="false">MAX(ROUNDUP(H677,0),I677)</f>
        <v>61</v>
      </c>
      <c r="O677" s="21" t="n">
        <v>634.4</v>
      </c>
      <c r="P677" s="21" t="n">
        <f aca="false">ROUND(M677*N677,2)</f>
        <v>634.4</v>
      </c>
      <c r="Q677" s="21" t="n">
        <f aca="false">ROUND(P677-IF(O677="",0,O677),2)</f>
        <v>0</v>
      </c>
      <c r="R677" s="14" t="str">
        <f aca="false">IF(J677="","MISSING BILL",IF(AND(K677=N677,ABS(L677-M677)&lt;0.001,ABS(O677-P677)&lt;0.01),"RECONCILED","CALCULATION ERROR"))</f>
        <v>RECONCILED</v>
      </c>
      <c r="S677" s="14" t="s">
        <v>2935</v>
      </c>
    </row>
    <row r="678" customFormat="false" ht="15" hidden="true" customHeight="false" outlineLevel="0" collapsed="false">
      <c r="A678" s="13" t="s">
        <v>4353</v>
      </c>
      <c r="B678" s="13" t="s">
        <v>70</v>
      </c>
      <c r="C678" s="13" t="s">
        <v>4156</v>
      </c>
      <c r="D678" s="13" t="s">
        <v>1873</v>
      </c>
      <c r="E678" s="13" t="s">
        <v>4354</v>
      </c>
      <c r="F678" s="14" t="s">
        <v>4355</v>
      </c>
      <c r="G678" s="14" t="s">
        <v>2859</v>
      </c>
      <c r="H678" s="20" t="n">
        <v>42.3</v>
      </c>
      <c r="I678" s="13" t="n">
        <v>40</v>
      </c>
      <c r="J678" s="13" t="s">
        <v>4356</v>
      </c>
      <c r="K678" s="13" t="n">
        <v>43</v>
      </c>
      <c r="L678" s="21" t="n">
        <v>10.4</v>
      </c>
      <c r="M678" s="21" t="n">
        <f aca="false">IF(C678="covered",10.4,7.55)</f>
        <v>10.4</v>
      </c>
      <c r="N678" s="13" t="n">
        <f aca="false">MAX(ROUNDUP(H678,0),I678)</f>
        <v>43</v>
      </c>
      <c r="O678" s="21" t="n">
        <v>447.2</v>
      </c>
      <c r="P678" s="21" t="n">
        <f aca="false">ROUND(M678*N678,2)</f>
        <v>447.2</v>
      </c>
      <c r="Q678" s="21" t="n">
        <f aca="false">ROUND(P678-IF(O678="",0,O678),2)</f>
        <v>0</v>
      </c>
      <c r="R678" s="14" t="str">
        <f aca="false">IF(J678="","MISSING BILL",IF(AND(K678=N678,ABS(L678-M678)&lt;0.001,ABS(O678-P678)&lt;0.01),"RECONCILED","CALCULATION ERROR"))</f>
        <v>RECONCILED</v>
      </c>
      <c r="S678" s="14" t="s">
        <v>2935</v>
      </c>
    </row>
    <row r="679" customFormat="false" ht="15" hidden="true" customHeight="false" outlineLevel="0" collapsed="false">
      <c r="A679" s="13" t="s">
        <v>4357</v>
      </c>
      <c r="B679" s="13" t="s">
        <v>70</v>
      </c>
      <c r="C679" s="13" t="s">
        <v>4156</v>
      </c>
      <c r="D679" s="13" t="s">
        <v>1873</v>
      </c>
      <c r="E679" s="13" t="s">
        <v>4358</v>
      </c>
      <c r="F679" s="14" t="s">
        <v>4359</v>
      </c>
      <c r="G679" s="14" t="s">
        <v>4360</v>
      </c>
      <c r="H679" s="20" t="n">
        <v>23.9</v>
      </c>
      <c r="I679" s="13" t="n">
        <v>24</v>
      </c>
      <c r="J679" s="13" t="s">
        <v>4361</v>
      </c>
      <c r="K679" s="13" t="n">
        <v>24</v>
      </c>
      <c r="L679" s="21" t="n">
        <v>10.4</v>
      </c>
      <c r="M679" s="21" t="n">
        <f aca="false">IF(C679="covered",10.4,7.55)</f>
        <v>10.4</v>
      </c>
      <c r="N679" s="13" t="n">
        <f aca="false">MAX(ROUNDUP(H679,0),I679)</f>
        <v>24</v>
      </c>
      <c r="O679" s="21" t="n">
        <v>249.6</v>
      </c>
      <c r="P679" s="21" t="n">
        <f aca="false">ROUND(M679*N679,2)</f>
        <v>249.6</v>
      </c>
      <c r="Q679" s="21" t="n">
        <f aca="false">ROUND(P679-IF(O679="",0,O679),2)</f>
        <v>0</v>
      </c>
      <c r="R679" s="14" t="str">
        <f aca="false">IF(J679="","MISSING BILL",IF(AND(K679=N679,ABS(L679-M679)&lt;0.001,ABS(O679-P679)&lt;0.01),"RECONCILED","CALCULATION ERROR"))</f>
        <v>RECONCILED</v>
      </c>
      <c r="S679" s="14" t="s">
        <v>2935</v>
      </c>
    </row>
    <row r="680" customFormat="false" ht="15" hidden="true" customHeight="false" outlineLevel="0" collapsed="false">
      <c r="A680" s="13" t="s">
        <v>1615</v>
      </c>
      <c r="B680" s="13" t="s">
        <v>70</v>
      </c>
      <c r="C680" s="13" t="s">
        <v>4156</v>
      </c>
      <c r="D680" s="13" t="s">
        <v>1873</v>
      </c>
      <c r="E680" s="13" t="s">
        <v>4362</v>
      </c>
      <c r="F680" s="14" t="s">
        <v>4363</v>
      </c>
      <c r="G680" s="14" t="s">
        <v>1945</v>
      </c>
      <c r="H680" s="20" t="n">
        <v>31.1</v>
      </c>
      <c r="I680" s="13" t="n">
        <v>24</v>
      </c>
      <c r="J680" s="13" t="s">
        <v>4364</v>
      </c>
      <c r="K680" s="13" t="n">
        <v>32</v>
      </c>
      <c r="L680" s="21" t="n">
        <v>10.4</v>
      </c>
      <c r="M680" s="21" t="n">
        <f aca="false">IF(C680="covered",10.4,7.55)</f>
        <v>10.4</v>
      </c>
      <c r="N680" s="13" t="n">
        <f aca="false">MAX(ROUNDUP(H680,0),I680)</f>
        <v>32</v>
      </c>
      <c r="O680" s="21" t="n">
        <v>332.8</v>
      </c>
      <c r="P680" s="21" t="n">
        <f aca="false">ROUND(M680*N680,2)</f>
        <v>332.8</v>
      </c>
      <c r="Q680" s="21" t="n">
        <f aca="false">ROUND(P680-IF(O680="",0,O680),2)</f>
        <v>0</v>
      </c>
      <c r="R680" s="14" t="str">
        <f aca="false">IF(J680="","MISSING BILL",IF(AND(K680=N680,ABS(L680-M680)&lt;0.001,ABS(O680-P680)&lt;0.01),"RECONCILED","CALCULATION ERROR"))</f>
        <v>RECONCILED</v>
      </c>
      <c r="S680" s="14" t="s">
        <v>2935</v>
      </c>
    </row>
    <row r="681" customFormat="false" ht="15" hidden="true" customHeight="false" outlineLevel="0" collapsed="false">
      <c r="A681" s="13" t="s">
        <v>4365</v>
      </c>
      <c r="B681" s="13" t="s">
        <v>70</v>
      </c>
      <c r="C681" s="13" t="s">
        <v>4156</v>
      </c>
      <c r="D681" s="13" t="s">
        <v>1873</v>
      </c>
      <c r="E681" s="13" t="s">
        <v>4366</v>
      </c>
      <c r="F681" s="14" t="s">
        <v>4367</v>
      </c>
      <c r="G681" s="14" t="s">
        <v>2635</v>
      </c>
      <c r="H681" s="20" t="n">
        <v>24.8</v>
      </c>
      <c r="I681" s="13" t="n">
        <v>32</v>
      </c>
      <c r="J681" s="13" t="s">
        <v>4368</v>
      </c>
      <c r="K681" s="13" t="n">
        <v>32</v>
      </c>
      <c r="L681" s="21" t="n">
        <v>10.4</v>
      </c>
      <c r="M681" s="21" t="n">
        <f aca="false">IF(C681="covered",10.4,7.55)</f>
        <v>10.4</v>
      </c>
      <c r="N681" s="13" t="n">
        <f aca="false">MAX(ROUNDUP(H681,0),I681)</f>
        <v>32</v>
      </c>
      <c r="O681" s="21" t="n">
        <v>332.8</v>
      </c>
      <c r="P681" s="21" t="n">
        <f aca="false">ROUND(M681*N681,2)</f>
        <v>332.8</v>
      </c>
      <c r="Q681" s="21" t="n">
        <f aca="false">ROUND(P681-IF(O681="",0,O681),2)</f>
        <v>0</v>
      </c>
      <c r="R681" s="14" t="str">
        <f aca="false">IF(J681="","MISSING BILL",IF(AND(K681=N681,ABS(L681-M681)&lt;0.001,ABS(O681-P681)&lt;0.01),"RECONCILED","CALCULATION ERROR"))</f>
        <v>RECONCILED</v>
      </c>
      <c r="S681" s="14" t="s">
        <v>2935</v>
      </c>
    </row>
    <row r="682" customFormat="false" ht="15" hidden="true" customHeight="false" outlineLevel="0" collapsed="false">
      <c r="A682" s="13" t="s">
        <v>4369</v>
      </c>
      <c r="B682" s="13" t="s">
        <v>70</v>
      </c>
      <c r="C682" s="13" t="s">
        <v>4156</v>
      </c>
      <c r="D682" s="13" t="s">
        <v>1873</v>
      </c>
      <c r="E682" s="13" t="s">
        <v>4370</v>
      </c>
      <c r="F682" s="14" t="s">
        <v>4371</v>
      </c>
      <c r="G682" s="14" t="s">
        <v>4148</v>
      </c>
      <c r="H682" s="20" t="n">
        <v>26.3</v>
      </c>
      <c r="I682" s="13" t="n">
        <v>32</v>
      </c>
      <c r="J682" s="13" t="s">
        <v>4372</v>
      </c>
      <c r="K682" s="13" t="n">
        <v>32</v>
      </c>
      <c r="L682" s="21" t="n">
        <v>10.4</v>
      </c>
      <c r="M682" s="21" t="n">
        <f aca="false">IF(C682="covered",10.4,7.55)</f>
        <v>10.4</v>
      </c>
      <c r="N682" s="13" t="n">
        <f aca="false">MAX(ROUNDUP(H682,0),I682)</f>
        <v>32</v>
      </c>
      <c r="O682" s="21" t="n">
        <v>332.8</v>
      </c>
      <c r="P682" s="21" t="n">
        <f aca="false">ROUND(M682*N682,2)</f>
        <v>332.8</v>
      </c>
      <c r="Q682" s="21" t="n">
        <f aca="false">ROUND(P682-IF(O682="",0,O682),2)</f>
        <v>0</v>
      </c>
      <c r="R682" s="14" t="str">
        <f aca="false">IF(J682="","MISSING BILL",IF(AND(K682=N682,ABS(L682-M682)&lt;0.001,ABS(O682-P682)&lt;0.01),"RECONCILED","CALCULATION ERROR"))</f>
        <v>RECONCILED</v>
      </c>
      <c r="S682" s="14" t="s">
        <v>2935</v>
      </c>
    </row>
    <row r="683" customFormat="false" ht="15" hidden="true" customHeight="false" outlineLevel="0" collapsed="false">
      <c r="A683" s="13" t="s">
        <v>4373</v>
      </c>
      <c r="B683" s="13" t="s">
        <v>70</v>
      </c>
      <c r="C683" s="13" t="s">
        <v>4156</v>
      </c>
      <c r="D683" s="13" t="s">
        <v>1873</v>
      </c>
      <c r="E683" s="13" t="s">
        <v>4374</v>
      </c>
      <c r="F683" s="14" t="s">
        <v>4375</v>
      </c>
      <c r="G683" s="14" t="s">
        <v>2985</v>
      </c>
      <c r="H683" s="20" t="n">
        <v>31.6</v>
      </c>
      <c r="I683" s="13" t="n">
        <v>24</v>
      </c>
      <c r="J683" s="13" t="s">
        <v>4376</v>
      </c>
      <c r="K683" s="13" t="n">
        <v>32</v>
      </c>
      <c r="L683" s="21" t="n">
        <v>10.4</v>
      </c>
      <c r="M683" s="21" t="n">
        <f aca="false">IF(C683="covered",10.4,7.55)</f>
        <v>10.4</v>
      </c>
      <c r="N683" s="13" t="n">
        <f aca="false">MAX(ROUNDUP(H683,0),I683)</f>
        <v>32</v>
      </c>
      <c r="O683" s="21" t="n">
        <v>332.8</v>
      </c>
      <c r="P683" s="21" t="n">
        <f aca="false">ROUND(M683*N683,2)</f>
        <v>332.8</v>
      </c>
      <c r="Q683" s="21" t="n">
        <f aca="false">ROUND(P683-IF(O683="",0,O683),2)</f>
        <v>0</v>
      </c>
      <c r="R683" s="14" t="str">
        <f aca="false">IF(J683="","MISSING BILL",IF(AND(K683=N683,ABS(L683-M683)&lt;0.001,ABS(O683-P683)&lt;0.01),"RECONCILED","CALCULATION ERROR"))</f>
        <v>RECONCILED</v>
      </c>
      <c r="S683" s="14" t="s">
        <v>2935</v>
      </c>
    </row>
    <row r="684" customFormat="false" ht="15" hidden="true" customHeight="false" outlineLevel="0" collapsed="false">
      <c r="A684" s="13" t="s">
        <v>1120</v>
      </c>
      <c r="B684" s="13" t="s">
        <v>70</v>
      </c>
      <c r="C684" s="13" t="s">
        <v>4156</v>
      </c>
      <c r="D684" s="13" t="s">
        <v>1873</v>
      </c>
      <c r="E684" s="13" t="s">
        <v>4377</v>
      </c>
      <c r="F684" s="14" t="s">
        <v>4378</v>
      </c>
      <c r="G684" s="14" t="s">
        <v>2193</v>
      </c>
      <c r="H684" s="20" t="n">
        <v>53.5</v>
      </c>
      <c r="I684" s="13" t="n">
        <v>40</v>
      </c>
      <c r="J684" s="13" t="s">
        <v>4379</v>
      </c>
      <c r="K684" s="13" t="n">
        <v>54</v>
      </c>
      <c r="L684" s="21" t="n">
        <v>10.4</v>
      </c>
      <c r="M684" s="21" t="n">
        <f aca="false">IF(C684="covered",10.4,7.55)</f>
        <v>10.4</v>
      </c>
      <c r="N684" s="13" t="n">
        <f aca="false">MAX(ROUNDUP(H684,0),I684)</f>
        <v>54</v>
      </c>
      <c r="O684" s="21" t="n">
        <v>561.6</v>
      </c>
      <c r="P684" s="21" t="n">
        <f aca="false">ROUND(M684*N684,2)</f>
        <v>561.6</v>
      </c>
      <c r="Q684" s="21" t="n">
        <f aca="false">ROUND(P684-IF(O684="",0,O684),2)</f>
        <v>0</v>
      </c>
      <c r="R684" s="14" t="str">
        <f aca="false">IF(J684="","MISSING BILL",IF(AND(K684=N684,ABS(L684-M684)&lt;0.001,ABS(O684-P684)&lt;0.01),"RECONCILED","CALCULATION ERROR"))</f>
        <v>RECONCILED</v>
      </c>
      <c r="S684" s="14" t="s">
        <v>2935</v>
      </c>
    </row>
    <row r="685" customFormat="false" ht="15" hidden="true" customHeight="false" outlineLevel="0" collapsed="false">
      <c r="A685" s="13" t="s">
        <v>69</v>
      </c>
      <c r="B685" s="13" t="s">
        <v>70</v>
      </c>
      <c r="C685" s="13" t="s">
        <v>4156</v>
      </c>
      <c r="D685" s="13" t="s">
        <v>1873</v>
      </c>
      <c r="E685" s="13" t="s">
        <v>1035</v>
      </c>
      <c r="F685" s="14" t="s">
        <v>1036</v>
      </c>
      <c r="G685" s="14" t="s">
        <v>2362</v>
      </c>
      <c r="H685" s="20" t="n">
        <v>22.7</v>
      </c>
      <c r="I685" s="13" t="n">
        <v>40</v>
      </c>
      <c r="J685" s="13" t="s">
        <v>4380</v>
      </c>
      <c r="K685" s="13" t="n">
        <v>40</v>
      </c>
      <c r="L685" s="21" t="n">
        <v>10.4</v>
      </c>
      <c r="M685" s="21" t="n">
        <f aca="false">IF(C685="covered",10.4,7.55)</f>
        <v>10.4</v>
      </c>
      <c r="N685" s="13" t="n">
        <f aca="false">MAX(ROUNDUP(H685,0),I685)</f>
        <v>40</v>
      </c>
      <c r="O685" s="21" t="n">
        <v>416</v>
      </c>
      <c r="P685" s="21" t="n">
        <f aca="false">ROUND(M685*N685,2)</f>
        <v>416</v>
      </c>
      <c r="Q685" s="21" t="n">
        <f aca="false">ROUND(P685-IF(O685="",0,O685),2)</f>
        <v>0</v>
      </c>
      <c r="R685" s="14" t="str">
        <f aca="false">IF(J685="","MISSING BILL",IF(AND(K685=N685,ABS(L685-M685)&lt;0.001,ABS(O685-P685)&lt;0.01),"RECONCILED","CALCULATION ERROR"))</f>
        <v>RECONCILED</v>
      </c>
      <c r="S685" s="14" t="s">
        <v>2935</v>
      </c>
    </row>
    <row r="686" customFormat="false" ht="15" hidden="true" customHeight="false" outlineLevel="0" collapsed="false">
      <c r="A686" s="13" t="s">
        <v>4381</v>
      </c>
      <c r="B686" s="13" t="s">
        <v>70</v>
      </c>
      <c r="C686" s="13" t="s">
        <v>4156</v>
      </c>
      <c r="D686" s="13" t="s">
        <v>1873</v>
      </c>
      <c r="E686" s="13" t="s">
        <v>4382</v>
      </c>
      <c r="F686" s="14" t="s">
        <v>4383</v>
      </c>
      <c r="G686" s="14" t="s">
        <v>3591</v>
      </c>
      <c r="H686" s="20" t="n">
        <v>34.5</v>
      </c>
      <c r="I686" s="13" t="n">
        <v>32</v>
      </c>
      <c r="J686" s="13" t="s">
        <v>4384</v>
      </c>
      <c r="K686" s="13" t="n">
        <v>35</v>
      </c>
      <c r="L686" s="21" t="n">
        <v>10.4</v>
      </c>
      <c r="M686" s="21" t="n">
        <f aca="false">IF(C686="covered",10.4,7.55)</f>
        <v>10.4</v>
      </c>
      <c r="N686" s="13" t="n">
        <f aca="false">MAX(ROUNDUP(H686,0),I686)</f>
        <v>35</v>
      </c>
      <c r="O686" s="21" t="n">
        <v>364</v>
      </c>
      <c r="P686" s="21" t="n">
        <f aca="false">ROUND(M686*N686,2)</f>
        <v>364</v>
      </c>
      <c r="Q686" s="21" t="n">
        <f aca="false">ROUND(P686-IF(O686="",0,O686),2)</f>
        <v>0</v>
      </c>
      <c r="R686" s="14" t="str">
        <f aca="false">IF(J686="","MISSING BILL",IF(AND(K686=N686,ABS(L686-M686)&lt;0.001,ABS(O686-P686)&lt;0.01),"RECONCILED","CALCULATION ERROR"))</f>
        <v>RECONCILED</v>
      </c>
      <c r="S686" s="14" t="s">
        <v>2935</v>
      </c>
    </row>
    <row r="687" customFormat="false" ht="15" hidden="true" customHeight="false" outlineLevel="0" collapsed="false">
      <c r="A687" s="13" t="s">
        <v>4385</v>
      </c>
      <c r="B687" s="13" t="s">
        <v>70</v>
      </c>
      <c r="C687" s="13" t="s">
        <v>4156</v>
      </c>
      <c r="D687" s="13" t="s">
        <v>1873</v>
      </c>
      <c r="E687" s="13" t="s">
        <v>1141</v>
      </c>
      <c r="F687" s="14" t="s">
        <v>1142</v>
      </c>
      <c r="G687" s="14" t="s">
        <v>2693</v>
      </c>
      <c r="H687" s="20" t="n">
        <v>53.4</v>
      </c>
      <c r="I687" s="13" t="n">
        <v>24</v>
      </c>
      <c r="J687" s="13" t="s">
        <v>4386</v>
      </c>
      <c r="K687" s="13" t="n">
        <v>54</v>
      </c>
      <c r="L687" s="21" t="n">
        <v>10.4</v>
      </c>
      <c r="M687" s="21" t="n">
        <f aca="false">IF(C687="covered",10.4,7.55)</f>
        <v>10.4</v>
      </c>
      <c r="N687" s="13" t="n">
        <f aca="false">MAX(ROUNDUP(H687,0),I687)</f>
        <v>54</v>
      </c>
      <c r="O687" s="21" t="n">
        <v>561.6</v>
      </c>
      <c r="P687" s="21" t="n">
        <f aca="false">ROUND(M687*N687,2)</f>
        <v>561.6</v>
      </c>
      <c r="Q687" s="21" t="n">
        <f aca="false">ROUND(P687-IF(O687="",0,O687),2)</f>
        <v>0</v>
      </c>
      <c r="R687" s="14" t="str">
        <f aca="false">IF(J687="","MISSING BILL",IF(AND(K687=N687,ABS(L687-M687)&lt;0.001,ABS(O687-P687)&lt;0.01),"RECONCILED","CALCULATION ERROR"))</f>
        <v>RECONCILED</v>
      </c>
      <c r="S687" s="14" t="s">
        <v>2935</v>
      </c>
    </row>
    <row r="688" customFormat="false" ht="15" hidden="true" customHeight="false" outlineLevel="0" collapsed="false">
      <c r="A688" s="13" t="s">
        <v>4387</v>
      </c>
      <c r="B688" s="13" t="s">
        <v>70</v>
      </c>
      <c r="C688" s="13" t="s">
        <v>4156</v>
      </c>
      <c r="D688" s="13" t="s">
        <v>1873</v>
      </c>
      <c r="E688" s="13" t="s">
        <v>4388</v>
      </c>
      <c r="F688" s="14" t="s">
        <v>4389</v>
      </c>
      <c r="G688" s="14" t="s">
        <v>3907</v>
      </c>
      <c r="H688" s="20" t="n">
        <v>34.2</v>
      </c>
      <c r="I688" s="13" t="n">
        <v>28</v>
      </c>
      <c r="J688" s="13" t="s">
        <v>4390</v>
      </c>
      <c r="K688" s="13" t="n">
        <v>35</v>
      </c>
      <c r="L688" s="21" t="n">
        <v>10.4</v>
      </c>
      <c r="M688" s="21" t="n">
        <f aca="false">IF(C688="covered",10.4,7.55)</f>
        <v>10.4</v>
      </c>
      <c r="N688" s="13" t="n">
        <f aca="false">MAX(ROUNDUP(H688,0),I688)</f>
        <v>35</v>
      </c>
      <c r="O688" s="21" t="n">
        <v>364</v>
      </c>
      <c r="P688" s="21" t="n">
        <f aca="false">ROUND(M688*N688,2)</f>
        <v>364</v>
      </c>
      <c r="Q688" s="21" t="n">
        <f aca="false">ROUND(P688-IF(O688="",0,O688),2)</f>
        <v>0</v>
      </c>
      <c r="R688" s="14" t="str">
        <f aca="false">IF(J688="","MISSING BILL",IF(AND(K688=N688,ABS(L688-M688)&lt;0.001,ABS(O688-P688)&lt;0.01),"RECONCILED","CALCULATION ERROR"))</f>
        <v>RECONCILED</v>
      </c>
      <c r="S688" s="14" t="s">
        <v>2935</v>
      </c>
    </row>
    <row r="689" customFormat="false" ht="15" hidden="true" customHeight="false" outlineLevel="0" collapsed="false">
      <c r="A689" s="13" t="s">
        <v>4391</v>
      </c>
      <c r="B689" s="13" t="s">
        <v>70</v>
      </c>
      <c r="C689" s="13" t="s">
        <v>4156</v>
      </c>
      <c r="D689" s="13" t="s">
        <v>1873</v>
      </c>
      <c r="E689" s="13" t="s">
        <v>4392</v>
      </c>
      <c r="F689" s="14" t="s">
        <v>4393</v>
      </c>
      <c r="G689" s="14" t="s">
        <v>3231</v>
      </c>
      <c r="H689" s="20" t="n">
        <v>57.4</v>
      </c>
      <c r="I689" s="13" t="n">
        <v>24</v>
      </c>
      <c r="J689" s="13" t="s">
        <v>4394</v>
      </c>
      <c r="K689" s="13" t="n">
        <v>58</v>
      </c>
      <c r="L689" s="21" t="n">
        <v>10.4</v>
      </c>
      <c r="M689" s="21" t="n">
        <f aca="false">IF(C689="covered",10.4,7.55)</f>
        <v>10.4</v>
      </c>
      <c r="N689" s="13" t="n">
        <f aca="false">MAX(ROUNDUP(H689,0),I689)</f>
        <v>58</v>
      </c>
      <c r="O689" s="21" t="n">
        <v>603.2</v>
      </c>
      <c r="P689" s="21" t="n">
        <f aca="false">ROUND(M689*N689,2)</f>
        <v>603.2</v>
      </c>
      <c r="Q689" s="21" t="n">
        <f aca="false">ROUND(P689-IF(O689="",0,O689),2)</f>
        <v>0</v>
      </c>
      <c r="R689" s="14" t="str">
        <f aca="false">IF(J689="","MISSING BILL",IF(AND(K689=N689,ABS(L689-M689)&lt;0.001,ABS(O689-P689)&lt;0.01),"RECONCILED","CALCULATION ERROR"))</f>
        <v>RECONCILED</v>
      </c>
      <c r="S689" s="14" t="s">
        <v>2935</v>
      </c>
    </row>
    <row r="690" customFormat="false" ht="15" hidden="true" customHeight="false" outlineLevel="0" collapsed="false">
      <c r="A690" s="13" t="s">
        <v>4395</v>
      </c>
      <c r="B690" s="13" t="s">
        <v>70</v>
      </c>
      <c r="C690" s="13" t="s">
        <v>4156</v>
      </c>
      <c r="D690" s="13" t="s">
        <v>1873</v>
      </c>
      <c r="E690" s="13" t="s">
        <v>4396</v>
      </c>
      <c r="F690" s="14" t="s">
        <v>4397</v>
      </c>
      <c r="G690" s="14" t="s">
        <v>2921</v>
      </c>
      <c r="H690" s="20" t="n">
        <v>48.5</v>
      </c>
      <c r="I690" s="13" t="n">
        <v>24</v>
      </c>
      <c r="J690" s="13" t="s">
        <v>4398</v>
      </c>
      <c r="K690" s="13" t="n">
        <v>49</v>
      </c>
      <c r="L690" s="21" t="n">
        <v>10.4</v>
      </c>
      <c r="M690" s="21" t="n">
        <f aca="false">IF(C690="covered",10.4,7.55)</f>
        <v>10.4</v>
      </c>
      <c r="N690" s="13" t="n">
        <f aca="false">MAX(ROUNDUP(H690,0),I690)</f>
        <v>49</v>
      </c>
      <c r="O690" s="21" t="n">
        <v>509.6</v>
      </c>
      <c r="P690" s="21" t="n">
        <f aca="false">ROUND(M690*N690,2)</f>
        <v>509.6</v>
      </c>
      <c r="Q690" s="21" t="n">
        <f aca="false">ROUND(P690-IF(O690="",0,O690),2)</f>
        <v>0</v>
      </c>
      <c r="R690" s="14" t="str">
        <f aca="false">IF(J690="","MISSING BILL",IF(AND(K690=N690,ABS(L690-M690)&lt;0.001,ABS(O690-P690)&lt;0.01),"RECONCILED","CALCULATION ERROR"))</f>
        <v>RECONCILED</v>
      </c>
      <c r="S690" s="14" t="s">
        <v>2935</v>
      </c>
    </row>
    <row r="691" customFormat="false" ht="15" hidden="true" customHeight="false" outlineLevel="0" collapsed="false">
      <c r="A691" s="13" t="s">
        <v>804</v>
      </c>
      <c r="B691" s="13" t="s">
        <v>70</v>
      </c>
      <c r="C691" s="13" t="s">
        <v>4156</v>
      </c>
      <c r="D691" s="13" t="s">
        <v>1873</v>
      </c>
      <c r="E691" s="13" t="s">
        <v>4399</v>
      </c>
      <c r="F691" s="14" t="s">
        <v>4400</v>
      </c>
      <c r="G691" s="14" t="s">
        <v>2881</v>
      </c>
      <c r="H691" s="20" t="n">
        <v>44.5</v>
      </c>
      <c r="I691" s="13" t="n">
        <v>32</v>
      </c>
      <c r="J691" s="13" t="s">
        <v>4401</v>
      </c>
      <c r="K691" s="13" t="n">
        <v>45</v>
      </c>
      <c r="L691" s="21" t="n">
        <v>10.4</v>
      </c>
      <c r="M691" s="21" t="n">
        <f aca="false">IF(C691="covered",10.4,7.55)</f>
        <v>10.4</v>
      </c>
      <c r="N691" s="13" t="n">
        <f aca="false">MAX(ROUNDUP(H691,0),I691)</f>
        <v>45</v>
      </c>
      <c r="O691" s="21" t="n">
        <v>468</v>
      </c>
      <c r="P691" s="21" t="n">
        <f aca="false">ROUND(M691*N691,2)</f>
        <v>468</v>
      </c>
      <c r="Q691" s="21" t="n">
        <f aca="false">ROUND(P691-IF(O691="",0,O691),2)</f>
        <v>0</v>
      </c>
      <c r="R691" s="14" t="str">
        <f aca="false">IF(J691="","MISSING BILL",IF(AND(K691=N691,ABS(L691-M691)&lt;0.001,ABS(O691-P691)&lt;0.01),"RECONCILED","CALCULATION ERROR"))</f>
        <v>RECONCILED</v>
      </c>
      <c r="S691" s="14" t="s">
        <v>2935</v>
      </c>
    </row>
    <row r="692" customFormat="false" ht="15" hidden="true" customHeight="false" outlineLevel="0" collapsed="false">
      <c r="A692" s="13" t="s">
        <v>274</v>
      </c>
      <c r="B692" s="13" t="s">
        <v>70</v>
      </c>
      <c r="C692" s="13" t="s">
        <v>4156</v>
      </c>
      <c r="D692" s="13" t="s">
        <v>1873</v>
      </c>
      <c r="E692" s="13" t="s">
        <v>4402</v>
      </c>
      <c r="F692" s="14" t="s">
        <v>4403</v>
      </c>
      <c r="G692" s="14" t="s">
        <v>2552</v>
      </c>
      <c r="H692" s="20" t="n">
        <v>36.5</v>
      </c>
      <c r="I692" s="13" t="n">
        <v>28</v>
      </c>
      <c r="J692" s="13" t="s">
        <v>4404</v>
      </c>
      <c r="K692" s="13" t="n">
        <v>37</v>
      </c>
      <c r="L692" s="21" t="n">
        <v>10.4</v>
      </c>
      <c r="M692" s="21" t="n">
        <f aca="false">IF(C692="covered",10.4,7.55)</f>
        <v>10.4</v>
      </c>
      <c r="N692" s="13" t="n">
        <f aca="false">MAX(ROUNDUP(H692,0),I692)</f>
        <v>37</v>
      </c>
      <c r="O692" s="21" t="n">
        <v>384.8</v>
      </c>
      <c r="P692" s="21" t="n">
        <f aca="false">ROUND(M692*N692,2)</f>
        <v>384.8</v>
      </c>
      <c r="Q692" s="21" t="n">
        <f aca="false">ROUND(P692-IF(O692="",0,O692),2)</f>
        <v>0</v>
      </c>
      <c r="R692" s="14" t="str">
        <f aca="false">IF(J692="","MISSING BILL",IF(AND(K692=N692,ABS(L692-M692)&lt;0.001,ABS(O692-P692)&lt;0.01),"RECONCILED","CALCULATION ERROR"))</f>
        <v>RECONCILED</v>
      </c>
      <c r="S692" s="14" t="s">
        <v>2935</v>
      </c>
    </row>
    <row r="693" customFormat="false" ht="15" hidden="true" customHeight="false" outlineLevel="0" collapsed="false">
      <c r="A693" s="13" t="s">
        <v>4405</v>
      </c>
      <c r="B693" s="13" t="s">
        <v>70</v>
      </c>
      <c r="C693" s="13" t="s">
        <v>4156</v>
      </c>
      <c r="D693" s="13" t="s">
        <v>1873</v>
      </c>
      <c r="E693" s="13" t="s">
        <v>4406</v>
      </c>
      <c r="F693" s="14" t="s">
        <v>4407</v>
      </c>
      <c r="G693" s="14" t="s">
        <v>3635</v>
      </c>
      <c r="H693" s="20" t="n">
        <v>46.9</v>
      </c>
      <c r="I693" s="13" t="n">
        <v>24</v>
      </c>
      <c r="J693" s="13" t="s">
        <v>4408</v>
      </c>
      <c r="K693" s="13" t="n">
        <v>47</v>
      </c>
      <c r="L693" s="21" t="n">
        <v>10.4</v>
      </c>
      <c r="M693" s="21" t="n">
        <f aca="false">IF(C693="covered",10.4,7.55)</f>
        <v>10.4</v>
      </c>
      <c r="N693" s="13" t="n">
        <f aca="false">MAX(ROUNDUP(H693,0),I693)</f>
        <v>47</v>
      </c>
      <c r="O693" s="21" t="n">
        <v>488.8</v>
      </c>
      <c r="P693" s="21" t="n">
        <f aca="false">ROUND(M693*N693,2)</f>
        <v>488.8</v>
      </c>
      <c r="Q693" s="21" t="n">
        <f aca="false">ROUND(P693-IF(O693="",0,O693),2)</f>
        <v>0</v>
      </c>
      <c r="R693" s="14" t="str">
        <f aca="false">IF(J693="","MISSING BILL",IF(AND(K693=N693,ABS(L693-M693)&lt;0.001,ABS(O693-P693)&lt;0.01),"RECONCILED","CALCULATION ERROR"))</f>
        <v>RECONCILED</v>
      </c>
      <c r="S693" s="14" t="s">
        <v>2935</v>
      </c>
    </row>
    <row r="694" customFormat="false" ht="15" hidden="true" customHeight="false" outlineLevel="0" collapsed="false">
      <c r="A694" s="13" t="s">
        <v>4409</v>
      </c>
      <c r="B694" s="13" t="s">
        <v>70</v>
      </c>
      <c r="C694" s="13" t="s">
        <v>4156</v>
      </c>
      <c r="D694" s="13" t="s">
        <v>1873</v>
      </c>
      <c r="E694" s="13" t="s">
        <v>4410</v>
      </c>
      <c r="F694" s="14" t="s">
        <v>4411</v>
      </c>
      <c r="G694" s="14" t="s">
        <v>2333</v>
      </c>
      <c r="H694" s="20" t="n">
        <v>27.2</v>
      </c>
      <c r="I694" s="13" t="n">
        <v>24</v>
      </c>
      <c r="J694" s="13" t="s">
        <v>4412</v>
      </c>
      <c r="K694" s="13" t="n">
        <v>28</v>
      </c>
      <c r="L694" s="21" t="n">
        <v>10.4</v>
      </c>
      <c r="M694" s="21" t="n">
        <f aca="false">IF(C694="covered",10.4,7.55)</f>
        <v>10.4</v>
      </c>
      <c r="N694" s="13" t="n">
        <f aca="false">MAX(ROUNDUP(H694,0),I694)</f>
        <v>28</v>
      </c>
      <c r="O694" s="21" t="n">
        <v>291.2</v>
      </c>
      <c r="P694" s="21" t="n">
        <f aca="false">ROUND(M694*N694,2)</f>
        <v>291.2</v>
      </c>
      <c r="Q694" s="21" t="n">
        <f aca="false">ROUND(P694-IF(O694="",0,O694),2)</f>
        <v>0</v>
      </c>
      <c r="R694" s="14" t="str">
        <f aca="false">IF(J694="","MISSING BILL",IF(AND(K694=N694,ABS(L694-M694)&lt;0.001,ABS(O694-P694)&lt;0.01),"RECONCILED","CALCULATION ERROR"))</f>
        <v>RECONCILED</v>
      </c>
      <c r="S694" s="14" t="s">
        <v>2935</v>
      </c>
    </row>
    <row r="695" customFormat="false" ht="15" hidden="true" customHeight="false" outlineLevel="0" collapsed="false">
      <c r="A695" s="13" t="s">
        <v>4413</v>
      </c>
      <c r="B695" s="13" t="s">
        <v>70</v>
      </c>
      <c r="C695" s="13" t="s">
        <v>4156</v>
      </c>
      <c r="D695" s="13" t="s">
        <v>1873</v>
      </c>
      <c r="E695" s="13" t="s">
        <v>4414</v>
      </c>
      <c r="F695" s="14" t="s">
        <v>3906</v>
      </c>
      <c r="G695" s="14" t="s">
        <v>4415</v>
      </c>
      <c r="H695" s="20" t="n">
        <v>34.5</v>
      </c>
      <c r="I695" s="13" t="n">
        <v>24</v>
      </c>
      <c r="J695" s="13" t="s">
        <v>4416</v>
      </c>
      <c r="K695" s="13" t="n">
        <v>35</v>
      </c>
      <c r="L695" s="21" t="n">
        <v>10.4</v>
      </c>
      <c r="M695" s="21" t="n">
        <f aca="false">IF(C695="covered",10.4,7.55)</f>
        <v>10.4</v>
      </c>
      <c r="N695" s="13" t="n">
        <f aca="false">MAX(ROUNDUP(H695,0),I695)</f>
        <v>35</v>
      </c>
      <c r="O695" s="21" t="n">
        <v>364</v>
      </c>
      <c r="P695" s="21" t="n">
        <f aca="false">ROUND(M695*N695,2)</f>
        <v>364</v>
      </c>
      <c r="Q695" s="21" t="n">
        <f aca="false">ROUND(P695-IF(O695="",0,O695),2)</f>
        <v>0</v>
      </c>
      <c r="R695" s="14" t="str">
        <f aca="false">IF(J695="","MISSING BILL",IF(AND(K695=N695,ABS(L695-M695)&lt;0.001,ABS(O695-P695)&lt;0.01),"RECONCILED","CALCULATION ERROR"))</f>
        <v>RECONCILED</v>
      </c>
      <c r="S695" s="14" t="s">
        <v>2935</v>
      </c>
    </row>
    <row r="696" customFormat="false" ht="15" hidden="true" customHeight="false" outlineLevel="0" collapsed="false">
      <c r="A696" s="13" t="s">
        <v>4417</v>
      </c>
      <c r="B696" s="13" t="s">
        <v>70</v>
      </c>
      <c r="C696" s="13" t="s">
        <v>4156</v>
      </c>
      <c r="D696" s="13" t="s">
        <v>1873</v>
      </c>
      <c r="E696" s="13" t="s">
        <v>4418</v>
      </c>
      <c r="F696" s="14" t="s">
        <v>4419</v>
      </c>
      <c r="G696" s="14" t="s">
        <v>3366</v>
      </c>
      <c r="H696" s="20" t="n">
        <v>59.6</v>
      </c>
      <c r="I696" s="13" t="n">
        <v>24</v>
      </c>
      <c r="J696" s="13" t="s">
        <v>4420</v>
      </c>
      <c r="K696" s="13" t="n">
        <v>60</v>
      </c>
      <c r="L696" s="21" t="n">
        <v>10.4</v>
      </c>
      <c r="M696" s="21" t="n">
        <f aca="false">IF(C696="covered",10.4,7.55)</f>
        <v>10.4</v>
      </c>
      <c r="N696" s="13" t="n">
        <f aca="false">MAX(ROUNDUP(H696,0),I696)</f>
        <v>60</v>
      </c>
      <c r="O696" s="21" t="n">
        <v>624</v>
      </c>
      <c r="P696" s="21" t="n">
        <f aca="false">ROUND(M696*N696,2)</f>
        <v>624</v>
      </c>
      <c r="Q696" s="21" t="n">
        <f aca="false">ROUND(P696-IF(O696="",0,O696),2)</f>
        <v>0</v>
      </c>
      <c r="R696" s="14" t="str">
        <f aca="false">IF(J696="","MISSING BILL",IF(AND(K696=N696,ABS(L696-M696)&lt;0.001,ABS(O696-P696)&lt;0.01),"RECONCILED","CALCULATION ERROR"))</f>
        <v>RECONCILED</v>
      </c>
      <c r="S696" s="14" t="s">
        <v>2935</v>
      </c>
    </row>
    <row r="697" customFormat="false" ht="15" hidden="true" customHeight="false" outlineLevel="0" collapsed="false">
      <c r="A697" s="13" t="s">
        <v>4421</v>
      </c>
      <c r="B697" s="13" t="s">
        <v>70</v>
      </c>
      <c r="C697" s="13" t="s">
        <v>4156</v>
      </c>
      <c r="D697" s="13" t="s">
        <v>1873</v>
      </c>
      <c r="E697" s="13" t="s">
        <v>4422</v>
      </c>
      <c r="F697" s="14" t="s">
        <v>4423</v>
      </c>
      <c r="G697" s="14" t="s">
        <v>4424</v>
      </c>
      <c r="H697" s="20" t="n">
        <v>38.4</v>
      </c>
      <c r="I697" s="13" t="n">
        <v>28</v>
      </c>
      <c r="J697" s="13" t="s">
        <v>4425</v>
      </c>
      <c r="K697" s="13" t="n">
        <v>39</v>
      </c>
      <c r="L697" s="21" t="n">
        <v>10.4</v>
      </c>
      <c r="M697" s="21" t="n">
        <f aca="false">IF(C697="covered",10.4,7.55)</f>
        <v>10.4</v>
      </c>
      <c r="N697" s="13" t="n">
        <f aca="false">MAX(ROUNDUP(H697,0),I697)</f>
        <v>39</v>
      </c>
      <c r="O697" s="21" t="n">
        <v>405.6</v>
      </c>
      <c r="P697" s="21" t="n">
        <f aca="false">ROUND(M697*N697,2)</f>
        <v>405.6</v>
      </c>
      <c r="Q697" s="21" t="n">
        <f aca="false">ROUND(P697-IF(O697="",0,O697),2)</f>
        <v>0</v>
      </c>
      <c r="R697" s="14" t="str">
        <f aca="false">IF(J697="","MISSING BILL",IF(AND(K697=N697,ABS(L697-M697)&lt;0.001,ABS(O697-P697)&lt;0.01),"RECONCILED","CALCULATION ERROR"))</f>
        <v>RECONCILED</v>
      </c>
      <c r="S697" s="14" t="s">
        <v>2935</v>
      </c>
    </row>
    <row r="698" customFormat="false" ht="15" hidden="true" customHeight="false" outlineLevel="0" collapsed="false">
      <c r="A698" s="13" t="s">
        <v>4426</v>
      </c>
      <c r="B698" s="13" t="s">
        <v>70</v>
      </c>
      <c r="C698" s="13" t="s">
        <v>4156</v>
      </c>
      <c r="D698" s="13" t="s">
        <v>1873</v>
      </c>
      <c r="E698" s="13" t="s">
        <v>4427</v>
      </c>
      <c r="F698" s="14" t="s">
        <v>4428</v>
      </c>
      <c r="G698" s="14" t="s">
        <v>2333</v>
      </c>
      <c r="H698" s="20" t="n">
        <v>23.9</v>
      </c>
      <c r="I698" s="13" t="n">
        <v>40</v>
      </c>
      <c r="J698" s="13" t="s">
        <v>4429</v>
      </c>
      <c r="K698" s="13" t="n">
        <v>40</v>
      </c>
      <c r="L698" s="21" t="n">
        <v>10.4</v>
      </c>
      <c r="M698" s="21" t="n">
        <f aca="false">IF(C698="covered",10.4,7.55)</f>
        <v>10.4</v>
      </c>
      <c r="N698" s="13" t="n">
        <f aca="false">MAX(ROUNDUP(H698,0),I698)</f>
        <v>40</v>
      </c>
      <c r="O698" s="21" t="n">
        <v>416</v>
      </c>
      <c r="P698" s="21" t="n">
        <f aca="false">ROUND(M698*N698,2)</f>
        <v>416</v>
      </c>
      <c r="Q698" s="21" t="n">
        <f aca="false">ROUND(P698-IF(O698="",0,O698),2)</f>
        <v>0</v>
      </c>
      <c r="R698" s="14" t="str">
        <f aca="false">IF(J698="","MISSING BILL",IF(AND(K698=N698,ABS(L698-M698)&lt;0.001,ABS(O698-P698)&lt;0.01),"RECONCILED","CALCULATION ERROR"))</f>
        <v>RECONCILED</v>
      </c>
      <c r="S698" s="14" t="s">
        <v>2935</v>
      </c>
    </row>
    <row r="699" customFormat="false" ht="15" hidden="true" customHeight="false" outlineLevel="0" collapsed="false">
      <c r="A699" s="13" t="s">
        <v>4430</v>
      </c>
      <c r="B699" s="13" t="s">
        <v>70</v>
      </c>
      <c r="C699" s="13" t="s">
        <v>4156</v>
      </c>
      <c r="D699" s="13" t="s">
        <v>1873</v>
      </c>
      <c r="E699" s="13" t="s">
        <v>4431</v>
      </c>
      <c r="F699" s="14" t="s">
        <v>4432</v>
      </c>
      <c r="G699" s="14" t="s">
        <v>2626</v>
      </c>
      <c r="H699" s="20" t="n">
        <v>48.1</v>
      </c>
      <c r="I699" s="13" t="n">
        <v>32</v>
      </c>
      <c r="J699" s="13" t="s">
        <v>4433</v>
      </c>
      <c r="K699" s="13" t="n">
        <v>49</v>
      </c>
      <c r="L699" s="21" t="n">
        <v>10.4</v>
      </c>
      <c r="M699" s="21" t="n">
        <f aca="false">IF(C699="covered",10.4,7.55)</f>
        <v>10.4</v>
      </c>
      <c r="N699" s="13" t="n">
        <f aca="false">MAX(ROUNDUP(H699,0),I699)</f>
        <v>49</v>
      </c>
      <c r="O699" s="21" t="n">
        <v>509.6</v>
      </c>
      <c r="P699" s="21" t="n">
        <f aca="false">ROUND(M699*N699,2)</f>
        <v>509.6</v>
      </c>
      <c r="Q699" s="21" t="n">
        <f aca="false">ROUND(P699-IF(O699="",0,O699),2)</f>
        <v>0</v>
      </c>
      <c r="R699" s="14" t="str">
        <f aca="false">IF(J699="","MISSING BILL",IF(AND(K699=N699,ABS(L699-M699)&lt;0.001,ABS(O699-P699)&lt;0.01),"RECONCILED","CALCULATION ERROR"))</f>
        <v>RECONCILED</v>
      </c>
      <c r="S699" s="14" t="s">
        <v>2935</v>
      </c>
    </row>
    <row r="700" customFormat="false" ht="15" hidden="true" customHeight="false" outlineLevel="0" collapsed="false">
      <c r="A700" s="13" t="s">
        <v>4434</v>
      </c>
      <c r="B700" s="13" t="s">
        <v>70</v>
      </c>
      <c r="C700" s="13" t="s">
        <v>4156</v>
      </c>
      <c r="D700" s="13" t="s">
        <v>1873</v>
      </c>
      <c r="E700" s="13" t="s">
        <v>4435</v>
      </c>
      <c r="F700" s="14" t="s">
        <v>4436</v>
      </c>
      <c r="G700" s="14" t="s">
        <v>2179</v>
      </c>
      <c r="H700" s="20" t="n">
        <v>39.7</v>
      </c>
      <c r="I700" s="13" t="n">
        <v>24</v>
      </c>
      <c r="J700" s="13" t="s">
        <v>4437</v>
      </c>
      <c r="K700" s="13" t="n">
        <v>40</v>
      </c>
      <c r="L700" s="21" t="n">
        <v>10.4</v>
      </c>
      <c r="M700" s="21" t="n">
        <f aca="false">IF(C700="covered",10.4,7.55)</f>
        <v>10.4</v>
      </c>
      <c r="N700" s="13" t="n">
        <f aca="false">MAX(ROUNDUP(H700,0),I700)</f>
        <v>40</v>
      </c>
      <c r="O700" s="21" t="n">
        <v>416</v>
      </c>
      <c r="P700" s="21" t="n">
        <f aca="false">ROUND(M700*N700,2)</f>
        <v>416</v>
      </c>
      <c r="Q700" s="21" t="n">
        <f aca="false">ROUND(P700-IF(O700="",0,O700),2)</f>
        <v>0</v>
      </c>
      <c r="R700" s="14" t="str">
        <f aca="false">IF(J700="","MISSING BILL",IF(AND(K700=N700,ABS(L700-M700)&lt;0.001,ABS(O700-P700)&lt;0.01),"RECONCILED","CALCULATION ERROR"))</f>
        <v>RECONCILED</v>
      </c>
      <c r="S700" s="14" t="s">
        <v>2935</v>
      </c>
    </row>
    <row r="701" customFormat="false" ht="15" hidden="true" customHeight="false" outlineLevel="0" collapsed="false">
      <c r="A701" s="13" t="s">
        <v>4438</v>
      </c>
      <c r="B701" s="13" t="s">
        <v>70</v>
      </c>
      <c r="C701" s="13" t="s">
        <v>4156</v>
      </c>
      <c r="D701" s="13" t="s">
        <v>1873</v>
      </c>
      <c r="E701" s="13" t="s">
        <v>4439</v>
      </c>
      <c r="F701" s="14" t="s">
        <v>4440</v>
      </c>
      <c r="G701" s="14" t="s">
        <v>3231</v>
      </c>
      <c r="H701" s="20" t="n">
        <v>24.6</v>
      </c>
      <c r="I701" s="13" t="n">
        <v>24</v>
      </c>
      <c r="J701" s="13" t="s">
        <v>4441</v>
      </c>
      <c r="K701" s="13" t="n">
        <v>25</v>
      </c>
      <c r="L701" s="21" t="n">
        <v>10.4</v>
      </c>
      <c r="M701" s="21" t="n">
        <f aca="false">IF(C701="covered",10.4,7.55)</f>
        <v>10.4</v>
      </c>
      <c r="N701" s="13" t="n">
        <f aca="false">MAX(ROUNDUP(H701,0),I701)</f>
        <v>25</v>
      </c>
      <c r="O701" s="21" t="n">
        <v>260</v>
      </c>
      <c r="P701" s="21" t="n">
        <f aca="false">ROUND(M701*N701,2)</f>
        <v>260</v>
      </c>
      <c r="Q701" s="21" t="n">
        <f aca="false">ROUND(P701-IF(O701="",0,O701),2)</f>
        <v>0</v>
      </c>
      <c r="R701" s="14" t="str">
        <f aca="false">IF(J701="","MISSING BILL",IF(AND(K701=N701,ABS(L701-M701)&lt;0.001,ABS(O701-P701)&lt;0.01),"RECONCILED","CALCULATION ERROR"))</f>
        <v>RECONCILED</v>
      </c>
      <c r="S701" s="14" t="s">
        <v>2935</v>
      </c>
    </row>
    <row r="702" customFormat="false" ht="15" hidden="true" customHeight="false" outlineLevel="0" collapsed="false">
      <c r="A702" s="13" t="s">
        <v>539</v>
      </c>
      <c r="B702" s="13" t="s">
        <v>70</v>
      </c>
      <c r="C702" s="13" t="s">
        <v>4156</v>
      </c>
      <c r="D702" s="13" t="s">
        <v>1873</v>
      </c>
      <c r="E702" s="13" t="s">
        <v>4442</v>
      </c>
      <c r="F702" s="14" t="s">
        <v>4443</v>
      </c>
      <c r="G702" s="14" t="s">
        <v>2140</v>
      </c>
      <c r="H702" s="20" t="n">
        <v>41.2</v>
      </c>
      <c r="I702" s="13" t="n">
        <v>32</v>
      </c>
      <c r="J702" s="13" t="s">
        <v>4444</v>
      </c>
      <c r="K702" s="13" t="n">
        <v>42</v>
      </c>
      <c r="L702" s="21" t="n">
        <v>10.4</v>
      </c>
      <c r="M702" s="21" t="n">
        <f aca="false">IF(C702="covered",10.4,7.55)</f>
        <v>10.4</v>
      </c>
      <c r="N702" s="13" t="n">
        <f aca="false">MAX(ROUNDUP(H702,0),I702)</f>
        <v>42</v>
      </c>
      <c r="O702" s="21" t="n">
        <v>436.8</v>
      </c>
      <c r="P702" s="21" t="n">
        <f aca="false">ROUND(M702*N702,2)</f>
        <v>436.8</v>
      </c>
      <c r="Q702" s="21" t="n">
        <f aca="false">ROUND(P702-IF(O702="",0,O702),2)</f>
        <v>0</v>
      </c>
      <c r="R702" s="14" t="str">
        <f aca="false">IF(J702="","MISSING BILL",IF(AND(K702=N702,ABS(L702-M702)&lt;0.001,ABS(O702-P702)&lt;0.01),"RECONCILED","CALCULATION ERROR"))</f>
        <v>RECONCILED</v>
      </c>
      <c r="S702" s="14" t="s">
        <v>2935</v>
      </c>
    </row>
    <row r="703" customFormat="false" ht="15" hidden="true" customHeight="false" outlineLevel="0" collapsed="false">
      <c r="A703" s="13" t="s">
        <v>1331</v>
      </c>
      <c r="B703" s="13" t="s">
        <v>70</v>
      </c>
      <c r="C703" s="13" t="s">
        <v>4156</v>
      </c>
      <c r="D703" s="13" t="s">
        <v>1873</v>
      </c>
      <c r="E703" s="13" t="s">
        <v>4445</v>
      </c>
      <c r="F703" s="14" t="s">
        <v>4446</v>
      </c>
      <c r="G703" s="14" t="s">
        <v>2216</v>
      </c>
      <c r="H703" s="20" t="n">
        <v>23.7</v>
      </c>
      <c r="I703" s="13" t="n">
        <v>28</v>
      </c>
      <c r="J703" s="13" t="s">
        <v>4447</v>
      </c>
      <c r="K703" s="13" t="n">
        <v>28</v>
      </c>
      <c r="L703" s="21" t="n">
        <v>10.4</v>
      </c>
      <c r="M703" s="21" t="n">
        <f aca="false">IF(C703="covered",10.4,7.55)</f>
        <v>10.4</v>
      </c>
      <c r="N703" s="13" t="n">
        <f aca="false">MAX(ROUNDUP(H703,0),I703)</f>
        <v>28</v>
      </c>
      <c r="O703" s="21" t="n">
        <v>291.2</v>
      </c>
      <c r="P703" s="21" t="n">
        <f aca="false">ROUND(M703*N703,2)</f>
        <v>291.2</v>
      </c>
      <c r="Q703" s="21" t="n">
        <f aca="false">ROUND(P703-IF(O703="",0,O703),2)</f>
        <v>0</v>
      </c>
      <c r="R703" s="14" t="str">
        <f aca="false">IF(J703="","MISSING BILL",IF(AND(K703=N703,ABS(L703-M703)&lt;0.001,ABS(O703-P703)&lt;0.01),"RECONCILED","CALCULATION ERROR"))</f>
        <v>RECONCILED</v>
      </c>
      <c r="S703" s="14" t="s">
        <v>2935</v>
      </c>
    </row>
    <row r="704" customFormat="false" ht="15" hidden="true" customHeight="false" outlineLevel="0" collapsed="false">
      <c r="A704" s="13" t="s">
        <v>4448</v>
      </c>
      <c r="B704" s="13" t="s">
        <v>70</v>
      </c>
      <c r="C704" s="13" t="s">
        <v>4156</v>
      </c>
      <c r="D704" s="13" t="s">
        <v>1873</v>
      </c>
      <c r="E704" s="13" t="s">
        <v>4449</v>
      </c>
      <c r="F704" s="14" t="s">
        <v>4450</v>
      </c>
      <c r="G704" s="14" t="s">
        <v>1926</v>
      </c>
      <c r="H704" s="20" t="n">
        <v>35.9</v>
      </c>
      <c r="I704" s="13" t="n">
        <v>24</v>
      </c>
      <c r="J704" s="13" t="s">
        <v>4451</v>
      </c>
      <c r="K704" s="13" t="n">
        <v>36</v>
      </c>
      <c r="L704" s="21" t="n">
        <v>10.4</v>
      </c>
      <c r="M704" s="21" t="n">
        <f aca="false">IF(C704="covered",10.4,7.55)</f>
        <v>10.4</v>
      </c>
      <c r="N704" s="13" t="n">
        <f aca="false">MAX(ROUNDUP(H704,0),I704)</f>
        <v>36</v>
      </c>
      <c r="O704" s="21" t="n">
        <v>374.4</v>
      </c>
      <c r="P704" s="21" t="n">
        <f aca="false">ROUND(M704*N704,2)</f>
        <v>374.4</v>
      </c>
      <c r="Q704" s="21" t="n">
        <f aca="false">ROUND(P704-IF(O704="",0,O704),2)</f>
        <v>0</v>
      </c>
      <c r="R704" s="14" t="str">
        <f aca="false">IF(J704="","MISSING BILL",IF(AND(K704=N704,ABS(L704-M704)&lt;0.001,ABS(O704-P704)&lt;0.01),"RECONCILED","CALCULATION ERROR"))</f>
        <v>RECONCILED</v>
      </c>
      <c r="S704" s="14" t="s">
        <v>2935</v>
      </c>
    </row>
    <row r="705" customFormat="false" ht="15" hidden="true" customHeight="false" outlineLevel="0" collapsed="false">
      <c r="A705" s="13" t="s">
        <v>604</v>
      </c>
      <c r="B705" s="13" t="s">
        <v>70</v>
      </c>
      <c r="C705" s="13" t="s">
        <v>4156</v>
      </c>
      <c r="D705" s="13" t="s">
        <v>1873</v>
      </c>
      <c r="E705" s="13" t="s">
        <v>4452</v>
      </c>
      <c r="F705" s="14" t="s">
        <v>4453</v>
      </c>
      <c r="G705" s="14" t="s">
        <v>2057</v>
      </c>
      <c r="H705" s="20" t="n">
        <v>47.8</v>
      </c>
      <c r="I705" s="13" t="n">
        <v>24</v>
      </c>
      <c r="J705" s="13" t="s">
        <v>4454</v>
      </c>
      <c r="K705" s="13" t="n">
        <v>48</v>
      </c>
      <c r="L705" s="21" t="n">
        <v>10.4</v>
      </c>
      <c r="M705" s="21" t="n">
        <f aca="false">IF(C705="covered",10.4,7.55)</f>
        <v>10.4</v>
      </c>
      <c r="N705" s="13" t="n">
        <f aca="false">MAX(ROUNDUP(H705,0),I705)</f>
        <v>48</v>
      </c>
      <c r="O705" s="21" t="n">
        <v>499.2</v>
      </c>
      <c r="P705" s="21" t="n">
        <f aca="false">ROUND(M705*N705,2)</f>
        <v>499.2</v>
      </c>
      <c r="Q705" s="21" t="n">
        <f aca="false">ROUND(P705-IF(O705="",0,O705),2)</f>
        <v>0</v>
      </c>
      <c r="R705" s="14" t="str">
        <f aca="false">IF(J705="","MISSING BILL",IF(AND(K705=N705,ABS(L705-M705)&lt;0.001,ABS(O705-P705)&lt;0.01),"RECONCILED","CALCULATION ERROR"))</f>
        <v>RECONCILED</v>
      </c>
      <c r="S705" s="14" t="s">
        <v>2935</v>
      </c>
    </row>
    <row r="706" customFormat="false" ht="15" hidden="true" customHeight="false" outlineLevel="0" collapsed="false">
      <c r="A706" s="13" t="s">
        <v>4455</v>
      </c>
      <c r="B706" s="13" t="s">
        <v>70</v>
      </c>
      <c r="C706" s="13" t="s">
        <v>4156</v>
      </c>
      <c r="D706" s="13" t="s">
        <v>1873</v>
      </c>
      <c r="E706" s="13" t="s">
        <v>4456</v>
      </c>
      <c r="F706" s="14" t="s">
        <v>4457</v>
      </c>
      <c r="G706" s="14" t="s">
        <v>4458</v>
      </c>
      <c r="H706" s="20" t="n">
        <v>60.9</v>
      </c>
      <c r="I706" s="13" t="n">
        <v>40</v>
      </c>
      <c r="J706" s="13" t="s">
        <v>4459</v>
      </c>
      <c r="K706" s="13" t="n">
        <v>61</v>
      </c>
      <c r="L706" s="21" t="n">
        <v>10.4</v>
      </c>
      <c r="M706" s="21" t="n">
        <f aca="false">IF(C706="covered",10.4,7.55)</f>
        <v>10.4</v>
      </c>
      <c r="N706" s="13" t="n">
        <f aca="false">MAX(ROUNDUP(H706,0),I706)</f>
        <v>61</v>
      </c>
      <c r="O706" s="21" t="n">
        <v>634.4</v>
      </c>
      <c r="P706" s="21" t="n">
        <f aca="false">ROUND(M706*N706,2)</f>
        <v>634.4</v>
      </c>
      <c r="Q706" s="21" t="n">
        <f aca="false">ROUND(P706-IF(O706="",0,O706),2)</f>
        <v>0</v>
      </c>
      <c r="R706" s="14" t="str">
        <f aca="false">IF(J706="","MISSING BILL",IF(AND(K706=N706,ABS(L706-M706)&lt;0.001,ABS(O706-P706)&lt;0.01),"RECONCILED","CALCULATION ERROR"))</f>
        <v>RECONCILED</v>
      </c>
      <c r="S706" s="14" t="s">
        <v>2935</v>
      </c>
    </row>
    <row r="707" customFormat="false" ht="15" hidden="true" customHeight="false" outlineLevel="0" collapsed="false">
      <c r="A707" s="13" t="s">
        <v>4460</v>
      </c>
      <c r="B707" s="13" t="s">
        <v>70</v>
      </c>
      <c r="C707" s="13" t="s">
        <v>4156</v>
      </c>
      <c r="D707" s="13" t="s">
        <v>1873</v>
      </c>
      <c r="E707" s="13" t="s">
        <v>4461</v>
      </c>
      <c r="F707" s="14" t="s">
        <v>4462</v>
      </c>
      <c r="G707" s="14" t="s">
        <v>2971</v>
      </c>
      <c r="H707" s="20" t="n">
        <v>43.7</v>
      </c>
      <c r="I707" s="13" t="n">
        <v>24</v>
      </c>
      <c r="J707" s="13" t="s">
        <v>4463</v>
      </c>
      <c r="K707" s="13" t="n">
        <v>44</v>
      </c>
      <c r="L707" s="21" t="n">
        <v>10.4</v>
      </c>
      <c r="M707" s="21" t="n">
        <f aca="false">IF(C707="covered",10.4,7.55)</f>
        <v>10.4</v>
      </c>
      <c r="N707" s="13" t="n">
        <f aca="false">MAX(ROUNDUP(H707,0),I707)</f>
        <v>44</v>
      </c>
      <c r="O707" s="21" t="n">
        <v>457.6</v>
      </c>
      <c r="P707" s="21" t="n">
        <f aca="false">ROUND(M707*N707,2)</f>
        <v>457.6</v>
      </c>
      <c r="Q707" s="21" t="n">
        <f aca="false">ROUND(P707-IF(O707="",0,O707),2)</f>
        <v>0</v>
      </c>
      <c r="R707" s="14" t="str">
        <f aca="false">IF(J707="","MISSING BILL",IF(AND(K707=N707,ABS(L707-M707)&lt;0.001,ABS(O707-P707)&lt;0.01),"RECONCILED","CALCULATION ERROR"))</f>
        <v>RECONCILED</v>
      </c>
      <c r="S707" s="14" t="s">
        <v>2935</v>
      </c>
    </row>
    <row r="708" customFormat="false" ht="15" hidden="true" customHeight="false" outlineLevel="0" collapsed="false">
      <c r="A708" s="13" t="s">
        <v>4464</v>
      </c>
      <c r="B708" s="13" t="s">
        <v>70</v>
      </c>
      <c r="C708" s="13" t="s">
        <v>4156</v>
      </c>
      <c r="D708" s="13" t="s">
        <v>1873</v>
      </c>
      <c r="E708" s="13" t="s">
        <v>4465</v>
      </c>
      <c r="F708" s="14" t="s">
        <v>4466</v>
      </c>
      <c r="G708" s="14" t="s">
        <v>2635</v>
      </c>
      <c r="H708" s="20" t="n">
        <v>44.4</v>
      </c>
      <c r="I708" s="13" t="n">
        <v>24</v>
      </c>
      <c r="J708" s="13" t="s">
        <v>4467</v>
      </c>
      <c r="K708" s="13" t="n">
        <v>45</v>
      </c>
      <c r="L708" s="21" t="n">
        <v>10.4</v>
      </c>
      <c r="M708" s="21" t="n">
        <f aca="false">IF(C708="covered",10.4,7.55)</f>
        <v>10.4</v>
      </c>
      <c r="N708" s="13" t="n">
        <f aca="false">MAX(ROUNDUP(H708,0),I708)</f>
        <v>45</v>
      </c>
      <c r="O708" s="21" t="n">
        <v>468</v>
      </c>
      <c r="P708" s="21" t="n">
        <f aca="false">ROUND(M708*N708,2)</f>
        <v>468</v>
      </c>
      <c r="Q708" s="21" t="n">
        <f aca="false">ROUND(P708-IF(O708="",0,O708),2)</f>
        <v>0</v>
      </c>
      <c r="R708" s="14" t="str">
        <f aca="false">IF(J708="","MISSING BILL",IF(AND(K708=N708,ABS(L708-M708)&lt;0.001,ABS(O708-P708)&lt;0.01),"RECONCILED","CALCULATION ERROR"))</f>
        <v>RECONCILED</v>
      </c>
      <c r="S708" s="14" t="s">
        <v>2935</v>
      </c>
    </row>
    <row r="709" customFormat="false" ht="15" hidden="true" customHeight="false" outlineLevel="0" collapsed="false">
      <c r="A709" s="13" t="s">
        <v>4468</v>
      </c>
      <c r="B709" s="13" t="s">
        <v>70</v>
      </c>
      <c r="C709" s="13" t="s">
        <v>4156</v>
      </c>
      <c r="D709" s="13" t="s">
        <v>1873</v>
      </c>
      <c r="E709" s="13" t="s">
        <v>1023</v>
      </c>
      <c r="F709" s="14" t="s">
        <v>1024</v>
      </c>
      <c r="G709" s="14" t="s">
        <v>4107</v>
      </c>
      <c r="H709" s="20" t="n">
        <v>28.9</v>
      </c>
      <c r="I709" s="13" t="n">
        <v>36</v>
      </c>
      <c r="J709" s="13" t="s">
        <v>4469</v>
      </c>
      <c r="K709" s="13" t="n">
        <v>36</v>
      </c>
      <c r="L709" s="21" t="n">
        <v>10.4</v>
      </c>
      <c r="M709" s="21" t="n">
        <f aca="false">IF(C709="covered",10.4,7.55)</f>
        <v>10.4</v>
      </c>
      <c r="N709" s="13" t="n">
        <f aca="false">MAX(ROUNDUP(H709,0),I709)</f>
        <v>36</v>
      </c>
      <c r="O709" s="21" t="n">
        <v>374.4</v>
      </c>
      <c r="P709" s="21" t="n">
        <f aca="false">ROUND(M709*N709,2)</f>
        <v>374.4</v>
      </c>
      <c r="Q709" s="21" t="n">
        <f aca="false">ROUND(P709-IF(O709="",0,O709),2)</f>
        <v>0</v>
      </c>
      <c r="R709" s="14" t="str">
        <f aca="false">IF(J709="","MISSING BILL",IF(AND(K709=N709,ABS(L709-M709)&lt;0.001,ABS(O709-P709)&lt;0.01),"RECONCILED","CALCULATION ERROR"))</f>
        <v>RECONCILED</v>
      </c>
      <c r="S709" s="14" t="s">
        <v>2935</v>
      </c>
    </row>
    <row r="710" customFormat="false" ht="15" hidden="true" customHeight="false" outlineLevel="0" collapsed="false">
      <c r="A710" s="13" t="s">
        <v>4470</v>
      </c>
      <c r="B710" s="13" t="s">
        <v>70</v>
      </c>
      <c r="C710" s="13" t="s">
        <v>4156</v>
      </c>
      <c r="D710" s="13" t="s">
        <v>1873</v>
      </c>
      <c r="E710" s="13" t="s">
        <v>4471</v>
      </c>
      <c r="F710" s="14" t="s">
        <v>4472</v>
      </c>
      <c r="G710" s="14" t="s">
        <v>2154</v>
      </c>
      <c r="H710" s="20" t="n">
        <v>25.1</v>
      </c>
      <c r="I710" s="13" t="n">
        <v>28</v>
      </c>
      <c r="J710" s="13" t="s">
        <v>4473</v>
      </c>
      <c r="K710" s="13" t="n">
        <v>28</v>
      </c>
      <c r="L710" s="21" t="n">
        <v>10.4</v>
      </c>
      <c r="M710" s="21" t="n">
        <f aca="false">IF(C710="covered",10.4,7.55)</f>
        <v>10.4</v>
      </c>
      <c r="N710" s="13" t="n">
        <f aca="false">MAX(ROUNDUP(H710,0),I710)</f>
        <v>28</v>
      </c>
      <c r="O710" s="21" t="n">
        <v>291.2</v>
      </c>
      <c r="P710" s="21" t="n">
        <f aca="false">ROUND(M710*N710,2)</f>
        <v>291.2</v>
      </c>
      <c r="Q710" s="21" t="n">
        <f aca="false">ROUND(P710-IF(O710="",0,O710),2)</f>
        <v>0</v>
      </c>
      <c r="R710" s="14" t="str">
        <f aca="false">IF(J710="","MISSING BILL",IF(AND(K710=N710,ABS(L710-M710)&lt;0.001,ABS(O710-P710)&lt;0.01),"RECONCILED","CALCULATION ERROR"))</f>
        <v>RECONCILED</v>
      </c>
      <c r="S710" s="14" t="s">
        <v>2935</v>
      </c>
    </row>
    <row r="711" customFormat="false" ht="15" hidden="true" customHeight="false" outlineLevel="0" collapsed="false">
      <c r="A711" s="13" t="s">
        <v>4474</v>
      </c>
      <c r="B711" s="13" t="s">
        <v>70</v>
      </c>
      <c r="C711" s="13" t="s">
        <v>4156</v>
      </c>
      <c r="D711" s="13" t="s">
        <v>1873</v>
      </c>
      <c r="E711" s="13" t="s">
        <v>4475</v>
      </c>
      <c r="F711" s="14" t="s">
        <v>4476</v>
      </c>
      <c r="G711" s="14" t="s">
        <v>2513</v>
      </c>
      <c r="H711" s="20" t="n">
        <v>33.5</v>
      </c>
      <c r="I711" s="13" t="n">
        <v>32</v>
      </c>
      <c r="J711" s="13" t="s">
        <v>4477</v>
      </c>
      <c r="K711" s="13" t="n">
        <v>34</v>
      </c>
      <c r="L711" s="21" t="n">
        <v>10.4</v>
      </c>
      <c r="M711" s="21" t="n">
        <f aca="false">IF(C711="covered",10.4,7.55)</f>
        <v>10.4</v>
      </c>
      <c r="N711" s="13" t="n">
        <f aca="false">MAX(ROUNDUP(H711,0),I711)</f>
        <v>34</v>
      </c>
      <c r="O711" s="21" t="n">
        <v>353.6</v>
      </c>
      <c r="P711" s="21" t="n">
        <f aca="false">ROUND(M711*N711,2)</f>
        <v>353.6</v>
      </c>
      <c r="Q711" s="21" t="n">
        <f aca="false">ROUND(P711-IF(O711="",0,O711),2)</f>
        <v>0</v>
      </c>
      <c r="R711" s="14" t="str">
        <f aca="false">IF(J711="","MISSING BILL",IF(AND(K711=N711,ABS(L711-M711)&lt;0.001,ABS(O711-P711)&lt;0.01),"RECONCILED","CALCULATION ERROR"))</f>
        <v>RECONCILED</v>
      </c>
      <c r="S711" s="14" t="s">
        <v>2935</v>
      </c>
    </row>
    <row r="712" customFormat="false" ht="15" hidden="true" customHeight="false" outlineLevel="0" collapsed="false">
      <c r="A712" s="13" t="s">
        <v>4478</v>
      </c>
      <c r="B712" s="13" t="s">
        <v>70</v>
      </c>
      <c r="C712" s="13" t="s">
        <v>4156</v>
      </c>
      <c r="D712" s="13" t="s">
        <v>1873</v>
      </c>
      <c r="E712" s="13" t="s">
        <v>4479</v>
      </c>
      <c r="F712" s="14" t="s">
        <v>4480</v>
      </c>
      <c r="G712" s="14" t="s">
        <v>2737</v>
      </c>
      <c r="H712" s="20" t="n">
        <v>34.6</v>
      </c>
      <c r="I712" s="13" t="n">
        <v>40</v>
      </c>
      <c r="J712" s="13" t="s">
        <v>4481</v>
      </c>
      <c r="K712" s="13" t="n">
        <v>40</v>
      </c>
      <c r="L712" s="21" t="n">
        <v>10.4</v>
      </c>
      <c r="M712" s="21" t="n">
        <f aca="false">IF(C712="covered",10.4,7.55)</f>
        <v>10.4</v>
      </c>
      <c r="N712" s="13" t="n">
        <f aca="false">MAX(ROUNDUP(H712,0),I712)</f>
        <v>40</v>
      </c>
      <c r="O712" s="21" t="n">
        <v>416</v>
      </c>
      <c r="P712" s="21" t="n">
        <f aca="false">ROUND(M712*N712,2)</f>
        <v>416</v>
      </c>
      <c r="Q712" s="21" t="n">
        <f aca="false">ROUND(P712-IF(O712="",0,O712),2)</f>
        <v>0</v>
      </c>
      <c r="R712" s="14" t="str">
        <f aca="false">IF(J712="","MISSING BILL",IF(AND(K712=N712,ABS(L712-M712)&lt;0.001,ABS(O712-P712)&lt;0.01),"RECONCILED","CALCULATION ERROR"))</f>
        <v>RECONCILED</v>
      </c>
      <c r="S712" s="14" t="s">
        <v>2935</v>
      </c>
    </row>
    <row r="713" customFormat="false" ht="15" hidden="true" customHeight="false" outlineLevel="0" collapsed="false">
      <c r="A713" s="13" t="s">
        <v>4482</v>
      </c>
      <c r="B713" s="13" t="s">
        <v>70</v>
      </c>
      <c r="C713" s="13" t="s">
        <v>4156</v>
      </c>
      <c r="D713" s="13" t="s">
        <v>1873</v>
      </c>
      <c r="E713" s="13" t="s">
        <v>4483</v>
      </c>
      <c r="F713" s="14" t="s">
        <v>4484</v>
      </c>
      <c r="G713" s="14" t="s">
        <v>2158</v>
      </c>
      <c r="H713" s="20" t="n">
        <v>28.5</v>
      </c>
      <c r="I713" s="13" t="n">
        <v>28</v>
      </c>
      <c r="J713" s="13" t="s">
        <v>4485</v>
      </c>
      <c r="K713" s="13" t="n">
        <v>29</v>
      </c>
      <c r="L713" s="21" t="n">
        <v>10.4</v>
      </c>
      <c r="M713" s="21" t="n">
        <f aca="false">IF(C713="covered",10.4,7.55)</f>
        <v>10.4</v>
      </c>
      <c r="N713" s="13" t="n">
        <f aca="false">MAX(ROUNDUP(H713,0),I713)</f>
        <v>29</v>
      </c>
      <c r="O713" s="21" t="n">
        <v>301.6</v>
      </c>
      <c r="P713" s="21" t="n">
        <f aca="false">ROUND(M713*N713,2)</f>
        <v>301.6</v>
      </c>
      <c r="Q713" s="21" t="n">
        <f aca="false">ROUND(P713-IF(O713="",0,O713),2)</f>
        <v>0</v>
      </c>
      <c r="R713" s="14" t="str">
        <f aca="false">IF(J713="","MISSING BILL",IF(AND(K713=N713,ABS(L713-M713)&lt;0.001,ABS(O713-P713)&lt;0.01),"RECONCILED","CALCULATION ERROR"))</f>
        <v>RECONCILED</v>
      </c>
      <c r="S713" s="14" t="s">
        <v>2935</v>
      </c>
    </row>
    <row r="714" customFormat="false" ht="15" hidden="true" customHeight="false" outlineLevel="0" collapsed="false">
      <c r="A714" s="13" t="s">
        <v>4486</v>
      </c>
      <c r="B714" s="13" t="s">
        <v>70</v>
      </c>
      <c r="C714" s="13" t="s">
        <v>4156</v>
      </c>
      <c r="D714" s="13" t="s">
        <v>1873</v>
      </c>
      <c r="E714" s="13" t="s">
        <v>4487</v>
      </c>
      <c r="F714" s="14" t="s">
        <v>4488</v>
      </c>
      <c r="G714" s="14" t="s">
        <v>4489</v>
      </c>
      <c r="H714" s="20" t="n">
        <v>53.6</v>
      </c>
      <c r="I714" s="13" t="n">
        <v>32</v>
      </c>
      <c r="J714" s="13" t="s">
        <v>4490</v>
      </c>
      <c r="K714" s="13" t="n">
        <v>54</v>
      </c>
      <c r="L714" s="21" t="n">
        <v>10.4</v>
      </c>
      <c r="M714" s="21" t="n">
        <f aca="false">IF(C714="covered",10.4,7.55)</f>
        <v>10.4</v>
      </c>
      <c r="N714" s="13" t="n">
        <f aca="false">MAX(ROUNDUP(H714,0),I714)</f>
        <v>54</v>
      </c>
      <c r="O714" s="21" t="n">
        <v>561.6</v>
      </c>
      <c r="P714" s="21" t="n">
        <f aca="false">ROUND(M714*N714,2)</f>
        <v>561.6</v>
      </c>
      <c r="Q714" s="21" t="n">
        <f aca="false">ROUND(P714-IF(O714="",0,O714),2)</f>
        <v>0</v>
      </c>
      <c r="R714" s="14" t="str">
        <f aca="false">IF(J714="","MISSING BILL",IF(AND(K714=N714,ABS(L714-M714)&lt;0.001,ABS(O714-P714)&lt;0.01),"RECONCILED","CALCULATION ERROR"))</f>
        <v>RECONCILED</v>
      </c>
      <c r="S714" s="14" t="s">
        <v>2935</v>
      </c>
    </row>
    <row r="715" customFormat="false" ht="15" hidden="true" customHeight="false" outlineLevel="0" collapsed="false">
      <c r="A715" s="13" t="s">
        <v>4491</v>
      </c>
      <c r="B715" s="13" t="s">
        <v>70</v>
      </c>
      <c r="C715" s="13" t="s">
        <v>4156</v>
      </c>
      <c r="D715" s="13" t="s">
        <v>1873</v>
      </c>
      <c r="E715" s="13" t="s">
        <v>4492</v>
      </c>
      <c r="F715" s="14" t="s">
        <v>4493</v>
      </c>
      <c r="G715" s="14" t="s">
        <v>4494</v>
      </c>
      <c r="H715" s="20" t="n">
        <v>34</v>
      </c>
      <c r="I715" s="13" t="n">
        <v>24</v>
      </c>
      <c r="J715" s="13" t="s">
        <v>4495</v>
      </c>
      <c r="K715" s="13" t="n">
        <v>34</v>
      </c>
      <c r="L715" s="21" t="n">
        <v>10.4</v>
      </c>
      <c r="M715" s="21" t="n">
        <f aca="false">IF(C715="covered",10.4,7.55)</f>
        <v>10.4</v>
      </c>
      <c r="N715" s="13" t="n">
        <f aca="false">MAX(ROUNDUP(H715,0),I715)</f>
        <v>34</v>
      </c>
      <c r="O715" s="21" t="n">
        <v>353.6</v>
      </c>
      <c r="P715" s="21" t="n">
        <f aca="false">ROUND(M715*N715,2)</f>
        <v>353.6</v>
      </c>
      <c r="Q715" s="21" t="n">
        <f aca="false">ROUND(P715-IF(O715="",0,O715),2)</f>
        <v>0</v>
      </c>
      <c r="R715" s="14" t="str">
        <f aca="false">IF(J715="","MISSING BILL",IF(AND(K715=N715,ABS(L715-M715)&lt;0.001,ABS(O715-P715)&lt;0.01),"RECONCILED","CALCULATION ERROR"))</f>
        <v>RECONCILED</v>
      </c>
      <c r="S715" s="14" t="s">
        <v>2935</v>
      </c>
    </row>
    <row r="716" customFormat="false" ht="15" hidden="true" customHeight="false" outlineLevel="0" collapsed="false">
      <c r="A716" s="13" t="s">
        <v>1438</v>
      </c>
      <c r="B716" s="13" t="s">
        <v>70</v>
      </c>
      <c r="C716" s="13" t="s">
        <v>4156</v>
      </c>
      <c r="D716" s="13" t="s">
        <v>1873</v>
      </c>
      <c r="E716" s="13" t="s">
        <v>4496</v>
      </c>
      <c r="F716" s="14" t="s">
        <v>4497</v>
      </c>
      <c r="G716" s="14" t="s">
        <v>3678</v>
      </c>
      <c r="H716" s="20" t="n">
        <v>57.8</v>
      </c>
      <c r="I716" s="13" t="n">
        <v>28</v>
      </c>
      <c r="J716" s="13" t="s">
        <v>4498</v>
      </c>
      <c r="K716" s="13" t="n">
        <v>58</v>
      </c>
      <c r="L716" s="21" t="n">
        <v>10.4</v>
      </c>
      <c r="M716" s="21" t="n">
        <f aca="false">IF(C716="covered",10.4,7.55)</f>
        <v>10.4</v>
      </c>
      <c r="N716" s="13" t="n">
        <f aca="false">MAX(ROUNDUP(H716,0),I716)</f>
        <v>58</v>
      </c>
      <c r="O716" s="21" t="n">
        <v>603.2</v>
      </c>
      <c r="P716" s="21" t="n">
        <f aca="false">ROUND(M716*N716,2)</f>
        <v>603.2</v>
      </c>
      <c r="Q716" s="21" t="n">
        <f aca="false">ROUND(P716-IF(O716="",0,O716),2)</f>
        <v>0</v>
      </c>
      <c r="R716" s="14" t="str">
        <f aca="false">IF(J716="","MISSING BILL",IF(AND(K716=N716,ABS(L716-M716)&lt;0.001,ABS(O716-P716)&lt;0.01),"RECONCILED","CALCULATION ERROR"))</f>
        <v>RECONCILED</v>
      </c>
      <c r="S716" s="14" t="s">
        <v>2935</v>
      </c>
    </row>
    <row r="717" customFormat="false" ht="15" hidden="true" customHeight="false" outlineLevel="0" collapsed="false">
      <c r="A717" s="13" t="s">
        <v>4499</v>
      </c>
      <c r="B717" s="13" t="s">
        <v>70</v>
      </c>
      <c r="C717" s="13" t="s">
        <v>4156</v>
      </c>
      <c r="D717" s="13" t="s">
        <v>1873</v>
      </c>
      <c r="E717" s="13" t="s">
        <v>4500</v>
      </c>
      <c r="F717" s="14" t="s">
        <v>4501</v>
      </c>
      <c r="G717" s="14" t="s">
        <v>4080</v>
      </c>
      <c r="H717" s="20" t="n">
        <v>57.9</v>
      </c>
      <c r="I717" s="13" t="n">
        <v>28</v>
      </c>
      <c r="J717" s="13" t="s">
        <v>4502</v>
      </c>
      <c r="K717" s="13" t="n">
        <v>58</v>
      </c>
      <c r="L717" s="21" t="n">
        <v>10.4</v>
      </c>
      <c r="M717" s="21" t="n">
        <f aca="false">IF(C717="covered",10.4,7.55)</f>
        <v>10.4</v>
      </c>
      <c r="N717" s="13" t="n">
        <f aca="false">MAX(ROUNDUP(H717,0),I717)</f>
        <v>58</v>
      </c>
      <c r="O717" s="21" t="n">
        <v>603.2</v>
      </c>
      <c r="P717" s="21" t="n">
        <f aca="false">ROUND(M717*N717,2)</f>
        <v>603.2</v>
      </c>
      <c r="Q717" s="21" t="n">
        <f aca="false">ROUND(P717-IF(O717="",0,O717),2)</f>
        <v>0</v>
      </c>
      <c r="R717" s="14" t="str">
        <f aca="false">IF(J717="","MISSING BILL",IF(AND(K717=N717,ABS(L717-M717)&lt;0.001,ABS(O717-P717)&lt;0.01),"RECONCILED","CALCULATION ERROR"))</f>
        <v>RECONCILED</v>
      </c>
      <c r="S717" s="14" t="s">
        <v>2935</v>
      </c>
    </row>
    <row r="718" customFormat="false" ht="15" hidden="true" customHeight="false" outlineLevel="0" collapsed="false">
      <c r="A718" s="13" t="s">
        <v>4503</v>
      </c>
      <c r="B718" s="13" t="s">
        <v>70</v>
      </c>
      <c r="C718" s="13" t="s">
        <v>4156</v>
      </c>
      <c r="D718" s="13" t="s">
        <v>1873</v>
      </c>
      <c r="E718" s="13" t="s">
        <v>4504</v>
      </c>
      <c r="F718" s="14" t="s">
        <v>4505</v>
      </c>
      <c r="G718" s="14" t="s">
        <v>4506</v>
      </c>
      <c r="H718" s="20" t="n">
        <v>46.7</v>
      </c>
      <c r="I718" s="13" t="n">
        <v>24</v>
      </c>
      <c r="J718" s="13" t="s">
        <v>4507</v>
      </c>
      <c r="K718" s="13" t="n">
        <v>47</v>
      </c>
      <c r="L718" s="21" t="n">
        <v>10.4</v>
      </c>
      <c r="M718" s="21" t="n">
        <f aca="false">IF(C718="covered",10.4,7.55)</f>
        <v>10.4</v>
      </c>
      <c r="N718" s="13" t="n">
        <f aca="false">MAX(ROUNDUP(H718,0),I718)</f>
        <v>47</v>
      </c>
      <c r="O718" s="21" t="n">
        <v>488.8</v>
      </c>
      <c r="P718" s="21" t="n">
        <f aca="false">ROUND(M718*N718,2)</f>
        <v>488.8</v>
      </c>
      <c r="Q718" s="21" t="n">
        <f aca="false">ROUND(P718-IF(O718="",0,O718),2)</f>
        <v>0</v>
      </c>
      <c r="R718" s="14" t="str">
        <f aca="false">IF(J718="","MISSING BILL",IF(AND(K718=N718,ABS(L718-M718)&lt;0.001,ABS(O718-P718)&lt;0.01),"RECONCILED","CALCULATION ERROR"))</f>
        <v>RECONCILED</v>
      </c>
      <c r="S718" s="14" t="s">
        <v>2935</v>
      </c>
    </row>
    <row r="719" customFormat="false" ht="15" hidden="true" customHeight="false" outlineLevel="0" collapsed="false">
      <c r="A719" s="13" t="s">
        <v>4508</v>
      </c>
      <c r="B719" s="13" t="s">
        <v>70</v>
      </c>
      <c r="C719" s="13" t="s">
        <v>4156</v>
      </c>
      <c r="D719" s="13" t="s">
        <v>1873</v>
      </c>
      <c r="E719" s="13" t="s">
        <v>1275</v>
      </c>
      <c r="F719" s="14" t="s">
        <v>1276</v>
      </c>
      <c r="G719" s="14" t="s">
        <v>2733</v>
      </c>
      <c r="H719" s="20" t="n">
        <v>41</v>
      </c>
      <c r="I719" s="13" t="n">
        <v>32</v>
      </c>
      <c r="J719" s="13" t="s">
        <v>4509</v>
      </c>
      <c r="K719" s="13" t="n">
        <v>41</v>
      </c>
      <c r="L719" s="21" t="n">
        <v>10.4</v>
      </c>
      <c r="M719" s="21" t="n">
        <f aca="false">IF(C719="covered",10.4,7.55)</f>
        <v>10.4</v>
      </c>
      <c r="N719" s="13" t="n">
        <f aca="false">MAX(ROUNDUP(H719,0),I719)</f>
        <v>41</v>
      </c>
      <c r="O719" s="21" t="n">
        <v>426.4</v>
      </c>
      <c r="P719" s="21" t="n">
        <f aca="false">ROUND(M719*N719,2)</f>
        <v>426.4</v>
      </c>
      <c r="Q719" s="21" t="n">
        <f aca="false">ROUND(P719-IF(O719="",0,O719),2)</f>
        <v>0</v>
      </c>
      <c r="R719" s="14" t="str">
        <f aca="false">IF(J719="","MISSING BILL",IF(AND(K719=N719,ABS(L719-M719)&lt;0.001,ABS(O719-P719)&lt;0.01),"RECONCILED","CALCULATION ERROR"))</f>
        <v>RECONCILED</v>
      </c>
      <c r="S719" s="14" t="s">
        <v>2935</v>
      </c>
    </row>
    <row r="720" customFormat="false" ht="15" hidden="true" customHeight="false" outlineLevel="0" collapsed="false">
      <c r="A720" s="13" t="s">
        <v>4510</v>
      </c>
      <c r="B720" s="13" t="s">
        <v>70</v>
      </c>
      <c r="C720" s="13" t="s">
        <v>4156</v>
      </c>
      <c r="D720" s="13" t="s">
        <v>1873</v>
      </c>
      <c r="E720" s="13" t="s">
        <v>4511</v>
      </c>
      <c r="F720" s="14" t="s">
        <v>4512</v>
      </c>
      <c r="G720" s="14" t="s">
        <v>3683</v>
      </c>
      <c r="H720" s="20" t="n">
        <v>56.6</v>
      </c>
      <c r="I720" s="13" t="n">
        <v>24</v>
      </c>
      <c r="J720" s="13" t="s">
        <v>4513</v>
      </c>
      <c r="K720" s="13" t="n">
        <v>57</v>
      </c>
      <c r="L720" s="21" t="n">
        <v>10.4</v>
      </c>
      <c r="M720" s="21" t="n">
        <f aca="false">IF(C720="covered",10.4,7.55)</f>
        <v>10.4</v>
      </c>
      <c r="N720" s="13" t="n">
        <f aca="false">MAX(ROUNDUP(H720,0),I720)</f>
        <v>57</v>
      </c>
      <c r="O720" s="21" t="n">
        <v>592.8</v>
      </c>
      <c r="P720" s="21" t="n">
        <f aca="false">ROUND(M720*N720,2)</f>
        <v>592.8</v>
      </c>
      <c r="Q720" s="21" t="n">
        <f aca="false">ROUND(P720-IF(O720="",0,O720),2)</f>
        <v>0</v>
      </c>
      <c r="R720" s="14" t="str">
        <f aca="false">IF(J720="","MISSING BILL",IF(AND(K720=N720,ABS(L720-M720)&lt;0.001,ABS(O720-P720)&lt;0.01),"RECONCILED","CALCULATION ERROR"))</f>
        <v>RECONCILED</v>
      </c>
      <c r="S720" s="14" t="s">
        <v>2935</v>
      </c>
    </row>
    <row r="721" customFormat="false" ht="15" hidden="true" customHeight="false" outlineLevel="0" collapsed="false">
      <c r="A721" s="13" t="s">
        <v>4514</v>
      </c>
      <c r="B721" s="13" t="s">
        <v>70</v>
      </c>
      <c r="C721" s="13" t="s">
        <v>4156</v>
      </c>
      <c r="D721" s="13" t="s">
        <v>1873</v>
      </c>
      <c r="E721" s="13" t="s">
        <v>4515</v>
      </c>
      <c r="F721" s="14" t="s">
        <v>4516</v>
      </c>
      <c r="G721" s="14" t="s">
        <v>3090</v>
      </c>
      <c r="H721" s="20" t="n">
        <v>50</v>
      </c>
      <c r="I721" s="13" t="n">
        <v>32</v>
      </c>
      <c r="J721" s="13" t="s">
        <v>4517</v>
      </c>
      <c r="K721" s="13" t="n">
        <v>50</v>
      </c>
      <c r="L721" s="21" t="n">
        <v>10.4</v>
      </c>
      <c r="M721" s="21" t="n">
        <f aca="false">IF(C721="covered",10.4,7.55)</f>
        <v>10.4</v>
      </c>
      <c r="N721" s="13" t="n">
        <f aca="false">MAX(ROUNDUP(H721,0),I721)</f>
        <v>50</v>
      </c>
      <c r="O721" s="21" t="n">
        <v>520</v>
      </c>
      <c r="P721" s="21" t="n">
        <f aca="false">ROUND(M721*N721,2)</f>
        <v>520</v>
      </c>
      <c r="Q721" s="21" t="n">
        <f aca="false">ROUND(P721-IF(O721="",0,O721),2)</f>
        <v>0</v>
      </c>
      <c r="R721" s="14" t="str">
        <f aca="false">IF(J721="","MISSING BILL",IF(AND(K721=N721,ABS(L721-M721)&lt;0.001,ABS(O721-P721)&lt;0.01),"RECONCILED","CALCULATION ERROR"))</f>
        <v>RECONCILED</v>
      </c>
      <c r="S721" s="14" t="s">
        <v>2935</v>
      </c>
    </row>
    <row r="722" customFormat="false" ht="15" hidden="true" customHeight="false" outlineLevel="0" collapsed="false">
      <c r="A722" s="13" t="s">
        <v>4518</v>
      </c>
      <c r="B722" s="13" t="s">
        <v>70</v>
      </c>
      <c r="C722" s="13" t="s">
        <v>4156</v>
      </c>
      <c r="D722" s="13" t="s">
        <v>1873</v>
      </c>
      <c r="E722" s="13" t="s">
        <v>4519</v>
      </c>
      <c r="F722" s="14" t="s">
        <v>4520</v>
      </c>
      <c r="G722" s="14" t="s">
        <v>2415</v>
      </c>
      <c r="H722" s="20" t="n">
        <v>58.7</v>
      </c>
      <c r="I722" s="13" t="n">
        <v>36</v>
      </c>
      <c r="J722" s="13" t="s">
        <v>4521</v>
      </c>
      <c r="K722" s="13" t="n">
        <v>59</v>
      </c>
      <c r="L722" s="21" t="n">
        <v>10.4</v>
      </c>
      <c r="M722" s="21" t="n">
        <f aca="false">IF(C722="covered",10.4,7.55)</f>
        <v>10.4</v>
      </c>
      <c r="N722" s="13" t="n">
        <f aca="false">MAX(ROUNDUP(H722,0),I722)</f>
        <v>59</v>
      </c>
      <c r="O722" s="21" t="n">
        <v>613.6</v>
      </c>
      <c r="P722" s="21" t="n">
        <f aca="false">ROUND(M722*N722,2)</f>
        <v>613.6</v>
      </c>
      <c r="Q722" s="21" t="n">
        <f aca="false">ROUND(P722-IF(O722="",0,O722),2)</f>
        <v>0</v>
      </c>
      <c r="R722" s="14" t="str">
        <f aca="false">IF(J722="","MISSING BILL",IF(AND(K722=N722,ABS(L722-M722)&lt;0.001,ABS(O722-P722)&lt;0.01),"RECONCILED","CALCULATION ERROR"))</f>
        <v>RECONCILED</v>
      </c>
      <c r="S722" s="14" t="s">
        <v>2935</v>
      </c>
    </row>
    <row r="723" customFormat="false" ht="15" hidden="true" customHeight="false" outlineLevel="0" collapsed="false">
      <c r="A723" s="13" t="s">
        <v>4522</v>
      </c>
      <c r="B723" s="13" t="s">
        <v>70</v>
      </c>
      <c r="C723" s="13" t="s">
        <v>4156</v>
      </c>
      <c r="D723" s="13" t="s">
        <v>1873</v>
      </c>
      <c r="E723" s="13" t="s">
        <v>4523</v>
      </c>
      <c r="F723" s="14" t="s">
        <v>4524</v>
      </c>
      <c r="G723" s="14" t="s">
        <v>3620</v>
      </c>
      <c r="H723" s="20" t="n">
        <v>23.7</v>
      </c>
      <c r="I723" s="13" t="n">
        <v>40</v>
      </c>
      <c r="J723" s="13" t="s">
        <v>4525</v>
      </c>
      <c r="K723" s="13" t="n">
        <v>40</v>
      </c>
      <c r="L723" s="21" t="n">
        <v>10.4</v>
      </c>
      <c r="M723" s="21" t="n">
        <f aca="false">IF(C723="covered",10.4,7.55)</f>
        <v>10.4</v>
      </c>
      <c r="N723" s="13" t="n">
        <f aca="false">MAX(ROUNDUP(H723,0),I723)</f>
        <v>40</v>
      </c>
      <c r="O723" s="21" t="n">
        <v>416</v>
      </c>
      <c r="P723" s="21" t="n">
        <f aca="false">ROUND(M723*N723,2)</f>
        <v>416</v>
      </c>
      <c r="Q723" s="21" t="n">
        <f aca="false">ROUND(P723-IF(O723="",0,O723),2)</f>
        <v>0</v>
      </c>
      <c r="R723" s="14" t="str">
        <f aca="false">IF(J723="","MISSING BILL",IF(AND(K723=N723,ABS(L723-M723)&lt;0.001,ABS(O723-P723)&lt;0.01),"RECONCILED","CALCULATION ERROR"))</f>
        <v>RECONCILED</v>
      </c>
      <c r="S723" s="14" t="s">
        <v>2935</v>
      </c>
    </row>
    <row r="724" customFormat="false" ht="15" hidden="true" customHeight="false" outlineLevel="0" collapsed="false">
      <c r="A724" s="13" t="s">
        <v>4526</v>
      </c>
      <c r="B724" s="13" t="s">
        <v>70</v>
      </c>
      <c r="C724" s="13" t="s">
        <v>4156</v>
      </c>
      <c r="D724" s="13" t="s">
        <v>1873</v>
      </c>
      <c r="E724" s="13" t="s">
        <v>4527</v>
      </c>
      <c r="F724" s="14" t="s">
        <v>4528</v>
      </c>
      <c r="G724" s="14" t="s">
        <v>2415</v>
      </c>
      <c r="H724" s="20" t="n">
        <v>19</v>
      </c>
      <c r="I724" s="13" t="n">
        <v>40</v>
      </c>
      <c r="J724" s="13" t="s">
        <v>4529</v>
      </c>
      <c r="K724" s="13" t="n">
        <v>40</v>
      </c>
      <c r="L724" s="21" t="n">
        <v>10.4</v>
      </c>
      <c r="M724" s="21" t="n">
        <f aca="false">IF(C724="covered",10.4,7.55)</f>
        <v>10.4</v>
      </c>
      <c r="N724" s="13" t="n">
        <f aca="false">MAX(ROUNDUP(H724,0),I724)</f>
        <v>40</v>
      </c>
      <c r="O724" s="21" t="n">
        <v>416</v>
      </c>
      <c r="P724" s="21" t="n">
        <f aca="false">ROUND(M724*N724,2)</f>
        <v>416</v>
      </c>
      <c r="Q724" s="21" t="n">
        <f aca="false">ROUND(P724-IF(O724="",0,O724),2)</f>
        <v>0</v>
      </c>
      <c r="R724" s="14" t="str">
        <f aca="false">IF(J724="","MISSING BILL",IF(AND(K724=N724,ABS(L724-M724)&lt;0.001,ABS(O724-P724)&lt;0.01),"RECONCILED","CALCULATION ERROR"))</f>
        <v>RECONCILED</v>
      </c>
      <c r="S724" s="14" t="s">
        <v>2935</v>
      </c>
    </row>
    <row r="725" customFormat="false" ht="15" hidden="true" customHeight="false" outlineLevel="0" collapsed="false">
      <c r="A725" s="13" t="s">
        <v>858</v>
      </c>
      <c r="B725" s="13" t="s">
        <v>70</v>
      </c>
      <c r="C725" s="13" t="s">
        <v>4156</v>
      </c>
      <c r="D725" s="13" t="s">
        <v>1873</v>
      </c>
      <c r="E725" s="13" t="s">
        <v>4530</v>
      </c>
      <c r="F725" s="14" t="s">
        <v>4531</v>
      </c>
      <c r="G725" s="14" t="s">
        <v>4532</v>
      </c>
      <c r="H725" s="20" t="n">
        <v>40.2</v>
      </c>
      <c r="I725" s="13" t="n">
        <v>24</v>
      </c>
      <c r="J725" s="13" t="s">
        <v>4533</v>
      </c>
      <c r="K725" s="13" t="n">
        <v>41</v>
      </c>
      <c r="L725" s="21" t="n">
        <v>10.4</v>
      </c>
      <c r="M725" s="21" t="n">
        <f aca="false">IF(C725="covered",10.4,7.55)</f>
        <v>10.4</v>
      </c>
      <c r="N725" s="13" t="n">
        <f aca="false">MAX(ROUNDUP(H725,0),I725)</f>
        <v>41</v>
      </c>
      <c r="O725" s="21" t="n">
        <v>426.4</v>
      </c>
      <c r="P725" s="21" t="n">
        <f aca="false">ROUND(M725*N725,2)</f>
        <v>426.4</v>
      </c>
      <c r="Q725" s="21" t="n">
        <f aca="false">ROUND(P725-IF(O725="",0,O725),2)</f>
        <v>0</v>
      </c>
      <c r="R725" s="14" t="str">
        <f aca="false">IF(J725="","MISSING BILL",IF(AND(K725=N725,ABS(L725-M725)&lt;0.001,ABS(O725-P725)&lt;0.01),"RECONCILED","CALCULATION ERROR"))</f>
        <v>RECONCILED</v>
      </c>
      <c r="S725" s="14" t="s">
        <v>2935</v>
      </c>
    </row>
    <row r="726" customFormat="false" ht="15" hidden="true" customHeight="false" outlineLevel="0" collapsed="false">
      <c r="A726" s="13" t="s">
        <v>1353</v>
      </c>
      <c r="B726" s="13" t="s">
        <v>70</v>
      </c>
      <c r="C726" s="13" t="s">
        <v>4156</v>
      </c>
      <c r="D726" s="13" t="s">
        <v>1873</v>
      </c>
      <c r="E726" s="13" t="s">
        <v>4534</v>
      </c>
      <c r="F726" s="14" t="s">
        <v>4535</v>
      </c>
      <c r="G726" s="14" t="s">
        <v>4090</v>
      </c>
      <c r="H726" s="20" t="n">
        <v>23.3</v>
      </c>
      <c r="I726" s="13" t="n">
        <v>28</v>
      </c>
      <c r="J726" s="13" t="s">
        <v>4536</v>
      </c>
      <c r="K726" s="13" t="n">
        <v>28</v>
      </c>
      <c r="L726" s="21" t="n">
        <v>10.4</v>
      </c>
      <c r="M726" s="21" t="n">
        <f aca="false">IF(C726="covered",10.4,7.55)</f>
        <v>10.4</v>
      </c>
      <c r="N726" s="13" t="n">
        <f aca="false">MAX(ROUNDUP(H726,0),I726)</f>
        <v>28</v>
      </c>
      <c r="O726" s="21" t="n">
        <v>291.2</v>
      </c>
      <c r="P726" s="21" t="n">
        <f aca="false">ROUND(M726*N726,2)</f>
        <v>291.2</v>
      </c>
      <c r="Q726" s="21" t="n">
        <f aca="false">ROUND(P726-IF(O726="",0,O726),2)</f>
        <v>0</v>
      </c>
      <c r="R726" s="14" t="str">
        <f aca="false">IF(J726="","MISSING BILL",IF(AND(K726=N726,ABS(L726-M726)&lt;0.001,ABS(O726-P726)&lt;0.01),"RECONCILED","CALCULATION ERROR"))</f>
        <v>RECONCILED</v>
      </c>
      <c r="S726" s="14" t="s">
        <v>2935</v>
      </c>
    </row>
    <row r="727" customFormat="false" ht="15" hidden="true" customHeight="false" outlineLevel="0" collapsed="false">
      <c r="A727" s="13" t="s">
        <v>475</v>
      </c>
      <c r="B727" s="13" t="s">
        <v>70</v>
      </c>
      <c r="C727" s="13" t="s">
        <v>4156</v>
      </c>
      <c r="D727" s="13" t="s">
        <v>1873</v>
      </c>
      <c r="E727" s="13" t="s">
        <v>4537</v>
      </c>
      <c r="F727" s="14" t="s">
        <v>4538</v>
      </c>
      <c r="G727" s="14" t="s">
        <v>2643</v>
      </c>
      <c r="H727" s="20" t="n">
        <v>18.9</v>
      </c>
      <c r="I727" s="13" t="n">
        <v>40</v>
      </c>
      <c r="J727" s="13" t="s">
        <v>4539</v>
      </c>
      <c r="K727" s="13" t="n">
        <v>40</v>
      </c>
      <c r="L727" s="21" t="n">
        <v>10.4</v>
      </c>
      <c r="M727" s="21" t="n">
        <f aca="false">IF(C727="covered",10.4,7.55)</f>
        <v>10.4</v>
      </c>
      <c r="N727" s="13" t="n">
        <f aca="false">MAX(ROUNDUP(H727,0),I727)</f>
        <v>40</v>
      </c>
      <c r="O727" s="21" t="n">
        <v>416</v>
      </c>
      <c r="P727" s="21" t="n">
        <f aca="false">ROUND(M727*N727,2)</f>
        <v>416</v>
      </c>
      <c r="Q727" s="21" t="n">
        <f aca="false">ROUND(P727-IF(O727="",0,O727),2)</f>
        <v>0</v>
      </c>
      <c r="R727" s="14" t="str">
        <f aca="false">IF(J727="","MISSING BILL",IF(AND(K727=N727,ABS(L727-M727)&lt;0.001,ABS(O727-P727)&lt;0.01),"RECONCILED","CALCULATION ERROR"))</f>
        <v>RECONCILED</v>
      </c>
      <c r="S727" s="14" t="s">
        <v>2935</v>
      </c>
    </row>
    <row r="728" customFormat="false" ht="15" hidden="true" customHeight="false" outlineLevel="0" collapsed="false">
      <c r="A728" s="13" t="s">
        <v>4540</v>
      </c>
      <c r="B728" s="13" t="s">
        <v>70</v>
      </c>
      <c r="C728" s="13" t="s">
        <v>4156</v>
      </c>
      <c r="D728" s="13" t="s">
        <v>1873</v>
      </c>
      <c r="E728" s="13" t="s">
        <v>4541</v>
      </c>
      <c r="F728" s="14" t="s">
        <v>4542</v>
      </c>
      <c r="G728" s="14" t="s">
        <v>2273</v>
      </c>
      <c r="H728" s="20" t="n">
        <v>55</v>
      </c>
      <c r="I728" s="13" t="n">
        <v>36</v>
      </c>
      <c r="J728" s="13" t="s">
        <v>4543</v>
      </c>
      <c r="K728" s="13" t="n">
        <v>55</v>
      </c>
      <c r="L728" s="21" t="n">
        <v>10.4</v>
      </c>
      <c r="M728" s="21" t="n">
        <f aca="false">IF(C728="covered",10.4,7.55)</f>
        <v>10.4</v>
      </c>
      <c r="N728" s="13" t="n">
        <f aca="false">MAX(ROUNDUP(H728,0),I728)</f>
        <v>55</v>
      </c>
      <c r="O728" s="21" t="n">
        <v>572</v>
      </c>
      <c r="P728" s="21" t="n">
        <f aca="false">ROUND(M728*N728,2)</f>
        <v>572</v>
      </c>
      <c r="Q728" s="21" t="n">
        <f aca="false">ROUND(P728-IF(O728="",0,O728),2)</f>
        <v>0</v>
      </c>
      <c r="R728" s="14" t="str">
        <f aca="false">IF(J728="","MISSING BILL",IF(AND(K728=N728,ABS(L728-M728)&lt;0.001,ABS(O728-P728)&lt;0.01),"RECONCILED","CALCULATION ERROR"))</f>
        <v>RECONCILED</v>
      </c>
      <c r="S728" s="14" t="s">
        <v>2935</v>
      </c>
    </row>
    <row r="729" customFormat="false" ht="15" hidden="true" customHeight="false" outlineLevel="0" collapsed="false">
      <c r="A729" s="13" t="s">
        <v>4544</v>
      </c>
      <c r="B729" s="13" t="s">
        <v>70</v>
      </c>
      <c r="C729" s="13" t="s">
        <v>4156</v>
      </c>
      <c r="D729" s="13" t="s">
        <v>1873</v>
      </c>
      <c r="E729" s="13" t="s">
        <v>4545</v>
      </c>
      <c r="F729" s="14" t="s">
        <v>4546</v>
      </c>
      <c r="G729" s="14" t="s">
        <v>4547</v>
      </c>
      <c r="H729" s="20" t="n">
        <v>34.6</v>
      </c>
      <c r="I729" s="13" t="n">
        <v>36</v>
      </c>
      <c r="J729" s="13" t="s">
        <v>4548</v>
      </c>
      <c r="K729" s="13" t="n">
        <v>36</v>
      </c>
      <c r="L729" s="21" t="n">
        <v>10.4</v>
      </c>
      <c r="M729" s="21" t="n">
        <f aca="false">IF(C729="covered",10.4,7.55)</f>
        <v>10.4</v>
      </c>
      <c r="N729" s="13" t="n">
        <f aca="false">MAX(ROUNDUP(H729,0),I729)</f>
        <v>36</v>
      </c>
      <c r="O729" s="21" t="n">
        <v>374.4</v>
      </c>
      <c r="P729" s="21" t="n">
        <f aca="false">ROUND(M729*N729,2)</f>
        <v>374.4</v>
      </c>
      <c r="Q729" s="21" t="n">
        <f aca="false">ROUND(P729-IF(O729="",0,O729),2)</f>
        <v>0</v>
      </c>
      <c r="R729" s="14" t="str">
        <f aca="false">IF(J729="","MISSING BILL",IF(AND(K729=N729,ABS(L729-M729)&lt;0.001,ABS(O729-P729)&lt;0.01),"RECONCILED","CALCULATION ERROR"))</f>
        <v>RECONCILED</v>
      </c>
      <c r="S729" s="14" t="s">
        <v>2935</v>
      </c>
    </row>
    <row r="730" customFormat="false" ht="15" hidden="true" customHeight="false" outlineLevel="0" collapsed="false">
      <c r="A730" s="13" t="s">
        <v>4549</v>
      </c>
      <c r="B730" s="13" t="s">
        <v>70</v>
      </c>
      <c r="C730" s="13" t="s">
        <v>4156</v>
      </c>
      <c r="D730" s="13" t="s">
        <v>1873</v>
      </c>
      <c r="E730" s="13" t="s">
        <v>246</v>
      </c>
      <c r="F730" s="14" t="s">
        <v>247</v>
      </c>
      <c r="G730" s="14" t="s">
        <v>2558</v>
      </c>
      <c r="H730" s="20" t="n">
        <v>36.5</v>
      </c>
      <c r="I730" s="13" t="n">
        <v>32</v>
      </c>
      <c r="J730" s="13" t="s">
        <v>4550</v>
      </c>
      <c r="K730" s="13" t="n">
        <v>37</v>
      </c>
      <c r="L730" s="21" t="n">
        <v>10.4</v>
      </c>
      <c r="M730" s="21" t="n">
        <f aca="false">IF(C730="covered",10.4,7.55)</f>
        <v>10.4</v>
      </c>
      <c r="N730" s="13" t="n">
        <f aca="false">MAX(ROUNDUP(H730,0),I730)</f>
        <v>37</v>
      </c>
      <c r="O730" s="21" t="n">
        <v>384.8</v>
      </c>
      <c r="P730" s="21" t="n">
        <f aca="false">ROUND(M730*N730,2)</f>
        <v>384.8</v>
      </c>
      <c r="Q730" s="21" t="n">
        <f aca="false">ROUND(P730-IF(O730="",0,O730),2)</f>
        <v>0</v>
      </c>
      <c r="R730" s="14" t="str">
        <f aca="false">IF(J730="","MISSING BILL",IF(AND(K730=N730,ABS(L730-M730)&lt;0.001,ABS(O730-P730)&lt;0.01),"RECONCILED","CALCULATION ERROR"))</f>
        <v>RECONCILED</v>
      </c>
      <c r="S730" s="14" t="s">
        <v>2935</v>
      </c>
    </row>
    <row r="731" customFormat="false" ht="15" hidden="true" customHeight="false" outlineLevel="0" collapsed="false">
      <c r="A731" s="13" t="s">
        <v>386</v>
      </c>
      <c r="B731" s="13" t="s">
        <v>70</v>
      </c>
      <c r="C731" s="13" t="s">
        <v>4156</v>
      </c>
      <c r="D731" s="13" t="s">
        <v>1873</v>
      </c>
      <c r="E731" s="13" t="s">
        <v>4551</v>
      </c>
      <c r="F731" s="14" t="s">
        <v>4552</v>
      </c>
      <c r="G731" s="14" t="s">
        <v>2246</v>
      </c>
      <c r="H731" s="20" t="n">
        <v>38.5</v>
      </c>
      <c r="I731" s="13" t="n">
        <v>32</v>
      </c>
      <c r="J731" s="13" t="s">
        <v>4553</v>
      </c>
      <c r="K731" s="13" t="n">
        <v>39</v>
      </c>
      <c r="L731" s="21" t="n">
        <v>10.4</v>
      </c>
      <c r="M731" s="21" t="n">
        <f aca="false">IF(C731="covered",10.4,7.55)</f>
        <v>10.4</v>
      </c>
      <c r="N731" s="13" t="n">
        <f aca="false">MAX(ROUNDUP(H731,0),I731)</f>
        <v>39</v>
      </c>
      <c r="O731" s="21" t="n">
        <v>405.6</v>
      </c>
      <c r="P731" s="21" t="n">
        <f aca="false">ROUND(M731*N731,2)</f>
        <v>405.6</v>
      </c>
      <c r="Q731" s="21" t="n">
        <f aca="false">ROUND(P731-IF(O731="",0,O731),2)</f>
        <v>0</v>
      </c>
      <c r="R731" s="14" t="str">
        <f aca="false">IF(J731="","MISSING BILL",IF(AND(K731=N731,ABS(L731-M731)&lt;0.001,ABS(O731-P731)&lt;0.01),"RECONCILED","CALCULATION ERROR"))</f>
        <v>RECONCILED</v>
      </c>
      <c r="S731" s="14" t="s">
        <v>2935</v>
      </c>
    </row>
    <row r="732" customFormat="false" ht="15" hidden="true" customHeight="false" outlineLevel="0" collapsed="false">
      <c r="A732" s="13" t="s">
        <v>4554</v>
      </c>
      <c r="B732" s="13" t="s">
        <v>70</v>
      </c>
      <c r="C732" s="13" t="s">
        <v>4156</v>
      </c>
      <c r="D732" s="13" t="s">
        <v>1873</v>
      </c>
      <c r="E732" s="13" t="s">
        <v>4555</v>
      </c>
      <c r="F732" s="14" t="s">
        <v>4556</v>
      </c>
      <c r="G732" s="14" t="s">
        <v>4107</v>
      </c>
      <c r="H732" s="20" t="n">
        <v>39.5</v>
      </c>
      <c r="I732" s="13" t="n">
        <v>40</v>
      </c>
      <c r="J732" s="13" t="s">
        <v>4557</v>
      </c>
      <c r="K732" s="13" t="n">
        <v>40</v>
      </c>
      <c r="L732" s="21" t="n">
        <v>10.4</v>
      </c>
      <c r="M732" s="21" t="n">
        <f aca="false">IF(C732="covered",10.4,7.55)</f>
        <v>10.4</v>
      </c>
      <c r="N732" s="13" t="n">
        <f aca="false">MAX(ROUNDUP(H732,0),I732)</f>
        <v>40</v>
      </c>
      <c r="O732" s="21" t="n">
        <v>416</v>
      </c>
      <c r="P732" s="21" t="n">
        <f aca="false">ROUND(M732*N732,2)</f>
        <v>416</v>
      </c>
      <c r="Q732" s="21" t="n">
        <f aca="false">ROUND(P732-IF(O732="",0,O732),2)</f>
        <v>0</v>
      </c>
      <c r="R732" s="14" t="str">
        <f aca="false">IF(J732="","MISSING BILL",IF(AND(K732=N732,ABS(L732-M732)&lt;0.001,ABS(O732-P732)&lt;0.01),"RECONCILED","CALCULATION ERROR"))</f>
        <v>RECONCILED</v>
      </c>
      <c r="S732" s="14" t="s">
        <v>2935</v>
      </c>
    </row>
    <row r="733" customFormat="false" ht="15" hidden="true" customHeight="false" outlineLevel="0" collapsed="false">
      <c r="A733" s="13" t="s">
        <v>4558</v>
      </c>
      <c r="B733" s="13" t="s">
        <v>70</v>
      </c>
      <c r="C733" s="13" t="s">
        <v>4156</v>
      </c>
      <c r="D733" s="13" t="s">
        <v>1873</v>
      </c>
      <c r="E733" s="13" t="s">
        <v>4559</v>
      </c>
      <c r="F733" s="14" t="s">
        <v>4560</v>
      </c>
      <c r="G733" s="14" t="s">
        <v>3982</v>
      </c>
      <c r="H733" s="20" t="n">
        <v>60.6</v>
      </c>
      <c r="I733" s="13" t="n">
        <v>40</v>
      </c>
      <c r="J733" s="13" t="s">
        <v>4561</v>
      </c>
      <c r="K733" s="13" t="n">
        <v>61</v>
      </c>
      <c r="L733" s="21" t="n">
        <v>10.4</v>
      </c>
      <c r="M733" s="21" t="n">
        <f aca="false">IF(C733="covered",10.4,7.55)</f>
        <v>10.4</v>
      </c>
      <c r="N733" s="13" t="n">
        <f aca="false">MAX(ROUNDUP(H733,0),I733)</f>
        <v>61</v>
      </c>
      <c r="O733" s="21" t="n">
        <v>634.4</v>
      </c>
      <c r="P733" s="21" t="n">
        <f aca="false">ROUND(M733*N733,2)</f>
        <v>634.4</v>
      </c>
      <c r="Q733" s="21" t="n">
        <f aca="false">ROUND(P733-IF(O733="",0,O733),2)</f>
        <v>0</v>
      </c>
      <c r="R733" s="14" t="str">
        <f aca="false">IF(J733="","MISSING BILL",IF(AND(K733=N733,ABS(L733-M733)&lt;0.001,ABS(O733-P733)&lt;0.01),"RECONCILED","CALCULATION ERROR"))</f>
        <v>RECONCILED</v>
      </c>
      <c r="S733" s="14" t="s">
        <v>2935</v>
      </c>
    </row>
    <row r="734" customFormat="false" ht="15" hidden="true" customHeight="false" outlineLevel="0" collapsed="false">
      <c r="A734" s="13" t="s">
        <v>4562</v>
      </c>
      <c r="B734" s="13" t="s">
        <v>70</v>
      </c>
      <c r="C734" s="13" t="s">
        <v>4156</v>
      </c>
      <c r="D734" s="13" t="s">
        <v>1873</v>
      </c>
      <c r="E734" s="13" t="s">
        <v>4563</v>
      </c>
      <c r="F734" s="14" t="s">
        <v>4564</v>
      </c>
      <c r="G734" s="14" t="s">
        <v>4565</v>
      </c>
      <c r="H734" s="20" t="n">
        <v>24.2</v>
      </c>
      <c r="I734" s="13" t="n">
        <v>24</v>
      </c>
      <c r="J734" s="13" t="s">
        <v>4566</v>
      </c>
      <c r="K734" s="13" t="n">
        <v>25</v>
      </c>
      <c r="L734" s="21" t="n">
        <v>10.4</v>
      </c>
      <c r="M734" s="21" t="n">
        <f aca="false">IF(C734="covered",10.4,7.55)</f>
        <v>10.4</v>
      </c>
      <c r="N734" s="13" t="n">
        <f aca="false">MAX(ROUNDUP(H734,0),I734)</f>
        <v>25</v>
      </c>
      <c r="O734" s="21" t="n">
        <v>260</v>
      </c>
      <c r="P734" s="21" t="n">
        <f aca="false">ROUND(M734*N734,2)</f>
        <v>260</v>
      </c>
      <c r="Q734" s="21" t="n">
        <f aca="false">ROUND(P734-IF(O734="",0,O734),2)</f>
        <v>0</v>
      </c>
      <c r="R734" s="14" t="str">
        <f aca="false">IF(J734="","MISSING BILL",IF(AND(K734=N734,ABS(L734-M734)&lt;0.001,ABS(O734-P734)&lt;0.01),"RECONCILED","CALCULATION ERROR"))</f>
        <v>RECONCILED</v>
      </c>
      <c r="S734" s="14" t="s">
        <v>2935</v>
      </c>
    </row>
    <row r="735" customFormat="false" ht="15" hidden="true" customHeight="false" outlineLevel="0" collapsed="false">
      <c r="A735" s="13" t="s">
        <v>4567</v>
      </c>
      <c r="B735" s="13" t="s">
        <v>70</v>
      </c>
      <c r="C735" s="13" t="s">
        <v>4156</v>
      </c>
      <c r="D735" s="13" t="s">
        <v>1873</v>
      </c>
      <c r="E735" s="13" t="s">
        <v>4568</v>
      </c>
      <c r="F735" s="14" t="s">
        <v>4569</v>
      </c>
      <c r="G735" s="14" t="s">
        <v>4570</v>
      </c>
      <c r="H735" s="20" t="n">
        <v>24.6</v>
      </c>
      <c r="I735" s="13" t="n">
        <v>28</v>
      </c>
      <c r="J735" s="13" t="s">
        <v>4571</v>
      </c>
      <c r="K735" s="13" t="n">
        <v>28</v>
      </c>
      <c r="L735" s="21" t="n">
        <v>10.4</v>
      </c>
      <c r="M735" s="21" t="n">
        <f aca="false">IF(C735="covered",10.4,7.55)</f>
        <v>10.4</v>
      </c>
      <c r="N735" s="13" t="n">
        <f aca="false">MAX(ROUNDUP(H735,0),I735)</f>
        <v>28</v>
      </c>
      <c r="O735" s="21" t="n">
        <v>291.2</v>
      </c>
      <c r="P735" s="21" t="n">
        <f aca="false">ROUND(M735*N735,2)</f>
        <v>291.2</v>
      </c>
      <c r="Q735" s="21" t="n">
        <f aca="false">ROUND(P735-IF(O735="",0,O735),2)</f>
        <v>0</v>
      </c>
      <c r="R735" s="14" t="str">
        <f aca="false">IF(J735="","MISSING BILL",IF(AND(K735=N735,ABS(L735-M735)&lt;0.001,ABS(O735-P735)&lt;0.01),"RECONCILED","CALCULATION ERROR"))</f>
        <v>RECONCILED</v>
      </c>
      <c r="S735" s="14" t="s">
        <v>2935</v>
      </c>
    </row>
    <row r="736" customFormat="false" ht="15" hidden="true" customHeight="false" outlineLevel="0" collapsed="false">
      <c r="A736" s="13" t="s">
        <v>1621</v>
      </c>
      <c r="B736" s="13" t="s">
        <v>70</v>
      </c>
      <c r="C736" s="13" t="s">
        <v>4156</v>
      </c>
      <c r="D736" s="13" t="s">
        <v>1873</v>
      </c>
      <c r="E736" s="13" t="s">
        <v>1641</v>
      </c>
      <c r="F736" s="14" t="s">
        <v>1642</v>
      </c>
      <c r="G736" s="14" t="s">
        <v>2047</v>
      </c>
      <c r="H736" s="20" t="n">
        <v>29.3</v>
      </c>
      <c r="I736" s="13" t="n">
        <v>24</v>
      </c>
      <c r="J736" s="13" t="s">
        <v>4572</v>
      </c>
      <c r="K736" s="13" t="n">
        <v>30</v>
      </c>
      <c r="L736" s="21" t="n">
        <v>10.4</v>
      </c>
      <c r="M736" s="21" t="n">
        <f aca="false">IF(C736="covered",10.4,7.55)</f>
        <v>10.4</v>
      </c>
      <c r="N736" s="13" t="n">
        <f aca="false">MAX(ROUNDUP(H736,0),I736)</f>
        <v>30</v>
      </c>
      <c r="O736" s="21" t="n">
        <v>312</v>
      </c>
      <c r="P736" s="21" t="n">
        <f aca="false">ROUND(M736*N736,2)</f>
        <v>312</v>
      </c>
      <c r="Q736" s="21" t="n">
        <f aca="false">ROUND(P736-IF(O736="",0,O736),2)</f>
        <v>0</v>
      </c>
      <c r="R736" s="14" t="str">
        <f aca="false">IF(J736="","MISSING BILL",IF(AND(K736=N736,ABS(L736-M736)&lt;0.001,ABS(O736-P736)&lt;0.01),"RECONCILED","CALCULATION ERROR"))</f>
        <v>RECONCILED</v>
      </c>
      <c r="S736" s="14" t="s">
        <v>2935</v>
      </c>
    </row>
    <row r="737" customFormat="false" ht="15" hidden="true" customHeight="false" outlineLevel="0" collapsed="false">
      <c r="A737" s="13" t="s">
        <v>4573</v>
      </c>
      <c r="B737" s="13" t="s">
        <v>70</v>
      </c>
      <c r="C737" s="13" t="s">
        <v>4156</v>
      </c>
      <c r="D737" s="13" t="s">
        <v>1873</v>
      </c>
      <c r="E737" s="13" t="s">
        <v>4574</v>
      </c>
      <c r="F737" s="14" t="s">
        <v>4575</v>
      </c>
      <c r="G737" s="14" t="s">
        <v>4576</v>
      </c>
      <c r="H737" s="20" t="n">
        <v>57.7</v>
      </c>
      <c r="I737" s="13" t="n">
        <v>36</v>
      </c>
      <c r="J737" s="13" t="s">
        <v>4577</v>
      </c>
      <c r="K737" s="13" t="n">
        <v>58</v>
      </c>
      <c r="L737" s="21" t="n">
        <v>10.4</v>
      </c>
      <c r="M737" s="21" t="n">
        <f aca="false">IF(C737="covered",10.4,7.55)</f>
        <v>10.4</v>
      </c>
      <c r="N737" s="13" t="n">
        <f aca="false">MAX(ROUNDUP(H737,0),I737)</f>
        <v>58</v>
      </c>
      <c r="O737" s="21" t="n">
        <v>603.2</v>
      </c>
      <c r="P737" s="21" t="n">
        <f aca="false">ROUND(M737*N737,2)</f>
        <v>603.2</v>
      </c>
      <c r="Q737" s="21" t="n">
        <f aca="false">ROUND(P737-IF(O737="",0,O737),2)</f>
        <v>0</v>
      </c>
      <c r="R737" s="14" t="str">
        <f aca="false">IF(J737="","MISSING BILL",IF(AND(K737=N737,ABS(L737-M737)&lt;0.001,ABS(O737-P737)&lt;0.01),"RECONCILED","CALCULATION ERROR"))</f>
        <v>RECONCILED</v>
      </c>
      <c r="S737" s="14" t="s">
        <v>2935</v>
      </c>
    </row>
    <row r="738" customFormat="false" ht="15" hidden="true" customHeight="false" outlineLevel="0" collapsed="false">
      <c r="A738" s="13" t="s">
        <v>4578</v>
      </c>
      <c r="B738" s="13" t="s">
        <v>70</v>
      </c>
      <c r="C738" s="13" t="s">
        <v>4156</v>
      </c>
      <c r="D738" s="13" t="s">
        <v>1873</v>
      </c>
      <c r="E738" s="13" t="s">
        <v>4579</v>
      </c>
      <c r="F738" s="14" t="s">
        <v>4580</v>
      </c>
      <c r="G738" s="14" t="s">
        <v>4163</v>
      </c>
      <c r="H738" s="20" t="n">
        <v>32.2</v>
      </c>
      <c r="I738" s="13" t="n">
        <v>28</v>
      </c>
      <c r="J738" s="13" t="s">
        <v>4581</v>
      </c>
      <c r="K738" s="13" t="n">
        <v>33</v>
      </c>
      <c r="L738" s="21" t="n">
        <v>10.4</v>
      </c>
      <c r="M738" s="21" t="n">
        <f aca="false">IF(C738="covered",10.4,7.55)</f>
        <v>10.4</v>
      </c>
      <c r="N738" s="13" t="n">
        <f aca="false">MAX(ROUNDUP(H738,0),I738)</f>
        <v>33</v>
      </c>
      <c r="O738" s="21" t="n">
        <v>343.2</v>
      </c>
      <c r="P738" s="21" t="n">
        <f aca="false">ROUND(M738*N738,2)</f>
        <v>343.2</v>
      </c>
      <c r="Q738" s="21" t="n">
        <f aca="false">ROUND(P738-IF(O738="",0,O738),2)</f>
        <v>0</v>
      </c>
      <c r="R738" s="14" t="str">
        <f aca="false">IF(J738="","MISSING BILL",IF(AND(K738=N738,ABS(L738-M738)&lt;0.001,ABS(O738-P738)&lt;0.01),"RECONCILED","CALCULATION ERROR"))</f>
        <v>RECONCILED</v>
      </c>
      <c r="S738" s="14" t="s">
        <v>2935</v>
      </c>
    </row>
    <row r="739" customFormat="false" ht="15" hidden="true" customHeight="false" outlineLevel="0" collapsed="false">
      <c r="A739" s="13" t="s">
        <v>533</v>
      </c>
      <c r="B739" s="13" t="s">
        <v>70</v>
      </c>
      <c r="C739" s="13" t="s">
        <v>4156</v>
      </c>
      <c r="D739" s="13" t="s">
        <v>1873</v>
      </c>
      <c r="E739" s="13" t="s">
        <v>4582</v>
      </c>
      <c r="F739" s="14" t="s">
        <v>4583</v>
      </c>
      <c r="G739" s="14" t="s">
        <v>4494</v>
      </c>
      <c r="H739" s="20" t="n">
        <v>51</v>
      </c>
      <c r="I739" s="13" t="n">
        <v>40</v>
      </c>
      <c r="J739" s="13" t="s">
        <v>4584</v>
      </c>
      <c r="K739" s="13" t="n">
        <v>51</v>
      </c>
      <c r="L739" s="21" t="n">
        <v>10.4</v>
      </c>
      <c r="M739" s="21" t="n">
        <f aca="false">IF(C739="covered",10.4,7.55)</f>
        <v>10.4</v>
      </c>
      <c r="N739" s="13" t="n">
        <f aca="false">MAX(ROUNDUP(H739,0),I739)</f>
        <v>51</v>
      </c>
      <c r="O739" s="21" t="n">
        <v>530.4</v>
      </c>
      <c r="P739" s="21" t="n">
        <f aca="false">ROUND(M739*N739,2)</f>
        <v>530.4</v>
      </c>
      <c r="Q739" s="21" t="n">
        <f aca="false">ROUND(P739-IF(O739="",0,O739),2)</f>
        <v>0</v>
      </c>
      <c r="R739" s="14" t="str">
        <f aca="false">IF(J739="","MISSING BILL",IF(AND(K739=N739,ABS(L739-M739)&lt;0.001,ABS(O739-P739)&lt;0.01),"RECONCILED","CALCULATION ERROR"))</f>
        <v>RECONCILED</v>
      </c>
      <c r="S739" s="14" t="s">
        <v>2935</v>
      </c>
    </row>
    <row r="740" customFormat="false" ht="15" hidden="true" customHeight="false" outlineLevel="0" collapsed="false">
      <c r="A740" s="13" t="s">
        <v>4585</v>
      </c>
      <c r="B740" s="13" t="s">
        <v>70</v>
      </c>
      <c r="C740" s="13" t="s">
        <v>4156</v>
      </c>
      <c r="D740" s="13" t="s">
        <v>1873</v>
      </c>
      <c r="E740" s="13" t="s">
        <v>4586</v>
      </c>
      <c r="F740" s="14" t="s">
        <v>4587</v>
      </c>
      <c r="G740" s="14" t="s">
        <v>2073</v>
      </c>
      <c r="H740" s="20" t="n">
        <v>50.9</v>
      </c>
      <c r="I740" s="13" t="n">
        <v>24</v>
      </c>
      <c r="J740" s="13" t="s">
        <v>4588</v>
      </c>
      <c r="K740" s="13" t="n">
        <v>51</v>
      </c>
      <c r="L740" s="21" t="n">
        <v>10.4</v>
      </c>
      <c r="M740" s="21" t="n">
        <f aca="false">IF(C740="covered",10.4,7.55)</f>
        <v>10.4</v>
      </c>
      <c r="N740" s="13" t="n">
        <f aca="false">MAX(ROUNDUP(H740,0),I740)</f>
        <v>51</v>
      </c>
      <c r="O740" s="21" t="n">
        <v>530.4</v>
      </c>
      <c r="P740" s="21" t="n">
        <f aca="false">ROUND(M740*N740,2)</f>
        <v>530.4</v>
      </c>
      <c r="Q740" s="21" t="n">
        <f aca="false">ROUND(P740-IF(O740="",0,O740),2)</f>
        <v>0</v>
      </c>
      <c r="R740" s="14" t="str">
        <f aca="false">IF(J740="","MISSING BILL",IF(AND(K740=N740,ABS(L740-M740)&lt;0.001,ABS(O740-P740)&lt;0.01),"RECONCILED","CALCULATION ERROR"))</f>
        <v>RECONCILED</v>
      </c>
      <c r="S740" s="14" t="s">
        <v>2935</v>
      </c>
    </row>
    <row r="741" customFormat="false" ht="15" hidden="true" customHeight="false" outlineLevel="0" collapsed="false">
      <c r="A741" s="13" t="s">
        <v>4589</v>
      </c>
      <c r="B741" s="13" t="s">
        <v>70</v>
      </c>
      <c r="C741" s="13" t="s">
        <v>4156</v>
      </c>
      <c r="D741" s="13" t="s">
        <v>1873</v>
      </c>
      <c r="E741" s="13" t="s">
        <v>4590</v>
      </c>
      <c r="F741" s="14" t="s">
        <v>4591</v>
      </c>
      <c r="G741" s="14" t="s">
        <v>1915</v>
      </c>
      <c r="H741" s="20" t="n">
        <v>61.2</v>
      </c>
      <c r="I741" s="13" t="n">
        <v>24</v>
      </c>
      <c r="J741" s="13" t="s">
        <v>4592</v>
      </c>
      <c r="K741" s="13" t="n">
        <v>62</v>
      </c>
      <c r="L741" s="21" t="n">
        <v>10.4</v>
      </c>
      <c r="M741" s="21" t="n">
        <f aca="false">IF(C741="covered",10.4,7.55)</f>
        <v>10.4</v>
      </c>
      <c r="N741" s="13" t="n">
        <f aca="false">MAX(ROUNDUP(H741,0),I741)</f>
        <v>62</v>
      </c>
      <c r="O741" s="21" t="n">
        <v>644.8</v>
      </c>
      <c r="P741" s="21" t="n">
        <f aca="false">ROUND(M741*N741,2)</f>
        <v>644.8</v>
      </c>
      <c r="Q741" s="21" t="n">
        <f aca="false">ROUND(P741-IF(O741="",0,O741),2)</f>
        <v>0</v>
      </c>
      <c r="R741" s="14" t="str">
        <f aca="false">IF(J741="","MISSING BILL",IF(AND(K741=N741,ABS(L741-M741)&lt;0.001,ABS(O741-P741)&lt;0.01),"RECONCILED","CALCULATION ERROR"))</f>
        <v>RECONCILED</v>
      </c>
      <c r="S741" s="14" t="s">
        <v>2935</v>
      </c>
    </row>
    <row r="742" customFormat="false" ht="15" hidden="true" customHeight="false" outlineLevel="0" collapsed="false">
      <c r="A742" s="13" t="s">
        <v>4593</v>
      </c>
      <c r="B742" s="13" t="s">
        <v>70</v>
      </c>
      <c r="C742" s="13" t="s">
        <v>4156</v>
      </c>
      <c r="D742" s="13" t="s">
        <v>1873</v>
      </c>
      <c r="E742" s="13" t="s">
        <v>4594</v>
      </c>
      <c r="F742" s="14" t="s">
        <v>4595</v>
      </c>
      <c r="G742" s="14" t="s">
        <v>2976</v>
      </c>
      <c r="H742" s="20" t="n">
        <v>30.7</v>
      </c>
      <c r="I742" s="13" t="n">
        <v>40</v>
      </c>
      <c r="J742" s="13" t="s">
        <v>4596</v>
      </c>
      <c r="K742" s="13" t="n">
        <v>40</v>
      </c>
      <c r="L742" s="21" t="n">
        <v>10.4</v>
      </c>
      <c r="M742" s="21" t="n">
        <f aca="false">IF(C742="covered",10.4,7.55)</f>
        <v>10.4</v>
      </c>
      <c r="N742" s="13" t="n">
        <f aca="false">MAX(ROUNDUP(H742,0),I742)</f>
        <v>40</v>
      </c>
      <c r="O742" s="21" t="n">
        <v>416</v>
      </c>
      <c r="P742" s="21" t="n">
        <f aca="false">ROUND(M742*N742,2)</f>
        <v>416</v>
      </c>
      <c r="Q742" s="21" t="n">
        <f aca="false">ROUND(P742-IF(O742="",0,O742),2)</f>
        <v>0</v>
      </c>
      <c r="R742" s="14" t="str">
        <f aca="false">IF(J742="","MISSING BILL",IF(AND(K742=N742,ABS(L742-M742)&lt;0.001,ABS(O742-P742)&lt;0.01),"RECONCILED","CALCULATION ERROR"))</f>
        <v>RECONCILED</v>
      </c>
      <c r="S742" s="14" t="s">
        <v>2935</v>
      </c>
    </row>
    <row r="743" customFormat="false" ht="15" hidden="true" customHeight="false" outlineLevel="0" collapsed="false">
      <c r="A743" s="13" t="s">
        <v>4597</v>
      </c>
      <c r="B743" s="13" t="s">
        <v>70</v>
      </c>
      <c r="C743" s="13" t="s">
        <v>4156</v>
      </c>
      <c r="D743" s="13" t="s">
        <v>1873</v>
      </c>
      <c r="E743" s="13" t="s">
        <v>4598</v>
      </c>
      <c r="F743" s="14" t="s">
        <v>4599</v>
      </c>
      <c r="G743" s="14" t="s">
        <v>4351</v>
      </c>
      <c r="H743" s="20" t="n">
        <v>22.6</v>
      </c>
      <c r="I743" s="13" t="n">
        <v>28</v>
      </c>
      <c r="J743" s="13" t="s">
        <v>4600</v>
      </c>
      <c r="K743" s="13" t="n">
        <v>28</v>
      </c>
      <c r="L743" s="21" t="n">
        <v>10.4</v>
      </c>
      <c r="M743" s="21" t="n">
        <f aca="false">IF(C743="covered",10.4,7.55)</f>
        <v>10.4</v>
      </c>
      <c r="N743" s="13" t="n">
        <f aca="false">MAX(ROUNDUP(H743,0),I743)</f>
        <v>28</v>
      </c>
      <c r="O743" s="21" t="n">
        <v>291.2</v>
      </c>
      <c r="P743" s="21" t="n">
        <f aca="false">ROUND(M743*N743,2)</f>
        <v>291.2</v>
      </c>
      <c r="Q743" s="21" t="n">
        <f aca="false">ROUND(P743-IF(O743="",0,O743),2)</f>
        <v>0</v>
      </c>
      <c r="R743" s="14" t="str">
        <f aca="false">IF(J743="","MISSING BILL",IF(AND(K743=N743,ABS(L743-M743)&lt;0.001,ABS(O743-P743)&lt;0.01),"RECONCILED","CALCULATION ERROR"))</f>
        <v>RECONCILED</v>
      </c>
      <c r="S743" s="14" t="s">
        <v>2935</v>
      </c>
    </row>
    <row r="744" customFormat="false" ht="15" hidden="true" customHeight="false" outlineLevel="0" collapsed="false">
      <c r="A744" s="13" t="s">
        <v>1772</v>
      </c>
      <c r="B744" s="13" t="s">
        <v>70</v>
      </c>
      <c r="C744" s="13" t="s">
        <v>4156</v>
      </c>
      <c r="D744" s="13" t="s">
        <v>1873</v>
      </c>
      <c r="E744" s="13" t="s">
        <v>4601</v>
      </c>
      <c r="F744" s="14" t="s">
        <v>4602</v>
      </c>
      <c r="G744" s="14" t="s">
        <v>3518</v>
      </c>
      <c r="H744" s="20" t="n">
        <v>37.3</v>
      </c>
      <c r="I744" s="13" t="n">
        <v>24</v>
      </c>
      <c r="J744" s="13" t="s">
        <v>4603</v>
      </c>
      <c r="K744" s="13" t="n">
        <v>38</v>
      </c>
      <c r="L744" s="21" t="n">
        <v>10.4</v>
      </c>
      <c r="M744" s="21" t="n">
        <f aca="false">IF(C744="covered",10.4,7.55)</f>
        <v>10.4</v>
      </c>
      <c r="N744" s="13" t="n">
        <f aca="false">MAX(ROUNDUP(H744,0),I744)</f>
        <v>38</v>
      </c>
      <c r="O744" s="21" t="n">
        <v>395.2</v>
      </c>
      <c r="P744" s="21" t="n">
        <f aca="false">ROUND(M744*N744,2)</f>
        <v>395.2</v>
      </c>
      <c r="Q744" s="21" t="n">
        <f aca="false">ROUND(P744-IF(O744="",0,O744),2)</f>
        <v>0</v>
      </c>
      <c r="R744" s="14" t="str">
        <f aca="false">IF(J744="","MISSING BILL",IF(AND(K744=N744,ABS(L744-M744)&lt;0.001,ABS(O744-P744)&lt;0.01),"RECONCILED","CALCULATION ERROR"))</f>
        <v>RECONCILED</v>
      </c>
      <c r="S744" s="14" t="s">
        <v>2935</v>
      </c>
    </row>
    <row r="745" customFormat="false" ht="15" hidden="true" customHeight="false" outlineLevel="0" collapsed="false">
      <c r="A745" s="13" t="s">
        <v>4604</v>
      </c>
      <c r="B745" s="13" t="s">
        <v>70</v>
      </c>
      <c r="C745" s="13" t="s">
        <v>4156</v>
      </c>
      <c r="D745" s="13" t="s">
        <v>1873</v>
      </c>
      <c r="E745" s="13" t="s">
        <v>4605</v>
      </c>
      <c r="F745" s="14" t="s">
        <v>4606</v>
      </c>
      <c r="G745" s="14" t="s">
        <v>4607</v>
      </c>
      <c r="H745" s="20" t="n">
        <v>34.5</v>
      </c>
      <c r="I745" s="13" t="n">
        <v>28</v>
      </c>
      <c r="J745" s="13" t="s">
        <v>4608</v>
      </c>
      <c r="K745" s="13" t="n">
        <v>35</v>
      </c>
      <c r="L745" s="21" t="n">
        <v>10.4</v>
      </c>
      <c r="M745" s="21" t="n">
        <f aca="false">IF(C745="covered",10.4,7.55)</f>
        <v>10.4</v>
      </c>
      <c r="N745" s="13" t="n">
        <f aca="false">MAX(ROUNDUP(H745,0),I745)</f>
        <v>35</v>
      </c>
      <c r="O745" s="21" t="n">
        <v>364</v>
      </c>
      <c r="P745" s="21" t="n">
        <f aca="false">ROUND(M745*N745,2)</f>
        <v>364</v>
      </c>
      <c r="Q745" s="21" t="n">
        <f aca="false">ROUND(P745-IF(O745="",0,O745),2)</f>
        <v>0</v>
      </c>
      <c r="R745" s="14" t="str">
        <f aca="false">IF(J745="","MISSING BILL",IF(AND(K745=N745,ABS(L745-M745)&lt;0.001,ABS(O745-P745)&lt;0.01),"RECONCILED","CALCULATION ERROR"))</f>
        <v>RECONCILED</v>
      </c>
      <c r="S745" s="14" t="s">
        <v>2935</v>
      </c>
    </row>
    <row r="746" customFormat="false" ht="15" hidden="true" customHeight="false" outlineLevel="0" collapsed="false">
      <c r="A746" s="13" t="s">
        <v>4609</v>
      </c>
      <c r="B746" s="13" t="s">
        <v>70</v>
      </c>
      <c r="C746" s="13" t="s">
        <v>4156</v>
      </c>
      <c r="D746" s="13" t="s">
        <v>1873</v>
      </c>
      <c r="E746" s="13" t="s">
        <v>4610</v>
      </c>
      <c r="F746" s="14" t="s">
        <v>4611</v>
      </c>
      <c r="G746" s="14" t="s">
        <v>4308</v>
      </c>
      <c r="H746" s="20" t="n">
        <v>60.7</v>
      </c>
      <c r="I746" s="13" t="n">
        <v>24</v>
      </c>
      <c r="J746" s="13" t="s">
        <v>4612</v>
      </c>
      <c r="K746" s="13" t="n">
        <v>61</v>
      </c>
      <c r="L746" s="21" t="n">
        <v>10.4</v>
      </c>
      <c r="M746" s="21" t="n">
        <f aca="false">IF(C746="covered",10.4,7.55)</f>
        <v>10.4</v>
      </c>
      <c r="N746" s="13" t="n">
        <f aca="false">MAX(ROUNDUP(H746,0),I746)</f>
        <v>61</v>
      </c>
      <c r="O746" s="21" t="n">
        <v>634.4</v>
      </c>
      <c r="P746" s="21" t="n">
        <f aca="false">ROUND(M746*N746,2)</f>
        <v>634.4</v>
      </c>
      <c r="Q746" s="21" t="n">
        <f aca="false">ROUND(P746-IF(O746="",0,O746),2)</f>
        <v>0</v>
      </c>
      <c r="R746" s="14" t="str">
        <f aca="false">IF(J746="","MISSING BILL",IF(AND(K746=N746,ABS(L746-M746)&lt;0.001,ABS(O746-P746)&lt;0.01),"RECONCILED","CALCULATION ERROR"))</f>
        <v>RECONCILED</v>
      </c>
      <c r="S746" s="14" t="s">
        <v>2935</v>
      </c>
    </row>
    <row r="747" customFormat="false" ht="15" hidden="true" customHeight="false" outlineLevel="0" collapsed="false">
      <c r="A747" s="13" t="s">
        <v>4613</v>
      </c>
      <c r="B747" s="13" t="s">
        <v>70</v>
      </c>
      <c r="C747" s="13" t="s">
        <v>4156</v>
      </c>
      <c r="D747" s="13" t="s">
        <v>1873</v>
      </c>
      <c r="E747" s="13" t="s">
        <v>4614</v>
      </c>
      <c r="F747" s="14" t="s">
        <v>4615</v>
      </c>
      <c r="G747" s="14" t="s">
        <v>2162</v>
      </c>
      <c r="H747" s="20" t="n">
        <v>18.6</v>
      </c>
      <c r="I747" s="13" t="n">
        <v>32</v>
      </c>
      <c r="J747" s="13" t="s">
        <v>4616</v>
      </c>
      <c r="K747" s="13" t="n">
        <v>32</v>
      </c>
      <c r="L747" s="21" t="n">
        <v>10.4</v>
      </c>
      <c r="M747" s="21" t="n">
        <f aca="false">IF(C747="covered",10.4,7.55)</f>
        <v>10.4</v>
      </c>
      <c r="N747" s="13" t="n">
        <f aca="false">MAX(ROUNDUP(H747,0),I747)</f>
        <v>32</v>
      </c>
      <c r="O747" s="21" t="n">
        <v>332.8</v>
      </c>
      <c r="P747" s="21" t="n">
        <f aca="false">ROUND(M747*N747,2)</f>
        <v>332.8</v>
      </c>
      <c r="Q747" s="21" t="n">
        <f aca="false">ROUND(P747-IF(O747="",0,O747),2)</f>
        <v>0</v>
      </c>
      <c r="R747" s="14" t="str">
        <f aca="false">IF(J747="","MISSING BILL",IF(AND(K747=N747,ABS(L747-M747)&lt;0.001,ABS(O747-P747)&lt;0.01),"RECONCILED","CALCULATION ERROR"))</f>
        <v>RECONCILED</v>
      </c>
      <c r="S747" s="14" t="s">
        <v>2935</v>
      </c>
    </row>
    <row r="748" customFormat="false" ht="15" hidden="true" customHeight="false" outlineLevel="0" collapsed="false">
      <c r="A748" s="13" t="s">
        <v>4617</v>
      </c>
      <c r="B748" s="13" t="s">
        <v>70</v>
      </c>
      <c r="C748" s="13" t="s">
        <v>4156</v>
      </c>
      <c r="D748" s="13" t="s">
        <v>1873</v>
      </c>
      <c r="E748" s="13" t="s">
        <v>4618</v>
      </c>
      <c r="F748" s="14" t="s">
        <v>4619</v>
      </c>
      <c r="G748" s="14" t="s">
        <v>1876</v>
      </c>
      <c r="H748" s="20" t="n">
        <v>52.8</v>
      </c>
      <c r="I748" s="13" t="n">
        <v>24</v>
      </c>
      <c r="J748" s="13" t="s">
        <v>4620</v>
      </c>
      <c r="K748" s="13" t="n">
        <v>53</v>
      </c>
      <c r="L748" s="21" t="n">
        <v>10.4</v>
      </c>
      <c r="M748" s="21" t="n">
        <f aca="false">IF(C748="covered",10.4,7.55)</f>
        <v>10.4</v>
      </c>
      <c r="N748" s="13" t="n">
        <f aca="false">MAX(ROUNDUP(H748,0),I748)</f>
        <v>53</v>
      </c>
      <c r="O748" s="21" t="n">
        <v>551.2</v>
      </c>
      <c r="P748" s="21" t="n">
        <f aca="false">ROUND(M748*N748,2)</f>
        <v>551.2</v>
      </c>
      <c r="Q748" s="21" t="n">
        <f aca="false">ROUND(P748-IF(O748="",0,O748),2)</f>
        <v>0</v>
      </c>
      <c r="R748" s="14" t="str">
        <f aca="false">IF(J748="","MISSING BILL",IF(AND(K748=N748,ABS(L748-M748)&lt;0.001,ABS(O748-P748)&lt;0.01),"RECONCILED","CALCULATION ERROR"))</f>
        <v>RECONCILED</v>
      </c>
      <c r="S748" s="14" t="s">
        <v>2935</v>
      </c>
    </row>
    <row r="749" customFormat="false" ht="15" hidden="true" customHeight="false" outlineLevel="0" collapsed="false">
      <c r="A749" s="13" t="s">
        <v>1523</v>
      </c>
      <c r="B749" s="13" t="s">
        <v>70</v>
      </c>
      <c r="C749" s="13" t="s">
        <v>4156</v>
      </c>
      <c r="D749" s="13" t="s">
        <v>1873</v>
      </c>
      <c r="E749" s="13" t="s">
        <v>4621</v>
      </c>
      <c r="F749" s="14" t="s">
        <v>4622</v>
      </c>
      <c r="G749" s="14" t="s">
        <v>2200</v>
      </c>
      <c r="H749" s="20" t="n">
        <v>18.7</v>
      </c>
      <c r="I749" s="13" t="n">
        <v>28</v>
      </c>
      <c r="J749" s="13" t="s">
        <v>4623</v>
      </c>
      <c r="K749" s="13" t="n">
        <v>28</v>
      </c>
      <c r="L749" s="21" t="n">
        <v>10.4</v>
      </c>
      <c r="M749" s="21" t="n">
        <f aca="false">IF(C749="covered",10.4,7.55)</f>
        <v>10.4</v>
      </c>
      <c r="N749" s="13" t="n">
        <f aca="false">MAX(ROUNDUP(H749,0),I749)</f>
        <v>28</v>
      </c>
      <c r="O749" s="21" t="n">
        <v>291.2</v>
      </c>
      <c r="P749" s="21" t="n">
        <f aca="false">ROUND(M749*N749,2)</f>
        <v>291.2</v>
      </c>
      <c r="Q749" s="21" t="n">
        <f aca="false">ROUND(P749-IF(O749="",0,O749),2)</f>
        <v>0</v>
      </c>
      <c r="R749" s="14" t="str">
        <f aca="false">IF(J749="","MISSING BILL",IF(AND(K749=N749,ABS(L749-M749)&lt;0.001,ABS(O749-P749)&lt;0.01),"RECONCILED","CALCULATION ERROR"))</f>
        <v>RECONCILED</v>
      </c>
      <c r="S749" s="14" t="s">
        <v>2935</v>
      </c>
    </row>
    <row r="750" customFormat="false" ht="15" hidden="true" customHeight="false" outlineLevel="0" collapsed="false">
      <c r="A750" s="13" t="s">
        <v>4624</v>
      </c>
      <c r="B750" s="13" t="s">
        <v>70</v>
      </c>
      <c r="C750" s="13" t="s">
        <v>4156</v>
      </c>
      <c r="D750" s="13" t="s">
        <v>1873</v>
      </c>
      <c r="E750" s="13" t="s">
        <v>4625</v>
      </c>
      <c r="F750" s="14" t="s">
        <v>4626</v>
      </c>
      <c r="G750" s="14" t="s">
        <v>3019</v>
      </c>
      <c r="H750" s="20" t="n">
        <v>37.5</v>
      </c>
      <c r="I750" s="13" t="n">
        <v>36</v>
      </c>
      <c r="J750" s="13" t="s">
        <v>4627</v>
      </c>
      <c r="K750" s="13" t="n">
        <v>38</v>
      </c>
      <c r="L750" s="21" t="n">
        <v>10.4</v>
      </c>
      <c r="M750" s="21" t="n">
        <f aca="false">IF(C750="covered",10.4,7.55)</f>
        <v>10.4</v>
      </c>
      <c r="N750" s="13" t="n">
        <f aca="false">MAX(ROUNDUP(H750,0),I750)</f>
        <v>38</v>
      </c>
      <c r="O750" s="21" t="n">
        <v>395.2</v>
      </c>
      <c r="P750" s="21" t="n">
        <f aca="false">ROUND(M750*N750,2)</f>
        <v>395.2</v>
      </c>
      <c r="Q750" s="21" t="n">
        <f aca="false">ROUND(P750-IF(O750="",0,O750),2)</f>
        <v>0</v>
      </c>
      <c r="R750" s="14" t="str">
        <f aca="false">IF(J750="","MISSING BILL",IF(AND(K750=N750,ABS(L750-M750)&lt;0.001,ABS(O750-P750)&lt;0.01),"RECONCILED","CALCULATION ERROR"))</f>
        <v>RECONCILED</v>
      </c>
      <c r="S750" s="14" t="s">
        <v>2935</v>
      </c>
    </row>
    <row r="751" customFormat="false" ht="15" hidden="true" customHeight="false" outlineLevel="0" collapsed="false">
      <c r="A751" s="13" t="s">
        <v>1257</v>
      </c>
      <c r="B751" s="13" t="s">
        <v>70</v>
      </c>
      <c r="C751" s="13" t="s">
        <v>4156</v>
      </c>
      <c r="D751" s="13" t="s">
        <v>1873</v>
      </c>
      <c r="E751" s="13" t="s">
        <v>4628</v>
      </c>
      <c r="F751" s="14" t="s">
        <v>4629</v>
      </c>
      <c r="G751" s="14" t="s">
        <v>4576</v>
      </c>
      <c r="H751" s="20" t="n">
        <v>51.4</v>
      </c>
      <c r="I751" s="13" t="n">
        <v>24</v>
      </c>
      <c r="J751" s="13" t="s">
        <v>4630</v>
      </c>
      <c r="K751" s="13" t="n">
        <v>52</v>
      </c>
      <c r="L751" s="21" t="n">
        <v>10.4</v>
      </c>
      <c r="M751" s="21" t="n">
        <f aca="false">IF(C751="covered",10.4,7.55)</f>
        <v>10.4</v>
      </c>
      <c r="N751" s="13" t="n">
        <f aca="false">MAX(ROUNDUP(H751,0),I751)</f>
        <v>52</v>
      </c>
      <c r="O751" s="21" t="n">
        <v>540.8</v>
      </c>
      <c r="P751" s="21" t="n">
        <f aca="false">ROUND(M751*N751,2)</f>
        <v>540.8</v>
      </c>
      <c r="Q751" s="21" t="n">
        <f aca="false">ROUND(P751-IF(O751="",0,O751),2)</f>
        <v>0</v>
      </c>
      <c r="R751" s="14" t="str">
        <f aca="false">IF(J751="","MISSING BILL",IF(AND(K751=N751,ABS(L751-M751)&lt;0.001,ABS(O751-P751)&lt;0.01),"RECONCILED","CALCULATION ERROR"))</f>
        <v>RECONCILED</v>
      </c>
      <c r="S751" s="14" t="s">
        <v>2935</v>
      </c>
    </row>
    <row r="752" customFormat="false" ht="15" hidden="true" customHeight="false" outlineLevel="0" collapsed="false">
      <c r="A752" s="13" t="s">
        <v>4631</v>
      </c>
      <c r="B752" s="13" t="s">
        <v>70</v>
      </c>
      <c r="C752" s="13" t="s">
        <v>4156</v>
      </c>
      <c r="D752" s="13" t="s">
        <v>1873</v>
      </c>
      <c r="E752" s="13" t="s">
        <v>4632</v>
      </c>
      <c r="F752" s="14" t="s">
        <v>4633</v>
      </c>
      <c r="G752" s="14" t="s">
        <v>1881</v>
      </c>
      <c r="H752" s="20" t="n">
        <v>35.6</v>
      </c>
      <c r="I752" s="13" t="n">
        <v>28</v>
      </c>
      <c r="J752" s="13" t="s">
        <v>4634</v>
      </c>
      <c r="K752" s="13" t="n">
        <v>36</v>
      </c>
      <c r="L752" s="21" t="n">
        <v>10.4</v>
      </c>
      <c r="M752" s="21" t="n">
        <f aca="false">IF(C752="covered",10.4,7.55)</f>
        <v>10.4</v>
      </c>
      <c r="N752" s="13" t="n">
        <f aca="false">MAX(ROUNDUP(H752,0),I752)</f>
        <v>36</v>
      </c>
      <c r="O752" s="21" t="n">
        <v>374.4</v>
      </c>
      <c r="P752" s="21" t="n">
        <f aca="false">ROUND(M752*N752,2)</f>
        <v>374.4</v>
      </c>
      <c r="Q752" s="21" t="n">
        <f aca="false">ROUND(P752-IF(O752="",0,O752),2)</f>
        <v>0</v>
      </c>
      <c r="R752" s="14" t="str">
        <f aca="false">IF(J752="","MISSING BILL",IF(AND(K752=N752,ABS(L752-M752)&lt;0.001,ABS(O752-P752)&lt;0.01),"RECONCILED","CALCULATION ERROR"))</f>
        <v>RECONCILED</v>
      </c>
      <c r="S752" s="14" t="s">
        <v>2935</v>
      </c>
    </row>
    <row r="753" customFormat="false" ht="15" hidden="true" customHeight="false" outlineLevel="0" collapsed="false">
      <c r="A753" s="13" t="s">
        <v>4635</v>
      </c>
      <c r="B753" s="13" t="s">
        <v>70</v>
      </c>
      <c r="C753" s="13" t="s">
        <v>4156</v>
      </c>
      <c r="D753" s="13" t="s">
        <v>1873</v>
      </c>
      <c r="E753" s="13" t="s">
        <v>4636</v>
      </c>
      <c r="F753" s="14" t="s">
        <v>4637</v>
      </c>
      <c r="G753" s="14" t="s">
        <v>4638</v>
      </c>
      <c r="H753" s="20" t="n">
        <v>30.1</v>
      </c>
      <c r="I753" s="13" t="n">
        <v>32</v>
      </c>
      <c r="J753" s="13" t="s">
        <v>4639</v>
      </c>
      <c r="K753" s="13" t="n">
        <v>32</v>
      </c>
      <c r="L753" s="21" t="n">
        <v>10.4</v>
      </c>
      <c r="M753" s="21" t="n">
        <f aca="false">IF(C753="covered",10.4,7.55)</f>
        <v>10.4</v>
      </c>
      <c r="N753" s="13" t="n">
        <f aca="false">MAX(ROUNDUP(H753,0),I753)</f>
        <v>32</v>
      </c>
      <c r="O753" s="21" t="n">
        <v>332.8</v>
      </c>
      <c r="P753" s="21" t="n">
        <f aca="false">ROUND(M753*N753,2)</f>
        <v>332.8</v>
      </c>
      <c r="Q753" s="21" t="n">
        <f aca="false">ROUND(P753-IF(O753="",0,O753),2)</f>
        <v>0</v>
      </c>
      <c r="R753" s="14" t="str">
        <f aca="false">IF(J753="","MISSING BILL",IF(AND(K753=N753,ABS(L753-M753)&lt;0.001,ABS(O753-P753)&lt;0.01),"RECONCILED","CALCULATION ERROR"))</f>
        <v>RECONCILED</v>
      </c>
      <c r="S753" s="14" t="s">
        <v>2935</v>
      </c>
    </row>
    <row r="754" customFormat="false" ht="15" hidden="true" customHeight="false" outlineLevel="0" collapsed="false">
      <c r="A754" s="13" t="s">
        <v>4640</v>
      </c>
      <c r="B754" s="13" t="s">
        <v>70</v>
      </c>
      <c r="C754" s="13" t="s">
        <v>4156</v>
      </c>
      <c r="D754" s="13" t="s">
        <v>1873</v>
      </c>
      <c r="E754" s="13" t="s">
        <v>4641</v>
      </c>
      <c r="F754" s="14" t="s">
        <v>4642</v>
      </c>
      <c r="G754" s="14" t="s">
        <v>2430</v>
      </c>
      <c r="H754" s="20" t="n">
        <v>40.5</v>
      </c>
      <c r="I754" s="13" t="n">
        <v>32</v>
      </c>
      <c r="J754" s="13" t="s">
        <v>4643</v>
      </c>
      <c r="K754" s="13" t="n">
        <v>41</v>
      </c>
      <c r="L754" s="21" t="n">
        <v>10.4</v>
      </c>
      <c r="M754" s="21" t="n">
        <f aca="false">IF(C754="covered",10.4,7.55)</f>
        <v>10.4</v>
      </c>
      <c r="N754" s="13" t="n">
        <f aca="false">MAX(ROUNDUP(H754,0),I754)</f>
        <v>41</v>
      </c>
      <c r="O754" s="21" t="n">
        <v>426.4</v>
      </c>
      <c r="P754" s="21" t="n">
        <f aca="false">ROUND(M754*N754,2)</f>
        <v>426.4</v>
      </c>
      <c r="Q754" s="21" t="n">
        <f aca="false">ROUND(P754-IF(O754="",0,O754),2)</f>
        <v>0</v>
      </c>
      <c r="R754" s="14" t="str">
        <f aca="false">IF(J754="","MISSING BILL",IF(AND(K754=N754,ABS(L754-M754)&lt;0.001,ABS(O754-P754)&lt;0.01),"RECONCILED","CALCULATION ERROR"))</f>
        <v>RECONCILED</v>
      </c>
      <c r="S754" s="14" t="s">
        <v>2935</v>
      </c>
    </row>
    <row r="755" customFormat="false" ht="15" hidden="true" customHeight="false" outlineLevel="0" collapsed="false">
      <c r="A755" s="13" t="s">
        <v>4644</v>
      </c>
      <c r="B755" s="13" t="s">
        <v>70</v>
      </c>
      <c r="C755" s="13" t="s">
        <v>4156</v>
      </c>
      <c r="D755" s="13" t="s">
        <v>1873</v>
      </c>
      <c r="E755" s="13" t="s">
        <v>4645</v>
      </c>
      <c r="F755" s="14" t="s">
        <v>4646</v>
      </c>
      <c r="G755" s="14" t="s">
        <v>3532</v>
      </c>
      <c r="H755" s="20" t="n">
        <v>22</v>
      </c>
      <c r="I755" s="13" t="n">
        <v>40</v>
      </c>
      <c r="J755" s="13" t="s">
        <v>4647</v>
      </c>
      <c r="K755" s="13" t="n">
        <v>40</v>
      </c>
      <c r="L755" s="21" t="n">
        <v>10.4</v>
      </c>
      <c r="M755" s="21" t="n">
        <f aca="false">IF(C755="covered",10.4,7.55)</f>
        <v>10.4</v>
      </c>
      <c r="N755" s="13" t="n">
        <f aca="false">MAX(ROUNDUP(H755,0),I755)</f>
        <v>40</v>
      </c>
      <c r="O755" s="21" t="n">
        <v>416</v>
      </c>
      <c r="P755" s="21" t="n">
        <f aca="false">ROUND(M755*N755,2)</f>
        <v>416</v>
      </c>
      <c r="Q755" s="21" t="n">
        <f aca="false">ROUND(P755-IF(O755="",0,O755),2)</f>
        <v>0</v>
      </c>
      <c r="R755" s="14" t="str">
        <f aca="false">IF(J755="","MISSING BILL",IF(AND(K755=N755,ABS(L755-M755)&lt;0.001,ABS(O755-P755)&lt;0.01),"RECONCILED","CALCULATION ERROR"))</f>
        <v>RECONCILED</v>
      </c>
      <c r="S755" s="14" t="s">
        <v>2935</v>
      </c>
    </row>
    <row r="756" customFormat="false" ht="15" hidden="true" customHeight="false" outlineLevel="0" collapsed="false">
      <c r="A756" s="13" t="s">
        <v>4648</v>
      </c>
      <c r="B756" s="13" t="s">
        <v>70</v>
      </c>
      <c r="C756" s="13" t="s">
        <v>4156</v>
      </c>
      <c r="D756" s="13" t="s">
        <v>1873</v>
      </c>
      <c r="E756" s="13" t="s">
        <v>1659</v>
      </c>
      <c r="F756" s="14" t="s">
        <v>1660</v>
      </c>
      <c r="G756" s="14" t="s">
        <v>4649</v>
      </c>
      <c r="H756" s="20" t="n">
        <v>39.4</v>
      </c>
      <c r="I756" s="13" t="n">
        <v>32</v>
      </c>
      <c r="J756" s="13" t="s">
        <v>4650</v>
      </c>
      <c r="K756" s="13" t="n">
        <v>40</v>
      </c>
      <c r="L756" s="21" t="n">
        <v>10.4</v>
      </c>
      <c r="M756" s="21" t="n">
        <f aca="false">IF(C756="covered",10.4,7.55)</f>
        <v>10.4</v>
      </c>
      <c r="N756" s="13" t="n">
        <f aca="false">MAX(ROUNDUP(H756,0),I756)</f>
        <v>40</v>
      </c>
      <c r="O756" s="21" t="n">
        <v>416</v>
      </c>
      <c r="P756" s="21" t="n">
        <f aca="false">ROUND(M756*N756,2)</f>
        <v>416</v>
      </c>
      <c r="Q756" s="21" t="n">
        <f aca="false">ROUND(P756-IF(O756="",0,O756),2)</f>
        <v>0</v>
      </c>
      <c r="R756" s="14" t="str">
        <f aca="false">IF(J756="","MISSING BILL",IF(AND(K756=N756,ABS(L756-M756)&lt;0.001,ABS(O756-P756)&lt;0.01),"RECONCILED","CALCULATION ERROR"))</f>
        <v>RECONCILED</v>
      </c>
      <c r="S756" s="14" t="s">
        <v>2935</v>
      </c>
    </row>
    <row r="757" customFormat="false" ht="15" hidden="true" customHeight="false" outlineLevel="0" collapsed="false">
      <c r="A757" s="13" t="s">
        <v>4651</v>
      </c>
      <c r="B757" s="13" t="s">
        <v>70</v>
      </c>
      <c r="C757" s="13" t="s">
        <v>4156</v>
      </c>
      <c r="D757" s="13" t="s">
        <v>1873</v>
      </c>
      <c r="E757" s="13" t="s">
        <v>4652</v>
      </c>
      <c r="F757" s="14" t="s">
        <v>4653</v>
      </c>
      <c r="G757" s="14" t="s">
        <v>4654</v>
      </c>
      <c r="H757" s="20" t="n">
        <v>53.9</v>
      </c>
      <c r="I757" s="13" t="n">
        <v>32</v>
      </c>
      <c r="J757" s="13" t="s">
        <v>4655</v>
      </c>
      <c r="K757" s="13" t="n">
        <v>54</v>
      </c>
      <c r="L757" s="21" t="n">
        <v>10.4</v>
      </c>
      <c r="M757" s="21" t="n">
        <f aca="false">IF(C757="covered",10.4,7.55)</f>
        <v>10.4</v>
      </c>
      <c r="N757" s="13" t="n">
        <f aca="false">MAX(ROUNDUP(H757,0),I757)</f>
        <v>54</v>
      </c>
      <c r="O757" s="21" t="n">
        <v>561.6</v>
      </c>
      <c r="P757" s="21" t="n">
        <f aca="false">ROUND(M757*N757,2)</f>
        <v>561.6</v>
      </c>
      <c r="Q757" s="21" t="n">
        <f aca="false">ROUND(P757-IF(O757="",0,O757),2)</f>
        <v>0</v>
      </c>
      <c r="R757" s="14" t="str">
        <f aca="false">IF(J757="","MISSING BILL",IF(AND(K757=N757,ABS(L757-M757)&lt;0.001,ABS(O757-P757)&lt;0.01),"RECONCILED","CALCULATION ERROR"))</f>
        <v>RECONCILED</v>
      </c>
      <c r="S757" s="14" t="s">
        <v>2935</v>
      </c>
    </row>
    <row r="758" customFormat="false" ht="15" hidden="true" customHeight="false" outlineLevel="0" collapsed="false">
      <c r="A758" s="13" t="s">
        <v>4656</v>
      </c>
      <c r="B758" s="13" t="s">
        <v>70</v>
      </c>
      <c r="C758" s="13" t="s">
        <v>4156</v>
      </c>
      <c r="D758" s="13" t="s">
        <v>1873</v>
      </c>
      <c r="E758" s="13" t="s">
        <v>4657</v>
      </c>
      <c r="F758" s="14" t="s">
        <v>4658</v>
      </c>
      <c r="G758" s="14" t="s">
        <v>2250</v>
      </c>
      <c r="H758" s="20" t="n">
        <v>49.8</v>
      </c>
      <c r="I758" s="13" t="n">
        <v>40</v>
      </c>
      <c r="J758" s="13" t="s">
        <v>4659</v>
      </c>
      <c r="K758" s="13" t="n">
        <v>50</v>
      </c>
      <c r="L758" s="21" t="n">
        <v>10.4</v>
      </c>
      <c r="M758" s="21" t="n">
        <f aca="false">IF(C758="covered",10.4,7.55)</f>
        <v>10.4</v>
      </c>
      <c r="N758" s="13" t="n">
        <f aca="false">MAX(ROUNDUP(H758,0),I758)</f>
        <v>50</v>
      </c>
      <c r="O758" s="21" t="n">
        <v>520</v>
      </c>
      <c r="P758" s="21" t="n">
        <f aca="false">ROUND(M758*N758,2)</f>
        <v>520</v>
      </c>
      <c r="Q758" s="21" t="n">
        <f aca="false">ROUND(P758-IF(O758="",0,O758),2)</f>
        <v>0</v>
      </c>
      <c r="R758" s="14" t="str">
        <f aca="false">IF(J758="","MISSING BILL",IF(AND(K758=N758,ABS(L758-M758)&lt;0.001,ABS(O758-P758)&lt;0.01),"RECONCILED","CALCULATION ERROR"))</f>
        <v>RECONCILED</v>
      </c>
      <c r="S758" s="14" t="s">
        <v>2935</v>
      </c>
    </row>
    <row r="759" customFormat="false" ht="15" hidden="true" customHeight="false" outlineLevel="0" collapsed="false">
      <c r="A759" s="13" t="s">
        <v>4660</v>
      </c>
      <c r="B759" s="13" t="s">
        <v>70</v>
      </c>
      <c r="C759" s="13" t="s">
        <v>4156</v>
      </c>
      <c r="D759" s="13" t="s">
        <v>1873</v>
      </c>
      <c r="E759" s="13" t="s">
        <v>4661</v>
      </c>
      <c r="F759" s="14" t="s">
        <v>4662</v>
      </c>
      <c r="G759" s="14" t="s">
        <v>2523</v>
      </c>
      <c r="H759" s="20" t="n">
        <v>43.4</v>
      </c>
      <c r="I759" s="13" t="n">
        <v>24</v>
      </c>
      <c r="J759" s="13" t="s">
        <v>4663</v>
      </c>
      <c r="K759" s="13" t="n">
        <v>44</v>
      </c>
      <c r="L759" s="21" t="n">
        <v>10.4</v>
      </c>
      <c r="M759" s="21" t="n">
        <f aca="false">IF(C759="covered",10.4,7.55)</f>
        <v>10.4</v>
      </c>
      <c r="N759" s="13" t="n">
        <f aca="false">MAX(ROUNDUP(H759,0),I759)</f>
        <v>44</v>
      </c>
      <c r="O759" s="21" t="n">
        <v>457.6</v>
      </c>
      <c r="P759" s="21" t="n">
        <f aca="false">ROUND(M759*N759,2)</f>
        <v>457.6</v>
      </c>
      <c r="Q759" s="21" t="n">
        <f aca="false">ROUND(P759-IF(O759="",0,O759),2)</f>
        <v>0</v>
      </c>
      <c r="R759" s="14" t="str">
        <f aca="false">IF(J759="","MISSING BILL",IF(AND(K759=N759,ABS(L759-M759)&lt;0.001,ABS(O759-P759)&lt;0.01),"RECONCILED","CALCULATION ERROR"))</f>
        <v>RECONCILED</v>
      </c>
      <c r="S759" s="14" t="s">
        <v>2935</v>
      </c>
    </row>
    <row r="760" customFormat="false" ht="15" hidden="true" customHeight="false" outlineLevel="0" collapsed="false">
      <c r="A760" s="13" t="s">
        <v>4664</v>
      </c>
      <c r="B760" s="13" t="s">
        <v>70</v>
      </c>
      <c r="C760" s="13" t="s">
        <v>4156</v>
      </c>
      <c r="D760" s="13" t="s">
        <v>1873</v>
      </c>
      <c r="E760" s="13" t="s">
        <v>4665</v>
      </c>
      <c r="F760" s="14" t="s">
        <v>972</v>
      </c>
      <c r="G760" s="14" t="s">
        <v>1971</v>
      </c>
      <c r="H760" s="20" t="n">
        <v>51.4</v>
      </c>
      <c r="I760" s="13" t="n">
        <v>32</v>
      </c>
      <c r="J760" s="13" t="s">
        <v>4666</v>
      </c>
      <c r="K760" s="13" t="n">
        <v>52</v>
      </c>
      <c r="L760" s="21" t="n">
        <v>10.4</v>
      </c>
      <c r="M760" s="21" t="n">
        <f aca="false">IF(C760="covered",10.4,7.55)</f>
        <v>10.4</v>
      </c>
      <c r="N760" s="13" t="n">
        <f aca="false">MAX(ROUNDUP(H760,0),I760)</f>
        <v>52</v>
      </c>
      <c r="O760" s="21" t="n">
        <v>540.8</v>
      </c>
      <c r="P760" s="21" t="n">
        <f aca="false">ROUND(M760*N760,2)</f>
        <v>540.8</v>
      </c>
      <c r="Q760" s="21" t="n">
        <f aca="false">ROUND(P760-IF(O760="",0,O760),2)</f>
        <v>0</v>
      </c>
      <c r="R760" s="14" t="str">
        <f aca="false">IF(J760="","MISSING BILL",IF(AND(K760=N760,ABS(L760-M760)&lt;0.001,ABS(O760-P760)&lt;0.01),"RECONCILED","CALCULATION ERROR"))</f>
        <v>RECONCILED</v>
      </c>
      <c r="S760" s="14" t="s">
        <v>2935</v>
      </c>
    </row>
    <row r="761" customFormat="false" ht="15" hidden="true" customHeight="false" outlineLevel="0" collapsed="false">
      <c r="A761" s="13" t="s">
        <v>4667</v>
      </c>
      <c r="B761" s="13" t="s">
        <v>70</v>
      </c>
      <c r="C761" s="13" t="s">
        <v>4156</v>
      </c>
      <c r="D761" s="13" t="s">
        <v>1873</v>
      </c>
      <c r="E761" s="13" t="s">
        <v>4668</v>
      </c>
      <c r="F761" s="14" t="s">
        <v>4669</v>
      </c>
      <c r="G761" s="14" t="s">
        <v>4670</v>
      </c>
      <c r="H761" s="20" t="n">
        <v>58.9</v>
      </c>
      <c r="I761" s="13" t="n">
        <v>40</v>
      </c>
      <c r="J761" s="13" t="s">
        <v>4671</v>
      </c>
      <c r="K761" s="13" t="n">
        <v>59</v>
      </c>
      <c r="L761" s="21" t="n">
        <v>10.4</v>
      </c>
      <c r="M761" s="21" t="n">
        <f aca="false">IF(C761="covered",10.4,7.55)</f>
        <v>10.4</v>
      </c>
      <c r="N761" s="13" t="n">
        <f aca="false">MAX(ROUNDUP(H761,0),I761)</f>
        <v>59</v>
      </c>
      <c r="O761" s="21" t="n">
        <v>613.6</v>
      </c>
      <c r="P761" s="21" t="n">
        <f aca="false">ROUND(M761*N761,2)</f>
        <v>613.6</v>
      </c>
      <c r="Q761" s="21" t="n">
        <f aca="false">ROUND(P761-IF(O761="",0,O761),2)</f>
        <v>0</v>
      </c>
      <c r="R761" s="14" t="str">
        <f aca="false">IF(J761="","MISSING BILL",IF(AND(K761=N761,ABS(L761-M761)&lt;0.001,ABS(O761-P761)&lt;0.01),"RECONCILED","CALCULATION ERROR"))</f>
        <v>RECONCILED</v>
      </c>
      <c r="S761" s="14" t="s">
        <v>2935</v>
      </c>
    </row>
    <row r="762" customFormat="false" ht="15" hidden="true" customHeight="false" outlineLevel="0" collapsed="false">
      <c r="A762" s="13" t="s">
        <v>4672</v>
      </c>
      <c r="B762" s="13" t="s">
        <v>70</v>
      </c>
      <c r="C762" s="13" t="s">
        <v>4156</v>
      </c>
      <c r="D762" s="13" t="s">
        <v>1873</v>
      </c>
      <c r="E762" s="13" t="s">
        <v>4673</v>
      </c>
      <c r="F762" s="14" t="s">
        <v>4674</v>
      </c>
      <c r="G762" s="14" t="s">
        <v>4675</v>
      </c>
      <c r="H762" s="20" t="n">
        <v>52.4</v>
      </c>
      <c r="I762" s="13" t="n">
        <v>28</v>
      </c>
      <c r="J762" s="13" t="s">
        <v>4676</v>
      </c>
      <c r="K762" s="13" t="n">
        <v>53</v>
      </c>
      <c r="L762" s="21" t="n">
        <v>10.4</v>
      </c>
      <c r="M762" s="21" t="n">
        <f aca="false">IF(C762="covered",10.4,7.55)</f>
        <v>10.4</v>
      </c>
      <c r="N762" s="13" t="n">
        <f aca="false">MAX(ROUNDUP(H762,0),I762)</f>
        <v>53</v>
      </c>
      <c r="O762" s="21" t="n">
        <v>551.2</v>
      </c>
      <c r="P762" s="21" t="n">
        <f aca="false">ROUND(M762*N762,2)</f>
        <v>551.2</v>
      </c>
      <c r="Q762" s="21" t="n">
        <f aca="false">ROUND(P762-IF(O762="",0,O762),2)</f>
        <v>0</v>
      </c>
      <c r="R762" s="14" t="str">
        <f aca="false">IF(J762="","MISSING BILL",IF(AND(K762=N762,ABS(L762-M762)&lt;0.001,ABS(O762-P762)&lt;0.01),"RECONCILED","CALCULATION ERROR"))</f>
        <v>RECONCILED</v>
      </c>
      <c r="S762" s="14" t="s">
        <v>2935</v>
      </c>
    </row>
    <row r="763" customFormat="false" ht="15" hidden="true" customHeight="false" outlineLevel="0" collapsed="false">
      <c r="A763" s="13" t="s">
        <v>1422</v>
      </c>
      <c r="B763" s="13" t="s">
        <v>70</v>
      </c>
      <c r="C763" s="13" t="s">
        <v>4156</v>
      </c>
      <c r="D763" s="13" t="s">
        <v>1873</v>
      </c>
      <c r="E763" s="13" t="s">
        <v>4677</v>
      </c>
      <c r="F763" s="14" t="s">
        <v>4678</v>
      </c>
      <c r="G763" s="14" t="s">
        <v>4679</v>
      </c>
      <c r="H763" s="20" t="n">
        <v>43.6</v>
      </c>
      <c r="I763" s="13" t="n">
        <v>24</v>
      </c>
      <c r="J763" s="13" t="s">
        <v>4680</v>
      </c>
      <c r="K763" s="13" t="n">
        <v>44</v>
      </c>
      <c r="L763" s="21" t="n">
        <v>10.4</v>
      </c>
      <c r="M763" s="21" t="n">
        <f aca="false">IF(C763="covered",10.4,7.55)</f>
        <v>10.4</v>
      </c>
      <c r="N763" s="13" t="n">
        <f aca="false">MAX(ROUNDUP(H763,0),I763)</f>
        <v>44</v>
      </c>
      <c r="O763" s="21" t="n">
        <v>457.6</v>
      </c>
      <c r="P763" s="21" t="n">
        <f aca="false">ROUND(M763*N763,2)</f>
        <v>457.6</v>
      </c>
      <c r="Q763" s="21" t="n">
        <f aca="false">ROUND(P763-IF(O763="",0,O763),2)</f>
        <v>0</v>
      </c>
      <c r="R763" s="14" t="str">
        <f aca="false">IF(J763="","MISSING BILL",IF(AND(K763=N763,ABS(L763-M763)&lt;0.001,ABS(O763-P763)&lt;0.01),"RECONCILED","CALCULATION ERROR"))</f>
        <v>RECONCILED</v>
      </c>
      <c r="S763" s="14" t="s">
        <v>2935</v>
      </c>
    </row>
    <row r="764" customFormat="false" ht="15" hidden="true" customHeight="false" outlineLevel="0" collapsed="false">
      <c r="A764" s="13" t="s">
        <v>521</v>
      </c>
      <c r="B764" s="13" t="s">
        <v>70</v>
      </c>
      <c r="C764" s="13" t="s">
        <v>4156</v>
      </c>
      <c r="D764" s="13" t="s">
        <v>1873</v>
      </c>
      <c r="E764" s="13" t="s">
        <v>4681</v>
      </c>
      <c r="F764" s="14" t="s">
        <v>4682</v>
      </c>
      <c r="G764" s="14" t="s">
        <v>2124</v>
      </c>
      <c r="H764" s="20" t="n">
        <v>43.6</v>
      </c>
      <c r="I764" s="13" t="n">
        <v>28</v>
      </c>
      <c r="J764" s="13" t="s">
        <v>4683</v>
      </c>
      <c r="K764" s="13" t="n">
        <v>44</v>
      </c>
      <c r="L764" s="21" t="n">
        <v>10.4</v>
      </c>
      <c r="M764" s="21" t="n">
        <f aca="false">IF(C764="covered",10.4,7.55)</f>
        <v>10.4</v>
      </c>
      <c r="N764" s="13" t="n">
        <f aca="false">MAX(ROUNDUP(H764,0),I764)</f>
        <v>44</v>
      </c>
      <c r="O764" s="21" t="n">
        <v>457.6</v>
      </c>
      <c r="P764" s="21" t="n">
        <f aca="false">ROUND(M764*N764,2)</f>
        <v>457.6</v>
      </c>
      <c r="Q764" s="21" t="n">
        <f aca="false">ROUND(P764-IF(O764="",0,O764),2)</f>
        <v>0</v>
      </c>
      <c r="R764" s="14" t="str">
        <f aca="false">IF(J764="","MISSING BILL",IF(AND(K764=N764,ABS(L764-M764)&lt;0.001,ABS(O764-P764)&lt;0.01),"RECONCILED","CALCULATION ERROR"))</f>
        <v>RECONCILED</v>
      </c>
      <c r="S764" s="14" t="s">
        <v>2935</v>
      </c>
    </row>
    <row r="765" customFormat="false" ht="15" hidden="true" customHeight="false" outlineLevel="0" collapsed="false">
      <c r="A765" s="13" t="s">
        <v>4684</v>
      </c>
      <c r="B765" s="13" t="s">
        <v>70</v>
      </c>
      <c r="C765" s="13" t="s">
        <v>4156</v>
      </c>
      <c r="D765" s="13" t="s">
        <v>1873</v>
      </c>
      <c r="E765" s="13" t="s">
        <v>4685</v>
      </c>
      <c r="F765" s="14" t="s">
        <v>4686</v>
      </c>
      <c r="G765" s="14" t="s">
        <v>2043</v>
      </c>
      <c r="H765" s="20" t="n">
        <v>45.6</v>
      </c>
      <c r="I765" s="13" t="n">
        <v>28</v>
      </c>
      <c r="J765" s="13" t="s">
        <v>4687</v>
      </c>
      <c r="K765" s="13" t="n">
        <v>46</v>
      </c>
      <c r="L765" s="21" t="n">
        <v>10.4</v>
      </c>
      <c r="M765" s="21" t="n">
        <f aca="false">IF(C765="covered",10.4,7.55)</f>
        <v>10.4</v>
      </c>
      <c r="N765" s="13" t="n">
        <f aca="false">MAX(ROUNDUP(H765,0),I765)</f>
        <v>46</v>
      </c>
      <c r="O765" s="21" t="n">
        <v>478.4</v>
      </c>
      <c r="P765" s="21" t="n">
        <f aca="false">ROUND(M765*N765,2)</f>
        <v>478.4</v>
      </c>
      <c r="Q765" s="21" t="n">
        <f aca="false">ROUND(P765-IF(O765="",0,O765),2)</f>
        <v>0</v>
      </c>
      <c r="R765" s="14" t="str">
        <f aca="false">IF(J765="","MISSING BILL",IF(AND(K765=N765,ABS(L765-M765)&lt;0.001,ABS(O765-P765)&lt;0.01),"RECONCILED","CALCULATION ERROR"))</f>
        <v>RECONCILED</v>
      </c>
      <c r="S765" s="14" t="s">
        <v>2935</v>
      </c>
    </row>
    <row r="766" customFormat="false" ht="15" hidden="true" customHeight="false" outlineLevel="0" collapsed="false">
      <c r="A766" s="13" t="s">
        <v>4688</v>
      </c>
      <c r="B766" s="13" t="s">
        <v>70</v>
      </c>
      <c r="C766" s="13" t="s">
        <v>4156</v>
      </c>
      <c r="D766" s="13" t="s">
        <v>1873</v>
      </c>
      <c r="E766" s="13" t="s">
        <v>4689</v>
      </c>
      <c r="F766" s="14" t="s">
        <v>4690</v>
      </c>
      <c r="G766" s="14" t="s">
        <v>2027</v>
      </c>
      <c r="H766" s="20" t="n">
        <v>43.3</v>
      </c>
      <c r="I766" s="13" t="n">
        <v>32</v>
      </c>
      <c r="J766" s="13" t="s">
        <v>4691</v>
      </c>
      <c r="K766" s="13" t="n">
        <v>44</v>
      </c>
      <c r="L766" s="21" t="n">
        <v>10.4</v>
      </c>
      <c r="M766" s="21" t="n">
        <f aca="false">IF(C766="covered",10.4,7.55)</f>
        <v>10.4</v>
      </c>
      <c r="N766" s="13" t="n">
        <f aca="false">MAX(ROUNDUP(H766,0),I766)</f>
        <v>44</v>
      </c>
      <c r="O766" s="21" t="n">
        <v>457.6</v>
      </c>
      <c r="P766" s="21" t="n">
        <f aca="false">ROUND(M766*N766,2)</f>
        <v>457.6</v>
      </c>
      <c r="Q766" s="21" t="n">
        <f aca="false">ROUND(P766-IF(O766="",0,O766),2)</f>
        <v>0</v>
      </c>
      <c r="R766" s="14" t="str">
        <f aca="false">IF(J766="","MISSING BILL",IF(AND(K766=N766,ABS(L766-M766)&lt;0.001,ABS(O766-P766)&lt;0.01),"RECONCILED","CALCULATION ERROR"))</f>
        <v>RECONCILED</v>
      </c>
      <c r="S766" s="14" t="s">
        <v>2935</v>
      </c>
    </row>
    <row r="767" customFormat="false" ht="15" hidden="true" customHeight="false" outlineLevel="0" collapsed="false">
      <c r="A767" s="13" t="s">
        <v>4692</v>
      </c>
      <c r="B767" s="13" t="s">
        <v>70</v>
      </c>
      <c r="C767" s="13" t="s">
        <v>4156</v>
      </c>
      <c r="D767" s="13" t="s">
        <v>1873</v>
      </c>
      <c r="E767" s="13" t="s">
        <v>1124</v>
      </c>
      <c r="F767" s="14" t="s">
        <v>1125</v>
      </c>
      <c r="G767" s="14" t="s">
        <v>4693</v>
      </c>
      <c r="H767" s="20" t="n">
        <v>45.7</v>
      </c>
      <c r="I767" s="13" t="n">
        <v>28</v>
      </c>
      <c r="J767" s="13" t="s">
        <v>4694</v>
      </c>
      <c r="K767" s="13" t="n">
        <v>46</v>
      </c>
      <c r="L767" s="21" t="n">
        <v>10.4</v>
      </c>
      <c r="M767" s="21" t="n">
        <f aca="false">IF(C767="covered",10.4,7.55)</f>
        <v>10.4</v>
      </c>
      <c r="N767" s="13" t="n">
        <f aca="false">MAX(ROUNDUP(H767,0),I767)</f>
        <v>46</v>
      </c>
      <c r="O767" s="21" t="n">
        <v>478.4</v>
      </c>
      <c r="P767" s="21" t="n">
        <f aca="false">ROUND(M767*N767,2)</f>
        <v>478.4</v>
      </c>
      <c r="Q767" s="21" t="n">
        <f aca="false">ROUND(P767-IF(O767="",0,O767),2)</f>
        <v>0</v>
      </c>
      <c r="R767" s="14" t="str">
        <f aca="false">IF(J767="","MISSING BILL",IF(AND(K767=N767,ABS(L767-M767)&lt;0.001,ABS(O767-P767)&lt;0.01),"RECONCILED","CALCULATION ERROR"))</f>
        <v>RECONCILED</v>
      </c>
      <c r="S767" s="14" t="s">
        <v>2935</v>
      </c>
    </row>
    <row r="768" customFormat="false" ht="15" hidden="true" customHeight="false" outlineLevel="0" collapsed="false">
      <c r="A768" s="13" t="s">
        <v>4695</v>
      </c>
      <c r="B768" s="13" t="s">
        <v>70</v>
      </c>
      <c r="C768" s="13" t="s">
        <v>4156</v>
      </c>
      <c r="D768" s="13" t="s">
        <v>1873</v>
      </c>
      <c r="E768" s="13" t="s">
        <v>4696</v>
      </c>
      <c r="F768" s="14" t="s">
        <v>4697</v>
      </c>
      <c r="G768" s="14" t="s">
        <v>4698</v>
      </c>
      <c r="H768" s="20" t="n">
        <v>33.7</v>
      </c>
      <c r="I768" s="13" t="n">
        <v>28</v>
      </c>
      <c r="J768" s="13" t="s">
        <v>4699</v>
      </c>
      <c r="K768" s="13" t="n">
        <v>34</v>
      </c>
      <c r="L768" s="21" t="n">
        <v>10.4</v>
      </c>
      <c r="M768" s="21" t="n">
        <f aca="false">IF(C768="covered",10.4,7.55)</f>
        <v>10.4</v>
      </c>
      <c r="N768" s="13" t="n">
        <f aca="false">MAX(ROUNDUP(H768,0),I768)</f>
        <v>34</v>
      </c>
      <c r="O768" s="21" t="n">
        <v>353.6</v>
      </c>
      <c r="P768" s="21" t="n">
        <f aca="false">ROUND(M768*N768,2)</f>
        <v>353.6</v>
      </c>
      <c r="Q768" s="21" t="n">
        <f aca="false">ROUND(P768-IF(O768="",0,O768),2)</f>
        <v>0</v>
      </c>
      <c r="R768" s="14" t="str">
        <f aca="false">IF(J768="","MISSING BILL",IF(AND(K768=N768,ABS(L768-M768)&lt;0.001,ABS(O768-P768)&lt;0.01),"RECONCILED","CALCULATION ERROR"))</f>
        <v>RECONCILED</v>
      </c>
      <c r="S768" s="14" t="s">
        <v>2935</v>
      </c>
    </row>
    <row r="769" customFormat="false" ht="15" hidden="true" customHeight="false" outlineLevel="0" collapsed="false">
      <c r="A769" s="13" t="s">
        <v>4700</v>
      </c>
      <c r="B769" s="13" t="s">
        <v>70</v>
      </c>
      <c r="C769" s="13" t="s">
        <v>4156</v>
      </c>
      <c r="D769" s="13" t="s">
        <v>1873</v>
      </c>
      <c r="E769" s="13" t="s">
        <v>4701</v>
      </c>
      <c r="F769" s="14" t="s">
        <v>4702</v>
      </c>
      <c r="G769" s="14" t="s">
        <v>4703</v>
      </c>
      <c r="H769" s="20" t="n">
        <v>43.4</v>
      </c>
      <c r="I769" s="13" t="n">
        <v>36</v>
      </c>
      <c r="J769" s="13" t="s">
        <v>4704</v>
      </c>
      <c r="K769" s="13" t="n">
        <v>44</v>
      </c>
      <c r="L769" s="21" t="n">
        <v>10.4</v>
      </c>
      <c r="M769" s="21" t="n">
        <f aca="false">IF(C769="covered",10.4,7.55)</f>
        <v>10.4</v>
      </c>
      <c r="N769" s="13" t="n">
        <f aca="false">MAX(ROUNDUP(H769,0),I769)</f>
        <v>44</v>
      </c>
      <c r="O769" s="21" t="n">
        <v>457.6</v>
      </c>
      <c r="P769" s="21" t="n">
        <f aca="false">ROUND(M769*N769,2)</f>
        <v>457.6</v>
      </c>
      <c r="Q769" s="21" t="n">
        <f aca="false">ROUND(P769-IF(O769="",0,O769),2)</f>
        <v>0</v>
      </c>
      <c r="R769" s="14" t="str">
        <f aca="false">IF(J769="","MISSING BILL",IF(AND(K769=N769,ABS(L769-M769)&lt;0.001,ABS(O769-P769)&lt;0.01),"RECONCILED","CALCULATION ERROR"))</f>
        <v>RECONCILED</v>
      </c>
      <c r="S769" s="14" t="s">
        <v>2935</v>
      </c>
    </row>
    <row r="770" customFormat="false" ht="15" hidden="true" customHeight="false" outlineLevel="0" collapsed="false">
      <c r="A770" s="13" t="s">
        <v>4705</v>
      </c>
      <c r="B770" s="13" t="s">
        <v>70</v>
      </c>
      <c r="C770" s="13" t="s">
        <v>4156</v>
      </c>
      <c r="D770" s="13" t="s">
        <v>1873</v>
      </c>
      <c r="E770" s="13" t="s">
        <v>4706</v>
      </c>
      <c r="F770" s="14" t="s">
        <v>4707</v>
      </c>
      <c r="G770" s="14" t="s">
        <v>4679</v>
      </c>
      <c r="H770" s="20" t="n">
        <v>36.1</v>
      </c>
      <c r="I770" s="13" t="n">
        <v>36</v>
      </c>
      <c r="J770" s="13" t="s">
        <v>4708</v>
      </c>
      <c r="K770" s="13" t="n">
        <v>37</v>
      </c>
      <c r="L770" s="21" t="n">
        <v>10.4</v>
      </c>
      <c r="M770" s="21" t="n">
        <f aca="false">IF(C770="covered",10.4,7.55)</f>
        <v>10.4</v>
      </c>
      <c r="N770" s="13" t="n">
        <f aca="false">MAX(ROUNDUP(H770,0),I770)</f>
        <v>37</v>
      </c>
      <c r="O770" s="21" t="n">
        <v>384.8</v>
      </c>
      <c r="P770" s="21" t="n">
        <f aca="false">ROUND(M770*N770,2)</f>
        <v>384.8</v>
      </c>
      <c r="Q770" s="21" t="n">
        <f aca="false">ROUND(P770-IF(O770="",0,O770),2)</f>
        <v>0</v>
      </c>
      <c r="R770" s="14" t="str">
        <f aca="false">IF(J770="","MISSING BILL",IF(AND(K770=N770,ABS(L770-M770)&lt;0.001,ABS(O770-P770)&lt;0.01),"RECONCILED","CALCULATION ERROR"))</f>
        <v>RECONCILED</v>
      </c>
      <c r="S770" s="14" t="s">
        <v>2935</v>
      </c>
    </row>
    <row r="771" customFormat="false" ht="15" hidden="true" customHeight="false" outlineLevel="0" collapsed="false">
      <c r="A771" s="13" t="s">
        <v>4709</v>
      </c>
      <c r="B771" s="13" t="s">
        <v>70</v>
      </c>
      <c r="C771" s="13" t="s">
        <v>4156</v>
      </c>
      <c r="D771" s="13" t="s">
        <v>1873</v>
      </c>
      <c r="E771" s="13" t="s">
        <v>4710</v>
      </c>
      <c r="F771" s="14" t="s">
        <v>4711</v>
      </c>
      <c r="G771" s="14" t="s">
        <v>2438</v>
      </c>
      <c r="H771" s="20" t="n">
        <v>39.1</v>
      </c>
      <c r="I771" s="13" t="n">
        <v>40</v>
      </c>
      <c r="J771" s="13" t="s">
        <v>4712</v>
      </c>
      <c r="K771" s="13" t="n">
        <v>40</v>
      </c>
      <c r="L771" s="21" t="n">
        <v>10.4</v>
      </c>
      <c r="M771" s="21" t="n">
        <f aca="false">IF(C771="covered",10.4,7.55)</f>
        <v>10.4</v>
      </c>
      <c r="N771" s="13" t="n">
        <f aca="false">MAX(ROUNDUP(H771,0),I771)</f>
        <v>40</v>
      </c>
      <c r="O771" s="21" t="n">
        <v>416</v>
      </c>
      <c r="P771" s="21" t="n">
        <f aca="false">ROUND(M771*N771,2)</f>
        <v>416</v>
      </c>
      <c r="Q771" s="21" t="n">
        <f aca="false">ROUND(P771-IF(O771="",0,O771),2)</f>
        <v>0</v>
      </c>
      <c r="R771" s="14" t="str">
        <f aca="false">IF(J771="","MISSING BILL",IF(AND(K771=N771,ABS(L771-M771)&lt;0.001,ABS(O771-P771)&lt;0.01),"RECONCILED","CALCULATION ERROR"))</f>
        <v>RECONCILED</v>
      </c>
      <c r="S771" s="14" t="s">
        <v>2935</v>
      </c>
    </row>
    <row r="772" customFormat="false" ht="15" hidden="true" customHeight="false" outlineLevel="0" collapsed="false">
      <c r="A772" s="13" t="s">
        <v>4713</v>
      </c>
      <c r="B772" s="13" t="s">
        <v>70</v>
      </c>
      <c r="C772" s="13" t="s">
        <v>4156</v>
      </c>
      <c r="D772" s="13" t="s">
        <v>1873</v>
      </c>
      <c r="E772" s="13" t="s">
        <v>4714</v>
      </c>
      <c r="F772" s="14" t="s">
        <v>4715</v>
      </c>
      <c r="G772" s="14" t="s">
        <v>2538</v>
      </c>
      <c r="H772" s="20" t="n">
        <v>31.9</v>
      </c>
      <c r="I772" s="13" t="n">
        <v>24</v>
      </c>
      <c r="J772" s="13" t="s">
        <v>4716</v>
      </c>
      <c r="K772" s="13" t="n">
        <v>32</v>
      </c>
      <c r="L772" s="21" t="n">
        <v>10.4</v>
      </c>
      <c r="M772" s="21" t="n">
        <f aca="false">IF(C772="covered",10.4,7.55)</f>
        <v>10.4</v>
      </c>
      <c r="N772" s="13" t="n">
        <f aca="false">MAX(ROUNDUP(H772,0),I772)</f>
        <v>32</v>
      </c>
      <c r="O772" s="21" t="n">
        <v>332.8</v>
      </c>
      <c r="P772" s="21" t="n">
        <f aca="false">ROUND(M772*N772,2)</f>
        <v>332.8</v>
      </c>
      <c r="Q772" s="21" t="n">
        <f aca="false">ROUND(P772-IF(O772="",0,O772),2)</f>
        <v>0</v>
      </c>
      <c r="R772" s="14" t="str">
        <f aca="false">IF(J772="","MISSING BILL",IF(AND(K772=N772,ABS(L772-M772)&lt;0.001,ABS(O772-P772)&lt;0.01),"RECONCILED","CALCULATION ERROR"))</f>
        <v>RECONCILED</v>
      </c>
      <c r="S772" s="14" t="s">
        <v>2935</v>
      </c>
    </row>
    <row r="773" customFormat="false" ht="15" hidden="true" customHeight="false" outlineLevel="0" collapsed="false">
      <c r="A773" s="13" t="s">
        <v>1043</v>
      </c>
      <c r="B773" s="13" t="s">
        <v>70</v>
      </c>
      <c r="C773" s="13" t="s">
        <v>4156</v>
      </c>
      <c r="D773" s="13" t="s">
        <v>1873</v>
      </c>
      <c r="E773" s="13" t="s">
        <v>4717</v>
      </c>
      <c r="F773" s="14" t="s">
        <v>4718</v>
      </c>
      <c r="G773" s="14" t="s">
        <v>4719</v>
      </c>
      <c r="H773" s="20" t="n">
        <v>55.9</v>
      </c>
      <c r="I773" s="13" t="n">
        <v>32</v>
      </c>
      <c r="J773" s="13" t="s">
        <v>4720</v>
      </c>
      <c r="K773" s="13" t="n">
        <v>56</v>
      </c>
      <c r="L773" s="21" t="n">
        <v>10.4</v>
      </c>
      <c r="M773" s="21" t="n">
        <f aca="false">IF(C773="covered",10.4,7.55)</f>
        <v>10.4</v>
      </c>
      <c r="N773" s="13" t="n">
        <f aca="false">MAX(ROUNDUP(H773,0),I773)</f>
        <v>56</v>
      </c>
      <c r="O773" s="21" t="n">
        <v>582.4</v>
      </c>
      <c r="P773" s="21" t="n">
        <f aca="false">ROUND(M773*N773,2)</f>
        <v>582.4</v>
      </c>
      <c r="Q773" s="21" t="n">
        <f aca="false">ROUND(P773-IF(O773="",0,O773),2)</f>
        <v>0</v>
      </c>
      <c r="R773" s="14" t="str">
        <f aca="false">IF(J773="","MISSING BILL",IF(AND(K773=N773,ABS(L773-M773)&lt;0.001,ABS(O773-P773)&lt;0.01),"RECONCILED","CALCULATION ERROR"))</f>
        <v>RECONCILED</v>
      </c>
      <c r="S773" s="14" t="s">
        <v>2935</v>
      </c>
    </row>
    <row r="774" customFormat="false" ht="15" hidden="true" customHeight="false" outlineLevel="0" collapsed="false">
      <c r="A774" s="13" t="s">
        <v>4721</v>
      </c>
      <c r="B774" s="13" t="s">
        <v>70</v>
      </c>
      <c r="C774" s="13" t="s">
        <v>4156</v>
      </c>
      <c r="D774" s="13" t="s">
        <v>1873</v>
      </c>
      <c r="E774" s="13" t="s">
        <v>4722</v>
      </c>
      <c r="F774" s="14" t="s">
        <v>4723</v>
      </c>
      <c r="G774" s="14" t="s">
        <v>4724</v>
      </c>
      <c r="H774" s="20" t="n">
        <v>40.5</v>
      </c>
      <c r="I774" s="13" t="n">
        <v>24</v>
      </c>
      <c r="J774" s="13" t="s">
        <v>4725</v>
      </c>
      <c r="K774" s="13" t="n">
        <v>41</v>
      </c>
      <c r="L774" s="21" t="n">
        <v>10.4</v>
      </c>
      <c r="M774" s="21" t="n">
        <f aca="false">IF(C774="covered",10.4,7.55)</f>
        <v>10.4</v>
      </c>
      <c r="N774" s="13" t="n">
        <f aca="false">MAX(ROUNDUP(H774,0),I774)</f>
        <v>41</v>
      </c>
      <c r="O774" s="21" t="n">
        <v>426.4</v>
      </c>
      <c r="P774" s="21" t="n">
        <f aca="false">ROUND(M774*N774,2)</f>
        <v>426.4</v>
      </c>
      <c r="Q774" s="21" t="n">
        <f aca="false">ROUND(P774-IF(O774="",0,O774),2)</f>
        <v>0</v>
      </c>
      <c r="R774" s="14" t="str">
        <f aca="false">IF(J774="","MISSING BILL",IF(AND(K774=N774,ABS(L774-M774)&lt;0.001,ABS(O774-P774)&lt;0.01),"RECONCILED","CALCULATION ERROR"))</f>
        <v>RECONCILED</v>
      </c>
      <c r="S774" s="14" t="s">
        <v>2935</v>
      </c>
    </row>
    <row r="775" customFormat="false" ht="15" hidden="true" customHeight="false" outlineLevel="0" collapsed="false">
      <c r="A775" s="13" t="s">
        <v>4726</v>
      </c>
      <c r="B775" s="13" t="s">
        <v>70</v>
      </c>
      <c r="C775" s="13" t="s">
        <v>4156</v>
      </c>
      <c r="D775" s="13" t="s">
        <v>1873</v>
      </c>
      <c r="E775" s="13" t="s">
        <v>4727</v>
      </c>
      <c r="F775" s="14" t="s">
        <v>4728</v>
      </c>
      <c r="G775" s="14" t="s">
        <v>4729</v>
      </c>
      <c r="H775" s="20" t="n">
        <v>55.2</v>
      </c>
      <c r="I775" s="13" t="n">
        <v>24</v>
      </c>
      <c r="J775" s="13" t="s">
        <v>4730</v>
      </c>
      <c r="K775" s="13" t="n">
        <v>56</v>
      </c>
      <c r="L775" s="21" t="n">
        <v>10.4</v>
      </c>
      <c r="M775" s="21" t="n">
        <f aca="false">IF(C775="covered",10.4,7.55)</f>
        <v>10.4</v>
      </c>
      <c r="N775" s="13" t="n">
        <f aca="false">MAX(ROUNDUP(H775,0),I775)</f>
        <v>56</v>
      </c>
      <c r="O775" s="21" t="n">
        <v>582.4</v>
      </c>
      <c r="P775" s="21" t="n">
        <f aca="false">ROUND(M775*N775,2)</f>
        <v>582.4</v>
      </c>
      <c r="Q775" s="21" t="n">
        <f aca="false">ROUND(P775-IF(O775="",0,O775),2)</f>
        <v>0</v>
      </c>
      <c r="R775" s="14" t="str">
        <f aca="false">IF(J775="","MISSING BILL",IF(AND(K775=N775,ABS(L775-M775)&lt;0.001,ABS(O775-P775)&lt;0.01),"RECONCILED","CALCULATION ERROR"))</f>
        <v>RECONCILED</v>
      </c>
      <c r="S775" s="14" t="s">
        <v>2935</v>
      </c>
    </row>
    <row r="776" customFormat="false" ht="15" hidden="true" customHeight="false" outlineLevel="0" collapsed="false">
      <c r="A776" s="13" t="s">
        <v>4731</v>
      </c>
      <c r="B776" s="13" t="s">
        <v>70</v>
      </c>
      <c r="C776" s="13" t="s">
        <v>4156</v>
      </c>
      <c r="D776" s="13" t="s">
        <v>1873</v>
      </c>
      <c r="E776" s="13" t="s">
        <v>4732</v>
      </c>
      <c r="F776" s="14" t="s">
        <v>4733</v>
      </c>
      <c r="G776" s="14" t="s">
        <v>4724</v>
      </c>
      <c r="H776" s="20" t="n">
        <v>25.4</v>
      </c>
      <c r="I776" s="13" t="n">
        <v>32</v>
      </c>
      <c r="J776" s="13" t="s">
        <v>4734</v>
      </c>
      <c r="K776" s="13" t="n">
        <v>32</v>
      </c>
      <c r="L776" s="21" t="n">
        <v>10.4</v>
      </c>
      <c r="M776" s="21" t="n">
        <f aca="false">IF(C776="covered",10.4,7.55)</f>
        <v>10.4</v>
      </c>
      <c r="N776" s="13" t="n">
        <f aca="false">MAX(ROUNDUP(H776,0),I776)</f>
        <v>32</v>
      </c>
      <c r="O776" s="21" t="n">
        <v>332.8</v>
      </c>
      <c r="P776" s="21" t="n">
        <f aca="false">ROUND(M776*N776,2)</f>
        <v>332.8</v>
      </c>
      <c r="Q776" s="21" t="n">
        <f aca="false">ROUND(P776-IF(O776="",0,O776),2)</f>
        <v>0</v>
      </c>
      <c r="R776" s="14" t="str">
        <f aca="false">IF(J776="","MISSING BILL",IF(AND(K776=N776,ABS(L776-M776)&lt;0.001,ABS(O776-P776)&lt;0.01),"RECONCILED","CALCULATION ERROR"))</f>
        <v>RECONCILED</v>
      </c>
      <c r="S776" s="14" t="s">
        <v>2935</v>
      </c>
    </row>
    <row r="777" customFormat="false" ht="15" hidden="true" customHeight="false" outlineLevel="0" collapsed="false">
      <c r="A777" s="13" t="s">
        <v>4735</v>
      </c>
      <c r="B777" s="13" t="s">
        <v>70</v>
      </c>
      <c r="C777" s="13" t="s">
        <v>4156</v>
      </c>
      <c r="D777" s="13" t="s">
        <v>1873</v>
      </c>
      <c r="E777" s="13" t="s">
        <v>4736</v>
      </c>
      <c r="F777" s="14" t="s">
        <v>4737</v>
      </c>
      <c r="G777" s="14" t="s">
        <v>2438</v>
      </c>
      <c r="H777" s="20" t="n">
        <v>32.7</v>
      </c>
      <c r="I777" s="13" t="n">
        <v>32</v>
      </c>
      <c r="J777" s="13" t="s">
        <v>4738</v>
      </c>
      <c r="K777" s="13" t="n">
        <v>33</v>
      </c>
      <c r="L777" s="21" t="n">
        <v>10.4</v>
      </c>
      <c r="M777" s="21" t="n">
        <f aca="false">IF(C777="covered",10.4,7.55)</f>
        <v>10.4</v>
      </c>
      <c r="N777" s="13" t="n">
        <f aca="false">MAX(ROUNDUP(H777,0),I777)</f>
        <v>33</v>
      </c>
      <c r="O777" s="21" t="n">
        <v>343.2</v>
      </c>
      <c r="P777" s="21" t="n">
        <f aca="false">ROUND(M777*N777,2)</f>
        <v>343.2</v>
      </c>
      <c r="Q777" s="21" t="n">
        <f aca="false">ROUND(P777-IF(O777="",0,O777),2)</f>
        <v>0</v>
      </c>
      <c r="R777" s="14" t="str">
        <f aca="false">IF(J777="","MISSING BILL",IF(AND(K777=N777,ABS(L777-M777)&lt;0.001,ABS(O777-P777)&lt;0.01),"RECONCILED","CALCULATION ERROR"))</f>
        <v>RECONCILED</v>
      </c>
      <c r="S777" s="14" t="s">
        <v>2935</v>
      </c>
    </row>
    <row r="778" customFormat="false" ht="15" hidden="true" customHeight="false" outlineLevel="0" collapsed="false">
      <c r="A778" s="13" t="s">
        <v>4739</v>
      </c>
      <c r="B778" s="13" t="s">
        <v>70</v>
      </c>
      <c r="C778" s="13" t="s">
        <v>4156</v>
      </c>
      <c r="D778" s="13" t="s">
        <v>1873</v>
      </c>
      <c r="E778" s="13" t="s">
        <v>4740</v>
      </c>
      <c r="F778" s="14" t="s">
        <v>4741</v>
      </c>
      <c r="G778" s="14" t="s">
        <v>4253</v>
      </c>
      <c r="H778" s="20" t="n">
        <v>53.5</v>
      </c>
      <c r="I778" s="13" t="n">
        <v>32</v>
      </c>
      <c r="J778" s="13" t="s">
        <v>4742</v>
      </c>
      <c r="K778" s="13" t="n">
        <v>54</v>
      </c>
      <c r="L778" s="21" t="n">
        <v>10.4</v>
      </c>
      <c r="M778" s="21" t="n">
        <f aca="false">IF(C778="covered",10.4,7.55)</f>
        <v>10.4</v>
      </c>
      <c r="N778" s="13" t="n">
        <f aca="false">MAX(ROUNDUP(H778,0),I778)</f>
        <v>54</v>
      </c>
      <c r="O778" s="21" t="n">
        <v>561.6</v>
      </c>
      <c r="P778" s="21" t="n">
        <f aca="false">ROUND(M778*N778,2)</f>
        <v>561.6</v>
      </c>
      <c r="Q778" s="21" t="n">
        <f aca="false">ROUND(P778-IF(O778="",0,O778),2)</f>
        <v>0</v>
      </c>
      <c r="R778" s="14" t="str">
        <f aca="false">IF(J778="","MISSING BILL",IF(AND(K778=N778,ABS(L778-M778)&lt;0.001,ABS(O778-P778)&lt;0.01),"RECONCILED","CALCULATION ERROR"))</f>
        <v>RECONCILED</v>
      </c>
      <c r="S778" s="14" t="s">
        <v>2935</v>
      </c>
    </row>
    <row r="779" customFormat="false" ht="15" hidden="true" customHeight="false" outlineLevel="0" collapsed="false">
      <c r="A779" s="13" t="s">
        <v>787</v>
      </c>
      <c r="B779" s="13" t="s">
        <v>70</v>
      </c>
      <c r="C779" s="13" t="s">
        <v>4156</v>
      </c>
      <c r="D779" s="13" t="s">
        <v>1873</v>
      </c>
      <c r="E779" s="13" t="s">
        <v>4743</v>
      </c>
      <c r="F779" s="14" t="s">
        <v>4744</v>
      </c>
      <c r="G779" s="14" t="s">
        <v>2643</v>
      </c>
      <c r="H779" s="20" t="n">
        <v>59.7</v>
      </c>
      <c r="I779" s="13" t="n">
        <v>24</v>
      </c>
      <c r="J779" s="13" t="s">
        <v>4745</v>
      </c>
      <c r="K779" s="13" t="n">
        <v>60</v>
      </c>
      <c r="L779" s="21" t="n">
        <v>10.4</v>
      </c>
      <c r="M779" s="21" t="n">
        <f aca="false">IF(C779="covered",10.4,7.55)</f>
        <v>10.4</v>
      </c>
      <c r="N779" s="13" t="n">
        <f aca="false">MAX(ROUNDUP(H779,0),I779)</f>
        <v>60</v>
      </c>
      <c r="O779" s="21" t="n">
        <v>624</v>
      </c>
      <c r="P779" s="21" t="n">
        <f aca="false">ROUND(M779*N779,2)</f>
        <v>624</v>
      </c>
      <c r="Q779" s="21" t="n">
        <f aca="false">ROUND(P779-IF(O779="",0,O779),2)</f>
        <v>0</v>
      </c>
      <c r="R779" s="14" t="str">
        <f aca="false">IF(J779="","MISSING BILL",IF(AND(K779=N779,ABS(L779-M779)&lt;0.001,ABS(O779-P779)&lt;0.01),"RECONCILED","CALCULATION ERROR"))</f>
        <v>RECONCILED</v>
      </c>
      <c r="S779" s="14" t="s">
        <v>2935</v>
      </c>
    </row>
    <row r="780" customFormat="false" ht="15" hidden="true" customHeight="false" outlineLevel="0" collapsed="false">
      <c r="A780" s="13" t="s">
        <v>4746</v>
      </c>
      <c r="B780" s="13" t="s">
        <v>70</v>
      </c>
      <c r="C780" s="13" t="s">
        <v>4156</v>
      </c>
      <c r="D780" s="13" t="s">
        <v>1873</v>
      </c>
      <c r="E780" s="13" t="s">
        <v>4747</v>
      </c>
      <c r="F780" s="14" t="s">
        <v>4484</v>
      </c>
      <c r="G780" s="14" t="s">
        <v>4748</v>
      </c>
      <c r="H780" s="20" t="n">
        <v>37.7</v>
      </c>
      <c r="I780" s="13" t="n">
        <v>28</v>
      </c>
      <c r="J780" s="13" t="s">
        <v>4749</v>
      </c>
      <c r="K780" s="13" t="n">
        <v>38</v>
      </c>
      <c r="L780" s="21" t="n">
        <v>10.4</v>
      </c>
      <c r="M780" s="21" t="n">
        <f aca="false">IF(C780="covered",10.4,7.55)</f>
        <v>10.4</v>
      </c>
      <c r="N780" s="13" t="n">
        <f aca="false">MAX(ROUNDUP(H780,0),I780)</f>
        <v>38</v>
      </c>
      <c r="O780" s="21" t="n">
        <v>395.2</v>
      </c>
      <c r="P780" s="21" t="n">
        <f aca="false">ROUND(M780*N780,2)</f>
        <v>395.2</v>
      </c>
      <c r="Q780" s="21" t="n">
        <f aca="false">ROUND(P780-IF(O780="",0,O780),2)</f>
        <v>0</v>
      </c>
      <c r="R780" s="14" t="str">
        <f aca="false">IF(J780="","MISSING BILL",IF(AND(K780=N780,ABS(L780-M780)&lt;0.001,ABS(O780-P780)&lt;0.01),"RECONCILED","CALCULATION ERROR"))</f>
        <v>RECONCILED</v>
      </c>
      <c r="S780" s="14" t="s">
        <v>2935</v>
      </c>
    </row>
    <row r="781" customFormat="false" ht="15" hidden="true" customHeight="false" outlineLevel="0" collapsed="false">
      <c r="A781" s="13" t="s">
        <v>4750</v>
      </c>
      <c r="B781" s="13" t="s">
        <v>70</v>
      </c>
      <c r="C781" s="13" t="s">
        <v>4156</v>
      </c>
      <c r="D781" s="13" t="s">
        <v>1873</v>
      </c>
      <c r="E781" s="13" t="s">
        <v>4751</v>
      </c>
      <c r="F781" s="14" t="s">
        <v>4752</v>
      </c>
      <c r="G781" s="14" t="s">
        <v>2314</v>
      </c>
      <c r="H781" s="20" t="n">
        <v>56.3</v>
      </c>
      <c r="I781" s="13" t="n">
        <v>28</v>
      </c>
      <c r="J781" s="13" t="s">
        <v>4753</v>
      </c>
      <c r="K781" s="13" t="n">
        <v>57</v>
      </c>
      <c r="L781" s="21" t="n">
        <v>10.4</v>
      </c>
      <c r="M781" s="21" t="n">
        <f aca="false">IF(C781="covered",10.4,7.55)</f>
        <v>10.4</v>
      </c>
      <c r="N781" s="13" t="n">
        <f aca="false">MAX(ROUNDUP(H781,0),I781)</f>
        <v>57</v>
      </c>
      <c r="O781" s="21" t="n">
        <v>592.8</v>
      </c>
      <c r="P781" s="21" t="n">
        <f aca="false">ROUND(M781*N781,2)</f>
        <v>592.8</v>
      </c>
      <c r="Q781" s="21" t="n">
        <f aca="false">ROUND(P781-IF(O781="",0,O781),2)</f>
        <v>0</v>
      </c>
      <c r="R781" s="14" t="str">
        <f aca="false">IF(J781="","MISSING BILL",IF(AND(K781=N781,ABS(L781-M781)&lt;0.001,ABS(O781-P781)&lt;0.01),"RECONCILED","CALCULATION ERROR"))</f>
        <v>RECONCILED</v>
      </c>
      <c r="S781" s="14" t="s">
        <v>2935</v>
      </c>
    </row>
    <row r="782" customFormat="false" ht="15" hidden="true" customHeight="false" outlineLevel="0" collapsed="false">
      <c r="A782" s="13" t="s">
        <v>4754</v>
      </c>
      <c r="B782" s="13" t="s">
        <v>70</v>
      </c>
      <c r="C782" s="13" t="s">
        <v>4156</v>
      </c>
      <c r="D782" s="13" t="s">
        <v>1873</v>
      </c>
      <c r="E782" s="13" t="s">
        <v>4755</v>
      </c>
      <c r="F782" s="14" t="s">
        <v>4756</v>
      </c>
      <c r="G782" s="14" t="s">
        <v>2927</v>
      </c>
      <c r="H782" s="20" t="n">
        <v>46.1</v>
      </c>
      <c r="I782" s="13" t="n">
        <v>36</v>
      </c>
      <c r="J782" s="13" t="s">
        <v>4757</v>
      </c>
      <c r="K782" s="13" t="n">
        <v>47</v>
      </c>
      <c r="L782" s="21" t="n">
        <v>10.4</v>
      </c>
      <c r="M782" s="21" t="n">
        <f aca="false">IF(C782="covered",10.4,7.55)</f>
        <v>10.4</v>
      </c>
      <c r="N782" s="13" t="n">
        <f aca="false">MAX(ROUNDUP(H782,0),I782)</f>
        <v>47</v>
      </c>
      <c r="O782" s="21" t="n">
        <v>488.8</v>
      </c>
      <c r="P782" s="21" t="n">
        <f aca="false">ROUND(M782*N782,2)</f>
        <v>488.8</v>
      </c>
      <c r="Q782" s="21" t="n">
        <f aca="false">ROUND(P782-IF(O782="",0,O782),2)</f>
        <v>0</v>
      </c>
      <c r="R782" s="14" t="str">
        <f aca="false">IF(J782="","MISSING BILL",IF(AND(K782=N782,ABS(L782-M782)&lt;0.001,ABS(O782-P782)&lt;0.01),"RECONCILED","CALCULATION ERROR"))</f>
        <v>RECONCILED</v>
      </c>
      <c r="S782" s="14" t="s">
        <v>2935</v>
      </c>
    </row>
    <row r="783" customFormat="false" ht="15" hidden="true" customHeight="false" outlineLevel="0" collapsed="false">
      <c r="A783" s="13" t="s">
        <v>4758</v>
      </c>
      <c r="B783" s="13" t="s">
        <v>70</v>
      </c>
      <c r="C783" s="13" t="s">
        <v>4156</v>
      </c>
      <c r="D783" s="13" t="s">
        <v>1873</v>
      </c>
      <c r="E783" s="13" t="s">
        <v>1261</v>
      </c>
      <c r="F783" s="14" t="s">
        <v>1262</v>
      </c>
      <c r="G783" s="14" t="s">
        <v>1926</v>
      </c>
      <c r="H783" s="20" t="n">
        <v>35.1</v>
      </c>
      <c r="I783" s="13" t="n">
        <v>40</v>
      </c>
      <c r="J783" s="13" t="s">
        <v>4759</v>
      </c>
      <c r="K783" s="13" t="n">
        <v>40</v>
      </c>
      <c r="L783" s="21" t="n">
        <v>10.4</v>
      </c>
      <c r="M783" s="21" t="n">
        <f aca="false">IF(C783="covered",10.4,7.55)</f>
        <v>10.4</v>
      </c>
      <c r="N783" s="13" t="n">
        <f aca="false">MAX(ROUNDUP(H783,0),I783)</f>
        <v>40</v>
      </c>
      <c r="O783" s="21" t="n">
        <v>416</v>
      </c>
      <c r="P783" s="21" t="n">
        <f aca="false">ROUND(M783*N783,2)</f>
        <v>416</v>
      </c>
      <c r="Q783" s="21" t="n">
        <f aca="false">ROUND(P783-IF(O783="",0,O783),2)</f>
        <v>0</v>
      </c>
      <c r="R783" s="14" t="str">
        <f aca="false">IF(J783="","MISSING BILL",IF(AND(K783=N783,ABS(L783-M783)&lt;0.001,ABS(O783-P783)&lt;0.01),"RECONCILED","CALCULATION ERROR"))</f>
        <v>RECONCILED</v>
      </c>
      <c r="S783" s="14" t="s">
        <v>2935</v>
      </c>
    </row>
    <row r="784" customFormat="false" ht="15" hidden="true" customHeight="false" outlineLevel="0" collapsed="false">
      <c r="A784" s="13" t="s">
        <v>1065</v>
      </c>
      <c r="B784" s="13" t="s">
        <v>70</v>
      </c>
      <c r="C784" s="13" t="s">
        <v>4156</v>
      </c>
      <c r="D784" s="13" t="s">
        <v>1873</v>
      </c>
      <c r="E784" s="13" t="s">
        <v>4760</v>
      </c>
      <c r="F784" s="14" t="s">
        <v>4761</v>
      </c>
      <c r="G784" s="14" t="s">
        <v>4762</v>
      </c>
      <c r="H784" s="20" t="n">
        <v>47.8</v>
      </c>
      <c r="I784" s="13" t="n">
        <v>28</v>
      </c>
      <c r="J784" s="13" t="s">
        <v>4763</v>
      </c>
      <c r="K784" s="13" t="n">
        <v>48</v>
      </c>
      <c r="L784" s="21" t="n">
        <v>10.4</v>
      </c>
      <c r="M784" s="21" t="n">
        <f aca="false">IF(C784="covered",10.4,7.55)</f>
        <v>10.4</v>
      </c>
      <c r="N784" s="13" t="n">
        <f aca="false">MAX(ROUNDUP(H784,0),I784)</f>
        <v>48</v>
      </c>
      <c r="O784" s="21" t="n">
        <v>499.2</v>
      </c>
      <c r="P784" s="21" t="n">
        <f aca="false">ROUND(M784*N784,2)</f>
        <v>499.2</v>
      </c>
      <c r="Q784" s="21" t="n">
        <f aca="false">ROUND(P784-IF(O784="",0,O784),2)</f>
        <v>0</v>
      </c>
      <c r="R784" s="14" t="str">
        <f aca="false">IF(J784="","MISSING BILL",IF(AND(K784=N784,ABS(L784-M784)&lt;0.001,ABS(O784-P784)&lt;0.01),"RECONCILED","CALCULATION ERROR"))</f>
        <v>RECONCILED</v>
      </c>
      <c r="S784" s="14" t="s">
        <v>2935</v>
      </c>
    </row>
    <row r="785" customFormat="false" ht="15" hidden="true" customHeight="false" outlineLevel="0" collapsed="false">
      <c r="A785" s="13" t="s">
        <v>4764</v>
      </c>
      <c r="B785" s="13" t="s">
        <v>70</v>
      </c>
      <c r="C785" s="13" t="s">
        <v>4156</v>
      </c>
      <c r="D785" s="13" t="s">
        <v>1873</v>
      </c>
      <c r="E785" s="13" t="s">
        <v>4765</v>
      </c>
      <c r="F785" s="14" t="s">
        <v>4766</v>
      </c>
      <c r="G785" s="14" t="s">
        <v>4767</v>
      </c>
      <c r="H785" s="20" t="n">
        <v>39.6</v>
      </c>
      <c r="I785" s="13" t="n">
        <v>36</v>
      </c>
      <c r="J785" s="13" t="s">
        <v>4768</v>
      </c>
      <c r="K785" s="13" t="n">
        <v>40</v>
      </c>
      <c r="L785" s="21" t="n">
        <v>10.4</v>
      </c>
      <c r="M785" s="21" t="n">
        <f aca="false">IF(C785="covered",10.4,7.55)</f>
        <v>10.4</v>
      </c>
      <c r="N785" s="13" t="n">
        <f aca="false">MAX(ROUNDUP(H785,0),I785)</f>
        <v>40</v>
      </c>
      <c r="O785" s="21" t="n">
        <v>416</v>
      </c>
      <c r="P785" s="21" t="n">
        <f aca="false">ROUND(M785*N785,2)</f>
        <v>416</v>
      </c>
      <c r="Q785" s="21" t="n">
        <f aca="false">ROUND(P785-IF(O785="",0,O785),2)</f>
        <v>0</v>
      </c>
      <c r="R785" s="14" t="str">
        <f aca="false">IF(J785="","MISSING BILL",IF(AND(K785=N785,ABS(L785-M785)&lt;0.001,ABS(O785-P785)&lt;0.01),"RECONCILED","CALCULATION ERROR"))</f>
        <v>RECONCILED</v>
      </c>
      <c r="S785" s="14" t="s">
        <v>2935</v>
      </c>
    </row>
    <row r="786" customFormat="false" ht="15" hidden="true" customHeight="false" outlineLevel="0" collapsed="false">
      <c r="A786" s="13" t="s">
        <v>1842</v>
      </c>
      <c r="B786" s="13" t="s">
        <v>70</v>
      </c>
      <c r="C786" s="13" t="s">
        <v>4156</v>
      </c>
      <c r="D786" s="13" t="s">
        <v>1873</v>
      </c>
      <c r="E786" s="13" t="s">
        <v>4769</v>
      </c>
      <c r="F786" s="14" t="s">
        <v>4770</v>
      </c>
      <c r="G786" s="14" t="s">
        <v>3285</v>
      </c>
      <c r="H786" s="20" t="n">
        <v>55.1</v>
      </c>
      <c r="I786" s="13" t="n">
        <v>36</v>
      </c>
      <c r="J786" s="13" t="s">
        <v>4771</v>
      </c>
      <c r="K786" s="13" t="n">
        <v>56</v>
      </c>
      <c r="L786" s="21" t="n">
        <v>10.4</v>
      </c>
      <c r="M786" s="21" t="n">
        <f aca="false">IF(C786="covered",10.4,7.55)</f>
        <v>10.4</v>
      </c>
      <c r="N786" s="13" t="n">
        <f aca="false">MAX(ROUNDUP(H786,0),I786)</f>
        <v>56</v>
      </c>
      <c r="O786" s="21" t="n">
        <v>582.4</v>
      </c>
      <c r="P786" s="21" t="n">
        <f aca="false">ROUND(M786*N786,2)</f>
        <v>582.4</v>
      </c>
      <c r="Q786" s="21" t="n">
        <f aca="false">ROUND(P786-IF(O786="",0,O786),2)</f>
        <v>0</v>
      </c>
      <c r="R786" s="14" t="str">
        <f aca="false">IF(J786="","MISSING BILL",IF(AND(K786=N786,ABS(L786-M786)&lt;0.001,ABS(O786-P786)&lt;0.01),"RECONCILED","CALCULATION ERROR"))</f>
        <v>RECONCILED</v>
      </c>
      <c r="S786" s="14" t="s">
        <v>2935</v>
      </c>
    </row>
    <row r="787" customFormat="false" ht="15" hidden="true" customHeight="false" outlineLevel="0" collapsed="false">
      <c r="A787" s="13" t="s">
        <v>4772</v>
      </c>
      <c r="B787" s="13" t="s">
        <v>70</v>
      </c>
      <c r="C787" s="13" t="s">
        <v>4156</v>
      </c>
      <c r="D787" s="13" t="s">
        <v>1873</v>
      </c>
      <c r="E787" s="13" t="s">
        <v>4773</v>
      </c>
      <c r="F787" s="14" t="s">
        <v>4774</v>
      </c>
      <c r="G787" s="14" t="s">
        <v>4775</v>
      </c>
      <c r="H787" s="20" t="n">
        <v>40.6</v>
      </c>
      <c r="I787" s="13" t="n">
        <v>24</v>
      </c>
      <c r="J787" s="13" t="s">
        <v>4776</v>
      </c>
      <c r="K787" s="13" t="n">
        <v>41</v>
      </c>
      <c r="L787" s="21" t="n">
        <v>10.4</v>
      </c>
      <c r="M787" s="21" t="n">
        <f aca="false">IF(C787="covered",10.4,7.55)</f>
        <v>10.4</v>
      </c>
      <c r="N787" s="13" t="n">
        <f aca="false">MAX(ROUNDUP(H787,0),I787)</f>
        <v>41</v>
      </c>
      <c r="O787" s="21" t="n">
        <v>426.4</v>
      </c>
      <c r="P787" s="21" t="n">
        <f aca="false">ROUND(M787*N787,2)</f>
        <v>426.4</v>
      </c>
      <c r="Q787" s="21" t="n">
        <f aca="false">ROUND(P787-IF(O787="",0,O787),2)</f>
        <v>0</v>
      </c>
      <c r="R787" s="14" t="str">
        <f aca="false">IF(J787="","MISSING BILL",IF(AND(K787=N787,ABS(L787-M787)&lt;0.001,ABS(O787-P787)&lt;0.01),"RECONCILED","CALCULATION ERROR"))</f>
        <v>RECONCILED</v>
      </c>
      <c r="S787" s="14" t="s">
        <v>2935</v>
      </c>
    </row>
    <row r="788" customFormat="false" ht="15" hidden="true" customHeight="false" outlineLevel="0" collapsed="false">
      <c r="A788" s="13" t="s">
        <v>4777</v>
      </c>
      <c r="B788" s="13" t="s">
        <v>70</v>
      </c>
      <c r="C788" s="13" t="s">
        <v>4156</v>
      </c>
      <c r="D788" s="13" t="s">
        <v>1873</v>
      </c>
      <c r="E788" s="13" t="s">
        <v>4778</v>
      </c>
      <c r="F788" s="14" t="s">
        <v>4779</v>
      </c>
      <c r="G788" s="14" t="s">
        <v>4328</v>
      </c>
      <c r="H788" s="20" t="n">
        <v>42.3</v>
      </c>
      <c r="I788" s="13" t="n">
        <v>40</v>
      </c>
      <c r="J788" s="13" t="s">
        <v>4780</v>
      </c>
      <c r="K788" s="13" t="n">
        <v>43</v>
      </c>
      <c r="L788" s="21" t="n">
        <v>10.4</v>
      </c>
      <c r="M788" s="21" t="n">
        <f aca="false">IF(C788="covered",10.4,7.55)</f>
        <v>10.4</v>
      </c>
      <c r="N788" s="13" t="n">
        <f aca="false">MAX(ROUNDUP(H788,0),I788)</f>
        <v>43</v>
      </c>
      <c r="O788" s="21" t="n">
        <v>447.2</v>
      </c>
      <c r="P788" s="21" t="n">
        <f aca="false">ROUND(M788*N788,2)</f>
        <v>447.2</v>
      </c>
      <c r="Q788" s="21" t="n">
        <f aca="false">ROUND(P788-IF(O788="",0,O788),2)</f>
        <v>0</v>
      </c>
      <c r="R788" s="14" t="str">
        <f aca="false">IF(J788="","MISSING BILL",IF(AND(K788=N788,ABS(L788-M788)&lt;0.001,ABS(O788-P788)&lt;0.01),"RECONCILED","CALCULATION ERROR"))</f>
        <v>RECONCILED</v>
      </c>
      <c r="S788" s="14" t="s">
        <v>2935</v>
      </c>
    </row>
    <row r="789" customFormat="false" ht="15" hidden="true" customHeight="false" outlineLevel="0" collapsed="false">
      <c r="A789" s="13" t="s">
        <v>4781</v>
      </c>
      <c r="B789" s="13" t="s">
        <v>70</v>
      </c>
      <c r="C789" s="13" t="s">
        <v>4156</v>
      </c>
      <c r="D789" s="13" t="s">
        <v>1873</v>
      </c>
      <c r="E789" s="13" t="s">
        <v>4782</v>
      </c>
      <c r="F789" s="14" t="s">
        <v>4783</v>
      </c>
      <c r="G789" s="14" t="s">
        <v>4703</v>
      </c>
      <c r="H789" s="20" t="n">
        <v>34.3</v>
      </c>
      <c r="I789" s="13" t="n">
        <v>28</v>
      </c>
      <c r="J789" s="13" t="s">
        <v>4784</v>
      </c>
      <c r="K789" s="13" t="n">
        <v>35</v>
      </c>
      <c r="L789" s="21" t="n">
        <v>10.4</v>
      </c>
      <c r="M789" s="21" t="n">
        <f aca="false">IF(C789="covered",10.4,7.55)</f>
        <v>10.4</v>
      </c>
      <c r="N789" s="13" t="n">
        <f aca="false">MAX(ROUNDUP(H789,0),I789)</f>
        <v>35</v>
      </c>
      <c r="O789" s="21" t="n">
        <v>364</v>
      </c>
      <c r="P789" s="21" t="n">
        <f aca="false">ROUND(M789*N789,2)</f>
        <v>364</v>
      </c>
      <c r="Q789" s="21" t="n">
        <f aca="false">ROUND(P789-IF(O789="",0,O789),2)</f>
        <v>0</v>
      </c>
      <c r="R789" s="14" t="str">
        <f aca="false">IF(J789="","MISSING BILL",IF(AND(K789=N789,ABS(L789-M789)&lt;0.001,ABS(O789-P789)&lt;0.01),"RECONCILED","CALCULATION ERROR"))</f>
        <v>RECONCILED</v>
      </c>
      <c r="S789" s="14" t="s">
        <v>2935</v>
      </c>
    </row>
    <row r="790" customFormat="false" ht="15" hidden="true" customHeight="false" outlineLevel="0" collapsed="false">
      <c r="A790" s="13" t="s">
        <v>4785</v>
      </c>
      <c r="B790" s="13" t="s">
        <v>70</v>
      </c>
      <c r="C790" s="13" t="s">
        <v>4156</v>
      </c>
      <c r="D790" s="13" t="s">
        <v>1873</v>
      </c>
      <c r="E790" s="13" t="s">
        <v>4786</v>
      </c>
      <c r="F790" s="14" t="s">
        <v>4787</v>
      </c>
      <c r="G790" s="14" t="s">
        <v>4788</v>
      </c>
      <c r="H790" s="20" t="n">
        <v>51.3</v>
      </c>
      <c r="I790" s="13" t="n">
        <v>36</v>
      </c>
      <c r="J790" s="13" t="s">
        <v>4789</v>
      </c>
      <c r="K790" s="13" t="n">
        <v>52</v>
      </c>
      <c r="L790" s="21" t="n">
        <v>10.4</v>
      </c>
      <c r="M790" s="21" t="n">
        <f aca="false">IF(C790="covered",10.4,7.55)</f>
        <v>10.4</v>
      </c>
      <c r="N790" s="13" t="n">
        <f aca="false">MAX(ROUNDUP(H790,0),I790)</f>
        <v>52</v>
      </c>
      <c r="O790" s="21" t="n">
        <v>540.8</v>
      </c>
      <c r="P790" s="21" t="n">
        <f aca="false">ROUND(M790*N790,2)</f>
        <v>540.8</v>
      </c>
      <c r="Q790" s="21" t="n">
        <f aca="false">ROUND(P790-IF(O790="",0,O790),2)</f>
        <v>0</v>
      </c>
      <c r="R790" s="14" t="str">
        <f aca="false">IF(J790="","MISSING BILL",IF(AND(K790=N790,ABS(L790-M790)&lt;0.001,ABS(O790-P790)&lt;0.01),"RECONCILED","CALCULATION ERROR"))</f>
        <v>RECONCILED</v>
      </c>
      <c r="S790" s="14" t="s">
        <v>2935</v>
      </c>
    </row>
    <row r="791" customFormat="false" ht="15" hidden="true" customHeight="false" outlineLevel="0" collapsed="false">
      <c r="A791" s="13" t="s">
        <v>4790</v>
      </c>
      <c r="B791" s="13" t="s">
        <v>70</v>
      </c>
      <c r="C791" s="13" t="s">
        <v>4156</v>
      </c>
      <c r="D791" s="13" t="s">
        <v>1873</v>
      </c>
      <c r="E791" s="13" t="s">
        <v>4791</v>
      </c>
      <c r="F791" s="14" t="s">
        <v>4792</v>
      </c>
      <c r="G791" s="14" t="s">
        <v>4793</v>
      </c>
      <c r="H791" s="20" t="n">
        <v>25.6</v>
      </c>
      <c r="I791" s="13" t="n">
        <v>28</v>
      </c>
      <c r="J791" s="13" t="s">
        <v>4794</v>
      </c>
      <c r="K791" s="13" t="n">
        <v>28</v>
      </c>
      <c r="L791" s="21" t="n">
        <v>10.4</v>
      </c>
      <c r="M791" s="21" t="n">
        <f aca="false">IF(C791="covered",10.4,7.55)</f>
        <v>10.4</v>
      </c>
      <c r="N791" s="13" t="n">
        <f aca="false">MAX(ROUNDUP(H791,0),I791)</f>
        <v>28</v>
      </c>
      <c r="O791" s="21" t="n">
        <v>291.2</v>
      </c>
      <c r="P791" s="21" t="n">
        <f aca="false">ROUND(M791*N791,2)</f>
        <v>291.2</v>
      </c>
      <c r="Q791" s="21" t="n">
        <f aca="false">ROUND(P791-IF(O791="",0,O791),2)</f>
        <v>0</v>
      </c>
      <c r="R791" s="14" t="str">
        <f aca="false">IF(J791="","MISSING BILL",IF(AND(K791=N791,ABS(L791-M791)&lt;0.001,ABS(O791-P791)&lt;0.01),"RECONCILED","CALCULATION ERROR"))</f>
        <v>RECONCILED</v>
      </c>
      <c r="S791" s="14" t="s">
        <v>2935</v>
      </c>
    </row>
    <row r="792" customFormat="false" ht="15" hidden="true" customHeight="false" outlineLevel="0" collapsed="false">
      <c r="A792" s="13" t="s">
        <v>4795</v>
      </c>
      <c r="B792" s="13" t="s">
        <v>70</v>
      </c>
      <c r="C792" s="13" t="s">
        <v>4156</v>
      </c>
      <c r="D792" s="13" t="s">
        <v>1873</v>
      </c>
      <c r="E792" s="13" t="s">
        <v>4796</v>
      </c>
      <c r="F792" s="14" t="s">
        <v>4797</v>
      </c>
      <c r="G792" s="14" t="s">
        <v>3335</v>
      </c>
      <c r="H792" s="20" t="n">
        <v>37.5</v>
      </c>
      <c r="I792" s="13" t="n">
        <v>32</v>
      </c>
      <c r="J792" s="13" t="s">
        <v>4798</v>
      </c>
      <c r="K792" s="13" t="n">
        <v>38</v>
      </c>
      <c r="L792" s="21" t="n">
        <v>10.4</v>
      </c>
      <c r="M792" s="21" t="n">
        <f aca="false">IF(C792="covered",10.4,7.55)</f>
        <v>10.4</v>
      </c>
      <c r="N792" s="13" t="n">
        <f aca="false">MAX(ROUNDUP(H792,0),I792)</f>
        <v>38</v>
      </c>
      <c r="O792" s="21" t="n">
        <v>395.2</v>
      </c>
      <c r="P792" s="21" t="n">
        <f aca="false">ROUND(M792*N792,2)</f>
        <v>395.2</v>
      </c>
      <c r="Q792" s="21" t="n">
        <f aca="false">ROUND(P792-IF(O792="",0,O792),2)</f>
        <v>0</v>
      </c>
      <c r="R792" s="14" t="str">
        <f aca="false">IF(J792="","MISSING BILL",IF(AND(K792=N792,ABS(L792-M792)&lt;0.001,ABS(O792-P792)&lt;0.01),"RECONCILED","CALCULATION ERROR"))</f>
        <v>RECONCILED</v>
      </c>
      <c r="S792" s="14" t="s">
        <v>2935</v>
      </c>
    </row>
    <row r="793" customFormat="false" ht="15" hidden="true" customHeight="false" outlineLevel="0" collapsed="false">
      <c r="A793" s="13" t="s">
        <v>4799</v>
      </c>
      <c r="B793" s="13" t="s">
        <v>70</v>
      </c>
      <c r="C793" s="13" t="s">
        <v>4156</v>
      </c>
      <c r="D793" s="13" t="s">
        <v>1873</v>
      </c>
      <c r="E793" s="13" t="s">
        <v>4800</v>
      </c>
      <c r="F793" s="14" t="s">
        <v>4801</v>
      </c>
      <c r="G793" s="14" t="s">
        <v>2250</v>
      </c>
      <c r="H793" s="20" t="n">
        <v>34.5</v>
      </c>
      <c r="I793" s="13" t="n">
        <v>32</v>
      </c>
      <c r="J793" s="13" t="s">
        <v>4802</v>
      </c>
      <c r="K793" s="13" t="n">
        <v>35</v>
      </c>
      <c r="L793" s="21" t="n">
        <v>10.4</v>
      </c>
      <c r="M793" s="21" t="n">
        <f aca="false">IF(C793="covered",10.4,7.55)</f>
        <v>10.4</v>
      </c>
      <c r="N793" s="13" t="n">
        <f aca="false">MAX(ROUNDUP(H793,0),I793)</f>
        <v>35</v>
      </c>
      <c r="O793" s="21" t="n">
        <v>364</v>
      </c>
      <c r="P793" s="21" t="n">
        <f aca="false">ROUND(M793*N793,2)</f>
        <v>364</v>
      </c>
      <c r="Q793" s="21" t="n">
        <f aca="false">ROUND(P793-IF(O793="",0,O793),2)</f>
        <v>0</v>
      </c>
      <c r="R793" s="14" t="str">
        <f aca="false">IF(J793="","MISSING BILL",IF(AND(K793=N793,ABS(L793-M793)&lt;0.001,ABS(O793-P793)&lt;0.01),"RECONCILED","CALCULATION ERROR"))</f>
        <v>RECONCILED</v>
      </c>
      <c r="S793" s="14" t="s">
        <v>2935</v>
      </c>
    </row>
    <row r="794" customFormat="false" ht="15" hidden="true" customHeight="false" outlineLevel="0" collapsed="false">
      <c r="A794" s="13" t="s">
        <v>4803</v>
      </c>
      <c r="B794" s="13" t="s">
        <v>70</v>
      </c>
      <c r="C794" s="13" t="s">
        <v>4156</v>
      </c>
      <c r="D794" s="13" t="s">
        <v>1873</v>
      </c>
      <c r="E794" s="13" t="s">
        <v>4804</v>
      </c>
      <c r="F794" s="14" t="s">
        <v>4805</v>
      </c>
      <c r="G794" s="14" t="s">
        <v>4806</v>
      </c>
      <c r="H794" s="20" t="n">
        <v>49.8</v>
      </c>
      <c r="I794" s="13" t="n">
        <v>24</v>
      </c>
      <c r="J794" s="13" t="s">
        <v>4807</v>
      </c>
      <c r="K794" s="13" t="n">
        <v>50</v>
      </c>
      <c r="L794" s="21" t="n">
        <v>10.4</v>
      </c>
      <c r="M794" s="21" t="n">
        <f aca="false">IF(C794="covered",10.4,7.55)</f>
        <v>10.4</v>
      </c>
      <c r="N794" s="13" t="n">
        <f aca="false">MAX(ROUNDUP(H794,0),I794)</f>
        <v>50</v>
      </c>
      <c r="O794" s="21" t="n">
        <v>520</v>
      </c>
      <c r="P794" s="21" t="n">
        <f aca="false">ROUND(M794*N794,2)</f>
        <v>520</v>
      </c>
      <c r="Q794" s="21" t="n">
        <f aca="false">ROUND(P794-IF(O794="",0,O794),2)</f>
        <v>0</v>
      </c>
      <c r="R794" s="14" t="str">
        <f aca="false">IF(J794="","MISSING BILL",IF(AND(K794=N794,ABS(L794-M794)&lt;0.001,ABS(O794-P794)&lt;0.01),"RECONCILED","CALCULATION ERROR"))</f>
        <v>RECONCILED</v>
      </c>
      <c r="S794" s="14" t="s">
        <v>2935</v>
      </c>
    </row>
    <row r="795" customFormat="false" ht="15" hidden="true" customHeight="false" outlineLevel="0" collapsed="false">
      <c r="A795" s="13" t="s">
        <v>1251</v>
      </c>
      <c r="B795" s="13" t="s">
        <v>70</v>
      </c>
      <c r="C795" s="13" t="s">
        <v>4156</v>
      </c>
      <c r="D795" s="13" t="s">
        <v>1873</v>
      </c>
      <c r="E795" s="13" t="s">
        <v>4808</v>
      </c>
      <c r="F795" s="14" t="s">
        <v>4809</v>
      </c>
      <c r="G795" s="14" t="s">
        <v>2186</v>
      </c>
      <c r="H795" s="20" t="n">
        <v>47.4</v>
      </c>
      <c r="I795" s="13" t="n">
        <v>28</v>
      </c>
      <c r="J795" s="13" t="s">
        <v>4810</v>
      </c>
      <c r="K795" s="13" t="n">
        <v>48</v>
      </c>
      <c r="L795" s="21" t="n">
        <v>10.4</v>
      </c>
      <c r="M795" s="21" t="n">
        <f aca="false">IF(C795="covered",10.4,7.55)</f>
        <v>10.4</v>
      </c>
      <c r="N795" s="13" t="n">
        <f aca="false">MAX(ROUNDUP(H795,0),I795)</f>
        <v>48</v>
      </c>
      <c r="O795" s="21" t="n">
        <v>499.2</v>
      </c>
      <c r="P795" s="21" t="n">
        <f aca="false">ROUND(M795*N795,2)</f>
        <v>499.2</v>
      </c>
      <c r="Q795" s="21" t="n">
        <f aca="false">ROUND(P795-IF(O795="",0,O795),2)</f>
        <v>0</v>
      </c>
      <c r="R795" s="14" t="str">
        <f aca="false">IF(J795="","MISSING BILL",IF(AND(K795=N795,ABS(L795-M795)&lt;0.001,ABS(O795-P795)&lt;0.01),"RECONCILED","CALCULATION ERROR"))</f>
        <v>RECONCILED</v>
      </c>
      <c r="S795" s="14" t="s">
        <v>2935</v>
      </c>
    </row>
    <row r="796" customFormat="false" ht="15" hidden="true" customHeight="false" outlineLevel="0" collapsed="false">
      <c r="A796" s="13" t="s">
        <v>1137</v>
      </c>
      <c r="B796" s="13" t="s">
        <v>70</v>
      </c>
      <c r="C796" s="13" t="s">
        <v>4156</v>
      </c>
      <c r="D796" s="13" t="s">
        <v>1873</v>
      </c>
      <c r="E796" s="13" t="s">
        <v>4811</v>
      </c>
      <c r="F796" s="14" t="s">
        <v>4812</v>
      </c>
      <c r="G796" s="14" t="s">
        <v>4813</v>
      </c>
      <c r="H796" s="20" t="n">
        <v>22.2</v>
      </c>
      <c r="I796" s="13" t="n">
        <v>32</v>
      </c>
      <c r="J796" s="13" t="s">
        <v>4814</v>
      </c>
      <c r="K796" s="13" t="n">
        <v>32</v>
      </c>
      <c r="L796" s="21" t="n">
        <v>10.4</v>
      </c>
      <c r="M796" s="21" t="n">
        <f aca="false">IF(C796="covered",10.4,7.55)</f>
        <v>10.4</v>
      </c>
      <c r="N796" s="13" t="n">
        <f aca="false">MAX(ROUNDUP(H796,0),I796)</f>
        <v>32</v>
      </c>
      <c r="O796" s="21" t="n">
        <v>332.8</v>
      </c>
      <c r="P796" s="21" t="n">
        <f aca="false">ROUND(M796*N796,2)</f>
        <v>332.8</v>
      </c>
      <c r="Q796" s="21" t="n">
        <f aca="false">ROUND(P796-IF(O796="",0,O796),2)</f>
        <v>0</v>
      </c>
      <c r="R796" s="14" t="str">
        <f aca="false">IF(J796="","MISSING BILL",IF(AND(K796=N796,ABS(L796-M796)&lt;0.001,ABS(O796-P796)&lt;0.01),"RECONCILED","CALCULATION ERROR"))</f>
        <v>RECONCILED</v>
      </c>
      <c r="S796" s="14" t="s">
        <v>2935</v>
      </c>
    </row>
    <row r="797" customFormat="false" ht="15" hidden="true" customHeight="false" outlineLevel="0" collapsed="false">
      <c r="A797" s="13" t="s">
        <v>4815</v>
      </c>
      <c r="B797" s="13" t="s">
        <v>70</v>
      </c>
      <c r="C797" s="13" t="s">
        <v>4156</v>
      </c>
      <c r="D797" s="13" t="s">
        <v>1873</v>
      </c>
      <c r="E797" s="13" t="s">
        <v>4816</v>
      </c>
      <c r="F797" s="14" t="s">
        <v>4817</v>
      </c>
      <c r="G797" s="14" t="s">
        <v>3244</v>
      </c>
      <c r="H797" s="20" t="n">
        <v>60.9</v>
      </c>
      <c r="I797" s="13" t="n">
        <v>28</v>
      </c>
      <c r="J797" s="13" t="s">
        <v>4818</v>
      </c>
      <c r="K797" s="13" t="n">
        <v>61</v>
      </c>
      <c r="L797" s="21" t="n">
        <v>10.4</v>
      </c>
      <c r="M797" s="21" t="n">
        <f aca="false">IF(C797="covered",10.4,7.55)</f>
        <v>10.4</v>
      </c>
      <c r="N797" s="13" t="n">
        <f aca="false">MAX(ROUNDUP(H797,0),I797)</f>
        <v>61</v>
      </c>
      <c r="O797" s="21" t="n">
        <v>634.4</v>
      </c>
      <c r="P797" s="21" t="n">
        <f aca="false">ROUND(M797*N797,2)</f>
        <v>634.4</v>
      </c>
      <c r="Q797" s="21" t="n">
        <f aca="false">ROUND(P797-IF(O797="",0,O797),2)</f>
        <v>0</v>
      </c>
      <c r="R797" s="14" t="str">
        <f aca="false">IF(J797="","MISSING BILL",IF(AND(K797=N797,ABS(L797-M797)&lt;0.001,ABS(O797-P797)&lt;0.01),"RECONCILED","CALCULATION ERROR"))</f>
        <v>RECONCILED</v>
      </c>
      <c r="S797" s="14" t="s">
        <v>2935</v>
      </c>
    </row>
    <row r="798" customFormat="false" ht="15" hidden="true" customHeight="false" outlineLevel="0" collapsed="false">
      <c r="A798" s="13" t="s">
        <v>4819</v>
      </c>
      <c r="B798" s="13" t="s">
        <v>70</v>
      </c>
      <c r="C798" s="13" t="s">
        <v>4156</v>
      </c>
      <c r="D798" s="13" t="s">
        <v>1873</v>
      </c>
      <c r="E798" s="13" t="s">
        <v>4820</v>
      </c>
      <c r="F798" s="14" t="s">
        <v>4821</v>
      </c>
      <c r="G798" s="14" t="s">
        <v>4080</v>
      </c>
      <c r="H798" s="20" t="n">
        <v>19.1</v>
      </c>
      <c r="I798" s="13" t="n">
        <v>32</v>
      </c>
      <c r="J798" s="13" t="s">
        <v>4822</v>
      </c>
      <c r="K798" s="13" t="n">
        <v>32</v>
      </c>
      <c r="L798" s="21" t="n">
        <v>10.4</v>
      </c>
      <c r="M798" s="21" t="n">
        <f aca="false">IF(C798="covered",10.4,7.55)</f>
        <v>10.4</v>
      </c>
      <c r="N798" s="13" t="n">
        <f aca="false">MAX(ROUNDUP(H798,0),I798)</f>
        <v>32</v>
      </c>
      <c r="O798" s="21" t="n">
        <v>332.8</v>
      </c>
      <c r="P798" s="21" t="n">
        <f aca="false">ROUND(M798*N798,2)</f>
        <v>332.8</v>
      </c>
      <c r="Q798" s="21" t="n">
        <f aca="false">ROUND(P798-IF(O798="",0,O798),2)</f>
        <v>0</v>
      </c>
      <c r="R798" s="14" t="str">
        <f aca="false">IF(J798="","MISSING BILL",IF(AND(K798=N798,ABS(L798-M798)&lt;0.001,ABS(O798-P798)&lt;0.01),"RECONCILED","CALCULATION ERROR"))</f>
        <v>RECONCILED</v>
      </c>
      <c r="S798" s="14" t="s">
        <v>2935</v>
      </c>
    </row>
    <row r="799" customFormat="false" ht="15" hidden="true" customHeight="false" outlineLevel="0" collapsed="false">
      <c r="A799" s="13" t="s">
        <v>1703</v>
      </c>
      <c r="B799" s="13" t="s">
        <v>70</v>
      </c>
      <c r="C799" s="13" t="s">
        <v>4156</v>
      </c>
      <c r="D799" s="13" t="s">
        <v>1873</v>
      </c>
      <c r="E799" s="13" t="s">
        <v>1701</v>
      </c>
      <c r="F799" s="14" t="s">
        <v>1702</v>
      </c>
      <c r="G799" s="14" t="s">
        <v>3024</v>
      </c>
      <c r="H799" s="20" t="n">
        <v>43.9</v>
      </c>
      <c r="I799" s="13" t="n">
        <v>32</v>
      </c>
      <c r="J799" s="13" t="s">
        <v>4823</v>
      </c>
      <c r="K799" s="13" t="n">
        <v>44</v>
      </c>
      <c r="L799" s="21" t="n">
        <v>10.4</v>
      </c>
      <c r="M799" s="21" t="n">
        <f aca="false">IF(C799="covered",10.4,7.55)</f>
        <v>10.4</v>
      </c>
      <c r="N799" s="13" t="n">
        <f aca="false">MAX(ROUNDUP(H799,0),I799)</f>
        <v>44</v>
      </c>
      <c r="O799" s="21" t="n">
        <v>457.6</v>
      </c>
      <c r="P799" s="21" t="n">
        <f aca="false">ROUND(M799*N799,2)</f>
        <v>457.6</v>
      </c>
      <c r="Q799" s="21" t="n">
        <f aca="false">ROUND(P799-IF(O799="",0,O799),2)</f>
        <v>0</v>
      </c>
      <c r="R799" s="14" t="str">
        <f aca="false">IF(J799="","MISSING BILL",IF(AND(K799=N799,ABS(L799-M799)&lt;0.001,ABS(O799-P799)&lt;0.01),"RECONCILED","CALCULATION ERROR"))</f>
        <v>RECONCILED</v>
      </c>
      <c r="S799" s="14" t="s">
        <v>2935</v>
      </c>
    </row>
    <row r="800" customFormat="false" ht="15" hidden="true" customHeight="false" outlineLevel="0" collapsed="false">
      <c r="A800" s="13" t="s">
        <v>4824</v>
      </c>
      <c r="B800" s="13" t="s">
        <v>70</v>
      </c>
      <c r="C800" s="13" t="s">
        <v>4156</v>
      </c>
      <c r="D800" s="13" t="s">
        <v>1873</v>
      </c>
      <c r="E800" s="13" t="s">
        <v>4825</v>
      </c>
      <c r="F800" s="14" t="s">
        <v>4826</v>
      </c>
      <c r="G800" s="14" t="s">
        <v>2558</v>
      </c>
      <c r="H800" s="20" t="n">
        <v>53.2</v>
      </c>
      <c r="I800" s="13" t="n">
        <v>28</v>
      </c>
      <c r="J800" s="13" t="s">
        <v>4827</v>
      </c>
      <c r="K800" s="13" t="n">
        <v>54</v>
      </c>
      <c r="L800" s="21" t="n">
        <v>10.4</v>
      </c>
      <c r="M800" s="21" t="n">
        <f aca="false">IF(C800="covered",10.4,7.55)</f>
        <v>10.4</v>
      </c>
      <c r="N800" s="13" t="n">
        <f aca="false">MAX(ROUNDUP(H800,0),I800)</f>
        <v>54</v>
      </c>
      <c r="O800" s="21" t="n">
        <v>561.6</v>
      </c>
      <c r="P800" s="21" t="n">
        <f aca="false">ROUND(M800*N800,2)</f>
        <v>561.6</v>
      </c>
      <c r="Q800" s="21" t="n">
        <f aca="false">ROUND(P800-IF(O800="",0,O800),2)</f>
        <v>0</v>
      </c>
      <c r="R800" s="14" t="str">
        <f aca="false">IF(J800="","MISSING BILL",IF(AND(K800=N800,ABS(L800-M800)&lt;0.001,ABS(O800-P800)&lt;0.01),"RECONCILED","CALCULATION ERROR"))</f>
        <v>RECONCILED</v>
      </c>
      <c r="S800" s="14" t="s">
        <v>2935</v>
      </c>
    </row>
    <row r="801" customFormat="false" ht="15" hidden="true" customHeight="false" outlineLevel="0" collapsed="false">
      <c r="A801" s="13" t="s">
        <v>1037</v>
      </c>
      <c r="B801" s="13" t="s">
        <v>70</v>
      </c>
      <c r="C801" s="13" t="s">
        <v>4156</v>
      </c>
      <c r="D801" s="13" t="s">
        <v>1873</v>
      </c>
      <c r="E801" s="13" t="s">
        <v>4828</v>
      </c>
      <c r="F801" s="14" t="s">
        <v>4829</v>
      </c>
      <c r="G801" s="14" t="s">
        <v>3625</v>
      </c>
      <c r="H801" s="20" t="n">
        <v>60.7</v>
      </c>
      <c r="I801" s="13" t="n">
        <v>36</v>
      </c>
      <c r="J801" s="13" t="s">
        <v>4830</v>
      </c>
      <c r="K801" s="13" t="n">
        <v>61</v>
      </c>
      <c r="L801" s="21" t="n">
        <v>10.4</v>
      </c>
      <c r="M801" s="21" t="n">
        <f aca="false">IF(C801="covered",10.4,7.55)</f>
        <v>10.4</v>
      </c>
      <c r="N801" s="13" t="n">
        <f aca="false">MAX(ROUNDUP(H801,0),I801)</f>
        <v>61</v>
      </c>
      <c r="O801" s="21" t="n">
        <v>634.4</v>
      </c>
      <c r="P801" s="21" t="n">
        <f aca="false">ROUND(M801*N801,2)</f>
        <v>634.4</v>
      </c>
      <c r="Q801" s="21" t="n">
        <f aca="false">ROUND(P801-IF(O801="",0,O801),2)</f>
        <v>0</v>
      </c>
      <c r="R801" s="14" t="str">
        <f aca="false">IF(J801="","MISSING BILL",IF(AND(K801=N801,ABS(L801-M801)&lt;0.001,ABS(O801-P801)&lt;0.01),"RECONCILED","CALCULATION ERROR"))</f>
        <v>RECONCILED</v>
      </c>
      <c r="S801" s="14" t="s">
        <v>2935</v>
      </c>
    </row>
    <row r="802" customFormat="false" ht="15" hidden="true" customHeight="false" outlineLevel="0" collapsed="false">
      <c r="A802" s="13" t="s">
        <v>4831</v>
      </c>
      <c r="B802" s="13" t="s">
        <v>70</v>
      </c>
      <c r="C802" s="13" t="s">
        <v>4156</v>
      </c>
      <c r="D802" s="13" t="s">
        <v>1873</v>
      </c>
      <c r="E802" s="13" t="s">
        <v>4832</v>
      </c>
      <c r="F802" s="14" t="s">
        <v>4833</v>
      </c>
      <c r="G802" s="14" t="s">
        <v>4834</v>
      </c>
      <c r="H802" s="20" t="n">
        <v>42.5</v>
      </c>
      <c r="I802" s="13" t="n">
        <v>24</v>
      </c>
      <c r="J802" s="13" t="s">
        <v>4835</v>
      </c>
      <c r="K802" s="13" t="n">
        <v>43</v>
      </c>
      <c r="L802" s="21" t="n">
        <v>10.4</v>
      </c>
      <c r="M802" s="21" t="n">
        <f aca="false">IF(C802="covered",10.4,7.55)</f>
        <v>10.4</v>
      </c>
      <c r="N802" s="13" t="n">
        <f aca="false">MAX(ROUNDUP(H802,0),I802)</f>
        <v>43</v>
      </c>
      <c r="O802" s="21" t="n">
        <v>447.2</v>
      </c>
      <c r="P802" s="21" t="n">
        <f aca="false">ROUND(M802*N802,2)</f>
        <v>447.2</v>
      </c>
      <c r="Q802" s="21" t="n">
        <f aca="false">ROUND(P802-IF(O802="",0,O802),2)</f>
        <v>0</v>
      </c>
      <c r="R802" s="14" t="str">
        <f aca="false">IF(J802="","MISSING BILL",IF(AND(K802=N802,ABS(L802-M802)&lt;0.001,ABS(O802-P802)&lt;0.01),"RECONCILED","CALCULATION ERROR"))</f>
        <v>RECONCILED</v>
      </c>
      <c r="S802" s="14" t="s">
        <v>2935</v>
      </c>
    </row>
    <row r="803" customFormat="false" ht="15" hidden="true" customHeight="false" outlineLevel="0" collapsed="false">
      <c r="A803" s="13" t="s">
        <v>4836</v>
      </c>
      <c r="B803" s="13" t="s">
        <v>70</v>
      </c>
      <c r="C803" s="13" t="s">
        <v>4156</v>
      </c>
      <c r="D803" s="13" t="s">
        <v>1873</v>
      </c>
      <c r="E803" s="13" t="s">
        <v>4837</v>
      </c>
      <c r="F803" s="14" t="s">
        <v>4838</v>
      </c>
      <c r="G803" s="14" t="s">
        <v>2158</v>
      </c>
      <c r="H803" s="20" t="n">
        <v>48.1</v>
      </c>
      <c r="I803" s="13" t="n">
        <v>40</v>
      </c>
      <c r="J803" s="13" t="s">
        <v>4839</v>
      </c>
      <c r="K803" s="13" t="n">
        <v>49</v>
      </c>
      <c r="L803" s="21" t="n">
        <v>10.4</v>
      </c>
      <c r="M803" s="21" t="n">
        <f aca="false">IF(C803="covered",10.4,7.55)</f>
        <v>10.4</v>
      </c>
      <c r="N803" s="13" t="n">
        <f aca="false">MAX(ROUNDUP(H803,0),I803)</f>
        <v>49</v>
      </c>
      <c r="O803" s="21" t="n">
        <v>509.6</v>
      </c>
      <c r="P803" s="21" t="n">
        <f aca="false">ROUND(M803*N803,2)</f>
        <v>509.6</v>
      </c>
      <c r="Q803" s="21" t="n">
        <f aca="false">ROUND(P803-IF(O803="",0,O803),2)</f>
        <v>0</v>
      </c>
      <c r="R803" s="14" t="str">
        <f aca="false">IF(J803="","MISSING BILL",IF(AND(K803=N803,ABS(L803-M803)&lt;0.001,ABS(O803-P803)&lt;0.01),"RECONCILED","CALCULATION ERROR"))</f>
        <v>RECONCILED</v>
      </c>
      <c r="S803" s="14" t="s">
        <v>2935</v>
      </c>
    </row>
    <row r="804" customFormat="false" ht="15" hidden="true" customHeight="false" outlineLevel="0" collapsed="false">
      <c r="A804" s="13" t="s">
        <v>1221</v>
      </c>
      <c r="B804" s="13" t="s">
        <v>70</v>
      </c>
      <c r="C804" s="13" t="s">
        <v>4156</v>
      </c>
      <c r="D804" s="13" t="s">
        <v>1873</v>
      </c>
      <c r="E804" s="13" t="s">
        <v>4840</v>
      </c>
      <c r="F804" s="14" t="s">
        <v>4841</v>
      </c>
      <c r="G804" s="14" t="s">
        <v>4842</v>
      </c>
      <c r="H804" s="20" t="n">
        <v>24.3</v>
      </c>
      <c r="I804" s="13" t="n">
        <v>40</v>
      </c>
      <c r="J804" s="13" t="s">
        <v>4843</v>
      </c>
      <c r="K804" s="13" t="n">
        <v>40</v>
      </c>
      <c r="L804" s="21" t="n">
        <v>10.4</v>
      </c>
      <c r="M804" s="21" t="n">
        <f aca="false">IF(C804="covered",10.4,7.55)</f>
        <v>10.4</v>
      </c>
      <c r="N804" s="13" t="n">
        <f aca="false">MAX(ROUNDUP(H804,0),I804)</f>
        <v>40</v>
      </c>
      <c r="O804" s="21" t="n">
        <v>416</v>
      </c>
      <c r="P804" s="21" t="n">
        <f aca="false">ROUND(M804*N804,2)</f>
        <v>416</v>
      </c>
      <c r="Q804" s="21" t="n">
        <f aca="false">ROUND(P804-IF(O804="",0,O804),2)</f>
        <v>0</v>
      </c>
      <c r="R804" s="14" t="str">
        <f aca="false">IF(J804="","MISSING BILL",IF(AND(K804=N804,ABS(L804-M804)&lt;0.001,ABS(O804-P804)&lt;0.01),"RECONCILED","CALCULATION ERROR"))</f>
        <v>RECONCILED</v>
      </c>
      <c r="S804" s="14" t="s">
        <v>2935</v>
      </c>
    </row>
    <row r="805" customFormat="false" ht="15" hidden="true" customHeight="false" outlineLevel="0" collapsed="false">
      <c r="A805" s="13" t="s">
        <v>4844</v>
      </c>
      <c r="B805" s="13" t="s">
        <v>70</v>
      </c>
      <c r="C805" s="13" t="s">
        <v>4156</v>
      </c>
      <c r="D805" s="13" t="s">
        <v>1873</v>
      </c>
      <c r="E805" s="13" t="s">
        <v>4845</v>
      </c>
      <c r="F805" s="14" t="s">
        <v>4846</v>
      </c>
      <c r="G805" s="14" t="s">
        <v>4090</v>
      </c>
      <c r="H805" s="20" t="n">
        <v>57.6</v>
      </c>
      <c r="I805" s="13" t="n">
        <v>32</v>
      </c>
      <c r="J805" s="13" t="s">
        <v>4847</v>
      </c>
      <c r="K805" s="13" t="n">
        <v>58</v>
      </c>
      <c r="L805" s="21" t="n">
        <v>10.4</v>
      </c>
      <c r="M805" s="21" t="n">
        <f aca="false">IF(C805="covered",10.4,7.55)</f>
        <v>10.4</v>
      </c>
      <c r="N805" s="13" t="n">
        <f aca="false">MAX(ROUNDUP(H805,0),I805)</f>
        <v>58</v>
      </c>
      <c r="O805" s="21" t="n">
        <v>603.2</v>
      </c>
      <c r="P805" s="21" t="n">
        <f aca="false">ROUND(M805*N805,2)</f>
        <v>603.2</v>
      </c>
      <c r="Q805" s="21" t="n">
        <f aca="false">ROUND(P805-IF(O805="",0,O805),2)</f>
        <v>0</v>
      </c>
      <c r="R805" s="14" t="str">
        <f aca="false">IF(J805="","MISSING BILL",IF(AND(K805=N805,ABS(L805-M805)&lt;0.001,ABS(O805-P805)&lt;0.01),"RECONCILED","CALCULATION ERROR"))</f>
        <v>RECONCILED</v>
      </c>
      <c r="S805" s="14" t="s">
        <v>2935</v>
      </c>
    </row>
    <row r="806" customFormat="false" ht="15" hidden="true" customHeight="false" outlineLevel="0" collapsed="false">
      <c r="A806" s="13" t="s">
        <v>4848</v>
      </c>
      <c r="B806" s="13" t="s">
        <v>70</v>
      </c>
      <c r="C806" s="13" t="s">
        <v>4156</v>
      </c>
      <c r="D806" s="13" t="s">
        <v>1873</v>
      </c>
      <c r="E806" s="13" t="s">
        <v>314</v>
      </c>
      <c r="F806" s="14" t="s">
        <v>315</v>
      </c>
      <c r="G806" s="14" t="s">
        <v>3203</v>
      </c>
      <c r="H806" s="20" t="n">
        <v>20.2</v>
      </c>
      <c r="I806" s="13" t="n">
        <v>36</v>
      </c>
      <c r="J806" s="13" t="s">
        <v>4849</v>
      </c>
      <c r="K806" s="13" t="n">
        <v>36</v>
      </c>
      <c r="L806" s="21" t="n">
        <v>10.4</v>
      </c>
      <c r="M806" s="21" t="n">
        <f aca="false">IF(C806="covered",10.4,7.55)</f>
        <v>10.4</v>
      </c>
      <c r="N806" s="13" t="n">
        <f aca="false">MAX(ROUNDUP(H806,0),I806)</f>
        <v>36</v>
      </c>
      <c r="O806" s="21" t="n">
        <v>374.4</v>
      </c>
      <c r="P806" s="21" t="n">
        <f aca="false">ROUND(M806*N806,2)</f>
        <v>374.4</v>
      </c>
      <c r="Q806" s="21" t="n">
        <f aca="false">ROUND(P806-IF(O806="",0,O806),2)</f>
        <v>0</v>
      </c>
      <c r="R806" s="14" t="str">
        <f aca="false">IF(J806="","MISSING BILL",IF(AND(K806=N806,ABS(L806-M806)&lt;0.001,ABS(O806-P806)&lt;0.01),"RECONCILED","CALCULATION ERROR"))</f>
        <v>RECONCILED</v>
      </c>
      <c r="S806" s="14" t="s">
        <v>2935</v>
      </c>
    </row>
    <row r="807" customFormat="false" ht="15" hidden="true" customHeight="false" outlineLevel="0" collapsed="false">
      <c r="A807" s="13" t="s">
        <v>4850</v>
      </c>
      <c r="B807" s="13" t="s">
        <v>70</v>
      </c>
      <c r="C807" s="13" t="s">
        <v>4156</v>
      </c>
      <c r="D807" s="13" t="s">
        <v>1873</v>
      </c>
      <c r="E807" s="13" t="s">
        <v>4851</v>
      </c>
      <c r="F807" s="14" t="s">
        <v>4852</v>
      </c>
      <c r="G807" s="14" t="s">
        <v>4853</v>
      </c>
      <c r="H807" s="20" t="n">
        <v>61.6</v>
      </c>
      <c r="I807" s="13" t="n">
        <v>32</v>
      </c>
      <c r="J807" s="13" t="s">
        <v>4854</v>
      </c>
      <c r="K807" s="13" t="n">
        <v>62</v>
      </c>
      <c r="L807" s="21" t="n">
        <v>10.4</v>
      </c>
      <c r="M807" s="21" t="n">
        <f aca="false">IF(C807="covered",10.4,7.55)</f>
        <v>10.4</v>
      </c>
      <c r="N807" s="13" t="n">
        <f aca="false">MAX(ROUNDUP(H807,0),I807)</f>
        <v>62</v>
      </c>
      <c r="O807" s="21" t="n">
        <v>644.8</v>
      </c>
      <c r="P807" s="21" t="n">
        <f aca="false">ROUND(M807*N807,2)</f>
        <v>644.8</v>
      </c>
      <c r="Q807" s="21" t="n">
        <f aca="false">ROUND(P807-IF(O807="",0,O807),2)</f>
        <v>0</v>
      </c>
      <c r="R807" s="14" t="str">
        <f aca="false">IF(J807="","MISSING BILL",IF(AND(K807=N807,ABS(L807-M807)&lt;0.001,ABS(O807-P807)&lt;0.01),"RECONCILED","CALCULATION ERROR"))</f>
        <v>RECONCILED</v>
      </c>
      <c r="S807" s="14" t="s">
        <v>2935</v>
      </c>
    </row>
    <row r="808" customFormat="false" ht="15" hidden="true" customHeight="false" outlineLevel="0" collapsed="false">
      <c r="A808" s="13" t="s">
        <v>4855</v>
      </c>
      <c r="B808" s="13" t="s">
        <v>70</v>
      </c>
      <c r="C808" s="13" t="s">
        <v>4156</v>
      </c>
      <c r="D808" s="13" t="s">
        <v>1873</v>
      </c>
      <c r="E808" s="13" t="s">
        <v>4856</v>
      </c>
      <c r="F808" s="14" t="s">
        <v>4857</v>
      </c>
      <c r="G808" s="14" t="s">
        <v>4328</v>
      </c>
      <c r="H808" s="20" t="n">
        <v>53.6</v>
      </c>
      <c r="I808" s="13" t="n">
        <v>36</v>
      </c>
      <c r="J808" s="13" t="s">
        <v>4858</v>
      </c>
      <c r="K808" s="13" t="n">
        <v>54</v>
      </c>
      <c r="L808" s="21" t="n">
        <v>10.4</v>
      </c>
      <c r="M808" s="21" t="n">
        <f aca="false">IF(C808="covered",10.4,7.55)</f>
        <v>10.4</v>
      </c>
      <c r="N808" s="13" t="n">
        <f aca="false">MAX(ROUNDUP(H808,0),I808)</f>
        <v>54</v>
      </c>
      <c r="O808" s="21" t="n">
        <v>561.6</v>
      </c>
      <c r="P808" s="21" t="n">
        <f aca="false">ROUND(M808*N808,2)</f>
        <v>561.6</v>
      </c>
      <c r="Q808" s="21" t="n">
        <f aca="false">ROUND(P808-IF(O808="",0,O808),2)</f>
        <v>0</v>
      </c>
      <c r="R808" s="14" t="str">
        <f aca="false">IF(J808="","MISSING BILL",IF(AND(K808=N808,ABS(L808-M808)&lt;0.001,ABS(O808-P808)&lt;0.01),"RECONCILED","CALCULATION ERROR"))</f>
        <v>RECONCILED</v>
      </c>
      <c r="S808" s="14" t="s">
        <v>2935</v>
      </c>
    </row>
    <row r="809" customFormat="false" ht="15" hidden="true" customHeight="false" outlineLevel="0" collapsed="false">
      <c r="A809" s="13" t="s">
        <v>81</v>
      </c>
      <c r="B809" s="13" t="s">
        <v>70</v>
      </c>
      <c r="C809" s="13" t="s">
        <v>4156</v>
      </c>
      <c r="D809" s="13" t="s">
        <v>1873</v>
      </c>
      <c r="E809" s="13" t="s">
        <v>4859</v>
      </c>
      <c r="F809" s="14" t="s">
        <v>4860</v>
      </c>
      <c r="G809" s="14" t="s">
        <v>4861</v>
      </c>
      <c r="H809" s="20" t="n">
        <v>57.3</v>
      </c>
      <c r="I809" s="13" t="n">
        <v>28</v>
      </c>
      <c r="J809" s="13" t="s">
        <v>4862</v>
      </c>
      <c r="K809" s="13" t="n">
        <v>58</v>
      </c>
      <c r="L809" s="21" t="n">
        <v>10.4</v>
      </c>
      <c r="M809" s="21" t="n">
        <f aca="false">IF(C809="covered",10.4,7.55)</f>
        <v>10.4</v>
      </c>
      <c r="N809" s="13" t="n">
        <f aca="false">MAX(ROUNDUP(H809,0),I809)</f>
        <v>58</v>
      </c>
      <c r="O809" s="21" t="n">
        <v>603.2</v>
      </c>
      <c r="P809" s="21" t="n">
        <f aca="false">ROUND(M809*N809,2)</f>
        <v>603.2</v>
      </c>
      <c r="Q809" s="21" t="n">
        <f aca="false">ROUND(P809-IF(O809="",0,O809),2)</f>
        <v>0</v>
      </c>
      <c r="R809" s="14" t="str">
        <f aca="false">IF(J809="","MISSING BILL",IF(AND(K809=N809,ABS(L809-M809)&lt;0.001,ABS(O809-P809)&lt;0.01),"RECONCILED","CALCULATION ERROR"))</f>
        <v>RECONCILED</v>
      </c>
      <c r="S809" s="14" t="s">
        <v>2935</v>
      </c>
    </row>
    <row r="810" customFormat="false" ht="15" hidden="true" customHeight="false" outlineLevel="0" collapsed="false">
      <c r="A810" s="13" t="s">
        <v>4863</v>
      </c>
      <c r="B810" s="13" t="s">
        <v>70</v>
      </c>
      <c r="C810" s="13" t="s">
        <v>4156</v>
      </c>
      <c r="D810" s="13" t="s">
        <v>1873</v>
      </c>
      <c r="E810" s="13" t="s">
        <v>4864</v>
      </c>
      <c r="F810" s="14" t="s">
        <v>4865</v>
      </c>
      <c r="G810" s="14" t="s">
        <v>3759</v>
      </c>
      <c r="H810" s="20" t="n">
        <v>45.7</v>
      </c>
      <c r="I810" s="13" t="n">
        <v>24</v>
      </c>
      <c r="J810" s="13" t="s">
        <v>4866</v>
      </c>
      <c r="K810" s="13" t="n">
        <v>46</v>
      </c>
      <c r="L810" s="21" t="n">
        <v>10.4</v>
      </c>
      <c r="M810" s="21" t="n">
        <f aca="false">IF(C810="covered",10.4,7.55)</f>
        <v>10.4</v>
      </c>
      <c r="N810" s="13" t="n">
        <f aca="false">MAX(ROUNDUP(H810,0),I810)</f>
        <v>46</v>
      </c>
      <c r="O810" s="21" t="n">
        <v>478.4</v>
      </c>
      <c r="P810" s="21" t="n">
        <f aca="false">ROUND(M810*N810,2)</f>
        <v>478.4</v>
      </c>
      <c r="Q810" s="21" t="n">
        <f aca="false">ROUND(P810-IF(O810="",0,O810),2)</f>
        <v>0</v>
      </c>
      <c r="R810" s="14" t="str">
        <f aca="false">IF(J810="","MISSING BILL",IF(AND(K810=N810,ABS(L810-M810)&lt;0.001,ABS(O810-P810)&lt;0.01),"RECONCILED","CALCULATION ERROR"))</f>
        <v>RECONCILED</v>
      </c>
      <c r="S810" s="14" t="s">
        <v>2935</v>
      </c>
    </row>
    <row r="811" customFormat="false" ht="15" hidden="true" customHeight="false" outlineLevel="0" collapsed="false">
      <c r="A811" s="13" t="s">
        <v>1459</v>
      </c>
      <c r="B811" s="13" t="s">
        <v>70</v>
      </c>
      <c r="C811" s="13" t="s">
        <v>4156</v>
      </c>
      <c r="D811" s="13" t="s">
        <v>1873</v>
      </c>
      <c r="E811" s="13" t="s">
        <v>4867</v>
      </c>
      <c r="F811" s="14" t="s">
        <v>4868</v>
      </c>
      <c r="G811" s="14" t="s">
        <v>4180</v>
      </c>
      <c r="H811" s="20" t="n">
        <v>49.9</v>
      </c>
      <c r="I811" s="13" t="n">
        <v>28</v>
      </c>
      <c r="J811" s="13" t="s">
        <v>4869</v>
      </c>
      <c r="K811" s="13" t="n">
        <v>50</v>
      </c>
      <c r="L811" s="21" t="n">
        <v>10.4</v>
      </c>
      <c r="M811" s="21" t="n">
        <f aca="false">IF(C811="covered",10.4,7.55)</f>
        <v>10.4</v>
      </c>
      <c r="N811" s="13" t="n">
        <f aca="false">MAX(ROUNDUP(H811,0),I811)</f>
        <v>50</v>
      </c>
      <c r="O811" s="21" t="n">
        <v>520</v>
      </c>
      <c r="P811" s="21" t="n">
        <f aca="false">ROUND(M811*N811,2)</f>
        <v>520</v>
      </c>
      <c r="Q811" s="21" t="n">
        <f aca="false">ROUND(P811-IF(O811="",0,O811),2)</f>
        <v>0</v>
      </c>
      <c r="R811" s="14" t="str">
        <f aca="false">IF(J811="","MISSING BILL",IF(AND(K811=N811,ABS(L811-M811)&lt;0.001,ABS(O811-P811)&lt;0.01),"RECONCILED","CALCULATION ERROR"))</f>
        <v>RECONCILED</v>
      </c>
      <c r="S811" s="14" t="s">
        <v>2935</v>
      </c>
    </row>
    <row r="812" customFormat="false" ht="15" hidden="true" customHeight="false" outlineLevel="0" collapsed="false">
      <c r="A812" s="13" t="s">
        <v>4870</v>
      </c>
      <c r="B812" s="13" t="s">
        <v>70</v>
      </c>
      <c r="C812" s="13" t="s">
        <v>4156</v>
      </c>
      <c r="D812" s="13" t="s">
        <v>1873</v>
      </c>
      <c r="E812" s="13" t="s">
        <v>1118</v>
      </c>
      <c r="F812" s="14" t="s">
        <v>1119</v>
      </c>
      <c r="G812" s="14" t="s">
        <v>2476</v>
      </c>
      <c r="H812" s="20" t="n">
        <v>46.7</v>
      </c>
      <c r="I812" s="13" t="n">
        <v>24</v>
      </c>
      <c r="J812" s="13" t="s">
        <v>4871</v>
      </c>
      <c r="K812" s="13" t="n">
        <v>47</v>
      </c>
      <c r="L812" s="21" t="n">
        <v>10.4</v>
      </c>
      <c r="M812" s="21" t="n">
        <f aca="false">IF(C812="covered",10.4,7.55)</f>
        <v>10.4</v>
      </c>
      <c r="N812" s="13" t="n">
        <f aca="false">MAX(ROUNDUP(H812,0),I812)</f>
        <v>47</v>
      </c>
      <c r="O812" s="21" t="n">
        <v>488.8</v>
      </c>
      <c r="P812" s="21" t="n">
        <f aca="false">ROUND(M812*N812,2)</f>
        <v>488.8</v>
      </c>
      <c r="Q812" s="21" t="n">
        <f aca="false">ROUND(P812-IF(O812="",0,O812),2)</f>
        <v>0</v>
      </c>
      <c r="R812" s="14" t="str">
        <f aca="false">IF(J812="","MISSING BILL",IF(AND(K812=N812,ABS(L812-M812)&lt;0.001,ABS(O812-P812)&lt;0.01),"RECONCILED","CALCULATION ERROR"))</f>
        <v>RECONCILED</v>
      </c>
      <c r="S812" s="14" t="s">
        <v>2935</v>
      </c>
    </row>
    <row r="813" customFormat="false" ht="15" hidden="true" customHeight="false" outlineLevel="0" collapsed="false">
      <c r="A813" s="13" t="s">
        <v>4872</v>
      </c>
      <c r="B813" s="13" t="s">
        <v>70</v>
      </c>
      <c r="C813" s="13" t="s">
        <v>4156</v>
      </c>
      <c r="D813" s="13" t="s">
        <v>1873</v>
      </c>
      <c r="E813" s="13" t="s">
        <v>4873</v>
      </c>
      <c r="F813" s="14" t="s">
        <v>4874</v>
      </c>
      <c r="G813" s="14" t="s">
        <v>3645</v>
      </c>
      <c r="H813" s="20" t="n">
        <v>38</v>
      </c>
      <c r="I813" s="13" t="n">
        <v>28</v>
      </c>
      <c r="J813" s="13" t="s">
        <v>4875</v>
      </c>
      <c r="K813" s="13" t="n">
        <v>38</v>
      </c>
      <c r="L813" s="21" t="n">
        <v>10.4</v>
      </c>
      <c r="M813" s="21" t="n">
        <f aca="false">IF(C813="covered",10.4,7.55)</f>
        <v>10.4</v>
      </c>
      <c r="N813" s="13" t="n">
        <f aca="false">MAX(ROUNDUP(H813,0),I813)</f>
        <v>38</v>
      </c>
      <c r="O813" s="21" t="n">
        <v>395.2</v>
      </c>
      <c r="P813" s="21" t="n">
        <f aca="false">ROUND(M813*N813,2)</f>
        <v>395.2</v>
      </c>
      <c r="Q813" s="21" t="n">
        <f aca="false">ROUND(P813-IF(O813="",0,O813),2)</f>
        <v>0</v>
      </c>
      <c r="R813" s="14" t="str">
        <f aca="false">IF(J813="","MISSING BILL",IF(AND(K813=N813,ABS(L813-M813)&lt;0.001,ABS(O813-P813)&lt;0.01),"RECONCILED","CALCULATION ERROR"))</f>
        <v>RECONCILED</v>
      </c>
      <c r="S813" s="14" t="s">
        <v>2935</v>
      </c>
    </row>
    <row r="814" customFormat="false" ht="15" hidden="true" customHeight="false" outlineLevel="0" collapsed="false">
      <c r="A814" s="13" t="s">
        <v>4876</v>
      </c>
      <c r="B814" s="13" t="s">
        <v>70</v>
      </c>
      <c r="C814" s="13" t="s">
        <v>4156</v>
      </c>
      <c r="D814" s="13" t="s">
        <v>1873</v>
      </c>
      <c r="E814" s="13" t="s">
        <v>885</v>
      </c>
      <c r="F814" s="14" t="s">
        <v>886</v>
      </c>
      <c r="G814" s="14" t="s">
        <v>4877</v>
      </c>
      <c r="H814" s="20" t="n">
        <v>43.3</v>
      </c>
      <c r="I814" s="13" t="n">
        <v>24</v>
      </c>
      <c r="J814" s="13" t="s">
        <v>4878</v>
      </c>
      <c r="K814" s="13" t="n">
        <v>44</v>
      </c>
      <c r="L814" s="21" t="n">
        <v>10.4</v>
      </c>
      <c r="M814" s="21" t="n">
        <f aca="false">IF(C814="covered",10.4,7.55)</f>
        <v>10.4</v>
      </c>
      <c r="N814" s="13" t="n">
        <f aca="false">MAX(ROUNDUP(H814,0),I814)</f>
        <v>44</v>
      </c>
      <c r="O814" s="21" t="n">
        <v>457.6</v>
      </c>
      <c r="P814" s="21" t="n">
        <f aca="false">ROUND(M814*N814,2)</f>
        <v>457.6</v>
      </c>
      <c r="Q814" s="21" t="n">
        <f aca="false">ROUND(P814-IF(O814="",0,O814),2)</f>
        <v>0</v>
      </c>
      <c r="R814" s="14" t="str">
        <f aca="false">IF(J814="","MISSING BILL",IF(AND(K814=N814,ABS(L814-M814)&lt;0.001,ABS(O814-P814)&lt;0.01),"RECONCILED","CALCULATION ERROR"))</f>
        <v>RECONCILED</v>
      </c>
      <c r="S814" s="14" t="s">
        <v>2935</v>
      </c>
    </row>
    <row r="815" customFormat="false" ht="15" hidden="true" customHeight="false" outlineLevel="0" collapsed="false">
      <c r="A815" s="13" t="s">
        <v>4879</v>
      </c>
      <c r="B815" s="13" t="s">
        <v>70</v>
      </c>
      <c r="C815" s="13" t="s">
        <v>4156</v>
      </c>
      <c r="D815" s="13" t="s">
        <v>1873</v>
      </c>
      <c r="E815" s="13" t="s">
        <v>4880</v>
      </c>
      <c r="F815" s="14" t="s">
        <v>4881</v>
      </c>
      <c r="G815" s="14" t="s">
        <v>4458</v>
      </c>
      <c r="H815" s="20" t="n">
        <v>32.6</v>
      </c>
      <c r="I815" s="13" t="n">
        <v>32</v>
      </c>
      <c r="J815" s="13" t="s">
        <v>4882</v>
      </c>
      <c r="K815" s="13" t="n">
        <v>33</v>
      </c>
      <c r="L815" s="21" t="n">
        <v>10.4</v>
      </c>
      <c r="M815" s="21" t="n">
        <f aca="false">IF(C815="covered",10.4,7.55)</f>
        <v>10.4</v>
      </c>
      <c r="N815" s="13" t="n">
        <f aca="false">MAX(ROUNDUP(H815,0),I815)</f>
        <v>33</v>
      </c>
      <c r="O815" s="21" t="n">
        <v>343.2</v>
      </c>
      <c r="P815" s="21" t="n">
        <f aca="false">ROUND(M815*N815,2)</f>
        <v>343.2</v>
      </c>
      <c r="Q815" s="21" t="n">
        <f aca="false">ROUND(P815-IF(O815="",0,O815),2)</f>
        <v>0</v>
      </c>
      <c r="R815" s="14" t="str">
        <f aca="false">IF(J815="","MISSING BILL",IF(AND(K815=N815,ABS(L815-M815)&lt;0.001,ABS(O815-P815)&lt;0.01),"RECONCILED","CALCULATION ERROR"))</f>
        <v>RECONCILED</v>
      </c>
      <c r="S815" s="14" t="s">
        <v>2935</v>
      </c>
    </row>
    <row r="816" customFormat="false" ht="15" hidden="true" customHeight="false" outlineLevel="0" collapsed="false">
      <c r="A816" s="13" t="s">
        <v>4883</v>
      </c>
      <c r="B816" s="13" t="s">
        <v>70</v>
      </c>
      <c r="C816" s="13" t="s">
        <v>4156</v>
      </c>
      <c r="D816" s="13" t="s">
        <v>1873</v>
      </c>
      <c r="E816" s="13" t="s">
        <v>4884</v>
      </c>
      <c r="F816" s="14" t="s">
        <v>4885</v>
      </c>
      <c r="G816" s="14" t="s">
        <v>3014</v>
      </c>
      <c r="H816" s="20" t="n">
        <v>43.1</v>
      </c>
      <c r="I816" s="13" t="n">
        <v>32</v>
      </c>
      <c r="J816" s="13" t="s">
        <v>4886</v>
      </c>
      <c r="K816" s="13" t="n">
        <v>44</v>
      </c>
      <c r="L816" s="21" t="n">
        <v>10.4</v>
      </c>
      <c r="M816" s="21" t="n">
        <f aca="false">IF(C816="covered",10.4,7.55)</f>
        <v>10.4</v>
      </c>
      <c r="N816" s="13" t="n">
        <f aca="false">MAX(ROUNDUP(H816,0),I816)</f>
        <v>44</v>
      </c>
      <c r="O816" s="21" t="n">
        <v>457.6</v>
      </c>
      <c r="P816" s="21" t="n">
        <f aca="false">ROUND(M816*N816,2)</f>
        <v>457.6</v>
      </c>
      <c r="Q816" s="21" t="n">
        <f aca="false">ROUND(P816-IF(O816="",0,O816),2)</f>
        <v>0</v>
      </c>
      <c r="R816" s="14" t="str">
        <f aca="false">IF(J816="","MISSING BILL",IF(AND(K816=N816,ABS(L816-M816)&lt;0.001,ABS(O816-P816)&lt;0.01),"RECONCILED","CALCULATION ERROR"))</f>
        <v>RECONCILED</v>
      </c>
      <c r="S816" s="14" t="s">
        <v>2935</v>
      </c>
    </row>
    <row r="817" customFormat="false" ht="15" hidden="true" customHeight="false" outlineLevel="0" collapsed="false">
      <c r="A817" s="13" t="s">
        <v>4887</v>
      </c>
      <c r="B817" s="13" t="s">
        <v>70</v>
      </c>
      <c r="C817" s="13" t="s">
        <v>4156</v>
      </c>
      <c r="D817" s="13" t="s">
        <v>1873</v>
      </c>
      <c r="E817" s="13" t="s">
        <v>4888</v>
      </c>
      <c r="F817" s="14" t="s">
        <v>4889</v>
      </c>
      <c r="G817" s="14" t="s">
        <v>3152</v>
      </c>
      <c r="H817" s="20" t="n">
        <v>35.1</v>
      </c>
      <c r="I817" s="13" t="n">
        <v>40</v>
      </c>
      <c r="J817" s="13" t="s">
        <v>4890</v>
      </c>
      <c r="K817" s="13" t="n">
        <v>40</v>
      </c>
      <c r="L817" s="21" t="n">
        <v>10.4</v>
      </c>
      <c r="M817" s="21" t="n">
        <f aca="false">IF(C817="covered",10.4,7.55)</f>
        <v>10.4</v>
      </c>
      <c r="N817" s="13" t="n">
        <f aca="false">MAX(ROUNDUP(H817,0),I817)</f>
        <v>40</v>
      </c>
      <c r="O817" s="21" t="n">
        <v>416</v>
      </c>
      <c r="P817" s="21" t="n">
        <f aca="false">ROUND(M817*N817,2)</f>
        <v>416</v>
      </c>
      <c r="Q817" s="21" t="n">
        <f aca="false">ROUND(P817-IF(O817="",0,O817),2)</f>
        <v>0</v>
      </c>
      <c r="R817" s="14" t="str">
        <f aca="false">IF(J817="","MISSING BILL",IF(AND(K817=N817,ABS(L817-M817)&lt;0.001,ABS(O817-P817)&lt;0.01),"RECONCILED","CALCULATION ERROR"))</f>
        <v>RECONCILED</v>
      </c>
      <c r="S817" s="14" t="s">
        <v>2935</v>
      </c>
    </row>
    <row r="818" customFormat="false" ht="15" hidden="true" customHeight="false" outlineLevel="0" collapsed="false">
      <c r="A818" s="13" t="s">
        <v>1538</v>
      </c>
      <c r="B818" s="13" t="s">
        <v>70</v>
      </c>
      <c r="C818" s="13" t="s">
        <v>4156</v>
      </c>
      <c r="D818" s="13" t="s">
        <v>1873</v>
      </c>
      <c r="E818" s="13" t="s">
        <v>4891</v>
      </c>
      <c r="F818" s="14" t="s">
        <v>4892</v>
      </c>
      <c r="G818" s="14" t="s">
        <v>4893</v>
      </c>
      <c r="H818" s="20" t="n">
        <v>35.1</v>
      </c>
      <c r="I818" s="13" t="n">
        <v>32</v>
      </c>
      <c r="J818" s="13" t="s">
        <v>4894</v>
      </c>
      <c r="K818" s="13" t="n">
        <v>36</v>
      </c>
      <c r="L818" s="21" t="n">
        <v>10.4</v>
      </c>
      <c r="M818" s="21" t="n">
        <f aca="false">IF(C818="covered",10.4,7.55)</f>
        <v>10.4</v>
      </c>
      <c r="N818" s="13" t="n">
        <f aca="false">MAX(ROUNDUP(H818,0),I818)</f>
        <v>36</v>
      </c>
      <c r="O818" s="21" t="n">
        <v>374.4</v>
      </c>
      <c r="P818" s="21" t="n">
        <f aca="false">ROUND(M818*N818,2)</f>
        <v>374.4</v>
      </c>
      <c r="Q818" s="21" t="n">
        <f aca="false">ROUND(P818-IF(O818="",0,O818),2)</f>
        <v>0</v>
      </c>
      <c r="R818" s="14" t="str">
        <f aca="false">IF(J818="","MISSING BILL",IF(AND(K818=N818,ABS(L818-M818)&lt;0.001,ABS(O818-P818)&lt;0.01),"RECONCILED","CALCULATION ERROR"))</f>
        <v>RECONCILED</v>
      </c>
      <c r="S818" s="14" t="s">
        <v>2935</v>
      </c>
    </row>
    <row r="819" customFormat="false" ht="15" hidden="true" customHeight="false" outlineLevel="0" collapsed="false">
      <c r="A819" s="13" t="s">
        <v>4895</v>
      </c>
      <c r="B819" s="13" t="s">
        <v>70</v>
      </c>
      <c r="C819" s="13" t="s">
        <v>4156</v>
      </c>
      <c r="D819" s="13" t="s">
        <v>1873</v>
      </c>
      <c r="E819" s="13" t="s">
        <v>4896</v>
      </c>
      <c r="F819" s="14" t="s">
        <v>4897</v>
      </c>
      <c r="G819" s="14" t="s">
        <v>4898</v>
      </c>
      <c r="H819" s="20" t="n">
        <v>34.5</v>
      </c>
      <c r="I819" s="13" t="n">
        <v>36</v>
      </c>
      <c r="J819" s="13" t="s">
        <v>4899</v>
      </c>
      <c r="K819" s="13" t="n">
        <v>36</v>
      </c>
      <c r="L819" s="21" t="n">
        <v>10.4</v>
      </c>
      <c r="M819" s="21" t="n">
        <f aca="false">IF(C819="covered",10.4,7.55)</f>
        <v>10.4</v>
      </c>
      <c r="N819" s="13" t="n">
        <f aca="false">MAX(ROUNDUP(H819,0),I819)</f>
        <v>36</v>
      </c>
      <c r="O819" s="21" t="n">
        <v>374.4</v>
      </c>
      <c r="P819" s="21" t="n">
        <f aca="false">ROUND(M819*N819,2)</f>
        <v>374.4</v>
      </c>
      <c r="Q819" s="21" t="n">
        <f aca="false">ROUND(P819-IF(O819="",0,O819),2)</f>
        <v>0</v>
      </c>
      <c r="R819" s="14" t="str">
        <f aca="false">IF(J819="","MISSING BILL",IF(AND(K819=N819,ABS(L819-M819)&lt;0.001,ABS(O819-P819)&lt;0.01),"RECONCILED","CALCULATION ERROR"))</f>
        <v>RECONCILED</v>
      </c>
      <c r="S819" s="14" t="s">
        <v>2935</v>
      </c>
    </row>
    <row r="820" customFormat="false" ht="15" hidden="true" customHeight="false" outlineLevel="0" collapsed="false">
      <c r="A820" s="13" t="s">
        <v>4900</v>
      </c>
      <c r="B820" s="13" t="s">
        <v>70</v>
      </c>
      <c r="C820" s="13" t="s">
        <v>4156</v>
      </c>
      <c r="D820" s="13" t="s">
        <v>1873</v>
      </c>
      <c r="E820" s="13" t="s">
        <v>4901</v>
      </c>
      <c r="F820" s="14" t="s">
        <v>4902</v>
      </c>
      <c r="G820" s="14" t="s">
        <v>4903</v>
      </c>
      <c r="H820" s="20" t="n">
        <v>58.2</v>
      </c>
      <c r="I820" s="13" t="n">
        <v>36</v>
      </c>
      <c r="J820" s="13" t="s">
        <v>4904</v>
      </c>
      <c r="K820" s="13" t="n">
        <v>59</v>
      </c>
      <c r="L820" s="21" t="n">
        <v>10.4</v>
      </c>
      <c r="M820" s="21" t="n">
        <f aca="false">IF(C820="covered",10.4,7.55)</f>
        <v>10.4</v>
      </c>
      <c r="N820" s="13" t="n">
        <f aca="false">MAX(ROUNDUP(H820,0),I820)</f>
        <v>59</v>
      </c>
      <c r="O820" s="21" t="n">
        <v>613.6</v>
      </c>
      <c r="P820" s="21" t="n">
        <f aca="false">ROUND(M820*N820,2)</f>
        <v>613.6</v>
      </c>
      <c r="Q820" s="21" t="n">
        <f aca="false">ROUND(P820-IF(O820="",0,O820),2)</f>
        <v>0</v>
      </c>
      <c r="R820" s="14" t="str">
        <f aca="false">IF(J820="","MISSING BILL",IF(AND(K820=N820,ABS(L820-M820)&lt;0.001,ABS(O820-P820)&lt;0.01),"RECONCILED","CALCULATION ERROR"))</f>
        <v>RECONCILED</v>
      </c>
      <c r="S820" s="14" t="s">
        <v>2935</v>
      </c>
    </row>
    <row r="821" customFormat="false" ht="15" hidden="true" customHeight="false" outlineLevel="0" collapsed="false">
      <c r="A821" s="13" t="s">
        <v>4905</v>
      </c>
      <c r="B821" s="13" t="s">
        <v>70</v>
      </c>
      <c r="C821" s="13" t="s">
        <v>4156</v>
      </c>
      <c r="D821" s="13" t="s">
        <v>1873</v>
      </c>
      <c r="E821" s="13" t="s">
        <v>4906</v>
      </c>
      <c r="F821" s="14" t="s">
        <v>4907</v>
      </c>
      <c r="G821" s="14" t="s">
        <v>2003</v>
      </c>
      <c r="H821" s="20" t="n">
        <v>24.5</v>
      </c>
      <c r="I821" s="13" t="n">
        <v>32</v>
      </c>
      <c r="J821" s="13" t="s">
        <v>4908</v>
      </c>
      <c r="K821" s="13" t="n">
        <v>32</v>
      </c>
      <c r="L821" s="21" t="n">
        <v>10.4</v>
      </c>
      <c r="M821" s="21" t="n">
        <f aca="false">IF(C821="covered",10.4,7.55)</f>
        <v>10.4</v>
      </c>
      <c r="N821" s="13" t="n">
        <f aca="false">MAX(ROUNDUP(H821,0),I821)</f>
        <v>32</v>
      </c>
      <c r="O821" s="21" t="n">
        <v>332.8</v>
      </c>
      <c r="P821" s="21" t="n">
        <f aca="false">ROUND(M821*N821,2)</f>
        <v>332.8</v>
      </c>
      <c r="Q821" s="21" t="n">
        <f aca="false">ROUND(P821-IF(O821="",0,O821),2)</f>
        <v>0</v>
      </c>
      <c r="R821" s="14" t="str">
        <f aca="false">IF(J821="","MISSING BILL",IF(AND(K821=N821,ABS(L821-M821)&lt;0.001,ABS(O821-P821)&lt;0.01),"RECONCILED","CALCULATION ERROR"))</f>
        <v>RECONCILED</v>
      </c>
      <c r="S821" s="14" t="s">
        <v>2935</v>
      </c>
    </row>
    <row r="822" customFormat="false" ht="15" hidden="true" customHeight="false" outlineLevel="0" collapsed="false">
      <c r="A822" s="13" t="s">
        <v>4909</v>
      </c>
      <c r="B822" s="13" t="s">
        <v>70</v>
      </c>
      <c r="C822" s="13" t="s">
        <v>4156</v>
      </c>
      <c r="D822" s="13" t="s">
        <v>1873</v>
      </c>
      <c r="E822" s="13" t="s">
        <v>4910</v>
      </c>
      <c r="F822" s="14" t="s">
        <v>4911</v>
      </c>
      <c r="G822" s="14" t="s">
        <v>2115</v>
      </c>
      <c r="H822" s="20" t="n">
        <v>38.3</v>
      </c>
      <c r="I822" s="13" t="n">
        <v>28</v>
      </c>
      <c r="J822" s="13" t="s">
        <v>4912</v>
      </c>
      <c r="K822" s="13" t="n">
        <v>39</v>
      </c>
      <c r="L822" s="21" t="n">
        <v>10.4</v>
      </c>
      <c r="M822" s="21" t="n">
        <f aca="false">IF(C822="covered",10.4,7.55)</f>
        <v>10.4</v>
      </c>
      <c r="N822" s="13" t="n">
        <f aca="false">MAX(ROUNDUP(H822,0),I822)</f>
        <v>39</v>
      </c>
      <c r="O822" s="21" t="n">
        <v>405.6</v>
      </c>
      <c r="P822" s="21" t="n">
        <f aca="false">ROUND(M822*N822,2)</f>
        <v>405.6</v>
      </c>
      <c r="Q822" s="21" t="n">
        <f aca="false">ROUND(P822-IF(O822="",0,O822),2)</f>
        <v>0</v>
      </c>
      <c r="R822" s="14" t="str">
        <f aca="false">IF(J822="","MISSING BILL",IF(AND(K822=N822,ABS(L822-M822)&lt;0.001,ABS(O822-P822)&lt;0.01),"RECONCILED","CALCULATION ERROR"))</f>
        <v>RECONCILED</v>
      </c>
      <c r="S822" s="14" t="s">
        <v>2935</v>
      </c>
    </row>
    <row r="823" customFormat="false" ht="15" hidden="true" customHeight="false" outlineLevel="0" collapsed="false">
      <c r="A823" s="13" t="s">
        <v>4913</v>
      </c>
      <c r="B823" s="13" t="s">
        <v>70</v>
      </c>
      <c r="C823" s="13" t="s">
        <v>4156</v>
      </c>
      <c r="D823" s="13" t="s">
        <v>1873</v>
      </c>
      <c r="E823" s="13" t="s">
        <v>4914</v>
      </c>
      <c r="F823" s="14" t="s">
        <v>4915</v>
      </c>
      <c r="G823" s="14" t="s">
        <v>4916</v>
      </c>
      <c r="H823" s="20" t="n">
        <v>24.8</v>
      </c>
      <c r="I823" s="13" t="n">
        <v>28</v>
      </c>
      <c r="J823" s="13" t="s">
        <v>4917</v>
      </c>
      <c r="K823" s="13" t="n">
        <v>28</v>
      </c>
      <c r="L823" s="21" t="n">
        <v>10.4</v>
      </c>
      <c r="M823" s="21" t="n">
        <f aca="false">IF(C823="covered",10.4,7.55)</f>
        <v>10.4</v>
      </c>
      <c r="N823" s="13" t="n">
        <f aca="false">MAX(ROUNDUP(H823,0),I823)</f>
        <v>28</v>
      </c>
      <c r="O823" s="21" t="n">
        <v>291.2</v>
      </c>
      <c r="P823" s="21" t="n">
        <f aca="false">ROUND(M823*N823,2)</f>
        <v>291.2</v>
      </c>
      <c r="Q823" s="21" t="n">
        <f aca="false">ROUND(P823-IF(O823="",0,O823),2)</f>
        <v>0</v>
      </c>
      <c r="R823" s="14" t="str">
        <f aca="false">IF(J823="","MISSING BILL",IF(AND(K823=N823,ABS(L823-M823)&lt;0.001,ABS(O823-P823)&lt;0.01),"RECONCILED","CALCULATION ERROR"))</f>
        <v>RECONCILED</v>
      </c>
      <c r="S823" s="14" t="s">
        <v>2935</v>
      </c>
    </row>
    <row r="824" customFormat="false" ht="15" hidden="true" customHeight="false" outlineLevel="0" collapsed="false">
      <c r="A824" s="13" t="s">
        <v>4918</v>
      </c>
      <c r="B824" s="13" t="s">
        <v>70</v>
      </c>
      <c r="C824" s="13" t="s">
        <v>4156</v>
      </c>
      <c r="D824" s="13" t="s">
        <v>1873</v>
      </c>
      <c r="E824" s="13" t="s">
        <v>1776</v>
      </c>
      <c r="F824" s="14" t="s">
        <v>1777</v>
      </c>
      <c r="G824" s="14" t="s">
        <v>2647</v>
      </c>
      <c r="H824" s="20" t="n">
        <v>58</v>
      </c>
      <c r="I824" s="13" t="n">
        <v>24</v>
      </c>
      <c r="J824" s="13" t="s">
        <v>4919</v>
      </c>
      <c r="K824" s="13" t="n">
        <v>58</v>
      </c>
      <c r="L824" s="21" t="n">
        <v>10.4</v>
      </c>
      <c r="M824" s="21" t="n">
        <f aca="false">IF(C824="covered",10.4,7.55)</f>
        <v>10.4</v>
      </c>
      <c r="N824" s="13" t="n">
        <f aca="false">MAX(ROUNDUP(H824,0),I824)</f>
        <v>58</v>
      </c>
      <c r="O824" s="21" t="n">
        <v>603.2</v>
      </c>
      <c r="P824" s="21" t="n">
        <f aca="false">ROUND(M824*N824,2)</f>
        <v>603.2</v>
      </c>
      <c r="Q824" s="21" t="n">
        <f aca="false">ROUND(P824-IF(O824="",0,O824),2)</f>
        <v>0</v>
      </c>
      <c r="R824" s="14" t="str">
        <f aca="false">IF(J824="","MISSING BILL",IF(AND(K824=N824,ABS(L824-M824)&lt;0.001,ABS(O824-P824)&lt;0.01),"RECONCILED","CALCULATION ERROR"))</f>
        <v>RECONCILED</v>
      </c>
      <c r="S824" s="14" t="s">
        <v>2935</v>
      </c>
    </row>
    <row r="825" customFormat="false" ht="15" hidden="true" customHeight="false" outlineLevel="0" collapsed="false">
      <c r="A825" s="13" t="s">
        <v>1649</v>
      </c>
      <c r="B825" s="13" t="s">
        <v>70</v>
      </c>
      <c r="C825" s="13" t="s">
        <v>4156</v>
      </c>
      <c r="D825" s="13" t="s">
        <v>1873</v>
      </c>
      <c r="E825" s="13" t="s">
        <v>4920</v>
      </c>
      <c r="F825" s="14" t="s">
        <v>4921</v>
      </c>
      <c r="G825" s="14" t="s">
        <v>2233</v>
      </c>
      <c r="H825" s="20" t="n">
        <v>21</v>
      </c>
      <c r="I825" s="13" t="n">
        <v>24</v>
      </c>
      <c r="J825" s="13" t="s">
        <v>4922</v>
      </c>
      <c r="K825" s="13" t="n">
        <v>24</v>
      </c>
      <c r="L825" s="21" t="n">
        <v>10.4</v>
      </c>
      <c r="M825" s="21" t="n">
        <f aca="false">IF(C825="covered",10.4,7.55)</f>
        <v>10.4</v>
      </c>
      <c r="N825" s="13" t="n">
        <f aca="false">MAX(ROUNDUP(H825,0),I825)</f>
        <v>24</v>
      </c>
      <c r="O825" s="21" t="n">
        <v>249.6</v>
      </c>
      <c r="P825" s="21" t="n">
        <f aca="false">ROUND(M825*N825,2)</f>
        <v>249.6</v>
      </c>
      <c r="Q825" s="21" t="n">
        <f aca="false">ROUND(P825-IF(O825="",0,O825),2)</f>
        <v>0</v>
      </c>
      <c r="R825" s="14" t="str">
        <f aca="false">IF(J825="","MISSING BILL",IF(AND(K825=N825,ABS(L825-M825)&lt;0.001,ABS(O825-P825)&lt;0.01),"RECONCILED","CALCULATION ERROR"))</f>
        <v>RECONCILED</v>
      </c>
      <c r="S825" s="14" t="s">
        <v>2935</v>
      </c>
    </row>
    <row r="826" customFormat="false" ht="15" hidden="true" customHeight="false" outlineLevel="0" collapsed="false">
      <c r="A826" s="13" t="s">
        <v>4923</v>
      </c>
      <c r="B826" s="13" t="s">
        <v>70</v>
      </c>
      <c r="C826" s="13" t="s">
        <v>4156</v>
      </c>
      <c r="D826" s="13" t="s">
        <v>1873</v>
      </c>
      <c r="E826" s="13" t="s">
        <v>4924</v>
      </c>
      <c r="F826" s="14" t="s">
        <v>4925</v>
      </c>
      <c r="G826" s="14" t="s">
        <v>4300</v>
      </c>
      <c r="H826" s="20" t="n">
        <v>59.9</v>
      </c>
      <c r="I826" s="13" t="n">
        <v>28</v>
      </c>
      <c r="J826" s="13" t="s">
        <v>4926</v>
      </c>
      <c r="K826" s="13" t="n">
        <v>60</v>
      </c>
      <c r="L826" s="21" t="n">
        <v>10.4</v>
      </c>
      <c r="M826" s="21" t="n">
        <f aca="false">IF(C826="covered",10.4,7.55)</f>
        <v>10.4</v>
      </c>
      <c r="N826" s="13" t="n">
        <f aca="false">MAX(ROUNDUP(H826,0),I826)</f>
        <v>60</v>
      </c>
      <c r="O826" s="21" t="n">
        <v>624</v>
      </c>
      <c r="P826" s="21" t="n">
        <f aca="false">ROUND(M826*N826,2)</f>
        <v>624</v>
      </c>
      <c r="Q826" s="21" t="n">
        <f aca="false">ROUND(P826-IF(O826="",0,O826),2)</f>
        <v>0</v>
      </c>
      <c r="R826" s="14" t="str">
        <f aca="false">IF(J826="","MISSING BILL",IF(AND(K826=N826,ABS(L826-M826)&lt;0.001,ABS(O826-P826)&lt;0.01),"RECONCILED","CALCULATION ERROR"))</f>
        <v>RECONCILED</v>
      </c>
      <c r="S826" s="14" t="s">
        <v>2935</v>
      </c>
    </row>
    <row r="827" customFormat="false" ht="15" hidden="true" customHeight="false" outlineLevel="0" collapsed="false">
      <c r="A827" s="13" t="s">
        <v>810</v>
      </c>
      <c r="B827" s="13" t="s">
        <v>70</v>
      </c>
      <c r="C827" s="13" t="s">
        <v>4156</v>
      </c>
      <c r="D827" s="13" t="s">
        <v>1873</v>
      </c>
      <c r="E827" s="13" t="s">
        <v>4927</v>
      </c>
      <c r="F827" s="14" t="s">
        <v>4928</v>
      </c>
      <c r="G827" s="14" t="s">
        <v>2516</v>
      </c>
      <c r="H827" s="20" t="n">
        <v>54.4</v>
      </c>
      <c r="I827" s="13" t="n">
        <v>40</v>
      </c>
      <c r="J827" s="13" t="s">
        <v>4929</v>
      </c>
      <c r="K827" s="13" t="n">
        <v>55</v>
      </c>
      <c r="L827" s="21" t="n">
        <v>10.4</v>
      </c>
      <c r="M827" s="21" t="n">
        <f aca="false">IF(C827="covered",10.4,7.55)</f>
        <v>10.4</v>
      </c>
      <c r="N827" s="13" t="n">
        <f aca="false">MAX(ROUNDUP(H827,0),I827)</f>
        <v>55</v>
      </c>
      <c r="O827" s="21" t="n">
        <v>572</v>
      </c>
      <c r="P827" s="21" t="n">
        <f aca="false">ROUND(M827*N827,2)</f>
        <v>572</v>
      </c>
      <c r="Q827" s="21" t="n">
        <f aca="false">ROUND(P827-IF(O827="",0,O827),2)</f>
        <v>0</v>
      </c>
      <c r="R827" s="14" t="str">
        <f aca="false">IF(J827="","MISSING BILL",IF(AND(K827=N827,ABS(L827-M827)&lt;0.001,ABS(O827-P827)&lt;0.01),"RECONCILED","CALCULATION ERROR"))</f>
        <v>RECONCILED</v>
      </c>
      <c r="S827" s="14" t="s">
        <v>2935</v>
      </c>
    </row>
    <row r="828" customFormat="false" ht="15" hidden="true" customHeight="false" outlineLevel="0" collapsed="false">
      <c r="A828" s="13" t="s">
        <v>4930</v>
      </c>
      <c r="B828" s="13" t="s">
        <v>70</v>
      </c>
      <c r="C828" s="13" t="s">
        <v>4156</v>
      </c>
      <c r="D828" s="13" t="s">
        <v>1873</v>
      </c>
      <c r="E828" s="13" t="s">
        <v>4931</v>
      </c>
      <c r="F828" s="14" t="s">
        <v>4932</v>
      </c>
      <c r="G828" s="14" t="s">
        <v>4933</v>
      </c>
      <c r="H828" s="20" t="n">
        <v>62</v>
      </c>
      <c r="I828" s="13" t="n">
        <v>32</v>
      </c>
      <c r="J828" s="13" t="s">
        <v>4934</v>
      </c>
      <c r="K828" s="13" t="n">
        <v>62</v>
      </c>
      <c r="L828" s="21" t="n">
        <v>10.4</v>
      </c>
      <c r="M828" s="21" t="n">
        <f aca="false">IF(C828="covered",10.4,7.55)</f>
        <v>10.4</v>
      </c>
      <c r="N828" s="13" t="n">
        <f aca="false">MAX(ROUNDUP(H828,0),I828)</f>
        <v>62</v>
      </c>
      <c r="O828" s="21" t="n">
        <v>644.8</v>
      </c>
      <c r="P828" s="21" t="n">
        <f aca="false">ROUND(M828*N828,2)</f>
        <v>644.8</v>
      </c>
      <c r="Q828" s="21" t="n">
        <f aca="false">ROUND(P828-IF(O828="",0,O828),2)</f>
        <v>0</v>
      </c>
      <c r="R828" s="14" t="str">
        <f aca="false">IF(J828="","MISSING BILL",IF(AND(K828=N828,ABS(L828-M828)&lt;0.001,ABS(O828-P828)&lt;0.01),"RECONCILED","CALCULATION ERROR"))</f>
        <v>RECONCILED</v>
      </c>
      <c r="S828" s="14" t="s">
        <v>2935</v>
      </c>
    </row>
    <row r="829" customFormat="false" ht="15" hidden="true" customHeight="false" outlineLevel="0" collapsed="false">
      <c r="A829" s="13" t="s">
        <v>4935</v>
      </c>
      <c r="B829" s="13" t="s">
        <v>70</v>
      </c>
      <c r="C829" s="13" t="s">
        <v>4156</v>
      </c>
      <c r="D829" s="13" t="s">
        <v>1873</v>
      </c>
      <c r="E829" s="13" t="s">
        <v>4936</v>
      </c>
      <c r="F829" s="14" t="s">
        <v>4937</v>
      </c>
      <c r="G829" s="14" t="s">
        <v>3518</v>
      </c>
      <c r="H829" s="20" t="n">
        <v>56.2</v>
      </c>
      <c r="I829" s="13" t="n">
        <v>28</v>
      </c>
      <c r="J829" s="13" t="s">
        <v>4938</v>
      </c>
      <c r="K829" s="13" t="n">
        <v>57</v>
      </c>
      <c r="L829" s="21" t="n">
        <v>10.4</v>
      </c>
      <c r="M829" s="21" t="n">
        <f aca="false">IF(C829="covered",10.4,7.55)</f>
        <v>10.4</v>
      </c>
      <c r="N829" s="13" t="n">
        <f aca="false">MAX(ROUNDUP(H829,0),I829)</f>
        <v>57</v>
      </c>
      <c r="O829" s="21" t="n">
        <v>592.8</v>
      </c>
      <c r="P829" s="21" t="n">
        <f aca="false">ROUND(M829*N829,2)</f>
        <v>592.8</v>
      </c>
      <c r="Q829" s="21" t="n">
        <f aca="false">ROUND(P829-IF(O829="",0,O829),2)</f>
        <v>0</v>
      </c>
      <c r="R829" s="14" t="str">
        <f aca="false">IF(J829="","MISSING BILL",IF(AND(K829=N829,ABS(L829-M829)&lt;0.001,ABS(O829-P829)&lt;0.01),"RECONCILED","CALCULATION ERROR"))</f>
        <v>RECONCILED</v>
      </c>
      <c r="S829" s="14" t="s">
        <v>2935</v>
      </c>
    </row>
    <row r="830" customFormat="false" ht="15" hidden="true" customHeight="false" outlineLevel="0" collapsed="false">
      <c r="A830" s="13" t="s">
        <v>4939</v>
      </c>
      <c r="B830" s="13" t="s">
        <v>70</v>
      </c>
      <c r="C830" s="13" t="s">
        <v>4156</v>
      </c>
      <c r="D830" s="13" t="s">
        <v>1873</v>
      </c>
      <c r="E830" s="13" t="s">
        <v>4940</v>
      </c>
      <c r="F830" s="14" t="s">
        <v>4941</v>
      </c>
      <c r="G830" s="14" t="s">
        <v>4942</v>
      </c>
      <c r="H830" s="20" t="n">
        <v>33.9</v>
      </c>
      <c r="I830" s="13" t="n">
        <v>24</v>
      </c>
      <c r="J830" s="13" t="s">
        <v>4943</v>
      </c>
      <c r="K830" s="13" t="n">
        <v>34</v>
      </c>
      <c r="L830" s="21" t="n">
        <v>10.4</v>
      </c>
      <c r="M830" s="21" t="n">
        <f aca="false">IF(C830="covered",10.4,7.55)</f>
        <v>10.4</v>
      </c>
      <c r="N830" s="13" t="n">
        <f aca="false">MAX(ROUNDUP(H830,0),I830)</f>
        <v>34</v>
      </c>
      <c r="O830" s="21" t="n">
        <v>353.6</v>
      </c>
      <c r="P830" s="21" t="n">
        <f aca="false">ROUND(M830*N830,2)</f>
        <v>353.6</v>
      </c>
      <c r="Q830" s="21" t="n">
        <f aca="false">ROUND(P830-IF(O830="",0,O830),2)</f>
        <v>0</v>
      </c>
      <c r="R830" s="14" t="str">
        <f aca="false">IF(J830="","MISSING BILL",IF(AND(K830=N830,ABS(L830-M830)&lt;0.001,ABS(O830-P830)&lt;0.01),"RECONCILED","CALCULATION ERROR"))</f>
        <v>RECONCILED</v>
      </c>
      <c r="S830" s="14" t="s">
        <v>2935</v>
      </c>
    </row>
    <row r="831" customFormat="false" ht="15" hidden="true" customHeight="false" outlineLevel="0" collapsed="false">
      <c r="A831" s="13" t="s">
        <v>4944</v>
      </c>
      <c r="B831" s="13" t="s">
        <v>70</v>
      </c>
      <c r="C831" s="13" t="s">
        <v>4156</v>
      </c>
      <c r="D831" s="13" t="s">
        <v>1873</v>
      </c>
      <c r="E831" s="13" t="s">
        <v>4945</v>
      </c>
      <c r="F831" s="14" t="s">
        <v>4946</v>
      </c>
      <c r="G831" s="14" t="s">
        <v>2079</v>
      </c>
      <c r="H831" s="20" t="n">
        <v>38</v>
      </c>
      <c r="I831" s="13" t="n">
        <v>28</v>
      </c>
      <c r="J831" s="13" t="s">
        <v>4947</v>
      </c>
      <c r="K831" s="13" t="n">
        <v>38</v>
      </c>
      <c r="L831" s="21" t="n">
        <v>10.4</v>
      </c>
      <c r="M831" s="21" t="n">
        <f aca="false">IF(C831="covered",10.4,7.55)</f>
        <v>10.4</v>
      </c>
      <c r="N831" s="13" t="n">
        <f aca="false">MAX(ROUNDUP(H831,0),I831)</f>
        <v>38</v>
      </c>
      <c r="O831" s="21" t="n">
        <v>395.2</v>
      </c>
      <c r="P831" s="21" t="n">
        <f aca="false">ROUND(M831*N831,2)</f>
        <v>395.2</v>
      </c>
      <c r="Q831" s="21" t="n">
        <f aca="false">ROUND(P831-IF(O831="",0,O831),2)</f>
        <v>0</v>
      </c>
      <c r="R831" s="14" t="str">
        <f aca="false">IF(J831="","MISSING BILL",IF(AND(K831=N831,ABS(L831-M831)&lt;0.001,ABS(O831-P831)&lt;0.01),"RECONCILED","CALCULATION ERROR"))</f>
        <v>RECONCILED</v>
      </c>
      <c r="S831" s="14" t="s">
        <v>2935</v>
      </c>
    </row>
    <row r="832" customFormat="false" ht="15" hidden="true" customHeight="false" outlineLevel="0" collapsed="false">
      <c r="A832" s="13" t="s">
        <v>4948</v>
      </c>
      <c r="B832" s="13" t="s">
        <v>70</v>
      </c>
      <c r="C832" s="13" t="s">
        <v>4156</v>
      </c>
      <c r="D832" s="13" t="s">
        <v>1873</v>
      </c>
      <c r="E832" s="13" t="s">
        <v>4949</v>
      </c>
      <c r="F832" s="14" t="s">
        <v>4950</v>
      </c>
      <c r="G832" s="14" t="s">
        <v>4951</v>
      </c>
      <c r="H832" s="20" t="n">
        <v>19.5</v>
      </c>
      <c r="I832" s="13" t="n">
        <v>36</v>
      </c>
      <c r="J832" s="13" t="s">
        <v>4952</v>
      </c>
      <c r="K832" s="13" t="n">
        <v>36</v>
      </c>
      <c r="L832" s="21" t="n">
        <v>10.4</v>
      </c>
      <c r="M832" s="21" t="n">
        <f aca="false">IF(C832="covered",10.4,7.55)</f>
        <v>10.4</v>
      </c>
      <c r="N832" s="13" t="n">
        <f aca="false">MAX(ROUNDUP(H832,0),I832)</f>
        <v>36</v>
      </c>
      <c r="O832" s="21" t="n">
        <v>374.4</v>
      </c>
      <c r="P832" s="21" t="n">
        <f aca="false">ROUND(M832*N832,2)</f>
        <v>374.4</v>
      </c>
      <c r="Q832" s="21" t="n">
        <f aca="false">ROUND(P832-IF(O832="",0,O832),2)</f>
        <v>0</v>
      </c>
      <c r="R832" s="14" t="str">
        <f aca="false">IF(J832="","MISSING BILL",IF(AND(K832=N832,ABS(L832-M832)&lt;0.001,ABS(O832-P832)&lt;0.01),"RECONCILED","CALCULATION ERROR"))</f>
        <v>RECONCILED</v>
      </c>
      <c r="S832" s="14" t="s">
        <v>2935</v>
      </c>
    </row>
    <row r="833" customFormat="false" ht="15" hidden="true" customHeight="false" outlineLevel="0" collapsed="false">
      <c r="A833" s="13" t="s">
        <v>4953</v>
      </c>
      <c r="B833" s="13" t="s">
        <v>70</v>
      </c>
      <c r="C833" s="13" t="s">
        <v>4156</v>
      </c>
      <c r="D833" s="13" t="s">
        <v>1873</v>
      </c>
      <c r="E833" s="13" t="s">
        <v>4954</v>
      </c>
      <c r="F833" s="14" t="s">
        <v>4955</v>
      </c>
      <c r="G833" s="14" t="s">
        <v>4506</v>
      </c>
      <c r="H833" s="20" t="n">
        <v>57.9</v>
      </c>
      <c r="I833" s="13" t="n">
        <v>32</v>
      </c>
      <c r="J833" s="13" t="s">
        <v>4956</v>
      </c>
      <c r="K833" s="13" t="n">
        <v>58</v>
      </c>
      <c r="L833" s="21" t="n">
        <v>10.4</v>
      </c>
      <c r="M833" s="21" t="n">
        <f aca="false">IF(C833="covered",10.4,7.55)</f>
        <v>10.4</v>
      </c>
      <c r="N833" s="13" t="n">
        <f aca="false">MAX(ROUNDUP(H833,0),I833)</f>
        <v>58</v>
      </c>
      <c r="O833" s="21" t="n">
        <v>603.2</v>
      </c>
      <c r="P833" s="21" t="n">
        <f aca="false">ROUND(M833*N833,2)</f>
        <v>603.2</v>
      </c>
      <c r="Q833" s="21" t="n">
        <f aca="false">ROUND(P833-IF(O833="",0,O833),2)</f>
        <v>0</v>
      </c>
      <c r="R833" s="14" t="str">
        <f aca="false">IF(J833="","MISSING BILL",IF(AND(K833=N833,ABS(L833-M833)&lt;0.001,ABS(O833-P833)&lt;0.01),"RECONCILED","CALCULATION ERROR"))</f>
        <v>RECONCILED</v>
      </c>
      <c r="S833" s="14" t="s">
        <v>2935</v>
      </c>
    </row>
    <row r="834" customFormat="false" ht="15" hidden="true" customHeight="false" outlineLevel="0" collapsed="false">
      <c r="A834" s="13" t="s">
        <v>4957</v>
      </c>
      <c r="B834" s="13" t="s">
        <v>70</v>
      </c>
      <c r="C834" s="13" t="s">
        <v>4156</v>
      </c>
      <c r="D834" s="13" t="s">
        <v>1873</v>
      </c>
      <c r="E834" s="13" t="s">
        <v>4958</v>
      </c>
      <c r="F834" s="14" t="s">
        <v>4959</v>
      </c>
      <c r="G834" s="14" t="s">
        <v>4788</v>
      </c>
      <c r="H834" s="20" t="n">
        <v>58.9</v>
      </c>
      <c r="I834" s="13" t="n">
        <v>32</v>
      </c>
      <c r="J834" s="13" t="s">
        <v>4960</v>
      </c>
      <c r="K834" s="13" t="n">
        <v>59</v>
      </c>
      <c r="L834" s="21" t="n">
        <v>10.4</v>
      </c>
      <c r="M834" s="21" t="n">
        <f aca="false">IF(C834="covered",10.4,7.55)</f>
        <v>10.4</v>
      </c>
      <c r="N834" s="13" t="n">
        <f aca="false">MAX(ROUNDUP(H834,0),I834)</f>
        <v>59</v>
      </c>
      <c r="O834" s="21" t="n">
        <v>613.6</v>
      </c>
      <c r="P834" s="21" t="n">
        <f aca="false">ROUND(M834*N834,2)</f>
        <v>613.6</v>
      </c>
      <c r="Q834" s="21" t="n">
        <f aca="false">ROUND(P834-IF(O834="",0,O834),2)</f>
        <v>0</v>
      </c>
      <c r="R834" s="14" t="str">
        <f aca="false">IF(J834="","MISSING BILL",IF(AND(K834=N834,ABS(L834-M834)&lt;0.001,ABS(O834-P834)&lt;0.01),"RECONCILED","CALCULATION ERROR"))</f>
        <v>RECONCILED</v>
      </c>
      <c r="S834" s="14" t="s">
        <v>2935</v>
      </c>
    </row>
    <row r="835" customFormat="false" ht="15" hidden="true" customHeight="false" outlineLevel="0" collapsed="false">
      <c r="A835" s="13" t="s">
        <v>1784</v>
      </c>
      <c r="B835" s="13" t="s">
        <v>70</v>
      </c>
      <c r="C835" s="13" t="s">
        <v>4156</v>
      </c>
      <c r="D835" s="13" t="s">
        <v>1873</v>
      </c>
      <c r="E835" s="13" t="s">
        <v>4961</v>
      </c>
      <c r="F835" s="14" t="s">
        <v>4962</v>
      </c>
      <c r="G835" s="14" t="s">
        <v>4698</v>
      </c>
      <c r="H835" s="20" t="n">
        <v>19.3</v>
      </c>
      <c r="I835" s="13" t="n">
        <v>32</v>
      </c>
      <c r="J835" s="13" t="s">
        <v>4963</v>
      </c>
      <c r="K835" s="13" t="n">
        <v>32</v>
      </c>
      <c r="L835" s="21" t="n">
        <v>10.4</v>
      </c>
      <c r="M835" s="21" t="n">
        <f aca="false">IF(C835="covered",10.4,7.55)</f>
        <v>10.4</v>
      </c>
      <c r="N835" s="13" t="n">
        <f aca="false">MAX(ROUNDUP(H835,0),I835)</f>
        <v>32</v>
      </c>
      <c r="O835" s="21" t="n">
        <v>332.8</v>
      </c>
      <c r="P835" s="21" t="n">
        <f aca="false">ROUND(M835*N835,2)</f>
        <v>332.8</v>
      </c>
      <c r="Q835" s="21" t="n">
        <f aca="false">ROUND(P835-IF(O835="",0,O835),2)</f>
        <v>0</v>
      </c>
      <c r="R835" s="14" t="str">
        <f aca="false">IF(J835="","MISSING BILL",IF(AND(K835=N835,ABS(L835-M835)&lt;0.001,ABS(O835-P835)&lt;0.01),"RECONCILED","CALCULATION ERROR"))</f>
        <v>RECONCILED</v>
      </c>
      <c r="S835" s="14" t="s">
        <v>2935</v>
      </c>
    </row>
    <row r="836" customFormat="false" ht="15" hidden="true" customHeight="false" outlineLevel="0" collapsed="false">
      <c r="A836" s="13" t="s">
        <v>4964</v>
      </c>
      <c r="B836" s="13" t="s">
        <v>70</v>
      </c>
      <c r="C836" s="13" t="s">
        <v>4156</v>
      </c>
      <c r="D836" s="13" t="s">
        <v>1873</v>
      </c>
      <c r="E836" s="13" t="s">
        <v>4965</v>
      </c>
      <c r="F836" s="14" t="s">
        <v>4966</v>
      </c>
      <c r="G836" s="14" t="s">
        <v>3599</v>
      </c>
      <c r="H836" s="20" t="n">
        <v>61.8</v>
      </c>
      <c r="I836" s="13" t="n">
        <v>32</v>
      </c>
      <c r="J836" s="13" t="s">
        <v>4967</v>
      </c>
      <c r="K836" s="13" t="n">
        <v>62</v>
      </c>
      <c r="L836" s="21" t="n">
        <v>10.4</v>
      </c>
      <c r="M836" s="21" t="n">
        <f aca="false">IF(C836="covered",10.4,7.55)</f>
        <v>10.4</v>
      </c>
      <c r="N836" s="13" t="n">
        <f aca="false">MAX(ROUNDUP(H836,0),I836)</f>
        <v>62</v>
      </c>
      <c r="O836" s="21" t="n">
        <v>644.8</v>
      </c>
      <c r="P836" s="21" t="n">
        <f aca="false">ROUND(M836*N836,2)</f>
        <v>644.8</v>
      </c>
      <c r="Q836" s="21" t="n">
        <f aca="false">ROUND(P836-IF(O836="",0,O836),2)</f>
        <v>0</v>
      </c>
      <c r="R836" s="14" t="str">
        <f aca="false">IF(J836="","MISSING BILL",IF(AND(K836=N836,ABS(L836-M836)&lt;0.001,ABS(O836-P836)&lt;0.01),"RECONCILED","CALCULATION ERROR"))</f>
        <v>RECONCILED</v>
      </c>
      <c r="S836" s="14" t="s">
        <v>2935</v>
      </c>
    </row>
    <row r="837" customFormat="false" ht="15" hidden="true" customHeight="false" outlineLevel="0" collapsed="false">
      <c r="A837" s="13" t="s">
        <v>4968</v>
      </c>
      <c r="B837" s="13" t="s">
        <v>70</v>
      </c>
      <c r="C837" s="13" t="s">
        <v>4156</v>
      </c>
      <c r="D837" s="13" t="s">
        <v>1873</v>
      </c>
      <c r="E837" s="13" t="s">
        <v>891</v>
      </c>
      <c r="F837" s="14" t="s">
        <v>892</v>
      </c>
      <c r="G837" s="14" t="s">
        <v>2043</v>
      </c>
      <c r="H837" s="20" t="n">
        <v>40.9</v>
      </c>
      <c r="I837" s="13" t="n">
        <v>24</v>
      </c>
      <c r="J837" s="13" t="s">
        <v>4969</v>
      </c>
      <c r="K837" s="13" t="n">
        <v>41</v>
      </c>
      <c r="L837" s="21" t="n">
        <v>10.4</v>
      </c>
      <c r="M837" s="21" t="n">
        <f aca="false">IF(C837="covered",10.4,7.55)</f>
        <v>10.4</v>
      </c>
      <c r="N837" s="13" t="n">
        <f aca="false">MAX(ROUNDUP(H837,0),I837)</f>
        <v>41</v>
      </c>
      <c r="O837" s="21" t="n">
        <v>426.4</v>
      </c>
      <c r="P837" s="21" t="n">
        <f aca="false">ROUND(M837*N837,2)</f>
        <v>426.4</v>
      </c>
      <c r="Q837" s="21" t="n">
        <f aca="false">ROUND(P837-IF(O837="",0,O837),2)</f>
        <v>0</v>
      </c>
      <c r="R837" s="14" t="str">
        <f aca="false">IF(J837="","MISSING BILL",IF(AND(K837=N837,ABS(L837-M837)&lt;0.001,ABS(O837-P837)&lt;0.01),"RECONCILED","CALCULATION ERROR"))</f>
        <v>RECONCILED</v>
      </c>
      <c r="S837" s="14" t="s">
        <v>2935</v>
      </c>
    </row>
    <row r="838" customFormat="false" ht="15" hidden="true" customHeight="false" outlineLevel="0" collapsed="false">
      <c r="A838" s="13" t="s">
        <v>4970</v>
      </c>
      <c r="B838" s="13" t="s">
        <v>70</v>
      </c>
      <c r="C838" s="13" t="s">
        <v>4156</v>
      </c>
      <c r="D838" s="13" t="s">
        <v>1873</v>
      </c>
      <c r="E838" s="13" t="s">
        <v>4971</v>
      </c>
      <c r="F838" s="14" t="s">
        <v>4972</v>
      </c>
      <c r="G838" s="14" t="s">
        <v>2669</v>
      </c>
      <c r="H838" s="20" t="n">
        <v>28.7</v>
      </c>
      <c r="I838" s="13" t="n">
        <v>28</v>
      </c>
      <c r="J838" s="13" t="s">
        <v>4973</v>
      </c>
      <c r="K838" s="13" t="n">
        <v>29</v>
      </c>
      <c r="L838" s="21" t="n">
        <v>10.4</v>
      </c>
      <c r="M838" s="21" t="n">
        <f aca="false">IF(C838="covered",10.4,7.55)</f>
        <v>10.4</v>
      </c>
      <c r="N838" s="13" t="n">
        <f aca="false">MAX(ROUNDUP(H838,0),I838)</f>
        <v>29</v>
      </c>
      <c r="O838" s="21" t="n">
        <v>301.6</v>
      </c>
      <c r="P838" s="21" t="n">
        <f aca="false">ROUND(M838*N838,2)</f>
        <v>301.6</v>
      </c>
      <c r="Q838" s="21" t="n">
        <f aca="false">ROUND(P838-IF(O838="",0,O838),2)</f>
        <v>0</v>
      </c>
      <c r="R838" s="14" t="str">
        <f aca="false">IF(J838="","MISSING BILL",IF(AND(K838=N838,ABS(L838-M838)&lt;0.001,ABS(O838-P838)&lt;0.01),"RECONCILED","CALCULATION ERROR"))</f>
        <v>RECONCILED</v>
      </c>
      <c r="S838" s="14" t="s">
        <v>2935</v>
      </c>
    </row>
    <row r="839" customFormat="false" ht="15" hidden="true" customHeight="false" outlineLevel="0" collapsed="false">
      <c r="A839" s="13" t="s">
        <v>4974</v>
      </c>
      <c r="B839" s="13" t="s">
        <v>70</v>
      </c>
      <c r="C839" s="13" t="s">
        <v>4156</v>
      </c>
      <c r="D839" s="13" t="s">
        <v>1873</v>
      </c>
      <c r="E839" s="13" t="s">
        <v>391</v>
      </c>
      <c r="F839" s="14" t="s">
        <v>392</v>
      </c>
      <c r="G839" s="14" t="s">
        <v>2310</v>
      </c>
      <c r="H839" s="20" t="n">
        <v>19.5</v>
      </c>
      <c r="I839" s="13" t="n">
        <v>28</v>
      </c>
      <c r="J839" s="13" t="s">
        <v>4975</v>
      </c>
      <c r="K839" s="13" t="n">
        <v>28</v>
      </c>
      <c r="L839" s="21" t="n">
        <v>10.4</v>
      </c>
      <c r="M839" s="21" t="n">
        <f aca="false">IF(C839="covered",10.4,7.55)</f>
        <v>10.4</v>
      </c>
      <c r="N839" s="13" t="n">
        <f aca="false">MAX(ROUNDUP(H839,0),I839)</f>
        <v>28</v>
      </c>
      <c r="O839" s="21" t="n">
        <v>291.2</v>
      </c>
      <c r="P839" s="21" t="n">
        <f aca="false">ROUND(M839*N839,2)</f>
        <v>291.2</v>
      </c>
      <c r="Q839" s="21" t="n">
        <f aca="false">ROUND(P839-IF(O839="",0,O839),2)</f>
        <v>0</v>
      </c>
      <c r="R839" s="14" t="str">
        <f aca="false">IF(J839="","MISSING BILL",IF(AND(K839=N839,ABS(L839-M839)&lt;0.001,ABS(O839-P839)&lt;0.01),"RECONCILED","CALCULATION ERROR"))</f>
        <v>RECONCILED</v>
      </c>
      <c r="S839" s="14" t="s">
        <v>2935</v>
      </c>
    </row>
    <row r="840" customFormat="false" ht="15" hidden="true" customHeight="false" outlineLevel="0" collapsed="false">
      <c r="A840" s="13" t="s">
        <v>4976</v>
      </c>
      <c r="B840" s="13" t="s">
        <v>70</v>
      </c>
      <c r="C840" s="13" t="s">
        <v>4156</v>
      </c>
      <c r="D840" s="13" t="s">
        <v>1873</v>
      </c>
      <c r="E840" s="13" t="s">
        <v>343</v>
      </c>
      <c r="F840" s="14" t="s">
        <v>344</v>
      </c>
      <c r="G840" s="14" t="s">
        <v>4698</v>
      </c>
      <c r="H840" s="20" t="n">
        <v>19.4</v>
      </c>
      <c r="I840" s="13" t="n">
        <v>24</v>
      </c>
      <c r="J840" s="13" t="s">
        <v>4977</v>
      </c>
      <c r="K840" s="13" t="n">
        <v>24</v>
      </c>
      <c r="L840" s="21" t="n">
        <v>10.4</v>
      </c>
      <c r="M840" s="21" t="n">
        <f aca="false">IF(C840="covered",10.4,7.55)</f>
        <v>10.4</v>
      </c>
      <c r="N840" s="13" t="n">
        <f aca="false">MAX(ROUNDUP(H840,0),I840)</f>
        <v>24</v>
      </c>
      <c r="O840" s="21" t="n">
        <v>249.6</v>
      </c>
      <c r="P840" s="21" t="n">
        <f aca="false">ROUND(M840*N840,2)</f>
        <v>249.6</v>
      </c>
      <c r="Q840" s="21" t="n">
        <f aca="false">ROUND(P840-IF(O840="",0,O840),2)</f>
        <v>0</v>
      </c>
      <c r="R840" s="14" t="str">
        <f aca="false">IF(J840="","MISSING BILL",IF(AND(K840=N840,ABS(L840-M840)&lt;0.001,ABS(O840-P840)&lt;0.01),"RECONCILED","CALCULATION ERROR"))</f>
        <v>RECONCILED</v>
      </c>
      <c r="S840" s="14" t="s">
        <v>2935</v>
      </c>
    </row>
    <row r="841" customFormat="false" ht="15" hidden="true" customHeight="false" outlineLevel="0" collapsed="false">
      <c r="A841" s="13" t="s">
        <v>4978</v>
      </c>
      <c r="B841" s="13" t="s">
        <v>70</v>
      </c>
      <c r="C841" s="13" t="s">
        <v>4156</v>
      </c>
      <c r="D841" s="13" t="s">
        <v>1873</v>
      </c>
      <c r="E841" s="13" t="s">
        <v>4979</v>
      </c>
      <c r="F841" s="14" t="s">
        <v>4980</v>
      </c>
      <c r="G841" s="14" t="s">
        <v>2885</v>
      </c>
      <c r="H841" s="20" t="n">
        <v>25.9</v>
      </c>
      <c r="I841" s="13" t="n">
        <v>28</v>
      </c>
      <c r="J841" s="13" t="s">
        <v>4981</v>
      </c>
      <c r="K841" s="13" t="n">
        <v>28</v>
      </c>
      <c r="L841" s="21" t="n">
        <v>10.4</v>
      </c>
      <c r="M841" s="21" t="n">
        <f aca="false">IF(C841="covered",10.4,7.55)</f>
        <v>10.4</v>
      </c>
      <c r="N841" s="13" t="n">
        <f aca="false">MAX(ROUNDUP(H841,0),I841)</f>
        <v>28</v>
      </c>
      <c r="O841" s="21" t="n">
        <v>291.2</v>
      </c>
      <c r="P841" s="21" t="n">
        <f aca="false">ROUND(M841*N841,2)</f>
        <v>291.2</v>
      </c>
      <c r="Q841" s="21" t="n">
        <f aca="false">ROUND(P841-IF(O841="",0,O841),2)</f>
        <v>0</v>
      </c>
      <c r="R841" s="14" t="str">
        <f aca="false">IF(J841="","MISSING BILL",IF(AND(K841=N841,ABS(L841-M841)&lt;0.001,ABS(O841-P841)&lt;0.01),"RECONCILED","CALCULATION ERROR"))</f>
        <v>RECONCILED</v>
      </c>
      <c r="S841" s="14" t="s">
        <v>2935</v>
      </c>
    </row>
    <row r="842" customFormat="false" ht="15" hidden="true" customHeight="false" outlineLevel="0" collapsed="false">
      <c r="A842" s="13" t="s">
        <v>4982</v>
      </c>
      <c r="B842" s="13" t="s">
        <v>70</v>
      </c>
      <c r="C842" s="13" t="s">
        <v>4156</v>
      </c>
      <c r="D842" s="13" t="s">
        <v>1873</v>
      </c>
      <c r="E842" s="13" t="s">
        <v>4983</v>
      </c>
      <c r="F842" s="14" t="s">
        <v>4984</v>
      </c>
      <c r="G842" s="14" t="s">
        <v>3866</v>
      </c>
      <c r="H842" s="20" t="n">
        <v>55.1</v>
      </c>
      <c r="I842" s="13" t="n">
        <v>32</v>
      </c>
      <c r="J842" s="13" t="s">
        <v>4985</v>
      </c>
      <c r="K842" s="13" t="n">
        <v>56</v>
      </c>
      <c r="L842" s="21" t="n">
        <v>10.4</v>
      </c>
      <c r="M842" s="21" t="n">
        <f aca="false">IF(C842="covered",10.4,7.55)</f>
        <v>10.4</v>
      </c>
      <c r="N842" s="13" t="n">
        <f aca="false">MAX(ROUNDUP(H842,0),I842)</f>
        <v>56</v>
      </c>
      <c r="O842" s="21" t="n">
        <v>582.4</v>
      </c>
      <c r="P842" s="21" t="n">
        <f aca="false">ROUND(M842*N842,2)</f>
        <v>582.4</v>
      </c>
      <c r="Q842" s="21" t="n">
        <f aca="false">ROUND(P842-IF(O842="",0,O842),2)</f>
        <v>0</v>
      </c>
      <c r="R842" s="14" t="str">
        <f aca="false">IF(J842="","MISSING BILL",IF(AND(K842=N842,ABS(L842-M842)&lt;0.001,ABS(O842-P842)&lt;0.01),"RECONCILED","CALCULATION ERROR"))</f>
        <v>RECONCILED</v>
      </c>
      <c r="S842" s="14" t="s">
        <v>2935</v>
      </c>
    </row>
    <row r="843" customFormat="false" ht="15" hidden="true" customHeight="false" outlineLevel="0" collapsed="false">
      <c r="A843" s="13" t="s">
        <v>4986</v>
      </c>
      <c r="B843" s="13" t="s">
        <v>70</v>
      </c>
      <c r="C843" s="13" t="s">
        <v>4156</v>
      </c>
      <c r="D843" s="13" t="s">
        <v>1873</v>
      </c>
      <c r="E843" s="13" t="s">
        <v>4987</v>
      </c>
      <c r="F843" s="14" t="s">
        <v>4988</v>
      </c>
      <c r="G843" s="14" t="s">
        <v>3838</v>
      </c>
      <c r="H843" s="20" t="n">
        <v>53.2</v>
      </c>
      <c r="I843" s="13" t="n">
        <v>32</v>
      </c>
      <c r="J843" s="13" t="s">
        <v>4989</v>
      </c>
      <c r="K843" s="13" t="n">
        <v>54</v>
      </c>
      <c r="L843" s="21" t="n">
        <v>10.4</v>
      </c>
      <c r="M843" s="21" t="n">
        <f aca="false">IF(C843="covered",10.4,7.55)</f>
        <v>10.4</v>
      </c>
      <c r="N843" s="13" t="n">
        <f aca="false">MAX(ROUNDUP(H843,0),I843)</f>
        <v>54</v>
      </c>
      <c r="O843" s="21" t="n">
        <v>561.6</v>
      </c>
      <c r="P843" s="21" t="n">
        <f aca="false">ROUND(M843*N843,2)</f>
        <v>561.6</v>
      </c>
      <c r="Q843" s="21" t="n">
        <f aca="false">ROUND(P843-IF(O843="",0,O843),2)</f>
        <v>0</v>
      </c>
      <c r="R843" s="14" t="str">
        <f aca="false">IF(J843="","MISSING BILL",IF(AND(K843=N843,ABS(L843-M843)&lt;0.001,ABS(O843-P843)&lt;0.01),"RECONCILED","CALCULATION ERROR"))</f>
        <v>RECONCILED</v>
      </c>
      <c r="S843" s="14" t="s">
        <v>2935</v>
      </c>
    </row>
    <row r="844" customFormat="false" ht="15" hidden="true" customHeight="false" outlineLevel="0" collapsed="false">
      <c r="A844" s="13" t="s">
        <v>4990</v>
      </c>
      <c r="B844" s="13" t="s">
        <v>70</v>
      </c>
      <c r="C844" s="13" t="s">
        <v>4156</v>
      </c>
      <c r="D844" s="13" t="s">
        <v>1873</v>
      </c>
      <c r="E844" s="13" t="s">
        <v>4991</v>
      </c>
      <c r="F844" s="14" t="s">
        <v>4992</v>
      </c>
      <c r="G844" s="14" t="s">
        <v>3478</v>
      </c>
      <c r="H844" s="20" t="n">
        <v>25.1</v>
      </c>
      <c r="I844" s="13" t="n">
        <v>32</v>
      </c>
      <c r="J844" s="13" t="s">
        <v>4993</v>
      </c>
      <c r="K844" s="13" t="n">
        <v>32</v>
      </c>
      <c r="L844" s="21" t="n">
        <v>10.4</v>
      </c>
      <c r="M844" s="21" t="n">
        <f aca="false">IF(C844="covered",10.4,7.55)</f>
        <v>10.4</v>
      </c>
      <c r="N844" s="13" t="n">
        <f aca="false">MAX(ROUNDUP(H844,0),I844)</f>
        <v>32</v>
      </c>
      <c r="O844" s="21" t="n">
        <v>332.8</v>
      </c>
      <c r="P844" s="21" t="n">
        <f aca="false">ROUND(M844*N844,2)</f>
        <v>332.8</v>
      </c>
      <c r="Q844" s="21" t="n">
        <f aca="false">ROUND(P844-IF(O844="",0,O844),2)</f>
        <v>0</v>
      </c>
      <c r="R844" s="14" t="str">
        <f aca="false">IF(J844="","MISSING BILL",IF(AND(K844=N844,ABS(L844-M844)&lt;0.001,ABS(O844-P844)&lt;0.01),"RECONCILED","CALCULATION ERROR"))</f>
        <v>RECONCILED</v>
      </c>
      <c r="S844" s="14" t="s">
        <v>2935</v>
      </c>
    </row>
    <row r="845" customFormat="false" ht="15" hidden="true" customHeight="false" outlineLevel="0" collapsed="false">
      <c r="A845" s="13" t="s">
        <v>4994</v>
      </c>
      <c r="B845" s="13" t="s">
        <v>70</v>
      </c>
      <c r="C845" s="13" t="s">
        <v>4156</v>
      </c>
      <c r="D845" s="13" t="s">
        <v>1873</v>
      </c>
      <c r="E845" s="13" t="s">
        <v>4995</v>
      </c>
      <c r="F845" s="14" t="s">
        <v>4996</v>
      </c>
      <c r="G845" s="14" t="s">
        <v>2562</v>
      </c>
      <c r="H845" s="20" t="n">
        <v>36.2</v>
      </c>
      <c r="I845" s="13" t="n">
        <v>24</v>
      </c>
      <c r="J845" s="13" t="s">
        <v>4997</v>
      </c>
      <c r="K845" s="13" t="n">
        <v>37</v>
      </c>
      <c r="L845" s="21" t="n">
        <v>10.4</v>
      </c>
      <c r="M845" s="21" t="n">
        <f aca="false">IF(C845="covered",10.4,7.55)</f>
        <v>10.4</v>
      </c>
      <c r="N845" s="13" t="n">
        <f aca="false">MAX(ROUNDUP(H845,0),I845)</f>
        <v>37</v>
      </c>
      <c r="O845" s="21" t="n">
        <v>384.8</v>
      </c>
      <c r="P845" s="21" t="n">
        <f aca="false">ROUND(M845*N845,2)</f>
        <v>384.8</v>
      </c>
      <c r="Q845" s="21" t="n">
        <f aca="false">ROUND(P845-IF(O845="",0,O845),2)</f>
        <v>0</v>
      </c>
      <c r="R845" s="14" t="str">
        <f aca="false">IF(J845="","MISSING BILL",IF(AND(K845=N845,ABS(L845-M845)&lt;0.001,ABS(O845-P845)&lt;0.01),"RECONCILED","CALCULATION ERROR"))</f>
        <v>RECONCILED</v>
      </c>
      <c r="S845" s="14" t="s">
        <v>2935</v>
      </c>
    </row>
    <row r="846" customFormat="false" ht="15" hidden="true" customHeight="false" outlineLevel="0" collapsed="false">
      <c r="A846" s="13" t="s">
        <v>4998</v>
      </c>
      <c r="B846" s="13" t="s">
        <v>70</v>
      </c>
      <c r="C846" s="13" t="s">
        <v>4156</v>
      </c>
      <c r="D846" s="13" t="s">
        <v>1873</v>
      </c>
      <c r="E846" s="13" t="s">
        <v>4999</v>
      </c>
      <c r="F846" s="14" t="s">
        <v>5000</v>
      </c>
      <c r="G846" s="14" t="s">
        <v>3838</v>
      </c>
      <c r="H846" s="20" t="n">
        <v>28.7</v>
      </c>
      <c r="I846" s="13" t="n">
        <v>24</v>
      </c>
      <c r="J846" s="13" t="s">
        <v>5001</v>
      </c>
      <c r="K846" s="13" t="n">
        <v>29</v>
      </c>
      <c r="L846" s="21" t="n">
        <v>10.4</v>
      </c>
      <c r="M846" s="21" t="n">
        <f aca="false">IF(C846="covered",10.4,7.55)</f>
        <v>10.4</v>
      </c>
      <c r="N846" s="13" t="n">
        <f aca="false">MAX(ROUNDUP(H846,0),I846)</f>
        <v>29</v>
      </c>
      <c r="O846" s="21" t="n">
        <v>301.6</v>
      </c>
      <c r="P846" s="21" t="n">
        <f aca="false">ROUND(M846*N846,2)</f>
        <v>301.6</v>
      </c>
      <c r="Q846" s="21" t="n">
        <f aca="false">ROUND(P846-IF(O846="",0,O846),2)</f>
        <v>0</v>
      </c>
      <c r="R846" s="14" t="str">
        <f aca="false">IF(J846="","MISSING BILL",IF(AND(K846=N846,ABS(L846-M846)&lt;0.001,ABS(O846-P846)&lt;0.01),"RECONCILED","CALCULATION ERROR"))</f>
        <v>RECONCILED</v>
      </c>
      <c r="S846" s="14" t="s">
        <v>2935</v>
      </c>
    </row>
    <row r="847" customFormat="false" ht="15" hidden="true" customHeight="false" outlineLevel="0" collapsed="false">
      <c r="A847" s="13" t="s">
        <v>5002</v>
      </c>
      <c r="B847" s="13" t="s">
        <v>70</v>
      </c>
      <c r="C847" s="13" t="s">
        <v>4156</v>
      </c>
      <c r="D847" s="13" t="s">
        <v>1873</v>
      </c>
      <c r="E847" s="13" t="s">
        <v>5003</v>
      </c>
      <c r="F847" s="14" t="s">
        <v>5004</v>
      </c>
      <c r="G847" s="14" t="s">
        <v>2250</v>
      </c>
      <c r="H847" s="20" t="n">
        <v>20</v>
      </c>
      <c r="I847" s="13" t="n">
        <v>24</v>
      </c>
      <c r="J847" s="13" t="s">
        <v>5005</v>
      </c>
      <c r="K847" s="13" t="n">
        <v>24</v>
      </c>
      <c r="L847" s="21" t="n">
        <v>10.4</v>
      </c>
      <c r="M847" s="21" t="n">
        <f aca="false">IF(C847="covered",10.4,7.55)</f>
        <v>10.4</v>
      </c>
      <c r="N847" s="13" t="n">
        <f aca="false">MAX(ROUNDUP(H847,0),I847)</f>
        <v>24</v>
      </c>
      <c r="O847" s="21" t="n">
        <v>249.6</v>
      </c>
      <c r="P847" s="21" t="n">
        <f aca="false">ROUND(M847*N847,2)</f>
        <v>249.6</v>
      </c>
      <c r="Q847" s="21" t="n">
        <f aca="false">ROUND(P847-IF(O847="",0,O847),2)</f>
        <v>0</v>
      </c>
      <c r="R847" s="14" t="str">
        <f aca="false">IF(J847="","MISSING BILL",IF(AND(K847=N847,ABS(L847-M847)&lt;0.001,ABS(O847-P847)&lt;0.01),"RECONCILED","CALCULATION ERROR"))</f>
        <v>RECONCILED</v>
      </c>
      <c r="S847" s="14" t="s">
        <v>2935</v>
      </c>
    </row>
    <row r="848" customFormat="false" ht="15" hidden="true" customHeight="false" outlineLevel="0" collapsed="false">
      <c r="A848" s="13" t="s">
        <v>846</v>
      </c>
      <c r="B848" s="13" t="s">
        <v>70</v>
      </c>
      <c r="C848" s="13" t="s">
        <v>4156</v>
      </c>
      <c r="D848" s="13" t="s">
        <v>1873</v>
      </c>
      <c r="E848" s="13" t="s">
        <v>5006</v>
      </c>
      <c r="F848" s="14" t="s">
        <v>5007</v>
      </c>
      <c r="G848" s="14" t="s">
        <v>2484</v>
      </c>
      <c r="H848" s="20" t="n">
        <v>53.7</v>
      </c>
      <c r="I848" s="13" t="n">
        <v>32</v>
      </c>
      <c r="J848" s="13" t="s">
        <v>5008</v>
      </c>
      <c r="K848" s="13" t="n">
        <v>54</v>
      </c>
      <c r="L848" s="21" t="n">
        <v>10.4</v>
      </c>
      <c r="M848" s="21" t="n">
        <f aca="false">IF(C848="covered",10.4,7.55)</f>
        <v>10.4</v>
      </c>
      <c r="N848" s="13" t="n">
        <f aca="false">MAX(ROUNDUP(H848,0),I848)</f>
        <v>54</v>
      </c>
      <c r="O848" s="21" t="n">
        <v>561.6</v>
      </c>
      <c r="P848" s="21" t="n">
        <f aca="false">ROUND(M848*N848,2)</f>
        <v>561.6</v>
      </c>
      <c r="Q848" s="21" t="n">
        <f aca="false">ROUND(P848-IF(O848="",0,O848),2)</f>
        <v>0</v>
      </c>
      <c r="R848" s="14" t="str">
        <f aca="false">IF(J848="","MISSING BILL",IF(AND(K848=N848,ABS(L848-M848)&lt;0.001,ABS(O848-P848)&lt;0.01),"RECONCILED","CALCULATION ERROR"))</f>
        <v>RECONCILED</v>
      </c>
      <c r="S848" s="14" t="s">
        <v>2935</v>
      </c>
    </row>
    <row r="849" customFormat="false" ht="15" hidden="true" customHeight="false" outlineLevel="0" collapsed="false">
      <c r="A849" s="13" t="s">
        <v>1643</v>
      </c>
      <c r="B849" s="13" t="s">
        <v>70</v>
      </c>
      <c r="C849" s="13" t="s">
        <v>4156</v>
      </c>
      <c r="D849" s="13" t="s">
        <v>1873</v>
      </c>
      <c r="E849" s="13" t="s">
        <v>5009</v>
      </c>
      <c r="F849" s="14" t="s">
        <v>5010</v>
      </c>
      <c r="G849" s="14" t="s">
        <v>3497</v>
      </c>
      <c r="H849" s="20" t="n">
        <v>54.9</v>
      </c>
      <c r="I849" s="13" t="n">
        <v>28</v>
      </c>
      <c r="J849" s="13" t="s">
        <v>5011</v>
      </c>
      <c r="K849" s="13" t="n">
        <v>55</v>
      </c>
      <c r="L849" s="21" t="n">
        <v>10.4</v>
      </c>
      <c r="M849" s="21" t="n">
        <f aca="false">IF(C849="covered",10.4,7.55)</f>
        <v>10.4</v>
      </c>
      <c r="N849" s="13" t="n">
        <f aca="false">MAX(ROUNDUP(H849,0),I849)</f>
        <v>55</v>
      </c>
      <c r="O849" s="21" t="n">
        <v>572</v>
      </c>
      <c r="P849" s="21" t="n">
        <f aca="false">ROUND(M849*N849,2)</f>
        <v>572</v>
      </c>
      <c r="Q849" s="21" t="n">
        <f aca="false">ROUND(P849-IF(O849="",0,O849),2)</f>
        <v>0</v>
      </c>
      <c r="R849" s="14" t="str">
        <f aca="false">IF(J849="","MISSING BILL",IF(AND(K849=N849,ABS(L849-M849)&lt;0.001,ABS(O849-P849)&lt;0.01),"RECONCILED","CALCULATION ERROR"))</f>
        <v>RECONCILED</v>
      </c>
      <c r="S849" s="14" t="s">
        <v>2935</v>
      </c>
    </row>
    <row r="850" customFormat="false" ht="15" hidden="true" customHeight="false" outlineLevel="0" collapsed="false">
      <c r="A850" s="13" t="s">
        <v>1732</v>
      </c>
      <c r="B850" s="13" t="s">
        <v>70</v>
      </c>
      <c r="C850" s="13" t="s">
        <v>4156</v>
      </c>
      <c r="D850" s="13" t="s">
        <v>1873</v>
      </c>
      <c r="E850" s="13" t="s">
        <v>5012</v>
      </c>
      <c r="F850" s="14" t="s">
        <v>5013</v>
      </c>
      <c r="G850" s="14" t="s">
        <v>2495</v>
      </c>
      <c r="H850" s="20" t="n">
        <v>23.2</v>
      </c>
      <c r="I850" s="13" t="n">
        <v>32</v>
      </c>
      <c r="J850" s="13" t="s">
        <v>5014</v>
      </c>
      <c r="K850" s="13" t="n">
        <v>32</v>
      </c>
      <c r="L850" s="21" t="n">
        <v>10.4</v>
      </c>
      <c r="M850" s="21" t="n">
        <f aca="false">IF(C850="covered",10.4,7.55)</f>
        <v>10.4</v>
      </c>
      <c r="N850" s="13" t="n">
        <f aca="false">MAX(ROUNDUP(H850,0),I850)</f>
        <v>32</v>
      </c>
      <c r="O850" s="21" t="n">
        <v>332.8</v>
      </c>
      <c r="P850" s="21" t="n">
        <f aca="false">ROUND(M850*N850,2)</f>
        <v>332.8</v>
      </c>
      <c r="Q850" s="21" t="n">
        <f aca="false">ROUND(P850-IF(O850="",0,O850),2)</f>
        <v>0</v>
      </c>
      <c r="R850" s="14" t="str">
        <f aca="false">IF(J850="","MISSING BILL",IF(AND(K850=N850,ABS(L850-M850)&lt;0.001,ABS(O850-P850)&lt;0.01),"RECONCILED","CALCULATION ERROR"))</f>
        <v>RECONCILED</v>
      </c>
      <c r="S850" s="14" t="s">
        <v>2935</v>
      </c>
    </row>
    <row r="851" customFormat="false" ht="15" hidden="true" customHeight="false" outlineLevel="0" collapsed="false">
      <c r="A851" s="13" t="s">
        <v>242</v>
      </c>
      <c r="B851" s="13" t="s">
        <v>70</v>
      </c>
      <c r="C851" s="13" t="s">
        <v>4156</v>
      </c>
      <c r="D851" s="13" t="s">
        <v>1873</v>
      </c>
      <c r="E851" s="13" t="s">
        <v>5015</v>
      </c>
      <c r="F851" s="14" t="s">
        <v>5016</v>
      </c>
      <c r="G851" s="14" t="s">
        <v>3400</v>
      </c>
      <c r="H851" s="20" t="n">
        <v>53.6</v>
      </c>
      <c r="I851" s="13" t="n">
        <v>32</v>
      </c>
      <c r="J851" s="13" t="s">
        <v>5017</v>
      </c>
      <c r="K851" s="13" t="n">
        <v>54</v>
      </c>
      <c r="L851" s="21" t="n">
        <v>10.4</v>
      </c>
      <c r="M851" s="21" t="n">
        <f aca="false">IF(C851="covered",10.4,7.55)</f>
        <v>10.4</v>
      </c>
      <c r="N851" s="13" t="n">
        <f aca="false">MAX(ROUNDUP(H851,0),I851)</f>
        <v>54</v>
      </c>
      <c r="O851" s="21" t="n">
        <v>561.6</v>
      </c>
      <c r="P851" s="21" t="n">
        <f aca="false">ROUND(M851*N851,2)</f>
        <v>561.6</v>
      </c>
      <c r="Q851" s="21" t="n">
        <f aca="false">ROUND(P851-IF(O851="",0,O851),2)</f>
        <v>0</v>
      </c>
      <c r="R851" s="14" t="str">
        <f aca="false">IF(J851="","MISSING BILL",IF(AND(K851=N851,ABS(L851-M851)&lt;0.001,ABS(O851-P851)&lt;0.01),"RECONCILED","CALCULATION ERROR"))</f>
        <v>RECONCILED</v>
      </c>
      <c r="S851" s="14" t="s">
        <v>2935</v>
      </c>
    </row>
    <row r="852" customFormat="false" ht="15" hidden="true" customHeight="false" outlineLevel="0" collapsed="false">
      <c r="A852" s="13" t="s">
        <v>1661</v>
      </c>
      <c r="B852" s="13" t="s">
        <v>70</v>
      </c>
      <c r="C852" s="13" t="s">
        <v>4156</v>
      </c>
      <c r="D852" s="13" t="s">
        <v>1873</v>
      </c>
      <c r="E852" s="13" t="s">
        <v>5018</v>
      </c>
      <c r="F852" s="14" t="s">
        <v>5019</v>
      </c>
      <c r="G852" s="14" t="s">
        <v>5020</v>
      </c>
      <c r="H852" s="20" t="n">
        <v>48.9</v>
      </c>
      <c r="I852" s="13" t="n">
        <v>36</v>
      </c>
      <c r="J852" s="13" t="s">
        <v>5021</v>
      </c>
      <c r="K852" s="13" t="n">
        <v>49</v>
      </c>
      <c r="L852" s="21" t="n">
        <v>10.4</v>
      </c>
      <c r="M852" s="21" t="n">
        <f aca="false">IF(C852="covered",10.4,7.55)</f>
        <v>10.4</v>
      </c>
      <c r="N852" s="13" t="n">
        <f aca="false">MAX(ROUNDUP(H852,0),I852)</f>
        <v>49</v>
      </c>
      <c r="O852" s="21" t="n">
        <v>509.6</v>
      </c>
      <c r="P852" s="21" t="n">
        <f aca="false">ROUND(M852*N852,2)</f>
        <v>509.6</v>
      </c>
      <c r="Q852" s="21" t="n">
        <f aca="false">ROUND(P852-IF(O852="",0,O852),2)</f>
        <v>0</v>
      </c>
      <c r="R852" s="14" t="str">
        <f aca="false">IF(J852="","MISSING BILL",IF(AND(K852=N852,ABS(L852-M852)&lt;0.001,ABS(O852-P852)&lt;0.01),"RECONCILED","CALCULATION ERROR"))</f>
        <v>RECONCILED</v>
      </c>
      <c r="S852" s="14" t="s">
        <v>2935</v>
      </c>
    </row>
    <row r="853" customFormat="false" ht="15" hidden="true" customHeight="false" outlineLevel="0" collapsed="false">
      <c r="A853" s="13" t="s">
        <v>5022</v>
      </c>
      <c r="B853" s="13" t="s">
        <v>70</v>
      </c>
      <c r="C853" s="13" t="s">
        <v>4156</v>
      </c>
      <c r="D853" s="13" t="s">
        <v>1873</v>
      </c>
      <c r="E853" s="13" t="s">
        <v>5023</v>
      </c>
      <c r="F853" s="14" t="s">
        <v>5024</v>
      </c>
      <c r="G853" s="14" t="s">
        <v>5025</v>
      </c>
      <c r="H853" s="20" t="n">
        <v>18.6</v>
      </c>
      <c r="I853" s="13" t="n">
        <v>24</v>
      </c>
      <c r="J853" s="13" t="s">
        <v>5026</v>
      </c>
      <c r="K853" s="13" t="n">
        <v>24</v>
      </c>
      <c r="L853" s="21" t="n">
        <v>10.4</v>
      </c>
      <c r="M853" s="21" t="n">
        <f aca="false">IF(C853="covered",10.4,7.55)</f>
        <v>10.4</v>
      </c>
      <c r="N853" s="13" t="n">
        <f aca="false">MAX(ROUNDUP(H853,0),I853)</f>
        <v>24</v>
      </c>
      <c r="O853" s="21" t="n">
        <v>249.6</v>
      </c>
      <c r="P853" s="21" t="n">
        <f aca="false">ROUND(M853*N853,2)</f>
        <v>249.6</v>
      </c>
      <c r="Q853" s="21" t="n">
        <f aca="false">ROUND(P853-IF(O853="",0,O853),2)</f>
        <v>0</v>
      </c>
      <c r="R853" s="14" t="str">
        <f aca="false">IF(J853="","MISSING BILL",IF(AND(K853=N853,ABS(L853-M853)&lt;0.001,ABS(O853-P853)&lt;0.01),"RECONCILED","CALCULATION ERROR"))</f>
        <v>RECONCILED</v>
      </c>
      <c r="S853" s="14" t="s">
        <v>2935</v>
      </c>
    </row>
    <row r="854" customFormat="false" ht="15" hidden="true" customHeight="false" outlineLevel="0" collapsed="false">
      <c r="A854" s="13" t="s">
        <v>1077</v>
      </c>
      <c r="B854" s="13" t="s">
        <v>70</v>
      </c>
      <c r="C854" s="13" t="s">
        <v>4156</v>
      </c>
      <c r="D854" s="13" t="s">
        <v>1873</v>
      </c>
      <c r="E854" s="13" t="s">
        <v>5027</v>
      </c>
      <c r="F854" s="14" t="s">
        <v>5028</v>
      </c>
      <c r="G854" s="14" t="s">
        <v>5029</v>
      </c>
      <c r="H854" s="20" t="n">
        <v>47.6</v>
      </c>
      <c r="I854" s="13" t="n">
        <v>28</v>
      </c>
      <c r="J854" s="13" t="s">
        <v>5030</v>
      </c>
      <c r="K854" s="13" t="n">
        <v>48</v>
      </c>
      <c r="L854" s="21" t="n">
        <v>10.4</v>
      </c>
      <c r="M854" s="21" t="n">
        <f aca="false">IF(C854="covered",10.4,7.55)</f>
        <v>10.4</v>
      </c>
      <c r="N854" s="13" t="n">
        <f aca="false">MAX(ROUNDUP(H854,0),I854)</f>
        <v>48</v>
      </c>
      <c r="O854" s="21" t="n">
        <v>499.2</v>
      </c>
      <c r="P854" s="21" t="n">
        <f aca="false">ROUND(M854*N854,2)</f>
        <v>499.2</v>
      </c>
      <c r="Q854" s="21" t="n">
        <f aca="false">ROUND(P854-IF(O854="",0,O854),2)</f>
        <v>0</v>
      </c>
      <c r="R854" s="14" t="str">
        <f aca="false">IF(J854="","MISSING BILL",IF(AND(K854=N854,ABS(L854-M854)&lt;0.001,ABS(O854-P854)&lt;0.01),"RECONCILED","CALCULATION ERROR"))</f>
        <v>RECONCILED</v>
      </c>
      <c r="S854" s="14" t="s">
        <v>2935</v>
      </c>
    </row>
    <row r="855" customFormat="false" ht="15" hidden="true" customHeight="false" outlineLevel="0" collapsed="false">
      <c r="A855" s="13" t="s">
        <v>1106</v>
      </c>
      <c r="B855" s="13" t="s">
        <v>70</v>
      </c>
      <c r="C855" s="13" t="s">
        <v>4156</v>
      </c>
      <c r="D855" s="13" t="s">
        <v>1873</v>
      </c>
      <c r="E855" s="13" t="s">
        <v>5031</v>
      </c>
      <c r="F855" s="14" t="s">
        <v>5032</v>
      </c>
      <c r="G855" s="14" t="s">
        <v>4351</v>
      </c>
      <c r="H855" s="20" t="n">
        <v>30.9</v>
      </c>
      <c r="I855" s="13" t="n">
        <v>32</v>
      </c>
      <c r="J855" s="13" t="s">
        <v>5033</v>
      </c>
      <c r="K855" s="13" t="n">
        <v>32</v>
      </c>
      <c r="L855" s="21" t="n">
        <v>10.4</v>
      </c>
      <c r="M855" s="21" t="n">
        <f aca="false">IF(C855="covered",10.4,7.55)</f>
        <v>10.4</v>
      </c>
      <c r="N855" s="13" t="n">
        <f aca="false">MAX(ROUNDUP(H855,0),I855)</f>
        <v>32</v>
      </c>
      <c r="O855" s="21" t="n">
        <v>332.8</v>
      </c>
      <c r="P855" s="21" t="n">
        <f aca="false">ROUND(M855*N855,2)</f>
        <v>332.8</v>
      </c>
      <c r="Q855" s="21" t="n">
        <f aca="false">ROUND(P855-IF(O855="",0,O855),2)</f>
        <v>0</v>
      </c>
      <c r="R855" s="14" t="str">
        <f aca="false">IF(J855="","MISSING BILL",IF(AND(K855=N855,ABS(L855-M855)&lt;0.001,ABS(O855-P855)&lt;0.01),"RECONCILED","CALCULATION ERROR"))</f>
        <v>RECONCILED</v>
      </c>
      <c r="S855" s="14" t="s">
        <v>2935</v>
      </c>
    </row>
    <row r="856" customFormat="false" ht="15" hidden="true" customHeight="false" outlineLevel="0" collapsed="false">
      <c r="A856" s="13" t="s">
        <v>1500</v>
      </c>
      <c r="B856" s="13" t="s">
        <v>70</v>
      </c>
      <c r="C856" s="13" t="s">
        <v>4156</v>
      </c>
      <c r="D856" s="13" t="s">
        <v>1873</v>
      </c>
      <c r="E856" s="13" t="s">
        <v>5034</v>
      </c>
      <c r="F856" s="14" t="s">
        <v>5035</v>
      </c>
      <c r="G856" s="14" t="s">
        <v>2451</v>
      </c>
      <c r="H856" s="20" t="n">
        <v>29.2</v>
      </c>
      <c r="I856" s="13" t="n">
        <v>24</v>
      </c>
      <c r="J856" s="13" t="s">
        <v>5036</v>
      </c>
      <c r="K856" s="13" t="n">
        <v>30</v>
      </c>
      <c r="L856" s="21" t="n">
        <v>10.4</v>
      </c>
      <c r="M856" s="21" t="n">
        <f aca="false">IF(C856="covered",10.4,7.55)</f>
        <v>10.4</v>
      </c>
      <c r="N856" s="13" t="n">
        <f aca="false">MAX(ROUNDUP(H856,0),I856)</f>
        <v>30</v>
      </c>
      <c r="O856" s="21" t="n">
        <v>312</v>
      </c>
      <c r="P856" s="21" t="n">
        <f aca="false">ROUND(M856*N856,2)</f>
        <v>312</v>
      </c>
      <c r="Q856" s="21" t="n">
        <f aca="false">ROUND(P856-IF(O856="",0,O856),2)</f>
        <v>0</v>
      </c>
      <c r="R856" s="14" t="str">
        <f aca="false">IF(J856="","MISSING BILL",IF(AND(K856=N856,ABS(L856-M856)&lt;0.001,ABS(O856-P856)&lt;0.01),"RECONCILED","CALCULATION ERROR"))</f>
        <v>RECONCILED</v>
      </c>
      <c r="S856" s="14" t="s">
        <v>2935</v>
      </c>
    </row>
    <row r="857" customFormat="false" ht="15" hidden="true" customHeight="false" outlineLevel="0" collapsed="false">
      <c r="A857" s="13" t="s">
        <v>5037</v>
      </c>
      <c r="B857" s="13" t="s">
        <v>70</v>
      </c>
      <c r="C857" s="13" t="s">
        <v>4156</v>
      </c>
      <c r="D857" s="13" t="s">
        <v>1873</v>
      </c>
      <c r="E857" s="13" t="s">
        <v>5038</v>
      </c>
      <c r="F857" s="14" t="s">
        <v>5039</v>
      </c>
      <c r="G857" s="14" t="s">
        <v>3615</v>
      </c>
      <c r="H857" s="20" t="n">
        <v>34.1</v>
      </c>
      <c r="I857" s="13" t="n">
        <v>24</v>
      </c>
      <c r="J857" s="13" t="s">
        <v>5040</v>
      </c>
      <c r="K857" s="13" t="n">
        <v>35</v>
      </c>
      <c r="L857" s="21" t="n">
        <v>10.4</v>
      </c>
      <c r="M857" s="21" t="n">
        <f aca="false">IF(C857="covered",10.4,7.55)</f>
        <v>10.4</v>
      </c>
      <c r="N857" s="13" t="n">
        <f aca="false">MAX(ROUNDUP(H857,0),I857)</f>
        <v>35</v>
      </c>
      <c r="O857" s="21" t="n">
        <v>364</v>
      </c>
      <c r="P857" s="21" t="n">
        <f aca="false">ROUND(M857*N857,2)</f>
        <v>364</v>
      </c>
      <c r="Q857" s="21" t="n">
        <f aca="false">ROUND(P857-IF(O857="",0,O857),2)</f>
        <v>0</v>
      </c>
      <c r="R857" s="14" t="str">
        <f aca="false">IF(J857="","MISSING BILL",IF(AND(K857=N857,ABS(L857-M857)&lt;0.001,ABS(O857-P857)&lt;0.01),"RECONCILED","CALCULATION ERROR"))</f>
        <v>RECONCILED</v>
      </c>
      <c r="S857" s="14" t="s">
        <v>2935</v>
      </c>
    </row>
    <row r="858" customFormat="false" ht="15" hidden="true" customHeight="false" outlineLevel="0" collapsed="false">
      <c r="A858" s="13" t="s">
        <v>5041</v>
      </c>
      <c r="B858" s="13" t="s">
        <v>70</v>
      </c>
      <c r="C858" s="13" t="s">
        <v>4156</v>
      </c>
      <c r="D858" s="13" t="s">
        <v>1873</v>
      </c>
      <c r="E858" s="13" t="s">
        <v>1596</v>
      </c>
      <c r="F858" s="14" t="s">
        <v>1597</v>
      </c>
      <c r="G858" s="14" t="s">
        <v>1881</v>
      </c>
      <c r="H858" s="20" t="n">
        <v>54.5</v>
      </c>
      <c r="I858" s="13" t="n">
        <v>32</v>
      </c>
      <c r="J858" s="13" t="s">
        <v>5042</v>
      </c>
      <c r="K858" s="13" t="n">
        <v>55</v>
      </c>
      <c r="L858" s="21" t="n">
        <v>10.4</v>
      </c>
      <c r="M858" s="21" t="n">
        <f aca="false">IF(C858="covered",10.4,7.55)</f>
        <v>10.4</v>
      </c>
      <c r="N858" s="13" t="n">
        <f aca="false">MAX(ROUNDUP(H858,0),I858)</f>
        <v>55</v>
      </c>
      <c r="O858" s="21" t="n">
        <v>572</v>
      </c>
      <c r="P858" s="21" t="n">
        <f aca="false">ROUND(M858*N858,2)</f>
        <v>572</v>
      </c>
      <c r="Q858" s="21" t="n">
        <f aca="false">ROUND(P858-IF(O858="",0,O858),2)</f>
        <v>0</v>
      </c>
      <c r="R858" s="14" t="str">
        <f aca="false">IF(J858="","MISSING BILL",IF(AND(K858=N858,ABS(L858-M858)&lt;0.001,ABS(O858-P858)&lt;0.01),"RECONCILED","CALCULATION ERROR"))</f>
        <v>RECONCILED</v>
      </c>
      <c r="S858" s="14" t="s">
        <v>2935</v>
      </c>
    </row>
    <row r="859" customFormat="false" ht="15" hidden="true" customHeight="false" outlineLevel="0" collapsed="false">
      <c r="A859" s="13" t="s">
        <v>5043</v>
      </c>
      <c r="B859" s="13" t="s">
        <v>70</v>
      </c>
      <c r="C859" s="13" t="s">
        <v>4156</v>
      </c>
      <c r="D859" s="13" t="s">
        <v>1873</v>
      </c>
      <c r="E859" s="13" t="s">
        <v>5044</v>
      </c>
      <c r="F859" s="14" t="s">
        <v>5045</v>
      </c>
      <c r="G859" s="14" t="s">
        <v>4670</v>
      </c>
      <c r="H859" s="20" t="n">
        <v>34.5</v>
      </c>
      <c r="I859" s="13" t="n">
        <v>40</v>
      </c>
      <c r="J859" s="13" t="s">
        <v>5046</v>
      </c>
      <c r="K859" s="13" t="n">
        <v>40</v>
      </c>
      <c r="L859" s="21" t="n">
        <v>10.4</v>
      </c>
      <c r="M859" s="21" t="n">
        <f aca="false">IF(C859="covered",10.4,7.55)</f>
        <v>10.4</v>
      </c>
      <c r="N859" s="13" t="n">
        <f aca="false">MAX(ROUNDUP(H859,0),I859)</f>
        <v>40</v>
      </c>
      <c r="O859" s="21" t="n">
        <v>416</v>
      </c>
      <c r="P859" s="21" t="n">
        <f aca="false">ROUND(M859*N859,2)</f>
        <v>416</v>
      </c>
      <c r="Q859" s="21" t="n">
        <f aca="false">ROUND(P859-IF(O859="",0,O859),2)</f>
        <v>0</v>
      </c>
      <c r="R859" s="14" t="str">
        <f aca="false">IF(J859="","MISSING BILL",IF(AND(K859=N859,ABS(L859-M859)&lt;0.001,ABS(O859-P859)&lt;0.01),"RECONCILED","CALCULATION ERROR"))</f>
        <v>RECONCILED</v>
      </c>
      <c r="S859" s="14" t="s">
        <v>2935</v>
      </c>
    </row>
    <row r="860" customFormat="false" ht="15" hidden="true" customHeight="false" outlineLevel="0" collapsed="false">
      <c r="A860" s="13" t="s">
        <v>5047</v>
      </c>
      <c r="B860" s="13" t="s">
        <v>70</v>
      </c>
      <c r="C860" s="13" t="s">
        <v>4156</v>
      </c>
      <c r="D860" s="13" t="s">
        <v>1873</v>
      </c>
      <c r="E860" s="13" t="s">
        <v>5048</v>
      </c>
      <c r="F860" s="14" t="s">
        <v>5049</v>
      </c>
      <c r="G860" s="14" t="s">
        <v>2846</v>
      </c>
      <c r="H860" s="20" t="n">
        <v>18</v>
      </c>
      <c r="I860" s="13" t="n">
        <v>24</v>
      </c>
      <c r="J860" s="13" t="s">
        <v>5050</v>
      </c>
      <c r="K860" s="13" t="n">
        <v>24</v>
      </c>
      <c r="L860" s="21" t="n">
        <v>10.4</v>
      </c>
      <c r="M860" s="21" t="n">
        <f aca="false">IF(C860="covered",10.4,7.55)</f>
        <v>10.4</v>
      </c>
      <c r="N860" s="13" t="n">
        <f aca="false">MAX(ROUNDUP(H860,0),I860)</f>
        <v>24</v>
      </c>
      <c r="O860" s="21" t="n">
        <v>249.6</v>
      </c>
      <c r="P860" s="21" t="n">
        <f aca="false">ROUND(M860*N860,2)</f>
        <v>249.6</v>
      </c>
      <c r="Q860" s="21" t="n">
        <f aca="false">ROUND(P860-IF(O860="",0,O860),2)</f>
        <v>0</v>
      </c>
      <c r="R860" s="14" t="str">
        <f aca="false">IF(J860="","MISSING BILL",IF(AND(K860=N860,ABS(L860-M860)&lt;0.001,ABS(O860-P860)&lt;0.01),"RECONCILED","CALCULATION ERROR"))</f>
        <v>RECONCILED</v>
      </c>
      <c r="S860" s="14" t="s">
        <v>2935</v>
      </c>
    </row>
    <row r="861" customFormat="false" ht="15" hidden="true" customHeight="false" outlineLevel="0" collapsed="false">
      <c r="A861" s="13" t="s">
        <v>5051</v>
      </c>
      <c r="B861" s="13" t="s">
        <v>70</v>
      </c>
      <c r="C861" s="13" t="s">
        <v>4156</v>
      </c>
      <c r="D861" s="13" t="s">
        <v>1873</v>
      </c>
      <c r="E861" s="13" t="s">
        <v>5052</v>
      </c>
      <c r="F861" s="14" t="s">
        <v>5053</v>
      </c>
      <c r="G861" s="14" t="s">
        <v>2366</v>
      </c>
      <c r="H861" s="20" t="n">
        <v>21.4</v>
      </c>
      <c r="I861" s="13" t="n">
        <v>32</v>
      </c>
      <c r="J861" s="13" t="s">
        <v>5054</v>
      </c>
      <c r="K861" s="13" t="n">
        <v>32</v>
      </c>
      <c r="L861" s="21" t="n">
        <v>10.4</v>
      </c>
      <c r="M861" s="21" t="n">
        <f aca="false">IF(C861="covered",10.4,7.55)</f>
        <v>10.4</v>
      </c>
      <c r="N861" s="13" t="n">
        <f aca="false">MAX(ROUNDUP(H861,0),I861)</f>
        <v>32</v>
      </c>
      <c r="O861" s="21" t="n">
        <v>332.8</v>
      </c>
      <c r="P861" s="21" t="n">
        <f aca="false">ROUND(M861*N861,2)</f>
        <v>332.8</v>
      </c>
      <c r="Q861" s="21" t="n">
        <f aca="false">ROUND(P861-IF(O861="",0,O861),2)</f>
        <v>0</v>
      </c>
      <c r="R861" s="14" t="str">
        <f aca="false">IF(J861="","MISSING BILL",IF(AND(K861=N861,ABS(L861-M861)&lt;0.001,ABS(O861-P861)&lt;0.01),"RECONCILED","CALCULATION ERROR"))</f>
        <v>RECONCILED</v>
      </c>
      <c r="S861" s="14" t="s">
        <v>2935</v>
      </c>
    </row>
    <row r="862" customFormat="false" ht="15" hidden="true" customHeight="false" outlineLevel="0" collapsed="false">
      <c r="A862" s="13" t="s">
        <v>5055</v>
      </c>
      <c r="B862" s="13" t="s">
        <v>70</v>
      </c>
      <c r="C862" s="13" t="s">
        <v>4156</v>
      </c>
      <c r="D862" s="13" t="s">
        <v>1873</v>
      </c>
      <c r="E862" s="13" t="s">
        <v>5056</v>
      </c>
      <c r="F862" s="14" t="s">
        <v>5057</v>
      </c>
      <c r="G862" s="14" t="s">
        <v>3764</v>
      </c>
      <c r="H862" s="20" t="n">
        <v>58.7</v>
      </c>
      <c r="I862" s="13" t="n">
        <v>28</v>
      </c>
      <c r="J862" s="13" t="s">
        <v>5058</v>
      </c>
      <c r="K862" s="13" t="n">
        <v>59</v>
      </c>
      <c r="L862" s="21" t="n">
        <v>10.4</v>
      </c>
      <c r="M862" s="21" t="n">
        <f aca="false">IF(C862="covered",10.4,7.55)</f>
        <v>10.4</v>
      </c>
      <c r="N862" s="13" t="n">
        <f aca="false">MAX(ROUNDUP(H862,0),I862)</f>
        <v>59</v>
      </c>
      <c r="O862" s="21" t="n">
        <v>613.6</v>
      </c>
      <c r="P862" s="21" t="n">
        <f aca="false">ROUND(M862*N862,2)</f>
        <v>613.6</v>
      </c>
      <c r="Q862" s="21" t="n">
        <f aca="false">ROUND(P862-IF(O862="",0,O862),2)</f>
        <v>0</v>
      </c>
      <c r="R862" s="14" t="str">
        <f aca="false">IF(J862="","MISSING BILL",IF(AND(K862=N862,ABS(L862-M862)&lt;0.001,ABS(O862-P862)&lt;0.01),"RECONCILED","CALCULATION ERROR"))</f>
        <v>RECONCILED</v>
      </c>
      <c r="S862" s="14" t="s">
        <v>2935</v>
      </c>
    </row>
    <row r="863" customFormat="false" ht="15" hidden="true" customHeight="false" outlineLevel="0" collapsed="false">
      <c r="A863" s="13" t="s">
        <v>137</v>
      </c>
      <c r="B863" s="13" t="s">
        <v>70</v>
      </c>
      <c r="C863" s="13" t="s">
        <v>4156</v>
      </c>
      <c r="D863" s="13" t="s">
        <v>1873</v>
      </c>
      <c r="E863" s="13" t="s">
        <v>5059</v>
      </c>
      <c r="F863" s="14" t="s">
        <v>5060</v>
      </c>
      <c r="G863" s="14" t="s">
        <v>2827</v>
      </c>
      <c r="H863" s="20" t="n">
        <v>36.8</v>
      </c>
      <c r="I863" s="13" t="n">
        <v>28</v>
      </c>
      <c r="J863" s="13" t="s">
        <v>5061</v>
      </c>
      <c r="K863" s="13" t="n">
        <v>37</v>
      </c>
      <c r="L863" s="21" t="n">
        <v>10.4</v>
      </c>
      <c r="M863" s="21" t="n">
        <f aca="false">IF(C863="covered",10.4,7.55)</f>
        <v>10.4</v>
      </c>
      <c r="N863" s="13" t="n">
        <f aca="false">MAX(ROUNDUP(H863,0),I863)</f>
        <v>37</v>
      </c>
      <c r="O863" s="21" t="n">
        <v>384.8</v>
      </c>
      <c r="P863" s="21" t="n">
        <f aca="false">ROUND(M863*N863,2)</f>
        <v>384.8</v>
      </c>
      <c r="Q863" s="21" t="n">
        <f aca="false">ROUND(P863-IF(O863="",0,O863),2)</f>
        <v>0</v>
      </c>
      <c r="R863" s="14" t="str">
        <f aca="false">IF(J863="","MISSING BILL",IF(AND(K863=N863,ABS(L863-M863)&lt;0.001,ABS(O863-P863)&lt;0.01),"RECONCILED","CALCULATION ERROR"))</f>
        <v>RECONCILED</v>
      </c>
      <c r="S863" s="14" t="s">
        <v>2935</v>
      </c>
    </row>
    <row r="864" customFormat="false" ht="15" hidden="true" customHeight="false" outlineLevel="0" collapsed="false">
      <c r="A864" s="13" t="s">
        <v>5062</v>
      </c>
      <c r="B864" s="13" t="s">
        <v>70</v>
      </c>
      <c r="C864" s="13" t="s">
        <v>4156</v>
      </c>
      <c r="D864" s="13" t="s">
        <v>1873</v>
      </c>
      <c r="E864" s="13" t="s">
        <v>5063</v>
      </c>
      <c r="F864" s="14" t="s">
        <v>5064</v>
      </c>
      <c r="G864" s="14" t="s">
        <v>2240</v>
      </c>
      <c r="H864" s="20" t="n">
        <v>62</v>
      </c>
      <c r="I864" s="13" t="n">
        <v>24</v>
      </c>
      <c r="J864" s="13" t="s">
        <v>5065</v>
      </c>
      <c r="K864" s="13" t="n">
        <v>62</v>
      </c>
      <c r="L864" s="21" t="n">
        <v>10.4</v>
      </c>
      <c r="M864" s="21" t="n">
        <f aca="false">IF(C864="covered",10.4,7.55)</f>
        <v>10.4</v>
      </c>
      <c r="N864" s="13" t="n">
        <f aca="false">MAX(ROUNDUP(H864,0),I864)</f>
        <v>62</v>
      </c>
      <c r="O864" s="21" t="n">
        <v>644.8</v>
      </c>
      <c r="P864" s="21" t="n">
        <f aca="false">ROUND(M864*N864,2)</f>
        <v>644.8</v>
      </c>
      <c r="Q864" s="21" t="n">
        <f aca="false">ROUND(P864-IF(O864="",0,O864),2)</f>
        <v>0</v>
      </c>
      <c r="R864" s="14" t="str">
        <f aca="false">IF(J864="","MISSING BILL",IF(AND(K864=N864,ABS(L864-M864)&lt;0.001,ABS(O864-P864)&lt;0.01),"RECONCILED","CALCULATION ERROR"))</f>
        <v>RECONCILED</v>
      </c>
      <c r="S864" s="14" t="s">
        <v>2935</v>
      </c>
    </row>
    <row r="865" customFormat="false" ht="15" hidden="true" customHeight="false" outlineLevel="0" collapsed="false">
      <c r="A865" s="13" t="s">
        <v>5066</v>
      </c>
      <c r="B865" s="13" t="s">
        <v>70</v>
      </c>
      <c r="C865" s="13" t="s">
        <v>4156</v>
      </c>
      <c r="D865" s="13" t="s">
        <v>1873</v>
      </c>
      <c r="E865" s="13" t="s">
        <v>5067</v>
      </c>
      <c r="F865" s="14" t="s">
        <v>5068</v>
      </c>
      <c r="G865" s="14" t="s">
        <v>4670</v>
      </c>
      <c r="H865" s="20" t="n">
        <v>59.8</v>
      </c>
      <c r="I865" s="13" t="n">
        <v>24</v>
      </c>
      <c r="J865" s="13" t="s">
        <v>5069</v>
      </c>
      <c r="K865" s="13" t="n">
        <v>60</v>
      </c>
      <c r="L865" s="21" t="n">
        <v>10.4</v>
      </c>
      <c r="M865" s="21" t="n">
        <f aca="false">IF(C865="covered",10.4,7.55)</f>
        <v>10.4</v>
      </c>
      <c r="N865" s="13" t="n">
        <f aca="false">MAX(ROUNDUP(H865,0),I865)</f>
        <v>60</v>
      </c>
      <c r="O865" s="21" t="n">
        <v>624</v>
      </c>
      <c r="P865" s="21" t="n">
        <f aca="false">ROUND(M865*N865,2)</f>
        <v>624</v>
      </c>
      <c r="Q865" s="21" t="n">
        <f aca="false">ROUND(P865-IF(O865="",0,O865),2)</f>
        <v>0</v>
      </c>
      <c r="R865" s="14" t="str">
        <f aca="false">IF(J865="","MISSING BILL",IF(AND(K865=N865,ABS(L865-M865)&lt;0.001,ABS(O865-P865)&lt;0.01),"RECONCILED","CALCULATION ERROR"))</f>
        <v>RECONCILED</v>
      </c>
      <c r="S865" s="14" t="s">
        <v>2935</v>
      </c>
    </row>
    <row r="866" customFormat="false" ht="15" hidden="true" customHeight="false" outlineLevel="0" collapsed="false">
      <c r="A866" s="13" t="s">
        <v>5070</v>
      </c>
      <c r="B866" s="13" t="s">
        <v>70</v>
      </c>
      <c r="C866" s="13" t="s">
        <v>4156</v>
      </c>
      <c r="D866" s="13" t="s">
        <v>1873</v>
      </c>
      <c r="E866" s="13" t="s">
        <v>5071</v>
      </c>
      <c r="F866" s="14" t="s">
        <v>5072</v>
      </c>
      <c r="G866" s="14" t="s">
        <v>5073</v>
      </c>
      <c r="H866" s="20" t="n">
        <v>41.3</v>
      </c>
      <c r="I866" s="13" t="n">
        <v>32</v>
      </c>
      <c r="J866" s="13" t="s">
        <v>5074</v>
      </c>
      <c r="K866" s="13" t="n">
        <v>42</v>
      </c>
      <c r="L866" s="21" t="n">
        <v>10.4</v>
      </c>
      <c r="M866" s="21" t="n">
        <f aca="false">IF(C866="covered",10.4,7.55)</f>
        <v>10.4</v>
      </c>
      <c r="N866" s="13" t="n">
        <f aca="false">MAX(ROUNDUP(H866,0),I866)</f>
        <v>42</v>
      </c>
      <c r="O866" s="21" t="n">
        <v>436.8</v>
      </c>
      <c r="P866" s="21" t="n">
        <f aca="false">ROUND(M866*N866,2)</f>
        <v>436.8</v>
      </c>
      <c r="Q866" s="21" t="n">
        <f aca="false">ROUND(P866-IF(O866="",0,O866),2)</f>
        <v>0</v>
      </c>
      <c r="R866" s="14" t="str">
        <f aca="false">IF(J866="","MISSING BILL",IF(AND(K866=N866,ABS(L866-M866)&lt;0.001,ABS(O866-P866)&lt;0.01),"RECONCILED","CALCULATION ERROR"))</f>
        <v>RECONCILED</v>
      </c>
      <c r="S866" s="14" t="s">
        <v>2935</v>
      </c>
    </row>
    <row r="867" customFormat="false" ht="15" hidden="true" customHeight="false" outlineLevel="0" collapsed="false">
      <c r="A867" s="13" t="s">
        <v>5075</v>
      </c>
      <c r="B867" s="13" t="s">
        <v>70</v>
      </c>
      <c r="C867" s="13" t="s">
        <v>4156</v>
      </c>
      <c r="D867" s="13" t="s">
        <v>1873</v>
      </c>
      <c r="E867" s="13" t="s">
        <v>5076</v>
      </c>
      <c r="F867" s="14" t="s">
        <v>5077</v>
      </c>
      <c r="G867" s="14" t="s">
        <v>2603</v>
      </c>
      <c r="H867" s="20" t="n">
        <v>24.1</v>
      </c>
      <c r="I867" s="13" t="n">
        <v>32</v>
      </c>
      <c r="J867" s="13" t="s">
        <v>5078</v>
      </c>
      <c r="K867" s="13" t="n">
        <v>32</v>
      </c>
      <c r="L867" s="21" t="n">
        <v>10.4</v>
      </c>
      <c r="M867" s="21" t="n">
        <f aca="false">IF(C867="covered",10.4,7.55)</f>
        <v>10.4</v>
      </c>
      <c r="N867" s="13" t="n">
        <f aca="false">MAX(ROUNDUP(H867,0),I867)</f>
        <v>32</v>
      </c>
      <c r="O867" s="21" t="n">
        <v>332.8</v>
      </c>
      <c r="P867" s="21" t="n">
        <f aca="false">ROUND(M867*N867,2)</f>
        <v>332.8</v>
      </c>
      <c r="Q867" s="21" t="n">
        <f aca="false">ROUND(P867-IF(O867="",0,O867),2)</f>
        <v>0</v>
      </c>
      <c r="R867" s="14" t="str">
        <f aca="false">IF(J867="","MISSING BILL",IF(AND(K867=N867,ABS(L867-M867)&lt;0.001,ABS(O867-P867)&lt;0.01),"RECONCILED","CALCULATION ERROR"))</f>
        <v>RECONCILED</v>
      </c>
      <c r="S867" s="14" t="s">
        <v>2935</v>
      </c>
    </row>
    <row r="868" customFormat="false" ht="15" hidden="true" customHeight="false" outlineLevel="0" collapsed="false">
      <c r="A868" s="13" t="s">
        <v>5079</v>
      </c>
      <c r="B868" s="13" t="s">
        <v>96</v>
      </c>
      <c r="C868" s="13" t="s">
        <v>4156</v>
      </c>
      <c r="D868" s="13" t="s">
        <v>1873</v>
      </c>
      <c r="E868" s="13" t="s">
        <v>5080</v>
      </c>
      <c r="F868" s="14" t="s">
        <v>5081</v>
      </c>
      <c r="G868" s="14" t="s">
        <v>2546</v>
      </c>
      <c r="H868" s="20" t="n">
        <v>61</v>
      </c>
      <c r="I868" s="13" t="n">
        <v>36</v>
      </c>
      <c r="J868" s="13" t="s">
        <v>5082</v>
      </c>
      <c r="K868" s="13" t="n">
        <v>61</v>
      </c>
      <c r="L868" s="21" t="n">
        <v>10.4</v>
      </c>
      <c r="M868" s="21" t="n">
        <f aca="false">IF(C868="covered",10.4,7.55)</f>
        <v>10.4</v>
      </c>
      <c r="N868" s="13" t="n">
        <f aca="false">MAX(ROUNDUP(H868,0),I868)</f>
        <v>61</v>
      </c>
      <c r="O868" s="21" t="n">
        <v>634.4</v>
      </c>
      <c r="P868" s="21" t="n">
        <f aca="false">ROUND(M868*N868,2)</f>
        <v>634.4</v>
      </c>
      <c r="Q868" s="21" t="n">
        <f aca="false">ROUND(P868-IF(O868="",0,O868),2)</f>
        <v>0</v>
      </c>
      <c r="R868" s="14" t="str">
        <f aca="false">IF(J868="","MISSING BILL",IF(AND(K868=N868,ABS(L868-M868)&lt;0.001,ABS(O868-P868)&lt;0.01),"RECONCILED","CALCULATION ERROR"))</f>
        <v>RECONCILED</v>
      </c>
      <c r="S868" s="14" t="s">
        <v>2935</v>
      </c>
    </row>
    <row r="869" customFormat="false" ht="15" hidden="true" customHeight="false" outlineLevel="0" collapsed="false">
      <c r="A869" s="13" t="s">
        <v>5083</v>
      </c>
      <c r="B869" s="13" t="s">
        <v>96</v>
      </c>
      <c r="C869" s="13" t="s">
        <v>4156</v>
      </c>
      <c r="D869" s="13" t="s">
        <v>1873</v>
      </c>
      <c r="E869" s="13" t="s">
        <v>5084</v>
      </c>
      <c r="F869" s="14" t="s">
        <v>5085</v>
      </c>
      <c r="G869" s="14" t="s">
        <v>4071</v>
      </c>
      <c r="H869" s="20" t="n">
        <v>33.2</v>
      </c>
      <c r="I869" s="13" t="n">
        <v>24</v>
      </c>
      <c r="J869" s="13" t="s">
        <v>5086</v>
      </c>
      <c r="K869" s="13" t="n">
        <v>34</v>
      </c>
      <c r="L869" s="21" t="n">
        <v>10.4</v>
      </c>
      <c r="M869" s="21" t="n">
        <f aca="false">IF(C869="covered",10.4,7.55)</f>
        <v>10.4</v>
      </c>
      <c r="N869" s="13" t="n">
        <f aca="false">MAX(ROUNDUP(H869,0),I869)</f>
        <v>34</v>
      </c>
      <c r="O869" s="21" t="n">
        <v>353.6</v>
      </c>
      <c r="P869" s="21" t="n">
        <f aca="false">ROUND(M869*N869,2)</f>
        <v>353.6</v>
      </c>
      <c r="Q869" s="21" t="n">
        <f aca="false">ROUND(P869-IF(O869="",0,O869),2)</f>
        <v>0</v>
      </c>
      <c r="R869" s="14" t="str">
        <f aca="false">IF(J869="","MISSING BILL",IF(AND(K869=N869,ABS(L869-M869)&lt;0.001,ABS(O869-P869)&lt;0.01),"RECONCILED","CALCULATION ERROR"))</f>
        <v>RECONCILED</v>
      </c>
      <c r="S869" s="14" t="s">
        <v>2935</v>
      </c>
    </row>
    <row r="870" customFormat="false" ht="15" hidden="true" customHeight="false" outlineLevel="0" collapsed="false">
      <c r="A870" s="13" t="s">
        <v>5087</v>
      </c>
      <c r="B870" s="13" t="s">
        <v>96</v>
      </c>
      <c r="C870" s="13" t="s">
        <v>4156</v>
      </c>
      <c r="D870" s="13" t="s">
        <v>1873</v>
      </c>
      <c r="E870" s="13" t="s">
        <v>1690</v>
      </c>
      <c r="F870" s="14" t="s">
        <v>1691</v>
      </c>
      <c r="G870" s="14" t="s">
        <v>4813</v>
      </c>
      <c r="H870" s="20" t="n">
        <v>38.9</v>
      </c>
      <c r="I870" s="13" t="n">
        <v>24</v>
      </c>
      <c r="J870" s="13" t="s">
        <v>5088</v>
      </c>
      <c r="K870" s="13" t="n">
        <v>39</v>
      </c>
      <c r="L870" s="21" t="n">
        <v>10.4</v>
      </c>
      <c r="M870" s="21" t="n">
        <f aca="false">IF(C870="covered",10.4,7.55)</f>
        <v>10.4</v>
      </c>
      <c r="N870" s="13" t="n">
        <f aca="false">MAX(ROUNDUP(H870,0),I870)</f>
        <v>39</v>
      </c>
      <c r="O870" s="21" t="n">
        <v>405.6</v>
      </c>
      <c r="P870" s="21" t="n">
        <f aca="false">ROUND(M870*N870,2)</f>
        <v>405.6</v>
      </c>
      <c r="Q870" s="21" t="n">
        <f aca="false">ROUND(P870-IF(O870="",0,O870),2)</f>
        <v>0</v>
      </c>
      <c r="R870" s="14" t="str">
        <f aca="false">IF(J870="","MISSING BILL",IF(AND(K870=N870,ABS(L870-M870)&lt;0.001,ABS(O870-P870)&lt;0.01),"RECONCILED","CALCULATION ERROR"))</f>
        <v>RECONCILED</v>
      </c>
      <c r="S870" s="14" t="s">
        <v>2935</v>
      </c>
    </row>
    <row r="871" customFormat="false" ht="15" hidden="true" customHeight="false" outlineLevel="0" collapsed="false">
      <c r="A871" s="13" t="s">
        <v>5089</v>
      </c>
      <c r="B871" s="13" t="s">
        <v>96</v>
      </c>
      <c r="C871" s="13" t="s">
        <v>4156</v>
      </c>
      <c r="D871" s="13" t="s">
        <v>1873</v>
      </c>
      <c r="E871" s="13" t="s">
        <v>5090</v>
      </c>
      <c r="F871" s="14" t="s">
        <v>5091</v>
      </c>
      <c r="G871" s="14" t="s">
        <v>1885</v>
      </c>
      <c r="H871" s="20" t="n">
        <v>53.9</v>
      </c>
      <c r="I871" s="13" t="n">
        <v>40</v>
      </c>
      <c r="J871" s="13" t="s">
        <v>5092</v>
      </c>
      <c r="K871" s="13" t="n">
        <v>54</v>
      </c>
      <c r="L871" s="21" t="n">
        <v>10.4</v>
      </c>
      <c r="M871" s="21" t="n">
        <f aca="false">IF(C871="covered",10.4,7.55)</f>
        <v>10.4</v>
      </c>
      <c r="N871" s="13" t="n">
        <f aca="false">MAX(ROUNDUP(H871,0),I871)</f>
        <v>54</v>
      </c>
      <c r="O871" s="21" t="n">
        <v>561.6</v>
      </c>
      <c r="P871" s="21" t="n">
        <f aca="false">ROUND(M871*N871,2)</f>
        <v>561.6</v>
      </c>
      <c r="Q871" s="21" t="n">
        <f aca="false">ROUND(P871-IF(O871="",0,O871),2)</f>
        <v>0</v>
      </c>
      <c r="R871" s="14" t="str">
        <f aca="false">IF(J871="","MISSING BILL",IF(AND(K871=N871,ABS(L871-M871)&lt;0.001,ABS(O871-P871)&lt;0.01),"RECONCILED","CALCULATION ERROR"))</f>
        <v>RECONCILED</v>
      </c>
      <c r="S871" s="14" t="s">
        <v>2935</v>
      </c>
    </row>
    <row r="872" customFormat="false" ht="15" hidden="true" customHeight="false" outlineLevel="0" collapsed="false">
      <c r="A872" s="13" t="s">
        <v>5093</v>
      </c>
      <c r="B872" s="13" t="s">
        <v>96</v>
      </c>
      <c r="C872" s="13" t="s">
        <v>4156</v>
      </c>
      <c r="D872" s="13" t="s">
        <v>1873</v>
      </c>
      <c r="E872" s="13" t="s">
        <v>5094</v>
      </c>
      <c r="F872" s="14" t="s">
        <v>5095</v>
      </c>
      <c r="G872" s="14" t="s">
        <v>2552</v>
      </c>
      <c r="H872" s="20" t="n">
        <v>48.2</v>
      </c>
      <c r="I872" s="13" t="n">
        <v>24</v>
      </c>
      <c r="J872" s="13" t="s">
        <v>5096</v>
      </c>
      <c r="K872" s="13" t="n">
        <v>49</v>
      </c>
      <c r="L872" s="21" t="n">
        <v>10.4</v>
      </c>
      <c r="M872" s="21" t="n">
        <f aca="false">IF(C872="covered",10.4,7.55)</f>
        <v>10.4</v>
      </c>
      <c r="N872" s="13" t="n">
        <f aca="false">MAX(ROUNDUP(H872,0),I872)</f>
        <v>49</v>
      </c>
      <c r="O872" s="21" t="n">
        <v>509.6</v>
      </c>
      <c r="P872" s="21" t="n">
        <f aca="false">ROUND(M872*N872,2)</f>
        <v>509.6</v>
      </c>
      <c r="Q872" s="21" t="n">
        <f aca="false">ROUND(P872-IF(O872="",0,O872),2)</f>
        <v>0</v>
      </c>
      <c r="R872" s="14" t="str">
        <f aca="false">IF(J872="","MISSING BILL",IF(AND(K872=N872,ABS(L872-M872)&lt;0.001,ABS(O872-P872)&lt;0.01),"RECONCILED","CALCULATION ERROR"))</f>
        <v>RECONCILED</v>
      </c>
      <c r="S872" s="14" t="s">
        <v>2935</v>
      </c>
    </row>
    <row r="873" customFormat="false" ht="15" hidden="true" customHeight="false" outlineLevel="0" collapsed="false">
      <c r="A873" s="13" t="s">
        <v>5097</v>
      </c>
      <c r="B873" s="13" t="s">
        <v>96</v>
      </c>
      <c r="C873" s="13" t="s">
        <v>4156</v>
      </c>
      <c r="D873" s="13" t="s">
        <v>1873</v>
      </c>
      <c r="E873" s="13" t="s">
        <v>1147</v>
      </c>
      <c r="F873" s="14" t="s">
        <v>1148</v>
      </c>
      <c r="G873" s="14" t="s">
        <v>4159</v>
      </c>
      <c r="H873" s="20" t="n">
        <v>35.5</v>
      </c>
      <c r="I873" s="13" t="n">
        <v>24</v>
      </c>
      <c r="J873" s="13" t="s">
        <v>5098</v>
      </c>
      <c r="K873" s="13" t="n">
        <v>36</v>
      </c>
      <c r="L873" s="21" t="n">
        <v>10.4</v>
      </c>
      <c r="M873" s="21" t="n">
        <f aca="false">IF(C873="covered",10.4,7.55)</f>
        <v>10.4</v>
      </c>
      <c r="N873" s="13" t="n">
        <f aca="false">MAX(ROUNDUP(H873,0),I873)</f>
        <v>36</v>
      </c>
      <c r="O873" s="21" t="n">
        <v>374.4</v>
      </c>
      <c r="P873" s="21" t="n">
        <f aca="false">ROUND(M873*N873,2)</f>
        <v>374.4</v>
      </c>
      <c r="Q873" s="21" t="n">
        <f aca="false">ROUND(P873-IF(O873="",0,O873),2)</f>
        <v>0</v>
      </c>
      <c r="R873" s="14" t="str">
        <f aca="false">IF(J873="","MISSING BILL",IF(AND(K873=N873,ABS(L873-M873)&lt;0.001,ABS(O873-P873)&lt;0.01),"RECONCILED","CALCULATION ERROR"))</f>
        <v>RECONCILED</v>
      </c>
      <c r="S873" s="14" t="s">
        <v>2935</v>
      </c>
    </row>
    <row r="874" customFormat="false" ht="15" hidden="true" customHeight="false" outlineLevel="0" collapsed="false">
      <c r="A874" s="13" t="s">
        <v>5099</v>
      </c>
      <c r="B874" s="13" t="s">
        <v>96</v>
      </c>
      <c r="C874" s="13" t="s">
        <v>4156</v>
      </c>
      <c r="D874" s="13" t="s">
        <v>1873</v>
      </c>
      <c r="E874" s="13" t="s">
        <v>5100</v>
      </c>
      <c r="F874" s="14" t="s">
        <v>5101</v>
      </c>
      <c r="G874" s="14" t="s">
        <v>2693</v>
      </c>
      <c r="H874" s="20" t="n">
        <v>29.7</v>
      </c>
      <c r="I874" s="13" t="n">
        <v>32</v>
      </c>
      <c r="J874" s="13" t="s">
        <v>5102</v>
      </c>
      <c r="K874" s="13" t="n">
        <v>32</v>
      </c>
      <c r="L874" s="21" t="n">
        <v>10.4</v>
      </c>
      <c r="M874" s="21" t="n">
        <f aca="false">IF(C874="covered",10.4,7.55)</f>
        <v>10.4</v>
      </c>
      <c r="N874" s="13" t="n">
        <f aca="false">MAX(ROUNDUP(H874,0),I874)</f>
        <v>32</v>
      </c>
      <c r="O874" s="21" t="n">
        <v>332.8</v>
      </c>
      <c r="P874" s="21" t="n">
        <f aca="false">ROUND(M874*N874,2)</f>
        <v>332.8</v>
      </c>
      <c r="Q874" s="21" t="n">
        <f aca="false">ROUND(P874-IF(O874="",0,O874),2)</f>
        <v>0</v>
      </c>
      <c r="R874" s="14" t="str">
        <f aca="false">IF(J874="","MISSING BILL",IF(AND(K874=N874,ABS(L874-M874)&lt;0.001,ABS(O874-P874)&lt;0.01),"RECONCILED","CALCULATION ERROR"))</f>
        <v>RECONCILED</v>
      </c>
      <c r="S874" s="14" t="s">
        <v>2935</v>
      </c>
    </row>
    <row r="875" customFormat="false" ht="15" hidden="true" customHeight="false" outlineLevel="0" collapsed="false">
      <c r="A875" s="13" t="s">
        <v>5103</v>
      </c>
      <c r="B875" s="13" t="s">
        <v>96</v>
      </c>
      <c r="C875" s="13" t="s">
        <v>4156</v>
      </c>
      <c r="D875" s="13" t="s">
        <v>1873</v>
      </c>
      <c r="E875" s="13" t="s">
        <v>5104</v>
      </c>
      <c r="F875" s="14" t="s">
        <v>5105</v>
      </c>
      <c r="G875" s="14" t="s">
        <v>3338</v>
      </c>
      <c r="H875" s="20" t="n">
        <v>30.9</v>
      </c>
      <c r="I875" s="13" t="n">
        <v>28</v>
      </c>
      <c r="J875" s="13" t="s">
        <v>5106</v>
      </c>
      <c r="K875" s="13" t="n">
        <v>31</v>
      </c>
      <c r="L875" s="21" t="n">
        <v>10.4</v>
      </c>
      <c r="M875" s="21" t="n">
        <f aca="false">IF(C875="covered",10.4,7.55)</f>
        <v>10.4</v>
      </c>
      <c r="N875" s="13" t="n">
        <f aca="false">MAX(ROUNDUP(H875,0),I875)</f>
        <v>31</v>
      </c>
      <c r="O875" s="21" t="n">
        <v>322.4</v>
      </c>
      <c r="P875" s="21" t="n">
        <f aca="false">ROUND(M875*N875,2)</f>
        <v>322.4</v>
      </c>
      <c r="Q875" s="21" t="n">
        <f aca="false">ROUND(P875-IF(O875="",0,O875),2)</f>
        <v>0</v>
      </c>
      <c r="R875" s="14" t="str">
        <f aca="false">IF(J875="","MISSING BILL",IF(AND(K875=N875,ABS(L875-M875)&lt;0.001,ABS(O875-P875)&lt;0.01),"RECONCILED","CALCULATION ERROR"))</f>
        <v>RECONCILED</v>
      </c>
      <c r="S875" s="14" t="s">
        <v>2935</v>
      </c>
    </row>
    <row r="876" customFormat="false" ht="15" hidden="true" customHeight="false" outlineLevel="0" collapsed="false">
      <c r="A876" s="13" t="s">
        <v>5107</v>
      </c>
      <c r="B876" s="13" t="s">
        <v>96</v>
      </c>
      <c r="C876" s="13" t="s">
        <v>4156</v>
      </c>
      <c r="D876" s="13" t="s">
        <v>1873</v>
      </c>
      <c r="E876" s="13" t="s">
        <v>5108</v>
      </c>
      <c r="F876" s="14" t="s">
        <v>2127</v>
      </c>
      <c r="G876" s="14" t="s">
        <v>2193</v>
      </c>
      <c r="H876" s="20" t="n">
        <v>52</v>
      </c>
      <c r="I876" s="13" t="n">
        <v>24</v>
      </c>
      <c r="J876" s="13" t="s">
        <v>5109</v>
      </c>
      <c r="K876" s="13" t="n">
        <v>52</v>
      </c>
      <c r="L876" s="21" t="n">
        <v>10.4</v>
      </c>
      <c r="M876" s="21" t="n">
        <f aca="false">IF(C876="covered",10.4,7.55)</f>
        <v>10.4</v>
      </c>
      <c r="N876" s="13" t="n">
        <f aca="false">MAX(ROUNDUP(H876,0),I876)</f>
        <v>52</v>
      </c>
      <c r="O876" s="21" t="n">
        <v>540.8</v>
      </c>
      <c r="P876" s="21" t="n">
        <f aca="false">ROUND(M876*N876,2)</f>
        <v>540.8</v>
      </c>
      <c r="Q876" s="21" t="n">
        <f aca="false">ROUND(P876-IF(O876="",0,O876),2)</f>
        <v>0</v>
      </c>
      <c r="R876" s="14" t="str">
        <f aca="false">IF(J876="","MISSING BILL",IF(AND(K876=N876,ABS(L876-M876)&lt;0.001,ABS(O876-P876)&lt;0.01),"RECONCILED","CALCULATION ERROR"))</f>
        <v>RECONCILED</v>
      </c>
      <c r="S876" s="14" t="s">
        <v>2935</v>
      </c>
    </row>
    <row r="877" customFormat="false" ht="15" hidden="true" customHeight="false" outlineLevel="0" collapsed="false">
      <c r="A877" s="13" t="s">
        <v>5110</v>
      </c>
      <c r="B877" s="13" t="s">
        <v>96</v>
      </c>
      <c r="C877" s="13" t="s">
        <v>4156</v>
      </c>
      <c r="D877" s="13" t="s">
        <v>1873</v>
      </c>
      <c r="E877" s="13" t="s">
        <v>5111</v>
      </c>
      <c r="F877" s="14" t="s">
        <v>5112</v>
      </c>
      <c r="G877" s="14" t="s">
        <v>4071</v>
      </c>
      <c r="H877" s="20" t="n">
        <v>39</v>
      </c>
      <c r="I877" s="13" t="n">
        <v>32</v>
      </c>
      <c r="J877" s="13" t="s">
        <v>5113</v>
      </c>
      <c r="K877" s="13" t="n">
        <v>39</v>
      </c>
      <c r="L877" s="21" t="n">
        <v>10.4</v>
      </c>
      <c r="M877" s="21" t="n">
        <f aca="false">IF(C877="covered",10.4,7.55)</f>
        <v>10.4</v>
      </c>
      <c r="N877" s="13" t="n">
        <f aca="false">MAX(ROUNDUP(H877,0),I877)</f>
        <v>39</v>
      </c>
      <c r="O877" s="21" t="n">
        <v>405.6</v>
      </c>
      <c r="P877" s="21" t="n">
        <f aca="false">ROUND(M877*N877,2)</f>
        <v>405.6</v>
      </c>
      <c r="Q877" s="21" t="n">
        <f aca="false">ROUND(P877-IF(O877="",0,O877),2)</f>
        <v>0</v>
      </c>
      <c r="R877" s="14" t="str">
        <f aca="false">IF(J877="","MISSING BILL",IF(AND(K877=N877,ABS(L877-M877)&lt;0.001,ABS(O877-P877)&lt;0.01),"RECONCILED","CALCULATION ERROR"))</f>
        <v>RECONCILED</v>
      </c>
      <c r="S877" s="14" t="s">
        <v>2935</v>
      </c>
    </row>
    <row r="878" customFormat="false" ht="15" hidden="true" customHeight="false" outlineLevel="0" collapsed="false">
      <c r="A878" s="13" t="s">
        <v>5114</v>
      </c>
      <c r="B878" s="13" t="s">
        <v>96</v>
      </c>
      <c r="C878" s="13" t="s">
        <v>4156</v>
      </c>
      <c r="D878" s="13" t="s">
        <v>1873</v>
      </c>
      <c r="E878" s="13" t="s">
        <v>5115</v>
      </c>
      <c r="F878" s="14" t="s">
        <v>5116</v>
      </c>
      <c r="G878" s="14" t="s">
        <v>2103</v>
      </c>
      <c r="H878" s="20" t="n">
        <v>53</v>
      </c>
      <c r="I878" s="13" t="n">
        <v>36</v>
      </c>
      <c r="J878" s="13" t="s">
        <v>5117</v>
      </c>
      <c r="K878" s="13" t="n">
        <v>53</v>
      </c>
      <c r="L878" s="21" t="n">
        <v>10.4</v>
      </c>
      <c r="M878" s="21" t="n">
        <f aca="false">IF(C878="covered",10.4,7.55)</f>
        <v>10.4</v>
      </c>
      <c r="N878" s="13" t="n">
        <f aca="false">MAX(ROUNDUP(H878,0),I878)</f>
        <v>53</v>
      </c>
      <c r="O878" s="21" t="n">
        <v>551.2</v>
      </c>
      <c r="P878" s="21" t="n">
        <f aca="false">ROUND(M878*N878,2)</f>
        <v>551.2</v>
      </c>
      <c r="Q878" s="21" t="n">
        <f aca="false">ROUND(P878-IF(O878="",0,O878),2)</f>
        <v>0</v>
      </c>
      <c r="R878" s="14" t="str">
        <f aca="false">IF(J878="","MISSING BILL",IF(AND(K878=N878,ABS(L878-M878)&lt;0.001,ABS(O878-P878)&lt;0.01),"RECONCILED","CALCULATION ERROR"))</f>
        <v>RECONCILED</v>
      </c>
      <c r="S878" s="14" t="s">
        <v>2935</v>
      </c>
    </row>
    <row r="879" customFormat="false" ht="15" hidden="true" customHeight="false" outlineLevel="0" collapsed="false">
      <c r="A879" s="13" t="s">
        <v>254</v>
      </c>
      <c r="B879" s="13" t="s">
        <v>96</v>
      </c>
      <c r="C879" s="13" t="s">
        <v>4156</v>
      </c>
      <c r="D879" s="13" t="s">
        <v>1873</v>
      </c>
      <c r="E879" s="13" t="s">
        <v>5118</v>
      </c>
      <c r="F879" s="14" t="s">
        <v>5119</v>
      </c>
      <c r="G879" s="14" t="s">
        <v>4565</v>
      </c>
      <c r="H879" s="20" t="n">
        <v>24.8</v>
      </c>
      <c r="I879" s="13" t="n">
        <v>28</v>
      </c>
      <c r="J879" s="13" t="s">
        <v>5120</v>
      </c>
      <c r="K879" s="13" t="n">
        <v>28</v>
      </c>
      <c r="L879" s="21" t="n">
        <v>10.4</v>
      </c>
      <c r="M879" s="21" t="n">
        <f aca="false">IF(C879="covered",10.4,7.55)</f>
        <v>10.4</v>
      </c>
      <c r="N879" s="13" t="n">
        <f aca="false">MAX(ROUNDUP(H879,0),I879)</f>
        <v>28</v>
      </c>
      <c r="O879" s="21" t="n">
        <v>291.2</v>
      </c>
      <c r="P879" s="21" t="n">
        <f aca="false">ROUND(M879*N879,2)</f>
        <v>291.2</v>
      </c>
      <c r="Q879" s="21" t="n">
        <f aca="false">ROUND(P879-IF(O879="",0,O879),2)</f>
        <v>0</v>
      </c>
      <c r="R879" s="14" t="str">
        <f aca="false">IF(J879="","MISSING BILL",IF(AND(K879=N879,ABS(L879-M879)&lt;0.001,ABS(O879-P879)&lt;0.01),"RECONCILED","CALCULATION ERROR"))</f>
        <v>RECONCILED</v>
      </c>
      <c r="S879" s="14" t="s">
        <v>2935</v>
      </c>
    </row>
    <row r="880" customFormat="false" ht="15" hidden="true" customHeight="false" outlineLevel="0" collapsed="false">
      <c r="A880" s="13" t="s">
        <v>5121</v>
      </c>
      <c r="B880" s="13" t="s">
        <v>96</v>
      </c>
      <c r="C880" s="13" t="s">
        <v>4156</v>
      </c>
      <c r="D880" s="13" t="s">
        <v>1873</v>
      </c>
      <c r="E880" s="13" t="s">
        <v>5122</v>
      </c>
      <c r="F880" s="14" t="s">
        <v>5123</v>
      </c>
      <c r="G880" s="14" t="s">
        <v>3784</v>
      </c>
      <c r="H880" s="20" t="n">
        <v>40.2</v>
      </c>
      <c r="I880" s="13" t="n">
        <v>28</v>
      </c>
      <c r="J880" s="13" t="s">
        <v>5124</v>
      </c>
      <c r="K880" s="13" t="n">
        <v>41</v>
      </c>
      <c r="L880" s="21" t="n">
        <v>10.4</v>
      </c>
      <c r="M880" s="21" t="n">
        <f aca="false">IF(C880="covered",10.4,7.55)</f>
        <v>10.4</v>
      </c>
      <c r="N880" s="13" t="n">
        <f aca="false">MAX(ROUNDUP(H880,0),I880)</f>
        <v>41</v>
      </c>
      <c r="O880" s="21" t="n">
        <v>426.4</v>
      </c>
      <c r="P880" s="21" t="n">
        <f aca="false">ROUND(M880*N880,2)</f>
        <v>426.4</v>
      </c>
      <c r="Q880" s="21" t="n">
        <f aca="false">ROUND(P880-IF(O880="",0,O880),2)</f>
        <v>0</v>
      </c>
      <c r="R880" s="14" t="str">
        <f aca="false">IF(J880="","MISSING BILL",IF(AND(K880=N880,ABS(L880-M880)&lt;0.001,ABS(O880-P880)&lt;0.01),"RECONCILED","CALCULATION ERROR"))</f>
        <v>RECONCILED</v>
      </c>
      <c r="S880" s="14" t="s">
        <v>2935</v>
      </c>
    </row>
    <row r="881" customFormat="false" ht="15" hidden="true" customHeight="false" outlineLevel="0" collapsed="false">
      <c r="A881" s="13" t="s">
        <v>5125</v>
      </c>
      <c r="B881" s="13" t="s">
        <v>96</v>
      </c>
      <c r="C881" s="13" t="s">
        <v>4156</v>
      </c>
      <c r="D881" s="13" t="s">
        <v>1873</v>
      </c>
      <c r="E881" s="13" t="s">
        <v>5126</v>
      </c>
      <c r="F881" s="14" t="s">
        <v>5127</v>
      </c>
      <c r="G881" s="14" t="s">
        <v>2107</v>
      </c>
      <c r="H881" s="20" t="n">
        <v>32</v>
      </c>
      <c r="I881" s="13" t="n">
        <v>24</v>
      </c>
      <c r="J881" s="13" t="s">
        <v>5128</v>
      </c>
      <c r="K881" s="13" t="n">
        <v>32</v>
      </c>
      <c r="L881" s="21" t="n">
        <v>10.4</v>
      </c>
      <c r="M881" s="21" t="n">
        <f aca="false">IF(C881="covered",10.4,7.55)</f>
        <v>10.4</v>
      </c>
      <c r="N881" s="13" t="n">
        <f aca="false">MAX(ROUNDUP(H881,0),I881)</f>
        <v>32</v>
      </c>
      <c r="O881" s="21" t="n">
        <v>332.8</v>
      </c>
      <c r="P881" s="21" t="n">
        <f aca="false">ROUND(M881*N881,2)</f>
        <v>332.8</v>
      </c>
      <c r="Q881" s="21" t="n">
        <f aca="false">ROUND(P881-IF(O881="",0,O881),2)</f>
        <v>0</v>
      </c>
      <c r="R881" s="14" t="str">
        <f aca="false">IF(J881="","MISSING BILL",IF(AND(K881=N881,ABS(L881-M881)&lt;0.001,ABS(O881-P881)&lt;0.01),"RECONCILED","CALCULATION ERROR"))</f>
        <v>RECONCILED</v>
      </c>
      <c r="S881" s="14" t="s">
        <v>2935</v>
      </c>
    </row>
    <row r="882" customFormat="false" ht="15" hidden="true" customHeight="false" outlineLevel="0" collapsed="false">
      <c r="A882" s="13" t="s">
        <v>5129</v>
      </c>
      <c r="B882" s="13" t="s">
        <v>96</v>
      </c>
      <c r="C882" s="13" t="s">
        <v>4156</v>
      </c>
      <c r="D882" s="13" t="s">
        <v>1873</v>
      </c>
      <c r="E882" s="13" t="s">
        <v>5130</v>
      </c>
      <c r="F882" s="14" t="s">
        <v>5131</v>
      </c>
      <c r="G882" s="14" t="s">
        <v>2830</v>
      </c>
      <c r="H882" s="20" t="n">
        <v>54.6</v>
      </c>
      <c r="I882" s="13" t="n">
        <v>36</v>
      </c>
      <c r="J882" s="13" t="s">
        <v>5132</v>
      </c>
      <c r="K882" s="13" t="n">
        <v>55</v>
      </c>
      <c r="L882" s="21" t="n">
        <v>10.4</v>
      </c>
      <c r="M882" s="21" t="n">
        <f aca="false">IF(C882="covered",10.4,7.55)</f>
        <v>10.4</v>
      </c>
      <c r="N882" s="13" t="n">
        <f aca="false">MAX(ROUNDUP(H882,0),I882)</f>
        <v>55</v>
      </c>
      <c r="O882" s="21" t="n">
        <v>572</v>
      </c>
      <c r="P882" s="21" t="n">
        <f aca="false">ROUND(M882*N882,2)</f>
        <v>572</v>
      </c>
      <c r="Q882" s="21" t="n">
        <f aca="false">ROUND(P882-IF(O882="",0,O882),2)</f>
        <v>0</v>
      </c>
      <c r="R882" s="14" t="str">
        <f aca="false">IF(J882="","MISSING BILL",IF(AND(K882=N882,ABS(L882-M882)&lt;0.001,ABS(O882-P882)&lt;0.01),"RECONCILED","CALCULATION ERROR"))</f>
        <v>RECONCILED</v>
      </c>
      <c r="S882" s="14" t="s">
        <v>2935</v>
      </c>
    </row>
    <row r="883" customFormat="false" ht="15" hidden="true" customHeight="false" outlineLevel="0" collapsed="false">
      <c r="A883" s="13" t="s">
        <v>5133</v>
      </c>
      <c r="B883" s="13" t="s">
        <v>96</v>
      </c>
      <c r="C883" s="13" t="s">
        <v>4156</v>
      </c>
      <c r="D883" s="13" t="s">
        <v>1873</v>
      </c>
      <c r="E883" s="13" t="s">
        <v>5134</v>
      </c>
      <c r="F883" s="14" t="s">
        <v>5135</v>
      </c>
      <c r="G883" s="14" t="s">
        <v>2257</v>
      </c>
      <c r="H883" s="20" t="n">
        <v>53.2</v>
      </c>
      <c r="I883" s="13" t="n">
        <v>32</v>
      </c>
      <c r="J883" s="13" t="s">
        <v>5136</v>
      </c>
      <c r="K883" s="13" t="n">
        <v>54</v>
      </c>
      <c r="L883" s="21" t="n">
        <v>10.4</v>
      </c>
      <c r="M883" s="21" t="n">
        <f aca="false">IF(C883="covered",10.4,7.55)</f>
        <v>10.4</v>
      </c>
      <c r="N883" s="13" t="n">
        <f aca="false">MAX(ROUNDUP(H883,0),I883)</f>
        <v>54</v>
      </c>
      <c r="O883" s="21" t="n">
        <v>561.6</v>
      </c>
      <c r="P883" s="21" t="n">
        <f aca="false">ROUND(M883*N883,2)</f>
        <v>561.6</v>
      </c>
      <c r="Q883" s="21" t="n">
        <f aca="false">ROUND(P883-IF(O883="",0,O883),2)</f>
        <v>0</v>
      </c>
      <c r="R883" s="14" t="str">
        <f aca="false">IF(J883="","MISSING BILL",IF(AND(K883=N883,ABS(L883-M883)&lt;0.001,ABS(O883-P883)&lt;0.01),"RECONCILED","CALCULATION ERROR"))</f>
        <v>RECONCILED</v>
      </c>
      <c r="S883" s="14" t="s">
        <v>2935</v>
      </c>
    </row>
    <row r="884" customFormat="false" ht="15" hidden="true" customHeight="false" outlineLevel="0" collapsed="false">
      <c r="A884" s="13" t="s">
        <v>580</v>
      </c>
      <c r="B884" s="13" t="s">
        <v>96</v>
      </c>
      <c r="C884" s="13" t="s">
        <v>4156</v>
      </c>
      <c r="D884" s="13" t="s">
        <v>1873</v>
      </c>
      <c r="E884" s="13" t="s">
        <v>449</v>
      </c>
      <c r="F884" s="14" t="s">
        <v>450</v>
      </c>
      <c r="G884" s="14" t="s">
        <v>3004</v>
      </c>
      <c r="H884" s="20" t="n">
        <v>44</v>
      </c>
      <c r="I884" s="13" t="n">
        <v>24</v>
      </c>
      <c r="J884" s="13" t="s">
        <v>5137</v>
      </c>
      <c r="K884" s="13" t="n">
        <v>44</v>
      </c>
      <c r="L884" s="21" t="n">
        <v>10.4</v>
      </c>
      <c r="M884" s="21" t="n">
        <f aca="false">IF(C884="covered",10.4,7.55)</f>
        <v>10.4</v>
      </c>
      <c r="N884" s="13" t="n">
        <f aca="false">MAX(ROUNDUP(H884,0),I884)</f>
        <v>44</v>
      </c>
      <c r="O884" s="21" t="n">
        <v>457.6</v>
      </c>
      <c r="P884" s="21" t="n">
        <f aca="false">ROUND(M884*N884,2)</f>
        <v>457.6</v>
      </c>
      <c r="Q884" s="21" t="n">
        <f aca="false">ROUND(P884-IF(O884="",0,O884),2)</f>
        <v>0</v>
      </c>
      <c r="R884" s="14" t="str">
        <f aca="false">IF(J884="","MISSING BILL",IF(AND(K884=N884,ABS(L884-M884)&lt;0.001,ABS(O884-P884)&lt;0.01),"RECONCILED","CALCULATION ERROR"))</f>
        <v>RECONCILED</v>
      </c>
      <c r="S884" s="14" t="s">
        <v>2935</v>
      </c>
    </row>
    <row r="885" customFormat="false" ht="15" hidden="true" customHeight="false" outlineLevel="0" collapsed="false">
      <c r="A885" s="13" t="s">
        <v>5138</v>
      </c>
      <c r="B885" s="13" t="s">
        <v>96</v>
      </c>
      <c r="C885" s="13" t="s">
        <v>4156</v>
      </c>
      <c r="D885" s="13" t="s">
        <v>1873</v>
      </c>
      <c r="E885" s="13" t="s">
        <v>5139</v>
      </c>
      <c r="F885" s="14" t="s">
        <v>5140</v>
      </c>
      <c r="G885" s="14" t="s">
        <v>2103</v>
      </c>
      <c r="H885" s="20" t="n">
        <v>61.3</v>
      </c>
      <c r="I885" s="13" t="n">
        <v>32</v>
      </c>
      <c r="J885" s="13" t="s">
        <v>5141</v>
      </c>
      <c r="K885" s="13" t="n">
        <v>62</v>
      </c>
      <c r="L885" s="21" t="n">
        <v>10.4</v>
      </c>
      <c r="M885" s="21" t="n">
        <f aca="false">IF(C885="covered",10.4,7.55)</f>
        <v>10.4</v>
      </c>
      <c r="N885" s="13" t="n">
        <f aca="false">MAX(ROUNDUP(H885,0),I885)</f>
        <v>62</v>
      </c>
      <c r="O885" s="21" t="n">
        <v>644.8</v>
      </c>
      <c r="P885" s="21" t="n">
        <f aca="false">ROUND(M885*N885,2)</f>
        <v>644.8</v>
      </c>
      <c r="Q885" s="21" t="n">
        <f aca="false">ROUND(P885-IF(O885="",0,O885),2)</f>
        <v>0</v>
      </c>
      <c r="R885" s="14" t="str">
        <f aca="false">IF(J885="","MISSING BILL",IF(AND(K885=N885,ABS(L885-M885)&lt;0.001,ABS(O885-P885)&lt;0.01),"RECONCILED","CALCULATION ERROR"))</f>
        <v>RECONCILED</v>
      </c>
      <c r="S885" s="14" t="s">
        <v>2935</v>
      </c>
    </row>
    <row r="886" customFormat="false" ht="15" hidden="true" customHeight="false" outlineLevel="0" collapsed="false">
      <c r="A886" s="13" t="s">
        <v>5142</v>
      </c>
      <c r="B886" s="13" t="s">
        <v>96</v>
      </c>
      <c r="C886" s="13" t="s">
        <v>4156</v>
      </c>
      <c r="D886" s="13" t="s">
        <v>1873</v>
      </c>
      <c r="E886" s="13" t="s">
        <v>5143</v>
      </c>
      <c r="F886" s="14" t="s">
        <v>5144</v>
      </c>
      <c r="G886" s="14" t="s">
        <v>2743</v>
      </c>
      <c r="H886" s="20" t="n">
        <v>47.6</v>
      </c>
      <c r="I886" s="13" t="n">
        <v>28</v>
      </c>
      <c r="J886" s="13" t="s">
        <v>5145</v>
      </c>
      <c r="K886" s="13" t="n">
        <v>48</v>
      </c>
      <c r="L886" s="21" t="n">
        <v>10.4</v>
      </c>
      <c r="M886" s="21" t="n">
        <f aca="false">IF(C886="covered",10.4,7.55)</f>
        <v>10.4</v>
      </c>
      <c r="N886" s="13" t="n">
        <f aca="false">MAX(ROUNDUP(H886,0),I886)</f>
        <v>48</v>
      </c>
      <c r="O886" s="21" t="n">
        <v>499.2</v>
      </c>
      <c r="P886" s="21" t="n">
        <f aca="false">ROUND(M886*N886,2)</f>
        <v>499.2</v>
      </c>
      <c r="Q886" s="21" t="n">
        <f aca="false">ROUND(P886-IF(O886="",0,O886),2)</f>
        <v>0</v>
      </c>
      <c r="R886" s="14" t="str">
        <f aca="false">IF(J886="","MISSING BILL",IF(AND(K886=N886,ABS(L886-M886)&lt;0.001,ABS(O886-P886)&lt;0.01),"RECONCILED","CALCULATION ERROR"))</f>
        <v>RECONCILED</v>
      </c>
      <c r="S886" s="14" t="s">
        <v>2935</v>
      </c>
    </row>
    <row r="887" customFormat="false" ht="15" hidden="true" customHeight="false" outlineLevel="0" collapsed="false">
      <c r="A887" s="13" t="s">
        <v>5146</v>
      </c>
      <c r="B887" s="13" t="s">
        <v>96</v>
      </c>
      <c r="C887" s="13" t="s">
        <v>4156</v>
      </c>
      <c r="D887" s="13" t="s">
        <v>1873</v>
      </c>
      <c r="E887" s="13" t="s">
        <v>5147</v>
      </c>
      <c r="F887" s="14" t="s">
        <v>5148</v>
      </c>
      <c r="G887" s="14" t="s">
        <v>5149</v>
      </c>
      <c r="H887" s="20" t="n">
        <v>56.3</v>
      </c>
      <c r="I887" s="13" t="n">
        <v>32</v>
      </c>
      <c r="J887" s="13" t="s">
        <v>5150</v>
      </c>
      <c r="K887" s="13" t="n">
        <v>57</v>
      </c>
      <c r="L887" s="21" t="n">
        <v>10.4</v>
      </c>
      <c r="M887" s="21" t="n">
        <f aca="false">IF(C887="covered",10.4,7.55)</f>
        <v>10.4</v>
      </c>
      <c r="N887" s="13" t="n">
        <f aca="false">MAX(ROUNDUP(H887,0),I887)</f>
        <v>57</v>
      </c>
      <c r="O887" s="21" t="n">
        <v>592.8</v>
      </c>
      <c r="P887" s="21" t="n">
        <f aca="false">ROUND(M887*N887,2)</f>
        <v>592.8</v>
      </c>
      <c r="Q887" s="21" t="n">
        <f aca="false">ROUND(P887-IF(O887="",0,O887),2)</f>
        <v>0</v>
      </c>
      <c r="R887" s="14" t="str">
        <f aca="false">IF(J887="","MISSING BILL",IF(AND(K887=N887,ABS(L887-M887)&lt;0.001,ABS(O887-P887)&lt;0.01),"RECONCILED","CALCULATION ERROR"))</f>
        <v>RECONCILED</v>
      </c>
      <c r="S887" s="14" t="s">
        <v>2935</v>
      </c>
    </row>
    <row r="888" customFormat="false" ht="15" hidden="true" customHeight="false" outlineLevel="0" collapsed="false">
      <c r="A888" s="13" t="s">
        <v>5151</v>
      </c>
      <c r="B888" s="13" t="s">
        <v>96</v>
      </c>
      <c r="C888" s="13" t="s">
        <v>4156</v>
      </c>
      <c r="D888" s="13" t="s">
        <v>1873</v>
      </c>
      <c r="E888" s="13" t="s">
        <v>5152</v>
      </c>
      <c r="F888" s="14" t="s">
        <v>5153</v>
      </c>
      <c r="G888" s="14" t="s">
        <v>5154</v>
      </c>
      <c r="H888" s="20" t="n">
        <v>31.4</v>
      </c>
      <c r="I888" s="13" t="n">
        <v>40</v>
      </c>
      <c r="J888" s="13" t="s">
        <v>5155</v>
      </c>
      <c r="K888" s="13" t="n">
        <v>40</v>
      </c>
      <c r="L888" s="21" t="n">
        <v>10.4</v>
      </c>
      <c r="M888" s="21" t="n">
        <f aca="false">IF(C888="covered",10.4,7.55)</f>
        <v>10.4</v>
      </c>
      <c r="N888" s="13" t="n">
        <f aca="false">MAX(ROUNDUP(H888,0),I888)</f>
        <v>40</v>
      </c>
      <c r="O888" s="21" t="n">
        <v>416</v>
      </c>
      <c r="P888" s="21" t="n">
        <f aca="false">ROUND(M888*N888,2)</f>
        <v>416</v>
      </c>
      <c r="Q888" s="21" t="n">
        <f aca="false">ROUND(P888-IF(O888="",0,O888),2)</f>
        <v>0</v>
      </c>
      <c r="R888" s="14" t="str">
        <f aca="false">IF(J888="","MISSING BILL",IF(AND(K888=N888,ABS(L888-M888)&lt;0.001,ABS(O888-P888)&lt;0.01),"RECONCILED","CALCULATION ERROR"))</f>
        <v>RECONCILED</v>
      </c>
      <c r="S888" s="14" t="s">
        <v>2935</v>
      </c>
    </row>
    <row r="889" customFormat="false" ht="15" hidden="true" customHeight="false" outlineLevel="0" collapsed="false">
      <c r="A889" s="13" t="s">
        <v>1363</v>
      </c>
      <c r="B889" s="13" t="s">
        <v>96</v>
      </c>
      <c r="C889" s="13" t="s">
        <v>4156</v>
      </c>
      <c r="D889" s="13" t="s">
        <v>1873</v>
      </c>
      <c r="E889" s="13" t="s">
        <v>5156</v>
      </c>
      <c r="F889" s="14" t="s">
        <v>5157</v>
      </c>
      <c r="G889" s="14" t="s">
        <v>2558</v>
      </c>
      <c r="H889" s="20" t="n">
        <v>58.8</v>
      </c>
      <c r="I889" s="13" t="n">
        <v>36</v>
      </c>
      <c r="J889" s="13" t="s">
        <v>5158</v>
      </c>
      <c r="K889" s="13" t="n">
        <v>59</v>
      </c>
      <c r="L889" s="21" t="n">
        <v>10.4</v>
      </c>
      <c r="M889" s="21" t="n">
        <f aca="false">IF(C889="covered",10.4,7.55)</f>
        <v>10.4</v>
      </c>
      <c r="N889" s="13" t="n">
        <f aca="false">MAX(ROUNDUP(H889,0),I889)</f>
        <v>59</v>
      </c>
      <c r="O889" s="21" t="n">
        <v>613.6</v>
      </c>
      <c r="P889" s="21" t="n">
        <f aca="false">ROUND(M889*N889,2)</f>
        <v>613.6</v>
      </c>
      <c r="Q889" s="21" t="n">
        <f aca="false">ROUND(P889-IF(O889="",0,O889),2)</f>
        <v>0</v>
      </c>
      <c r="R889" s="14" t="str">
        <f aca="false">IF(J889="","MISSING BILL",IF(AND(K889=N889,ABS(L889-M889)&lt;0.001,ABS(O889-P889)&lt;0.01),"RECONCILED","CALCULATION ERROR"))</f>
        <v>RECONCILED</v>
      </c>
      <c r="S889" s="14" t="s">
        <v>2935</v>
      </c>
    </row>
    <row r="890" customFormat="false" ht="15" hidden="true" customHeight="false" outlineLevel="0" collapsed="false">
      <c r="A890" s="13" t="s">
        <v>5159</v>
      </c>
      <c r="B890" s="13" t="s">
        <v>96</v>
      </c>
      <c r="C890" s="13" t="s">
        <v>4156</v>
      </c>
      <c r="D890" s="13" t="s">
        <v>1873</v>
      </c>
      <c r="E890" s="13" t="s">
        <v>5160</v>
      </c>
      <c r="F890" s="14" t="s">
        <v>5161</v>
      </c>
      <c r="G890" s="14" t="s">
        <v>5162</v>
      </c>
      <c r="H890" s="20" t="n">
        <v>46.9</v>
      </c>
      <c r="I890" s="13" t="n">
        <v>32</v>
      </c>
      <c r="J890" s="13" t="s">
        <v>5163</v>
      </c>
      <c r="K890" s="13" t="n">
        <v>47</v>
      </c>
      <c r="L890" s="21" t="n">
        <v>10.4</v>
      </c>
      <c r="M890" s="21" t="n">
        <f aca="false">IF(C890="covered",10.4,7.55)</f>
        <v>10.4</v>
      </c>
      <c r="N890" s="13" t="n">
        <f aca="false">MAX(ROUNDUP(H890,0),I890)</f>
        <v>47</v>
      </c>
      <c r="O890" s="21" t="n">
        <v>488.8</v>
      </c>
      <c r="P890" s="21" t="n">
        <f aca="false">ROUND(M890*N890,2)</f>
        <v>488.8</v>
      </c>
      <c r="Q890" s="21" t="n">
        <f aca="false">ROUND(P890-IF(O890="",0,O890),2)</f>
        <v>0</v>
      </c>
      <c r="R890" s="14" t="str">
        <f aca="false">IF(J890="","MISSING BILL",IF(AND(K890=N890,ABS(L890-M890)&lt;0.001,ABS(O890-P890)&lt;0.01),"RECONCILED","CALCULATION ERROR"))</f>
        <v>RECONCILED</v>
      </c>
      <c r="S890" s="14" t="s">
        <v>2935</v>
      </c>
    </row>
    <row r="891" customFormat="false" ht="15" hidden="true" customHeight="false" outlineLevel="0" collapsed="false">
      <c r="A891" s="13" t="s">
        <v>1468</v>
      </c>
      <c r="B891" s="13" t="s">
        <v>96</v>
      </c>
      <c r="C891" s="13" t="s">
        <v>4156</v>
      </c>
      <c r="D891" s="13" t="s">
        <v>1873</v>
      </c>
      <c r="E891" s="13" t="s">
        <v>5164</v>
      </c>
      <c r="F891" s="14" t="s">
        <v>5165</v>
      </c>
      <c r="G891" s="14" t="s">
        <v>2706</v>
      </c>
      <c r="H891" s="20" t="n">
        <v>42.3</v>
      </c>
      <c r="I891" s="13" t="n">
        <v>32</v>
      </c>
      <c r="J891" s="13" t="s">
        <v>5166</v>
      </c>
      <c r="K891" s="13" t="n">
        <v>43</v>
      </c>
      <c r="L891" s="21" t="n">
        <v>10.4</v>
      </c>
      <c r="M891" s="21" t="n">
        <f aca="false">IF(C891="covered",10.4,7.55)</f>
        <v>10.4</v>
      </c>
      <c r="N891" s="13" t="n">
        <f aca="false">MAX(ROUNDUP(H891,0),I891)</f>
        <v>43</v>
      </c>
      <c r="O891" s="21" t="n">
        <v>447.2</v>
      </c>
      <c r="P891" s="21" t="n">
        <f aca="false">ROUND(M891*N891,2)</f>
        <v>447.2</v>
      </c>
      <c r="Q891" s="21" t="n">
        <f aca="false">ROUND(P891-IF(O891="",0,O891),2)</f>
        <v>0</v>
      </c>
      <c r="R891" s="14" t="str">
        <f aca="false">IF(J891="","MISSING BILL",IF(AND(K891=N891,ABS(L891-M891)&lt;0.001,ABS(O891-P891)&lt;0.01),"RECONCILED","CALCULATION ERROR"))</f>
        <v>RECONCILED</v>
      </c>
      <c r="S891" s="14" t="s">
        <v>2935</v>
      </c>
    </row>
    <row r="892" customFormat="false" ht="15" hidden="true" customHeight="false" outlineLevel="0" collapsed="false">
      <c r="A892" s="13" t="s">
        <v>5167</v>
      </c>
      <c r="B892" s="13" t="s">
        <v>96</v>
      </c>
      <c r="C892" s="13" t="s">
        <v>4156</v>
      </c>
      <c r="D892" s="13" t="s">
        <v>1873</v>
      </c>
      <c r="E892" s="13" t="s">
        <v>5168</v>
      </c>
      <c r="F892" s="14" t="s">
        <v>5169</v>
      </c>
      <c r="G892" s="14" t="s">
        <v>2723</v>
      </c>
      <c r="H892" s="20" t="n">
        <v>27.2</v>
      </c>
      <c r="I892" s="13" t="n">
        <v>40</v>
      </c>
      <c r="J892" s="13" t="s">
        <v>5170</v>
      </c>
      <c r="K892" s="13" t="n">
        <v>40</v>
      </c>
      <c r="L892" s="21" t="n">
        <v>10.4</v>
      </c>
      <c r="M892" s="21" t="n">
        <f aca="false">IF(C892="covered",10.4,7.55)</f>
        <v>10.4</v>
      </c>
      <c r="N892" s="13" t="n">
        <f aca="false">MAX(ROUNDUP(H892,0),I892)</f>
        <v>40</v>
      </c>
      <c r="O892" s="21" t="n">
        <v>416</v>
      </c>
      <c r="P892" s="21" t="n">
        <f aca="false">ROUND(M892*N892,2)</f>
        <v>416</v>
      </c>
      <c r="Q892" s="21" t="n">
        <f aca="false">ROUND(P892-IF(O892="",0,O892),2)</f>
        <v>0</v>
      </c>
      <c r="R892" s="14" t="str">
        <f aca="false">IF(J892="","MISSING BILL",IF(AND(K892=N892,ABS(L892-M892)&lt;0.001,ABS(O892-P892)&lt;0.01),"RECONCILED","CALCULATION ERROR"))</f>
        <v>RECONCILED</v>
      </c>
      <c r="S892" s="14" t="s">
        <v>2935</v>
      </c>
    </row>
    <row r="893" customFormat="false" ht="15" hidden="true" customHeight="false" outlineLevel="0" collapsed="false">
      <c r="A893" s="13" t="s">
        <v>5171</v>
      </c>
      <c r="B893" s="13" t="s">
        <v>96</v>
      </c>
      <c r="C893" s="13" t="s">
        <v>4156</v>
      </c>
      <c r="D893" s="13" t="s">
        <v>1873</v>
      </c>
      <c r="E893" s="13" t="s">
        <v>5172</v>
      </c>
      <c r="F893" s="14" t="s">
        <v>5173</v>
      </c>
      <c r="G893" s="14" t="s">
        <v>2402</v>
      </c>
      <c r="H893" s="20" t="n">
        <v>36</v>
      </c>
      <c r="I893" s="13" t="n">
        <v>32</v>
      </c>
      <c r="J893" s="13" t="s">
        <v>5174</v>
      </c>
      <c r="K893" s="13" t="n">
        <v>36</v>
      </c>
      <c r="L893" s="21" t="n">
        <v>10.4</v>
      </c>
      <c r="M893" s="21" t="n">
        <f aca="false">IF(C893="covered",10.4,7.55)</f>
        <v>10.4</v>
      </c>
      <c r="N893" s="13" t="n">
        <f aca="false">MAX(ROUNDUP(H893,0),I893)</f>
        <v>36</v>
      </c>
      <c r="O893" s="21" t="n">
        <v>374.4</v>
      </c>
      <c r="P893" s="21" t="n">
        <f aca="false">ROUND(M893*N893,2)</f>
        <v>374.4</v>
      </c>
      <c r="Q893" s="21" t="n">
        <f aca="false">ROUND(P893-IF(O893="",0,O893),2)</f>
        <v>0</v>
      </c>
      <c r="R893" s="14" t="str">
        <f aca="false">IF(J893="","MISSING BILL",IF(AND(K893=N893,ABS(L893-M893)&lt;0.001,ABS(O893-P893)&lt;0.01),"RECONCILED","CALCULATION ERROR"))</f>
        <v>RECONCILED</v>
      </c>
      <c r="S893" s="14" t="s">
        <v>2935</v>
      </c>
    </row>
    <row r="894" customFormat="false" ht="15" hidden="true" customHeight="false" outlineLevel="0" collapsed="false">
      <c r="A894" s="13" t="s">
        <v>5175</v>
      </c>
      <c r="B894" s="13" t="s">
        <v>96</v>
      </c>
      <c r="C894" s="13" t="s">
        <v>4156</v>
      </c>
      <c r="D894" s="13" t="s">
        <v>1873</v>
      </c>
      <c r="E894" s="13" t="s">
        <v>5176</v>
      </c>
      <c r="F894" s="14" t="s">
        <v>5177</v>
      </c>
      <c r="G894" s="14" t="s">
        <v>4080</v>
      </c>
      <c r="H894" s="20" t="n">
        <v>41.7</v>
      </c>
      <c r="I894" s="13" t="n">
        <v>40</v>
      </c>
      <c r="J894" s="13" t="s">
        <v>5178</v>
      </c>
      <c r="K894" s="13" t="n">
        <v>42</v>
      </c>
      <c r="L894" s="21" t="n">
        <v>10.4</v>
      </c>
      <c r="M894" s="21" t="n">
        <f aca="false">IF(C894="covered",10.4,7.55)</f>
        <v>10.4</v>
      </c>
      <c r="N894" s="13" t="n">
        <f aca="false">MAX(ROUNDUP(H894,0),I894)</f>
        <v>42</v>
      </c>
      <c r="O894" s="21" t="n">
        <v>436.8</v>
      </c>
      <c r="P894" s="21" t="n">
        <f aca="false">ROUND(M894*N894,2)</f>
        <v>436.8</v>
      </c>
      <c r="Q894" s="21" t="n">
        <f aca="false">ROUND(P894-IF(O894="",0,O894),2)</f>
        <v>0</v>
      </c>
      <c r="R894" s="14" t="str">
        <f aca="false">IF(J894="","MISSING BILL",IF(AND(K894=N894,ABS(L894-M894)&lt;0.001,ABS(O894-P894)&lt;0.01),"RECONCILED","CALCULATION ERROR"))</f>
        <v>RECONCILED</v>
      </c>
      <c r="S894" s="14" t="s">
        <v>2935</v>
      </c>
    </row>
    <row r="895" customFormat="false" ht="15" hidden="true" customHeight="false" outlineLevel="0" collapsed="false">
      <c r="A895" s="13" t="s">
        <v>316</v>
      </c>
      <c r="B895" s="13" t="s">
        <v>96</v>
      </c>
      <c r="C895" s="13" t="s">
        <v>4156</v>
      </c>
      <c r="D895" s="13" t="s">
        <v>1873</v>
      </c>
      <c r="E895" s="13" t="s">
        <v>5179</v>
      </c>
      <c r="F895" s="14" t="s">
        <v>5180</v>
      </c>
      <c r="G895" s="14" t="s">
        <v>2484</v>
      </c>
      <c r="H895" s="20" t="n">
        <v>34.3</v>
      </c>
      <c r="I895" s="13" t="n">
        <v>28</v>
      </c>
      <c r="J895" s="13" t="s">
        <v>5181</v>
      </c>
      <c r="K895" s="13" t="n">
        <v>35</v>
      </c>
      <c r="L895" s="21" t="n">
        <v>10.4</v>
      </c>
      <c r="M895" s="21" t="n">
        <f aca="false">IF(C895="covered",10.4,7.55)</f>
        <v>10.4</v>
      </c>
      <c r="N895" s="13" t="n">
        <f aca="false">MAX(ROUNDUP(H895,0),I895)</f>
        <v>35</v>
      </c>
      <c r="O895" s="21" t="n">
        <v>364</v>
      </c>
      <c r="P895" s="21" t="n">
        <f aca="false">ROUND(M895*N895,2)</f>
        <v>364</v>
      </c>
      <c r="Q895" s="21" t="n">
        <f aca="false">ROUND(P895-IF(O895="",0,O895),2)</f>
        <v>0</v>
      </c>
      <c r="R895" s="14" t="str">
        <f aca="false">IF(J895="","MISSING BILL",IF(AND(K895=N895,ABS(L895-M895)&lt;0.001,ABS(O895-P895)&lt;0.01),"RECONCILED","CALCULATION ERROR"))</f>
        <v>RECONCILED</v>
      </c>
      <c r="S895" s="14" t="s">
        <v>2935</v>
      </c>
    </row>
    <row r="896" customFormat="false" ht="15" hidden="true" customHeight="false" outlineLevel="0" collapsed="false">
      <c r="A896" s="13" t="s">
        <v>5182</v>
      </c>
      <c r="B896" s="13" t="s">
        <v>96</v>
      </c>
      <c r="C896" s="13" t="s">
        <v>4156</v>
      </c>
      <c r="D896" s="13" t="s">
        <v>1873</v>
      </c>
      <c r="E896" s="13" t="s">
        <v>5183</v>
      </c>
      <c r="F896" s="14" t="s">
        <v>5184</v>
      </c>
      <c r="G896" s="14" t="s">
        <v>2863</v>
      </c>
      <c r="H896" s="20" t="n">
        <v>22.5</v>
      </c>
      <c r="I896" s="13" t="n">
        <v>28</v>
      </c>
      <c r="J896" s="13" t="s">
        <v>5185</v>
      </c>
      <c r="K896" s="13" t="n">
        <v>28</v>
      </c>
      <c r="L896" s="21" t="n">
        <v>10.4</v>
      </c>
      <c r="M896" s="21" t="n">
        <f aca="false">IF(C896="covered",10.4,7.55)</f>
        <v>10.4</v>
      </c>
      <c r="N896" s="13" t="n">
        <f aca="false">MAX(ROUNDUP(H896,0),I896)</f>
        <v>28</v>
      </c>
      <c r="O896" s="21" t="n">
        <v>291.2</v>
      </c>
      <c r="P896" s="21" t="n">
        <f aca="false">ROUND(M896*N896,2)</f>
        <v>291.2</v>
      </c>
      <c r="Q896" s="21" t="n">
        <f aca="false">ROUND(P896-IF(O896="",0,O896),2)</f>
        <v>0</v>
      </c>
      <c r="R896" s="14" t="str">
        <f aca="false">IF(J896="","MISSING BILL",IF(AND(K896=N896,ABS(L896-M896)&lt;0.001,ABS(O896-P896)&lt;0.01),"RECONCILED","CALCULATION ERROR"))</f>
        <v>RECONCILED</v>
      </c>
      <c r="S896" s="14" t="s">
        <v>2935</v>
      </c>
    </row>
    <row r="897" customFormat="false" ht="15" hidden="true" customHeight="false" outlineLevel="0" collapsed="false">
      <c r="A897" s="13" t="s">
        <v>5186</v>
      </c>
      <c r="B897" s="13" t="s">
        <v>96</v>
      </c>
      <c r="C897" s="13" t="s">
        <v>4156</v>
      </c>
      <c r="D897" s="13" t="s">
        <v>1873</v>
      </c>
      <c r="E897" s="13" t="s">
        <v>5187</v>
      </c>
      <c r="F897" s="14" t="s">
        <v>5188</v>
      </c>
      <c r="G897" s="14" t="s">
        <v>4748</v>
      </c>
      <c r="H897" s="20" t="n">
        <v>49.1</v>
      </c>
      <c r="I897" s="13" t="n">
        <v>24</v>
      </c>
      <c r="J897" s="13" t="s">
        <v>5189</v>
      </c>
      <c r="K897" s="13" t="n">
        <v>50</v>
      </c>
      <c r="L897" s="21" t="n">
        <v>10.4</v>
      </c>
      <c r="M897" s="21" t="n">
        <f aca="false">IF(C897="covered",10.4,7.55)</f>
        <v>10.4</v>
      </c>
      <c r="N897" s="13" t="n">
        <f aca="false">MAX(ROUNDUP(H897,0),I897)</f>
        <v>50</v>
      </c>
      <c r="O897" s="21" t="n">
        <v>520</v>
      </c>
      <c r="P897" s="21" t="n">
        <f aca="false">ROUND(M897*N897,2)</f>
        <v>520</v>
      </c>
      <c r="Q897" s="21" t="n">
        <f aca="false">ROUND(P897-IF(O897="",0,O897),2)</f>
        <v>0</v>
      </c>
      <c r="R897" s="14" t="str">
        <f aca="false">IF(J897="","MISSING BILL",IF(AND(K897=N897,ABS(L897-M897)&lt;0.001,ABS(O897-P897)&lt;0.01),"RECONCILED","CALCULATION ERROR"))</f>
        <v>RECONCILED</v>
      </c>
      <c r="S897" s="14" t="s">
        <v>2935</v>
      </c>
    </row>
    <row r="898" customFormat="false" ht="15" hidden="true" customHeight="false" outlineLevel="0" collapsed="false">
      <c r="A898" s="13" t="s">
        <v>5190</v>
      </c>
      <c r="B898" s="13" t="s">
        <v>96</v>
      </c>
      <c r="C898" s="13" t="s">
        <v>4156</v>
      </c>
      <c r="D898" s="13" t="s">
        <v>1873</v>
      </c>
      <c r="E898" s="13" t="s">
        <v>5191</v>
      </c>
      <c r="F898" s="14" t="s">
        <v>5192</v>
      </c>
      <c r="G898" s="14" t="s">
        <v>2103</v>
      </c>
      <c r="H898" s="20" t="n">
        <v>21.8</v>
      </c>
      <c r="I898" s="13" t="n">
        <v>40</v>
      </c>
      <c r="J898" s="13" t="s">
        <v>5193</v>
      </c>
      <c r="K898" s="13" t="n">
        <v>40</v>
      </c>
      <c r="L898" s="21" t="n">
        <v>10.4</v>
      </c>
      <c r="M898" s="21" t="n">
        <f aca="false">IF(C898="covered",10.4,7.55)</f>
        <v>10.4</v>
      </c>
      <c r="N898" s="13" t="n">
        <f aca="false">MAX(ROUNDUP(H898,0),I898)</f>
        <v>40</v>
      </c>
      <c r="O898" s="21" t="n">
        <v>416</v>
      </c>
      <c r="P898" s="21" t="n">
        <f aca="false">ROUND(M898*N898,2)</f>
        <v>416</v>
      </c>
      <c r="Q898" s="21" t="n">
        <f aca="false">ROUND(P898-IF(O898="",0,O898),2)</f>
        <v>0</v>
      </c>
      <c r="R898" s="14" t="str">
        <f aca="false">IF(J898="","MISSING BILL",IF(AND(K898=N898,ABS(L898-M898)&lt;0.001,ABS(O898-P898)&lt;0.01),"RECONCILED","CALCULATION ERROR"))</f>
        <v>RECONCILED</v>
      </c>
      <c r="S898" s="14" t="s">
        <v>2935</v>
      </c>
    </row>
    <row r="899" customFormat="false" ht="15" hidden="true" customHeight="false" outlineLevel="0" collapsed="false">
      <c r="A899" s="13" t="s">
        <v>1245</v>
      </c>
      <c r="B899" s="13" t="s">
        <v>96</v>
      </c>
      <c r="C899" s="13" t="s">
        <v>4156</v>
      </c>
      <c r="D899" s="13" t="s">
        <v>1873</v>
      </c>
      <c r="E899" s="13" t="s">
        <v>5194</v>
      </c>
      <c r="F899" s="14" t="s">
        <v>5195</v>
      </c>
      <c r="G899" s="14" t="s">
        <v>5196</v>
      </c>
      <c r="H899" s="20" t="n">
        <v>38.1</v>
      </c>
      <c r="I899" s="13" t="n">
        <v>32</v>
      </c>
      <c r="J899" s="13" t="s">
        <v>5197</v>
      </c>
      <c r="K899" s="13" t="n">
        <v>39</v>
      </c>
      <c r="L899" s="21" t="n">
        <v>10.4</v>
      </c>
      <c r="M899" s="21" t="n">
        <f aca="false">IF(C899="covered",10.4,7.55)</f>
        <v>10.4</v>
      </c>
      <c r="N899" s="13" t="n">
        <f aca="false">MAX(ROUNDUP(H899,0),I899)</f>
        <v>39</v>
      </c>
      <c r="O899" s="21" t="n">
        <v>405.6</v>
      </c>
      <c r="P899" s="21" t="n">
        <f aca="false">ROUND(M899*N899,2)</f>
        <v>405.6</v>
      </c>
      <c r="Q899" s="21" t="n">
        <f aca="false">ROUND(P899-IF(O899="",0,O899),2)</f>
        <v>0</v>
      </c>
      <c r="R899" s="14" t="str">
        <f aca="false">IF(J899="","MISSING BILL",IF(AND(K899=N899,ABS(L899-M899)&lt;0.001,ABS(O899-P899)&lt;0.01),"RECONCILED","CALCULATION ERROR"))</f>
        <v>RECONCILED</v>
      </c>
      <c r="S899" s="14" t="s">
        <v>2935</v>
      </c>
    </row>
    <row r="900" customFormat="false" ht="15" hidden="true" customHeight="false" outlineLevel="0" collapsed="false">
      <c r="A900" s="13" t="s">
        <v>5198</v>
      </c>
      <c r="B900" s="13" t="s">
        <v>96</v>
      </c>
      <c r="C900" s="13" t="s">
        <v>4156</v>
      </c>
      <c r="D900" s="13" t="s">
        <v>1873</v>
      </c>
      <c r="E900" s="13" t="s">
        <v>5199</v>
      </c>
      <c r="F900" s="14" t="s">
        <v>5200</v>
      </c>
      <c r="G900" s="14" t="s">
        <v>5201</v>
      </c>
      <c r="H900" s="20" t="n">
        <v>20.9</v>
      </c>
      <c r="I900" s="13" t="n">
        <v>28</v>
      </c>
      <c r="J900" s="13" t="s">
        <v>5202</v>
      </c>
      <c r="K900" s="13" t="n">
        <v>28</v>
      </c>
      <c r="L900" s="21" t="n">
        <v>10.4</v>
      </c>
      <c r="M900" s="21" t="n">
        <f aca="false">IF(C900="covered",10.4,7.55)</f>
        <v>10.4</v>
      </c>
      <c r="N900" s="13" t="n">
        <f aca="false">MAX(ROUNDUP(H900,0),I900)</f>
        <v>28</v>
      </c>
      <c r="O900" s="21" t="n">
        <v>291.2</v>
      </c>
      <c r="P900" s="21" t="n">
        <f aca="false">ROUND(M900*N900,2)</f>
        <v>291.2</v>
      </c>
      <c r="Q900" s="21" t="n">
        <f aca="false">ROUND(P900-IF(O900="",0,O900),2)</f>
        <v>0</v>
      </c>
      <c r="R900" s="14" t="str">
        <f aca="false">IF(J900="","MISSING BILL",IF(AND(K900=N900,ABS(L900-M900)&lt;0.001,ABS(O900-P900)&lt;0.01),"RECONCILED","CALCULATION ERROR"))</f>
        <v>RECONCILED</v>
      </c>
      <c r="S900" s="14" t="s">
        <v>2935</v>
      </c>
    </row>
    <row r="901" customFormat="false" ht="15" hidden="true" customHeight="false" outlineLevel="0" collapsed="false">
      <c r="A901" s="13" t="s">
        <v>5203</v>
      </c>
      <c r="B901" s="13" t="s">
        <v>96</v>
      </c>
      <c r="C901" s="13" t="s">
        <v>4156</v>
      </c>
      <c r="D901" s="13" t="s">
        <v>1873</v>
      </c>
      <c r="E901" s="13" t="s">
        <v>409</v>
      </c>
      <c r="F901" s="14" t="s">
        <v>410</v>
      </c>
      <c r="G901" s="14" t="s">
        <v>2669</v>
      </c>
      <c r="H901" s="20" t="n">
        <v>38.3</v>
      </c>
      <c r="I901" s="13" t="n">
        <v>40</v>
      </c>
      <c r="J901" s="13" t="s">
        <v>5204</v>
      </c>
      <c r="K901" s="13" t="n">
        <v>40</v>
      </c>
      <c r="L901" s="21" t="n">
        <v>10.4</v>
      </c>
      <c r="M901" s="21" t="n">
        <f aca="false">IF(C901="covered",10.4,7.55)</f>
        <v>10.4</v>
      </c>
      <c r="N901" s="13" t="n">
        <f aca="false">MAX(ROUNDUP(H901,0),I901)</f>
        <v>40</v>
      </c>
      <c r="O901" s="21" t="n">
        <v>416</v>
      </c>
      <c r="P901" s="21" t="n">
        <f aca="false">ROUND(M901*N901,2)</f>
        <v>416</v>
      </c>
      <c r="Q901" s="21" t="n">
        <f aca="false">ROUND(P901-IF(O901="",0,O901),2)</f>
        <v>0</v>
      </c>
      <c r="R901" s="14" t="str">
        <f aca="false">IF(J901="","MISSING BILL",IF(AND(K901=N901,ABS(L901-M901)&lt;0.001,ABS(O901-P901)&lt;0.01),"RECONCILED","CALCULATION ERROR"))</f>
        <v>RECONCILED</v>
      </c>
      <c r="S901" s="14" t="s">
        <v>2935</v>
      </c>
    </row>
    <row r="902" customFormat="false" ht="15" hidden="true" customHeight="false" outlineLevel="0" collapsed="false">
      <c r="A902" s="13" t="s">
        <v>5205</v>
      </c>
      <c r="B902" s="13" t="s">
        <v>96</v>
      </c>
      <c r="C902" s="13" t="s">
        <v>4156</v>
      </c>
      <c r="D902" s="13" t="s">
        <v>1873</v>
      </c>
      <c r="E902" s="13" t="s">
        <v>5206</v>
      </c>
      <c r="F902" s="14" t="s">
        <v>5207</v>
      </c>
      <c r="G902" s="14" t="s">
        <v>2342</v>
      </c>
      <c r="H902" s="20" t="n">
        <v>57.3</v>
      </c>
      <c r="I902" s="13" t="n">
        <v>24</v>
      </c>
      <c r="J902" s="13" t="s">
        <v>5208</v>
      </c>
      <c r="K902" s="13" t="n">
        <v>58</v>
      </c>
      <c r="L902" s="21" t="n">
        <v>10.4</v>
      </c>
      <c r="M902" s="21" t="n">
        <f aca="false">IF(C902="covered",10.4,7.55)</f>
        <v>10.4</v>
      </c>
      <c r="N902" s="13" t="n">
        <f aca="false">MAX(ROUNDUP(H902,0),I902)</f>
        <v>58</v>
      </c>
      <c r="O902" s="21" t="n">
        <v>603.2</v>
      </c>
      <c r="P902" s="21" t="n">
        <f aca="false">ROUND(M902*N902,2)</f>
        <v>603.2</v>
      </c>
      <c r="Q902" s="21" t="n">
        <f aca="false">ROUND(P902-IF(O902="",0,O902),2)</f>
        <v>0</v>
      </c>
      <c r="R902" s="14" t="str">
        <f aca="false">IF(J902="","MISSING BILL",IF(AND(K902=N902,ABS(L902-M902)&lt;0.001,ABS(O902-P902)&lt;0.01),"RECONCILED","CALCULATION ERROR"))</f>
        <v>RECONCILED</v>
      </c>
      <c r="S902" s="14" t="s">
        <v>2935</v>
      </c>
    </row>
    <row r="903" customFormat="false" ht="15" hidden="true" customHeight="false" outlineLevel="0" collapsed="false">
      <c r="A903" s="13" t="s">
        <v>5209</v>
      </c>
      <c r="B903" s="13" t="s">
        <v>96</v>
      </c>
      <c r="C903" s="13" t="s">
        <v>4156</v>
      </c>
      <c r="D903" s="13" t="s">
        <v>1873</v>
      </c>
      <c r="E903" s="13" t="s">
        <v>5210</v>
      </c>
      <c r="F903" s="14" t="s">
        <v>5211</v>
      </c>
      <c r="G903" s="14" t="s">
        <v>4729</v>
      </c>
      <c r="H903" s="20" t="n">
        <v>38.2</v>
      </c>
      <c r="I903" s="13" t="n">
        <v>24</v>
      </c>
      <c r="J903" s="13" t="s">
        <v>5212</v>
      </c>
      <c r="K903" s="13" t="n">
        <v>39</v>
      </c>
      <c r="L903" s="21" t="n">
        <v>10.4</v>
      </c>
      <c r="M903" s="21" t="n">
        <f aca="false">IF(C903="covered",10.4,7.55)</f>
        <v>10.4</v>
      </c>
      <c r="N903" s="13" t="n">
        <f aca="false">MAX(ROUNDUP(H903,0),I903)</f>
        <v>39</v>
      </c>
      <c r="O903" s="21" t="n">
        <v>405.6</v>
      </c>
      <c r="P903" s="21" t="n">
        <f aca="false">ROUND(M903*N903,2)</f>
        <v>405.6</v>
      </c>
      <c r="Q903" s="21" t="n">
        <f aca="false">ROUND(P903-IF(O903="",0,O903),2)</f>
        <v>0</v>
      </c>
      <c r="R903" s="14" t="str">
        <f aca="false">IF(J903="","MISSING BILL",IF(AND(K903=N903,ABS(L903-M903)&lt;0.001,ABS(O903-P903)&lt;0.01),"RECONCILED","CALCULATION ERROR"))</f>
        <v>RECONCILED</v>
      </c>
      <c r="S903" s="14" t="s">
        <v>2935</v>
      </c>
    </row>
    <row r="904" customFormat="false" ht="15" hidden="true" customHeight="false" outlineLevel="0" collapsed="false">
      <c r="A904" s="13" t="s">
        <v>5213</v>
      </c>
      <c r="B904" s="13" t="s">
        <v>96</v>
      </c>
      <c r="C904" s="13" t="s">
        <v>4156</v>
      </c>
      <c r="D904" s="13" t="s">
        <v>1873</v>
      </c>
      <c r="E904" s="13" t="s">
        <v>5214</v>
      </c>
      <c r="F904" s="14" t="s">
        <v>5215</v>
      </c>
      <c r="G904" s="14" t="s">
        <v>2610</v>
      </c>
      <c r="H904" s="20" t="n">
        <v>60.4</v>
      </c>
      <c r="I904" s="13" t="n">
        <v>24</v>
      </c>
      <c r="J904" s="13" t="s">
        <v>5216</v>
      </c>
      <c r="K904" s="13" t="n">
        <v>61</v>
      </c>
      <c r="L904" s="21" t="n">
        <v>10.4</v>
      </c>
      <c r="M904" s="21" t="n">
        <f aca="false">IF(C904="covered",10.4,7.55)</f>
        <v>10.4</v>
      </c>
      <c r="N904" s="13" t="n">
        <f aca="false">MAX(ROUNDUP(H904,0),I904)</f>
        <v>61</v>
      </c>
      <c r="O904" s="21" t="n">
        <v>634.4</v>
      </c>
      <c r="P904" s="21" t="n">
        <f aca="false">ROUND(M904*N904,2)</f>
        <v>634.4</v>
      </c>
      <c r="Q904" s="21" t="n">
        <f aca="false">ROUND(P904-IF(O904="",0,O904),2)</f>
        <v>0</v>
      </c>
      <c r="R904" s="14" t="str">
        <f aca="false">IF(J904="","MISSING BILL",IF(AND(K904=N904,ABS(L904-M904)&lt;0.001,ABS(O904-P904)&lt;0.01),"RECONCILED","CALCULATION ERROR"))</f>
        <v>RECONCILED</v>
      </c>
      <c r="S904" s="14" t="s">
        <v>2935</v>
      </c>
    </row>
    <row r="905" customFormat="false" ht="15" hidden="true" customHeight="false" outlineLevel="0" collapsed="false">
      <c r="A905" s="13" t="s">
        <v>5217</v>
      </c>
      <c r="B905" s="13" t="s">
        <v>96</v>
      </c>
      <c r="C905" s="13" t="s">
        <v>4156</v>
      </c>
      <c r="D905" s="13" t="s">
        <v>1873</v>
      </c>
      <c r="E905" s="13" t="s">
        <v>5218</v>
      </c>
      <c r="F905" s="14" t="s">
        <v>5219</v>
      </c>
      <c r="G905" s="14" t="s">
        <v>2133</v>
      </c>
      <c r="H905" s="20" t="n">
        <v>18.3</v>
      </c>
      <c r="I905" s="13" t="n">
        <v>28</v>
      </c>
      <c r="J905" s="13" t="s">
        <v>5220</v>
      </c>
      <c r="K905" s="13" t="n">
        <v>28</v>
      </c>
      <c r="L905" s="21" t="n">
        <v>10.4</v>
      </c>
      <c r="M905" s="21" t="n">
        <f aca="false">IF(C905="covered",10.4,7.55)</f>
        <v>10.4</v>
      </c>
      <c r="N905" s="13" t="n">
        <f aca="false">MAX(ROUNDUP(H905,0),I905)</f>
        <v>28</v>
      </c>
      <c r="O905" s="21" t="n">
        <v>291.2</v>
      </c>
      <c r="P905" s="21" t="n">
        <f aca="false">ROUND(M905*N905,2)</f>
        <v>291.2</v>
      </c>
      <c r="Q905" s="21" t="n">
        <f aca="false">ROUND(P905-IF(O905="",0,O905),2)</f>
        <v>0</v>
      </c>
      <c r="R905" s="14" t="str">
        <f aca="false">IF(J905="","MISSING BILL",IF(AND(K905=N905,ABS(L905-M905)&lt;0.001,ABS(O905-P905)&lt;0.01),"RECONCILED","CALCULATION ERROR"))</f>
        <v>RECONCILED</v>
      </c>
      <c r="S905" s="14" t="s">
        <v>2935</v>
      </c>
    </row>
    <row r="906" customFormat="false" ht="15" hidden="true" customHeight="false" outlineLevel="0" collapsed="false">
      <c r="A906" s="13" t="s">
        <v>5221</v>
      </c>
      <c r="B906" s="13" t="s">
        <v>96</v>
      </c>
      <c r="C906" s="13" t="s">
        <v>4156</v>
      </c>
      <c r="D906" s="13" t="s">
        <v>1873</v>
      </c>
      <c r="E906" s="13" t="s">
        <v>5222</v>
      </c>
      <c r="F906" s="14" t="s">
        <v>5223</v>
      </c>
      <c r="G906" s="14" t="s">
        <v>2303</v>
      </c>
      <c r="H906" s="20" t="n">
        <v>30.8</v>
      </c>
      <c r="I906" s="13" t="n">
        <v>40</v>
      </c>
      <c r="J906" s="13" t="s">
        <v>5224</v>
      </c>
      <c r="K906" s="13" t="n">
        <v>40</v>
      </c>
      <c r="L906" s="21" t="n">
        <v>10.4</v>
      </c>
      <c r="M906" s="21" t="n">
        <f aca="false">IF(C906="covered",10.4,7.55)</f>
        <v>10.4</v>
      </c>
      <c r="N906" s="13" t="n">
        <f aca="false">MAX(ROUNDUP(H906,0),I906)</f>
        <v>40</v>
      </c>
      <c r="O906" s="21" t="n">
        <v>416</v>
      </c>
      <c r="P906" s="21" t="n">
        <f aca="false">ROUND(M906*N906,2)</f>
        <v>416</v>
      </c>
      <c r="Q906" s="21" t="n">
        <f aca="false">ROUND(P906-IF(O906="",0,O906),2)</f>
        <v>0</v>
      </c>
      <c r="R906" s="14" t="str">
        <f aca="false">IF(J906="","MISSING BILL",IF(AND(K906=N906,ABS(L906-M906)&lt;0.001,ABS(O906-P906)&lt;0.01),"RECONCILED","CALCULATION ERROR"))</f>
        <v>RECONCILED</v>
      </c>
      <c r="S906" s="14" t="s">
        <v>2935</v>
      </c>
    </row>
    <row r="907" customFormat="false" ht="15" hidden="true" customHeight="false" outlineLevel="0" collapsed="false">
      <c r="A907" s="13" t="s">
        <v>5225</v>
      </c>
      <c r="B907" s="13" t="s">
        <v>96</v>
      </c>
      <c r="C907" s="13" t="s">
        <v>4156</v>
      </c>
      <c r="D907" s="13" t="s">
        <v>1873</v>
      </c>
      <c r="E907" s="13" t="s">
        <v>5226</v>
      </c>
      <c r="F907" s="14" t="s">
        <v>5227</v>
      </c>
      <c r="G907" s="14" t="s">
        <v>5228</v>
      </c>
      <c r="H907" s="20" t="n">
        <v>38.5</v>
      </c>
      <c r="I907" s="13" t="n">
        <v>24</v>
      </c>
      <c r="J907" s="13" t="s">
        <v>5229</v>
      </c>
      <c r="K907" s="13" t="n">
        <v>39</v>
      </c>
      <c r="L907" s="21" t="n">
        <v>10.4</v>
      </c>
      <c r="M907" s="21" t="n">
        <f aca="false">IF(C907="covered",10.4,7.55)</f>
        <v>10.4</v>
      </c>
      <c r="N907" s="13" t="n">
        <f aca="false">MAX(ROUNDUP(H907,0),I907)</f>
        <v>39</v>
      </c>
      <c r="O907" s="21" t="n">
        <v>405.6</v>
      </c>
      <c r="P907" s="21" t="n">
        <f aca="false">ROUND(M907*N907,2)</f>
        <v>405.6</v>
      </c>
      <c r="Q907" s="21" t="n">
        <f aca="false">ROUND(P907-IF(O907="",0,O907),2)</f>
        <v>0</v>
      </c>
      <c r="R907" s="14" t="str">
        <f aca="false">IF(J907="","MISSING BILL",IF(AND(K907=N907,ABS(L907-M907)&lt;0.001,ABS(O907-P907)&lt;0.01),"RECONCILED","CALCULATION ERROR"))</f>
        <v>RECONCILED</v>
      </c>
      <c r="S907" s="14" t="s">
        <v>2935</v>
      </c>
    </row>
    <row r="908" customFormat="false" ht="15" hidden="true" customHeight="false" outlineLevel="0" collapsed="false">
      <c r="A908" s="13" t="s">
        <v>5230</v>
      </c>
      <c r="B908" s="13" t="s">
        <v>96</v>
      </c>
      <c r="C908" s="13" t="s">
        <v>4156</v>
      </c>
      <c r="D908" s="13" t="s">
        <v>1873</v>
      </c>
      <c r="E908" s="13" t="s">
        <v>5231</v>
      </c>
      <c r="F908" s="14" t="s">
        <v>5232</v>
      </c>
      <c r="G908" s="14" t="s">
        <v>2336</v>
      </c>
      <c r="H908" s="20" t="n">
        <v>27</v>
      </c>
      <c r="I908" s="13" t="n">
        <v>24</v>
      </c>
      <c r="J908" s="13" t="s">
        <v>5233</v>
      </c>
      <c r="K908" s="13" t="n">
        <v>27</v>
      </c>
      <c r="L908" s="21" t="n">
        <v>10.4</v>
      </c>
      <c r="M908" s="21" t="n">
        <f aca="false">IF(C908="covered",10.4,7.55)</f>
        <v>10.4</v>
      </c>
      <c r="N908" s="13" t="n">
        <f aca="false">MAX(ROUNDUP(H908,0),I908)</f>
        <v>27</v>
      </c>
      <c r="O908" s="21" t="n">
        <v>280.8</v>
      </c>
      <c r="P908" s="21" t="n">
        <f aca="false">ROUND(M908*N908,2)</f>
        <v>280.8</v>
      </c>
      <c r="Q908" s="21" t="n">
        <f aca="false">ROUND(P908-IF(O908="",0,O908),2)</f>
        <v>0</v>
      </c>
      <c r="R908" s="14" t="str">
        <f aca="false">IF(J908="","MISSING BILL",IF(AND(K908=N908,ABS(L908-M908)&lt;0.001,ABS(O908-P908)&lt;0.01),"RECONCILED","CALCULATION ERROR"))</f>
        <v>RECONCILED</v>
      </c>
      <c r="S908" s="14" t="s">
        <v>2935</v>
      </c>
    </row>
    <row r="909" customFormat="false" ht="15" hidden="true" customHeight="false" outlineLevel="0" collapsed="false">
      <c r="A909" s="13" t="s">
        <v>5234</v>
      </c>
      <c r="B909" s="13" t="s">
        <v>96</v>
      </c>
      <c r="C909" s="13" t="s">
        <v>4156</v>
      </c>
      <c r="D909" s="13" t="s">
        <v>1873</v>
      </c>
      <c r="E909" s="13" t="s">
        <v>5235</v>
      </c>
      <c r="F909" s="14" t="s">
        <v>5236</v>
      </c>
      <c r="G909" s="14" t="s">
        <v>3014</v>
      </c>
      <c r="H909" s="20" t="n">
        <v>47.7</v>
      </c>
      <c r="I909" s="13" t="n">
        <v>28</v>
      </c>
      <c r="J909" s="13" t="s">
        <v>5237</v>
      </c>
      <c r="K909" s="13" t="n">
        <v>48</v>
      </c>
      <c r="L909" s="21" t="n">
        <v>10.4</v>
      </c>
      <c r="M909" s="21" t="n">
        <f aca="false">IF(C909="covered",10.4,7.55)</f>
        <v>10.4</v>
      </c>
      <c r="N909" s="13" t="n">
        <f aca="false">MAX(ROUNDUP(H909,0),I909)</f>
        <v>48</v>
      </c>
      <c r="O909" s="21" t="n">
        <v>499.2</v>
      </c>
      <c r="P909" s="21" t="n">
        <f aca="false">ROUND(M909*N909,2)</f>
        <v>499.2</v>
      </c>
      <c r="Q909" s="21" t="n">
        <f aca="false">ROUND(P909-IF(O909="",0,O909),2)</f>
        <v>0</v>
      </c>
      <c r="R909" s="14" t="str">
        <f aca="false">IF(J909="","MISSING BILL",IF(AND(K909=N909,ABS(L909-M909)&lt;0.001,ABS(O909-P909)&lt;0.01),"RECONCILED","CALCULATION ERROR"))</f>
        <v>RECONCILED</v>
      </c>
      <c r="S909" s="14" t="s">
        <v>2935</v>
      </c>
    </row>
    <row r="910" customFormat="false" ht="15" hidden="true" customHeight="false" outlineLevel="0" collapsed="false">
      <c r="A910" s="13" t="s">
        <v>236</v>
      </c>
      <c r="B910" s="13" t="s">
        <v>96</v>
      </c>
      <c r="C910" s="13" t="s">
        <v>4156</v>
      </c>
      <c r="D910" s="13" t="s">
        <v>1873</v>
      </c>
      <c r="E910" s="13" t="s">
        <v>5238</v>
      </c>
      <c r="F910" s="14" t="s">
        <v>5239</v>
      </c>
      <c r="G910" s="14" t="s">
        <v>5240</v>
      </c>
      <c r="H910" s="20" t="n">
        <v>24.4</v>
      </c>
      <c r="I910" s="13" t="n">
        <v>28</v>
      </c>
      <c r="J910" s="13" t="s">
        <v>5241</v>
      </c>
      <c r="K910" s="13" t="n">
        <v>28</v>
      </c>
      <c r="L910" s="21" t="n">
        <v>10.4</v>
      </c>
      <c r="M910" s="21" t="n">
        <f aca="false">IF(C910="covered",10.4,7.55)</f>
        <v>10.4</v>
      </c>
      <c r="N910" s="13" t="n">
        <f aca="false">MAX(ROUNDUP(H910,0),I910)</f>
        <v>28</v>
      </c>
      <c r="O910" s="21" t="n">
        <v>291.2</v>
      </c>
      <c r="P910" s="21" t="n">
        <f aca="false">ROUND(M910*N910,2)</f>
        <v>291.2</v>
      </c>
      <c r="Q910" s="21" t="n">
        <f aca="false">ROUND(P910-IF(O910="",0,O910),2)</f>
        <v>0</v>
      </c>
      <c r="R910" s="14" t="str">
        <f aca="false">IF(J910="","MISSING BILL",IF(AND(K910=N910,ABS(L910-M910)&lt;0.001,ABS(O910-P910)&lt;0.01),"RECONCILED","CALCULATION ERROR"))</f>
        <v>RECONCILED</v>
      </c>
      <c r="S910" s="14" t="s">
        <v>2935</v>
      </c>
    </row>
    <row r="911" customFormat="false" ht="15" hidden="true" customHeight="false" outlineLevel="0" collapsed="false">
      <c r="A911" s="13" t="s">
        <v>5242</v>
      </c>
      <c r="B911" s="13" t="s">
        <v>96</v>
      </c>
      <c r="C911" s="13" t="s">
        <v>4156</v>
      </c>
      <c r="D911" s="13" t="s">
        <v>1873</v>
      </c>
      <c r="E911" s="13" t="s">
        <v>5243</v>
      </c>
      <c r="F911" s="14" t="s">
        <v>5244</v>
      </c>
      <c r="G911" s="14" t="s">
        <v>3244</v>
      </c>
      <c r="H911" s="20" t="n">
        <v>31.2</v>
      </c>
      <c r="I911" s="13" t="n">
        <v>24</v>
      </c>
      <c r="J911" s="13" t="s">
        <v>5245</v>
      </c>
      <c r="K911" s="13" t="n">
        <v>32</v>
      </c>
      <c r="L911" s="21" t="n">
        <v>10.4</v>
      </c>
      <c r="M911" s="21" t="n">
        <f aca="false">IF(C911="covered",10.4,7.55)</f>
        <v>10.4</v>
      </c>
      <c r="N911" s="13" t="n">
        <f aca="false">MAX(ROUNDUP(H911,0),I911)</f>
        <v>32</v>
      </c>
      <c r="O911" s="21" t="n">
        <v>332.8</v>
      </c>
      <c r="P911" s="21" t="n">
        <f aca="false">ROUND(M911*N911,2)</f>
        <v>332.8</v>
      </c>
      <c r="Q911" s="21" t="n">
        <f aca="false">ROUND(P911-IF(O911="",0,O911),2)</f>
        <v>0</v>
      </c>
      <c r="R911" s="14" t="str">
        <f aca="false">IF(J911="","MISSING BILL",IF(AND(K911=N911,ABS(L911-M911)&lt;0.001,ABS(O911-P911)&lt;0.01),"RECONCILED","CALCULATION ERROR"))</f>
        <v>RECONCILED</v>
      </c>
      <c r="S911" s="14" t="s">
        <v>2935</v>
      </c>
    </row>
    <row r="912" customFormat="false" ht="15" hidden="true" customHeight="false" outlineLevel="0" collapsed="false">
      <c r="A912" s="13" t="s">
        <v>1003</v>
      </c>
      <c r="B912" s="13" t="s">
        <v>96</v>
      </c>
      <c r="C912" s="13" t="s">
        <v>4156</v>
      </c>
      <c r="D912" s="13" t="s">
        <v>1873</v>
      </c>
      <c r="E912" s="13" t="s">
        <v>5246</v>
      </c>
      <c r="F912" s="14" t="s">
        <v>5247</v>
      </c>
      <c r="G912" s="14" t="s">
        <v>4183</v>
      </c>
      <c r="H912" s="20" t="n">
        <v>61.3</v>
      </c>
      <c r="I912" s="13" t="n">
        <v>28</v>
      </c>
      <c r="J912" s="13" t="s">
        <v>5248</v>
      </c>
      <c r="K912" s="13" t="n">
        <v>62</v>
      </c>
      <c r="L912" s="21" t="n">
        <v>10.4</v>
      </c>
      <c r="M912" s="21" t="n">
        <f aca="false">IF(C912="covered",10.4,7.55)</f>
        <v>10.4</v>
      </c>
      <c r="N912" s="13" t="n">
        <f aca="false">MAX(ROUNDUP(H912,0),I912)</f>
        <v>62</v>
      </c>
      <c r="O912" s="21" t="n">
        <v>644.8</v>
      </c>
      <c r="P912" s="21" t="n">
        <f aca="false">ROUND(M912*N912,2)</f>
        <v>644.8</v>
      </c>
      <c r="Q912" s="21" t="n">
        <f aca="false">ROUND(P912-IF(O912="",0,O912),2)</f>
        <v>0</v>
      </c>
      <c r="R912" s="14" t="str">
        <f aca="false">IF(J912="","MISSING BILL",IF(AND(K912=N912,ABS(L912-M912)&lt;0.001,ABS(O912-P912)&lt;0.01),"RECONCILED","CALCULATION ERROR"))</f>
        <v>RECONCILED</v>
      </c>
      <c r="S912" s="14" t="s">
        <v>2935</v>
      </c>
    </row>
    <row r="913" customFormat="false" ht="15" hidden="true" customHeight="false" outlineLevel="0" collapsed="false">
      <c r="A913" s="13" t="s">
        <v>938</v>
      </c>
      <c r="B913" s="13" t="s">
        <v>96</v>
      </c>
      <c r="C913" s="13" t="s">
        <v>4156</v>
      </c>
      <c r="D913" s="13" t="s">
        <v>1873</v>
      </c>
      <c r="E913" s="13" t="s">
        <v>5249</v>
      </c>
      <c r="F913" s="14" t="s">
        <v>5250</v>
      </c>
      <c r="G913" s="14" t="s">
        <v>5251</v>
      </c>
      <c r="H913" s="20" t="n">
        <v>31.4</v>
      </c>
      <c r="I913" s="13" t="n">
        <v>32</v>
      </c>
      <c r="J913" s="13" t="s">
        <v>5252</v>
      </c>
      <c r="K913" s="13" t="n">
        <v>32</v>
      </c>
      <c r="L913" s="21" t="n">
        <v>10.4</v>
      </c>
      <c r="M913" s="21" t="n">
        <f aca="false">IF(C913="covered",10.4,7.55)</f>
        <v>10.4</v>
      </c>
      <c r="N913" s="13" t="n">
        <f aca="false">MAX(ROUNDUP(H913,0),I913)</f>
        <v>32</v>
      </c>
      <c r="O913" s="21" t="n">
        <v>332.8</v>
      </c>
      <c r="P913" s="21" t="n">
        <f aca="false">ROUND(M913*N913,2)</f>
        <v>332.8</v>
      </c>
      <c r="Q913" s="21" t="n">
        <f aca="false">ROUND(P913-IF(O913="",0,O913),2)</f>
        <v>0</v>
      </c>
      <c r="R913" s="14" t="str">
        <f aca="false">IF(J913="","MISSING BILL",IF(AND(K913=N913,ABS(L913-M913)&lt;0.001,ABS(O913-P913)&lt;0.01),"RECONCILED","CALCULATION ERROR"))</f>
        <v>RECONCILED</v>
      </c>
      <c r="S913" s="14" t="s">
        <v>2935</v>
      </c>
    </row>
    <row r="914" customFormat="false" ht="15" hidden="true" customHeight="false" outlineLevel="0" collapsed="false">
      <c r="A914" s="13" t="s">
        <v>1511</v>
      </c>
      <c r="B914" s="13" t="s">
        <v>96</v>
      </c>
      <c r="C914" s="13" t="s">
        <v>4156</v>
      </c>
      <c r="D914" s="13" t="s">
        <v>1873</v>
      </c>
      <c r="E914" s="13" t="s">
        <v>5253</v>
      </c>
      <c r="F914" s="14" t="s">
        <v>5254</v>
      </c>
      <c r="G914" s="14" t="s">
        <v>2720</v>
      </c>
      <c r="H914" s="20" t="n">
        <v>27</v>
      </c>
      <c r="I914" s="13" t="n">
        <v>28</v>
      </c>
      <c r="J914" s="13" t="s">
        <v>5255</v>
      </c>
      <c r="K914" s="13" t="n">
        <v>28</v>
      </c>
      <c r="L914" s="21" t="n">
        <v>10.4</v>
      </c>
      <c r="M914" s="21" t="n">
        <f aca="false">IF(C914="covered",10.4,7.55)</f>
        <v>10.4</v>
      </c>
      <c r="N914" s="13" t="n">
        <f aca="false">MAX(ROUNDUP(H914,0),I914)</f>
        <v>28</v>
      </c>
      <c r="O914" s="21" t="n">
        <v>291.2</v>
      </c>
      <c r="P914" s="21" t="n">
        <f aca="false">ROUND(M914*N914,2)</f>
        <v>291.2</v>
      </c>
      <c r="Q914" s="21" t="n">
        <f aca="false">ROUND(P914-IF(O914="",0,O914),2)</f>
        <v>0</v>
      </c>
      <c r="R914" s="14" t="str">
        <f aca="false">IF(J914="","MISSING BILL",IF(AND(K914=N914,ABS(L914-M914)&lt;0.001,ABS(O914-P914)&lt;0.01),"RECONCILED","CALCULATION ERROR"))</f>
        <v>RECONCILED</v>
      </c>
      <c r="S914" s="14" t="s">
        <v>2935</v>
      </c>
    </row>
    <row r="915" customFormat="false" ht="15" hidden="true" customHeight="false" outlineLevel="0" collapsed="false">
      <c r="A915" s="13" t="s">
        <v>5256</v>
      </c>
      <c r="B915" s="13" t="s">
        <v>96</v>
      </c>
      <c r="C915" s="13" t="s">
        <v>4156</v>
      </c>
      <c r="D915" s="13" t="s">
        <v>1873</v>
      </c>
      <c r="E915" s="13" t="s">
        <v>5257</v>
      </c>
      <c r="F915" s="14" t="s">
        <v>5258</v>
      </c>
      <c r="G915" s="14" t="s">
        <v>2830</v>
      </c>
      <c r="H915" s="20" t="n">
        <v>41.3</v>
      </c>
      <c r="I915" s="13" t="n">
        <v>28</v>
      </c>
      <c r="J915" s="13" t="s">
        <v>5259</v>
      </c>
      <c r="K915" s="13" t="n">
        <v>42</v>
      </c>
      <c r="L915" s="21" t="n">
        <v>10.4</v>
      </c>
      <c r="M915" s="21" t="n">
        <f aca="false">IF(C915="covered",10.4,7.55)</f>
        <v>10.4</v>
      </c>
      <c r="N915" s="13" t="n">
        <f aca="false">MAX(ROUNDUP(H915,0),I915)</f>
        <v>42</v>
      </c>
      <c r="O915" s="21" t="n">
        <v>436.8</v>
      </c>
      <c r="P915" s="21" t="n">
        <f aca="false">ROUND(M915*N915,2)</f>
        <v>436.8</v>
      </c>
      <c r="Q915" s="21" t="n">
        <f aca="false">ROUND(P915-IF(O915="",0,O915),2)</f>
        <v>0</v>
      </c>
      <c r="R915" s="14" t="str">
        <f aca="false">IF(J915="","MISSING BILL",IF(AND(K915=N915,ABS(L915-M915)&lt;0.001,ABS(O915-P915)&lt;0.01),"RECONCILED","CALCULATION ERROR"))</f>
        <v>RECONCILED</v>
      </c>
      <c r="S915" s="14" t="s">
        <v>2935</v>
      </c>
    </row>
    <row r="916" customFormat="false" ht="15" hidden="true" customHeight="false" outlineLevel="0" collapsed="false">
      <c r="A916" s="13" t="s">
        <v>5260</v>
      </c>
      <c r="B916" s="13" t="s">
        <v>96</v>
      </c>
      <c r="C916" s="13" t="s">
        <v>4156</v>
      </c>
      <c r="D916" s="13" t="s">
        <v>1873</v>
      </c>
      <c r="E916" s="13" t="s">
        <v>5261</v>
      </c>
      <c r="F916" s="14" t="s">
        <v>5262</v>
      </c>
      <c r="G916" s="14" t="s">
        <v>4058</v>
      </c>
      <c r="H916" s="20" t="n">
        <v>30.5</v>
      </c>
      <c r="I916" s="13" t="n">
        <v>32</v>
      </c>
      <c r="J916" s="13" t="s">
        <v>5263</v>
      </c>
      <c r="K916" s="13" t="n">
        <v>32</v>
      </c>
      <c r="L916" s="21" t="n">
        <v>10.4</v>
      </c>
      <c r="M916" s="21" t="n">
        <f aca="false">IF(C916="covered",10.4,7.55)</f>
        <v>10.4</v>
      </c>
      <c r="N916" s="13" t="n">
        <f aca="false">MAX(ROUNDUP(H916,0),I916)</f>
        <v>32</v>
      </c>
      <c r="O916" s="21" t="n">
        <v>332.8</v>
      </c>
      <c r="P916" s="21" t="n">
        <f aca="false">ROUND(M916*N916,2)</f>
        <v>332.8</v>
      </c>
      <c r="Q916" s="21" t="n">
        <f aca="false">ROUND(P916-IF(O916="",0,O916),2)</f>
        <v>0</v>
      </c>
      <c r="R916" s="14" t="str">
        <f aca="false">IF(J916="","MISSING BILL",IF(AND(K916=N916,ABS(L916-M916)&lt;0.001,ABS(O916-P916)&lt;0.01),"RECONCILED","CALCULATION ERROR"))</f>
        <v>RECONCILED</v>
      </c>
      <c r="S916" s="14" t="s">
        <v>2935</v>
      </c>
    </row>
    <row r="917" customFormat="false" ht="15" hidden="true" customHeight="false" outlineLevel="0" collapsed="false">
      <c r="A917" s="13" t="s">
        <v>1391</v>
      </c>
      <c r="B917" s="13" t="s">
        <v>96</v>
      </c>
      <c r="C917" s="13" t="s">
        <v>4156</v>
      </c>
      <c r="D917" s="13" t="s">
        <v>1873</v>
      </c>
      <c r="E917" s="13" t="s">
        <v>5264</v>
      </c>
      <c r="F917" s="14" t="s">
        <v>5265</v>
      </c>
      <c r="G917" s="14" t="s">
        <v>4813</v>
      </c>
      <c r="H917" s="20" t="n">
        <v>32.2</v>
      </c>
      <c r="I917" s="13" t="n">
        <v>32</v>
      </c>
      <c r="J917" s="13" t="s">
        <v>5266</v>
      </c>
      <c r="K917" s="13" t="n">
        <v>33</v>
      </c>
      <c r="L917" s="21" t="n">
        <v>10.4</v>
      </c>
      <c r="M917" s="21" t="n">
        <f aca="false">IF(C917="covered",10.4,7.55)</f>
        <v>10.4</v>
      </c>
      <c r="N917" s="13" t="n">
        <f aca="false">MAX(ROUNDUP(H917,0),I917)</f>
        <v>33</v>
      </c>
      <c r="O917" s="21" t="n">
        <v>343.2</v>
      </c>
      <c r="P917" s="21" t="n">
        <f aca="false">ROUND(M917*N917,2)</f>
        <v>343.2</v>
      </c>
      <c r="Q917" s="21" t="n">
        <f aca="false">ROUND(P917-IF(O917="",0,O917),2)</f>
        <v>0</v>
      </c>
      <c r="R917" s="14" t="str">
        <f aca="false">IF(J917="","MISSING BILL",IF(AND(K917=N917,ABS(L917-M917)&lt;0.001,ABS(O917-P917)&lt;0.01),"RECONCILED","CALCULATION ERROR"))</f>
        <v>RECONCILED</v>
      </c>
      <c r="S917" s="14" t="s">
        <v>2935</v>
      </c>
    </row>
    <row r="918" customFormat="false" ht="15" hidden="true" customHeight="false" outlineLevel="0" collapsed="false">
      <c r="A918" s="13" t="s">
        <v>5267</v>
      </c>
      <c r="B918" s="13" t="s">
        <v>96</v>
      </c>
      <c r="C918" s="13" t="s">
        <v>4156</v>
      </c>
      <c r="D918" s="13" t="s">
        <v>1873</v>
      </c>
      <c r="E918" s="13" t="s">
        <v>5268</v>
      </c>
      <c r="F918" s="14" t="s">
        <v>5269</v>
      </c>
      <c r="G918" s="14" t="s">
        <v>2476</v>
      </c>
      <c r="H918" s="20" t="n">
        <v>45.8</v>
      </c>
      <c r="I918" s="13" t="n">
        <v>24</v>
      </c>
      <c r="J918" s="13" t="s">
        <v>5270</v>
      </c>
      <c r="K918" s="13" t="n">
        <v>46</v>
      </c>
      <c r="L918" s="21" t="n">
        <v>10.4</v>
      </c>
      <c r="M918" s="21" t="n">
        <f aca="false">IF(C918="covered",10.4,7.55)</f>
        <v>10.4</v>
      </c>
      <c r="N918" s="13" t="n">
        <f aca="false">MAX(ROUNDUP(H918,0),I918)</f>
        <v>46</v>
      </c>
      <c r="O918" s="21" t="n">
        <v>478.4</v>
      </c>
      <c r="P918" s="21" t="n">
        <f aca="false">ROUND(M918*N918,2)</f>
        <v>478.4</v>
      </c>
      <c r="Q918" s="21" t="n">
        <f aca="false">ROUND(P918-IF(O918="",0,O918),2)</f>
        <v>0</v>
      </c>
      <c r="R918" s="14" t="str">
        <f aca="false">IF(J918="","MISSING BILL",IF(AND(K918=N918,ABS(L918-M918)&lt;0.001,ABS(O918-P918)&lt;0.01),"RECONCILED","CALCULATION ERROR"))</f>
        <v>RECONCILED</v>
      </c>
      <c r="S918" s="14" t="s">
        <v>2935</v>
      </c>
    </row>
    <row r="919" customFormat="false" ht="15" hidden="true" customHeight="false" outlineLevel="0" collapsed="false">
      <c r="A919" s="13" t="s">
        <v>979</v>
      </c>
      <c r="B919" s="13" t="s">
        <v>96</v>
      </c>
      <c r="C919" s="13" t="s">
        <v>4156</v>
      </c>
      <c r="D919" s="13" t="s">
        <v>1873</v>
      </c>
      <c r="E919" s="13" t="s">
        <v>1788</v>
      </c>
      <c r="F919" s="14" t="s">
        <v>1789</v>
      </c>
      <c r="G919" s="14" t="s">
        <v>2438</v>
      </c>
      <c r="H919" s="20" t="n">
        <v>18.3</v>
      </c>
      <c r="I919" s="13" t="n">
        <v>28</v>
      </c>
      <c r="J919" s="13" t="s">
        <v>5271</v>
      </c>
      <c r="K919" s="13" t="n">
        <v>28</v>
      </c>
      <c r="L919" s="21" t="n">
        <v>10.4</v>
      </c>
      <c r="M919" s="21" t="n">
        <f aca="false">IF(C919="covered",10.4,7.55)</f>
        <v>10.4</v>
      </c>
      <c r="N919" s="13" t="n">
        <f aca="false">MAX(ROUNDUP(H919,0),I919)</f>
        <v>28</v>
      </c>
      <c r="O919" s="21" t="n">
        <v>291.2</v>
      </c>
      <c r="P919" s="21" t="n">
        <f aca="false">ROUND(M919*N919,2)</f>
        <v>291.2</v>
      </c>
      <c r="Q919" s="21" t="n">
        <f aca="false">ROUND(P919-IF(O919="",0,O919),2)</f>
        <v>0</v>
      </c>
      <c r="R919" s="14" t="str">
        <f aca="false">IF(J919="","MISSING BILL",IF(AND(K919=N919,ABS(L919-M919)&lt;0.001,ABS(O919-P919)&lt;0.01),"RECONCILED","CALCULATION ERROR"))</f>
        <v>RECONCILED</v>
      </c>
      <c r="S919" s="14" t="s">
        <v>2935</v>
      </c>
    </row>
    <row r="920" customFormat="false" ht="15" hidden="true" customHeight="false" outlineLevel="0" collapsed="false">
      <c r="A920" s="13" t="s">
        <v>5272</v>
      </c>
      <c r="B920" s="13" t="s">
        <v>96</v>
      </c>
      <c r="C920" s="13" t="s">
        <v>4156</v>
      </c>
      <c r="D920" s="13" t="s">
        <v>1873</v>
      </c>
      <c r="E920" s="13" t="s">
        <v>5273</v>
      </c>
      <c r="F920" s="14" t="s">
        <v>5274</v>
      </c>
      <c r="G920" s="14" t="s">
        <v>4159</v>
      </c>
      <c r="H920" s="20" t="n">
        <v>32</v>
      </c>
      <c r="I920" s="13" t="n">
        <v>24</v>
      </c>
      <c r="J920" s="13" t="s">
        <v>5275</v>
      </c>
      <c r="K920" s="13" t="n">
        <v>32</v>
      </c>
      <c r="L920" s="21" t="n">
        <v>10.4</v>
      </c>
      <c r="M920" s="21" t="n">
        <f aca="false">IF(C920="covered",10.4,7.55)</f>
        <v>10.4</v>
      </c>
      <c r="N920" s="13" t="n">
        <f aca="false">MAX(ROUNDUP(H920,0),I920)</f>
        <v>32</v>
      </c>
      <c r="O920" s="21" t="n">
        <v>332.8</v>
      </c>
      <c r="P920" s="21" t="n">
        <f aca="false">ROUND(M920*N920,2)</f>
        <v>332.8</v>
      </c>
      <c r="Q920" s="21" t="n">
        <f aca="false">ROUND(P920-IF(O920="",0,O920),2)</f>
        <v>0</v>
      </c>
      <c r="R920" s="14" t="str">
        <f aca="false">IF(J920="","MISSING BILL",IF(AND(K920=N920,ABS(L920-M920)&lt;0.001,ABS(O920-P920)&lt;0.01),"RECONCILED","CALCULATION ERROR"))</f>
        <v>RECONCILED</v>
      </c>
      <c r="S920" s="14" t="s">
        <v>2935</v>
      </c>
    </row>
    <row r="921" customFormat="false" ht="15" hidden="true" customHeight="false" outlineLevel="0" collapsed="false">
      <c r="A921" s="13" t="s">
        <v>5276</v>
      </c>
      <c r="B921" s="13" t="s">
        <v>96</v>
      </c>
      <c r="C921" s="13" t="s">
        <v>4156</v>
      </c>
      <c r="D921" s="13" t="s">
        <v>1873</v>
      </c>
      <c r="E921" s="13" t="s">
        <v>5277</v>
      </c>
      <c r="F921" s="14" t="s">
        <v>5278</v>
      </c>
      <c r="G921" s="14" t="s">
        <v>1934</v>
      </c>
      <c r="H921" s="20" t="n">
        <v>41.8</v>
      </c>
      <c r="I921" s="13" t="n">
        <v>24</v>
      </c>
      <c r="J921" s="13" t="s">
        <v>5279</v>
      </c>
      <c r="K921" s="13" t="n">
        <v>42</v>
      </c>
      <c r="L921" s="21" t="n">
        <v>10.4</v>
      </c>
      <c r="M921" s="21" t="n">
        <f aca="false">IF(C921="covered",10.4,7.55)</f>
        <v>10.4</v>
      </c>
      <c r="N921" s="13" t="n">
        <f aca="false">MAX(ROUNDUP(H921,0),I921)</f>
        <v>42</v>
      </c>
      <c r="O921" s="21" t="n">
        <v>436.8</v>
      </c>
      <c r="P921" s="21" t="n">
        <f aca="false">ROUND(M921*N921,2)</f>
        <v>436.8</v>
      </c>
      <c r="Q921" s="21" t="n">
        <f aca="false">ROUND(P921-IF(O921="",0,O921),2)</f>
        <v>0</v>
      </c>
      <c r="R921" s="14" t="str">
        <f aca="false">IF(J921="","MISSING BILL",IF(AND(K921=N921,ABS(L921-M921)&lt;0.001,ABS(O921-P921)&lt;0.01),"RECONCILED","CALCULATION ERROR"))</f>
        <v>RECONCILED</v>
      </c>
      <c r="S921" s="14" t="s">
        <v>2935</v>
      </c>
    </row>
    <row r="922" customFormat="false" ht="15" hidden="true" customHeight="false" outlineLevel="0" collapsed="false">
      <c r="A922" s="13" t="s">
        <v>5280</v>
      </c>
      <c r="B922" s="13" t="s">
        <v>96</v>
      </c>
      <c r="C922" s="13" t="s">
        <v>4156</v>
      </c>
      <c r="D922" s="13" t="s">
        <v>1873</v>
      </c>
      <c r="E922" s="13" t="s">
        <v>5281</v>
      </c>
      <c r="F922" s="14" t="s">
        <v>5282</v>
      </c>
      <c r="G922" s="14" t="s">
        <v>2136</v>
      </c>
      <c r="H922" s="20" t="n">
        <v>20.6</v>
      </c>
      <c r="I922" s="13" t="n">
        <v>36</v>
      </c>
      <c r="J922" s="13" t="s">
        <v>5283</v>
      </c>
      <c r="K922" s="13" t="n">
        <v>36</v>
      </c>
      <c r="L922" s="21" t="n">
        <v>10.4</v>
      </c>
      <c r="M922" s="21" t="n">
        <f aca="false">IF(C922="covered",10.4,7.55)</f>
        <v>10.4</v>
      </c>
      <c r="N922" s="13" t="n">
        <f aca="false">MAX(ROUNDUP(H922,0),I922)</f>
        <v>36</v>
      </c>
      <c r="O922" s="21" t="n">
        <v>374.4</v>
      </c>
      <c r="P922" s="21" t="n">
        <f aca="false">ROUND(M922*N922,2)</f>
        <v>374.4</v>
      </c>
      <c r="Q922" s="21" t="n">
        <f aca="false">ROUND(P922-IF(O922="",0,O922),2)</f>
        <v>0</v>
      </c>
      <c r="R922" s="14" t="str">
        <f aca="false">IF(J922="","MISSING BILL",IF(AND(K922=N922,ABS(L922-M922)&lt;0.001,ABS(O922-P922)&lt;0.01),"RECONCILED","CALCULATION ERROR"))</f>
        <v>RECONCILED</v>
      </c>
      <c r="S922" s="14" t="s">
        <v>2935</v>
      </c>
    </row>
    <row r="923" customFormat="false" ht="15" hidden="true" customHeight="false" outlineLevel="0" collapsed="false">
      <c r="A923" s="13" t="s">
        <v>5284</v>
      </c>
      <c r="B923" s="13" t="s">
        <v>96</v>
      </c>
      <c r="C923" s="13" t="s">
        <v>4156</v>
      </c>
      <c r="D923" s="13" t="s">
        <v>1873</v>
      </c>
      <c r="E923" s="13" t="s">
        <v>5285</v>
      </c>
      <c r="F923" s="14" t="s">
        <v>5286</v>
      </c>
      <c r="G923" s="14" t="s">
        <v>2614</v>
      </c>
      <c r="H923" s="20" t="n">
        <v>38.6</v>
      </c>
      <c r="I923" s="13" t="n">
        <v>28</v>
      </c>
      <c r="J923" s="13" t="s">
        <v>5287</v>
      </c>
      <c r="K923" s="13" t="n">
        <v>39</v>
      </c>
      <c r="L923" s="21" t="n">
        <v>10.4</v>
      </c>
      <c r="M923" s="21" t="n">
        <f aca="false">IF(C923="covered",10.4,7.55)</f>
        <v>10.4</v>
      </c>
      <c r="N923" s="13" t="n">
        <f aca="false">MAX(ROUNDUP(H923,0),I923)</f>
        <v>39</v>
      </c>
      <c r="O923" s="21" t="n">
        <v>405.6</v>
      </c>
      <c r="P923" s="21" t="n">
        <f aca="false">ROUND(M923*N923,2)</f>
        <v>405.6</v>
      </c>
      <c r="Q923" s="21" t="n">
        <f aca="false">ROUND(P923-IF(O923="",0,O923),2)</f>
        <v>0</v>
      </c>
      <c r="R923" s="14" t="str">
        <f aca="false">IF(J923="","MISSING BILL",IF(AND(K923=N923,ABS(L923-M923)&lt;0.001,ABS(O923-P923)&lt;0.01),"RECONCILED","CALCULATION ERROR"))</f>
        <v>RECONCILED</v>
      </c>
      <c r="S923" s="14" t="s">
        <v>2935</v>
      </c>
    </row>
    <row r="924" customFormat="false" ht="15" hidden="true" customHeight="false" outlineLevel="0" collapsed="false">
      <c r="A924" s="13" t="s">
        <v>621</v>
      </c>
      <c r="B924" s="13" t="s">
        <v>96</v>
      </c>
      <c r="C924" s="13" t="s">
        <v>4156</v>
      </c>
      <c r="D924" s="13" t="s">
        <v>1873</v>
      </c>
      <c r="E924" s="13" t="s">
        <v>5288</v>
      </c>
      <c r="F924" s="14" t="s">
        <v>5289</v>
      </c>
      <c r="G924" s="14" t="s">
        <v>3143</v>
      </c>
      <c r="H924" s="20" t="n">
        <v>46.6</v>
      </c>
      <c r="I924" s="13" t="n">
        <v>32</v>
      </c>
      <c r="J924" s="13" t="s">
        <v>5290</v>
      </c>
      <c r="K924" s="13" t="n">
        <v>47</v>
      </c>
      <c r="L924" s="21" t="n">
        <v>10.4</v>
      </c>
      <c r="M924" s="21" t="n">
        <f aca="false">IF(C924="covered",10.4,7.55)</f>
        <v>10.4</v>
      </c>
      <c r="N924" s="13" t="n">
        <f aca="false">MAX(ROUNDUP(H924,0),I924)</f>
        <v>47</v>
      </c>
      <c r="O924" s="21" t="n">
        <v>488.8</v>
      </c>
      <c r="P924" s="21" t="n">
        <f aca="false">ROUND(M924*N924,2)</f>
        <v>488.8</v>
      </c>
      <c r="Q924" s="21" t="n">
        <f aca="false">ROUND(P924-IF(O924="",0,O924),2)</f>
        <v>0</v>
      </c>
      <c r="R924" s="14" t="str">
        <f aca="false">IF(J924="","MISSING BILL",IF(AND(K924=N924,ABS(L924-M924)&lt;0.001,ABS(O924-P924)&lt;0.01),"RECONCILED","CALCULATION ERROR"))</f>
        <v>RECONCILED</v>
      </c>
      <c r="S924" s="14" t="s">
        <v>2935</v>
      </c>
    </row>
    <row r="925" customFormat="false" ht="15" hidden="true" customHeight="false" outlineLevel="0" collapsed="false">
      <c r="A925" s="13" t="s">
        <v>1743</v>
      </c>
      <c r="B925" s="13" t="s">
        <v>96</v>
      </c>
      <c r="C925" s="13" t="s">
        <v>4156</v>
      </c>
      <c r="D925" s="13" t="s">
        <v>1873</v>
      </c>
      <c r="E925" s="13" t="s">
        <v>5291</v>
      </c>
      <c r="F925" s="14" t="s">
        <v>5292</v>
      </c>
      <c r="G925" s="14" t="s">
        <v>2814</v>
      </c>
      <c r="H925" s="20" t="n">
        <v>56.6</v>
      </c>
      <c r="I925" s="13" t="n">
        <v>24</v>
      </c>
      <c r="J925" s="13" t="s">
        <v>5293</v>
      </c>
      <c r="K925" s="13" t="n">
        <v>57</v>
      </c>
      <c r="L925" s="21" t="n">
        <v>10.4</v>
      </c>
      <c r="M925" s="21" t="n">
        <f aca="false">IF(C925="covered",10.4,7.55)</f>
        <v>10.4</v>
      </c>
      <c r="N925" s="13" t="n">
        <f aca="false">MAX(ROUNDUP(H925,0),I925)</f>
        <v>57</v>
      </c>
      <c r="O925" s="21" t="n">
        <v>592.8</v>
      </c>
      <c r="P925" s="21" t="n">
        <f aca="false">ROUND(M925*N925,2)</f>
        <v>592.8</v>
      </c>
      <c r="Q925" s="21" t="n">
        <f aca="false">ROUND(P925-IF(O925="",0,O925),2)</f>
        <v>0</v>
      </c>
      <c r="R925" s="14" t="str">
        <f aca="false">IF(J925="","MISSING BILL",IF(AND(K925=N925,ABS(L925-M925)&lt;0.001,ABS(O925-P925)&lt;0.01),"RECONCILED","CALCULATION ERROR"))</f>
        <v>RECONCILED</v>
      </c>
      <c r="S925" s="14" t="s">
        <v>2935</v>
      </c>
    </row>
    <row r="926" customFormat="false" ht="15" hidden="true" customHeight="false" outlineLevel="0" collapsed="false">
      <c r="A926" s="13" t="s">
        <v>5294</v>
      </c>
      <c r="B926" s="13" t="s">
        <v>96</v>
      </c>
      <c r="C926" s="13" t="s">
        <v>4156</v>
      </c>
      <c r="D926" s="13" t="s">
        <v>1873</v>
      </c>
      <c r="E926" s="13" t="s">
        <v>1707</v>
      </c>
      <c r="F926" s="14" t="s">
        <v>1708</v>
      </c>
      <c r="G926" s="14" t="s">
        <v>4253</v>
      </c>
      <c r="H926" s="20" t="n">
        <v>61.1</v>
      </c>
      <c r="I926" s="13" t="n">
        <v>24</v>
      </c>
      <c r="J926" s="13" t="s">
        <v>5295</v>
      </c>
      <c r="K926" s="13" t="n">
        <v>62</v>
      </c>
      <c r="L926" s="21" t="n">
        <v>10.4</v>
      </c>
      <c r="M926" s="21" t="n">
        <f aca="false">IF(C926="covered",10.4,7.55)</f>
        <v>10.4</v>
      </c>
      <c r="N926" s="13" t="n">
        <f aca="false">MAX(ROUNDUP(H926,0),I926)</f>
        <v>62</v>
      </c>
      <c r="O926" s="21" t="n">
        <v>644.8</v>
      </c>
      <c r="P926" s="21" t="n">
        <f aca="false">ROUND(M926*N926,2)</f>
        <v>644.8</v>
      </c>
      <c r="Q926" s="21" t="n">
        <f aca="false">ROUND(P926-IF(O926="",0,O926),2)</f>
        <v>0</v>
      </c>
      <c r="R926" s="14" t="str">
        <f aca="false">IF(J926="","MISSING BILL",IF(AND(K926=N926,ABS(L926-M926)&lt;0.001,ABS(O926-P926)&lt;0.01),"RECONCILED","CALCULATION ERROR"))</f>
        <v>RECONCILED</v>
      </c>
      <c r="S926" s="14" t="s">
        <v>2935</v>
      </c>
    </row>
    <row r="927" customFormat="false" ht="15" hidden="true" customHeight="false" outlineLevel="0" collapsed="false">
      <c r="A927" s="13" t="s">
        <v>5296</v>
      </c>
      <c r="B927" s="13" t="s">
        <v>96</v>
      </c>
      <c r="C927" s="13" t="s">
        <v>4156</v>
      </c>
      <c r="D927" s="13" t="s">
        <v>1873</v>
      </c>
      <c r="E927" s="13" t="s">
        <v>5297</v>
      </c>
      <c r="F927" s="14" t="s">
        <v>5298</v>
      </c>
      <c r="G927" s="14" t="s">
        <v>5299</v>
      </c>
      <c r="H927" s="20" t="n">
        <v>40</v>
      </c>
      <c r="I927" s="13" t="n">
        <v>28</v>
      </c>
      <c r="J927" s="13" t="s">
        <v>5300</v>
      </c>
      <c r="K927" s="13" t="n">
        <v>40</v>
      </c>
      <c r="L927" s="21" t="n">
        <v>10.4</v>
      </c>
      <c r="M927" s="21" t="n">
        <f aca="false">IF(C927="covered",10.4,7.55)</f>
        <v>10.4</v>
      </c>
      <c r="N927" s="13" t="n">
        <f aca="false">MAX(ROUNDUP(H927,0),I927)</f>
        <v>40</v>
      </c>
      <c r="O927" s="21" t="n">
        <v>416</v>
      </c>
      <c r="P927" s="21" t="n">
        <f aca="false">ROUND(M927*N927,2)</f>
        <v>416</v>
      </c>
      <c r="Q927" s="21" t="n">
        <f aca="false">ROUND(P927-IF(O927="",0,O927),2)</f>
        <v>0</v>
      </c>
      <c r="R927" s="14" t="str">
        <f aca="false">IF(J927="","MISSING BILL",IF(AND(K927=N927,ABS(L927-M927)&lt;0.001,ABS(O927-P927)&lt;0.01),"RECONCILED","CALCULATION ERROR"))</f>
        <v>RECONCILED</v>
      </c>
      <c r="S927" s="14" t="s">
        <v>2935</v>
      </c>
    </row>
    <row r="928" customFormat="false" ht="15" hidden="true" customHeight="false" outlineLevel="0" collapsed="false">
      <c r="A928" s="13" t="s">
        <v>5301</v>
      </c>
      <c r="B928" s="13" t="s">
        <v>96</v>
      </c>
      <c r="C928" s="13" t="s">
        <v>4156</v>
      </c>
      <c r="D928" s="13" t="s">
        <v>1873</v>
      </c>
      <c r="E928" s="13" t="s">
        <v>5302</v>
      </c>
      <c r="F928" s="14" t="s">
        <v>5303</v>
      </c>
      <c r="G928" s="14" t="s">
        <v>4748</v>
      </c>
      <c r="H928" s="20" t="n">
        <v>32.7</v>
      </c>
      <c r="I928" s="13" t="n">
        <v>36</v>
      </c>
      <c r="J928" s="13" t="s">
        <v>5304</v>
      </c>
      <c r="K928" s="13" t="n">
        <v>36</v>
      </c>
      <c r="L928" s="21" t="n">
        <v>10.4</v>
      </c>
      <c r="M928" s="21" t="n">
        <f aca="false">IF(C928="covered",10.4,7.55)</f>
        <v>10.4</v>
      </c>
      <c r="N928" s="13" t="n">
        <f aca="false">MAX(ROUNDUP(H928,0),I928)</f>
        <v>36</v>
      </c>
      <c r="O928" s="21" t="n">
        <v>374.4</v>
      </c>
      <c r="P928" s="21" t="n">
        <f aca="false">ROUND(M928*N928,2)</f>
        <v>374.4</v>
      </c>
      <c r="Q928" s="21" t="n">
        <f aca="false">ROUND(P928-IF(O928="",0,O928),2)</f>
        <v>0</v>
      </c>
      <c r="R928" s="14" t="str">
        <f aca="false">IF(J928="","MISSING BILL",IF(AND(K928=N928,ABS(L928-M928)&lt;0.001,ABS(O928-P928)&lt;0.01),"RECONCILED","CALCULATION ERROR"))</f>
        <v>RECONCILED</v>
      </c>
      <c r="S928" s="14" t="s">
        <v>2935</v>
      </c>
    </row>
    <row r="929" customFormat="false" ht="15" hidden="true" customHeight="false" outlineLevel="0" collapsed="false">
      <c r="A929" s="13" t="s">
        <v>5305</v>
      </c>
      <c r="B929" s="13" t="s">
        <v>96</v>
      </c>
      <c r="C929" s="13" t="s">
        <v>4156</v>
      </c>
      <c r="D929" s="13" t="s">
        <v>1873</v>
      </c>
      <c r="E929" s="13" t="s">
        <v>326</v>
      </c>
      <c r="F929" s="14" t="s">
        <v>327</v>
      </c>
      <c r="G929" s="14" t="s">
        <v>2999</v>
      </c>
      <c r="H929" s="20" t="n">
        <v>38.4</v>
      </c>
      <c r="I929" s="13" t="n">
        <v>24</v>
      </c>
      <c r="J929" s="13" t="s">
        <v>5306</v>
      </c>
      <c r="K929" s="13" t="n">
        <v>39</v>
      </c>
      <c r="L929" s="21" t="n">
        <v>10.4</v>
      </c>
      <c r="M929" s="21" t="n">
        <f aca="false">IF(C929="covered",10.4,7.55)</f>
        <v>10.4</v>
      </c>
      <c r="N929" s="13" t="n">
        <f aca="false">MAX(ROUNDUP(H929,0),I929)</f>
        <v>39</v>
      </c>
      <c r="O929" s="21" t="n">
        <v>405.6</v>
      </c>
      <c r="P929" s="21" t="n">
        <f aca="false">ROUND(M929*N929,2)</f>
        <v>405.6</v>
      </c>
      <c r="Q929" s="21" t="n">
        <f aca="false">ROUND(P929-IF(O929="",0,O929),2)</f>
        <v>0</v>
      </c>
      <c r="R929" s="14" t="str">
        <f aca="false">IF(J929="","MISSING BILL",IF(AND(K929=N929,ABS(L929-M929)&lt;0.001,ABS(O929-P929)&lt;0.01),"RECONCILED","CALCULATION ERROR"))</f>
        <v>RECONCILED</v>
      </c>
      <c r="S929" s="14" t="s">
        <v>2935</v>
      </c>
    </row>
    <row r="930" customFormat="false" ht="15" hidden="true" customHeight="false" outlineLevel="0" collapsed="false">
      <c r="A930" s="13" t="s">
        <v>5307</v>
      </c>
      <c r="B930" s="13" t="s">
        <v>96</v>
      </c>
      <c r="C930" s="13" t="s">
        <v>4156</v>
      </c>
      <c r="D930" s="13" t="s">
        <v>1873</v>
      </c>
      <c r="E930" s="13" t="s">
        <v>5308</v>
      </c>
      <c r="F930" s="14" t="s">
        <v>5309</v>
      </c>
      <c r="G930" s="14" t="s">
        <v>2017</v>
      </c>
      <c r="H930" s="20" t="n">
        <v>27.2</v>
      </c>
      <c r="I930" s="13" t="n">
        <v>32</v>
      </c>
      <c r="J930" s="13" t="s">
        <v>5310</v>
      </c>
      <c r="K930" s="13" t="n">
        <v>32</v>
      </c>
      <c r="L930" s="21" t="n">
        <v>10.4</v>
      </c>
      <c r="M930" s="21" t="n">
        <f aca="false">IF(C930="covered",10.4,7.55)</f>
        <v>10.4</v>
      </c>
      <c r="N930" s="13" t="n">
        <f aca="false">MAX(ROUNDUP(H930,0),I930)</f>
        <v>32</v>
      </c>
      <c r="O930" s="21" t="n">
        <v>332.8</v>
      </c>
      <c r="P930" s="21" t="n">
        <f aca="false">ROUND(M930*N930,2)</f>
        <v>332.8</v>
      </c>
      <c r="Q930" s="21" t="n">
        <f aca="false">ROUND(P930-IF(O930="",0,O930),2)</f>
        <v>0</v>
      </c>
      <c r="R930" s="14" t="str">
        <f aca="false">IF(J930="","MISSING BILL",IF(AND(K930=N930,ABS(L930-M930)&lt;0.001,ABS(O930-P930)&lt;0.01),"RECONCILED","CALCULATION ERROR"))</f>
        <v>RECONCILED</v>
      </c>
      <c r="S930" s="14" t="s">
        <v>2935</v>
      </c>
    </row>
    <row r="931" customFormat="false" ht="15" hidden="true" customHeight="false" outlineLevel="0" collapsed="false">
      <c r="A931" s="13" t="s">
        <v>5311</v>
      </c>
      <c r="B931" s="13" t="s">
        <v>96</v>
      </c>
      <c r="C931" s="13" t="s">
        <v>4156</v>
      </c>
      <c r="D931" s="13" t="s">
        <v>1873</v>
      </c>
      <c r="E931" s="13" t="s">
        <v>5312</v>
      </c>
      <c r="F931" s="14" t="s">
        <v>5313</v>
      </c>
      <c r="G931" s="14" t="s">
        <v>1904</v>
      </c>
      <c r="H931" s="20" t="n">
        <v>25.8</v>
      </c>
      <c r="I931" s="13" t="n">
        <v>28</v>
      </c>
      <c r="J931" s="13" t="s">
        <v>5314</v>
      </c>
      <c r="K931" s="13" t="n">
        <v>28</v>
      </c>
      <c r="L931" s="21" t="n">
        <v>10.4</v>
      </c>
      <c r="M931" s="21" t="n">
        <f aca="false">IF(C931="covered",10.4,7.55)</f>
        <v>10.4</v>
      </c>
      <c r="N931" s="13" t="n">
        <f aca="false">MAX(ROUNDUP(H931,0),I931)</f>
        <v>28</v>
      </c>
      <c r="O931" s="21" t="n">
        <v>291.2</v>
      </c>
      <c r="P931" s="21" t="n">
        <f aca="false">ROUND(M931*N931,2)</f>
        <v>291.2</v>
      </c>
      <c r="Q931" s="21" t="n">
        <f aca="false">ROUND(P931-IF(O931="",0,O931),2)</f>
        <v>0</v>
      </c>
      <c r="R931" s="14" t="str">
        <f aca="false">IF(J931="","MISSING BILL",IF(AND(K931=N931,ABS(L931-M931)&lt;0.001,ABS(O931-P931)&lt;0.01),"RECONCILED","CALCULATION ERROR"))</f>
        <v>RECONCILED</v>
      </c>
      <c r="S931" s="14" t="s">
        <v>2935</v>
      </c>
    </row>
    <row r="932" customFormat="false" ht="15" hidden="true" customHeight="false" outlineLevel="0" collapsed="false">
      <c r="A932" s="13" t="s">
        <v>5315</v>
      </c>
      <c r="B932" s="13" t="s">
        <v>96</v>
      </c>
      <c r="C932" s="13" t="s">
        <v>4156</v>
      </c>
      <c r="D932" s="13" t="s">
        <v>1873</v>
      </c>
      <c r="E932" s="13" t="s">
        <v>5316</v>
      </c>
      <c r="F932" s="14" t="s">
        <v>5317</v>
      </c>
      <c r="G932" s="14" t="s">
        <v>5318</v>
      </c>
      <c r="H932" s="20" t="n">
        <v>50</v>
      </c>
      <c r="I932" s="13" t="n">
        <v>32</v>
      </c>
      <c r="J932" s="13" t="s">
        <v>5319</v>
      </c>
      <c r="K932" s="13" t="n">
        <v>50</v>
      </c>
      <c r="L932" s="21" t="n">
        <v>10.4</v>
      </c>
      <c r="M932" s="21" t="n">
        <f aca="false">IF(C932="covered",10.4,7.55)</f>
        <v>10.4</v>
      </c>
      <c r="N932" s="13" t="n">
        <f aca="false">MAX(ROUNDUP(H932,0),I932)</f>
        <v>50</v>
      </c>
      <c r="O932" s="21" t="n">
        <v>520</v>
      </c>
      <c r="P932" s="21" t="n">
        <f aca="false">ROUND(M932*N932,2)</f>
        <v>520</v>
      </c>
      <c r="Q932" s="21" t="n">
        <f aca="false">ROUND(P932-IF(O932="",0,O932),2)</f>
        <v>0</v>
      </c>
      <c r="R932" s="14" t="str">
        <f aca="false">IF(J932="","MISSING BILL",IF(AND(K932=N932,ABS(L932-M932)&lt;0.001,ABS(O932-P932)&lt;0.01),"RECONCILED","CALCULATION ERROR"))</f>
        <v>RECONCILED</v>
      </c>
      <c r="S932" s="14" t="s">
        <v>2935</v>
      </c>
    </row>
    <row r="933" customFormat="false" ht="15" hidden="true" customHeight="false" outlineLevel="0" collapsed="false">
      <c r="A933" s="13" t="s">
        <v>5320</v>
      </c>
      <c r="B933" s="13" t="s">
        <v>96</v>
      </c>
      <c r="C933" s="13" t="s">
        <v>4156</v>
      </c>
      <c r="D933" s="13" t="s">
        <v>1873</v>
      </c>
      <c r="E933" s="13" t="s">
        <v>1159</v>
      </c>
      <c r="F933" s="14" t="s">
        <v>1160</v>
      </c>
      <c r="G933" s="14" t="s">
        <v>4071</v>
      </c>
      <c r="H933" s="20" t="n">
        <v>26.2</v>
      </c>
      <c r="I933" s="13" t="n">
        <v>28</v>
      </c>
      <c r="J933" s="13" t="s">
        <v>5321</v>
      </c>
      <c r="K933" s="13" t="n">
        <v>28</v>
      </c>
      <c r="L933" s="21" t="n">
        <v>10.4</v>
      </c>
      <c r="M933" s="21" t="n">
        <f aca="false">IF(C933="covered",10.4,7.55)</f>
        <v>10.4</v>
      </c>
      <c r="N933" s="13" t="n">
        <f aca="false">MAX(ROUNDUP(H933,0),I933)</f>
        <v>28</v>
      </c>
      <c r="O933" s="21" t="n">
        <v>291.2</v>
      </c>
      <c r="P933" s="21" t="n">
        <f aca="false">ROUND(M933*N933,2)</f>
        <v>291.2</v>
      </c>
      <c r="Q933" s="21" t="n">
        <f aca="false">ROUND(P933-IF(O933="",0,O933),2)</f>
        <v>0</v>
      </c>
      <c r="R933" s="14" t="str">
        <f aca="false">IF(J933="","MISSING BILL",IF(AND(K933=N933,ABS(L933-M933)&lt;0.001,ABS(O933-P933)&lt;0.01),"RECONCILED","CALCULATION ERROR"))</f>
        <v>RECONCILED</v>
      </c>
      <c r="S933" s="14" t="s">
        <v>2935</v>
      </c>
    </row>
    <row r="934" customFormat="false" ht="15" hidden="true" customHeight="false" outlineLevel="0" collapsed="false">
      <c r="A934" s="13" t="s">
        <v>5322</v>
      </c>
      <c r="B934" s="13" t="s">
        <v>96</v>
      </c>
      <c r="C934" s="13" t="s">
        <v>4156</v>
      </c>
      <c r="D934" s="13" t="s">
        <v>1873</v>
      </c>
      <c r="E934" s="13" t="s">
        <v>5323</v>
      </c>
      <c r="F934" s="14" t="s">
        <v>5324</v>
      </c>
      <c r="G934" s="14" t="s">
        <v>1889</v>
      </c>
      <c r="H934" s="20" t="n">
        <v>22.7</v>
      </c>
      <c r="I934" s="13" t="n">
        <v>40</v>
      </c>
      <c r="J934" s="13" t="s">
        <v>5325</v>
      </c>
      <c r="K934" s="13" t="n">
        <v>40</v>
      </c>
      <c r="L934" s="21" t="n">
        <v>10.4</v>
      </c>
      <c r="M934" s="21" t="n">
        <f aca="false">IF(C934="covered",10.4,7.55)</f>
        <v>10.4</v>
      </c>
      <c r="N934" s="13" t="n">
        <f aca="false">MAX(ROUNDUP(H934,0),I934)</f>
        <v>40</v>
      </c>
      <c r="O934" s="21" t="n">
        <v>416</v>
      </c>
      <c r="P934" s="21" t="n">
        <f aca="false">ROUND(M934*N934,2)</f>
        <v>416</v>
      </c>
      <c r="Q934" s="21" t="n">
        <f aca="false">ROUND(P934-IF(O934="",0,O934),2)</f>
        <v>0</v>
      </c>
      <c r="R934" s="14" t="str">
        <f aca="false">IF(J934="","MISSING BILL",IF(AND(K934=N934,ABS(L934-M934)&lt;0.001,ABS(O934-P934)&lt;0.01),"RECONCILED","CALCULATION ERROR"))</f>
        <v>RECONCILED</v>
      </c>
      <c r="S934" s="14" t="s">
        <v>2935</v>
      </c>
    </row>
    <row r="935" customFormat="false" ht="15" hidden="true" customHeight="false" outlineLevel="0" collapsed="false">
      <c r="A935" s="13" t="s">
        <v>5326</v>
      </c>
      <c r="B935" s="13" t="s">
        <v>96</v>
      </c>
      <c r="C935" s="13" t="s">
        <v>4156</v>
      </c>
      <c r="D935" s="13" t="s">
        <v>1873</v>
      </c>
      <c r="E935" s="13" t="s">
        <v>5327</v>
      </c>
      <c r="F935" s="14" t="s">
        <v>5328</v>
      </c>
      <c r="G935" s="14" t="s">
        <v>1964</v>
      </c>
      <c r="H935" s="20" t="n">
        <v>43.8</v>
      </c>
      <c r="I935" s="13" t="n">
        <v>40</v>
      </c>
      <c r="J935" s="13" t="s">
        <v>5329</v>
      </c>
      <c r="K935" s="13" t="n">
        <v>44</v>
      </c>
      <c r="L935" s="21" t="n">
        <v>10.4</v>
      </c>
      <c r="M935" s="21" t="n">
        <f aca="false">IF(C935="covered",10.4,7.55)</f>
        <v>10.4</v>
      </c>
      <c r="N935" s="13" t="n">
        <f aca="false">MAX(ROUNDUP(H935,0),I935)</f>
        <v>44</v>
      </c>
      <c r="O935" s="21" t="n">
        <v>457.6</v>
      </c>
      <c r="P935" s="21" t="n">
        <f aca="false">ROUND(M935*N935,2)</f>
        <v>457.6</v>
      </c>
      <c r="Q935" s="21" t="n">
        <f aca="false">ROUND(P935-IF(O935="",0,O935),2)</f>
        <v>0</v>
      </c>
      <c r="R935" s="14" t="str">
        <f aca="false">IF(J935="","MISSING BILL",IF(AND(K935=N935,ABS(L935-M935)&lt;0.001,ABS(O935-P935)&lt;0.01),"RECONCILED","CALCULATION ERROR"))</f>
        <v>RECONCILED</v>
      </c>
      <c r="S935" s="14" t="s">
        <v>2935</v>
      </c>
    </row>
    <row r="936" customFormat="false" ht="15" hidden="true" customHeight="false" outlineLevel="0" collapsed="false">
      <c r="A936" s="13" t="s">
        <v>5330</v>
      </c>
      <c r="B936" s="13" t="s">
        <v>96</v>
      </c>
      <c r="C936" s="13" t="s">
        <v>4156</v>
      </c>
      <c r="D936" s="13" t="s">
        <v>1873</v>
      </c>
      <c r="E936" s="13" t="s">
        <v>5331</v>
      </c>
      <c r="F936" s="14" t="s">
        <v>5332</v>
      </c>
      <c r="G936" s="14" t="s">
        <v>3625</v>
      </c>
      <c r="H936" s="20" t="n">
        <v>36.7</v>
      </c>
      <c r="I936" s="13" t="n">
        <v>36</v>
      </c>
      <c r="J936" s="13" t="s">
        <v>5333</v>
      </c>
      <c r="K936" s="13" t="n">
        <v>37</v>
      </c>
      <c r="L936" s="21" t="n">
        <v>10.4</v>
      </c>
      <c r="M936" s="21" t="n">
        <f aca="false">IF(C936="covered",10.4,7.55)</f>
        <v>10.4</v>
      </c>
      <c r="N936" s="13" t="n">
        <f aca="false">MAX(ROUNDUP(H936,0),I936)</f>
        <v>37</v>
      </c>
      <c r="O936" s="21" t="n">
        <v>384.8</v>
      </c>
      <c r="P936" s="21" t="n">
        <f aca="false">ROUND(M936*N936,2)</f>
        <v>384.8</v>
      </c>
      <c r="Q936" s="21" t="n">
        <f aca="false">ROUND(P936-IF(O936="",0,O936),2)</f>
        <v>0</v>
      </c>
      <c r="R936" s="14" t="str">
        <f aca="false">IF(J936="","MISSING BILL",IF(AND(K936=N936,ABS(L936-M936)&lt;0.001,ABS(O936-P936)&lt;0.01),"RECONCILED","CALCULATION ERROR"))</f>
        <v>RECONCILED</v>
      </c>
      <c r="S936" s="14" t="s">
        <v>2935</v>
      </c>
    </row>
    <row r="937" customFormat="false" ht="15" hidden="true" customHeight="false" outlineLevel="0" collapsed="false">
      <c r="A937" s="13" t="s">
        <v>5334</v>
      </c>
      <c r="B937" s="13" t="s">
        <v>96</v>
      </c>
      <c r="C937" s="13" t="s">
        <v>4156</v>
      </c>
      <c r="D937" s="13" t="s">
        <v>1873</v>
      </c>
      <c r="E937" s="13" t="s">
        <v>5335</v>
      </c>
      <c r="F937" s="14" t="s">
        <v>5336</v>
      </c>
      <c r="G937" s="14" t="s">
        <v>2464</v>
      </c>
      <c r="H937" s="20" t="n">
        <v>41.1</v>
      </c>
      <c r="I937" s="13" t="n">
        <v>24</v>
      </c>
      <c r="J937" s="13" t="s">
        <v>5337</v>
      </c>
      <c r="K937" s="13" t="n">
        <v>42</v>
      </c>
      <c r="L937" s="21" t="n">
        <v>10.4</v>
      </c>
      <c r="M937" s="21" t="n">
        <f aca="false">IF(C937="covered",10.4,7.55)</f>
        <v>10.4</v>
      </c>
      <c r="N937" s="13" t="n">
        <f aca="false">MAX(ROUNDUP(H937,0),I937)</f>
        <v>42</v>
      </c>
      <c r="O937" s="21" t="n">
        <v>436.8</v>
      </c>
      <c r="P937" s="21" t="n">
        <f aca="false">ROUND(M937*N937,2)</f>
        <v>436.8</v>
      </c>
      <c r="Q937" s="21" t="n">
        <f aca="false">ROUND(P937-IF(O937="",0,O937),2)</f>
        <v>0</v>
      </c>
      <c r="R937" s="14" t="str">
        <f aca="false">IF(J937="","MISSING BILL",IF(AND(K937=N937,ABS(L937-M937)&lt;0.001,ABS(O937-P937)&lt;0.01),"RECONCILED","CALCULATION ERROR"))</f>
        <v>RECONCILED</v>
      </c>
      <c r="S937" s="14" t="s">
        <v>2935</v>
      </c>
    </row>
    <row r="938" customFormat="false" ht="15" hidden="true" customHeight="false" outlineLevel="0" collapsed="false">
      <c r="A938" s="13" t="s">
        <v>1752</v>
      </c>
      <c r="B938" s="13" t="s">
        <v>96</v>
      </c>
      <c r="C938" s="13" t="s">
        <v>4156</v>
      </c>
      <c r="D938" s="13" t="s">
        <v>1873</v>
      </c>
      <c r="E938" s="13" t="s">
        <v>93</v>
      </c>
      <c r="F938" s="14" t="s">
        <v>94</v>
      </c>
      <c r="G938" s="14" t="s">
        <v>2859</v>
      </c>
      <c r="H938" s="20" t="n">
        <v>46.8</v>
      </c>
      <c r="I938" s="13" t="n">
        <v>36</v>
      </c>
      <c r="J938" s="13" t="s">
        <v>5338</v>
      </c>
      <c r="K938" s="13" t="n">
        <v>47</v>
      </c>
      <c r="L938" s="21" t="n">
        <v>10.4</v>
      </c>
      <c r="M938" s="21" t="n">
        <f aca="false">IF(C938="covered",10.4,7.55)</f>
        <v>10.4</v>
      </c>
      <c r="N938" s="13" t="n">
        <f aca="false">MAX(ROUNDUP(H938,0),I938)</f>
        <v>47</v>
      </c>
      <c r="O938" s="21" t="n">
        <v>488.8</v>
      </c>
      <c r="P938" s="21" t="n">
        <f aca="false">ROUND(M938*N938,2)</f>
        <v>488.8</v>
      </c>
      <c r="Q938" s="21" t="n">
        <f aca="false">ROUND(P938-IF(O938="",0,O938),2)</f>
        <v>0</v>
      </c>
      <c r="R938" s="14" t="str">
        <f aca="false">IF(J938="","MISSING BILL",IF(AND(K938=N938,ABS(L938-M938)&lt;0.001,ABS(O938-P938)&lt;0.01),"RECONCILED","CALCULATION ERROR"))</f>
        <v>RECONCILED</v>
      </c>
      <c r="S938" s="14" t="s">
        <v>2935</v>
      </c>
    </row>
    <row r="939" customFormat="false" ht="15" hidden="true" customHeight="false" outlineLevel="0" collapsed="false">
      <c r="A939" s="13" t="s">
        <v>5339</v>
      </c>
      <c r="B939" s="13" t="s">
        <v>96</v>
      </c>
      <c r="C939" s="13" t="s">
        <v>4156</v>
      </c>
      <c r="D939" s="13" t="s">
        <v>1873</v>
      </c>
      <c r="E939" s="13" t="s">
        <v>5340</v>
      </c>
      <c r="F939" s="14" t="s">
        <v>5341</v>
      </c>
      <c r="G939" s="14" t="s">
        <v>5025</v>
      </c>
      <c r="H939" s="20" t="n">
        <v>37.4</v>
      </c>
      <c r="I939" s="13" t="n">
        <v>28</v>
      </c>
      <c r="J939" s="13" t="s">
        <v>5342</v>
      </c>
      <c r="K939" s="13" t="n">
        <v>38</v>
      </c>
      <c r="L939" s="21" t="n">
        <v>10.4</v>
      </c>
      <c r="M939" s="21" t="n">
        <f aca="false">IF(C939="covered",10.4,7.55)</f>
        <v>10.4</v>
      </c>
      <c r="N939" s="13" t="n">
        <f aca="false">MAX(ROUNDUP(H939,0),I939)</f>
        <v>38</v>
      </c>
      <c r="O939" s="21" t="n">
        <v>395.2</v>
      </c>
      <c r="P939" s="21" t="n">
        <f aca="false">ROUND(M939*N939,2)</f>
        <v>395.2</v>
      </c>
      <c r="Q939" s="21" t="n">
        <f aca="false">ROUND(P939-IF(O939="",0,O939),2)</f>
        <v>0</v>
      </c>
      <c r="R939" s="14" t="str">
        <f aca="false">IF(J939="","MISSING BILL",IF(AND(K939=N939,ABS(L939-M939)&lt;0.001,ABS(O939-P939)&lt;0.01),"RECONCILED","CALCULATION ERROR"))</f>
        <v>RECONCILED</v>
      </c>
      <c r="S939" s="14" t="s">
        <v>2935</v>
      </c>
    </row>
    <row r="940" customFormat="false" ht="15" hidden="true" customHeight="false" outlineLevel="0" collapsed="false">
      <c r="A940" s="13" t="s">
        <v>5343</v>
      </c>
      <c r="B940" s="13" t="s">
        <v>96</v>
      </c>
      <c r="C940" s="13" t="s">
        <v>4156</v>
      </c>
      <c r="D940" s="13" t="s">
        <v>1873</v>
      </c>
      <c r="E940" s="13" t="s">
        <v>5344</v>
      </c>
      <c r="F940" s="14" t="s">
        <v>5345</v>
      </c>
      <c r="G940" s="14" t="s">
        <v>5346</v>
      </c>
      <c r="H940" s="20" t="n">
        <v>55.4</v>
      </c>
      <c r="I940" s="13" t="n">
        <v>36</v>
      </c>
      <c r="J940" s="13" t="s">
        <v>5347</v>
      </c>
      <c r="K940" s="13" t="n">
        <v>56</v>
      </c>
      <c r="L940" s="21" t="n">
        <v>10.4</v>
      </c>
      <c r="M940" s="21" t="n">
        <f aca="false">IF(C940="covered",10.4,7.55)</f>
        <v>10.4</v>
      </c>
      <c r="N940" s="13" t="n">
        <f aca="false">MAX(ROUNDUP(H940,0),I940)</f>
        <v>56</v>
      </c>
      <c r="O940" s="21" t="n">
        <v>582.4</v>
      </c>
      <c r="P940" s="21" t="n">
        <f aca="false">ROUND(M940*N940,2)</f>
        <v>582.4</v>
      </c>
      <c r="Q940" s="21" t="n">
        <f aca="false">ROUND(P940-IF(O940="",0,O940),2)</f>
        <v>0</v>
      </c>
      <c r="R940" s="14" t="str">
        <f aca="false">IF(J940="","MISSING BILL",IF(AND(K940=N940,ABS(L940-M940)&lt;0.001,ABS(O940-P940)&lt;0.01),"RECONCILED","CALCULATION ERROR"))</f>
        <v>RECONCILED</v>
      </c>
      <c r="S940" s="14" t="s">
        <v>2935</v>
      </c>
    </row>
    <row r="941" customFormat="false" ht="15" hidden="true" customHeight="false" outlineLevel="0" collapsed="false">
      <c r="A941" s="13" t="s">
        <v>5348</v>
      </c>
      <c r="B941" s="13" t="s">
        <v>96</v>
      </c>
      <c r="C941" s="13" t="s">
        <v>4156</v>
      </c>
      <c r="D941" s="13" t="s">
        <v>1873</v>
      </c>
      <c r="E941" s="13" t="s">
        <v>5349</v>
      </c>
      <c r="F941" s="14" t="s">
        <v>5350</v>
      </c>
      <c r="G941" s="14" t="s">
        <v>2590</v>
      </c>
      <c r="H941" s="20" t="n">
        <v>56.4</v>
      </c>
      <c r="I941" s="13" t="n">
        <v>40</v>
      </c>
      <c r="J941" s="13" t="s">
        <v>5351</v>
      </c>
      <c r="K941" s="13" t="n">
        <v>57</v>
      </c>
      <c r="L941" s="21" t="n">
        <v>10.4</v>
      </c>
      <c r="M941" s="21" t="n">
        <f aca="false">IF(C941="covered",10.4,7.55)</f>
        <v>10.4</v>
      </c>
      <c r="N941" s="13" t="n">
        <f aca="false">MAX(ROUNDUP(H941,0),I941)</f>
        <v>57</v>
      </c>
      <c r="O941" s="21" t="n">
        <v>592.8</v>
      </c>
      <c r="P941" s="21" t="n">
        <f aca="false">ROUND(M941*N941,2)</f>
        <v>592.8</v>
      </c>
      <c r="Q941" s="21" t="n">
        <f aca="false">ROUND(P941-IF(O941="",0,O941),2)</f>
        <v>0</v>
      </c>
      <c r="R941" s="14" t="str">
        <f aca="false">IF(J941="","MISSING BILL",IF(AND(K941=N941,ABS(L941-M941)&lt;0.001,ABS(O941-P941)&lt;0.01),"RECONCILED","CALCULATION ERROR"))</f>
        <v>RECONCILED</v>
      </c>
      <c r="S941" s="14" t="s">
        <v>2935</v>
      </c>
    </row>
    <row r="942" customFormat="false" ht="15" hidden="true" customHeight="false" outlineLevel="0" collapsed="false">
      <c r="A942" s="13" t="s">
        <v>5352</v>
      </c>
      <c r="B942" s="13" t="s">
        <v>96</v>
      </c>
      <c r="C942" s="13" t="s">
        <v>4156</v>
      </c>
      <c r="D942" s="13" t="s">
        <v>1873</v>
      </c>
      <c r="E942" s="13" t="s">
        <v>5353</v>
      </c>
      <c r="F942" s="14" t="s">
        <v>5354</v>
      </c>
      <c r="G942" s="14" t="s">
        <v>4607</v>
      </c>
      <c r="H942" s="20" t="n">
        <v>30.6</v>
      </c>
      <c r="I942" s="13" t="n">
        <v>24</v>
      </c>
      <c r="J942" s="13" t="s">
        <v>5355</v>
      </c>
      <c r="K942" s="13" t="n">
        <v>31</v>
      </c>
      <c r="L942" s="21" t="n">
        <v>10.4</v>
      </c>
      <c r="M942" s="21" t="n">
        <f aca="false">IF(C942="covered",10.4,7.55)</f>
        <v>10.4</v>
      </c>
      <c r="N942" s="13" t="n">
        <f aca="false">MAX(ROUNDUP(H942,0),I942)</f>
        <v>31</v>
      </c>
      <c r="O942" s="21" t="n">
        <v>322.4</v>
      </c>
      <c r="P942" s="21" t="n">
        <f aca="false">ROUND(M942*N942,2)</f>
        <v>322.4</v>
      </c>
      <c r="Q942" s="21" t="n">
        <f aca="false">ROUND(P942-IF(O942="",0,O942),2)</f>
        <v>0</v>
      </c>
      <c r="R942" s="14" t="str">
        <f aca="false">IF(J942="","MISSING BILL",IF(AND(K942=N942,ABS(L942-M942)&lt;0.001,ABS(O942-P942)&lt;0.01),"RECONCILED","CALCULATION ERROR"))</f>
        <v>RECONCILED</v>
      </c>
      <c r="S942" s="14" t="s">
        <v>2935</v>
      </c>
    </row>
    <row r="943" customFormat="false" ht="15" hidden="true" customHeight="false" outlineLevel="0" collapsed="false">
      <c r="A943" s="13" t="s">
        <v>5356</v>
      </c>
      <c r="B943" s="13" t="s">
        <v>96</v>
      </c>
      <c r="C943" s="13" t="s">
        <v>4156</v>
      </c>
      <c r="D943" s="13" t="s">
        <v>1873</v>
      </c>
      <c r="E943" s="13" t="s">
        <v>5357</v>
      </c>
      <c r="F943" s="14" t="s">
        <v>5358</v>
      </c>
      <c r="G943" s="14" t="s">
        <v>2140</v>
      </c>
      <c r="H943" s="20" t="n">
        <v>52.4</v>
      </c>
      <c r="I943" s="13" t="n">
        <v>36</v>
      </c>
      <c r="J943" s="13" t="s">
        <v>5359</v>
      </c>
      <c r="K943" s="13" t="n">
        <v>53</v>
      </c>
      <c r="L943" s="21" t="n">
        <v>10.4</v>
      </c>
      <c r="M943" s="21" t="n">
        <f aca="false">IF(C943="covered",10.4,7.55)</f>
        <v>10.4</v>
      </c>
      <c r="N943" s="13" t="n">
        <f aca="false">MAX(ROUNDUP(H943,0),I943)</f>
        <v>53</v>
      </c>
      <c r="O943" s="21" t="n">
        <v>551.2</v>
      </c>
      <c r="P943" s="21" t="n">
        <f aca="false">ROUND(M943*N943,2)</f>
        <v>551.2</v>
      </c>
      <c r="Q943" s="21" t="n">
        <f aca="false">ROUND(P943-IF(O943="",0,O943),2)</f>
        <v>0</v>
      </c>
      <c r="R943" s="14" t="str">
        <f aca="false">IF(J943="","MISSING BILL",IF(AND(K943=N943,ABS(L943-M943)&lt;0.001,ABS(O943-P943)&lt;0.01),"RECONCILED","CALCULATION ERROR"))</f>
        <v>RECONCILED</v>
      </c>
      <c r="S943" s="14" t="s">
        <v>2935</v>
      </c>
    </row>
    <row r="944" customFormat="false" ht="15" hidden="true" customHeight="false" outlineLevel="0" collapsed="false">
      <c r="A944" s="13" t="s">
        <v>1194</v>
      </c>
      <c r="B944" s="13" t="s">
        <v>96</v>
      </c>
      <c r="C944" s="13" t="s">
        <v>4156</v>
      </c>
      <c r="D944" s="13" t="s">
        <v>1873</v>
      </c>
      <c r="E944" s="13" t="s">
        <v>1001</v>
      </c>
      <c r="F944" s="14" t="s">
        <v>1002</v>
      </c>
      <c r="G944" s="14" t="s">
        <v>3024</v>
      </c>
      <c r="H944" s="20" t="n">
        <v>57</v>
      </c>
      <c r="I944" s="13" t="n">
        <v>32</v>
      </c>
      <c r="J944" s="13" t="s">
        <v>5360</v>
      </c>
      <c r="K944" s="13" t="n">
        <v>57</v>
      </c>
      <c r="L944" s="21" t="n">
        <v>10.4</v>
      </c>
      <c r="M944" s="21" t="n">
        <f aca="false">IF(C944="covered",10.4,7.55)</f>
        <v>10.4</v>
      </c>
      <c r="N944" s="13" t="n">
        <f aca="false">MAX(ROUNDUP(H944,0),I944)</f>
        <v>57</v>
      </c>
      <c r="O944" s="21" t="n">
        <v>592.8</v>
      </c>
      <c r="P944" s="21" t="n">
        <f aca="false">ROUND(M944*N944,2)</f>
        <v>592.8</v>
      </c>
      <c r="Q944" s="21" t="n">
        <f aca="false">ROUND(P944-IF(O944="",0,O944),2)</f>
        <v>0</v>
      </c>
      <c r="R944" s="14" t="str">
        <f aca="false">IF(J944="","MISSING BILL",IF(AND(K944=N944,ABS(L944-M944)&lt;0.001,ABS(O944-P944)&lt;0.01),"RECONCILED","CALCULATION ERROR"))</f>
        <v>RECONCILED</v>
      </c>
      <c r="S944" s="14" t="s">
        <v>2935</v>
      </c>
    </row>
    <row r="945" customFormat="false" ht="15" hidden="true" customHeight="false" outlineLevel="0" collapsed="false">
      <c r="A945" s="13" t="s">
        <v>5361</v>
      </c>
      <c r="B945" s="13" t="s">
        <v>96</v>
      </c>
      <c r="C945" s="13" t="s">
        <v>4156</v>
      </c>
      <c r="D945" s="13" t="s">
        <v>1873</v>
      </c>
      <c r="E945" s="13" t="s">
        <v>5362</v>
      </c>
      <c r="F945" s="14" t="s">
        <v>5363</v>
      </c>
      <c r="G945" s="14" t="s">
        <v>2706</v>
      </c>
      <c r="H945" s="20" t="n">
        <v>20.6</v>
      </c>
      <c r="I945" s="13" t="n">
        <v>32</v>
      </c>
      <c r="J945" s="13" t="s">
        <v>5364</v>
      </c>
      <c r="K945" s="13" t="n">
        <v>32</v>
      </c>
      <c r="L945" s="21" t="n">
        <v>10.4</v>
      </c>
      <c r="M945" s="21" t="n">
        <f aca="false">IF(C945="covered",10.4,7.55)</f>
        <v>10.4</v>
      </c>
      <c r="N945" s="13" t="n">
        <f aca="false">MAX(ROUNDUP(H945,0),I945)</f>
        <v>32</v>
      </c>
      <c r="O945" s="21" t="n">
        <v>332.8</v>
      </c>
      <c r="P945" s="21" t="n">
        <f aca="false">ROUND(M945*N945,2)</f>
        <v>332.8</v>
      </c>
      <c r="Q945" s="21" t="n">
        <f aca="false">ROUND(P945-IF(O945="",0,O945),2)</f>
        <v>0</v>
      </c>
      <c r="R945" s="14" t="str">
        <f aca="false">IF(J945="","MISSING BILL",IF(AND(K945=N945,ABS(L945-M945)&lt;0.001,ABS(O945-P945)&lt;0.01),"RECONCILED","CALCULATION ERROR"))</f>
        <v>RECONCILED</v>
      </c>
      <c r="S945" s="14" t="s">
        <v>2935</v>
      </c>
    </row>
    <row r="946" customFormat="false" ht="15" hidden="true" customHeight="false" outlineLevel="0" collapsed="false">
      <c r="A946" s="13" t="s">
        <v>5365</v>
      </c>
      <c r="B946" s="13" t="s">
        <v>96</v>
      </c>
      <c r="C946" s="13" t="s">
        <v>4156</v>
      </c>
      <c r="D946" s="13" t="s">
        <v>1873</v>
      </c>
      <c r="E946" s="13" t="s">
        <v>5366</v>
      </c>
      <c r="F946" s="14" t="s">
        <v>5367</v>
      </c>
      <c r="G946" s="14" t="s">
        <v>4576</v>
      </c>
      <c r="H946" s="20" t="n">
        <v>37</v>
      </c>
      <c r="I946" s="13" t="n">
        <v>24</v>
      </c>
      <c r="J946" s="13" t="s">
        <v>5368</v>
      </c>
      <c r="K946" s="13" t="n">
        <v>37</v>
      </c>
      <c r="L946" s="21" t="n">
        <v>10.4</v>
      </c>
      <c r="M946" s="21" t="n">
        <f aca="false">IF(C946="covered",10.4,7.55)</f>
        <v>10.4</v>
      </c>
      <c r="N946" s="13" t="n">
        <f aca="false">MAX(ROUNDUP(H946,0),I946)</f>
        <v>37</v>
      </c>
      <c r="O946" s="21" t="n">
        <v>384.8</v>
      </c>
      <c r="P946" s="21" t="n">
        <f aca="false">ROUND(M946*N946,2)</f>
        <v>384.8</v>
      </c>
      <c r="Q946" s="21" t="n">
        <f aca="false">ROUND(P946-IF(O946="",0,O946),2)</f>
        <v>0</v>
      </c>
      <c r="R946" s="14" t="str">
        <f aca="false">IF(J946="","MISSING BILL",IF(AND(K946=N946,ABS(L946-M946)&lt;0.001,ABS(O946-P946)&lt;0.01),"RECONCILED","CALCULATION ERROR"))</f>
        <v>RECONCILED</v>
      </c>
      <c r="S946" s="14" t="s">
        <v>2935</v>
      </c>
    </row>
    <row r="947" customFormat="false" ht="15" hidden="true" customHeight="false" outlineLevel="0" collapsed="false">
      <c r="A947" s="13" t="s">
        <v>5369</v>
      </c>
      <c r="B947" s="13" t="s">
        <v>96</v>
      </c>
      <c r="C947" s="13" t="s">
        <v>4156</v>
      </c>
      <c r="D947" s="13" t="s">
        <v>1873</v>
      </c>
      <c r="E947" s="13" t="s">
        <v>5370</v>
      </c>
      <c r="F947" s="14" t="s">
        <v>5371</v>
      </c>
      <c r="G947" s="14" t="s">
        <v>4675</v>
      </c>
      <c r="H947" s="20" t="n">
        <v>55.9</v>
      </c>
      <c r="I947" s="13" t="n">
        <v>36</v>
      </c>
      <c r="J947" s="13" t="s">
        <v>5372</v>
      </c>
      <c r="K947" s="13" t="n">
        <v>56</v>
      </c>
      <c r="L947" s="21" t="n">
        <v>10.4</v>
      </c>
      <c r="M947" s="21" t="n">
        <f aca="false">IF(C947="covered",10.4,7.55)</f>
        <v>10.4</v>
      </c>
      <c r="N947" s="13" t="n">
        <f aca="false">MAX(ROUNDUP(H947,0),I947)</f>
        <v>56</v>
      </c>
      <c r="O947" s="21" t="n">
        <v>582.4</v>
      </c>
      <c r="P947" s="21" t="n">
        <f aca="false">ROUND(M947*N947,2)</f>
        <v>582.4</v>
      </c>
      <c r="Q947" s="21" t="n">
        <f aca="false">ROUND(P947-IF(O947="",0,O947),2)</f>
        <v>0</v>
      </c>
      <c r="R947" s="14" t="str">
        <f aca="false">IF(J947="","MISSING BILL",IF(AND(K947=N947,ABS(L947-M947)&lt;0.001,ABS(O947-P947)&lt;0.01),"RECONCILED","CALCULATION ERROR"))</f>
        <v>RECONCILED</v>
      </c>
      <c r="S947" s="14" t="s">
        <v>2935</v>
      </c>
    </row>
    <row r="948" customFormat="false" ht="15" hidden="true" customHeight="false" outlineLevel="0" collapsed="false">
      <c r="A948" s="13" t="s">
        <v>5373</v>
      </c>
      <c r="B948" s="13" t="s">
        <v>96</v>
      </c>
      <c r="C948" s="13" t="s">
        <v>4156</v>
      </c>
      <c r="D948" s="13" t="s">
        <v>1873</v>
      </c>
      <c r="E948" s="13" t="s">
        <v>5374</v>
      </c>
      <c r="F948" s="14" t="s">
        <v>5375</v>
      </c>
      <c r="G948" s="14" t="s">
        <v>3004</v>
      </c>
      <c r="H948" s="20" t="n">
        <v>43.6</v>
      </c>
      <c r="I948" s="13" t="n">
        <v>32</v>
      </c>
      <c r="J948" s="13" t="s">
        <v>5376</v>
      </c>
      <c r="K948" s="13" t="n">
        <v>44</v>
      </c>
      <c r="L948" s="21" t="n">
        <v>10.4</v>
      </c>
      <c r="M948" s="21" t="n">
        <f aca="false">IF(C948="covered",10.4,7.55)</f>
        <v>10.4</v>
      </c>
      <c r="N948" s="13" t="n">
        <f aca="false">MAX(ROUNDUP(H948,0),I948)</f>
        <v>44</v>
      </c>
      <c r="O948" s="21" t="n">
        <v>457.6</v>
      </c>
      <c r="P948" s="21" t="n">
        <f aca="false">ROUND(M948*N948,2)</f>
        <v>457.6</v>
      </c>
      <c r="Q948" s="21" t="n">
        <f aca="false">ROUND(P948-IF(O948="",0,O948),2)</f>
        <v>0</v>
      </c>
      <c r="R948" s="14" t="str">
        <f aca="false">IF(J948="","MISSING BILL",IF(AND(K948=N948,ABS(L948-M948)&lt;0.001,ABS(O948-P948)&lt;0.01),"RECONCILED","CALCULATION ERROR"))</f>
        <v>RECONCILED</v>
      </c>
      <c r="S948" s="14" t="s">
        <v>2935</v>
      </c>
    </row>
    <row r="949" customFormat="false" ht="15" hidden="true" customHeight="false" outlineLevel="0" collapsed="false">
      <c r="A949" s="13" t="s">
        <v>5377</v>
      </c>
      <c r="B949" s="13" t="s">
        <v>96</v>
      </c>
      <c r="C949" s="13" t="s">
        <v>4156</v>
      </c>
      <c r="D949" s="13" t="s">
        <v>1873</v>
      </c>
      <c r="E949" s="13" t="s">
        <v>5378</v>
      </c>
      <c r="F949" s="14" t="s">
        <v>5379</v>
      </c>
      <c r="G949" s="14" t="s">
        <v>3014</v>
      </c>
      <c r="H949" s="20" t="n">
        <v>55.4</v>
      </c>
      <c r="I949" s="13" t="n">
        <v>32</v>
      </c>
      <c r="J949" s="13" t="s">
        <v>5380</v>
      </c>
      <c r="K949" s="13" t="n">
        <v>56</v>
      </c>
      <c r="L949" s="21" t="n">
        <v>10.4</v>
      </c>
      <c r="M949" s="21" t="n">
        <f aca="false">IF(C949="covered",10.4,7.55)</f>
        <v>10.4</v>
      </c>
      <c r="N949" s="13" t="n">
        <f aca="false">MAX(ROUNDUP(H949,0),I949)</f>
        <v>56</v>
      </c>
      <c r="O949" s="21" t="n">
        <v>582.4</v>
      </c>
      <c r="P949" s="21" t="n">
        <f aca="false">ROUND(M949*N949,2)</f>
        <v>582.4</v>
      </c>
      <c r="Q949" s="21" t="n">
        <f aca="false">ROUND(P949-IF(O949="",0,O949),2)</f>
        <v>0</v>
      </c>
      <c r="R949" s="14" t="str">
        <f aca="false">IF(J949="","MISSING BILL",IF(AND(K949=N949,ABS(L949-M949)&lt;0.001,ABS(O949-P949)&lt;0.01),"RECONCILED","CALCULATION ERROR"))</f>
        <v>RECONCILED</v>
      </c>
      <c r="S949" s="14" t="s">
        <v>2935</v>
      </c>
    </row>
    <row r="950" customFormat="false" ht="15" hidden="true" customHeight="false" outlineLevel="0" collapsed="false">
      <c r="A950" s="13" t="s">
        <v>1714</v>
      </c>
      <c r="B950" s="13" t="s">
        <v>96</v>
      </c>
      <c r="C950" s="13" t="s">
        <v>4156</v>
      </c>
      <c r="D950" s="13" t="s">
        <v>1873</v>
      </c>
      <c r="E950" s="13" t="s">
        <v>5381</v>
      </c>
      <c r="F950" s="14" t="s">
        <v>5382</v>
      </c>
      <c r="G950" s="14" t="s">
        <v>2040</v>
      </c>
      <c r="H950" s="20" t="n">
        <v>23.3</v>
      </c>
      <c r="I950" s="13" t="n">
        <v>24</v>
      </c>
      <c r="J950" s="13" t="s">
        <v>5383</v>
      </c>
      <c r="K950" s="13" t="n">
        <v>24</v>
      </c>
      <c r="L950" s="21" t="n">
        <v>10.4</v>
      </c>
      <c r="M950" s="21" t="n">
        <f aca="false">IF(C950="covered",10.4,7.55)</f>
        <v>10.4</v>
      </c>
      <c r="N950" s="13" t="n">
        <f aca="false">MAX(ROUNDUP(H950,0),I950)</f>
        <v>24</v>
      </c>
      <c r="O950" s="21" t="n">
        <v>249.6</v>
      </c>
      <c r="P950" s="21" t="n">
        <f aca="false">ROUND(M950*N950,2)</f>
        <v>249.6</v>
      </c>
      <c r="Q950" s="21" t="n">
        <f aca="false">ROUND(P950-IF(O950="",0,O950),2)</f>
        <v>0</v>
      </c>
      <c r="R950" s="14" t="str">
        <f aca="false">IF(J950="","MISSING BILL",IF(AND(K950=N950,ABS(L950-M950)&lt;0.001,ABS(O950-P950)&lt;0.01),"RECONCILED","CALCULATION ERROR"))</f>
        <v>RECONCILED</v>
      </c>
      <c r="S950" s="14" t="s">
        <v>2935</v>
      </c>
    </row>
    <row r="951" customFormat="false" ht="15" hidden="true" customHeight="false" outlineLevel="0" collapsed="false">
      <c r="A951" s="13" t="s">
        <v>5384</v>
      </c>
      <c r="B951" s="13" t="s">
        <v>96</v>
      </c>
      <c r="C951" s="13" t="s">
        <v>4156</v>
      </c>
      <c r="D951" s="13" t="s">
        <v>1873</v>
      </c>
      <c r="E951" s="13" t="s">
        <v>5385</v>
      </c>
      <c r="F951" s="14" t="s">
        <v>5386</v>
      </c>
      <c r="G951" s="14" t="s">
        <v>5387</v>
      </c>
      <c r="H951" s="20" t="n">
        <v>19</v>
      </c>
      <c r="I951" s="13" t="n">
        <v>36</v>
      </c>
      <c r="J951" s="13" t="s">
        <v>5388</v>
      </c>
      <c r="K951" s="13" t="n">
        <v>36</v>
      </c>
      <c r="L951" s="21" t="n">
        <v>10.4</v>
      </c>
      <c r="M951" s="21" t="n">
        <f aca="false">IF(C951="covered",10.4,7.55)</f>
        <v>10.4</v>
      </c>
      <c r="N951" s="13" t="n">
        <f aca="false">MAX(ROUNDUP(H951,0),I951)</f>
        <v>36</v>
      </c>
      <c r="O951" s="21" t="n">
        <v>374.4</v>
      </c>
      <c r="P951" s="21" t="n">
        <f aca="false">ROUND(M951*N951,2)</f>
        <v>374.4</v>
      </c>
      <c r="Q951" s="21" t="n">
        <f aca="false">ROUND(P951-IF(O951="",0,O951),2)</f>
        <v>0</v>
      </c>
      <c r="R951" s="14" t="str">
        <f aca="false">IF(J951="","MISSING BILL",IF(AND(K951=N951,ABS(L951-M951)&lt;0.001,ABS(O951-P951)&lt;0.01),"RECONCILED","CALCULATION ERROR"))</f>
        <v>RECONCILED</v>
      </c>
      <c r="S951" s="14" t="s">
        <v>2935</v>
      </c>
    </row>
    <row r="952" customFormat="false" ht="15" hidden="true" customHeight="false" outlineLevel="0" collapsed="false">
      <c r="A952" s="13" t="s">
        <v>5389</v>
      </c>
      <c r="B952" s="13" t="s">
        <v>96</v>
      </c>
      <c r="C952" s="13" t="s">
        <v>4156</v>
      </c>
      <c r="D952" s="13" t="s">
        <v>1873</v>
      </c>
      <c r="E952" s="13" t="s">
        <v>5390</v>
      </c>
      <c r="F952" s="14" t="s">
        <v>5391</v>
      </c>
      <c r="G952" s="14" t="s">
        <v>2907</v>
      </c>
      <c r="H952" s="20" t="n">
        <v>25.7</v>
      </c>
      <c r="I952" s="13" t="n">
        <v>32</v>
      </c>
      <c r="J952" s="13" t="s">
        <v>5392</v>
      </c>
      <c r="K952" s="13" t="n">
        <v>32</v>
      </c>
      <c r="L952" s="21" t="n">
        <v>10.4</v>
      </c>
      <c r="M952" s="21" t="n">
        <f aca="false">IF(C952="covered",10.4,7.55)</f>
        <v>10.4</v>
      </c>
      <c r="N952" s="13" t="n">
        <f aca="false">MAX(ROUNDUP(H952,0),I952)</f>
        <v>32</v>
      </c>
      <c r="O952" s="21" t="n">
        <v>332.8</v>
      </c>
      <c r="P952" s="21" t="n">
        <f aca="false">ROUND(M952*N952,2)</f>
        <v>332.8</v>
      </c>
      <c r="Q952" s="21" t="n">
        <f aca="false">ROUND(P952-IF(O952="",0,O952),2)</f>
        <v>0</v>
      </c>
      <c r="R952" s="14" t="str">
        <f aca="false">IF(J952="","MISSING BILL",IF(AND(K952=N952,ABS(L952-M952)&lt;0.001,ABS(O952-P952)&lt;0.01),"RECONCILED","CALCULATION ERROR"))</f>
        <v>RECONCILED</v>
      </c>
      <c r="S952" s="14" t="s">
        <v>2935</v>
      </c>
    </row>
    <row r="953" customFormat="false" ht="15" hidden="true" customHeight="false" outlineLevel="0" collapsed="false">
      <c r="A953" s="13" t="s">
        <v>5393</v>
      </c>
      <c r="B953" s="13" t="s">
        <v>96</v>
      </c>
      <c r="C953" s="13" t="s">
        <v>4156</v>
      </c>
      <c r="D953" s="13" t="s">
        <v>1873</v>
      </c>
      <c r="E953" s="13" t="s">
        <v>5394</v>
      </c>
      <c r="F953" s="14" t="s">
        <v>5395</v>
      </c>
      <c r="G953" s="14" t="s">
        <v>4703</v>
      </c>
      <c r="H953" s="20" t="n">
        <v>33.8</v>
      </c>
      <c r="I953" s="13" t="n">
        <v>32</v>
      </c>
      <c r="J953" s="13" t="s">
        <v>5396</v>
      </c>
      <c r="K953" s="13" t="n">
        <v>34</v>
      </c>
      <c r="L953" s="21" t="n">
        <v>10.4</v>
      </c>
      <c r="M953" s="21" t="n">
        <f aca="false">IF(C953="covered",10.4,7.55)</f>
        <v>10.4</v>
      </c>
      <c r="N953" s="13" t="n">
        <f aca="false">MAX(ROUNDUP(H953,0),I953)</f>
        <v>34</v>
      </c>
      <c r="O953" s="21" t="n">
        <v>353.6</v>
      </c>
      <c r="P953" s="21" t="n">
        <f aca="false">ROUND(M953*N953,2)</f>
        <v>353.6</v>
      </c>
      <c r="Q953" s="21" t="n">
        <f aca="false">ROUND(P953-IF(O953="",0,O953),2)</f>
        <v>0</v>
      </c>
      <c r="R953" s="14" t="str">
        <f aca="false">IF(J953="","MISSING BILL",IF(AND(K953=N953,ABS(L953-M953)&lt;0.001,ABS(O953-P953)&lt;0.01),"RECONCILED","CALCULATION ERROR"))</f>
        <v>RECONCILED</v>
      </c>
      <c r="S953" s="14" t="s">
        <v>2935</v>
      </c>
    </row>
    <row r="954" customFormat="false" ht="15" hidden="true" customHeight="false" outlineLevel="0" collapsed="false">
      <c r="A954" s="13" t="s">
        <v>5397</v>
      </c>
      <c r="B954" s="13" t="s">
        <v>96</v>
      </c>
      <c r="C954" s="13" t="s">
        <v>4156</v>
      </c>
      <c r="D954" s="13" t="s">
        <v>1873</v>
      </c>
      <c r="E954" s="13" t="s">
        <v>5398</v>
      </c>
      <c r="F954" s="14" t="s">
        <v>5399</v>
      </c>
      <c r="G954" s="14" t="s">
        <v>3611</v>
      </c>
      <c r="H954" s="20" t="n">
        <v>32.3</v>
      </c>
      <c r="I954" s="13" t="n">
        <v>32</v>
      </c>
      <c r="J954" s="13" t="s">
        <v>5400</v>
      </c>
      <c r="K954" s="13" t="n">
        <v>33</v>
      </c>
      <c r="L954" s="21" t="n">
        <v>10.4</v>
      </c>
      <c r="M954" s="21" t="n">
        <f aca="false">IF(C954="covered",10.4,7.55)</f>
        <v>10.4</v>
      </c>
      <c r="N954" s="13" t="n">
        <f aca="false">MAX(ROUNDUP(H954,0),I954)</f>
        <v>33</v>
      </c>
      <c r="O954" s="21" t="n">
        <v>343.2</v>
      </c>
      <c r="P954" s="21" t="n">
        <f aca="false">ROUND(M954*N954,2)</f>
        <v>343.2</v>
      </c>
      <c r="Q954" s="21" t="n">
        <f aca="false">ROUND(P954-IF(O954="",0,O954),2)</f>
        <v>0</v>
      </c>
      <c r="R954" s="14" t="str">
        <f aca="false">IF(J954="","MISSING BILL",IF(AND(K954=N954,ABS(L954-M954)&lt;0.001,ABS(O954-P954)&lt;0.01),"RECONCILED","CALCULATION ERROR"))</f>
        <v>RECONCILED</v>
      </c>
      <c r="S954" s="14" t="s">
        <v>2935</v>
      </c>
    </row>
    <row r="955" customFormat="false" ht="15" hidden="true" customHeight="false" outlineLevel="0" collapsed="false">
      <c r="A955" s="13" t="s">
        <v>5401</v>
      </c>
      <c r="B955" s="13" t="s">
        <v>96</v>
      </c>
      <c r="C955" s="13" t="s">
        <v>4156</v>
      </c>
      <c r="D955" s="13" t="s">
        <v>1873</v>
      </c>
      <c r="E955" s="13" t="s">
        <v>5402</v>
      </c>
      <c r="F955" s="14" t="s">
        <v>5403</v>
      </c>
      <c r="G955" s="14" t="s">
        <v>2814</v>
      </c>
      <c r="H955" s="20" t="n">
        <v>27.2</v>
      </c>
      <c r="I955" s="13" t="n">
        <v>24</v>
      </c>
      <c r="J955" s="13" t="s">
        <v>5404</v>
      </c>
      <c r="K955" s="13" t="n">
        <v>28</v>
      </c>
      <c r="L955" s="21" t="n">
        <v>10.4</v>
      </c>
      <c r="M955" s="21" t="n">
        <f aca="false">IF(C955="covered",10.4,7.55)</f>
        <v>10.4</v>
      </c>
      <c r="N955" s="13" t="n">
        <f aca="false">MAX(ROUNDUP(H955,0),I955)</f>
        <v>28</v>
      </c>
      <c r="O955" s="21" t="n">
        <v>291.2</v>
      </c>
      <c r="P955" s="21" t="n">
        <f aca="false">ROUND(M955*N955,2)</f>
        <v>291.2</v>
      </c>
      <c r="Q955" s="21" t="n">
        <f aca="false">ROUND(P955-IF(O955="",0,O955),2)</f>
        <v>0</v>
      </c>
      <c r="R955" s="14" t="str">
        <f aca="false">IF(J955="","MISSING BILL",IF(AND(K955=N955,ABS(L955-M955)&lt;0.001,ABS(O955-P955)&lt;0.01),"RECONCILED","CALCULATION ERROR"))</f>
        <v>RECONCILED</v>
      </c>
      <c r="S955" s="14" t="s">
        <v>2935</v>
      </c>
    </row>
    <row r="956" customFormat="false" ht="15" hidden="true" customHeight="false" outlineLevel="0" collapsed="false">
      <c r="A956" s="13" t="s">
        <v>5405</v>
      </c>
      <c r="B956" s="13" t="s">
        <v>96</v>
      </c>
      <c r="C956" s="13" t="s">
        <v>4156</v>
      </c>
      <c r="D956" s="13" t="s">
        <v>1873</v>
      </c>
      <c r="E956" s="13" t="s">
        <v>5406</v>
      </c>
      <c r="F956" s="14" t="s">
        <v>5407</v>
      </c>
      <c r="G956" s="14" t="s">
        <v>5408</v>
      </c>
      <c r="H956" s="20" t="n">
        <v>31.6</v>
      </c>
      <c r="I956" s="13" t="n">
        <v>36</v>
      </c>
      <c r="J956" s="13" t="s">
        <v>5409</v>
      </c>
      <c r="K956" s="13" t="n">
        <v>36</v>
      </c>
      <c r="L956" s="21" t="n">
        <v>10.4</v>
      </c>
      <c r="M956" s="21" t="n">
        <f aca="false">IF(C956="covered",10.4,7.55)</f>
        <v>10.4</v>
      </c>
      <c r="N956" s="13" t="n">
        <f aca="false">MAX(ROUNDUP(H956,0),I956)</f>
        <v>36</v>
      </c>
      <c r="O956" s="21" t="n">
        <v>374.4</v>
      </c>
      <c r="P956" s="21" t="n">
        <f aca="false">ROUND(M956*N956,2)</f>
        <v>374.4</v>
      </c>
      <c r="Q956" s="21" t="n">
        <f aca="false">ROUND(P956-IF(O956="",0,O956),2)</f>
        <v>0</v>
      </c>
      <c r="R956" s="14" t="str">
        <f aca="false">IF(J956="","MISSING BILL",IF(AND(K956=N956,ABS(L956-M956)&lt;0.001,ABS(O956-P956)&lt;0.01),"RECONCILED","CALCULATION ERROR"))</f>
        <v>RECONCILED</v>
      </c>
      <c r="S956" s="14" t="s">
        <v>2935</v>
      </c>
    </row>
    <row r="957" customFormat="false" ht="15" hidden="true" customHeight="false" outlineLevel="0" collapsed="false">
      <c r="A957" s="13" t="s">
        <v>5410</v>
      </c>
      <c r="B957" s="13" t="s">
        <v>96</v>
      </c>
      <c r="C957" s="13" t="s">
        <v>4156</v>
      </c>
      <c r="D957" s="13" t="s">
        <v>1873</v>
      </c>
      <c r="E957" s="13" t="s">
        <v>1509</v>
      </c>
      <c r="F957" s="14" t="s">
        <v>1510</v>
      </c>
      <c r="G957" s="14" t="s">
        <v>2273</v>
      </c>
      <c r="H957" s="20" t="n">
        <v>30.1</v>
      </c>
      <c r="I957" s="13" t="n">
        <v>24</v>
      </c>
      <c r="J957" s="13" t="s">
        <v>5411</v>
      </c>
      <c r="K957" s="13" t="n">
        <v>31</v>
      </c>
      <c r="L957" s="21" t="n">
        <v>10.4</v>
      </c>
      <c r="M957" s="21" t="n">
        <f aca="false">IF(C957="covered",10.4,7.55)</f>
        <v>10.4</v>
      </c>
      <c r="N957" s="13" t="n">
        <f aca="false">MAX(ROUNDUP(H957,0),I957)</f>
        <v>31</v>
      </c>
      <c r="O957" s="21" t="n">
        <v>322.4</v>
      </c>
      <c r="P957" s="21" t="n">
        <f aca="false">ROUND(M957*N957,2)</f>
        <v>322.4</v>
      </c>
      <c r="Q957" s="21" t="n">
        <f aca="false">ROUND(P957-IF(O957="",0,O957),2)</f>
        <v>0</v>
      </c>
      <c r="R957" s="14" t="str">
        <f aca="false">IF(J957="","MISSING BILL",IF(AND(K957=N957,ABS(L957-M957)&lt;0.001,ABS(O957-P957)&lt;0.01),"RECONCILED","CALCULATION ERROR"))</f>
        <v>RECONCILED</v>
      </c>
      <c r="S957" s="14" t="s">
        <v>2935</v>
      </c>
    </row>
    <row r="958" customFormat="false" ht="15" hidden="true" customHeight="false" outlineLevel="0" collapsed="false">
      <c r="A958" s="13" t="s">
        <v>5412</v>
      </c>
      <c r="B958" s="13" t="s">
        <v>96</v>
      </c>
      <c r="C958" s="13" t="s">
        <v>4156</v>
      </c>
      <c r="D958" s="13" t="s">
        <v>1873</v>
      </c>
      <c r="E958" s="13" t="s">
        <v>5413</v>
      </c>
      <c r="F958" s="14" t="s">
        <v>5414</v>
      </c>
      <c r="G958" s="14" t="s">
        <v>5415</v>
      </c>
      <c r="H958" s="20" t="n">
        <v>48.8</v>
      </c>
      <c r="I958" s="13" t="n">
        <v>40</v>
      </c>
      <c r="J958" s="13" t="s">
        <v>5416</v>
      </c>
      <c r="K958" s="13" t="n">
        <v>49</v>
      </c>
      <c r="L958" s="21" t="n">
        <v>10.4</v>
      </c>
      <c r="M958" s="21" t="n">
        <f aca="false">IF(C958="covered",10.4,7.55)</f>
        <v>10.4</v>
      </c>
      <c r="N958" s="13" t="n">
        <f aca="false">MAX(ROUNDUP(H958,0),I958)</f>
        <v>49</v>
      </c>
      <c r="O958" s="21" t="n">
        <v>509.6</v>
      </c>
      <c r="P958" s="21" t="n">
        <f aca="false">ROUND(M958*N958,2)</f>
        <v>509.6</v>
      </c>
      <c r="Q958" s="21" t="n">
        <f aca="false">ROUND(P958-IF(O958="",0,O958),2)</f>
        <v>0</v>
      </c>
      <c r="R958" s="14" t="str">
        <f aca="false">IF(J958="","MISSING BILL",IF(AND(K958=N958,ABS(L958-M958)&lt;0.001,ABS(O958-P958)&lt;0.01),"RECONCILED","CALCULATION ERROR"))</f>
        <v>RECONCILED</v>
      </c>
      <c r="S958" s="14" t="s">
        <v>2935</v>
      </c>
    </row>
    <row r="959" customFormat="false" ht="15" hidden="true" customHeight="false" outlineLevel="0" collapsed="false">
      <c r="A959" s="13" t="s">
        <v>5417</v>
      </c>
      <c r="B959" s="13" t="s">
        <v>96</v>
      </c>
      <c r="C959" s="13" t="s">
        <v>4156</v>
      </c>
      <c r="D959" s="13" t="s">
        <v>1873</v>
      </c>
      <c r="E959" s="13" t="s">
        <v>5418</v>
      </c>
      <c r="F959" s="14" t="s">
        <v>5419</v>
      </c>
      <c r="G959" s="14" t="s">
        <v>4951</v>
      </c>
      <c r="H959" s="20" t="n">
        <v>36.2</v>
      </c>
      <c r="I959" s="13" t="n">
        <v>28</v>
      </c>
      <c r="J959" s="13" t="s">
        <v>5420</v>
      </c>
      <c r="K959" s="13" t="n">
        <v>37</v>
      </c>
      <c r="L959" s="21" t="n">
        <v>10.4</v>
      </c>
      <c r="M959" s="21" t="n">
        <f aca="false">IF(C959="covered",10.4,7.55)</f>
        <v>10.4</v>
      </c>
      <c r="N959" s="13" t="n">
        <f aca="false">MAX(ROUNDUP(H959,0),I959)</f>
        <v>37</v>
      </c>
      <c r="O959" s="21" t="n">
        <v>384.8</v>
      </c>
      <c r="P959" s="21" t="n">
        <f aca="false">ROUND(M959*N959,2)</f>
        <v>384.8</v>
      </c>
      <c r="Q959" s="21" t="n">
        <f aca="false">ROUND(P959-IF(O959="",0,O959),2)</f>
        <v>0</v>
      </c>
      <c r="R959" s="14" t="str">
        <f aca="false">IF(J959="","MISSING BILL",IF(AND(K959=N959,ABS(L959-M959)&lt;0.001,ABS(O959-P959)&lt;0.01),"RECONCILED","CALCULATION ERROR"))</f>
        <v>RECONCILED</v>
      </c>
      <c r="S959" s="14" t="s">
        <v>2935</v>
      </c>
    </row>
    <row r="960" customFormat="false" ht="15" hidden="true" customHeight="false" outlineLevel="0" collapsed="false">
      <c r="A960" s="13" t="s">
        <v>5421</v>
      </c>
      <c r="B960" s="13" t="s">
        <v>96</v>
      </c>
      <c r="C960" s="13" t="s">
        <v>4156</v>
      </c>
      <c r="D960" s="13" t="s">
        <v>1873</v>
      </c>
      <c r="E960" s="13" t="s">
        <v>5422</v>
      </c>
      <c r="F960" s="14" t="s">
        <v>5423</v>
      </c>
      <c r="G960" s="14" t="s">
        <v>3599</v>
      </c>
      <c r="H960" s="20" t="n">
        <v>40.1</v>
      </c>
      <c r="I960" s="13" t="n">
        <v>32</v>
      </c>
      <c r="J960" s="13" t="s">
        <v>5424</v>
      </c>
      <c r="K960" s="13" t="n">
        <v>41</v>
      </c>
      <c r="L960" s="21" t="n">
        <v>10.4</v>
      </c>
      <c r="M960" s="21" t="n">
        <f aca="false">IF(C960="covered",10.4,7.55)</f>
        <v>10.4</v>
      </c>
      <c r="N960" s="13" t="n">
        <f aca="false">MAX(ROUNDUP(H960,0),I960)</f>
        <v>41</v>
      </c>
      <c r="O960" s="21" t="n">
        <v>426.4</v>
      </c>
      <c r="P960" s="21" t="n">
        <f aca="false">ROUND(M960*N960,2)</f>
        <v>426.4</v>
      </c>
      <c r="Q960" s="21" t="n">
        <f aca="false">ROUND(P960-IF(O960="",0,O960),2)</f>
        <v>0</v>
      </c>
      <c r="R960" s="14" t="str">
        <f aca="false">IF(J960="","MISSING BILL",IF(AND(K960=N960,ABS(L960-M960)&lt;0.001,ABS(O960-P960)&lt;0.01),"RECONCILED","CALCULATION ERROR"))</f>
        <v>RECONCILED</v>
      </c>
      <c r="S960" s="14" t="s">
        <v>2935</v>
      </c>
    </row>
    <row r="961" customFormat="false" ht="15" hidden="true" customHeight="false" outlineLevel="0" collapsed="false">
      <c r="A961" s="13" t="s">
        <v>268</v>
      </c>
      <c r="B961" s="13" t="s">
        <v>96</v>
      </c>
      <c r="C961" s="13" t="s">
        <v>4156</v>
      </c>
      <c r="D961" s="13" t="s">
        <v>1873</v>
      </c>
      <c r="E961" s="13" t="s">
        <v>5425</v>
      </c>
      <c r="F961" s="14" t="s">
        <v>5426</v>
      </c>
      <c r="G961" s="14" t="s">
        <v>2990</v>
      </c>
      <c r="H961" s="20" t="n">
        <v>51.6</v>
      </c>
      <c r="I961" s="13" t="n">
        <v>36</v>
      </c>
      <c r="J961" s="13" t="s">
        <v>5427</v>
      </c>
      <c r="K961" s="13" t="n">
        <v>52</v>
      </c>
      <c r="L961" s="21" t="n">
        <v>10.4</v>
      </c>
      <c r="M961" s="21" t="n">
        <f aca="false">IF(C961="covered",10.4,7.55)</f>
        <v>10.4</v>
      </c>
      <c r="N961" s="13" t="n">
        <f aca="false">MAX(ROUNDUP(H961,0),I961)</f>
        <v>52</v>
      </c>
      <c r="O961" s="21" t="n">
        <v>540.8</v>
      </c>
      <c r="P961" s="21" t="n">
        <f aca="false">ROUND(M961*N961,2)</f>
        <v>540.8</v>
      </c>
      <c r="Q961" s="21" t="n">
        <f aca="false">ROUND(P961-IF(O961="",0,O961),2)</f>
        <v>0</v>
      </c>
      <c r="R961" s="14" t="str">
        <f aca="false">IF(J961="","MISSING BILL",IF(AND(K961=N961,ABS(L961-M961)&lt;0.001,ABS(O961-P961)&lt;0.01),"RECONCILED","CALCULATION ERROR"))</f>
        <v>RECONCILED</v>
      </c>
      <c r="S961" s="14" t="s">
        <v>2935</v>
      </c>
    </row>
    <row r="962" customFormat="false" ht="15" hidden="true" customHeight="false" outlineLevel="0" collapsed="false">
      <c r="A962" s="13" t="s">
        <v>5428</v>
      </c>
      <c r="B962" s="13" t="s">
        <v>96</v>
      </c>
      <c r="C962" s="13" t="s">
        <v>4156</v>
      </c>
      <c r="D962" s="13" t="s">
        <v>1873</v>
      </c>
      <c r="E962" s="13" t="s">
        <v>5429</v>
      </c>
      <c r="F962" s="14" t="s">
        <v>5430</v>
      </c>
      <c r="G962" s="14" t="s">
        <v>4415</v>
      </c>
      <c r="H962" s="20" t="n">
        <v>54.4</v>
      </c>
      <c r="I962" s="13" t="n">
        <v>36</v>
      </c>
      <c r="J962" s="13" t="s">
        <v>5431</v>
      </c>
      <c r="K962" s="13" t="n">
        <v>55</v>
      </c>
      <c r="L962" s="21" t="n">
        <v>10.4</v>
      </c>
      <c r="M962" s="21" t="n">
        <f aca="false">IF(C962="covered",10.4,7.55)</f>
        <v>10.4</v>
      </c>
      <c r="N962" s="13" t="n">
        <f aca="false">MAX(ROUNDUP(H962,0),I962)</f>
        <v>55</v>
      </c>
      <c r="O962" s="21" t="n">
        <v>572</v>
      </c>
      <c r="P962" s="21" t="n">
        <f aca="false">ROUND(M962*N962,2)</f>
        <v>572</v>
      </c>
      <c r="Q962" s="21" t="n">
        <f aca="false">ROUND(P962-IF(O962="",0,O962),2)</f>
        <v>0</v>
      </c>
      <c r="R962" s="14" t="str">
        <f aca="false">IF(J962="","MISSING BILL",IF(AND(K962=N962,ABS(L962-M962)&lt;0.001,ABS(O962-P962)&lt;0.01),"RECONCILED","CALCULATION ERROR"))</f>
        <v>RECONCILED</v>
      </c>
      <c r="S962" s="14" t="s">
        <v>2935</v>
      </c>
    </row>
    <row r="963" customFormat="false" ht="15" hidden="true" customHeight="false" outlineLevel="0" collapsed="false">
      <c r="A963" s="13" t="s">
        <v>5432</v>
      </c>
      <c r="B963" s="13" t="s">
        <v>96</v>
      </c>
      <c r="C963" s="13" t="s">
        <v>4156</v>
      </c>
      <c r="D963" s="13" t="s">
        <v>1873</v>
      </c>
      <c r="E963" s="13" t="s">
        <v>5433</v>
      </c>
      <c r="F963" s="14" t="s">
        <v>5434</v>
      </c>
      <c r="G963" s="14" t="s">
        <v>2415</v>
      </c>
      <c r="H963" s="20" t="n">
        <v>39.5</v>
      </c>
      <c r="I963" s="13" t="n">
        <v>28</v>
      </c>
      <c r="J963" s="13" t="s">
        <v>5435</v>
      </c>
      <c r="K963" s="13" t="n">
        <v>40</v>
      </c>
      <c r="L963" s="21" t="n">
        <v>10.4</v>
      </c>
      <c r="M963" s="21" t="n">
        <f aca="false">IF(C963="covered",10.4,7.55)</f>
        <v>10.4</v>
      </c>
      <c r="N963" s="13" t="n">
        <f aca="false">MAX(ROUNDUP(H963,0),I963)</f>
        <v>40</v>
      </c>
      <c r="O963" s="21" t="n">
        <v>416</v>
      </c>
      <c r="P963" s="21" t="n">
        <f aca="false">ROUND(M963*N963,2)</f>
        <v>416</v>
      </c>
      <c r="Q963" s="21" t="n">
        <f aca="false">ROUND(P963-IF(O963="",0,O963),2)</f>
        <v>0</v>
      </c>
      <c r="R963" s="14" t="str">
        <f aca="false">IF(J963="","MISSING BILL",IF(AND(K963=N963,ABS(L963-M963)&lt;0.001,ABS(O963-P963)&lt;0.01),"RECONCILED","CALCULATION ERROR"))</f>
        <v>RECONCILED</v>
      </c>
      <c r="S963" s="14" t="s">
        <v>2935</v>
      </c>
    </row>
    <row r="964" customFormat="false" ht="15" hidden="true" customHeight="false" outlineLevel="0" collapsed="false">
      <c r="A964" s="13" t="s">
        <v>1738</v>
      </c>
      <c r="B964" s="13" t="s">
        <v>96</v>
      </c>
      <c r="C964" s="13" t="s">
        <v>4156</v>
      </c>
      <c r="D964" s="13" t="s">
        <v>1873</v>
      </c>
      <c r="E964" s="13" t="s">
        <v>5436</v>
      </c>
      <c r="F964" s="14" t="s">
        <v>5437</v>
      </c>
      <c r="G964" s="14" t="s">
        <v>3759</v>
      </c>
      <c r="H964" s="20" t="n">
        <v>29.8</v>
      </c>
      <c r="I964" s="13" t="n">
        <v>40</v>
      </c>
      <c r="J964" s="13" t="s">
        <v>5438</v>
      </c>
      <c r="K964" s="13" t="n">
        <v>40</v>
      </c>
      <c r="L964" s="21" t="n">
        <v>10.4</v>
      </c>
      <c r="M964" s="21" t="n">
        <f aca="false">IF(C964="covered",10.4,7.55)</f>
        <v>10.4</v>
      </c>
      <c r="N964" s="13" t="n">
        <f aca="false">MAX(ROUNDUP(H964,0),I964)</f>
        <v>40</v>
      </c>
      <c r="O964" s="21" t="n">
        <v>416</v>
      </c>
      <c r="P964" s="21" t="n">
        <f aca="false">ROUND(M964*N964,2)</f>
        <v>416</v>
      </c>
      <c r="Q964" s="21" t="n">
        <f aca="false">ROUND(P964-IF(O964="",0,O964),2)</f>
        <v>0</v>
      </c>
      <c r="R964" s="14" t="str">
        <f aca="false">IF(J964="","MISSING BILL",IF(AND(K964=N964,ABS(L964-M964)&lt;0.001,ABS(O964-P964)&lt;0.01),"RECONCILED","CALCULATION ERROR"))</f>
        <v>RECONCILED</v>
      </c>
      <c r="S964" s="14" t="s">
        <v>2935</v>
      </c>
    </row>
    <row r="965" customFormat="false" ht="15" hidden="true" customHeight="false" outlineLevel="0" collapsed="false">
      <c r="A965" s="13" t="s">
        <v>5439</v>
      </c>
      <c r="B965" s="13" t="s">
        <v>96</v>
      </c>
      <c r="C965" s="13" t="s">
        <v>4156</v>
      </c>
      <c r="D965" s="13" t="s">
        <v>1873</v>
      </c>
      <c r="E965" s="13" t="s">
        <v>5440</v>
      </c>
      <c r="F965" s="14" t="s">
        <v>5441</v>
      </c>
      <c r="G965" s="14" t="s">
        <v>5442</v>
      </c>
      <c r="H965" s="20" t="n">
        <v>53.2</v>
      </c>
      <c r="I965" s="13" t="n">
        <v>24</v>
      </c>
      <c r="J965" s="13" t="s">
        <v>5443</v>
      </c>
      <c r="K965" s="13" t="n">
        <v>54</v>
      </c>
      <c r="L965" s="21" t="n">
        <v>10.4</v>
      </c>
      <c r="M965" s="21" t="n">
        <f aca="false">IF(C965="covered",10.4,7.55)</f>
        <v>10.4</v>
      </c>
      <c r="N965" s="13" t="n">
        <f aca="false">MAX(ROUNDUP(H965,0),I965)</f>
        <v>54</v>
      </c>
      <c r="O965" s="21" t="n">
        <v>561.6</v>
      </c>
      <c r="P965" s="21" t="n">
        <f aca="false">ROUND(M965*N965,2)</f>
        <v>561.6</v>
      </c>
      <c r="Q965" s="21" t="n">
        <f aca="false">ROUND(P965-IF(O965="",0,O965),2)</f>
        <v>0</v>
      </c>
      <c r="R965" s="14" t="str">
        <f aca="false">IF(J965="","MISSING BILL",IF(AND(K965=N965,ABS(L965-M965)&lt;0.001,ABS(O965-P965)&lt;0.01),"RECONCILED","CALCULATION ERROR"))</f>
        <v>RECONCILED</v>
      </c>
      <c r="S965" s="14" t="s">
        <v>2935</v>
      </c>
    </row>
    <row r="966" customFormat="false" ht="15" hidden="true" customHeight="false" outlineLevel="0" collapsed="false">
      <c r="A966" s="13" t="s">
        <v>5444</v>
      </c>
      <c r="B966" s="13" t="s">
        <v>96</v>
      </c>
      <c r="C966" s="13" t="s">
        <v>4156</v>
      </c>
      <c r="D966" s="13" t="s">
        <v>1873</v>
      </c>
      <c r="E966" s="13" t="s">
        <v>5445</v>
      </c>
      <c r="F966" s="14" t="s">
        <v>5446</v>
      </c>
      <c r="G966" s="14" t="s">
        <v>3224</v>
      </c>
      <c r="H966" s="20" t="n">
        <v>33</v>
      </c>
      <c r="I966" s="13" t="n">
        <v>28</v>
      </c>
      <c r="J966" s="13" t="s">
        <v>5447</v>
      </c>
      <c r="K966" s="13" t="n">
        <v>33</v>
      </c>
      <c r="L966" s="21" t="n">
        <v>10.4</v>
      </c>
      <c r="M966" s="21" t="n">
        <f aca="false">IF(C966="covered",10.4,7.55)</f>
        <v>10.4</v>
      </c>
      <c r="N966" s="13" t="n">
        <f aca="false">MAX(ROUNDUP(H966,0),I966)</f>
        <v>33</v>
      </c>
      <c r="O966" s="21" t="n">
        <v>343.2</v>
      </c>
      <c r="P966" s="21" t="n">
        <f aca="false">ROUND(M966*N966,2)</f>
        <v>343.2</v>
      </c>
      <c r="Q966" s="21" t="n">
        <f aca="false">ROUND(P966-IF(O966="",0,O966),2)</f>
        <v>0</v>
      </c>
      <c r="R966" s="14" t="str">
        <f aca="false">IF(J966="","MISSING BILL",IF(AND(K966=N966,ABS(L966-M966)&lt;0.001,ABS(O966-P966)&lt;0.01),"RECONCILED","CALCULATION ERROR"))</f>
        <v>RECONCILED</v>
      </c>
      <c r="S966" s="14" t="s">
        <v>2935</v>
      </c>
    </row>
    <row r="967" customFormat="false" ht="15" hidden="true" customHeight="false" outlineLevel="0" collapsed="false">
      <c r="A967" s="13" t="s">
        <v>5448</v>
      </c>
      <c r="B967" s="13" t="s">
        <v>96</v>
      </c>
      <c r="C967" s="13" t="s">
        <v>4156</v>
      </c>
      <c r="D967" s="13" t="s">
        <v>1873</v>
      </c>
      <c r="E967" s="13" t="s">
        <v>954</v>
      </c>
      <c r="F967" s="14" t="s">
        <v>955</v>
      </c>
      <c r="G967" s="14" t="s">
        <v>2225</v>
      </c>
      <c r="H967" s="20" t="n">
        <v>21</v>
      </c>
      <c r="I967" s="13" t="n">
        <v>40</v>
      </c>
      <c r="J967" s="13" t="s">
        <v>5449</v>
      </c>
      <c r="K967" s="13" t="n">
        <v>40</v>
      </c>
      <c r="L967" s="21" t="n">
        <v>10.4</v>
      </c>
      <c r="M967" s="21" t="n">
        <f aca="false">IF(C967="covered",10.4,7.55)</f>
        <v>10.4</v>
      </c>
      <c r="N967" s="13" t="n">
        <f aca="false">MAX(ROUNDUP(H967,0),I967)</f>
        <v>40</v>
      </c>
      <c r="O967" s="21" t="n">
        <v>416</v>
      </c>
      <c r="P967" s="21" t="n">
        <f aca="false">ROUND(M967*N967,2)</f>
        <v>416</v>
      </c>
      <c r="Q967" s="21" t="n">
        <f aca="false">ROUND(P967-IF(O967="",0,O967),2)</f>
        <v>0</v>
      </c>
      <c r="R967" s="14" t="str">
        <f aca="false">IF(J967="","MISSING BILL",IF(AND(K967=N967,ABS(L967-M967)&lt;0.001,ABS(O967-P967)&lt;0.01),"RECONCILED","CALCULATION ERROR"))</f>
        <v>RECONCILED</v>
      </c>
      <c r="S967" s="14" t="s">
        <v>2935</v>
      </c>
    </row>
    <row r="968" customFormat="false" ht="15" hidden="true" customHeight="false" outlineLevel="0" collapsed="false">
      <c r="A968" s="13" t="s">
        <v>5450</v>
      </c>
      <c r="B968" s="13" t="s">
        <v>96</v>
      </c>
      <c r="C968" s="13" t="s">
        <v>4156</v>
      </c>
      <c r="D968" s="13" t="s">
        <v>1873</v>
      </c>
      <c r="E968" s="13" t="s">
        <v>5451</v>
      </c>
      <c r="F968" s="14" t="s">
        <v>5452</v>
      </c>
      <c r="G968" s="14" t="s">
        <v>2396</v>
      </c>
      <c r="H968" s="20" t="n">
        <v>46.2</v>
      </c>
      <c r="I968" s="13" t="n">
        <v>28</v>
      </c>
      <c r="J968" s="13" t="s">
        <v>5453</v>
      </c>
      <c r="K968" s="13" t="n">
        <v>47</v>
      </c>
      <c r="L968" s="21" t="n">
        <v>10.4</v>
      </c>
      <c r="M968" s="21" t="n">
        <f aca="false">IF(C968="covered",10.4,7.55)</f>
        <v>10.4</v>
      </c>
      <c r="N968" s="13" t="n">
        <f aca="false">MAX(ROUNDUP(H968,0),I968)</f>
        <v>47</v>
      </c>
      <c r="O968" s="21" t="n">
        <v>488.8</v>
      </c>
      <c r="P968" s="21" t="n">
        <f aca="false">ROUND(M968*N968,2)</f>
        <v>488.8</v>
      </c>
      <c r="Q968" s="21" t="n">
        <f aca="false">ROUND(P968-IF(O968="",0,O968),2)</f>
        <v>0</v>
      </c>
      <c r="R968" s="14" t="str">
        <f aca="false">IF(J968="","MISSING BILL",IF(AND(K968=N968,ABS(L968-M968)&lt;0.001,ABS(O968-P968)&lt;0.01),"RECONCILED","CALCULATION ERROR"))</f>
        <v>RECONCILED</v>
      </c>
      <c r="S968" s="14" t="s">
        <v>2935</v>
      </c>
    </row>
    <row r="969" customFormat="false" ht="15" hidden="true" customHeight="false" outlineLevel="0" collapsed="false">
      <c r="A969" s="13" t="s">
        <v>451</v>
      </c>
      <c r="B969" s="13" t="s">
        <v>96</v>
      </c>
      <c r="C969" s="13" t="s">
        <v>4156</v>
      </c>
      <c r="D969" s="13" t="s">
        <v>1873</v>
      </c>
      <c r="E969" s="13" t="s">
        <v>5454</v>
      </c>
      <c r="F969" s="14" t="s">
        <v>5455</v>
      </c>
      <c r="G969" s="14" t="s">
        <v>2755</v>
      </c>
      <c r="H969" s="20" t="n">
        <v>21.8</v>
      </c>
      <c r="I969" s="13" t="n">
        <v>28</v>
      </c>
      <c r="J969" s="13" t="s">
        <v>5456</v>
      </c>
      <c r="K969" s="13" t="n">
        <v>28</v>
      </c>
      <c r="L969" s="21" t="n">
        <v>10.4</v>
      </c>
      <c r="M969" s="21" t="n">
        <f aca="false">IF(C969="covered",10.4,7.55)</f>
        <v>10.4</v>
      </c>
      <c r="N969" s="13" t="n">
        <f aca="false">MAX(ROUNDUP(H969,0),I969)</f>
        <v>28</v>
      </c>
      <c r="O969" s="21" t="n">
        <v>291.2</v>
      </c>
      <c r="P969" s="21" t="n">
        <f aca="false">ROUND(M969*N969,2)</f>
        <v>291.2</v>
      </c>
      <c r="Q969" s="21" t="n">
        <f aca="false">ROUND(P969-IF(O969="",0,O969),2)</f>
        <v>0</v>
      </c>
      <c r="R969" s="14" t="str">
        <f aca="false">IF(J969="","MISSING BILL",IF(AND(K969=N969,ABS(L969-M969)&lt;0.001,ABS(O969-P969)&lt;0.01),"RECONCILED","CALCULATION ERROR"))</f>
        <v>RECONCILED</v>
      </c>
      <c r="S969" s="14" t="s">
        <v>2935</v>
      </c>
    </row>
    <row r="970" customFormat="false" ht="15" hidden="true" customHeight="false" outlineLevel="0" collapsed="false">
      <c r="A970" s="13" t="s">
        <v>5457</v>
      </c>
      <c r="B970" s="13" t="s">
        <v>96</v>
      </c>
      <c r="C970" s="13" t="s">
        <v>4156</v>
      </c>
      <c r="D970" s="13" t="s">
        <v>1873</v>
      </c>
      <c r="E970" s="13" t="s">
        <v>5458</v>
      </c>
      <c r="F970" s="14" t="s">
        <v>5459</v>
      </c>
      <c r="G970" s="14" t="s">
        <v>2784</v>
      </c>
      <c r="H970" s="20" t="n">
        <v>57.9</v>
      </c>
      <c r="I970" s="13" t="n">
        <v>32</v>
      </c>
      <c r="J970" s="13" t="s">
        <v>5460</v>
      </c>
      <c r="K970" s="13" t="n">
        <v>58</v>
      </c>
      <c r="L970" s="21" t="n">
        <v>10.4</v>
      </c>
      <c r="M970" s="21" t="n">
        <f aca="false">IF(C970="covered",10.4,7.55)</f>
        <v>10.4</v>
      </c>
      <c r="N970" s="13" t="n">
        <f aca="false">MAX(ROUNDUP(H970,0),I970)</f>
        <v>58</v>
      </c>
      <c r="O970" s="21" t="n">
        <v>603.2</v>
      </c>
      <c r="P970" s="21" t="n">
        <f aca="false">ROUND(M970*N970,2)</f>
        <v>603.2</v>
      </c>
      <c r="Q970" s="21" t="n">
        <f aca="false">ROUND(P970-IF(O970="",0,O970),2)</f>
        <v>0</v>
      </c>
      <c r="R970" s="14" t="str">
        <f aca="false">IF(J970="","MISSING BILL",IF(AND(K970=N970,ABS(L970-M970)&lt;0.001,ABS(O970-P970)&lt;0.01),"RECONCILED","CALCULATION ERROR"))</f>
        <v>RECONCILED</v>
      </c>
      <c r="S970" s="14" t="s">
        <v>2935</v>
      </c>
    </row>
    <row r="971" customFormat="false" ht="15" hidden="true" customHeight="false" outlineLevel="0" collapsed="false">
      <c r="A971" s="13" t="s">
        <v>5461</v>
      </c>
      <c r="B971" s="13" t="s">
        <v>96</v>
      </c>
      <c r="C971" s="13" t="s">
        <v>4156</v>
      </c>
      <c r="D971" s="13" t="s">
        <v>1873</v>
      </c>
      <c r="E971" s="13" t="s">
        <v>5462</v>
      </c>
      <c r="F971" s="14" t="s">
        <v>5463</v>
      </c>
      <c r="G971" s="14" t="s">
        <v>2287</v>
      </c>
      <c r="H971" s="20" t="n">
        <v>26</v>
      </c>
      <c r="I971" s="13" t="n">
        <v>24</v>
      </c>
      <c r="J971" s="13" t="s">
        <v>5464</v>
      </c>
      <c r="K971" s="13" t="n">
        <v>26</v>
      </c>
      <c r="L971" s="21" t="n">
        <v>10.4</v>
      </c>
      <c r="M971" s="21" t="n">
        <f aca="false">IF(C971="covered",10.4,7.55)</f>
        <v>10.4</v>
      </c>
      <c r="N971" s="13" t="n">
        <f aca="false">MAX(ROUNDUP(H971,0),I971)</f>
        <v>26</v>
      </c>
      <c r="O971" s="21" t="n">
        <v>270.4</v>
      </c>
      <c r="P971" s="21" t="n">
        <f aca="false">ROUND(M971*N971,2)</f>
        <v>270.4</v>
      </c>
      <c r="Q971" s="21" t="n">
        <f aca="false">ROUND(P971-IF(O971="",0,O971),2)</f>
        <v>0</v>
      </c>
      <c r="R971" s="14" t="str">
        <f aca="false">IF(J971="","MISSING BILL",IF(AND(K971=N971,ABS(L971-M971)&lt;0.001,ABS(O971-P971)&lt;0.01),"RECONCILED","CALCULATION ERROR"))</f>
        <v>RECONCILED</v>
      </c>
      <c r="S971" s="14" t="s">
        <v>2935</v>
      </c>
    </row>
    <row r="972" customFormat="false" ht="15" hidden="true" customHeight="false" outlineLevel="0" collapsed="false">
      <c r="A972" s="13" t="s">
        <v>5465</v>
      </c>
      <c r="B972" s="13" t="s">
        <v>96</v>
      </c>
      <c r="C972" s="13" t="s">
        <v>4156</v>
      </c>
      <c r="D972" s="13" t="s">
        <v>1873</v>
      </c>
      <c r="E972" s="13" t="s">
        <v>5466</v>
      </c>
      <c r="F972" s="14" t="s">
        <v>5467</v>
      </c>
      <c r="G972" s="14" t="s">
        <v>1881</v>
      </c>
      <c r="H972" s="20" t="n">
        <v>41.5</v>
      </c>
      <c r="I972" s="13" t="n">
        <v>24</v>
      </c>
      <c r="J972" s="13" t="s">
        <v>5468</v>
      </c>
      <c r="K972" s="13" t="n">
        <v>42</v>
      </c>
      <c r="L972" s="21" t="n">
        <v>10.4</v>
      </c>
      <c r="M972" s="21" t="n">
        <f aca="false">IF(C972="covered",10.4,7.55)</f>
        <v>10.4</v>
      </c>
      <c r="N972" s="13" t="n">
        <f aca="false">MAX(ROUNDUP(H972,0),I972)</f>
        <v>42</v>
      </c>
      <c r="O972" s="21" t="n">
        <v>436.8</v>
      </c>
      <c r="P972" s="21" t="n">
        <f aca="false">ROUND(M972*N972,2)</f>
        <v>436.8</v>
      </c>
      <c r="Q972" s="21" t="n">
        <f aca="false">ROUND(P972-IF(O972="",0,O972),2)</f>
        <v>0</v>
      </c>
      <c r="R972" s="14" t="str">
        <f aca="false">IF(J972="","MISSING BILL",IF(AND(K972=N972,ABS(L972-M972)&lt;0.001,ABS(O972-P972)&lt;0.01),"RECONCILED","CALCULATION ERROR"))</f>
        <v>RECONCILED</v>
      </c>
      <c r="S972" s="14" t="s">
        <v>2935</v>
      </c>
    </row>
    <row r="973" customFormat="false" ht="15" hidden="true" customHeight="false" outlineLevel="0" collapsed="false">
      <c r="A973" s="13" t="s">
        <v>932</v>
      </c>
      <c r="B973" s="13" t="s">
        <v>96</v>
      </c>
      <c r="C973" s="13" t="s">
        <v>4156</v>
      </c>
      <c r="D973" s="13" t="s">
        <v>1873</v>
      </c>
      <c r="E973" s="13" t="s">
        <v>5469</v>
      </c>
      <c r="F973" s="14" t="s">
        <v>5470</v>
      </c>
      <c r="G973" s="14" t="s">
        <v>5471</v>
      </c>
      <c r="H973" s="20" t="n">
        <v>59.8</v>
      </c>
      <c r="I973" s="13" t="n">
        <v>28</v>
      </c>
      <c r="J973" s="13" t="s">
        <v>5472</v>
      </c>
      <c r="K973" s="13" t="n">
        <v>60</v>
      </c>
      <c r="L973" s="21" t="n">
        <v>10.4</v>
      </c>
      <c r="M973" s="21" t="n">
        <f aca="false">IF(C973="covered",10.4,7.55)</f>
        <v>10.4</v>
      </c>
      <c r="N973" s="13" t="n">
        <f aca="false">MAX(ROUNDUP(H973,0),I973)</f>
        <v>60</v>
      </c>
      <c r="O973" s="21" t="n">
        <v>624</v>
      </c>
      <c r="P973" s="21" t="n">
        <f aca="false">ROUND(M973*N973,2)</f>
        <v>624</v>
      </c>
      <c r="Q973" s="21" t="n">
        <f aca="false">ROUND(P973-IF(O973="",0,O973),2)</f>
        <v>0</v>
      </c>
      <c r="R973" s="14" t="str">
        <f aca="false">IF(J973="","MISSING BILL",IF(AND(K973=N973,ABS(L973-M973)&lt;0.001,ABS(O973-P973)&lt;0.01),"RECONCILED","CALCULATION ERROR"))</f>
        <v>RECONCILED</v>
      </c>
      <c r="S973" s="14" t="s">
        <v>2935</v>
      </c>
    </row>
    <row r="974" customFormat="false" ht="15" hidden="true" customHeight="false" outlineLevel="0" collapsed="false">
      <c r="A974" s="13" t="s">
        <v>899</v>
      </c>
      <c r="B974" s="13" t="s">
        <v>96</v>
      </c>
      <c r="C974" s="13" t="s">
        <v>4156</v>
      </c>
      <c r="D974" s="13" t="s">
        <v>1873</v>
      </c>
      <c r="E974" s="13" t="s">
        <v>5473</v>
      </c>
      <c r="F974" s="14" t="s">
        <v>5474</v>
      </c>
      <c r="G974" s="14" t="s">
        <v>3400</v>
      </c>
      <c r="H974" s="20" t="n">
        <v>56.9</v>
      </c>
      <c r="I974" s="13" t="n">
        <v>28</v>
      </c>
      <c r="J974" s="13" t="s">
        <v>5475</v>
      </c>
      <c r="K974" s="13" t="n">
        <v>57</v>
      </c>
      <c r="L974" s="21" t="n">
        <v>10.4</v>
      </c>
      <c r="M974" s="21" t="n">
        <f aca="false">IF(C974="covered",10.4,7.55)</f>
        <v>10.4</v>
      </c>
      <c r="N974" s="13" t="n">
        <f aca="false">MAX(ROUNDUP(H974,0),I974)</f>
        <v>57</v>
      </c>
      <c r="O974" s="21" t="n">
        <v>592.8</v>
      </c>
      <c r="P974" s="21" t="n">
        <f aca="false">ROUND(M974*N974,2)</f>
        <v>592.8</v>
      </c>
      <c r="Q974" s="21" t="n">
        <f aca="false">ROUND(P974-IF(O974="",0,O974),2)</f>
        <v>0</v>
      </c>
      <c r="R974" s="14" t="str">
        <f aca="false">IF(J974="","MISSING BILL",IF(AND(K974=N974,ABS(L974-M974)&lt;0.001,ABS(O974-P974)&lt;0.01),"RECONCILED","CALCULATION ERROR"))</f>
        <v>RECONCILED</v>
      </c>
      <c r="S974" s="14" t="s">
        <v>2935</v>
      </c>
    </row>
    <row r="975" customFormat="false" ht="15" hidden="true" customHeight="false" outlineLevel="0" collapsed="false">
      <c r="A975" s="13" t="s">
        <v>5476</v>
      </c>
      <c r="B975" s="13" t="s">
        <v>96</v>
      </c>
      <c r="C975" s="13" t="s">
        <v>4156</v>
      </c>
      <c r="D975" s="13" t="s">
        <v>1873</v>
      </c>
      <c r="E975" s="13" t="s">
        <v>5477</v>
      </c>
      <c r="F975" s="14" t="s">
        <v>5478</v>
      </c>
      <c r="G975" s="14" t="s">
        <v>4547</v>
      </c>
      <c r="H975" s="20" t="n">
        <v>48.2</v>
      </c>
      <c r="I975" s="13" t="n">
        <v>24</v>
      </c>
      <c r="J975" s="13" t="s">
        <v>5479</v>
      </c>
      <c r="K975" s="13" t="n">
        <v>49</v>
      </c>
      <c r="L975" s="21" t="n">
        <v>10.4</v>
      </c>
      <c r="M975" s="21" t="n">
        <f aca="false">IF(C975="covered",10.4,7.55)</f>
        <v>10.4</v>
      </c>
      <c r="N975" s="13" t="n">
        <f aca="false">MAX(ROUNDUP(H975,0),I975)</f>
        <v>49</v>
      </c>
      <c r="O975" s="21" t="n">
        <v>509.6</v>
      </c>
      <c r="P975" s="21" t="n">
        <f aca="false">ROUND(M975*N975,2)</f>
        <v>509.6</v>
      </c>
      <c r="Q975" s="21" t="n">
        <f aca="false">ROUND(P975-IF(O975="",0,O975),2)</f>
        <v>0</v>
      </c>
      <c r="R975" s="14" t="str">
        <f aca="false">IF(J975="","MISSING BILL",IF(AND(K975=N975,ABS(L975-M975)&lt;0.001,ABS(O975-P975)&lt;0.01),"RECONCILED","CALCULATION ERROR"))</f>
        <v>RECONCILED</v>
      </c>
      <c r="S975" s="14" t="s">
        <v>2935</v>
      </c>
    </row>
    <row r="976" customFormat="false" ht="15" hidden="true" customHeight="false" outlineLevel="0" collapsed="false">
      <c r="A976" s="13" t="s">
        <v>5480</v>
      </c>
      <c r="B976" s="13" t="s">
        <v>96</v>
      </c>
      <c r="C976" s="13" t="s">
        <v>4156</v>
      </c>
      <c r="D976" s="13" t="s">
        <v>1873</v>
      </c>
      <c r="E976" s="13" t="s">
        <v>5481</v>
      </c>
      <c r="F976" s="14" t="s">
        <v>5482</v>
      </c>
      <c r="G976" s="14" t="s">
        <v>4565</v>
      </c>
      <c r="H976" s="20" t="n">
        <v>36</v>
      </c>
      <c r="I976" s="13" t="n">
        <v>28</v>
      </c>
      <c r="J976" s="13" t="s">
        <v>5483</v>
      </c>
      <c r="K976" s="13" t="n">
        <v>36</v>
      </c>
      <c r="L976" s="21" t="n">
        <v>10.4</v>
      </c>
      <c r="M976" s="21" t="n">
        <f aca="false">IF(C976="covered",10.4,7.55)</f>
        <v>10.4</v>
      </c>
      <c r="N976" s="13" t="n">
        <f aca="false">MAX(ROUNDUP(H976,0),I976)</f>
        <v>36</v>
      </c>
      <c r="O976" s="21" t="n">
        <v>374.4</v>
      </c>
      <c r="P976" s="21" t="n">
        <f aca="false">ROUND(M976*N976,2)</f>
        <v>374.4</v>
      </c>
      <c r="Q976" s="21" t="n">
        <f aca="false">ROUND(P976-IF(O976="",0,O976),2)</f>
        <v>0</v>
      </c>
      <c r="R976" s="14" t="str">
        <f aca="false">IF(J976="","MISSING BILL",IF(AND(K976=N976,ABS(L976-M976)&lt;0.001,ABS(O976-P976)&lt;0.01),"RECONCILED","CALCULATION ERROR"))</f>
        <v>RECONCILED</v>
      </c>
      <c r="S976" s="14" t="s">
        <v>2935</v>
      </c>
    </row>
    <row r="977" customFormat="false" ht="15" hidden="true" customHeight="false" outlineLevel="0" collapsed="false">
      <c r="A977" s="13" t="s">
        <v>230</v>
      </c>
      <c r="B977" s="13" t="s">
        <v>96</v>
      </c>
      <c r="C977" s="13" t="s">
        <v>4156</v>
      </c>
      <c r="D977" s="13" t="s">
        <v>1873</v>
      </c>
      <c r="E977" s="13" t="s">
        <v>1834</v>
      </c>
      <c r="F977" s="14" t="s">
        <v>1835</v>
      </c>
      <c r="G977" s="14" t="s">
        <v>5484</v>
      </c>
      <c r="H977" s="20" t="n">
        <v>33.2</v>
      </c>
      <c r="I977" s="13" t="n">
        <v>32</v>
      </c>
      <c r="J977" s="13" t="s">
        <v>5485</v>
      </c>
      <c r="K977" s="13" t="n">
        <v>34</v>
      </c>
      <c r="L977" s="21" t="n">
        <v>10.4</v>
      </c>
      <c r="M977" s="21" t="n">
        <f aca="false">IF(C977="covered",10.4,7.55)</f>
        <v>10.4</v>
      </c>
      <c r="N977" s="13" t="n">
        <f aca="false">MAX(ROUNDUP(H977,0),I977)</f>
        <v>34</v>
      </c>
      <c r="O977" s="21" t="n">
        <v>353.6</v>
      </c>
      <c r="P977" s="21" t="n">
        <f aca="false">ROUND(M977*N977,2)</f>
        <v>353.6</v>
      </c>
      <c r="Q977" s="21" t="n">
        <f aca="false">ROUND(P977-IF(O977="",0,O977),2)</f>
        <v>0</v>
      </c>
      <c r="R977" s="14" t="str">
        <f aca="false">IF(J977="","MISSING BILL",IF(AND(K977=N977,ABS(L977-M977)&lt;0.001,ABS(O977-P977)&lt;0.01),"RECONCILED","CALCULATION ERROR"))</f>
        <v>RECONCILED</v>
      </c>
      <c r="S977" s="14" t="s">
        <v>2935</v>
      </c>
    </row>
    <row r="978" customFormat="false" ht="15" hidden="true" customHeight="false" outlineLevel="0" collapsed="false">
      <c r="A978" s="13" t="s">
        <v>5486</v>
      </c>
      <c r="B978" s="13" t="s">
        <v>96</v>
      </c>
      <c r="C978" s="13" t="s">
        <v>4156</v>
      </c>
      <c r="D978" s="13" t="s">
        <v>1873</v>
      </c>
      <c r="E978" s="13" t="s">
        <v>5487</v>
      </c>
      <c r="F978" s="14" t="s">
        <v>5488</v>
      </c>
      <c r="G978" s="14" t="s">
        <v>2434</v>
      </c>
      <c r="H978" s="20" t="n">
        <v>42.5</v>
      </c>
      <c r="I978" s="13" t="n">
        <v>32</v>
      </c>
      <c r="J978" s="13" t="s">
        <v>5489</v>
      </c>
      <c r="K978" s="13" t="n">
        <v>43</v>
      </c>
      <c r="L978" s="21" t="n">
        <v>10.4</v>
      </c>
      <c r="M978" s="21" t="n">
        <f aca="false">IF(C978="covered",10.4,7.55)</f>
        <v>10.4</v>
      </c>
      <c r="N978" s="13" t="n">
        <f aca="false">MAX(ROUNDUP(H978,0),I978)</f>
        <v>43</v>
      </c>
      <c r="O978" s="21" t="n">
        <v>447.2</v>
      </c>
      <c r="P978" s="21" t="n">
        <f aca="false">ROUND(M978*N978,2)</f>
        <v>447.2</v>
      </c>
      <c r="Q978" s="21" t="n">
        <f aca="false">ROUND(P978-IF(O978="",0,O978),2)</f>
        <v>0</v>
      </c>
      <c r="R978" s="14" t="str">
        <f aca="false">IF(J978="","MISSING BILL",IF(AND(K978=N978,ABS(L978-M978)&lt;0.001,ABS(O978-P978)&lt;0.01),"RECONCILED","CALCULATION ERROR"))</f>
        <v>RECONCILED</v>
      </c>
      <c r="S978" s="14" t="s">
        <v>2935</v>
      </c>
    </row>
    <row r="979" customFormat="false" ht="15" hidden="true" customHeight="false" outlineLevel="0" collapsed="false">
      <c r="A979" s="13" t="s">
        <v>5490</v>
      </c>
      <c r="B979" s="13" t="s">
        <v>96</v>
      </c>
      <c r="C979" s="13" t="s">
        <v>4156</v>
      </c>
      <c r="D979" s="13" t="s">
        <v>1873</v>
      </c>
      <c r="E979" s="13" t="s">
        <v>5491</v>
      </c>
      <c r="F979" s="14" t="s">
        <v>5492</v>
      </c>
      <c r="G979" s="14" t="s">
        <v>4806</v>
      </c>
      <c r="H979" s="20" t="n">
        <v>38.7</v>
      </c>
      <c r="I979" s="13" t="n">
        <v>32</v>
      </c>
      <c r="J979" s="13" t="s">
        <v>5493</v>
      </c>
      <c r="K979" s="13" t="n">
        <v>39</v>
      </c>
      <c r="L979" s="21" t="n">
        <v>10.4</v>
      </c>
      <c r="M979" s="21" t="n">
        <f aca="false">IF(C979="covered",10.4,7.55)</f>
        <v>10.4</v>
      </c>
      <c r="N979" s="13" t="n">
        <f aca="false">MAX(ROUNDUP(H979,0),I979)</f>
        <v>39</v>
      </c>
      <c r="O979" s="21" t="n">
        <v>405.6</v>
      </c>
      <c r="P979" s="21" t="n">
        <f aca="false">ROUND(M979*N979,2)</f>
        <v>405.6</v>
      </c>
      <c r="Q979" s="21" t="n">
        <f aca="false">ROUND(P979-IF(O979="",0,O979),2)</f>
        <v>0</v>
      </c>
      <c r="R979" s="14" t="str">
        <f aca="false">IF(J979="","MISSING BILL",IF(AND(K979=N979,ABS(L979-M979)&lt;0.001,ABS(O979-P979)&lt;0.01),"RECONCILED","CALCULATION ERROR"))</f>
        <v>RECONCILED</v>
      </c>
      <c r="S979" s="14" t="s">
        <v>2935</v>
      </c>
    </row>
    <row r="980" customFormat="false" ht="15" hidden="true" customHeight="false" outlineLevel="0" collapsed="false">
      <c r="A980" s="13" t="s">
        <v>5494</v>
      </c>
      <c r="B980" s="13" t="s">
        <v>96</v>
      </c>
      <c r="C980" s="13" t="s">
        <v>4156</v>
      </c>
      <c r="D980" s="13" t="s">
        <v>1873</v>
      </c>
      <c r="E980" s="13" t="s">
        <v>5495</v>
      </c>
      <c r="F980" s="14" t="s">
        <v>5496</v>
      </c>
      <c r="G980" s="14" t="s">
        <v>2846</v>
      </c>
      <c r="H980" s="20" t="n">
        <v>22.5</v>
      </c>
      <c r="I980" s="13" t="n">
        <v>28</v>
      </c>
      <c r="J980" s="13" t="s">
        <v>5497</v>
      </c>
      <c r="K980" s="13" t="n">
        <v>28</v>
      </c>
      <c r="L980" s="21" t="n">
        <v>10.4</v>
      </c>
      <c r="M980" s="21" t="n">
        <f aca="false">IF(C980="covered",10.4,7.55)</f>
        <v>10.4</v>
      </c>
      <c r="N980" s="13" t="n">
        <f aca="false">MAX(ROUNDUP(H980,0),I980)</f>
        <v>28</v>
      </c>
      <c r="O980" s="21" t="n">
        <v>291.2</v>
      </c>
      <c r="P980" s="21" t="n">
        <f aca="false">ROUND(M980*N980,2)</f>
        <v>291.2</v>
      </c>
      <c r="Q980" s="21" t="n">
        <f aca="false">ROUND(P980-IF(O980="",0,O980),2)</f>
        <v>0</v>
      </c>
      <c r="R980" s="14" t="str">
        <f aca="false">IF(J980="","MISSING BILL",IF(AND(K980=N980,ABS(L980-M980)&lt;0.001,ABS(O980-P980)&lt;0.01),"RECONCILED","CALCULATION ERROR"))</f>
        <v>RECONCILED</v>
      </c>
      <c r="S980" s="14" t="s">
        <v>2935</v>
      </c>
    </row>
    <row r="981" customFormat="false" ht="15" hidden="true" customHeight="false" outlineLevel="0" collapsed="false">
      <c r="A981" s="13" t="s">
        <v>973</v>
      </c>
      <c r="B981" s="13" t="s">
        <v>96</v>
      </c>
      <c r="C981" s="13" t="s">
        <v>4156</v>
      </c>
      <c r="D981" s="13" t="s">
        <v>1873</v>
      </c>
      <c r="E981" s="13" t="s">
        <v>5498</v>
      </c>
      <c r="F981" s="14" t="s">
        <v>5499</v>
      </c>
      <c r="G981" s="14" t="s">
        <v>5500</v>
      </c>
      <c r="H981" s="20" t="n">
        <v>45.6</v>
      </c>
      <c r="I981" s="13" t="n">
        <v>24</v>
      </c>
      <c r="J981" s="13" t="s">
        <v>5501</v>
      </c>
      <c r="K981" s="13" t="n">
        <v>46</v>
      </c>
      <c r="L981" s="21" t="n">
        <v>10.4</v>
      </c>
      <c r="M981" s="21" t="n">
        <f aca="false">IF(C981="covered",10.4,7.55)</f>
        <v>10.4</v>
      </c>
      <c r="N981" s="13" t="n">
        <f aca="false">MAX(ROUNDUP(H981,0),I981)</f>
        <v>46</v>
      </c>
      <c r="O981" s="21" t="n">
        <v>478.4</v>
      </c>
      <c r="P981" s="21" t="n">
        <f aca="false">ROUND(M981*N981,2)</f>
        <v>478.4</v>
      </c>
      <c r="Q981" s="21" t="n">
        <f aca="false">ROUND(P981-IF(O981="",0,O981),2)</f>
        <v>0</v>
      </c>
      <c r="R981" s="14" t="str">
        <f aca="false">IF(J981="","MISSING BILL",IF(AND(K981=N981,ABS(L981-M981)&lt;0.001,ABS(O981-P981)&lt;0.01),"RECONCILED","CALCULATION ERROR"))</f>
        <v>RECONCILED</v>
      </c>
      <c r="S981" s="14" t="s">
        <v>2935</v>
      </c>
    </row>
    <row r="982" customFormat="false" ht="15" hidden="true" customHeight="false" outlineLevel="0" collapsed="false">
      <c r="A982" s="13" t="s">
        <v>781</v>
      </c>
      <c r="B982" s="13" t="s">
        <v>96</v>
      </c>
      <c r="C982" s="13" t="s">
        <v>4156</v>
      </c>
      <c r="D982" s="13" t="s">
        <v>1873</v>
      </c>
      <c r="E982" s="13" t="s">
        <v>5502</v>
      </c>
      <c r="F982" s="14" t="s">
        <v>5503</v>
      </c>
      <c r="G982" s="14" t="s">
        <v>3404</v>
      </c>
      <c r="H982" s="20" t="n">
        <v>39.8</v>
      </c>
      <c r="I982" s="13" t="n">
        <v>24</v>
      </c>
      <c r="J982" s="13" t="s">
        <v>5504</v>
      </c>
      <c r="K982" s="13" t="n">
        <v>40</v>
      </c>
      <c r="L982" s="21" t="n">
        <v>10.4</v>
      </c>
      <c r="M982" s="21" t="n">
        <f aca="false">IF(C982="covered",10.4,7.55)</f>
        <v>10.4</v>
      </c>
      <c r="N982" s="13" t="n">
        <f aca="false">MAX(ROUNDUP(H982,0),I982)</f>
        <v>40</v>
      </c>
      <c r="O982" s="21" t="n">
        <v>416</v>
      </c>
      <c r="P982" s="21" t="n">
        <f aca="false">ROUND(M982*N982,2)</f>
        <v>416</v>
      </c>
      <c r="Q982" s="21" t="n">
        <f aca="false">ROUND(P982-IF(O982="",0,O982),2)</f>
        <v>0</v>
      </c>
      <c r="R982" s="14" t="str">
        <f aca="false">IF(J982="","MISSING BILL",IF(AND(K982=N982,ABS(L982-M982)&lt;0.001,ABS(O982-P982)&lt;0.01),"RECONCILED","CALCULATION ERROR"))</f>
        <v>RECONCILED</v>
      </c>
      <c r="S982" s="14" t="s">
        <v>2935</v>
      </c>
    </row>
    <row r="983" customFormat="false" ht="15" hidden="true" customHeight="false" outlineLevel="0" collapsed="false">
      <c r="A983" s="13" t="s">
        <v>5505</v>
      </c>
      <c r="B983" s="13" t="s">
        <v>96</v>
      </c>
      <c r="C983" s="13" t="s">
        <v>4156</v>
      </c>
      <c r="D983" s="13" t="s">
        <v>1873</v>
      </c>
      <c r="E983" s="13" t="s">
        <v>355</v>
      </c>
      <c r="F983" s="14" t="s">
        <v>356</v>
      </c>
      <c r="G983" s="14" t="s">
        <v>2411</v>
      </c>
      <c r="H983" s="20" t="n">
        <v>27.8</v>
      </c>
      <c r="I983" s="13" t="n">
        <v>28</v>
      </c>
      <c r="J983" s="13" t="s">
        <v>5506</v>
      </c>
      <c r="K983" s="13" t="n">
        <v>28</v>
      </c>
      <c r="L983" s="21" t="n">
        <v>10.4</v>
      </c>
      <c r="M983" s="21" t="n">
        <f aca="false">IF(C983="covered",10.4,7.55)</f>
        <v>10.4</v>
      </c>
      <c r="N983" s="13" t="n">
        <f aca="false">MAX(ROUNDUP(H983,0),I983)</f>
        <v>28</v>
      </c>
      <c r="O983" s="21" t="n">
        <v>291.2</v>
      </c>
      <c r="P983" s="21" t="n">
        <f aca="false">ROUND(M983*N983,2)</f>
        <v>291.2</v>
      </c>
      <c r="Q983" s="21" t="n">
        <f aca="false">ROUND(P983-IF(O983="",0,O983),2)</f>
        <v>0</v>
      </c>
      <c r="R983" s="14" t="str">
        <f aca="false">IF(J983="","MISSING BILL",IF(AND(K983=N983,ABS(L983-M983)&lt;0.001,ABS(O983-P983)&lt;0.01),"RECONCILED","CALCULATION ERROR"))</f>
        <v>RECONCILED</v>
      </c>
      <c r="S983" s="14" t="s">
        <v>2935</v>
      </c>
    </row>
    <row r="984" customFormat="false" ht="15" hidden="true" customHeight="false" outlineLevel="0" collapsed="false">
      <c r="A984" s="13" t="s">
        <v>1166</v>
      </c>
      <c r="B984" s="13" t="s">
        <v>96</v>
      </c>
      <c r="C984" s="13" t="s">
        <v>4156</v>
      </c>
      <c r="D984" s="13" t="s">
        <v>1873</v>
      </c>
      <c r="E984" s="13" t="s">
        <v>5507</v>
      </c>
      <c r="F984" s="14" t="s">
        <v>5508</v>
      </c>
      <c r="G984" s="14" t="s">
        <v>1938</v>
      </c>
      <c r="H984" s="20" t="n">
        <v>19.5</v>
      </c>
      <c r="I984" s="13" t="n">
        <v>28</v>
      </c>
      <c r="J984" s="13" t="s">
        <v>5509</v>
      </c>
      <c r="K984" s="13" t="n">
        <v>28</v>
      </c>
      <c r="L984" s="21" t="n">
        <v>10.4</v>
      </c>
      <c r="M984" s="21" t="n">
        <f aca="false">IF(C984="covered",10.4,7.55)</f>
        <v>10.4</v>
      </c>
      <c r="N984" s="13" t="n">
        <f aca="false">MAX(ROUNDUP(H984,0),I984)</f>
        <v>28</v>
      </c>
      <c r="O984" s="21" t="n">
        <v>291.2</v>
      </c>
      <c r="P984" s="21" t="n">
        <f aca="false">ROUND(M984*N984,2)</f>
        <v>291.2</v>
      </c>
      <c r="Q984" s="21" t="n">
        <f aca="false">ROUND(P984-IF(O984="",0,O984),2)</f>
        <v>0</v>
      </c>
      <c r="R984" s="14" t="str">
        <f aca="false">IF(J984="","MISSING BILL",IF(AND(K984=N984,ABS(L984-M984)&lt;0.001,ABS(O984-P984)&lt;0.01),"RECONCILED","CALCULATION ERROR"))</f>
        <v>RECONCILED</v>
      </c>
      <c r="S984" s="14" t="s">
        <v>2935</v>
      </c>
    </row>
    <row r="985" customFormat="false" ht="15" hidden="true" customHeight="false" outlineLevel="0" collapsed="false">
      <c r="A985" s="13" t="s">
        <v>5510</v>
      </c>
      <c r="B985" s="13" t="s">
        <v>96</v>
      </c>
      <c r="C985" s="13" t="s">
        <v>4156</v>
      </c>
      <c r="D985" s="13" t="s">
        <v>1873</v>
      </c>
      <c r="E985" s="13" t="s">
        <v>1378</v>
      </c>
      <c r="F985" s="14" t="s">
        <v>1379</v>
      </c>
      <c r="G985" s="14" t="s">
        <v>5511</v>
      </c>
      <c r="H985" s="20" t="n">
        <v>35.2</v>
      </c>
      <c r="I985" s="13" t="n">
        <v>24</v>
      </c>
      <c r="J985" s="13" t="s">
        <v>5512</v>
      </c>
      <c r="K985" s="13" t="n">
        <v>36</v>
      </c>
      <c r="L985" s="21" t="n">
        <v>10.4</v>
      </c>
      <c r="M985" s="21" t="n">
        <f aca="false">IF(C985="covered",10.4,7.55)</f>
        <v>10.4</v>
      </c>
      <c r="N985" s="13" t="n">
        <f aca="false">MAX(ROUNDUP(H985,0),I985)</f>
        <v>36</v>
      </c>
      <c r="O985" s="21" t="n">
        <v>374.4</v>
      </c>
      <c r="P985" s="21" t="n">
        <f aca="false">ROUND(M985*N985,2)</f>
        <v>374.4</v>
      </c>
      <c r="Q985" s="21" t="n">
        <f aca="false">ROUND(P985-IF(O985="",0,O985),2)</f>
        <v>0</v>
      </c>
      <c r="R985" s="14" t="str">
        <f aca="false">IF(J985="","MISSING BILL",IF(AND(K985=N985,ABS(L985-M985)&lt;0.001,ABS(O985-P985)&lt;0.01),"RECONCILED","CALCULATION ERROR"))</f>
        <v>RECONCILED</v>
      </c>
      <c r="S985" s="14" t="s">
        <v>2935</v>
      </c>
    </row>
    <row r="986" customFormat="false" ht="15" hidden="true" customHeight="false" outlineLevel="0" collapsed="false">
      <c r="A986" s="13" t="s">
        <v>5513</v>
      </c>
      <c r="B986" s="13" t="s">
        <v>96</v>
      </c>
      <c r="C986" s="13" t="s">
        <v>4156</v>
      </c>
      <c r="D986" s="13" t="s">
        <v>1873</v>
      </c>
      <c r="E986" s="13" t="s">
        <v>1466</v>
      </c>
      <c r="F986" s="14" t="s">
        <v>1467</v>
      </c>
      <c r="G986" s="14" t="s">
        <v>3871</v>
      </c>
      <c r="H986" s="20" t="n">
        <v>44.8</v>
      </c>
      <c r="I986" s="13" t="n">
        <v>28</v>
      </c>
      <c r="J986" s="13" t="s">
        <v>5514</v>
      </c>
      <c r="K986" s="13" t="n">
        <v>45</v>
      </c>
      <c r="L986" s="21" t="n">
        <v>10.4</v>
      </c>
      <c r="M986" s="21" t="n">
        <f aca="false">IF(C986="covered",10.4,7.55)</f>
        <v>10.4</v>
      </c>
      <c r="N986" s="13" t="n">
        <f aca="false">MAX(ROUNDUP(H986,0),I986)</f>
        <v>45</v>
      </c>
      <c r="O986" s="21" t="n">
        <v>468</v>
      </c>
      <c r="P986" s="21" t="n">
        <f aca="false">ROUND(M986*N986,2)</f>
        <v>468</v>
      </c>
      <c r="Q986" s="21" t="n">
        <f aca="false">ROUND(P986-IF(O986="",0,O986),2)</f>
        <v>0</v>
      </c>
      <c r="R986" s="14" t="str">
        <f aca="false">IF(J986="","MISSING BILL",IF(AND(K986=N986,ABS(L986-M986)&lt;0.001,ABS(O986-P986)&lt;0.01),"RECONCILED","CALCULATION ERROR"))</f>
        <v>RECONCILED</v>
      </c>
      <c r="S986" s="14" t="s">
        <v>2935</v>
      </c>
    </row>
    <row r="987" customFormat="false" ht="15" hidden="true" customHeight="false" outlineLevel="0" collapsed="false">
      <c r="A987" s="13" t="s">
        <v>5515</v>
      </c>
      <c r="B987" s="13" t="s">
        <v>96</v>
      </c>
      <c r="C987" s="13" t="s">
        <v>4156</v>
      </c>
      <c r="D987" s="13" t="s">
        <v>1873</v>
      </c>
      <c r="E987" s="13" t="s">
        <v>5516</v>
      </c>
      <c r="F987" s="14" t="s">
        <v>5517</v>
      </c>
      <c r="G987" s="14" t="s">
        <v>5029</v>
      </c>
      <c r="H987" s="20" t="n">
        <v>29.2</v>
      </c>
      <c r="I987" s="13" t="n">
        <v>36</v>
      </c>
      <c r="J987" s="13" t="s">
        <v>5518</v>
      </c>
      <c r="K987" s="13" t="n">
        <v>36</v>
      </c>
      <c r="L987" s="21" t="n">
        <v>10.4</v>
      </c>
      <c r="M987" s="21" t="n">
        <f aca="false">IF(C987="covered",10.4,7.55)</f>
        <v>10.4</v>
      </c>
      <c r="N987" s="13" t="n">
        <f aca="false">MAX(ROUNDUP(H987,0),I987)</f>
        <v>36</v>
      </c>
      <c r="O987" s="21" t="n">
        <v>374.4</v>
      </c>
      <c r="P987" s="21" t="n">
        <f aca="false">ROUND(M987*N987,2)</f>
        <v>374.4</v>
      </c>
      <c r="Q987" s="21" t="n">
        <f aca="false">ROUND(P987-IF(O987="",0,O987),2)</f>
        <v>0</v>
      </c>
      <c r="R987" s="14" t="str">
        <f aca="false">IF(J987="","MISSING BILL",IF(AND(K987=N987,ABS(L987-M987)&lt;0.001,ABS(O987-P987)&lt;0.01),"RECONCILED","CALCULATION ERROR"))</f>
        <v>RECONCILED</v>
      </c>
      <c r="S987" s="14" t="s">
        <v>2935</v>
      </c>
    </row>
    <row r="988" customFormat="false" ht="15" hidden="true" customHeight="false" outlineLevel="0" collapsed="false">
      <c r="A988" s="13" t="s">
        <v>5519</v>
      </c>
      <c r="B988" s="13" t="s">
        <v>96</v>
      </c>
      <c r="C988" s="13" t="s">
        <v>4156</v>
      </c>
      <c r="D988" s="13" t="s">
        <v>1873</v>
      </c>
      <c r="E988" s="13" t="s">
        <v>5520</v>
      </c>
      <c r="F988" s="14" t="s">
        <v>5521</v>
      </c>
      <c r="G988" s="14" t="s">
        <v>2411</v>
      </c>
      <c r="H988" s="20" t="n">
        <v>34.2</v>
      </c>
      <c r="I988" s="13" t="n">
        <v>36</v>
      </c>
      <c r="J988" s="13" t="s">
        <v>5522</v>
      </c>
      <c r="K988" s="13" t="n">
        <v>36</v>
      </c>
      <c r="L988" s="21" t="n">
        <v>10.4</v>
      </c>
      <c r="M988" s="21" t="n">
        <f aca="false">IF(C988="covered",10.4,7.55)</f>
        <v>10.4</v>
      </c>
      <c r="N988" s="13" t="n">
        <f aca="false">MAX(ROUNDUP(H988,0),I988)</f>
        <v>36</v>
      </c>
      <c r="O988" s="21" t="n">
        <v>374.4</v>
      </c>
      <c r="P988" s="21" t="n">
        <f aca="false">ROUND(M988*N988,2)</f>
        <v>374.4</v>
      </c>
      <c r="Q988" s="21" t="n">
        <f aca="false">ROUND(P988-IF(O988="",0,O988),2)</f>
        <v>0</v>
      </c>
      <c r="R988" s="14" t="str">
        <f aca="false">IF(J988="","MISSING BILL",IF(AND(K988=N988,ABS(L988-M988)&lt;0.001,ABS(O988-P988)&lt;0.01),"RECONCILED","CALCULATION ERROR"))</f>
        <v>RECONCILED</v>
      </c>
      <c r="S988" s="14" t="s">
        <v>2935</v>
      </c>
    </row>
    <row r="989" customFormat="false" ht="15" hidden="true" customHeight="false" outlineLevel="0" collapsed="false">
      <c r="A989" s="13" t="s">
        <v>5523</v>
      </c>
      <c r="B989" s="13" t="s">
        <v>96</v>
      </c>
      <c r="C989" s="13" t="s">
        <v>4156</v>
      </c>
      <c r="D989" s="13" t="s">
        <v>1873</v>
      </c>
      <c r="E989" s="13" t="s">
        <v>5524</v>
      </c>
      <c r="F989" s="14" t="s">
        <v>5525</v>
      </c>
      <c r="G989" s="14" t="s">
        <v>4360</v>
      </c>
      <c r="H989" s="20" t="n">
        <v>59.6</v>
      </c>
      <c r="I989" s="13" t="n">
        <v>32</v>
      </c>
      <c r="J989" s="13" t="s">
        <v>5526</v>
      </c>
      <c r="K989" s="13" t="n">
        <v>60</v>
      </c>
      <c r="L989" s="21" t="n">
        <v>10.4</v>
      </c>
      <c r="M989" s="21" t="n">
        <f aca="false">IF(C989="covered",10.4,7.55)</f>
        <v>10.4</v>
      </c>
      <c r="N989" s="13" t="n">
        <f aca="false">MAX(ROUNDUP(H989,0),I989)</f>
        <v>60</v>
      </c>
      <c r="O989" s="21" t="n">
        <v>624</v>
      </c>
      <c r="P989" s="21" t="n">
        <f aca="false">ROUND(M989*N989,2)</f>
        <v>624</v>
      </c>
      <c r="Q989" s="21" t="n">
        <f aca="false">ROUND(P989-IF(O989="",0,O989),2)</f>
        <v>0</v>
      </c>
      <c r="R989" s="14" t="str">
        <f aca="false">IF(J989="","MISSING BILL",IF(AND(K989=N989,ABS(L989-M989)&lt;0.001,ABS(O989-P989)&lt;0.01),"RECONCILED","CALCULATION ERROR"))</f>
        <v>RECONCILED</v>
      </c>
      <c r="S989" s="14" t="s">
        <v>2935</v>
      </c>
    </row>
    <row r="990" customFormat="false" ht="15" hidden="true" customHeight="false" outlineLevel="0" collapsed="false">
      <c r="A990" s="13" t="s">
        <v>5527</v>
      </c>
      <c r="B990" s="13" t="s">
        <v>96</v>
      </c>
      <c r="C990" s="13" t="s">
        <v>4156</v>
      </c>
      <c r="D990" s="13" t="s">
        <v>1873</v>
      </c>
      <c r="E990" s="13" t="s">
        <v>5528</v>
      </c>
      <c r="F990" s="14" t="s">
        <v>5529</v>
      </c>
      <c r="G990" s="14" t="s">
        <v>5530</v>
      </c>
      <c r="H990" s="20" t="n">
        <v>18.3</v>
      </c>
      <c r="I990" s="13" t="n">
        <v>32</v>
      </c>
      <c r="J990" s="13" t="s">
        <v>5531</v>
      </c>
      <c r="K990" s="13" t="n">
        <v>32</v>
      </c>
      <c r="L990" s="21" t="n">
        <v>10.4</v>
      </c>
      <c r="M990" s="21" t="n">
        <f aca="false">IF(C990="covered",10.4,7.55)</f>
        <v>10.4</v>
      </c>
      <c r="N990" s="13" t="n">
        <f aca="false">MAX(ROUNDUP(H990,0),I990)</f>
        <v>32</v>
      </c>
      <c r="O990" s="21" t="n">
        <v>332.8</v>
      </c>
      <c r="P990" s="21" t="n">
        <f aca="false">ROUND(M990*N990,2)</f>
        <v>332.8</v>
      </c>
      <c r="Q990" s="21" t="n">
        <f aca="false">ROUND(P990-IF(O990="",0,O990),2)</f>
        <v>0</v>
      </c>
      <c r="R990" s="14" t="str">
        <f aca="false">IF(J990="","MISSING BILL",IF(AND(K990=N990,ABS(L990-M990)&lt;0.001,ABS(O990-P990)&lt;0.01),"RECONCILED","CALCULATION ERROR"))</f>
        <v>RECONCILED</v>
      </c>
      <c r="S990" s="14" t="s">
        <v>2935</v>
      </c>
    </row>
    <row r="991" customFormat="false" ht="15" hidden="true" customHeight="false" outlineLevel="0" collapsed="false">
      <c r="A991" s="13" t="s">
        <v>5532</v>
      </c>
      <c r="B991" s="13" t="s">
        <v>96</v>
      </c>
      <c r="C991" s="13" t="s">
        <v>4156</v>
      </c>
      <c r="D991" s="13" t="s">
        <v>1873</v>
      </c>
      <c r="E991" s="13" t="s">
        <v>5533</v>
      </c>
      <c r="F991" s="14" t="s">
        <v>5534</v>
      </c>
      <c r="G991" s="14" t="s">
        <v>2814</v>
      </c>
      <c r="H991" s="20" t="n">
        <v>57</v>
      </c>
      <c r="I991" s="13" t="n">
        <v>24</v>
      </c>
      <c r="J991" s="13" t="s">
        <v>5535</v>
      </c>
      <c r="K991" s="13" t="n">
        <v>57</v>
      </c>
      <c r="L991" s="21" t="n">
        <v>10.4</v>
      </c>
      <c r="M991" s="21" t="n">
        <f aca="false">IF(C991="covered",10.4,7.55)</f>
        <v>10.4</v>
      </c>
      <c r="N991" s="13" t="n">
        <f aca="false">MAX(ROUNDUP(H991,0),I991)</f>
        <v>57</v>
      </c>
      <c r="O991" s="21" t="n">
        <v>592.8</v>
      </c>
      <c r="P991" s="21" t="n">
        <f aca="false">ROUND(M991*N991,2)</f>
        <v>592.8</v>
      </c>
      <c r="Q991" s="21" t="n">
        <f aca="false">ROUND(P991-IF(O991="",0,O991),2)</f>
        <v>0</v>
      </c>
      <c r="R991" s="14" t="str">
        <f aca="false">IF(J991="","MISSING BILL",IF(AND(K991=N991,ABS(L991-M991)&lt;0.001,ABS(O991-P991)&lt;0.01),"RECONCILED","CALCULATION ERROR"))</f>
        <v>RECONCILED</v>
      </c>
      <c r="S991" s="14" t="s">
        <v>2935</v>
      </c>
    </row>
    <row r="992" customFormat="false" ht="15" hidden="true" customHeight="false" outlineLevel="0" collapsed="false">
      <c r="A992" s="13" t="s">
        <v>5536</v>
      </c>
      <c r="B992" s="13" t="s">
        <v>96</v>
      </c>
      <c r="C992" s="13" t="s">
        <v>4156</v>
      </c>
      <c r="D992" s="13" t="s">
        <v>1873</v>
      </c>
      <c r="E992" s="13" t="s">
        <v>5537</v>
      </c>
      <c r="F992" s="14" t="s">
        <v>5538</v>
      </c>
      <c r="G992" s="14" t="s">
        <v>5539</v>
      </c>
      <c r="H992" s="20" t="n">
        <v>54.3</v>
      </c>
      <c r="I992" s="13" t="n">
        <v>24</v>
      </c>
      <c r="J992" s="13" t="s">
        <v>5540</v>
      </c>
      <c r="K992" s="13" t="n">
        <v>55</v>
      </c>
      <c r="L992" s="21" t="n">
        <v>10.4</v>
      </c>
      <c r="M992" s="21" t="n">
        <f aca="false">IF(C992="covered",10.4,7.55)</f>
        <v>10.4</v>
      </c>
      <c r="N992" s="13" t="n">
        <f aca="false">MAX(ROUNDUP(H992,0),I992)</f>
        <v>55</v>
      </c>
      <c r="O992" s="21" t="n">
        <v>572</v>
      </c>
      <c r="P992" s="21" t="n">
        <f aca="false">ROUND(M992*N992,2)</f>
        <v>572</v>
      </c>
      <c r="Q992" s="21" t="n">
        <f aca="false">ROUND(P992-IF(O992="",0,O992),2)</f>
        <v>0</v>
      </c>
      <c r="R992" s="14" t="str">
        <f aca="false">IF(J992="","MISSING BILL",IF(AND(K992=N992,ABS(L992-M992)&lt;0.001,ABS(O992-P992)&lt;0.01),"RECONCILED","CALCULATION ERROR"))</f>
        <v>RECONCILED</v>
      </c>
      <c r="S992" s="14" t="s">
        <v>2935</v>
      </c>
    </row>
    <row r="993" customFormat="false" ht="15" hidden="true" customHeight="false" outlineLevel="0" collapsed="false">
      <c r="A993" s="13" t="s">
        <v>5541</v>
      </c>
      <c r="B993" s="13" t="s">
        <v>96</v>
      </c>
      <c r="C993" s="13" t="s">
        <v>4156</v>
      </c>
      <c r="D993" s="13" t="s">
        <v>1873</v>
      </c>
      <c r="E993" s="13" t="s">
        <v>1340</v>
      </c>
      <c r="F993" s="14" t="s">
        <v>1341</v>
      </c>
      <c r="G993" s="14" t="s">
        <v>3343</v>
      </c>
      <c r="H993" s="20" t="n">
        <v>44.8</v>
      </c>
      <c r="I993" s="13" t="n">
        <v>32</v>
      </c>
      <c r="J993" s="13" t="s">
        <v>5542</v>
      </c>
      <c r="K993" s="13" t="n">
        <v>45</v>
      </c>
      <c r="L993" s="21" t="n">
        <v>10.4</v>
      </c>
      <c r="M993" s="21" t="n">
        <f aca="false">IF(C993="covered",10.4,7.55)</f>
        <v>10.4</v>
      </c>
      <c r="N993" s="13" t="n">
        <f aca="false">MAX(ROUNDUP(H993,0),I993)</f>
        <v>45</v>
      </c>
      <c r="O993" s="21" t="n">
        <v>468</v>
      </c>
      <c r="P993" s="21" t="n">
        <f aca="false">ROUND(M993*N993,2)</f>
        <v>468</v>
      </c>
      <c r="Q993" s="21" t="n">
        <f aca="false">ROUND(P993-IF(O993="",0,O993),2)</f>
        <v>0</v>
      </c>
      <c r="R993" s="14" t="str">
        <f aca="false">IF(J993="","MISSING BILL",IF(AND(K993=N993,ABS(L993-M993)&lt;0.001,ABS(O993-P993)&lt;0.01),"RECONCILED","CALCULATION ERROR"))</f>
        <v>RECONCILED</v>
      </c>
      <c r="S993" s="14" t="s">
        <v>2935</v>
      </c>
    </row>
    <row r="994" customFormat="false" ht="15" hidden="true" customHeight="false" outlineLevel="0" collapsed="false">
      <c r="A994" s="13" t="s">
        <v>5543</v>
      </c>
      <c r="B994" s="13" t="s">
        <v>96</v>
      </c>
      <c r="C994" s="13" t="s">
        <v>4156</v>
      </c>
      <c r="D994" s="13" t="s">
        <v>1873</v>
      </c>
      <c r="E994" s="13" t="s">
        <v>5544</v>
      </c>
      <c r="F994" s="14" t="s">
        <v>5545</v>
      </c>
      <c r="G994" s="14" t="s">
        <v>2626</v>
      </c>
      <c r="H994" s="20" t="n">
        <v>49.6</v>
      </c>
      <c r="I994" s="13" t="n">
        <v>40</v>
      </c>
      <c r="J994" s="13" t="s">
        <v>5546</v>
      </c>
      <c r="K994" s="13" t="n">
        <v>50</v>
      </c>
      <c r="L994" s="21" t="n">
        <v>10.4</v>
      </c>
      <c r="M994" s="21" t="n">
        <f aca="false">IF(C994="covered",10.4,7.55)</f>
        <v>10.4</v>
      </c>
      <c r="N994" s="13" t="n">
        <f aca="false">MAX(ROUNDUP(H994,0),I994)</f>
        <v>50</v>
      </c>
      <c r="O994" s="21" t="n">
        <v>520</v>
      </c>
      <c r="P994" s="21" t="n">
        <f aca="false">ROUND(M994*N994,2)</f>
        <v>520</v>
      </c>
      <c r="Q994" s="21" t="n">
        <f aca="false">ROUND(P994-IF(O994="",0,O994),2)</f>
        <v>0</v>
      </c>
      <c r="R994" s="14" t="str">
        <f aca="false">IF(J994="","MISSING BILL",IF(AND(K994=N994,ABS(L994-M994)&lt;0.001,ABS(O994-P994)&lt;0.01),"RECONCILED","CALCULATION ERROR"))</f>
        <v>RECONCILED</v>
      </c>
      <c r="S994" s="14" t="s">
        <v>2935</v>
      </c>
    </row>
    <row r="995" customFormat="false" ht="15" hidden="true" customHeight="false" outlineLevel="0" collapsed="false">
      <c r="A995" s="13" t="s">
        <v>5547</v>
      </c>
      <c r="B995" s="13" t="s">
        <v>96</v>
      </c>
      <c r="C995" s="13" t="s">
        <v>4156</v>
      </c>
      <c r="D995" s="13" t="s">
        <v>1873</v>
      </c>
      <c r="E995" s="13" t="s">
        <v>5548</v>
      </c>
      <c r="F995" s="14" t="s">
        <v>5549</v>
      </c>
      <c r="G995" s="14" t="s">
        <v>2888</v>
      </c>
      <c r="H995" s="20" t="n">
        <v>32.5</v>
      </c>
      <c r="I995" s="13" t="n">
        <v>24</v>
      </c>
      <c r="J995" s="13" t="s">
        <v>5550</v>
      </c>
      <c r="K995" s="13" t="n">
        <v>33</v>
      </c>
      <c r="L995" s="21" t="n">
        <v>10.4</v>
      </c>
      <c r="M995" s="21" t="n">
        <f aca="false">IF(C995="covered",10.4,7.55)</f>
        <v>10.4</v>
      </c>
      <c r="N995" s="13" t="n">
        <f aca="false">MAX(ROUNDUP(H995,0),I995)</f>
        <v>33</v>
      </c>
      <c r="O995" s="21" t="n">
        <v>343.2</v>
      </c>
      <c r="P995" s="21" t="n">
        <f aca="false">ROUND(M995*N995,2)</f>
        <v>343.2</v>
      </c>
      <c r="Q995" s="21" t="n">
        <f aca="false">ROUND(P995-IF(O995="",0,O995),2)</f>
        <v>0</v>
      </c>
      <c r="R995" s="14" t="str">
        <f aca="false">IF(J995="","MISSING BILL",IF(AND(K995=N995,ABS(L995-M995)&lt;0.001,ABS(O995-P995)&lt;0.01),"RECONCILED","CALCULATION ERROR"))</f>
        <v>RECONCILED</v>
      </c>
      <c r="S995" s="14" t="s">
        <v>2935</v>
      </c>
    </row>
    <row r="996" customFormat="false" ht="15" hidden="true" customHeight="false" outlineLevel="0" collapsed="false">
      <c r="A996" s="13" t="s">
        <v>749</v>
      </c>
      <c r="B996" s="13" t="s">
        <v>96</v>
      </c>
      <c r="C996" s="13" t="s">
        <v>4156</v>
      </c>
      <c r="D996" s="13" t="s">
        <v>1873</v>
      </c>
      <c r="E996" s="13" t="s">
        <v>5551</v>
      </c>
      <c r="F996" s="14" t="s">
        <v>5552</v>
      </c>
      <c r="G996" s="14" t="s">
        <v>2583</v>
      </c>
      <c r="H996" s="20" t="n">
        <v>48.2</v>
      </c>
      <c r="I996" s="13" t="n">
        <v>40</v>
      </c>
      <c r="J996" s="13" t="s">
        <v>5553</v>
      </c>
      <c r="K996" s="13" t="n">
        <v>49</v>
      </c>
      <c r="L996" s="21" t="n">
        <v>10.4</v>
      </c>
      <c r="M996" s="21" t="n">
        <f aca="false">IF(C996="covered",10.4,7.55)</f>
        <v>10.4</v>
      </c>
      <c r="N996" s="13" t="n">
        <f aca="false">MAX(ROUNDUP(H996,0),I996)</f>
        <v>49</v>
      </c>
      <c r="O996" s="21" t="n">
        <v>509.6</v>
      </c>
      <c r="P996" s="21" t="n">
        <f aca="false">ROUND(M996*N996,2)</f>
        <v>509.6</v>
      </c>
      <c r="Q996" s="21" t="n">
        <f aca="false">ROUND(P996-IF(O996="",0,O996),2)</f>
        <v>0</v>
      </c>
      <c r="R996" s="14" t="str">
        <f aca="false">IF(J996="","MISSING BILL",IF(AND(K996=N996,ABS(L996-M996)&lt;0.001,ABS(O996-P996)&lt;0.01),"RECONCILED","CALCULATION ERROR"))</f>
        <v>RECONCILED</v>
      </c>
      <c r="S996" s="14" t="s">
        <v>2935</v>
      </c>
    </row>
    <row r="997" customFormat="false" ht="15" hidden="true" customHeight="false" outlineLevel="0" collapsed="false">
      <c r="A997" s="13" t="s">
        <v>5554</v>
      </c>
      <c r="B997" s="13" t="s">
        <v>96</v>
      </c>
      <c r="C997" s="13" t="s">
        <v>4156</v>
      </c>
      <c r="D997" s="13" t="s">
        <v>1873</v>
      </c>
      <c r="E997" s="13" t="s">
        <v>5555</v>
      </c>
      <c r="F997" s="14" t="s">
        <v>5556</v>
      </c>
      <c r="G997" s="14" t="s">
        <v>5557</v>
      </c>
      <c r="H997" s="20" t="n">
        <v>59.7</v>
      </c>
      <c r="I997" s="13" t="n">
        <v>24</v>
      </c>
      <c r="J997" s="13" t="s">
        <v>5558</v>
      </c>
      <c r="K997" s="13" t="n">
        <v>60</v>
      </c>
      <c r="L997" s="21" t="n">
        <v>10.4</v>
      </c>
      <c r="M997" s="21" t="n">
        <f aca="false">IF(C997="covered",10.4,7.55)</f>
        <v>10.4</v>
      </c>
      <c r="N997" s="13" t="n">
        <f aca="false">MAX(ROUNDUP(H997,0),I997)</f>
        <v>60</v>
      </c>
      <c r="O997" s="21" t="n">
        <v>624</v>
      </c>
      <c r="P997" s="21" t="n">
        <f aca="false">ROUND(M997*N997,2)</f>
        <v>624</v>
      </c>
      <c r="Q997" s="21" t="n">
        <f aca="false">ROUND(P997-IF(O997="",0,O997),2)</f>
        <v>0</v>
      </c>
      <c r="R997" s="14" t="str">
        <f aca="false">IF(J997="","MISSING BILL",IF(AND(K997=N997,ABS(L997-M997)&lt;0.001,ABS(O997-P997)&lt;0.01),"RECONCILED","CALCULATION ERROR"))</f>
        <v>RECONCILED</v>
      </c>
      <c r="S997" s="14" t="s">
        <v>2935</v>
      </c>
    </row>
    <row r="998" customFormat="false" ht="15" hidden="true" customHeight="false" outlineLevel="0" collapsed="false">
      <c r="A998" s="13" t="s">
        <v>1683</v>
      </c>
      <c r="B998" s="13" t="s">
        <v>96</v>
      </c>
      <c r="C998" s="13" t="s">
        <v>4156</v>
      </c>
      <c r="D998" s="13" t="s">
        <v>1873</v>
      </c>
      <c r="E998" s="13" t="s">
        <v>5559</v>
      </c>
      <c r="F998" s="14" t="s">
        <v>5560</v>
      </c>
      <c r="G998" s="14" t="s">
        <v>4107</v>
      </c>
      <c r="H998" s="20" t="n">
        <v>61.4</v>
      </c>
      <c r="I998" s="13" t="n">
        <v>24</v>
      </c>
      <c r="J998" s="13" t="s">
        <v>5561</v>
      </c>
      <c r="K998" s="13" t="n">
        <v>62</v>
      </c>
      <c r="L998" s="21" t="n">
        <v>10.4</v>
      </c>
      <c r="M998" s="21" t="n">
        <f aca="false">IF(C998="covered",10.4,7.55)</f>
        <v>10.4</v>
      </c>
      <c r="N998" s="13" t="n">
        <f aca="false">MAX(ROUNDUP(H998,0),I998)</f>
        <v>62</v>
      </c>
      <c r="O998" s="21" t="n">
        <v>644.8</v>
      </c>
      <c r="P998" s="21" t="n">
        <f aca="false">ROUND(M998*N998,2)</f>
        <v>644.8</v>
      </c>
      <c r="Q998" s="21" t="n">
        <f aca="false">ROUND(P998-IF(O998="",0,O998),2)</f>
        <v>0</v>
      </c>
      <c r="R998" s="14" t="str">
        <f aca="false">IF(J998="","MISSING BILL",IF(AND(K998=N998,ABS(L998-M998)&lt;0.001,ABS(O998-P998)&lt;0.01),"RECONCILED","CALCULATION ERROR"))</f>
        <v>RECONCILED</v>
      </c>
      <c r="S998" s="14" t="s">
        <v>2935</v>
      </c>
    </row>
    <row r="999" customFormat="false" ht="15" hidden="true" customHeight="false" outlineLevel="0" collapsed="false">
      <c r="A999" s="13" t="s">
        <v>374</v>
      </c>
      <c r="B999" s="13" t="s">
        <v>96</v>
      </c>
      <c r="C999" s="13" t="s">
        <v>4156</v>
      </c>
      <c r="D999" s="13" t="s">
        <v>1873</v>
      </c>
      <c r="E999" s="13" t="s">
        <v>5562</v>
      </c>
      <c r="F999" s="14" t="s">
        <v>5563</v>
      </c>
      <c r="G999" s="14" t="s">
        <v>3866</v>
      </c>
      <c r="H999" s="20" t="n">
        <v>48</v>
      </c>
      <c r="I999" s="13" t="n">
        <v>40</v>
      </c>
      <c r="J999" s="13" t="s">
        <v>5564</v>
      </c>
      <c r="K999" s="13" t="n">
        <v>48</v>
      </c>
      <c r="L999" s="21" t="n">
        <v>10.4</v>
      </c>
      <c r="M999" s="21" t="n">
        <f aca="false">IF(C999="covered",10.4,7.55)</f>
        <v>10.4</v>
      </c>
      <c r="N999" s="13" t="n">
        <f aca="false">MAX(ROUNDUP(H999,0),I999)</f>
        <v>48</v>
      </c>
      <c r="O999" s="21" t="n">
        <v>499.2</v>
      </c>
      <c r="P999" s="21" t="n">
        <f aca="false">ROUND(M999*N999,2)</f>
        <v>499.2</v>
      </c>
      <c r="Q999" s="21" t="n">
        <f aca="false">ROUND(P999-IF(O999="",0,O999),2)</f>
        <v>0</v>
      </c>
      <c r="R999" s="14" t="str">
        <f aca="false">IF(J999="","MISSING BILL",IF(AND(K999=N999,ABS(L999-M999)&lt;0.001,ABS(O999-P999)&lt;0.01),"RECONCILED","CALCULATION ERROR"))</f>
        <v>RECONCILED</v>
      </c>
      <c r="S999" s="14" t="s">
        <v>2935</v>
      </c>
    </row>
    <row r="1000" customFormat="false" ht="15" hidden="true" customHeight="false" outlineLevel="0" collapsed="false">
      <c r="A1000" s="13" t="s">
        <v>5565</v>
      </c>
      <c r="B1000" s="13" t="s">
        <v>96</v>
      </c>
      <c r="C1000" s="13" t="s">
        <v>4156</v>
      </c>
      <c r="D1000" s="13" t="s">
        <v>1873</v>
      </c>
      <c r="E1000" s="13" t="s">
        <v>5566</v>
      </c>
      <c r="F1000" s="14" t="s">
        <v>5567</v>
      </c>
      <c r="G1000" s="14" t="s">
        <v>4729</v>
      </c>
      <c r="H1000" s="20" t="n">
        <v>19.9</v>
      </c>
      <c r="I1000" s="13" t="n">
        <v>24</v>
      </c>
      <c r="J1000" s="13" t="s">
        <v>5568</v>
      </c>
      <c r="K1000" s="13" t="n">
        <v>24</v>
      </c>
      <c r="L1000" s="21" t="n">
        <v>10.4</v>
      </c>
      <c r="M1000" s="21" t="n">
        <f aca="false">IF(C1000="covered",10.4,7.55)</f>
        <v>10.4</v>
      </c>
      <c r="N1000" s="13" t="n">
        <f aca="false">MAX(ROUNDUP(H1000,0),I1000)</f>
        <v>24</v>
      </c>
      <c r="O1000" s="21" t="n">
        <v>249.6</v>
      </c>
      <c r="P1000" s="21" t="n">
        <f aca="false">ROUND(M1000*N1000,2)</f>
        <v>249.6</v>
      </c>
      <c r="Q1000" s="21" t="n">
        <f aca="false">ROUND(P1000-IF(O1000="",0,O1000),2)</f>
        <v>0</v>
      </c>
      <c r="R1000" s="14" t="str">
        <f aca="false">IF(J1000="","MISSING BILL",IF(AND(K1000=N1000,ABS(L1000-M1000)&lt;0.001,ABS(O1000-P1000)&lt;0.01),"RECONCILED","CALCULATION ERROR"))</f>
        <v>RECONCILED</v>
      </c>
      <c r="S1000" s="14" t="s">
        <v>2935</v>
      </c>
    </row>
    <row r="1001" customFormat="false" ht="15" hidden="true" customHeight="false" outlineLevel="0" collapsed="false">
      <c r="A1001" s="13" t="s">
        <v>5569</v>
      </c>
      <c r="B1001" s="13" t="s">
        <v>96</v>
      </c>
      <c r="C1001" s="13" t="s">
        <v>4156</v>
      </c>
      <c r="D1001" s="13" t="s">
        <v>1873</v>
      </c>
      <c r="E1001" s="13" t="s">
        <v>5570</v>
      </c>
      <c r="F1001" s="14" t="s">
        <v>5571</v>
      </c>
      <c r="G1001" s="14" t="s">
        <v>5572</v>
      </c>
      <c r="H1001" s="20" t="n">
        <v>19.6</v>
      </c>
      <c r="I1001" s="13" t="n">
        <v>32</v>
      </c>
      <c r="J1001" s="13" t="s">
        <v>5573</v>
      </c>
      <c r="K1001" s="13" t="n">
        <v>32</v>
      </c>
      <c r="L1001" s="21" t="n">
        <v>10.4</v>
      </c>
      <c r="M1001" s="21" t="n">
        <f aca="false">IF(C1001="covered",10.4,7.55)</f>
        <v>10.4</v>
      </c>
      <c r="N1001" s="13" t="n">
        <f aca="false">MAX(ROUNDUP(H1001,0),I1001)</f>
        <v>32</v>
      </c>
      <c r="O1001" s="21" t="n">
        <v>332.8</v>
      </c>
      <c r="P1001" s="21" t="n">
        <f aca="false">ROUND(M1001*N1001,2)</f>
        <v>332.8</v>
      </c>
      <c r="Q1001" s="21" t="n">
        <f aca="false">ROUND(P1001-IF(O1001="",0,O1001),2)</f>
        <v>0</v>
      </c>
      <c r="R1001" s="14" t="str">
        <f aca="false">IF(J1001="","MISSING BILL",IF(AND(K1001=N1001,ABS(L1001-M1001)&lt;0.001,ABS(O1001-P1001)&lt;0.01),"RECONCILED","CALCULATION ERROR"))</f>
        <v>RECONCILED</v>
      </c>
      <c r="S1001" s="14" t="s">
        <v>2935</v>
      </c>
    </row>
    <row r="1002" customFormat="false" ht="15" hidden="true" customHeight="false" outlineLevel="0" collapsed="false">
      <c r="A1002" s="13" t="s">
        <v>5574</v>
      </c>
      <c r="B1002" s="13" t="s">
        <v>96</v>
      </c>
      <c r="C1002" s="13" t="s">
        <v>4156</v>
      </c>
      <c r="D1002" s="13" t="s">
        <v>1873</v>
      </c>
      <c r="E1002" s="13" t="s">
        <v>5575</v>
      </c>
      <c r="F1002" s="14" t="s">
        <v>5576</v>
      </c>
      <c r="G1002" s="14" t="s">
        <v>4570</v>
      </c>
      <c r="H1002" s="20" t="n">
        <v>42.6</v>
      </c>
      <c r="I1002" s="13" t="n">
        <v>24</v>
      </c>
      <c r="J1002" s="13" t="s">
        <v>5577</v>
      </c>
      <c r="K1002" s="13" t="n">
        <v>43</v>
      </c>
      <c r="L1002" s="21" t="n">
        <v>10.4</v>
      </c>
      <c r="M1002" s="21" t="n">
        <f aca="false">IF(C1002="covered",10.4,7.55)</f>
        <v>10.4</v>
      </c>
      <c r="N1002" s="13" t="n">
        <f aca="false">MAX(ROUNDUP(H1002,0),I1002)</f>
        <v>43</v>
      </c>
      <c r="O1002" s="21" t="n">
        <v>447.2</v>
      </c>
      <c r="P1002" s="21" t="n">
        <f aca="false">ROUND(M1002*N1002,2)</f>
        <v>447.2</v>
      </c>
      <c r="Q1002" s="21" t="n">
        <f aca="false">ROUND(P1002-IF(O1002="",0,O1002),2)</f>
        <v>0</v>
      </c>
      <c r="R1002" s="14" t="str">
        <f aca="false">IF(J1002="","MISSING BILL",IF(AND(K1002=N1002,ABS(L1002-M1002)&lt;0.001,ABS(O1002-P1002)&lt;0.01),"RECONCILED","CALCULATION ERROR"))</f>
        <v>RECONCILED</v>
      </c>
      <c r="S1002" s="14" t="s">
        <v>2935</v>
      </c>
    </row>
    <row r="1003" customFormat="false" ht="15" hidden="true" customHeight="false" outlineLevel="0" collapsed="false">
      <c r="A1003" s="13" t="s">
        <v>5578</v>
      </c>
      <c r="B1003" s="13" t="s">
        <v>96</v>
      </c>
      <c r="C1003" s="13" t="s">
        <v>4156</v>
      </c>
      <c r="D1003" s="13" t="s">
        <v>1873</v>
      </c>
      <c r="E1003" s="13" t="s">
        <v>5579</v>
      </c>
      <c r="F1003" s="14" t="s">
        <v>5580</v>
      </c>
      <c r="G1003" s="14" t="s">
        <v>3546</v>
      </c>
      <c r="H1003" s="20" t="n">
        <v>19.5</v>
      </c>
      <c r="I1003" s="13" t="n">
        <v>40</v>
      </c>
      <c r="J1003" s="13" t="s">
        <v>5581</v>
      </c>
      <c r="K1003" s="13" t="n">
        <v>40</v>
      </c>
      <c r="L1003" s="21" t="n">
        <v>10.4</v>
      </c>
      <c r="M1003" s="21" t="n">
        <f aca="false">IF(C1003="covered",10.4,7.55)</f>
        <v>10.4</v>
      </c>
      <c r="N1003" s="13" t="n">
        <f aca="false">MAX(ROUNDUP(H1003,0),I1003)</f>
        <v>40</v>
      </c>
      <c r="O1003" s="21" t="n">
        <v>416</v>
      </c>
      <c r="P1003" s="21" t="n">
        <f aca="false">ROUND(M1003*N1003,2)</f>
        <v>416</v>
      </c>
      <c r="Q1003" s="21" t="n">
        <f aca="false">ROUND(P1003-IF(O1003="",0,O1003),2)</f>
        <v>0</v>
      </c>
      <c r="R1003" s="14" t="str">
        <f aca="false">IF(J1003="","MISSING BILL",IF(AND(K1003=N1003,ABS(L1003-M1003)&lt;0.001,ABS(O1003-P1003)&lt;0.01),"RECONCILED","CALCULATION ERROR"))</f>
        <v>RECONCILED</v>
      </c>
      <c r="S1003" s="14" t="s">
        <v>2935</v>
      </c>
    </row>
    <row r="1004" customFormat="false" ht="15" hidden="true" customHeight="false" outlineLevel="0" collapsed="false">
      <c r="A1004" s="13" t="s">
        <v>5582</v>
      </c>
      <c r="B1004" s="13" t="s">
        <v>96</v>
      </c>
      <c r="C1004" s="13" t="s">
        <v>4156</v>
      </c>
      <c r="D1004" s="13" t="s">
        <v>1873</v>
      </c>
      <c r="E1004" s="13" t="s">
        <v>5583</v>
      </c>
      <c r="F1004" s="14" t="s">
        <v>5584</v>
      </c>
      <c r="G1004" s="14" t="s">
        <v>5585</v>
      </c>
      <c r="H1004" s="20" t="n">
        <v>38</v>
      </c>
      <c r="I1004" s="13" t="n">
        <v>32</v>
      </c>
      <c r="J1004" s="13" t="s">
        <v>5586</v>
      </c>
      <c r="K1004" s="13" t="n">
        <v>38</v>
      </c>
      <c r="L1004" s="21" t="n">
        <v>10.4</v>
      </c>
      <c r="M1004" s="21" t="n">
        <f aca="false">IF(C1004="covered",10.4,7.55)</f>
        <v>10.4</v>
      </c>
      <c r="N1004" s="13" t="n">
        <f aca="false">MAX(ROUNDUP(H1004,0),I1004)</f>
        <v>38</v>
      </c>
      <c r="O1004" s="21" t="n">
        <v>395.2</v>
      </c>
      <c r="P1004" s="21" t="n">
        <f aca="false">ROUND(M1004*N1004,2)</f>
        <v>395.2</v>
      </c>
      <c r="Q1004" s="21" t="n">
        <f aca="false">ROUND(P1004-IF(O1004="",0,O1004),2)</f>
        <v>0</v>
      </c>
      <c r="R1004" s="14" t="str">
        <f aca="false">IF(J1004="","MISSING BILL",IF(AND(K1004=N1004,ABS(L1004-M1004)&lt;0.001,ABS(O1004-P1004)&lt;0.01),"RECONCILED","CALCULATION ERROR"))</f>
        <v>RECONCILED</v>
      </c>
      <c r="S1004" s="14" t="s">
        <v>2935</v>
      </c>
    </row>
    <row r="1005" customFormat="false" ht="15" hidden="true" customHeight="false" outlineLevel="0" collapsed="false">
      <c r="A1005" s="13" t="s">
        <v>5587</v>
      </c>
      <c r="B1005" s="13" t="s">
        <v>96</v>
      </c>
      <c r="C1005" s="13" t="s">
        <v>4156</v>
      </c>
      <c r="D1005" s="13" t="s">
        <v>1873</v>
      </c>
      <c r="E1005" s="13" t="s">
        <v>5588</v>
      </c>
      <c r="F1005" s="14" t="s">
        <v>5589</v>
      </c>
      <c r="G1005" s="14" t="s">
        <v>2590</v>
      </c>
      <c r="H1005" s="20" t="n">
        <v>60.8</v>
      </c>
      <c r="I1005" s="13" t="n">
        <v>28</v>
      </c>
      <c r="J1005" s="13" t="s">
        <v>5590</v>
      </c>
      <c r="K1005" s="13" t="n">
        <v>61</v>
      </c>
      <c r="L1005" s="21" t="n">
        <v>10.4</v>
      </c>
      <c r="M1005" s="21" t="n">
        <f aca="false">IF(C1005="covered",10.4,7.55)</f>
        <v>10.4</v>
      </c>
      <c r="N1005" s="13" t="n">
        <f aca="false">MAX(ROUNDUP(H1005,0),I1005)</f>
        <v>61</v>
      </c>
      <c r="O1005" s="21" t="n">
        <v>634.4</v>
      </c>
      <c r="P1005" s="21" t="n">
        <f aca="false">ROUND(M1005*N1005,2)</f>
        <v>634.4</v>
      </c>
      <c r="Q1005" s="21" t="n">
        <f aca="false">ROUND(P1005-IF(O1005="",0,O1005),2)</f>
        <v>0</v>
      </c>
      <c r="R1005" s="14" t="str">
        <f aca="false">IF(J1005="","MISSING BILL",IF(AND(K1005=N1005,ABS(L1005-M1005)&lt;0.001,ABS(O1005-P1005)&lt;0.01),"RECONCILED","CALCULATION ERROR"))</f>
        <v>RECONCILED</v>
      </c>
      <c r="S1005" s="14" t="s">
        <v>2935</v>
      </c>
    </row>
    <row r="1006" customFormat="false" ht="15" hidden="true" customHeight="false" outlineLevel="0" collapsed="false">
      <c r="A1006" s="13" t="s">
        <v>5591</v>
      </c>
      <c r="B1006" s="13" t="s">
        <v>96</v>
      </c>
      <c r="C1006" s="13" t="s">
        <v>4156</v>
      </c>
      <c r="D1006" s="13" t="s">
        <v>1873</v>
      </c>
      <c r="E1006" s="13" t="s">
        <v>5592</v>
      </c>
      <c r="F1006" s="14" t="s">
        <v>5593</v>
      </c>
      <c r="G1006" s="14" t="s">
        <v>5594</v>
      </c>
      <c r="H1006" s="20" t="n">
        <v>43.1</v>
      </c>
      <c r="I1006" s="13" t="n">
        <v>40</v>
      </c>
      <c r="J1006" s="13" t="s">
        <v>5595</v>
      </c>
      <c r="K1006" s="13" t="n">
        <v>44</v>
      </c>
      <c r="L1006" s="21" t="n">
        <v>10.4</v>
      </c>
      <c r="M1006" s="21" t="n">
        <f aca="false">IF(C1006="covered",10.4,7.55)</f>
        <v>10.4</v>
      </c>
      <c r="N1006" s="13" t="n">
        <f aca="false">MAX(ROUNDUP(H1006,0),I1006)</f>
        <v>44</v>
      </c>
      <c r="O1006" s="21" t="n">
        <v>457.6</v>
      </c>
      <c r="P1006" s="21" t="n">
        <f aca="false">ROUND(M1006*N1006,2)</f>
        <v>457.6</v>
      </c>
      <c r="Q1006" s="21" t="n">
        <f aca="false">ROUND(P1006-IF(O1006="",0,O1006),2)</f>
        <v>0</v>
      </c>
      <c r="R1006" s="14" t="str">
        <f aca="false">IF(J1006="","MISSING BILL",IF(AND(K1006=N1006,ABS(L1006-M1006)&lt;0.001,ABS(O1006-P1006)&lt;0.01),"RECONCILED","CALCULATION ERROR"))</f>
        <v>RECONCILED</v>
      </c>
      <c r="S1006" s="14" t="s">
        <v>2935</v>
      </c>
    </row>
    <row r="1007" customFormat="false" ht="15" hidden="true" customHeight="false" outlineLevel="0" collapsed="false">
      <c r="A1007" s="13" t="s">
        <v>556</v>
      </c>
      <c r="B1007" s="13" t="s">
        <v>96</v>
      </c>
      <c r="C1007" s="13" t="s">
        <v>4156</v>
      </c>
      <c r="D1007" s="13" t="s">
        <v>1873</v>
      </c>
      <c r="E1007" s="13" t="s">
        <v>5596</v>
      </c>
      <c r="F1007" s="14" t="s">
        <v>5597</v>
      </c>
      <c r="G1007" s="14" t="s">
        <v>3180</v>
      </c>
      <c r="H1007" s="20" t="n">
        <v>45.4</v>
      </c>
      <c r="I1007" s="13" t="n">
        <v>28</v>
      </c>
      <c r="J1007" s="13" t="s">
        <v>5598</v>
      </c>
      <c r="K1007" s="13" t="n">
        <v>46</v>
      </c>
      <c r="L1007" s="21" t="n">
        <v>10.4</v>
      </c>
      <c r="M1007" s="21" t="n">
        <f aca="false">IF(C1007="covered",10.4,7.55)</f>
        <v>10.4</v>
      </c>
      <c r="N1007" s="13" t="n">
        <f aca="false">MAX(ROUNDUP(H1007,0),I1007)</f>
        <v>46</v>
      </c>
      <c r="O1007" s="21" t="n">
        <v>478.4</v>
      </c>
      <c r="P1007" s="21" t="n">
        <f aca="false">ROUND(M1007*N1007,2)</f>
        <v>478.4</v>
      </c>
      <c r="Q1007" s="21" t="n">
        <f aca="false">ROUND(P1007-IF(O1007="",0,O1007),2)</f>
        <v>0</v>
      </c>
      <c r="R1007" s="14" t="str">
        <f aca="false">IF(J1007="","MISSING BILL",IF(AND(K1007=N1007,ABS(L1007-M1007)&lt;0.001,ABS(O1007-P1007)&lt;0.01),"RECONCILED","CALCULATION ERROR"))</f>
        <v>RECONCILED</v>
      </c>
      <c r="S1007" s="14" t="s">
        <v>2935</v>
      </c>
    </row>
    <row r="1008" customFormat="false" ht="15" hidden="true" customHeight="false" outlineLevel="0" collapsed="false">
      <c r="A1008" s="13" t="s">
        <v>5599</v>
      </c>
      <c r="B1008" s="13" t="s">
        <v>96</v>
      </c>
      <c r="C1008" s="13" t="s">
        <v>4156</v>
      </c>
      <c r="D1008" s="13" t="s">
        <v>1873</v>
      </c>
      <c r="E1008" s="13" t="s">
        <v>5600</v>
      </c>
      <c r="F1008" s="14" t="s">
        <v>5601</v>
      </c>
      <c r="G1008" s="14" t="s">
        <v>2770</v>
      </c>
      <c r="H1008" s="20" t="n">
        <v>33.5</v>
      </c>
      <c r="I1008" s="13" t="n">
        <v>32</v>
      </c>
      <c r="J1008" s="13" t="s">
        <v>5602</v>
      </c>
      <c r="K1008" s="13" t="n">
        <v>34</v>
      </c>
      <c r="L1008" s="21" t="n">
        <v>10.4</v>
      </c>
      <c r="M1008" s="21" t="n">
        <f aca="false">IF(C1008="covered",10.4,7.55)</f>
        <v>10.4</v>
      </c>
      <c r="N1008" s="13" t="n">
        <f aca="false">MAX(ROUNDUP(H1008,0),I1008)</f>
        <v>34</v>
      </c>
      <c r="O1008" s="21" t="n">
        <v>353.6</v>
      </c>
      <c r="P1008" s="21" t="n">
        <f aca="false">ROUND(M1008*N1008,2)</f>
        <v>353.6</v>
      </c>
      <c r="Q1008" s="21" t="n">
        <f aca="false">ROUND(P1008-IF(O1008="",0,O1008),2)</f>
        <v>0</v>
      </c>
      <c r="R1008" s="14" t="str">
        <f aca="false">IF(J1008="","MISSING BILL",IF(AND(K1008=N1008,ABS(L1008-M1008)&lt;0.001,ABS(O1008-P1008)&lt;0.01),"RECONCILED","CALCULATION ERROR"))</f>
        <v>RECONCILED</v>
      </c>
      <c r="S1008" s="14" t="s">
        <v>2935</v>
      </c>
    </row>
    <row r="1009" customFormat="false" ht="15" hidden="true" customHeight="false" outlineLevel="0" collapsed="false">
      <c r="A1009" s="13" t="s">
        <v>1726</v>
      </c>
      <c r="B1009" s="13" t="s">
        <v>96</v>
      </c>
      <c r="C1009" s="13" t="s">
        <v>4156</v>
      </c>
      <c r="D1009" s="13" t="s">
        <v>1873</v>
      </c>
      <c r="E1009" s="13" t="s">
        <v>820</v>
      </c>
      <c r="F1009" s="14" t="s">
        <v>821</v>
      </c>
      <c r="G1009" s="14" t="s">
        <v>2221</v>
      </c>
      <c r="H1009" s="20" t="n">
        <v>19.6</v>
      </c>
      <c r="I1009" s="13" t="n">
        <v>28</v>
      </c>
      <c r="J1009" s="13" t="s">
        <v>5603</v>
      </c>
      <c r="K1009" s="13" t="n">
        <v>28</v>
      </c>
      <c r="L1009" s="21" t="n">
        <v>10.4</v>
      </c>
      <c r="M1009" s="21" t="n">
        <f aca="false">IF(C1009="covered",10.4,7.55)</f>
        <v>10.4</v>
      </c>
      <c r="N1009" s="13" t="n">
        <f aca="false">MAX(ROUNDUP(H1009,0),I1009)</f>
        <v>28</v>
      </c>
      <c r="O1009" s="21" t="n">
        <v>291.2</v>
      </c>
      <c r="P1009" s="21" t="n">
        <f aca="false">ROUND(M1009*N1009,2)</f>
        <v>291.2</v>
      </c>
      <c r="Q1009" s="21" t="n">
        <f aca="false">ROUND(P1009-IF(O1009="",0,O1009),2)</f>
        <v>0</v>
      </c>
      <c r="R1009" s="14" t="str">
        <f aca="false">IF(J1009="","MISSING BILL",IF(AND(K1009=N1009,ABS(L1009-M1009)&lt;0.001,ABS(O1009-P1009)&lt;0.01),"RECONCILED","CALCULATION ERROR"))</f>
        <v>RECONCILED</v>
      </c>
      <c r="S1009" s="14" t="s">
        <v>2935</v>
      </c>
    </row>
    <row r="1010" customFormat="false" ht="15" hidden="true" customHeight="false" outlineLevel="0" collapsed="false">
      <c r="A1010" s="13" t="s">
        <v>5604</v>
      </c>
      <c r="B1010" s="13" t="s">
        <v>96</v>
      </c>
      <c r="C1010" s="13" t="s">
        <v>4156</v>
      </c>
      <c r="D1010" s="13" t="s">
        <v>1873</v>
      </c>
      <c r="E1010" s="13" t="s">
        <v>5605</v>
      </c>
      <c r="F1010" s="14" t="s">
        <v>5606</v>
      </c>
      <c r="G1010" s="14" t="s">
        <v>5607</v>
      </c>
      <c r="H1010" s="20" t="n">
        <v>21.4</v>
      </c>
      <c r="I1010" s="13" t="n">
        <v>36</v>
      </c>
      <c r="J1010" s="13" t="s">
        <v>5608</v>
      </c>
      <c r="K1010" s="13" t="n">
        <v>36</v>
      </c>
      <c r="L1010" s="21" t="n">
        <v>10.4</v>
      </c>
      <c r="M1010" s="21" t="n">
        <f aca="false">IF(C1010="covered",10.4,7.55)</f>
        <v>10.4</v>
      </c>
      <c r="N1010" s="13" t="n">
        <f aca="false">MAX(ROUNDUP(H1010,0),I1010)</f>
        <v>36</v>
      </c>
      <c r="O1010" s="21" t="n">
        <v>374.4</v>
      </c>
      <c r="P1010" s="21" t="n">
        <f aca="false">ROUND(M1010*N1010,2)</f>
        <v>374.4</v>
      </c>
      <c r="Q1010" s="21" t="n">
        <f aca="false">ROUND(P1010-IF(O1010="",0,O1010),2)</f>
        <v>0</v>
      </c>
      <c r="R1010" s="14" t="str">
        <f aca="false">IF(J1010="","MISSING BILL",IF(AND(K1010=N1010,ABS(L1010-M1010)&lt;0.001,ABS(O1010-P1010)&lt;0.01),"RECONCILED","CALCULATION ERROR"))</f>
        <v>RECONCILED</v>
      </c>
      <c r="S1010" s="14" t="s">
        <v>2935</v>
      </c>
    </row>
    <row r="1011" customFormat="false" ht="15" hidden="true" customHeight="false" outlineLevel="0" collapsed="false">
      <c r="A1011" s="13" t="s">
        <v>5609</v>
      </c>
      <c r="B1011" s="13" t="s">
        <v>96</v>
      </c>
      <c r="C1011" s="13" t="s">
        <v>4156</v>
      </c>
      <c r="D1011" s="13" t="s">
        <v>1873</v>
      </c>
      <c r="E1011" s="13" t="s">
        <v>5610</v>
      </c>
      <c r="F1011" s="14" t="s">
        <v>5611</v>
      </c>
      <c r="G1011" s="14" t="s">
        <v>2801</v>
      </c>
      <c r="H1011" s="20" t="n">
        <v>43.5</v>
      </c>
      <c r="I1011" s="13" t="n">
        <v>40</v>
      </c>
      <c r="J1011" s="13" t="s">
        <v>5612</v>
      </c>
      <c r="K1011" s="13" t="n">
        <v>44</v>
      </c>
      <c r="L1011" s="21" t="n">
        <v>10.4</v>
      </c>
      <c r="M1011" s="21" t="n">
        <f aca="false">IF(C1011="covered",10.4,7.55)</f>
        <v>10.4</v>
      </c>
      <c r="N1011" s="13" t="n">
        <f aca="false">MAX(ROUNDUP(H1011,0),I1011)</f>
        <v>44</v>
      </c>
      <c r="O1011" s="21" t="n">
        <v>457.6</v>
      </c>
      <c r="P1011" s="21" t="n">
        <f aca="false">ROUND(M1011*N1011,2)</f>
        <v>457.6</v>
      </c>
      <c r="Q1011" s="21" t="n">
        <f aca="false">ROUND(P1011-IF(O1011="",0,O1011),2)</f>
        <v>0</v>
      </c>
      <c r="R1011" s="14" t="str">
        <f aca="false">IF(J1011="","MISSING BILL",IF(AND(K1011=N1011,ABS(L1011-M1011)&lt;0.001,ABS(O1011-P1011)&lt;0.01),"RECONCILED","CALCULATION ERROR"))</f>
        <v>RECONCILED</v>
      </c>
      <c r="S1011" s="14" t="s">
        <v>2935</v>
      </c>
    </row>
    <row r="1012" customFormat="false" ht="15" hidden="true" customHeight="false" outlineLevel="0" collapsed="false">
      <c r="A1012" s="13" t="s">
        <v>5613</v>
      </c>
      <c r="B1012" s="13" t="s">
        <v>96</v>
      </c>
      <c r="C1012" s="13" t="s">
        <v>4156</v>
      </c>
      <c r="D1012" s="13" t="s">
        <v>1873</v>
      </c>
      <c r="E1012" s="13" t="s">
        <v>5614</v>
      </c>
      <c r="F1012" s="14" t="s">
        <v>5615</v>
      </c>
      <c r="G1012" s="14" t="s">
        <v>2314</v>
      </c>
      <c r="H1012" s="20" t="n">
        <v>36.7</v>
      </c>
      <c r="I1012" s="13" t="n">
        <v>36</v>
      </c>
      <c r="J1012" s="13" t="s">
        <v>5616</v>
      </c>
      <c r="K1012" s="13" t="n">
        <v>37</v>
      </c>
      <c r="L1012" s="21" t="n">
        <v>10.4</v>
      </c>
      <c r="M1012" s="21" t="n">
        <f aca="false">IF(C1012="covered",10.4,7.55)</f>
        <v>10.4</v>
      </c>
      <c r="N1012" s="13" t="n">
        <f aca="false">MAX(ROUNDUP(H1012,0),I1012)</f>
        <v>37</v>
      </c>
      <c r="O1012" s="21" t="n">
        <v>384.8</v>
      </c>
      <c r="P1012" s="21" t="n">
        <f aca="false">ROUND(M1012*N1012,2)</f>
        <v>384.8</v>
      </c>
      <c r="Q1012" s="21" t="n">
        <f aca="false">ROUND(P1012-IF(O1012="",0,O1012),2)</f>
        <v>0</v>
      </c>
      <c r="R1012" s="14" t="str">
        <f aca="false">IF(J1012="","MISSING BILL",IF(AND(K1012=N1012,ABS(L1012-M1012)&lt;0.001,ABS(O1012-P1012)&lt;0.01),"RECONCILED","CALCULATION ERROR"))</f>
        <v>RECONCILED</v>
      </c>
      <c r="S1012" s="14" t="s">
        <v>2935</v>
      </c>
    </row>
    <row r="1013" customFormat="false" ht="15" hidden="true" customHeight="false" outlineLevel="0" collapsed="false">
      <c r="A1013" s="13" t="s">
        <v>5617</v>
      </c>
      <c r="B1013" s="13" t="s">
        <v>96</v>
      </c>
      <c r="C1013" s="13" t="s">
        <v>4156</v>
      </c>
      <c r="D1013" s="13" t="s">
        <v>1873</v>
      </c>
      <c r="E1013" s="13" t="s">
        <v>5618</v>
      </c>
      <c r="F1013" s="14" t="s">
        <v>5619</v>
      </c>
      <c r="G1013" s="14" t="s">
        <v>5500</v>
      </c>
      <c r="H1013" s="20" t="n">
        <v>37.2</v>
      </c>
      <c r="I1013" s="13" t="n">
        <v>36</v>
      </c>
      <c r="J1013" s="13" t="s">
        <v>5620</v>
      </c>
      <c r="K1013" s="13" t="n">
        <v>38</v>
      </c>
      <c r="L1013" s="21" t="n">
        <v>10.4</v>
      </c>
      <c r="M1013" s="21" t="n">
        <f aca="false">IF(C1013="covered",10.4,7.55)</f>
        <v>10.4</v>
      </c>
      <c r="N1013" s="13" t="n">
        <f aca="false">MAX(ROUNDUP(H1013,0),I1013)</f>
        <v>38</v>
      </c>
      <c r="O1013" s="21" t="n">
        <v>395.2</v>
      </c>
      <c r="P1013" s="21" t="n">
        <f aca="false">ROUND(M1013*N1013,2)</f>
        <v>395.2</v>
      </c>
      <c r="Q1013" s="21" t="n">
        <f aca="false">ROUND(P1013-IF(O1013="",0,O1013),2)</f>
        <v>0</v>
      </c>
      <c r="R1013" s="14" t="str">
        <f aca="false">IF(J1013="","MISSING BILL",IF(AND(K1013=N1013,ABS(L1013-M1013)&lt;0.001,ABS(O1013-P1013)&lt;0.01),"RECONCILED","CALCULATION ERROR"))</f>
        <v>RECONCILED</v>
      </c>
      <c r="S1013" s="14" t="s">
        <v>2935</v>
      </c>
    </row>
    <row r="1014" customFormat="false" ht="15" hidden="true" customHeight="false" outlineLevel="0" collapsed="false">
      <c r="A1014" s="13" t="s">
        <v>5621</v>
      </c>
      <c r="B1014" s="13" t="s">
        <v>96</v>
      </c>
      <c r="C1014" s="13" t="s">
        <v>4156</v>
      </c>
      <c r="D1014" s="13" t="s">
        <v>1873</v>
      </c>
      <c r="E1014" s="13" t="s">
        <v>5622</v>
      </c>
      <c r="F1014" s="14" t="s">
        <v>5623</v>
      </c>
      <c r="G1014" s="14" t="s">
        <v>2273</v>
      </c>
      <c r="H1014" s="20" t="n">
        <v>40.6</v>
      </c>
      <c r="I1014" s="13" t="n">
        <v>28</v>
      </c>
      <c r="J1014" s="13" t="s">
        <v>5624</v>
      </c>
      <c r="K1014" s="13" t="n">
        <v>41</v>
      </c>
      <c r="L1014" s="21" t="n">
        <v>10.4</v>
      </c>
      <c r="M1014" s="21" t="n">
        <f aca="false">IF(C1014="covered",10.4,7.55)</f>
        <v>10.4</v>
      </c>
      <c r="N1014" s="13" t="n">
        <f aca="false">MAX(ROUNDUP(H1014,0),I1014)</f>
        <v>41</v>
      </c>
      <c r="O1014" s="21" t="n">
        <v>426.4</v>
      </c>
      <c r="P1014" s="21" t="n">
        <f aca="false">ROUND(M1014*N1014,2)</f>
        <v>426.4</v>
      </c>
      <c r="Q1014" s="21" t="n">
        <f aca="false">ROUND(P1014-IF(O1014="",0,O1014),2)</f>
        <v>0</v>
      </c>
      <c r="R1014" s="14" t="str">
        <f aca="false">IF(J1014="","MISSING BILL",IF(AND(K1014=N1014,ABS(L1014-M1014)&lt;0.001,ABS(O1014-P1014)&lt;0.01),"RECONCILED","CALCULATION ERROR"))</f>
        <v>RECONCILED</v>
      </c>
      <c r="S1014" s="14" t="s">
        <v>2935</v>
      </c>
    </row>
    <row r="1015" customFormat="false" ht="15" hidden="true" customHeight="false" outlineLevel="0" collapsed="false">
      <c r="A1015" s="13" t="s">
        <v>5625</v>
      </c>
      <c r="B1015" s="13" t="s">
        <v>96</v>
      </c>
      <c r="C1015" s="13" t="s">
        <v>4156</v>
      </c>
      <c r="D1015" s="13" t="s">
        <v>1873</v>
      </c>
      <c r="E1015" s="13" t="s">
        <v>5626</v>
      </c>
      <c r="F1015" s="14" t="s">
        <v>5627</v>
      </c>
      <c r="G1015" s="14" t="s">
        <v>2281</v>
      </c>
      <c r="H1015" s="20" t="n">
        <v>33.8</v>
      </c>
      <c r="I1015" s="13" t="n">
        <v>32</v>
      </c>
      <c r="J1015" s="13" t="s">
        <v>5628</v>
      </c>
      <c r="K1015" s="13" t="n">
        <v>34</v>
      </c>
      <c r="L1015" s="21" t="n">
        <v>10.4</v>
      </c>
      <c r="M1015" s="21" t="n">
        <f aca="false">IF(C1015="covered",10.4,7.55)</f>
        <v>10.4</v>
      </c>
      <c r="N1015" s="13" t="n">
        <f aca="false">MAX(ROUNDUP(H1015,0),I1015)</f>
        <v>34</v>
      </c>
      <c r="O1015" s="21" t="n">
        <v>353.6</v>
      </c>
      <c r="P1015" s="21" t="n">
        <f aca="false">ROUND(M1015*N1015,2)</f>
        <v>353.6</v>
      </c>
      <c r="Q1015" s="21" t="n">
        <f aca="false">ROUND(P1015-IF(O1015="",0,O1015),2)</f>
        <v>0</v>
      </c>
      <c r="R1015" s="14" t="str">
        <f aca="false">IF(J1015="","MISSING BILL",IF(AND(K1015=N1015,ABS(L1015-M1015)&lt;0.001,ABS(O1015-P1015)&lt;0.01),"RECONCILED","CALCULATION ERROR"))</f>
        <v>RECONCILED</v>
      </c>
      <c r="S1015" s="14" t="s">
        <v>2935</v>
      </c>
    </row>
    <row r="1016" customFormat="false" ht="15" hidden="true" customHeight="false" outlineLevel="0" collapsed="false">
      <c r="A1016" s="13" t="s">
        <v>5629</v>
      </c>
      <c r="B1016" s="13" t="s">
        <v>96</v>
      </c>
      <c r="C1016" s="13" t="s">
        <v>4156</v>
      </c>
      <c r="D1016" s="13" t="s">
        <v>1873</v>
      </c>
      <c r="E1016" s="13" t="s">
        <v>5630</v>
      </c>
      <c r="F1016" s="14" t="s">
        <v>5631</v>
      </c>
      <c r="G1016" s="14" t="s">
        <v>5632</v>
      </c>
      <c r="H1016" s="20" t="n">
        <v>61.3</v>
      </c>
      <c r="I1016" s="13" t="n">
        <v>32</v>
      </c>
      <c r="J1016" s="13" t="s">
        <v>5633</v>
      </c>
      <c r="K1016" s="13" t="n">
        <v>62</v>
      </c>
      <c r="L1016" s="21" t="n">
        <v>10.4</v>
      </c>
      <c r="M1016" s="21" t="n">
        <f aca="false">IF(C1016="covered",10.4,7.55)</f>
        <v>10.4</v>
      </c>
      <c r="N1016" s="13" t="n">
        <f aca="false">MAX(ROUNDUP(H1016,0),I1016)</f>
        <v>62</v>
      </c>
      <c r="O1016" s="21" t="n">
        <v>644.8</v>
      </c>
      <c r="P1016" s="21" t="n">
        <f aca="false">ROUND(M1016*N1016,2)</f>
        <v>644.8</v>
      </c>
      <c r="Q1016" s="21" t="n">
        <f aca="false">ROUND(P1016-IF(O1016="",0,O1016),2)</f>
        <v>0</v>
      </c>
      <c r="R1016" s="14" t="str">
        <f aca="false">IF(J1016="","MISSING BILL",IF(AND(K1016=N1016,ABS(L1016-M1016)&lt;0.001,ABS(O1016-P1016)&lt;0.01),"RECONCILED","CALCULATION ERROR"))</f>
        <v>RECONCILED</v>
      </c>
      <c r="S1016" s="14" t="s">
        <v>2935</v>
      </c>
    </row>
    <row r="1017" customFormat="false" ht="15" hidden="true" customHeight="false" outlineLevel="0" collapsed="false">
      <c r="A1017" s="13" t="s">
        <v>5634</v>
      </c>
      <c r="B1017" s="13" t="s">
        <v>96</v>
      </c>
      <c r="C1017" s="13" t="s">
        <v>4156</v>
      </c>
      <c r="D1017" s="13" t="s">
        <v>1873</v>
      </c>
      <c r="E1017" s="13" t="s">
        <v>850</v>
      </c>
      <c r="F1017" s="14" t="s">
        <v>851</v>
      </c>
      <c r="G1017" s="14" t="s">
        <v>5635</v>
      </c>
      <c r="H1017" s="20" t="n">
        <v>48.7</v>
      </c>
      <c r="I1017" s="13" t="n">
        <v>24</v>
      </c>
      <c r="J1017" s="13" t="s">
        <v>5636</v>
      </c>
      <c r="K1017" s="13" t="n">
        <v>49</v>
      </c>
      <c r="L1017" s="21" t="n">
        <v>10.4</v>
      </c>
      <c r="M1017" s="21" t="n">
        <f aca="false">IF(C1017="covered",10.4,7.55)</f>
        <v>10.4</v>
      </c>
      <c r="N1017" s="13" t="n">
        <f aca="false">MAX(ROUNDUP(H1017,0),I1017)</f>
        <v>49</v>
      </c>
      <c r="O1017" s="21" t="n">
        <v>509.6</v>
      </c>
      <c r="P1017" s="21" t="n">
        <f aca="false">ROUND(M1017*N1017,2)</f>
        <v>509.6</v>
      </c>
      <c r="Q1017" s="21" t="n">
        <f aca="false">ROUND(P1017-IF(O1017="",0,O1017),2)</f>
        <v>0</v>
      </c>
      <c r="R1017" s="14" t="str">
        <f aca="false">IF(J1017="","MISSING BILL",IF(AND(K1017=N1017,ABS(L1017-M1017)&lt;0.001,ABS(O1017-P1017)&lt;0.01),"RECONCILED","CALCULATION ERROR"))</f>
        <v>RECONCILED</v>
      </c>
      <c r="S1017" s="14" t="s">
        <v>2935</v>
      </c>
    </row>
    <row r="1018" customFormat="false" ht="15" hidden="true" customHeight="false" outlineLevel="0" collapsed="false">
      <c r="A1018" s="13" t="s">
        <v>5637</v>
      </c>
      <c r="B1018" s="13" t="s">
        <v>96</v>
      </c>
      <c r="C1018" s="13" t="s">
        <v>4156</v>
      </c>
      <c r="D1018" s="13" t="s">
        <v>1873</v>
      </c>
      <c r="E1018" s="13" t="s">
        <v>5638</v>
      </c>
      <c r="F1018" s="14" t="s">
        <v>5639</v>
      </c>
      <c r="G1018" s="14" t="s">
        <v>2954</v>
      </c>
      <c r="H1018" s="20" t="n">
        <v>57.3</v>
      </c>
      <c r="I1018" s="13" t="n">
        <v>32</v>
      </c>
      <c r="J1018" s="13" t="s">
        <v>5640</v>
      </c>
      <c r="K1018" s="13" t="n">
        <v>58</v>
      </c>
      <c r="L1018" s="21" t="n">
        <v>10.4</v>
      </c>
      <c r="M1018" s="21" t="n">
        <f aca="false">IF(C1018="covered",10.4,7.55)</f>
        <v>10.4</v>
      </c>
      <c r="N1018" s="13" t="n">
        <f aca="false">MAX(ROUNDUP(H1018,0),I1018)</f>
        <v>58</v>
      </c>
      <c r="O1018" s="21" t="n">
        <v>603.2</v>
      </c>
      <c r="P1018" s="21" t="n">
        <f aca="false">ROUND(M1018*N1018,2)</f>
        <v>603.2</v>
      </c>
      <c r="Q1018" s="21" t="n">
        <f aca="false">ROUND(P1018-IF(O1018="",0,O1018),2)</f>
        <v>0</v>
      </c>
      <c r="R1018" s="14" t="str">
        <f aca="false">IF(J1018="","MISSING BILL",IF(AND(K1018=N1018,ABS(L1018-M1018)&lt;0.001,ABS(O1018-P1018)&lt;0.01),"RECONCILED","CALCULATION ERROR"))</f>
        <v>RECONCILED</v>
      </c>
      <c r="S1018" s="14" t="s">
        <v>2935</v>
      </c>
    </row>
    <row r="1019" customFormat="false" ht="15" hidden="true" customHeight="false" outlineLevel="0" collapsed="false">
      <c r="A1019" s="13" t="s">
        <v>171</v>
      </c>
      <c r="B1019" s="13" t="s">
        <v>96</v>
      </c>
      <c r="C1019" s="13" t="s">
        <v>4156</v>
      </c>
      <c r="D1019" s="13" t="s">
        <v>1873</v>
      </c>
      <c r="E1019" s="13" t="s">
        <v>5641</v>
      </c>
      <c r="F1019" s="14" t="s">
        <v>5642</v>
      </c>
      <c r="G1019" s="14" t="s">
        <v>5643</v>
      </c>
      <c r="H1019" s="20" t="n">
        <v>50.3</v>
      </c>
      <c r="I1019" s="13" t="n">
        <v>32</v>
      </c>
      <c r="J1019" s="13" t="s">
        <v>5644</v>
      </c>
      <c r="K1019" s="13" t="n">
        <v>51</v>
      </c>
      <c r="L1019" s="21" t="n">
        <v>10.4</v>
      </c>
      <c r="M1019" s="21" t="n">
        <f aca="false">IF(C1019="covered",10.4,7.55)</f>
        <v>10.4</v>
      </c>
      <c r="N1019" s="13" t="n">
        <f aca="false">MAX(ROUNDUP(H1019,0),I1019)</f>
        <v>51</v>
      </c>
      <c r="O1019" s="21" t="n">
        <v>530.4</v>
      </c>
      <c r="P1019" s="21" t="n">
        <f aca="false">ROUND(M1019*N1019,2)</f>
        <v>530.4</v>
      </c>
      <c r="Q1019" s="21" t="n">
        <f aca="false">ROUND(P1019-IF(O1019="",0,O1019),2)</f>
        <v>0</v>
      </c>
      <c r="R1019" s="14" t="str">
        <f aca="false">IF(J1019="","MISSING BILL",IF(AND(K1019=N1019,ABS(L1019-M1019)&lt;0.001,ABS(O1019-P1019)&lt;0.01),"RECONCILED","CALCULATION ERROR"))</f>
        <v>RECONCILED</v>
      </c>
      <c r="S1019" s="14" t="s">
        <v>2935</v>
      </c>
    </row>
    <row r="1020" customFormat="false" ht="15" hidden="true" customHeight="false" outlineLevel="0" collapsed="false">
      <c r="A1020" s="13" t="s">
        <v>5645</v>
      </c>
      <c r="B1020" s="13" t="s">
        <v>96</v>
      </c>
      <c r="C1020" s="13" t="s">
        <v>4156</v>
      </c>
      <c r="D1020" s="13" t="s">
        <v>1873</v>
      </c>
      <c r="E1020" s="13" t="s">
        <v>5646</v>
      </c>
      <c r="F1020" s="14" t="s">
        <v>5647</v>
      </c>
      <c r="G1020" s="14" t="s">
        <v>2498</v>
      </c>
      <c r="H1020" s="20" t="n">
        <v>35.6</v>
      </c>
      <c r="I1020" s="13" t="n">
        <v>28</v>
      </c>
      <c r="J1020" s="13" t="s">
        <v>5648</v>
      </c>
      <c r="K1020" s="13" t="n">
        <v>36</v>
      </c>
      <c r="L1020" s="21" t="n">
        <v>10.4</v>
      </c>
      <c r="M1020" s="21" t="n">
        <f aca="false">IF(C1020="covered",10.4,7.55)</f>
        <v>10.4</v>
      </c>
      <c r="N1020" s="13" t="n">
        <f aca="false">MAX(ROUNDUP(H1020,0),I1020)</f>
        <v>36</v>
      </c>
      <c r="O1020" s="21" t="n">
        <v>374.4</v>
      </c>
      <c r="P1020" s="21" t="n">
        <f aca="false">ROUND(M1020*N1020,2)</f>
        <v>374.4</v>
      </c>
      <c r="Q1020" s="21" t="n">
        <f aca="false">ROUND(P1020-IF(O1020="",0,O1020),2)</f>
        <v>0</v>
      </c>
      <c r="R1020" s="14" t="str">
        <f aca="false">IF(J1020="","MISSING BILL",IF(AND(K1020=N1020,ABS(L1020-M1020)&lt;0.001,ABS(O1020-P1020)&lt;0.01),"RECONCILED","CALCULATION ERROR"))</f>
        <v>RECONCILED</v>
      </c>
      <c r="S1020" s="14" t="s">
        <v>2935</v>
      </c>
    </row>
    <row r="1021" customFormat="false" ht="15" hidden="true" customHeight="false" outlineLevel="0" collapsed="false">
      <c r="A1021" s="13" t="s">
        <v>433</v>
      </c>
      <c r="B1021" s="13" t="s">
        <v>96</v>
      </c>
      <c r="C1021" s="13" t="s">
        <v>4156</v>
      </c>
      <c r="D1021" s="13" t="s">
        <v>1873</v>
      </c>
      <c r="E1021" s="13" t="s">
        <v>5649</v>
      </c>
      <c r="F1021" s="14" t="s">
        <v>5650</v>
      </c>
      <c r="G1021" s="14" t="s">
        <v>5651</v>
      </c>
      <c r="H1021" s="20" t="n">
        <v>22.5</v>
      </c>
      <c r="I1021" s="13" t="n">
        <v>32</v>
      </c>
      <c r="J1021" s="13" t="s">
        <v>5652</v>
      </c>
      <c r="K1021" s="13" t="n">
        <v>32</v>
      </c>
      <c r="L1021" s="21" t="n">
        <v>10.4</v>
      </c>
      <c r="M1021" s="21" t="n">
        <f aca="false">IF(C1021="covered",10.4,7.55)</f>
        <v>10.4</v>
      </c>
      <c r="N1021" s="13" t="n">
        <f aca="false">MAX(ROUNDUP(H1021,0),I1021)</f>
        <v>32</v>
      </c>
      <c r="O1021" s="21" t="n">
        <v>332.8</v>
      </c>
      <c r="P1021" s="21" t="n">
        <f aca="false">ROUND(M1021*N1021,2)</f>
        <v>332.8</v>
      </c>
      <c r="Q1021" s="21" t="n">
        <f aca="false">ROUND(P1021-IF(O1021="",0,O1021),2)</f>
        <v>0</v>
      </c>
      <c r="R1021" s="14" t="str">
        <f aca="false">IF(J1021="","MISSING BILL",IF(AND(K1021=N1021,ABS(L1021-M1021)&lt;0.001,ABS(O1021-P1021)&lt;0.01),"RECONCILED","CALCULATION ERROR"))</f>
        <v>RECONCILED</v>
      </c>
      <c r="S1021" s="14" t="s">
        <v>2935</v>
      </c>
    </row>
    <row r="1022" customFormat="false" ht="15" hidden="true" customHeight="false" outlineLevel="0" collapsed="false">
      <c r="A1022" s="13" t="s">
        <v>303</v>
      </c>
      <c r="B1022" s="13" t="s">
        <v>96</v>
      </c>
      <c r="C1022" s="13" t="s">
        <v>4156</v>
      </c>
      <c r="D1022" s="13" t="s">
        <v>1873</v>
      </c>
      <c r="E1022" s="13" t="s">
        <v>5653</v>
      </c>
      <c r="F1022" s="14" t="s">
        <v>5654</v>
      </c>
      <c r="G1022" s="14" t="s">
        <v>5655</v>
      </c>
      <c r="H1022" s="20" t="n">
        <v>61.5</v>
      </c>
      <c r="I1022" s="13" t="n">
        <v>40</v>
      </c>
      <c r="J1022" s="13" t="s">
        <v>5656</v>
      </c>
      <c r="K1022" s="13" t="n">
        <v>62</v>
      </c>
      <c r="L1022" s="21" t="n">
        <v>10.4</v>
      </c>
      <c r="M1022" s="21" t="n">
        <f aca="false">IF(C1022="covered",10.4,7.55)</f>
        <v>10.4</v>
      </c>
      <c r="N1022" s="13" t="n">
        <f aca="false">MAX(ROUNDUP(H1022,0),I1022)</f>
        <v>62</v>
      </c>
      <c r="O1022" s="21" t="n">
        <v>644.8</v>
      </c>
      <c r="P1022" s="21" t="n">
        <f aca="false">ROUND(M1022*N1022,2)</f>
        <v>644.8</v>
      </c>
      <c r="Q1022" s="21" t="n">
        <f aca="false">ROUND(P1022-IF(O1022="",0,O1022),2)</f>
        <v>0</v>
      </c>
      <c r="R1022" s="14" t="str">
        <f aca="false">IF(J1022="","MISSING BILL",IF(AND(K1022=N1022,ABS(L1022-M1022)&lt;0.001,ABS(O1022-P1022)&lt;0.01),"RECONCILED","CALCULATION ERROR"))</f>
        <v>RECONCILED</v>
      </c>
      <c r="S1022" s="14" t="s">
        <v>2935</v>
      </c>
    </row>
    <row r="1023" customFormat="false" ht="15" hidden="true" customHeight="false" outlineLevel="0" collapsed="false">
      <c r="A1023" s="13" t="s">
        <v>720</v>
      </c>
      <c r="B1023" s="13" t="s">
        <v>96</v>
      </c>
      <c r="C1023" s="13" t="s">
        <v>4156</v>
      </c>
      <c r="D1023" s="13" t="s">
        <v>1873</v>
      </c>
      <c r="E1023" s="13" t="s">
        <v>5657</v>
      </c>
      <c r="F1023" s="14" t="s">
        <v>5658</v>
      </c>
      <c r="G1023" s="14" t="s">
        <v>5659</v>
      </c>
      <c r="H1023" s="20" t="n">
        <v>20.5</v>
      </c>
      <c r="I1023" s="13" t="n">
        <v>28</v>
      </c>
      <c r="J1023" s="13" t="s">
        <v>5660</v>
      </c>
      <c r="K1023" s="13" t="n">
        <v>28</v>
      </c>
      <c r="L1023" s="21" t="n">
        <v>10.4</v>
      </c>
      <c r="M1023" s="21" t="n">
        <f aca="false">IF(C1023="covered",10.4,7.55)</f>
        <v>10.4</v>
      </c>
      <c r="N1023" s="13" t="n">
        <f aca="false">MAX(ROUNDUP(H1023,0),I1023)</f>
        <v>28</v>
      </c>
      <c r="O1023" s="21" t="n">
        <v>291.2</v>
      </c>
      <c r="P1023" s="21" t="n">
        <f aca="false">ROUND(M1023*N1023,2)</f>
        <v>291.2</v>
      </c>
      <c r="Q1023" s="21" t="n">
        <f aca="false">ROUND(P1023-IF(O1023="",0,O1023),2)</f>
        <v>0</v>
      </c>
      <c r="R1023" s="14" t="str">
        <f aca="false">IF(J1023="","MISSING BILL",IF(AND(K1023=N1023,ABS(L1023-M1023)&lt;0.001,ABS(O1023-P1023)&lt;0.01),"RECONCILED","CALCULATION ERROR"))</f>
        <v>RECONCILED</v>
      </c>
      <c r="S1023" s="14" t="s">
        <v>2935</v>
      </c>
    </row>
    <row r="1024" customFormat="false" ht="15" hidden="true" customHeight="false" outlineLevel="0" collapsed="false">
      <c r="A1024" s="13" t="s">
        <v>5661</v>
      </c>
      <c r="B1024" s="13" t="s">
        <v>96</v>
      </c>
      <c r="C1024" s="13" t="s">
        <v>4156</v>
      </c>
      <c r="D1024" s="13" t="s">
        <v>1873</v>
      </c>
      <c r="E1024" s="13" t="s">
        <v>5662</v>
      </c>
      <c r="F1024" s="14" t="s">
        <v>5663</v>
      </c>
      <c r="G1024" s="14" t="s">
        <v>2684</v>
      </c>
      <c r="H1024" s="20" t="n">
        <v>53.8</v>
      </c>
      <c r="I1024" s="13" t="n">
        <v>32</v>
      </c>
      <c r="J1024" s="13" t="s">
        <v>5664</v>
      </c>
      <c r="K1024" s="13" t="n">
        <v>54</v>
      </c>
      <c r="L1024" s="21" t="n">
        <v>10.4</v>
      </c>
      <c r="M1024" s="21" t="n">
        <f aca="false">IF(C1024="covered",10.4,7.55)</f>
        <v>10.4</v>
      </c>
      <c r="N1024" s="13" t="n">
        <f aca="false">MAX(ROUNDUP(H1024,0),I1024)</f>
        <v>54</v>
      </c>
      <c r="O1024" s="21" t="n">
        <v>561.6</v>
      </c>
      <c r="P1024" s="21" t="n">
        <f aca="false">ROUND(M1024*N1024,2)</f>
        <v>561.6</v>
      </c>
      <c r="Q1024" s="21" t="n">
        <f aca="false">ROUND(P1024-IF(O1024="",0,O1024),2)</f>
        <v>0</v>
      </c>
      <c r="R1024" s="14" t="str">
        <f aca="false">IF(J1024="","MISSING BILL",IF(AND(K1024=N1024,ABS(L1024-M1024)&lt;0.001,ABS(O1024-P1024)&lt;0.01),"RECONCILED","CALCULATION ERROR"))</f>
        <v>RECONCILED</v>
      </c>
      <c r="S1024" s="14" t="s">
        <v>2935</v>
      </c>
    </row>
    <row r="1025" customFormat="false" ht="15" hidden="true" customHeight="false" outlineLevel="0" collapsed="false">
      <c r="A1025" s="13" t="s">
        <v>5665</v>
      </c>
      <c r="B1025" s="13" t="s">
        <v>96</v>
      </c>
      <c r="C1025" s="13" t="s">
        <v>4156</v>
      </c>
      <c r="D1025" s="13" t="s">
        <v>1873</v>
      </c>
      <c r="E1025" s="13" t="s">
        <v>5666</v>
      </c>
      <c r="F1025" s="14" t="s">
        <v>5667</v>
      </c>
      <c r="G1025" s="14" t="s">
        <v>5668</v>
      </c>
      <c r="H1025" s="20" t="n">
        <v>55.2</v>
      </c>
      <c r="I1025" s="13" t="n">
        <v>24</v>
      </c>
      <c r="J1025" s="13" t="s">
        <v>5669</v>
      </c>
      <c r="K1025" s="13" t="n">
        <v>56</v>
      </c>
      <c r="L1025" s="21" t="n">
        <v>10.4</v>
      </c>
      <c r="M1025" s="21" t="n">
        <f aca="false">IF(C1025="covered",10.4,7.55)</f>
        <v>10.4</v>
      </c>
      <c r="N1025" s="13" t="n">
        <f aca="false">MAX(ROUNDUP(H1025,0),I1025)</f>
        <v>56</v>
      </c>
      <c r="O1025" s="21" t="n">
        <v>582.4</v>
      </c>
      <c r="P1025" s="21" t="n">
        <f aca="false">ROUND(M1025*N1025,2)</f>
        <v>582.4</v>
      </c>
      <c r="Q1025" s="21" t="n">
        <f aca="false">ROUND(P1025-IF(O1025="",0,O1025),2)</f>
        <v>0</v>
      </c>
      <c r="R1025" s="14" t="str">
        <f aca="false">IF(J1025="","MISSING BILL",IF(AND(K1025=N1025,ABS(L1025-M1025)&lt;0.001,ABS(O1025-P1025)&lt;0.01),"RECONCILED","CALCULATION ERROR"))</f>
        <v>RECONCILED</v>
      </c>
      <c r="S1025" s="14" t="s">
        <v>2935</v>
      </c>
    </row>
    <row r="1026" customFormat="false" ht="15" hidden="true" customHeight="false" outlineLevel="0" collapsed="false">
      <c r="A1026" s="13" t="s">
        <v>5670</v>
      </c>
      <c r="B1026" s="13" t="s">
        <v>96</v>
      </c>
      <c r="C1026" s="13" t="s">
        <v>4156</v>
      </c>
      <c r="D1026" s="13" t="s">
        <v>1873</v>
      </c>
      <c r="E1026" s="13" t="s">
        <v>5671</v>
      </c>
      <c r="F1026" s="14" t="s">
        <v>5672</v>
      </c>
      <c r="G1026" s="14" t="s">
        <v>2575</v>
      </c>
      <c r="H1026" s="20" t="n">
        <v>54.7</v>
      </c>
      <c r="I1026" s="13" t="n">
        <v>24</v>
      </c>
      <c r="J1026" s="13" t="s">
        <v>5673</v>
      </c>
      <c r="K1026" s="13" t="n">
        <v>55</v>
      </c>
      <c r="L1026" s="21" t="n">
        <v>10.4</v>
      </c>
      <c r="M1026" s="21" t="n">
        <f aca="false">IF(C1026="covered",10.4,7.55)</f>
        <v>10.4</v>
      </c>
      <c r="N1026" s="13" t="n">
        <f aca="false">MAX(ROUNDUP(H1026,0),I1026)</f>
        <v>55</v>
      </c>
      <c r="O1026" s="21" t="n">
        <v>572</v>
      </c>
      <c r="P1026" s="21" t="n">
        <f aca="false">ROUND(M1026*N1026,2)</f>
        <v>572</v>
      </c>
      <c r="Q1026" s="21" t="n">
        <f aca="false">ROUND(P1026-IF(O1026="",0,O1026),2)</f>
        <v>0</v>
      </c>
      <c r="R1026" s="14" t="str">
        <f aca="false">IF(J1026="","MISSING BILL",IF(AND(K1026=N1026,ABS(L1026-M1026)&lt;0.001,ABS(O1026-P1026)&lt;0.01),"RECONCILED","CALCULATION ERROR"))</f>
        <v>RECONCILED</v>
      </c>
      <c r="S1026" s="14" t="s">
        <v>2935</v>
      </c>
    </row>
    <row r="1027" customFormat="false" ht="15" hidden="true" customHeight="false" outlineLevel="0" collapsed="false">
      <c r="A1027" s="13" t="s">
        <v>5674</v>
      </c>
      <c r="B1027" s="13" t="s">
        <v>96</v>
      </c>
      <c r="C1027" s="13" t="s">
        <v>4156</v>
      </c>
      <c r="D1027" s="13" t="s">
        <v>1873</v>
      </c>
      <c r="E1027" s="13" t="s">
        <v>5675</v>
      </c>
      <c r="F1027" s="14" t="s">
        <v>5676</v>
      </c>
      <c r="G1027" s="14" t="s">
        <v>4675</v>
      </c>
      <c r="H1027" s="20" t="n">
        <v>37.8</v>
      </c>
      <c r="I1027" s="13" t="n">
        <v>40</v>
      </c>
      <c r="J1027" s="13" t="s">
        <v>5677</v>
      </c>
      <c r="K1027" s="13" t="n">
        <v>40</v>
      </c>
      <c r="L1027" s="21" t="n">
        <v>10.4</v>
      </c>
      <c r="M1027" s="21" t="n">
        <f aca="false">IF(C1027="covered",10.4,7.55)</f>
        <v>10.4</v>
      </c>
      <c r="N1027" s="13" t="n">
        <f aca="false">MAX(ROUNDUP(H1027,0),I1027)</f>
        <v>40</v>
      </c>
      <c r="O1027" s="21" t="n">
        <v>416</v>
      </c>
      <c r="P1027" s="21" t="n">
        <f aca="false">ROUND(M1027*N1027,2)</f>
        <v>416</v>
      </c>
      <c r="Q1027" s="21" t="n">
        <f aca="false">ROUND(P1027-IF(O1027="",0,O1027),2)</f>
        <v>0</v>
      </c>
      <c r="R1027" s="14" t="str">
        <f aca="false">IF(J1027="","MISSING BILL",IF(AND(K1027=N1027,ABS(L1027-M1027)&lt;0.001,ABS(O1027-P1027)&lt;0.01),"RECONCILED","CALCULATION ERROR"))</f>
        <v>RECONCILED</v>
      </c>
      <c r="S1027" s="14" t="s">
        <v>2935</v>
      </c>
    </row>
    <row r="1028" customFormat="false" ht="15" hidden="true" customHeight="false" outlineLevel="0" collapsed="false">
      <c r="A1028" s="13" t="s">
        <v>5678</v>
      </c>
      <c r="B1028" s="13" t="s">
        <v>96</v>
      </c>
      <c r="C1028" s="13" t="s">
        <v>4156</v>
      </c>
      <c r="D1028" s="13" t="s">
        <v>1873</v>
      </c>
      <c r="E1028" s="13" t="s">
        <v>5679</v>
      </c>
      <c r="F1028" s="14" t="s">
        <v>5680</v>
      </c>
      <c r="G1028" s="14" t="s">
        <v>2123</v>
      </c>
      <c r="H1028" s="20" t="n">
        <v>49.8</v>
      </c>
      <c r="I1028" s="13" t="n">
        <v>40</v>
      </c>
      <c r="J1028" s="13" t="s">
        <v>5681</v>
      </c>
      <c r="K1028" s="13" t="n">
        <v>50</v>
      </c>
      <c r="L1028" s="21" t="n">
        <v>10.4</v>
      </c>
      <c r="M1028" s="21" t="n">
        <f aca="false">IF(C1028="covered",10.4,7.55)</f>
        <v>10.4</v>
      </c>
      <c r="N1028" s="13" t="n">
        <f aca="false">MAX(ROUNDUP(H1028,0),I1028)</f>
        <v>50</v>
      </c>
      <c r="O1028" s="21" t="n">
        <v>520</v>
      </c>
      <c r="P1028" s="21" t="n">
        <f aca="false">ROUND(M1028*N1028,2)</f>
        <v>520</v>
      </c>
      <c r="Q1028" s="21" t="n">
        <f aca="false">ROUND(P1028-IF(O1028="",0,O1028),2)</f>
        <v>0</v>
      </c>
      <c r="R1028" s="14" t="str">
        <f aca="false">IF(J1028="","MISSING BILL",IF(AND(K1028=N1028,ABS(L1028-M1028)&lt;0.001,ABS(O1028-P1028)&lt;0.01),"RECONCILED","CALCULATION ERROR"))</f>
        <v>RECONCILED</v>
      </c>
      <c r="S1028" s="14" t="s">
        <v>2935</v>
      </c>
    </row>
    <row r="1029" customFormat="false" ht="15" hidden="true" customHeight="false" outlineLevel="0" collapsed="false">
      <c r="A1029" s="13" t="s">
        <v>5682</v>
      </c>
      <c r="B1029" s="13" t="s">
        <v>96</v>
      </c>
      <c r="C1029" s="13" t="s">
        <v>4156</v>
      </c>
      <c r="D1029" s="13" t="s">
        <v>1873</v>
      </c>
      <c r="E1029" s="13" t="s">
        <v>838</v>
      </c>
      <c r="F1029" s="14" t="s">
        <v>839</v>
      </c>
      <c r="G1029" s="14" t="s">
        <v>2583</v>
      </c>
      <c r="H1029" s="20" t="n">
        <v>27.9</v>
      </c>
      <c r="I1029" s="13" t="n">
        <v>28</v>
      </c>
      <c r="J1029" s="13" t="s">
        <v>5683</v>
      </c>
      <c r="K1029" s="13" t="n">
        <v>28</v>
      </c>
      <c r="L1029" s="21" t="n">
        <v>10.4</v>
      </c>
      <c r="M1029" s="21" t="n">
        <f aca="false">IF(C1029="covered",10.4,7.55)</f>
        <v>10.4</v>
      </c>
      <c r="N1029" s="13" t="n">
        <f aca="false">MAX(ROUNDUP(H1029,0),I1029)</f>
        <v>28</v>
      </c>
      <c r="O1029" s="21" t="n">
        <v>291.2</v>
      </c>
      <c r="P1029" s="21" t="n">
        <f aca="false">ROUND(M1029*N1029,2)</f>
        <v>291.2</v>
      </c>
      <c r="Q1029" s="21" t="n">
        <f aca="false">ROUND(P1029-IF(O1029="",0,O1029),2)</f>
        <v>0</v>
      </c>
      <c r="R1029" s="14" t="str">
        <f aca="false">IF(J1029="","MISSING BILL",IF(AND(K1029=N1029,ABS(L1029-M1029)&lt;0.001,ABS(O1029-P1029)&lt;0.01),"RECONCILED","CALCULATION ERROR"))</f>
        <v>RECONCILED</v>
      </c>
      <c r="S1029" s="14" t="s">
        <v>2935</v>
      </c>
    </row>
    <row r="1030" customFormat="false" ht="15" hidden="true" customHeight="false" outlineLevel="0" collapsed="false">
      <c r="A1030" s="13" t="s">
        <v>616</v>
      </c>
      <c r="B1030" s="13" t="s">
        <v>96</v>
      </c>
      <c r="C1030" s="13" t="s">
        <v>4156</v>
      </c>
      <c r="D1030" s="13" t="s">
        <v>1873</v>
      </c>
      <c r="E1030" s="13" t="s">
        <v>5684</v>
      </c>
      <c r="F1030" s="14" t="s">
        <v>5685</v>
      </c>
      <c r="G1030" s="14" t="s">
        <v>2119</v>
      </c>
      <c r="H1030" s="20" t="n">
        <v>21.2</v>
      </c>
      <c r="I1030" s="13" t="n">
        <v>24</v>
      </c>
      <c r="J1030" s="13" t="s">
        <v>5686</v>
      </c>
      <c r="K1030" s="13" t="n">
        <v>24</v>
      </c>
      <c r="L1030" s="21" t="n">
        <v>10.4</v>
      </c>
      <c r="M1030" s="21" t="n">
        <f aca="false">IF(C1030="covered",10.4,7.55)</f>
        <v>10.4</v>
      </c>
      <c r="N1030" s="13" t="n">
        <f aca="false">MAX(ROUNDUP(H1030,0),I1030)</f>
        <v>24</v>
      </c>
      <c r="O1030" s="21" t="n">
        <v>249.6</v>
      </c>
      <c r="P1030" s="21" t="n">
        <f aca="false">ROUND(M1030*N1030,2)</f>
        <v>249.6</v>
      </c>
      <c r="Q1030" s="21" t="n">
        <f aca="false">ROUND(P1030-IF(O1030="",0,O1030),2)</f>
        <v>0</v>
      </c>
      <c r="R1030" s="14" t="str">
        <f aca="false">IF(J1030="","MISSING BILL",IF(AND(K1030=N1030,ABS(L1030-M1030)&lt;0.001,ABS(O1030-P1030)&lt;0.01),"RECONCILED","CALCULATION ERROR"))</f>
        <v>RECONCILED</v>
      </c>
      <c r="S1030" s="14" t="s">
        <v>2935</v>
      </c>
    </row>
    <row r="1031" customFormat="false" ht="15" hidden="true" customHeight="false" outlineLevel="0" collapsed="false">
      <c r="A1031" s="13" t="s">
        <v>345</v>
      </c>
      <c r="B1031" s="13" t="s">
        <v>96</v>
      </c>
      <c r="C1031" s="13" t="s">
        <v>4156</v>
      </c>
      <c r="D1031" s="13" t="s">
        <v>1873</v>
      </c>
      <c r="E1031" s="13" t="s">
        <v>5687</v>
      </c>
      <c r="F1031" s="14" t="s">
        <v>5688</v>
      </c>
      <c r="G1031" s="14" t="s">
        <v>5689</v>
      </c>
      <c r="H1031" s="20" t="n">
        <v>23.2</v>
      </c>
      <c r="I1031" s="13" t="n">
        <v>32</v>
      </c>
      <c r="J1031" s="13" t="s">
        <v>5690</v>
      </c>
      <c r="K1031" s="13" t="n">
        <v>32</v>
      </c>
      <c r="L1031" s="21" t="n">
        <v>10.4</v>
      </c>
      <c r="M1031" s="21" t="n">
        <f aca="false">IF(C1031="covered",10.4,7.55)</f>
        <v>10.4</v>
      </c>
      <c r="N1031" s="13" t="n">
        <f aca="false">MAX(ROUNDUP(H1031,0),I1031)</f>
        <v>32</v>
      </c>
      <c r="O1031" s="21" t="n">
        <v>332.8</v>
      </c>
      <c r="P1031" s="21" t="n">
        <f aca="false">ROUND(M1031*N1031,2)</f>
        <v>332.8</v>
      </c>
      <c r="Q1031" s="21" t="n">
        <f aca="false">ROUND(P1031-IF(O1031="",0,O1031),2)</f>
        <v>0</v>
      </c>
      <c r="R1031" s="14" t="str">
        <f aca="false">IF(J1031="","MISSING BILL",IF(AND(K1031=N1031,ABS(L1031-M1031)&lt;0.001,ABS(O1031-P1031)&lt;0.01),"RECONCILED","CALCULATION ERROR"))</f>
        <v>RECONCILED</v>
      </c>
      <c r="S1031" s="14" t="s">
        <v>2935</v>
      </c>
    </row>
    <row r="1032" customFormat="false" ht="15" hidden="true" customHeight="false" outlineLevel="0" collapsed="false">
      <c r="A1032" s="13" t="s">
        <v>5691</v>
      </c>
      <c r="B1032" s="13" t="s">
        <v>96</v>
      </c>
      <c r="C1032" s="13" t="s">
        <v>4156</v>
      </c>
      <c r="D1032" s="13" t="s">
        <v>1873</v>
      </c>
      <c r="E1032" s="13" t="s">
        <v>5692</v>
      </c>
      <c r="F1032" s="14" t="s">
        <v>5693</v>
      </c>
      <c r="G1032" s="14" t="s">
        <v>5694</v>
      </c>
      <c r="H1032" s="20" t="n">
        <v>18.4</v>
      </c>
      <c r="I1032" s="13" t="n">
        <v>32</v>
      </c>
      <c r="J1032" s="13" t="s">
        <v>5695</v>
      </c>
      <c r="K1032" s="13" t="n">
        <v>32</v>
      </c>
      <c r="L1032" s="21" t="n">
        <v>10.4</v>
      </c>
      <c r="M1032" s="21" t="n">
        <f aca="false">IF(C1032="covered",10.4,7.55)</f>
        <v>10.4</v>
      </c>
      <c r="N1032" s="13" t="n">
        <f aca="false">MAX(ROUNDUP(H1032,0),I1032)</f>
        <v>32</v>
      </c>
      <c r="O1032" s="21" t="n">
        <v>332.8</v>
      </c>
      <c r="P1032" s="21" t="n">
        <f aca="false">ROUND(M1032*N1032,2)</f>
        <v>332.8</v>
      </c>
      <c r="Q1032" s="21" t="n">
        <f aca="false">ROUND(P1032-IF(O1032="",0,O1032),2)</f>
        <v>0</v>
      </c>
      <c r="R1032" s="14" t="str">
        <f aca="false">IF(J1032="","MISSING BILL",IF(AND(K1032=N1032,ABS(L1032-M1032)&lt;0.001,ABS(O1032-P1032)&lt;0.01),"RECONCILED","CALCULATION ERROR"))</f>
        <v>RECONCILED</v>
      </c>
      <c r="S1032" s="14" t="s">
        <v>2935</v>
      </c>
    </row>
    <row r="1033" customFormat="false" ht="15" hidden="true" customHeight="false" outlineLevel="0" collapsed="false">
      <c r="A1033" s="13" t="s">
        <v>5696</v>
      </c>
      <c r="B1033" s="13" t="s">
        <v>96</v>
      </c>
      <c r="C1033" s="13" t="s">
        <v>4156</v>
      </c>
      <c r="D1033" s="13" t="s">
        <v>1873</v>
      </c>
      <c r="E1033" s="13" t="s">
        <v>5697</v>
      </c>
      <c r="F1033" s="14" t="s">
        <v>4202</v>
      </c>
      <c r="G1033" s="14" t="s">
        <v>2186</v>
      </c>
      <c r="H1033" s="20" t="n">
        <v>58.2</v>
      </c>
      <c r="I1033" s="13" t="n">
        <v>36</v>
      </c>
      <c r="J1033" s="13" t="s">
        <v>5698</v>
      </c>
      <c r="K1033" s="13" t="n">
        <v>59</v>
      </c>
      <c r="L1033" s="21" t="n">
        <v>10.4</v>
      </c>
      <c r="M1033" s="21" t="n">
        <f aca="false">IF(C1033="covered",10.4,7.55)</f>
        <v>10.4</v>
      </c>
      <c r="N1033" s="13" t="n">
        <f aca="false">MAX(ROUNDUP(H1033,0),I1033)</f>
        <v>59</v>
      </c>
      <c r="O1033" s="21" t="n">
        <v>613.6</v>
      </c>
      <c r="P1033" s="21" t="n">
        <f aca="false">ROUND(M1033*N1033,2)</f>
        <v>613.6</v>
      </c>
      <c r="Q1033" s="21" t="n">
        <f aca="false">ROUND(P1033-IF(O1033="",0,O1033),2)</f>
        <v>0</v>
      </c>
      <c r="R1033" s="14" t="str">
        <f aca="false">IF(J1033="","MISSING BILL",IF(AND(K1033=N1033,ABS(L1033-M1033)&lt;0.001,ABS(O1033-P1033)&lt;0.01),"RECONCILED","CALCULATION ERROR"))</f>
        <v>RECONCILED</v>
      </c>
      <c r="S1033" s="14" t="s">
        <v>2935</v>
      </c>
    </row>
    <row r="1034" customFormat="false" ht="15" hidden="true" customHeight="false" outlineLevel="0" collapsed="false">
      <c r="A1034" s="13" t="s">
        <v>766</v>
      </c>
      <c r="B1034" s="13" t="s">
        <v>96</v>
      </c>
      <c r="C1034" s="13" t="s">
        <v>4156</v>
      </c>
      <c r="D1034" s="13" t="s">
        <v>1873</v>
      </c>
      <c r="E1034" s="13" t="s">
        <v>5699</v>
      </c>
      <c r="F1034" s="14" t="s">
        <v>5700</v>
      </c>
      <c r="G1034" s="14" t="s">
        <v>4130</v>
      </c>
      <c r="H1034" s="20" t="n">
        <v>18.2</v>
      </c>
      <c r="I1034" s="13" t="n">
        <v>24</v>
      </c>
      <c r="J1034" s="13" t="s">
        <v>5701</v>
      </c>
      <c r="K1034" s="13" t="n">
        <v>24</v>
      </c>
      <c r="L1034" s="21" t="n">
        <v>10.4</v>
      </c>
      <c r="M1034" s="21" t="n">
        <f aca="false">IF(C1034="covered",10.4,7.55)</f>
        <v>10.4</v>
      </c>
      <c r="N1034" s="13" t="n">
        <f aca="false">MAX(ROUNDUP(H1034,0),I1034)</f>
        <v>24</v>
      </c>
      <c r="O1034" s="21" t="n">
        <v>249.6</v>
      </c>
      <c r="P1034" s="21" t="n">
        <f aca="false">ROUND(M1034*N1034,2)</f>
        <v>249.6</v>
      </c>
      <c r="Q1034" s="21" t="n">
        <f aca="false">ROUND(P1034-IF(O1034="",0,O1034),2)</f>
        <v>0</v>
      </c>
      <c r="R1034" s="14" t="str">
        <f aca="false">IF(J1034="","MISSING BILL",IF(AND(K1034=N1034,ABS(L1034-M1034)&lt;0.001,ABS(O1034-P1034)&lt;0.01),"RECONCILED","CALCULATION ERROR"))</f>
        <v>RECONCILED</v>
      </c>
      <c r="S1034" s="14" t="s">
        <v>2935</v>
      </c>
    </row>
    <row r="1035" customFormat="false" ht="15" hidden="true" customHeight="false" outlineLevel="0" collapsed="false">
      <c r="A1035" s="13" t="s">
        <v>297</v>
      </c>
      <c r="B1035" s="13" t="s">
        <v>96</v>
      </c>
      <c r="C1035" s="13" t="s">
        <v>4156</v>
      </c>
      <c r="D1035" s="13" t="s">
        <v>1873</v>
      </c>
      <c r="E1035" s="13" t="s">
        <v>5702</v>
      </c>
      <c r="F1035" s="14" t="s">
        <v>5703</v>
      </c>
      <c r="G1035" s="14" t="s">
        <v>2381</v>
      </c>
      <c r="H1035" s="20" t="n">
        <v>21.3</v>
      </c>
      <c r="I1035" s="13" t="n">
        <v>32</v>
      </c>
      <c r="J1035" s="13" t="s">
        <v>5704</v>
      </c>
      <c r="K1035" s="13" t="n">
        <v>32</v>
      </c>
      <c r="L1035" s="21" t="n">
        <v>10.4</v>
      </c>
      <c r="M1035" s="21" t="n">
        <f aca="false">IF(C1035="covered",10.4,7.55)</f>
        <v>10.4</v>
      </c>
      <c r="N1035" s="13" t="n">
        <f aca="false">MAX(ROUNDUP(H1035,0),I1035)</f>
        <v>32</v>
      </c>
      <c r="O1035" s="21" t="n">
        <v>332.8</v>
      </c>
      <c r="P1035" s="21" t="n">
        <f aca="false">ROUND(M1035*N1035,2)</f>
        <v>332.8</v>
      </c>
      <c r="Q1035" s="21" t="n">
        <f aca="false">ROUND(P1035-IF(O1035="",0,O1035),2)</f>
        <v>0</v>
      </c>
      <c r="R1035" s="14" t="str">
        <f aca="false">IF(J1035="","MISSING BILL",IF(AND(K1035=N1035,ABS(L1035-M1035)&lt;0.001,ABS(O1035-P1035)&lt;0.01),"RECONCILED","CALCULATION ERROR"))</f>
        <v>RECONCILED</v>
      </c>
      <c r="S1035" s="14" t="s">
        <v>2935</v>
      </c>
    </row>
    <row r="1036" customFormat="false" ht="15" hidden="true" customHeight="false" outlineLevel="0" collapsed="false">
      <c r="A1036" s="13" t="s">
        <v>5705</v>
      </c>
      <c r="B1036" s="13" t="s">
        <v>96</v>
      </c>
      <c r="C1036" s="13" t="s">
        <v>4156</v>
      </c>
      <c r="D1036" s="13" t="s">
        <v>1873</v>
      </c>
      <c r="E1036" s="13" t="s">
        <v>5706</v>
      </c>
      <c r="F1036" s="14" t="s">
        <v>5707</v>
      </c>
      <c r="G1036" s="14" t="s">
        <v>3064</v>
      </c>
      <c r="H1036" s="20" t="n">
        <v>52.9</v>
      </c>
      <c r="I1036" s="13" t="n">
        <v>40</v>
      </c>
      <c r="J1036" s="13" t="s">
        <v>5708</v>
      </c>
      <c r="K1036" s="13" t="n">
        <v>53</v>
      </c>
      <c r="L1036" s="21" t="n">
        <v>10.4</v>
      </c>
      <c r="M1036" s="21" t="n">
        <f aca="false">IF(C1036="covered",10.4,7.55)</f>
        <v>10.4</v>
      </c>
      <c r="N1036" s="13" t="n">
        <f aca="false">MAX(ROUNDUP(H1036,0),I1036)</f>
        <v>53</v>
      </c>
      <c r="O1036" s="21" t="n">
        <v>551.2</v>
      </c>
      <c r="P1036" s="21" t="n">
        <f aca="false">ROUND(M1036*N1036,2)</f>
        <v>551.2</v>
      </c>
      <c r="Q1036" s="21" t="n">
        <f aca="false">ROUND(P1036-IF(O1036="",0,O1036),2)</f>
        <v>0</v>
      </c>
      <c r="R1036" s="14" t="str">
        <f aca="false">IF(J1036="","MISSING BILL",IF(AND(K1036=N1036,ABS(L1036-M1036)&lt;0.001,ABS(O1036-P1036)&lt;0.01),"RECONCILED","CALCULATION ERROR"))</f>
        <v>RECONCILED</v>
      </c>
      <c r="S1036" s="14" t="s">
        <v>2935</v>
      </c>
    </row>
    <row r="1037" customFormat="false" ht="15" hidden="true" customHeight="false" outlineLevel="0" collapsed="false">
      <c r="A1037" s="13" t="s">
        <v>5709</v>
      </c>
      <c r="B1037" s="13" t="s">
        <v>96</v>
      </c>
      <c r="C1037" s="13" t="s">
        <v>4156</v>
      </c>
      <c r="D1037" s="13" t="s">
        <v>1873</v>
      </c>
      <c r="E1037" s="13" t="s">
        <v>5710</v>
      </c>
      <c r="F1037" s="14" t="s">
        <v>5711</v>
      </c>
      <c r="G1037" s="14" t="s">
        <v>2197</v>
      </c>
      <c r="H1037" s="20" t="n">
        <v>33.4</v>
      </c>
      <c r="I1037" s="13" t="n">
        <v>32</v>
      </c>
      <c r="J1037" s="13" t="s">
        <v>5712</v>
      </c>
      <c r="K1037" s="13" t="n">
        <v>34</v>
      </c>
      <c r="L1037" s="21" t="n">
        <v>10.4</v>
      </c>
      <c r="M1037" s="21" t="n">
        <f aca="false">IF(C1037="covered",10.4,7.55)</f>
        <v>10.4</v>
      </c>
      <c r="N1037" s="13" t="n">
        <f aca="false">MAX(ROUNDUP(H1037,0),I1037)</f>
        <v>34</v>
      </c>
      <c r="O1037" s="21" t="n">
        <v>353.6</v>
      </c>
      <c r="P1037" s="21" t="n">
        <f aca="false">ROUND(M1037*N1037,2)</f>
        <v>353.6</v>
      </c>
      <c r="Q1037" s="21" t="n">
        <f aca="false">ROUND(P1037-IF(O1037="",0,O1037),2)</f>
        <v>0</v>
      </c>
      <c r="R1037" s="14" t="str">
        <f aca="false">IF(J1037="","MISSING BILL",IF(AND(K1037=N1037,ABS(L1037-M1037)&lt;0.001,ABS(O1037-P1037)&lt;0.01),"RECONCILED","CALCULATION ERROR"))</f>
        <v>RECONCILED</v>
      </c>
      <c r="S1037" s="14" t="s">
        <v>2935</v>
      </c>
    </row>
    <row r="1038" customFormat="false" ht="15" hidden="true" customHeight="false" outlineLevel="0" collapsed="false">
      <c r="A1038" s="13" t="s">
        <v>1336</v>
      </c>
      <c r="B1038" s="13" t="s">
        <v>96</v>
      </c>
      <c r="C1038" s="13" t="s">
        <v>4156</v>
      </c>
      <c r="D1038" s="13" t="s">
        <v>1873</v>
      </c>
      <c r="E1038" s="13" t="s">
        <v>5713</v>
      </c>
      <c r="F1038" s="14" t="s">
        <v>5714</v>
      </c>
      <c r="G1038" s="14" t="s">
        <v>2434</v>
      </c>
      <c r="H1038" s="20" t="n">
        <v>56.2</v>
      </c>
      <c r="I1038" s="13" t="n">
        <v>28</v>
      </c>
      <c r="J1038" s="13" t="s">
        <v>5715</v>
      </c>
      <c r="K1038" s="13" t="n">
        <v>57</v>
      </c>
      <c r="L1038" s="21" t="n">
        <v>10.4</v>
      </c>
      <c r="M1038" s="21" t="n">
        <f aca="false">IF(C1038="covered",10.4,7.55)</f>
        <v>10.4</v>
      </c>
      <c r="N1038" s="13" t="n">
        <f aca="false">MAX(ROUNDUP(H1038,0),I1038)</f>
        <v>57</v>
      </c>
      <c r="O1038" s="21" t="n">
        <v>592.8</v>
      </c>
      <c r="P1038" s="21" t="n">
        <f aca="false">ROUND(M1038*N1038,2)</f>
        <v>592.8</v>
      </c>
      <c r="Q1038" s="21" t="n">
        <f aca="false">ROUND(P1038-IF(O1038="",0,O1038),2)</f>
        <v>0</v>
      </c>
      <c r="R1038" s="14" t="str">
        <f aca="false">IF(J1038="","MISSING BILL",IF(AND(K1038=N1038,ABS(L1038-M1038)&lt;0.001,ABS(O1038-P1038)&lt;0.01),"RECONCILED","CALCULATION ERROR"))</f>
        <v>RECONCILED</v>
      </c>
      <c r="S1038" s="14" t="s">
        <v>2935</v>
      </c>
    </row>
    <row r="1039" customFormat="false" ht="15" hidden="true" customHeight="false" outlineLevel="0" collapsed="false">
      <c r="A1039" s="13" t="s">
        <v>5716</v>
      </c>
      <c r="B1039" s="13" t="s">
        <v>96</v>
      </c>
      <c r="C1039" s="13" t="s">
        <v>4156</v>
      </c>
      <c r="D1039" s="13" t="s">
        <v>1873</v>
      </c>
      <c r="E1039" s="13" t="s">
        <v>5717</v>
      </c>
      <c r="F1039" s="14" t="s">
        <v>5718</v>
      </c>
      <c r="G1039" s="14" t="s">
        <v>4893</v>
      </c>
      <c r="H1039" s="20" t="n">
        <v>59.7</v>
      </c>
      <c r="I1039" s="13" t="n">
        <v>28</v>
      </c>
      <c r="J1039" s="13" t="s">
        <v>5719</v>
      </c>
      <c r="K1039" s="13" t="n">
        <v>60</v>
      </c>
      <c r="L1039" s="21" t="n">
        <v>10.4</v>
      </c>
      <c r="M1039" s="21" t="n">
        <f aca="false">IF(C1039="covered",10.4,7.55)</f>
        <v>10.4</v>
      </c>
      <c r="N1039" s="13" t="n">
        <f aca="false">MAX(ROUNDUP(H1039,0),I1039)</f>
        <v>60</v>
      </c>
      <c r="O1039" s="21" t="n">
        <v>624</v>
      </c>
      <c r="P1039" s="21" t="n">
        <f aca="false">ROUND(M1039*N1039,2)</f>
        <v>624</v>
      </c>
      <c r="Q1039" s="21" t="n">
        <f aca="false">ROUND(P1039-IF(O1039="",0,O1039),2)</f>
        <v>0</v>
      </c>
      <c r="R1039" s="14" t="str">
        <f aca="false">IF(J1039="","MISSING BILL",IF(AND(K1039=N1039,ABS(L1039-M1039)&lt;0.001,ABS(O1039-P1039)&lt;0.01),"RECONCILED","CALCULATION ERROR"))</f>
        <v>RECONCILED</v>
      </c>
      <c r="S1039" s="14" t="s">
        <v>2935</v>
      </c>
    </row>
    <row r="1040" customFormat="false" ht="15" hidden="true" customHeight="false" outlineLevel="0" collapsed="false">
      <c r="A1040" s="13" t="s">
        <v>5720</v>
      </c>
      <c r="B1040" s="13" t="s">
        <v>96</v>
      </c>
      <c r="C1040" s="13" t="s">
        <v>4156</v>
      </c>
      <c r="D1040" s="13" t="s">
        <v>1873</v>
      </c>
      <c r="E1040" s="13" t="s">
        <v>5721</v>
      </c>
      <c r="F1040" s="14" t="s">
        <v>5722</v>
      </c>
      <c r="G1040" s="14" t="s">
        <v>2040</v>
      </c>
      <c r="H1040" s="20" t="n">
        <v>22.4</v>
      </c>
      <c r="I1040" s="13" t="n">
        <v>36</v>
      </c>
      <c r="J1040" s="13" t="s">
        <v>5723</v>
      </c>
      <c r="K1040" s="13" t="n">
        <v>36</v>
      </c>
      <c r="L1040" s="21" t="n">
        <v>10.4</v>
      </c>
      <c r="M1040" s="21" t="n">
        <f aca="false">IF(C1040="covered",10.4,7.55)</f>
        <v>10.4</v>
      </c>
      <c r="N1040" s="13" t="n">
        <f aca="false">MAX(ROUNDUP(H1040,0),I1040)</f>
        <v>36</v>
      </c>
      <c r="O1040" s="21" t="n">
        <v>374.4</v>
      </c>
      <c r="P1040" s="21" t="n">
        <f aca="false">ROUND(M1040*N1040,2)</f>
        <v>374.4</v>
      </c>
      <c r="Q1040" s="21" t="n">
        <f aca="false">ROUND(P1040-IF(O1040="",0,O1040),2)</f>
        <v>0</v>
      </c>
      <c r="R1040" s="14" t="str">
        <f aca="false">IF(J1040="","MISSING BILL",IF(AND(K1040=N1040,ABS(L1040-M1040)&lt;0.001,ABS(O1040-P1040)&lt;0.01),"RECONCILED","CALCULATION ERROR"))</f>
        <v>RECONCILED</v>
      </c>
      <c r="S1040" s="14" t="s">
        <v>2935</v>
      </c>
    </row>
    <row r="1041" customFormat="false" ht="15" hidden="true" customHeight="false" outlineLevel="0" collapsed="false">
      <c r="A1041" s="13" t="s">
        <v>5724</v>
      </c>
      <c r="B1041" s="13" t="s">
        <v>96</v>
      </c>
      <c r="C1041" s="13" t="s">
        <v>4156</v>
      </c>
      <c r="D1041" s="13" t="s">
        <v>1873</v>
      </c>
      <c r="E1041" s="13" t="s">
        <v>5725</v>
      </c>
      <c r="F1041" s="14" t="s">
        <v>5726</v>
      </c>
      <c r="G1041" s="14" t="s">
        <v>5727</v>
      </c>
      <c r="H1041" s="20" t="n">
        <v>58.6</v>
      </c>
      <c r="I1041" s="13" t="n">
        <v>32</v>
      </c>
      <c r="J1041" s="13" t="s">
        <v>5728</v>
      </c>
      <c r="K1041" s="13" t="n">
        <v>59</v>
      </c>
      <c r="L1041" s="21" t="n">
        <v>10.4</v>
      </c>
      <c r="M1041" s="21" t="n">
        <f aca="false">IF(C1041="covered",10.4,7.55)</f>
        <v>10.4</v>
      </c>
      <c r="N1041" s="13" t="n">
        <f aca="false">MAX(ROUNDUP(H1041,0),I1041)</f>
        <v>59</v>
      </c>
      <c r="O1041" s="21" t="n">
        <v>613.6</v>
      </c>
      <c r="P1041" s="21" t="n">
        <f aca="false">ROUND(M1041*N1041,2)</f>
        <v>613.6</v>
      </c>
      <c r="Q1041" s="21" t="n">
        <f aca="false">ROUND(P1041-IF(O1041="",0,O1041),2)</f>
        <v>0</v>
      </c>
      <c r="R1041" s="14" t="str">
        <f aca="false">IF(J1041="","MISSING BILL",IF(AND(K1041=N1041,ABS(L1041-M1041)&lt;0.001,ABS(O1041-P1041)&lt;0.01),"RECONCILED","CALCULATION ERROR"))</f>
        <v>RECONCILED</v>
      </c>
      <c r="S1041" s="14" t="s">
        <v>2935</v>
      </c>
    </row>
    <row r="1042" customFormat="false" ht="15" hidden="true" customHeight="false" outlineLevel="0" collapsed="false">
      <c r="A1042" s="13" t="s">
        <v>5729</v>
      </c>
      <c r="B1042" s="13" t="s">
        <v>96</v>
      </c>
      <c r="C1042" s="13" t="s">
        <v>4156</v>
      </c>
      <c r="D1042" s="13" t="s">
        <v>1873</v>
      </c>
      <c r="E1042" s="13" t="s">
        <v>5730</v>
      </c>
      <c r="F1042" s="14" t="s">
        <v>5731</v>
      </c>
      <c r="G1042" s="14" t="s">
        <v>3518</v>
      </c>
      <c r="H1042" s="20" t="n">
        <v>54.9</v>
      </c>
      <c r="I1042" s="13" t="n">
        <v>28</v>
      </c>
      <c r="J1042" s="13" t="s">
        <v>5732</v>
      </c>
      <c r="K1042" s="13" t="n">
        <v>55</v>
      </c>
      <c r="L1042" s="21" t="n">
        <v>10.4</v>
      </c>
      <c r="M1042" s="21" t="n">
        <f aca="false">IF(C1042="covered",10.4,7.55)</f>
        <v>10.4</v>
      </c>
      <c r="N1042" s="13" t="n">
        <f aca="false">MAX(ROUNDUP(H1042,0),I1042)</f>
        <v>55</v>
      </c>
      <c r="O1042" s="21" t="n">
        <v>572</v>
      </c>
      <c r="P1042" s="21" t="n">
        <f aca="false">ROUND(M1042*N1042,2)</f>
        <v>572</v>
      </c>
      <c r="Q1042" s="21" t="n">
        <f aca="false">ROUND(P1042-IF(O1042="",0,O1042),2)</f>
        <v>0</v>
      </c>
      <c r="R1042" s="14" t="str">
        <f aca="false">IF(J1042="","MISSING BILL",IF(AND(K1042=N1042,ABS(L1042-M1042)&lt;0.001,ABS(O1042-P1042)&lt;0.01),"RECONCILED","CALCULATION ERROR"))</f>
        <v>RECONCILED</v>
      </c>
      <c r="S1042" s="14" t="s">
        <v>2935</v>
      </c>
    </row>
    <row r="1043" customFormat="false" ht="15" hidden="true" customHeight="false" outlineLevel="0" collapsed="false">
      <c r="A1043" s="13" t="s">
        <v>5733</v>
      </c>
      <c r="B1043" s="13" t="s">
        <v>96</v>
      </c>
      <c r="C1043" s="13" t="s">
        <v>4156</v>
      </c>
      <c r="D1043" s="13" t="s">
        <v>1873</v>
      </c>
      <c r="E1043" s="13" t="s">
        <v>5734</v>
      </c>
      <c r="F1043" s="14" t="s">
        <v>5735</v>
      </c>
      <c r="G1043" s="14" t="s">
        <v>5539</v>
      </c>
      <c r="H1043" s="20" t="n">
        <v>47</v>
      </c>
      <c r="I1043" s="13" t="n">
        <v>24</v>
      </c>
      <c r="J1043" s="13" t="s">
        <v>5736</v>
      </c>
      <c r="K1043" s="13" t="n">
        <v>47</v>
      </c>
      <c r="L1043" s="21" t="n">
        <v>10.4</v>
      </c>
      <c r="M1043" s="21" t="n">
        <f aca="false">IF(C1043="covered",10.4,7.55)</f>
        <v>10.4</v>
      </c>
      <c r="N1043" s="13" t="n">
        <f aca="false">MAX(ROUNDUP(H1043,0),I1043)</f>
        <v>47</v>
      </c>
      <c r="O1043" s="21" t="n">
        <v>488.8</v>
      </c>
      <c r="P1043" s="21" t="n">
        <f aca="false">ROUND(M1043*N1043,2)</f>
        <v>488.8</v>
      </c>
      <c r="Q1043" s="21" t="n">
        <f aca="false">ROUND(P1043-IF(O1043="",0,O1043),2)</f>
        <v>0</v>
      </c>
      <c r="R1043" s="14" t="str">
        <f aca="false">IF(J1043="","MISSING BILL",IF(AND(K1043=N1043,ABS(L1043-M1043)&lt;0.001,ABS(O1043-P1043)&lt;0.01),"RECONCILED","CALCULATION ERROR"))</f>
        <v>RECONCILED</v>
      </c>
      <c r="S1043" s="14" t="s">
        <v>2935</v>
      </c>
    </row>
    <row r="1044" customFormat="false" ht="15" hidden="true" customHeight="false" outlineLevel="0" collapsed="false">
      <c r="A1044" s="13" t="s">
        <v>5737</v>
      </c>
      <c r="B1044" s="13" t="s">
        <v>96</v>
      </c>
      <c r="C1044" s="13" t="s">
        <v>4156</v>
      </c>
      <c r="D1044" s="13" t="s">
        <v>1873</v>
      </c>
      <c r="E1044" s="13" t="s">
        <v>5738</v>
      </c>
      <c r="F1044" s="14" t="s">
        <v>560</v>
      </c>
      <c r="G1044" s="14" t="s">
        <v>5415</v>
      </c>
      <c r="H1044" s="20" t="n">
        <v>56.9</v>
      </c>
      <c r="I1044" s="13" t="n">
        <v>24</v>
      </c>
      <c r="J1044" s="13" t="s">
        <v>5739</v>
      </c>
      <c r="K1044" s="13" t="n">
        <v>57</v>
      </c>
      <c r="L1044" s="21" t="n">
        <v>10.4</v>
      </c>
      <c r="M1044" s="21" t="n">
        <f aca="false">IF(C1044="covered",10.4,7.55)</f>
        <v>10.4</v>
      </c>
      <c r="N1044" s="13" t="n">
        <f aca="false">MAX(ROUNDUP(H1044,0),I1044)</f>
        <v>57</v>
      </c>
      <c r="O1044" s="21" t="n">
        <v>592.8</v>
      </c>
      <c r="P1044" s="21" t="n">
        <f aca="false">ROUND(M1044*N1044,2)</f>
        <v>592.8</v>
      </c>
      <c r="Q1044" s="21" t="n">
        <f aca="false">ROUND(P1044-IF(O1044="",0,O1044),2)</f>
        <v>0</v>
      </c>
      <c r="R1044" s="14" t="str">
        <f aca="false">IF(J1044="","MISSING BILL",IF(AND(K1044=N1044,ABS(L1044-M1044)&lt;0.001,ABS(O1044-P1044)&lt;0.01),"RECONCILED","CALCULATION ERROR"))</f>
        <v>RECONCILED</v>
      </c>
      <c r="S1044" s="14" t="s">
        <v>2935</v>
      </c>
    </row>
    <row r="1045" customFormat="false" ht="15" hidden="true" customHeight="false" outlineLevel="0" collapsed="false">
      <c r="A1045" s="13" t="s">
        <v>544</v>
      </c>
      <c r="B1045" s="13" t="s">
        <v>96</v>
      </c>
      <c r="C1045" s="13" t="s">
        <v>4156</v>
      </c>
      <c r="D1045" s="13" t="s">
        <v>1873</v>
      </c>
      <c r="E1045" s="13" t="s">
        <v>5740</v>
      </c>
      <c r="F1045" s="14" t="s">
        <v>5741</v>
      </c>
      <c r="G1045" s="14" t="s">
        <v>3019</v>
      </c>
      <c r="H1045" s="20" t="n">
        <v>39.8</v>
      </c>
      <c r="I1045" s="13" t="n">
        <v>36</v>
      </c>
      <c r="J1045" s="13" t="s">
        <v>5742</v>
      </c>
      <c r="K1045" s="13" t="n">
        <v>40</v>
      </c>
      <c r="L1045" s="21" t="n">
        <v>10.4</v>
      </c>
      <c r="M1045" s="21" t="n">
        <f aca="false">IF(C1045="covered",10.4,7.55)</f>
        <v>10.4</v>
      </c>
      <c r="N1045" s="13" t="n">
        <f aca="false">MAX(ROUNDUP(H1045,0),I1045)</f>
        <v>40</v>
      </c>
      <c r="O1045" s="21" t="n">
        <v>416</v>
      </c>
      <c r="P1045" s="21" t="n">
        <f aca="false">ROUND(M1045*N1045,2)</f>
        <v>416</v>
      </c>
      <c r="Q1045" s="21" t="n">
        <f aca="false">ROUND(P1045-IF(O1045="",0,O1045),2)</f>
        <v>0</v>
      </c>
      <c r="R1045" s="14" t="str">
        <f aca="false">IF(J1045="","MISSING BILL",IF(AND(K1045=N1045,ABS(L1045-M1045)&lt;0.001,ABS(O1045-P1045)&lt;0.01),"RECONCILED","CALCULATION ERROR"))</f>
        <v>RECONCILED</v>
      </c>
      <c r="S1045" s="14" t="s">
        <v>2935</v>
      </c>
    </row>
    <row r="1046" customFormat="false" ht="15" hidden="true" customHeight="false" outlineLevel="0" collapsed="false">
      <c r="A1046" s="13" t="s">
        <v>5743</v>
      </c>
      <c r="B1046" s="13" t="s">
        <v>96</v>
      </c>
      <c r="C1046" s="13" t="s">
        <v>4156</v>
      </c>
      <c r="D1046" s="13" t="s">
        <v>1873</v>
      </c>
      <c r="E1046" s="13" t="s">
        <v>1405</v>
      </c>
      <c r="F1046" s="14" t="s">
        <v>1406</v>
      </c>
      <c r="G1046" s="14" t="s">
        <v>1908</v>
      </c>
      <c r="H1046" s="20" t="n">
        <v>57.6</v>
      </c>
      <c r="I1046" s="13" t="n">
        <v>40</v>
      </c>
      <c r="J1046" s="13" t="s">
        <v>5744</v>
      </c>
      <c r="K1046" s="13" t="n">
        <v>58</v>
      </c>
      <c r="L1046" s="21" t="n">
        <v>10.4</v>
      </c>
      <c r="M1046" s="21" t="n">
        <f aca="false">IF(C1046="covered",10.4,7.55)</f>
        <v>10.4</v>
      </c>
      <c r="N1046" s="13" t="n">
        <f aca="false">MAX(ROUNDUP(H1046,0),I1046)</f>
        <v>58</v>
      </c>
      <c r="O1046" s="21" t="n">
        <v>603.2</v>
      </c>
      <c r="P1046" s="21" t="n">
        <f aca="false">ROUND(M1046*N1046,2)</f>
        <v>603.2</v>
      </c>
      <c r="Q1046" s="21" t="n">
        <f aca="false">ROUND(P1046-IF(O1046="",0,O1046),2)</f>
        <v>0</v>
      </c>
      <c r="R1046" s="14" t="str">
        <f aca="false">IF(J1046="","MISSING BILL",IF(AND(K1046=N1046,ABS(L1046-M1046)&lt;0.001,ABS(O1046-P1046)&lt;0.01),"RECONCILED","CALCULATION ERROR"))</f>
        <v>RECONCILED</v>
      </c>
      <c r="S1046" s="14" t="s">
        <v>2935</v>
      </c>
    </row>
    <row r="1047" customFormat="false" ht="15" hidden="true" customHeight="false" outlineLevel="0" collapsed="false">
      <c r="A1047" s="13" t="s">
        <v>5745</v>
      </c>
      <c r="B1047" s="13" t="s">
        <v>96</v>
      </c>
      <c r="C1047" s="13" t="s">
        <v>4156</v>
      </c>
      <c r="D1047" s="13" t="s">
        <v>1873</v>
      </c>
      <c r="E1047" s="13" t="s">
        <v>5746</v>
      </c>
      <c r="F1047" s="14" t="s">
        <v>5747</v>
      </c>
      <c r="G1047" s="14" t="s">
        <v>3701</v>
      </c>
      <c r="H1047" s="20" t="n">
        <v>50.8</v>
      </c>
      <c r="I1047" s="13" t="n">
        <v>36</v>
      </c>
      <c r="J1047" s="13" t="s">
        <v>5748</v>
      </c>
      <c r="K1047" s="13" t="n">
        <v>51</v>
      </c>
      <c r="L1047" s="21" t="n">
        <v>10.4</v>
      </c>
      <c r="M1047" s="21" t="n">
        <f aca="false">IF(C1047="covered",10.4,7.55)</f>
        <v>10.4</v>
      </c>
      <c r="N1047" s="13" t="n">
        <f aca="false">MAX(ROUNDUP(H1047,0),I1047)</f>
        <v>51</v>
      </c>
      <c r="O1047" s="21" t="n">
        <v>530.4</v>
      </c>
      <c r="P1047" s="21" t="n">
        <f aca="false">ROUND(M1047*N1047,2)</f>
        <v>530.4</v>
      </c>
      <c r="Q1047" s="21" t="n">
        <f aca="false">ROUND(P1047-IF(O1047="",0,O1047),2)</f>
        <v>0</v>
      </c>
      <c r="R1047" s="14" t="str">
        <f aca="false">IF(J1047="","MISSING BILL",IF(AND(K1047=N1047,ABS(L1047-M1047)&lt;0.001,ABS(O1047-P1047)&lt;0.01),"RECONCILED","CALCULATION ERROR"))</f>
        <v>RECONCILED</v>
      </c>
      <c r="S1047" s="14" t="s">
        <v>2935</v>
      </c>
    </row>
    <row r="1048" customFormat="false" ht="15" hidden="true" customHeight="false" outlineLevel="0" collapsed="false">
      <c r="A1048" s="13" t="s">
        <v>5749</v>
      </c>
      <c r="B1048" s="13" t="s">
        <v>96</v>
      </c>
      <c r="C1048" s="13" t="s">
        <v>4156</v>
      </c>
      <c r="D1048" s="13" t="s">
        <v>1873</v>
      </c>
      <c r="E1048" s="13" t="s">
        <v>5750</v>
      </c>
      <c r="F1048" s="14" t="s">
        <v>5751</v>
      </c>
      <c r="G1048" s="14" t="s">
        <v>1994</v>
      </c>
      <c r="H1048" s="20" t="n">
        <v>58.3</v>
      </c>
      <c r="I1048" s="13" t="n">
        <v>40</v>
      </c>
      <c r="J1048" s="13" t="s">
        <v>5752</v>
      </c>
      <c r="K1048" s="13" t="n">
        <v>59</v>
      </c>
      <c r="L1048" s="21" t="n">
        <v>10.4</v>
      </c>
      <c r="M1048" s="21" t="n">
        <f aca="false">IF(C1048="covered",10.4,7.55)</f>
        <v>10.4</v>
      </c>
      <c r="N1048" s="13" t="n">
        <f aca="false">MAX(ROUNDUP(H1048,0),I1048)</f>
        <v>59</v>
      </c>
      <c r="O1048" s="21" t="n">
        <v>613.6</v>
      </c>
      <c r="P1048" s="21" t="n">
        <f aca="false">ROUND(M1048*N1048,2)</f>
        <v>613.6</v>
      </c>
      <c r="Q1048" s="21" t="n">
        <f aca="false">ROUND(P1048-IF(O1048="",0,O1048),2)</f>
        <v>0</v>
      </c>
      <c r="R1048" s="14" t="str">
        <f aca="false">IF(J1048="","MISSING BILL",IF(AND(K1048=N1048,ABS(L1048-M1048)&lt;0.001,ABS(O1048-P1048)&lt;0.01),"RECONCILED","CALCULATION ERROR"))</f>
        <v>RECONCILED</v>
      </c>
      <c r="S1048" s="14" t="s">
        <v>2935</v>
      </c>
    </row>
    <row r="1049" customFormat="false" ht="15" hidden="true" customHeight="false" outlineLevel="0" collapsed="false">
      <c r="A1049" s="13" t="s">
        <v>5753</v>
      </c>
      <c r="B1049" s="13" t="s">
        <v>96</v>
      </c>
      <c r="C1049" s="13" t="s">
        <v>4156</v>
      </c>
      <c r="D1049" s="13" t="s">
        <v>1873</v>
      </c>
      <c r="E1049" s="13" t="s">
        <v>467</v>
      </c>
      <c r="F1049" s="14" t="s">
        <v>468</v>
      </c>
      <c r="G1049" s="14" t="s">
        <v>3739</v>
      </c>
      <c r="H1049" s="20" t="n">
        <v>46.5</v>
      </c>
      <c r="I1049" s="13" t="n">
        <v>36</v>
      </c>
      <c r="J1049" s="13" t="s">
        <v>5754</v>
      </c>
      <c r="K1049" s="13" t="n">
        <v>47</v>
      </c>
      <c r="L1049" s="21" t="n">
        <v>10.4</v>
      </c>
      <c r="M1049" s="21" t="n">
        <f aca="false">IF(C1049="covered",10.4,7.55)</f>
        <v>10.4</v>
      </c>
      <c r="N1049" s="13" t="n">
        <f aca="false">MAX(ROUNDUP(H1049,0),I1049)</f>
        <v>47</v>
      </c>
      <c r="O1049" s="21" t="n">
        <v>488.8</v>
      </c>
      <c r="P1049" s="21" t="n">
        <f aca="false">ROUND(M1049*N1049,2)</f>
        <v>488.8</v>
      </c>
      <c r="Q1049" s="21" t="n">
        <f aca="false">ROUND(P1049-IF(O1049="",0,O1049),2)</f>
        <v>0</v>
      </c>
      <c r="R1049" s="14" t="str">
        <f aca="false">IF(J1049="","MISSING BILL",IF(AND(K1049=N1049,ABS(L1049-M1049)&lt;0.001,ABS(O1049-P1049)&lt;0.01),"RECONCILED","CALCULATION ERROR"))</f>
        <v>RECONCILED</v>
      </c>
      <c r="S1049" s="14" t="s">
        <v>2935</v>
      </c>
    </row>
    <row r="1050" customFormat="false" ht="15" hidden="true" customHeight="false" outlineLevel="0" collapsed="false">
      <c r="A1050" s="13" t="s">
        <v>5755</v>
      </c>
      <c r="B1050" s="13" t="s">
        <v>96</v>
      </c>
      <c r="C1050" s="13" t="s">
        <v>4156</v>
      </c>
      <c r="D1050" s="13" t="s">
        <v>1873</v>
      </c>
      <c r="E1050" s="13" t="s">
        <v>5756</v>
      </c>
      <c r="F1050" s="14" t="s">
        <v>5757</v>
      </c>
      <c r="G1050" s="14" t="s">
        <v>2571</v>
      </c>
      <c r="H1050" s="20" t="n">
        <v>58.1</v>
      </c>
      <c r="I1050" s="13" t="n">
        <v>28</v>
      </c>
      <c r="J1050" s="13" t="s">
        <v>5758</v>
      </c>
      <c r="K1050" s="13" t="n">
        <v>59</v>
      </c>
      <c r="L1050" s="21" t="n">
        <v>10.4</v>
      </c>
      <c r="M1050" s="21" t="n">
        <f aca="false">IF(C1050="covered",10.4,7.55)</f>
        <v>10.4</v>
      </c>
      <c r="N1050" s="13" t="n">
        <f aca="false">MAX(ROUNDUP(H1050,0),I1050)</f>
        <v>59</v>
      </c>
      <c r="O1050" s="21" t="n">
        <v>613.6</v>
      </c>
      <c r="P1050" s="21" t="n">
        <f aca="false">ROUND(M1050*N1050,2)</f>
        <v>613.6</v>
      </c>
      <c r="Q1050" s="21" t="n">
        <f aca="false">ROUND(P1050-IF(O1050="",0,O1050),2)</f>
        <v>0</v>
      </c>
      <c r="R1050" s="14" t="str">
        <f aca="false">IF(J1050="","MISSING BILL",IF(AND(K1050=N1050,ABS(L1050-M1050)&lt;0.001,ABS(O1050-P1050)&lt;0.01),"RECONCILED","CALCULATION ERROR"))</f>
        <v>RECONCILED</v>
      </c>
      <c r="S1050" s="14" t="s">
        <v>2935</v>
      </c>
    </row>
    <row r="1051" customFormat="false" ht="15" hidden="true" customHeight="false" outlineLevel="0" collapsed="false">
      <c r="A1051" s="13" t="s">
        <v>5759</v>
      </c>
      <c r="B1051" s="13" t="s">
        <v>96</v>
      </c>
      <c r="C1051" s="13" t="s">
        <v>4156</v>
      </c>
      <c r="D1051" s="13" t="s">
        <v>1873</v>
      </c>
      <c r="E1051" s="13" t="s">
        <v>5760</v>
      </c>
      <c r="F1051" s="14" t="s">
        <v>5761</v>
      </c>
      <c r="G1051" s="14" t="s">
        <v>2430</v>
      </c>
      <c r="H1051" s="20" t="n">
        <v>56.6</v>
      </c>
      <c r="I1051" s="13" t="n">
        <v>36</v>
      </c>
      <c r="J1051" s="13" t="s">
        <v>5762</v>
      </c>
      <c r="K1051" s="13" t="n">
        <v>57</v>
      </c>
      <c r="L1051" s="21" t="n">
        <v>10.4</v>
      </c>
      <c r="M1051" s="21" t="n">
        <f aca="false">IF(C1051="covered",10.4,7.55)</f>
        <v>10.4</v>
      </c>
      <c r="N1051" s="13" t="n">
        <f aca="false">MAX(ROUNDUP(H1051,0),I1051)</f>
        <v>57</v>
      </c>
      <c r="O1051" s="21" t="n">
        <v>592.8</v>
      </c>
      <c r="P1051" s="21" t="n">
        <f aca="false">ROUND(M1051*N1051,2)</f>
        <v>592.8</v>
      </c>
      <c r="Q1051" s="21" t="n">
        <f aca="false">ROUND(P1051-IF(O1051="",0,O1051),2)</f>
        <v>0</v>
      </c>
      <c r="R1051" s="14" t="str">
        <f aca="false">IF(J1051="","MISSING BILL",IF(AND(K1051=N1051,ABS(L1051-M1051)&lt;0.001,ABS(O1051-P1051)&lt;0.01),"RECONCILED","CALCULATION ERROR"))</f>
        <v>RECONCILED</v>
      </c>
      <c r="S1051" s="14" t="s">
        <v>2935</v>
      </c>
    </row>
    <row r="1052" customFormat="false" ht="15" hidden="true" customHeight="false" outlineLevel="0" collapsed="false">
      <c r="A1052" s="13" t="s">
        <v>1824</v>
      </c>
      <c r="B1052" s="13" t="s">
        <v>96</v>
      </c>
      <c r="C1052" s="13" t="s">
        <v>4156</v>
      </c>
      <c r="D1052" s="13" t="s">
        <v>1873</v>
      </c>
      <c r="E1052" s="13" t="s">
        <v>5763</v>
      </c>
      <c r="F1052" s="14" t="s">
        <v>5764</v>
      </c>
      <c r="G1052" s="14" t="s">
        <v>4813</v>
      </c>
      <c r="H1052" s="20" t="n">
        <v>56.5</v>
      </c>
      <c r="I1052" s="13" t="n">
        <v>28</v>
      </c>
      <c r="J1052" s="13" t="s">
        <v>5765</v>
      </c>
      <c r="K1052" s="13" t="n">
        <v>57</v>
      </c>
      <c r="L1052" s="21" t="n">
        <v>10.4</v>
      </c>
      <c r="M1052" s="21" t="n">
        <f aca="false">IF(C1052="covered",10.4,7.55)</f>
        <v>10.4</v>
      </c>
      <c r="N1052" s="13" t="n">
        <f aca="false">MAX(ROUNDUP(H1052,0),I1052)</f>
        <v>57</v>
      </c>
      <c r="O1052" s="21" t="n">
        <v>592.8</v>
      </c>
      <c r="P1052" s="21" t="n">
        <f aca="false">ROUND(M1052*N1052,2)</f>
        <v>592.8</v>
      </c>
      <c r="Q1052" s="21" t="n">
        <f aca="false">ROUND(P1052-IF(O1052="",0,O1052),2)</f>
        <v>0</v>
      </c>
      <c r="R1052" s="14" t="str">
        <f aca="false">IF(J1052="","MISSING BILL",IF(AND(K1052=N1052,ABS(L1052-M1052)&lt;0.001,ABS(O1052-P1052)&lt;0.01),"RECONCILED","CALCULATION ERROR"))</f>
        <v>RECONCILED</v>
      </c>
      <c r="S1052" s="14" t="s">
        <v>2935</v>
      </c>
    </row>
    <row r="1053" customFormat="false" ht="15" hidden="true" customHeight="false" outlineLevel="0" collapsed="false">
      <c r="A1053" s="13" t="s">
        <v>5766</v>
      </c>
      <c r="B1053" s="13" t="s">
        <v>96</v>
      </c>
      <c r="C1053" s="13" t="s">
        <v>4156</v>
      </c>
      <c r="D1053" s="13" t="s">
        <v>1873</v>
      </c>
      <c r="E1053" s="13" t="s">
        <v>5767</v>
      </c>
      <c r="F1053" s="14" t="s">
        <v>5768</v>
      </c>
      <c r="G1053" s="14" t="s">
        <v>2480</v>
      </c>
      <c r="H1053" s="20" t="n">
        <v>24.5</v>
      </c>
      <c r="I1053" s="13" t="n">
        <v>28</v>
      </c>
      <c r="J1053" s="13" t="s">
        <v>5769</v>
      </c>
      <c r="K1053" s="13" t="n">
        <v>28</v>
      </c>
      <c r="L1053" s="21" t="n">
        <v>10.4</v>
      </c>
      <c r="M1053" s="21" t="n">
        <f aca="false">IF(C1053="covered",10.4,7.55)</f>
        <v>10.4</v>
      </c>
      <c r="N1053" s="13" t="n">
        <f aca="false">MAX(ROUNDUP(H1053,0),I1053)</f>
        <v>28</v>
      </c>
      <c r="O1053" s="21" t="n">
        <v>291.2</v>
      </c>
      <c r="P1053" s="21" t="n">
        <f aca="false">ROUND(M1053*N1053,2)</f>
        <v>291.2</v>
      </c>
      <c r="Q1053" s="21" t="n">
        <f aca="false">ROUND(P1053-IF(O1053="",0,O1053),2)</f>
        <v>0</v>
      </c>
      <c r="R1053" s="14" t="str">
        <f aca="false">IF(J1053="","MISSING BILL",IF(AND(K1053=N1053,ABS(L1053-M1053)&lt;0.001,ABS(O1053-P1053)&lt;0.01),"RECONCILED","CALCULATION ERROR"))</f>
        <v>RECONCILED</v>
      </c>
      <c r="S1053" s="14" t="s">
        <v>2935</v>
      </c>
    </row>
    <row r="1054" customFormat="false" ht="15" hidden="true" customHeight="false" outlineLevel="0" collapsed="false">
      <c r="A1054" s="13" t="s">
        <v>1126</v>
      </c>
      <c r="B1054" s="13" t="s">
        <v>96</v>
      </c>
      <c r="C1054" s="13" t="s">
        <v>4156</v>
      </c>
      <c r="D1054" s="13" t="s">
        <v>1873</v>
      </c>
      <c r="E1054" s="13" t="s">
        <v>1181</v>
      </c>
      <c r="F1054" s="14" t="s">
        <v>1182</v>
      </c>
      <c r="G1054" s="14" t="s">
        <v>3759</v>
      </c>
      <c r="H1054" s="20" t="n">
        <v>29.3</v>
      </c>
      <c r="I1054" s="13" t="n">
        <v>36</v>
      </c>
      <c r="J1054" s="13" t="s">
        <v>5770</v>
      </c>
      <c r="K1054" s="13" t="n">
        <v>36</v>
      </c>
      <c r="L1054" s="21" t="n">
        <v>10.4</v>
      </c>
      <c r="M1054" s="21" t="n">
        <f aca="false">IF(C1054="covered",10.4,7.55)</f>
        <v>10.4</v>
      </c>
      <c r="N1054" s="13" t="n">
        <f aca="false">MAX(ROUNDUP(H1054,0),I1054)</f>
        <v>36</v>
      </c>
      <c r="O1054" s="21" t="n">
        <v>374.4</v>
      </c>
      <c r="P1054" s="21" t="n">
        <f aca="false">ROUND(M1054*N1054,2)</f>
        <v>374.4</v>
      </c>
      <c r="Q1054" s="21" t="n">
        <f aca="false">ROUND(P1054-IF(O1054="",0,O1054),2)</f>
        <v>0</v>
      </c>
      <c r="R1054" s="14" t="str">
        <f aca="false">IF(J1054="","MISSING BILL",IF(AND(K1054=N1054,ABS(L1054-M1054)&lt;0.001,ABS(O1054-P1054)&lt;0.01),"RECONCILED","CALCULATION ERROR"))</f>
        <v>RECONCILED</v>
      </c>
      <c r="S1054" s="14" t="s">
        <v>2935</v>
      </c>
    </row>
    <row r="1055" customFormat="false" ht="15" hidden="true" customHeight="false" outlineLevel="0" collapsed="false">
      <c r="A1055" s="13" t="s">
        <v>5771</v>
      </c>
      <c r="B1055" s="13" t="s">
        <v>96</v>
      </c>
      <c r="C1055" s="13" t="s">
        <v>4156</v>
      </c>
      <c r="D1055" s="13" t="s">
        <v>1873</v>
      </c>
      <c r="E1055" s="13" t="s">
        <v>5772</v>
      </c>
      <c r="F1055" s="14" t="s">
        <v>5773</v>
      </c>
      <c r="G1055" s="14" t="s">
        <v>5774</v>
      </c>
      <c r="H1055" s="20" t="n">
        <v>35.8</v>
      </c>
      <c r="I1055" s="13" t="n">
        <v>28</v>
      </c>
      <c r="J1055" s="13" t="s">
        <v>5775</v>
      </c>
      <c r="K1055" s="13" t="n">
        <v>36</v>
      </c>
      <c r="L1055" s="21" t="n">
        <v>10.4</v>
      </c>
      <c r="M1055" s="21" t="n">
        <f aca="false">IF(C1055="covered",10.4,7.55)</f>
        <v>10.4</v>
      </c>
      <c r="N1055" s="13" t="n">
        <f aca="false">MAX(ROUNDUP(H1055,0),I1055)</f>
        <v>36</v>
      </c>
      <c r="O1055" s="21" t="n">
        <v>374.4</v>
      </c>
      <c r="P1055" s="21" t="n">
        <f aca="false">ROUND(M1055*N1055,2)</f>
        <v>374.4</v>
      </c>
      <c r="Q1055" s="21" t="n">
        <f aca="false">ROUND(P1055-IF(O1055="",0,O1055),2)</f>
        <v>0</v>
      </c>
      <c r="R1055" s="14" t="str">
        <f aca="false">IF(J1055="","MISSING BILL",IF(AND(K1055=N1055,ABS(L1055-M1055)&lt;0.001,ABS(O1055-P1055)&lt;0.01),"RECONCILED","CALCULATION ERROR"))</f>
        <v>RECONCILED</v>
      </c>
      <c r="S1055" s="14" t="s">
        <v>2935</v>
      </c>
    </row>
    <row r="1056" customFormat="false" ht="15" hidden="true" customHeight="false" outlineLevel="0" collapsed="false">
      <c r="A1056" s="13" t="s">
        <v>5776</v>
      </c>
      <c r="B1056" s="13" t="s">
        <v>96</v>
      </c>
      <c r="C1056" s="13" t="s">
        <v>4156</v>
      </c>
      <c r="D1056" s="13" t="s">
        <v>1873</v>
      </c>
      <c r="E1056" s="13" t="s">
        <v>1453</v>
      </c>
      <c r="F1056" s="14" t="s">
        <v>1454</v>
      </c>
      <c r="G1056" s="14" t="s">
        <v>2596</v>
      </c>
      <c r="H1056" s="20" t="n">
        <v>55.4</v>
      </c>
      <c r="I1056" s="13" t="n">
        <v>32</v>
      </c>
      <c r="J1056" s="13" t="s">
        <v>5777</v>
      </c>
      <c r="K1056" s="13" t="n">
        <v>56</v>
      </c>
      <c r="L1056" s="21" t="n">
        <v>10.4</v>
      </c>
      <c r="M1056" s="21" t="n">
        <f aca="false">IF(C1056="covered",10.4,7.55)</f>
        <v>10.4</v>
      </c>
      <c r="N1056" s="13" t="n">
        <f aca="false">MAX(ROUNDUP(H1056,0),I1056)</f>
        <v>56</v>
      </c>
      <c r="O1056" s="21" t="n">
        <v>582.4</v>
      </c>
      <c r="P1056" s="21" t="n">
        <f aca="false">ROUND(M1056*N1056,2)</f>
        <v>582.4</v>
      </c>
      <c r="Q1056" s="21" t="n">
        <f aca="false">ROUND(P1056-IF(O1056="",0,O1056),2)</f>
        <v>0</v>
      </c>
      <c r="R1056" s="14" t="str">
        <f aca="false">IF(J1056="","MISSING BILL",IF(AND(K1056=N1056,ABS(L1056-M1056)&lt;0.001,ABS(O1056-P1056)&lt;0.01),"RECONCILED","CALCULATION ERROR"))</f>
        <v>RECONCILED</v>
      </c>
      <c r="S1056" s="14" t="s">
        <v>2935</v>
      </c>
    </row>
    <row r="1057" customFormat="false" ht="15" hidden="true" customHeight="false" outlineLevel="0" collapsed="false">
      <c r="A1057" s="13" t="s">
        <v>5778</v>
      </c>
      <c r="B1057" s="13" t="s">
        <v>96</v>
      </c>
      <c r="C1057" s="13" t="s">
        <v>4156</v>
      </c>
      <c r="D1057" s="13" t="s">
        <v>1873</v>
      </c>
      <c r="E1057" s="13" t="s">
        <v>5779</v>
      </c>
      <c r="F1057" s="14" t="s">
        <v>5780</v>
      </c>
      <c r="G1057" s="14" t="s">
        <v>3620</v>
      </c>
      <c r="H1057" s="20" t="n">
        <v>61.6</v>
      </c>
      <c r="I1057" s="13" t="n">
        <v>24</v>
      </c>
      <c r="J1057" s="13" t="s">
        <v>5781</v>
      </c>
      <c r="K1057" s="13" t="n">
        <v>62</v>
      </c>
      <c r="L1057" s="21" t="n">
        <v>10.4</v>
      </c>
      <c r="M1057" s="21" t="n">
        <f aca="false">IF(C1057="covered",10.4,7.55)</f>
        <v>10.4</v>
      </c>
      <c r="N1057" s="13" t="n">
        <f aca="false">MAX(ROUNDUP(H1057,0),I1057)</f>
        <v>62</v>
      </c>
      <c r="O1057" s="21" t="n">
        <v>644.8</v>
      </c>
      <c r="P1057" s="21" t="n">
        <f aca="false">ROUND(M1057*N1057,2)</f>
        <v>644.8</v>
      </c>
      <c r="Q1057" s="21" t="n">
        <f aca="false">ROUND(P1057-IF(O1057="",0,O1057),2)</f>
        <v>0</v>
      </c>
      <c r="R1057" s="14" t="str">
        <f aca="false">IF(J1057="","MISSING BILL",IF(AND(K1057=N1057,ABS(L1057-M1057)&lt;0.001,ABS(O1057-P1057)&lt;0.01),"RECONCILED","CALCULATION ERROR"))</f>
        <v>RECONCILED</v>
      </c>
      <c r="S1057" s="14" t="s">
        <v>2935</v>
      </c>
    </row>
    <row r="1058" customFormat="false" ht="15" hidden="true" customHeight="false" outlineLevel="0" collapsed="false">
      <c r="A1058" s="13" t="s">
        <v>5782</v>
      </c>
      <c r="B1058" s="13" t="s">
        <v>96</v>
      </c>
      <c r="C1058" s="13" t="s">
        <v>4156</v>
      </c>
      <c r="D1058" s="13" t="s">
        <v>1873</v>
      </c>
      <c r="E1058" s="13" t="s">
        <v>5783</v>
      </c>
      <c r="F1058" s="14" t="s">
        <v>5784</v>
      </c>
      <c r="G1058" s="14" t="s">
        <v>5785</v>
      </c>
      <c r="H1058" s="20" t="n">
        <v>61</v>
      </c>
      <c r="I1058" s="13" t="n">
        <v>36</v>
      </c>
      <c r="J1058" s="13" t="s">
        <v>5786</v>
      </c>
      <c r="K1058" s="13" t="n">
        <v>61</v>
      </c>
      <c r="L1058" s="21" t="n">
        <v>10.4</v>
      </c>
      <c r="M1058" s="21" t="n">
        <f aca="false">IF(C1058="covered",10.4,7.55)</f>
        <v>10.4</v>
      </c>
      <c r="N1058" s="13" t="n">
        <f aca="false">MAX(ROUNDUP(H1058,0),I1058)</f>
        <v>61</v>
      </c>
      <c r="O1058" s="21" t="n">
        <v>634.4</v>
      </c>
      <c r="P1058" s="21" t="n">
        <f aca="false">ROUND(M1058*N1058,2)</f>
        <v>634.4</v>
      </c>
      <c r="Q1058" s="21" t="n">
        <f aca="false">ROUND(P1058-IF(O1058="",0,O1058),2)</f>
        <v>0</v>
      </c>
      <c r="R1058" s="14" t="str">
        <f aca="false">IF(J1058="","MISSING BILL",IF(AND(K1058=N1058,ABS(L1058-M1058)&lt;0.001,ABS(O1058-P1058)&lt;0.01),"RECONCILED","CALCULATION ERROR"))</f>
        <v>RECONCILED</v>
      </c>
      <c r="S1058" s="14" t="s">
        <v>2935</v>
      </c>
    </row>
    <row r="1059" customFormat="false" ht="15" hidden="true" customHeight="false" outlineLevel="0" collapsed="false">
      <c r="A1059" s="13" t="s">
        <v>5787</v>
      </c>
      <c r="B1059" s="13" t="s">
        <v>96</v>
      </c>
      <c r="C1059" s="13" t="s">
        <v>4156</v>
      </c>
      <c r="D1059" s="13" t="s">
        <v>1873</v>
      </c>
      <c r="E1059" s="13" t="s">
        <v>5788</v>
      </c>
      <c r="F1059" s="14" t="s">
        <v>5789</v>
      </c>
      <c r="G1059" s="14" t="s">
        <v>2583</v>
      </c>
      <c r="H1059" s="20" t="n">
        <v>47.3</v>
      </c>
      <c r="I1059" s="13" t="n">
        <v>40</v>
      </c>
      <c r="J1059" s="13" t="s">
        <v>5790</v>
      </c>
      <c r="K1059" s="13" t="n">
        <v>48</v>
      </c>
      <c r="L1059" s="21" t="n">
        <v>10.4</v>
      </c>
      <c r="M1059" s="21" t="n">
        <f aca="false">IF(C1059="covered",10.4,7.55)</f>
        <v>10.4</v>
      </c>
      <c r="N1059" s="13" t="n">
        <f aca="false">MAX(ROUNDUP(H1059,0),I1059)</f>
        <v>48</v>
      </c>
      <c r="O1059" s="21" t="n">
        <v>499.2</v>
      </c>
      <c r="P1059" s="21" t="n">
        <f aca="false">ROUND(M1059*N1059,2)</f>
        <v>499.2</v>
      </c>
      <c r="Q1059" s="21" t="n">
        <f aca="false">ROUND(P1059-IF(O1059="",0,O1059),2)</f>
        <v>0</v>
      </c>
      <c r="R1059" s="14" t="str">
        <f aca="false">IF(J1059="","MISSING BILL",IF(AND(K1059=N1059,ABS(L1059-M1059)&lt;0.001,ABS(O1059-P1059)&lt;0.01),"RECONCILED","CALCULATION ERROR"))</f>
        <v>RECONCILED</v>
      </c>
      <c r="S1059" s="14" t="s">
        <v>2935</v>
      </c>
    </row>
    <row r="1060" customFormat="false" ht="15" hidden="true" customHeight="false" outlineLevel="0" collapsed="false">
      <c r="A1060" s="13" t="s">
        <v>1529</v>
      </c>
      <c r="B1060" s="13" t="s">
        <v>96</v>
      </c>
      <c r="C1060" s="13" t="s">
        <v>4156</v>
      </c>
      <c r="D1060" s="13" t="s">
        <v>1873</v>
      </c>
      <c r="E1060" s="13" t="s">
        <v>5791</v>
      </c>
      <c r="F1060" s="14" t="s">
        <v>5792</v>
      </c>
      <c r="G1060" s="14" t="s">
        <v>5793</v>
      </c>
      <c r="H1060" s="20" t="n">
        <v>53.9</v>
      </c>
      <c r="I1060" s="13" t="n">
        <v>40</v>
      </c>
      <c r="J1060" s="13" t="s">
        <v>5794</v>
      </c>
      <c r="K1060" s="13" t="n">
        <v>54</v>
      </c>
      <c r="L1060" s="21" t="n">
        <v>10.4</v>
      </c>
      <c r="M1060" s="21" t="n">
        <f aca="false">IF(C1060="covered",10.4,7.55)</f>
        <v>10.4</v>
      </c>
      <c r="N1060" s="13" t="n">
        <f aca="false">MAX(ROUNDUP(H1060,0),I1060)</f>
        <v>54</v>
      </c>
      <c r="O1060" s="21" t="n">
        <v>561.6</v>
      </c>
      <c r="P1060" s="21" t="n">
        <f aca="false">ROUND(M1060*N1060,2)</f>
        <v>561.6</v>
      </c>
      <c r="Q1060" s="21" t="n">
        <f aca="false">ROUND(P1060-IF(O1060="",0,O1060),2)</f>
        <v>0</v>
      </c>
      <c r="R1060" s="14" t="str">
        <f aca="false">IF(J1060="","MISSING BILL",IF(AND(K1060=N1060,ABS(L1060-M1060)&lt;0.001,ABS(O1060-P1060)&lt;0.01),"RECONCILED","CALCULATION ERROR"))</f>
        <v>RECONCILED</v>
      </c>
      <c r="S1060" s="14" t="s">
        <v>2935</v>
      </c>
    </row>
    <row r="1061" customFormat="false" ht="15" hidden="true" customHeight="false" outlineLevel="0" collapsed="false">
      <c r="A1061" s="13" t="s">
        <v>5795</v>
      </c>
      <c r="B1061" s="13" t="s">
        <v>96</v>
      </c>
      <c r="C1061" s="13" t="s">
        <v>4156</v>
      </c>
      <c r="D1061" s="13" t="s">
        <v>1873</v>
      </c>
      <c r="E1061" s="13" t="s">
        <v>5796</v>
      </c>
      <c r="F1061" s="14" t="s">
        <v>5797</v>
      </c>
      <c r="G1061" s="14" t="s">
        <v>5727</v>
      </c>
      <c r="H1061" s="20" t="n">
        <v>29.2</v>
      </c>
      <c r="I1061" s="13" t="n">
        <v>24</v>
      </c>
      <c r="J1061" s="13" t="s">
        <v>5798</v>
      </c>
      <c r="K1061" s="13" t="n">
        <v>30</v>
      </c>
      <c r="L1061" s="21" t="n">
        <v>10.4</v>
      </c>
      <c r="M1061" s="21" t="n">
        <f aca="false">IF(C1061="covered",10.4,7.55)</f>
        <v>10.4</v>
      </c>
      <c r="N1061" s="13" t="n">
        <f aca="false">MAX(ROUNDUP(H1061,0),I1061)</f>
        <v>30</v>
      </c>
      <c r="O1061" s="21" t="n">
        <v>312</v>
      </c>
      <c r="P1061" s="21" t="n">
        <f aca="false">ROUND(M1061*N1061,2)</f>
        <v>312</v>
      </c>
      <c r="Q1061" s="21" t="n">
        <f aca="false">ROUND(P1061-IF(O1061="",0,O1061),2)</f>
        <v>0</v>
      </c>
      <c r="R1061" s="14" t="str">
        <f aca="false">IF(J1061="","MISSING BILL",IF(AND(K1061=N1061,ABS(L1061-M1061)&lt;0.001,ABS(O1061-P1061)&lt;0.01),"RECONCILED","CALCULATION ERROR"))</f>
        <v>RECONCILED</v>
      </c>
      <c r="S1061" s="14" t="s">
        <v>2935</v>
      </c>
    </row>
    <row r="1062" customFormat="false" ht="15" hidden="true" customHeight="false" outlineLevel="0" collapsed="false">
      <c r="A1062" s="13" t="s">
        <v>5799</v>
      </c>
      <c r="B1062" s="13" t="s">
        <v>96</v>
      </c>
      <c r="C1062" s="13" t="s">
        <v>4156</v>
      </c>
      <c r="D1062" s="13" t="s">
        <v>1873</v>
      </c>
      <c r="E1062" s="13" t="s">
        <v>5800</v>
      </c>
      <c r="F1062" s="14" t="s">
        <v>5801</v>
      </c>
      <c r="G1062" s="14" t="s">
        <v>2658</v>
      </c>
      <c r="H1062" s="20" t="n">
        <v>23.5</v>
      </c>
      <c r="I1062" s="13" t="n">
        <v>28</v>
      </c>
      <c r="J1062" s="13" t="s">
        <v>5802</v>
      </c>
      <c r="K1062" s="13" t="n">
        <v>28</v>
      </c>
      <c r="L1062" s="21" t="n">
        <v>10.4</v>
      </c>
      <c r="M1062" s="21" t="n">
        <f aca="false">IF(C1062="covered",10.4,7.55)</f>
        <v>10.4</v>
      </c>
      <c r="N1062" s="13" t="n">
        <f aca="false">MAX(ROUNDUP(H1062,0),I1062)</f>
        <v>28</v>
      </c>
      <c r="O1062" s="21" t="n">
        <v>291.2</v>
      </c>
      <c r="P1062" s="21" t="n">
        <f aca="false">ROUND(M1062*N1062,2)</f>
        <v>291.2</v>
      </c>
      <c r="Q1062" s="21" t="n">
        <f aca="false">ROUND(P1062-IF(O1062="",0,O1062),2)</f>
        <v>0</v>
      </c>
      <c r="R1062" s="14" t="str">
        <f aca="false">IF(J1062="","MISSING BILL",IF(AND(K1062=N1062,ABS(L1062-M1062)&lt;0.001,ABS(O1062-P1062)&lt;0.01),"RECONCILED","CALCULATION ERROR"))</f>
        <v>RECONCILED</v>
      </c>
      <c r="S1062" s="14" t="s">
        <v>2935</v>
      </c>
    </row>
    <row r="1063" customFormat="false" ht="15" hidden="true" customHeight="false" outlineLevel="0" collapsed="false">
      <c r="A1063" s="13" t="s">
        <v>5803</v>
      </c>
      <c r="B1063" s="13" t="s">
        <v>96</v>
      </c>
      <c r="C1063" s="13" t="s">
        <v>4156</v>
      </c>
      <c r="D1063" s="13" t="s">
        <v>1873</v>
      </c>
      <c r="E1063" s="13" t="s">
        <v>5804</v>
      </c>
      <c r="F1063" s="14" t="s">
        <v>5805</v>
      </c>
      <c r="G1063" s="14" t="s">
        <v>5149</v>
      </c>
      <c r="H1063" s="20" t="n">
        <v>37</v>
      </c>
      <c r="I1063" s="13" t="n">
        <v>28</v>
      </c>
      <c r="J1063" s="13" t="s">
        <v>5806</v>
      </c>
      <c r="K1063" s="13" t="n">
        <v>37</v>
      </c>
      <c r="L1063" s="21" t="n">
        <v>10.4</v>
      </c>
      <c r="M1063" s="21" t="n">
        <f aca="false">IF(C1063="covered",10.4,7.55)</f>
        <v>10.4</v>
      </c>
      <c r="N1063" s="13" t="n">
        <f aca="false">MAX(ROUNDUP(H1063,0),I1063)</f>
        <v>37</v>
      </c>
      <c r="O1063" s="21" t="n">
        <v>384.8</v>
      </c>
      <c r="P1063" s="21" t="n">
        <f aca="false">ROUND(M1063*N1063,2)</f>
        <v>384.8</v>
      </c>
      <c r="Q1063" s="21" t="n">
        <f aca="false">ROUND(P1063-IF(O1063="",0,O1063),2)</f>
        <v>0</v>
      </c>
      <c r="R1063" s="14" t="str">
        <f aca="false">IF(J1063="","MISSING BILL",IF(AND(K1063=N1063,ABS(L1063-M1063)&lt;0.001,ABS(O1063-P1063)&lt;0.01),"RECONCILED","CALCULATION ERROR"))</f>
        <v>RECONCILED</v>
      </c>
      <c r="S1063" s="14" t="s">
        <v>2935</v>
      </c>
    </row>
    <row r="1064" customFormat="false" ht="15" hidden="true" customHeight="false" outlineLevel="0" collapsed="false">
      <c r="A1064" s="13" t="s">
        <v>1637</v>
      </c>
      <c r="B1064" s="13" t="s">
        <v>96</v>
      </c>
      <c r="C1064" s="13" t="s">
        <v>4156</v>
      </c>
      <c r="D1064" s="13" t="s">
        <v>1873</v>
      </c>
      <c r="E1064" s="13" t="s">
        <v>5807</v>
      </c>
      <c r="F1064" s="14" t="s">
        <v>5808</v>
      </c>
      <c r="G1064" s="14" t="s">
        <v>2032</v>
      </c>
      <c r="H1064" s="20" t="n">
        <v>26.9</v>
      </c>
      <c r="I1064" s="13" t="n">
        <v>24</v>
      </c>
      <c r="J1064" s="13" t="s">
        <v>5809</v>
      </c>
      <c r="K1064" s="13" t="n">
        <v>27</v>
      </c>
      <c r="L1064" s="21" t="n">
        <v>10.4</v>
      </c>
      <c r="M1064" s="21" t="n">
        <f aca="false">IF(C1064="covered",10.4,7.55)</f>
        <v>10.4</v>
      </c>
      <c r="N1064" s="13" t="n">
        <f aca="false">MAX(ROUNDUP(H1064,0),I1064)</f>
        <v>27</v>
      </c>
      <c r="O1064" s="21" t="n">
        <v>280.8</v>
      </c>
      <c r="P1064" s="21" t="n">
        <f aca="false">ROUND(M1064*N1064,2)</f>
        <v>280.8</v>
      </c>
      <c r="Q1064" s="21" t="n">
        <f aca="false">ROUND(P1064-IF(O1064="",0,O1064),2)</f>
        <v>0</v>
      </c>
      <c r="R1064" s="14" t="str">
        <f aca="false">IF(J1064="","MISSING BILL",IF(AND(K1064=N1064,ABS(L1064-M1064)&lt;0.001,ABS(O1064-P1064)&lt;0.01),"RECONCILED","CALCULATION ERROR"))</f>
        <v>RECONCILED</v>
      </c>
      <c r="S1064" s="14" t="s">
        <v>2935</v>
      </c>
    </row>
    <row r="1065" customFormat="false" ht="15" hidden="true" customHeight="false" outlineLevel="0" collapsed="false">
      <c r="A1065" s="13" t="s">
        <v>961</v>
      </c>
      <c r="B1065" s="13" t="s">
        <v>96</v>
      </c>
      <c r="C1065" s="13" t="s">
        <v>4156</v>
      </c>
      <c r="D1065" s="13" t="s">
        <v>1873</v>
      </c>
      <c r="E1065" s="13" t="s">
        <v>5810</v>
      </c>
      <c r="F1065" s="14" t="s">
        <v>5811</v>
      </c>
      <c r="G1065" s="14" t="s">
        <v>2246</v>
      </c>
      <c r="H1065" s="20" t="n">
        <v>54.5</v>
      </c>
      <c r="I1065" s="13" t="n">
        <v>28</v>
      </c>
      <c r="J1065" s="13" t="s">
        <v>5812</v>
      </c>
      <c r="K1065" s="13" t="n">
        <v>55</v>
      </c>
      <c r="L1065" s="21" t="n">
        <v>10.4</v>
      </c>
      <c r="M1065" s="21" t="n">
        <f aca="false">IF(C1065="covered",10.4,7.55)</f>
        <v>10.4</v>
      </c>
      <c r="N1065" s="13" t="n">
        <f aca="false">MAX(ROUNDUP(H1065,0),I1065)</f>
        <v>55</v>
      </c>
      <c r="O1065" s="21" t="n">
        <v>572</v>
      </c>
      <c r="P1065" s="21" t="n">
        <f aca="false">ROUND(M1065*N1065,2)</f>
        <v>572</v>
      </c>
      <c r="Q1065" s="21" t="n">
        <f aca="false">ROUND(P1065-IF(O1065="",0,O1065),2)</f>
        <v>0</v>
      </c>
      <c r="R1065" s="14" t="str">
        <f aca="false">IF(J1065="","MISSING BILL",IF(AND(K1065=N1065,ABS(L1065-M1065)&lt;0.001,ABS(O1065-P1065)&lt;0.01),"RECONCILED","CALCULATION ERROR"))</f>
        <v>RECONCILED</v>
      </c>
      <c r="S1065" s="14" t="s">
        <v>2935</v>
      </c>
    </row>
    <row r="1066" customFormat="false" ht="15" hidden="true" customHeight="false" outlineLevel="0" collapsed="false">
      <c r="A1066" s="13" t="s">
        <v>5813</v>
      </c>
      <c r="B1066" s="13" t="s">
        <v>96</v>
      </c>
      <c r="C1066" s="13" t="s">
        <v>4156</v>
      </c>
      <c r="D1066" s="13" t="s">
        <v>1873</v>
      </c>
      <c r="E1066" s="13" t="s">
        <v>5814</v>
      </c>
      <c r="F1066" s="14" t="s">
        <v>5815</v>
      </c>
      <c r="G1066" s="14" t="s">
        <v>2720</v>
      </c>
      <c r="H1066" s="20" t="n">
        <v>26.6</v>
      </c>
      <c r="I1066" s="13" t="n">
        <v>36</v>
      </c>
      <c r="J1066" s="13" t="s">
        <v>5816</v>
      </c>
      <c r="K1066" s="13" t="n">
        <v>36</v>
      </c>
      <c r="L1066" s="21" t="n">
        <v>10.4</v>
      </c>
      <c r="M1066" s="21" t="n">
        <f aca="false">IF(C1066="covered",10.4,7.55)</f>
        <v>10.4</v>
      </c>
      <c r="N1066" s="13" t="n">
        <f aca="false">MAX(ROUNDUP(H1066,0),I1066)</f>
        <v>36</v>
      </c>
      <c r="O1066" s="21" t="n">
        <v>374.4</v>
      </c>
      <c r="P1066" s="21" t="n">
        <f aca="false">ROUND(M1066*N1066,2)</f>
        <v>374.4</v>
      </c>
      <c r="Q1066" s="21" t="n">
        <f aca="false">ROUND(P1066-IF(O1066="",0,O1066),2)</f>
        <v>0</v>
      </c>
      <c r="R1066" s="14" t="str">
        <f aca="false">IF(J1066="","MISSING BILL",IF(AND(K1066=N1066,ABS(L1066-M1066)&lt;0.001,ABS(O1066-P1066)&lt;0.01),"RECONCILED","CALCULATION ERROR"))</f>
        <v>RECONCILED</v>
      </c>
      <c r="S1066" s="14" t="s">
        <v>2935</v>
      </c>
    </row>
    <row r="1067" customFormat="false" ht="15" hidden="true" customHeight="false" outlineLevel="0" collapsed="false">
      <c r="A1067" s="13" t="s">
        <v>5817</v>
      </c>
      <c r="B1067" s="13" t="s">
        <v>96</v>
      </c>
      <c r="C1067" s="13" t="s">
        <v>4156</v>
      </c>
      <c r="D1067" s="13" t="s">
        <v>1873</v>
      </c>
      <c r="E1067" s="13" t="s">
        <v>5818</v>
      </c>
      <c r="F1067" s="14" t="s">
        <v>5819</v>
      </c>
      <c r="G1067" s="14" t="s">
        <v>3004</v>
      </c>
      <c r="H1067" s="20" t="n">
        <v>61.6</v>
      </c>
      <c r="I1067" s="13" t="n">
        <v>24</v>
      </c>
      <c r="J1067" s="13" t="s">
        <v>5820</v>
      </c>
      <c r="K1067" s="13" t="n">
        <v>62</v>
      </c>
      <c r="L1067" s="21" t="n">
        <v>10.4</v>
      </c>
      <c r="M1067" s="21" t="n">
        <f aca="false">IF(C1067="covered",10.4,7.55)</f>
        <v>10.4</v>
      </c>
      <c r="N1067" s="13" t="n">
        <f aca="false">MAX(ROUNDUP(H1067,0),I1067)</f>
        <v>62</v>
      </c>
      <c r="O1067" s="21" t="n">
        <v>644.8</v>
      </c>
      <c r="P1067" s="21" t="n">
        <f aca="false">ROUND(M1067*N1067,2)</f>
        <v>644.8</v>
      </c>
      <c r="Q1067" s="21" t="n">
        <f aca="false">ROUND(P1067-IF(O1067="",0,O1067),2)</f>
        <v>0</v>
      </c>
      <c r="R1067" s="14" t="str">
        <f aca="false">IF(J1067="","MISSING BILL",IF(AND(K1067=N1067,ABS(L1067-M1067)&lt;0.001,ABS(O1067-P1067)&lt;0.01),"RECONCILED","CALCULATION ERROR"))</f>
        <v>RECONCILED</v>
      </c>
      <c r="S1067" s="14" t="s">
        <v>2935</v>
      </c>
    </row>
    <row r="1068" customFormat="false" ht="15" hidden="true" customHeight="false" outlineLevel="0" collapsed="false">
      <c r="A1068" s="13" t="s">
        <v>5821</v>
      </c>
      <c r="B1068" s="13" t="s">
        <v>96</v>
      </c>
      <c r="C1068" s="13" t="s">
        <v>4156</v>
      </c>
      <c r="D1068" s="13" t="s">
        <v>1873</v>
      </c>
      <c r="E1068" s="13" t="s">
        <v>5822</v>
      </c>
      <c r="F1068" s="14" t="s">
        <v>5823</v>
      </c>
      <c r="G1068" s="14" t="s">
        <v>2362</v>
      </c>
      <c r="H1068" s="20" t="n">
        <v>47.1</v>
      </c>
      <c r="I1068" s="13" t="n">
        <v>32</v>
      </c>
      <c r="J1068" s="13" t="s">
        <v>5824</v>
      </c>
      <c r="K1068" s="13" t="n">
        <v>48</v>
      </c>
      <c r="L1068" s="21" t="n">
        <v>10.4</v>
      </c>
      <c r="M1068" s="21" t="n">
        <f aca="false">IF(C1068="covered",10.4,7.55)</f>
        <v>10.4</v>
      </c>
      <c r="N1068" s="13" t="n">
        <f aca="false">MAX(ROUNDUP(H1068,0),I1068)</f>
        <v>48</v>
      </c>
      <c r="O1068" s="21" t="n">
        <v>499.2</v>
      </c>
      <c r="P1068" s="21" t="n">
        <f aca="false">ROUND(M1068*N1068,2)</f>
        <v>499.2</v>
      </c>
      <c r="Q1068" s="21" t="n">
        <f aca="false">ROUND(P1068-IF(O1068="",0,O1068),2)</f>
        <v>0</v>
      </c>
      <c r="R1068" s="14" t="str">
        <f aca="false">IF(J1068="","MISSING BILL",IF(AND(K1068=N1068,ABS(L1068-M1068)&lt;0.001,ABS(O1068-P1068)&lt;0.01),"RECONCILED","CALCULATION ERROR"))</f>
        <v>RECONCILED</v>
      </c>
      <c r="S1068" s="14" t="s">
        <v>2935</v>
      </c>
    </row>
    <row r="1069" customFormat="false" ht="15" hidden="true" customHeight="false" outlineLevel="0" collapsed="false">
      <c r="A1069" s="13" t="s">
        <v>5825</v>
      </c>
      <c r="B1069" s="13" t="s">
        <v>96</v>
      </c>
      <c r="C1069" s="13" t="s">
        <v>4156</v>
      </c>
      <c r="D1069" s="13" t="s">
        <v>1873</v>
      </c>
      <c r="E1069" s="13" t="s">
        <v>5826</v>
      </c>
      <c r="F1069" s="14" t="s">
        <v>5081</v>
      </c>
      <c r="G1069" s="14" t="s">
        <v>4729</v>
      </c>
      <c r="H1069" s="20" t="n">
        <v>19.3</v>
      </c>
      <c r="I1069" s="13" t="n">
        <v>28</v>
      </c>
      <c r="J1069" s="13" t="s">
        <v>5827</v>
      </c>
      <c r="K1069" s="13" t="n">
        <v>28</v>
      </c>
      <c r="L1069" s="21" t="n">
        <v>10.4</v>
      </c>
      <c r="M1069" s="21" t="n">
        <f aca="false">IF(C1069="covered",10.4,7.55)</f>
        <v>10.4</v>
      </c>
      <c r="N1069" s="13" t="n">
        <f aca="false">MAX(ROUNDUP(H1069,0),I1069)</f>
        <v>28</v>
      </c>
      <c r="O1069" s="21" t="n">
        <v>291.2</v>
      </c>
      <c r="P1069" s="21" t="n">
        <f aca="false">ROUND(M1069*N1069,2)</f>
        <v>291.2</v>
      </c>
      <c r="Q1069" s="21" t="n">
        <f aca="false">ROUND(P1069-IF(O1069="",0,O1069),2)</f>
        <v>0</v>
      </c>
      <c r="R1069" s="14" t="str">
        <f aca="false">IF(J1069="","MISSING BILL",IF(AND(K1069=N1069,ABS(L1069-M1069)&lt;0.001,ABS(O1069-P1069)&lt;0.01),"RECONCILED","CALCULATION ERROR"))</f>
        <v>RECONCILED</v>
      </c>
      <c r="S1069" s="14" t="s">
        <v>2935</v>
      </c>
    </row>
    <row r="1070" customFormat="false" ht="15" hidden="true" customHeight="false" outlineLevel="0" collapsed="false">
      <c r="A1070" s="13" t="s">
        <v>5828</v>
      </c>
      <c r="B1070" s="13" t="s">
        <v>96</v>
      </c>
      <c r="C1070" s="13" t="s">
        <v>4156</v>
      </c>
      <c r="D1070" s="13" t="s">
        <v>1873</v>
      </c>
      <c r="E1070" s="13" t="s">
        <v>5829</v>
      </c>
      <c r="F1070" s="14" t="s">
        <v>5830</v>
      </c>
      <c r="G1070" s="14" t="s">
        <v>5149</v>
      </c>
      <c r="H1070" s="20" t="n">
        <v>40.3</v>
      </c>
      <c r="I1070" s="13" t="n">
        <v>36</v>
      </c>
      <c r="J1070" s="13" t="s">
        <v>5831</v>
      </c>
      <c r="K1070" s="13" t="n">
        <v>41</v>
      </c>
      <c r="L1070" s="21" t="n">
        <v>10.4</v>
      </c>
      <c r="M1070" s="21" t="n">
        <f aca="false">IF(C1070="covered",10.4,7.55)</f>
        <v>10.4</v>
      </c>
      <c r="N1070" s="13" t="n">
        <f aca="false">MAX(ROUNDUP(H1070,0),I1070)</f>
        <v>41</v>
      </c>
      <c r="O1070" s="21" t="n">
        <v>426.4</v>
      </c>
      <c r="P1070" s="21" t="n">
        <f aca="false">ROUND(M1070*N1070,2)</f>
        <v>426.4</v>
      </c>
      <c r="Q1070" s="21" t="n">
        <f aca="false">ROUND(P1070-IF(O1070="",0,O1070),2)</f>
        <v>0</v>
      </c>
      <c r="R1070" s="14" t="str">
        <f aca="false">IF(J1070="","MISSING BILL",IF(AND(K1070=N1070,ABS(L1070-M1070)&lt;0.001,ABS(O1070-P1070)&lt;0.01),"RECONCILED","CALCULATION ERROR"))</f>
        <v>RECONCILED</v>
      </c>
      <c r="S1070" s="14" t="s">
        <v>2935</v>
      </c>
    </row>
    <row r="1071" customFormat="false" ht="15" hidden="true" customHeight="false" outlineLevel="0" collapsed="false">
      <c r="A1071" s="13" t="s">
        <v>834</v>
      </c>
      <c r="B1071" s="13" t="s">
        <v>96</v>
      </c>
      <c r="C1071" s="13" t="s">
        <v>4156</v>
      </c>
      <c r="D1071" s="13" t="s">
        <v>1873</v>
      </c>
      <c r="E1071" s="13" t="s">
        <v>5832</v>
      </c>
      <c r="F1071" s="14" t="s">
        <v>5833</v>
      </c>
      <c r="G1071" s="14" t="s">
        <v>2057</v>
      </c>
      <c r="H1071" s="20" t="n">
        <v>27.6</v>
      </c>
      <c r="I1071" s="13" t="n">
        <v>32</v>
      </c>
      <c r="J1071" s="13" t="s">
        <v>5834</v>
      </c>
      <c r="K1071" s="13" t="n">
        <v>32</v>
      </c>
      <c r="L1071" s="21" t="n">
        <v>10.4</v>
      </c>
      <c r="M1071" s="21" t="n">
        <f aca="false">IF(C1071="covered",10.4,7.55)</f>
        <v>10.4</v>
      </c>
      <c r="N1071" s="13" t="n">
        <f aca="false">MAX(ROUNDUP(H1071,0),I1071)</f>
        <v>32</v>
      </c>
      <c r="O1071" s="21" t="n">
        <v>332.8</v>
      </c>
      <c r="P1071" s="21" t="n">
        <f aca="false">ROUND(M1071*N1071,2)</f>
        <v>332.8</v>
      </c>
      <c r="Q1071" s="21" t="n">
        <f aca="false">ROUND(P1071-IF(O1071="",0,O1071),2)</f>
        <v>0</v>
      </c>
      <c r="R1071" s="14" t="str">
        <f aca="false">IF(J1071="","MISSING BILL",IF(AND(K1071=N1071,ABS(L1071-M1071)&lt;0.001,ABS(O1071-P1071)&lt;0.01),"RECONCILED","CALCULATION ERROR"))</f>
        <v>RECONCILED</v>
      </c>
      <c r="S1071" s="14" t="s">
        <v>2935</v>
      </c>
    </row>
    <row r="1072" customFormat="false" ht="15" hidden="true" customHeight="false" outlineLevel="0" collapsed="false">
      <c r="A1072" s="13" t="s">
        <v>5835</v>
      </c>
      <c r="B1072" s="13" t="s">
        <v>96</v>
      </c>
      <c r="C1072" s="13" t="s">
        <v>4156</v>
      </c>
      <c r="D1072" s="13" t="s">
        <v>1873</v>
      </c>
      <c r="E1072" s="13" t="s">
        <v>5836</v>
      </c>
      <c r="F1072" s="14" t="s">
        <v>5837</v>
      </c>
      <c r="G1072" s="14" t="s">
        <v>2402</v>
      </c>
      <c r="H1072" s="20" t="n">
        <v>20.9</v>
      </c>
      <c r="I1072" s="13" t="n">
        <v>40</v>
      </c>
      <c r="J1072" s="13" t="s">
        <v>5838</v>
      </c>
      <c r="K1072" s="13" t="n">
        <v>40</v>
      </c>
      <c r="L1072" s="21" t="n">
        <v>10.4</v>
      </c>
      <c r="M1072" s="21" t="n">
        <f aca="false">IF(C1072="covered",10.4,7.55)</f>
        <v>10.4</v>
      </c>
      <c r="N1072" s="13" t="n">
        <f aca="false">MAX(ROUNDUP(H1072,0),I1072)</f>
        <v>40</v>
      </c>
      <c r="O1072" s="21" t="n">
        <v>416</v>
      </c>
      <c r="P1072" s="21" t="n">
        <f aca="false">ROUND(M1072*N1072,2)</f>
        <v>416</v>
      </c>
      <c r="Q1072" s="21" t="n">
        <f aca="false">ROUND(P1072-IF(O1072="",0,O1072),2)</f>
        <v>0</v>
      </c>
      <c r="R1072" s="14" t="str">
        <f aca="false">IF(J1072="","MISSING BILL",IF(AND(K1072=N1072,ABS(L1072-M1072)&lt;0.001,ABS(O1072-P1072)&lt;0.01),"RECONCILED","CALCULATION ERROR"))</f>
        <v>RECONCILED</v>
      </c>
      <c r="S1072" s="14" t="s">
        <v>2935</v>
      </c>
    </row>
    <row r="1073" customFormat="false" ht="15" hidden="true" customHeight="false" outlineLevel="0" collapsed="false">
      <c r="A1073" s="13" t="s">
        <v>5839</v>
      </c>
      <c r="B1073" s="13" t="s">
        <v>96</v>
      </c>
      <c r="C1073" s="13" t="s">
        <v>4156</v>
      </c>
      <c r="D1073" s="13" t="s">
        <v>1873</v>
      </c>
      <c r="E1073" s="13" t="s">
        <v>5840</v>
      </c>
      <c r="F1073" s="14" t="s">
        <v>5841</v>
      </c>
      <c r="G1073" s="14" t="s">
        <v>2952</v>
      </c>
      <c r="H1073" s="20" t="n">
        <v>60</v>
      </c>
      <c r="I1073" s="13" t="n">
        <v>28</v>
      </c>
      <c r="J1073" s="13" t="s">
        <v>5842</v>
      </c>
      <c r="K1073" s="13" t="n">
        <v>60</v>
      </c>
      <c r="L1073" s="21" t="n">
        <v>10.4</v>
      </c>
      <c r="M1073" s="21" t="n">
        <f aca="false">IF(C1073="covered",10.4,7.55)</f>
        <v>10.4</v>
      </c>
      <c r="N1073" s="13" t="n">
        <f aca="false">MAX(ROUNDUP(H1073,0),I1073)</f>
        <v>60</v>
      </c>
      <c r="O1073" s="21" t="n">
        <v>624</v>
      </c>
      <c r="P1073" s="21" t="n">
        <f aca="false">ROUND(M1073*N1073,2)</f>
        <v>624</v>
      </c>
      <c r="Q1073" s="21" t="n">
        <f aca="false">ROUND(P1073-IF(O1073="",0,O1073),2)</f>
        <v>0</v>
      </c>
      <c r="R1073" s="14" t="str">
        <f aca="false">IF(J1073="","MISSING BILL",IF(AND(K1073=N1073,ABS(L1073-M1073)&lt;0.001,ABS(O1073-P1073)&lt;0.01),"RECONCILED","CALCULATION ERROR"))</f>
        <v>RECONCILED</v>
      </c>
      <c r="S1073" s="14" t="s">
        <v>2935</v>
      </c>
    </row>
    <row r="1074" customFormat="false" ht="15" hidden="true" customHeight="false" outlineLevel="0" collapsed="false">
      <c r="A1074" s="13" t="s">
        <v>5843</v>
      </c>
      <c r="B1074" s="13" t="s">
        <v>96</v>
      </c>
      <c r="C1074" s="13" t="s">
        <v>4156</v>
      </c>
      <c r="D1074" s="13" t="s">
        <v>1873</v>
      </c>
      <c r="E1074" s="13" t="s">
        <v>5844</v>
      </c>
      <c r="F1074" s="14" t="s">
        <v>5845</v>
      </c>
      <c r="G1074" s="14" t="s">
        <v>2827</v>
      </c>
      <c r="H1074" s="20" t="n">
        <v>35.9</v>
      </c>
      <c r="I1074" s="13" t="n">
        <v>28</v>
      </c>
      <c r="J1074" s="13" t="s">
        <v>5846</v>
      </c>
      <c r="K1074" s="13" t="n">
        <v>36</v>
      </c>
      <c r="L1074" s="21" t="n">
        <v>10.4</v>
      </c>
      <c r="M1074" s="21" t="n">
        <f aca="false">IF(C1074="covered",10.4,7.55)</f>
        <v>10.4</v>
      </c>
      <c r="N1074" s="13" t="n">
        <f aca="false">MAX(ROUNDUP(H1074,0),I1074)</f>
        <v>36</v>
      </c>
      <c r="O1074" s="21" t="n">
        <v>374.4</v>
      </c>
      <c r="P1074" s="21" t="n">
        <f aca="false">ROUND(M1074*N1074,2)</f>
        <v>374.4</v>
      </c>
      <c r="Q1074" s="21" t="n">
        <f aca="false">ROUND(P1074-IF(O1074="",0,O1074),2)</f>
        <v>0</v>
      </c>
      <c r="R1074" s="14" t="str">
        <f aca="false">IF(J1074="","MISSING BILL",IF(AND(K1074=N1074,ABS(L1074-M1074)&lt;0.001,ABS(O1074-P1074)&lt;0.01),"RECONCILED","CALCULATION ERROR"))</f>
        <v>RECONCILED</v>
      </c>
      <c r="S1074" s="14" t="s">
        <v>2935</v>
      </c>
    </row>
    <row r="1075" customFormat="false" ht="15" hidden="true" customHeight="false" outlineLevel="0" collapsed="false">
      <c r="A1075" s="13" t="s">
        <v>5847</v>
      </c>
      <c r="B1075" s="13" t="s">
        <v>96</v>
      </c>
      <c r="C1075" s="13" t="s">
        <v>4156</v>
      </c>
      <c r="D1075" s="13" t="s">
        <v>1873</v>
      </c>
      <c r="E1075" s="13" t="s">
        <v>5848</v>
      </c>
      <c r="F1075" s="14" t="s">
        <v>5849</v>
      </c>
      <c r="G1075" s="14" t="s">
        <v>5594</v>
      </c>
      <c r="H1075" s="20" t="n">
        <v>56.3</v>
      </c>
      <c r="I1075" s="13" t="n">
        <v>28</v>
      </c>
      <c r="J1075" s="13" t="s">
        <v>5850</v>
      </c>
      <c r="K1075" s="13" t="n">
        <v>57</v>
      </c>
      <c r="L1075" s="21" t="n">
        <v>10.4</v>
      </c>
      <c r="M1075" s="21" t="n">
        <f aca="false">IF(C1075="covered",10.4,7.55)</f>
        <v>10.4</v>
      </c>
      <c r="N1075" s="13" t="n">
        <f aca="false">MAX(ROUNDUP(H1075,0),I1075)</f>
        <v>57</v>
      </c>
      <c r="O1075" s="21" t="n">
        <v>592.8</v>
      </c>
      <c r="P1075" s="21" t="n">
        <f aca="false">ROUND(M1075*N1075,2)</f>
        <v>592.8</v>
      </c>
      <c r="Q1075" s="21" t="n">
        <f aca="false">ROUND(P1075-IF(O1075="",0,O1075),2)</f>
        <v>0</v>
      </c>
      <c r="R1075" s="14" t="str">
        <f aca="false">IF(J1075="","MISSING BILL",IF(AND(K1075=N1075,ABS(L1075-M1075)&lt;0.001,ABS(O1075-P1075)&lt;0.01),"RECONCILED","CALCULATION ERROR"))</f>
        <v>RECONCILED</v>
      </c>
      <c r="S1075" s="14" t="s">
        <v>2935</v>
      </c>
    </row>
    <row r="1076" customFormat="false" ht="15" hidden="true" customHeight="false" outlineLevel="0" collapsed="false">
      <c r="A1076" s="13" t="s">
        <v>5851</v>
      </c>
      <c r="B1076" s="13" t="s">
        <v>96</v>
      </c>
      <c r="C1076" s="13" t="s">
        <v>4156</v>
      </c>
      <c r="D1076" s="13" t="s">
        <v>1873</v>
      </c>
      <c r="E1076" s="13" t="s">
        <v>5852</v>
      </c>
      <c r="F1076" s="14" t="s">
        <v>5853</v>
      </c>
      <c r="G1076" s="14" t="s">
        <v>2115</v>
      </c>
      <c r="H1076" s="20" t="n">
        <v>28.1</v>
      </c>
      <c r="I1076" s="13" t="n">
        <v>24</v>
      </c>
      <c r="J1076" s="13" t="s">
        <v>5854</v>
      </c>
      <c r="K1076" s="13" t="n">
        <v>29</v>
      </c>
      <c r="L1076" s="21" t="n">
        <v>10.4</v>
      </c>
      <c r="M1076" s="21" t="n">
        <f aca="false">IF(C1076="covered",10.4,7.55)</f>
        <v>10.4</v>
      </c>
      <c r="N1076" s="13" t="n">
        <f aca="false">MAX(ROUNDUP(H1076,0),I1076)</f>
        <v>29</v>
      </c>
      <c r="O1076" s="21" t="n">
        <v>301.6</v>
      </c>
      <c r="P1076" s="21" t="n">
        <f aca="false">ROUND(M1076*N1076,2)</f>
        <v>301.6</v>
      </c>
      <c r="Q1076" s="21" t="n">
        <f aca="false">ROUND(P1076-IF(O1076="",0,O1076),2)</f>
        <v>0</v>
      </c>
      <c r="R1076" s="14" t="str">
        <f aca="false">IF(J1076="","MISSING BILL",IF(AND(K1076=N1076,ABS(L1076-M1076)&lt;0.001,ABS(O1076-P1076)&lt;0.01),"RECONCILED","CALCULATION ERROR"))</f>
        <v>RECONCILED</v>
      </c>
      <c r="S1076" s="14" t="s">
        <v>2935</v>
      </c>
    </row>
    <row r="1077" customFormat="false" ht="15" hidden="true" customHeight="false" outlineLevel="0" collapsed="false">
      <c r="A1077" s="13" t="s">
        <v>5855</v>
      </c>
      <c r="B1077" s="13" t="s">
        <v>96</v>
      </c>
      <c r="C1077" s="13" t="s">
        <v>4156</v>
      </c>
      <c r="D1077" s="13" t="s">
        <v>1873</v>
      </c>
      <c r="E1077" s="13" t="s">
        <v>5856</v>
      </c>
      <c r="F1077" s="14" t="s">
        <v>5857</v>
      </c>
      <c r="G1077" s="14" t="s">
        <v>3085</v>
      </c>
      <c r="H1077" s="20" t="n">
        <v>46.3</v>
      </c>
      <c r="I1077" s="13" t="n">
        <v>36</v>
      </c>
      <c r="J1077" s="13" t="s">
        <v>5858</v>
      </c>
      <c r="K1077" s="13" t="n">
        <v>47</v>
      </c>
      <c r="L1077" s="21" t="n">
        <v>10.4</v>
      </c>
      <c r="M1077" s="21" t="n">
        <f aca="false">IF(C1077="covered",10.4,7.55)</f>
        <v>10.4</v>
      </c>
      <c r="N1077" s="13" t="n">
        <f aca="false">MAX(ROUNDUP(H1077,0),I1077)</f>
        <v>47</v>
      </c>
      <c r="O1077" s="21" t="n">
        <v>488.8</v>
      </c>
      <c r="P1077" s="21" t="n">
        <f aca="false">ROUND(M1077*N1077,2)</f>
        <v>488.8</v>
      </c>
      <c r="Q1077" s="21" t="n">
        <f aca="false">ROUND(P1077-IF(O1077="",0,O1077),2)</f>
        <v>0</v>
      </c>
      <c r="R1077" s="14" t="str">
        <f aca="false">IF(J1077="","MISSING BILL",IF(AND(K1077=N1077,ABS(L1077-M1077)&lt;0.001,ABS(O1077-P1077)&lt;0.01),"RECONCILED","CALCULATION ERROR"))</f>
        <v>RECONCILED</v>
      </c>
      <c r="S1077" s="14" t="s">
        <v>2935</v>
      </c>
    </row>
    <row r="1078" customFormat="false" ht="15" hidden="true" customHeight="false" outlineLevel="0" collapsed="false">
      <c r="A1078" s="13" t="s">
        <v>876</v>
      </c>
      <c r="B1078" s="13" t="s">
        <v>96</v>
      </c>
      <c r="C1078" s="13" t="s">
        <v>4156</v>
      </c>
      <c r="D1078" s="13" t="s">
        <v>1873</v>
      </c>
      <c r="E1078" s="13" t="s">
        <v>5859</v>
      </c>
      <c r="F1078" s="14" t="s">
        <v>5860</v>
      </c>
      <c r="G1078" s="14" t="s">
        <v>3969</v>
      </c>
      <c r="H1078" s="20" t="n">
        <v>49.2</v>
      </c>
      <c r="I1078" s="13" t="n">
        <v>36</v>
      </c>
      <c r="J1078" s="13" t="s">
        <v>5861</v>
      </c>
      <c r="K1078" s="13" t="n">
        <v>50</v>
      </c>
      <c r="L1078" s="21" t="n">
        <v>10.4</v>
      </c>
      <c r="M1078" s="21" t="n">
        <f aca="false">IF(C1078="covered",10.4,7.55)</f>
        <v>10.4</v>
      </c>
      <c r="N1078" s="13" t="n">
        <f aca="false">MAX(ROUNDUP(H1078,0),I1078)</f>
        <v>50</v>
      </c>
      <c r="O1078" s="21" t="n">
        <v>520</v>
      </c>
      <c r="P1078" s="21" t="n">
        <f aca="false">ROUND(M1078*N1078,2)</f>
        <v>520</v>
      </c>
      <c r="Q1078" s="21" t="n">
        <f aca="false">ROUND(P1078-IF(O1078="",0,O1078),2)</f>
        <v>0</v>
      </c>
      <c r="R1078" s="14" t="str">
        <f aca="false">IF(J1078="","MISSING BILL",IF(AND(K1078=N1078,ABS(L1078-M1078)&lt;0.001,ABS(O1078-P1078)&lt;0.01),"RECONCILED","CALCULATION ERROR"))</f>
        <v>RECONCILED</v>
      </c>
      <c r="S1078" s="14" t="s">
        <v>2935</v>
      </c>
    </row>
    <row r="1079" customFormat="false" ht="15" hidden="true" customHeight="false" outlineLevel="0" collapsed="false">
      <c r="A1079" s="13" t="s">
        <v>5862</v>
      </c>
      <c r="B1079" s="13" t="s">
        <v>96</v>
      </c>
      <c r="C1079" s="13" t="s">
        <v>4156</v>
      </c>
      <c r="D1079" s="13" t="s">
        <v>1873</v>
      </c>
      <c r="E1079" s="13" t="s">
        <v>5863</v>
      </c>
      <c r="F1079" s="14" t="s">
        <v>5864</v>
      </c>
      <c r="G1079" s="14" t="s">
        <v>2171</v>
      </c>
      <c r="H1079" s="20" t="n">
        <v>43.3</v>
      </c>
      <c r="I1079" s="13" t="n">
        <v>28</v>
      </c>
      <c r="J1079" s="13" t="s">
        <v>5865</v>
      </c>
      <c r="K1079" s="13" t="n">
        <v>44</v>
      </c>
      <c r="L1079" s="21" t="n">
        <v>10.4</v>
      </c>
      <c r="M1079" s="21" t="n">
        <f aca="false">IF(C1079="covered",10.4,7.55)</f>
        <v>10.4</v>
      </c>
      <c r="N1079" s="13" t="n">
        <f aca="false">MAX(ROUNDUP(H1079,0),I1079)</f>
        <v>44</v>
      </c>
      <c r="O1079" s="21" t="n">
        <v>457.6</v>
      </c>
      <c r="P1079" s="21" t="n">
        <f aca="false">ROUND(M1079*N1079,2)</f>
        <v>457.6</v>
      </c>
      <c r="Q1079" s="21" t="n">
        <f aca="false">ROUND(P1079-IF(O1079="",0,O1079),2)</f>
        <v>0</v>
      </c>
      <c r="R1079" s="14" t="str">
        <f aca="false">IF(J1079="","MISSING BILL",IF(AND(K1079=N1079,ABS(L1079-M1079)&lt;0.001,ABS(O1079-P1079)&lt;0.01),"RECONCILED","CALCULATION ERROR"))</f>
        <v>RECONCILED</v>
      </c>
      <c r="S1079" s="14" t="s">
        <v>2935</v>
      </c>
    </row>
    <row r="1080" customFormat="false" ht="15" hidden="true" customHeight="false" outlineLevel="0" collapsed="false">
      <c r="A1080" s="13" t="s">
        <v>5866</v>
      </c>
      <c r="B1080" s="13" t="s">
        <v>96</v>
      </c>
      <c r="C1080" s="13" t="s">
        <v>4156</v>
      </c>
      <c r="D1080" s="13" t="s">
        <v>1873</v>
      </c>
      <c r="E1080" s="13" t="s">
        <v>5867</v>
      </c>
      <c r="F1080" s="14" t="s">
        <v>5868</v>
      </c>
      <c r="G1080" s="14" t="s">
        <v>4085</v>
      </c>
      <c r="H1080" s="20" t="n">
        <v>48.1</v>
      </c>
      <c r="I1080" s="13" t="n">
        <v>24</v>
      </c>
      <c r="J1080" s="13" t="s">
        <v>5869</v>
      </c>
      <c r="K1080" s="13" t="n">
        <v>49</v>
      </c>
      <c r="L1080" s="21" t="n">
        <v>10.4</v>
      </c>
      <c r="M1080" s="21" t="n">
        <f aca="false">IF(C1080="covered",10.4,7.55)</f>
        <v>10.4</v>
      </c>
      <c r="N1080" s="13" t="n">
        <f aca="false">MAX(ROUNDUP(H1080,0),I1080)</f>
        <v>49</v>
      </c>
      <c r="O1080" s="21" t="n">
        <v>509.6</v>
      </c>
      <c r="P1080" s="21" t="n">
        <f aca="false">ROUND(M1080*N1080,2)</f>
        <v>509.6</v>
      </c>
      <c r="Q1080" s="21" t="n">
        <f aca="false">ROUND(P1080-IF(O1080="",0,O1080),2)</f>
        <v>0</v>
      </c>
      <c r="R1080" s="14" t="str">
        <f aca="false">IF(J1080="","MISSING BILL",IF(AND(K1080=N1080,ABS(L1080-M1080)&lt;0.001,ABS(O1080-P1080)&lt;0.01),"RECONCILED","CALCULATION ERROR"))</f>
        <v>RECONCILED</v>
      </c>
      <c r="S1080" s="14" t="s">
        <v>2935</v>
      </c>
    </row>
    <row r="1081" customFormat="false" ht="15" hidden="true" customHeight="false" outlineLevel="0" collapsed="false">
      <c r="A1081" s="13" t="s">
        <v>5870</v>
      </c>
      <c r="B1081" s="13" t="s">
        <v>96</v>
      </c>
      <c r="C1081" s="13" t="s">
        <v>4156</v>
      </c>
      <c r="D1081" s="13" t="s">
        <v>1873</v>
      </c>
      <c r="E1081" s="13" t="s">
        <v>5871</v>
      </c>
      <c r="F1081" s="14" t="s">
        <v>5872</v>
      </c>
      <c r="G1081" s="14" t="s">
        <v>4093</v>
      </c>
      <c r="H1081" s="20" t="n">
        <v>28.3</v>
      </c>
      <c r="I1081" s="13" t="n">
        <v>40</v>
      </c>
      <c r="J1081" s="13" t="s">
        <v>5873</v>
      </c>
      <c r="K1081" s="13" t="n">
        <v>40</v>
      </c>
      <c r="L1081" s="21" t="n">
        <v>10.4</v>
      </c>
      <c r="M1081" s="21" t="n">
        <f aca="false">IF(C1081="covered",10.4,7.55)</f>
        <v>10.4</v>
      </c>
      <c r="N1081" s="13" t="n">
        <f aca="false">MAX(ROUNDUP(H1081,0),I1081)</f>
        <v>40</v>
      </c>
      <c r="O1081" s="21" t="n">
        <v>416</v>
      </c>
      <c r="P1081" s="21" t="n">
        <f aca="false">ROUND(M1081*N1081,2)</f>
        <v>416</v>
      </c>
      <c r="Q1081" s="21" t="n">
        <f aca="false">ROUND(P1081-IF(O1081="",0,O1081),2)</f>
        <v>0</v>
      </c>
      <c r="R1081" s="14" t="str">
        <f aca="false">IF(J1081="","MISSING BILL",IF(AND(K1081=N1081,ABS(L1081-M1081)&lt;0.001,ABS(O1081-P1081)&lt;0.01),"RECONCILED","CALCULATION ERROR"))</f>
        <v>RECONCILED</v>
      </c>
      <c r="S1081" s="14" t="s">
        <v>2935</v>
      </c>
    </row>
    <row r="1082" customFormat="false" ht="15" hidden="true" customHeight="false" outlineLevel="0" collapsed="false">
      <c r="A1082" s="13" t="s">
        <v>5874</v>
      </c>
      <c r="B1082" s="13" t="s">
        <v>96</v>
      </c>
      <c r="C1082" s="13" t="s">
        <v>4156</v>
      </c>
      <c r="D1082" s="13" t="s">
        <v>1873</v>
      </c>
      <c r="E1082" s="13" t="s">
        <v>5875</v>
      </c>
      <c r="F1082" s="14" t="s">
        <v>5876</v>
      </c>
      <c r="G1082" s="14" t="s">
        <v>2801</v>
      </c>
      <c r="H1082" s="20" t="n">
        <v>57.4</v>
      </c>
      <c r="I1082" s="13" t="n">
        <v>40</v>
      </c>
      <c r="J1082" s="13" t="s">
        <v>5877</v>
      </c>
      <c r="K1082" s="13" t="n">
        <v>58</v>
      </c>
      <c r="L1082" s="21" t="n">
        <v>10.4</v>
      </c>
      <c r="M1082" s="21" t="n">
        <f aca="false">IF(C1082="covered",10.4,7.55)</f>
        <v>10.4</v>
      </c>
      <c r="N1082" s="13" t="n">
        <f aca="false">MAX(ROUNDUP(H1082,0),I1082)</f>
        <v>58</v>
      </c>
      <c r="O1082" s="21" t="n">
        <v>603.2</v>
      </c>
      <c r="P1082" s="21" t="n">
        <f aca="false">ROUND(M1082*N1082,2)</f>
        <v>603.2</v>
      </c>
      <c r="Q1082" s="21" t="n">
        <f aca="false">ROUND(P1082-IF(O1082="",0,O1082),2)</f>
        <v>0</v>
      </c>
      <c r="R1082" s="14" t="str">
        <f aca="false">IF(J1082="","MISSING BILL",IF(AND(K1082=N1082,ABS(L1082-M1082)&lt;0.001,ABS(O1082-P1082)&lt;0.01),"RECONCILED","CALCULATION ERROR"))</f>
        <v>RECONCILED</v>
      </c>
      <c r="S1082" s="14" t="s">
        <v>2935</v>
      </c>
    </row>
    <row r="1083" customFormat="false" ht="15" hidden="true" customHeight="false" outlineLevel="0" collapsed="false">
      <c r="A1083" s="13" t="s">
        <v>5878</v>
      </c>
      <c r="B1083" s="13" t="s">
        <v>96</v>
      </c>
      <c r="C1083" s="13" t="s">
        <v>4156</v>
      </c>
      <c r="D1083" s="13" t="s">
        <v>1873</v>
      </c>
      <c r="E1083" s="13" t="s">
        <v>5879</v>
      </c>
      <c r="F1083" s="14" t="s">
        <v>5880</v>
      </c>
      <c r="G1083" s="14" t="s">
        <v>2133</v>
      </c>
      <c r="H1083" s="20" t="n">
        <v>21</v>
      </c>
      <c r="I1083" s="13" t="n">
        <v>28</v>
      </c>
      <c r="J1083" s="13" t="s">
        <v>5881</v>
      </c>
      <c r="K1083" s="13" t="n">
        <v>28</v>
      </c>
      <c r="L1083" s="21" t="n">
        <v>10.4</v>
      </c>
      <c r="M1083" s="21" t="n">
        <f aca="false">IF(C1083="covered",10.4,7.55)</f>
        <v>10.4</v>
      </c>
      <c r="N1083" s="13" t="n">
        <f aca="false">MAX(ROUNDUP(H1083,0),I1083)</f>
        <v>28</v>
      </c>
      <c r="O1083" s="21" t="n">
        <v>291.2</v>
      </c>
      <c r="P1083" s="21" t="n">
        <f aca="false">ROUND(M1083*N1083,2)</f>
        <v>291.2</v>
      </c>
      <c r="Q1083" s="21" t="n">
        <f aca="false">ROUND(P1083-IF(O1083="",0,O1083),2)</f>
        <v>0</v>
      </c>
      <c r="R1083" s="14" t="str">
        <f aca="false">IF(J1083="","MISSING BILL",IF(AND(K1083=N1083,ABS(L1083-M1083)&lt;0.001,ABS(O1083-P1083)&lt;0.01),"RECONCILED","CALCULATION ERROR"))</f>
        <v>RECONCILED</v>
      </c>
      <c r="S1083" s="14" t="s">
        <v>2935</v>
      </c>
    </row>
    <row r="1084" customFormat="false" ht="15" hidden="true" customHeight="false" outlineLevel="0" collapsed="false">
      <c r="A1084" s="13" t="s">
        <v>1293</v>
      </c>
      <c r="B1084" s="13" t="s">
        <v>96</v>
      </c>
      <c r="C1084" s="13" t="s">
        <v>4156</v>
      </c>
      <c r="D1084" s="13" t="s">
        <v>1873</v>
      </c>
      <c r="E1084" s="13" t="s">
        <v>1135</v>
      </c>
      <c r="F1084" s="14" t="s">
        <v>1136</v>
      </c>
      <c r="G1084" s="14" t="s">
        <v>2366</v>
      </c>
      <c r="H1084" s="20" t="n">
        <v>32.3</v>
      </c>
      <c r="I1084" s="13" t="n">
        <v>36</v>
      </c>
      <c r="J1084" s="13" t="s">
        <v>5882</v>
      </c>
      <c r="K1084" s="13" t="n">
        <v>36</v>
      </c>
      <c r="L1084" s="21" t="n">
        <v>10.4</v>
      </c>
      <c r="M1084" s="21" t="n">
        <f aca="false">IF(C1084="covered",10.4,7.55)</f>
        <v>10.4</v>
      </c>
      <c r="N1084" s="13" t="n">
        <f aca="false">MAX(ROUNDUP(H1084,0),I1084)</f>
        <v>36</v>
      </c>
      <c r="O1084" s="21" t="n">
        <v>374.4</v>
      </c>
      <c r="P1084" s="21" t="n">
        <f aca="false">ROUND(M1084*N1084,2)</f>
        <v>374.4</v>
      </c>
      <c r="Q1084" s="21" t="n">
        <f aca="false">ROUND(P1084-IF(O1084="",0,O1084),2)</f>
        <v>0</v>
      </c>
      <c r="R1084" s="14" t="str">
        <f aca="false">IF(J1084="","MISSING BILL",IF(AND(K1084=N1084,ABS(L1084-M1084)&lt;0.001,ABS(O1084-P1084)&lt;0.01),"RECONCILED","CALCULATION ERROR"))</f>
        <v>RECONCILED</v>
      </c>
      <c r="S1084" s="14" t="s">
        <v>2935</v>
      </c>
    </row>
    <row r="1085" customFormat="false" ht="15" hidden="true" customHeight="false" outlineLevel="0" collapsed="false">
      <c r="A1085" s="13" t="s">
        <v>5883</v>
      </c>
      <c r="B1085" s="13" t="s">
        <v>96</v>
      </c>
      <c r="C1085" s="13" t="s">
        <v>4156</v>
      </c>
      <c r="D1085" s="13" t="s">
        <v>1873</v>
      </c>
      <c r="E1085" s="13" t="s">
        <v>5884</v>
      </c>
      <c r="F1085" s="14" t="s">
        <v>5885</v>
      </c>
      <c r="G1085" s="14" t="s">
        <v>2328</v>
      </c>
      <c r="H1085" s="20" t="n">
        <v>38.1</v>
      </c>
      <c r="I1085" s="13" t="n">
        <v>36</v>
      </c>
      <c r="J1085" s="13" t="s">
        <v>5886</v>
      </c>
      <c r="K1085" s="13" t="n">
        <v>39</v>
      </c>
      <c r="L1085" s="21" t="n">
        <v>10.4</v>
      </c>
      <c r="M1085" s="21" t="n">
        <f aca="false">IF(C1085="covered",10.4,7.55)</f>
        <v>10.4</v>
      </c>
      <c r="N1085" s="13" t="n">
        <f aca="false">MAX(ROUNDUP(H1085,0),I1085)</f>
        <v>39</v>
      </c>
      <c r="O1085" s="21" t="n">
        <v>405.6</v>
      </c>
      <c r="P1085" s="21" t="n">
        <f aca="false">ROUND(M1085*N1085,2)</f>
        <v>405.6</v>
      </c>
      <c r="Q1085" s="21" t="n">
        <f aca="false">ROUND(P1085-IF(O1085="",0,O1085),2)</f>
        <v>0</v>
      </c>
      <c r="R1085" s="14" t="str">
        <f aca="false">IF(J1085="","MISSING BILL",IF(AND(K1085=N1085,ABS(L1085-M1085)&lt;0.001,ABS(O1085-P1085)&lt;0.01),"RECONCILED","CALCULATION ERROR"))</f>
        <v>RECONCILED</v>
      </c>
      <c r="S1085" s="14" t="s">
        <v>2935</v>
      </c>
    </row>
    <row r="1086" customFormat="false" ht="15" hidden="true" customHeight="false" outlineLevel="0" collapsed="false">
      <c r="A1086" s="13" t="s">
        <v>5887</v>
      </c>
      <c r="B1086" s="13" t="s">
        <v>96</v>
      </c>
      <c r="C1086" s="13" t="s">
        <v>4156</v>
      </c>
      <c r="D1086" s="13" t="s">
        <v>1873</v>
      </c>
      <c r="E1086" s="13" t="s">
        <v>1712</v>
      </c>
      <c r="F1086" s="14" t="s">
        <v>1713</v>
      </c>
      <c r="G1086" s="14" t="s">
        <v>3907</v>
      </c>
      <c r="H1086" s="20" t="n">
        <v>50</v>
      </c>
      <c r="I1086" s="13" t="n">
        <v>24</v>
      </c>
      <c r="J1086" s="13" t="s">
        <v>5888</v>
      </c>
      <c r="K1086" s="13" t="n">
        <v>50</v>
      </c>
      <c r="L1086" s="21" t="n">
        <v>10.4</v>
      </c>
      <c r="M1086" s="21" t="n">
        <f aca="false">IF(C1086="covered",10.4,7.55)</f>
        <v>10.4</v>
      </c>
      <c r="N1086" s="13" t="n">
        <f aca="false">MAX(ROUNDUP(H1086,0),I1086)</f>
        <v>50</v>
      </c>
      <c r="O1086" s="21" t="n">
        <v>520</v>
      </c>
      <c r="P1086" s="21" t="n">
        <f aca="false">ROUND(M1086*N1086,2)</f>
        <v>520</v>
      </c>
      <c r="Q1086" s="21" t="n">
        <f aca="false">ROUND(P1086-IF(O1086="",0,O1086),2)</f>
        <v>0</v>
      </c>
      <c r="R1086" s="14" t="str">
        <f aca="false">IF(J1086="","MISSING BILL",IF(AND(K1086=N1086,ABS(L1086-M1086)&lt;0.001,ABS(O1086-P1086)&lt;0.01),"RECONCILED","CALCULATION ERROR"))</f>
        <v>RECONCILED</v>
      </c>
      <c r="S1086" s="14" t="s">
        <v>2935</v>
      </c>
    </row>
    <row r="1087" customFormat="false" ht="15" hidden="true" customHeight="false" outlineLevel="0" collapsed="false">
      <c r="A1087" s="13" t="s">
        <v>5889</v>
      </c>
      <c r="B1087" s="13" t="s">
        <v>96</v>
      </c>
      <c r="C1087" s="13" t="s">
        <v>4156</v>
      </c>
      <c r="D1087" s="13" t="s">
        <v>1873</v>
      </c>
      <c r="E1087" s="13" t="s">
        <v>5890</v>
      </c>
      <c r="F1087" s="14" t="s">
        <v>5891</v>
      </c>
      <c r="G1087" s="14" t="s">
        <v>2073</v>
      </c>
      <c r="H1087" s="20" t="n">
        <v>34.6</v>
      </c>
      <c r="I1087" s="13" t="n">
        <v>24</v>
      </c>
      <c r="J1087" s="13" t="s">
        <v>5892</v>
      </c>
      <c r="K1087" s="13" t="n">
        <v>35</v>
      </c>
      <c r="L1087" s="21" t="n">
        <v>10.4</v>
      </c>
      <c r="M1087" s="21" t="n">
        <f aca="false">IF(C1087="covered",10.4,7.55)</f>
        <v>10.4</v>
      </c>
      <c r="N1087" s="13" t="n">
        <f aca="false">MAX(ROUNDUP(H1087,0),I1087)</f>
        <v>35</v>
      </c>
      <c r="O1087" s="21" t="n">
        <v>364</v>
      </c>
      <c r="P1087" s="21" t="n">
        <f aca="false">ROUND(M1087*N1087,2)</f>
        <v>364</v>
      </c>
      <c r="Q1087" s="21" t="n">
        <f aca="false">ROUND(P1087-IF(O1087="",0,O1087),2)</f>
        <v>0</v>
      </c>
      <c r="R1087" s="14" t="str">
        <f aca="false">IF(J1087="","MISSING BILL",IF(AND(K1087=N1087,ABS(L1087-M1087)&lt;0.001,ABS(O1087-P1087)&lt;0.01),"RECONCILED","CALCULATION ERROR"))</f>
        <v>RECONCILED</v>
      </c>
      <c r="S1087" s="14" t="s">
        <v>2935</v>
      </c>
    </row>
    <row r="1088" customFormat="false" ht="15" hidden="true" customHeight="false" outlineLevel="0" collapsed="false">
      <c r="A1088" s="13" t="s">
        <v>5893</v>
      </c>
      <c r="B1088" s="13" t="s">
        <v>96</v>
      </c>
      <c r="C1088" s="13" t="s">
        <v>4156</v>
      </c>
      <c r="D1088" s="13" t="s">
        <v>1873</v>
      </c>
      <c r="E1088" s="13" t="s">
        <v>266</v>
      </c>
      <c r="F1088" s="14" t="s">
        <v>267</v>
      </c>
      <c r="G1088" s="14" t="s">
        <v>5894</v>
      </c>
      <c r="H1088" s="20" t="n">
        <v>51.9</v>
      </c>
      <c r="I1088" s="13" t="n">
        <v>36</v>
      </c>
      <c r="J1088" s="13" t="s">
        <v>5895</v>
      </c>
      <c r="K1088" s="13" t="n">
        <v>52</v>
      </c>
      <c r="L1088" s="21" t="n">
        <v>10.4</v>
      </c>
      <c r="M1088" s="21" t="n">
        <f aca="false">IF(C1088="covered",10.4,7.55)</f>
        <v>10.4</v>
      </c>
      <c r="N1088" s="13" t="n">
        <f aca="false">MAX(ROUNDUP(H1088,0),I1088)</f>
        <v>52</v>
      </c>
      <c r="O1088" s="21" t="n">
        <v>540.8</v>
      </c>
      <c r="P1088" s="21" t="n">
        <f aca="false">ROUND(M1088*N1088,2)</f>
        <v>540.8</v>
      </c>
      <c r="Q1088" s="21" t="n">
        <f aca="false">ROUND(P1088-IF(O1088="",0,O1088),2)</f>
        <v>0</v>
      </c>
      <c r="R1088" s="14" t="str">
        <f aca="false">IF(J1088="","MISSING BILL",IF(AND(K1088=N1088,ABS(L1088-M1088)&lt;0.001,ABS(O1088-P1088)&lt;0.01),"RECONCILED","CALCULATION ERROR"))</f>
        <v>RECONCILED</v>
      </c>
      <c r="S1088" s="14" t="s">
        <v>2935</v>
      </c>
    </row>
    <row r="1089" customFormat="false" ht="15" hidden="true" customHeight="false" outlineLevel="0" collapsed="false">
      <c r="A1089" s="13" t="s">
        <v>5896</v>
      </c>
      <c r="B1089" s="13" t="s">
        <v>96</v>
      </c>
      <c r="C1089" s="13" t="s">
        <v>4156</v>
      </c>
      <c r="D1089" s="13" t="s">
        <v>1873</v>
      </c>
      <c r="E1089" s="13" t="s">
        <v>5897</v>
      </c>
      <c r="F1089" s="14" t="s">
        <v>5898</v>
      </c>
      <c r="G1089" s="14" t="s">
        <v>2626</v>
      </c>
      <c r="H1089" s="20" t="n">
        <v>33.4</v>
      </c>
      <c r="I1089" s="13" t="n">
        <v>24</v>
      </c>
      <c r="J1089" s="13" t="s">
        <v>5899</v>
      </c>
      <c r="K1089" s="13" t="n">
        <v>34</v>
      </c>
      <c r="L1089" s="21" t="n">
        <v>10.4</v>
      </c>
      <c r="M1089" s="21" t="n">
        <f aca="false">IF(C1089="covered",10.4,7.55)</f>
        <v>10.4</v>
      </c>
      <c r="N1089" s="13" t="n">
        <f aca="false">MAX(ROUNDUP(H1089,0),I1089)</f>
        <v>34</v>
      </c>
      <c r="O1089" s="21" t="n">
        <v>353.6</v>
      </c>
      <c r="P1089" s="21" t="n">
        <f aca="false">ROUND(M1089*N1089,2)</f>
        <v>353.6</v>
      </c>
      <c r="Q1089" s="21" t="n">
        <f aca="false">ROUND(P1089-IF(O1089="",0,O1089),2)</f>
        <v>0</v>
      </c>
      <c r="R1089" s="14" t="str">
        <f aca="false">IF(J1089="","MISSING BILL",IF(AND(K1089=N1089,ABS(L1089-M1089)&lt;0.001,ABS(O1089-P1089)&lt;0.01),"RECONCILED","CALCULATION ERROR"))</f>
        <v>RECONCILED</v>
      </c>
      <c r="S1089" s="14" t="s">
        <v>2935</v>
      </c>
    </row>
    <row r="1090" customFormat="false" ht="15" hidden="true" customHeight="false" outlineLevel="0" collapsed="false">
      <c r="A1090" s="13" t="s">
        <v>5900</v>
      </c>
      <c r="B1090" s="13" t="s">
        <v>96</v>
      </c>
      <c r="C1090" s="13" t="s">
        <v>4156</v>
      </c>
      <c r="D1090" s="13" t="s">
        <v>1873</v>
      </c>
      <c r="E1090" s="13" t="s">
        <v>5901</v>
      </c>
      <c r="F1090" s="14" t="s">
        <v>5902</v>
      </c>
      <c r="G1090" s="14" t="s">
        <v>2959</v>
      </c>
      <c r="H1090" s="20" t="n">
        <v>36.8</v>
      </c>
      <c r="I1090" s="13" t="n">
        <v>40</v>
      </c>
      <c r="J1090" s="13" t="s">
        <v>5903</v>
      </c>
      <c r="K1090" s="13" t="n">
        <v>40</v>
      </c>
      <c r="L1090" s="21" t="n">
        <v>10.4</v>
      </c>
      <c r="M1090" s="21" t="n">
        <f aca="false">IF(C1090="covered",10.4,7.55)</f>
        <v>10.4</v>
      </c>
      <c r="N1090" s="13" t="n">
        <f aca="false">MAX(ROUNDUP(H1090,0),I1090)</f>
        <v>40</v>
      </c>
      <c r="O1090" s="21" t="n">
        <v>416</v>
      </c>
      <c r="P1090" s="21" t="n">
        <f aca="false">ROUND(M1090*N1090,2)</f>
        <v>416</v>
      </c>
      <c r="Q1090" s="21" t="n">
        <f aca="false">ROUND(P1090-IF(O1090="",0,O1090),2)</f>
        <v>0</v>
      </c>
      <c r="R1090" s="14" t="str">
        <f aca="false">IF(J1090="","MISSING BILL",IF(AND(K1090=N1090,ABS(L1090-M1090)&lt;0.001,ABS(O1090-P1090)&lt;0.01),"RECONCILED","CALCULATION ERROR"))</f>
        <v>RECONCILED</v>
      </c>
      <c r="S1090" s="14" t="s">
        <v>2935</v>
      </c>
    </row>
    <row r="1091" customFormat="false" ht="15" hidden="true" customHeight="false" outlineLevel="0" collapsed="false">
      <c r="A1091" s="13" t="s">
        <v>691</v>
      </c>
      <c r="B1091" s="13" t="s">
        <v>96</v>
      </c>
      <c r="C1091" s="13" t="s">
        <v>4156</v>
      </c>
      <c r="D1091" s="13" t="s">
        <v>1873</v>
      </c>
      <c r="E1091" s="13" t="s">
        <v>5904</v>
      </c>
      <c r="F1091" s="14" t="s">
        <v>5905</v>
      </c>
      <c r="G1091" s="14" t="s">
        <v>2065</v>
      </c>
      <c r="H1091" s="20" t="n">
        <v>40.5</v>
      </c>
      <c r="I1091" s="13" t="n">
        <v>40</v>
      </c>
      <c r="J1091" s="13" t="s">
        <v>5906</v>
      </c>
      <c r="K1091" s="13" t="n">
        <v>41</v>
      </c>
      <c r="L1091" s="21" t="n">
        <v>10.4</v>
      </c>
      <c r="M1091" s="21" t="n">
        <f aca="false">IF(C1091="covered",10.4,7.55)</f>
        <v>10.4</v>
      </c>
      <c r="N1091" s="13" t="n">
        <f aca="false">MAX(ROUNDUP(H1091,0),I1091)</f>
        <v>41</v>
      </c>
      <c r="O1091" s="21" t="n">
        <v>426.4</v>
      </c>
      <c r="P1091" s="21" t="n">
        <f aca="false">ROUND(M1091*N1091,2)</f>
        <v>426.4</v>
      </c>
      <c r="Q1091" s="21" t="n">
        <f aca="false">ROUND(P1091-IF(O1091="",0,O1091),2)</f>
        <v>0</v>
      </c>
      <c r="R1091" s="14" t="str">
        <f aca="false">IF(J1091="","MISSING BILL",IF(AND(K1091=N1091,ABS(L1091-M1091)&lt;0.001,ABS(O1091-P1091)&lt;0.01),"RECONCILED","CALCULATION ERROR"))</f>
        <v>RECONCILED</v>
      </c>
      <c r="S1091" s="14" t="s">
        <v>2935</v>
      </c>
    </row>
    <row r="1092" customFormat="false" ht="15" hidden="true" customHeight="false" outlineLevel="0" collapsed="false">
      <c r="A1092" s="13" t="s">
        <v>5907</v>
      </c>
      <c r="B1092" s="13" t="s">
        <v>96</v>
      </c>
      <c r="C1092" s="13" t="s">
        <v>4156</v>
      </c>
      <c r="D1092" s="13" t="s">
        <v>1873</v>
      </c>
      <c r="E1092" s="13" t="s">
        <v>5908</v>
      </c>
      <c r="F1092" s="14" t="s">
        <v>5909</v>
      </c>
      <c r="G1092" s="14" t="s">
        <v>2541</v>
      </c>
      <c r="H1092" s="20" t="n">
        <v>56.3</v>
      </c>
      <c r="I1092" s="13" t="n">
        <v>36</v>
      </c>
      <c r="J1092" s="13" t="s">
        <v>5910</v>
      </c>
      <c r="K1092" s="13" t="n">
        <v>57</v>
      </c>
      <c r="L1092" s="21" t="n">
        <v>10.4</v>
      </c>
      <c r="M1092" s="21" t="n">
        <f aca="false">IF(C1092="covered",10.4,7.55)</f>
        <v>10.4</v>
      </c>
      <c r="N1092" s="13" t="n">
        <f aca="false">MAX(ROUNDUP(H1092,0),I1092)</f>
        <v>57</v>
      </c>
      <c r="O1092" s="21" t="n">
        <v>592.8</v>
      </c>
      <c r="P1092" s="21" t="n">
        <f aca="false">ROUND(M1092*N1092,2)</f>
        <v>592.8</v>
      </c>
      <c r="Q1092" s="21" t="n">
        <f aca="false">ROUND(P1092-IF(O1092="",0,O1092),2)</f>
        <v>0</v>
      </c>
      <c r="R1092" s="14" t="str">
        <f aca="false">IF(J1092="","MISSING BILL",IF(AND(K1092=N1092,ABS(L1092-M1092)&lt;0.001,ABS(O1092-P1092)&lt;0.01),"RECONCILED","CALCULATION ERROR"))</f>
        <v>RECONCILED</v>
      </c>
      <c r="S1092" s="14" t="s">
        <v>2935</v>
      </c>
    </row>
    <row r="1093" customFormat="false" ht="15" hidden="true" customHeight="false" outlineLevel="0" collapsed="false">
      <c r="A1093" s="13" t="s">
        <v>95</v>
      </c>
      <c r="B1093" s="13" t="s">
        <v>96</v>
      </c>
      <c r="C1093" s="13" t="s">
        <v>4156</v>
      </c>
      <c r="D1093" s="13" t="s">
        <v>1873</v>
      </c>
      <c r="E1093" s="13" t="s">
        <v>5911</v>
      </c>
      <c r="F1093" s="14" t="s">
        <v>5912</v>
      </c>
      <c r="G1093" s="14" t="s">
        <v>3043</v>
      </c>
      <c r="H1093" s="20" t="n">
        <v>29.6</v>
      </c>
      <c r="I1093" s="13" t="n">
        <v>28</v>
      </c>
      <c r="J1093" s="13" t="s">
        <v>5913</v>
      </c>
      <c r="K1093" s="13" t="n">
        <v>30</v>
      </c>
      <c r="L1093" s="21" t="n">
        <v>10.4</v>
      </c>
      <c r="M1093" s="21" t="n">
        <f aca="false">IF(C1093="covered",10.4,7.55)</f>
        <v>10.4</v>
      </c>
      <c r="N1093" s="13" t="n">
        <f aca="false">MAX(ROUNDUP(H1093,0),I1093)</f>
        <v>30</v>
      </c>
      <c r="O1093" s="21" t="n">
        <v>312</v>
      </c>
      <c r="P1093" s="21" t="n">
        <f aca="false">ROUND(M1093*N1093,2)</f>
        <v>312</v>
      </c>
      <c r="Q1093" s="21" t="n">
        <f aca="false">ROUND(P1093-IF(O1093="",0,O1093),2)</f>
        <v>0</v>
      </c>
      <c r="R1093" s="14" t="str">
        <f aca="false">IF(J1093="","MISSING BILL",IF(AND(K1093=N1093,ABS(L1093-M1093)&lt;0.001,ABS(O1093-P1093)&lt;0.01),"RECONCILED","CALCULATION ERROR"))</f>
        <v>RECONCILED</v>
      </c>
      <c r="S1093" s="14" t="s">
        <v>2935</v>
      </c>
    </row>
    <row r="1094" customFormat="false" ht="15" hidden="true" customHeight="false" outlineLevel="0" collapsed="false">
      <c r="A1094" s="13" t="s">
        <v>5914</v>
      </c>
      <c r="B1094" s="13" t="s">
        <v>96</v>
      </c>
      <c r="C1094" s="13" t="s">
        <v>4156</v>
      </c>
      <c r="D1094" s="13" t="s">
        <v>1873</v>
      </c>
      <c r="E1094" s="13" t="s">
        <v>5915</v>
      </c>
      <c r="F1094" s="14" t="s">
        <v>5916</v>
      </c>
      <c r="G1094" s="14" t="s">
        <v>4703</v>
      </c>
      <c r="H1094" s="20" t="n">
        <v>55.7</v>
      </c>
      <c r="I1094" s="13" t="n">
        <v>32</v>
      </c>
      <c r="J1094" s="13" t="s">
        <v>5917</v>
      </c>
      <c r="K1094" s="13" t="n">
        <v>56</v>
      </c>
      <c r="L1094" s="21" t="n">
        <v>10.4</v>
      </c>
      <c r="M1094" s="21" t="n">
        <f aca="false">IF(C1094="covered",10.4,7.55)</f>
        <v>10.4</v>
      </c>
      <c r="N1094" s="13" t="n">
        <f aca="false">MAX(ROUNDUP(H1094,0),I1094)</f>
        <v>56</v>
      </c>
      <c r="O1094" s="21" t="n">
        <v>582.4</v>
      </c>
      <c r="P1094" s="21" t="n">
        <f aca="false">ROUND(M1094*N1094,2)</f>
        <v>582.4</v>
      </c>
      <c r="Q1094" s="21" t="n">
        <f aca="false">ROUND(P1094-IF(O1094="",0,O1094),2)</f>
        <v>0</v>
      </c>
      <c r="R1094" s="14" t="str">
        <f aca="false">IF(J1094="","MISSING BILL",IF(AND(K1094=N1094,ABS(L1094-M1094)&lt;0.001,ABS(O1094-P1094)&lt;0.01),"RECONCILED","CALCULATION ERROR"))</f>
        <v>RECONCILED</v>
      </c>
      <c r="S1094" s="14" t="s">
        <v>2935</v>
      </c>
    </row>
  </sheetData>
  <autoFilter ref="A8:S1094"/>
  <mergeCells count="4">
    <mergeCell ref="A1:S1"/>
    <mergeCell ref="A2:S2"/>
    <mergeCell ref="A3:S3"/>
    <mergeCell ref="A4:S4"/>
  </mergeCells>
  <conditionalFormatting sqref="R9:R1094">
    <cfRule type="expression" priority="2" aboveAverage="0" equalAverage="0" bottom="0" percent="0" rank="0" text="" dxfId="10">
      <formula>R9="MISSING BILL"</formula>
    </cfRule>
    <cfRule type="expression" priority="3" aboveAverage="0" equalAverage="0" bottom="0" percent="0" rank="0" text="" dxfId="11">
      <formula>R9="RECONCILED"</formula>
    </cfRule>
  </conditionalFormatting>
  <printOptions headings="false" gridLines="false" gridLinesSet="true" horizontalCentered="false" verticalCentered="false"/>
  <pageMargins left="0.25" right="0.25" top="0.45" bottom="0.45" header="0.511811023622047" footer="0.179861111111111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&amp;K5e6b75Chaldale Harbor District | Moorage audit | August 1, 2026&amp;R&amp;8 &amp;K5e6b75Page &amp;P of &amp;N</oddFooter>
  </headerFooter>
  <rowBreaks count="3" manualBreakCount="3">
    <brk id="88" man="true" max="16383" min="0"/>
    <brk id="167" man="true" max="16383" min="0"/>
    <brk id="246" man="true" max="16383" min="0"/>
  </rowBreaks>
  <drawing r:id="rId2"/>
  <legacyDrawing r:id="rId3"/>
  <tableParts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3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10" min="6" style="0" width="12"/>
    <col collapsed="false" customWidth="true" hidden="false" outlineLevel="0" max="12" min="11" style="0" width="14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15"/>
    <col collapsed="false" customWidth="true" hidden="false" outlineLevel="0" max="16" min="16" style="0" width="22"/>
    <col collapsed="false" customWidth="true" hidden="false" outlineLevel="0" max="17" min="17" style="0" width="34"/>
  </cols>
  <sheetData>
    <row r="1" customFormat="false" ht="30" hidden="false" customHeight="true" outlineLevel="0" collapsed="false">
      <c r="A1" s="1" t="s">
        <v>5918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27" hidden="false" customHeight="true" outlineLevel="0" collapsed="false">
      <c r="A2" s="2" t="s">
        <v>5919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Format="false" ht="15" hidden="false" customHeight="true" outlineLevel="0" collapsed="false">
      <c r="A3" s="10" t="s">
        <v>5920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5" hidden="false" customHeight="false" outlineLevel="0" collapsed="false">
      <c r="A4" s="11" t="s">
        <v>5921</v>
      </c>
      <c r="D4" s="11" t="s">
        <v>5922</v>
      </c>
      <c r="G4" s="11" t="s">
        <v>5923</v>
      </c>
    </row>
    <row r="5" customFormat="false" ht="15" hidden="false" customHeight="false" outlineLevel="0" collapsed="false">
      <c r="B5" s="12" t="n">
        <f aca="false">COUNTIF(A8:A100,"AC-*")</f>
        <v>6</v>
      </c>
      <c r="E5" s="18" t="n">
        <f aca="false">SUMIF(A8:A100,"AC-*",K8:K100)</f>
        <v>4368</v>
      </c>
      <c r="H5" s="18" t="n">
        <f aca="false">SUMIF(A8:A100,"AC-*",L8:L100)</f>
        <v>13166.4</v>
      </c>
    </row>
    <row r="7" customFormat="false" ht="30" hidden="false" customHeight="true" outlineLevel="0" collapsed="false">
      <c r="A7" s="4" t="s">
        <v>5924</v>
      </c>
      <c r="B7" s="4" t="s">
        <v>1858</v>
      </c>
      <c r="C7" s="4" t="s">
        <v>5925</v>
      </c>
      <c r="D7" s="4" t="s">
        <v>57</v>
      </c>
      <c r="E7" s="4" t="s">
        <v>5926</v>
      </c>
      <c r="F7" s="4" t="s">
        <v>5927</v>
      </c>
      <c r="G7" s="4" t="s">
        <v>5928</v>
      </c>
      <c r="H7" s="4" t="s">
        <v>5929</v>
      </c>
      <c r="I7" s="4" t="s">
        <v>5930</v>
      </c>
      <c r="J7" s="4" t="s">
        <v>5931</v>
      </c>
      <c r="K7" s="4" t="s">
        <v>5932</v>
      </c>
      <c r="L7" s="4" t="s">
        <v>5923</v>
      </c>
      <c r="M7" s="4" t="s">
        <v>5933</v>
      </c>
      <c r="N7" s="4" t="s">
        <v>5934</v>
      </c>
      <c r="O7" s="4" t="s">
        <v>5935</v>
      </c>
      <c r="P7" s="4" t="s">
        <v>5936</v>
      </c>
      <c r="Q7" s="4" t="s">
        <v>5937</v>
      </c>
    </row>
    <row r="8" customFormat="false" ht="15" hidden="false" customHeight="false" outlineLevel="0" collapsed="false">
      <c r="A8" s="23" t="s">
        <v>5938</v>
      </c>
      <c r="B8" s="24" t="s">
        <v>4239</v>
      </c>
      <c r="C8" s="23" t="s">
        <v>4237</v>
      </c>
      <c r="D8" s="23" t="s">
        <v>70</v>
      </c>
      <c r="E8" s="23" t="s">
        <v>1873</v>
      </c>
      <c r="F8" s="25" t="n">
        <v>509.6</v>
      </c>
      <c r="G8" s="25" t="n">
        <v>509.6</v>
      </c>
      <c r="H8" s="25" t="n">
        <v>509.6</v>
      </c>
      <c r="I8" s="25" t="n">
        <v>509.6</v>
      </c>
      <c r="J8" s="25" t="n">
        <v>0</v>
      </c>
      <c r="K8" s="26" t="n">
        <f aca="false">SUM(I8:J8)</f>
        <v>509.6</v>
      </c>
      <c r="L8" s="25" t="n">
        <v>2038.4</v>
      </c>
      <c r="M8" s="23" t="s">
        <v>5939</v>
      </c>
      <c r="N8" s="23" t="s">
        <v>5940</v>
      </c>
      <c r="O8" s="23" t="s">
        <v>1741</v>
      </c>
      <c r="P8" s="24"/>
      <c r="Q8" s="24" t="s">
        <v>5941</v>
      </c>
    </row>
    <row r="9" customFormat="false" ht="15" hidden="false" customHeight="false" outlineLevel="0" collapsed="false">
      <c r="A9" s="23" t="s">
        <v>5942</v>
      </c>
      <c r="B9" s="24" t="s">
        <v>4403</v>
      </c>
      <c r="C9" s="23" t="s">
        <v>274</v>
      </c>
      <c r="D9" s="23" t="s">
        <v>70</v>
      </c>
      <c r="E9" s="23" t="s">
        <v>1873</v>
      </c>
      <c r="F9" s="25" t="n">
        <v>384.8</v>
      </c>
      <c r="G9" s="25" t="n">
        <v>384.8</v>
      </c>
      <c r="H9" s="25" t="n">
        <v>384.8</v>
      </c>
      <c r="I9" s="25" t="n">
        <v>384.8</v>
      </c>
      <c r="J9" s="25" t="n">
        <v>0</v>
      </c>
      <c r="K9" s="26" t="n">
        <f aca="false">SUM(I9:J9)</f>
        <v>384.8</v>
      </c>
      <c r="L9" s="25" t="n">
        <v>1539.2</v>
      </c>
      <c r="M9" s="23" t="s">
        <v>5943</v>
      </c>
      <c r="N9" s="23" t="s">
        <v>5940</v>
      </c>
      <c r="O9" s="23" t="s">
        <v>5944</v>
      </c>
      <c r="P9" s="24"/>
      <c r="Q9" s="24" t="s">
        <v>5945</v>
      </c>
    </row>
    <row r="10" customFormat="false" ht="15" hidden="false" customHeight="false" outlineLevel="0" collapsed="false">
      <c r="A10" s="23" t="s">
        <v>5946</v>
      </c>
      <c r="B10" s="24" t="s">
        <v>4575</v>
      </c>
      <c r="C10" s="23" t="s">
        <v>4573</v>
      </c>
      <c r="D10" s="23" t="s">
        <v>70</v>
      </c>
      <c r="E10" s="23" t="s">
        <v>1873</v>
      </c>
      <c r="F10" s="25" t="n">
        <v>603.2</v>
      </c>
      <c r="G10" s="25" t="n">
        <v>603.2</v>
      </c>
      <c r="H10" s="25" t="n">
        <v>603.2</v>
      </c>
      <c r="I10" s="25" t="n">
        <v>603.2</v>
      </c>
      <c r="J10" s="25" t="n">
        <v>603.2</v>
      </c>
      <c r="K10" s="26" t="n">
        <f aca="false">SUM(I10:J10)</f>
        <v>1206.4</v>
      </c>
      <c r="L10" s="25" t="n">
        <v>3016</v>
      </c>
      <c r="M10" s="23" t="s">
        <v>5947</v>
      </c>
      <c r="N10" s="23" t="s">
        <v>5940</v>
      </c>
      <c r="O10" s="23" t="s">
        <v>1735</v>
      </c>
      <c r="P10" s="24"/>
      <c r="Q10" s="24" t="s">
        <v>5948</v>
      </c>
    </row>
    <row r="11" customFormat="false" ht="15" hidden="false" customHeight="false" outlineLevel="0" collapsed="false">
      <c r="A11" s="23" t="s">
        <v>5949</v>
      </c>
      <c r="B11" s="24" t="s">
        <v>4587</v>
      </c>
      <c r="C11" s="23" t="s">
        <v>4585</v>
      </c>
      <c r="D11" s="23" t="s">
        <v>70</v>
      </c>
      <c r="E11" s="23" t="s">
        <v>1873</v>
      </c>
      <c r="F11" s="25" t="n">
        <v>530.4</v>
      </c>
      <c r="G11" s="25" t="n">
        <v>530.4</v>
      </c>
      <c r="H11" s="25" t="n">
        <v>530.4</v>
      </c>
      <c r="I11" s="25" t="n">
        <v>530.4</v>
      </c>
      <c r="J11" s="25" t="n">
        <v>0</v>
      </c>
      <c r="K11" s="26" t="n">
        <f aca="false">SUM(I11:J11)</f>
        <v>530.4</v>
      </c>
      <c r="L11" s="25" t="n">
        <v>2121.6</v>
      </c>
      <c r="M11" s="23" t="s">
        <v>1652</v>
      </c>
      <c r="N11" s="23" t="s">
        <v>5940</v>
      </c>
      <c r="O11" s="23" t="s">
        <v>1781</v>
      </c>
      <c r="P11" s="24"/>
      <c r="Q11" s="24" t="s">
        <v>5950</v>
      </c>
    </row>
    <row r="12" customFormat="false" ht="15" hidden="false" customHeight="false" outlineLevel="0" collapsed="false">
      <c r="A12" s="23" t="s">
        <v>5951</v>
      </c>
      <c r="B12" s="24" t="s">
        <v>4711</v>
      </c>
      <c r="C12" s="23" t="s">
        <v>4709</v>
      </c>
      <c r="D12" s="23" t="s">
        <v>70</v>
      </c>
      <c r="E12" s="23" t="s">
        <v>1873</v>
      </c>
      <c r="F12" s="25" t="n">
        <v>416</v>
      </c>
      <c r="G12" s="25" t="n">
        <v>416</v>
      </c>
      <c r="H12" s="25" t="n">
        <v>416</v>
      </c>
      <c r="I12" s="25" t="n">
        <v>416</v>
      </c>
      <c r="J12" s="25" t="n">
        <v>832</v>
      </c>
      <c r="K12" s="26" t="n">
        <f aca="false">SUM(I12:J12)</f>
        <v>1248</v>
      </c>
      <c r="L12" s="25" t="n">
        <v>2496</v>
      </c>
      <c r="M12" s="23" t="s">
        <v>5952</v>
      </c>
      <c r="N12" s="23" t="s">
        <v>5940</v>
      </c>
      <c r="O12" s="23" t="s">
        <v>1775</v>
      </c>
      <c r="P12" s="24"/>
      <c r="Q12" s="24" t="s">
        <v>5953</v>
      </c>
    </row>
    <row r="13" customFormat="false" ht="15" hidden="false" customHeight="false" outlineLevel="0" collapsed="false">
      <c r="A13" s="23" t="s">
        <v>5954</v>
      </c>
      <c r="B13" s="24" t="s">
        <v>4756</v>
      </c>
      <c r="C13" s="23" t="s">
        <v>4754</v>
      </c>
      <c r="D13" s="23" t="s">
        <v>70</v>
      </c>
      <c r="E13" s="23" t="s">
        <v>1873</v>
      </c>
      <c r="F13" s="25" t="n">
        <v>488.8</v>
      </c>
      <c r="G13" s="25" t="n">
        <v>488.8</v>
      </c>
      <c r="H13" s="25" t="n">
        <v>488.8</v>
      </c>
      <c r="I13" s="25" t="n">
        <v>488.8</v>
      </c>
      <c r="J13" s="25" t="n">
        <v>0</v>
      </c>
      <c r="K13" s="26" t="n">
        <f aca="false">SUM(I13:J13)</f>
        <v>488.8</v>
      </c>
      <c r="L13" s="25" t="n">
        <v>1955.2</v>
      </c>
      <c r="M13" s="23" t="s">
        <v>5955</v>
      </c>
      <c r="N13" s="23" t="s">
        <v>5940</v>
      </c>
      <c r="O13" s="23" t="s">
        <v>1787</v>
      </c>
      <c r="P13" s="24"/>
      <c r="Q13" s="24" t="s">
        <v>5956</v>
      </c>
    </row>
    <row r="15" customFormat="false" ht="15" hidden="false" customHeight="false" outlineLevel="0" collapsed="false">
      <c r="A15" s="27" t="s">
        <v>5957</v>
      </c>
      <c r="F15" s="28" t="n">
        <f aca="false">SUM(F8:F13)</f>
        <v>2932.8</v>
      </c>
      <c r="G15" s="28" t="n">
        <f aca="false">SUM(G8:G13)</f>
        <v>2932.8</v>
      </c>
      <c r="H15" s="28" t="n">
        <f aca="false">SUM(H8:H13)</f>
        <v>2932.8</v>
      </c>
      <c r="I15" s="28" t="n">
        <f aca="false">SUM(I8:I13)</f>
        <v>2932.8</v>
      </c>
      <c r="J15" s="28" t="n">
        <f aca="false">SUM(J8:J13)</f>
        <v>1435.2</v>
      </c>
      <c r="K15" s="28" t="n">
        <f aca="false">SUM(K8:K13)</f>
        <v>4368</v>
      </c>
      <c r="L15" s="28" t="n">
        <f aca="false">SUM(L8:L13)</f>
        <v>13166.4</v>
      </c>
    </row>
  </sheetData>
  <mergeCells count="3">
    <mergeCell ref="A1:Q1"/>
    <mergeCell ref="A2:Q2"/>
    <mergeCell ref="A3:Q3"/>
  </mergeCells>
  <printOptions headings="false" gridLines="false" gridLinesSet="true" horizontalCentered="false" verticalCentered="false"/>
  <pageMargins left="0.25" right="0.25" top="0.45" bottom="0.45" header="0.511811023622047" footer="0.179861111111111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&amp;K5e6b75Chaldale Harbor District | Moorage audit | August 1, 2026&amp;R&amp;8 &amp;K5e6b75Page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2026-08-01T00:00:00Z</dcterms:created>
  <dc:creator>Chaldale Harbor District - Moorage Counter</dc:creator>
  <dc:description/>
  <dc:language>en-US</dc:language>
  <cp:lastModifiedBy/>
  <dcterms:modified xsi:type="dcterms:W3CDTF">2026-08-01T00:00:00Z</dcterms:modified>
  <cp:revision>0</cp:revision>
  <dc:subject>Queue, billing, and aging audit for administrator review</dc:subject>
  <dc:title>Chaldale Moorage Audit - August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