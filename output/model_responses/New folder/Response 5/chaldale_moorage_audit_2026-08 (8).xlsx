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ue Exceptions" sheetId="2" state="visible" r:id="rId2"/>
    <sheet xmlns:r="http://schemas.openxmlformats.org/officeDocument/2006/relationships" name="Billing Reconciliations" sheetId="3" state="visible" r:id="rId3"/>
    <sheet xmlns:r="http://schemas.openxmlformats.org/officeDocument/2006/relationships" name="Ag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Total Monthly Variance ($)</t>
        </is>
      </c>
    </row>
    <row r="2">
      <c r="A2" t="inlineStr">
        <is>
          <t>Queue Exceptions</t>
        </is>
      </c>
      <c r="B2">
        <f>COUNTA('Queue Exceptions'!A2:A100)</f>
        <v/>
      </c>
      <c r="C2" t="inlineStr">
        <is>
          <t>N/A</t>
        </is>
      </c>
    </row>
    <row r="3">
      <c r="A3" t="inlineStr">
        <is>
          <t>Billing Reconciliations</t>
        </is>
      </c>
      <c r="B3">
        <f>COUNTA('Billing Reconciliations'!A2:A1000)</f>
        <v/>
      </c>
      <c r="C3">
        <f>SUM('Billing Reconciliations'!L2:L1000)</f>
        <v/>
      </c>
    </row>
    <row r="4">
      <c r="A4" t="inlineStr">
        <is>
          <t>Aging (&gt;90 Days)</t>
        </is>
      </c>
      <c r="B4">
        <f>COUNTA('Aging'!A2:A100)</f>
        <v/>
      </c>
      <c r="C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</t>
        </is>
      </c>
      <c r="B1" s="1" t="inlineStr">
        <is>
          <t>Skip Date</t>
        </is>
      </c>
      <c r="C1" s="1" t="inlineStr">
        <is>
          <t>Issue</t>
        </is>
      </c>
    </row>
    <row r="2">
      <c r="A2" t="inlineStr">
        <is>
          <t>WL-02618</t>
        </is>
      </c>
      <c r="B2" t="inlineStr">
        <is>
          <t>2023-05-02</t>
        </is>
      </c>
      <c r="C2" t="inlineStr">
        <is>
          <t>Cover sheet only — supporting record not attached</t>
        </is>
      </c>
    </row>
    <row r="3">
      <c r="A3" t="inlineStr">
        <is>
          <t>WL-03044</t>
        </is>
      </c>
      <c r="B3" t="inlineStr">
        <is>
          <t>2024-02-20</t>
        </is>
      </c>
      <c r="C3" t="inlineStr">
        <is>
          <t>Cover sheet only — supporting record not attached</t>
        </is>
      </c>
    </row>
    <row r="4">
      <c r="A4" t="inlineStr">
        <is>
          <t>WL-03390</t>
        </is>
      </c>
      <c r="B4" t="inlineStr">
        <is>
          <t>2024-11-05</t>
        </is>
      </c>
      <c r="C4" t="inlineStr">
        <is>
          <t>Cover sheet only — supporting record not attached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Slip ID</t>
        </is>
      </c>
      <c r="B1" s="1" t="inlineStr">
        <is>
          <t>Tenant Name</t>
        </is>
      </c>
      <c r="C1" s="1" t="inlineStr">
        <is>
          <t>Basin</t>
        </is>
      </c>
      <c r="D1" s="1" t="inlineStr">
        <is>
          <t>Covered/Open</t>
        </is>
      </c>
      <c r="E1" s="1" t="inlineStr">
        <is>
          <t>Vessel LOA</t>
        </is>
      </c>
      <c r="F1" s="1" t="inlineStr">
        <is>
          <t>Billed Length</t>
        </is>
      </c>
      <c r="G1" s="1" t="inlineStr">
        <is>
          <t>Billed Rate</t>
        </is>
      </c>
      <c r="H1" s="1" t="inlineStr">
        <is>
          <t>Billed Amount</t>
        </is>
      </c>
      <c r="I1" s="1" t="inlineStr">
        <is>
          <t>Expected Length</t>
        </is>
      </c>
      <c r="J1" s="1" t="inlineStr">
        <is>
          <t>Expected Rate</t>
        </is>
      </c>
      <c r="K1" s="1" t="inlineStr">
        <is>
          <t>Expected Amount</t>
        </is>
      </c>
      <c r="L1" s="1" t="inlineStr">
        <is>
          <t>Variance</t>
        </is>
      </c>
    </row>
    <row r="2">
      <c r="A2" t="inlineStr">
        <is>
          <t>LP-0102</t>
        </is>
      </c>
      <c r="B2" t="inlineStr">
        <is>
          <t>Damon Phillips</t>
        </is>
      </c>
      <c r="C2" t="inlineStr">
        <is>
          <t>Ledgport</t>
        </is>
      </c>
      <c r="D2" t="inlineStr">
        <is>
          <t>COVERED</t>
        </is>
      </c>
      <c r="E2" t="n">
        <v>21.9</v>
      </c>
      <c r="F2" t="n">
        <v>40</v>
      </c>
      <c r="G2" t="n">
        <v>10.4</v>
      </c>
      <c r="H2" t="n">
        <v>416</v>
      </c>
      <c r="I2">
        <f>ROUNDUP(E2, 0)</f>
        <v/>
      </c>
      <c r="J2">
        <f>IF(D2="COVERED", 10.40, 7.55)</f>
        <v/>
      </c>
      <c r="K2">
        <f>ROUND(I2*J2, 2)</f>
        <v/>
      </c>
      <c r="L2">
        <f>K2-H2</f>
        <v/>
      </c>
    </row>
    <row r="3">
      <c r="A3" t="inlineStr">
        <is>
          <t>LP-0108</t>
        </is>
      </c>
      <c r="B3" t="inlineStr">
        <is>
          <t>Alan Thomas</t>
        </is>
      </c>
      <c r="C3" t="inlineStr">
        <is>
          <t>Ledgport</t>
        </is>
      </c>
      <c r="D3" t="inlineStr">
        <is>
          <t>COVERED</t>
        </is>
      </c>
      <c r="E3" t="n">
        <v>23.4</v>
      </c>
      <c r="F3" t="n">
        <v>32</v>
      </c>
      <c r="G3" t="n">
        <v>10.4</v>
      </c>
      <c r="H3" t="n">
        <v>332.8</v>
      </c>
      <c r="I3">
        <f>ROUNDUP(E3, 0)</f>
        <v/>
      </c>
      <c r="J3">
        <f>IF(D3="COVERED", 10.40, 7.55)</f>
        <v/>
      </c>
      <c r="K3">
        <f>ROUND(I3*J3, 2)</f>
        <v/>
      </c>
      <c r="L3">
        <f>K3-H3</f>
        <v/>
      </c>
    </row>
    <row r="4">
      <c r="A4" t="inlineStr">
        <is>
          <t>LP-0109</t>
        </is>
      </c>
      <c r="B4" t="inlineStr">
        <is>
          <t>Sandra Sweeney</t>
        </is>
      </c>
      <c r="C4" t="inlineStr">
        <is>
          <t>Ledgport</t>
        </is>
      </c>
      <c r="D4" t="inlineStr">
        <is>
          <t>COVERED</t>
        </is>
      </c>
      <c r="E4" t="n">
        <v>20.8</v>
      </c>
      <c r="F4" t="n">
        <v>32</v>
      </c>
      <c r="G4" t="n">
        <v>10.4</v>
      </c>
      <c r="H4" t="n">
        <v>332.8</v>
      </c>
      <c r="I4">
        <f>ROUNDUP(E4, 0)</f>
        <v/>
      </c>
      <c r="J4">
        <f>IF(D4="COVERED", 10.40, 7.55)</f>
        <v/>
      </c>
      <c r="K4">
        <f>ROUND(I4*J4, 2)</f>
        <v/>
      </c>
      <c r="L4">
        <f>K4-H4</f>
        <v/>
      </c>
    </row>
    <row r="5">
      <c r="A5" t="inlineStr">
        <is>
          <t>LP-0110</t>
        </is>
      </c>
      <c r="B5" t="inlineStr">
        <is>
          <t>Jason Martinez</t>
        </is>
      </c>
      <c r="C5" t="inlineStr">
        <is>
          <t>Ledgport</t>
        </is>
      </c>
      <c r="D5" t="inlineStr">
        <is>
          <t>COVERED</t>
        </is>
      </c>
      <c r="E5" t="n">
        <v>26</v>
      </c>
      <c r="F5" t="n">
        <v>28</v>
      </c>
      <c r="G5" t="n">
        <v>10.4</v>
      </c>
      <c r="H5" t="n">
        <v>291.2</v>
      </c>
      <c r="I5">
        <f>ROUNDUP(E5, 0)</f>
        <v/>
      </c>
      <c r="J5">
        <f>IF(D5="COVERED", 10.40, 7.55)</f>
        <v/>
      </c>
      <c r="K5">
        <f>ROUND(I5*J5, 2)</f>
        <v/>
      </c>
      <c r="L5">
        <f>K5-H5</f>
        <v/>
      </c>
    </row>
    <row r="6">
      <c r="A6" t="inlineStr">
        <is>
          <t>LP-0113</t>
        </is>
      </c>
      <c r="B6" t="inlineStr">
        <is>
          <t>Elizabeth Williams</t>
        </is>
      </c>
      <c r="C6" t="inlineStr">
        <is>
          <t>Ledgport</t>
        </is>
      </c>
      <c r="D6" t="inlineStr">
        <is>
          <t>COVERED</t>
        </is>
      </c>
      <c r="E6" t="n">
        <v>26</v>
      </c>
      <c r="F6" t="n">
        <v>36</v>
      </c>
      <c r="G6" t="n">
        <v>10.4</v>
      </c>
      <c r="H6" t="n">
        <v>374.4</v>
      </c>
      <c r="I6">
        <f>ROUNDUP(E6, 0)</f>
        <v/>
      </c>
      <c r="J6">
        <f>IF(D6="COVERED", 10.40, 7.55)</f>
        <v/>
      </c>
      <c r="K6">
        <f>ROUND(I6*J6, 2)</f>
        <v/>
      </c>
      <c r="L6">
        <f>K6-H6</f>
        <v/>
      </c>
    </row>
    <row r="7">
      <c r="A7" t="inlineStr">
        <is>
          <t>LP-0115</t>
        </is>
      </c>
      <c r="B7" t="inlineStr">
        <is>
          <t>Matthew Thomas</t>
        </is>
      </c>
      <c r="C7" t="inlineStr">
        <is>
          <t>Ledgport</t>
        </is>
      </c>
      <c r="D7" t="inlineStr">
        <is>
          <t>COVERED</t>
        </is>
      </c>
      <c r="E7" t="n">
        <v>18.8</v>
      </c>
      <c r="F7" t="n">
        <v>28</v>
      </c>
      <c r="G7" t="n">
        <v>10.4</v>
      </c>
      <c r="H7" t="n">
        <v>291.2</v>
      </c>
      <c r="I7">
        <f>ROUNDUP(E7, 0)</f>
        <v/>
      </c>
      <c r="J7">
        <f>IF(D7="COVERED", 10.40, 7.55)</f>
        <v/>
      </c>
      <c r="K7">
        <f>ROUND(I7*J7, 2)</f>
        <v/>
      </c>
      <c r="L7">
        <f>K7-H7</f>
        <v/>
      </c>
    </row>
    <row r="8">
      <c r="A8" t="inlineStr">
        <is>
          <t>LP-0116</t>
        </is>
      </c>
      <c r="B8" t="inlineStr">
        <is>
          <t>Joseph Bishop</t>
        </is>
      </c>
      <c r="C8" t="inlineStr">
        <is>
          <t>Ledgport</t>
        </is>
      </c>
      <c r="D8" t="inlineStr">
        <is>
          <t>COVERED</t>
        </is>
      </c>
      <c r="E8" t="n">
        <v>19.2</v>
      </c>
      <c r="F8" t="n">
        <v>28</v>
      </c>
      <c r="G8" t="n">
        <v>10.4</v>
      </c>
      <c r="H8" t="n">
        <v>291.2</v>
      </c>
      <c r="I8">
        <f>ROUNDUP(E8, 0)</f>
        <v/>
      </c>
      <c r="J8">
        <f>IF(D8="COVERED", 10.40, 7.55)</f>
        <v/>
      </c>
      <c r="K8">
        <f>ROUND(I8*J8, 2)</f>
        <v/>
      </c>
      <c r="L8">
        <f>K8-H8</f>
        <v/>
      </c>
    </row>
    <row r="9">
      <c r="A9" t="inlineStr">
        <is>
          <t>LP-0117</t>
        </is>
      </c>
      <c r="B9" t="inlineStr">
        <is>
          <t>Benjamin Willis</t>
        </is>
      </c>
      <c r="C9" t="inlineStr">
        <is>
          <t>Ledgport</t>
        </is>
      </c>
      <c r="D9" t="inlineStr">
        <is>
          <t>COVERED</t>
        </is>
      </c>
      <c r="E9" t="n">
        <v>28.7</v>
      </c>
      <c r="F9" t="n">
        <v>32</v>
      </c>
      <c r="G9" t="n">
        <v>10.4</v>
      </c>
      <c r="H9" t="n">
        <v>332.8</v>
      </c>
      <c r="I9">
        <f>ROUNDUP(E9, 0)</f>
        <v/>
      </c>
      <c r="J9">
        <f>IF(D9="COVERED", 10.40, 7.55)</f>
        <v/>
      </c>
      <c r="K9">
        <f>ROUND(I9*J9, 2)</f>
        <v/>
      </c>
      <c r="L9">
        <f>K9-H9</f>
        <v/>
      </c>
    </row>
    <row r="10">
      <c r="A10" t="inlineStr">
        <is>
          <t>LP-0118</t>
        </is>
      </c>
      <c r="B10" t="inlineStr">
        <is>
          <t>Keith Powell</t>
        </is>
      </c>
      <c r="C10" t="inlineStr">
        <is>
          <t>Ledgport</t>
        </is>
      </c>
      <c r="D10" t="inlineStr">
        <is>
          <t>COVERED</t>
        </is>
      </c>
      <c r="E10" t="n">
        <v>22.1</v>
      </c>
      <c r="F10" t="n">
        <v>24</v>
      </c>
      <c r="G10" t="n">
        <v>10.4</v>
      </c>
      <c r="H10" t="n">
        <v>249.6</v>
      </c>
      <c r="I10">
        <f>ROUNDUP(E10, 0)</f>
        <v/>
      </c>
      <c r="J10">
        <f>IF(D10="COVERED", 10.40, 7.55)</f>
        <v/>
      </c>
      <c r="K10">
        <f>ROUND(I10*J10, 2)</f>
        <v/>
      </c>
      <c r="L10">
        <f>K10-H10</f>
        <v/>
      </c>
    </row>
    <row r="11">
      <c r="A11" t="inlineStr">
        <is>
          <t>LP-0120</t>
        </is>
      </c>
      <c r="B11" t="inlineStr">
        <is>
          <t>Kayla Johnson</t>
        </is>
      </c>
      <c r="C11" t="inlineStr">
        <is>
          <t>Ledgport</t>
        </is>
      </c>
      <c r="D11" t="inlineStr">
        <is>
          <t>COVERED</t>
        </is>
      </c>
      <c r="E11" t="n">
        <v>30.8</v>
      </c>
      <c r="F11" t="n">
        <v>32</v>
      </c>
      <c r="G11" t="n">
        <v>10.4</v>
      </c>
      <c r="H11" t="n">
        <v>332.8</v>
      </c>
      <c r="I11">
        <f>ROUNDUP(E11, 0)</f>
        <v/>
      </c>
      <c r="J11">
        <f>IF(D11="COVERED", 10.40, 7.55)</f>
        <v/>
      </c>
      <c r="K11">
        <f>ROUND(I11*J11, 2)</f>
        <v/>
      </c>
      <c r="L11">
        <f>K11-H11</f>
        <v/>
      </c>
    </row>
    <row r="12">
      <c r="A12" t="inlineStr">
        <is>
          <t>LP-0123</t>
        </is>
      </c>
      <c r="B12" t="inlineStr">
        <is>
          <t>Brittney Daugherty</t>
        </is>
      </c>
      <c r="C12" t="inlineStr">
        <is>
          <t>Ledgport</t>
        </is>
      </c>
      <c r="D12" t="inlineStr">
        <is>
          <t>COVERED</t>
        </is>
      </c>
      <c r="E12" t="n">
        <v>25.3</v>
      </c>
      <c r="F12" t="n">
        <v>32</v>
      </c>
      <c r="G12" t="n">
        <v>10.4</v>
      </c>
      <c r="H12" t="n">
        <v>332.8</v>
      </c>
      <c r="I12">
        <f>ROUNDUP(E12, 0)</f>
        <v/>
      </c>
      <c r="J12">
        <f>IF(D12="COVERED", 10.40, 7.55)</f>
        <v/>
      </c>
      <c r="K12">
        <f>ROUND(I12*J12, 2)</f>
        <v/>
      </c>
      <c r="L12">
        <f>K12-H12</f>
        <v/>
      </c>
    </row>
    <row r="13">
      <c r="A13" t="inlineStr">
        <is>
          <t>LP-0205</t>
        </is>
      </c>
      <c r="B13" t="inlineStr">
        <is>
          <t>Gary Young</t>
        </is>
      </c>
      <c r="C13" t="inlineStr">
        <is>
          <t>Ledgport</t>
        </is>
      </c>
      <c r="D13" t="inlineStr">
        <is>
          <t>COVERED</t>
        </is>
      </c>
      <c r="E13" t="n">
        <v>23</v>
      </c>
      <c r="F13" t="n">
        <v>40</v>
      </c>
      <c r="G13" t="n">
        <v>10.4</v>
      </c>
      <c r="H13" t="n">
        <v>416</v>
      </c>
      <c r="I13">
        <f>ROUNDUP(E13, 0)</f>
        <v/>
      </c>
      <c r="J13">
        <f>IF(D13="COVERED", 10.40, 7.55)</f>
        <v/>
      </c>
      <c r="K13">
        <f>ROUND(I13*J13, 2)</f>
        <v/>
      </c>
      <c r="L13">
        <f>K13-H13</f>
        <v/>
      </c>
    </row>
    <row r="14">
      <c r="A14" t="inlineStr">
        <is>
          <t>LP-0209</t>
        </is>
      </c>
      <c r="B14" t="inlineStr">
        <is>
          <t>Manuel Abbott</t>
        </is>
      </c>
      <c r="C14" t="inlineStr">
        <is>
          <t>Ledgport</t>
        </is>
      </c>
      <c r="D14" t="inlineStr">
        <is>
          <t>COVERED</t>
        </is>
      </c>
      <c r="E14" t="n">
        <v>19.8</v>
      </c>
      <c r="F14" t="n">
        <v>32</v>
      </c>
      <c r="G14" t="n">
        <v>10.4</v>
      </c>
      <c r="H14" t="n">
        <v>332.8</v>
      </c>
      <c r="I14">
        <f>ROUNDUP(E14, 0)</f>
        <v/>
      </c>
      <c r="J14">
        <f>IF(D14="COVERED", 10.40, 7.55)</f>
        <v/>
      </c>
      <c r="K14">
        <f>ROUND(I14*J14, 2)</f>
        <v/>
      </c>
      <c r="L14">
        <f>K14-H14</f>
        <v/>
      </c>
    </row>
    <row r="15">
      <c r="A15" t="inlineStr">
        <is>
          <t>LP-0210</t>
        </is>
      </c>
      <c r="B15" t="inlineStr">
        <is>
          <t>Thomas Stone</t>
        </is>
      </c>
      <c r="C15" t="inlineStr">
        <is>
          <t>Ledgport</t>
        </is>
      </c>
      <c r="D15" t="inlineStr">
        <is>
          <t>COVERED</t>
        </is>
      </c>
      <c r="E15" t="n">
        <v>24.8</v>
      </c>
      <c r="F15" t="n">
        <v>40</v>
      </c>
      <c r="G15" t="n">
        <v>10.4</v>
      </c>
      <c r="H15" t="n">
        <v>416</v>
      </c>
      <c r="I15">
        <f>ROUNDUP(E15, 0)</f>
        <v/>
      </c>
      <c r="J15">
        <f>IF(D15="COVERED", 10.40, 7.55)</f>
        <v/>
      </c>
      <c r="K15">
        <f>ROUND(I15*J15, 2)</f>
        <v/>
      </c>
      <c r="L15">
        <f>K15-H15</f>
        <v/>
      </c>
    </row>
    <row r="16">
      <c r="A16" t="inlineStr">
        <is>
          <t>LP-0215</t>
        </is>
      </c>
      <c r="B16" t="inlineStr">
        <is>
          <t>Anna Wright</t>
        </is>
      </c>
      <c r="C16" t="inlineStr">
        <is>
          <t>Ledgport</t>
        </is>
      </c>
      <c r="D16" t="inlineStr">
        <is>
          <t>COVERED</t>
        </is>
      </c>
      <c r="E16" t="n">
        <v>26.3</v>
      </c>
      <c r="F16" t="n">
        <v>28</v>
      </c>
      <c r="G16" t="n">
        <v>10.4</v>
      </c>
      <c r="H16" t="n">
        <v>291.2</v>
      </c>
      <c r="I16">
        <f>ROUNDUP(E16, 0)</f>
        <v/>
      </c>
      <c r="J16">
        <f>IF(D16="COVERED", 10.40, 7.55)</f>
        <v/>
      </c>
      <c r="K16">
        <f>ROUND(I16*J16, 2)</f>
        <v/>
      </c>
      <c r="L16">
        <f>K16-H16</f>
        <v/>
      </c>
    </row>
    <row r="17">
      <c r="A17" t="inlineStr">
        <is>
          <t>LP-0222</t>
        </is>
      </c>
      <c r="B17" t="inlineStr">
        <is>
          <t>Stephen Burke</t>
        </is>
      </c>
      <c r="C17" t="inlineStr">
        <is>
          <t>Ledgport</t>
        </is>
      </c>
      <c r="D17" t="inlineStr">
        <is>
          <t>COVERED</t>
        </is>
      </c>
      <c r="E17" t="n">
        <v>25.5</v>
      </c>
      <c r="F17" t="n">
        <v>36</v>
      </c>
      <c r="G17" t="n">
        <v>10.4</v>
      </c>
      <c r="H17" t="n">
        <v>374.4</v>
      </c>
      <c r="I17">
        <f>ROUNDUP(E17, 0)</f>
        <v/>
      </c>
      <c r="J17">
        <f>IF(D17="COVERED", 10.40, 7.55)</f>
        <v/>
      </c>
      <c r="K17">
        <f>ROUND(I17*J17, 2)</f>
        <v/>
      </c>
      <c r="L17">
        <f>K17-H17</f>
        <v/>
      </c>
    </row>
    <row r="18">
      <c r="A18" t="inlineStr">
        <is>
          <t>LP-0224</t>
        </is>
      </c>
      <c r="B18" t="inlineStr">
        <is>
          <t>Anita Rose</t>
        </is>
      </c>
      <c r="C18" t="inlineStr">
        <is>
          <t>Ledgport</t>
        </is>
      </c>
      <c r="D18" t="inlineStr">
        <is>
          <t>COVERED</t>
        </is>
      </c>
      <c r="E18" t="n">
        <v>26.7</v>
      </c>
      <c r="F18" t="n">
        <v>40</v>
      </c>
      <c r="G18" t="n">
        <v>10.4</v>
      </c>
      <c r="H18" t="n">
        <v>416</v>
      </c>
      <c r="I18">
        <f>ROUNDUP(E18, 0)</f>
        <v/>
      </c>
      <c r="J18">
        <f>IF(D18="COVERED", 10.40, 7.55)</f>
        <v/>
      </c>
      <c r="K18">
        <f>ROUND(I18*J18, 2)</f>
        <v/>
      </c>
      <c r="L18">
        <f>K18-H18</f>
        <v/>
      </c>
    </row>
    <row r="19">
      <c r="A19" t="inlineStr">
        <is>
          <t>LP-0301</t>
        </is>
      </c>
      <c r="B19" t="inlineStr">
        <is>
          <t>Miranda Neal</t>
        </is>
      </c>
      <c r="C19" t="inlineStr">
        <is>
          <t>Ledgport</t>
        </is>
      </c>
      <c r="D19" t="inlineStr">
        <is>
          <t>COVERED</t>
        </is>
      </c>
      <c r="E19" t="n">
        <v>18.4</v>
      </c>
      <c r="F19" t="n">
        <v>28</v>
      </c>
      <c r="G19" t="n">
        <v>10.4</v>
      </c>
      <c r="H19" t="n">
        <v>291.2</v>
      </c>
      <c r="I19">
        <f>ROUNDUP(E19, 0)</f>
        <v/>
      </c>
      <c r="J19">
        <f>IF(D19="COVERED", 10.40, 7.55)</f>
        <v/>
      </c>
      <c r="K19">
        <f>ROUND(I19*J19, 2)</f>
        <v/>
      </c>
      <c r="L19">
        <f>K19-H19</f>
        <v/>
      </c>
    </row>
    <row r="20">
      <c r="A20" t="inlineStr">
        <is>
          <t>LP-0305</t>
        </is>
      </c>
      <c r="B20" t="inlineStr">
        <is>
          <t>Nathan Huffman</t>
        </is>
      </c>
      <c r="C20" t="inlineStr">
        <is>
          <t>Ledgport</t>
        </is>
      </c>
      <c r="D20" t="inlineStr">
        <is>
          <t>COVERED</t>
        </is>
      </c>
      <c r="E20" t="n">
        <v>19.4</v>
      </c>
      <c r="F20" t="n">
        <v>32</v>
      </c>
      <c r="G20" t="n">
        <v>10.4</v>
      </c>
      <c r="H20" t="n">
        <v>332.8</v>
      </c>
      <c r="I20">
        <f>ROUNDUP(E20, 0)</f>
        <v/>
      </c>
      <c r="J20">
        <f>IF(D20="COVERED", 10.40, 7.55)</f>
        <v/>
      </c>
      <c r="K20">
        <f>ROUND(I20*J20, 2)</f>
        <v/>
      </c>
      <c r="L20">
        <f>K20-H20</f>
        <v/>
      </c>
    </row>
    <row r="21">
      <c r="A21" t="inlineStr">
        <is>
          <t>LP-0313</t>
        </is>
      </c>
      <c r="B21" t="inlineStr">
        <is>
          <t>Christopher Lopez</t>
        </is>
      </c>
      <c r="C21" t="inlineStr">
        <is>
          <t>Ledgport</t>
        </is>
      </c>
      <c r="D21" t="inlineStr">
        <is>
          <t>COVERED</t>
        </is>
      </c>
      <c r="E21" t="n">
        <v>24.8</v>
      </c>
      <c r="F21" t="n">
        <v>32</v>
      </c>
      <c r="G21" t="n">
        <v>10.4</v>
      </c>
      <c r="H21" t="n">
        <v>332.8</v>
      </c>
      <c r="I21">
        <f>ROUNDUP(E21, 0)</f>
        <v/>
      </c>
      <c r="J21">
        <f>IF(D21="COVERED", 10.40, 7.55)</f>
        <v/>
      </c>
      <c r="K21">
        <f>ROUND(I21*J21, 2)</f>
        <v/>
      </c>
      <c r="L21">
        <f>K21-H21</f>
        <v/>
      </c>
    </row>
    <row r="22">
      <c r="A22" t="inlineStr">
        <is>
          <t>LP-0314</t>
        </is>
      </c>
      <c r="B22" t="inlineStr">
        <is>
          <t>Brenda Matthews</t>
        </is>
      </c>
      <c r="C22" t="inlineStr">
        <is>
          <t>Ledgport</t>
        </is>
      </c>
      <c r="D22" t="inlineStr">
        <is>
          <t>COVERED</t>
        </is>
      </c>
      <c r="E22" t="n">
        <v>26.3</v>
      </c>
      <c r="F22" t="n">
        <v>32</v>
      </c>
      <c r="G22" t="n">
        <v>10.4</v>
      </c>
      <c r="H22" t="n">
        <v>332.8</v>
      </c>
      <c r="I22">
        <f>ROUNDUP(E22, 0)</f>
        <v/>
      </c>
      <c r="J22">
        <f>IF(D22="COVERED", 10.40, 7.55)</f>
        <v/>
      </c>
      <c r="K22">
        <f>ROUND(I22*J22, 2)</f>
        <v/>
      </c>
      <c r="L22">
        <f>K22-H22</f>
        <v/>
      </c>
    </row>
    <row r="23">
      <c r="A23" t="inlineStr">
        <is>
          <t>LP-0317</t>
        </is>
      </c>
      <c r="B23" t="inlineStr">
        <is>
          <t>Randall Cummings</t>
        </is>
      </c>
      <c r="C23" t="inlineStr">
        <is>
          <t>Ledgport</t>
        </is>
      </c>
      <c r="D23" t="inlineStr">
        <is>
          <t>COVERED</t>
        </is>
      </c>
      <c r="E23" t="n">
        <v>22.7</v>
      </c>
      <c r="F23" t="n">
        <v>40</v>
      </c>
      <c r="G23" t="n">
        <v>10.4</v>
      </c>
      <c r="H23" t="n">
        <v>416</v>
      </c>
      <c r="I23">
        <f>ROUNDUP(E23, 0)</f>
        <v/>
      </c>
      <c r="J23">
        <f>IF(D23="COVERED", 10.40, 7.55)</f>
        <v/>
      </c>
      <c r="K23">
        <f>ROUND(I23*J23, 2)</f>
        <v/>
      </c>
      <c r="L23">
        <f>K23-H23</f>
        <v/>
      </c>
    </row>
    <row r="24">
      <c r="A24" t="inlineStr">
        <is>
          <t>LP-0408</t>
        </is>
      </c>
      <c r="B24" t="inlineStr">
        <is>
          <t>Kari Snow</t>
        </is>
      </c>
      <c r="C24" t="inlineStr">
        <is>
          <t>Ledgport</t>
        </is>
      </c>
      <c r="D24" t="inlineStr">
        <is>
          <t>COVERED</t>
        </is>
      </c>
      <c r="E24" t="n">
        <v>23.9</v>
      </c>
      <c r="F24" t="n">
        <v>40</v>
      </c>
      <c r="G24" t="n">
        <v>10.4</v>
      </c>
      <c r="H24" t="n">
        <v>416</v>
      </c>
      <c r="I24">
        <f>ROUNDUP(E24, 0)</f>
        <v/>
      </c>
      <c r="J24">
        <f>IF(D24="COVERED", 10.40, 7.55)</f>
        <v/>
      </c>
      <c r="K24">
        <f>ROUND(I24*J24, 2)</f>
        <v/>
      </c>
      <c r="L24">
        <f>K24-H24</f>
        <v/>
      </c>
    </row>
    <row r="25">
      <c r="A25" t="inlineStr">
        <is>
          <t>LP-0413</t>
        </is>
      </c>
      <c r="B25" t="inlineStr">
        <is>
          <t>Tammie Johnson</t>
        </is>
      </c>
      <c r="C25" t="inlineStr">
        <is>
          <t>Ledgport</t>
        </is>
      </c>
      <c r="D25" t="inlineStr">
        <is>
          <t>COVERED</t>
        </is>
      </c>
      <c r="E25" t="n">
        <v>23.7</v>
      </c>
      <c r="F25" t="n">
        <v>28</v>
      </c>
      <c r="G25" t="n">
        <v>10.4</v>
      </c>
      <c r="H25" t="n">
        <v>291.2</v>
      </c>
      <c r="I25">
        <f>ROUNDUP(E25, 0)</f>
        <v/>
      </c>
      <c r="J25">
        <f>IF(D25="COVERED", 10.40, 7.55)</f>
        <v/>
      </c>
      <c r="K25">
        <f>ROUND(I25*J25, 2)</f>
        <v/>
      </c>
      <c r="L25">
        <f>K25-H25</f>
        <v/>
      </c>
    </row>
    <row r="26">
      <c r="A26" t="inlineStr">
        <is>
          <t>LP-0420</t>
        </is>
      </c>
      <c r="B26" t="inlineStr">
        <is>
          <t>Megan Nguyen</t>
        </is>
      </c>
      <c r="C26" t="inlineStr">
        <is>
          <t>Ledgport</t>
        </is>
      </c>
      <c r="D26" t="inlineStr">
        <is>
          <t>COVERED</t>
        </is>
      </c>
      <c r="E26" t="n">
        <v>28.9</v>
      </c>
      <c r="F26" t="n">
        <v>36</v>
      </c>
      <c r="G26" t="n">
        <v>10.4</v>
      </c>
      <c r="H26" t="n">
        <v>374.4</v>
      </c>
      <c r="I26">
        <f>ROUNDUP(E26, 0)</f>
        <v/>
      </c>
      <c r="J26">
        <f>IF(D26="COVERED", 10.40, 7.55)</f>
        <v/>
      </c>
      <c r="K26">
        <f>ROUND(I26*J26, 2)</f>
        <v/>
      </c>
      <c r="L26">
        <f>K26-H26</f>
        <v/>
      </c>
    </row>
    <row r="27">
      <c r="A27" t="inlineStr">
        <is>
          <t>LP-0421</t>
        </is>
      </c>
      <c r="B27" t="inlineStr">
        <is>
          <t>Mary Hicks</t>
        </is>
      </c>
      <c r="C27" t="inlineStr">
        <is>
          <t>Ledgport</t>
        </is>
      </c>
      <c r="D27" t="inlineStr">
        <is>
          <t>COVERED</t>
        </is>
      </c>
      <c r="E27" t="n">
        <v>25.1</v>
      </c>
      <c r="F27" t="n">
        <v>28</v>
      </c>
      <c r="G27" t="n">
        <v>10.4</v>
      </c>
      <c r="H27" t="n">
        <v>291.2</v>
      </c>
      <c r="I27">
        <f>ROUNDUP(E27, 0)</f>
        <v/>
      </c>
      <c r="J27">
        <f>IF(D27="COVERED", 10.40, 7.55)</f>
        <v/>
      </c>
      <c r="K27">
        <f>ROUND(I27*J27, 2)</f>
        <v/>
      </c>
      <c r="L27">
        <f>K27-H27</f>
        <v/>
      </c>
    </row>
    <row r="28">
      <c r="A28" t="inlineStr">
        <is>
          <t>LP-0423</t>
        </is>
      </c>
      <c r="B28" t="inlineStr">
        <is>
          <t>Margaret Brown</t>
        </is>
      </c>
      <c r="C28" t="inlineStr">
        <is>
          <t>Ledgport</t>
        </is>
      </c>
      <c r="D28" t="inlineStr">
        <is>
          <t>COVERED</t>
        </is>
      </c>
      <c r="E28" t="n">
        <v>34.6</v>
      </c>
      <c r="F28" t="n">
        <v>40</v>
      </c>
      <c r="G28" t="n">
        <v>10.4</v>
      </c>
      <c r="H28" t="n">
        <v>416</v>
      </c>
      <c r="I28">
        <f>ROUNDUP(E28, 0)</f>
        <v/>
      </c>
      <c r="J28">
        <f>IF(D28="COVERED", 10.40, 7.55)</f>
        <v/>
      </c>
      <c r="K28">
        <f>ROUND(I28*J28, 2)</f>
        <v/>
      </c>
      <c r="L28">
        <f>K28-H28</f>
        <v/>
      </c>
    </row>
    <row r="29">
      <c r="A29" t="inlineStr">
        <is>
          <t>LP-0511</t>
        </is>
      </c>
      <c r="B29" t="inlineStr">
        <is>
          <t>Michael Cole</t>
        </is>
      </c>
      <c r="C29" t="inlineStr">
        <is>
          <t>Ledgport</t>
        </is>
      </c>
      <c r="D29" t="inlineStr">
        <is>
          <t>COVERED</t>
        </is>
      </c>
      <c r="E29" t="n">
        <v>23.7</v>
      </c>
      <c r="F29" t="n">
        <v>40</v>
      </c>
      <c r="G29" t="n">
        <v>10.4</v>
      </c>
      <c r="H29" t="n">
        <v>416</v>
      </c>
      <c r="I29">
        <f>ROUNDUP(E29, 0)</f>
        <v/>
      </c>
      <c r="J29">
        <f>IF(D29="COVERED", 10.40, 7.55)</f>
        <v/>
      </c>
      <c r="K29">
        <f>ROUND(I29*J29, 2)</f>
        <v/>
      </c>
      <c r="L29">
        <f>K29-H29</f>
        <v/>
      </c>
    </row>
    <row r="30">
      <c r="A30" t="inlineStr">
        <is>
          <t>LP-0512</t>
        </is>
      </c>
      <c r="B30" t="inlineStr">
        <is>
          <t>Micheal Perez</t>
        </is>
      </c>
      <c r="C30" t="inlineStr">
        <is>
          <t>Ledgport</t>
        </is>
      </c>
      <c r="D30" t="inlineStr">
        <is>
          <t>COVERED</t>
        </is>
      </c>
      <c r="E30" t="n">
        <v>19</v>
      </c>
      <c r="F30" t="n">
        <v>40</v>
      </c>
      <c r="G30" t="n">
        <v>10.4</v>
      </c>
      <c r="H30" t="n">
        <v>416</v>
      </c>
      <c r="I30">
        <f>ROUNDUP(E30, 0)</f>
        <v/>
      </c>
      <c r="J30">
        <f>IF(D30="COVERED", 10.40, 7.55)</f>
        <v/>
      </c>
      <c r="K30">
        <f>ROUND(I30*J30, 2)</f>
        <v/>
      </c>
      <c r="L30">
        <f>K30-H30</f>
        <v/>
      </c>
    </row>
    <row r="31">
      <c r="A31" t="inlineStr">
        <is>
          <t>LP-0514</t>
        </is>
      </c>
      <c r="B31" t="inlineStr">
        <is>
          <t>Brandy Rogers</t>
        </is>
      </c>
      <c r="C31" t="inlineStr">
        <is>
          <t>Ledgport</t>
        </is>
      </c>
      <c r="D31" t="inlineStr">
        <is>
          <t>COVERED</t>
        </is>
      </c>
      <c r="E31" t="n">
        <v>23.3</v>
      </c>
      <c r="F31" t="n">
        <v>28</v>
      </c>
      <c r="G31" t="n">
        <v>10.4</v>
      </c>
      <c r="H31" t="n">
        <v>291.2</v>
      </c>
      <c r="I31">
        <f>ROUNDUP(E31, 0)</f>
        <v/>
      </c>
      <c r="J31">
        <f>IF(D31="COVERED", 10.40, 7.55)</f>
        <v/>
      </c>
      <c r="K31">
        <f>ROUND(I31*J31, 2)</f>
        <v/>
      </c>
      <c r="L31">
        <f>K31-H31</f>
        <v/>
      </c>
    </row>
    <row r="32">
      <c r="A32" t="inlineStr">
        <is>
          <t>LP-0516</t>
        </is>
      </c>
      <c r="B32" t="inlineStr">
        <is>
          <t>Mallory Rodgers</t>
        </is>
      </c>
      <c r="C32" t="inlineStr">
        <is>
          <t>Ledgport</t>
        </is>
      </c>
      <c r="D32" t="inlineStr">
        <is>
          <t>COVERED</t>
        </is>
      </c>
      <c r="E32" t="n">
        <v>18.9</v>
      </c>
      <c r="F32" t="n">
        <v>40</v>
      </c>
      <c r="G32" t="n">
        <v>10.4</v>
      </c>
      <c r="H32" t="n">
        <v>416</v>
      </c>
      <c r="I32">
        <f>ROUNDUP(E32, 0)</f>
        <v/>
      </c>
      <c r="J32">
        <f>IF(D32="COVERED", 10.40, 7.55)</f>
        <v/>
      </c>
      <c r="K32">
        <f>ROUND(I32*J32, 2)</f>
        <v/>
      </c>
      <c r="L32">
        <f>K32-H32</f>
        <v/>
      </c>
    </row>
    <row r="33">
      <c r="A33" t="inlineStr">
        <is>
          <t>LP-0518</t>
        </is>
      </c>
      <c r="B33" t="inlineStr">
        <is>
          <t>Jennifer Liu</t>
        </is>
      </c>
      <c r="C33" t="inlineStr">
        <is>
          <t>Ledgport</t>
        </is>
      </c>
      <c r="D33" t="inlineStr">
        <is>
          <t>COVERED</t>
        </is>
      </c>
      <c r="E33" t="n">
        <v>34.6</v>
      </c>
      <c r="F33" t="n">
        <v>36</v>
      </c>
      <c r="G33" t="n">
        <v>10.4</v>
      </c>
      <c r="H33" t="n">
        <v>374.4</v>
      </c>
      <c r="I33">
        <f>ROUNDUP(E33, 0)</f>
        <v/>
      </c>
      <c r="J33">
        <f>IF(D33="COVERED", 10.40, 7.55)</f>
        <v/>
      </c>
      <c r="K33">
        <f>ROUND(I33*J33, 2)</f>
        <v/>
      </c>
      <c r="L33">
        <f>K33-H33</f>
        <v/>
      </c>
    </row>
    <row r="34">
      <c r="A34" t="inlineStr">
        <is>
          <t>LP-0524</t>
        </is>
      </c>
      <c r="B34" t="inlineStr">
        <is>
          <t>Anthony Hamilton</t>
        </is>
      </c>
      <c r="C34" t="inlineStr">
        <is>
          <t>Ledgport</t>
        </is>
      </c>
      <c r="D34" t="inlineStr">
        <is>
          <t>COVERED</t>
        </is>
      </c>
      <c r="E34" t="n">
        <v>24.6</v>
      </c>
      <c r="F34" t="n">
        <v>28</v>
      </c>
      <c r="G34" t="n">
        <v>10.4</v>
      </c>
      <c r="H34" t="n">
        <v>291.2</v>
      </c>
      <c r="I34">
        <f>ROUNDUP(E34, 0)</f>
        <v/>
      </c>
      <c r="J34">
        <f>IF(D34="COVERED", 10.40, 7.55)</f>
        <v/>
      </c>
      <c r="K34">
        <f>ROUND(I34*J34, 2)</f>
        <v/>
      </c>
      <c r="L34">
        <f>K34-H34</f>
        <v/>
      </c>
    </row>
    <row r="35">
      <c r="A35" t="inlineStr">
        <is>
          <t>LP-0607</t>
        </is>
      </c>
      <c r="B35" t="inlineStr">
        <is>
          <t>Morgan Clark</t>
        </is>
      </c>
      <c r="C35" t="inlineStr">
        <is>
          <t>Ledgport</t>
        </is>
      </c>
      <c r="D35" t="inlineStr">
        <is>
          <t>COVERED</t>
        </is>
      </c>
      <c r="E35" t="n">
        <v>30.7</v>
      </c>
      <c r="F35" t="n">
        <v>40</v>
      </c>
      <c r="G35" t="n">
        <v>10.4</v>
      </c>
      <c r="H35" t="n">
        <v>416</v>
      </c>
      <c r="I35">
        <f>ROUNDUP(E35, 0)</f>
        <v/>
      </c>
      <c r="J35">
        <f>IF(D35="COVERED", 10.40, 7.55)</f>
        <v/>
      </c>
      <c r="K35">
        <f>ROUND(I35*J35, 2)</f>
        <v/>
      </c>
      <c r="L35">
        <f>K35-H35</f>
        <v/>
      </c>
    </row>
    <row r="36">
      <c r="A36" t="inlineStr">
        <is>
          <t>LP-0608</t>
        </is>
      </c>
      <c r="B36" t="inlineStr">
        <is>
          <t>Jamie Carpenter</t>
        </is>
      </c>
      <c r="C36" t="inlineStr">
        <is>
          <t>Ledgport</t>
        </is>
      </c>
      <c r="D36" t="inlineStr">
        <is>
          <t>COVERED</t>
        </is>
      </c>
      <c r="E36" t="n">
        <v>22.6</v>
      </c>
      <c r="F36" t="n">
        <v>28</v>
      </c>
      <c r="G36" t="n">
        <v>10.4</v>
      </c>
      <c r="H36" t="n">
        <v>291.2</v>
      </c>
      <c r="I36">
        <f>ROUNDUP(E36, 0)</f>
        <v/>
      </c>
      <c r="J36">
        <f>IF(D36="COVERED", 10.40, 7.55)</f>
        <v/>
      </c>
      <c r="K36">
        <f>ROUND(I36*J36, 2)</f>
        <v/>
      </c>
      <c r="L36">
        <f>K36-H36</f>
        <v/>
      </c>
    </row>
    <row r="37">
      <c r="A37" t="inlineStr">
        <is>
          <t>LP-0612</t>
        </is>
      </c>
      <c r="B37" t="inlineStr">
        <is>
          <t>Albert Rowland</t>
        </is>
      </c>
      <c r="C37" t="inlineStr">
        <is>
          <t>Ledgport</t>
        </is>
      </c>
      <c r="D37" t="inlineStr">
        <is>
          <t>COVERED</t>
        </is>
      </c>
      <c r="E37" t="n">
        <v>18.6</v>
      </c>
      <c r="F37" t="n">
        <v>32</v>
      </c>
      <c r="G37" t="n">
        <v>10.4</v>
      </c>
      <c r="H37" t="n">
        <v>332.8</v>
      </c>
      <c r="I37">
        <f>ROUNDUP(E37, 0)</f>
        <v/>
      </c>
      <c r="J37">
        <f>IF(D37="COVERED", 10.40, 7.55)</f>
        <v/>
      </c>
      <c r="K37">
        <f>ROUND(I37*J37, 2)</f>
        <v/>
      </c>
      <c r="L37">
        <f>K37-H37</f>
        <v/>
      </c>
    </row>
    <row r="38">
      <c r="A38" t="inlineStr">
        <is>
          <t>LP-0614</t>
        </is>
      </c>
      <c r="B38" t="inlineStr">
        <is>
          <t>Dean Gonzalez</t>
        </is>
      </c>
      <c r="C38" t="inlineStr">
        <is>
          <t>Ledgport</t>
        </is>
      </c>
      <c r="D38" t="inlineStr">
        <is>
          <t>COVERED</t>
        </is>
      </c>
      <c r="E38" t="n">
        <v>18.7</v>
      </c>
      <c r="F38" t="n">
        <v>28</v>
      </c>
      <c r="G38" t="n">
        <v>10.4</v>
      </c>
      <c r="H38" t="n">
        <v>291.2</v>
      </c>
      <c r="I38">
        <f>ROUNDUP(E38, 0)</f>
        <v/>
      </c>
      <c r="J38">
        <f>IF(D38="COVERED", 10.40, 7.55)</f>
        <v/>
      </c>
      <c r="K38">
        <f>ROUND(I38*J38, 2)</f>
        <v/>
      </c>
      <c r="L38">
        <f>K38-H38</f>
        <v/>
      </c>
    </row>
    <row r="39">
      <c r="A39" t="inlineStr">
        <is>
          <t>LP-0618</t>
        </is>
      </c>
      <c r="B39" t="inlineStr">
        <is>
          <t>Natalie Tyler</t>
        </is>
      </c>
      <c r="C39" t="inlineStr">
        <is>
          <t>Ledgport</t>
        </is>
      </c>
      <c r="D39" t="inlineStr">
        <is>
          <t>COVERED</t>
        </is>
      </c>
      <c r="E39" t="n">
        <v>30.1</v>
      </c>
      <c r="F39" t="n">
        <v>32</v>
      </c>
      <c r="G39" t="n">
        <v>10.4</v>
      </c>
      <c r="H39" t="n">
        <v>332.8</v>
      </c>
      <c r="I39">
        <f>ROUNDUP(E39, 0)</f>
        <v/>
      </c>
      <c r="J39">
        <f>IF(D39="COVERED", 10.40, 7.55)</f>
        <v/>
      </c>
      <c r="K39">
        <f>ROUND(I39*J39, 2)</f>
        <v/>
      </c>
      <c r="L39">
        <f>K39-H39</f>
        <v/>
      </c>
    </row>
    <row r="40">
      <c r="A40" t="inlineStr">
        <is>
          <t>LP-0621</t>
        </is>
      </c>
      <c r="B40" t="inlineStr">
        <is>
          <t>Victoria Williamson</t>
        </is>
      </c>
      <c r="C40" t="inlineStr">
        <is>
          <t>Ledgport</t>
        </is>
      </c>
      <c r="D40" t="inlineStr">
        <is>
          <t>COVERED</t>
        </is>
      </c>
      <c r="E40" t="n">
        <v>22</v>
      </c>
      <c r="F40" t="n">
        <v>40</v>
      </c>
      <c r="G40" t="n">
        <v>10.4</v>
      </c>
      <c r="H40" t="n">
        <v>416</v>
      </c>
      <c r="I40">
        <f>ROUNDUP(E40, 0)</f>
        <v/>
      </c>
      <c r="J40">
        <f>IF(D40="COVERED", 10.40, 7.55)</f>
        <v/>
      </c>
      <c r="K40">
        <f>ROUND(I40*J40, 2)</f>
        <v/>
      </c>
      <c r="L40">
        <f>K40-H40</f>
        <v/>
      </c>
    </row>
    <row r="41">
      <c r="A41" t="inlineStr">
        <is>
          <t>LP-0718</t>
        </is>
      </c>
      <c r="B41" t="inlineStr">
        <is>
          <t>Charles Case</t>
        </is>
      </c>
      <c r="C41" t="inlineStr">
        <is>
          <t>Ledgport</t>
        </is>
      </c>
      <c r="D41" t="inlineStr">
        <is>
          <t>COVERED</t>
        </is>
      </c>
      <c r="E41" t="n">
        <v>25.4</v>
      </c>
      <c r="F41" t="n">
        <v>32</v>
      </c>
      <c r="G41" t="n">
        <v>10.4</v>
      </c>
      <c r="H41" t="n">
        <v>332.8</v>
      </c>
      <c r="I41">
        <f>ROUNDUP(E41, 0)</f>
        <v/>
      </c>
      <c r="J41">
        <f>IF(D41="COVERED", 10.40, 7.55)</f>
        <v/>
      </c>
      <c r="K41">
        <f>ROUND(I41*J41, 2)</f>
        <v/>
      </c>
      <c r="L41">
        <f>K41-H41</f>
        <v/>
      </c>
    </row>
    <row r="42">
      <c r="A42" t="inlineStr">
        <is>
          <t>LP-0802</t>
        </is>
      </c>
      <c r="B42" t="inlineStr">
        <is>
          <t>Michael West</t>
        </is>
      </c>
      <c r="C42" t="inlineStr">
        <is>
          <t>Ledgport</t>
        </is>
      </c>
      <c r="D42" t="inlineStr">
        <is>
          <t>COVERED</t>
        </is>
      </c>
      <c r="E42" t="n">
        <v>35.1</v>
      </c>
      <c r="F42" t="n">
        <v>40</v>
      </c>
      <c r="G42" t="n">
        <v>10.4</v>
      </c>
      <c r="H42" t="n">
        <v>416</v>
      </c>
      <c r="I42">
        <f>ROUNDUP(E42, 0)</f>
        <v/>
      </c>
      <c r="J42">
        <f>IF(D42="COVERED", 10.40, 7.55)</f>
        <v/>
      </c>
      <c r="K42">
        <f>ROUND(I42*J42, 2)</f>
        <v/>
      </c>
      <c r="L42">
        <f>K42-H42</f>
        <v/>
      </c>
    </row>
    <row r="43">
      <c r="A43" t="inlineStr">
        <is>
          <t>LP-0812</t>
        </is>
      </c>
      <c r="B43" t="inlineStr">
        <is>
          <t>Brett Lee</t>
        </is>
      </c>
      <c r="C43" t="inlineStr">
        <is>
          <t>Ledgport</t>
        </is>
      </c>
      <c r="D43" t="inlineStr">
        <is>
          <t>COVERED</t>
        </is>
      </c>
      <c r="E43" t="n">
        <v>25.6</v>
      </c>
      <c r="F43" t="n">
        <v>28</v>
      </c>
      <c r="G43" t="n">
        <v>10.4</v>
      </c>
      <c r="H43" t="n">
        <v>291.2</v>
      </c>
      <c r="I43">
        <f>ROUNDUP(E43, 0)</f>
        <v/>
      </c>
      <c r="J43">
        <f>IF(D43="COVERED", 10.40, 7.55)</f>
        <v/>
      </c>
      <c r="K43">
        <f>ROUND(I43*J43, 2)</f>
        <v/>
      </c>
      <c r="L43">
        <f>K43-H43</f>
        <v/>
      </c>
    </row>
    <row r="44">
      <c r="A44" t="inlineStr">
        <is>
          <t>LP-0817</t>
        </is>
      </c>
      <c r="B44" t="inlineStr">
        <is>
          <t>Tiffany Torres</t>
        </is>
      </c>
      <c r="C44" t="inlineStr">
        <is>
          <t>Ledgport</t>
        </is>
      </c>
      <c r="D44" t="inlineStr">
        <is>
          <t>COVERED</t>
        </is>
      </c>
      <c r="E44" t="n">
        <v>22.2</v>
      </c>
      <c r="F44" t="n">
        <v>32</v>
      </c>
      <c r="G44" t="n">
        <v>10.4</v>
      </c>
      <c r="H44" t="n">
        <v>332.8</v>
      </c>
      <c r="I44">
        <f>ROUNDUP(E44, 0)</f>
        <v/>
      </c>
      <c r="J44">
        <f>IF(D44="COVERED", 10.40, 7.55)</f>
        <v/>
      </c>
      <c r="K44">
        <f>ROUND(I44*J44, 2)</f>
        <v/>
      </c>
      <c r="L44">
        <f>K44-H44</f>
        <v/>
      </c>
    </row>
    <row r="45">
      <c r="A45" t="inlineStr">
        <is>
          <t>LP-0819</t>
        </is>
      </c>
      <c r="B45" t="inlineStr">
        <is>
          <t>Adrienne Thompson</t>
        </is>
      </c>
      <c r="C45" t="inlineStr">
        <is>
          <t>Ledgport</t>
        </is>
      </c>
      <c r="D45" t="inlineStr">
        <is>
          <t>COVERED</t>
        </is>
      </c>
      <c r="E45" t="n">
        <v>19.1</v>
      </c>
      <c r="F45" t="n">
        <v>32</v>
      </c>
      <c r="G45" t="n">
        <v>10.4</v>
      </c>
      <c r="H45" t="n">
        <v>332.8</v>
      </c>
      <c r="I45">
        <f>ROUNDUP(E45, 0)</f>
        <v/>
      </c>
      <c r="J45">
        <f>IF(D45="COVERED", 10.40, 7.55)</f>
        <v/>
      </c>
      <c r="K45">
        <f>ROUND(I45*J45, 2)</f>
        <v/>
      </c>
      <c r="L45">
        <f>K45-H45</f>
        <v/>
      </c>
    </row>
    <row r="46">
      <c r="A46" t="inlineStr">
        <is>
          <t>LP-0901</t>
        </is>
      </c>
      <c r="B46" t="inlineStr">
        <is>
          <t>Angela Poole</t>
        </is>
      </c>
      <c r="C46" t="inlineStr">
        <is>
          <t>Ledgport</t>
        </is>
      </c>
      <c r="D46" t="inlineStr">
        <is>
          <t>COVERED</t>
        </is>
      </c>
      <c r="E46" t="n">
        <v>24.3</v>
      </c>
      <c r="F46" t="n">
        <v>40</v>
      </c>
      <c r="G46" t="n">
        <v>10.4</v>
      </c>
      <c r="H46" t="n">
        <v>416</v>
      </c>
      <c r="I46">
        <f>ROUNDUP(E46, 0)</f>
        <v/>
      </c>
      <c r="J46">
        <f>IF(D46="COVERED", 10.40, 7.55)</f>
        <v/>
      </c>
      <c r="K46">
        <f>ROUND(I46*J46, 2)</f>
        <v/>
      </c>
      <c r="L46">
        <f>K46-H46</f>
        <v/>
      </c>
    </row>
    <row r="47">
      <c r="A47" t="inlineStr">
        <is>
          <t>LP-0903</t>
        </is>
      </c>
      <c r="B47" t="inlineStr">
        <is>
          <t>Mindy Medina</t>
        </is>
      </c>
      <c r="C47" t="inlineStr">
        <is>
          <t>Ledgport</t>
        </is>
      </c>
      <c r="D47" t="inlineStr">
        <is>
          <t>COVERED</t>
        </is>
      </c>
      <c r="E47" t="n">
        <v>20.2</v>
      </c>
      <c r="F47" t="n">
        <v>36</v>
      </c>
      <c r="G47" t="n">
        <v>10.4</v>
      </c>
      <c r="H47" t="n">
        <v>374.4</v>
      </c>
      <c r="I47">
        <f>ROUNDUP(E47, 0)</f>
        <v/>
      </c>
      <c r="J47">
        <f>IF(D47="COVERED", 10.40, 7.55)</f>
        <v/>
      </c>
      <c r="K47">
        <f>ROUND(I47*J47, 2)</f>
        <v/>
      </c>
      <c r="L47">
        <f>K47-H47</f>
        <v/>
      </c>
    </row>
    <row r="48">
      <c r="A48" t="inlineStr">
        <is>
          <t>LP-0914</t>
        </is>
      </c>
      <c r="B48" t="inlineStr">
        <is>
          <t>Paige Brown</t>
        </is>
      </c>
      <c r="C48" t="inlineStr">
        <is>
          <t>Ledgport</t>
        </is>
      </c>
      <c r="D48" t="inlineStr">
        <is>
          <t>COVERED</t>
        </is>
      </c>
      <c r="E48" t="n">
        <v>35.1</v>
      </c>
      <c r="F48" t="n">
        <v>40</v>
      </c>
      <c r="G48" t="n">
        <v>10.4</v>
      </c>
      <c r="H48" t="n">
        <v>416</v>
      </c>
      <c r="I48">
        <f>ROUNDUP(E48, 0)</f>
        <v/>
      </c>
      <c r="J48">
        <f>IF(D48="COVERED", 10.40, 7.55)</f>
        <v/>
      </c>
      <c r="K48">
        <f>ROUND(I48*J48, 2)</f>
        <v/>
      </c>
      <c r="L48">
        <f>K48-H48</f>
        <v/>
      </c>
    </row>
    <row r="49">
      <c r="A49" t="inlineStr">
        <is>
          <t>LP-0917</t>
        </is>
      </c>
      <c r="B49" t="inlineStr">
        <is>
          <t>Ryan Carr</t>
        </is>
      </c>
      <c r="C49" t="inlineStr">
        <is>
          <t>Ledgport</t>
        </is>
      </c>
      <c r="D49" t="inlineStr">
        <is>
          <t>COVERED</t>
        </is>
      </c>
      <c r="E49" t="n">
        <v>34.5</v>
      </c>
      <c r="F49" t="n">
        <v>36</v>
      </c>
      <c r="G49" t="n">
        <v>10.4</v>
      </c>
      <c r="H49" t="n">
        <v>374.4</v>
      </c>
      <c r="I49">
        <f>ROUNDUP(E49, 0)</f>
        <v/>
      </c>
      <c r="J49">
        <f>IF(D49="COVERED", 10.40, 7.55)</f>
        <v/>
      </c>
      <c r="K49">
        <f>ROUND(I49*J49, 2)</f>
        <v/>
      </c>
      <c r="L49">
        <f>K49-H49</f>
        <v/>
      </c>
    </row>
    <row r="50">
      <c r="A50" t="inlineStr">
        <is>
          <t>LP-0919</t>
        </is>
      </c>
      <c r="B50" t="inlineStr">
        <is>
          <t>Pamela Wright</t>
        </is>
      </c>
      <c r="C50" t="inlineStr">
        <is>
          <t>Ledgport</t>
        </is>
      </c>
      <c r="D50" t="inlineStr">
        <is>
          <t>COVERED</t>
        </is>
      </c>
      <c r="E50" t="n">
        <v>24.5</v>
      </c>
      <c r="F50" t="n">
        <v>32</v>
      </c>
      <c r="G50" t="n">
        <v>10.4</v>
      </c>
      <c r="H50" t="n">
        <v>332.8</v>
      </c>
      <c r="I50">
        <f>ROUNDUP(E50, 0)</f>
        <v/>
      </c>
      <c r="J50">
        <f>IF(D50="COVERED", 10.40, 7.55)</f>
        <v/>
      </c>
      <c r="K50">
        <f>ROUND(I50*J50, 2)</f>
        <v/>
      </c>
      <c r="L50">
        <f>K50-H50</f>
        <v/>
      </c>
    </row>
    <row r="51">
      <c r="A51" t="inlineStr">
        <is>
          <t>LP-0921</t>
        </is>
      </c>
      <c r="B51" t="inlineStr">
        <is>
          <t>Chris Chavez</t>
        </is>
      </c>
      <c r="C51" t="inlineStr">
        <is>
          <t>Ledgport</t>
        </is>
      </c>
      <c r="D51" t="inlineStr">
        <is>
          <t>COVERED</t>
        </is>
      </c>
      <c r="E51" t="n">
        <v>24.8</v>
      </c>
      <c r="F51" t="n">
        <v>28</v>
      </c>
      <c r="G51" t="n">
        <v>10.4</v>
      </c>
      <c r="H51" t="n">
        <v>291.2</v>
      </c>
      <c r="I51">
        <f>ROUNDUP(E51, 0)</f>
        <v/>
      </c>
      <c r="J51">
        <f>IF(D51="COVERED", 10.40, 7.55)</f>
        <v/>
      </c>
      <c r="K51">
        <f>ROUND(I51*J51, 2)</f>
        <v/>
      </c>
      <c r="L51">
        <f>K51-H51</f>
        <v/>
      </c>
    </row>
    <row r="52">
      <c r="A52" t="inlineStr">
        <is>
          <t>LP-0923</t>
        </is>
      </c>
      <c r="B52" t="inlineStr">
        <is>
          <t>Russell Barnes</t>
        </is>
      </c>
      <c r="C52" t="inlineStr">
        <is>
          <t>Ledgport</t>
        </is>
      </c>
      <c r="D52" t="inlineStr">
        <is>
          <t>COVERED</t>
        </is>
      </c>
      <c r="E52" t="n">
        <v>21</v>
      </c>
      <c r="F52" t="n">
        <v>24</v>
      </c>
      <c r="G52" t="n">
        <v>10.4</v>
      </c>
      <c r="H52" t="n">
        <v>249.6</v>
      </c>
      <c r="I52">
        <f>ROUNDUP(E52, 0)</f>
        <v/>
      </c>
      <c r="J52">
        <f>IF(D52="COVERED", 10.40, 7.55)</f>
        <v/>
      </c>
      <c r="K52">
        <f>ROUND(I52*J52, 2)</f>
        <v/>
      </c>
      <c r="L52">
        <f>K52-H52</f>
        <v/>
      </c>
    </row>
    <row r="53">
      <c r="A53" t="inlineStr">
        <is>
          <t>LP-1006</t>
        </is>
      </c>
      <c r="B53" t="inlineStr">
        <is>
          <t>Carol Scott</t>
        </is>
      </c>
      <c r="C53" t="inlineStr">
        <is>
          <t>Ledgport</t>
        </is>
      </c>
      <c r="D53" t="inlineStr">
        <is>
          <t>COVERED</t>
        </is>
      </c>
      <c r="E53" t="n">
        <v>19.5</v>
      </c>
      <c r="F53" t="n">
        <v>36</v>
      </c>
      <c r="G53" t="n">
        <v>10.4</v>
      </c>
      <c r="H53" t="n">
        <v>374.4</v>
      </c>
      <c r="I53">
        <f>ROUNDUP(E53, 0)</f>
        <v/>
      </c>
      <c r="J53">
        <f>IF(D53="COVERED", 10.40, 7.55)</f>
        <v/>
      </c>
      <c r="K53">
        <f>ROUND(I53*J53, 2)</f>
        <v/>
      </c>
      <c r="L53">
        <f>K53-H53</f>
        <v/>
      </c>
    </row>
    <row r="54">
      <c r="A54" t="inlineStr">
        <is>
          <t>LP-1009</t>
        </is>
      </c>
      <c r="B54" t="inlineStr">
        <is>
          <t>Bradley Franklin</t>
        </is>
      </c>
      <c r="C54" t="inlineStr">
        <is>
          <t>Ledgport</t>
        </is>
      </c>
      <c r="D54" t="inlineStr">
        <is>
          <t>COVERED</t>
        </is>
      </c>
      <c r="E54" t="n">
        <v>19.3</v>
      </c>
      <c r="F54" t="n">
        <v>32</v>
      </c>
      <c r="G54" t="n">
        <v>10.4</v>
      </c>
      <c r="H54" t="n">
        <v>332.8</v>
      </c>
      <c r="I54">
        <f>ROUNDUP(E54, 0)</f>
        <v/>
      </c>
      <c r="J54">
        <f>IF(D54="COVERED", 10.40, 7.55)</f>
        <v/>
      </c>
      <c r="K54">
        <f>ROUND(I54*J54, 2)</f>
        <v/>
      </c>
      <c r="L54">
        <f>K54-H54</f>
        <v/>
      </c>
    </row>
    <row r="55">
      <c r="A55" t="inlineStr">
        <is>
          <t>LP-1013</t>
        </is>
      </c>
      <c r="B55" t="inlineStr">
        <is>
          <t>Melissa Villanueva</t>
        </is>
      </c>
      <c r="C55" t="inlineStr">
        <is>
          <t>Ledgport</t>
        </is>
      </c>
      <c r="D55" t="inlineStr">
        <is>
          <t>COVERED</t>
        </is>
      </c>
      <c r="E55" t="n">
        <v>19.5</v>
      </c>
      <c r="F55" t="n">
        <v>28</v>
      </c>
      <c r="G55" t="n">
        <v>10.4</v>
      </c>
      <c r="H55" t="n">
        <v>291.2</v>
      </c>
      <c r="I55">
        <f>ROUNDUP(E55, 0)</f>
        <v/>
      </c>
      <c r="J55">
        <f>IF(D55="COVERED", 10.40, 7.55)</f>
        <v/>
      </c>
      <c r="K55">
        <f>ROUND(I55*J55, 2)</f>
        <v/>
      </c>
      <c r="L55">
        <f>K55-H55</f>
        <v/>
      </c>
    </row>
    <row r="56">
      <c r="A56" t="inlineStr">
        <is>
          <t>LP-1014</t>
        </is>
      </c>
      <c r="B56" t="inlineStr">
        <is>
          <t>Shari Hess</t>
        </is>
      </c>
      <c r="C56" t="inlineStr">
        <is>
          <t>Ledgport</t>
        </is>
      </c>
      <c r="D56" t="inlineStr">
        <is>
          <t>COVERED</t>
        </is>
      </c>
      <c r="E56" t="n">
        <v>19.4</v>
      </c>
      <c r="F56" t="n">
        <v>24</v>
      </c>
      <c r="G56" t="n">
        <v>10.4</v>
      </c>
      <c r="H56" t="n">
        <v>249.6</v>
      </c>
      <c r="I56">
        <f>ROUNDUP(E56, 0)</f>
        <v/>
      </c>
      <c r="J56">
        <f>IF(D56="COVERED", 10.40, 7.55)</f>
        <v/>
      </c>
      <c r="K56">
        <f>ROUND(I56*J56, 2)</f>
        <v/>
      </c>
      <c r="L56">
        <f>K56-H56</f>
        <v/>
      </c>
    </row>
    <row r="57">
      <c r="A57" t="inlineStr">
        <is>
          <t>LP-1016</t>
        </is>
      </c>
      <c r="B57" t="inlineStr">
        <is>
          <t>Joshua Rivera</t>
        </is>
      </c>
      <c r="C57" t="inlineStr">
        <is>
          <t>Ledgport</t>
        </is>
      </c>
      <c r="D57" t="inlineStr">
        <is>
          <t>COVERED</t>
        </is>
      </c>
      <c r="E57" t="n">
        <v>25.9</v>
      </c>
      <c r="F57" t="n">
        <v>28</v>
      </c>
      <c r="G57" t="n">
        <v>10.4</v>
      </c>
      <c r="H57" t="n">
        <v>291.2</v>
      </c>
      <c r="I57">
        <f>ROUNDUP(E57, 0)</f>
        <v/>
      </c>
      <c r="J57">
        <f>IF(D57="COVERED", 10.40, 7.55)</f>
        <v/>
      </c>
      <c r="K57">
        <f>ROUND(I57*J57, 2)</f>
        <v/>
      </c>
      <c r="L57">
        <f>K57-H57</f>
        <v/>
      </c>
    </row>
    <row r="58">
      <c r="A58" t="inlineStr">
        <is>
          <t>LP-1020</t>
        </is>
      </c>
      <c r="B58" t="inlineStr">
        <is>
          <t>Michael Taylor</t>
        </is>
      </c>
      <c r="C58" t="inlineStr">
        <is>
          <t>Ledgport</t>
        </is>
      </c>
      <c r="D58" t="inlineStr">
        <is>
          <t>COVERED</t>
        </is>
      </c>
      <c r="E58" t="n">
        <v>25.1</v>
      </c>
      <c r="F58" t="n">
        <v>32</v>
      </c>
      <c r="G58" t="n">
        <v>10.4</v>
      </c>
      <c r="H58" t="n">
        <v>332.8</v>
      </c>
      <c r="I58">
        <f>ROUNDUP(E58, 0)</f>
        <v/>
      </c>
      <c r="J58">
        <f>IF(D58="COVERED", 10.40, 7.55)</f>
        <v/>
      </c>
      <c r="K58">
        <f>ROUND(I58*J58, 2)</f>
        <v/>
      </c>
      <c r="L58">
        <f>K58-H58</f>
        <v/>
      </c>
    </row>
    <row r="59">
      <c r="A59" t="inlineStr">
        <is>
          <t>LP-1023</t>
        </is>
      </c>
      <c r="B59" t="inlineStr">
        <is>
          <t>Patrick Richmond</t>
        </is>
      </c>
      <c r="C59" t="inlineStr">
        <is>
          <t>Ledgport</t>
        </is>
      </c>
      <c r="D59" t="inlineStr">
        <is>
          <t>COVERED</t>
        </is>
      </c>
      <c r="E59" t="n">
        <v>20</v>
      </c>
      <c r="F59" t="n">
        <v>24</v>
      </c>
      <c r="G59" t="n">
        <v>10.4</v>
      </c>
      <c r="H59" t="n">
        <v>249.6</v>
      </c>
      <c r="I59">
        <f>ROUNDUP(E59, 0)</f>
        <v/>
      </c>
      <c r="J59">
        <f>IF(D59="COVERED", 10.40, 7.55)</f>
        <v/>
      </c>
      <c r="K59">
        <f>ROUND(I59*J59, 2)</f>
        <v/>
      </c>
      <c r="L59">
        <f>K59-H59</f>
        <v/>
      </c>
    </row>
    <row r="60">
      <c r="A60" t="inlineStr">
        <is>
          <t>LP-1103</t>
        </is>
      </c>
      <c r="B60" t="inlineStr">
        <is>
          <t>Amanda Clayton</t>
        </is>
      </c>
      <c r="C60" t="inlineStr">
        <is>
          <t>Ledgport</t>
        </is>
      </c>
      <c r="D60" t="inlineStr">
        <is>
          <t>COVERED</t>
        </is>
      </c>
      <c r="E60" t="n">
        <v>23.2</v>
      </c>
      <c r="F60" t="n">
        <v>32</v>
      </c>
      <c r="G60" t="n">
        <v>10.4</v>
      </c>
      <c r="H60" t="n">
        <v>332.8</v>
      </c>
      <c r="I60">
        <f>ROUNDUP(E60, 0)</f>
        <v/>
      </c>
      <c r="J60">
        <f>IF(D60="COVERED", 10.40, 7.55)</f>
        <v/>
      </c>
      <c r="K60">
        <f>ROUND(I60*J60, 2)</f>
        <v/>
      </c>
      <c r="L60">
        <f>K60-H60</f>
        <v/>
      </c>
    </row>
    <row r="61">
      <c r="A61" t="inlineStr">
        <is>
          <t>LP-1106</t>
        </is>
      </c>
      <c r="B61" t="inlineStr">
        <is>
          <t>Marisa Alexander</t>
        </is>
      </c>
      <c r="C61" t="inlineStr">
        <is>
          <t>Ledgport</t>
        </is>
      </c>
      <c r="D61" t="inlineStr">
        <is>
          <t>COVERED</t>
        </is>
      </c>
      <c r="E61" t="n">
        <v>18.6</v>
      </c>
      <c r="F61" t="n">
        <v>24</v>
      </c>
      <c r="G61" t="n">
        <v>10.4</v>
      </c>
      <c r="H61" t="n">
        <v>249.6</v>
      </c>
      <c r="I61">
        <f>ROUNDUP(E61, 0)</f>
        <v/>
      </c>
      <c r="J61">
        <f>IF(D61="COVERED", 10.40, 7.55)</f>
        <v/>
      </c>
      <c r="K61">
        <f>ROUND(I61*J61, 2)</f>
        <v/>
      </c>
      <c r="L61">
        <f>K61-H61</f>
        <v/>
      </c>
    </row>
    <row r="62">
      <c r="A62" t="inlineStr">
        <is>
          <t>LP-1108</t>
        </is>
      </c>
      <c r="B62" t="inlineStr">
        <is>
          <t>Victoria Aguirre</t>
        </is>
      </c>
      <c r="C62" t="inlineStr">
        <is>
          <t>Ledgport</t>
        </is>
      </c>
      <c r="D62" t="inlineStr">
        <is>
          <t>COVERED</t>
        </is>
      </c>
      <c r="E62" t="n">
        <v>30.9</v>
      </c>
      <c r="F62" t="n">
        <v>32</v>
      </c>
      <c r="G62" t="n">
        <v>10.4</v>
      </c>
      <c r="H62" t="n">
        <v>332.8</v>
      </c>
      <c r="I62">
        <f>ROUNDUP(E62, 0)</f>
        <v/>
      </c>
      <c r="J62">
        <f>IF(D62="COVERED", 10.40, 7.55)</f>
        <v/>
      </c>
      <c r="K62">
        <f>ROUND(I62*J62, 2)</f>
        <v/>
      </c>
      <c r="L62">
        <f>K62-H62</f>
        <v/>
      </c>
    </row>
    <row r="63">
      <c r="A63" t="inlineStr">
        <is>
          <t>LP-1112</t>
        </is>
      </c>
      <c r="B63" t="inlineStr">
        <is>
          <t>Nicole Richmond</t>
        </is>
      </c>
      <c r="C63" t="inlineStr">
        <is>
          <t>Ledgport</t>
        </is>
      </c>
      <c r="D63" t="inlineStr">
        <is>
          <t>COVERED</t>
        </is>
      </c>
      <c r="E63" t="n">
        <v>34.5</v>
      </c>
      <c r="F63" t="n">
        <v>40</v>
      </c>
      <c r="G63" t="n">
        <v>10.4</v>
      </c>
      <c r="H63" t="n">
        <v>416</v>
      </c>
      <c r="I63">
        <f>ROUNDUP(E63, 0)</f>
        <v/>
      </c>
      <c r="J63">
        <f>IF(D63="COVERED", 10.40, 7.55)</f>
        <v/>
      </c>
      <c r="K63">
        <f>ROUND(I63*J63, 2)</f>
        <v/>
      </c>
      <c r="L63">
        <f>K63-H63</f>
        <v/>
      </c>
    </row>
    <row r="64">
      <c r="A64" t="inlineStr">
        <is>
          <t>LP-1113</t>
        </is>
      </c>
      <c r="B64" t="inlineStr">
        <is>
          <t>Whitney Jackson</t>
        </is>
      </c>
      <c r="C64" t="inlineStr">
        <is>
          <t>Ledgport</t>
        </is>
      </c>
      <c r="D64" t="inlineStr">
        <is>
          <t>COVERED</t>
        </is>
      </c>
      <c r="E64" t="n">
        <v>18</v>
      </c>
      <c r="F64" t="n">
        <v>24</v>
      </c>
      <c r="G64" t="n">
        <v>10.4</v>
      </c>
      <c r="H64" t="n">
        <v>249.6</v>
      </c>
      <c r="I64">
        <f>ROUNDUP(E64, 0)</f>
        <v/>
      </c>
      <c r="J64">
        <f>IF(D64="COVERED", 10.40, 7.55)</f>
        <v/>
      </c>
      <c r="K64">
        <f>ROUND(I64*J64, 2)</f>
        <v/>
      </c>
      <c r="L64">
        <f>K64-H64</f>
        <v/>
      </c>
    </row>
    <row r="65">
      <c r="A65" t="inlineStr">
        <is>
          <t>LP-1114</t>
        </is>
      </c>
      <c r="B65" t="inlineStr">
        <is>
          <t>Sara Nelson</t>
        </is>
      </c>
      <c r="C65" t="inlineStr">
        <is>
          <t>Ledgport</t>
        </is>
      </c>
      <c r="D65" t="inlineStr">
        <is>
          <t>COVERED</t>
        </is>
      </c>
      <c r="E65" t="n">
        <v>21.4</v>
      </c>
      <c r="F65" t="n">
        <v>32</v>
      </c>
      <c r="G65" t="n">
        <v>10.4</v>
      </c>
      <c r="H65" t="n">
        <v>332.8</v>
      </c>
      <c r="I65">
        <f>ROUNDUP(E65, 0)</f>
        <v/>
      </c>
      <c r="J65">
        <f>IF(D65="COVERED", 10.40, 7.55)</f>
        <v/>
      </c>
      <c r="K65">
        <f>ROUND(I65*J65, 2)</f>
        <v/>
      </c>
      <c r="L65">
        <f>K65-H65</f>
        <v/>
      </c>
    </row>
    <row r="66">
      <c r="A66" t="inlineStr">
        <is>
          <t>LP-1120</t>
        </is>
      </c>
      <c r="B66" t="inlineStr">
        <is>
          <t>Deborah Freeman</t>
        </is>
      </c>
      <c r="C66" t="inlineStr">
        <is>
          <t>Ledgport</t>
        </is>
      </c>
      <c r="D66" t="inlineStr">
        <is>
          <t>COVERED</t>
        </is>
      </c>
      <c r="E66" t="n">
        <v>24.1</v>
      </c>
      <c r="F66" t="n">
        <v>32</v>
      </c>
      <c r="G66" t="n">
        <v>10.4</v>
      </c>
      <c r="H66" t="n">
        <v>332.8</v>
      </c>
      <c r="I66">
        <f>ROUNDUP(E66, 0)</f>
        <v/>
      </c>
      <c r="J66">
        <f>IF(D66="COVERED", 10.40, 7.55)</f>
        <v/>
      </c>
      <c r="K66">
        <f>ROUND(I66*J66, 2)</f>
        <v/>
      </c>
      <c r="L66">
        <f>K66-H66</f>
        <v/>
      </c>
    </row>
    <row r="67">
      <c r="A67" t="inlineStr">
        <is>
          <t>VB-0108</t>
        </is>
      </c>
      <c r="B67" t="inlineStr">
        <is>
          <t>Jerry Davis</t>
        </is>
      </c>
      <c r="C67" t="inlineStr">
        <is>
          <t>Vessbank</t>
        </is>
      </c>
      <c r="D67" t="inlineStr">
        <is>
          <t>COVERED</t>
        </is>
      </c>
      <c r="E67" t="n">
        <v>29.7</v>
      </c>
      <c r="F67" t="n">
        <v>32</v>
      </c>
      <c r="G67" t="n">
        <v>10.4</v>
      </c>
      <c r="H67" t="n">
        <v>332.8</v>
      </c>
      <c r="I67">
        <f>ROUNDUP(E67, 0)</f>
        <v/>
      </c>
      <c r="J67">
        <f>IF(D67="COVERED", 10.40, 7.55)</f>
        <v/>
      </c>
      <c r="K67">
        <f>ROUND(I67*J67, 2)</f>
        <v/>
      </c>
      <c r="L67">
        <f>K67-H67</f>
        <v/>
      </c>
    </row>
    <row r="68">
      <c r="A68" t="inlineStr">
        <is>
          <t>VB-0113</t>
        </is>
      </c>
      <c r="B68" t="inlineStr">
        <is>
          <t>Kimberly Solomon</t>
        </is>
      </c>
      <c r="C68" t="inlineStr">
        <is>
          <t>Vessbank</t>
        </is>
      </c>
      <c r="D68" t="inlineStr">
        <is>
          <t>COVERED</t>
        </is>
      </c>
      <c r="E68" t="n">
        <v>24.8</v>
      </c>
      <c r="F68" t="n">
        <v>28</v>
      </c>
      <c r="G68" t="n">
        <v>10.4</v>
      </c>
      <c r="H68" t="n">
        <v>291.2</v>
      </c>
      <c r="I68">
        <f>ROUNDUP(E68, 0)</f>
        <v/>
      </c>
      <c r="J68">
        <f>IF(D68="COVERED", 10.40, 7.55)</f>
        <v/>
      </c>
      <c r="K68">
        <f>ROUND(I68*J68, 2)</f>
        <v/>
      </c>
      <c r="L68">
        <f>K68-H68</f>
        <v/>
      </c>
    </row>
    <row r="69">
      <c r="A69" t="inlineStr">
        <is>
          <t>VB-0122</t>
        </is>
      </c>
      <c r="B69" t="inlineStr">
        <is>
          <t>Tracy Walker</t>
        </is>
      </c>
      <c r="C69" t="inlineStr">
        <is>
          <t>Vessbank</t>
        </is>
      </c>
      <c r="D69" t="inlineStr">
        <is>
          <t>COVERED</t>
        </is>
      </c>
      <c r="E69" t="n">
        <v>31.4</v>
      </c>
      <c r="F69" t="n">
        <v>40</v>
      </c>
      <c r="G69" t="n">
        <v>10.4</v>
      </c>
      <c r="H69" t="n">
        <v>416</v>
      </c>
      <c r="I69">
        <f>ROUNDUP(E69, 0)</f>
        <v/>
      </c>
      <c r="J69">
        <f>IF(D69="COVERED", 10.40, 7.55)</f>
        <v/>
      </c>
      <c r="K69">
        <f>ROUND(I69*J69, 2)</f>
        <v/>
      </c>
      <c r="L69">
        <f>K69-H69</f>
        <v/>
      </c>
    </row>
    <row r="70">
      <c r="A70" t="inlineStr">
        <is>
          <t>VB-0202</t>
        </is>
      </c>
      <c r="B70" t="inlineStr">
        <is>
          <t>Brandon Cabrera</t>
        </is>
      </c>
      <c r="C70" t="inlineStr">
        <is>
          <t>Vessbank</t>
        </is>
      </c>
      <c r="D70" t="inlineStr">
        <is>
          <t>COVERED</t>
        </is>
      </c>
      <c r="E70" t="n">
        <v>27.2</v>
      </c>
      <c r="F70" t="n">
        <v>40</v>
      </c>
      <c r="G70" t="n">
        <v>10.4</v>
      </c>
      <c r="H70" t="n">
        <v>416</v>
      </c>
      <c r="I70">
        <f>ROUNDUP(E70, 0)</f>
        <v/>
      </c>
      <c r="J70">
        <f>IF(D70="COVERED", 10.40, 7.55)</f>
        <v/>
      </c>
      <c r="K70">
        <f>ROUND(I70*J70, 2)</f>
        <v/>
      </c>
      <c r="L70">
        <f>K70-H70</f>
        <v/>
      </c>
    </row>
    <row r="71">
      <c r="A71" t="inlineStr">
        <is>
          <t>VB-0206</t>
        </is>
      </c>
      <c r="B71" t="inlineStr">
        <is>
          <t>Rhonda Ferguson</t>
        </is>
      </c>
      <c r="C71" t="inlineStr">
        <is>
          <t>Vessbank</t>
        </is>
      </c>
      <c r="D71" t="inlineStr">
        <is>
          <t>COVERED</t>
        </is>
      </c>
      <c r="E71" t="n">
        <v>22.5</v>
      </c>
      <c r="F71" t="n">
        <v>28</v>
      </c>
      <c r="G71" t="n">
        <v>10.4</v>
      </c>
      <c r="H71" t="n">
        <v>291.2</v>
      </c>
      <c r="I71">
        <f>ROUNDUP(E71, 0)</f>
        <v/>
      </c>
      <c r="J71">
        <f>IF(D71="COVERED", 10.40, 7.55)</f>
        <v/>
      </c>
      <c r="K71">
        <f>ROUND(I71*J71, 2)</f>
        <v/>
      </c>
      <c r="L71">
        <f>K71-H71</f>
        <v/>
      </c>
    </row>
    <row r="72">
      <c r="A72" t="inlineStr">
        <is>
          <t>VB-0208</t>
        </is>
      </c>
      <c r="B72" t="inlineStr">
        <is>
          <t>Cameron Foster</t>
        </is>
      </c>
      <c r="C72" t="inlineStr">
        <is>
          <t>Vessbank</t>
        </is>
      </c>
      <c r="D72" t="inlineStr">
        <is>
          <t>COVERED</t>
        </is>
      </c>
      <c r="E72" t="n">
        <v>21.8</v>
      </c>
      <c r="F72" t="n">
        <v>40</v>
      </c>
      <c r="G72" t="n">
        <v>10.4</v>
      </c>
      <c r="H72" t="n">
        <v>416</v>
      </c>
      <c r="I72">
        <f>ROUNDUP(E72, 0)</f>
        <v/>
      </c>
      <c r="J72">
        <f>IF(D72="COVERED", 10.40, 7.55)</f>
        <v/>
      </c>
      <c r="K72">
        <f>ROUND(I72*J72, 2)</f>
        <v/>
      </c>
      <c r="L72">
        <f>K72-H72</f>
        <v/>
      </c>
    </row>
    <row r="73">
      <c r="A73" t="inlineStr">
        <is>
          <t>VB-0210</t>
        </is>
      </c>
      <c r="B73" t="inlineStr">
        <is>
          <t>Michael Lopez</t>
        </is>
      </c>
      <c r="C73" t="inlineStr">
        <is>
          <t>Vessbank</t>
        </is>
      </c>
      <c r="D73" t="inlineStr">
        <is>
          <t>COVERED</t>
        </is>
      </c>
      <c r="E73" t="n">
        <v>20.9</v>
      </c>
      <c r="F73" t="n">
        <v>28</v>
      </c>
      <c r="G73" t="n">
        <v>10.4</v>
      </c>
      <c r="H73" t="n">
        <v>291.2</v>
      </c>
      <c r="I73">
        <f>ROUNDUP(E73, 0)</f>
        <v/>
      </c>
      <c r="J73">
        <f>IF(D73="COVERED", 10.40, 7.55)</f>
        <v/>
      </c>
      <c r="K73">
        <f>ROUND(I73*J73, 2)</f>
        <v/>
      </c>
      <c r="L73">
        <f>K73-H73</f>
        <v/>
      </c>
    </row>
    <row r="74">
      <c r="A74" t="inlineStr">
        <is>
          <t>VB-0211</t>
        </is>
      </c>
      <c r="B74" t="inlineStr">
        <is>
          <t>Mary Morris</t>
        </is>
      </c>
      <c r="C74" t="inlineStr">
        <is>
          <t>Vessbank</t>
        </is>
      </c>
      <c r="D74" t="inlineStr">
        <is>
          <t>COVERED</t>
        </is>
      </c>
      <c r="E74" t="n">
        <v>38.3</v>
      </c>
      <c r="F74" t="n">
        <v>40</v>
      </c>
      <c r="G74" t="n">
        <v>10.4</v>
      </c>
      <c r="H74" t="n">
        <v>416</v>
      </c>
      <c r="I74">
        <f>ROUNDUP(E74, 0)</f>
        <v/>
      </c>
      <c r="J74">
        <f>IF(D74="COVERED", 10.40, 7.55)</f>
        <v/>
      </c>
      <c r="K74">
        <f>ROUND(I74*J74, 2)</f>
        <v/>
      </c>
      <c r="L74">
        <f>K74-H74</f>
        <v/>
      </c>
    </row>
    <row r="75">
      <c r="A75" t="inlineStr">
        <is>
          <t>VB-0215</t>
        </is>
      </c>
      <c r="B75" t="inlineStr">
        <is>
          <t>Brenda Patel</t>
        </is>
      </c>
      <c r="C75" t="inlineStr">
        <is>
          <t>Vessbank</t>
        </is>
      </c>
      <c r="D75" t="inlineStr">
        <is>
          <t>COVERED</t>
        </is>
      </c>
      <c r="E75" t="n">
        <v>18.3</v>
      </c>
      <c r="F75" t="n">
        <v>28</v>
      </c>
      <c r="G75" t="n">
        <v>10.4</v>
      </c>
      <c r="H75" t="n">
        <v>291.2</v>
      </c>
      <c r="I75">
        <f>ROUNDUP(E75, 0)</f>
        <v/>
      </c>
      <c r="J75">
        <f>IF(D75="COVERED", 10.40, 7.55)</f>
        <v/>
      </c>
      <c r="K75">
        <f>ROUND(I75*J75, 2)</f>
        <v/>
      </c>
      <c r="L75">
        <f>K75-H75</f>
        <v/>
      </c>
    </row>
    <row r="76">
      <c r="A76" t="inlineStr">
        <is>
          <t>VB-0216</t>
        </is>
      </c>
      <c r="B76" t="inlineStr">
        <is>
          <t>Nathan Parker</t>
        </is>
      </c>
      <c r="C76" t="inlineStr">
        <is>
          <t>Vessbank</t>
        </is>
      </c>
      <c r="D76" t="inlineStr">
        <is>
          <t>COVERED</t>
        </is>
      </c>
      <c r="E76" t="n">
        <v>30.8</v>
      </c>
      <c r="F76" t="n">
        <v>40</v>
      </c>
      <c r="G76" t="n">
        <v>10.4</v>
      </c>
      <c r="H76" t="n">
        <v>416</v>
      </c>
      <c r="I76">
        <f>ROUNDUP(E76, 0)</f>
        <v/>
      </c>
      <c r="J76">
        <f>IF(D76="COVERED", 10.40, 7.55)</f>
        <v/>
      </c>
      <c r="K76">
        <f>ROUND(I76*J76, 2)</f>
        <v/>
      </c>
      <c r="L76">
        <f>K76-H76</f>
        <v/>
      </c>
    </row>
    <row r="77">
      <c r="A77" t="inlineStr">
        <is>
          <t>VB-0220</t>
        </is>
      </c>
      <c r="B77" t="inlineStr">
        <is>
          <t>Calvin Nelson</t>
        </is>
      </c>
      <c r="C77" t="inlineStr">
        <is>
          <t>Vessbank</t>
        </is>
      </c>
      <c r="D77" t="inlineStr">
        <is>
          <t>COVERED</t>
        </is>
      </c>
      <c r="E77" t="n">
        <v>24.4</v>
      </c>
      <c r="F77" t="n">
        <v>28</v>
      </c>
      <c r="G77" t="n">
        <v>10.4</v>
      </c>
      <c r="H77" t="n">
        <v>291.2</v>
      </c>
      <c r="I77">
        <f>ROUNDUP(E77, 0)</f>
        <v/>
      </c>
      <c r="J77">
        <f>IF(D77="COVERED", 10.40, 7.55)</f>
        <v/>
      </c>
      <c r="K77">
        <f>ROUND(I77*J77, 2)</f>
        <v/>
      </c>
      <c r="L77">
        <f>K77-H77</f>
        <v/>
      </c>
    </row>
    <row r="78">
      <c r="A78" t="inlineStr">
        <is>
          <t>VB-0224</t>
        </is>
      </c>
      <c r="B78" t="inlineStr">
        <is>
          <t>Sandra Goodwin</t>
        </is>
      </c>
      <c r="C78" t="inlineStr">
        <is>
          <t>Vessbank</t>
        </is>
      </c>
      <c r="D78" t="inlineStr">
        <is>
          <t>COVERED</t>
        </is>
      </c>
      <c r="E78" t="n">
        <v>27</v>
      </c>
      <c r="F78" t="n">
        <v>28</v>
      </c>
      <c r="G78" t="n">
        <v>10.4</v>
      </c>
      <c r="H78" t="n">
        <v>291.2</v>
      </c>
      <c r="I78">
        <f>ROUNDUP(E78, 0)</f>
        <v/>
      </c>
      <c r="J78">
        <f>IF(D78="COVERED", 10.40, 7.55)</f>
        <v/>
      </c>
      <c r="K78">
        <f>ROUND(I78*J78, 2)</f>
        <v/>
      </c>
      <c r="L78">
        <f>K78-H78</f>
        <v/>
      </c>
    </row>
    <row r="79">
      <c r="A79" t="inlineStr">
        <is>
          <t>VB-0303</t>
        </is>
      </c>
      <c r="B79" t="inlineStr">
        <is>
          <t>Robert Houston</t>
        </is>
      </c>
      <c r="C79" t="inlineStr">
        <is>
          <t>Vessbank</t>
        </is>
      </c>
      <c r="D79" t="inlineStr">
        <is>
          <t>COVERED</t>
        </is>
      </c>
      <c r="E79" t="n">
        <v>30.5</v>
      </c>
      <c r="F79" t="n">
        <v>32</v>
      </c>
      <c r="G79" t="n">
        <v>10.4</v>
      </c>
      <c r="H79" t="n">
        <v>332.8</v>
      </c>
      <c r="I79">
        <f>ROUNDUP(E79, 0)</f>
        <v/>
      </c>
      <c r="J79">
        <f>IF(D79="COVERED", 10.40, 7.55)</f>
        <v/>
      </c>
      <c r="K79">
        <f>ROUND(I79*J79, 2)</f>
        <v/>
      </c>
      <c r="L79">
        <f>K79-H79</f>
        <v/>
      </c>
    </row>
    <row r="80">
      <c r="A80" t="inlineStr">
        <is>
          <t>VB-0306</t>
        </is>
      </c>
      <c r="B80" t="inlineStr">
        <is>
          <t>Jessica Daugherty</t>
        </is>
      </c>
      <c r="C80" t="inlineStr">
        <is>
          <t>Vessbank</t>
        </is>
      </c>
      <c r="D80" t="inlineStr">
        <is>
          <t>COVERED</t>
        </is>
      </c>
      <c r="E80" t="n">
        <v>18.3</v>
      </c>
      <c r="F80" t="n">
        <v>28</v>
      </c>
      <c r="G80" t="n">
        <v>10.4</v>
      </c>
      <c r="H80" t="n">
        <v>291.2</v>
      </c>
      <c r="I80">
        <f>ROUNDUP(E80, 0)</f>
        <v/>
      </c>
      <c r="J80">
        <f>IF(D80="COVERED", 10.40, 7.55)</f>
        <v/>
      </c>
      <c r="K80">
        <f>ROUND(I80*J80, 2)</f>
        <v/>
      </c>
      <c r="L80">
        <f>K80-H80</f>
        <v/>
      </c>
    </row>
    <row r="81">
      <c r="A81" t="inlineStr">
        <is>
          <t>VB-0309</t>
        </is>
      </c>
      <c r="B81" t="inlineStr">
        <is>
          <t>David Horton</t>
        </is>
      </c>
      <c r="C81" t="inlineStr">
        <is>
          <t>Vessbank</t>
        </is>
      </c>
      <c r="D81" t="inlineStr">
        <is>
          <t>COVERED</t>
        </is>
      </c>
      <c r="E81" t="n">
        <v>20.6</v>
      </c>
      <c r="F81" t="n">
        <v>36</v>
      </c>
      <c r="G81" t="n">
        <v>10.4</v>
      </c>
      <c r="H81" t="n">
        <v>374.4</v>
      </c>
      <c r="I81">
        <f>ROUNDUP(E81, 0)</f>
        <v/>
      </c>
      <c r="J81">
        <f>IF(D81="COVERED", 10.40, 7.55)</f>
        <v/>
      </c>
      <c r="K81">
        <f>ROUND(I81*J81, 2)</f>
        <v/>
      </c>
      <c r="L81">
        <f>K81-H81</f>
        <v/>
      </c>
    </row>
    <row r="82">
      <c r="A82" t="inlineStr">
        <is>
          <t>VB-0316</t>
        </is>
      </c>
      <c r="B82" t="inlineStr">
        <is>
          <t>Lisa Hernandez</t>
        </is>
      </c>
      <c r="C82" t="inlineStr">
        <is>
          <t>Vessbank</t>
        </is>
      </c>
      <c r="D82" t="inlineStr">
        <is>
          <t>COVERED</t>
        </is>
      </c>
      <c r="E82" t="n">
        <v>32.7</v>
      </c>
      <c r="F82" t="n">
        <v>36</v>
      </c>
      <c r="G82" t="n">
        <v>10.4</v>
      </c>
      <c r="H82" t="n">
        <v>374.4</v>
      </c>
      <c r="I82">
        <f>ROUNDUP(E82, 0)</f>
        <v/>
      </c>
      <c r="J82">
        <f>IF(D82="COVERED", 10.40, 7.55)</f>
        <v/>
      </c>
      <c r="K82">
        <f>ROUND(I82*J82, 2)</f>
        <v/>
      </c>
      <c r="L82">
        <f>K82-H82</f>
        <v/>
      </c>
    </row>
    <row r="83">
      <c r="A83" t="inlineStr">
        <is>
          <t>VB-0318</t>
        </is>
      </c>
      <c r="B83" t="inlineStr">
        <is>
          <t>Scott Garcia</t>
        </is>
      </c>
      <c r="C83" t="inlineStr">
        <is>
          <t>Vessbank</t>
        </is>
      </c>
      <c r="D83" t="inlineStr">
        <is>
          <t>COVERED</t>
        </is>
      </c>
      <c r="E83" t="n">
        <v>27.2</v>
      </c>
      <c r="F83" t="n">
        <v>32</v>
      </c>
      <c r="G83" t="n">
        <v>10.4</v>
      </c>
      <c r="H83" t="n">
        <v>332.8</v>
      </c>
      <c r="I83">
        <f>ROUNDUP(E83, 0)</f>
        <v/>
      </c>
      <c r="J83">
        <f>IF(D83="COVERED", 10.40, 7.55)</f>
        <v/>
      </c>
      <c r="K83">
        <f>ROUND(I83*J83, 2)</f>
        <v/>
      </c>
      <c r="L83">
        <f>K83-H83</f>
        <v/>
      </c>
    </row>
    <row r="84">
      <c r="A84" t="inlineStr">
        <is>
          <t>VB-0319</t>
        </is>
      </c>
      <c r="B84" t="inlineStr">
        <is>
          <t>Michael Dickson</t>
        </is>
      </c>
      <c r="C84" t="inlineStr">
        <is>
          <t>Vessbank</t>
        </is>
      </c>
      <c r="D84" t="inlineStr">
        <is>
          <t>COVERED</t>
        </is>
      </c>
      <c r="E84" t="n">
        <v>25.8</v>
      </c>
      <c r="F84" t="n">
        <v>28</v>
      </c>
      <c r="G84" t="n">
        <v>10.4</v>
      </c>
      <c r="H84" t="n">
        <v>291.2</v>
      </c>
      <c r="I84">
        <f>ROUNDUP(E84, 0)</f>
        <v/>
      </c>
      <c r="J84">
        <f>IF(D84="COVERED", 10.40, 7.55)</f>
        <v/>
      </c>
      <c r="K84">
        <f>ROUND(I84*J84, 2)</f>
        <v/>
      </c>
      <c r="L84">
        <f>K84-H84</f>
        <v/>
      </c>
    </row>
    <row r="85">
      <c r="A85" t="inlineStr">
        <is>
          <t>VB-0321</t>
        </is>
      </c>
      <c r="B85" t="inlineStr">
        <is>
          <t>Christine Cook</t>
        </is>
      </c>
      <c r="C85" t="inlineStr">
        <is>
          <t>Vessbank</t>
        </is>
      </c>
      <c r="D85" t="inlineStr">
        <is>
          <t>COVERED</t>
        </is>
      </c>
      <c r="E85" t="n">
        <v>26.2</v>
      </c>
      <c r="F85" t="n">
        <v>28</v>
      </c>
      <c r="G85" t="n">
        <v>10.4</v>
      </c>
      <c r="H85" t="n">
        <v>291.2</v>
      </c>
      <c r="I85">
        <f>ROUNDUP(E85, 0)</f>
        <v/>
      </c>
      <c r="J85">
        <f>IF(D85="COVERED", 10.40, 7.55)</f>
        <v/>
      </c>
      <c r="K85">
        <f>ROUND(I85*J85, 2)</f>
        <v/>
      </c>
      <c r="L85">
        <f>K85-H85</f>
        <v/>
      </c>
    </row>
    <row r="86">
      <c r="A86" t="inlineStr">
        <is>
          <t>VB-0322</t>
        </is>
      </c>
      <c r="B86" t="inlineStr">
        <is>
          <t>Ryan Johnson</t>
        </is>
      </c>
      <c r="C86" t="inlineStr">
        <is>
          <t>Vessbank</t>
        </is>
      </c>
      <c r="D86" t="inlineStr">
        <is>
          <t>COVERED</t>
        </is>
      </c>
      <c r="E86" t="n">
        <v>22.7</v>
      </c>
      <c r="F86" t="n">
        <v>40</v>
      </c>
      <c r="G86" t="n">
        <v>10.4</v>
      </c>
      <c r="H86" t="n">
        <v>416</v>
      </c>
      <c r="I86">
        <f>ROUNDUP(E86, 0)</f>
        <v/>
      </c>
      <c r="J86">
        <f>IF(D86="COVERED", 10.40, 7.55)</f>
        <v/>
      </c>
      <c r="K86">
        <f>ROUND(I86*J86, 2)</f>
        <v/>
      </c>
      <c r="L86">
        <f>K86-H86</f>
        <v/>
      </c>
    </row>
    <row r="87">
      <c r="A87" t="inlineStr">
        <is>
          <t>VB-0410</t>
        </is>
      </c>
      <c r="B87" t="inlineStr">
        <is>
          <t>Olivia Baldwin</t>
        </is>
      </c>
      <c r="C87" t="inlineStr">
        <is>
          <t>Vessbank</t>
        </is>
      </c>
      <c r="D87" t="inlineStr">
        <is>
          <t>COVERED</t>
        </is>
      </c>
      <c r="E87" t="n">
        <v>20.6</v>
      </c>
      <c r="F87" t="n">
        <v>32</v>
      </c>
      <c r="G87" t="n">
        <v>10.4</v>
      </c>
      <c r="H87" t="n">
        <v>332.8</v>
      </c>
      <c r="I87">
        <f>ROUNDUP(E87, 0)</f>
        <v/>
      </c>
      <c r="J87">
        <f>IF(D87="COVERED", 10.40, 7.55)</f>
        <v/>
      </c>
      <c r="K87">
        <f>ROUND(I87*J87, 2)</f>
        <v/>
      </c>
      <c r="L87">
        <f>K87-H87</f>
        <v/>
      </c>
    </row>
    <row r="88">
      <c r="A88" t="inlineStr">
        <is>
          <t>VB-0416</t>
        </is>
      </c>
      <c r="B88" t="inlineStr">
        <is>
          <t>Michael Horne</t>
        </is>
      </c>
      <c r="C88" t="inlineStr">
        <is>
          <t>Vessbank</t>
        </is>
      </c>
      <c r="D88" t="inlineStr">
        <is>
          <t>COVERED</t>
        </is>
      </c>
      <c r="E88" t="n">
        <v>19</v>
      </c>
      <c r="F88" t="n">
        <v>36</v>
      </c>
      <c r="G88" t="n">
        <v>10.4</v>
      </c>
      <c r="H88" t="n">
        <v>374.4</v>
      </c>
      <c r="I88">
        <f>ROUNDUP(E88, 0)</f>
        <v/>
      </c>
      <c r="J88">
        <f>IF(D88="COVERED", 10.40, 7.55)</f>
        <v/>
      </c>
      <c r="K88">
        <f>ROUND(I88*J88, 2)</f>
        <v/>
      </c>
      <c r="L88">
        <f>K88-H88</f>
        <v/>
      </c>
    </row>
    <row r="89">
      <c r="A89" t="inlineStr">
        <is>
          <t>VB-0417</t>
        </is>
      </c>
      <c r="B89" t="inlineStr">
        <is>
          <t>Jeremiah Cruz</t>
        </is>
      </c>
      <c r="C89" t="inlineStr">
        <is>
          <t>Vessbank</t>
        </is>
      </c>
      <c r="D89" t="inlineStr">
        <is>
          <t>COVERED</t>
        </is>
      </c>
      <c r="E89" t="n">
        <v>25.7</v>
      </c>
      <c r="F89" t="n">
        <v>32</v>
      </c>
      <c r="G89" t="n">
        <v>10.4</v>
      </c>
      <c r="H89" t="n">
        <v>332.8</v>
      </c>
      <c r="I89">
        <f>ROUNDUP(E89, 0)</f>
        <v/>
      </c>
      <c r="J89">
        <f>IF(D89="COVERED", 10.40, 7.55)</f>
        <v/>
      </c>
      <c r="K89">
        <f>ROUND(I89*J89, 2)</f>
        <v/>
      </c>
      <c r="L89">
        <f>K89-H89</f>
        <v/>
      </c>
    </row>
    <row r="90">
      <c r="A90" t="inlineStr">
        <is>
          <t>VB-0422</t>
        </is>
      </c>
      <c r="B90" t="inlineStr">
        <is>
          <t>Erica Smith</t>
        </is>
      </c>
      <c r="C90" t="inlineStr">
        <is>
          <t>Vessbank</t>
        </is>
      </c>
      <c r="D90" t="inlineStr">
        <is>
          <t>COVERED</t>
        </is>
      </c>
      <c r="E90" t="n">
        <v>31.6</v>
      </c>
      <c r="F90" t="n">
        <v>36</v>
      </c>
      <c r="G90" t="n">
        <v>10.4</v>
      </c>
      <c r="H90" t="n">
        <v>374.4</v>
      </c>
      <c r="I90">
        <f>ROUNDUP(E90, 0)</f>
        <v/>
      </c>
      <c r="J90">
        <f>IF(D90="COVERED", 10.40, 7.55)</f>
        <v/>
      </c>
      <c r="K90">
        <f>ROUND(I90*J90, 2)</f>
        <v/>
      </c>
      <c r="L90">
        <f>K90-H90</f>
        <v/>
      </c>
    </row>
    <row r="91">
      <c r="A91" t="inlineStr">
        <is>
          <t>VB-0507</t>
        </is>
      </c>
      <c r="B91" t="inlineStr">
        <is>
          <t>Rhonda Johnson</t>
        </is>
      </c>
      <c r="C91" t="inlineStr">
        <is>
          <t>Vessbank</t>
        </is>
      </c>
      <c r="D91" t="inlineStr">
        <is>
          <t>COVERED</t>
        </is>
      </c>
      <c r="E91" t="n">
        <v>29.8</v>
      </c>
      <c r="F91" t="n">
        <v>40</v>
      </c>
      <c r="G91" t="n">
        <v>10.4</v>
      </c>
      <c r="H91" t="n">
        <v>416</v>
      </c>
      <c r="I91">
        <f>ROUNDUP(E91, 0)</f>
        <v/>
      </c>
      <c r="J91">
        <f>IF(D91="COVERED", 10.40, 7.55)</f>
        <v/>
      </c>
      <c r="K91">
        <f>ROUND(I91*J91, 2)</f>
        <v/>
      </c>
      <c r="L91">
        <f>K91-H91</f>
        <v/>
      </c>
    </row>
    <row r="92">
      <c r="A92" t="inlineStr">
        <is>
          <t>VB-0510</t>
        </is>
      </c>
      <c r="B92" t="inlineStr">
        <is>
          <t>Michael Burns</t>
        </is>
      </c>
      <c r="C92" t="inlineStr">
        <is>
          <t>Vessbank</t>
        </is>
      </c>
      <c r="D92" t="inlineStr">
        <is>
          <t>COVERED</t>
        </is>
      </c>
      <c r="E92" t="n">
        <v>21</v>
      </c>
      <c r="F92" t="n">
        <v>40</v>
      </c>
      <c r="G92" t="n">
        <v>10.4</v>
      </c>
      <c r="H92" t="n">
        <v>416</v>
      </c>
      <c r="I92">
        <f>ROUNDUP(E92, 0)</f>
        <v/>
      </c>
      <c r="J92">
        <f>IF(D92="COVERED", 10.40, 7.55)</f>
        <v/>
      </c>
      <c r="K92">
        <f>ROUND(I92*J92, 2)</f>
        <v/>
      </c>
      <c r="L92">
        <f>K92-H92</f>
        <v/>
      </c>
    </row>
    <row r="93">
      <c r="A93" t="inlineStr">
        <is>
          <t>VB-0512</t>
        </is>
      </c>
      <c r="B93" t="inlineStr">
        <is>
          <t>Stacy Hernandez</t>
        </is>
      </c>
      <c r="C93" t="inlineStr">
        <is>
          <t>Vessbank</t>
        </is>
      </c>
      <c r="D93" t="inlineStr">
        <is>
          <t>COVERED</t>
        </is>
      </c>
      <c r="E93" t="n">
        <v>21.8</v>
      </c>
      <c r="F93" t="n">
        <v>28</v>
      </c>
      <c r="G93" t="n">
        <v>10.4</v>
      </c>
      <c r="H93" t="n">
        <v>291.2</v>
      </c>
      <c r="I93">
        <f>ROUNDUP(E93, 0)</f>
        <v/>
      </c>
      <c r="J93">
        <f>IF(D93="COVERED", 10.40, 7.55)</f>
        <v/>
      </c>
      <c r="K93">
        <f>ROUND(I93*J93, 2)</f>
        <v/>
      </c>
      <c r="L93">
        <f>K93-H93</f>
        <v/>
      </c>
    </row>
    <row r="94">
      <c r="A94" t="inlineStr">
        <is>
          <t>VB-0524</t>
        </is>
      </c>
      <c r="B94" t="inlineStr">
        <is>
          <t>David Dawson</t>
        </is>
      </c>
      <c r="C94" t="inlineStr">
        <is>
          <t>Vessbank</t>
        </is>
      </c>
      <c r="D94" t="inlineStr">
        <is>
          <t>COVERED</t>
        </is>
      </c>
      <c r="E94" t="n">
        <v>22.5</v>
      </c>
      <c r="F94" t="n">
        <v>28</v>
      </c>
      <c r="G94" t="n">
        <v>10.4</v>
      </c>
      <c r="H94" t="n">
        <v>291.2</v>
      </c>
      <c r="I94">
        <f>ROUNDUP(E94, 0)</f>
        <v/>
      </c>
      <c r="J94">
        <f>IF(D94="COVERED", 10.40, 7.55)</f>
        <v/>
      </c>
      <c r="K94">
        <f>ROUND(I94*J94, 2)</f>
        <v/>
      </c>
      <c r="L94">
        <f>K94-H94</f>
        <v/>
      </c>
    </row>
    <row r="95">
      <c r="A95" t="inlineStr">
        <is>
          <t>VB-0604</t>
        </is>
      </c>
      <c r="B95" t="inlineStr">
        <is>
          <t>Kristen Williams</t>
        </is>
      </c>
      <c r="C95" t="inlineStr">
        <is>
          <t>Vessbank</t>
        </is>
      </c>
      <c r="D95" t="inlineStr">
        <is>
          <t>COVERED</t>
        </is>
      </c>
      <c r="E95" t="n">
        <v>19.5</v>
      </c>
      <c r="F95" t="n">
        <v>28</v>
      </c>
      <c r="G95" t="n">
        <v>10.4</v>
      </c>
      <c r="H95" t="n">
        <v>291.2</v>
      </c>
      <c r="I95">
        <f>ROUNDUP(E95, 0)</f>
        <v/>
      </c>
      <c r="J95">
        <f>IF(D95="COVERED", 10.40, 7.55)</f>
        <v/>
      </c>
      <c r="K95">
        <f>ROUND(I95*J95, 2)</f>
        <v/>
      </c>
      <c r="L95">
        <f>K95-H95</f>
        <v/>
      </c>
    </row>
    <row r="96">
      <c r="A96" t="inlineStr">
        <is>
          <t>VB-0607</t>
        </is>
      </c>
      <c r="B96" t="inlineStr">
        <is>
          <t>Cynthia Gutierrez</t>
        </is>
      </c>
      <c r="C96" t="inlineStr">
        <is>
          <t>Vessbank</t>
        </is>
      </c>
      <c r="D96" t="inlineStr">
        <is>
          <t>COVERED</t>
        </is>
      </c>
      <c r="E96" t="n">
        <v>29.2</v>
      </c>
      <c r="F96" t="n">
        <v>36</v>
      </c>
      <c r="G96" t="n">
        <v>10.4</v>
      </c>
      <c r="H96" t="n">
        <v>374.4</v>
      </c>
      <c r="I96">
        <f>ROUNDUP(E96, 0)</f>
        <v/>
      </c>
      <c r="J96">
        <f>IF(D96="COVERED", 10.40, 7.55)</f>
        <v/>
      </c>
      <c r="K96">
        <f>ROUND(I96*J96, 2)</f>
        <v/>
      </c>
      <c r="L96">
        <f>K96-H96</f>
        <v/>
      </c>
    </row>
    <row r="97">
      <c r="A97" t="inlineStr">
        <is>
          <t>VB-0609</t>
        </is>
      </c>
      <c r="B97" t="inlineStr">
        <is>
          <t>Nicole Burke</t>
        </is>
      </c>
      <c r="C97" t="inlineStr">
        <is>
          <t>Vessbank</t>
        </is>
      </c>
      <c r="D97" t="inlineStr">
        <is>
          <t>COVERED</t>
        </is>
      </c>
      <c r="E97" t="n">
        <v>34.2</v>
      </c>
      <c r="F97" t="n">
        <v>36</v>
      </c>
      <c r="G97" t="n">
        <v>10.4</v>
      </c>
      <c r="H97" t="n">
        <v>374.4</v>
      </c>
      <c r="I97">
        <f>ROUNDUP(E97, 0)</f>
        <v/>
      </c>
      <c r="J97">
        <f>IF(D97="COVERED", 10.40, 7.55)</f>
        <v/>
      </c>
      <c r="K97">
        <f>ROUND(I97*J97, 2)</f>
        <v/>
      </c>
      <c r="L97">
        <f>K97-H97</f>
        <v/>
      </c>
    </row>
    <row r="98">
      <c r="A98" t="inlineStr">
        <is>
          <t>VB-0611</t>
        </is>
      </c>
      <c r="B98" t="inlineStr">
        <is>
          <t>Mark Flynn</t>
        </is>
      </c>
      <c r="C98" t="inlineStr">
        <is>
          <t>Vessbank</t>
        </is>
      </c>
      <c r="D98" t="inlineStr">
        <is>
          <t>COVERED</t>
        </is>
      </c>
      <c r="E98" t="n">
        <v>18.3</v>
      </c>
      <c r="F98" t="n">
        <v>32</v>
      </c>
      <c r="G98" t="n">
        <v>10.4</v>
      </c>
      <c r="H98" t="n">
        <v>332.8</v>
      </c>
      <c r="I98">
        <f>ROUNDUP(E98, 0)</f>
        <v/>
      </c>
      <c r="J98">
        <f>IF(D98="COVERED", 10.40, 7.55)</f>
        <v/>
      </c>
      <c r="K98">
        <f>ROUND(I98*J98, 2)</f>
        <v/>
      </c>
      <c r="L98">
        <f>K98-H98</f>
        <v/>
      </c>
    </row>
    <row r="99">
      <c r="A99" t="inlineStr">
        <is>
          <t>VB-0621</t>
        </is>
      </c>
      <c r="B99" t="inlineStr">
        <is>
          <t>Adam Shepherd</t>
        </is>
      </c>
      <c r="C99" t="inlineStr">
        <is>
          <t>Vessbank</t>
        </is>
      </c>
      <c r="D99" t="inlineStr">
        <is>
          <t>COVERED</t>
        </is>
      </c>
      <c r="E99" t="n">
        <v>19.9</v>
      </c>
      <c r="F99" t="n">
        <v>24</v>
      </c>
      <c r="G99" t="n">
        <v>10.4</v>
      </c>
      <c r="H99" t="n">
        <v>249.6</v>
      </c>
      <c r="I99">
        <f>ROUNDUP(E99, 0)</f>
        <v/>
      </c>
      <c r="J99">
        <f>IF(D99="COVERED", 10.40, 7.55)</f>
        <v/>
      </c>
      <c r="K99">
        <f>ROUND(I99*J99, 2)</f>
        <v/>
      </c>
      <c r="L99">
        <f>K99-H99</f>
        <v/>
      </c>
    </row>
    <row r="100">
      <c r="A100" t="inlineStr">
        <is>
          <t>VB-0622</t>
        </is>
      </c>
      <c r="B100" t="inlineStr">
        <is>
          <t>Dennis Schmidt</t>
        </is>
      </c>
      <c r="C100" t="inlineStr">
        <is>
          <t>Vessbank</t>
        </is>
      </c>
      <c r="D100" t="inlineStr">
        <is>
          <t>COVERED</t>
        </is>
      </c>
      <c r="E100" t="n">
        <v>19.6</v>
      </c>
      <c r="F100" t="n">
        <v>32</v>
      </c>
      <c r="G100" t="n">
        <v>10.4</v>
      </c>
      <c r="H100" t="n">
        <v>332.8</v>
      </c>
      <c r="I100">
        <f>ROUNDUP(E100, 0)</f>
        <v/>
      </c>
      <c r="J100">
        <f>IF(D100="COVERED", 10.40, 7.55)</f>
        <v/>
      </c>
      <c r="K100">
        <f>ROUND(I100*J100, 2)</f>
        <v/>
      </c>
      <c r="L100">
        <f>K100-H100</f>
        <v/>
      </c>
    </row>
    <row r="101">
      <c r="A101" t="inlineStr">
        <is>
          <t>VB-0624</t>
        </is>
      </c>
      <c r="B101" t="inlineStr">
        <is>
          <t>Heather Brown</t>
        </is>
      </c>
      <c r="C101" t="inlineStr">
        <is>
          <t>Vessbank</t>
        </is>
      </c>
      <c r="D101" t="inlineStr">
        <is>
          <t>COVERED</t>
        </is>
      </c>
      <c r="E101" t="n">
        <v>19.5</v>
      </c>
      <c r="F101" t="n">
        <v>40</v>
      </c>
      <c r="G101" t="n">
        <v>10.4</v>
      </c>
      <c r="H101" t="n">
        <v>416</v>
      </c>
      <c r="I101">
        <f>ROUNDUP(E101, 0)</f>
        <v/>
      </c>
      <c r="J101">
        <f>IF(D101="COVERED", 10.40, 7.55)</f>
        <v/>
      </c>
      <c r="K101">
        <f>ROUND(I101*J101, 2)</f>
        <v/>
      </c>
      <c r="L101">
        <f>K101-H101</f>
        <v/>
      </c>
    </row>
    <row r="102">
      <c r="A102" t="inlineStr">
        <is>
          <t>VB-0707</t>
        </is>
      </c>
      <c r="B102" t="inlineStr">
        <is>
          <t>James Lopez</t>
        </is>
      </c>
      <c r="C102" t="inlineStr">
        <is>
          <t>Vessbank</t>
        </is>
      </c>
      <c r="D102" t="inlineStr">
        <is>
          <t>COVERED</t>
        </is>
      </c>
      <c r="E102" t="n">
        <v>19.6</v>
      </c>
      <c r="F102" t="n">
        <v>28</v>
      </c>
      <c r="G102" t="n">
        <v>10.4</v>
      </c>
      <c r="H102" t="n">
        <v>291.2</v>
      </c>
      <c r="I102">
        <f>ROUNDUP(E102, 0)</f>
        <v/>
      </c>
      <c r="J102">
        <f>IF(D102="COVERED", 10.40, 7.55)</f>
        <v/>
      </c>
      <c r="K102">
        <f>ROUND(I102*J102, 2)</f>
        <v/>
      </c>
      <c r="L102">
        <f>K102-H102</f>
        <v/>
      </c>
    </row>
    <row r="103">
      <c r="A103" t="inlineStr">
        <is>
          <t>VB-0708</t>
        </is>
      </c>
      <c r="B103" t="inlineStr">
        <is>
          <t>Zachary Wilson</t>
        </is>
      </c>
      <c r="C103" t="inlineStr">
        <is>
          <t>Vessbank</t>
        </is>
      </c>
      <c r="D103" t="inlineStr">
        <is>
          <t>COVERED</t>
        </is>
      </c>
      <c r="E103" t="n">
        <v>21.4</v>
      </c>
      <c r="F103" t="n">
        <v>36</v>
      </c>
      <c r="G103" t="n">
        <v>10.4</v>
      </c>
      <c r="H103" t="n">
        <v>374.4</v>
      </c>
      <c r="I103">
        <f>ROUNDUP(E103, 0)</f>
        <v/>
      </c>
      <c r="J103">
        <f>IF(D103="COVERED", 10.40, 7.55)</f>
        <v/>
      </c>
      <c r="K103">
        <f>ROUND(I103*J103, 2)</f>
        <v/>
      </c>
      <c r="L103">
        <f>K103-H103</f>
        <v/>
      </c>
    </row>
    <row r="104">
      <c r="A104" t="inlineStr">
        <is>
          <t>VB-0719</t>
        </is>
      </c>
      <c r="B104" t="inlineStr">
        <is>
          <t>Daniel Brown</t>
        </is>
      </c>
      <c r="C104" t="inlineStr">
        <is>
          <t>Vessbank</t>
        </is>
      </c>
      <c r="D104" t="inlineStr">
        <is>
          <t>COVERED</t>
        </is>
      </c>
      <c r="E104" t="n">
        <v>22.5</v>
      </c>
      <c r="F104" t="n">
        <v>32</v>
      </c>
      <c r="G104" t="n">
        <v>10.4</v>
      </c>
      <c r="H104" t="n">
        <v>332.8</v>
      </c>
      <c r="I104">
        <f>ROUNDUP(E104, 0)</f>
        <v/>
      </c>
      <c r="J104">
        <f>IF(D104="COVERED", 10.40, 7.55)</f>
        <v/>
      </c>
      <c r="K104">
        <f>ROUND(I104*J104, 2)</f>
        <v/>
      </c>
      <c r="L104">
        <f>K104-H104</f>
        <v/>
      </c>
    </row>
    <row r="105">
      <c r="A105" t="inlineStr">
        <is>
          <t>VB-0721</t>
        </is>
      </c>
      <c r="B105" t="inlineStr">
        <is>
          <t>Christopher Dixon</t>
        </is>
      </c>
      <c r="C105" t="inlineStr">
        <is>
          <t>Vessbank</t>
        </is>
      </c>
      <c r="D105" t="inlineStr">
        <is>
          <t>COVERED</t>
        </is>
      </c>
      <c r="E105" t="n">
        <v>20.5</v>
      </c>
      <c r="F105" t="n">
        <v>28</v>
      </c>
      <c r="G105" t="n">
        <v>10.4</v>
      </c>
      <c r="H105" t="n">
        <v>291.2</v>
      </c>
      <c r="I105">
        <f>ROUNDUP(E105, 0)</f>
        <v/>
      </c>
      <c r="J105">
        <f>IF(D105="COVERED", 10.40, 7.55)</f>
        <v/>
      </c>
      <c r="K105">
        <f>ROUND(I105*J105, 2)</f>
        <v/>
      </c>
      <c r="L105">
        <f>K105-H105</f>
        <v/>
      </c>
    </row>
    <row r="106">
      <c r="A106" t="inlineStr">
        <is>
          <t>VB-0801</t>
        </is>
      </c>
      <c r="B106" t="inlineStr">
        <is>
          <t>Joseph Cooper</t>
        </is>
      </c>
      <c r="C106" t="inlineStr">
        <is>
          <t>Vessbank</t>
        </is>
      </c>
      <c r="D106" t="inlineStr">
        <is>
          <t>COVERED</t>
        </is>
      </c>
      <c r="E106" t="n">
        <v>37.8</v>
      </c>
      <c r="F106" t="n">
        <v>40</v>
      </c>
      <c r="G106" t="n">
        <v>10.4</v>
      </c>
      <c r="H106" t="n">
        <v>416</v>
      </c>
      <c r="I106">
        <f>ROUNDUP(E106, 0)</f>
        <v/>
      </c>
      <c r="J106">
        <f>IF(D106="COVERED", 10.40, 7.55)</f>
        <v/>
      </c>
      <c r="K106">
        <f>ROUND(I106*J106, 2)</f>
        <v/>
      </c>
      <c r="L106">
        <f>K106-H106</f>
        <v/>
      </c>
    </row>
    <row r="107">
      <c r="A107" t="inlineStr">
        <is>
          <t>VB-0804</t>
        </is>
      </c>
      <c r="B107" t="inlineStr">
        <is>
          <t>Tara Elliott</t>
        </is>
      </c>
      <c r="C107" t="inlineStr">
        <is>
          <t>Vessbank</t>
        </is>
      </c>
      <c r="D107" t="inlineStr">
        <is>
          <t>COVERED</t>
        </is>
      </c>
      <c r="E107" t="n">
        <v>21.2</v>
      </c>
      <c r="F107" t="n">
        <v>24</v>
      </c>
      <c r="G107" t="n">
        <v>10.4</v>
      </c>
      <c r="H107" t="n">
        <v>249.6</v>
      </c>
      <c r="I107">
        <f>ROUNDUP(E107, 0)</f>
        <v/>
      </c>
      <c r="J107">
        <f>IF(D107="COVERED", 10.40, 7.55)</f>
        <v/>
      </c>
      <c r="K107">
        <f>ROUND(I107*J107, 2)</f>
        <v/>
      </c>
      <c r="L107">
        <f>K107-H107</f>
        <v/>
      </c>
    </row>
    <row r="108">
      <c r="A108" t="inlineStr">
        <is>
          <t>VB-0805</t>
        </is>
      </c>
      <c r="B108" t="inlineStr">
        <is>
          <t>Laurie Huerta</t>
        </is>
      </c>
      <c r="C108" t="inlineStr">
        <is>
          <t>Vessbank</t>
        </is>
      </c>
      <c r="D108" t="inlineStr">
        <is>
          <t>COVERED</t>
        </is>
      </c>
      <c r="E108" t="n">
        <v>23.2</v>
      </c>
      <c r="F108" t="n">
        <v>32</v>
      </c>
      <c r="G108" t="n">
        <v>10.4</v>
      </c>
      <c r="H108" t="n">
        <v>332.8</v>
      </c>
      <c r="I108">
        <f>ROUNDUP(E108, 0)</f>
        <v/>
      </c>
      <c r="J108">
        <f>IF(D108="COVERED", 10.40, 7.55)</f>
        <v/>
      </c>
      <c r="K108">
        <f>ROUND(I108*J108, 2)</f>
        <v/>
      </c>
      <c r="L108">
        <f>K108-H108</f>
        <v/>
      </c>
    </row>
    <row r="109">
      <c r="A109" t="inlineStr">
        <is>
          <t>VB-0806</t>
        </is>
      </c>
      <c r="B109" t="inlineStr">
        <is>
          <t>Jean Guerra</t>
        </is>
      </c>
      <c r="C109" t="inlineStr">
        <is>
          <t>Vessbank</t>
        </is>
      </c>
      <c r="D109" t="inlineStr">
        <is>
          <t>COVERED</t>
        </is>
      </c>
      <c r="E109" t="n">
        <v>18.4</v>
      </c>
      <c r="F109" t="n">
        <v>32</v>
      </c>
      <c r="G109" t="n">
        <v>10.4</v>
      </c>
      <c r="H109" t="n">
        <v>332.8</v>
      </c>
      <c r="I109">
        <f>ROUNDUP(E109, 0)</f>
        <v/>
      </c>
      <c r="J109">
        <f>IF(D109="COVERED", 10.40, 7.55)</f>
        <v/>
      </c>
      <c r="K109">
        <f>ROUND(I109*J109, 2)</f>
        <v/>
      </c>
      <c r="L109">
        <f>K109-H109</f>
        <v/>
      </c>
    </row>
    <row r="110">
      <c r="A110" t="inlineStr">
        <is>
          <t>VB-0808</t>
        </is>
      </c>
      <c r="B110" t="inlineStr">
        <is>
          <t>John Griffith</t>
        </is>
      </c>
      <c r="C110" t="inlineStr">
        <is>
          <t>Vessbank</t>
        </is>
      </c>
      <c r="D110" t="inlineStr">
        <is>
          <t>COVERED</t>
        </is>
      </c>
      <c r="E110" t="n">
        <v>18.2</v>
      </c>
      <c r="F110" t="n">
        <v>24</v>
      </c>
      <c r="G110" t="n">
        <v>10.4</v>
      </c>
      <c r="H110" t="n">
        <v>249.6</v>
      </c>
      <c r="I110">
        <f>ROUNDUP(E110, 0)</f>
        <v/>
      </c>
      <c r="J110">
        <f>IF(D110="COVERED", 10.40, 7.55)</f>
        <v/>
      </c>
      <c r="K110">
        <f>ROUND(I110*J110, 2)</f>
        <v/>
      </c>
      <c r="L110">
        <f>K110-H110</f>
        <v/>
      </c>
    </row>
    <row r="111">
      <c r="A111" t="inlineStr">
        <is>
          <t>VB-0810</t>
        </is>
      </c>
      <c r="B111" t="inlineStr">
        <is>
          <t>Brittany Wells</t>
        </is>
      </c>
      <c r="C111" t="inlineStr">
        <is>
          <t>Vessbank</t>
        </is>
      </c>
      <c r="D111" t="inlineStr">
        <is>
          <t>COVERED</t>
        </is>
      </c>
      <c r="E111" t="n">
        <v>21.3</v>
      </c>
      <c r="F111" t="n">
        <v>32</v>
      </c>
      <c r="G111" t="n">
        <v>10.4</v>
      </c>
      <c r="H111" t="n">
        <v>332.8</v>
      </c>
      <c r="I111">
        <f>ROUNDUP(E111, 0)</f>
        <v/>
      </c>
      <c r="J111">
        <f>IF(D111="COVERED", 10.40, 7.55)</f>
        <v/>
      </c>
      <c r="K111">
        <f>ROUND(I111*J111, 2)</f>
        <v/>
      </c>
      <c r="L111">
        <f>K111-H111</f>
        <v/>
      </c>
    </row>
    <row r="112">
      <c r="A112" t="inlineStr">
        <is>
          <t>VB-0815</t>
        </is>
      </c>
      <c r="B112" t="inlineStr">
        <is>
          <t>Bryce Benjamin</t>
        </is>
      </c>
      <c r="C112" t="inlineStr">
        <is>
          <t>Vessbank</t>
        </is>
      </c>
      <c r="D112" t="inlineStr">
        <is>
          <t>COVERED</t>
        </is>
      </c>
      <c r="E112" t="n">
        <v>22.4</v>
      </c>
      <c r="F112" t="n">
        <v>36</v>
      </c>
      <c r="G112" t="n">
        <v>10.4</v>
      </c>
      <c r="H112" t="n">
        <v>374.4</v>
      </c>
      <c r="I112">
        <f>ROUNDUP(E112, 0)</f>
        <v/>
      </c>
      <c r="J112">
        <f>IF(D112="COVERED", 10.40, 7.55)</f>
        <v/>
      </c>
      <c r="K112">
        <f>ROUND(I112*J112, 2)</f>
        <v/>
      </c>
      <c r="L112">
        <f>K112-H112</f>
        <v/>
      </c>
    </row>
    <row r="113">
      <c r="A113" t="inlineStr">
        <is>
          <t>VB-0905</t>
        </is>
      </c>
      <c r="B113" t="inlineStr">
        <is>
          <t>Kristie Cunningham</t>
        </is>
      </c>
      <c r="C113" t="inlineStr">
        <is>
          <t>Vessbank</t>
        </is>
      </c>
      <c r="D113" t="inlineStr">
        <is>
          <t>COVERED</t>
        </is>
      </c>
      <c r="E113" t="n">
        <v>24.5</v>
      </c>
      <c r="F113" t="n">
        <v>28</v>
      </c>
      <c r="G113" t="n">
        <v>10.4</v>
      </c>
      <c r="H113" t="n">
        <v>291.2</v>
      </c>
      <c r="I113">
        <f>ROUNDUP(E113, 0)</f>
        <v/>
      </c>
      <c r="J113">
        <f>IF(D113="COVERED", 10.40, 7.55)</f>
        <v/>
      </c>
      <c r="K113">
        <f>ROUND(I113*J113, 2)</f>
        <v/>
      </c>
      <c r="L113">
        <f>K113-H113</f>
        <v/>
      </c>
    </row>
    <row r="114">
      <c r="A114" t="inlineStr">
        <is>
          <t>VB-0906</t>
        </is>
      </c>
      <c r="B114" t="inlineStr">
        <is>
          <t>Angel Massey</t>
        </is>
      </c>
      <c r="C114" t="inlineStr">
        <is>
          <t>Vessbank</t>
        </is>
      </c>
      <c r="D114" t="inlineStr">
        <is>
          <t>COVERED</t>
        </is>
      </c>
      <c r="E114" t="n">
        <v>29.3</v>
      </c>
      <c r="F114" t="n">
        <v>36</v>
      </c>
      <c r="G114" t="n">
        <v>10.4</v>
      </c>
      <c r="H114" t="n">
        <v>374.4</v>
      </c>
      <c r="I114">
        <f>ROUNDUP(E114, 0)</f>
        <v/>
      </c>
      <c r="J114">
        <f>IF(D114="COVERED", 10.40, 7.55)</f>
        <v/>
      </c>
      <c r="K114">
        <f>ROUND(I114*J114, 2)</f>
        <v/>
      </c>
      <c r="L114">
        <f>K114-H114</f>
        <v/>
      </c>
    </row>
    <row r="115">
      <c r="A115" t="inlineStr">
        <is>
          <t>VB-0914</t>
        </is>
      </c>
      <c r="B115" t="inlineStr">
        <is>
          <t>Travis Young</t>
        </is>
      </c>
      <c r="C115" t="inlineStr">
        <is>
          <t>Vessbank</t>
        </is>
      </c>
      <c r="D115" t="inlineStr">
        <is>
          <t>COVERED</t>
        </is>
      </c>
      <c r="E115" t="n">
        <v>23.5</v>
      </c>
      <c r="F115" t="n">
        <v>28</v>
      </c>
      <c r="G115" t="n">
        <v>10.4</v>
      </c>
      <c r="H115" t="n">
        <v>291.2</v>
      </c>
      <c r="I115">
        <f>ROUNDUP(E115, 0)</f>
        <v/>
      </c>
      <c r="J115">
        <f>IF(D115="COVERED", 10.40, 7.55)</f>
        <v/>
      </c>
      <c r="K115">
        <f>ROUND(I115*J115, 2)</f>
        <v/>
      </c>
      <c r="L115">
        <f>K115-H115</f>
        <v/>
      </c>
    </row>
    <row r="116">
      <c r="A116" t="inlineStr">
        <is>
          <t>VB-0918</t>
        </is>
      </c>
      <c r="B116" t="inlineStr">
        <is>
          <t>Brian Sellers</t>
        </is>
      </c>
      <c r="C116" t="inlineStr">
        <is>
          <t>Vessbank</t>
        </is>
      </c>
      <c r="D116" t="inlineStr">
        <is>
          <t>COVERED</t>
        </is>
      </c>
      <c r="E116" t="n">
        <v>26.6</v>
      </c>
      <c r="F116" t="n">
        <v>36</v>
      </c>
      <c r="G116" t="n">
        <v>10.4</v>
      </c>
      <c r="H116" t="n">
        <v>374.4</v>
      </c>
      <c r="I116">
        <f>ROUNDUP(E116, 0)</f>
        <v/>
      </c>
      <c r="J116">
        <f>IF(D116="COVERED", 10.40, 7.55)</f>
        <v/>
      </c>
      <c r="K116">
        <f>ROUND(I116*J116, 2)</f>
        <v/>
      </c>
      <c r="L116">
        <f>K116-H116</f>
        <v/>
      </c>
    </row>
    <row r="117">
      <c r="A117" t="inlineStr">
        <is>
          <t>VB-0921</t>
        </is>
      </c>
      <c r="B117" t="inlineStr">
        <is>
          <t>Sarah Walker</t>
        </is>
      </c>
      <c r="C117" t="inlineStr">
        <is>
          <t>Vessbank</t>
        </is>
      </c>
      <c r="D117" t="inlineStr">
        <is>
          <t>COVERED</t>
        </is>
      </c>
      <c r="E117" t="n">
        <v>19.3</v>
      </c>
      <c r="F117" t="n">
        <v>28</v>
      </c>
      <c r="G117" t="n">
        <v>10.4</v>
      </c>
      <c r="H117" t="n">
        <v>291.2</v>
      </c>
      <c r="I117">
        <f>ROUNDUP(E117, 0)</f>
        <v/>
      </c>
      <c r="J117">
        <f>IF(D117="COVERED", 10.40, 7.55)</f>
        <v/>
      </c>
      <c r="K117">
        <f>ROUND(I117*J117, 2)</f>
        <v/>
      </c>
      <c r="L117">
        <f>K117-H117</f>
        <v/>
      </c>
    </row>
    <row r="118">
      <c r="A118" t="inlineStr">
        <is>
          <t>VB-0924</t>
        </is>
      </c>
      <c r="B118" t="inlineStr">
        <is>
          <t>Elizabeth Kelly</t>
        </is>
      </c>
      <c r="C118" t="inlineStr">
        <is>
          <t>Vessbank</t>
        </is>
      </c>
      <c r="D118" t="inlineStr">
        <is>
          <t>COVERED</t>
        </is>
      </c>
      <c r="E118" t="n">
        <v>27.6</v>
      </c>
      <c r="F118" t="n">
        <v>32</v>
      </c>
      <c r="G118" t="n">
        <v>10.4</v>
      </c>
      <c r="H118" t="n">
        <v>332.8</v>
      </c>
      <c r="I118">
        <f>ROUNDUP(E118, 0)</f>
        <v/>
      </c>
      <c r="J118">
        <f>IF(D118="COVERED", 10.40, 7.55)</f>
        <v/>
      </c>
      <c r="K118">
        <f>ROUND(I118*J118, 2)</f>
        <v/>
      </c>
      <c r="L118">
        <f>K118-H118</f>
        <v/>
      </c>
    </row>
    <row r="119">
      <c r="A119" t="inlineStr">
        <is>
          <t>VB-1001</t>
        </is>
      </c>
      <c r="B119" t="inlineStr">
        <is>
          <t>Brian Robertson</t>
        </is>
      </c>
      <c r="C119" t="inlineStr">
        <is>
          <t>Vessbank</t>
        </is>
      </c>
      <c r="D119" t="inlineStr">
        <is>
          <t>COVERED</t>
        </is>
      </c>
      <c r="E119" t="n">
        <v>20.9</v>
      </c>
      <c r="F119" t="n">
        <v>40</v>
      </c>
      <c r="G119" t="n">
        <v>10.4</v>
      </c>
      <c r="H119" t="n">
        <v>416</v>
      </c>
      <c r="I119">
        <f>ROUNDUP(E119, 0)</f>
        <v/>
      </c>
      <c r="J119">
        <f>IF(D119="COVERED", 10.40, 7.55)</f>
        <v/>
      </c>
      <c r="K119">
        <f>ROUND(I119*J119, 2)</f>
        <v/>
      </c>
      <c r="L119">
        <f>K119-H119</f>
        <v/>
      </c>
    </row>
    <row r="120">
      <c r="A120" t="inlineStr">
        <is>
          <t>VB-1011</t>
        </is>
      </c>
      <c r="B120" t="inlineStr">
        <is>
          <t>James Lee</t>
        </is>
      </c>
      <c r="C120" t="inlineStr">
        <is>
          <t>Vessbank</t>
        </is>
      </c>
      <c r="D120" t="inlineStr">
        <is>
          <t>COVERED</t>
        </is>
      </c>
      <c r="E120" t="n">
        <v>28.3</v>
      </c>
      <c r="F120" t="n">
        <v>40</v>
      </c>
      <c r="G120" t="n">
        <v>10.4</v>
      </c>
      <c r="H120" t="n">
        <v>416</v>
      </c>
      <c r="I120">
        <f>ROUNDUP(E120, 0)</f>
        <v/>
      </c>
      <c r="J120">
        <f>IF(D120="COVERED", 10.40, 7.55)</f>
        <v/>
      </c>
      <c r="K120">
        <f>ROUND(I120*J120, 2)</f>
        <v/>
      </c>
      <c r="L120">
        <f>K120-H120</f>
        <v/>
      </c>
    </row>
    <row r="121">
      <c r="A121" t="inlineStr">
        <is>
          <t>VB-1013</t>
        </is>
      </c>
      <c r="B121" t="inlineStr">
        <is>
          <t>Kenneth Underwood</t>
        </is>
      </c>
      <c r="C121" t="inlineStr">
        <is>
          <t>Vessbank</t>
        </is>
      </c>
      <c r="D121" t="inlineStr">
        <is>
          <t>COVERED</t>
        </is>
      </c>
      <c r="E121" t="n">
        <v>21</v>
      </c>
      <c r="F121" t="n">
        <v>28</v>
      </c>
      <c r="G121" t="n">
        <v>10.4</v>
      </c>
      <c r="H121" t="n">
        <v>291.2</v>
      </c>
      <c r="I121">
        <f>ROUNDUP(E121, 0)</f>
        <v/>
      </c>
      <c r="J121">
        <f>IF(D121="COVERED", 10.40, 7.55)</f>
        <v/>
      </c>
      <c r="K121">
        <f>ROUND(I121*J121, 2)</f>
        <v/>
      </c>
      <c r="L121">
        <f>K121-H121</f>
        <v/>
      </c>
    </row>
    <row r="122">
      <c r="A122" t="inlineStr">
        <is>
          <t>VB-1014</t>
        </is>
      </c>
      <c r="B122" t="inlineStr">
        <is>
          <t>Courtney Zamora</t>
        </is>
      </c>
      <c r="C122" t="inlineStr">
        <is>
          <t>Vessbank</t>
        </is>
      </c>
      <c r="D122" t="inlineStr">
        <is>
          <t>COVERED</t>
        </is>
      </c>
      <c r="E122" t="n">
        <v>32.3</v>
      </c>
      <c r="F122" t="n">
        <v>36</v>
      </c>
      <c r="G122" t="n">
        <v>10.4</v>
      </c>
      <c r="H122" t="n">
        <v>374.4</v>
      </c>
      <c r="I122">
        <f>ROUNDUP(E122, 0)</f>
        <v/>
      </c>
      <c r="J122">
        <f>IF(D122="COVERED", 10.40, 7.55)</f>
        <v/>
      </c>
      <c r="K122">
        <f>ROUND(I122*J122, 2)</f>
        <v/>
      </c>
      <c r="L122">
        <f>K122-H122</f>
        <v/>
      </c>
    </row>
    <row r="123">
      <c r="A123" t="inlineStr">
        <is>
          <t>VB-1020</t>
        </is>
      </c>
      <c r="B123" t="inlineStr">
        <is>
          <t>Molly Perez</t>
        </is>
      </c>
      <c r="C123" t="inlineStr">
        <is>
          <t>Vessbank</t>
        </is>
      </c>
      <c r="D123" t="inlineStr">
        <is>
          <t>COVERED</t>
        </is>
      </c>
      <c r="E123" t="n">
        <v>36.8</v>
      </c>
      <c r="F123" t="n">
        <v>40</v>
      </c>
      <c r="G123" t="n">
        <v>10.4</v>
      </c>
      <c r="H123" t="n">
        <v>416</v>
      </c>
      <c r="I123">
        <f>ROUNDUP(E123, 0)</f>
        <v/>
      </c>
      <c r="J123">
        <f>IF(D123="COVERED", 10.40, 7.55)</f>
        <v/>
      </c>
      <c r="K123">
        <f>ROUND(I123*J123, 2)</f>
        <v/>
      </c>
      <c r="L123">
        <f>K123-H123</f>
        <v/>
      </c>
    </row>
    <row r="124">
      <c r="A124" t="inlineStr">
        <is>
          <t>EW-0101</t>
        </is>
      </c>
      <c r="B124" t="inlineStr">
        <is>
          <t>Phillip Massey</t>
        </is>
      </c>
      <c r="C124" t="inlineStr">
        <is>
          <t>Eastwey</t>
        </is>
      </c>
      <c r="D124" t="inlineStr">
        <is>
          <t>OPEN</t>
        </is>
      </c>
      <c r="E124" t="n">
        <v>29.3</v>
      </c>
      <c r="F124" t="n">
        <v>80</v>
      </c>
      <c r="G124" t="n">
        <v>7.55</v>
      </c>
      <c r="H124" t="n">
        <v>604</v>
      </c>
      <c r="I124">
        <f>ROUNDUP(E124, 0)</f>
        <v/>
      </c>
      <c r="J124">
        <f>IF(D124="COVERED", 10.40, 7.55)</f>
        <v/>
      </c>
      <c r="K124">
        <f>ROUND(I124*J124, 2)</f>
        <v/>
      </c>
      <c r="L124">
        <f>K124-H124</f>
        <v/>
      </c>
    </row>
    <row r="125">
      <c r="A125" t="inlineStr">
        <is>
          <t>EW-0107</t>
        </is>
      </c>
      <c r="B125" t="inlineStr">
        <is>
          <t>Justin Turner</t>
        </is>
      </c>
      <c r="C125" t="inlineStr">
        <is>
          <t>Eastwey</t>
        </is>
      </c>
      <c r="D125" t="inlineStr">
        <is>
          <t>OPEN</t>
        </is>
      </c>
      <c r="E125" t="n">
        <v>23.7</v>
      </c>
      <c r="F125" t="n">
        <v>28</v>
      </c>
      <c r="G125" t="n">
        <v>7.55</v>
      </c>
      <c r="H125" t="n">
        <v>211.4</v>
      </c>
      <c r="I125">
        <f>ROUNDUP(E125, 0)</f>
        <v/>
      </c>
      <c r="J125">
        <f>IF(D125="COVERED", 10.40, 7.55)</f>
        <v/>
      </c>
      <c r="K125">
        <f>ROUND(I125*J125, 2)</f>
        <v/>
      </c>
      <c r="L125">
        <f>K125-H125</f>
        <v/>
      </c>
    </row>
    <row r="126">
      <c r="A126" t="inlineStr">
        <is>
          <t>EW-0109</t>
        </is>
      </c>
      <c r="B126" t="inlineStr">
        <is>
          <t>Robert Rodriguez</t>
        </is>
      </c>
      <c r="C126" t="inlineStr">
        <is>
          <t>Eastwey</t>
        </is>
      </c>
      <c r="D126" t="inlineStr">
        <is>
          <t>OPEN</t>
        </is>
      </c>
      <c r="E126" t="n">
        <v>30.9</v>
      </c>
      <c r="F126" t="n">
        <v>60</v>
      </c>
      <c r="G126" t="n">
        <v>7.55</v>
      </c>
      <c r="H126" t="n">
        <v>453</v>
      </c>
      <c r="I126">
        <f>ROUNDUP(E126, 0)</f>
        <v/>
      </c>
      <c r="J126">
        <f>IF(D126="COVERED", 10.40, 7.55)</f>
        <v/>
      </c>
      <c r="K126">
        <f>ROUND(I126*J126, 2)</f>
        <v/>
      </c>
      <c r="L126">
        <f>K126-H126</f>
        <v/>
      </c>
    </row>
    <row r="127">
      <c r="A127" t="inlineStr">
        <is>
          <t>EW-0112</t>
        </is>
      </c>
      <c r="B127" t="inlineStr">
        <is>
          <t>Beth Cooper</t>
        </is>
      </c>
      <c r="C127" t="inlineStr">
        <is>
          <t>Eastwey</t>
        </is>
      </c>
      <c r="D127" t="inlineStr">
        <is>
          <t>OPEN</t>
        </is>
      </c>
      <c r="E127" t="n">
        <v>38.7</v>
      </c>
      <c r="F127" t="n">
        <v>70</v>
      </c>
      <c r="G127" t="n">
        <v>7.55</v>
      </c>
      <c r="H127" t="n">
        <v>528.5</v>
      </c>
      <c r="I127">
        <f>ROUNDUP(E127, 0)</f>
        <v/>
      </c>
      <c r="J127">
        <f>IF(D127="COVERED", 10.40, 7.55)</f>
        <v/>
      </c>
      <c r="K127">
        <f>ROUND(I127*J127, 2)</f>
        <v/>
      </c>
      <c r="L127">
        <f>K127-H127</f>
        <v/>
      </c>
    </row>
    <row r="128">
      <c r="A128" t="inlineStr">
        <is>
          <t>EW-0116</t>
        </is>
      </c>
      <c r="B128" t="inlineStr">
        <is>
          <t>Edward Hardy</t>
        </is>
      </c>
      <c r="C128" t="inlineStr">
        <is>
          <t>Eastwey</t>
        </is>
      </c>
      <c r="D128" t="inlineStr">
        <is>
          <t>OPEN</t>
        </is>
      </c>
      <c r="E128" t="n">
        <v>25.7</v>
      </c>
      <c r="F128" t="n">
        <v>32</v>
      </c>
      <c r="G128" t="n">
        <v>7.55</v>
      </c>
      <c r="H128" t="n">
        <v>241.6</v>
      </c>
      <c r="I128">
        <f>ROUNDUP(E128, 0)</f>
        <v/>
      </c>
      <c r="J128">
        <f>IF(D128="COVERED", 10.40, 7.55)</f>
        <v/>
      </c>
      <c r="K128">
        <f>ROUND(I128*J128, 2)</f>
        <v/>
      </c>
      <c r="L128">
        <f>K128-H128</f>
        <v/>
      </c>
    </row>
    <row r="129">
      <c r="A129" t="inlineStr">
        <is>
          <t>EW-0120</t>
        </is>
      </c>
      <c r="B129" t="inlineStr">
        <is>
          <t>Tonya Bowman</t>
        </is>
      </c>
      <c r="C129" t="inlineStr">
        <is>
          <t>Eastwey</t>
        </is>
      </c>
      <c r="D129" t="inlineStr">
        <is>
          <t>OPEN</t>
        </is>
      </c>
      <c r="E129" t="n">
        <v>59.3</v>
      </c>
      <c r="F129" t="n">
        <v>80</v>
      </c>
      <c r="G129" t="n">
        <v>7.55</v>
      </c>
      <c r="H129" t="n">
        <v>604</v>
      </c>
      <c r="I129">
        <f>ROUNDUP(E129, 0)</f>
        <v/>
      </c>
      <c r="J129">
        <f>IF(D129="COVERED", 10.40, 7.55)</f>
        <v/>
      </c>
      <c r="K129">
        <f>ROUND(I129*J129, 2)</f>
        <v/>
      </c>
      <c r="L129">
        <f>K129-H129</f>
        <v/>
      </c>
    </row>
    <row r="130">
      <c r="A130" t="inlineStr">
        <is>
          <t>EW-0122</t>
        </is>
      </c>
      <c r="B130" t="inlineStr">
        <is>
          <t>Brittany Lopez</t>
        </is>
      </c>
      <c r="C130" t="inlineStr">
        <is>
          <t>Eastwey</t>
        </is>
      </c>
      <c r="D130" t="inlineStr">
        <is>
          <t>OPEN</t>
        </is>
      </c>
      <c r="E130" t="n">
        <v>25.7</v>
      </c>
      <c r="F130" t="n">
        <v>70</v>
      </c>
      <c r="G130" t="n">
        <v>7.55</v>
      </c>
      <c r="H130" t="n">
        <v>528.5</v>
      </c>
      <c r="I130">
        <f>ROUNDUP(E130, 0)</f>
        <v/>
      </c>
      <c r="J130">
        <f>IF(D130="COVERED", 10.40, 7.55)</f>
        <v/>
      </c>
      <c r="K130">
        <f>ROUND(I130*J130, 2)</f>
        <v/>
      </c>
      <c r="L130">
        <f>K130-H130</f>
        <v/>
      </c>
    </row>
    <row r="131">
      <c r="A131" t="inlineStr">
        <is>
          <t>EW-0204</t>
        </is>
      </c>
      <c r="B131" t="inlineStr">
        <is>
          <t>Jessica King</t>
        </is>
      </c>
      <c r="C131" t="inlineStr">
        <is>
          <t>Eastwey</t>
        </is>
      </c>
      <c r="D131" t="inlineStr">
        <is>
          <t>OPEN</t>
        </is>
      </c>
      <c r="E131" t="n">
        <v>21.1</v>
      </c>
      <c r="F131" t="n">
        <v>40</v>
      </c>
      <c r="G131" t="n">
        <v>7.55</v>
      </c>
      <c r="H131" t="n">
        <v>302</v>
      </c>
      <c r="I131">
        <f>ROUNDUP(E131, 0)</f>
        <v/>
      </c>
      <c r="J131">
        <f>IF(D131="COVERED", 10.40, 7.55)</f>
        <v/>
      </c>
      <c r="K131">
        <f>ROUND(I131*J131, 2)</f>
        <v/>
      </c>
      <c r="L131">
        <f>K131-H131</f>
        <v/>
      </c>
    </row>
    <row r="132">
      <c r="A132" t="inlineStr">
        <is>
          <t>EW-0207</t>
        </is>
      </c>
      <c r="B132" t="inlineStr">
        <is>
          <t>Stacey Spears</t>
        </is>
      </c>
      <c r="C132" t="inlineStr">
        <is>
          <t>Eastwey</t>
        </is>
      </c>
      <c r="D132" t="inlineStr">
        <is>
          <t>OPEN</t>
        </is>
      </c>
      <c r="E132" t="n">
        <v>42.1</v>
      </c>
      <c r="F132" t="n">
        <v>45</v>
      </c>
      <c r="G132" t="n">
        <v>7.55</v>
      </c>
      <c r="H132" t="n">
        <v>339.75</v>
      </c>
      <c r="I132">
        <f>ROUNDUP(E132, 0)</f>
        <v/>
      </c>
      <c r="J132">
        <f>IF(D132="COVERED", 10.40, 7.55)</f>
        <v/>
      </c>
      <c r="K132">
        <f>ROUND(I132*J132, 2)</f>
        <v/>
      </c>
      <c r="L132">
        <f>K132-H132</f>
        <v/>
      </c>
    </row>
    <row r="133">
      <c r="A133" t="inlineStr">
        <is>
          <t>EW-0208</t>
        </is>
      </c>
      <c r="B133" t="inlineStr">
        <is>
          <t>Nicole Berger</t>
        </is>
      </c>
      <c r="C133" t="inlineStr">
        <is>
          <t>Eastwey</t>
        </is>
      </c>
      <c r="D133" t="inlineStr">
        <is>
          <t>OPEN</t>
        </is>
      </c>
      <c r="E133" t="n">
        <v>24.5</v>
      </c>
      <c r="F133" t="n">
        <v>32</v>
      </c>
      <c r="G133" t="n">
        <v>7.55</v>
      </c>
      <c r="H133" t="n">
        <v>241.6</v>
      </c>
      <c r="I133">
        <f>ROUNDUP(E133, 0)</f>
        <v/>
      </c>
      <c r="J133">
        <f>IF(D133="COVERED", 10.40, 7.55)</f>
        <v/>
      </c>
      <c r="K133">
        <f>ROUND(I133*J133, 2)</f>
        <v/>
      </c>
      <c r="L133">
        <f>K133-H133</f>
        <v/>
      </c>
    </row>
    <row r="134">
      <c r="A134" t="inlineStr">
        <is>
          <t>EW-0209</t>
        </is>
      </c>
      <c r="B134" t="inlineStr">
        <is>
          <t>Rodney Watson</t>
        </is>
      </c>
      <c r="C134" t="inlineStr">
        <is>
          <t>Eastwey</t>
        </is>
      </c>
      <c r="D134" t="inlineStr">
        <is>
          <t>OPEN</t>
        </is>
      </c>
      <c r="E134" t="n">
        <v>30.4</v>
      </c>
      <c r="F134" t="n">
        <v>36</v>
      </c>
      <c r="G134" t="n">
        <v>7.55</v>
      </c>
      <c r="H134" t="n">
        <v>271.8</v>
      </c>
      <c r="I134">
        <f>ROUNDUP(E134, 0)</f>
        <v/>
      </c>
      <c r="J134">
        <f>IF(D134="COVERED", 10.40, 7.55)</f>
        <v/>
      </c>
      <c r="K134">
        <f>ROUND(I134*J134, 2)</f>
        <v/>
      </c>
      <c r="L134">
        <f>K134-H134</f>
        <v/>
      </c>
    </row>
    <row r="135">
      <c r="A135" t="inlineStr">
        <is>
          <t>EW-0211</t>
        </is>
      </c>
      <c r="B135" t="inlineStr">
        <is>
          <t>Andrea Hill</t>
        </is>
      </c>
      <c r="C135" t="inlineStr">
        <is>
          <t>Eastwey</t>
        </is>
      </c>
      <c r="D135" t="inlineStr">
        <is>
          <t>OPEN</t>
        </is>
      </c>
      <c r="E135" t="n">
        <v>41.5</v>
      </c>
      <c r="F135" t="n">
        <v>50</v>
      </c>
      <c r="G135" t="n">
        <v>7.55</v>
      </c>
      <c r="H135" t="n">
        <v>377.5</v>
      </c>
      <c r="I135">
        <f>ROUNDUP(E135, 0)</f>
        <v/>
      </c>
      <c r="J135">
        <f>IF(D135="COVERED", 10.40, 7.55)</f>
        <v/>
      </c>
      <c r="K135">
        <f>ROUND(I135*J135, 2)</f>
        <v/>
      </c>
      <c r="L135">
        <f>K135-H135</f>
        <v/>
      </c>
    </row>
    <row r="136">
      <c r="A136" t="inlineStr">
        <is>
          <t>EW-0212</t>
        </is>
      </c>
      <c r="B136" t="inlineStr">
        <is>
          <t>Caitlin Klein</t>
        </is>
      </c>
      <c r="C136" t="inlineStr">
        <is>
          <t>Eastwey</t>
        </is>
      </c>
      <c r="D136" t="inlineStr">
        <is>
          <t>OPEN</t>
        </is>
      </c>
      <c r="E136" t="n">
        <v>19.5</v>
      </c>
      <c r="F136" t="n">
        <v>32</v>
      </c>
      <c r="G136" t="n">
        <v>7.55</v>
      </c>
      <c r="H136" t="n">
        <v>241.6</v>
      </c>
      <c r="I136">
        <f>ROUNDUP(E136, 0)</f>
        <v/>
      </c>
      <c r="J136">
        <f>IF(D136="COVERED", 10.40, 7.55)</f>
        <v/>
      </c>
      <c r="K136">
        <f>ROUND(I136*J136, 2)</f>
        <v/>
      </c>
      <c r="L136">
        <f>K136-H136</f>
        <v/>
      </c>
    </row>
    <row r="137">
      <c r="A137" t="inlineStr">
        <is>
          <t>EW-0214</t>
        </is>
      </c>
      <c r="B137" t="inlineStr">
        <is>
          <t>Kayla Lawson</t>
        </is>
      </c>
      <c r="C137" t="inlineStr">
        <is>
          <t>Eastwey</t>
        </is>
      </c>
      <c r="D137" t="inlineStr">
        <is>
          <t>OPEN</t>
        </is>
      </c>
      <c r="E137" t="n">
        <v>23.2</v>
      </c>
      <c r="F137" t="n">
        <v>60</v>
      </c>
      <c r="G137" t="n">
        <v>7.55</v>
      </c>
      <c r="H137" t="n">
        <v>453</v>
      </c>
      <c r="I137">
        <f>ROUNDUP(E137, 0)</f>
        <v/>
      </c>
      <c r="J137">
        <f>IF(D137="COVERED", 10.40, 7.55)</f>
        <v/>
      </c>
      <c r="K137">
        <f>ROUND(I137*J137, 2)</f>
        <v/>
      </c>
      <c r="L137">
        <f>K137-H137</f>
        <v/>
      </c>
    </row>
    <row r="138">
      <c r="A138" t="inlineStr">
        <is>
          <t>EW-0215</t>
        </is>
      </c>
      <c r="B138" t="inlineStr">
        <is>
          <t>Samantha Powers</t>
        </is>
      </c>
      <c r="C138" t="inlineStr">
        <is>
          <t>Eastwey</t>
        </is>
      </c>
      <c r="D138" t="inlineStr">
        <is>
          <t>OPEN</t>
        </is>
      </c>
      <c r="E138" t="n">
        <v>20.4</v>
      </c>
      <c r="F138" t="n">
        <v>32</v>
      </c>
      <c r="G138" t="n">
        <v>7.55</v>
      </c>
      <c r="H138" t="n">
        <v>241.6</v>
      </c>
      <c r="I138">
        <f>ROUNDUP(E138, 0)</f>
        <v/>
      </c>
      <c r="J138">
        <f>IF(D138="COVERED", 10.40, 7.55)</f>
        <v/>
      </c>
      <c r="K138">
        <f>ROUND(I138*J138, 2)</f>
        <v/>
      </c>
      <c r="L138">
        <f>K138-H138</f>
        <v/>
      </c>
    </row>
    <row r="139">
      <c r="A139" t="inlineStr">
        <is>
          <t>EW-0216</t>
        </is>
      </c>
      <c r="B139" t="inlineStr">
        <is>
          <t>Donald Hoffman</t>
        </is>
      </c>
      <c r="C139" t="inlineStr">
        <is>
          <t>Eastwey</t>
        </is>
      </c>
      <c r="D139" t="inlineStr">
        <is>
          <t>OPEN</t>
        </is>
      </c>
      <c r="E139" t="n">
        <v>42.6</v>
      </c>
      <c r="F139" t="n">
        <v>50</v>
      </c>
      <c r="G139" t="n">
        <v>7.55</v>
      </c>
      <c r="H139" t="n">
        <v>377.5</v>
      </c>
      <c r="I139">
        <f>ROUNDUP(E139, 0)</f>
        <v/>
      </c>
      <c r="J139">
        <f>IF(D139="COVERED", 10.40, 7.55)</f>
        <v/>
      </c>
      <c r="K139">
        <f>ROUND(I139*J139, 2)</f>
        <v/>
      </c>
      <c r="L139">
        <f>K139-H139</f>
        <v/>
      </c>
    </row>
    <row r="140">
      <c r="A140" t="inlineStr">
        <is>
          <t>EW-0218</t>
        </is>
      </c>
      <c r="B140" t="inlineStr">
        <is>
          <t>Janet Jones</t>
        </is>
      </c>
      <c r="C140" t="inlineStr">
        <is>
          <t>Eastwey</t>
        </is>
      </c>
      <c r="D140" t="inlineStr">
        <is>
          <t>OPEN</t>
        </is>
      </c>
      <c r="E140" t="n">
        <v>23</v>
      </c>
      <c r="F140" t="n">
        <v>36</v>
      </c>
      <c r="G140" t="n">
        <v>7.55</v>
      </c>
      <c r="H140" t="n">
        <v>271.8</v>
      </c>
      <c r="I140">
        <f>ROUNDUP(E140, 0)</f>
        <v/>
      </c>
      <c r="J140">
        <f>IF(D140="COVERED", 10.40, 7.55)</f>
        <v/>
      </c>
      <c r="K140">
        <f>ROUND(I140*J140, 2)</f>
        <v/>
      </c>
      <c r="L140">
        <f>K140-H140</f>
        <v/>
      </c>
    </row>
    <row r="141">
      <c r="A141" t="inlineStr">
        <is>
          <t>EW-0219</t>
        </is>
      </c>
      <c r="B141" t="inlineStr">
        <is>
          <t>Andrew Miller</t>
        </is>
      </c>
      <c r="C141" t="inlineStr">
        <is>
          <t>Eastwey</t>
        </is>
      </c>
      <c r="D141" t="inlineStr">
        <is>
          <t>OPEN</t>
        </is>
      </c>
      <c r="E141" t="n">
        <v>21.3</v>
      </c>
      <c r="F141" t="n">
        <v>70</v>
      </c>
      <c r="G141" t="n">
        <v>7.55</v>
      </c>
      <c r="H141" t="n">
        <v>528.5</v>
      </c>
      <c r="I141">
        <f>ROUNDUP(E141, 0)</f>
        <v/>
      </c>
      <c r="J141">
        <f>IF(D141="COVERED", 10.40, 7.55)</f>
        <v/>
      </c>
      <c r="K141">
        <f>ROUND(I141*J141, 2)</f>
        <v/>
      </c>
      <c r="L141">
        <f>K141-H141</f>
        <v/>
      </c>
    </row>
    <row r="142">
      <c r="A142" t="inlineStr">
        <is>
          <t>EW-0220</t>
        </is>
      </c>
      <c r="B142" t="inlineStr">
        <is>
          <t>Tracy Conrad</t>
        </is>
      </c>
      <c r="C142" t="inlineStr">
        <is>
          <t>Eastwey</t>
        </is>
      </c>
      <c r="D142" t="inlineStr">
        <is>
          <t>OPEN</t>
        </is>
      </c>
      <c r="E142" t="n">
        <v>22.1</v>
      </c>
      <c r="F142" t="n">
        <v>40</v>
      </c>
      <c r="G142" t="n">
        <v>7.55</v>
      </c>
      <c r="H142" t="n">
        <v>302</v>
      </c>
      <c r="I142">
        <f>ROUNDUP(E142, 0)</f>
        <v/>
      </c>
      <c r="J142">
        <f>IF(D142="COVERED", 10.40, 7.55)</f>
        <v/>
      </c>
      <c r="K142">
        <f>ROUND(I142*J142, 2)</f>
        <v/>
      </c>
      <c r="L142">
        <f>K142-H142</f>
        <v/>
      </c>
    </row>
    <row r="143">
      <c r="A143" t="inlineStr">
        <is>
          <t>EW-0223</t>
        </is>
      </c>
      <c r="B143" t="inlineStr">
        <is>
          <t>Jacob Bonilla</t>
        </is>
      </c>
      <c r="C143" t="inlineStr">
        <is>
          <t>Eastwey</t>
        </is>
      </c>
      <c r="D143" t="inlineStr">
        <is>
          <t>OPEN</t>
        </is>
      </c>
      <c r="E143" t="n">
        <v>19</v>
      </c>
      <c r="F143" t="n">
        <v>36</v>
      </c>
      <c r="G143" t="n">
        <v>7.55</v>
      </c>
      <c r="H143" t="n">
        <v>271.8</v>
      </c>
      <c r="I143">
        <f>ROUNDUP(E143, 0)</f>
        <v/>
      </c>
      <c r="J143">
        <f>IF(D143="COVERED", 10.40, 7.55)</f>
        <v/>
      </c>
      <c r="K143">
        <f>ROUND(I143*J143, 2)</f>
        <v/>
      </c>
      <c r="L143">
        <f>K143-H143</f>
        <v/>
      </c>
    </row>
    <row r="144">
      <c r="A144" t="inlineStr">
        <is>
          <t>EW-0303</t>
        </is>
      </c>
      <c r="B144" t="inlineStr">
        <is>
          <t>Denise Jenkins</t>
        </is>
      </c>
      <c r="C144" t="inlineStr">
        <is>
          <t>Eastwey</t>
        </is>
      </c>
      <c r="D144" t="inlineStr">
        <is>
          <t>OPEN</t>
        </is>
      </c>
      <c r="E144" t="n">
        <v>29.4</v>
      </c>
      <c r="F144" t="n">
        <v>40</v>
      </c>
      <c r="G144" t="n">
        <v>7.55</v>
      </c>
      <c r="H144" t="n">
        <v>302</v>
      </c>
      <c r="I144">
        <f>ROUNDUP(E144, 0)</f>
        <v/>
      </c>
      <c r="J144">
        <f>IF(D144="COVERED", 10.40, 7.55)</f>
        <v/>
      </c>
      <c r="K144">
        <f>ROUND(I144*J144, 2)</f>
        <v/>
      </c>
      <c r="L144">
        <f>K144-H144</f>
        <v/>
      </c>
    </row>
    <row r="145">
      <c r="A145" t="inlineStr">
        <is>
          <t>EW-0306</t>
        </is>
      </c>
      <c r="B145" t="inlineStr">
        <is>
          <t>Justin Brown</t>
        </is>
      </c>
      <c r="C145" t="inlineStr">
        <is>
          <t>Eastwey</t>
        </is>
      </c>
      <c r="D145" t="inlineStr">
        <is>
          <t>OPEN</t>
        </is>
      </c>
      <c r="E145" t="n">
        <v>21</v>
      </c>
      <c r="F145" t="n">
        <v>50</v>
      </c>
      <c r="G145" t="n">
        <v>7.55</v>
      </c>
      <c r="H145" t="n">
        <v>377.5</v>
      </c>
      <c r="I145">
        <f>ROUNDUP(E145, 0)</f>
        <v/>
      </c>
      <c r="J145">
        <f>IF(D145="COVERED", 10.40, 7.55)</f>
        <v/>
      </c>
      <c r="K145">
        <f>ROUND(I145*J145, 2)</f>
        <v/>
      </c>
      <c r="L145">
        <f>K145-H145</f>
        <v/>
      </c>
    </row>
    <row r="146">
      <c r="A146" t="inlineStr">
        <is>
          <t>EW-0307</t>
        </is>
      </c>
      <c r="B146" t="inlineStr">
        <is>
          <t>Shelley Tucker</t>
        </is>
      </c>
      <c r="C146" t="inlineStr">
        <is>
          <t>Eastwey</t>
        </is>
      </c>
      <c r="D146" t="inlineStr">
        <is>
          <t>OPEN</t>
        </is>
      </c>
      <c r="E146" t="n">
        <v>19.3</v>
      </c>
      <c r="F146" t="n">
        <v>70</v>
      </c>
      <c r="G146" t="n">
        <v>7.55</v>
      </c>
      <c r="H146" t="n">
        <v>528.5</v>
      </c>
      <c r="I146">
        <f>ROUNDUP(E146, 0)</f>
        <v/>
      </c>
      <c r="J146">
        <f>IF(D146="COVERED", 10.40, 7.55)</f>
        <v/>
      </c>
      <c r="K146">
        <f>ROUND(I146*J146, 2)</f>
        <v/>
      </c>
      <c r="L146">
        <f>K146-H146</f>
        <v/>
      </c>
    </row>
    <row r="147">
      <c r="A147" t="inlineStr">
        <is>
          <t>EW-0308</t>
        </is>
      </c>
      <c r="B147" t="inlineStr">
        <is>
          <t>Brittany Baldwin</t>
        </is>
      </c>
      <c r="C147" t="inlineStr">
        <is>
          <t>Eastwey</t>
        </is>
      </c>
      <c r="D147" t="inlineStr">
        <is>
          <t>OPEN</t>
        </is>
      </c>
      <c r="E147" t="n">
        <v>26.7</v>
      </c>
      <c r="F147" t="n">
        <v>28</v>
      </c>
      <c r="G147" t="n">
        <v>7.55</v>
      </c>
      <c r="H147" t="n">
        <v>211.4</v>
      </c>
      <c r="I147">
        <f>ROUNDUP(E147, 0)</f>
        <v/>
      </c>
      <c r="J147">
        <f>IF(D147="COVERED", 10.40, 7.55)</f>
        <v/>
      </c>
      <c r="K147">
        <f>ROUND(I147*J147, 2)</f>
        <v/>
      </c>
      <c r="L147">
        <f>K147-H147</f>
        <v/>
      </c>
    </row>
    <row r="148">
      <c r="A148" t="inlineStr">
        <is>
          <t>EW-0309</t>
        </is>
      </c>
      <c r="B148" t="inlineStr">
        <is>
          <t>Erik Beck</t>
        </is>
      </c>
      <c r="C148" t="inlineStr">
        <is>
          <t>Eastwey</t>
        </is>
      </c>
      <c r="D148" t="inlineStr">
        <is>
          <t>OPEN</t>
        </is>
      </c>
      <c r="E148" t="n">
        <v>43.4</v>
      </c>
      <c r="F148" t="n">
        <v>50</v>
      </c>
      <c r="G148" t="n">
        <v>7.55</v>
      </c>
      <c r="H148" t="n">
        <v>377.5</v>
      </c>
      <c r="I148">
        <f>ROUNDUP(E148, 0)</f>
        <v/>
      </c>
      <c r="J148">
        <f>IF(D148="COVERED", 10.40, 7.55)</f>
        <v/>
      </c>
      <c r="K148">
        <f>ROUND(I148*J148, 2)</f>
        <v/>
      </c>
      <c r="L148">
        <f>K148-H148</f>
        <v/>
      </c>
    </row>
    <row r="149">
      <c r="A149" t="inlineStr">
        <is>
          <t>EW-0311</t>
        </is>
      </c>
      <c r="B149" t="inlineStr">
        <is>
          <t>Devon Griffin</t>
        </is>
      </c>
      <c r="C149" t="inlineStr">
        <is>
          <t>Eastwey</t>
        </is>
      </c>
      <c r="D149" t="inlineStr">
        <is>
          <t>OPEN</t>
        </is>
      </c>
      <c r="E149" t="n">
        <v>22.3</v>
      </c>
      <c r="F149" t="n">
        <v>32</v>
      </c>
      <c r="G149" t="n">
        <v>7.55</v>
      </c>
      <c r="H149" t="n">
        <v>241.6</v>
      </c>
      <c r="I149">
        <f>ROUNDUP(E149, 0)</f>
        <v/>
      </c>
      <c r="J149">
        <f>IF(D149="COVERED", 10.40, 7.55)</f>
        <v/>
      </c>
      <c r="K149">
        <f>ROUND(I149*J149, 2)</f>
        <v/>
      </c>
      <c r="L149">
        <f>K149-H149</f>
        <v/>
      </c>
    </row>
    <row r="150">
      <c r="A150" t="inlineStr">
        <is>
          <t>EW-0313</t>
        </is>
      </c>
      <c r="B150" t="inlineStr">
        <is>
          <t>Teresa Evans</t>
        </is>
      </c>
      <c r="C150" t="inlineStr">
        <is>
          <t>Eastwey</t>
        </is>
      </c>
      <c r="D150" t="inlineStr">
        <is>
          <t>OPEN</t>
        </is>
      </c>
      <c r="E150" t="n">
        <v>21.8</v>
      </c>
      <c r="F150" t="n">
        <v>50</v>
      </c>
      <c r="G150" t="n">
        <v>7.55</v>
      </c>
      <c r="H150" t="n">
        <v>377.5</v>
      </c>
      <c r="I150">
        <f>ROUNDUP(E150, 0)</f>
        <v/>
      </c>
      <c r="J150">
        <f>IF(D150="COVERED", 10.40, 7.55)</f>
        <v/>
      </c>
      <c r="K150">
        <f>ROUND(I150*J150, 2)</f>
        <v/>
      </c>
      <c r="L150">
        <f>K150-H150</f>
        <v/>
      </c>
    </row>
    <row r="151">
      <c r="A151" t="inlineStr">
        <is>
          <t>EW-0319</t>
        </is>
      </c>
      <c r="B151" t="inlineStr">
        <is>
          <t>Wendy Green</t>
        </is>
      </c>
      <c r="C151" t="inlineStr">
        <is>
          <t>Eastwey</t>
        </is>
      </c>
      <c r="D151" t="inlineStr">
        <is>
          <t>OPEN</t>
        </is>
      </c>
      <c r="E151" t="n">
        <v>56.8</v>
      </c>
      <c r="F151" t="n">
        <v>70</v>
      </c>
      <c r="G151" t="n">
        <v>7.55</v>
      </c>
      <c r="H151" t="n">
        <v>528.5</v>
      </c>
      <c r="I151">
        <f>ROUNDUP(E151, 0)</f>
        <v/>
      </c>
      <c r="J151">
        <f>IF(D151="COVERED", 10.40, 7.55)</f>
        <v/>
      </c>
      <c r="K151">
        <f>ROUND(I151*J151, 2)</f>
        <v/>
      </c>
      <c r="L151">
        <f>K151-H151</f>
        <v/>
      </c>
    </row>
    <row r="152">
      <c r="A152" t="inlineStr">
        <is>
          <t>EW-0321</t>
        </is>
      </c>
      <c r="B152" t="inlineStr">
        <is>
          <t>Bridget Moore</t>
        </is>
      </c>
      <c r="C152" t="inlineStr">
        <is>
          <t>Eastwey</t>
        </is>
      </c>
      <c r="D152" t="inlineStr">
        <is>
          <t>OPEN</t>
        </is>
      </c>
      <c r="E152" t="n">
        <v>18.7</v>
      </c>
      <c r="F152" t="n">
        <v>70</v>
      </c>
      <c r="G152" t="n">
        <v>7.55</v>
      </c>
      <c r="H152" t="n">
        <v>528.5</v>
      </c>
      <c r="I152">
        <f>ROUNDUP(E152, 0)</f>
        <v/>
      </c>
      <c r="J152">
        <f>IF(D152="COVERED", 10.40, 7.55)</f>
        <v/>
      </c>
      <c r="K152">
        <f>ROUND(I152*J152, 2)</f>
        <v/>
      </c>
      <c r="L152">
        <f>K152-H152</f>
        <v/>
      </c>
    </row>
    <row r="153">
      <c r="A153" t="inlineStr">
        <is>
          <t>EW-0324</t>
        </is>
      </c>
      <c r="B153" t="inlineStr">
        <is>
          <t>Kimberly Smith</t>
        </is>
      </c>
      <c r="C153" t="inlineStr">
        <is>
          <t>Eastwey</t>
        </is>
      </c>
      <c r="D153" t="inlineStr">
        <is>
          <t>OPEN</t>
        </is>
      </c>
      <c r="E153" t="n">
        <v>19.3</v>
      </c>
      <c r="F153" t="n">
        <v>80</v>
      </c>
      <c r="G153" t="n">
        <v>7.55</v>
      </c>
      <c r="H153" t="n">
        <v>604</v>
      </c>
      <c r="I153">
        <f>ROUNDUP(E153, 0)</f>
        <v/>
      </c>
      <c r="J153">
        <f>IF(D153="COVERED", 10.40, 7.55)</f>
        <v/>
      </c>
      <c r="K153">
        <f>ROUND(I153*J153, 2)</f>
        <v/>
      </c>
      <c r="L153">
        <f>K153-H153</f>
        <v/>
      </c>
    </row>
    <row r="154">
      <c r="A154" t="inlineStr">
        <is>
          <t>EW-0402</t>
        </is>
      </c>
      <c r="B154" t="inlineStr">
        <is>
          <t>Lisa Burton</t>
        </is>
      </c>
      <c r="C154" t="inlineStr">
        <is>
          <t>Eastwey</t>
        </is>
      </c>
      <c r="D154" t="inlineStr">
        <is>
          <t>OPEN</t>
        </is>
      </c>
      <c r="E154" t="n">
        <v>31.6</v>
      </c>
      <c r="F154" t="n">
        <v>40</v>
      </c>
      <c r="G154" t="n">
        <v>7.55</v>
      </c>
      <c r="H154" t="n">
        <v>302</v>
      </c>
      <c r="I154">
        <f>ROUNDUP(E154, 0)</f>
        <v/>
      </c>
      <c r="J154">
        <f>IF(D154="COVERED", 10.40, 7.55)</f>
        <v/>
      </c>
      <c r="K154">
        <f>ROUND(I154*J154, 2)</f>
        <v/>
      </c>
      <c r="L154">
        <f>K154-H154</f>
        <v/>
      </c>
    </row>
    <row r="155">
      <c r="A155" t="inlineStr">
        <is>
          <t>EW-0404</t>
        </is>
      </c>
      <c r="B155" t="inlineStr">
        <is>
          <t>James Graham</t>
        </is>
      </c>
      <c r="C155" t="inlineStr">
        <is>
          <t>Eastwey</t>
        </is>
      </c>
      <c r="D155" t="inlineStr">
        <is>
          <t>OPEN</t>
        </is>
      </c>
      <c r="E155" t="n">
        <v>31.8</v>
      </c>
      <c r="F155" t="n">
        <v>70</v>
      </c>
      <c r="G155" t="n">
        <v>7.55</v>
      </c>
      <c r="H155" t="n">
        <v>528.5</v>
      </c>
      <c r="I155">
        <f>ROUNDUP(E155, 0)</f>
        <v/>
      </c>
      <c r="J155">
        <f>IF(D155="COVERED", 10.40, 7.55)</f>
        <v/>
      </c>
      <c r="K155">
        <f>ROUND(I155*J155, 2)</f>
        <v/>
      </c>
      <c r="L155">
        <f>K155-H155</f>
        <v/>
      </c>
    </row>
    <row r="156">
      <c r="A156" t="inlineStr">
        <is>
          <t>EW-0406</t>
        </is>
      </c>
      <c r="B156" t="inlineStr">
        <is>
          <t>Steven Morgan</t>
        </is>
      </c>
      <c r="C156" t="inlineStr">
        <is>
          <t>Eastwey</t>
        </is>
      </c>
      <c r="D156" t="inlineStr">
        <is>
          <t>OPEN</t>
        </is>
      </c>
      <c r="E156" t="n">
        <v>29.4</v>
      </c>
      <c r="F156" t="n">
        <v>40</v>
      </c>
      <c r="G156" t="n">
        <v>7.55</v>
      </c>
      <c r="H156" t="n">
        <v>302</v>
      </c>
      <c r="I156">
        <f>ROUNDUP(E156, 0)</f>
        <v/>
      </c>
      <c r="J156">
        <f>IF(D156="COVERED", 10.40, 7.55)</f>
        <v/>
      </c>
      <c r="K156">
        <f>ROUND(I156*J156, 2)</f>
        <v/>
      </c>
      <c r="L156">
        <f>K156-H156</f>
        <v/>
      </c>
    </row>
    <row r="157">
      <c r="A157" t="inlineStr">
        <is>
          <t>EW-0407</t>
        </is>
      </c>
      <c r="B157" t="inlineStr">
        <is>
          <t>David Silva</t>
        </is>
      </c>
      <c r="C157" t="inlineStr">
        <is>
          <t>Eastwey</t>
        </is>
      </c>
      <c r="D157" t="inlineStr">
        <is>
          <t>OPEN</t>
        </is>
      </c>
      <c r="E157" t="n">
        <v>31.1</v>
      </c>
      <c r="F157" t="n">
        <v>45</v>
      </c>
      <c r="G157" t="n">
        <v>7.55</v>
      </c>
      <c r="H157" t="n">
        <v>339.75</v>
      </c>
      <c r="I157">
        <f>ROUNDUP(E157, 0)</f>
        <v/>
      </c>
      <c r="J157">
        <f>IF(D157="COVERED", 10.40, 7.55)</f>
        <v/>
      </c>
      <c r="K157">
        <f>ROUND(I157*J157, 2)</f>
        <v/>
      </c>
      <c r="L157">
        <f>K157-H157</f>
        <v/>
      </c>
    </row>
    <row r="158">
      <c r="A158" t="inlineStr">
        <is>
          <t>EW-0409</t>
        </is>
      </c>
      <c r="B158" t="inlineStr">
        <is>
          <t>Jeffery Lewis</t>
        </is>
      </c>
      <c r="C158" t="inlineStr">
        <is>
          <t>Eastwey</t>
        </is>
      </c>
      <c r="D158" t="inlineStr">
        <is>
          <t>OPEN</t>
        </is>
      </c>
      <c r="E158" t="n">
        <v>51.6</v>
      </c>
      <c r="F158" t="n">
        <v>70</v>
      </c>
      <c r="G158" t="n">
        <v>7.55</v>
      </c>
      <c r="H158" t="n">
        <v>528.5</v>
      </c>
      <c r="I158">
        <f>ROUNDUP(E158, 0)</f>
        <v/>
      </c>
      <c r="J158">
        <f>IF(D158="COVERED", 10.40, 7.55)</f>
        <v/>
      </c>
      <c r="K158">
        <f>ROUND(I158*J158, 2)</f>
        <v/>
      </c>
      <c r="L158">
        <f>K158-H158</f>
        <v/>
      </c>
    </row>
    <row r="159">
      <c r="A159" t="inlineStr">
        <is>
          <t>EW-0411</t>
        </is>
      </c>
      <c r="B159" t="inlineStr">
        <is>
          <t>Donna Thomas</t>
        </is>
      </c>
      <c r="C159" t="inlineStr">
        <is>
          <t>Eastwey</t>
        </is>
      </c>
      <c r="D159" t="inlineStr">
        <is>
          <t>OPEN</t>
        </is>
      </c>
      <c r="E159" t="n">
        <v>26.8</v>
      </c>
      <c r="F159" t="n">
        <v>70</v>
      </c>
      <c r="G159" t="n">
        <v>7.55</v>
      </c>
      <c r="H159" t="n">
        <v>528.5</v>
      </c>
      <c r="I159">
        <f>ROUNDUP(E159, 0)</f>
        <v/>
      </c>
      <c r="J159">
        <f>IF(D159="COVERED", 10.40, 7.55)</f>
        <v/>
      </c>
      <c r="K159">
        <f>ROUND(I159*J159, 2)</f>
        <v/>
      </c>
      <c r="L159">
        <f>K159-H159</f>
        <v/>
      </c>
    </row>
    <row r="160">
      <c r="A160" t="inlineStr">
        <is>
          <t>EW-0412</t>
        </is>
      </c>
      <c r="B160" t="inlineStr">
        <is>
          <t>Vincent Simon</t>
        </is>
      </c>
      <c r="C160" t="inlineStr">
        <is>
          <t>Eastwey</t>
        </is>
      </c>
      <c r="D160" t="inlineStr">
        <is>
          <t>OPEN</t>
        </is>
      </c>
      <c r="E160" t="n">
        <v>42.5</v>
      </c>
      <c r="F160" t="n">
        <v>70</v>
      </c>
      <c r="G160" t="n">
        <v>7.55</v>
      </c>
      <c r="H160" t="n">
        <v>528.5</v>
      </c>
      <c r="I160">
        <f>ROUNDUP(E160, 0)</f>
        <v/>
      </c>
      <c r="J160">
        <f>IF(D160="COVERED", 10.40, 7.55)</f>
        <v/>
      </c>
      <c r="K160">
        <f>ROUND(I160*J160, 2)</f>
        <v/>
      </c>
      <c r="L160">
        <f>K160-H160</f>
        <v/>
      </c>
    </row>
    <row r="161">
      <c r="A161" t="inlineStr">
        <is>
          <t>EW-0413</t>
        </is>
      </c>
      <c r="B161" t="inlineStr">
        <is>
          <t>Maria Weber</t>
        </is>
      </c>
      <c r="C161" t="inlineStr">
        <is>
          <t>Eastwey</t>
        </is>
      </c>
      <c r="D161" t="inlineStr">
        <is>
          <t>OPEN</t>
        </is>
      </c>
      <c r="E161" t="n">
        <v>58.8</v>
      </c>
      <c r="F161" t="n">
        <v>70</v>
      </c>
      <c r="G161" t="n">
        <v>7.55</v>
      </c>
      <c r="H161" t="n">
        <v>528.5</v>
      </c>
      <c r="I161">
        <f>ROUNDUP(E161, 0)</f>
        <v/>
      </c>
      <c r="J161">
        <f>IF(D161="COVERED", 10.40, 7.55)</f>
        <v/>
      </c>
      <c r="K161">
        <f>ROUND(I161*J161, 2)</f>
        <v/>
      </c>
      <c r="L161">
        <f>K161-H161</f>
        <v/>
      </c>
    </row>
    <row r="162">
      <c r="A162" t="inlineStr">
        <is>
          <t>EW-0414</t>
        </is>
      </c>
      <c r="B162" t="inlineStr">
        <is>
          <t>Jason Howe</t>
        </is>
      </c>
      <c r="C162" t="inlineStr">
        <is>
          <t>Eastwey</t>
        </is>
      </c>
      <c r="D162" t="inlineStr">
        <is>
          <t>OPEN</t>
        </is>
      </c>
      <c r="E162" t="n">
        <v>20.6</v>
      </c>
      <c r="F162" t="n">
        <v>40</v>
      </c>
      <c r="G162" t="n">
        <v>7.55</v>
      </c>
      <c r="H162" t="n">
        <v>302</v>
      </c>
      <c r="I162">
        <f>ROUNDUP(E162, 0)</f>
        <v/>
      </c>
      <c r="J162">
        <f>IF(D162="COVERED", 10.40, 7.55)</f>
        <v/>
      </c>
      <c r="K162">
        <f>ROUND(I162*J162, 2)</f>
        <v/>
      </c>
      <c r="L162">
        <f>K162-H162</f>
        <v/>
      </c>
    </row>
    <row r="163">
      <c r="A163" t="inlineStr">
        <is>
          <t>EW-0419</t>
        </is>
      </c>
      <c r="B163" t="inlineStr">
        <is>
          <t>Michael Phillips</t>
        </is>
      </c>
      <c r="C163" t="inlineStr">
        <is>
          <t>Eastwey</t>
        </is>
      </c>
      <c r="D163" t="inlineStr">
        <is>
          <t>OPEN</t>
        </is>
      </c>
      <c r="E163" t="n">
        <v>36.5</v>
      </c>
      <c r="F163" t="n">
        <v>45</v>
      </c>
      <c r="G163" t="n">
        <v>7.55</v>
      </c>
      <c r="H163" t="n">
        <v>339.75</v>
      </c>
      <c r="I163">
        <f>ROUNDUP(E163, 0)</f>
        <v/>
      </c>
      <c r="J163">
        <f>IF(D163="COVERED", 10.40, 7.55)</f>
        <v/>
      </c>
      <c r="K163">
        <f>ROUND(I163*J163, 2)</f>
        <v/>
      </c>
      <c r="L163">
        <f>K163-H163</f>
        <v/>
      </c>
    </row>
    <row r="164">
      <c r="A164" t="inlineStr">
        <is>
          <t>EW-0420</t>
        </is>
      </c>
      <c r="B164" t="inlineStr">
        <is>
          <t>Justin Pearson</t>
        </is>
      </c>
      <c r="C164" t="inlineStr">
        <is>
          <t>Eastwey</t>
        </is>
      </c>
      <c r="D164" t="inlineStr">
        <is>
          <t>OPEN</t>
        </is>
      </c>
      <c r="E164" t="n">
        <v>21.8</v>
      </c>
      <c r="F164" t="n">
        <v>32</v>
      </c>
      <c r="G164" t="n">
        <v>7.55</v>
      </c>
      <c r="H164" t="n">
        <v>241.6</v>
      </c>
      <c r="I164">
        <f>ROUNDUP(E164, 0)</f>
        <v/>
      </c>
      <c r="J164">
        <f>IF(D164="COVERED", 10.40, 7.55)</f>
        <v/>
      </c>
      <c r="K164">
        <f>ROUND(I164*J164, 2)</f>
        <v/>
      </c>
      <c r="L164">
        <f>K164-H164</f>
        <v/>
      </c>
    </row>
    <row r="165">
      <c r="A165" t="inlineStr">
        <is>
          <t>EW-0421</t>
        </is>
      </c>
      <c r="B165" t="inlineStr">
        <is>
          <t>Patricia Wilson</t>
        </is>
      </c>
      <c r="C165" t="inlineStr">
        <is>
          <t>Eastwey</t>
        </is>
      </c>
      <c r="D165" t="inlineStr">
        <is>
          <t>OPEN</t>
        </is>
      </c>
      <c r="E165" t="n">
        <v>26.2</v>
      </c>
      <c r="F165" t="n">
        <v>36</v>
      </c>
      <c r="G165" t="n">
        <v>7.55</v>
      </c>
      <c r="H165" t="n">
        <v>271.8</v>
      </c>
      <c r="I165">
        <f>ROUNDUP(E165, 0)</f>
        <v/>
      </c>
      <c r="J165">
        <f>IF(D165="COVERED", 10.40, 7.55)</f>
        <v/>
      </c>
      <c r="K165">
        <f>ROUND(I165*J165, 2)</f>
        <v/>
      </c>
      <c r="L165">
        <f>K165-H165</f>
        <v/>
      </c>
    </row>
    <row r="166">
      <c r="A166" t="inlineStr">
        <is>
          <t>EW-0423</t>
        </is>
      </c>
      <c r="B166" t="inlineStr">
        <is>
          <t>Jessica Flores</t>
        </is>
      </c>
      <c r="C166" t="inlineStr">
        <is>
          <t>Eastwey</t>
        </is>
      </c>
      <c r="D166" t="inlineStr">
        <is>
          <t>OPEN</t>
        </is>
      </c>
      <c r="E166" t="n">
        <v>37.2</v>
      </c>
      <c r="F166" t="n">
        <v>70</v>
      </c>
      <c r="G166" t="n">
        <v>7.55</v>
      </c>
      <c r="H166" t="n">
        <v>528.5</v>
      </c>
      <c r="I166">
        <f>ROUNDUP(E166, 0)</f>
        <v/>
      </c>
      <c r="J166">
        <f>IF(D166="COVERED", 10.40, 7.55)</f>
        <v/>
      </c>
      <c r="K166">
        <f>ROUND(I166*J166, 2)</f>
        <v/>
      </c>
      <c r="L166">
        <f>K166-H166</f>
        <v/>
      </c>
    </row>
    <row r="167">
      <c r="A167" t="inlineStr">
        <is>
          <t>EW-0505</t>
        </is>
      </c>
      <c r="B167" t="inlineStr">
        <is>
          <t>Lisa Perez</t>
        </is>
      </c>
      <c r="C167" t="inlineStr">
        <is>
          <t>Eastwey</t>
        </is>
      </c>
      <c r="D167" t="inlineStr">
        <is>
          <t>OPEN</t>
        </is>
      </c>
      <c r="E167" t="n">
        <v>26.2</v>
      </c>
      <c r="F167" t="n">
        <v>32</v>
      </c>
      <c r="G167" t="n">
        <v>7.55</v>
      </c>
      <c r="H167" t="n">
        <v>241.6</v>
      </c>
      <c r="I167">
        <f>ROUNDUP(E167, 0)</f>
        <v/>
      </c>
      <c r="J167">
        <f>IF(D167="COVERED", 10.40, 7.55)</f>
        <v/>
      </c>
      <c r="K167">
        <f>ROUND(I167*J167, 2)</f>
        <v/>
      </c>
      <c r="L167">
        <f>K167-H167</f>
        <v/>
      </c>
    </row>
    <row r="168">
      <c r="A168" t="inlineStr">
        <is>
          <t>EW-0506</t>
        </is>
      </c>
      <c r="B168" t="inlineStr">
        <is>
          <t>Madeline Wright</t>
        </is>
      </c>
      <c r="C168" t="inlineStr">
        <is>
          <t>Eastwey</t>
        </is>
      </c>
      <c r="D168" t="inlineStr">
        <is>
          <t>OPEN</t>
        </is>
      </c>
      <c r="E168" t="n">
        <v>37.4</v>
      </c>
      <c r="F168" t="n">
        <v>60</v>
      </c>
      <c r="G168" t="n">
        <v>7.55</v>
      </c>
      <c r="H168" t="n">
        <v>453</v>
      </c>
      <c r="I168">
        <f>ROUNDUP(E168, 0)</f>
        <v/>
      </c>
      <c r="J168">
        <f>IF(D168="COVERED", 10.40, 7.55)</f>
        <v/>
      </c>
      <c r="K168">
        <f>ROUND(I168*J168, 2)</f>
        <v/>
      </c>
      <c r="L168">
        <f>K168-H168</f>
        <v/>
      </c>
    </row>
    <row r="169">
      <c r="A169" t="inlineStr">
        <is>
          <t>EW-0507</t>
        </is>
      </c>
      <c r="B169" t="inlineStr">
        <is>
          <t>George Robbins</t>
        </is>
      </c>
      <c r="C169" t="inlineStr">
        <is>
          <t>Eastwey</t>
        </is>
      </c>
      <c r="D169" t="inlineStr">
        <is>
          <t>OPEN</t>
        </is>
      </c>
      <c r="E169" t="n">
        <v>55.2</v>
      </c>
      <c r="F169" t="n">
        <v>70</v>
      </c>
      <c r="G169" t="n">
        <v>7.55</v>
      </c>
      <c r="H169" t="n">
        <v>528.5</v>
      </c>
      <c r="I169">
        <f>ROUNDUP(E169, 0)</f>
        <v/>
      </c>
      <c r="J169">
        <f>IF(D169="COVERED", 10.40, 7.55)</f>
        <v/>
      </c>
      <c r="K169">
        <f>ROUND(I169*J169, 2)</f>
        <v/>
      </c>
      <c r="L169">
        <f>K169-H169</f>
        <v/>
      </c>
    </row>
    <row r="170">
      <c r="A170" t="inlineStr">
        <is>
          <t>EW-0512</t>
        </is>
      </c>
      <c r="B170" t="inlineStr">
        <is>
          <t>Vincent Long</t>
        </is>
      </c>
      <c r="C170" t="inlineStr">
        <is>
          <t>Eastwey</t>
        </is>
      </c>
      <c r="D170" t="inlineStr">
        <is>
          <t>OPEN</t>
        </is>
      </c>
      <c r="E170" t="n">
        <v>43.8</v>
      </c>
      <c r="F170" t="n">
        <v>60</v>
      </c>
      <c r="G170" t="n">
        <v>7.55</v>
      </c>
      <c r="H170" t="n">
        <v>453</v>
      </c>
      <c r="I170">
        <f>ROUNDUP(E170, 0)</f>
        <v/>
      </c>
      <c r="J170">
        <f>IF(D170="COVERED", 10.40, 7.55)</f>
        <v/>
      </c>
      <c r="K170">
        <f>ROUND(I170*J170, 2)</f>
        <v/>
      </c>
      <c r="L170">
        <f>K170-H170</f>
        <v/>
      </c>
    </row>
    <row r="171">
      <c r="A171" t="inlineStr">
        <is>
          <t>EW-0516</t>
        </is>
      </c>
      <c r="B171" t="inlineStr">
        <is>
          <t>Elizabeth Edwards</t>
        </is>
      </c>
      <c r="C171" t="inlineStr">
        <is>
          <t>Eastwey</t>
        </is>
      </c>
      <c r="D171" t="inlineStr">
        <is>
          <t>OPEN</t>
        </is>
      </c>
      <c r="E171" t="n">
        <v>30.5</v>
      </c>
      <c r="F171" t="n">
        <v>40</v>
      </c>
      <c r="G171" t="n">
        <v>7.55</v>
      </c>
      <c r="H171" t="n">
        <v>302</v>
      </c>
      <c r="I171">
        <f>ROUNDUP(E171, 0)</f>
        <v/>
      </c>
      <c r="J171">
        <f>IF(D171="COVERED", 10.40, 7.55)</f>
        <v/>
      </c>
      <c r="K171">
        <f>ROUND(I171*J171, 2)</f>
        <v/>
      </c>
      <c r="L171">
        <f>K171-H171</f>
        <v/>
      </c>
    </row>
    <row r="172">
      <c r="A172" t="inlineStr">
        <is>
          <t>EW-0518</t>
        </is>
      </c>
      <c r="B172" t="inlineStr">
        <is>
          <t>Lisa Aguilar</t>
        </is>
      </c>
      <c r="C172" t="inlineStr">
        <is>
          <t>Eastwey</t>
        </is>
      </c>
      <c r="D172" t="inlineStr">
        <is>
          <t>OPEN</t>
        </is>
      </c>
      <c r="E172" t="n">
        <v>36.8</v>
      </c>
      <c r="F172" t="n">
        <v>50</v>
      </c>
      <c r="G172" t="n">
        <v>7.55</v>
      </c>
      <c r="H172" t="n">
        <v>377.5</v>
      </c>
      <c r="I172">
        <f>ROUNDUP(E172, 0)</f>
        <v/>
      </c>
      <c r="J172">
        <f>IF(D172="COVERED", 10.40, 7.55)</f>
        <v/>
      </c>
      <c r="K172">
        <f>ROUND(I172*J172, 2)</f>
        <v/>
      </c>
      <c r="L172">
        <f>K172-H172</f>
        <v/>
      </c>
    </row>
    <row r="173">
      <c r="A173" t="inlineStr">
        <is>
          <t>EW-0521</t>
        </is>
      </c>
      <c r="B173" t="inlineStr">
        <is>
          <t>Emily Cox</t>
        </is>
      </c>
      <c r="C173" t="inlineStr">
        <is>
          <t>Eastwey</t>
        </is>
      </c>
      <c r="D173" t="inlineStr">
        <is>
          <t>OPEN</t>
        </is>
      </c>
      <c r="E173" t="n">
        <v>38.3</v>
      </c>
      <c r="F173" t="n">
        <v>50</v>
      </c>
      <c r="G173" t="n">
        <v>7.55</v>
      </c>
      <c r="H173" t="n">
        <v>377.5</v>
      </c>
      <c r="I173">
        <f>ROUNDUP(E173, 0)</f>
        <v/>
      </c>
      <c r="J173">
        <f>IF(D173="COVERED", 10.40, 7.55)</f>
        <v/>
      </c>
      <c r="K173">
        <f>ROUND(I173*J173, 2)</f>
        <v/>
      </c>
      <c r="L173">
        <f>K173-H173</f>
        <v/>
      </c>
    </row>
    <row r="174">
      <c r="A174" t="inlineStr">
        <is>
          <t>EW-0522</t>
        </is>
      </c>
      <c r="B174" t="inlineStr">
        <is>
          <t>Justin Parks</t>
        </is>
      </c>
      <c r="C174" t="inlineStr">
        <is>
          <t>Eastwey</t>
        </is>
      </c>
      <c r="D174" t="inlineStr">
        <is>
          <t>OPEN</t>
        </is>
      </c>
      <c r="E174" t="n">
        <v>26.5</v>
      </c>
      <c r="F174" t="n">
        <v>36</v>
      </c>
      <c r="G174" t="n">
        <v>7.55</v>
      </c>
      <c r="H174" t="n">
        <v>271.8</v>
      </c>
      <c r="I174">
        <f>ROUNDUP(E174, 0)</f>
        <v/>
      </c>
      <c r="J174">
        <f>IF(D174="COVERED", 10.40, 7.55)</f>
        <v/>
      </c>
      <c r="K174">
        <f>ROUND(I174*J174, 2)</f>
        <v/>
      </c>
      <c r="L174">
        <f>K174-H174</f>
        <v/>
      </c>
    </row>
    <row r="175">
      <c r="A175" t="inlineStr">
        <is>
          <t>EW-0524</t>
        </is>
      </c>
      <c r="B175" t="inlineStr">
        <is>
          <t>Jason Boyd</t>
        </is>
      </c>
      <c r="C175" t="inlineStr">
        <is>
          <t>Eastwey</t>
        </is>
      </c>
      <c r="D175" t="inlineStr">
        <is>
          <t>OPEN</t>
        </is>
      </c>
      <c r="E175" t="n">
        <v>19.2</v>
      </c>
      <c r="F175" t="n">
        <v>32</v>
      </c>
      <c r="G175" t="n">
        <v>7.55</v>
      </c>
      <c r="H175" t="n">
        <v>241.6</v>
      </c>
      <c r="I175">
        <f>ROUNDUP(E175, 0)</f>
        <v/>
      </c>
      <c r="J175">
        <f>IF(D175="COVERED", 10.40, 7.55)</f>
        <v/>
      </c>
      <c r="K175">
        <f>ROUND(I175*J175, 2)</f>
        <v/>
      </c>
      <c r="L175">
        <f>K175-H175</f>
        <v/>
      </c>
    </row>
    <row r="176">
      <c r="A176" t="inlineStr">
        <is>
          <t>EW-0601</t>
        </is>
      </c>
      <c r="B176" t="inlineStr">
        <is>
          <t>Judy Adams</t>
        </is>
      </c>
      <c r="C176" t="inlineStr">
        <is>
          <t>Eastwey</t>
        </is>
      </c>
      <c r="D176" t="inlineStr">
        <is>
          <t>OPEN</t>
        </is>
      </c>
      <c r="E176" t="n">
        <v>22.8</v>
      </c>
      <c r="F176" t="n">
        <v>24</v>
      </c>
      <c r="G176" t="n">
        <v>7.55</v>
      </c>
      <c r="H176" t="n">
        <v>181.2</v>
      </c>
      <c r="I176">
        <f>ROUNDUP(E176, 0)</f>
        <v/>
      </c>
      <c r="J176">
        <f>IF(D176="COVERED", 10.40, 7.55)</f>
        <v/>
      </c>
      <c r="K176">
        <f>ROUND(I176*J176, 2)</f>
        <v/>
      </c>
      <c r="L176">
        <f>K176-H176</f>
        <v/>
      </c>
    </row>
    <row r="177">
      <c r="A177" t="inlineStr">
        <is>
          <t>EW-0602</t>
        </is>
      </c>
      <c r="B177" t="inlineStr">
        <is>
          <t>Kelly Cox</t>
        </is>
      </c>
      <c r="C177" t="inlineStr">
        <is>
          <t>Eastwey</t>
        </is>
      </c>
      <c r="D177" t="inlineStr">
        <is>
          <t>OPEN</t>
        </is>
      </c>
      <c r="E177" t="n">
        <v>26.9</v>
      </c>
      <c r="F177" t="n">
        <v>50</v>
      </c>
      <c r="G177" t="n">
        <v>7.55</v>
      </c>
      <c r="H177" t="n">
        <v>377.5</v>
      </c>
      <c r="I177">
        <f>ROUNDUP(E177, 0)</f>
        <v/>
      </c>
      <c r="J177">
        <f>IF(D177="COVERED", 10.40, 7.55)</f>
        <v/>
      </c>
      <c r="K177">
        <f>ROUND(I177*J177, 2)</f>
        <v/>
      </c>
      <c r="L177">
        <f>K177-H177</f>
        <v/>
      </c>
    </row>
    <row r="178">
      <c r="A178" t="inlineStr">
        <is>
          <t>EW-0603</t>
        </is>
      </c>
      <c r="B178" t="inlineStr">
        <is>
          <t>Maria Middleton</t>
        </is>
      </c>
      <c r="C178" t="inlineStr">
        <is>
          <t>Eastwey</t>
        </is>
      </c>
      <c r="D178" t="inlineStr">
        <is>
          <t>OPEN</t>
        </is>
      </c>
      <c r="E178" t="n">
        <v>22</v>
      </c>
      <c r="F178" t="n">
        <v>24</v>
      </c>
      <c r="G178" t="n">
        <v>7.55</v>
      </c>
      <c r="H178" t="n">
        <v>181.2</v>
      </c>
      <c r="I178">
        <f>ROUNDUP(E178, 0)</f>
        <v/>
      </c>
      <c r="J178">
        <f>IF(D178="COVERED", 10.40, 7.55)</f>
        <v/>
      </c>
      <c r="K178">
        <f>ROUND(I178*J178, 2)</f>
        <v/>
      </c>
      <c r="L178">
        <f>K178-H178</f>
        <v/>
      </c>
    </row>
    <row r="179">
      <c r="A179" t="inlineStr">
        <is>
          <t>EW-0604</t>
        </is>
      </c>
      <c r="B179" t="inlineStr">
        <is>
          <t>Brian Alexander</t>
        </is>
      </c>
      <c r="C179" t="inlineStr">
        <is>
          <t>Eastwey</t>
        </is>
      </c>
      <c r="D179" t="inlineStr">
        <is>
          <t>OPEN</t>
        </is>
      </c>
      <c r="E179" t="n">
        <v>35</v>
      </c>
      <c r="F179" t="n">
        <v>60</v>
      </c>
      <c r="G179" t="n">
        <v>7.55</v>
      </c>
      <c r="H179" t="n">
        <v>453</v>
      </c>
      <c r="I179">
        <f>ROUNDUP(E179, 0)</f>
        <v/>
      </c>
      <c r="J179">
        <f>IF(D179="COVERED", 10.40, 7.55)</f>
        <v/>
      </c>
      <c r="K179">
        <f>ROUND(I179*J179, 2)</f>
        <v/>
      </c>
      <c r="L179">
        <f>K179-H179</f>
        <v/>
      </c>
    </row>
    <row r="180">
      <c r="A180" t="inlineStr">
        <is>
          <t>EW-0615</t>
        </is>
      </c>
      <c r="B180" t="inlineStr">
        <is>
          <t>Rebecca Crawford</t>
        </is>
      </c>
      <c r="C180" t="inlineStr">
        <is>
          <t>Eastwey</t>
        </is>
      </c>
      <c r="D180" t="inlineStr">
        <is>
          <t>OPEN</t>
        </is>
      </c>
      <c r="E180" t="n">
        <v>23.5</v>
      </c>
      <c r="F180" t="n">
        <v>45</v>
      </c>
      <c r="G180" t="n">
        <v>7.55</v>
      </c>
      <c r="H180" t="n">
        <v>339.75</v>
      </c>
      <c r="I180">
        <f>ROUNDUP(E180, 0)</f>
        <v/>
      </c>
      <c r="J180">
        <f>IF(D180="COVERED", 10.40, 7.55)</f>
        <v/>
      </c>
      <c r="K180">
        <f>ROUND(I180*J180, 2)</f>
        <v/>
      </c>
      <c r="L180">
        <f>K180-H180</f>
        <v/>
      </c>
    </row>
    <row r="181">
      <c r="A181" t="inlineStr">
        <is>
          <t>EW-0617</t>
        </is>
      </c>
      <c r="B181" t="inlineStr">
        <is>
          <t>Natasha Higgins</t>
        </is>
      </c>
      <c r="C181" t="inlineStr">
        <is>
          <t>Eastwey</t>
        </is>
      </c>
      <c r="D181" t="inlineStr">
        <is>
          <t>OPEN</t>
        </is>
      </c>
      <c r="E181" t="n">
        <v>27</v>
      </c>
      <c r="F181" t="n">
        <v>70</v>
      </c>
      <c r="G181" t="n">
        <v>7.55</v>
      </c>
      <c r="H181" t="n">
        <v>528.5</v>
      </c>
      <c r="I181">
        <f>ROUNDUP(E181, 0)</f>
        <v/>
      </c>
      <c r="J181">
        <f>IF(D181="COVERED", 10.40, 7.55)</f>
        <v/>
      </c>
      <c r="K181">
        <f>ROUND(I181*J181, 2)</f>
        <v/>
      </c>
      <c r="L181">
        <f>K181-H181</f>
        <v/>
      </c>
    </row>
    <row r="182">
      <c r="A182" t="inlineStr">
        <is>
          <t>EW-0621</t>
        </is>
      </c>
      <c r="B182" t="inlineStr">
        <is>
          <t>Joseph Lopez</t>
        </is>
      </c>
      <c r="C182" t="inlineStr">
        <is>
          <t>Eastwey</t>
        </is>
      </c>
      <c r="D182" t="inlineStr">
        <is>
          <t>OPEN</t>
        </is>
      </c>
      <c r="E182" t="n">
        <v>61.6</v>
      </c>
      <c r="F182" t="n">
        <v>80</v>
      </c>
      <c r="G182" t="n">
        <v>7.55</v>
      </c>
      <c r="H182" t="n">
        <v>604</v>
      </c>
      <c r="I182">
        <f>ROUNDUP(E182, 0)</f>
        <v/>
      </c>
      <c r="J182">
        <f>IF(D182="COVERED", 10.40, 7.55)</f>
        <v/>
      </c>
      <c r="K182">
        <f>ROUND(I182*J182, 2)</f>
        <v/>
      </c>
      <c r="L182">
        <f>K182-H182</f>
        <v/>
      </c>
    </row>
    <row r="183">
      <c r="A183" t="inlineStr">
        <is>
          <t>EW-0624</t>
        </is>
      </c>
      <c r="B183" t="inlineStr">
        <is>
          <t>Steven Parrish</t>
        </is>
      </c>
      <c r="C183" t="inlineStr">
        <is>
          <t>Eastwey</t>
        </is>
      </c>
      <c r="D183" t="inlineStr">
        <is>
          <t>OPEN</t>
        </is>
      </c>
      <c r="E183" t="n">
        <v>47.3</v>
      </c>
      <c r="F183" t="n">
        <v>60</v>
      </c>
      <c r="G183" t="n">
        <v>7.55</v>
      </c>
      <c r="H183" t="n">
        <v>453</v>
      </c>
      <c r="I183">
        <f>ROUNDUP(E183, 0)</f>
        <v/>
      </c>
      <c r="J183">
        <f>IF(D183="COVERED", 10.40, 7.55)</f>
        <v/>
      </c>
      <c r="K183">
        <f>ROUND(I183*J183, 2)</f>
        <v/>
      </c>
      <c r="L183">
        <f>K183-H183</f>
        <v/>
      </c>
    </row>
    <row r="184">
      <c r="A184" t="inlineStr">
        <is>
          <t>EW-0702</t>
        </is>
      </c>
      <c r="B184" t="inlineStr">
        <is>
          <t>Nicole Mata</t>
        </is>
      </c>
      <c r="C184" t="inlineStr">
        <is>
          <t>Eastwey</t>
        </is>
      </c>
      <c r="D184" t="inlineStr">
        <is>
          <t>OPEN</t>
        </is>
      </c>
      <c r="E184" t="n">
        <v>24</v>
      </c>
      <c r="F184" t="n">
        <v>45</v>
      </c>
      <c r="G184" t="n">
        <v>7.55</v>
      </c>
      <c r="H184" t="n">
        <v>339.75</v>
      </c>
      <c r="I184">
        <f>ROUNDUP(E184, 0)</f>
        <v/>
      </c>
      <c r="J184">
        <f>IF(D184="COVERED", 10.40, 7.55)</f>
        <v/>
      </c>
      <c r="K184">
        <f>ROUND(I184*J184, 2)</f>
        <v/>
      </c>
      <c r="L184">
        <f>K184-H184</f>
        <v/>
      </c>
    </row>
    <row r="185">
      <c r="A185" t="inlineStr">
        <is>
          <t>EW-0708</t>
        </is>
      </c>
      <c r="B185" t="inlineStr">
        <is>
          <t>Jessica Fitzgerald</t>
        </is>
      </c>
      <c r="C185" t="inlineStr">
        <is>
          <t>Eastwey</t>
        </is>
      </c>
      <c r="D185" t="inlineStr">
        <is>
          <t>OPEN</t>
        </is>
      </c>
      <c r="E185" t="n">
        <v>44.2</v>
      </c>
      <c r="F185" t="n">
        <v>50</v>
      </c>
      <c r="G185" t="n">
        <v>7.55</v>
      </c>
      <c r="H185" t="n">
        <v>377.5</v>
      </c>
      <c r="I185">
        <f>ROUNDUP(E185, 0)</f>
        <v/>
      </c>
      <c r="J185">
        <f>IF(D185="COVERED", 10.40, 7.55)</f>
        <v/>
      </c>
      <c r="K185">
        <f>ROUND(I185*J185, 2)</f>
        <v/>
      </c>
      <c r="L185">
        <f>K185-H185</f>
        <v/>
      </c>
    </row>
    <row r="186">
      <c r="A186" t="inlineStr">
        <is>
          <t>EW-0709</t>
        </is>
      </c>
      <c r="B186" t="inlineStr">
        <is>
          <t>Dana Walker</t>
        </is>
      </c>
      <c r="C186" t="inlineStr">
        <is>
          <t>Eastwey</t>
        </is>
      </c>
      <c r="D186" t="inlineStr">
        <is>
          <t>OPEN</t>
        </is>
      </c>
      <c r="E186" t="n">
        <v>23.6</v>
      </c>
      <c r="F186" t="n">
        <v>28</v>
      </c>
      <c r="G186" t="n">
        <v>7.55</v>
      </c>
      <c r="H186" t="n">
        <v>211.4</v>
      </c>
      <c r="I186">
        <f>ROUNDUP(E186, 0)</f>
        <v/>
      </c>
      <c r="J186">
        <f>IF(D186="COVERED", 10.40, 7.55)</f>
        <v/>
      </c>
      <c r="K186">
        <f>ROUND(I186*J186, 2)</f>
        <v/>
      </c>
      <c r="L186">
        <f>K186-H186</f>
        <v/>
      </c>
    </row>
    <row r="187">
      <c r="A187" t="inlineStr">
        <is>
          <t>EW-0716</t>
        </is>
      </c>
      <c r="B187" t="inlineStr">
        <is>
          <t>Joseph Rogers</t>
        </is>
      </c>
      <c r="C187" t="inlineStr">
        <is>
          <t>Eastwey</t>
        </is>
      </c>
      <c r="D187" t="inlineStr">
        <is>
          <t>OPEN</t>
        </is>
      </c>
      <c r="E187" t="n">
        <v>21.9</v>
      </c>
      <c r="F187" t="n">
        <v>28</v>
      </c>
      <c r="G187" t="n">
        <v>7.55</v>
      </c>
      <c r="H187" t="n">
        <v>211.4</v>
      </c>
      <c r="I187">
        <f>ROUNDUP(E187, 0)</f>
        <v/>
      </c>
      <c r="J187">
        <f>IF(D187="COVERED", 10.40, 7.55)</f>
        <v/>
      </c>
      <c r="K187">
        <f>ROUND(I187*J187, 2)</f>
        <v/>
      </c>
      <c r="L187">
        <f>K187-H187</f>
        <v/>
      </c>
    </row>
    <row r="188">
      <c r="A188" t="inlineStr">
        <is>
          <t>EW-0718</t>
        </is>
      </c>
      <c r="B188" t="inlineStr">
        <is>
          <t>Jesus Rice</t>
        </is>
      </c>
      <c r="C188" t="inlineStr">
        <is>
          <t>Eastwey</t>
        </is>
      </c>
      <c r="D188" t="inlineStr">
        <is>
          <t>OPEN</t>
        </is>
      </c>
      <c r="E188" t="n">
        <v>35.8</v>
      </c>
      <c r="F188" t="n">
        <v>60</v>
      </c>
      <c r="G188" t="n">
        <v>7.55</v>
      </c>
      <c r="H188" t="n">
        <v>453</v>
      </c>
      <c r="I188">
        <f>ROUNDUP(E188, 0)</f>
        <v/>
      </c>
      <c r="J188">
        <f>IF(D188="COVERED", 10.40, 7.55)</f>
        <v/>
      </c>
      <c r="K188">
        <f>ROUND(I188*J188, 2)</f>
        <v/>
      </c>
      <c r="L188">
        <f>K188-H188</f>
        <v/>
      </c>
    </row>
    <row r="189">
      <c r="A189" t="inlineStr">
        <is>
          <t>EW-0720</t>
        </is>
      </c>
      <c r="B189" t="inlineStr">
        <is>
          <t>Amy Flores</t>
        </is>
      </c>
      <c r="C189" t="inlineStr">
        <is>
          <t>Eastwey</t>
        </is>
      </c>
      <c r="D189" t="inlineStr">
        <is>
          <t>OPEN</t>
        </is>
      </c>
      <c r="E189" t="n">
        <v>29.3</v>
      </c>
      <c r="F189" t="n">
        <v>40</v>
      </c>
      <c r="G189" t="n">
        <v>7.55</v>
      </c>
      <c r="H189" t="n">
        <v>302</v>
      </c>
      <c r="I189">
        <f>ROUNDUP(E189, 0)</f>
        <v/>
      </c>
      <c r="J189">
        <f>IF(D189="COVERED", 10.40, 7.55)</f>
        <v/>
      </c>
      <c r="K189">
        <f>ROUND(I189*J189, 2)</f>
        <v/>
      </c>
      <c r="L189">
        <f>K189-H189</f>
        <v/>
      </c>
    </row>
    <row r="190">
      <c r="A190" t="inlineStr">
        <is>
          <t>EW-0724</t>
        </is>
      </c>
      <c r="B190" t="inlineStr">
        <is>
          <t>Caitlin Howard</t>
        </is>
      </c>
      <c r="C190" t="inlineStr">
        <is>
          <t>Eastwey</t>
        </is>
      </c>
      <c r="D190" t="inlineStr">
        <is>
          <t>OPEN</t>
        </is>
      </c>
      <c r="E190" t="n">
        <v>35.8</v>
      </c>
      <c r="F190" t="n">
        <v>70</v>
      </c>
      <c r="G190" t="n">
        <v>7.55</v>
      </c>
      <c r="H190" t="n">
        <v>528.5</v>
      </c>
      <c r="I190">
        <f>ROUNDUP(E190, 0)</f>
        <v/>
      </c>
      <c r="J190">
        <f>IF(D190="COVERED", 10.40, 7.55)</f>
        <v/>
      </c>
      <c r="K190">
        <f>ROUND(I190*J190, 2)</f>
        <v/>
      </c>
      <c r="L190">
        <f>K190-H190</f>
        <v/>
      </c>
    </row>
    <row r="191">
      <c r="A191" t="inlineStr">
        <is>
          <t>EW-0801</t>
        </is>
      </c>
      <c r="B191" t="inlineStr">
        <is>
          <t>James Cox</t>
        </is>
      </c>
      <c r="C191" t="inlineStr">
        <is>
          <t>Eastwey</t>
        </is>
      </c>
      <c r="D191" t="inlineStr">
        <is>
          <t>OPEN</t>
        </is>
      </c>
      <c r="E191" t="n">
        <v>22.3</v>
      </c>
      <c r="F191" t="n">
        <v>45</v>
      </c>
      <c r="G191" t="n">
        <v>7.55</v>
      </c>
      <c r="H191" t="n">
        <v>339.75</v>
      </c>
      <c r="I191">
        <f>ROUNDUP(E191, 0)</f>
        <v/>
      </c>
      <c r="J191">
        <f>IF(D191="COVERED", 10.40, 7.55)</f>
        <v/>
      </c>
      <c r="K191">
        <f>ROUND(I191*J191, 2)</f>
        <v/>
      </c>
      <c r="L191">
        <f>K191-H191</f>
        <v/>
      </c>
    </row>
    <row r="192">
      <c r="A192" t="inlineStr">
        <is>
          <t>EW-0802</t>
        </is>
      </c>
      <c r="B192" t="inlineStr">
        <is>
          <t>Carmen Maldonado</t>
        </is>
      </c>
      <c r="C192" t="inlineStr">
        <is>
          <t>Eastwey</t>
        </is>
      </c>
      <c r="D192" t="inlineStr">
        <is>
          <t>OPEN</t>
        </is>
      </c>
      <c r="E192" t="n">
        <v>53.3</v>
      </c>
      <c r="F192" t="n">
        <v>70</v>
      </c>
      <c r="G192" t="n">
        <v>7.55</v>
      </c>
      <c r="H192" t="n">
        <v>528.5</v>
      </c>
      <c r="I192">
        <f>ROUNDUP(E192, 0)</f>
        <v/>
      </c>
      <c r="J192">
        <f>IF(D192="COVERED", 10.40, 7.55)</f>
        <v/>
      </c>
      <c r="K192">
        <f>ROUND(I192*J192, 2)</f>
        <v/>
      </c>
      <c r="L192">
        <f>K192-H192</f>
        <v/>
      </c>
    </row>
    <row r="193">
      <c r="A193" t="inlineStr">
        <is>
          <t>EW-0804</t>
        </is>
      </c>
      <c r="B193" t="inlineStr">
        <is>
          <t>Seth Stone</t>
        </is>
      </c>
      <c r="C193" t="inlineStr">
        <is>
          <t>Eastwey</t>
        </is>
      </c>
      <c r="D193" t="inlineStr">
        <is>
          <t>OPEN</t>
        </is>
      </c>
      <c r="E193" t="n">
        <v>22.4</v>
      </c>
      <c r="F193" t="n">
        <v>32</v>
      </c>
      <c r="G193" t="n">
        <v>7.55</v>
      </c>
      <c r="H193" t="n">
        <v>241.6</v>
      </c>
      <c r="I193">
        <f>ROUNDUP(E193, 0)</f>
        <v/>
      </c>
      <c r="J193">
        <f>IF(D193="COVERED", 10.40, 7.55)</f>
        <v/>
      </c>
      <c r="K193">
        <f>ROUND(I193*J193, 2)</f>
        <v/>
      </c>
      <c r="L193">
        <f>K193-H193</f>
        <v/>
      </c>
    </row>
    <row r="194">
      <c r="A194" t="inlineStr">
        <is>
          <t>EW-0806</t>
        </is>
      </c>
      <c r="B194" t="inlineStr">
        <is>
          <t>Crystal Austin</t>
        </is>
      </c>
      <c r="C194" t="inlineStr">
        <is>
          <t>Eastwey</t>
        </is>
      </c>
      <c r="D194" t="inlineStr">
        <is>
          <t>OPEN</t>
        </is>
      </c>
      <c r="E194" t="n">
        <v>33.5</v>
      </c>
      <c r="F194" t="n">
        <v>36</v>
      </c>
      <c r="G194" t="n">
        <v>7.55</v>
      </c>
      <c r="H194" t="n">
        <v>271.8</v>
      </c>
      <c r="I194">
        <f>ROUNDUP(E194, 0)</f>
        <v/>
      </c>
      <c r="J194">
        <f>IF(D194="COVERED", 10.40, 7.55)</f>
        <v/>
      </c>
      <c r="K194">
        <f>ROUND(I194*J194, 2)</f>
        <v/>
      </c>
      <c r="L194">
        <f>K194-H194</f>
        <v/>
      </c>
    </row>
    <row r="195">
      <c r="A195" t="inlineStr">
        <is>
          <t>EW-0808</t>
        </is>
      </c>
      <c r="B195" t="inlineStr">
        <is>
          <t>Catherine Martinez</t>
        </is>
      </c>
      <c r="C195" t="inlineStr">
        <is>
          <t>Eastwey</t>
        </is>
      </c>
      <c r="D195" t="inlineStr">
        <is>
          <t>OPEN</t>
        </is>
      </c>
      <c r="E195" t="n">
        <v>49.7</v>
      </c>
      <c r="F195" t="n">
        <v>80</v>
      </c>
      <c r="G195" t="n">
        <v>7.55</v>
      </c>
      <c r="H195" t="n">
        <v>604</v>
      </c>
      <c r="I195">
        <f>ROUNDUP(E195, 0)</f>
        <v/>
      </c>
      <c r="J195">
        <f>IF(D195="COVERED", 10.40, 7.55)</f>
        <v/>
      </c>
      <c r="K195">
        <f>ROUND(I195*J195, 2)</f>
        <v/>
      </c>
      <c r="L195">
        <f>K195-H195</f>
        <v/>
      </c>
    </row>
    <row r="196">
      <c r="A196" t="inlineStr">
        <is>
          <t>EW-0809</t>
        </is>
      </c>
      <c r="B196" t="inlineStr">
        <is>
          <t>Cheryl Wood</t>
        </is>
      </c>
      <c r="C196" t="inlineStr">
        <is>
          <t>Eastwey</t>
        </is>
      </c>
      <c r="D196" t="inlineStr">
        <is>
          <t>OPEN</t>
        </is>
      </c>
      <c r="E196" t="n">
        <v>58.3</v>
      </c>
      <c r="F196" t="n">
        <v>70</v>
      </c>
      <c r="G196" t="n">
        <v>7.55</v>
      </c>
      <c r="H196" t="n">
        <v>528.5</v>
      </c>
      <c r="I196">
        <f>ROUNDUP(E196, 0)</f>
        <v/>
      </c>
      <c r="J196">
        <f>IF(D196="COVERED", 10.40, 7.55)</f>
        <v/>
      </c>
      <c r="K196">
        <f>ROUND(I196*J196, 2)</f>
        <v/>
      </c>
      <c r="L196">
        <f>K196-H196</f>
        <v/>
      </c>
    </row>
    <row r="197">
      <c r="A197" t="inlineStr">
        <is>
          <t>EW-0810</t>
        </is>
      </c>
      <c r="B197" t="inlineStr">
        <is>
          <t>Jorge Donovan</t>
        </is>
      </c>
      <c r="C197" t="inlineStr">
        <is>
          <t>Eastwey</t>
        </is>
      </c>
      <c r="D197" t="inlineStr">
        <is>
          <t>OPEN</t>
        </is>
      </c>
      <c r="E197" t="n">
        <v>26.3</v>
      </c>
      <c r="F197" t="n">
        <v>28</v>
      </c>
      <c r="G197" t="n">
        <v>7.55</v>
      </c>
      <c r="H197" t="n">
        <v>211.4</v>
      </c>
      <c r="I197">
        <f>ROUNDUP(E197, 0)</f>
        <v/>
      </c>
      <c r="J197">
        <f>IF(D197="COVERED", 10.40, 7.55)</f>
        <v/>
      </c>
      <c r="K197">
        <f>ROUND(I197*J197, 2)</f>
        <v/>
      </c>
      <c r="L197">
        <f>K197-H197</f>
        <v/>
      </c>
    </row>
    <row r="198">
      <c r="A198" t="inlineStr">
        <is>
          <t>EW-0811</t>
        </is>
      </c>
      <c r="B198" t="inlineStr">
        <is>
          <t>Catherine Anderson</t>
        </is>
      </c>
      <c r="C198" t="inlineStr">
        <is>
          <t>Eastwey</t>
        </is>
      </c>
      <c r="D198" t="inlineStr">
        <is>
          <t>OPEN</t>
        </is>
      </c>
      <c r="E198" t="n">
        <v>61</v>
      </c>
      <c r="F198" t="n">
        <v>70</v>
      </c>
      <c r="G198" t="n">
        <v>7.55</v>
      </c>
      <c r="H198" t="n">
        <v>528.5</v>
      </c>
      <c r="I198">
        <f>ROUNDUP(E198, 0)</f>
        <v/>
      </c>
      <c r="J198">
        <f>IF(D198="COVERED", 10.40, 7.55)</f>
        <v/>
      </c>
      <c r="K198">
        <f>ROUND(I198*J198, 2)</f>
        <v/>
      </c>
      <c r="L198">
        <f>K198-H198</f>
        <v/>
      </c>
    </row>
    <row r="199">
      <c r="A199" t="inlineStr">
        <is>
          <t>EW-0812</t>
        </is>
      </c>
      <c r="B199" t="inlineStr">
        <is>
          <t>Tracy Page</t>
        </is>
      </c>
      <c r="C199" t="inlineStr">
        <is>
          <t>Eastwey</t>
        </is>
      </c>
      <c r="D199" t="inlineStr">
        <is>
          <t>OPEN</t>
        </is>
      </c>
      <c r="E199" t="n">
        <v>26.4</v>
      </c>
      <c r="F199" t="n">
        <v>28</v>
      </c>
      <c r="G199" t="n">
        <v>7.55</v>
      </c>
      <c r="H199" t="n">
        <v>211.4</v>
      </c>
      <c r="I199">
        <f>ROUNDUP(E199, 0)</f>
        <v/>
      </c>
      <c r="J199">
        <f>IF(D199="COVERED", 10.40, 7.55)</f>
        <v/>
      </c>
      <c r="K199">
        <f>ROUND(I199*J199, 2)</f>
        <v/>
      </c>
      <c r="L199">
        <f>K199-H199</f>
        <v/>
      </c>
    </row>
    <row r="200">
      <c r="A200" t="inlineStr">
        <is>
          <t>EW-0814</t>
        </is>
      </c>
      <c r="B200" t="inlineStr">
        <is>
          <t>Ross Erickson</t>
        </is>
      </c>
      <c r="C200" t="inlineStr">
        <is>
          <t>Eastwey</t>
        </is>
      </c>
      <c r="D200" t="inlineStr">
        <is>
          <t>OPEN</t>
        </is>
      </c>
      <c r="E200" t="n">
        <v>30.1</v>
      </c>
      <c r="F200" t="n">
        <v>40</v>
      </c>
      <c r="G200" t="n">
        <v>7.55</v>
      </c>
      <c r="H200" t="n">
        <v>302</v>
      </c>
      <c r="I200">
        <f>ROUNDUP(E200, 0)</f>
        <v/>
      </c>
      <c r="J200">
        <f>IF(D200="COVERED", 10.40, 7.55)</f>
        <v/>
      </c>
      <c r="K200">
        <f>ROUND(I200*J200, 2)</f>
        <v/>
      </c>
      <c r="L200">
        <f>K200-H200</f>
        <v/>
      </c>
    </row>
    <row r="201">
      <c r="A201" t="inlineStr">
        <is>
          <t>EW-0815</t>
        </is>
      </c>
      <c r="B201" t="inlineStr">
        <is>
          <t>Daniel Bowen</t>
        </is>
      </c>
      <c r="C201" t="inlineStr">
        <is>
          <t>Eastwey</t>
        </is>
      </c>
      <c r="D201" t="inlineStr">
        <is>
          <t>OPEN</t>
        </is>
      </c>
      <c r="E201" t="n">
        <v>41.7</v>
      </c>
      <c r="F201" t="n">
        <v>50</v>
      </c>
      <c r="G201" t="n">
        <v>7.55</v>
      </c>
      <c r="H201" t="n">
        <v>377.5</v>
      </c>
      <c r="I201">
        <f>ROUNDUP(E201, 0)</f>
        <v/>
      </c>
      <c r="J201">
        <f>IF(D201="COVERED", 10.40, 7.55)</f>
        <v/>
      </c>
      <c r="K201">
        <f>ROUND(I201*J201, 2)</f>
        <v/>
      </c>
      <c r="L201">
        <f>K201-H201</f>
        <v/>
      </c>
    </row>
    <row r="202">
      <c r="A202" t="inlineStr">
        <is>
          <t>EW-0816</t>
        </is>
      </c>
      <c r="B202" t="inlineStr">
        <is>
          <t>Marcus Yee</t>
        </is>
      </c>
      <c r="C202" t="inlineStr">
        <is>
          <t>Eastwey</t>
        </is>
      </c>
      <c r="D202" t="inlineStr">
        <is>
          <t>OPEN</t>
        </is>
      </c>
      <c r="E202" t="n">
        <v>39.4</v>
      </c>
      <c r="F202" t="n">
        <v>80</v>
      </c>
      <c r="G202" t="n">
        <v>7.55</v>
      </c>
      <c r="H202" t="n">
        <v>604</v>
      </c>
      <c r="I202">
        <f>ROUNDUP(E202, 0)</f>
        <v/>
      </c>
      <c r="J202">
        <f>IF(D202="COVERED", 10.40, 7.55)</f>
        <v/>
      </c>
      <c r="K202">
        <f>ROUND(I202*J202, 2)</f>
        <v/>
      </c>
      <c r="L202">
        <f>K202-H202</f>
        <v/>
      </c>
    </row>
    <row r="203">
      <c r="A203" t="inlineStr">
        <is>
          <t>EW-0821</t>
        </is>
      </c>
      <c r="B203" t="inlineStr">
        <is>
          <t>Rose Morales</t>
        </is>
      </c>
      <c r="C203" t="inlineStr">
        <is>
          <t>Eastwey</t>
        </is>
      </c>
      <c r="D203" t="inlineStr">
        <is>
          <t>OPEN</t>
        </is>
      </c>
      <c r="E203" t="n">
        <v>28.5</v>
      </c>
      <c r="F203" t="n">
        <v>40</v>
      </c>
      <c r="G203" t="n">
        <v>7.55</v>
      </c>
      <c r="H203" t="n">
        <v>302</v>
      </c>
      <c r="I203">
        <f>ROUNDUP(E203, 0)</f>
        <v/>
      </c>
      <c r="J203">
        <f>IF(D203="COVERED", 10.40, 7.55)</f>
        <v/>
      </c>
      <c r="K203">
        <f>ROUND(I203*J203, 2)</f>
        <v/>
      </c>
      <c r="L203">
        <f>K203-H203</f>
        <v/>
      </c>
    </row>
    <row r="204">
      <c r="A204" t="inlineStr">
        <is>
          <t>EW-0822</t>
        </is>
      </c>
      <c r="B204" t="inlineStr">
        <is>
          <t>Timothy Robinson</t>
        </is>
      </c>
      <c r="C204" t="inlineStr">
        <is>
          <t>Eastwey</t>
        </is>
      </c>
      <c r="D204" t="inlineStr">
        <is>
          <t>OPEN</t>
        </is>
      </c>
      <c r="E204" t="n">
        <v>49.9</v>
      </c>
      <c r="F204" t="n">
        <v>60</v>
      </c>
      <c r="G204" t="n">
        <v>7.55</v>
      </c>
      <c r="H204" t="n">
        <v>453</v>
      </c>
      <c r="I204">
        <f>ROUNDUP(E204, 0)</f>
        <v/>
      </c>
      <c r="J204">
        <f>IF(D204="COVERED", 10.40, 7.55)</f>
        <v/>
      </c>
      <c r="K204">
        <f>ROUND(I204*J204, 2)</f>
        <v/>
      </c>
      <c r="L204">
        <f>K204-H204</f>
        <v/>
      </c>
    </row>
    <row r="205">
      <c r="A205" t="inlineStr">
        <is>
          <t>EW-0902</t>
        </is>
      </c>
      <c r="B205" t="inlineStr">
        <is>
          <t>John Patel</t>
        </is>
      </c>
      <c r="C205" t="inlineStr">
        <is>
          <t>Eastwey</t>
        </is>
      </c>
      <c r="D205" t="inlineStr">
        <is>
          <t>OPEN</t>
        </is>
      </c>
      <c r="E205" t="n">
        <v>46.8</v>
      </c>
      <c r="F205" t="n">
        <v>80</v>
      </c>
      <c r="G205" t="n">
        <v>7.55</v>
      </c>
      <c r="H205" t="n">
        <v>604</v>
      </c>
      <c r="I205">
        <f>ROUNDUP(E205, 0)</f>
        <v/>
      </c>
      <c r="J205">
        <f>IF(D205="COVERED", 10.40, 7.55)</f>
        <v/>
      </c>
      <c r="K205">
        <f>ROUND(I205*J205, 2)</f>
        <v/>
      </c>
      <c r="L205">
        <f>K205-H205</f>
        <v/>
      </c>
    </row>
    <row r="206">
      <c r="A206" t="inlineStr">
        <is>
          <t>EW-0904</t>
        </is>
      </c>
      <c r="B206" t="inlineStr">
        <is>
          <t>Seth Smith</t>
        </is>
      </c>
      <c r="C206" t="inlineStr">
        <is>
          <t>Eastwey</t>
        </is>
      </c>
      <c r="D206" t="inlineStr">
        <is>
          <t>OPEN</t>
        </is>
      </c>
      <c r="E206" t="n">
        <v>38.3</v>
      </c>
      <c r="F206" t="n">
        <v>45</v>
      </c>
      <c r="G206" t="n">
        <v>7.55</v>
      </c>
      <c r="H206" t="n">
        <v>339.75</v>
      </c>
      <c r="I206">
        <f>ROUNDUP(E206, 0)</f>
        <v/>
      </c>
      <c r="J206">
        <f>IF(D206="COVERED", 10.40, 7.55)</f>
        <v/>
      </c>
      <c r="K206">
        <f>ROUND(I206*J206, 2)</f>
        <v/>
      </c>
      <c r="L206">
        <f>K206-H206</f>
        <v/>
      </c>
    </row>
    <row r="207">
      <c r="A207" t="inlineStr">
        <is>
          <t>EW-0906</t>
        </is>
      </c>
      <c r="B207" t="inlineStr">
        <is>
          <t>Ivan Webster</t>
        </is>
      </c>
      <c r="C207" t="inlineStr">
        <is>
          <t>Eastwey</t>
        </is>
      </c>
      <c r="D207" t="inlineStr">
        <is>
          <t>OPEN</t>
        </is>
      </c>
      <c r="E207" t="n">
        <v>58.9</v>
      </c>
      <c r="F207" t="n">
        <v>80</v>
      </c>
      <c r="G207" t="n">
        <v>7.55</v>
      </c>
      <c r="H207" t="n">
        <v>604</v>
      </c>
      <c r="I207">
        <f>ROUNDUP(E207, 0)</f>
        <v/>
      </c>
      <c r="J207">
        <f>IF(D207="COVERED", 10.40, 7.55)</f>
        <v/>
      </c>
      <c r="K207">
        <f>ROUND(I207*J207, 2)</f>
        <v/>
      </c>
      <c r="L207">
        <f>K207-H207</f>
        <v/>
      </c>
    </row>
    <row r="208">
      <c r="A208" t="inlineStr">
        <is>
          <t>EW-0908</t>
        </is>
      </c>
      <c r="B208" t="inlineStr">
        <is>
          <t>Travis Long</t>
        </is>
      </c>
      <c r="C208" t="inlineStr">
        <is>
          <t>Eastwey</t>
        </is>
      </c>
      <c r="D208" t="inlineStr">
        <is>
          <t>OPEN</t>
        </is>
      </c>
      <c r="E208" t="n">
        <v>34.8</v>
      </c>
      <c r="F208" t="n">
        <v>40</v>
      </c>
      <c r="G208" t="n">
        <v>7.55</v>
      </c>
      <c r="H208" t="n">
        <v>302</v>
      </c>
      <c r="I208">
        <f>ROUNDUP(E208, 0)</f>
        <v/>
      </c>
      <c r="J208">
        <f>IF(D208="COVERED", 10.40, 7.55)</f>
        <v/>
      </c>
      <c r="K208">
        <f>ROUND(I208*J208, 2)</f>
        <v/>
      </c>
      <c r="L208">
        <f>K208-H208</f>
        <v/>
      </c>
    </row>
    <row r="209">
      <c r="A209" t="inlineStr">
        <is>
          <t>EW-0909</t>
        </is>
      </c>
      <c r="B209" t="inlineStr">
        <is>
          <t>Tanya Woods</t>
        </is>
      </c>
      <c r="C209" t="inlineStr">
        <is>
          <t>Eastwey</t>
        </is>
      </c>
      <c r="D209" t="inlineStr">
        <is>
          <t>OPEN</t>
        </is>
      </c>
      <c r="E209" t="n">
        <v>24.6</v>
      </c>
      <c r="F209" t="n">
        <v>45</v>
      </c>
      <c r="G209" t="n">
        <v>7.55</v>
      </c>
      <c r="H209" t="n">
        <v>339.75</v>
      </c>
      <c r="I209">
        <f>ROUNDUP(E209, 0)</f>
        <v/>
      </c>
      <c r="J209">
        <f>IF(D209="COVERED", 10.40, 7.55)</f>
        <v/>
      </c>
      <c r="K209">
        <f>ROUND(I209*J209, 2)</f>
        <v/>
      </c>
      <c r="L209">
        <f>K209-H209</f>
        <v/>
      </c>
    </row>
    <row r="210">
      <c r="A210" t="inlineStr">
        <is>
          <t>EW-0910</t>
        </is>
      </c>
      <c r="B210" t="inlineStr">
        <is>
          <t>Darrell Hall</t>
        </is>
      </c>
      <c r="C210" t="inlineStr">
        <is>
          <t>Eastwey</t>
        </is>
      </c>
      <c r="D210" t="inlineStr">
        <is>
          <t>OPEN</t>
        </is>
      </c>
      <c r="E210" t="n">
        <v>53.7</v>
      </c>
      <c r="F210" t="n">
        <v>70</v>
      </c>
      <c r="G210" t="n">
        <v>7.55</v>
      </c>
      <c r="H210" t="n">
        <v>528.5</v>
      </c>
      <c r="I210">
        <f>ROUNDUP(E210, 0)</f>
        <v/>
      </c>
      <c r="J210">
        <f>IF(D210="COVERED", 10.40, 7.55)</f>
        <v/>
      </c>
      <c r="K210">
        <f>ROUND(I210*J210, 2)</f>
        <v/>
      </c>
      <c r="L210">
        <f>K210-H210</f>
        <v/>
      </c>
    </row>
    <row r="211">
      <c r="A211" t="inlineStr">
        <is>
          <t>EW-0911</t>
        </is>
      </c>
      <c r="B211" t="inlineStr">
        <is>
          <t>Bailey Barnes</t>
        </is>
      </c>
      <c r="C211" t="inlineStr">
        <is>
          <t>Eastwey</t>
        </is>
      </c>
      <c r="D211" t="inlineStr">
        <is>
          <t>OPEN</t>
        </is>
      </c>
      <c r="E211" t="n">
        <v>24</v>
      </c>
      <c r="F211" t="n">
        <v>60</v>
      </c>
      <c r="G211" t="n">
        <v>7.55</v>
      </c>
      <c r="H211" t="n">
        <v>453</v>
      </c>
      <c r="I211">
        <f>ROUNDUP(E211, 0)</f>
        <v/>
      </c>
      <c r="J211">
        <f>IF(D211="COVERED", 10.40, 7.55)</f>
        <v/>
      </c>
      <c r="K211">
        <f>ROUND(I211*J211, 2)</f>
        <v/>
      </c>
      <c r="L211">
        <f>K211-H211</f>
        <v/>
      </c>
    </row>
    <row r="212">
      <c r="A212" t="inlineStr">
        <is>
          <t>EW-0912</t>
        </is>
      </c>
      <c r="B212" t="inlineStr">
        <is>
          <t>Tara Davis</t>
        </is>
      </c>
      <c r="C212" t="inlineStr">
        <is>
          <t>Eastwey</t>
        </is>
      </c>
      <c r="D212" t="inlineStr">
        <is>
          <t>OPEN</t>
        </is>
      </c>
      <c r="E212" t="n">
        <v>47.4</v>
      </c>
      <c r="F212" t="n">
        <v>70</v>
      </c>
      <c r="G212" t="n">
        <v>7.55</v>
      </c>
      <c r="H212" t="n">
        <v>528.5</v>
      </c>
      <c r="I212">
        <f>ROUNDUP(E212, 0)</f>
        <v/>
      </c>
      <c r="J212">
        <f>IF(D212="COVERED", 10.40, 7.55)</f>
        <v/>
      </c>
      <c r="K212">
        <f>ROUND(I212*J212, 2)</f>
        <v/>
      </c>
      <c r="L212">
        <f>K212-H212</f>
        <v/>
      </c>
    </row>
    <row r="213">
      <c r="A213" t="inlineStr">
        <is>
          <t>EW-0914</t>
        </is>
      </c>
      <c r="B213" t="inlineStr">
        <is>
          <t>Jennifer Scott</t>
        </is>
      </c>
      <c r="C213" t="inlineStr">
        <is>
          <t>Eastwey</t>
        </is>
      </c>
      <c r="D213" t="inlineStr">
        <is>
          <t>OPEN</t>
        </is>
      </c>
      <c r="E213" t="n">
        <v>25.3</v>
      </c>
      <c r="F213" t="n">
        <v>28</v>
      </c>
      <c r="G213" t="n">
        <v>7.55</v>
      </c>
      <c r="H213" t="n">
        <v>211.4</v>
      </c>
      <c r="I213">
        <f>ROUNDUP(E213, 0)</f>
        <v/>
      </c>
      <c r="J213">
        <f>IF(D213="COVERED", 10.40, 7.55)</f>
        <v/>
      </c>
      <c r="K213">
        <f>ROUND(I213*J213, 2)</f>
        <v/>
      </c>
      <c r="L213">
        <f>K213-H213</f>
        <v/>
      </c>
    </row>
    <row r="214">
      <c r="A214" t="inlineStr">
        <is>
          <t>EW-0922</t>
        </is>
      </c>
      <c r="B214" t="inlineStr">
        <is>
          <t>Ricardo Jensen</t>
        </is>
      </c>
      <c r="C214" t="inlineStr">
        <is>
          <t>Eastwey</t>
        </is>
      </c>
      <c r="D214" t="inlineStr">
        <is>
          <t>OPEN</t>
        </is>
      </c>
      <c r="E214" t="n">
        <v>26.2</v>
      </c>
      <c r="F214" t="n">
        <v>28</v>
      </c>
      <c r="G214" t="n">
        <v>7.55</v>
      </c>
      <c r="H214" t="n">
        <v>211.4</v>
      </c>
      <c r="I214">
        <f>ROUNDUP(E214, 0)</f>
        <v/>
      </c>
      <c r="J214">
        <f>IF(D214="COVERED", 10.40, 7.55)</f>
        <v/>
      </c>
      <c r="K214">
        <f>ROUND(I214*J214, 2)</f>
        <v/>
      </c>
      <c r="L214">
        <f>K214-H214</f>
        <v/>
      </c>
    </row>
    <row r="215">
      <c r="A215" t="inlineStr">
        <is>
          <t>EW-1002</t>
        </is>
      </c>
      <c r="B215" t="inlineStr">
        <is>
          <t>Jerry Reyes</t>
        </is>
      </c>
      <c r="C215" t="inlineStr">
        <is>
          <t>Eastwey</t>
        </is>
      </c>
      <c r="D215" t="inlineStr">
        <is>
          <t>OPEN</t>
        </is>
      </c>
      <c r="E215" t="n">
        <v>26.7</v>
      </c>
      <c r="F215" t="n">
        <v>28</v>
      </c>
      <c r="G215" t="n">
        <v>7.55</v>
      </c>
      <c r="H215" t="n">
        <v>211.4</v>
      </c>
      <c r="I215">
        <f>ROUNDUP(E215, 0)</f>
        <v/>
      </c>
      <c r="J215">
        <f>IF(D215="COVERED", 10.40, 7.55)</f>
        <v/>
      </c>
      <c r="K215">
        <f>ROUND(I215*J215, 2)</f>
        <v/>
      </c>
      <c r="L215">
        <f>K215-H215</f>
        <v/>
      </c>
    </row>
    <row r="216">
      <c r="A216" t="inlineStr">
        <is>
          <t>EW-1003</t>
        </is>
      </c>
      <c r="B216" t="inlineStr">
        <is>
          <t>Anthony Kemp</t>
        </is>
      </c>
      <c r="C216" t="inlineStr">
        <is>
          <t>Eastwey</t>
        </is>
      </c>
      <c r="D216" t="inlineStr">
        <is>
          <t>OPEN</t>
        </is>
      </c>
      <c r="E216" t="n">
        <v>34.4</v>
      </c>
      <c r="F216" t="n">
        <v>40</v>
      </c>
      <c r="G216" t="n">
        <v>7.55</v>
      </c>
      <c r="H216" t="n">
        <v>302</v>
      </c>
      <c r="I216">
        <f>ROUNDUP(E216, 0)</f>
        <v/>
      </c>
      <c r="J216">
        <f>IF(D216="COVERED", 10.40, 7.55)</f>
        <v/>
      </c>
      <c r="K216">
        <f>ROUND(I216*J216, 2)</f>
        <v/>
      </c>
      <c r="L216">
        <f>K216-H216</f>
        <v/>
      </c>
    </row>
    <row r="217">
      <c r="A217" t="inlineStr">
        <is>
          <t>EW-1005</t>
        </is>
      </c>
      <c r="B217" t="inlineStr">
        <is>
          <t>Steven Hanson</t>
        </is>
      </c>
      <c r="C217" t="inlineStr">
        <is>
          <t>Eastwey</t>
        </is>
      </c>
      <c r="D217" t="inlineStr">
        <is>
          <t>OPEN</t>
        </is>
      </c>
      <c r="E217" t="n">
        <v>26.5</v>
      </c>
      <c r="F217" t="n">
        <v>32</v>
      </c>
      <c r="G217" t="n">
        <v>7.55</v>
      </c>
      <c r="H217" t="n">
        <v>241.6</v>
      </c>
      <c r="I217">
        <f>ROUNDUP(E217, 0)</f>
        <v/>
      </c>
      <c r="J217">
        <f>IF(D217="COVERED", 10.40, 7.55)</f>
        <v/>
      </c>
      <c r="K217">
        <f>ROUND(I217*J217, 2)</f>
        <v/>
      </c>
      <c r="L217">
        <f>K217-H217</f>
        <v/>
      </c>
    </row>
    <row r="218">
      <c r="A218" t="inlineStr">
        <is>
          <t>EW-1008</t>
        </is>
      </c>
      <c r="B218" t="inlineStr">
        <is>
          <t>Grant Cameron</t>
        </is>
      </c>
      <c r="C218" t="inlineStr">
        <is>
          <t>Eastwey</t>
        </is>
      </c>
      <c r="D218" t="inlineStr">
        <is>
          <t>OPEN</t>
        </is>
      </c>
      <c r="E218" t="n">
        <v>19.8</v>
      </c>
      <c r="F218" t="n">
        <v>50</v>
      </c>
      <c r="G218" t="n">
        <v>7.55</v>
      </c>
      <c r="H218" t="n">
        <v>377.5</v>
      </c>
      <c r="I218">
        <f>ROUNDUP(E218, 0)</f>
        <v/>
      </c>
      <c r="J218">
        <f>IF(D218="COVERED", 10.40, 7.55)</f>
        <v/>
      </c>
      <c r="K218">
        <f>ROUND(I218*J218, 2)</f>
        <v/>
      </c>
      <c r="L218">
        <f>K218-H218</f>
        <v/>
      </c>
    </row>
    <row r="219">
      <c r="A219" t="inlineStr">
        <is>
          <t>EW-1013</t>
        </is>
      </c>
      <c r="B219" t="inlineStr">
        <is>
          <t>Karen Matthews</t>
        </is>
      </c>
      <c r="C219" t="inlineStr">
        <is>
          <t>Eastwey</t>
        </is>
      </c>
      <c r="D219" t="inlineStr">
        <is>
          <t>OPEN</t>
        </is>
      </c>
      <c r="E219" t="n">
        <v>21.2</v>
      </c>
      <c r="F219" t="n">
        <v>40</v>
      </c>
      <c r="G219" t="n">
        <v>7.55</v>
      </c>
      <c r="H219" t="n">
        <v>302</v>
      </c>
      <c r="I219">
        <f>ROUNDUP(E219, 0)</f>
        <v/>
      </c>
      <c r="J219">
        <f>IF(D219="COVERED", 10.40, 7.55)</f>
        <v/>
      </c>
      <c r="K219">
        <f>ROUND(I219*J219, 2)</f>
        <v/>
      </c>
      <c r="L219">
        <f>K219-H219</f>
        <v/>
      </c>
    </row>
    <row r="220">
      <c r="A220" t="inlineStr">
        <is>
          <t>EW-1014</t>
        </is>
      </c>
      <c r="B220" t="inlineStr">
        <is>
          <t>Melanie Rivera</t>
        </is>
      </c>
      <c r="C220" t="inlineStr">
        <is>
          <t>Eastwey</t>
        </is>
      </c>
      <c r="D220" t="inlineStr">
        <is>
          <t>OPEN</t>
        </is>
      </c>
      <c r="E220" t="n">
        <v>34.4</v>
      </c>
      <c r="F220" t="n">
        <v>40</v>
      </c>
      <c r="G220" t="n">
        <v>7.55</v>
      </c>
      <c r="H220" t="n">
        <v>302</v>
      </c>
      <c r="I220">
        <f>ROUNDUP(E220, 0)</f>
        <v/>
      </c>
      <c r="J220">
        <f>IF(D220="COVERED", 10.40, 7.55)</f>
        <v/>
      </c>
      <c r="K220">
        <f>ROUND(I220*J220, 2)</f>
        <v/>
      </c>
      <c r="L220">
        <f>K220-H220</f>
        <v/>
      </c>
    </row>
    <row r="221">
      <c r="A221" t="inlineStr">
        <is>
          <t>EW-1015</t>
        </is>
      </c>
      <c r="B221" t="inlineStr">
        <is>
          <t>Patricia Adkins</t>
        </is>
      </c>
      <c r="C221" t="inlineStr">
        <is>
          <t>Eastwey</t>
        </is>
      </c>
      <c r="D221" t="inlineStr">
        <is>
          <t>OPEN</t>
        </is>
      </c>
      <c r="E221" t="n">
        <v>20.7</v>
      </c>
      <c r="F221" t="n">
        <v>24</v>
      </c>
      <c r="G221" t="n">
        <v>7.55</v>
      </c>
      <c r="H221" t="n">
        <v>181.2</v>
      </c>
      <c r="I221">
        <f>ROUNDUP(E221, 0)</f>
        <v/>
      </c>
      <c r="J221">
        <f>IF(D221="COVERED", 10.40, 7.55)</f>
        <v/>
      </c>
      <c r="K221">
        <f>ROUND(I221*J221, 2)</f>
        <v/>
      </c>
      <c r="L221">
        <f>K221-H221</f>
        <v/>
      </c>
    </row>
    <row r="222">
      <c r="A222" t="inlineStr">
        <is>
          <t>EW-1021</t>
        </is>
      </c>
      <c r="B222" t="inlineStr">
        <is>
          <t>Christian Garcia</t>
        </is>
      </c>
      <c r="C222" t="inlineStr">
        <is>
          <t>Eastwey</t>
        </is>
      </c>
      <c r="D222" t="inlineStr">
        <is>
          <t>OPEN</t>
        </is>
      </c>
      <c r="E222" t="n">
        <v>57.5</v>
      </c>
      <c r="F222" t="n">
        <v>70</v>
      </c>
      <c r="G222" t="n">
        <v>7.55</v>
      </c>
      <c r="H222" t="n">
        <v>528.5</v>
      </c>
      <c r="I222">
        <f>ROUNDUP(E222, 0)</f>
        <v/>
      </c>
      <c r="J222">
        <f>IF(D222="COVERED", 10.40, 7.55)</f>
        <v/>
      </c>
      <c r="K222">
        <f>ROUND(I222*J222, 2)</f>
        <v/>
      </c>
      <c r="L222">
        <f>K222-H222</f>
        <v/>
      </c>
    </row>
    <row r="223">
      <c r="A223" t="inlineStr">
        <is>
          <t>EW-1023</t>
        </is>
      </c>
      <c r="B223" t="inlineStr">
        <is>
          <t>Robin Tucker</t>
        </is>
      </c>
      <c r="C223" t="inlineStr">
        <is>
          <t>Eastwey</t>
        </is>
      </c>
      <c r="D223" t="inlineStr">
        <is>
          <t>OPEN</t>
        </is>
      </c>
      <c r="E223" t="n">
        <v>26.5</v>
      </c>
      <c r="F223" t="n">
        <v>60</v>
      </c>
      <c r="G223" t="n">
        <v>7.55</v>
      </c>
      <c r="H223" t="n">
        <v>453</v>
      </c>
      <c r="I223">
        <f>ROUNDUP(E223, 0)</f>
        <v/>
      </c>
      <c r="J223">
        <f>IF(D223="COVERED", 10.40, 7.55)</f>
        <v/>
      </c>
      <c r="K223">
        <f>ROUND(I223*J223, 2)</f>
        <v/>
      </c>
      <c r="L223">
        <f>K223-H223</f>
        <v/>
      </c>
    </row>
    <row r="224">
      <c r="A224" t="inlineStr">
        <is>
          <t>GW-0103</t>
        </is>
      </c>
      <c r="B224" t="inlineStr">
        <is>
          <t>Sarah Forbes</t>
        </is>
      </c>
      <c r="C224" t="inlineStr">
        <is>
          <t>Gullwing</t>
        </is>
      </c>
      <c r="D224" t="inlineStr">
        <is>
          <t>OPEN</t>
        </is>
      </c>
      <c r="E224" t="n">
        <v>21.9</v>
      </c>
      <c r="F224" t="n">
        <v>45</v>
      </c>
      <c r="G224" t="n">
        <v>7.55</v>
      </c>
      <c r="H224" t="n">
        <v>339.75</v>
      </c>
      <c r="I224">
        <f>ROUNDUP(E224, 0)</f>
        <v/>
      </c>
      <c r="J224">
        <f>IF(D224="COVERED", 10.40, 7.55)</f>
        <v/>
      </c>
      <c r="K224">
        <f>ROUND(I224*J224, 2)</f>
        <v/>
      </c>
      <c r="L224">
        <f>K224-H224</f>
        <v/>
      </c>
    </row>
    <row r="225">
      <c r="A225" t="inlineStr">
        <is>
          <t>GW-0105</t>
        </is>
      </c>
      <c r="B225" t="inlineStr">
        <is>
          <t>Linda Franklin</t>
        </is>
      </c>
      <c r="C225" t="inlineStr">
        <is>
          <t>Gullwing</t>
        </is>
      </c>
      <c r="D225" t="inlineStr">
        <is>
          <t>OPEN</t>
        </is>
      </c>
      <c r="E225" t="n">
        <v>35.5</v>
      </c>
      <c r="F225" t="n">
        <v>60</v>
      </c>
      <c r="G225" t="n">
        <v>7.55</v>
      </c>
      <c r="H225" t="n">
        <v>453</v>
      </c>
      <c r="I225">
        <f>ROUNDUP(E225, 0)</f>
        <v/>
      </c>
      <c r="J225">
        <f>IF(D225="COVERED", 10.40, 7.55)</f>
        <v/>
      </c>
      <c r="K225">
        <f>ROUND(I225*J225, 2)</f>
        <v/>
      </c>
      <c r="L225">
        <f>K225-H225</f>
        <v/>
      </c>
    </row>
    <row r="226">
      <c r="A226" t="inlineStr">
        <is>
          <t>GW-0106</t>
        </is>
      </c>
      <c r="B226" t="inlineStr">
        <is>
          <t>Kara Bartlett</t>
        </is>
      </c>
      <c r="C226" t="inlineStr">
        <is>
          <t>Gullwing</t>
        </is>
      </c>
      <c r="D226" t="inlineStr">
        <is>
          <t>OPEN</t>
        </is>
      </c>
      <c r="E226" t="n">
        <v>40.5</v>
      </c>
      <c r="F226" t="n">
        <v>80</v>
      </c>
      <c r="G226" t="n">
        <v>7.55</v>
      </c>
      <c r="H226" t="n">
        <v>604</v>
      </c>
      <c r="I226">
        <f>ROUNDUP(E226, 0)</f>
        <v/>
      </c>
      <c r="J226">
        <f>IF(D226="COVERED", 10.40, 7.55)</f>
        <v/>
      </c>
      <c r="K226">
        <f>ROUND(I226*J226, 2)</f>
        <v/>
      </c>
      <c r="L226">
        <f>K226-H226</f>
        <v/>
      </c>
    </row>
    <row r="227">
      <c r="A227" t="inlineStr">
        <is>
          <t>GW-0110</t>
        </is>
      </c>
      <c r="B227" t="inlineStr">
        <is>
          <t>Jeremy Aguirre</t>
        </is>
      </c>
      <c r="C227" t="inlineStr">
        <is>
          <t>Gullwing</t>
        </is>
      </c>
      <c r="D227" t="inlineStr">
        <is>
          <t>OPEN</t>
        </is>
      </c>
      <c r="E227" t="n">
        <v>42.1</v>
      </c>
      <c r="F227" t="n">
        <v>80</v>
      </c>
      <c r="G227" t="n">
        <v>7.55</v>
      </c>
      <c r="H227" t="n">
        <v>604</v>
      </c>
      <c r="I227">
        <f>ROUNDUP(E227, 0)</f>
        <v/>
      </c>
      <c r="J227">
        <f>IF(D227="COVERED", 10.40, 7.55)</f>
        <v/>
      </c>
      <c r="K227">
        <f>ROUND(I227*J227, 2)</f>
        <v/>
      </c>
      <c r="L227">
        <f>K227-H227</f>
        <v/>
      </c>
    </row>
    <row r="228">
      <c r="A228" t="inlineStr">
        <is>
          <t>GW-0112</t>
        </is>
      </c>
      <c r="B228" t="inlineStr">
        <is>
          <t>Nicholas Lewis</t>
        </is>
      </c>
      <c r="C228" t="inlineStr">
        <is>
          <t>Gullwing</t>
        </is>
      </c>
      <c r="D228" t="inlineStr">
        <is>
          <t>OPEN</t>
        </is>
      </c>
      <c r="E228" t="n">
        <v>19.8</v>
      </c>
      <c r="F228" t="n">
        <v>32</v>
      </c>
      <c r="G228" t="n">
        <v>7.55</v>
      </c>
      <c r="H228" t="n">
        <v>241.6</v>
      </c>
      <c r="I228">
        <f>ROUNDUP(E228, 0)</f>
        <v/>
      </c>
      <c r="J228">
        <f>IF(D228="COVERED", 10.40, 7.55)</f>
        <v/>
      </c>
      <c r="K228">
        <f>ROUND(I228*J228, 2)</f>
        <v/>
      </c>
      <c r="L228">
        <f>K228-H228</f>
        <v/>
      </c>
    </row>
    <row r="229">
      <c r="A229" t="inlineStr">
        <is>
          <t>GW-0115</t>
        </is>
      </c>
      <c r="B229" t="inlineStr">
        <is>
          <t>Anthony Johnson</t>
        </is>
      </c>
      <c r="C229" t="inlineStr">
        <is>
          <t>Gullwing</t>
        </is>
      </c>
      <c r="D229" t="inlineStr">
        <is>
          <t>OPEN</t>
        </is>
      </c>
      <c r="E229" t="n">
        <v>26.4</v>
      </c>
      <c r="F229" t="n">
        <v>50</v>
      </c>
      <c r="G229" t="n">
        <v>7.55</v>
      </c>
      <c r="H229" t="n">
        <v>377.5</v>
      </c>
      <c r="I229">
        <f>ROUNDUP(E229, 0)</f>
        <v/>
      </c>
      <c r="J229">
        <f>IF(D229="COVERED", 10.40, 7.55)</f>
        <v/>
      </c>
      <c r="K229">
        <f>ROUND(I229*J229, 2)</f>
        <v/>
      </c>
      <c r="L229">
        <f>K229-H229</f>
        <v/>
      </c>
    </row>
    <row r="230">
      <c r="A230" t="inlineStr">
        <is>
          <t>GW-0118</t>
        </is>
      </c>
      <c r="B230" t="inlineStr">
        <is>
          <t>Zachary Mcdonald</t>
        </is>
      </c>
      <c r="C230" t="inlineStr">
        <is>
          <t>Gullwing</t>
        </is>
      </c>
      <c r="D230" t="inlineStr">
        <is>
          <t>OPEN</t>
        </is>
      </c>
      <c r="E230" t="n">
        <v>53.9</v>
      </c>
      <c r="F230" t="n">
        <v>60</v>
      </c>
      <c r="G230" t="n">
        <v>7.55</v>
      </c>
      <c r="H230" t="n">
        <v>453</v>
      </c>
      <c r="I230">
        <f>ROUNDUP(E230, 0)</f>
        <v/>
      </c>
      <c r="J230">
        <f>IF(D230="COVERED", 10.40, 7.55)</f>
        <v/>
      </c>
      <c r="K230">
        <f>ROUND(I230*J230, 2)</f>
        <v/>
      </c>
      <c r="L230">
        <f>K230-H230</f>
        <v/>
      </c>
    </row>
    <row r="231">
      <c r="A231" t="inlineStr">
        <is>
          <t>GW-0122</t>
        </is>
      </c>
      <c r="B231" t="inlineStr">
        <is>
          <t>Steven Davis</t>
        </is>
      </c>
      <c r="C231" t="inlineStr">
        <is>
          <t>Gullwing</t>
        </is>
      </c>
      <c r="D231" t="inlineStr">
        <is>
          <t>OPEN</t>
        </is>
      </c>
      <c r="E231" t="n">
        <v>26.5</v>
      </c>
      <c r="F231" t="n">
        <v>32</v>
      </c>
      <c r="G231" t="n">
        <v>7.55</v>
      </c>
      <c r="H231" t="n">
        <v>241.6</v>
      </c>
      <c r="I231">
        <f>ROUNDUP(E231, 0)</f>
        <v/>
      </c>
      <c r="J231">
        <f>IF(D231="COVERED", 10.40, 7.55)</f>
        <v/>
      </c>
      <c r="K231">
        <f>ROUND(I231*J231, 2)</f>
        <v/>
      </c>
      <c r="L231">
        <f>K231-H231</f>
        <v/>
      </c>
    </row>
    <row r="232">
      <c r="A232" t="inlineStr">
        <is>
          <t>GW-0123</t>
        </is>
      </c>
      <c r="B232" t="inlineStr">
        <is>
          <t>Madeline Morris</t>
        </is>
      </c>
      <c r="C232" t="inlineStr">
        <is>
          <t>Gullwing</t>
        </is>
      </c>
      <c r="D232" t="inlineStr">
        <is>
          <t>OPEN</t>
        </is>
      </c>
      <c r="E232" t="n">
        <v>40.2</v>
      </c>
      <c r="F232" t="n">
        <v>80</v>
      </c>
      <c r="G232" t="n">
        <v>7.55</v>
      </c>
      <c r="H232" t="n">
        <v>604</v>
      </c>
      <c r="I232">
        <f>ROUNDUP(E232, 0)</f>
        <v/>
      </c>
      <c r="J232">
        <f>IF(D232="COVERED", 10.40, 7.55)</f>
        <v/>
      </c>
      <c r="K232">
        <f>ROUND(I232*J232, 2)</f>
        <v/>
      </c>
      <c r="L232">
        <f>K232-H232</f>
        <v/>
      </c>
    </row>
    <row r="233">
      <c r="A233" t="inlineStr">
        <is>
          <t>GW-0202</t>
        </is>
      </c>
      <c r="B233" t="inlineStr">
        <is>
          <t>William Daugherty</t>
        </is>
      </c>
      <c r="C233" t="inlineStr">
        <is>
          <t>Gullwing</t>
        </is>
      </c>
      <c r="D233" t="inlineStr">
        <is>
          <t>OPEN</t>
        </is>
      </c>
      <c r="E233" t="n">
        <v>58.2</v>
      </c>
      <c r="F233" t="n">
        <v>80</v>
      </c>
      <c r="G233" t="n">
        <v>7.55</v>
      </c>
      <c r="H233" t="n">
        <v>604</v>
      </c>
      <c r="I233">
        <f>ROUNDUP(E233, 0)</f>
        <v/>
      </c>
      <c r="J233">
        <f>IF(D233="COVERED", 10.40, 7.55)</f>
        <v/>
      </c>
      <c r="K233">
        <f>ROUND(I233*J233, 2)</f>
        <v/>
      </c>
      <c r="L233">
        <f>K233-H233</f>
        <v/>
      </c>
    </row>
    <row r="234">
      <c r="A234" t="inlineStr">
        <is>
          <t>GW-0204</t>
        </is>
      </c>
      <c r="B234" t="inlineStr">
        <is>
          <t>David Lopez</t>
        </is>
      </c>
      <c r="C234" t="inlineStr">
        <is>
          <t>Gullwing</t>
        </is>
      </c>
      <c r="D234" t="inlineStr">
        <is>
          <t>OPEN</t>
        </is>
      </c>
      <c r="E234" t="n">
        <v>25.1</v>
      </c>
      <c r="F234" t="n">
        <v>32</v>
      </c>
      <c r="G234" t="n">
        <v>7.55</v>
      </c>
      <c r="H234" t="n">
        <v>241.6</v>
      </c>
      <c r="I234">
        <f>ROUNDUP(E234, 0)</f>
        <v/>
      </c>
      <c r="J234">
        <f>IF(D234="COVERED", 10.40, 7.55)</f>
        <v/>
      </c>
      <c r="K234">
        <f>ROUND(I234*J234, 2)</f>
        <v/>
      </c>
      <c r="L234">
        <f>K234-H234</f>
        <v/>
      </c>
    </row>
    <row r="235">
      <c r="A235" t="inlineStr">
        <is>
          <t>GW-0205</t>
        </is>
      </c>
      <c r="B235" t="inlineStr">
        <is>
          <t>Aaron Barton</t>
        </is>
      </c>
      <c r="C235" t="inlineStr">
        <is>
          <t>Gullwing</t>
        </is>
      </c>
      <c r="D235" t="inlineStr">
        <is>
          <t>OPEN</t>
        </is>
      </c>
      <c r="E235" t="n">
        <v>43.1</v>
      </c>
      <c r="F235" t="n">
        <v>50</v>
      </c>
      <c r="G235" t="n">
        <v>7.55</v>
      </c>
      <c r="H235" t="n">
        <v>377.5</v>
      </c>
      <c r="I235">
        <f>ROUNDUP(E235, 0)</f>
        <v/>
      </c>
      <c r="J235">
        <f>IF(D235="COVERED", 10.40, 7.55)</f>
        <v/>
      </c>
      <c r="K235">
        <f>ROUND(I235*J235, 2)</f>
        <v/>
      </c>
      <c r="L235">
        <f>K235-H235</f>
        <v/>
      </c>
    </row>
    <row r="236">
      <c r="A236" t="inlineStr">
        <is>
          <t>GW-0209</t>
        </is>
      </c>
      <c r="B236" t="inlineStr">
        <is>
          <t>Jessica Brown</t>
        </is>
      </c>
      <c r="C236" t="inlineStr">
        <is>
          <t>Gullwing</t>
        </is>
      </c>
      <c r="D236" t="inlineStr">
        <is>
          <t>OPEN</t>
        </is>
      </c>
      <c r="E236" t="n">
        <v>36</v>
      </c>
      <c r="F236" t="n">
        <v>40</v>
      </c>
      <c r="G236" t="n">
        <v>7.55</v>
      </c>
      <c r="H236" t="n">
        <v>302</v>
      </c>
      <c r="I236">
        <f>ROUNDUP(E236, 0)</f>
        <v/>
      </c>
      <c r="J236">
        <f>IF(D236="COVERED", 10.40, 7.55)</f>
        <v/>
      </c>
      <c r="K236">
        <f>ROUND(I236*J236, 2)</f>
        <v/>
      </c>
      <c r="L236">
        <f>K236-H236</f>
        <v/>
      </c>
    </row>
    <row r="237">
      <c r="A237" t="inlineStr">
        <is>
          <t>GW-0210</t>
        </is>
      </c>
      <c r="B237" t="inlineStr">
        <is>
          <t>Amanda Smith</t>
        </is>
      </c>
      <c r="C237" t="inlineStr">
        <is>
          <t>Gullwing</t>
        </is>
      </c>
      <c r="D237" t="inlineStr">
        <is>
          <t>OPEN</t>
        </is>
      </c>
      <c r="E237" t="n">
        <v>30.9</v>
      </c>
      <c r="F237" t="n">
        <v>40</v>
      </c>
      <c r="G237" t="n">
        <v>7.55</v>
      </c>
      <c r="H237" t="n">
        <v>302</v>
      </c>
      <c r="I237">
        <f>ROUNDUP(E237, 0)</f>
        <v/>
      </c>
      <c r="J237">
        <f>IF(D237="COVERED", 10.40, 7.55)</f>
        <v/>
      </c>
      <c r="K237">
        <f>ROUND(I237*J237, 2)</f>
        <v/>
      </c>
      <c r="L237">
        <f>K237-H237</f>
        <v/>
      </c>
    </row>
    <row r="238">
      <c r="A238" t="inlineStr">
        <is>
          <t>GW-0211</t>
        </is>
      </c>
      <c r="B238" t="inlineStr">
        <is>
          <t>Stanley Peterson</t>
        </is>
      </c>
      <c r="C238" t="inlineStr">
        <is>
          <t>Gullwing</t>
        </is>
      </c>
      <c r="D238" t="inlineStr">
        <is>
          <t>OPEN</t>
        </is>
      </c>
      <c r="E238" t="n">
        <v>22.7</v>
      </c>
      <c r="F238" t="n">
        <v>28</v>
      </c>
      <c r="G238" t="n">
        <v>7.55</v>
      </c>
      <c r="H238" t="n">
        <v>211.4</v>
      </c>
      <c r="I238">
        <f>ROUNDUP(E238, 0)</f>
        <v/>
      </c>
      <c r="J238">
        <f>IF(D238="COVERED", 10.40, 7.55)</f>
        <v/>
      </c>
      <c r="K238">
        <f>ROUND(I238*J238, 2)</f>
        <v/>
      </c>
      <c r="L238">
        <f>K238-H238</f>
        <v/>
      </c>
    </row>
    <row r="239">
      <c r="A239" t="inlineStr">
        <is>
          <t>GW-0212</t>
        </is>
      </c>
      <c r="B239" t="inlineStr">
        <is>
          <t>Leonard Wiley</t>
        </is>
      </c>
      <c r="C239" t="inlineStr">
        <is>
          <t>Gullwing</t>
        </is>
      </c>
      <c r="D239" t="inlineStr">
        <is>
          <t>OPEN</t>
        </is>
      </c>
      <c r="E239" t="n">
        <v>31.8</v>
      </c>
      <c r="F239" t="n">
        <v>60</v>
      </c>
      <c r="G239" t="n">
        <v>7.55</v>
      </c>
      <c r="H239" t="n">
        <v>453</v>
      </c>
      <c r="I239">
        <f>ROUNDUP(E239, 0)</f>
        <v/>
      </c>
      <c r="J239">
        <f>IF(D239="COVERED", 10.40, 7.55)</f>
        <v/>
      </c>
      <c r="K239">
        <f>ROUND(I239*J239, 2)</f>
        <v/>
      </c>
      <c r="L239">
        <f>K239-H239</f>
        <v/>
      </c>
    </row>
    <row r="240">
      <c r="A240" t="inlineStr">
        <is>
          <t>GW-0216</t>
        </is>
      </c>
      <c r="B240" t="inlineStr">
        <is>
          <t>Richard Waters</t>
        </is>
      </c>
      <c r="C240" t="inlineStr">
        <is>
          <t>Gullwing</t>
        </is>
      </c>
      <c r="D240" t="inlineStr">
        <is>
          <t>OPEN</t>
        </is>
      </c>
      <c r="E240" t="n">
        <v>42.5</v>
      </c>
      <c r="F240" t="n">
        <v>80</v>
      </c>
      <c r="G240" t="n">
        <v>7.55</v>
      </c>
      <c r="H240" t="n">
        <v>604</v>
      </c>
      <c r="I240">
        <f>ROUNDUP(E240, 0)</f>
        <v/>
      </c>
      <c r="J240">
        <f>IF(D240="COVERED", 10.40, 7.55)</f>
        <v/>
      </c>
      <c r="K240">
        <f>ROUND(I240*J240, 2)</f>
        <v/>
      </c>
      <c r="L240">
        <f>K240-H240</f>
        <v/>
      </c>
    </row>
    <row r="241">
      <c r="A241" t="inlineStr">
        <is>
          <t>GW-0217</t>
        </is>
      </c>
      <c r="B241" t="inlineStr">
        <is>
          <t>Bridget Jones</t>
        </is>
      </c>
      <c r="C241" t="inlineStr">
        <is>
          <t>Gullwing</t>
        </is>
      </c>
      <c r="D241" t="inlineStr">
        <is>
          <t>OPEN</t>
        </is>
      </c>
      <c r="E241" t="n">
        <v>58.7</v>
      </c>
      <c r="F241" t="n">
        <v>80</v>
      </c>
      <c r="G241" t="n">
        <v>7.55</v>
      </c>
      <c r="H241" t="n">
        <v>604</v>
      </c>
      <c r="I241">
        <f>ROUNDUP(E241, 0)</f>
        <v/>
      </c>
      <c r="J241">
        <f>IF(D241="COVERED", 10.40, 7.55)</f>
        <v/>
      </c>
      <c r="K241">
        <f>ROUND(I241*J241, 2)</f>
        <v/>
      </c>
      <c r="L241">
        <f>K241-H241</f>
        <v/>
      </c>
    </row>
    <row r="242">
      <c r="A242" t="inlineStr">
        <is>
          <t>GW-0218</t>
        </is>
      </c>
      <c r="B242" t="inlineStr">
        <is>
          <t>Christopher Russell</t>
        </is>
      </c>
      <c r="C242" t="inlineStr">
        <is>
          <t>Gullwing</t>
        </is>
      </c>
      <c r="D242" t="inlineStr">
        <is>
          <t>OPEN</t>
        </is>
      </c>
      <c r="E242" t="n">
        <v>56.1</v>
      </c>
      <c r="F242" t="n">
        <v>60</v>
      </c>
      <c r="G242" t="n">
        <v>7.55</v>
      </c>
      <c r="H242" t="n">
        <v>453</v>
      </c>
      <c r="I242">
        <f>ROUNDUP(E242, 0)</f>
        <v/>
      </c>
      <c r="J242">
        <f>IF(D242="COVERED", 10.40, 7.55)</f>
        <v/>
      </c>
      <c r="K242">
        <f>ROUND(I242*J242, 2)</f>
        <v/>
      </c>
      <c r="L242">
        <f>K242-H242</f>
        <v/>
      </c>
    </row>
    <row r="243">
      <c r="A243" t="inlineStr">
        <is>
          <t>GW-0220</t>
        </is>
      </c>
      <c r="B243" t="inlineStr">
        <is>
          <t>Jeffrey Allen</t>
        </is>
      </c>
      <c r="C243" t="inlineStr">
        <is>
          <t>Gullwing</t>
        </is>
      </c>
      <c r="D243" t="inlineStr">
        <is>
          <t>OPEN</t>
        </is>
      </c>
      <c r="E243" t="n">
        <v>54.9</v>
      </c>
      <c r="F243" t="n">
        <v>60</v>
      </c>
      <c r="G243" t="n">
        <v>7.55</v>
      </c>
      <c r="H243" t="n">
        <v>453</v>
      </c>
      <c r="I243">
        <f>ROUNDUP(E243, 0)</f>
        <v/>
      </c>
      <c r="J243">
        <f>IF(D243="COVERED", 10.40, 7.55)</f>
        <v/>
      </c>
      <c r="K243">
        <f>ROUND(I243*J243, 2)</f>
        <v/>
      </c>
      <c r="L243">
        <f>K243-H243</f>
        <v/>
      </c>
    </row>
    <row r="244">
      <c r="A244" t="inlineStr">
        <is>
          <t>GW-0221</t>
        </is>
      </c>
      <c r="B244" t="inlineStr">
        <is>
          <t>Elizabeth Pacheco</t>
        </is>
      </c>
      <c r="C244" t="inlineStr">
        <is>
          <t>Gullwing</t>
        </is>
      </c>
      <c r="D244" t="inlineStr">
        <is>
          <t>OPEN</t>
        </is>
      </c>
      <c r="E244" t="n">
        <v>31.6</v>
      </c>
      <c r="F244" t="n">
        <v>80</v>
      </c>
      <c r="G244" t="n">
        <v>7.55</v>
      </c>
      <c r="H244" t="n">
        <v>604</v>
      </c>
      <c r="I244">
        <f>ROUNDUP(E244, 0)</f>
        <v/>
      </c>
      <c r="J244">
        <f>IF(D244="COVERED", 10.40, 7.55)</f>
        <v/>
      </c>
      <c r="K244">
        <f>ROUND(I244*J244, 2)</f>
        <v/>
      </c>
      <c r="L244">
        <f>K244-H244</f>
        <v/>
      </c>
    </row>
    <row r="245">
      <c r="A245" t="inlineStr">
        <is>
          <t>GW-0222</t>
        </is>
      </c>
      <c r="B245" t="inlineStr">
        <is>
          <t>Andrew Griffith</t>
        </is>
      </c>
      <c r="C245" t="inlineStr">
        <is>
          <t>Gullwing</t>
        </is>
      </c>
      <c r="D245" t="inlineStr">
        <is>
          <t>OPEN</t>
        </is>
      </c>
      <c r="E245" t="n">
        <v>29.9</v>
      </c>
      <c r="F245" t="n">
        <v>60</v>
      </c>
      <c r="G245" t="n">
        <v>7.55</v>
      </c>
      <c r="H245" t="n">
        <v>453</v>
      </c>
      <c r="I245">
        <f>ROUNDUP(E245, 0)</f>
        <v/>
      </c>
      <c r="J245">
        <f>IF(D245="COVERED", 10.40, 7.55)</f>
        <v/>
      </c>
      <c r="K245">
        <f>ROUND(I245*J245, 2)</f>
        <v/>
      </c>
      <c r="L245">
        <f>K245-H245</f>
        <v/>
      </c>
    </row>
    <row r="246">
      <c r="A246" t="inlineStr">
        <is>
          <t>GW-0305</t>
        </is>
      </c>
      <c r="B246" t="inlineStr">
        <is>
          <t>Lisa Richards</t>
        </is>
      </c>
      <c r="C246" t="inlineStr">
        <is>
          <t>Gullwing</t>
        </is>
      </c>
      <c r="D246" t="inlineStr">
        <is>
          <t>OPEN</t>
        </is>
      </c>
      <c r="E246" t="n">
        <v>60</v>
      </c>
      <c r="F246" t="n">
        <v>80</v>
      </c>
      <c r="G246" t="n">
        <v>7.55</v>
      </c>
      <c r="H246" t="n">
        <v>604</v>
      </c>
      <c r="I246">
        <f>ROUNDUP(E246, 0)</f>
        <v/>
      </c>
      <c r="J246">
        <f>IF(D246="COVERED", 10.40, 7.55)</f>
        <v/>
      </c>
      <c r="K246">
        <f>ROUND(I246*J246, 2)</f>
        <v/>
      </c>
      <c r="L246">
        <f>K246-H246</f>
        <v/>
      </c>
    </row>
    <row r="247">
      <c r="A247" t="inlineStr">
        <is>
          <t>GW-0308</t>
        </is>
      </c>
      <c r="B247" t="inlineStr">
        <is>
          <t>Rebecca Smith</t>
        </is>
      </c>
      <c r="C247" t="inlineStr">
        <is>
          <t>Gullwing</t>
        </is>
      </c>
      <c r="D247" t="inlineStr">
        <is>
          <t>OPEN</t>
        </is>
      </c>
      <c r="E247" t="n">
        <v>51.5</v>
      </c>
      <c r="F247" t="n">
        <v>60</v>
      </c>
      <c r="G247" t="n">
        <v>7.55</v>
      </c>
      <c r="H247" t="n">
        <v>453</v>
      </c>
      <c r="I247">
        <f>ROUNDUP(E247, 0)</f>
        <v/>
      </c>
      <c r="J247">
        <f>IF(D247="COVERED", 10.40, 7.55)</f>
        <v/>
      </c>
      <c r="K247">
        <f>ROUND(I247*J247, 2)</f>
        <v/>
      </c>
      <c r="L247">
        <f>K247-H247</f>
        <v/>
      </c>
    </row>
    <row r="248">
      <c r="A248" t="inlineStr">
        <is>
          <t>GW-0310</t>
        </is>
      </c>
      <c r="B248" t="inlineStr">
        <is>
          <t>Marvin Miranda</t>
        </is>
      </c>
      <c r="C248" t="inlineStr">
        <is>
          <t>Gullwing</t>
        </is>
      </c>
      <c r="D248" t="inlineStr">
        <is>
          <t>OPEN</t>
        </is>
      </c>
      <c r="E248" t="n">
        <v>20.4</v>
      </c>
      <c r="F248" t="n">
        <v>36</v>
      </c>
      <c r="G248" t="n">
        <v>7.55</v>
      </c>
      <c r="H248" t="n">
        <v>271.8</v>
      </c>
      <c r="I248">
        <f>ROUNDUP(E248, 0)</f>
        <v/>
      </c>
      <c r="J248">
        <f>IF(D248="COVERED", 10.40, 7.55)</f>
        <v/>
      </c>
      <c r="K248">
        <f>ROUND(I248*J248, 2)</f>
        <v/>
      </c>
      <c r="L248">
        <f>K248-H248</f>
        <v/>
      </c>
    </row>
    <row r="249">
      <c r="A249" t="inlineStr">
        <is>
          <t>GW-0312</t>
        </is>
      </c>
      <c r="B249" t="inlineStr">
        <is>
          <t>Nicole Davis</t>
        </is>
      </c>
      <c r="C249" t="inlineStr">
        <is>
          <t>Gullwing</t>
        </is>
      </c>
      <c r="D249" t="inlineStr">
        <is>
          <t>OPEN</t>
        </is>
      </c>
      <c r="E249" t="n">
        <v>51.7</v>
      </c>
      <c r="F249" t="n">
        <v>70</v>
      </c>
      <c r="G249" t="n">
        <v>7.55</v>
      </c>
      <c r="H249" t="n">
        <v>528.5</v>
      </c>
      <c r="I249">
        <f>ROUNDUP(E249, 0)</f>
        <v/>
      </c>
      <c r="J249">
        <f>IF(D249="COVERED", 10.40, 7.55)</f>
        <v/>
      </c>
      <c r="K249">
        <f>ROUND(I249*J249, 2)</f>
        <v/>
      </c>
      <c r="L249">
        <f>K249-H249</f>
        <v/>
      </c>
    </row>
    <row r="250">
      <c r="A250" t="inlineStr">
        <is>
          <t>GW-0316</t>
        </is>
      </c>
      <c r="B250" t="inlineStr">
        <is>
          <t>Chelsea Matthews</t>
        </is>
      </c>
      <c r="C250" t="inlineStr">
        <is>
          <t>Gullwing</t>
        </is>
      </c>
      <c r="D250" t="inlineStr">
        <is>
          <t>OPEN</t>
        </is>
      </c>
      <c r="E250" t="n">
        <v>25.6</v>
      </c>
      <c r="F250" t="n">
        <v>32</v>
      </c>
      <c r="G250" t="n">
        <v>7.55</v>
      </c>
      <c r="H250" t="n">
        <v>241.6</v>
      </c>
      <c r="I250">
        <f>ROUNDUP(E250, 0)</f>
        <v/>
      </c>
      <c r="J250">
        <f>IF(D250="COVERED", 10.40, 7.55)</f>
        <v/>
      </c>
      <c r="K250">
        <f>ROUND(I250*J250, 2)</f>
        <v/>
      </c>
      <c r="L250">
        <f>K250-H250</f>
        <v/>
      </c>
    </row>
    <row r="251">
      <c r="A251" t="inlineStr">
        <is>
          <t>GW-0322</t>
        </is>
      </c>
      <c r="B251" t="inlineStr">
        <is>
          <t>Theresa Martinez</t>
        </is>
      </c>
      <c r="C251" t="inlineStr">
        <is>
          <t>Gullwing</t>
        </is>
      </c>
      <c r="D251" t="inlineStr">
        <is>
          <t>OPEN</t>
        </is>
      </c>
      <c r="E251" t="n">
        <v>30.1</v>
      </c>
      <c r="F251" t="n">
        <v>45</v>
      </c>
      <c r="G251" t="n">
        <v>7.55</v>
      </c>
      <c r="H251" t="n">
        <v>339.75</v>
      </c>
      <c r="I251">
        <f>ROUNDUP(E251, 0)</f>
        <v/>
      </c>
      <c r="J251">
        <f>IF(D251="COVERED", 10.40, 7.55)</f>
        <v/>
      </c>
      <c r="K251">
        <f>ROUND(I251*J251, 2)</f>
        <v/>
      </c>
      <c r="L251">
        <f>K251-H251</f>
        <v/>
      </c>
    </row>
    <row r="252">
      <c r="A252" t="inlineStr">
        <is>
          <t>GW-0323</t>
        </is>
      </c>
      <c r="B252" t="inlineStr">
        <is>
          <t>Kristen Orr</t>
        </is>
      </c>
      <c r="C252" t="inlineStr">
        <is>
          <t>Gullwing</t>
        </is>
      </c>
      <c r="D252" t="inlineStr">
        <is>
          <t>OPEN</t>
        </is>
      </c>
      <c r="E252" t="n">
        <v>54.2</v>
      </c>
      <c r="F252" t="n">
        <v>80</v>
      </c>
      <c r="G252" t="n">
        <v>7.55</v>
      </c>
      <c r="H252" t="n">
        <v>604</v>
      </c>
      <c r="I252">
        <f>ROUNDUP(E252, 0)</f>
        <v/>
      </c>
      <c r="J252">
        <f>IF(D252="COVERED", 10.40, 7.55)</f>
        <v/>
      </c>
      <c r="K252">
        <f>ROUND(I252*J252, 2)</f>
        <v/>
      </c>
      <c r="L252">
        <f>K252-H252</f>
        <v/>
      </c>
    </row>
    <row r="253">
      <c r="A253" t="inlineStr">
        <is>
          <t>GW-0401</t>
        </is>
      </c>
      <c r="B253" t="inlineStr">
        <is>
          <t>Megan Hendricks</t>
        </is>
      </c>
      <c r="C253" t="inlineStr">
        <is>
          <t>Gullwing</t>
        </is>
      </c>
      <c r="D253" t="inlineStr">
        <is>
          <t>OPEN</t>
        </is>
      </c>
      <c r="E253" t="n">
        <v>40.3</v>
      </c>
      <c r="F253" t="n">
        <v>45</v>
      </c>
      <c r="G253" t="n">
        <v>7.55</v>
      </c>
      <c r="H253" t="n">
        <v>339.75</v>
      </c>
      <c r="I253">
        <f>ROUNDUP(E253, 0)</f>
        <v/>
      </c>
      <c r="J253">
        <f>IF(D253="COVERED", 10.40, 7.55)</f>
        <v/>
      </c>
      <c r="K253">
        <f>ROUND(I253*J253, 2)</f>
        <v/>
      </c>
      <c r="L253">
        <f>K253-H253</f>
        <v/>
      </c>
    </row>
    <row r="254">
      <c r="A254" t="inlineStr">
        <is>
          <t>GW-0403</t>
        </is>
      </c>
      <c r="B254" t="inlineStr">
        <is>
          <t>Jennifer Mccullough</t>
        </is>
      </c>
      <c r="C254" t="inlineStr">
        <is>
          <t>Gullwing</t>
        </is>
      </c>
      <c r="D254" t="inlineStr">
        <is>
          <t>OPEN</t>
        </is>
      </c>
      <c r="E254" t="n">
        <v>26.3</v>
      </c>
      <c r="F254" t="n">
        <v>32</v>
      </c>
      <c r="G254" t="n">
        <v>7.55</v>
      </c>
      <c r="H254" t="n">
        <v>241.6</v>
      </c>
      <c r="I254">
        <f>ROUNDUP(E254, 0)</f>
        <v/>
      </c>
      <c r="J254">
        <f>IF(D254="COVERED", 10.40, 7.55)</f>
        <v/>
      </c>
      <c r="K254">
        <f>ROUND(I254*J254, 2)</f>
        <v/>
      </c>
      <c r="L254">
        <f>K254-H254</f>
        <v/>
      </c>
    </row>
    <row r="255">
      <c r="A255" t="inlineStr">
        <is>
          <t>GW-0404</t>
        </is>
      </c>
      <c r="B255" t="inlineStr">
        <is>
          <t>Thomas Martinez</t>
        </is>
      </c>
      <c r="C255" t="inlineStr">
        <is>
          <t>Gullwing</t>
        </is>
      </c>
      <c r="D255" t="inlineStr">
        <is>
          <t>OPEN</t>
        </is>
      </c>
      <c r="E255" t="n">
        <v>38.1</v>
      </c>
      <c r="F255" t="n">
        <v>60</v>
      </c>
      <c r="G255" t="n">
        <v>7.55</v>
      </c>
      <c r="H255" t="n">
        <v>453</v>
      </c>
      <c r="I255">
        <f>ROUNDUP(E255, 0)</f>
        <v/>
      </c>
      <c r="J255">
        <f>IF(D255="COVERED", 10.40, 7.55)</f>
        <v/>
      </c>
      <c r="K255">
        <f>ROUND(I255*J255, 2)</f>
        <v/>
      </c>
      <c r="L255">
        <f>K255-H255</f>
        <v/>
      </c>
    </row>
    <row r="256">
      <c r="A256" t="inlineStr">
        <is>
          <t>GW-0405</t>
        </is>
      </c>
      <c r="B256" t="inlineStr">
        <is>
          <t>Pamela Powell</t>
        </is>
      </c>
      <c r="C256" t="inlineStr">
        <is>
          <t>Gullwing</t>
        </is>
      </c>
      <c r="D256" t="inlineStr">
        <is>
          <t>OPEN</t>
        </is>
      </c>
      <c r="E256" t="n">
        <v>31.8</v>
      </c>
      <c r="F256" t="n">
        <v>45</v>
      </c>
      <c r="G256" t="n">
        <v>7.55</v>
      </c>
      <c r="H256" t="n">
        <v>339.75</v>
      </c>
      <c r="I256">
        <f>ROUNDUP(E256, 0)</f>
        <v/>
      </c>
      <c r="J256">
        <f>IF(D256="COVERED", 10.40, 7.55)</f>
        <v/>
      </c>
      <c r="K256">
        <f>ROUND(I256*J256, 2)</f>
        <v/>
      </c>
      <c r="L256">
        <f>K256-H256</f>
        <v/>
      </c>
    </row>
    <row r="257">
      <c r="A257" t="inlineStr">
        <is>
          <t>GW-0407</t>
        </is>
      </c>
      <c r="B257" t="inlineStr">
        <is>
          <t>Paul Anderson</t>
        </is>
      </c>
      <c r="C257" t="inlineStr">
        <is>
          <t>Gullwing</t>
        </is>
      </c>
      <c r="D257" t="inlineStr">
        <is>
          <t>OPEN</t>
        </is>
      </c>
      <c r="E257" t="n">
        <v>23.5</v>
      </c>
      <c r="F257" t="n">
        <v>45</v>
      </c>
      <c r="G257" t="n">
        <v>7.55</v>
      </c>
      <c r="H257" t="n">
        <v>339.75</v>
      </c>
      <c r="I257">
        <f>ROUNDUP(E257, 0)</f>
        <v/>
      </c>
      <c r="J257">
        <f>IF(D257="COVERED", 10.40, 7.55)</f>
        <v/>
      </c>
      <c r="K257">
        <f>ROUND(I257*J257, 2)</f>
        <v/>
      </c>
      <c r="L257">
        <f>K257-H257</f>
        <v/>
      </c>
    </row>
    <row r="258">
      <c r="A258" t="inlineStr">
        <is>
          <t>GW-0408</t>
        </is>
      </c>
      <c r="B258" t="inlineStr">
        <is>
          <t>Megan Santiago</t>
        </is>
      </c>
      <c r="C258" t="inlineStr">
        <is>
          <t>Gullwing</t>
        </is>
      </c>
      <c r="D258" t="inlineStr">
        <is>
          <t>OPEN</t>
        </is>
      </c>
      <c r="E258" t="n">
        <v>21</v>
      </c>
      <c r="F258" t="n">
        <v>28</v>
      </c>
      <c r="G258" t="n">
        <v>7.55</v>
      </c>
      <c r="H258" t="n">
        <v>211.4</v>
      </c>
      <c r="I258">
        <f>ROUNDUP(E258, 0)</f>
        <v/>
      </c>
      <c r="J258">
        <f>IF(D258="COVERED", 10.40, 7.55)</f>
        <v/>
      </c>
      <c r="K258">
        <f>ROUND(I258*J258, 2)</f>
        <v/>
      </c>
      <c r="L258">
        <f>K258-H258</f>
        <v/>
      </c>
    </row>
    <row r="259">
      <c r="A259" t="inlineStr">
        <is>
          <t>GW-0410</t>
        </is>
      </c>
      <c r="B259" t="inlineStr">
        <is>
          <t>Erika Martin</t>
        </is>
      </c>
      <c r="C259" t="inlineStr">
        <is>
          <t>Gullwing</t>
        </is>
      </c>
      <c r="D259" t="inlineStr">
        <is>
          <t>OPEN</t>
        </is>
      </c>
      <c r="E259" t="n">
        <v>40.2</v>
      </c>
      <c r="F259" t="n">
        <v>70</v>
      </c>
      <c r="G259" t="n">
        <v>7.55</v>
      </c>
      <c r="H259" t="n">
        <v>528.5</v>
      </c>
      <c r="I259">
        <f>ROUNDUP(E259, 0)</f>
        <v/>
      </c>
      <c r="J259">
        <f>IF(D259="COVERED", 10.40, 7.55)</f>
        <v/>
      </c>
      <c r="K259">
        <f>ROUND(I259*J259, 2)</f>
        <v/>
      </c>
      <c r="L259">
        <f>K259-H259</f>
        <v/>
      </c>
    </row>
    <row r="260">
      <c r="A260" t="inlineStr">
        <is>
          <t>GW-0413</t>
        </is>
      </c>
      <c r="B260" t="inlineStr">
        <is>
          <t>Chad David</t>
        </is>
      </c>
      <c r="C260" t="inlineStr">
        <is>
          <t>Gullwing</t>
        </is>
      </c>
      <c r="D260" t="inlineStr">
        <is>
          <t>OPEN</t>
        </is>
      </c>
      <c r="E260" t="n">
        <v>24.7</v>
      </c>
      <c r="F260" t="n">
        <v>60</v>
      </c>
      <c r="G260" t="n">
        <v>7.55</v>
      </c>
      <c r="H260" t="n">
        <v>453</v>
      </c>
      <c r="I260">
        <f>ROUNDUP(E260, 0)</f>
        <v/>
      </c>
      <c r="J260">
        <f>IF(D260="COVERED", 10.40, 7.55)</f>
        <v/>
      </c>
      <c r="K260">
        <f>ROUND(I260*J260, 2)</f>
        <v/>
      </c>
      <c r="L260">
        <f>K260-H260</f>
        <v/>
      </c>
    </row>
    <row r="261">
      <c r="A261" t="inlineStr">
        <is>
          <t>GW-0414</t>
        </is>
      </c>
      <c r="B261" t="inlineStr">
        <is>
          <t>Steven Harris</t>
        </is>
      </c>
      <c r="C261" t="inlineStr">
        <is>
          <t>Gullwing</t>
        </is>
      </c>
      <c r="D261" t="inlineStr">
        <is>
          <t>OPEN</t>
        </is>
      </c>
      <c r="E261" t="n">
        <v>31.7</v>
      </c>
      <c r="F261" t="n">
        <v>45</v>
      </c>
      <c r="G261" t="n">
        <v>7.55</v>
      </c>
      <c r="H261" t="n">
        <v>339.75</v>
      </c>
      <c r="I261">
        <f>ROUNDUP(E261, 0)</f>
        <v/>
      </c>
      <c r="J261">
        <f>IF(D261="COVERED", 10.40, 7.55)</f>
        <v/>
      </c>
      <c r="K261">
        <f>ROUND(I261*J261, 2)</f>
        <v/>
      </c>
      <c r="L261">
        <f>K261-H261</f>
        <v/>
      </c>
    </row>
    <row r="262">
      <c r="A262" t="inlineStr">
        <is>
          <t>GW-0416</t>
        </is>
      </c>
      <c r="B262" t="inlineStr">
        <is>
          <t>Ashley Smith</t>
        </is>
      </c>
      <c r="C262" t="inlineStr">
        <is>
          <t>Gullwing</t>
        </is>
      </c>
      <c r="D262" t="inlineStr">
        <is>
          <t>OPEN</t>
        </is>
      </c>
      <c r="E262" t="n">
        <v>23.7</v>
      </c>
      <c r="F262" t="n">
        <v>32</v>
      </c>
      <c r="G262" t="n">
        <v>7.55</v>
      </c>
      <c r="H262" t="n">
        <v>241.6</v>
      </c>
      <c r="I262">
        <f>ROUNDUP(E262, 0)</f>
        <v/>
      </c>
      <c r="J262">
        <f>IF(D262="COVERED", 10.40, 7.55)</f>
        <v/>
      </c>
      <c r="K262">
        <f>ROUND(I262*J262, 2)</f>
        <v/>
      </c>
      <c r="L262">
        <f>K262-H262</f>
        <v/>
      </c>
    </row>
    <row r="263">
      <c r="A263" t="inlineStr">
        <is>
          <t>GW-0419</t>
        </is>
      </c>
      <c r="B263" t="inlineStr">
        <is>
          <t>Brenda Norman</t>
        </is>
      </c>
      <c r="C263" t="inlineStr">
        <is>
          <t>Gullwing</t>
        </is>
      </c>
      <c r="D263" t="inlineStr">
        <is>
          <t>OPEN</t>
        </is>
      </c>
      <c r="E263" t="n">
        <v>27</v>
      </c>
      <c r="F263" t="n">
        <v>32</v>
      </c>
      <c r="G263" t="n">
        <v>7.55</v>
      </c>
      <c r="H263" t="n">
        <v>241.6</v>
      </c>
      <c r="I263">
        <f>ROUNDUP(E263, 0)</f>
        <v/>
      </c>
      <c r="J263">
        <f>IF(D263="COVERED", 10.40, 7.55)</f>
        <v/>
      </c>
      <c r="K263">
        <f>ROUND(I263*J263, 2)</f>
        <v/>
      </c>
      <c r="L263">
        <f>K263-H263</f>
        <v/>
      </c>
    </row>
    <row r="264">
      <c r="A264" t="inlineStr">
        <is>
          <t>GW-0420</t>
        </is>
      </c>
      <c r="B264" t="inlineStr">
        <is>
          <t>Shelia Lewis</t>
        </is>
      </c>
      <c r="C264" t="inlineStr">
        <is>
          <t>Gullwing</t>
        </is>
      </c>
      <c r="D264" t="inlineStr">
        <is>
          <t>OPEN</t>
        </is>
      </c>
      <c r="E264" t="n">
        <v>18.5</v>
      </c>
      <c r="F264" t="n">
        <v>28</v>
      </c>
      <c r="G264" t="n">
        <v>7.55</v>
      </c>
      <c r="H264" t="n">
        <v>211.4</v>
      </c>
      <c r="I264">
        <f>ROUNDUP(E264, 0)</f>
        <v/>
      </c>
      <c r="J264">
        <f>IF(D264="COVERED", 10.40, 7.55)</f>
        <v/>
      </c>
      <c r="K264">
        <f>ROUND(I264*J264, 2)</f>
        <v/>
      </c>
      <c r="L264">
        <f>K264-H264</f>
        <v/>
      </c>
    </row>
    <row r="265">
      <c r="A265" t="inlineStr">
        <is>
          <t>GW-0421</t>
        </is>
      </c>
      <c r="B265" t="inlineStr">
        <is>
          <t>David Williams</t>
        </is>
      </c>
      <c r="C265" t="inlineStr">
        <is>
          <t>Gullwing</t>
        </is>
      </c>
      <c r="D265" t="inlineStr">
        <is>
          <t>OPEN</t>
        </is>
      </c>
      <c r="E265" t="n">
        <v>46.6</v>
      </c>
      <c r="F265" t="n">
        <v>80</v>
      </c>
      <c r="G265" t="n">
        <v>7.55</v>
      </c>
      <c r="H265" t="n">
        <v>604</v>
      </c>
      <c r="I265">
        <f>ROUNDUP(E265, 0)</f>
        <v/>
      </c>
      <c r="J265">
        <f>IF(D265="COVERED", 10.40, 7.55)</f>
        <v/>
      </c>
      <c r="K265">
        <f>ROUND(I265*J265, 2)</f>
        <v/>
      </c>
      <c r="L265">
        <f>K265-H265</f>
        <v/>
      </c>
    </row>
    <row r="266">
      <c r="A266" t="inlineStr">
        <is>
          <t>GW-0422</t>
        </is>
      </c>
      <c r="B266" t="inlineStr">
        <is>
          <t>Ashley Duncan</t>
        </is>
      </c>
      <c r="C266" t="inlineStr">
        <is>
          <t>Gullwing</t>
        </is>
      </c>
      <c r="D266" t="inlineStr">
        <is>
          <t>OPEN</t>
        </is>
      </c>
      <c r="E266" t="n">
        <v>40.9</v>
      </c>
      <c r="F266" t="n">
        <v>80</v>
      </c>
      <c r="G266" t="n">
        <v>7.55</v>
      </c>
      <c r="H266" t="n">
        <v>604</v>
      </c>
      <c r="I266">
        <f>ROUNDUP(E266, 0)</f>
        <v/>
      </c>
      <c r="J266">
        <f>IF(D266="COVERED", 10.40, 7.55)</f>
        <v/>
      </c>
      <c r="K266">
        <f>ROUND(I266*J266, 2)</f>
        <v/>
      </c>
      <c r="L266">
        <f>K266-H266</f>
        <v/>
      </c>
    </row>
    <row r="267">
      <c r="A267" t="inlineStr">
        <is>
          <t>GW-0501</t>
        </is>
      </c>
      <c r="B267" t="inlineStr">
        <is>
          <t>Joel Barnes</t>
        </is>
      </c>
      <c r="C267" t="inlineStr">
        <is>
          <t>Gullwing</t>
        </is>
      </c>
      <c r="D267" t="inlineStr">
        <is>
          <t>OPEN</t>
        </is>
      </c>
      <c r="E267" t="n">
        <v>22.6</v>
      </c>
      <c r="F267" t="n">
        <v>40</v>
      </c>
      <c r="G267" t="n">
        <v>7.55</v>
      </c>
      <c r="H267" t="n">
        <v>302</v>
      </c>
      <c r="I267">
        <f>ROUNDUP(E267, 0)</f>
        <v/>
      </c>
      <c r="J267">
        <f>IF(D267="COVERED", 10.40, 7.55)</f>
        <v/>
      </c>
      <c r="K267">
        <f>ROUND(I267*J267, 2)</f>
        <v/>
      </c>
      <c r="L267">
        <f>K267-H267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tenant</t>
        </is>
      </c>
      <c r="C1" s="1" t="inlineStr">
        <is>
          <t>slip_id</t>
        </is>
      </c>
      <c r="D1" s="1" t="inlineStr">
        <is>
          <t>basin</t>
        </is>
      </c>
      <c r="E1" s="1" t="inlineStr">
        <is>
          <t>current</t>
        </is>
      </c>
      <c r="F1" s="1" t="inlineStr">
        <is>
          <t>days_30</t>
        </is>
      </c>
      <c r="G1" s="1" t="inlineStr">
        <is>
          <t>days_60</t>
        </is>
      </c>
      <c r="H1" s="1" t="inlineStr">
        <is>
          <t>days_90</t>
        </is>
      </c>
      <c r="I1" s="1" t="inlineStr">
        <is>
          <t>days_120_plus</t>
        </is>
      </c>
      <c r="J1" s="1" t="inlineStr">
        <is>
          <t>total_due</t>
        </is>
      </c>
      <c r="K1" s="1" t="inlineStr">
        <is>
          <t>payment_status</t>
        </is>
      </c>
    </row>
    <row r="2">
      <c r="A2" t="inlineStr">
        <is>
          <t>AC-LP-0602</t>
        </is>
      </c>
      <c r="B2" t="inlineStr">
        <is>
          <t>Lee Maldonado</t>
        </is>
      </c>
      <c r="C2" t="inlineStr">
        <is>
          <t>LP-0602</t>
        </is>
      </c>
      <c r="D2" t="inlineStr">
        <is>
          <t>Ledgport</t>
        </is>
      </c>
      <c r="E2" t="n">
        <v>603.2</v>
      </c>
      <c r="F2" t="n">
        <v>603.2</v>
      </c>
      <c r="G2" t="n">
        <v>603.2</v>
      </c>
      <c r="H2" t="n">
        <v>603.2</v>
      </c>
      <c r="I2" t="n">
        <v>603.2</v>
      </c>
      <c r="J2" t="n">
        <v>3016</v>
      </c>
      <c r="K2" t="inlineStr">
        <is>
          <t>COLLECTIONS</t>
        </is>
      </c>
    </row>
    <row r="3">
      <c r="A3" t="inlineStr">
        <is>
          <t>AC-LP-0713</t>
        </is>
      </c>
      <c r="B3" t="inlineStr">
        <is>
          <t>Stacey Mitchell</t>
        </is>
      </c>
      <c r="C3" t="inlineStr">
        <is>
          <t>LP-0713</t>
        </is>
      </c>
      <c r="D3" t="inlineStr">
        <is>
          <t>Ledgport</t>
        </is>
      </c>
      <c r="E3" t="n">
        <v>416</v>
      </c>
      <c r="F3" t="n">
        <v>416</v>
      </c>
      <c r="G3" t="n">
        <v>416</v>
      </c>
      <c r="H3" t="n">
        <v>416</v>
      </c>
      <c r="I3" t="n">
        <v>832</v>
      </c>
      <c r="J3" t="n">
        <v>2496</v>
      </c>
      <c r="K3" t="inlineStr">
        <is>
          <t>COLLECTIONS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2026-09-13T20:31:56Z</dcterms:created>
  <dcterms:modified xmlns:dcterms="http://purl.org/dc/terms/" xmlns:xsi="http://www.w3.org/2001/XMLSchema-instance" xsi:type="dcterms:W3CDTF">2026-09-13T20:31:56Z</dcterms:modified>
</cp:coreProperties>
</file>