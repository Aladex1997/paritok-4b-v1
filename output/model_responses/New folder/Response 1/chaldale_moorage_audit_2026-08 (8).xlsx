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Queue Exceptions" sheetId="2" state="visible" r:id="rId4"/>
    <sheet name="Billing Reconciliations" sheetId="3" state="visible" r:id="rId5"/>
    <sheet name="Aging" sheetId="4" state="visible" r:id="rId6"/>
  </sheets>
  <definedNames>
    <definedName function="false" hidden="false" localSheetId="3" name="_xlnm.Print_Area" vbProcedure="false">Aging!$A$1:$R$11</definedName>
    <definedName function="false" hidden="true" localSheetId="3" name="_xlnm._FilterDatabase" vbProcedure="false">Aging!$A$4:$R$10</definedName>
    <definedName function="false" hidden="false" localSheetId="2" name="_xlnm.Print_Area" vbProcedure="false">'Billing Reconciliations'!$A$1:$AB$1091</definedName>
    <definedName function="false" hidden="true" localSheetId="2" name="_xlnm._FilterDatabase" vbProcedure="false">'Billing Reconciliations'!$A$4:$AB$1090</definedName>
    <definedName function="false" hidden="false" localSheetId="1" name="_xlnm.Print_Area" vbProcedure="false">'Queue Exceptions'!$A$1:$AJ$313</definedName>
    <definedName function="false" hidden="true" localSheetId="1" name="_xlnm._FilterDatabase" vbProcedure="false">'Queue Exceptions'!$A$4:$AJ$313</definedName>
    <definedName function="false" hidden="false" localSheetId="0" name="_xlnm.Print_Area" vbProcedure="false">Summary!$A$1:$D$31</definedName>
    <definedName function="false" hidden="true" localSheetId="0" name="_xlnm._FilterDatabase" vbProcedure="false">Summary!$A$5:$D$31</definedName>
    <definedName function="false" hidden="false" localSheetId="1" name="_xlnm.Print_Titles" vbProcedure="false">'Queue Exceptions'!1:4</definedName>
    <definedName function="false" hidden="false" localSheetId="2" name="_xlnm.Print_Titles" vbProcedure="false">'Billing Reconciliations'!1:4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<sst xmlns="http://schemas.openxmlformats.org/spreadsheetml/2006/main" count="15452" uniqueCount="7406">
  <si>
    <t xml:space="preserve">MOORAGE AUDIT | Administrator Review</t>
  </si>
  <si>
    <t xml:space="preserve">Audit date: 1 August 2026 | Queue scope: 1 January 2023 through 31 July 2026 | Dollar amounts before tax</t>
  </si>
  <si>
    <t xml:space="preserve">Decision view</t>
  </si>
  <si>
    <t xml:space="preserve">Metric</t>
  </si>
  <si>
    <t xml:space="preserve">Result</t>
  </si>
  <si>
    <t xml:space="preserve">Review signal</t>
  </si>
  <si>
    <t xml:space="preserve">Basis / governing source</t>
  </si>
  <si>
    <t xml:space="preserve">QUEUE AND PRIORITY</t>
  </si>
  <si>
    <t xml:space="preserve">In-period skip events reviewed</t>
  </si>
  <si>
    <t xml:space="preserve">Scope</t>
  </si>
  <si>
    <t xml:space="preserve">skip_events_2022_2026.csv; period is inclusive</t>
  </si>
  <si>
    <t xml:space="preserve">Events with one or more audit exceptions</t>
  </si>
  <si>
    <t xml:space="preserve">Board review</t>
  </si>
  <si>
    <t xml:space="preserve">Formula flags overlap; each event counted once</t>
  </si>
  <si>
    <t xml:space="preserve">No exception identified from structured metadata</t>
  </si>
  <si>
    <t xml:space="preserve">Not a certification</t>
  </si>
  <si>
    <t xml:space="preserve">Most physical justification files and day-log pages were not supplied</t>
  </si>
  <si>
    <t xml:space="preserve">Skip predates register application date</t>
  </si>
  <si>
    <t xml:space="preserve">Priority exception</t>
  </si>
  <si>
    <t xml:space="preserve">Tariff Resolution 2019-14 ss.3.1, 4.1</t>
  </si>
  <si>
    <t xml:space="preserve">Required supporting record not attached</t>
  </si>
  <si>
    <t xml:space="preserve">Documentation exception</t>
  </si>
  <si>
    <t xml:space="preserve">Standing Order 15-3 ss.3.2-3.3</t>
  </si>
  <si>
    <t xml:space="preserve">No prior same-class declined/expired offer evidenced</t>
  </si>
  <si>
    <t xml:space="preserve">Eligibility exception</t>
  </si>
  <si>
    <t xml:space="preserve">Tariff Resolution 2019-14 Schedule C C-1(3); covered/open used as slip class</t>
  </si>
  <si>
    <t xml:space="preserve">Offer export or physical-file mismatch</t>
  </si>
  <si>
    <t xml:space="preserve">Record-integrity exception</t>
  </si>
  <si>
    <t xml:space="preserve">offer_events export compared with five in-period PDF files</t>
  </si>
  <si>
    <t xml:space="preserve">Length amendment history not reconciled to register</t>
  </si>
  <si>
    <t xml:space="preserve">amendment_log compared with applicant_register snapshot</t>
  </si>
  <si>
    <t xml:space="preserve">In-force post-adoption LOA amendment lacking named accepted source</t>
  </si>
  <si>
    <t xml:space="preserve">Resolution 2022-06 ss.4.3, 6.1-6.2</t>
  </si>
  <si>
    <t xml:space="preserve">BILLING RECONCILIATION</t>
  </si>
  <si>
    <t xml:space="preserve">Active occupied slips</t>
  </si>
  <si>
    <t xml:space="preserve">slip_inventory_2026-08.csv; OCCUPIED is active</t>
  </si>
  <si>
    <t xml:space="preserve">Exact August postings</t>
  </si>
  <si>
    <t xml:space="preserve">1 August 2026 MONTHLY_MOORAGE rows matched by slip and tenant</t>
  </si>
  <si>
    <t xml:space="preserve">Confirmed posted-charge discrepancies</t>
  </si>
  <si>
    <t xml:space="preserve">Tariff billable length multiplied by the adopted basin rate</t>
  </si>
  <si>
    <t xml:space="preserve">Covered active vessels above 40 billable feet</t>
  </si>
  <si>
    <t xml:space="preserve">Eligibility review</t>
  </si>
  <si>
    <t xml:space="preserve">Resolution 2022-06 s.1.1 limits covered-slip eligibility; it does not cap billing</t>
  </si>
  <si>
    <t xml:space="preserve">No August posting in supplied export</t>
  </si>
  <si>
    <t xml:space="preserve">Complete the export</t>
  </si>
  <si>
    <t xml:space="preserve">Absence is not treated as proof of a $0 bill</t>
  </si>
  <si>
    <t xml:space="preserve">Expected monthly moorage - all active</t>
  </si>
  <si>
    <t xml:space="preserve">Greater of rounded check-in LOA or nominal slip; no billing cap stated</t>
  </si>
  <si>
    <t xml:space="preserve">Posted monthly moorage evidenced</t>
  </si>
  <si>
    <t xml:space="preserve">Supplied 1 August 2026 posting population only</t>
  </si>
  <si>
    <t xml:space="preserve">Confirmed monthly variance (posted - expected)</t>
  </si>
  <si>
    <t xml:space="preserve">Overbilling if positive</t>
  </si>
  <si>
    <t xml:space="preserve">Does not assume absent postings are zero</t>
  </si>
  <si>
    <t xml:space="preserve">Expected charge for no-posting population</t>
  </si>
  <si>
    <t xml:space="preserve">Exposure only</t>
  </si>
  <si>
    <t xml:space="preserve">Actual variance cannot be determined from supplied export</t>
  </si>
  <si>
    <t xml:space="preserve">Apparent all-active export gap</t>
  </si>
  <si>
    <t xml:space="preserve">Do not book</t>
  </si>
  <si>
    <t xml:space="preserve">Treats absent export rows as $0 solely as a completeness control</t>
  </si>
  <si>
    <t xml:space="preserve">AGING</t>
  </si>
  <si>
    <t xml:space="preserve">Active accounts more than 90 days delinquent</t>
  </si>
  <si>
    <t xml:space="preserve">Collections review</t>
  </si>
  <si>
    <t xml:space="preserve">AR_Aging days_90 (91-120) + days_120_plus</t>
  </si>
  <si>
    <t xml:space="preserve">Balance more than 90 days</t>
  </si>
  <si>
    <t xml:space="preserve">July 31 close used as August 1 opening position</t>
  </si>
  <si>
    <t xml:space="preserve">Total due - reported delinquent accounts</t>
  </si>
  <si>
    <t xml:space="preserve">Current through 120+ buckets</t>
  </si>
  <si>
    <t xml:space="preserve">Active slips represented in aging ledger</t>
  </si>
  <si>
    <t xml:space="preserve">Ledger is partial</t>
  </si>
  <si>
    <t xml:space="preserve">ar_aging_2026-07-31.xlsx Summary rows 2-7; 826 active slips omitted</t>
  </si>
  <si>
    <t xml:space="preserve">QUEUE EXCEPTIONS | Rank-order and contemporaneous-file audit</t>
  </si>
  <si>
    <t xml:space="preserve">All 309 in-period events are retained. EXCEPTION is formula-driven from flags AB:AG; blank physical-file evidence is not treated as affirmative compliance.</t>
  </si>
  <si>
    <t xml:space="preserve">Skip ID</t>
  </si>
  <si>
    <t xml:space="preserve">Skip Date</t>
  </si>
  <si>
    <t xml:space="preserve">Applicant ID</t>
  </si>
  <si>
    <t xml:space="preserve">Applicant Name</t>
  </si>
  <si>
    <t xml:space="preserve">Rank at Offer</t>
  </si>
  <si>
    <t xml:space="preserve">Application Date</t>
  </si>
  <si>
    <t xml:space="preserve">Days on List at Skip</t>
  </si>
  <si>
    <t xml:space="preserve">Offer ID</t>
  </si>
  <si>
    <t xml:space="preserve">Slip ID (Export)</t>
  </si>
  <si>
    <t xml:space="preserve">Basin</t>
  </si>
  <si>
    <t xml:space="preserve">Class</t>
  </si>
  <si>
    <t xml:space="preserve">Slip Size Ft</t>
  </si>
  <si>
    <t xml:space="preserve">Reason Code</t>
  </si>
  <si>
    <t xml:space="preserve">Justification Category</t>
  </si>
  <si>
    <t xml:space="preserve">Docs Attached</t>
  </si>
  <si>
    <t xml:space="preserve">Doc Type</t>
  </si>
  <si>
    <t xml:space="preserve">PDF / File Status</t>
  </si>
  <si>
    <t xml:space="preserve">Offer Link</t>
  </si>
  <si>
    <t xml:space="preserve">Prior Qualifying Offer</t>
  </si>
  <si>
    <t xml:space="preserve">Prior Offer Date</t>
  </si>
  <si>
    <t xml:space="preserve">Prior Offer Slip</t>
  </si>
  <si>
    <t xml:space="preserve">Prior Outcome</t>
  </si>
  <si>
    <t xml:space="preserve">Latest Post-8/1/22 LOA Amendment</t>
  </si>
  <si>
    <t xml:space="preserve">Amendment Source</t>
  </si>
  <si>
    <t xml:space="preserve">Source Accepted</t>
  </si>
  <si>
    <t xml:space="preserve">Amended LOA</t>
  </si>
  <si>
    <t xml:space="preserve">Current Register LOA</t>
  </si>
  <si>
    <t xml:space="preserve">Priority Chronology</t>
  </si>
  <si>
    <t xml:space="preserve">Missing Required Attachment</t>
  </si>
  <si>
    <t xml:space="preserve">Missing Same-Class Prior</t>
  </si>
  <si>
    <t xml:space="preserve">Offer / File Conflict</t>
  </si>
  <si>
    <t xml:space="preserve">Length History Mismatch</t>
  </si>
  <si>
    <t xml:space="preserve">Unsupported Length Source</t>
  </si>
  <si>
    <t xml:space="preserve">Audit Result</t>
  </si>
  <si>
    <t xml:space="preserve">Findings</t>
  </si>
  <si>
    <t xml:space="preserve">Source References</t>
  </si>
  <si>
    <t xml:space="preserve">SKP-2023-0095</t>
  </si>
  <si>
    <t xml:space="preserve">WL-03099</t>
  </si>
  <si>
    <t xml:space="preserve">Ryan Robertson</t>
  </si>
  <si>
    <t xml:space="preserve">OFR-2023-0323</t>
  </si>
  <si>
    <t xml:space="preserve">LP-0317</t>
  </si>
  <si>
    <t xml:space="preserve">Ledgport</t>
  </si>
  <si>
    <t xml:space="preserve">COVERED</t>
  </si>
  <si>
    <t xml:space="preserve">vessel-fit</t>
  </si>
  <si>
    <t xml:space="preserve">SLIP_SIZE_MISMATCH</t>
  </si>
  <si>
    <t xml:space="preserve">Y</t>
  </si>
  <si>
    <t xml:space="preserve">OTHER_SUPPORT</t>
  </si>
  <si>
    <t xml:space="preserve">Not supplied</t>
  </si>
  <si>
    <t xml:space="preserve">MATCH</t>
  </si>
  <si>
    <t xml:space="preserve">Skip predates current register application date</t>
  </si>
  <si>
    <t xml:space="preserve">skip_events_2022_2026.csv row 96; applicant_register_2026-08.csv row 2100; offer_events_2022_2026.csv row 324</t>
  </si>
  <si>
    <t xml:space="preserve">SKP-2023-0096</t>
  </si>
  <si>
    <t xml:space="preserve">WL-02685</t>
  </si>
  <si>
    <t xml:space="preserve">Stephanie Hill</t>
  </si>
  <si>
    <t xml:space="preserve">OFR-2023-0324</t>
  </si>
  <si>
    <t xml:space="preserve">LP-0906</t>
  </si>
  <si>
    <t xml:space="preserve">INSURANCE_DECL</t>
  </si>
  <si>
    <t xml:space="preserve">skip_events_2022_2026.csv row 97; applicant_register_2026-08.csv row 1686; offer_events_2022_2026.csv row 325</t>
  </si>
  <si>
    <t xml:space="preserve">SKP-2023-0098</t>
  </si>
  <si>
    <t xml:space="preserve">WL-01959</t>
  </si>
  <si>
    <t xml:space="preserve">Jonathan Moore</t>
  </si>
  <si>
    <t xml:space="preserve">OFR-2023-0334</t>
  </si>
  <si>
    <t xml:space="preserve">VB-1023</t>
  </si>
  <si>
    <t xml:space="preserve">Vessbank</t>
  </si>
  <si>
    <t xml:space="preserve">not-current</t>
  </si>
  <si>
    <t xml:space="preserve">INSURANCE_LAPSE</t>
  </si>
  <si>
    <t xml:space="preserve">WRITTEN_STATEMENT</t>
  </si>
  <si>
    <t xml:space="preserve">skip_events_2022_2026.csv row 99; applicant_register_2026-08.csv row 960; offer_events_2022_2026.csv row 335</t>
  </si>
  <si>
    <t xml:space="preserve">SKP-2023-0099</t>
  </si>
  <si>
    <t xml:space="preserve">WL-01695</t>
  </si>
  <si>
    <t xml:space="preserve">Antonio Leach</t>
  </si>
  <si>
    <t xml:space="preserve">OFR-2023-0338</t>
  </si>
  <si>
    <t xml:space="preserve">EW-0203</t>
  </si>
  <si>
    <t xml:space="preserve">Eastwey</t>
  </si>
  <si>
    <t xml:space="preserve">OPEN</t>
  </si>
  <si>
    <t xml:space="preserve">N</t>
  </si>
  <si>
    <t xml:space="preserve">Skip predates current register application date; Supporting record not attached</t>
  </si>
  <si>
    <t xml:space="preserve">skip_events_2022_2026.csv row 100; applicant_register_2026-08.csv row 696; offer_events_2022_2026.csv row 339</t>
  </si>
  <si>
    <t xml:space="preserve">SKP-2023-0097</t>
  </si>
  <si>
    <t xml:space="preserve">WL-01298</t>
  </si>
  <si>
    <t xml:space="preserve">Jason Boyd</t>
  </si>
  <si>
    <t xml:space="preserve">OFR-2023-0326</t>
  </si>
  <si>
    <t xml:space="preserve">GW-0708</t>
  </si>
  <si>
    <t xml:space="preserve">Gullwing</t>
  </si>
  <si>
    <t xml:space="preserve">No exception identified from structured metadata; physical file not supplied</t>
  </si>
  <si>
    <t xml:space="preserve">skip_events_2022_2026.csv row 98; applicant_register_2026-08.csv row 299; offer_events_2022_2026.csv row 327</t>
  </si>
  <si>
    <t xml:space="preserve">SKP-2023-0102</t>
  </si>
  <si>
    <t xml:space="preserve">WL-03582</t>
  </si>
  <si>
    <t xml:space="preserve">Melissa Jones</t>
  </si>
  <si>
    <t xml:space="preserve">OFR-2023-0346</t>
  </si>
  <si>
    <t xml:space="preserve">GW-0615</t>
  </si>
  <si>
    <t xml:space="preserve">skip_events_2022_2026.csv row 103; applicant_register_2026-08.csv row 2583; offer_events_2022_2026.csv row 347</t>
  </si>
  <si>
    <t xml:space="preserve">SKP-2023-0103</t>
  </si>
  <si>
    <t xml:space="preserve">WL-02918</t>
  </si>
  <si>
    <t xml:space="preserve">Kara Aguilar</t>
  </si>
  <si>
    <t xml:space="preserve">OFR-2023-0350</t>
  </si>
  <si>
    <t xml:space="preserve">LP-1116</t>
  </si>
  <si>
    <t xml:space="preserve">declined-prior-offer</t>
  </si>
  <si>
    <t xml:space="preserve">OTHER</t>
  </si>
  <si>
    <t xml:space="preserve">Skip predates current register application date; No earlier same-class declined/expired offer in export</t>
  </si>
  <si>
    <t xml:space="preserve">skip_events_2022_2026.csv row 104; applicant_register_2026-08.csv row 1919; offer_events_2022_2026.csv row 351</t>
  </si>
  <si>
    <t xml:space="preserve">SKP-2023-0100</t>
  </si>
  <si>
    <t xml:space="preserve">WL-02565</t>
  </si>
  <si>
    <t xml:space="preserve">Christina Smith</t>
  </si>
  <si>
    <t xml:space="preserve">OFR-2023-0343</t>
  </si>
  <si>
    <t xml:space="preserve">GW-0116</t>
  </si>
  <si>
    <t xml:space="preserve">REPAIR_ESTIMATE</t>
  </si>
  <si>
    <t xml:space="preserve">skip_events_2022_2026.csv row 101; applicant_register_2026-08.csv row 1566; offer_events_2022_2026.csv row 344</t>
  </si>
  <si>
    <t xml:space="preserve">SKP-2023-0101</t>
  </si>
  <si>
    <t xml:space="preserve">WL-02664</t>
  </si>
  <si>
    <t xml:space="preserve">Mark Smith</t>
  </si>
  <si>
    <t xml:space="preserve">OFR-2023-0345</t>
  </si>
  <si>
    <t xml:space="preserve">GW-0220</t>
  </si>
  <si>
    <t xml:space="preserve">preference-mismatch</t>
  </si>
  <si>
    <t xml:space="preserve">LOCATION_PREF</t>
  </si>
  <si>
    <t xml:space="preserve">skip_events_2022_2026.csv row 102; applicant_register_2026-08.csv row 1665; offer_events_2022_2026.csv row 346</t>
  </si>
  <si>
    <t xml:space="preserve">SKP-2023-0105</t>
  </si>
  <si>
    <t xml:space="preserve">WL-02366</t>
  </si>
  <si>
    <t xml:space="preserve">Megan Hoffman</t>
  </si>
  <si>
    <t xml:space="preserve">OFR-2023-0361</t>
  </si>
  <si>
    <t xml:space="preserve">skip_events_2022_2026.csv row 106; applicant_register_2026-08.csv row 1367; offer_events_2022_2026.csv row 362</t>
  </si>
  <si>
    <t xml:space="preserve">SKP-2023-0107</t>
  </si>
  <si>
    <t xml:space="preserve">WL-01984</t>
  </si>
  <si>
    <t xml:space="preserve">Vanessa Jackson</t>
  </si>
  <si>
    <t xml:space="preserve">OFR-2023-0368</t>
  </si>
  <si>
    <t xml:space="preserve">GW-0606</t>
  </si>
  <si>
    <t xml:space="preserve">skip_events_2022_2026.csv row 108; applicant_register_2026-08.csv row 985; offer_events_2022_2026.csv row 369</t>
  </si>
  <si>
    <t xml:space="preserve">SKP-2023-0104</t>
  </si>
  <si>
    <t xml:space="preserve">WL-03523</t>
  </si>
  <si>
    <t xml:space="preserve">Darlene Glover</t>
  </si>
  <si>
    <t xml:space="preserve">OFR-2023-0360</t>
  </si>
  <si>
    <t xml:space="preserve">SB-0210</t>
  </si>
  <si>
    <t xml:space="preserve">Salmonberry</t>
  </si>
  <si>
    <t xml:space="preserve">skip_events_2022_2026.csv row 105; applicant_register_2026-08.csv row 2524; offer_events_2022_2026.csv row 361</t>
  </si>
  <si>
    <t xml:space="preserve">SKP-2023-0108</t>
  </si>
  <si>
    <t xml:space="preserve">WL-01649</t>
  </si>
  <si>
    <t xml:space="preserve">Amy Krueger</t>
  </si>
  <si>
    <t xml:space="preserve">OFR-2023-0370</t>
  </si>
  <si>
    <t xml:space="preserve">VB-0717</t>
  </si>
  <si>
    <t xml:space="preserve">skip_events_2022_2026.csv row 109; applicant_register_2026-08.csv row 650; offer_events_2022_2026.csv row 371</t>
  </si>
  <si>
    <t xml:space="preserve">SKP-2023-0109</t>
  </si>
  <si>
    <t xml:space="preserve">WL-03535</t>
  </si>
  <si>
    <t xml:space="preserve">Allison Castro</t>
  </si>
  <si>
    <t xml:space="preserve">OFR-2023-0371</t>
  </si>
  <si>
    <t xml:space="preserve">GW-0101</t>
  </si>
  <si>
    <t xml:space="preserve">skip_events_2022_2026.csv row 110; applicant_register_2026-08.csv row 2536; offer_events_2022_2026.csv row 372</t>
  </si>
  <si>
    <t xml:space="preserve">SKP-2023-0106</t>
  </si>
  <si>
    <t xml:space="preserve">WL-01388</t>
  </si>
  <si>
    <t xml:space="preserve">Sharon Young</t>
  </si>
  <si>
    <t xml:space="preserve">OFR-2023-0364</t>
  </si>
  <si>
    <t xml:space="preserve">SB-0617</t>
  </si>
  <si>
    <t xml:space="preserve">skip_events_2022_2026.csv row 107; applicant_register_2026-08.csv row 389; offer_events_2022_2026.csv row 365</t>
  </si>
  <si>
    <t xml:space="preserve">SKP-2023-0117</t>
  </si>
  <si>
    <t xml:space="preserve">WL-01089</t>
  </si>
  <si>
    <t xml:space="preserve">Erin Holmes</t>
  </si>
  <si>
    <t xml:space="preserve">OFR-2023-0409</t>
  </si>
  <si>
    <t xml:space="preserve">GW-0306</t>
  </si>
  <si>
    <t xml:space="preserve">No earlier same-class declined/expired offer in export</t>
  </si>
  <si>
    <t xml:space="preserve">skip_events_2022_2026.csv row 118; applicant_register_2026-08.csv row 90; offer_events_2022_2026.csv row 410</t>
  </si>
  <si>
    <t xml:space="preserve">SKP-2023-0112</t>
  </si>
  <si>
    <t xml:space="preserve">WL-03014</t>
  </si>
  <si>
    <t xml:space="preserve">Daniel Mitchell</t>
  </si>
  <si>
    <t xml:space="preserve">OFR-2023-0387</t>
  </si>
  <si>
    <t xml:space="preserve">LP-0204</t>
  </si>
  <si>
    <t xml:space="preserve">skip_events_2022_2026.csv row 113; applicant_register_2026-08.csv row 2015; offer_events_2022_2026.csv row 388</t>
  </si>
  <si>
    <t xml:space="preserve">SKP-2023-0115</t>
  </si>
  <si>
    <t xml:space="preserve">WL-01145</t>
  </si>
  <si>
    <t xml:space="preserve">Francisco Weaver</t>
  </si>
  <si>
    <t xml:space="preserve">OFR-2023-0401</t>
  </si>
  <si>
    <t xml:space="preserve">EW-0304</t>
  </si>
  <si>
    <t xml:space="preserve">skip_events_2022_2026.csv row 116; applicant_register_2026-08.csv row 146; offer_events_2022_2026.csv row 402</t>
  </si>
  <si>
    <t xml:space="preserve">SKP-2023-0113</t>
  </si>
  <si>
    <t xml:space="preserve">WL-01886</t>
  </si>
  <si>
    <t xml:space="preserve">Kenneth Riley</t>
  </si>
  <si>
    <t xml:space="preserve">OFR-2023-0392</t>
  </si>
  <si>
    <t xml:space="preserve">skip_events_2022_2026.csv row 114; applicant_register_2026-08.csv row 887; offer_events_2022_2026.csv row 393</t>
  </si>
  <si>
    <t xml:space="preserve">SKP-2023-0114</t>
  </si>
  <si>
    <t xml:space="preserve">WL-02074</t>
  </si>
  <si>
    <t xml:space="preserve">Erika Martin</t>
  </si>
  <si>
    <t xml:space="preserve">OFR-2023-0395</t>
  </si>
  <si>
    <t xml:space="preserve">EW-1007</t>
  </si>
  <si>
    <t xml:space="preserve">skip_events_2022_2026.csv row 115; applicant_register_2026-08.csv row 1075; offer_events_2022_2026.csv row 396</t>
  </si>
  <si>
    <t xml:space="preserve">SKP-2023-0110</t>
  </si>
  <si>
    <t xml:space="preserve">WL-01473</t>
  </si>
  <si>
    <t xml:space="preserve">Ian Parrish</t>
  </si>
  <si>
    <t xml:space="preserve">OFR-2023-0374</t>
  </si>
  <si>
    <t xml:space="preserve">SB-0623</t>
  </si>
  <si>
    <t xml:space="preserve">skip_events_2022_2026.csv row 111; applicant_register_2026-08.csv row 474; offer_events_2022_2026.csv row 375</t>
  </si>
  <si>
    <t xml:space="preserve">SKP-2023-0111</t>
  </si>
  <si>
    <t xml:space="preserve">WL-02941</t>
  </si>
  <si>
    <t xml:space="preserve">Jose Benson</t>
  </si>
  <si>
    <t xml:space="preserve">OFR-2023-0375</t>
  </si>
  <si>
    <t xml:space="preserve">SB-0109</t>
  </si>
  <si>
    <t xml:space="preserve">skip_events_2022_2026.csv row 112; applicant_register_2026-08.csv row 1942; offer_events_2022_2026.csv row 376</t>
  </si>
  <si>
    <t xml:space="preserve">SKP-2023-0116</t>
  </si>
  <si>
    <t xml:space="preserve">WL-01274</t>
  </si>
  <si>
    <t xml:space="preserve">Lisa Campbell</t>
  </si>
  <si>
    <t xml:space="preserve">OFR-2023-0403</t>
  </si>
  <si>
    <t xml:space="preserve">GW-0905</t>
  </si>
  <si>
    <t xml:space="preserve">skip_events_2022_2026.csv row 117; applicant_register_2026-08.csv row 275; offer_events_2022_2026.csv row 404</t>
  </si>
  <si>
    <t xml:space="preserve">SKP-2023-0120</t>
  </si>
  <si>
    <t xml:space="preserve">WL-01469</t>
  </si>
  <si>
    <t xml:space="preserve">John Lynch</t>
  </si>
  <si>
    <t xml:space="preserve">OFR-2023-0417</t>
  </si>
  <si>
    <t xml:space="preserve">LP-1104</t>
  </si>
  <si>
    <t xml:space="preserve">skip_events_2022_2026.csv row 121; applicant_register_2026-08.csv row 470; offer_events_2022_2026.csv row 418</t>
  </si>
  <si>
    <t xml:space="preserve">SKP-2023-0129</t>
  </si>
  <si>
    <t xml:space="preserve">WL-03178</t>
  </si>
  <si>
    <t xml:space="preserve">Kristen Schneider</t>
  </si>
  <si>
    <t xml:space="preserve">OFR-2023-0440</t>
  </si>
  <si>
    <t xml:space="preserve">VB-0810</t>
  </si>
  <si>
    <t xml:space="preserve">skip_events_2022_2026.csv row 130; applicant_register_2026-08.csv row 2179; offer_events_2022_2026.csv row 441</t>
  </si>
  <si>
    <t xml:space="preserve">SKP-2023-0408</t>
  </si>
  <si>
    <t xml:space="preserve">WL-02618</t>
  </si>
  <si>
    <t xml:space="preserve">Gary Tomlinson</t>
  </si>
  <si>
    <t xml:space="preserve">OFR-2023-1487</t>
  </si>
  <si>
    <t xml:space="preserve">GW-0610</t>
  </si>
  <si>
    <t xml:space="preserve">COVER ONLY; supporting record absent</t>
  </si>
  <si>
    <t xml:space="preserve">NO OFFER ID IN EXPORT</t>
  </si>
  <si>
    <t xml:space="preserve">Skip predates current register application date; Supporting record not attached; Offer ID absent from offer export; Physical file conflicts with skip export</t>
  </si>
  <si>
    <t xml:space="preserve">skip_events_2022_2026.csv row 409; applicant_register_2026-08.csv row 1619; WL-02618_skip_justification.pdf p.1</t>
  </si>
  <si>
    <t xml:space="preserve">SKP-2023-0128</t>
  </si>
  <si>
    <t xml:space="preserve">WL-03537</t>
  </si>
  <si>
    <t xml:space="preserve">Angel Wheeler</t>
  </si>
  <si>
    <t xml:space="preserve">OFR-2023-0436</t>
  </si>
  <si>
    <t xml:space="preserve">GW-0709</t>
  </si>
  <si>
    <t xml:space="preserve">skip_events_2022_2026.csv row 129; applicant_register_2026-08.csv row 2538; offer_events_2022_2026.csv row 437</t>
  </si>
  <si>
    <t xml:space="preserve">SKP-2023-0119</t>
  </si>
  <si>
    <t xml:space="preserve">WL-03151</t>
  </si>
  <si>
    <t xml:space="preserve">Elizabeth King</t>
  </si>
  <si>
    <t xml:space="preserve">OFR-2023-0412</t>
  </si>
  <si>
    <t xml:space="preserve">VB-0220</t>
  </si>
  <si>
    <t xml:space="preserve">skip_events_2022_2026.csv row 120; applicant_register_2026-08.csv row 2152; offer_events_2022_2026.csv row 413</t>
  </si>
  <si>
    <t xml:space="preserve">SKP-2023-0126</t>
  </si>
  <si>
    <t xml:space="preserve">WL-02134</t>
  </si>
  <si>
    <t xml:space="preserve">James Martin</t>
  </si>
  <si>
    <t xml:space="preserve">OFR-2023-0432</t>
  </si>
  <si>
    <t xml:space="preserve">EW-0320</t>
  </si>
  <si>
    <t xml:space="preserve">skip_events_2022_2026.csv row 127; applicant_register_2026-08.csv row 1135; offer_events_2022_2026.csv row 433</t>
  </si>
  <si>
    <t xml:space="preserve">SKP-2023-0121</t>
  </si>
  <si>
    <t xml:space="preserve">WL-03181</t>
  </si>
  <si>
    <t xml:space="preserve">Annette Collins</t>
  </si>
  <si>
    <t xml:space="preserve">OFR-2023-0418</t>
  </si>
  <si>
    <t xml:space="preserve">SB-0903</t>
  </si>
  <si>
    <t xml:space="preserve">skip_events_2022_2026.csv row 122; applicant_register_2026-08.csv row 2182; offer_events_2022_2026.csv row 419</t>
  </si>
  <si>
    <t xml:space="preserve">SKP-2023-0118</t>
  </si>
  <si>
    <t xml:space="preserve">WL-02485</t>
  </si>
  <si>
    <t xml:space="preserve">Matthew Dickerson</t>
  </si>
  <si>
    <t xml:space="preserve">OFR-2023-0411</t>
  </si>
  <si>
    <t xml:space="preserve">VB-0521</t>
  </si>
  <si>
    <t xml:space="preserve">skip_events_2022_2026.csv row 119; applicant_register_2026-08.csv row 1486; offer_events_2022_2026.csv row 412</t>
  </si>
  <si>
    <t xml:space="preserve">SKP-2023-0124</t>
  </si>
  <si>
    <t xml:space="preserve">WL-02100</t>
  </si>
  <si>
    <t xml:space="preserve">Michelle Pena</t>
  </si>
  <si>
    <t xml:space="preserve">OFR-2023-0422</t>
  </si>
  <si>
    <t xml:space="preserve">VB-0504</t>
  </si>
  <si>
    <t xml:space="preserve">skip_events_2022_2026.csv row 125; applicant_register_2026-08.csv row 1101; offer_events_2022_2026.csv row 423</t>
  </si>
  <si>
    <t xml:space="preserve">SKP-2023-0122</t>
  </si>
  <si>
    <t xml:space="preserve">WL-03816</t>
  </si>
  <si>
    <t xml:space="preserve">Brittany Lopez</t>
  </si>
  <si>
    <t xml:space="preserve">OFR-2023-0419</t>
  </si>
  <si>
    <t xml:space="preserve">VB-0113</t>
  </si>
  <si>
    <t xml:space="preserve">skip_events_2022_2026.csv row 123; applicant_register_2026-08.csv row 2817; offer_events_2022_2026.csv row 420</t>
  </si>
  <si>
    <t xml:space="preserve">SKP-2023-0123</t>
  </si>
  <si>
    <t xml:space="preserve">WL-03712</t>
  </si>
  <si>
    <t xml:space="preserve">Charles Graham</t>
  </si>
  <si>
    <t xml:space="preserve">OFR-2023-0421</t>
  </si>
  <si>
    <t xml:space="preserve">LP-0113</t>
  </si>
  <si>
    <t xml:space="preserve">skip_events_2022_2026.csv row 124; applicant_register_2026-08.csv row 2713; offer_events_2022_2026.csv row 422</t>
  </si>
  <si>
    <t xml:space="preserve">SKP-2023-0125</t>
  </si>
  <si>
    <t xml:space="preserve">WL-02777</t>
  </si>
  <si>
    <t xml:space="preserve">Carolyn Johnson</t>
  </si>
  <si>
    <t xml:space="preserve">OFR-2023-0429</t>
  </si>
  <si>
    <t xml:space="preserve">LP-0402</t>
  </si>
  <si>
    <t xml:space="preserve">skip_events_2022_2026.csv row 126; applicant_register_2026-08.csv row 1778; offer_events_2022_2026.csv row 430</t>
  </si>
  <si>
    <t xml:space="preserve">SKP-2023-0127</t>
  </si>
  <si>
    <t xml:space="preserve">WL-01420</t>
  </si>
  <si>
    <t xml:space="preserve">Patricia Wilson</t>
  </si>
  <si>
    <t xml:space="preserve">OFR-2023-0435</t>
  </si>
  <si>
    <t xml:space="preserve">SB-0405</t>
  </si>
  <si>
    <t xml:space="preserve">skip_events_2022_2026.csv row 128; applicant_register_2026-08.csv row 421; offer_events_2022_2026.csv row 436</t>
  </si>
  <si>
    <t xml:space="preserve">SKP-2023-0137</t>
  </si>
  <si>
    <t xml:space="preserve">WL-02535</t>
  </si>
  <si>
    <t xml:space="preserve">Shari Hess</t>
  </si>
  <si>
    <t xml:space="preserve">OFR-2023-0462</t>
  </si>
  <si>
    <t xml:space="preserve">VB-0805</t>
  </si>
  <si>
    <t xml:space="preserve">OFR-2022-0264</t>
  </si>
  <si>
    <t xml:space="preserve">LP-1019</t>
  </si>
  <si>
    <t xml:space="preserve">EXPIRED</t>
  </si>
  <si>
    <t xml:space="preserve">skip_events_2022_2026.csv row 138; applicant_register_2026-08.csv row 1536; offer_events_2022_2026.csv row 463</t>
  </si>
  <si>
    <t xml:space="preserve">SKP-2023-0132</t>
  </si>
  <si>
    <t xml:space="preserve">WL-01193</t>
  </si>
  <si>
    <t xml:space="preserve">Mindy Medina</t>
  </si>
  <si>
    <t xml:space="preserve">OFR-2023-0449</t>
  </si>
  <si>
    <t xml:space="preserve">VB-0205</t>
  </si>
  <si>
    <t xml:space="preserve">skip_events_2022_2026.csv row 133; applicant_register_2026-08.csv row 194; offer_events_2022_2026.csv row 450</t>
  </si>
  <si>
    <t xml:space="preserve">SKP-2023-0136</t>
  </si>
  <si>
    <t xml:space="preserve">WL-03758</t>
  </si>
  <si>
    <t xml:space="preserve">Sean Cherry</t>
  </si>
  <si>
    <t xml:space="preserve">OFR-2023-0461</t>
  </si>
  <si>
    <t xml:space="preserve">LP-0121</t>
  </si>
  <si>
    <t xml:space="preserve">MC-2022-0410</t>
  </si>
  <si>
    <t xml:space="preserve">ACCEPTED</t>
  </si>
  <si>
    <t xml:space="preserve">Skip predates current register application date; In-force amendment does not reconcile to current register LOA</t>
  </si>
  <si>
    <t xml:space="preserve">skip_events_2022_2026.csv row 137; applicant_register_2026-08.csv row 2759; offer_events_2022_2026.csv row 462; amendment_log_2022_2026.csv row 436</t>
  </si>
  <si>
    <t xml:space="preserve">SKP-2023-0139</t>
  </si>
  <si>
    <t xml:space="preserve">WL-01129</t>
  </si>
  <si>
    <t xml:space="preserve">Alexander Thompson</t>
  </si>
  <si>
    <t xml:space="preserve">OFR-2023-0469</t>
  </si>
  <si>
    <t xml:space="preserve">GW-0414</t>
  </si>
  <si>
    <t xml:space="preserve">skip_events_2022_2026.csv row 140; applicant_register_2026-08.csv row 130; offer_events_2022_2026.csv row 470</t>
  </si>
  <si>
    <t xml:space="preserve">SKP-2023-0133</t>
  </si>
  <si>
    <t xml:space="preserve">WL-01319</t>
  </si>
  <si>
    <t xml:space="preserve">Janice Roy</t>
  </si>
  <si>
    <t xml:space="preserve">OFR-2023-0457</t>
  </si>
  <si>
    <t xml:space="preserve">GW-1008</t>
  </si>
  <si>
    <t xml:space="preserve">skip_events_2022_2026.csv row 134; applicant_register_2026-08.csv row 320; offer_events_2022_2026.csv row 458</t>
  </si>
  <si>
    <t xml:space="preserve">SKP-2023-0130</t>
  </si>
  <si>
    <t xml:space="preserve">WL-02924</t>
  </si>
  <si>
    <t xml:space="preserve">Heather Hall</t>
  </si>
  <si>
    <t xml:space="preserve">OFR-2023-0447</t>
  </si>
  <si>
    <t xml:space="preserve">VB-0720</t>
  </si>
  <si>
    <t xml:space="preserve">skip_events_2022_2026.csv row 131; applicant_register_2026-08.csv row 1925; offer_events_2022_2026.csv row 448</t>
  </si>
  <si>
    <t xml:space="preserve">SKP-2023-0140</t>
  </si>
  <si>
    <t xml:space="preserve">WL-03100</t>
  </si>
  <si>
    <t xml:space="preserve">Andrew Contreras</t>
  </si>
  <si>
    <t xml:space="preserve">OFR-2023-0473</t>
  </si>
  <si>
    <t xml:space="preserve">EW-0622</t>
  </si>
  <si>
    <t xml:space="preserve">skip_events_2022_2026.csv row 141; applicant_register_2026-08.csv row 2101; offer_events_2022_2026.csv row 474</t>
  </si>
  <si>
    <t xml:space="preserve">SKP-2023-0138</t>
  </si>
  <si>
    <t xml:space="preserve">WL-02663</t>
  </si>
  <si>
    <t xml:space="preserve">Susan Thompson</t>
  </si>
  <si>
    <t xml:space="preserve">OFR-2023-0464</t>
  </si>
  <si>
    <t xml:space="preserve">GW-0810</t>
  </si>
  <si>
    <t xml:space="preserve">skip_events_2022_2026.csv row 139; applicant_register_2026-08.csv row 1664; offer_events_2022_2026.csv row 465</t>
  </si>
  <si>
    <t xml:space="preserve">SKP-2023-0131</t>
  </si>
  <si>
    <t xml:space="preserve">WL-01781</t>
  </si>
  <si>
    <t xml:space="preserve">Crystal Parrish</t>
  </si>
  <si>
    <t xml:space="preserve">OFR-2023-0448</t>
  </si>
  <si>
    <t xml:space="preserve">LP-0220</t>
  </si>
  <si>
    <t xml:space="preserve">skip_events_2022_2026.csv row 132; applicant_register_2026-08.csv row 782; offer_events_2022_2026.csv row 449</t>
  </si>
  <si>
    <t xml:space="preserve">SKP-2023-0134</t>
  </si>
  <si>
    <t xml:space="preserve">WL-02173</t>
  </si>
  <si>
    <t xml:space="preserve">Lisa Parker</t>
  </si>
  <si>
    <t xml:space="preserve">OFR-2023-0458</t>
  </si>
  <si>
    <t xml:space="preserve">SB-0205</t>
  </si>
  <si>
    <t xml:space="preserve">skip_events_2022_2026.csv row 135; applicant_register_2026-08.csv row 1174; offer_events_2022_2026.csv row 459</t>
  </si>
  <si>
    <t xml:space="preserve">SKP-2023-0135</t>
  </si>
  <si>
    <t xml:space="preserve">WL-01568</t>
  </si>
  <si>
    <t xml:space="preserve">Rebecca Lozano</t>
  </si>
  <si>
    <t xml:space="preserve">OFR-2023-0460</t>
  </si>
  <si>
    <t xml:space="preserve">LP-0219</t>
  </si>
  <si>
    <t xml:space="preserve">skip_events_2022_2026.csv row 136; applicant_register_2026-08.csv row 569; offer_events_2022_2026.csv row 461</t>
  </si>
  <si>
    <t xml:space="preserve">SKP-2023-0143</t>
  </si>
  <si>
    <t xml:space="preserve">WL-01712</t>
  </si>
  <si>
    <t xml:space="preserve">Kevin Liu</t>
  </si>
  <si>
    <t xml:space="preserve">OFR-2023-0481</t>
  </si>
  <si>
    <t xml:space="preserve">GW-0118</t>
  </si>
  <si>
    <t xml:space="preserve">skip_events_2022_2026.csv row 144; applicant_register_2026-08.csv row 713; offer_events_2022_2026.csv row 482</t>
  </si>
  <si>
    <t xml:space="preserve">SKP-2023-0150</t>
  </si>
  <si>
    <t xml:space="preserve">WL-01924</t>
  </si>
  <si>
    <t xml:space="preserve">Angela Alexander</t>
  </si>
  <si>
    <t xml:space="preserve">OFR-2023-0501</t>
  </si>
  <si>
    <t xml:space="preserve">EW-0111</t>
  </si>
  <si>
    <t xml:space="preserve">skip_events_2022_2026.csv row 151; applicant_register_2026-08.csv row 925; offer_events_2022_2026.csv row 502</t>
  </si>
  <si>
    <t xml:space="preserve">SKP-2023-0141</t>
  </si>
  <si>
    <t xml:space="preserve">WL-03857</t>
  </si>
  <si>
    <t xml:space="preserve">Catherine Davis</t>
  </si>
  <si>
    <t xml:space="preserve">OFR-2023-0478</t>
  </si>
  <si>
    <t xml:space="preserve">SB-0602</t>
  </si>
  <si>
    <t xml:space="preserve">skip_events_2022_2026.csv row 142; applicant_register_2026-08.csv row 2858; offer_events_2022_2026.csv row 479</t>
  </si>
  <si>
    <t xml:space="preserve">SKP-2023-0144</t>
  </si>
  <si>
    <t xml:space="preserve">WL-02160</t>
  </si>
  <si>
    <t xml:space="preserve">Alexander Lawrence</t>
  </si>
  <si>
    <t xml:space="preserve">OFR-2023-0483</t>
  </si>
  <si>
    <t xml:space="preserve">LP-0520</t>
  </si>
  <si>
    <t xml:space="preserve">skip_events_2022_2026.csv row 145; applicant_register_2026-08.csv row 1161; offer_events_2022_2026.csv row 484</t>
  </si>
  <si>
    <t xml:space="preserve">SKP-2023-0145</t>
  </si>
  <si>
    <t xml:space="preserve">WL-01242</t>
  </si>
  <si>
    <t xml:space="preserve">Melissa Villanueva</t>
  </si>
  <si>
    <t xml:space="preserve">OFR-2023-0485</t>
  </si>
  <si>
    <t xml:space="preserve">SB-0314</t>
  </si>
  <si>
    <t xml:space="preserve">skip_events_2022_2026.csv row 146; applicant_register_2026-08.csv row 243; offer_events_2022_2026.csv row 486</t>
  </si>
  <si>
    <t xml:space="preserve">SKP-2023-0148</t>
  </si>
  <si>
    <t xml:space="preserve">WL-02206</t>
  </si>
  <si>
    <t xml:space="preserve">Mary Morris</t>
  </si>
  <si>
    <t xml:space="preserve">OFR-2023-0490</t>
  </si>
  <si>
    <t xml:space="preserve">GW-0719</t>
  </si>
  <si>
    <t xml:space="preserve">skip_events_2022_2026.csv row 149; applicant_register_2026-08.csv row 1207; offer_events_2022_2026.csv row 491</t>
  </si>
  <si>
    <t xml:space="preserve">SKP-2023-0142</t>
  </si>
  <si>
    <t xml:space="preserve">WL-01054</t>
  </si>
  <si>
    <t xml:space="preserve">Cynthia Smith</t>
  </si>
  <si>
    <t xml:space="preserve">OFR-2023-0479</t>
  </si>
  <si>
    <t xml:space="preserve">VB-0620</t>
  </si>
  <si>
    <t xml:space="preserve">skip_events_2022_2026.csv row 143; applicant_register_2026-08.csv row 55; offer_events_2022_2026.csv row 480</t>
  </si>
  <si>
    <t xml:space="preserve">SKP-2023-0152</t>
  </si>
  <si>
    <t xml:space="preserve">WL-03411</t>
  </si>
  <si>
    <t xml:space="preserve">Miguel Boyd</t>
  </si>
  <si>
    <t xml:space="preserve">OFR-2023-0505</t>
  </si>
  <si>
    <t xml:space="preserve">VB-0719</t>
  </si>
  <si>
    <t xml:space="preserve">skip_events_2022_2026.csv row 153; applicant_register_2026-08.csv row 2412; offer_events_2022_2026.csv row 506</t>
  </si>
  <si>
    <t xml:space="preserve">SKP-2023-0146</t>
  </si>
  <si>
    <t xml:space="preserve">WL-02199</t>
  </si>
  <si>
    <t xml:space="preserve">Patricia Perez</t>
  </si>
  <si>
    <t xml:space="preserve">OFR-2023-0486</t>
  </si>
  <si>
    <t xml:space="preserve">GW-1003</t>
  </si>
  <si>
    <t xml:space="preserve">skip_events_2022_2026.csv row 147; applicant_register_2026-08.csv row 1200; offer_events_2022_2026.csv row 487</t>
  </si>
  <si>
    <t xml:space="preserve">SKP-2023-0147</t>
  </si>
  <si>
    <t xml:space="preserve">WL-01248</t>
  </si>
  <si>
    <t xml:space="preserve">Michael Gray</t>
  </si>
  <si>
    <t xml:space="preserve">OFR-2023-0489</t>
  </si>
  <si>
    <t xml:space="preserve">SB-0915</t>
  </si>
  <si>
    <t xml:space="preserve">skip_events_2022_2026.csv row 148; applicant_register_2026-08.csv row 249; offer_events_2022_2026.csv row 490</t>
  </si>
  <si>
    <t xml:space="preserve">SKP-2023-0149</t>
  </si>
  <si>
    <t xml:space="preserve">WL-02706</t>
  </si>
  <si>
    <t xml:space="preserve">Allison Fisher</t>
  </si>
  <si>
    <t xml:space="preserve">OFR-2023-0495</t>
  </si>
  <si>
    <t xml:space="preserve">LP-0104</t>
  </si>
  <si>
    <t xml:space="preserve">skip_events_2022_2026.csv row 150; applicant_register_2026-08.csv row 1707; offer_events_2022_2026.csv row 496</t>
  </si>
  <si>
    <t xml:space="preserve">SKP-2023-0151</t>
  </si>
  <si>
    <t xml:space="preserve">WL-03652</t>
  </si>
  <si>
    <t xml:space="preserve">Lisa Strickland</t>
  </si>
  <si>
    <t xml:space="preserve">OFR-2023-0504</t>
  </si>
  <si>
    <t xml:space="preserve">GW-0301</t>
  </si>
  <si>
    <t xml:space="preserve">skip_events_2022_2026.csv row 152; applicant_register_2026-08.csv row 2653; offer_events_2022_2026.csv row 505</t>
  </si>
  <si>
    <t xml:space="preserve">SKP-2023-0156</t>
  </si>
  <si>
    <t xml:space="preserve">WL-02603</t>
  </si>
  <si>
    <t xml:space="preserve">Sharon Lopez</t>
  </si>
  <si>
    <t xml:space="preserve">OFR-2023-0518</t>
  </si>
  <si>
    <t xml:space="preserve">GW-0611</t>
  </si>
  <si>
    <t xml:space="preserve">skip_events_2022_2026.csv row 157; applicant_register_2026-08.csv row 1604; offer_events_2022_2026.csv row 519</t>
  </si>
  <si>
    <t xml:space="preserve">SKP-2023-0160</t>
  </si>
  <si>
    <t xml:space="preserve">WL-01367</t>
  </si>
  <si>
    <t xml:space="preserve">Stephen Golden</t>
  </si>
  <si>
    <t xml:space="preserve">OFR-2023-0530</t>
  </si>
  <si>
    <t xml:space="preserve">GW-0703</t>
  </si>
  <si>
    <t xml:space="preserve">skip_events_2022_2026.csv row 161; applicant_register_2026-08.csv row 368; offer_events_2022_2026.csv row 531</t>
  </si>
  <si>
    <t xml:space="preserve">SKP-2023-0153</t>
  </si>
  <si>
    <t xml:space="preserve">WL-01029</t>
  </si>
  <si>
    <t xml:space="preserve">John Wang</t>
  </si>
  <si>
    <t xml:space="preserve">OFR-2023-0508</t>
  </si>
  <si>
    <t xml:space="preserve">EW-0119</t>
  </si>
  <si>
    <t xml:space="preserve">OFR-2023-0351</t>
  </si>
  <si>
    <t xml:space="preserve">SB-0717</t>
  </si>
  <si>
    <t xml:space="preserve">DECLINED_RETAINER</t>
  </si>
  <si>
    <t xml:space="preserve">skip_events_2022_2026.csv row 154; applicant_register_2026-08.csv row 30; offer_events_2022_2026.csv row 509</t>
  </si>
  <si>
    <t xml:space="preserve">SKP-2023-0155</t>
  </si>
  <si>
    <t xml:space="preserve">WL-01297</t>
  </si>
  <si>
    <t xml:space="preserve">Alan Harris</t>
  </si>
  <si>
    <t xml:space="preserve">OFR-2023-0517</t>
  </si>
  <si>
    <t xml:space="preserve">VB-0512</t>
  </si>
  <si>
    <t xml:space="preserve">skip_events_2022_2026.csv row 156; applicant_register_2026-08.csv row 298; offer_events_2022_2026.csv row 518</t>
  </si>
  <si>
    <t xml:space="preserve">SKP-2023-0159</t>
  </si>
  <si>
    <t xml:space="preserve">WL-01360</t>
  </si>
  <si>
    <t xml:space="preserve">Desiree Sullivan</t>
  </si>
  <si>
    <t xml:space="preserve">OFR-2023-0528</t>
  </si>
  <si>
    <t xml:space="preserve">LP-0516</t>
  </si>
  <si>
    <t xml:space="preserve">skip_events_2022_2026.csv row 160; applicant_register_2026-08.csv row 361; offer_events_2022_2026.csv row 529</t>
  </si>
  <si>
    <t xml:space="preserve">SKP-2023-0154</t>
  </si>
  <si>
    <t xml:space="preserve">WL-01847</t>
  </si>
  <si>
    <t xml:space="preserve">Amy Carlson</t>
  </si>
  <si>
    <t xml:space="preserve">OFR-2023-0515</t>
  </si>
  <si>
    <t xml:space="preserve">EW-0110</t>
  </si>
  <si>
    <t xml:space="preserve">skip_events_2022_2026.csv row 155; applicant_register_2026-08.csv row 848; offer_events_2022_2026.csv row 516</t>
  </si>
  <si>
    <t xml:space="preserve">SKP-2023-0161</t>
  </si>
  <si>
    <t xml:space="preserve">WL-02793</t>
  </si>
  <si>
    <t xml:space="preserve">David Franco</t>
  </si>
  <si>
    <t xml:space="preserve">OFR-2023-0533</t>
  </si>
  <si>
    <t xml:space="preserve">EW-0814</t>
  </si>
  <si>
    <t xml:space="preserve">skip_events_2022_2026.csv row 162; applicant_register_2026-08.csv row 1794; offer_events_2022_2026.csv row 534</t>
  </si>
  <si>
    <t xml:space="preserve">SKP-2023-0157</t>
  </si>
  <si>
    <t xml:space="preserve">WL-03153</t>
  </si>
  <si>
    <t xml:space="preserve">Derrick Webb</t>
  </si>
  <si>
    <t xml:space="preserve">OFR-2023-0524</t>
  </si>
  <si>
    <t xml:space="preserve">EW-0213</t>
  </si>
  <si>
    <t xml:space="preserve">skip_events_2022_2026.csv row 158; applicant_register_2026-08.csv row 2154; offer_events_2022_2026.csv row 525</t>
  </si>
  <si>
    <t xml:space="preserve">SKP-2023-0158</t>
  </si>
  <si>
    <t xml:space="preserve">WL-02650</t>
  </si>
  <si>
    <t xml:space="preserve">Alex White</t>
  </si>
  <si>
    <t xml:space="preserve">OFR-2023-0526</t>
  </si>
  <si>
    <t xml:space="preserve">EW-0310</t>
  </si>
  <si>
    <t xml:space="preserve">skip_events_2022_2026.csv row 159; applicant_register_2026-08.csv row 1651; offer_events_2022_2026.csv row 527</t>
  </si>
  <si>
    <t xml:space="preserve">SKP-2023-0173</t>
  </si>
  <si>
    <t xml:space="preserve">WL-03715</t>
  </si>
  <si>
    <t xml:space="preserve">Aaron Lee</t>
  </si>
  <si>
    <t xml:space="preserve">OFR-2023-0577</t>
  </si>
  <si>
    <t xml:space="preserve">VB-0705</t>
  </si>
  <si>
    <t xml:space="preserve">skip_events_2022_2026.csv row 174; applicant_register_2026-08.csv row 2716; offer_events_2022_2026.csv row 578</t>
  </si>
  <si>
    <t xml:space="preserve">SKP-2023-0170</t>
  </si>
  <si>
    <t xml:space="preserve">WL-03700</t>
  </si>
  <si>
    <t xml:space="preserve">Jonathan Diaz</t>
  </si>
  <si>
    <t xml:space="preserve">OFR-2023-0571</t>
  </si>
  <si>
    <t xml:space="preserve">LP-0412</t>
  </si>
  <si>
    <t xml:space="preserve">skip_events_2022_2026.csv row 171; applicant_register_2026-08.csv row 2701; offer_events_2022_2026.csv row 572</t>
  </si>
  <si>
    <t xml:space="preserve">SKP-2023-0164</t>
  </si>
  <si>
    <t xml:space="preserve">WL-03673</t>
  </si>
  <si>
    <t xml:space="preserve">Angela Gibson</t>
  </si>
  <si>
    <t xml:space="preserve">OFR-2023-0547</t>
  </si>
  <si>
    <t xml:space="preserve">GW-0801</t>
  </si>
  <si>
    <t xml:space="preserve">skip_events_2022_2026.csv row 165; applicant_register_2026-08.csv row 2674; offer_events_2022_2026.csv row 548</t>
  </si>
  <si>
    <t xml:space="preserve">SKP-2023-0165</t>
  </si>
  <si>
    <t xml:space="preserve">WL-01746</t>
  </si>
  <si>
    <t xml:space="preserve">Elizabeth Ward</t>
  </si>
  <si>
    <t xml:space="preserve">OFR-2023-0550</t>
  </si>
  <si>
    <t xml:space="preserve">SB-0209</t>
  </si>
  <si>
    <t xml:space="preserve">MC-2023-0335</t>
  </si>
  <si>
    <t xml:space="preserve">In-force amendment does not reconcile to current register LOA</t>
  </si>
  <si>
    <t xml:space="preserve">skip_events_2022_2026.csv row 166; applicant_register_2026-08.csv row 747; offer_events_2022_2026.csv row 551; amendment_log_2022_2026.csv row 529</t>
  </si>
  <si>
    <t xml:space="preserve">SKP-2023-0163</t>
  </si>
  <si>
    <t xml:space="preserve">WL-03629</t>
  </si>
  <si>
    <t xml:space="preserve">Justin Parks</t>
  </si>
  <si>
    <t xml:space="preserve">OFR-2023-0546</t>
  </si>
  <si>
    <t xml:space="preserve">skip_events_2022_2026.csv row 164; applicant_register_2026-08.csv row 2630; offer_events_2022_2026.csv row 547</t>
  </si>
  <si>
    <t xml:space="preserve">SKP-2023-0174</t>
  </si>
  <si>
    <t xml:space="preserve">WL-02285</t>
  </si>
  <si>
    <t xml:space="preserve">Brian Scott</t>
  </si>
  <si>
    <t xml:space="preserve">OFR-2023-0578</t>
  </si>
  <si>
    <t xml:space="preserve">EW-0107</t>
  </si>
  <si>
    <t xml:space="preserve">Skip predates current register application date; Supporting record not attached; No earlier same-class declined/expired offer in export</t>
  </si>
  <si>
    <t xml:space="preserve">skip_events_2022_2026.csv row 175; applicant_register_2026-08.csv row 1286; offer_events_2022_2026.csv row 579</t>
  </si>
  <si>
    <t xml:space="preserve">SKP-2023-0168</t>
  </si>
  <si>
    <t xml:space="preserve">WL-02912</t>
  </si>
  <si>
    <t xml:space="preserve">Alan Ortiz</t>
  </si>
  <si>
    <t xml:space="preserve">OFR-2023-0559</t>
  </si>
  <si>
    <t xml:space="preserve">SB-0916</t>
  </si>
  <si>
    <t xml:space="preserve">skip_events_2022_2026.csv row 169; applicant_register_2026-08.csv row 1913; offer_events_2022_2026.csv row 560</t>
  </si>
  <si>
    <t xml:space="preserve">SKP-2023-0166</t>
  </si>
  <si>
    <t xml:space="preserve">WL-03844</t>
  </si>
  <si>
    <t xml:space="preserve">Janet Medina</t>
  </si>
  <si>
    <t xml:space="preserve">OFR-2023-0551</t>
  </si>
  <si>
    <t xml:space="preserve">EW-0109</t>
  </si>
  <si>
    <t xml:space="preserve">skip_events_2022_2026.csv row 167; applicant_register_2026-08.csv row 2845; offer_events_2022_2026.csv row 552</t>
  </si>
  <si>
    <t xml:space="preserve">SKP-2023-0171</t>
  </si>
  <si>
    <t xml:space="preserve">WL-02000</t>
  </si>
  <si>
    <t xml:space="preserve">Erika Cruz</t>
  </si>
  <si>
    <t xml:space="preserve">OFR-2023-0573</t>
  </si>
  <si>
    <t xml:space="preserve">VB-0820</t>
  </si>
  <si>
    <t xml:space="preserve">skip_events_2022_2026.csv row 172; applicant_register_2026-08.csv row 1001; offer_events_2022_2026.csv row 574</t>
  </si>
  <si>
    <t xml:space="preserve">SKP-2023-0172</t>
  </si>
  <si>
    <t xml:space="preserve">WL-01080</t>
  </si>
  <si>
    <t xml:space="preserve">Jessica Lopez</t>
  </si>
  <si>
    <t xml:space="preserve">OFR-2023-0574</t>
  </si>
  <si>
    <t xml:space="preserve">EW-0511</t>
  </si>
  <si>
    <t xml:space="preserve">skip_events_2022_2026.csv row 173; applicant_register_2026-08.csv row 81; offer_events_2022_2026.csv row 575</t>
  </si>
  <si>
    <t xml:space="preserve">SKP-2023-0162</t>
  </si>
  <si>
    <t xml:space="preserve">WL-03249</t>
  </si>
  <si>
    <t xml:space="preserve">Julia Anderson</t>
  </si>
  <si>
    <t xml:space="preserve">OFR-2023-0541</t>
  </si>
  <si>
    <t xml:space="preserve">EW-0518</t>
  </si>
  <si>
    <t xml:space="preserve">skip_events_2022_2026.csv row 163; applicant_register_2026-08.csv row 2250; offer_events_2022_2026.csv row 542</t>
  </si>
  <si>
    <t xml:space="preserve">SKP-2023-0169</t>
  </si>
  <si>
    <t xml:space="preserve">WL-01168</t>
  </si>
  <si>
    <t xml:space="preserve">Wesley Bradford</t>
  </si>
  <si>
    <t xml:space="preserve">OFR-2023-0567</t>
  </si>
  <si>
    <t xml:space="preserve">LP-0604</t>
  </si>
  <si>
    <t xml:space="preserve">skip_events_2022_2026.csv row 170; applicant_register_2026-08.csv row 169; offer_events_2022_2026.csv row 568</t>
  </si>
  <si>
    <t xml:space="preserve">SKP-2023-0167</t>
  </si>
  <si>
    <t xml:space="preserve">WL-01566</t>
  </si>
  <si>
    <t xml:space="preserve">Sara Garcia</t>
  </si>
  <si>
    <t xml:space="preserve">OFR-2023-0555</t>
  </si>
  <si>
    <t xml:space="preserve">LP-0706</t>
  </si>
  <si>
    <t xml:space="preserve">skip_events_2022_2026.csv row 168; applicant_register_2026-08.csv row 567; offer_events_2022_2026.csv row 556</t>
  </si>
  <si>
    <t xml:space="preserve">SKP-2023-0176</t>
  </si>
  <si>
    <t xml:space="preserve">WL-01594</t>
  </si>
  <si>
    <t xml:space="preserve">Tracey Johnson</t>
  </si>
  <si>
    <t xml:space="preserve">OFR-2023-0604</t>
  </si>
  <si>
    <t xml:space="preserve">GW-0705</t>
  </si>
  <si>
    <t xml:space="preserve">OFR-2023-0456</t>
  </si>
  <si>
    <t xml:space="preserve">EW-0807</t>
  </si>
  <si>
    <t xml:space="preserve">Foldview Marine Services haul-out sheet 2022-09-12</t>
  </si>
  <si>
    <t xml:space="preserve">skip_events_2022_2026.csv row 177; applicant_register_2026-08.csv row 595; offer_events_2022_2026.csv row 605; amendment_log_2022_2026.csv row 773</t>
  </si>
  <si>
    <t xml:space="preserve">SKP-2023-0175</t>
  </si>
  <si>
    <t xml:space="preserve">WL-01003</t>
  </si>
  <si>
    <t xml:space="preserve">Shannon Phillips</t>
  </si>
  <si>
    <t xml:space="preserve">OFR-2023-0586</t>
  </si>
  <si>
    <t xml:space="preserve">SB-0401</t>
  </si>
  <si>
    <t xml:space="preserve">skip_events_2022_2026.csv row 176; applicant_register_2026-08.csv row 4; offer_events_2022_2026.csv row 587</t>
  </si>
  <si>
    <t xml:space="preserve">SKP-2023-0179</t>
  </si>
  <si>
    <t xml:space="preserve">WL-01704</t>
  </si>
  <si>
    <t xml:space="preserve">Justin Horn</t>
  </si>
  <si>
    <t xml:space="preserve">OFR-2023-0617</t>
  </si>
  <si>
    <t xml:space="preserve">EW-0804</t>
  </si>
  <si>
    <t xml:space="preserve">skip_events_2022_2026.csv row 180; applicant_register_2026-08.csv row 705; offer_events_2022_2026.csv row 618</t>
  </si>
  <si>
    <t xml:space="preserve">SKP-2023-0177</t>
  </si>
  <si>
    <t xml:space="preserve">WL-01918</t>
  </si>
  <si>
    <t xml:space="preserve">Brittany Barrett</t>
  </si>
  <si>
    <t xml:space="preserve">OFR-2023-0609</t>
  </si>
  <si>
    <t xml:space="preserve">VB-0118</t>
  </si>
  <si>
    <t xml:space="preserve">skip_events_2022_2026.csv row 178; applicant_register_2026-08.csv row 919; offer_events_2022_2026.csv row 610</t>
  </si>
  <si>
    <t xml:space="preserve">SKP-2023-0178</t>
  </si>
  <si>
    <t xml:space="preserve">WL-03849</t>
  </si>
  <si>
    <t xml:space="preserve">Melissa Ramirez</t>
  </si>
  <si>
    <t xml:space="preserve">OFR-2023-0613</t>
  </si>
  <si>
    <t xml:space="preserve">SB-0406</t>
  </si>
  <si>
    <t xml:space="preserve">skip_events_2022_2026.csv row 179; applicant_register_2026-08.csv row 2850; offer_events_2022_2026.csv row 614</t>
  </si>
  <si>
    <t xml:space="preserve">SKP-2023-0180</t>
  </si>
  <si>
    <t xml:space="preserve">WL-03696</t>
  </si>
  <si>
    <t xml:space="preserve">Natalie Duncan</t>
  </si>
  <si>
    <t xml:space="preserve">OFR-2023-0623</t>
  </si>
  <si>
    <t xml:space="preserve">LP-0114</t>
  </si>
  <si>
    <t xml:space="preserve">skip_events_2022_2026.csv row 181; applicant_register_2026-08.csv row 2697; offer_events_2022_2026.csv row 624</t>
  </si>
  <si>
    <t xml:space="preserve">SKP-2023-0186</t>
  </si>
  <si>
    <t xml:space="preserve">OFR-2023-0648</t>
  </si>
  <si>
    <t xml:space="preserve">EW-1002</t>
  </si>
  <si>
    <t xml:space="preserve">skip_events_2022_2026.csv row 187; applicant_register_2026-08.csv row 925; offer_events_2022_2026.csv row 649</t>
  </si>
  <si>
    <t xml:space="preserve">SKP-2023-0181</t>
  </si>
  <si>
    <t xml:space="preserve">WL-01016</t>
  </si>
  <si>
    <t xml:space="preserve">Jared Mosley</t>
  </si>
  <si>
    <t xml:space="preserve">OFR-2023-0634</t>
  </si>
  <si>
    <t xml:space="preserve">LP-0416</t>
  </si>
  <si>
    <t xml:space="preserve">skip_events_2022_2026.csv row 182; applicant_register_2026-08.csv row 17; offer_events_2022_2026.csv row 635</t>
  </si>
  <si>
    <t xml:space="preserve">SKP-2023-0182</t>
  </si>
  <si>
    <t xml:space="preserve">WL-01186</t>
  </si>
  <si>
    <t xml:space="preserve">Amy Hartman</t>
  </si>
  <si>
    <t xml:space="preserve">OFR-2023-0636</t>
  </si>
  <si>
    <t xml:space="preserve">SB-0610</t>
  </si>
  <si>
    <t xml:space="preserve">skip_events_2022_2026.csv row 183; applicant_register_2026-08.csv row 187; offer_events_2022_2026.csv row 637</t>
  </si>
  <si>
    <t xml:space="preserve">SKP-2023-0185</t>
  </si>
  <si>
    <t xml:space="preserve">WL-02726</t>
  </si>
  <si>
    <t xml:space="preserve">Michelle Herman</t>
  </si>
  <si>
    <t xml:space="preserve">OFR-2023-0645</t>
  </si>
  <si>
    <t xml:space="preserve">EW-0916</t>
  </si>
  <si>
    <t xml:space="preserve">skip_events_2022_2026.csv row 186; applicant_register_2026-08.csv row 1727; offer_events_2022_2026.csv row 646</t>
  </si>
  <si>
    <t xml:space="preserve">SKP-2023-0183</t>
  </si>
  <si>
    <t xml:space="preserve">WL-01524</t>
  </si>
  <si>
    <t xml:space="preserve">William Wright</t>
  </si>
  <si>
    <t xml:space="preserve">OFR-2023-0638</t>
  </si>
  <si>
    <t xml:space="preserve">VB-0804</t>
  </si>
  <si>
    <t xml:space="preserve">skip_events_2022_2026.csv row 184; applicant_register_2026-08.csv row 525; offer_events_2022_2026.csv row 639</t>
  </si>
  <si>
    <t xml:space="preserve">SKP-2023-0184</t>
  </si>
  <si>
    <t xml:space="preserve">WL-03111</t>
  </si>
  <si>
    <t xml:space="preserve">Kevin Gilbert</t>
  </si>
  <si>
    <t xml:space="preserve">OFR-2023-0643</t>
  </si>
  <si>
    <t xml:space="preserve">VB-0311</t>
  </si>
  <si>
    <t xml:space="preserve">skip_events_2022_2026.csv row 185; applicant_register_2026-08.csv row 2112; offer_events_2022_2026.csv row 644</t>
  </si>
  <si>
    <t xml:space="preserve">SKP-2024-0188</t>
  </si>
  <si>
    <t xml:space="preserve">WL-01632</t>
  </si>
  <si>
    <t xml:space="preserve">Laura Johnson</t>
  </si>
  <si>
    <t xml:space="preserve">OFR-2024-0654</t>
  </si>
  <si>
    <t xml:space="preserve">SB-0306</t>
  </si>
  <si>
    <t xml:space="preserve">skip_events_2022_2026.csv row 189; applicant_register_2026-08.csv row 633; offer_events_2022_2026.csv row 655</t>
  </si>
  <si>
    <t xml:space="preserve">SKP-2024-0187</t>
  </si>
  <si>
    <t xml:space="preserve">WL-02759</t>
  </si>
  <si>
    <t xml:space="preserve">Michael Rose</t>
  </si>
  <si>
    <t xml:space="preserve">OFR-2024-0653</t>
  </si>
  <si>
    <t xml:space="preserve">EW-0708</t>
  </si>
  <si>
    <t xml:space="preserve">skip_events_2022_2026.csv row 188; applicant_register_2026-08.csv row 1760; offer_events_2022_2026.csv row 654</t>
  </si>
  <si>
    <t xml:space="preserve">SKP-2024-0191</t>
  </si>
  <si>
    <t xml:space="preserve">WL-01253</t>
  </si>
  <si>
    <t xml:space="preserve">Brandon Sawyer</t>
  </si>
  <si>
    <t xml:space="preserve">OFR-2024-0666</t>
  </si>
  <si>
    <t xml:space="preserve">LP-0307</t>
  </si>
  <si>
    <t xml:space="preserve">skip_events_2022_2026.csv row 192; applicant_register_2026-08.csv row 254; offer_events_2022_2026.csv row 667</t>
  </si>
  <si>
    <t xml:space="preserve">SKP-2024-0194</t>
  </si>
  <si>
    <t xml:space="preserve">WL-01347</t>
  </si>
  <si>
    <t xml:space="preserve">Ryan Bennett</t>
  </si>
  <si>
    <t xml:space="preserve">OFR-2024-0672</t>
  </si>
  <si>
    <t xml:space="preserve">EW-0624</t>
  </si>
  <si>
    <t xml:space="preserve">skip_events_2022_2026.csv row 195; applicant_register_2026-08.csv row 348; offer_events_2022_2026.csv row 673</t>
  </si>
  <si>
    <t xml:space="preserve">SKP-2024-0193</t>
  </si>
  <si>
    <t xml:space="preserve">WL-02653</t>
  </si>
  <si>
    <t xml:space="preserve">Christine Jones</t>
  </si>
  <si>
    <t xml:space="preserve">OFR-2024-0671</t>
  </si>
  <si>
    <t xml:space="preserve">SB-0616</t>
  </si>
  <si>
    <t xml:space="preserve">skip_events_2022_2026.csv row 194; applicant_register_2026-08.csv row 1654; offer_events_2022_2026.csv row 672</t>
  </si>
  <si>
    <t xml:space="preserve">SKP-2024-0195</t>
  </si>
  <si>
    <t xml:space="preserve">WL-01562</t>
  </si>
  <si>
    <t xml:space="preserve">Karen Ward</t>
  </si>
  <si>
    <t xml:space="preserve">OFR-2024-0673</t>
  </si>
  <si>
    <t xml:space="preserve">GW-0219</t>
  </si>
  <si>
    <t xml:space="preserve">skip_events_2022_2026.csv row 196; applicant_register_2026-08.csv row 563; offer_events_2022_2026.csv row 674</t>
  </si>
  <si>
    <t xml:space="preserve">SKP-2024-0192</t>
  </si>
  <si>
    <t xml:space="preserve">WL-03127</t>
  </si>
  <si>
    <t xml:space="preserve">Lindsay Dixon</t>
  </si>
  <si>
    <t xml:space="preserve">OFR-2024-0670</t>
  </si>
  <si>
    <t xml:space="preserve">LP-0515</t>
  </si>
  <si>
    <t xml:space="preserve">OFR-2023-0488</t>
  </si>
  <si>
    <t xml:space="preserve">skip_events_2022_2026.csv row 193; applicant_register_2026-08.csv row 2128; offer_events_2022_2026.csv row 671</t>
  </si>
  <si>
    <t xml:space="preserve">SKP-2024-0189</t>
  </si>
  <si>
    <t xml:space="preserve">WL-03141</t>
  </si>
  <si>
    <t xml:space="preserve">Joseph Green</t>
  </si>
  <si>
    <t xml:space="preserve">OFR-2024-0661</t>
  </si>
  <si>
    <t xml:space="preserve">LP-0203</t>
  </si>
  <si>
    <t xml:space="preserve">skip_events_2022_2026.csv row 190; applicant_register_2026-08.csv row 2142; offer_events_2022_2026.csv row 662</t>
  </si>
  <si>
    <t xml:space="preserve">SKP-2024-0409</t>
  </si>
  <si>
    <t xml:space="preserve">WL-03044</t>
  </si>
  <si>
    <t xml:space="preserve">Iris Quan</t>
  </si>
  <si>
    <t xml:space="preserve">OFR-2024-1487</t>
  </si>
  <si>
    <t xml:space="preserve">VB-0904</t>
  </si>
  <si>
    <t xml:space="preserve">skip_events_2022_2026.csv row 410; applicant_register_2026-08.csv row 2045; WL-03044_skip_justification.pdf p.1</t>
  </si>
  <si>
    <t xml:space="preserve">SKP-2024-0190</t>
  </si>
  <si>
    <t xml:space="preserve">WL-02349</t>
  </si>
  <si>
    <t xml:space="preserve">Natalie Mason</t>
  </si>
  <si>
    <t xml:space="preserve">OFR-2024-0663</t>
  </si>
  <si>
    <t xml:space="preserve">SB-0403</t>
  </si>
  <si>
    <t xml:space="preserve">skip_events_2022_2026.csv row 191; applicant_register_2026-08.csv row 1350; offer_events_2022_2026.csv row 664</t>
  </si>
  <si>
    <t xml:space="preserve">SKP-2024-0200</t>
  </si>
  <si>
    <t xml:space="preserve">WL-02893</t>
  </si>
  <si>
    <t xml:space="preserve">Christopher Carrillo</t>
  </si>
  <si>
    <t xml:space="preserve">OFR-2024-0693</t>
  </si>
  <si>
    <t xml:space="preserve">EW-1021</t>
  </si>
  <si>
    <t xml:space="preserve">OFR-2022-0135</t>
  </si>
  <si>
    <t xml:space="preserve">GW-0805</t>
  </si>
  <si>
    <t xml:space="preserve">skip_events_2022_2026.csv row 201; applicant_register_2026-08.csv row 1894; offer_events_2022_2026.csv row 694</t>
  </si>
  <si>
    <t xml:space="preserve">SKP-2024-0203</t>
  </si>
  <si>
    <t xml:space="preserve">WL-02769</t>
  </si>
  <si>
    <t xml:space="preserve">Jacqueline Simon</t>
  </si>
  <si>
    <t xml:space="preserve">OFR-2024-0701</t>
  </si>
  <si>
    <t xml:space="preserve">EW-0902</t>
  </si>
  <si>
    <t xml:space="preserve">skip_events_2022_2026.csv row 204; applicant_register_2026-08.csv row 1770; offer_events_2022_2026.csv row 702</t>
  </si>
  <si>
    <t xml:space="preserve">SKP-2024-0411</t>
  </si>
  <si>
    <t xml:space="preserve">WL-02877</t>
  </si>
  <si>
    <t xml:space="preserve">Sandra Milovich</t>
  </si>
  <si>
    <t xml:space="preserve">GW-1012</t>
  </si>
  <si>
    <t xml:space="preserve">COMPLETE contemporaneous file; conflicts with export</t>
  </si>
  <si>
    <t xml:space="preserve">Skip predates current register application date; Offer ID absent from offer export; Physical file conflicts with skip export</t>
  </si>
  <si>
    <t xml:space="preserve">skip_events_2022_2026.csv row 412; applicant_register_2026-08.csv row 1878; WL-02877_skip_justification.pdf pp.1-3</t>
  </si>
  <si>
    <t xml:space="preserve">SKP-2024-0202</t>
  </si>
  <si>
    <t xml:space="preserve">WL-03661</t>
  </si>
  <si>
    <t xml:space="preserve">Kenneth Williams</t>
  </si>
  <si>
    <t xml:space="preserve">OFR-2024-0700</t>
  </si>
  <si>
    <t xml:space="preserve">EW-0709</t>
  </si>
  <si>
    <t xml:space="preserve">skip_events_2022_2026.csv row 203; applicant_register_2026-08.csv row 2662; offer_events_2022_2026.csv row 701</t>
  </si>
  <si>
    <t xml:space="preserve">SKP-2024-0198</t>
  </si>
  <si>
    <t xml:space="preserve">WL-02027</t>
  </si>
  <si>
    <t xml:space="preserve">Monica Hammond</t>
  </si>
  <si>
    <t xml:space="preserve">OFR-2024-0683</t>
  </si>
  <si>
    <t xml:space="preserve">skip_events_2022_2026.csv row 199; applicant_register_2026-08.csv row 1028; offer_events_2022_2026.csv row 684</t>
  </si>
  <si>
    <t xml:space="preserve">SKP-2024-0196</t>
  </si>
  <si>
    <t xml:space="preserve">WL-02629</t>
  </si>
  <si>
    <t xml:space="preserve">Joseph Powell</t>
  </si>
  <si>
    <t xml:space="preserve">OFR-2024-0676</t>
  </si>
  <si>
    <t xml:space="preserve">VB-1021</t>
  </si>
  <si>
    <t xml:space="preserve">OFR-2022-0106</t>
  </si>
  <si>
    <t xml:space="preserve">VB-0815</t>
  </si>
  <si>
    <t xml:space="preserve">skip_events_2022_2026.csv row 197; applicant_register_2026-08.csv row 1630; offer_events_2022_2026.csv row 677</t>
  </si>
  <si>
    <t xml:space="preserve">SKP-2024-0201</t>
  </si>
  <si>
    <t xml:space="preserve">WL-02274</t>
  </si>
  <si>
    <t xml:space="preserve">Kevin Green</t>
  </si>
  <si>
    <t xml:space="preserve">OFR-2024-0698</t>
  </si>
  <si>
    <t xml:space="preserve">VB-0721</t>
  </si>
  <si>
    <t xml:space="preserve">skip_events_2022_2026.csv row 202; applicant_register_2026-08.csv row 1275; offer_events_2022_2026.csv row 699</t>
  </si>
  <si>
    <t xml:space="preserve">SKP-2024-0199</t>
  </si>
  <si>
    <t xml:space="preserve">WL-03185</t>
  </si>
  <si>
    <t xml:space="preserve">Sarah Davis</t>
  </si>
  <si>
    <t xml:space="preserve">OFR-2024-0690</t>
  </si>
  <si>
    <t xml:space="preserve">SB-0824</t>
  </si>
  <si>
    <t xml:space="preserve">skip_events_2022_2026.csv row 200; applicant_register_2026-08.csv row 2186; offer_events_2022_2026.csv row 691</t>
  </si>
  <si>
    <t xml:space="preserve">SKP-2024-0197</t>
  </si>
  <si>
    <t xml:space="preserve">WL-03621</t>
  </si>
  <si>
    <t xml:space="preserve">Denise Powers</t>
  </si>
  <si>
    <t xml:space="preserve">OFR-2024-0679</t>
  </si>
  <si>
    <t xml:space="preserve">SB-0601</t>
  </si>
  <si>
    <t xml:space="preserve">skip_events_2022_2026.csv row 198; applicant_register_2026-08.csv row 2622; offer_events_2022_2026.csv row 680</t>
  </si>
  <si>
    <t xml:space="preserve">SKP-2024-0204</t>
  </si>
  <si>
    <t xml:space="preserve">WL-01950</t>
  </si>
  <si>
    <t xml:space="preserve">Mathew Trujillo</t>
  </si>
  <si>
    <t xml:space="preserve">OFR-2024-0704</t>
  </si>
  <si>
    <t xml:space="preserve">EW-0608</t>
  </si>
  <si>
    <t xml:space="preserve">Supporting record not attached</t>
  </si>
  <si>
    <t xml:space="preserve">skip_events_2022_2026.csv row 205; applicant_register_2026-08.csv row 951; offer_events_2022_2026.csv row 705</t>
  </si>
  <si>
    <t xml:space="preserve">SKP-2024-0206</t>
  </si>
  <si>
    <t xml:space="preserve">WL-03018</t>
  </si>
  <si>
    <t xml:space="preserve">Jessica Duffy</t>
  </si>
  <si>
    <t xml:space="preserve">OFR-2024-0724</t>
  </si>
  <si>
    <t xml:space="preserve">VB-0617</t>
  </si>
  <si>
    <t xml:space="preserve">skip_events_2022_2026.csv row 207; applicant_register_2026-08.csv row 2019; offer_events_2022_2026.csv row 725</t>
  </si>
  <si>
    <t xml:space="preserve">SKP-2024-0207</t>
  </si>
  <si>
    <t xml:space="preserve">WL-02948</t>
  </si>
  <si>
    <t xml:space="preserve">Michael Salinas</t>
  </si>
  <si>
    <t xml:space="preserve">OFR-2024-0729</t>
  </si>
  <si>
    <t xml:space="preserve">GW-1013</t>
  </si>
  <si>
    <t xml:space="preserve">skip_events_2022_2026.csv row 208; applicant_register_2026-08.csv row 1949; offer_events_2022_2026.csv row 730</t>
  </si>
  <si>
    <t xml:space="preserve">SKP-2024-0205</t>
  </si>
  <si>
    <t xml:space="preserve">WL-02895</t>
  </si>
  <si>
    <t xml:space="preserve">Madison Hensley</t>
  </si>
  <si>
    <t xml:space="preserve">OFR-2024-0707</t>
  </si>
  <si>
    <t xml:space="preserve">EW-0306</t>
  </si>
  <si>
    <t xml:space="preserve">skip_events_2022_2026.csv row 206; applicant_register_2026-08.csv row 1896; offer_events_2022_2026.csv row 708</t>
  </si>
  <si>
    <t xml:space="preserve">SKP-2024-0214</t>
  </si>
  <si>
    <t xml:space="preserve">WL-01318</t>
  </si>
  <si>
    <t xml:space="preserve">Denise Montgomery</t>
  </si>
  <si>
    <t xml:space="preserve">OFR-2024-0762</t>
  </si>
  <si>
    <t xml:space="preserve">skip_events_2022_2026.csv row 215; applicant_register_2026-08.csv row 319; offer_events_2022_2026.csv row 763</t>
  </si>
  <si>
    <t xml:space="preserve">SKP-2024-0208</t>
  </si>
  <si>
    <t xml:space="preserve">WL-02305</t>
  </si>
  <si>
    <t xml:space="preserve">John Patel</t>
  </si>
  <si>
    <t xml:space="preserve">OFR-2024-0737</t>
  </si>
  <si>
    <t xml:space="preserve">GW-0823</t>
  </si>
  <si>
    <t xml:space="preserve">skip_events_2022_2026.csv row 209; applicant_register_2026-08.csv row 1306; offer_events_2022_2026.csv row 738</t>
  </si>
  <si>
    <t xml:space="preserve">SKP-2024-0209</t>
  </si>
  <si>
    <t xml:space="preserve">WL-01675</t>
  </si>
  <si>
    <t xml:space="preserve">OFR-2024-0746</t>
  </si>
  <si>
    <t xml:space="preserve">VB-0808</t>
  </si>
  <si>
    <t xml:space="preserve">Foldview Marine Services haul-out sheet 2023-09-16</t>
  </si>
  <si>
    <t xml:space="preserve">skip_events_2022_2026.csv row 210; applicant_register_2026-08.csv row 676; offer_events_2022_2026.csv row 747; amendment_log_2022_2026.csv row 968</t>
  </si>
  <si>
    <t xml:space="preserve">SKP-2024-0213</t>
  </si>
  <si>
    <t xml:space="preserve">WL-01753</t>
  </si>
  <si>
    <t xml:space="preserve">Erin Valencia</t>
  </si>
  <si>
    <t xml:space="preserve">OFR-2024-0759</t>
  </si>
  <si>
    <t xml:space="preserve">LP-0722</t>
  </si>
  <si>
    <t xml:space="preserve">skip_events_2022_2026.csv row 214; applicant_register_2026-08.csv row 754; offer_events_2022_2026.csv row 760</t>
  </si>
  <si>
    <t xml:space="preserve">SKP-2024-0211</t>
  </si>
  <si>
    <t xml:space="preserve">WL-01536</t>
  </si>
  <si>
    <t xml:space="preserve">Deborah Spears</t>
  </si>
  <si>
    <t xml:space="preserve">OFR-2024-0752</t>
  </si>
  <si>
    <t xml:space="preserve">GW-0522</t>
  </si>
  <si>
    <t xml:space="preserve">skip_events_2022_2026.csv row 212; applicant_register_2026-08.csv row 537; offer_events_2022_2026.csv row 753</t>
  </si>
  <si>
    <t xml:space="preserve">SKP-2024-0215</t>
  </si>
  <si>
    <t xml:space="preserve">WL-03891</t>
  </si>
  <si>
    <t xml:space="preserve">David Melton</t>
  </si>
  <si>
    <t xml:space="preserve">OFR-2024-0766</t>
  </si>
  <si>
    <t xml:space="preserve">EW-0607</t>
  </si>
  <si>
    <t xml:space="preserve">skip_events_2022_2026.csv row 216; applicant_register_2026-08.csv row 2892; offer_events_2022_2026.csv row 767</t>
  </si>
  <si>
    <t xml:space="preserve">SKP-2024-0212</t>
  </si>
  <si>
    <t xml:space="preserve">WL-02013</t>
  </si>
  <si>
    <t xml:space="preserve">Elizabeth Harrison</t>
  </si>
  <si>
    <t xml:space="preserve">OFR-2024-0755</t>
  </si>
  <si>
    <t xml:space="preserve">VB-0602</t>
  </si>
  <si>
    <t xml:space="preserve">skip_events_2022_2026.csv row 213; applicant_register_2026-08.csv row 1014; offer_events_2022_2026.csv row 756</t>
  </si>
  <si>
    <t xml:space="preserve">SKP-2024-0210</t>
  </si>
  <si>
    <t xml:space="preserve">OFR-2024-0747</t>
  </si>
  <si>
    <t xml:space="preserve">skip_events_2022_2026.csv row 211; applicant_register_2026-08.csv row 243; offer_events_2022_2026.csv row 748</t>
  </si>
  <si>
    <t xml:space="preserve">SKP-2024-0219</t>
  </si>
  <si>
    <t xml:space="preserve">WL-01144</t>
  </si>
  <si>
    <t xml:space="preserve">James Lopez</t>
  </si>
  <si>
    <t xml:space="preserve">OFR-2024-0789</t>
  </si>
  <si>
    <t xml:space="preserve">LP-0216</t>
  </si>
  <si>
    <t xml:space="preserve">skip_events_2022_2026.csv row 220; applicant_register_2026-08.csv row 145; offer_events_2022_2026.csv row 790</t>
  </si>
  <si>
    <t xml:space="preserve">SKP-2024-0220</t>
  </si>
  <si>
    <t xml:space="preserve">WL-03390</t>
  </si>
  <si>
    <t xml:space="preserve">Phillip Ard</t>
  </si>
  <si>
    <t xml:space="preserve">OFR-2024-0791</t>
  </si>
  <si>
    <t xml:space="preserve">SB-0302</t>
  </si>
  <si>
    <t xml:space="preserve">skip_events_2022_2026.csv row 221; applicant_register_2026-08.csv row 2391; offer_events_2022_2026.csv row 792</t>
  </si>
  <si>
    <t xml:space="preserve">SKP-2024-0221</t>
  </si>
  <si>
    <t xml:space="preserve">WL-01368</t>
  </si>
  <si>
    <t xml:space="preserve">Justin Turner</t>
  </si>
  <si>
    <t xml:space="preserve">OFR-2024-0792</t>
  </si>
  <si>
    <t xml:space="preserve">VB-0924</t>
  </si>
  <si>
    <t xml:space="preserve">skip_events_2022_2026.csv row 222; applicant_register_2026-08.csv row 369; offer_events_2022_2026.csv row 793</t>
  </si>
  <si>
    <t xml:space="preserve">SKP-2024-0216</t>
  </si>
  <si>
    <t xml:space="preserve">WL-03026</t>
  </si>
  <si>
    <t xml:space="preserve">Amanda Taylor</t>
  </si>
  <si>
    <t xml:space="preserve">OFR-2024-0772</t>
  </si>
  <si>
    <t xml:space="preserve">LP-0324</t>
  </si>
  <si>
    <t xml:space="preserve">skip_events_2022_2026.csv row 217; applicant_register_2026-08.csv row 2027; offer_events_2022_2026.csv row 773</t>
  </si>
  <si>
    <t xml:space="preserve">SKP-2024-0218</t>
  </si>
  <si>
    <t xml:space="preserve">WL-03527</t>
  </si>
  <si>
    <t xml:space="preserve">Ashley Logan</t>
  </si>
  <si>
    <t xml:space="preserve">OFR-2024-0784</t>
  </si>
  <si>
    <t xml:space="preserve">EW-0523</t>
  </si>
  <si>
    <t xml:space="preserve">skip_events_2022_2026.csv row 219; applicant_register_2026-08.csv row 2528; offer_events_2022_2026.csv row 785</t>
  </si>
  <si>
    <t xml:space="preserve">SKP-2024-0217</t>
  </si>
  <si>
    <t xml:space="preserve">WL-03245</t>
  </si>
  <si>
    <t xml:space="preserve">Howard Sellers</t>
  </si>
  <si>
    <t xml:space="preserve">OFR-2024-0774</t>
  </si>
  <si>
    <t xml:space="preserve">LP-1001</t>
  </si>
  <si>
    <t xml:space="preserve">skip_events_2022_2026.csv row 218; applicant_register_2026-08.csv row 2246; offer_events_2022_2026.csv row 775</t>
  </si>
  <si>
    <t xml:space="preserve">SKP-2024-0223</t>
  </si>
  <si>
    <t xml:space="preserve">WL-01691</t>
  </si>
  <si>
    <t xml:space="preserve">Joshua Li</t>
  </si>
  <si>
    <t xml:space="preserve">OFR-2024-0823</t>
  </si>
  <si>
    <t xml:space="preserve">LP-1024</t>
  </si>
  <si>
    <t xml:space="preserve">skip_events_2022_2026.csv row 224; applicant_register_2026-08.csv row 692; offer_events_2022_2026.csv row 824</t>
  </si>
  <si>
    <t xml:space="preserve">SKP-2024-0224</t>
  </si>
  <si>
    <t xml:space="preserve">WL-02850</t>
  </si>
  <si>
    <t xml:space="preserve">Edwin Boone</t>
  </si>
  <si>
    <t xml:space="preserve">OFR-2024-0824</t>
  </si>
  <si>
    <t xml:space="preserve">SB-0107</t>
  </si>
  <si>
    <t xml:space="preserve">skip_events_2022_2026.csv row 225; applicant_register_2026-08.csv row 1851; offer_events_2022_2026.csv row 825</t>
  </si>
  <si>
    <t xml:space="preserve">SKP-2024-0222</t>
  </si>
  <si>
    <t xml:space="preserve">WL-01889</t>
  </si>
  <si>
    <t xml:space="preserve">Haley Scott</t>
  </si>
  <si>
    <t xml:space="preserve">OFR-2024-0818</t>
  </si>
  <si>
    <t xml:space="preserve">GW-0206</t>
  </si>
  <si>
    <t xml:space="preserve">skip_events_2022_2026.csv row 223; applicant_register_2026-08.csv row 890; offer_events_2022_2026.csv row 819</t>
  </si>
  <si>
    <t xml:space="preserve">SKP-2024-0231</t>
  </si>
  <si>
    <t xml:space="preserve">WL-02925</t>
  </si>
  <si>
    <t xml:space="preserve">Leslie Marsh</t>
  </si>
  <si>
    <t xml:space="preserve">OFR-2024-0862</t>
  </si>
  <si>
    <t xml:space="preserve">EW-0324</t>
  </si>
  <si>
    <t xml:space="preserve">skip_events_2022_2026.csv row 232; applicant_register_2026-08.csv row 1926; offer_events_2022_2026.csv row 863</t>
  </si>
  <si>
    <t xml:space="preserve">SKP-2024-0226</t>
  </si>
  <si>
    <t xml:space="preserve">WL-03542</t>
  </si>
  <si>
    <t xml:space="preserve">Kristina Rivas</t>
  </si>
  <si>
    <t xml:space="preserve">OFR-2024-0829</t>
  </si>
  <si>
    <t xml:space="preserve">SB-0319</t>
  </si>
  <si>
    <t xml:space="preserve">skip_events_2022_2026.csv row 227; applicant_register_2026-08.csv row 2543; offer_events_2022_2026.csv row 830</t>
  </si>
  <si>
    <t xml:space="preserve">SKP-2024-0228</t>
  </si>
  <si>
    <t xml:space="preserve">WL-01001</t>
  </si>
  <si>
    <t xml:space="preserve">Valerie Jones</t>
  </si>
  <si>
    <t xml:space="preserve">OFR-2024-0831</t>
  </si>
  <si>
    <t xml:space="preserve">VB-1008</t>
  </si>
  <si>
    <t xml:space="preserve">MC-2024-0630</t>
  </si>
  <si>
    <t xml:space="preserve">skip_events_2022_2026.csv row 229; applicant_register_2026-08.csv row 2; offer_events_2022_2026.csv row 832; amendment_log_2022_2026.csv row 1193</t>
  </si>
  <si>
    <t xml:space="preserve">SKP-2024-0227</t>
  </si>
  <si>
    <t xml:space="preserve">WL-03759</t>
  </si>
  <si>
    <t xml:space="preserve">Ryan Newton</t>
  </si>
  <si>
    <t xml:space="preserve">OFR-2024-0830</t>
  </si>
  <si>
    <t xml:space="preserve">GW-0123</t>
  </si>
  <si>
    <t xml:space="preserve">skip_events_2022_2026.csv row 228; applicant_register_2026-08.csv row 2760; offer_events_2022_2026.csv row 831</t>
  </si>
  <si>
    <t xml:space="preserve">SKP-2024-0225</t>
  </si>
  <si>
    <t xml:space="preserve">WL-03762</t>
  </si>
  <si>
    <t xml:space="preserve">Kristen Anderson</t>
  </si>
  <si>
    <t xml:space="preserve">OFR-2024-0828</t>
  </si>
  <si>
    <t xml:space="preserve">LP-0513</t>
  </si>
  <si>
    <t xml:space="preserve">skip_events_2022_2026.csv row 226; applicant_register_2026-08.csv row 2763; offer_events_2022_2026.csv row 829</t>
  </si>
  <si>
    <t xml:space="preserve">SKP-2024-0229</t>
  </si>
  <si>
    <t xml:space="preserve">WL-02791</t>
  </si>
  <si>
    <t xml:space="preserve">Kyle Jimenez</t>
  </si>
  <si>
    <t xml:space="preserve">OFR-2024-0838</t>
  </si>
  <si>
    <t xml:space="preserve">skip_events_2022_2026.csv row 230; applicant_register_2026-08.csv row 1792; offer_events_2022_2026.csv row 839</t>
  </si>
  <si>
    <t xml:space="preserve">SKP-2024-0230</t>
  </si>
  <si>
    <t xml:space="preserve">WL-01998</t>
  </si>
  <si>
    <t xml:space="preserve">Katherine Johnson</t>
  </si>
  <si>
    <t xml:space="preserve">OFR-2024-0845</t>
  </si>
  <si>
    <t xml:space="preserve">EW-0118</t>
  </si>
  <si>
    <t xml:space="preserve">skip_events_2022_2026.csv row 231; applicant_register_2026-08.csv row 999; offer_events_2022_2026.csv row 846</t>
  </si>
  <si>
    <t xml:space="preserve">SKP-2024-0232</t>
  </si>
  <si>
    <t xml:space="preserve">WL-03615</t>
  </si>
  <si>
    <t xml:space="preserve">Kathryn Cook</t>
  </si>
  <si>
    <t xml:space="preserve">OFR-2024-0869</t>
  </si>
  <si>
    <t xml:space="preserve">VB-0518</t>
  </si>
  <si>
    <t xml:space="preserve">skip_events_2022_2026.csv row 233; applicant_register_2026-08.csv row 2616; offer_events_2022_2026.csv row 870</t>
  </si>
  <si>
    <t xml:space="preserve">SKP-2024-0235</t>
  </si>
  <si>
    <t xml:space="preserve">WL-03228</t>
  </si>
  <si>
    <t xml:space="preserve">Roy Stuart</t>
  </si>
  <si>
    <t xml:space="preserve">OFR-2024-0876</t>
  </si>
  <si>
    <t xml:space="preserve">EW-0319</t>
  </si>
  <si>
    <t xml:space="preserve">skip_events_2022_2026.csv row 236; applicant_register_2026-08.csv row 2229; offer_events_2022_2026.csv row 877</t>
  </si>
  <si>
    <t xml:space="preserve">SKP-2024-0239</t>
  </si>
  <si>
    <t xml:space="preserve">WL-01504</t>
  </si>
  <si>
    <t xml:space="preserve">Margaret Johnson</t>
  </si>
  <si>
    <t xml:space="preserve">OFR-2024-0887</t>
  </si>
  <si>
    <t xml:space="preserve">VB-0223</t>
  </si>
  <si>
    <t xml:space="preserve">skip_events_2022_2026.csv row 240; applicant_register_2026-08.csv row 505; offer_events_2022_2026.csv row 888</t>
  </si>
  <si>
    <t xml:space="preserve">SKP-2024-0234</t>
  </si>
  <si>
    <t xml:space="preserve">WL-01779</t>
  </si>
  <si>
    <t xml:space="preserve">Christy Burke</t>
  </si>
  <si>
    <t xml:space="preserve">OFR-2024-0871</t>
  </si>
  <si>
    <t xml:space="preserve">SB-0313</t>
  </si>
  <si>
    <t xml:space="preserve">skip_events_2022_2026.csv row 235; applicant_register_2026-08.csv row 780; offer_events_2022_2026.csv row 872</t>
  </si>
  <si>
    <t xml:space="preserve">SKP-2024-0236</t>
  </si>
  <si>
    <t xml:space="preserve">WL-03479</t>
  </si>
  <si>
    <t xml:space="preserve">Brittney Daugherty</t>
  </si>
  <si>
    <t xml:space="preserve">OFR-2024-0877</t>
  </si>
  <si>
    <t xml:space="preserve">SB-0607</t>
  </si>
  <si>
    <t xml:space="preserve">skip_events_2022_2026.csv row 237; applicant_register_2026-08.csv row 2480; offer_events_2022_2026.csv row 878</t>
  </si>
  <si>
    <t xml:space="preserve">SKP-2024-0238</t>
  </si>
  <si>
    <t xml:space="preserve">WL-02336</t>
  </si>
  <si>
    <t xml:space="preserve">Jimmy Ford</t>
  </si>
  <si>
    <t xml:space="preserve">OFR-2024-0883</t>
  </si>
  <si>
    <t xml:space="preserve">VB-0517</t>
  </si>
  <si>
    <t xml:space="preserve">skip_events_2022_2026.csv row 239; applicant_register_2026-08.csv row 1337; offer_events_2022_2026.csv row 884</t>
  </si>
  <si>
    <t xml:space="preserve">SKP-2024-0233</t>
  </si>
  <si>
    <t xml:space="preserve">WL-03062</t>
  </si>
  <si>
    <t xml:space="preserve">Donna Garcia</t>
  </si>
  <si>
    <t xml:space="preserve">OFR-2024-0870</t>
  </si>
  <si>
    <t xml:space="preserve">LP-0303</t>
  </si>
  <si>
    <t xml:space="preserve">skip_events_2022_2026.csv row 234; applicant_register_2026-08.csv row 2063; offer_events_2022_2026.csv row 871</t>
  </si>
  <si>
    <t xml:space="preserve">SKP-2024-0237</t>
  </si>
  <si>
    <t xml:space="preserve">WL-02574</t>
  </si>
  <si>
    <t xml:space="preserve">Elizabeth Larsen</t>
  </si>
  <si>
    <t xml:space="preserve">OFR-2024-0878</t>
  </si>
  <si>
    <t xml:space="preserve">skip_events_2022_2026.csv row 238; applicant_register_2026-08.csv row 1575; offer_events_2022_2026.csv row 879</t>
  </si>
  <si>
    <t xml:space="preserve">SKP-2024-0240</t>
  </si>
  <si>
    <t xml:space="preserve">WL-01718</t>
  </si>
  <si>
    <t xml:space="preserve">Christopher Welch</t>
  </si>
  <si>
    <t xml:space="preserve">OFR-2024-0889</t>
  </si>
  <si>
    <t xml:space="preserve">SB-0821</t>
  </si>
  <si>
    <t xml:space="preserve">skip_events_2022_2026.csv row 241; applicant_register_2026-08.csv row 719; offer_events_2022_2026.csv row 890</t>
  </si>
  <si>
    <t xml:space="preserve">SKP-2024-0246</t>
  </si>
  <si>
    <t xml:space="preserve">WL-01269</t>
  </si>
  <si>
    <t xml:space="preserve">Patricia Bennett</t>
  </si>
  <si>
    <t xml:space="preserve">OFR-2024-0922</t>
  </si>
  <si>
    <t xml:space="preserve">VB-0306</t>
  </si>
  <si>
    <t xml:space="preserve">skip_events_2022_2026.csv row 247; applicant_register_2026-08.csv row 270; offer_events_2022_2026.csv row 923</t>
  </si>
  <si>
    <t xml:space="preserve">SKP-2024-0247</t>
  </si>
  <si>
    <t xml:space="preserve">WL-03733</t>
  </si>
  <si>
    <t xml:space="preserve">Theresa Richmond</t>
  </si>
  <si>
    <t xml:space="preserve">OFR-2024-0924</t>
  </si>
  <si>
    <t xml:space="preserve">GW-0814</t>
  </si>
  <si>
    <t xml:space="preserve">skip_events_2022_2026.csv row 248; applicant_register_2026-08.csv row 2734; offer_events_2022_2026.csv row 925</t>
  </si>
  <si>
    <t xml:space="preserve">SKP-2024-0242</t>
  </si>
  <si>
    <t xml:space="preserve">WL-03831</t>
  </si>
  <si>
    <t xml:space="preserve">Michael Burns</t>
  </si>
  <si>
    <t xml:space="preserve">OFR-2024-0895</t>
  </si>
  <si>
    <t xml:space="preserve">EW-1022</t>
  </si>
  <si>
    <t xml:space="preserve">skip_events_2022_2026.csv row 243; applicant_register_2026-08.csv row 2832; offer_events_2022_2026.csv row 896</t>
  </si>
  <si>
    <t xml:space="preserve">SKP-2024-0243</t>
  </si>
  <si>
    <t xml:space="preserve">WL-01264</t>
  </si>
  <si>
    <t xml:space="preserve">Jeffery Lewis</t>
  </si>
  <si>
    <t xml:space="preserve">OFR-2024-0901</t>
  </si>
  <si>
    <t xml:space="preserve">VB-0917</t>
  </si>
  <si>
    <t xml:space="preserve">skip_events_2022_2026.csv row 244; applicant_register_2026-08.csv row 265; offer_events_2022_2026.csv row 902</t>
  </si>
  <si>
    <t xml:space="preserve">SKP-2024-0244</t>
  </si>
  <si>
    <t xml:space="preserve">WL-03708</t>
  </si>
  <si>
    <t xml:space="preserve">Catherine Anderson</t>
  </si>
  <si>
    <t xml:space="preserve">OFR-2024-0903</t>
  </si>
  <si>
    <t xml:space="preserve">GW-0813</t>
  </si>
  <si>
    <t xml:space="preserve">skip_events_2022_2026.csv row 245; applicant_register_2026-08.csv row 2709; offer_events_2022_2026.csv row 904</t>
  </si>
  <si>
    <t xml:space="preserve">SKP-2024-0241</t>
  </si>
  <si>
    <t xml:space="preserve">WL-01026</t>
  </si>
  <si>
    <t xml:space="preserve">Dawn Jacobs</t>
  </si>
  <si>
    <t xml:space="preserve">OFR-2024-0893</t>
  </si>
  <si>
    <t xml:space="preserve">SB-0214</t>
  </si>
  <si>
    <t xml:space="preserve">skip_events_2022_2026.csv row 242; applicant_register_2026-08.csv row 27; offer_events_2022_2026.csv row 894</t>
  </si>
  <si>
    <t xml:space="preserve">SKP-2024-0245</t>
  </si>
  <si>
    <t xml:space="preserve">WL-03808</t>
  </si>
  <si>
    <t xml:space="preserve">Julie Peterson</t>
  </si>
  <si>
    <t xml:space="preserve">OFR-2024-0909</t>
  </si>
  <si>
    <t xml:space="preserve">VB-0601</t>
  </si>
  <si>
    <t xml:space="preserve">skip_events_2022_2026.csv row 246; applicant_register_2026-08.csv row 2809; offer_events_2022_2026.csv row 910</t>
  </si>
  <si>
    <t xml:space="preserve">SKP-2024-0251</t>
  </si>
  <si>
    <t xml:space="preserve">OFR-2024-0942</t>
  </si>
  <si>
    <t xml:space="preserve">SB-0407</t>
  </si>
  <si>
    <t xml:space="preserve">skip_events_2022_2026.csv row 252; applicant_register_2026-08.csv row 2858; offer_events_2022_2026.csv row 943</t>
  </si>
  <si>
    <t xml:space="preserve">SKP-2024-0410</t>
  </si>
  <si>
    <t xml:space="preserve">SB-0120</t>
  </si>
  <si>
    <t xml:space="preserve">COVER ONLY; cited prior offer not found</t>
  </si>
  <si>
    <t xml:space="preserve">Skip predates current register application date; Supporting record not attached; No earlier same-class declined/expired offer in export; Offer ID absent from offer export; Physical file conflicts with skip export</t>
  </si>
  <si>
    <t xml:space="preserve">skip_events_2022_2026.csv row 411; applicant_register_2026-08.csv row 2391; WL-03390_skip_justification.pdf p.1</t>
  </si>
  <si>
    <t xml:space="preserve">SKP-2024-0249</t>
  </si>
  <si>
    <t xml:space="preserve">WL-02598</t>
  </si>
  <si>
    <t xml:space="preserve">Nicole Rubio</t>
  </si>
  <si>
    <t xml:space="preserve">OFR-2024-0930</t>
  </si>
  <si>
    <t xml:space="preserve">GW-0902</t>
  </si>
  <si>
    <t xml:space="preserve">skip_events_2022_2026.csv row 250; applicant_register_2026-08.csv row 1599; offer_events_2022_2026.csv row 931</t>
  </si>
  <si>
    <t xml:space="preserve">SKP-2024-0248</t>
  </si>
  <si>
    <t xml:space="preserve">WL-02139</t>
  </si>
  <si>
    <t xml:space="preserve">Jennifer Anderson</t>
  </si>
  <si>
    <t xml:space="preserve">OFR-2024-0929</t>
  </si>
  <si>
    <t xml:space="preserve">LP-0215</t>
  </si>
  <si>
    <t xml:space="preserve">skip_events_2022_2026.csv row 249; applicant_register_2026-08.csv row 1140; offer_events_2022_2026.csv row 930</t>
  </si>
  <si>
    <t xml:space="preserve">SKP-2024-0250</t>
  </si>
  <si>
    <t xml:space="preserve">WL-01832</t>
  </si>
  <si>
    <t xml:space="preserve">Bryan Spencer</t>
  </si>
  <si>
    <t xml:space="preserve">OFR-2024-0940</t>
  </si>
  <si>
    <t xml:space="preserve">VB-0222</t>
  </si>
  <si>
    <t xml:space="preserve">OFR-2024-0848</t>
  </si>
  <si>
    <t xml:space="preserve">VB-0813</t>
  </si>
  <si>
    <t xml:space="preserve">skip_events_2022_2026.csv row 251; applicant_register_2026-08.csv row 833; offer_events_2022_2026.csv row 941</t>
  </si>
  <si>
    <t xml:space="preserve">SKP-2024-0254</t>
  </si>
  <si>
    <t xml:space="preserve">WL-03294</t>
  </si>
  <si>
    <t xml:space="preserve">Megan Nguyen</t>
  </si>
  <si>
    <t xml:space="preserve">OFR-2024-0954</t>
  </si>
  <si>
    <t xml:space="preserve">LP-0102</t>
  </si>
  <si>
    <t xml:space="preserve">skip_events_2022_2026.csv row 255; applicant_register_2026-08.csv row 2295; offer_events_2022_2026.csv row 955</t>
  </si>
  <si>
    <t xml:space="preserve">SKP-2024-0252</t>
  </si>
  <si>
    <t xml:space="preserve">WL-02412</t>
  </si>
  <si>
    <t xml:space="preserve">Laura David</t>
  </si>
  <si>
    <t xml:space="preserve">OFR-2024-0951</t>
  </si>
  <si>
    <t xml:space="preserve">GW-0201</t>
  </si>
  <si>
    <t xml:space="preserve">skip_events_2022_2026.csv row 253; applicant_register_2026-08.csv row 1413; offer_events_2022_2026.csv row 952</t>
  </si>
  <si>
    <t xml:space="preserve">SKP-2024-0256</t>
  </si>
  <si>
    <t xml:space="preserve">WL-02923</t>
  </si>
  <si>
    <t xml:space="preserve">Randall Cummings</t>
  </si>
  <si>
    <t xml:space="preserve">OFR-2024-0960</t>
  </si>
  <si>
    <t xml:space="preserve">LP-0822</t>
  </si>
  <si>
    <t xml:space="preserve">skip_events_2022_2026.csv row 257; applicant_register_2026-08.csv row 1924; offer_events_2022_2026.csv row 961</t>
  </si>
  <si>
    <t xml:space="preserve">SKP-2024-0255</t>
  </si>
  <si>
    <t xml:space="preserve">WL-01844</t>
  </si>
  <si>
    <t xml:space="preserve">Jeffrey Pearson</t>
  </si>
  <si>
    <t xml:space="preserve">OFR-2024-0955</t>
  </si>
  <si>
    <t xml:space="preserve">EW-0519</t>
  </si>
  <si>
    <t xml:space="preserve">skip_events_2022_2026.csv row 256; applicant_register_2026-08.csv row 845; offer_events_2022_2026.csv row 956</t>
  </si>
  <si>
    <t xml:space="preserve">SKP-2024-0253</t>
  </si>
  <si>
    <t xml:space="preserve">WL-03079</t>
  </si>
  <si>
    <t xml:space="preserve">Crystal Glover</t>
  </si>
  <si>
    <t xml:space="preserve">OFR-2024-0952</t>
  </si>
  <si>
    <t xml:space="preserve">SB-0106</t>
  </si>
  <si>
    <t xml:space="preserve">skip_events_2022_2026.csv row 254; applicant_register_2026-08.csv row 2080; offer_events_2022_2026.csv row 953</t>
  </si>
  <si>
    <t xml:space="preserve">SKP-2025-0259</t>
  </si>
  <si>
    <t xml:space="preserve">WL-01382</t>
  </si>
  <si>
    <t xml:space="preserve">Jose King</t>
  </si>
  <si>
    <t xml:space="preserve">OFR-2025-0969</t>
  </si>
  <si>
    <t xml:space="preserve">GW-0908</t>
  </si>
  <si>
    <t xml:space="preserve">skip_events_2022_2026.csv row 260; applicant_register_2026-08.csv row 383; offer_events_2022_2026.csv row 970</t>
  </si>
  <si>
    <t xml:space="preserve">SKP-2025-0260</t>
  </si>
  <si>
    <t xml:space="preserve">WL-03888</t>
  </si>
  <si>
    <t xml:space="preserve">Christian Garcia</t>
  </si>
  <si>
    <t xml:space="preserve">OFR-2025-0970</t>
  </si>
  <si>
    <t xml:space="preserve">SB-0603</t>
  </si>
  <si>
    <t xml:space="preserve">skip_events_2022_2026.csv row 261; applicant_register_2026-08.csv row 2889; offer_events_2022_2026.csv row 971</t>
  </si>
  <si>
    <t xml:space="preserve">SKP-2025-0257</t>
  </si>
  <si>
    <t xml:space="preserve">WL-03628</t>
  </si>
  <si>
    <t xml:space="preserve">Makayla Johnson</t>
  </si>
  <si>
    <t xml:space="preserve">OFR-2025-0964</t>
  </si>
  <si>
    <t xml:space="preserve">LP-0715</t>
  </si>
  <si>
    <t xml:space="preserve">skip_events_2022_2026.csv row 258; applicant_register_2026-08.csv row 2629; offer_events_2022_2026.csv row 965</t>
  </si>
  <si>
    <t xml:space="preserve">SKP-2025-0261</t>
  </si>
  <si>
    <t xml:space="preserve">WL-02733</t>
  </si>
  <si>
    <t xml:space="preserve">Tiffany Melendez</t>
  </si>
  <si>
    <t xml:space="preserve">OFR-2025-0974</t>
  </si>
  <si>
    <t xml:space="preserve">LP-0803</t>
  </si>
  <si>
    <t xml:space="preserve">skip_events_2022_2026.csv row 262; applicant_register_2026-08.csv row 1734; offer_events_2022_2026.csv row 975</t>
  </si>
  <si>
    <t xml:space="preserve">SKP-2025-0258</t>
  </si>
  <si>
    <t xml:space="preserve">OFR-2025-0968</t>
  </si>
  <si>
    <t xml:space="preserve">GW-0517</t>
  </si>
  <si>
    <t xml:space="preserve">skip_events_2022_2026.csv row 259; applicant_register_2026-08.csv row 919; offer_events_2022_2026.csv row 969</t>
  </si>
  <si>
    <t xml:space="preserve">SKP-2025-0262</t>
  </si>
  <si>
    <t xml:space="preserve">WL-03244</t>
  </si>
  <si>
    <t xml:space="preserve">Norma Brown</t>
  </si>
  <si>
    <t xml:space="preserve">OFR-2025-0985</t>
  </si>
  <si>
    <t xml:space="preserve">EW-1015</t>
  </si>
  <si>
    <t xml:space="preserve">skip_events_2022_2026.csv row 263; applicant_register_2026-08.csv row 2245; offer_events_2022_2026.csv row 986</t>
  </si>
  <si>
    <t xml:space="preserve">SKP-2025-0267</t>
  </si>
  <si>
    <t xml:space="preserve">WL-03815</t>
  </si>
  <si>
    <t xml:space="preserve">Jacqueline Jones</t>
  </si>
  <si>
    <t xml:space="preserve">OFR-2025-1010</t>
  </si>
  <si>
    <t xml:space="preserve">skip_events_2022_2026.csv row 268; applicant_register_2026-08.csv row 2816; offer_events_2022_2026.csv row 1011</t>
  </si>
  <si>
    <t xml:space="preserve">SKP-2025-0266</t>
  </si>
  <si>
    <t xml:space="preserve">WL-03604</t>
  </si>
  <si>
    <t xml:space="preserve">Lawrence Rodriguez</t>
  </si>
  <si>
    <t xml:space="preserve">OFR-2025-1005</t>
  </si>
  <si>
    <t xml:space="preserve">EW-0909</t>
  </si>
  <si>
    <t xml:space="preserve">skip_events_2022_2026.csv row 267; applicant_register_2026-08.csv row 2605; offer_events_2022_2026.csv row 1006</t>
  </si>
  <si>
    <t xml:space="preserve">SKP-2025-0265</t>
  </si>
  <si>
    <t xml:space="preserve">WL-03442</t>
  </si>
  <si>
    <t xml:space="preserve">Gary Russo</t>
  </si>
  <si>
    <t xml:space="preserve">OFR-2025-1003</t>
  </si>
  <si>
    <t xml:space="preserve">SB-0203</t>
  </si>
  <si>
    <t xml:space="preserve">skip_events_2022_2026.csv row 266; applicant_register_2026-08.csv row 2443; offer_events_2022_2026.csv row 1004</t>
  </si>
  <si>
    <t xml:space="preserve">SKP-2025-0263</t>
  </si>
  <si>
    <t xml:space="preserve">WL-02067</t>
  </si>
  <si>
    <t xml:space="preserve">Craig Simon</t>
  </si>
  <si>
    <t xml:space="preserve">OFR-2025-0999</t>
  </si>
  <si>
    <t xml:space="preserve">LP-1107</t>
  </si>
  <si>
    <t xml:space="preserve">skip_events_2022_2026.csv row 264; applicant_register_2026-08.csv row 1068; offer_events_2022_2026.csv row 1000</t>
  </si>
  <si>
    <t xml:space="preserve">SKP-2025-0264</t>
  </si>
  <si>
    <t xml:space="preserve">WL-01523</t>
  </si>
  <si>
    <t xml:space="preserve">Melissa Oneill</t>
  </si>
  <si>
    <t xml:space="preserve">OFR-2025-1001</t>
  </si>
  <si>
    <t xml:space="preserve">LP-0304</t>
  </si>
  <si>
    <t xml:space="preserve">skip_events_2022_2026.csv row 265; applicant_register_2026-08.csv row 524; offer_events_2022_2026.csv row 1002</t>
  </si>
  <si>
    <t xml:space="preserve">SKP-2025-0269</t>
  </si>
  <si>
    <t xml:space="preserve">WL-02178</t>
  </si>
  <si>
    <t xml:space="preserve">Thomas Stone</t>
  </si>
  <si>
    <t xml:space="preserve">OFR-2025-1018</t>
  </si>
  <si>
    <t xml:space="preserve">skip_events_2022_2026.csv row 270; applicant_register_2026-08.csv row 1179; offer_events_2022_2026.csv row 1019</t>
  </si>
  <si>
    <t xml:space="preserve">SKP-2025-0275</t>
  </si>
  <si>
    <t xml:space="preserve">WL-02524</t>
  </si>
  <si>
    <t xml:space="preserve">Douglas Herrera</t>
  </si>
  <si>
    <t xml:space="preserve">OFR-2025-1037</t>
  </si>
  <si>
    <t xml:space="preserve">SB-0102</t>
  </si>
  <si>
    <t xml:space="preserve">skip_events_2022_2026.csv row 276; applicant_register_2026-08.csv row 1525; offer_events_2022_2026.csv row 1038</t>
  </si>
  <si>
    <t xml:space="preserve">SKP-2025-0271</t>
  </si>
  <si>
    <t xml:space="preserve">WL-01808</t>
  </si>
  <si>
    <t xml:space="preserve">Jason Shepard</t>
  </si>
  <si>
    <t xml:space="preserve">OFR-2025-1028</t>
  </si>
  <si>
    <t xml:space="preserve">LP-0316</t>
  </si>
  <si>
    <t xml:space="preserve">skip_events_2022_2026.csv row 272; applicant_register_2026-08.csv row 809; offer_events_2022_2026.csv row 1029</t>
  </si>
  <si>
    <t xml:space="preserve">SKP-2025-0270</t>
  </si>
  <si>
    <t xml:space="preserve">OFR-2025-1023</t>
  </si>
  <si>
    <t xml:space="preserve">skip_events_2022_2026.csv row 271; applicant_register_2026-08.csv row 1654; offer_events_2022_2026.csv row 1024</t>
  </si>
  <si>
    <t xml:space="preserve">SKP-2025-0274</t>
  </si>
  <si>
    <t xml:space="preserve">WL-02188</t>
  </si>
  <si>
    <t xml:space="preserve">Courtney Zamora</t>
  </si>
  <si>
    <t xml:space="preserve">OFR-2025-1032</t>
  </si>
  <si>
    <t xml:space="preserve">LP-0817</t>
  </si>
  <si>
    <t xml:space="preserve">skip_events_2022_2026.csv row 275; applicant_register_2026-08.csv row 1189; offer_events_2022_2026.csv row 1033</t>
  </si>
  <si>
    <t xml:space="preserve">SKP-2025-0276</t>
  </si>
  <si>
    <t xml:space="preserve">WL-02845</t>
  </si>
  <si>
    <t xml:space="preserve">Joshua Ortiz</t>
  </si>
  <si>
    <t xml:space="preserve">OFR-2025-1039</t>
  </si>
  <si>
    <t xml:space="preserve">SB-0410</t>
  </si>
  <si>
    <t xml:space="preserve">skip_events_2022_2026.csv row 277; applicant_register_2026-08.csv row 1846; offer_events_2022_2026.csv row 1040</t>
  </si>
  <si>
    <t xml:space="preserve">SKP-2025-0268</t>
  </si>
  <si>
    <t xml:space="preserve">WL-01578</t>
  </si>
  <si>
    <t xml:space="preserve">Ashley Green</t>
  </si>
  <si>
    <t xml:space="preserve">OFR-2025-1012</t>
  </si>
  <si>
    <t xml:space="preserve">LP-1108</t>
  </si>
  <si>
    <t xml:space="preserve">skip_events_2022_2026.csv row 269; applicant_register_2026-08.csv row 579; offer_events_2022_2026.csv row 1013</t>
  </si>
  <si>
    <t xml:space="preserve">SKP-2025-0272</t>
  </si>
  <si>
    <t xml:space="preserve">WL-02693</t>
  </si>
  <si>
    <t xml:space="preserve">Patrick Allen</t>
  </si>
  <si>
    <t xml:space="preserve">OFR-2025-1029</t>
  </si>
  <si>
    <t xml:space="preserve">VB-0906</t>
  </si>
  <si>
    <t xml:space="preserve">skip_events_2022_2026.csv row 273; applicant_register_2026-08.csv row 1694; offer_events_2022_2026.csv row 1030</t>
  </si>
  <si>
    <t xml:space="preserve">SKP-2025-0273</t>
  </si>
  <si>
    <t xml:space="preserve">WL-01328</t>
  </si>
  <si>
    <t xml:space="preserve">Charles Solis</t>
  </si>
  <si>
    <t xml:space="preserve">OFR-2025-1030</t>
  </si>
  <si>
    <t xml:space="preserve">SB-0704</t>
  </si>
  <si>
    <t xml:space="preserve">skip_events_2022_2026.csv row 274; applicant_register_2026-08.csv row 329; offer_events_2022_2026.csv row 1031</t>
  </si>
  <si>
    <t xml:space="preserve">SKP-2025-0279</t>
  </si>
  <si>
    <t xml:space="preserve">WL-03662</t>
  </si>
  <si>
    <t xml:space="preserve">Kevin Murphy</t>
  </si>
  <si>
    <t xml:space="preserve">OFR-2025-1054</t>
  </si>
  <si>
    <t xml:space="preserve">VB-0604</t>
  </si>
  <si>
    <t xml:space="preserve">skip_events_2022_2026.csv row 280; applicant_register_2026-08.csv row 2663; offer_events_2022_2026.csv row 1055</t>
  </si>
  <si>
    <t xml:space="preserve">SKP-2025-0277</t>
  </si>
  <si>
    <t xml:space="preserve">WL-03839</t>
  </si>
  <si>
    <t xml:space="preserve">Sonya May</t>
  </si>
  <si>
    <t xml:space="preserve">OFR-2025-1042</t>
  </si>
  <si>
    <t xml:space="preserve">EW-0209</t>
  </si>
  <si>
    <t xml:space="preserve">skip_events_2022_2026.csv row 278; applicant_register_2026-08.csv row 2840; offer_events_2022_2026.csv row 1043</t>
  </si>
  <si>
    <t xml:space="preserve">SKP-2025-0280</t>
  </si>
  <si>
    <t xml:space="preserve">WL-01472</t>
  </si>
  <si>
    <t xml:space="preserve">Amber Rojas</t>
  </si>
  <si>
    <t xml:space="preserve">OFR-2025-1059</t>
  </si>
  <si>
    <t xml:space="preserve">SB-0720</t>
  </si>
  <si>
    <t xml:space="preserve">skip_events_2022_2026.csv row 281; applicant_register_2026-08.csv row 473; offer_events_2022_2026.csv row 1060</t>
  </si>
  <si>
    <t xml:space="preserve">SKP-2025-0281</t>
  </si>
  <si>
    <t xml:space="preserve">WL-03360</t>
  </si>
  <si>
    <t xml:space="preserve">Morgan Ramos</t>
  </si>
  <si>
    <t xml:space="preserve">OFR-2025-1068</t>
  </si>
  <si>
    <t xml:space="preserve">EW-1003</t>
  </si>
  <si>
    <t xml:space="preserve">skip_events_2022_2026.csv row 282; applicant_register_2026-08.csv row 2361; offer_events_2022_2026.csv row 1069</t>
  </si>
  <si>
    <t xml:space="preserve">SKP-2025-0278</t>
  </si>
  <si>
    <t xml:space="preserve">WL-03094</t>
  </si>
  <si>
    <t xml:space="preserve">Christine Cook</t>
  </si>
  <si>
    <t xml:space="preserve">OFR-2025-1053</t>
  </si>
  <si>
    <t xml:space="preserve">skip_events_2022_2026.csv row 279; applicant_register_2026-08.csv row 2095; offer_events_2022_2026.csv row 1054</t>
  </si>
  <si>
    <t xml:space="preserve">SKP-2025-0285</t>
  </si>
  <si>
    <t xml:space="preserve">WL-03047</t>
  </si>
  <si>
    <t xml:space="preserve">Lauren Collins</t>
  </si>
  <si>
    <t xml:space="preserve">OFR-2025-1079</t>
  </si>
  <si>
    <t xml:space="preserve">EW-0415</t>
  </si>
  <si>
    <t xml:space="preserve">skip_events_2022_2026.csv row 286; applicant_register_2026-08.csv row 2048; offer_events_2022_2026.csv row 1080</t>
  </si>
  <si>
    <t xml:space="preserve">SKP-2025-0289</t>
  </si>
  <si>
    <t xml:space="preserve">OFR-2025-1098</t>
  </si>
  <si>
    <t xml:space="preserve">LP-0901</t>
  </si>
  <si>
    <t xml:space="preserve">skip_events_2022_2026.csv row 290; applicant_register_2026-08.csv row 1014; offer_events_2022_2026.csv row 1099</t>
  </si>
  <si>
    <t xml:space="preserve">SKP-2025-0288</t>
  </si>
  <si>
    <t xml:space="preserve">WL-02356</t>
  </si>
  <si>
    <t xml:space="preserve">David Flores</t>
  </si>
  <si>
    <t xml:space="preserve">OFR-2025-1091</t>
  </si>
  <si>
    <t xml:space="preserve">SB-0411</t>
  </si>
  <si>
    <t xml:space="preserve">skip_events_2022_2026.csv row 289; applicant_register_2026-08.csv row 1357; offer_events_2022_2026.csv row 1092</t>
  </si>
  <si>
    <t xml:space="preserve">SKP-2025-0286</t>
  </si>
  <si>
    <t xml:space="preserve">WL-01151</t>
  </si>
  <si>
    <t xml:space="preserve">Tamara Alvarez</t>
  </si>
  <si>
    <t xml:space="preserve">OFR-2025-1081</t>
  </si>
  <si>
    <t xml:space="preserve">SB-0804</t>
  </si>
  <si>
    <t xml:space="preserve">skip_events_2022_2026.csv row 287; applicant_register_2026-08.csv row 152; offer_events_2022_2026.csv row 1082</t>
  </si>
  <si>
    <t xml:space="preserve">SKP-2025-0284</t>
  </si>
  <si>
    <t xml:space="preserve">WL-02698</t>
  </si>
  <si>
    <t xml:space="preserve">Laura Mckenzie</t>
  </si>
  <si>
    <t xml:space="preserve">OFR-2025-1076</t>
  </si>
  <si>
    <t xml:space="preserve">VB-0409</t>
  </si>
  <si>
    <t xml:space="preserve">skip_events_2022_2026.csv row 285; applicant_register_2026-08.csv row 1699; offer_events_2022_2026.csv row 1077</t>
  </si>
  <si>
    <t xml:space="preserve">SKP-2025-0282</t>
  </si>
  <si>
    <t xml:space="preserve">WL-02747</t>
  </si>
  <si>
    <t xml:space="preserve">Angel Massey</t>
  </si>
  <si>
    <t xml:space="preserve">OFR-2025-1072</t>
  </si>
  <si>
    <t xml:space="preserve">GW-0401</t>
  </si>
  <si>
    <t xml:space="preserve">MC-2023-0222</t>
  </si>
  <si>
    <t xml:space="preserve">skip_events_2022_2026.csv row 283; applicant_register_2026-08.csv row 1748; offer_events_2022_2026.csv row 1073; amendment_log_2022_2026.csv row 706</t>
  </si>
  <si>
    <t xml:space="preserve">SKP-2025-0283</t>
  </si>
  <si>
    <t xml:space="preserve">WL-01333</t>
  </si>
  <si>
    <t xml:space="preserve">Andrew Hayden</t>
  </si>
  <si>
    <t xml:space="preserve">OFR-2025-1075</t>
  </si>
  <si>
    <t xml:space="preserve">LP-0208</t>
  </si>
  <si>
    <t xml:space="preserve">MC-2022-0134</t>
  </si>
  <si>
    <t xml:space="preserve">skip_events_2022_2026.csv row 284; applicant_register_2026-08.csv row 334; offer_events_2022_2026.csv row 1076; amendment_log_2022_2026.csv row 357</t>
  </si>
  <si>
    <t xml:space="preserve">SKP-2025-0287</t>
  </si>
  <si>
    <t xml:space="preserve">WL-02314</t>
  </si>
  <si>
    <t xml:space="preserve">David Silva</t>
  </si>
  <si>
    <t xml:space="preserve">OFR-2025-1090</t>
  </si>
  <si>
    <t xml:space="preserve">LP-0124</t>
  </si>
  <si>
    <t xml:space="preserve">skip_events_2022_2026.csv row 288; applicant_register_2026-08.csv row 1315; offer_events_2022_2026.csv row 1091</t>
  </si>
  <si>
    <t xml:space="preserve">SKP-2025-0292</t>
  </si>
  <si>
    <t xml:space="preserve">WL-02298</t>
  </si>
  <si>
    <t xml:space="preserve">Ronald Simpson</t>
  </si>
  <si>
    <t xml:space="preserve">OFR-2025-1117</t>
  </si>
  <si>
    <t xml:space="preserve">GW-1017</t>
  </si>
  <si>
    <t xml:space="preserve">skip_events_2022_2026.csv row 293; applicant_register_2026-08.csv row 1299; offer_events_2022_2026.csv row 1118</t>
  </si>
  <si>
    <t xml:space="preserve">SKP-2025-0290</t>
  </si>
  <si>
    <t xml:space="preserve">WL-01813</t>
  </si>
  <si>
    <t xml:space="preserve">Jessica Williams</t>
  </si>
  <si>
    <t xml:space="preserve">OFR-2025-1101</t>
  </si>
  <si>
    <t xml:space="preserve">GW-0910</t>
  </si>
  <si>
    <t xml:space="preserve">skip_events_2022_2026.csv row 291; applicant_register_2026-08.csv row 814; offer_events_2022_2026.csv row 1102</t>
  </si>
  <si>
    <t xml:space="preserve">SKP-2025-0294</t>
  </si>
  <si>
    <t xml:space="preserve">WL-03579</t>
  </si>
  <si>
    <t xml:space="preserve">Jeanne Greer</t>
  </si>
  <si>
    <t xml:space="preserve">OFR-2025-1124</t>
  </si>
  <si>
    <t xml:space="preserve">LP-0816</t>
  </si>
  <si>
    <t xml:space="preserve">skip_events_2022_2026.csv row 295; applicant_register_2026-08.csv row 2580; offer_events_2022_2026.csv row 1125</t>
  </si>
  <si>
    <t xml:space="preserve">SKP-2025-0293</t>
  </si>
  <si>
    <t xml:space="preserve">WL-03516</t>
  </si>
  <si>
    <t xml:space="preserve">Tiffany Mcgrath</t>
  </si>
  <si>
    <t xml:space="preserve">OFR-2025-1123</t>
  </si>
  <si>
    <t xml:space="preserve">VB-0209</t>
  </si>
  <si>
    <t xml:space="preserve">skip_events_2022_2026.csv row 294; applicant_register_2026-08.csv row 2517; offer_events_2022_2026.csv row 1124</t>
  </si>
  <si>
    <t xml:space="preserve">SKP-2025-0295</t>
  </si>
  <si>
    <t xml:space="preserve">WL-03248</t>
  </si>
  <si>
    <t xml:space="preserve">Theresa Grant</t>
  </si>
  <si>
    <t xml:space="preserve">OFR-2025-1125</t>
  </si>
  <si>
    <t xml:space="preserve">LP-0616</t>
  </si>
  <si>
    <t xml:space="preserve">skip_events_2022_2026.csv row 296; applicant_register_2026-08.csv row 2249; offer_events_2022_2026.csv row 1126</t>
  </si>
  <si>
    <t xml:space="preserve">SKP-2025-0296</t>
  </si>
  <si>
    <t xml:space="preserve">WL-03526</t>
  </si>
  <si>
    <t xml:space="preserve">Michael West</t>
  </si>
  <si>
    <t xml:space="preserve">OFR-2025-1126</t>
  </si>
  <si>
    <t xml:space="preserve">skip_events_2022_2026.csv row 297; applicant_register_2026-08.csv row 2527; offer_events_2022_2026.csv row 1127</t>
  </si>
  <si>
    <t xml:space="preserve">SKP-2025-0291</t>
  </si>
  <si>
    <t xml:space="preserve">WL-03227</t>
  </si>
  <si>
    <t xml:space="preserve">Carrie Herrera</t>
  </si>
  <si>
    <t xml:space="preserve">OFR-2025-1113</t>
  </si>
  <si>
    <t xml:space="preserve">LP-0414</t>
  </si>
  <si>
    <t xml:space="preserve">skip_events_2022_2026.csv row 292; applicant_register_2026-08.csv row 2228; offer_events_2022_2026.csv row 1114</t>
  </si>
  <si>
    <t xml:space="preserve">SKP-2025-0297</t>
  </si>
  <si>
    <t xml:space="preserve">OFR-2025-1129</t>
  </si>
  <si>
    <t xml:space="preserve">GW-0103</t>
  </si>
  <si>
    <t xml:space="preserve">skip_events_2022_2026.csv row 298; applicant_register_2026-08.csv row 2095; offer_events_2022_2026.csv row 1130</t>
  </si>
  <si>
    <t xml:space="preserve">SKP-2025-0308</t>
  </si>
  <si>
    <t xml:space="preserve">WL-03481</t>
  </si>
  <si>
    <t xml:space="preserve">William Madden</t>
  </si>
  <si>
    <t xml:space="preserve">OFR-2025-1165</t>
  </si>
  <si>
    <t xml:space="preserve">GW-0915</t>
  </si>
  <si>
    <t xml:space="preserve">skip_events_2022_2026.csv row 309; applicant_register_2026-08.csv row 2482; offer_events_2022_2026.csv row 1166</t>
  </si>
  <si>
    <t xml:space="preserve">SKP-2025-0307</t>
  </si>
  <si>
    <t xml:space="preserve">WL-02323</t>
  </si>
  <si>
    <t xml:space="preserve">John Preston</t>
  </si>
  <si>
    <t xml:space="preserve">OFR-2025-1164</t>
  </si>
  <si>
    <t xml:space="preserve">skip_events_2022_2026.csv row 308; applicant_register_2026-08.csv row 1324; offer_events_2022_2026.csv row 1165</t>
  </si>
  <si>
    <t xml:space="preserve">SKP-2025-0306</t>
  </si>
  <si>
    <t xml:space="preserve">OFR-2025-1160</t>
  </si>
  <si>
    <t xml:space="preserve">SB-0420</t>
  </si>
  <si>
    <t xml:space="preserve">skip_events_2022_2026.csv row 307; applicant_register_2026-08.csv row 1913; offer_events_2022_2026.csv row 1161</t>
  </si>
  <si>
    <t xml:space="preserve">SKP-2025-0303</t>
  </si>
  <si>
    <t xml:space="preserve">WL-02607</t>
  </si>
  <si>
    <t xml:space="preserve">Sean Charles</t>
  </si>
  <si>
    <t xml:space="preserve">OFR-2025-1153</t>
  </si>
  <si>
    <t xml:space="preserve">Foldview Marine Services haul-out sheet 2024-01-01</t>
  </si>
  <si>
    <t xml:space="preserve">skip_events_2022_2026.csv row 304; applicant_register_2026-08.csv row 1608; offer_events_2022_2026.csv row 1154; amendment_log_2022_2026.csv row 1328</t>
  </si>
  <si>
    <t xml:space="preserve">SKP-2025-0305</t>
  </si>
  <si>
    <t xml:space="preserve">WL-03134</t>
  </si>
  <si>
    <t xml:space="preserve">Laurie Larson</t>
  </si>
  <si>
    <t xml:space="preserve">OFR-2025-1157</t>
  </si>
  <si>
    <t xml:space="preserve">SB-0624</t>
  </si>
  <si>
    <t xml:space="preserve">skip_events_2022_2026.csv row 306; applicant_register_2026-08.csv row 2135; offer_events_2022_2026.csv row 1158</t>
  </si>
  <si>
    <t xml:space="preserve">SKP-2025-0304</t>
  </si>
  <si>
    <t xml:space="preserve">WL-03314</t>
  </si>
  <si>
    <t xml:space="preserve">Hannah Orozco</t>
  </si>
  <si>
    <t xml:space="preserve">OFR-2025-1155</t>
  </si>
  <si>
    <t xml:space="preserve">LP-0319</t>
  </si>
  <si>
    <t xml:space="preserve">skip_events_2022_2026.csv row 305; applicant_register_2026-08.csv row 2315; offer_events_2022_2026.csv row 1156</t>
  </si>
  <si>
    <t xml:space="preserve">SKP-2025-0300</t>
  </si>
  <si>
    <t xml:space="preserve">WL-01537</t>
  </si>
  <si>
    <t xml:space="preserve">Jessica Johnson</t>
  </si>
  <si>
    <t xml:space="preserve">OFR-2025-1138</t>
  </si>
  <si>
    <t xml:space="preserve">GW-0701</t>
  </si>
  <si>
    <t xml:space="preserve">skip_events_2022_2026.csv row 301; applicant_register_2026-08.csv row 538; offer_events_2022_2026.csv row 1139</t>
  </si>
  <si>
    <t xml:space="preserve">SKP-2025-0311</t>
  </si>
  <si>
    <t xml:space="preserve">WL-01843</t>
  </si>
  <si>
    <t xml:space="preserve">Donna Kim</t>
  </si>
  <si>
    <t xml:space="preserve">OFR-2025-1171</t>
  </si>
  <si>
    <t xml:space="preserve">skip_events_2022_2026.csv row 312; applicant_register_2026-08.csv row 844; offer_events_2022_2026.csv row 1172</t>
  </si>
  <si>
    <t xml:space="preserve">SKP-2025-0302</t>
  </si>
  <si>
    <t xml:space="preserve">WL-01702</t>
  </si>
  <si>
    <t xml:space="preserve">Larry Carr</t>
  </si>
  <si>
    <t xml:space="preserve">OFR-2025-1147</t>
  </si>
  <si>
    <t xml:space="preserve">VB-1014</t>
  </si>
  <si>
    <t xml:space="preserve">skip_events_2022_2026.csv row 303; applicant_register_2026-08.csv row 703; offer_events_2022_2026.csv row 1148</t>
  </si>
  <si>
    <t xml:space="preserve">SKP-2025-0298</t>
  </si>
  <si>
    <t xml:space="preserve">WL-02774</t>
  </si>
  <si>
    <t xml:space="preserve">Benjamin Harris</t>
  </si>
  <si>
    <t xml:space="preserve">OFR-2025-1134</t>
  </si>
  <si>
    <t xml:space="preserve">skip_events_2022_2026.csv row 299; applicant_register_2026-08.csv row 1775; offer_events_2022_2026.csv row 1135</t>
  </si>
  <si>
    <t xml:space="preserve">SKP-2025-0299</t>
  </si>
  <si>
    <t xml:space="preserve">WL-03311</t>
  </si>
  <si>
    <t xml:space="preserve">Shane Lee</t>
  </si>
  <si>
    <t xml:space="preserve">OFR-2025-1136</t>
  </si>
  <si>
    <t xml:space="preserve">skip_events_2022_2026.csv row 300; applicant_register_2026-08.csv row 2312; offer_events_2022_2026.csv row 1137</t>
  </si>
  <si>
    <t xml:space="preserve">SKP-2025-0301</t>
  </si>
  <si>
    <t xml:space="preserve">WL-01788</t>
  </si>
  <si>
    <t xml:space="preserve">James Austin</t>
  </si>
  <si>
    <t xml:space="preserve">OFR-2025-1143</t>
  </si>
  <si>
    <t xml:space="preserve">GW-0305</t>
  </si>
  <si>
    <t xml:space="preserve">skip_events_2022_2026.csv row 302; applicant_register_2026-08.csv row 789; offer_events_2022_2026.csv row 1144</t>
  </si>
  <si>
    <t xml:space="preserve">SKP-2025-0309</t>
  </si>
  <si>
    <t xml:space="preserve">WL-02838</t>
  </si>
  <si>
    <t xml:space="preserve">Kimberly Griffin</t>
  </si>
  <si>
    <t xml:space="preserve">OFR-2025-1167</t>
  </si>
  <si>
    <t xml:space="preserve">LP-0413</t>
  </si>
  <si>
    <t xml:space="preserve">Supporting record not attached; No earlier same-class declined/expired offer in export</t>
  </si>
  <si>
    <t xml:space="preserve">skip_events_2022_2026.csv row 310; applicant_register_2026-08.csv row 1839; offer_events_2022_2026.csv row 1168</t>
  </si>
  <si>
    <t xml:space="preserve">SKP-2025-0310</t>
  </si>
  <si>
    <t xml:space="preserve">WL-01617</t>
  </si>
  <si>
    <t xml:space="preserve">James Ferguson</t>
  </si>
  <si>
    <t xml:space="preserve">OFR-2025-1168</t>
  </si>
  <si>
    <t xml:space="preserve">skip_events_2022_2026.csv row 311; applicant_register_2026-08.csv row 618; offer_events_2022_2026.csv row 1169</t>
  </si>
  <si>
    <t xml:space="preserve">SKP-2025-0313</t>
  </si>
  <si>
    <t xml:space="preserve">WL-01334</t>
  </si>
  <si>
    <t xml:space="preserve">Tammy Jones</t>
  </si>
  <si>
    <t xml:space="preserve">OFR-2025-1182</t>
  </si>
  <si>
    <t xml:space="preserve">LP-0514</t>
  </si>
  <si>
    <t xml:space="preserve">skip_events_2022_2026.csv row 314; applicant_register_2026-08.csv row 335; offer_events_2022_2026.csv row 1183</t>
  </si>
  <si>
    <t xml:space="preserve">SKP-2025-0322</t>
  </si>
  <si>
    <t xml:space="preserve">WL-02002</t>
  </si>
  <si>
    <t xml:space="preserve">Andrew Turner</t>
  </si>
  <si>
    <t xml:space="preserve">OFR-2025-1208</t>
  </si>
  <si>
    <t xml:space="preserve">skip_events_2022_2026.csv row 323; applicant_register_2026-08.csv row 1003; offer_events_2022_2026.csv row 1209</t>
  </si>
  <si>
    <t xml:space="preserve">SKP-2025-0320</t>
  </si>
  <si>
    <t xml:space="preserve">WL-02167</t>
  </si>
  <si>
    <t xml:space="preserve">Jonathan Anderson</t>
  </si>
  <si>
    <t xml:space="preserve">OFR-2025-1201</t>
  </si>
  <si>
    <t xml:space="preserve">VB-0304</t>
  </si>
  <si>
    <t xml:space="preserve">MC-2024-0712</t>
  </si>
  <si>
    <t xml:space="preserve">skip_events_2022_2026.csv row 321; applicant_register_2026-08.csv row 1168; offer_events_2022_2026.csv row 1202; amendment_log_2022_2026.csv row 1110</t>
  </si>
  <si>
    <t xml:space="preserve">SKP-2025-0412</t>
  </si>
  <si>
    <t xml:space="preserve">WL-03102</t>
  </si>
  <si>
    <t xml:space="preserve">Dennis Farlow</t>
  </si>
  <si>
    <t xml:space="preserve">OFR-2025-1487</t>
  </si>
  <si>
    <t xml:space="preserve">LP-0806</t>
  </si>
  <si>
    <t xml:space="preserve">Foldview Marine Services haul-out measurement sheet 2025-06-29</t>
  </si>
  <si>
    <t xml:space="preserve">Offer ID absent from offer export; Physical file conflicts with skip export</t>
  </si>
  <si>
    <t xml:space="preserve">skip_events_2022_2026.csv row 413; applicant_register_2026-08.csv row 2103; amendment_log_2022_2026.csv row 1703; WL-03102_skip_justification.pdf pp.1-3</t>
  </si>
  <si>
    <t xml:space="preserve">SKP-2025-0321</t>
  </si>
  <si>
    <t xml:space="preserve">WL-03865</t>
  </si>
  <si>
    <t xml:space="preserve">William Moran</t>
  </si>
  <si>
    <t xml:space="preserve">OFR-2025-1207</t>
  </si>
  <si>
    <t xml:space="preserve">skip_events_2022_2026.csv row 322; applicant_register_2026-08.csv row 2866; offer_events_2022_2026.csv row 1208</t>
  </si>
  <si>
    <t xml:space="preserve">SKP-2025-0312</t>
  </si>
  <si>
    <t xml:space="preserve">WL-01715</t>
  </si>
  <si>
    <t xml:space="preserve">Richard Snyder</t>
  </si>
  <si>
    <t xml:space="preserve">OFR-2025-1181</t>
  </si>
  <si>
    <t xml:space="preserve">GW-0216</t>
  </si>
  <si>
    <t xml:space="preserve">skip_events_2022_2026.csv row 313; applicant_register_2026-08.csv row 716; offer_events_2022_2026.csv row 1182</t>
  </si>
  <si>
    <t xml:space="preserve">SKP-2025-0314</t>
  </si>
  <si>
    <t xml:space="preserve">WL-02428</t>
  </si>
  <si>
    <t xml:space="preserve">David Henry</t>
  </si>
  <si>
    <t xml:space="preserve">OFR-2025-1185</t>
  </si>
  <si>
    <t xml:space="preserve">OFR-2024-0840</t>
  </si>
  <si>
    <t xml:space="preserve">EW-0609</t>
  </si>
  <si>
    <t xml:space="preserve">DECLINED</t>
  </si>
  <si>
    <t xml:space="preserve">skip_events_2022_2026.csv row 315; applicant_register_2026-08.csv row 1429; offer_events_2022_2026.csv row 1186</t>
  </si>
  <si>
    <t xml:space="preserve">SKP-2025-0318</t>
  </si>
  <si>
    <t xml:space="preserve">WL-02890</t>
  </si>
  <si>
    <t xml:space="preserve">Crystal Morales</t>
  </si>
  <si>
    <t xml:space="preserve">OFR-2025-1197</t>
  </si>
  <si>
    <t xml:space="preserve">EW-0716</t>
  </si>
  <si>
    <t xml:space="preserve">skip_events_2022_2026.csv row 319; applicant_register_2026-08.csv row 1891; offer_events_2022_2026.csv row 1198</t>
  </si>
  <si>
    <t xml:space="preserve">SKP-2025-0316</t>
  </si>
  <si>
    <t xml:space="preserve">WL-02153</t>
  </si>
  <si>
    <t xml:space="preserve">Amy Murray</t>
  </si>
  <si>
    <t xml:space="preserve">OFR-2025-1189</t>
  </si>
  <si>
    <t xml:space="preserve">skip_events_2022_2026.csv row 317; applicant_register_2026-08.csv row 1154; offer_events_2022_2026.csv row 1190</t>
  </si>
  <si>
    <t xml:space="preserve">SKP-2025-0319</t>
  </si>
  <si>
    <t xml:space="preserve">WL-01913</t>
  </si>
  <si>
    <t xml:space="preserve">Nicole Thompson</t>
  </si>
  <si>
    <t xml:space="preserve">OFR-2025-1199</t>
  </si>
  <si>
    <t xml:space="preserve">EW-0819</t>
  </si>
  <si>
    <t xml:space="preserve">skip_events_2022_2026.csv row 320; applicant_register_2026-08.csv row 914; offer_events_2022_2026.csv row 1200</t>
  </si>
  <si>
    <t xml:space="preserve">SKP-2025-0315</t>
  </si>
  <si>
    <t xml:space="preserve">WL-03861</t>
  </si>
  <si>
    <t xml:space="preserve">Joseph Koch</t>
  </si>
  <si>
    <t xml:space="preserve">OFR-2025-1188</t>
  </si>
  <si>
    <t xml:space="preserve">VB-0123</t>
  </si>
  <si>
    <t xml:space="preserve">skip_events_2022_2026.csv row 316; applicant_register_2026-08.csv row 2862; offer_events_2022_2026.csv row 1189</t>
  </si>
  <si>
    <t xml:space="preserve">SKP-2025-0317</t>
  </si>
  <si>
    <t xml:space="preserve">WL-02445</t>
  </si>
  <si>
    <t xml:space="preserve">Marcus Yee</t>
  </si>
  <si>
    <t xml:space="preserve">OFR-2025-1195</t>
  </si>
  <si>
    <t xml:space="preserve">SB-0222</t>
  </si>
  <si>
    <t xml:space="preserve">skip_events_2022_2026.csv row 318; applicant_register_2026-08.csv row 1446; offer_events_2022_2026.csv row 1196</t>
  </si>
  <si>
    <t xml:space="preserve">SKP-2025-0330</t>
  </si>
  <si>
    <t xml:space="preserve">WL-02676</t>
  </si>
  <si>
    <t xml:space="preserve">Janice Walker</t>
  </si>
  <si>
    <t xml:space="preserve">OFR-2025-1240</t>
  </si>
  <si>
    <t xml:space="preserve">EW-0124</t>
  </si>
  <si>
    <t xml:space="preserve">skip_events_2022_2026.csv row 331; applicant_register_2026-08.csv row 1677; offer_events_2022_2026.csv row 1241</t>
  </si>
  <si>
    <t xml:space="preserve">SKP-2025-0325</t>
  </si>
  <si>
    <t xml:space="preserve">WL-03750</t>
  </si>
  <si>
    <t xml:space="preserve">Michael Phillips</t>
  </si>
  <si>
    <t xml:space="preserve">OFR-2025-1218</t>
  </si>
  <si>
    <t xml:space="preserve">GW-0622</t>
  </si>
  <si>
    <t xml:space="preserve">skip_events_2022_2026.csv row 326; applicant_register_2026-08.csv row 2751; offer_events_2022_2026.csv row 1219</t>
  </si>
  <si>
    <t xml:space="preserve">SKP-2025-0331</t>
  </si>
  <si>
    <t xml:space="preserve">WL-03455</t>
  </si>
  <si>
    <t xml:space="preserve">Taylor George</t>
  </si>
  <si>
    <t xml:space="preserve">OFR-2025-1246</t>
  </si>
  <si>
    <t xml:space="preserve">SB-0402</t>
  </si>
  <si>
    <t xml:space="preserve">MC-2023-0192</t>
  </si>
  <si>
    <t xml:space="preserve">skip_events_2022_2026.csv row 332; applicant_register_2026-08.csv row 2456; offer_events_2022_2026.csv row 1247; amendment_log_2022_2026.csv row 692</t>
  </si>
  <si>
    <t xml:space="preserve">SKP-2025-0328</t>
  </si>
  <si>
    <t xml:space="preserve">OFR-2025-1230</t>
  </si>
  <si>
    <t xml:space="preserve">SB-0115</t>
  </si>
  <si>
    <t xml:space="preserve">OFR-2023-0549</t>
  </si>
  <si>
    <t xml:space="preserve">skip_events_2022_2026.csv row 329; applicant_register_2026-08.csv row 90; offer_events_2022_2026.csv row 1231</t>
  </si>
  <si>
    <t xml:space="preserve">SKP-2025-0329</t>
  </si>
  <si>
    <t xml:space="preserve">WL-01128</t>
  </si>
  <si>
    <t xml:space="preserve">Angela Smith</t>
  </si>
  <si>
    <t xml:space="preserve">OFR-2025-1233</t>
  </si>
  <si>
    <t xml:space="preserve">LP-0504</t>
  </si>
  <si>
    <t xml:space="preserve">skip_events_2022_2026.csv row 330; applicant_register_2026-08.csv row 129; offer_events_2022_2026.csv row 1234</t>
  </si>
  <si>
    <t xml:space="preserve">SKP-2025-0332</t>
  </si>
  <si>
    <t xml:space="preserve">WL-02711</t>
  </si>
  <si>
    <t xml:space="preserve">David Baker</t>
  </si>
  <si>
    <t xml:space="preserve">OFR-2025-1247</t>
  </si>
  <si>
    <t xml:space="preserve">skip_events_2022_2026.csv row 333; applicant_register_2026-08.csv row 1712; offer_events_2022_2026.csv row 1248</t>
  </si>
  <si>
    <t xml:space="preserve">SKP-2025-0333</t>
  </si>
  <si>
    <t xml:space="preserve">WL-02448</t>
  </si>
  <si>
    <t xml:space="preserve">Mark Bolton</t>
  </si>
  <si>
    <t xml:space="preserve">OFR-2025-1249</t>
  </si>
  <si>
    <t xml:space="preserve">LP-0908</t>
  </si>
  <si>
    <t xml:space="preserve">skip_events_2022_2026.csv row 334; applicant_register_2026-08.csv row 1449; offer_events_2022_2026.csv row 1250</t>
  </si>
  <si>
    <t xml:space="preserve">SKP-2025-0327</t>
  </si>
  <si>
    <t xml:space="preserve">WL-01645</t>
  </si>
  <si>
    <t xml:space="preserve">Michael Walker</t>
  </si>
  <si>
    <t xml:space="preserve">OFR-2025-1225</t>
  </si>
  <si>
    <t xml:space="preserve">GW-1020</t>
  </si>
  <si>
    <t xml:space="preserve">OFR-2025-1106</t>
  </si>
  <si>
    <t xml:space="preserve">EW-0704</t>
  </si>
  <si>
    <t xml:space="preserve">skip_events_2022_2026.csv row 328; applicant_register_2026-08.csv row 646; offer_events_2022_2026.csv row 1226</t>
  </si>
  <si>
    <t xml:space="preserve">SKP-2025-0323</t>
  </si>
  <si>
    <t xml:space="preserve">WL-02284</t>
  </si>
  <si>
    <t xml:space="preserve">Tonya Ruiz</t>
  </si>
  <si>
    <t xml:space="preserve">OFR-2025-1212</t>
  </si>
  <si>
    <t xml:space="preserve">SB-0801</t>
  </si>
  <si>
    <t xml:space="preserve">skip_events_2022_2026.csv row 324; applicant_register_2026-08.csv row 1285; offer_events_2022_2026.csv row 1213</t>
  </si>
  <si>
    <t xml:space="preserve">SKP-2025-0326</t>
  </si>
  <si>
    <t xml:space="preserve">OFR-2025-1219</t>
  </si>
  <si>
    <t xml:space="preserve">LP-0705</t>
  </si>
  <si>
    <t xml:space="preserve">skip_events_2022_2026.csv row 327; applicant_register_2026-08.csv row 2858; offer_events_2022_2026.csv row 1220</t>
  </si>
  <si>
    <t xml:space="preserve">SKP-2025-0324</t>
  </si>
  <si>
    <t xml:space="preserve">WL-02187</t>
  </si>
  <si>
    <t xml:space="preserve">Leonard Gordon</t>
  </si>
  <si>
    <t xml:space="preserve">OFR-2025-1215</t>
  </si>
  <si>
    <t xml:space="preserve">SB-0806</t>
  </si>
  <si>
    <t xml:space="preserve">skip_events_2022_2026.csv row 325; applicant_register_2026-08.csv row 1188; offer_events_2022_2026.csv row 1216</t>
  </si>
  <si>
    <t xml:space="preserve">SKP-2025-0335</t>
  </si>
  <si>
    <t xml:space="preserve">WL-02404</t>
  </si>
  <si>
    <t xml:space="preserve">Samuel King</t>
  </si>
  <si>
    <t xml:space="preserve">OFR-2025-1258</t>
  </si>
  <si>
    <t xml:space="preserve">VB-0201</t>
  </si>
  <si>
    <t xml:space="preserve">skip_events_2022_2026.csv row 336; applicant_register_2026-08.csv row 1405; offer_events_2022_2026.csv row 1259</t>
  </si>
  <si>
    <t xml:space="preserve">SKP-2025-0334</t>
  </si>
  <si>
    <t xml:space="preserve">OFR-2025-1253</t>
  </si>
  <si>
    <t xml:space="preserve">skip_events_2022_2026.csv row 335; applicant_register_2026-08.csv row 265; offer_events_2022_2026.csv row 1254</t>
  </si>
  <si>
    <t xml:space="preserve">SKP-2025-0336</t>
  </si>
  <si>
    <t xml:space="preserve">WL-01776</t>
  </si>
  <si>
    <t xml:space="preserve">Theresa Pena</t>
  </si>
  <si>
    <t xml:space="preserve">OFR-2025-1265</t>
  </si>
  <si>
    <t xml:space="preserve">GW-0419</t>
  </si>
  <si>
    <t xml:space="preserve">skip_events_2022_2026.csv row 337; applicant_register_2026-08.csv row 777; offer_events_2022_2026.csv row 1266</t>
  </si>
  <si>
    <t xml:space="preserve">SKP-2025-0337</t>
  </si>
  <si>
    <t xml:space="preserve">WL-02991</t>
  </si>
  <si>
    <t xml:space="preserve">Cole Palmer</t>
  </si>
  <si>
    <t xml:space="preserve">OFR-2025-1276</t>
  </si>
  <si>
    <t xml:space="preserve">SB-0408</t>
  </si>
  <si>
    <t xml:space="preserve">skip_events_2022_2026.csv row 338; applicant_register_2026-08.csv row 1992; offer_events_2022_2026.csv row 1277</t>
  </si>
  <si>
    <t xml:space="preserve">SKP-2026-0342</t>
  </si>
  <si>
    <t xml:space="preserve">WL-01558</t>
  </si>
  <si>
    <t xml:space="preserve">Edward Carter</t>
  </si>
  <si>
    <t xml:space="preserve">OFR-2026-1284</t>
  </si>
  <si>
    <t xml:space="preserve">EW-0421</t>
  </si>
  <si>
    <t xml:space="preserve">skip_events_2022_2026.csv row 343; applicant_register_2026-08.csv row 559; offer_events_2022_2026.csv row 1285</t>
  </si>
  <si>
    <t xml:space="preserve">SKP-2026-0343</t>
  </si>
  <si>
    <t xml:space="preserve">WL-03054</t>
  </si>
  <si>
    <t xml:space="preserve">Amanda Schmidt</t>
  </si>
  <si>
    <t xml:space="preserve">OFR-2026-1285</t>
  </si>
  <si>
    <t xml:space="preserve">VB-0224</t>
  </si>
  <si>
    <t xml:space="preserve">MC-2022-0411</t>
  </si>
  <si>
    <t xml:space="preserve">Supporting record not attached; In-force amendment does not reconcile to current register LOA</t>
  </si>
  <si>
    <t xml:space="preserve">skip_events_2022_2026.csv row 344; applicant_register_2026-08.csv row 2055; offer_events_2022_2026.csv row 1286; amendment_log_2022_2026.csv row 289</t>
  </si>
  <si>
    <t xml:space="preserve">SKP-2026-0338</t>
  </si>
  <si>
    <t xml:space="preserve">WL-03011</t>
  </si>
  <si>
    <t xml:space="preserve">Christopher Schultz</t>
  </si>
  <si>
    <t xml:space="preserve">OFR-2026-1278</t>
  </si>
  <si>
    <t xml:space="preserve">SB-0719</t>
  </si>
  <si>
    <t xml:space="preserve">skip_events_2022_2026.csv row 339; applicant_register_2026-08.csv row 2012; offer_events_2022_2026.csv row 1279</t>
  </si>
  <si>
    <t xml:space="preserve">SKP-2026-0339</t>
  </si>
  <si>
    <t xml:space="preserve">OFR-2026-1279</t>
  </si>
  <si>
    <t xml:space="preserve">EW-0813</t>
  </si>
  <si>
    <t xml:space="preserve">skip_events_2022_2026.csv row 340; applicant_register_2026-08.csv row 369; offer_events_2022_2026.csv row 1280</t>
  </si>
  <si>
    <t xml:space="preserve">SKP-2026-0340</t>
  </si>
  <si>
    <t xml:space="preserve">WL-01435</t>
  </si>
  <si>
    <t xml:space="preserve">Jessica Schultz</t>
  </si>
  <si>
    <t xml:space="preserve">OFR-2026-1280</t>
  </si>
  <si>
    <t xml:space="preserve">skip_events_2022_2026.csv row 341; applicant_register_2026-08.csv row 436; offer_events_2022_2026.csv row 1281</t>
  </si>
  <si>
    <t xml:space="preserve">SKP-2026-0341</t>
  </si>
  <si>
    <t xml:space="preserve">WL-03197</t>
  </si>
  <si>
    <t xml:space="preserve">Thomas Lee</t>
  </si>
  <si>
    <t xml:space="preserve">OFR-2026-1283</t>
  </si>
  <si>
    <t xml:space="preserve">LP-1109</t>
  </si>
  <si>
    <t xml:space="preserve">skip_events_2022_2026.csv row 342; applicant_register_2026-08.csv row 2198; offer_events_2022_2026.csv row 1284</t>
  </si>
  <si>
    <t xml:space="preserve">SKP-2026-0349</t>
  </si>
  <si>
    <t xml:space="preserve">OFR-2026-1306</t>
  </si>
  <si>
    <t xml:space="preserve">skip_events_2022_2026.csv row 350; applicant_register_2026-08.csv row 2817; offer_events_2022_2026.csv row 1307</t>
  </si>
  <si>
    <t xml:space="preserve">SKP-2026-0346</t>
  </si>
  <si>
    <t xml:space="preserve">WL-01605</t>
  </si>
  <si>
    <t xml:space="preserve">Michael Curtis</t>
  </si>
  <si>
    <t xml:space="preserve">OFR-2026-1298</t>
  </si>
  <si>
    <t xml:space="preserve">VB-0912</t>
  </si>
  <si>
    <t xml:space="preserve">OFR-2022-0020</t>
  </si>
  <si>
    <t xml:space="preserve">LP-0111</t>
  </si>
  <si>
    <t xml:space="preserve">skip_events_2022_2026.csv row 347; applicant_register_2026-08.csv row 606; offer_events_2022_2026.csv row 1299</t>
  </si>
  <si>
    <t xml:space="preserve">SKP-2026-0344</t>
  </si>
  <si>
    <t xml:space="preserve">WL-03817</t>
  </si>
  <si>
    <t xml:space="preserve">Leslie Short</t>
  </si>
  <si>
    <t xml:space="preserve">OFR-2026-1291</t>
  </si>
  <si>
    <t xml:space="preserve">SB-0907</t>
  </si>
  <si>
    <t xml:space="preserve">skip_events_2022_2026.csv row 345; applicant_register_2026-08.csv row 2818; offer_events_2022_2026.csv row 1292</t>
  </si>
  <si>
    <t xml:space="preserve">SKP-2026-0347</t>
  </si>
  <si>
    <t xml:space="preserve">WL-01550</t>
  </si>
  <si>
    <t xml:space="preserve">Brittany Grant</t>
  </si>
  <si>
    <t xml:space="preserve">OFR-2026-1299</t>
  </si>
  <si>
    <t xml:space="preserve">Foldview Marine Services haul-out sheet 2024-02-12</t>
  </si>
  <si>
    <t xml:space="preserve">skip_events_2022_2026.csv row 348; applicant_register_2026-08.csv row 551; offer_events_2022_2026.csv row 1300; amendment_log_2022_2026.csv row 1205</t>
  </si>
  <si>
    <t xml:space="preserve">SKP-2026-0348</t>
  </si>
  <si>
    <t xml:space="preserve">WL-02930</t>
  </si>
  <si>
    <t xml:space="preserve">Carmen Strickland</t>
  </si>
  <si>
    <t xml:space="preserve">OFR-2026-1305</t>
  </si>
  <si>
    <t xml:space="preserve">LP-0915</t>
  </si>
  <si>
    <t xml:space="preserve">skip_events_2022_2026.csv row 349; applicant_register_2026-08.csv row 1931; offer_events_2022_2026.csv row 1306</t>
  </si>
  <si>
    <t xml:space="preserve">SKP-2026-0345</t>
  </si>
  <si>
    <t xml:space="preserve">WL-03653</t>
  </si>
  <si>
    <t xml:space="preserve">Rodney Carter</t>
  </si>
  <si>
    <t xml:space="preserve">OFR-2026-1297</t>
  </si>
  <si>
    <t xml:space="preserve">LP-0614</t>
  </si>
  <si>
    <t xml:space="preserve">skip_events_2022_2026.csv row 346; applicant_register_2026-08.csv row 2654; offer_events_2022_2026.csv row 1298</t>
  </si>
  <si>
    <t xml:space="preserve">SKP-2026-0350</t>
  </si>
  <si>
    <t xml:space="preserve">WL-01038</t>
  </si>
  <si>
    <t xml:space="preserve">Laura Collins</t>
  </si>
  <si>
    <t xml:space="preserve">OFR-2026-1310</t>
  </si>
  <si>
    <t xml:space="preserve">GW-0105</t>
  </si>
  <si>
    <t xml:space="preserve">skip_events_2022_2026.csv row 351; applicant_register_2026-08.csv row 39; offer_events_2022_2026.csv row 1311</t>
  </si>
  <si>
    <t xml:space="preserve">SKP-2026-0353</t>
  </si>
  <si>
    <t xml:space="preserve">WL-03279</t>
  </si>
  <si>
    <t xml:space="preserve">David Marshall</t>
  </si>
  <si>
    <t xml:space="preserve">OFR-2026-1323</t>
  </si>
  <si>
    <t xml:space="preserve">skip_events_2022_2026.csv row 354; applicant_register_2026-08.csv row 2280; offer_events_2022_2026.csv row 1324</t>
  </si>
  <si>
    <t xml:space="preserve">SKP-2026-0351</t>
  </si>
  <si>
    <t xml:space="preserve">WL-02306</t>
  </si>
  <si>
    <t xml:space="preserve">Lori Schneider</t>
  </si>
  <si>
    <t xml:space="preserve">OFR-2026-1321</t>
  </si>
  <si>
    <t xml:space="preserve">SB-0709</t>
  </si>
  <si>
    <t xml:space="preserve">skip_events_2022_2026.csv row 352; applicant_register_2026-08.csv row 1307; offer_events_2022_2026.csv row 1322</t>
  </si>
  <si>
    <t xml:space="preserve">SKP-2026-0355</t>
  </si>
  <si>
    <t xml:space="preserve">WL-02417</t>
  </si>
  <si>
    <t xml:space="preserve">Eric Benjamin</t>
  </si>
  <si>
    <t xml:space="preserve">OFR-2026-1328</t>
  </si>
  <si>
    <t xml:space="preserve">GW-0323</t>
  </si>
  <si>
    <t xml:space="preserve">skip_events_2022_2026.csv row 356; applicant_register_2026-08.csv row 1418; offer_events_2022_2026.csv row 1329</t>
  </si>
  <si>
    <t xml:space="preserve">SKP-2026-0352</t>
  </si>
  <si>
    <t xml:space="preserve">WL-01139</t>
  </si>
  <si>
    <t xml:space="preserve">Zachary Martin</t>
  </si>
  <si>
    <t xml:space="preserve">OFR-2026-1322</t>
  </si>
  <si>
    <t xml:space="preserve">GW-0314</t>
  </si>
  <si>
    <t xml:space="preserve">skip_events_2022_2026.csv row 353; applicant_register_2026-08.csv row 140; offer_events_2022_2026.csv row 1323</t>
  </si>
  <si>
    <t xml:space="preserve">SKP-2026-0354</t>
  </si>
  <si>
    <t xml:space="preserve">WL-03305</t>
  </si>
  <si>
    <t xml:space="preserve">Monica Garcia</t>
  </si>
  <si>
    <t xml:space="preserve">OFR-2026-1327</t>
  </si>
  <si>
    <t xml:space="preserve">GW-0509</t>
  </si>
  <si>
    <t xml:space="preserve">OFR-2025-1112</t>
  </si>
  <si>
    <t xml:space="preserve">EW-0815</t>
  </si>
  <si>
    <t xml:space="preserve">skip_events_2022_2026.csv row 355; applicant_register_2026-08.csv row 2306; offer_events_2022_2026.csv row 1328</t>
  </si>
  <si>
    <t xml:space="preserve">SKP-2026-0356</t>
  </si>
  <si>
    <t xml:space="preserve">WL-01084</t>
  </si>
  <si>
    <t xml:space="preserve">Lisa Adams</t>
  </si>
  <si>
    <t xml:space="preserve">OFR-2026-1330</t>
  </si>
  <si>
    <t xml:space="preserve">SB-0419</t>
  </si>
  <si>
    <t xml:space="preserve">skip_events_2022_2026.csv row 357; applicant_register_2026-08.csv row 85; offer_events_2022_2026.csv row 1331</t>
  </si>
  <si>
    <t xml:space="preserve">SKP-2026-0359</t>
  </si>
  <si>
    <t xml:space="preserve">WL-02766</t>
  </si>
  <si>
    <t xml:space="preserve">Valerie Macias</t>
  </si>
  <si>
    <t xml:space="preserve">OFR-2026-1335</t>
  </si>
  <si>
    <t xml:space="preserve">SB-0908</t>
  </si>
  <si>
    <t xml:space="preserve">skip_events_2022_2026.csv row 360; applicant_register_2026-08.csv row 1767; offer_events_2022_2026.csv row 1336</t>
  </si>
  <si>
    <t xml:space="preserve">SKP-2026-0366</t>
  </si>
  <si>
    <t xml:space="preserve">WL-01288</t>
  </si>
  <si>
    <t xml:space="preserve">Christopher Riley</t>
  </si>
  <si>
    <t xml:space="preserve">OFR-2026-1348</t>
  </si>
  <si>
    <t xml:space="preserve">VB-0916</t>
  </si>
  <si>
    <t xml:space="preserve">OFR-2022-0082</t>
  </si>
  <si>
    <t xml:space="preserve">skip_events_2022_2026.csv row 367; applicant_register_2026-08.csv row 289; offer_events_2022_2026.csv row 1349</t>
  </si>
  <si>
    <t xml:space="preserve">SKP-2026-0358</t>
  </si>
  <si>
    <t xml:space="preserve">WL-01283</t>
  </si>
  <si>
    <t xml:space="preserve">Jay Gregory</t>
  </si>
  <si>
    <t xml:space="preserve">OFR-2026-1333</t>
  </si>
  <si>
    <t xml:space="preserve">SB-0911</t>
  </si>
  <si>
    <t xml:space="preserve">skip_events_2022_2026.csv row 359; applicant_register_2026-08.csv row 284; offer_events_2022_2026.csv row 1334</t>
  </si>
  <si>
    <t xml:space="preserve">SKP-2026-0357</t>
  </si>
  <si>
    <t xml:space="preserve">WL-03306</t>
  </si>
  <si>
    <t xml:space="preserve">Rebecca Martin</t>
  </si>
  <si>
    <t xml:space="preserve">OFR-2026-1332</t>
  </si>
  <si>
    <t xml:space="preserve">SB-0307</t>
  </si>
  <si>
    <t xml:space="preserve">skip_events_2022_2026.csv row 358; applicant_register_2026-08.csv row 2307; offer_events_2022_2026.csv row 1333</t>
  </si>
  <si>
    <t xml:space="preserve">SKP-2026-0360</t>
  </si>
  <si>
    <t xml:space="preserve">WL-03088</t>
  </si>
  <si>
    <t xml:space="preserve">Heather Williams</t>
  </si>
  <si>
    <t xml:space="preserve">OFR-2026-1337</t>
  </si>
  <si>
    <t xml:space="preserve">SB-0213</t>
  </si>
  <si>
    <t xml:space="preserve">skip_events_2022_2026.csv row 361; applicant_register_2026-08.csv row 2089; offer_events_2022_2026.csv row 1338</t>
  </si>
  <si>
    <t xml:space="preserve">SKP-2026-0363</t>
  </si>
  <si>
    <t xml:space="preserve">WL-02353</t>
  </si>
  <si>
    <t xml:space="preserve">Jonathan Freeman</t>
  </si>
  <si>
    <t xml:space="preserve">OFR-2026-1345</t>
  </si>
  <si>
    <t xml:space="preserve">LP-0601</t>
  </si>
  <si>
    <t xml:space="preserve">skip_events_2022_2026.csv row 364; applicant_register_2026-08.csv row 1354; offer_events_2022_2026.csv row 1346</t>
  </si>
  <si>
    <t xml:space="preserve">SKP-2026-0367</t>
  </si>
  <si>
    <t xml:space="preserve">WL-02639</t>
  </si>
  <si>
    <t xml:space="preserve">Ronald Moore</t>
  </si>
  <si>
    <t xml:space="preserve">OFR-2026-1350</t>
  </si>
  <si>
    <t xml:space="preserve">LP-1102</t>
  </si>
  <si>
    <t xml:space="preserve">skip_events_2022_2026.csv row 368; applicant_register_2026-08.csv row 1640; offer_events_2022_2026.csv row 1351</t>
  </si>
  <si>
    <t xml:space="preserve">SKP-2026-0361</t>
  </si>
  <si>
    <t xml:space="preserve">WL-03139</t>
  </si>
  <si>
    <t xml:space="preserve">Stanley Peterson</t>
  </si>
  <si>
    <t xml:space="preserve">OFR-2026-1339</t>
  </si>
  <si>
    <t xml:space="preserve">GW-0601</t>
  </si>
  <si>
    <t xml:space="preserve">skip_events_2022_2026.csv row 362; applicant_register_2026-08.csv row 2140; offer_events_2022_2026.csv row 1340</t>
  </si>
  <si>
    <t xml:space="preserve">SKP-2026-0362</t>
  </si>
  <si>
    <t xml:space="preserve">WL-02120</t>
  </si>
  <si>
    <t xml:space="preserve">Jerry Reyes</t>
  </si>
  <si>
    <t xml:space="preserve">OFR-2026-1344</t>
  </si>
  <si>
    <t xml:space="preserve">LP-0312</t>
  </si>
  <si>
    <t xml:space="preserve">MC-2022-0916</t>
  </si>
  <si>
    <t xml:space="preserve">skip_events_2022_2026.csv row 363; applicant_register_2026-08.csv row 1121; offer_events_2022_2026.csv row 1345; amendment_log_2022_2026.csv row 381</t>
  </si>
  <si>
    <t xml:space="preserve">SKP-2026-0365</t>
  </si>
  <si>
    <t xml:space="preserve">OFR-2026-1347</t>
  </si>
  <si>
    <t xml:space="preserve">GW-0513</t>
  </si>
  <si>
    <t xml:space="preserve">skip_events_2022_2026.csv row 366; applicant_register_2026-08.csv row 1707; offer_events_2022_2026.csv row 1348</t>
  </si>
  <si>
    <t xml:space="preserve">SKP-2026-0364</t>
  </si>
  <si>
    <t xml:space="preserve">WL-02504</t>
  </si>
  <si>
    <t xml:space="preserve">Crystal Stevenson</t>
  </si>
  <si>
    <t xml:space="preserve">OFR-2026-1346</t>
  </si>
  <si>
    <t xml:space="preserve">SB-0104</t>
  </si>
  <si>
    <t xml:space="preserve">skip_events_2022_2026.csv row 365; applicant_register_2026-08.csv row 1505; offer_events_2022_2026.csv row 1347</t>
  </si>
  <si>
    <t xml:space="preserve">SKP-2026-0373</t>
  </si>
  <si>
    <t xml:space="preserve">WL-02671</t>
  </si>
  <si>
    <t xml:space="preserve">Monica Stephens</t>
  </si>
  <si>
    <t xml:space="preserve">OFR-2026-1372</t>
  </si>
  <si>
    <t xml:space="preserve">skip_events_2022_2026.csv row 374; applicant_register_2026-08.csv row 1672; offer_events_2022_2026.csv row 1373</t>
  </si>
  <si>
    <t xml:space="preserve">SKP-2026-0376</t>
  </si>
  <si>
    <t xml:space="preserve">WL-03152</t>
  </si>
  <si>
    <t xml:space="preserve">Kenneth Simmons</t>
  </si>
  <si>
    <t xml:space="preserve">OFR-2026-1380</t>
  </si>
  <si>
    <t xml:space="preserve">skip_events_2022_2026.csv row 377; applicant_register_2026-08.csv row 2153; offer_events_2022_2026.csv row 1381</t>
  </si>
  <si>
    <t xml:space="preserve">SKP-2026-0369</t>
  </si>
  <si>
    <t xml:space="preserve">WL-01205</t>
  </si>
  <si>
    <t xml:space="preserve">Brian Osborne</t>
  </si>
  <si>
    <t xml:space="preserve">OFR-2026-1360</t>
  </si>
  <si>
    <t xml:space="preserve">GW-0620</t>
  </si>
  <si>
    <t xml:space="preserve">skip_events_2022_2026.csv row 370; applicant_register_2026-08.csv row 206; offer_events_2022_2026.csv row 1361</t>
  </si>
  <si>
    <t xml:space="preserve">SKP-2026-0371</t>
  </si>
  <si>
    <t xml:space="preserve">WL-03896</t>
  </si>
  <si>
    <t xml:space="preserve">Stephen Hammond</t>
  </si>
  <si>
    <t xml:space="preserve">OFR-2026-1363</t>
  </si>
  <si>
    <t xml:space="preserve">skip_events_2022_2026.csv row 372; applicant_register_2026-08.csv row 2897; offer_events_2022_2026.csv row 1364</t>
  </si>
  <si>
    <t xml:space="preserve">SKP-2026-0368</t>
  </si>
  <si>
    <t xml:space="preserve">WL-03754</t>
  </si>
  <si>
    <t xml:space="preserve">Carolyn Ali</t>
  </si>
  <si>
    <t xml:space="preserve">OFR-2026-1358</t>
  </si>
  <si>
    <t xml:space="preserve">LP-0923</t>
  </si>
  <si>
    <t xml:space="preserve">skip_events_2022_2026.csv row 369; applicant_register_2026-08.csv row 2755; offer_events_2022_2026.csv row 1359</t>
  </si>
  <si>
    <t xml:space="preserve">SKP-2026-0378</t>
  </si>
  <si>
    <t xml:space="preserve">WL-01109</t>
  </si>
  <si>
    <t xml:space="preserve">Patrick Sanchez</t>
  </si>
  <si>
    <t xml:space="preserve">OFR-2026-1384</t>
  </si>
  <si>
    <t xml:space="preserve">LP-0820</t>
  </si>
  <si>
    <t xml:space="preserve">skip_events_2022_2026.csv row 379; applicant_register_2026-08.csv row 110; offer_events_2022_2026.csv row 1385</t>
  </si>
  <si>
    <t xml:space="preserve">SKP-2026-0374</t>
  </si>
  <si>
    <t xml:space="preserve">WL-01404</t>
  </si>
  <si>
    <t xml:space="preserve">Eric Boyle</t>
  </si>
  <si>
    <t xml:space="preserve">OFR-2026-1375</t>
  </si>
  <si>
    <t xml:space="preserve">VB-0619</t>
  </si>
  <si>
    <t xml:space="preserve">skip_events_2022_2026.csv row 375; applicant_register_2026-08.csv row 405; offer_events_2022_2026.csv row 1376</t>
  </si>
  <si>
    <t xml:space="preserve">SKP-2026-0377</t>
  </si>
  <si>
    <t xml:space="preserve">WL-01255</t>
  </si>
  <si>
    <t xml:space="preserve">Dana Walker</t>
  </si>
  <si>
    <t xml:space="preserve">OFR-2026-1381</t>
  </si>
  <si>
    <t xml:space="preserve">EW-0522</t>
  </si>
  <si>
    <t xml:space="preserve">skip_events_2022_2026.csv row 378; applicant_register_2026-08.csv row 256; offer_events_2022_2026.csv row 1382</t>
  </si>
  <si>
    <t xml:space="preserve">SKP-2026-0370</t>
  </si>
  <si>
    <t xml:space="preserve">WL-03607</t>
  </si>
  <si>
    <t xml:space="preserve">Ross Green</t>
  </si>
  <si>
    <t xml:space="preserve">OFR-2026-1361</t>
  </si>
  <si>
    <t xml:space="preserve">LP-1105</t>
  </si>
  <si>
    <t xml:space="preserve">skip_events_2022_2026.csv row 371; applicant_register_2026-08.csv row 2608; offer_events_2022_2026.csv row 1362</t>
  </si>
  <si>
    <t xml:space="preserve">SKP-2026-0375</t>
  </si>
  <si>
    <t xml:space="preserve">WL-01299</t>
  </si>
  <si>
    <t xml:space="preserve">Wayne Andrews</t>
  </si>
  <si>
    <t xml:space="preserve">OFR-2026-1378</t>
  </si>
  <si>
    <t xml:space="preserve">skip_events_2022_2026.csv row 376; applicant_register_2026-08.csv row 300; offer_events_2022_2026.csv row 1379</t>
  </si>
  <si>
    <t xml:space="preserve">SKP-2026-0372</t>
  </si>
  <si>
    <t xml:space="preserve">WL-03247</t>
  </si>
  <si>
    <t xml:space="preserve">Tina Armstrong</t>
  </si>
  <si>
    <t xml:space="preserve">OFR-2026-1366</t>
  </si>
  <si>
    <t xml:space="preserve">skip_events_2022_2026.csv row 373; applicant_register_2026-08.csv row 2248; offer_events_2022_2026.csv row 1367</t>
  </si>
  <si>
    <t xml:space="preserve">SKP-2026-0379</t>
  </si>
  <si>
    <t xml:space="preserve">WL-02315</t>
  </si>
  <si>
    <t xml:space="preserve">Mitchell Mendez</t>
  </si>
  <si>
    <t xml:space="preserve">OFR-2026-1387</t>
  </si>
  <si>
    <t xml:space="preserve">skip_events_2022_2026.csv row 380; applicant_register_2026-08.csv row 1316; offer_events_2022_2026.csv row 1388</t>
  </si>
  <si>
    <t xml:space="preserve">SKP-2026-0386</t>
  </si>
  <si>
    <t xml:space="preserve">WL-03787</t>
  </si>
  <si>
    <t xml:space="preserve">John Mcneil</t>
  </si>
  <si>
    <t xml:space="preserve">OFR-2026-1410</t>
  </si>
  <si>
    <t xml:space="preserve">GW-0214</t>
  </si>
  <si>
    <t xml:space="preserve">Foldview Marine Services haul-out sheet 2025-09-25</t>
  </si>
  <si>
    <t xml:space="preserve">No earlier same-class declined/expired offer in export; In-force amendment does not reconcile to current register LOA</t>
  </si>
  <si>
    <t xml:space="preserve">skip_events_2022_2026.csv row 387; applicant_register_2026-08.csv row 2788; offer_events_2022_2026.csv row 1411; amendment_log_2022_2026.csv row 1930</t>
  </si>
  <si>
    <t xml:space="preserve">SKP-2026-0388</t>
  </si>
  <si>
    <t xml:space="preserve">WL-01982</t>
  </si>
  <si>
    <t xml:space="preserve">Jeffrey Harrison</t>
  </si>
  <si>
    <t xml:space="preserve">OFR-2026-1412</t>
  </si>
  <si>
    <t xml:space="preserve">skip_events_2022_2026.csv row 389; applicant_register_2026-08.csv row 983; offer_events_2022_2026.csv row 1413</t>
  </si>
  <si>
    <t xml:space="preserve">SKP-2026-0381</t>
  </si>
  <si>
    <t xml:space="preserve">WL-01954</t>
  </si>
  <si>
    <t xml:space="preserve">Richard Smith</t>
  </si>
  <si>
    <t xml:space="preserve">OFR-2026-1398</t>
  </si>
  <si>
    <t xml:space="preserve">SB-0416</t>
  </si>
  <si>
    <t xml:space="preserve">skip_events_2022_2026.csv row 382; applicant_register_2026-08.csv row 955; offer_events_2022_2026.csv row 1399</t>
  </si>
  <si>
    <t xml:space="preserve">SKP-2026-0383</t>
  </si>
  <si>
    <t xml:space="preserve">WL-01256</t>
  </si>
  <si>
    <t xml:space="preserve">Andrew Glover</t>
  </si>
  <si>
    <t xml:space="preserve">OFR-2026-1400</t>
  </si>
  <si>
    <t xml:space="preserve">LP-1103</t>
  </si>
  <si>
    <t xml:space="preserve">skip_events_2022_2026.csv row 384; applicant_register_2026-08.csv row 257; offer_events_2022_2026.csv row 1401</t>
  </si>
  <si>
    <t xml:space="preserve">SKP-2026-0380</t>
  </si>
  <si>
    <t xml:space="preserve">WL-03078</t>
  </si>
  <si>
    <t xml:space="preserve">Rachael Mitchell</t>
  </si>
  <si>
    <t xml:space="preserve">OFR-2026-1391</t>
  </si>
  <si>
    <t xml:space="preserve">VB-0415</t>
  </si>
  <si>
    <t xml:space="preserve">skip_events_2022_2026.csv row 381; applicant_register_2026-08.csv row 2079; offer_events_2022_2026.csv row 1392</t>
  </si>
  <si>
    <t xml:space="preserve">SKP-2026-0384</t>
  </si>
  <si>
    <t xml:space="preserve">WL-01936</t>
  </si>
  <si>
    <t xml:space="preserve">Deanna Livingston</t>
  </si>
  <si>
    <t xml:space="preserve">OFR-2026-1402</t>
  </si>
  <si>
    <t xml:space="preserve">VB-0507</t>
  </si>
  <si>
    <t xml:space="preserve">skip_events_2022_2026.csv row 385; applicant_register_2026-08.csv row 937; offer_events_2022_2026.csv row 1403</t>
  </si>
  <si>
    <t xml:space="preserve">SKP-2026-0385</t>
  </si>
  <si>
    <t xml:space="preserve">WL-03690</t>
  </si>
  <si>
    <t xml:space="preserve">OFR-2026-1403</t>
  </si>
  <si>
    <t xml:space="preserve">VB-0312</t>
  </si>
  <si>
    <t xml:space="preserve">skip_events_2022_2026.csv row 386; applicant_register_2026-08.csv row 2691; offer_events_2022_2026.csv row 1404</t>
  </si>
  <si>
    <t xml:space="preserve">SKP-2026-0387</t>
  </si>
  <si>
    <t xml:space="preserve">OFR-2026-1411</t>
  </si>
  <si>
    <t xml:space="preserve">VB-0402</t>
  </si>
  <si>
    <t xml:space="preserve">skip_events_2022_2026.csv row 388; applicant_register_2026-08.csv row 844; offer_events_2022_2026.csv row 1412</t>
  </si>
  <si>
    <t xml:space="preserve">SKP-2026-0382</t>
  </si>
  <si>
    <t xml:space="preserve">WL-02098</t>
  </si>
  <si>
    <t xml:space="preserve">Rhonda James</t>
  </si>
  <si>
    <t xml:space="preserve">OFR-2026-1399</t>
  </si>
  <si>
    <t xml:space="preserve">VB-0707</t>
  </si>
  <si>
    <t xml:space="preserve">skip_events_2022_2026.csv row 383; applicant_register_2026-08.csv row 1099; offer_events_2022_2026.csv row 1400</t>
  </si>
  <si>
    <t xml:space="preserve">SKP-2026-0392</t>
  </si>
  <si>
    <t xml:space="preserve">WL-03260</t>
  </si>
  <si>
    <t xml:space="preserve">Joel Thomas</t>
  </si>
  <si>
    <t xml:space="preserve">OFR-2026-1432</t>
  </si>
  <si>
    <t xml:space="preserve">EW-0104</t>
  </si>
  <si>
    <t xml:space="preserve">skip_events_2022_2026.csv row 393; applicant_register_2026-08.csv row 2261; offer_events_2022_2026.csv row 1433</t>
  </si>
  <si>
    <t xml:space="preserve">SKP-2026-0394</t>
  </si>
  <si>
    <t xml:space="preserve">WL-03397</t>
  </si>
  <si>
    <t xml:space="preserve">Jessica Daugherty</t>
  </si>
  <si>
    <t xml:space="preserve">OFR-2026-1441</t>
  </si>
  <si>
    <t xml:space="preserve">skip_events_2022_2026.csv row 395; applicant_register_2026-08.csv row 2398; offer_events_2022_2026.csv row 1442</t>
  </si>
  <si>
    <t xml:space="preserve">SKP-2026-0398</t>
  </si>
  <si>
    <t xml:space="preserve">WL-03059</t>
  </si>
  <si>
    <t xml:space="preserve">Jonathan Daniels</t>
  </si>
  <si>
    <t xml:space="preserve">OFR-2026-1452</t>
  </si>
  <si>
    <t xml:space="preserve">GW-0223</t>
  </si>
  <si>
    <t xml:space="preserve">skip_events_2022_2026.csv row 399; applicant_register_2026-08.csv row 2060; offer_events_2022_2026.csv row 1453</t>
  </si>
  <si>
    <t xml:space="preserve">SKP-2026-0395</t>
  </si>
  <si>
    <t xml:space="preserve">WL-02900</t>
  </si>
  <si>
    <t xml:space="preserve">Timothy Henderson</t>
  </si>
  <si>
    <t xml:space="preserve">OFR-2026-1442</t>
  </si>
  <si>
    <t xml:space="preserve">GW-0415</t>
  </si>
  <si>
    <t xml:space="preserve">skip_events_2022_2026.csv row 396; applicant_register_2026-08.csv row 1901; offer_events_2022_2026.csv row 1443</t>
  </si>
  <si>
    <t xml:space="preserve">SKP-2026-0393</t>
  </si>
  <si>
    <t xml:space="preserve">WL-02358</t>
  </si>
  <si>
    <t xml:space="preserve">Kelly Mccoy</t>
  </si>
  <si>
    <t xml:space="preserve">OFR-2026-1436</t>
  </si>
  <si>
    <t xml:space="preserve">LP-1009</t>
  </si>
  <si>
    <t xml:space="preserve">skip_events_2022_2026.csv row 394; applicant_register_2026-08.csv row 1359; offer_events_2022_2026.csv row 1437</t>
  </si>
  <si>
    <t xml:space="preserve">SKP-2026-0396</t>
  </si>
  <si>
    <t xml:space="preserve">WL-02436</t>
  </si>
  <si>
    <t xml:space="preserve">Jeffrey Allen</t>
  </si>
  <si>
    <t xml:space="preserve">OFR-2026-1443</t>
  </si>
  <si>
    <t xml:space="preserve">SB-0905</t>
  </si>
  <si>
    <t xml:space="preserve">skip_events_2022_2026.csv row 397; applicant_register_2026-08.csv row 1437; offer_events_2022_2026.csv row 1444</t>
  </si>
  <si>
    <t xml:space="preserve">SKP-2026-0389</t>
  </si>
  <si>
    <t xml:space="preserve">OFR-2026-1419</t>
  </si>
  <si>
    <t xml:space="preserve">SB-0902</t>
  </si>
  <si>
    <t xml:space="preserve">skip_events_2022_2026.csv row 390; applicant_register_2026-08.csv row 1014; offer_events_2022_2026.csv row 1420</t>
  </si>
  <si>
    <t xml:space="preserve">SKP-2026-0391</t>
  </si>
  <si>
    <t xml:space="preserve">WL-03106</t>
  </si>
  <si>
    <t xml:space="preserve">Shannon Morales</t>
  </si>
  <si>
    <t xml:space="preserve">OFR-2026-1429</t>
  </si>
  <si>
    <t xml:space="preserve">LP-0609</t>
  </si>
  <si>
    <t xml:space="preserve">skip_events_2022_2026.csv row 392; applicant_register_2026-08.csv row 2107; offer_events_2022_2026.csv row 1430</t>
  </si>
  <si>
    <t xml:space="preserve">SKP-2026-0397</t>
  </si>
  <si>
    <t xml:space="preserve">WL-01722</t>
  </si>
  <si>
    <t xml:space="preserve">Gregory Collins</t>
  </si>
  <si>
    <t xml:space="preserve">OFR-2026-1447</t>
  </si>
  <si>
    <t xml:space="preserve">VB-0404</t>
  </si>
  <si>
    <t xml:space="preserve">skip_events_2022_2026.csv row 398; applicant_register_2026-08.csv row 723; offer_events_2022_2026.csv row 1448</t>
  </si>
  <si>
    <t xml:space="preserve">SKP-2026-0390</t>
  </si>
  <si>
    <t xml:space="preserve">WL-03071</t>
  </si>
  <si>
    <t xml:space="preserve">Kenneth Jones</t>
  </si>
  <si>
    <t xml:space="preserve">OFR-2026-1422</t>
  </si>
  <si>
    <t xml:space="preserve">OFR-2023-0514</t>
  </si>
  <si>
    <t xml:space="preserve">GW-0218</t>
  </si>
  <si>
    <t xml:space="preserve">skip_events_2022_2026.csv row 391; applicant_register_2026-08.csv row 2072; offer_events_2022_2026.csv row 1423</t>
  </si>
  <si>
    <t xml:space="preserve">BILLING RECONCILIATIONS | Active slips at 1 August 2026</t>
  </si>
  <si>
    <t xml:space="preserve">Variance Y = posted minus expected and is blank where no posting is evidenced. Control gap Z treats absent export rows as $0 only to test completeness.</t>
  </si>
  <si>
    <t xml:space="preserve">Slip ID</t>
  </si>
  <si>
    <t xml:space="preserve">Basin Class</t>
  </si>
  <si>
    <t xml:space="preserve">Status</t>
  </si>
  <si>
    <t xml:space="preserve">Agreement</t>
  </si>
  <si>
    <t xml:space="preserve">Tenant ID</t>
  </si>
  <si>
    <t xml:space="preserve">Tenant Name</t>
  </si>
  <si>
    <t xml:space="preserve">Vessel</t>
  </si>
  <si>
    <t xml:space="preserve">Nominal Slip Ft</t>
  </si>
  <si>
    <t xml:space="preserve">Inventory LOA</t>
  </si>
  <si>
    <t xml:space="preserve">Certificate</t>
  </si>
  <si>
    <t xml:space="preserve">Certificate LOA</t>
  </si>
  <si>
    <t xml:space="preserve">Measurement Used</t>
  </si>
  <si>
    <t xml:space="preserve">Rounded Vessel Ft</t>
  </si>
  <si>
    <t xml:space="preserve">Raw Billable Ft</t>
  </si>
  <si>
    <t xml:space="preserve">Covered Eligibility Excess Ft</t>
  </si>
  <si>
    <t xml:space="preserve">Expected Billable Ft</t>
  </si>
  <si>
    <t xml:space="preserve">Tariff Rate</t>
  </si>
  <si>
    <t xml:space="preserve">Expected Monthly</t>
  </si>
  <si>
    <t xml:space="preserve">Transaction ID</t>
  </si>
  <si>
    <t xml:space="preserve">Post Date</t>
  </si>
  <si>
    <t xml:space="preserve">Posted Feet</t>
  </si>
  <si>
    <t xml:space="preserve">Posted Rate</t>
  </si>
  <si>
    <t xml:space="preserve">Posted Monthly</t>
  </si>
  <si>
    <t xml:space="preserve">Confirmed Variance</t>
  </si>
  <si>
    <t xml:space="preserve">Apparent Export Gap</t>
  </si>
  <si>
    <t xml:space="preserve">Reconciliation Result</t>
  </si>
  <si>
    <t xml:space="preserve">EW-0101</t>
  </si>
  <si>
    <t xml:space="preserve">OCCUPIED</t>
  </si>
  <si>
    <t xml:space="preserve">MA-2024-0101</t>
  </si>
  <si>
    <t xml:space="preserve">WL-01414</t>
  </si>
  <si>
    <t xml:space="preserve">Phillip Massey</t>
  </si>
  <si>
    <t xml:space="preserve">POINT SHORE</t>
  </si>
  <si>
    <t xml:space="preserve">TXN-202608-028684</t>
  </si>
  <si>
    <t xml:space="preserve">slip_inventory_2026-08.csv row 502; billing_transactions_2022_2026.csv row 46365</t>
  </si>
  <si>
    <t xml:space="preserve">EW-0102</t>
  </si>
  <si>
    <t xml:space="preserve">MA-2024-0102</t>
  </si>
  <si>
    <t xml:space="preserve">WL-03666</t>
  </si>
  <si>
    <t xml:space="preserve">Andrea Franco</t>
  </si>
  <si>
    <t xml:space="preserve">GRAY SONG</t>
  </si>
  <si>
    <t xml:space="preserve">TXN-202608-028767</t>
  </si>
  <si>
    <t xml:space="preserve">slip_inventory_2026-08.csv row 503; billing_transactions_2022_2026.csv row 46367</t>
  </si>
  <si>
    <t xml:space="preserve">EW-0103</t>
  </si>
  <si>
    <t xml:space="preserve">MA-2024-0103</t>
  </si>
  <si>
    <t xml:space="preserve">WL-01149</t>
  </si>
  <si>
    <t xml:space="preserve">David Hoffman</t>
  </si>
  <si>
    <t xml:space="preserve">MURRE RUNNER</t>
  </si>
  <si>
    <t xml:space="preserve">TXN-202608-028831</t>
  </si>
  <si>
    <t xml:space="preserve">slip_inventory_2026-08.csv row 504; billing_transactions_2022_2026.csv row 46369</t>
  </si>
  <si>
    <t xml:space="preserve">EW-0105</t>
  </si>
  <si>
    <t xml:space="preserve">MA-2024-0105</t>
  </si>
  <si>
    <t xml:space="preserve">WL-03242</t>
  </si>
  <si>
    <t xml:space="preserve">Micheal Navarro</t>
  </si>
  <si>
    <t xml:space="preserve">SABLE MOON</t>
  </si>
  <si>
    <t xml:space="preserve">TXN-202608-028897</t>
  </si>
  <si>
    <t xml:space="preserve">slip_inventory_2026-08.csv row 506; billing_transactions_2022_2026.csv row 46371</t>
  </si>
  <si>
    <t xml:space="preserve">EW-0106</t>
  </si>
  <si>
    <t xml:space="preserve">MA-2024-0106</t>
  </si>
  <si>
    <t xml:space="preserve">WL-03380</t>
  </si>
  <si>
    <t xml:space="preserve">Charles Snyder</t>
  </si>
  <si>
    <t xml:space="preserve">PETREL STAR</t>
  </si>
  <si>
    <t xml:space="preserve">TXN-202608-028973</t>
  </si>
  <si>
    <t xml:space="preserve">slip_inventory_2026-08.csv row 507; billing_transactions_2022_2026.csv row 46372</t>
  </si>
  <si>
    <t xml:space="preserve">MA-2024-0107</t>
  </si>
  <si>
    <t xml:space="preserve">SABLE WIND</t>
  </si>
  <si>
    <t xml:space="preserve">TXN-202608-029048</t>
  </si>
  <si>
    <t xml:space="preserve">slip_inventory_2026-08.csv row 508; billing_transactions_2022_2026.csv row 46373</t>
  </si>
  <si>
    <t xml:space="preserve">EW-0108</t>
  </si>
  <si>
    <t xml:space="preserve">MA-2024-0108</t>
  </si>
  <si>
    <t xml:space="preserve">WL-02070</t>
  </si>
  <si>
    <t xml:space="preserve">Leslie Thomas</t>
  </si>
  <si>
    <t xml:space="preserve">FOUL ROCK</t>
  </si>
  <si>
    <t xml:space="preserve">TXN-202608-029120</t>
  </si>
  <si>
    <t xml:space="preserve">slip_inventory_2026-08.csv row 509; billing_transactions_2022_2026.csv row 46374</t>
  </si>
  <si>
    <t xml:space="preserve">MA-2024-0109</t>
  </si>
  <si>
    <t xml:space="preserve">WL-03624</t>
  </si>
  <si>
    <t xml:space="preserve">Robert Rodriguez</t>
  </si>
  <si>
    <t xml:space="preserve">COHO ANN</t>
  </si>
  <si>
    <t xml:space="preserve">TXN-202608-029186</t>
  </si>
  <si>
    <t xml:space="preserve">slip_inventory_2026-08.csv row 510; billing_transactions_2022_2026.csv row 46375</t>
  </si>
  <si>
    <t xml:space="preserve">MA-2024-0110</t>
  </si>
  <si>
    <t xml:space="preserve">WL-01831</t>
  </si>
  <si>
    <t xml:space="preserve">Angela Andersen</t>
  </si>
  <si>
    <t xml:space="preserve">BRANT WAKE</t>
  </si>
  <si>
    <t xml:space="preserve">TXN-202608-029246</t>
  </si>
  <si>
    <t xml:space="preserve">slip_inventory_2026-08.csv row 511; billing_transactions_2022_2026.csv row 46377</t>
  </si>
  <si>
    <t xml:space="preserve">MA-2024-0111</t>
  </si>
  <si>
    <t xml:space="preserve">POINT DANCER</t>
  </si>
  <si>
    <t xml:space="preserve">TXN-202608-029329</t>
  </si>
  <si>
    <t xml:space="preserve">slip_inventory_2026-08.csv row 512; billing_transactions_2022_2026.csv row 46378</t>
  </si>
  <si>
    <t xml:space="preserve">EW-0112</t>
  </si>
  <si>
    <t xml:space="preserve">MA-2024-0112</t>
  </si>
  <si>
    <t xml:space="preserve">WL-01533</t>
  </si>
  <si>
    <t xml:space="preserve">Beth Cooper</t>
  </si>
  <si>
    <t xml:space="preserve">SPINDRIFT WIND</t>
  </si>
  <si>
    <t xml:space="preserve">TXN-202608-029415</t>
  </si>
  <si>
    <t xml:space="preserve">slip_inventory_2026-08.csv row 513; billing_transactions_2022_2026.csv row 46380</t>
  </si>
  <si>
    <t xml:space="preserve">EW-0113</t>
  </si>
  <si>
    <t xml:space="preserve">MA-2024-0113</t>
  </si>
  <si>
    <t xml:space="preserve">WL-01482</t>
  </si>
  <si>
    <t xml:space="preserve">Brandon Boyer</t>
  </si>
  <si>
    <t xml:space="preserve">TIDE MOON</t>
  </si>
  <si>
    <t xml:space="preserve">TXN-202608-029475</t>
  </si>
  <si>
    <t xml:space="preserve">slip_inventory_2026-08.csv row 514; billing_transactions_2022_2026.csv row 46381</t>
  </si>
  <si>
    <t xml:space="preserve">EW-0114</t>
  </si>
  <si>
    <t xml:space="preserve">MA-2024-0114</t>
  </si>
  <si>
    <t xml:space="preserve">WL-03340</t>
  </si>
  <si>
    <t xml:space="preserve">Linda Gonzalez</t>
  </si>
  <si>
    <t xml:space="preserve">HALIBUT ROSE</t>
  </si>
  <si>
    <t xml:space="preserve">TXN-202608-029536</t>
  </si>
  <si>
    <t xml:space="preserve">slip_inventory_2026-08.csv row 515; billing_transactions_2022_2026.csv row 46383</t>
  </si>
  <si>
    <t xml:space="preserve">EW-0115</t>
  </si>
  <si>
    <t xml:space="preserve">MA-2024-0115</t>
  </si>
  <si>
    <t xml:space="preserve">WL-01809</t>
  </si>
  <si>
    <t xml:space="preserve">Tim Banks</t>
  </si>
  <si>
    <t xml:space="preserve">BRANT RUNNER</t>
  </si>
  <si>
    <t xml:space="preserve">TXN-202608-029605</t>
  </si>
  <si>
    <t xml:space="preserve">slip_inventory_2026-08.csv row 516; billing_transactions_2022_2026.csv row 46385</t>
  </si>
  <si>
    <t xml:space="preserve">EW-0116</t>
  </si>
  <si>
    <t xml:space="preserve">MA-2024-0116</t>
  </si>
  <si>
    <t xml:space="preserve">WL-02558</t>
  </si>
  <si>
    <t xml:space="preserve">Edward Hardy</t>
  </si>
  <si>
    <t xml:space="preserve">HALIBUT QUEEN</t>
  </si>
  <si>
    <t xml:space="preserve">TXN-202608-029666</t>
  </si>
  <si>
    <t xml:space="preserve">slip_inventory_2026-08.csv row 517; billing_transactions_2022_2026.csv row 46386</t>
  </si>
  <si>
    <t xml:space="preserve">MA-2024-0118</t>
  </si>
  <si>
    <t xml:space="preserve">WL-03472</t>
  </si>
  <si>
    <t xml:space="preserve">Robert Shea</t>
  </si>
  <si>
    <t xml:space="preserve">TXN-202608-029714</t>
  </si>
  <si>
    <t xml:space="preserve">slip_inventory_2026-08.csv row 519; billing_transactions_2022_2026.csv row 46388</t>
  </si>
  <si>
    <t xml:space="preserve">MA-2024-0119</t>
  </si>
  <si>
    <t xml:space="preserve">OTTER WEATHER</t>
  </si>
  <si>
    <t xml:space="preserve">TXN-202608-029764</t>
  </si>
  <si>
    <t xml:space="preserve">slip_inventory_2026-08.csv row 520; billing_transactions_2022_2026.csv row 46389</t>
  </si>
  <si>
    <t xml:space="preserve">EW-0120</t>
  </si>
  <si>
    <t xml:space="preserve">MA-2024-0120</t>
  </si>
  <si>
    <t xml:space="preserve">WL-02149</t>
  </si>
  <si>
    <t xml:space="preserve">Tonya Bowman</t>
  </si>
  <si>
    <t xml:space="preserve">PETREL LINE</t>
  </si>
  <si>
    <t xml:space="preserve">TXN-202608-029843</t>
  </si>
  <si>
    <t xml:space="preserve">slip_inventory_2026-08.csv row 521; billing_transactions_2022_2026.csv row 46391</t>
  </si>
  <si>
    <t xml:space="preserve">EW-0121</t>
  </si>
  <si>
    <t xml:space="preserve">MA-2024-0121</t>
  </si>
  <si>
    <t xml:space="preserve">WL-01125</t>
  </si>
  <si>
    <t xml:space="preserve">Brandi Baker</t>
  </si>
  <si>
    <t xml:space="preserve">SPINDRIFT ROSE</t>
  </si>
  <si>
    <t xml:space="preserve">TXN-202608-029923</t>
  </si>
  <si>
    <t xml:space="preserve">slip_inventory_2026-08.csv row 522; billing_transactions_2022_2026.csv row 46392</t>
  </si>
  <si>
    <t xml:space="preserve">EW-0122</t>
  </si>
  <si>
    <t xml:space="preserve">MA-2024-0122</t>
  </si>
  <si>
    <t xml:space="preserve">PETREL ROSE</t>
  </si>
  <si>
    <t xml:space="preserve">TXN-202608-029966</t>
  </si>
  <si>
    <t xml:space="preserve">slip_inventory_2026-08.csv row 523; billing_transactions_2022_2026.csv row 46393</t>
  </si>
  <si>
    <t xml:space="preserve">EW-0123</t>
  </si>
  <si>
    <t xml:space="preserve">MA-2024-0123</t>
  </si>
  <si>
    <t xml:space="preserve">WL-03203</t>
  </si>
  <si>
    <t xml:space="preserve">Kyle Shepard</t>
  </si>
  <si>
    <t xml:space="preserve">PINTAIL WAKE</t>
  </si>
  <si>
    <t xml:space="preserve">TXN-202608-030041</t>
  </si>
  <si>
    <t xml:space="preserve">slip_inventory_2026-08.csv row 524; billing_transactions_2022_2026.csv row 46394</t>
  </si>
  <si>
    <t xml:space="preserve">MA-2024-0124</t>
  </si>
  <si>
    <t xml:space="preserve">WL-03361</t>
  </si>
  <si>
    <t xml:space="preserve">Donna Robertson</t>
  </si>
  <si>
    <t xml:space="preserve">SPINDRIFT RUNNER</t>
  </si>
  <si>
    <t xml:space="preserve">TXN-202608-030093</t>
  </si>
  <si>
    <t xml:space="preserve">slip_inventory_2026-08.csv row 525; billing_transactions_2022_2026.csv row 46396</t>
  </si>
  <si>
    <t xml:space="preserve">EW-0201</t>
  </si>
  <si>
    <t xml:space="preserve">MA-2024-0201</t>
  </si>
  <si>
    <t xml:space="preserve">WL-02818</t>
  </si>
  <si>
    <t xml:space="preserve">Andrew Bryan</t>
  </si>
  <si>
    <t xml:space="preserve">SALISH ROSE</t>
  </si>
  <si>
    <t xml:space="preserve">TXN-202608-030152</t>
  </si>
  <si>
    <t xml:space="preserve">slip_inventory_2026-08.csv row 526; billing_transactions_2022_2026.csv row 46398</t>
  </si>
  <si>
    <t xml:space="preserve">EW-0202</t>
  </si>
  <si>
    <t xml:space="preserve">MA-2024-0202</t>
  </si>
  <si>
    <t xml:space="preserve">WL-03332</t>
  </si>
  <si>
    <t xml:space="preserve">Amanda Rodgers</t>
  </si>
  <si>
    <t xml:space="preserve">MURRE SOUND</t>
  </si>
  <si>
    <t xml:space="preserve">TXN-202608-030227</t>
  </si>
  <si>
    <t xml:space="preserve">slip_inventory_2026-08.csv row 527; billing_transactions_2022_2026.csv row 46400</t>
  </si>
  <si>
    <t xml:space="preserve">MA-2024-0203</t>
  </si>
  <si>
    <t xml:space="preserve">BRANT DANCER</t>
  </si>
  <si>
    <t xml:space="preserve">TXN-202608-030303</t>
  </si>
  <si>
    <t xml:space="preserve">slip_inventory_2026-08.csv row 528; billing_transactions_2022_2026.csv row 46402</t>
  </si>
  <si>
    <t xml:space="preserve">EW-0204</t>
  </si>
  <si>
    <t xml:space="preserve">MA-2024-0204</t>
  </si>
  <si>
    <t xml:space="preserve">WL-01545</t>
  </si>
  <si>
    <t xml:space="preserve">Jessica King</t>
  </si>
  <si>
    <t xml:space="preserve">TIDE HARBOR</t>
  </si>
  <si>
    <t xml:space="preserve">TXN-202608-030391</t>
  </si>
  <si>
    <t xml:space="preserve">slip_inventory_2026-08.csv row 529; billing_transactions_2022_2026.csv row 46404</t>
  </si>
  <si>
    <t xml:space="preserve">EW-0206</t>
  </si>
  <si>
    <t xml:space="preserve">MA-2024-0206</t>
  </si>
  <si>
    <t xml:space="preserve">WL-01286</t>
  </si>
  <si>
    <t xml:space="preserve">Kevin Wiley</t>
  </si>
  <si>
    <t xml:space="preserve">TIDE STAR</t>
  </si>
  <si>
    <t xml:space="preserve">TXN-202608-030464</t>
  </si>
  <si>
    <t xml:space="preserve">slip_inventory_2026-08.csv row 531; billing_transactions_2022_2026.csv row 46406</t>
  </si>
  <si>
    <t xml:space="preserve">EW-0207</t>
  </si>
  <si>
    <t xml:space="preserve">MA-2024-0207</t>
  </si>
  <si>
    <t xml:space="preserve">WL-01486</t>
  </si>
  <si>
    <t xml:space="preserve">Stacey Spears</t>
  </si>
  <si>
    <t xml:space="preserve">SALISH HARBOR</t>
  </si>
  <si>
    <t xml:space="preserve">TXN-202608-030538</t>
  </si>
  <si>
    <t xml:space="preserve">slip_inventory_2026-08.csv row 532; billing_transactions_2022_2026.csv row 46408</t>
  </si>
  <si>
    <t xml:space="preserve">EW-0208</t>
  </si>
  <si>
    <t xml:space="preserve">MA-2024-0208</t>
  </si>
  <si>
    <t xml:space="preserve">WL-03130</t>
  </si>
  <si>
    <t xml:space="preserve">Nicole Berger</t>
  </si>
  <si>
    <t xml:space="preserve">MURRE BAY</t>
  </si>
  <si>
    <t xml:space="preserve">TXN-202608-030581</t>
  </si>
  <si>
    <t xml:space="preserve">slip_inventory_2026-08.csv row 533; billing_transactions_2022_2026.csv row 46410</t>
  </si>
  <si>
    <t xml:space="preserve">MA-2024-0209</t>
  </si>
  <si>
    <t xml:space="preserve">WL-02673</t>
  </si>
  <si>
    <t xml:space="preserve">Rodney Watson</t>
  </si>
  <si>
    <t xml:space="preserve">GRAY MOON</t>
  </si>
  <si>
    <t xml:space="preserve">TXN-202608-030661</t>
  </si>
  <si>
    <t xml:space="preserve">slip_inventory_2026-08.csv row 534; billing_transactions_2022_2026.csv row 46411</t>
  </si>
  <si>
    <t xml:space="preserve">EW-0210</t>
  </si>
  <si>
    <t xml:space="preserve">MA-2024-0210</t>
  </si>
  <si>
    <t xml:space="preserve">WL-01729</t>
  </si>
  <si>
    <t xml:space="preserve">Whitney Baker</t>
  </si>
  <si>
    <t xml:space="preserve">PETREL BAY</t>
  </si>
  <si>
    <t xml:space="preserve">TXN-202608-030725</t>
  </si>
  <si>
    <t xml:space="preserve">slip_inventory_2026-08.csv row 535; billing_transactions_2022_2026.csv row 46412</t>
  </si>
  <si>
    <t xml:space="preserve">EW-0211</t>
  </si>
  <si>
    <t xml:space="preserve">MA-2024-0211</t>
  </si>
  <si>
    <t xml:space="preserve">WL-02171</t>
  </si>
  <si>
    <t xml:space="preserve">Andrea Hill</t>
  </si>
  <si>
    <t xml:space="preserve">KESTREL MIST</t>
  </si>
  <si>
    <t xml:space="preserve">TXN-202608-030794</t>
  </si>
  <si>
    <t xml:space="preserve">slip_inventory_2026-08.csv row 536; billing_transactions_2022_2026.csv row 46414</t>
  </si>
  <si>
    <t xml:space="preserve">EW-0212</t>
  </si>
  <si>
    <t xml:space="preserve">MA-2024-0212</t>
  </si>
  <si>
    <t xml:space="preserve">WL-01589</t>
  </si>
  <si>
    <t xml:space="preserve">Caitlin Klein</t>
  </si>
  <si>
    <t xml:space="preserve">HALIBUT SOUND</t>
  </si>
  <si>
    <t xml:space="preserve">TXN-202608-030878</t>
  </si>
  <si>
    <t xml:space="preserve">slip_inventory_2026-08.csv row 537; billing_transactions_2022_2026.csv row 46415</t>
  </si>
  <si>
    <t xml:space="preserve">EW-0214</t>
  </si>
  <si>
    <t xml:space="preserve">MA-2024-0214</t>
  </si>
  <si>
    <t xml:space="preserve">WL-01651</t>
  </si>
  <si>
    <t xml:space="preserve">Kayla Lawson</t>
  </si>
  <si>
    <t xml:space="preserve">PETREL RUNNER</t>
  </si>
  <si>
    <t xml:space="preserve">TXN-202608-030921</t>
  </si>
  <si>
    <t xml:space="preserve">slip_inventory_2026-08.csv row 539; billing_transactions_2022_2026.csv row 46416</t>
  </si>
  <si>
    <t xml:space="preserve">EW-0215</t>
  </si>
  <si>
    <t xml:space="preserve">MA-2024-0215</t>
  </si>
  <si>
    <t xml:space="preserve">WL-03669</t>
  </si>
  <si>
    <t xml:space="preserve">Samantha Powers</t>
  </si>
  <si>
    <t xml:space="preserve">OTTER REACH</t>
  </si>
  <si>
    <t xml:space="preserve">TXN-202608-031003</t>
  </si>
  <si>
    <t xml:space="preserve">slip_inventory_2026-08.csv row 540; billing_transactions_2022_2026.csv row 46418</t>
  </si>
  <si>
    <t xml:space="preserve">EW-0216</t>
  </si>
  <si>
    <t xml:space="preserve">MA-2024-0216</t>
  </si>
  <si>
    <t xml:space="preserve">WL-01352</t>
  </si>
  <si>
    <t xml:space="preserve">Donald Hoffman</t>
  </si>
  <si>
    <t xml:space="preserve">MURRE VEER</t>
  </si>
  <si>
    <t xml:space="preserve">TXN-202608-031060</t>
  </si>
  <si>
    <t xml:space="preserve">slip_inventory_2026-08.csv row 541; billing_transactions_2022_2026.csv row 46420</t>
  </si>
  <si>
    <t xml:space="preserve">EW-0217</t>
  </si>
  <si>
    <t xml:space="preserve">MA-2024-0217</t>
  </si>
  <si>
    <t xml:space="preserve">HALIBUT STAR</t>
  </si>
  <si>
    <t xml:space="preserve">TXN-202608-031106</t>
  </si>
  <si>
    <t xml:space="preserve">slip_inventory_2026-08.csv row 542; billing_transactions_2022_2026.csv row 46422</t>
  </si>
  <si>
    <t xml:space="preserve">EW-0218</t>
  </si>
  <si>
    <t xml:space="preserve">MA-2024-0218</t>
  </si>
  <si>
    <t xml:space="preserve">WL-01012</t>
  </si>
  <si>
    <t xml:space="preserve">Janet Jones</t>
  </si>
  <si>
    <t xml:space="preserve">SALISH REACH</t>
  </si>
  <si>
    <t xml:space="preserve">TXN-202608-031153</t>
  </si>
  <si>
    <t xml:space="preserve">slip_inventory_2026-08.csv row 543; billing_transactions_2022_2026.csv row 46423</t>
  </si>
  <si>
    <t xml:space="preserve">EW-0219</t>
  </si>
  <si>
    <t xml:space="preserve">MA-2024-0219</t>
  </si>
  <si>
    <t xml:space="preserve">WL-02243</t>
  </si>
  <si>
    <t xml:space="preserve">Andrew Miller</t>
  </si>
  <si>
    <t xml:space="preserve">SANDERLING BAY</t>
  </si>
  <si>
    <t xml:space="preserve">TXN-202608-031220</t>
  </si>
  <si>
    <t xml:space="preserve">slip_inventory_2026-08.csv row 544; billing_transactions_2022_2026.csv row 46424</t>
  </si>
  <si>
    <t xml:space="preserve">EW-0220</t>
  </si>
  <si>
    <t xml:space="preserve">MA-2024-0220</t>
  </si>
  <si>
    <t xml:space="preserve">WL-01203</t>
  </si>
  <si>
    <t xml:space="preserve">Tracy Conrad</t>
  </si>
  <si>
    <t xml:space="preserve">FOUL ANN</t>
  </si>
  <si>
    <t xml:space="preserve">TXN-202608-031269</t>
  </si>
  <si>
    <t xml:space="preserve">slip_inventory_2026-08.csv row 545; billing_transactions_2022_2026.csv row 46426</t>
  </si>
  <si>
    <t xml:space="preserve">EW-0221</t>
  </si>
  <si>
    <t xml:space="preserve">MA-2024-0221</t>
  </si>
  <si>
    <t xml:space="preserve">WL-02645</t>
  </si>
  <si>
    <t xml:space="preserve">Rose Gonzalez</t>
  </si>
  <si>
    <t xml:space="preserve">TXN-202608-031333</t>
  </si>
  <si>
    <t xml:space="preserve">slip_inventory_2026-08.csv row 546; billing_transactions_2022_2026.csv row 46428</t>
  </si>
  <si>
    <t xml:space="preserve">EW-0222</t>
  </si>
  <si>
    <t xml:space="preserve">MA-2024-0222</t>
  </si>
  <si>
    <t xml:space="preserve">WL-02910</t>
  </si>
  <si>
    <t xml:space="preserve">David Taylor</t>
  </si>
  <si>
    <t xml:space="preserve">GRAY MIST</t>
  </si>
  <si>
    <t xml:space="preserve">TXN-202608-031378</t>
  </si>
  <si>
    <t xml:space="preserve">slip_inventory_2026-08.csv row 547; billing_transactions_2022_2026.csv row 46429</t>
  </si>
  <si>
    <t xml:space="preserve">EW-0223</t>
  </si>
  <si>
    <t xml:space="preserve">MA-2024-0223</t>
  </si>
  <si>
    <t xml:space="preserve">WL-01945</t>
  </si>
  <si>
    <t xml:space="preserve">Jacob Bonilla</t>
  </si>
  <si>
    <t xml:space="preserve">ANCHOR HARBOR</t>
  </si>
  <si>
    <t xml:space="preserve">TXN-202608-031418</t>
  </si>
  <si>
    <t xml:space="preserve">slip_inventory_2026-08.csv row 548; billing_transactions_2022_2026.csv row 46431</t>
  </si>
  <si>
    <t xml:space="preserve">EW-0224</t>
  </si>
  <si>
    <t xml:space="preserve">MA-2024-0224</t>
  </si>
  <si>
    <t xml:space="preserve">WL-01127</t>
  </si>
  <si>
    <t xml:space="preserve">Thomas Hawkins</t>
  </si>
  <si>
    <t xml:space="preserve">TXN-202608-031462</t>
  </si>
  <si>
    <t xml:space="preserve">slip_inventory_2026-08.csv row 549; billing_transactions_2022_2026.csv row 46433</t>
  </si>
  <si>
    <t xml:space="preserve">EW-0302</t>
  </si>
  <si>
    <t xml:space="preserve">MA-2024-0302</t>
  </si>
  <si>
    <t xml:space="preserve">WL-01910</t>
  </si>
  <si>
    <t xml:space="preserve">Charles Gates</t>
  </si>
  <si>
    <t xml:space="preserve">PINTAIL WIND</t>
  </si>
  <si>
    <t xml:space="preserve">TXN-202608-031530</t>
  </si>
  <si>
    <t xml:space="preserve">slip_inventory_2026-08.csv row 551; billing_transactions_2022_2026.csv row 46435</t>
  </si>
  <si>
    <t xml:space="preserve">EW-0303</t>
  </si>
  <si>
    <t xml:space="preserve">MA-2024-0303</t>
  </si>
  <si>
    <t xml:space="preserve">WL-01094</t>
  </si>
  <si>
    <t xml:space="preserve">Denise Jenkins</t>
  </si>
  <si>
    <t xml:space="preserve">HALIBUT BAY</t>
  </si>
  <si>
    <t xml:space="preserve">TXN-202608-031575</t>
  </si>
  <si>
    <t xml:space="preserve">slip_inventory_2026-08.csv row 552; billing_transactions_2022_2026.csv row 46436</t>
  </si>
  <si>
    <t xml:space="preserve">MA-2024-0304</t>
  </si>
  <si>
    <t xml:space="preserve">WL-03721</t>
  </si>
  <si>
    <t xml:space="preserve">Ann Vaughn</t>
  </si>
  <si>
    <t xml:space="preserve">TIDE RUNNER</t>
  </si>
  <si>
    <t xml:space="preserve">TXN-202608-031651</t>
  </si>
  <si>
    <t xml:space="preserve">slip_inventory_2026-08.csv row 553; billing_transactions_2022_2026.csv row 46437</t>
  </si>
  <si>
    <t xml:space="preserve">EW-0305</t>
  </si>
  <si>
    <t xml:space="preserve">MA-2024-0305</t>
  </si>
  <si>
    <t xml:space="preserve">WL-02577</t>
  </si>
  <si>
    <t xml:space="preserve">Aaron Higgins</t>
  </si>
  <si>
    <t xml:space="preserve">FOUL MOON</t>
  </si>
  <si>
    <t xml:space="preserve">TXN-202608-031717</t>
  </si>
  <si>
    <t xml:space="preserve">slip_inventory_2026-08.csv row 554; billing_transactions_2022_2026.csv row 46438</t>
  </si>
  <si>
    <t xml:space="preserve">MA-2024-0306</t>
  </si>
  <si>
    <t xml:space="preserve">WL-01860</t>
  </si>
  <si>
    <t xml:space="preserve">Justin Brown</t>
  </si>
  <si>
    <t xml:space="preserve">TXN-202608-031757</t>
  </si>
  <si>
    <t xml:space="preserve">slip_inventory_2026-08.csv row 555; billing_transactions_2022_2026.csv row 46439</t>
  </si>
  <si>
    <t xml:space="preserve">EW-0307</t>
  </si>
  <si>
    <t xml:space="preserve">MA-2024-0307</t>
  </si>
  <si>
    <t xml:space="preserve">WL-01183</t>
  </si>
  <si>
    <t xml:space="preserve">Shelley Tucker</t>
  </si>
  <si>
    <t xml:space="preserve">SPINDRIFT SOUND</t>
  </si>
  <si>
    <t xml:space="preserve">TXN-202608-031834</t>
  </si>
  <si>
    <t xml:space="preserve">slip_inventory_2026-08.csv row 556; billing_transactions_2022_2026.csv row 46440</t>
  </si>
  <si>
    <t xml:space="preserve">EW-0308</t>
  </si>
  <si>
    <t xml:space="preserve">MA-2024-0308</t>
  </si>
  <si>
    <t xml:space="preserve">WL-02107</t>
  </si>
  <si>
    <t xml:space="preserve">Brittany Baldwin</t>
  </si>
  <si>
    <t xml:space="preserve">SCOTER RUNNER</t>
  </si>
  <si>
    <t xml:space="preserve">TXN-202608-031893</t>
  </si>
  <si>
    <t xml:space="preserve">slip_inventory_2026-08.csv row 557; billing_transactions_2022_2026.csv row 46441</t>
  </si>
  <si>
    <t xml:space="preserve">EW-0309</t>
  </si>
  <si>
    <t xml:space="preserve">MA-2024-0309</t>
  </si>
  <si>
    <t xml:space="preserve">WL-01963</t>
  </si>
  <si>
    <t xml:space="preserve">Erik Beck</t>
  </si>
  <si>
    <t xml:space="preserve">KESTREL CREST</t>
  </si>
  <si>
    <t xml:space="preserve">TXN-202608-031944</t>
  </si>
  <si>
    <t xml:space="preserve">slip_inventory_2026-08.csv row 558; billing_transactions_2022_2026.csv row 46443</t>
  </si>
  <si>
    <t xml:space="preserve">EW-0311</t>
  </si>
  <si>
    <t xml:space="preserve">MA-2024-0311</t>
  </si>
  <si>
    <t xml:space="preserve">WL-02248</t>
  </si>
  <si>
    <t xml:space="preserve">Devon Griffin</t>
  </si>
  <si>
    <t xml:space="preserve">SPINDRIFT WAKE</t>
  </si>
  <si>
    <t xml:space="preserve">TXN-202608-032002</t>
  </si>
  <si>
    <t xml:space="preserve">slip_inventory_2026-08.csv row 560; billing_transactions_2022_2026.csv row 46445</t>
  </si>
  <si>
    <t xml:space="preserve">EW-0312</t>
  </si>
  <si>
    <t xml:space="preserve">MA-2024-0312</t>
  </si>
  <si>
    <t xml:space="preserve">WL-03809</t>
  </si>
  <si>
    <t xml:space="preserve">Richard Mcguire</t>
  </si>
  <si>
    <t xml:space="preserve">SALISH DANCER</t>
  </si>
  <si>
    <t xml:space="preserve">TXN-202608-032064</t>
  </si>
  <si>
    <t xml:space="preserve">slip_inventory_2026-08.csv row 561; billing_transactions_2022_2026.csv row 46447</t>
  </si>
  <si>
    <t xml:space="preserve">EW-0313</t>
  </si>
  <si>
    <t xml:space="preserve">MA-2024-0313</t>
  </si>
  <si>
    <t xml:space="preserve">WL-01429</t>
  </si>
  <si>
    <t xml:space="preserve">Teresa Evans</t>
  </si>
  <si>
    <t xml:space="preserve">SEAL SOUND</t>
  </si>
  <si>
    <t xml:space="preserve">TXN-202608-032107</t>
  </si>
  <si>
    <t xml:space="preserve">slip_inventory_2026-08.csv row 562; billing_transactions_2022_2026.csv row 46449</t>
  </si>
  <si>
    <t xml:space="preserve">EW-0314</t>
  </si>
  <si>
    <t xml:space="preserve">MA-2024-0314</t>
  </si>
  <si>
    <t xml:space="preserve">WL-01716</t>
  </si>
  <si>
    <t xml:space="preserve">Christina Olsen</t>
  </si>
  <si>
    <t xml:space="preserve">SPINDRIFT MOON</t>
  </si>
  <si>
    <t xml:space="preserve">TXN-202608-032156</t>
  </si>
  <si>
    <t xml:space="preserve">slip_inventory_2026-08.csv row 563; billing_transactions_2022_2026.csv row 46450</t>
  </si>
  <si>
    <t xml:space="preserve">EW-0315</t>
  </si>
  <si>
    <t xml:space="preserve">MA-2024-0315</t>
  </si>
  <si>
    <t xml:space="preserve">WL-01385</t>
  </si>
  <si>
    <t xml:space="preserve">Amanda Morrison</t>
  </si>
  <si>
    <t xml:space="preserve">DRIFT CREST</t>
  </si>
  <si>
    <t xml:space="preserve">TXN-202608-032201</t>
  </si>
  <si>
    <t xml:space="preserve">slip_inventory_2026-08.csv row 564; billing_transactions_2022_2026.csv row 46452</t>
  </si>
  <si>
    <t xml:space="preserve">EW-0316</t>
  </si>
  <si>
    <t xml:space="preserve">MA-2024-0316</t>
  </si>
  <si>
    <t xml:space="preserve">WL-02940</t>
  </si>
  <si>
    <t xml:space="preserve">Leah Carter</t>
  </si>
  <si>
    <t xml:space="preserve">POINT GLIDE</t>
  </si>
  <si>
    <t xml:space="preserve">TXN-202608-032276</t>
  </si>
  <si>
    <t xml:space="preserve">slip_inventory_2026-08.csv row 565; billing_transactions_2022_2026.csv row 46454</t>
  </si>
  <si>
    <t xml:space="preserve">EW-0317</t>
  </si>
  <si>
    <t xml:space="preserve">MA-2024-0317</t>
  </si>
  <si>
    <t xml:space="preserve">WL-02017</t>
  </si>
  <si>
    <t xml:space="preserve">Gary Horton</t>
  </si>
  <si>
    <t xml:space="preserve">FOUL VEER</t>
  </si>
  <si>
    <t xml:space="preserve">TXN-202608-032323</t>
  </si>
  <si>
    <t xml:space="preserve">slip_inventory_2026-08.csv row 566; billing_transactions_2022_2026.csv row 46455</t>
  </si>
  <si>
    <t xml:space="preserve">EW-0318</t>
  </si>
  <si>
    <t xml:space="preserve">MA-2024-0318</t>
  </si>
  <si>
    <t xml:space="preserve">WL-03162</t>
  </si>
  <si>
    <t xml:space="preserve">Sarah Edwards</t>
  </si>
  <si>
    <t xml:space="preserve">TXN-202608-032391</t>
  </si>
  <si>
    <t xml:space="preserve">slip_inventory_2026-08.csv row 567; billing_transactions_2022_2026.csv row 46456</t>
  </si>
  <si>
    <t xml:space="preserve">MA-2024-0319</t>
  </si>
  <si>
    <t xml:space="preserve">WL-02697</t>
  </si>
  <si>
    <t xml:space="preserve">Wendy Green</t>
  </si>
  <si>
    <t xml:space="preserve">WIDGEON ANN</t>
  </si>
  <si>
    <t xml:space="preserve">TXN-202608-032465</t>
  </si>
  <si>
    <t xml:space="preserve">slip_inventory_2026-08.csv row 568; billing_transactions_2022_2026.csv row 46457</t>
  </si>
  <si>
    <t xml:space="preserve">EW-0321</t>
  </si>
  <si>
    <t xml:space="preserve">MA-2024-0321</t>
  </si>
  <si>
    <t xml:space="preserve">WL-02660</t>
  </si>
  <si>
    <t xml:space="preserve">Bridget Moore</t>
  </si>
  <si>
    <t xml:space="preserve">OSPREY REACH</t>
  </si>
  <si>
    <t xml:space="preserve">TXN-202608-032535</t>
  </si>
  <si>
    <t xml:space="preserve">slip_inventory_2026-08.csv row 570; billing_transactions_2022_2026.csv row 46459</t>
  </si>
  <si>
    <t xml:space="preserve">EW-0322</t>
  </si>
  <si>
    <t xml:space="preserve">MA-2024-0322</t>
  </si>
  <si>
    <t xml:space="preserve">WL-02010</t>
  </si>
  <si>
    <t xml:space="preserve">Anthony Thompson</t>
  </si>
  <si>
    <t xml:space="preserve">GRAY RUNNER</t>
  </si>
  <si>
    <t xml:space="preserve">TXN-202608-032620</t>
  </si>
  <si>
    <t xml:space="preserve">slip_inventory_2026-08.csv row 571; billing_transactions_2022_2026.csv row 46460</t>
  </si>
  <si>
    <t xml:space="preserve">EW-0323</t>
  </si>
  <si>
    <t xml:space="preserve">MA-2024-0323</t>
  </si>
  <si>
    <t xml:space="preserve">MURRE MOON</t>
  </si>
  <si>
    <t xml:space="preserve">TXN-202608-032673</t>
  </si>
  <si>
    <t xml:space="preserve">slip_inventory_2026-08.csv row 572; billing_transactions_2022_2026.csv row 46462</t>
  </si>
  <si>
    <t xml:space="preserve">MA-2024-0324</t>
  </si>
  <si>
    <t xml:space="preserve">WL-02459</t>
  </si>
  <si>
    <t xml:space="preserve">Kimberly Smith</t>
  </si>
  <si>
    <t xml:space="preserve">ANCHOR ANN</t>
  </si>
  <si>
    <t xml:space="preserve">TXN-202608-032710</t>
  </si>
  <si>
    <t xml:space="preserve">slip_inventory_2026-08.csv row 573; billing_transactions_2022_2026.csv row 46463</t>
  </si>
  <si>
    <t xml:space="preserve">EW-0401</t>
  </si>
  <si>
    <t xml:space="preserve">MA-2024-0401</t>
  </si>
  <si>
    <t xml:space="preserve">WL-02377</t>
  </si>
  <si>
    <t xml:space="preserve">Tammy Patterson</t>
  </si>
  <si>
    <t xml:space="preserve">KESTREL MOON</t>
  </si>
  <si>
    <t xml:space="preserve">TXN-202608-032752</t>
  </si>
  <si>
    <t xml:space="preserve">slip_inventory_2026-08.csv row 574; billing_transactions_2022_2026.csv row 46464</t>
  </si>
  <si>
    <t xml:space="preserve">EW-0402</t>
  </si>
  <si>
    <t xml:space="preserve">MA-2024-0402</t>
  </si>
  <si>
    <t xml:space="preserve">WL-01741</t>
  </si>
  <si>
    <t xml:space="preserve">Lisa Burton</t>
  </si>
  <si>
    <t xml:space="preserve">SPINDRIFT DANCER</t>
  </si>
  <si>
    <t xml:space="preserve">TXN-202608-032804</t>
  </si>
  <si>
    <t xml:space="preserve">slip_inventory_2026-08.csv row 575; billing_transactions_2022_2026.csv row 46465</t>
  </si>
  <si>
    <t xml:space="preserve">EW-0403</t>
  </si>
  <si>
    <t xml:space="preserve">MA-2024-0403</t>
  </si>
  <si>
    <t xml:space="preserve">WL-01209</t>
  </si>
  <si>
    <t xml:space="preserve">Amy Luna</t>
  </si>
  <si>
    <t xml:space="preserve">BRANT VEER</t>
  </si>
  <si>
    <t xml:space="preserve">TXN-202608-032868</t>
  </si>
  <si>
    <t xml:space="preserve">slip_inventory_2026-08.csv row 576; billing_transactions_2022_2026.csv row 46466</t>
  </si>
  <si>
    <t xml:space="preserve">EW-0404</t>
  </si>
  <si>
    <t xml:space="preserve">MA-2024-0404</t>
  </si>
  <si>
    <t xml:space="preserve">WL-01370</t>
  </si>
  <si>
    <t xml:space="preserve">James Graham</t>
  </si>
  <si>
    <t xml:space="preserve">SABLE ROSE</t>
  </si>
  <si>
    <t xml:space="preserve">TXN-202608-032927</t>
  </si>
  <si>
    <t xml:space="preserve">slip_inventory_2026-08.csv row 577; billing_transactions_2022_2026.csv row 46468</t>
  </si>
  <si>
    <t xml:space="preserve">EW-0405</t>
  </si>
  <si>
    <t xml:space="preserve">MA-2024-0405</t>
  </si>
  <si>
    <t xml:space="preserve">WL-02480</t>
  </si>
  <si>
    <t xml:space="preserve">Rachel Edwards</t>
  </si>
  <si>
    <t xml:space="preserve">PINTAIL VEER</t>
  </si>
  <si>
    <t xml:space="preserve">TXN-202608-032961</t>
  </si>
  <si>
    <t xml:space="preserve">slip_inventory_2026-08.csv row 578; billing_transactions_2022_2026.csv row 46469</t>
  </si>
  <si>
    <t xml:space="preserve">EW-0406</t>
  </si>
  <si>
    <t xml:space="preserve">MA-2024-0406</t>
  </si>
  <si>
    <t xml:space="preserve">WL-02810</t>
  </si>
  <si>
    <t xml:space="preserve">Steven Morgan</t>
  </si>
  <si>
    <t xml:space="preserve">PINTAIL MIST</t>
  </si>
  <si>
    <t xml:space="preserve">TXN-202608-033039</t>
  </si>
  <si>
    <t xml:space="preserve">slip_inventory_2026-08.csv row 579; billing_transactions_2022_2026.csv row 46471</t>
  </si>
  <si>
    <t xml:space="preserve">EW-0407</t>
  </si>
  <si>
    <t xml:space="preserve">MA-2024-0407</t>
  </si>
  <si>
    <t xml:space="preserve">KESTREL SONG</t>
  </si>
  <si>
    <t xml:space="preserve">TXN-202608-033099</t>
  </si>
  <si>
    <t xml:space="preserve">slip_inventory_2026-08.csv row 580; billing_transactions_2022_2026.csv row 46473</t>
  </si>
  <si>
    <t xml:space="preserve">EW-0408</t>
  </si>
  <si>
    <t xml:space="preserve">MA-2024-0408</t>
  </si>
  <si>
    <t xml:space="preserve">WL-02705</t>
  </si>
  <si>
    <t xml:space="preserve">Amy Smith</t>
  </si>
  <si>
    <t xml:space="preserve">OTTER LINE</t>
  </si>
  <si>
    <t xml:space="preserve">TXN-202608-033166</t>
  </si>
  <si>
    <t xml:space="preserve">slip_inventory_2026-08.csv row 581; billing_transactions_2022_2026.csv row 46474</t>
  </si>
  <si>
    <t xml:space="preserve">EW-0409</t>
  </si>
  <si>
    <t xml:space="preserve">MA-2024-0409</t>
  </si>
  <si>
    <t xml:space="preserve">GRAY SOUND</t>
  </si>
  <si>
    <t xml:space="preserve">TXN-202608-033249</t>
  </si>
  <si>
    <t xml:space="preserve">slip_inventory_2026-08.csv row 582; billing_transactions_2022_2026.csv row 46475</t>
  </si>
  <si>
    <t xml:space="preserve">EW-0410</t>
  </si>
  <si>
    <t xml:space="preserve">MA-2024-0410</t>
  </si>
  <si>
    <t xml:space="preserve">WL-02449</t>
  </si>
  <si>
    <t xml:space="preserve">Herbert Johnson</t>
  </si>
  <si>
    <t xml:space="preserve">TXN-202608-033291</t>
  </si>
  <si>
    <t xml:space="preserve">slip_inventory_2026-08.csv row 583; billing_transactions_2022_2026.csv row 46476</t>
  </si>
  <si>
    <t xml:space="preserve">EW-0411</t>
  </si>
  <si>
    <t xml:space="preserve">MA-2024-0411</t>
  </si>
  <si>
    <t xml:space="preserve">WL-01489</t>
  </si>
  <si>
    <t xml:space="preserve">Donna Thomas</t>
  </si>
  <si>
    <t xml:space="preserve">TXN-202608-033364</t>
  </si>
  <si>
    <t xml:space="preserve">slip_inventory_2026-08.csv row 584; billing_transactions_2022_2026.csv row 46477</t>
  </si>
  <si>
    <t xml:space="preserve">EW-0412</t>
  </si>
  <si>
    <t xml:space="preserve">MA-2024-0412</t>
  </si>
  <si>
    <t xml:space="preserve">WL-01854</t>
  </si>
  <si>
    <t xml:space="preserve">Vincent Simon</t>
  </si>
  <si>
    <t xml:space="preserve">CORMORANT GLIDE</t>
  </si>
  <si>
    <t xml:space="preserve">TXN-202608-033423</t>
  </si>
  <si>
    <t xml:space="preserve">slip_inventory_2026-08.csv row 585; billing_transactions_2022_2026.csv row 46478</t>
  </si>
  <si>
    <t xml:space="preserve">EW-0413</t>
  </si>
  <si>
    <t xml:space="preserve">MA-2024-0413</t>
  </si>
  <si>
    <t xml:space="preserve">WL-02169</t>
  </si>
  <si>
    <t xml:space="preserve">Maria Weber</t>
  </si>
  <si>
    <t xml:space="preserve">COHO REACH</t>
  </si>
  <si>
    <t xml:space="preserve">TXN-202608-033480</t>
  </si>
  <si>
    <t xml:space="preserve">slip_inventory_2026-08.csv row 586; billing_transactions_2022_2026.csv row 46480</t>
  </si>
  <si>
    <t xml:space="preserve">EW-0414</t>
  </si>
  <si>
    <t xml:space="preserve">MA-2024-0414</t>
  </si>
  <si>
    <t xml:space="preserve">WL-02221</t>
  </si>
  <si>
    <t xml:space="preserve">Jason Howe</t>
  </si>
  <si>
    <t xml:space="preserve">DRIFT ROCK</t>
  </si>
  <si>
    <t xml:space="preserve">TXN-202608-033549</t>
  </si>
  <si>
    <t xml:space="preserve">slip_inventory_2026-08.csv row 587; billing_transactions_2022_2026.csv row 46481</t>
  </si>
  <si>
    <t xml:space="preserve">MA-2024-0415</t>
  </si>
  <si>
    <t xml:space="preserve">WL-02536</t>
  </si>
  <si>
    <t xml:space="preserve">Christian Ellis</t>
  </si>
  <si>
    <t xml:space="preserve">WIDGEON LIGHT</t>
  </si>
  <si>
    <t xml:space="preserve">TXN-202608-033601</t>
  </si>
  <si>
    <t xml:space="preserve">slip_inventory_2026-08.csv row 588; billing_transactions_2022_2026.csv row 46483</t>
  </si>
  <si>
    <t xml:space="preserve">EW-0416</t>
  </si>
  <si>
    <t xml:space="preserve">MA-2024-0416</t>
  </si>
  <si>
    <t xml:space="preserve">WL-02988</t>
  </si>
  <si>
    <t xml:space="preserve">Jamie Roberts</t>
  </si>
  <si>
    <t xml:space="preserve">OTTER PASSAGE</t>
  </si>
  <si>
    <t xml:space="preserve">TXN-202608-033637</t>
  </si>
  <si>
    <t xml:space="preserve">slip_inventory_2026-08.csv row 589; billing_transactions_2022_2026.csv row 46484</t>
  </si>
  <si>
    <t xml:space="preserve">EW-0417</t>
  </si>
  <si>
    <t xml:space="preserve">MA-2024-0417</t>
  </si>
  <si>
    <t xml:space="preserve">WL-01997</t>
  </si>
  <si>
    <t xml:space="preserve">Laura Avila</t>
  </si>
  <si>
    <t xml:space="preserve">OSPREY LIGHT</t>
  </si>
  <si>
    <t xml:space="preserve">TXN-202608-033694</t>
  </si>
  <si>
    <t xml:space="preserve">slip_inventory_2026-08.csv row 590; billing_transactions_2022_2026.csv row 46486</t>
  </si>
  <si>
    <t xml:space="preserve">EW-0418</t>
  </si>
  <si>
    <t xml:space="preserve">MA-2024-0418</t>
  </si>
  <si>
    <t xml:space="preserve">WL-02772</t>
  </si>
  <si>
    <t xml:space="preserve">Sarah Chambers</t>
  </si>
  <si>
    <t xml:space="preserve">OTTER SONG</t>
  </si>
  <si>
    <t xml:space="preserve">TXN-202608-033739</t>
  </si>
  <si>
    <t xml:space="preserve">slip_inventory_2026-08.csv row 591; billing_transactions_2022_2026.csv row 46488</t>
  </si>
  <si>
    <t xml:space="preserve">EW-0419</t>
  </si>
  <si>
    <t xml:space="preserve">MA-2024-0419</t>
  </si>
  <si>
    <t xml:space="preserve">COHO STAR</t>
  </si>
  <si>
    <t xml:space="preserve">TXN-202608-033803</t>
  </si>
  <si>
    <t xml:space="preserve">slip_inventory_2026-08.csv row 592; billing_transactions_2022_2026.csv row 46489</t>
  </si>
  <si>
    <t xml:space="preserve">EW-0420</t>
  </si>
  <si>
    <t xml:space="preserve">MA-2024-0420</t>
  </si>
  <si>
    <t xml:space="preserve">WL-03050</t>
  </si>
  <si>
    <t xml:space="preserve">Justin Pearson</t>
  </si>
  <si>
    <t xml:space="preserve">PETREL CREST</t>
  </si>
  <si>
    <t xml:space="preserve">TXN-202608-033845</t>
  </si>
  <si>
    <t xml:space="preserve">slip_inventory_2026-08.csv row 593; billing_transactions_2022_2026.csv row 46491</t>
  </si>
  <si>
    <t xml:space="preserve">MA-2024-0421</t>
  </si>
  <si>
    <t xml:space="preserve">TXN-202608-033895</t>
  </si>
  <si>
    <t xml:space="preserve">slip_inventory_2026-08.csv row 594; billing_transactions_2022_2026.csv row 46493</t>
  </si>
  <si>
    <t xml:space="preserve">EW-0423</t>
  </si>
  <si>
    <t xml:space="preserve">MA-2024-0423</t>
  </si>
  <si>
    <t xml:space="preserve">WL-01906</t>
  </si>
  <si>
    <t xml:space="preserve">Jessica Flores</t>
  </si>
  <si>
    <t xml:space="preserve">PINTAIL ROCK</t>
  </si>
  <si>
    <t xml:space="preserve">TXN-202608-033944</t>
  </si>
  <si>
    <t xml:space="preserve">slip_inventory_2026-08.csv row 596; billing_transactions_2022_2026.csv row 46494</t>
  </si>
  <si>
    <t xml:space="preserve">EW-0424</t>
  </si>
  <si>
    <t xml:space="preserve">MA-2024-0424</t>
  </si>
  <si>
    <t xml:space="preserve">WL-03790</t>
  </si>
  <si>
    <t xml:space="preserve">Bradley Walker</t>
  </si>
  <si>
    <t xml:space="preserve">DRIFT STAR</t>
  </si>
  <si>
    <t xml:space="preserve">TXN-202608-034023</t>
  </si>
  <si>
    <t xml:space="preserve">slip_inventory_2026-08.csv row 597; billing_transactions_2022_2026.csv row 46495</t>
  </si>
  <si>
    <t xml:space="preserve">EW-0502</t>
  </si>
  <si>
    <t xml:space="preserve">MA-2024-0502</t>
  </si>
  <si>
    <t xml:space="preserve">WL-02559</t>
  </si>
  <si>
    <t xml:space="preserve">Joshua Alvarado</t>
  </si>
  <si>
    <t xml:space="preserve">SANDERLING SOUND</t>
  </si>
  <si>
    <t xml:space="preserve">TXN-202608-034088</t>
  </si>
  <si>
    <t xml:space="preserve">slip_inventory_2026-08.csv row 599; billing_transactions_2022_2026.csv row 46497</t>
  </si>
  <si>
    <t xml:space="preserve">EW-0503</t>
  </si>
  <si>
    <t xml:space="preserve">MA-2024-0503</t>
  </si>
  <si>
    <t xml:space="preserve">WL-01756</t>
  </si>
  <si>
    <t xml:space="preserve">Alexander Mcdonald</t>
  </si>
  <si>
    <t xml:space="preserve">OSPREY ROSE</t>
  </si>
  <si>
    <t xml:space="preserve">TXN-202608-034166</t>
  </si>
  <si>
    <t xml:space="preserve">slip_inventory_2026-08.csv row 600; billing_transactions_2022_2026.csv row 46499</t>
  </si>
  <si>
    <t xml:space="preserve">EW-0504</t>
  </si>
  <si>
    <t xml:space="preserve">MA-2024-0504</t>
  </si>
  <si>
    <t xml:space="preserve">WL-02218</t>
  </si>
  <si>
    <t xml:space="preserve">Dawn Mccarthy</t>
  </si>
  <si>
    <t xml:space="preserve">HERON QUEEN</t>
  </si>
  <si>
    <t xml:space="preserve">TXN-202608-034246</t>
  </si>
  <si>
    <t xml:space="preserve">slip_inventory_2026-08.csv row 601; billing_transactions_2022_2026.csv row 46500</t>
  </si>
  <si>
    <t xml:space="preserve">EW-0505</t>
  </si>
  <si>
    <t xml:space="preserve">MA-2024-0505</t>
  </si>
  <si>
    <t xml:space="preserve">WL-02464</t>
  </si>
  <si>
    <t xml:space="preserve">Lisa Perez</t>
  </si>
  <si>
    <t xml:space="preserve">COHO QUEEN</t>
  </si>
  <si>
    <t xml:space="preserve">TXN-202608-034302</t>
  </si>
  <si>
    <t xml:space="preserve">slip_inventory_2026-08.csv row 602; billing_transactions_2022_2026.csv row 46501</t>
  </si>
  <si>
    <t xml:space="preserve">EW-0506</t>
  </si>
  <si>
    <t xml:space="preserve">MA-2024-0506</t>
  </si>
  <si>
    <t xml:space="preserve">WL-01608</t>
  </si>
  <si>
    <t xml:space="preserve">Madeline Wright</t>
  </si>
  <si>
    <t xml:space="preserve">TIDE LINE</t>
  </si>
  <si>
    <t xml:space="preserve">TXN-202608-034374</t>
  </si>
  <si>
    <t xml:space="preserve">slip_inventory_2026-08.csv row 603; billing_transactions_2022_2026.csv row 46502</t>
  </si>
  <si>
    <t xml:space="preserve">EW-0507</t>
  </si>
  <si>
    <t xml:space="preserve">MA-2024-0507</t>
  </si>
  <si>
    <t xml:space="preserve">WL-02869</t>
  </si>
  <si>
    <t xml:space="preserve">George Robbins</t>
  </si>
  <si>
    <t xml:space="preserve">TXN-202608-034456</t>
  </si>
  <si>
    <t xml:space="preserve">slip_inventory_2026-08.csv row 604; billing_transactions_2022_2026.csv row 46504</t>
  </si>
  <si>
    <t xml:space="preserve">EW-0508</t>
  </si>
  <si>
    <t xml:space="preserve">MA-2024-0508</t>
  </si>
  <si>
    <t xml:space="preserve">WL-03534</t>
  </si>
  <si>
    <t xml:space="preserve">Henry Morris</t>
  </si>
  <si>
    <t xml:space="preserve">SABLE MIST</t>
  </si>
  <si>
    <t xml:space="preserve">TXN-202608-034510</t>
  </si>
  <si>
    <t xml:space="preserve">slip_inventory_2026-08.csv row 605; billing_transactions_2022_2026.csv row 46506</t>
  </si>
  <si>
    <t xml:space="preserve">EW-0510</t>
  </si>
  <si>
    <t xml:space="preserve">MA-2024-0510</t>
  </si>
  <si>
    <t xml:space="preserve">WL-03346</t>
  </si>
  <si>
    <t xml:space="preserve">KESTREL BAY</t>
  </si>
  <si>
    <t xml:space="preserve">TXN-202608-034564</t>
  </si>
  <si>
    <t xml:space="preserve">slip_inventory_2026-08.csv row 607; billing_transactions_2022_2026.csv row 46507</t>
  </si>
  <si>
    <t xml:space="preserve">MA-2024-0511</t>
  </si>
  <si>
    <t xml:space="preserve">WL-03287</t>
  </si>
  <si>
    <t xml:space="preserve">Deborah Holmes</t>
  </si>
  <si>
    <t xml:space="preserve">FOUL STAR</t>
  </si>
  <si>
    <t xml:space="preserve">TXN-202608-034626</t>
  </si>
  <si>
    <t xml:space="preserve">slip_inventory_2026-08.csv row 608; billing_transactions_2022_2026.csv row 46509</t>
  </si>
  <si>
    <t xml:space="preserve">EW-0512</t>
  </si>
  <si>
    <t xml:space="preserve">MA-2024-0512</t>
  </si>
  <si>
    <t xml:space="preserve">WL-02879</t>
  </si>
  <si>
    <t xml:space="preserve">Vincent Long</t>
  </si>
  <si>
    <t xml:space="preserve">DRIFT LINE</t>
  </si>
  <si>
    <t xml:space="preserve">TXN-202608-034706</t>
  </si>
  <si>
    <t xml:space="preserve">slip_inventory_2026-08.csv row 609; billing_transactions_2022_2026.csv row 46510</t>
  </si>
  <si>
    <t xml:space="preserve">EW-0513</t>
  </si>
  <si>
    <t xml:space="preserve">MA-2024-0513</t>
  </si>
  <si>
    <t xml:space="preserve">WL-01694</t>
  </si>
  <si>
    <t xml:space="preserve">Cory Aguirre</t>
  </si>
  <si>
    <t xml:space="preserve">HERON REACH</t>
  </si>
  <si>
    <t xml:space="preserve">TXN-202608-034781</t>
  </si>
  <si>
    <t xml:space="preserve">slip_inventory_2026-08.csv row 610; billing_transactions_2022_2026.csv row 46512</t>
  </si>
  <si>
    <t xml:space="preserve">EW-0514</t>
  </si>
  <si>
    <t xml:space="preserve">MA-2024-0514</t>
  </si>
  <si>
    <t xml:space="preserve">WL-02692</t>
  </si>
  <si>
    <t xml:space="preserve">Benjamin Vasquez</t>
  </si>
  <si>
    <t xml:space="preserve">SABLE SONG</t>
  </si>
  <si>
    <t xml:space="preserve">TXN-202608-034854</t>
  </si>
  <si>
    <t xml:space="preserve">slip_inventory_2026-08.csv row 611; billing_transactions_2022_2026.csv row 46514</t>
  </si>
  <si>
    <t xml:space="preserve">EW-0515</t>
  </si>
  <si>
    <t xml:space="preserve">MA-2024-0515</t>
  </si>
  <si>
    <t xml:space="preserve">WIDGEON MIST</t>
  </si>
  <si>
    <t xml:space="preserve">TXN-202608-034902</t>
  </si>
  <si>
    <t xml:space="preserve">slip_inventory_2026-08.csv row 612; billing_transactions_2022_2026.csv row 46516</t>
  </si>
  <si>
    <t xml:space="preserve">EW-0516</t>
  </si>
  <si>
    <t xml:space="preserve">MA-2024-0516</t>
  </si>
  <si>
    <t xml:space="preserve">WL-03909</t>
  </si>
  <si>
    <t xml:space="preserve">Elizabeth Edwards</t>
  </si>
  <si>
    <t xml:space="preserve">ANCHOR WIND</t>
  </si>
  <si>
    <t xml:space="preserve">TXN-202608-034962</t>
  </si>
  <si>
    <t xml:space="preserve">slip_inventory_2026-08.csv row 613; billing_transactions_2022_2026.csv row 46518</t>
  </si>
  <si>
    <t xml:space="preserve">EW-0517</t>
  </si>
  <si>
    <t xml:space="preserve">MA-2024-0517</t>
  </si>
  <si>
    <t xml:space="preserve">WL-01673</t>
  </si>
  <si>
    <t xml:space="preserve">Kellie Lee</t>
  </si>
  <si>
    <t xml:space="preserve">WIDGEON WIND</t>
  </si>
  <si>
    <t xml:space="preserve">TXN-202608-035020</t>
  </si>
  <si>
    <t xml:space="preserve">slip_inventory_2026-08.csv row 614; billing_transactions_2022_2026.csv row 46520</t>
  </si>
  <si>
    <t xml:space="preserve">MA-2024-0518</t>
  </si>
  <si>
    <t xml:space="preserve">WL-01433</t>
  </si>
  <si>
    <t xml:space="preserve">Lisa Aguilar</t>
  </si>
  <si>
    <t xml:space="preserve">OSPREY BAY</t>
  </si>
  <si>
    <t xml:space="preserve">TXN-202608-035100</t>
  </si>
  <si>
    <t xml:space="preserve">slip_inventory_2026-08.csv row 615; billing_transactions_2022_2026.csv row 46522</t>
  </si>
  <si>
    <t xml:space="preserve">MA-2024-0519</t>
  </si>
  <si>
    <t xml:space="preserve">WL-01765</t>
  </si>
  <si>
    <t xml:space="preserve">Donald Edwards</t>
  </si>
  <si>
    <t xml:space="preserve">HALIBUT ANN</t>
  </si>
  <si>
    <t xml:space="preserve">TXN-202608-035177</t>
  </si>
  <si>
    <t xml:space="preserve">slip_inventory_2026-08.csv row 616; billing_transactions_2022_2026.csv row 46523</t>
  </si>
  <si>
    <t xml:space="preserve">EW-0520</t>
  </si>
  <si>
    <t xml:space="preserve">MA-2024-0520</t>
  </si>
  <si>
    <t xml:space="preserve">WL-02696</t>
  </si>
  <si>
    <t xml:space="preserve">Hunter Galloway</t>
  </si>
  <si>
    <t xml:space="preserve">PINTAIL LIGHT</t>
  </si>
  <si>
    <t xml:space="preserve">TXN-202608-035252</t>
  </si>
  <si>
    <t xml:space="preserve">slip_inventory_2026-08.csv row 617; billing_transactions_2022_2026.csv row 46524</t>
  </si>
  <si>
    <t xml:space="preserve">EW-0521</t>
  </si>
  <si>
    <t xml:space="preserve">MA-2024-0521</t>
  </si>
  <si>
    <t xml:space="preserve">WL-02992</t>
  </si>
  <si>
    <t xml:space="preserve">Emily Cox</t>
  </si>
  <si>
    <t xml:space="preserve">TXN-202608-035294</t>
  </si>
  <si>
    <t xml:space="preserve">slip_inventory_2026-08.csv row 618; billing_transactions_2022_2026.csv row 46526</t>
  </si>
  <si>
    <t xml:space="preserve">MA-2024-0522</t>
  </si>
  <si>
    <t xml:space="preserve">COHO WIND</t>
  </si>
  <si>
    <t xml:space="preserve">TXN-202608-035348</t>
  </si>
  <si>
    <t xml:space="preserve">slip_inventory_2026-08.csv row 619; billing_transactions_2022_2026.csv row 46527</t>
  </si>
  <si>
    <t xml:space="preserve">MA-2024-0523</t>
  </si>
  <si>
    <t xml:space="preserve">WL-01972</t>
  </si>
  <si>
    <t xml:space="preserve">Robyn Torres</t>
  </si>
  <si>
    <t xml:space="preserve">TXN-202608-035427</t>
  </si>
  <si>
    <t xml:space="preserve">slip_inventory_2026-08.csv row 620; billing_transactions_2022_2026.csv row 46529</t>
  </si>
  <si>
    <t xml:space="preserve">EW-0524</t>
  </si>
  <si>
    <t xml:space="preserve">MA-2024-0524</t>
  </si>
  <si>
    <t xml:space="preserve">SALISH SHORE</t>
  </si>
  <si>
    <t xml:space="preserve">TXN-202608-035479</t>
  </si>
  <si>
    <t xml:space="preserve">slip_inventory_2026-08.csv row 621; billing_transactions_2022_2026.csv row 46530</t>
  </si>
  <si>
    <t xml:space="preserve">EW-0601</t>
  </si>
  <si>
    <t xml:space="preserve">MA-2024-0601</t>
  </si>
  <si>
    <t xml:space="preserve">WL-02782</t>
  </si>
  <si>
    <t xml:space="preserve">Judy Adams</t>
  </si>
  <si>
    <t xml:space="preserve">DRIFT WEATHER</t>
  </si>
  <si>
    <t xml:space="preserve">TXN-202608-035548</t>
  </si>
  <si>
    <t xml:space="preserve">slip_inventory_2026-08.csv row 622; billing_transactions_2022_2026.csv row 46532</t>
  </si>
  <si>
    <t xml:space="preserve">EW-0602</t>
  </si>
  <si>
    <t xml:space="preserve">MA-2024-0602</t>
  </si>
  <si>
    <t xml:space="preserve">WL-02572</t>
  </si>
  <si>
    <t xml:space="preserve">Kelly Cox</t>
  </si>
  <si>
    <t xml:space="preserve">DRIFT SHORE</t>
  </si>
  <si>
    <t xml:space="preserve">TXN-202608-035607</t>
  </si>
  <si>
    <t xml:space="preserve">slip_inventory_2026-08.csv row 623; billing_transactions_2022_2026.csv row 46533</t>
  </si>
  <si>
    <t xml:space="preserve">EW-0603</t>
  </si>
  <si>
    <t xml:space="preserve">MA-2024-0603</t>
  </si>
  <si>
    <t xml:space="preserve">WL-03665</t>
  </si>
  <si>
    <t xml:space="preserve">Maria Middleton</t>
  </si>
  <si>
    <t xml:space="preserve">ANCHOR MOON</t>
  </si>
  <si>
    <t xml:space="preserve">TXN-202608-035683</t>
  </si>
  <si>
    <t xml:space="preserve">slip_inventory_2026-08.csv row 624; billing_transactions_2022_2026.csv row 46535</t>
  </si>
  <si>
    <t xml:space="preserve">EW-0604</t>
  </si>
  <si>
    <t xml:space="preserve">MA-2024-0604</t>
  </si>
  <si>
    <t xml:space="preserve">WL-02293</t>
  </si>
  <si>
    <t xml:space="preserve">Brian Alexander</t>
  </si>
  <si>
    <t xml:space="preserve">SANDERLING WIND</t>
  </si>
  <si>
    <t xml:space="preserve">TXN-202608-035744</t>
  </si>
  <si>
    <t xml:space="preserve">slip_inventory_2026-08.csv row 625; billing_transactions_2022_2026.csv row 46537</t>
  </si>
  <si>
    <t xml:space="preserve">EW-0605</t>
  </si>
  <si>
    <t xml:space="preserve">MA-2024-0605</t>
  </si>
  <si>
    <t xml:space="preserve">WL-02016</t>
  </si>
  <si>
    <t xml:space="preserve">Andrea Garza</t>
  </si>
  <si>
    <t xml:space="preserve">TXN-202608-035801</t>
  </si>
  <si>
    <t xml:space="preserve">slip_inventory_2026-08.csv row 626; billing_transactions_2022_2026.csv row 46538</t>
  </si>
  <si>
    <t xml:space="preserve">EW-0606</t>
  </si>
  <si>
    <t xml:space="preserve">MA-2024-0606</t>
  </si>
  <si>
    <t xml:space="preserve">WL-03431</t>
  </si>
  <si>
    <t xml:space="preserve">Lisa Cochran</t>
  </si>
  <si>
    <t xml:space="preserve">PETREL GLIDE</t>
  </si>
  <si>
    <t xml:space="preserve">TXN-202608-035855</t>
  </si>
  <si>
    <t xml:space="preserve">slip_inventory_2026-08.csv row 627; billing_transactions_2022_2026.csv row 46539</t>
  </si>
  <si>
    <t xml:space="preserve">MA-2024-0607</t>
  </si>
  <si>
    <t xml:space="preserve">WL-02210</t>
  </si>
  <si>
    <t xml:space="preserve">Erika Huber</t>
  </si>
  <si>
    <t xml:space="preserve">PETREL VEER</t>
  </si>
  <si>
    <t xml:space="preserve">TXN-202608-035922</t>
  </si>
  <si>
    <t xml:space="preserve">slip_inventory_2026-08.csv row 628; billing_transactions_2022_2026.csv row 46540</t>
  </si>
  <si>
    <t xml:space="preserve">MA-2024-0608</t>
  </si>
  <si>
    <t xml:space="preserve">WL-02498</t>
  </si>
  <si>
    <t xml:space="preserve">Patrick Herrera</t>
  </si>
  <si>
    <t xml:space="preserve">OTTER BAY</t>
  </si>
  <si>
    <t xml:space="preserve">TXN-202608-035975</t>
  </si>
  <si>
    <t xml:space="preserve">slip_inventory_2026-08.csv row 629; billing_transactions_2022_2026.csv row 46542</t>
  </si>
  <si>
    <t xml:space="preserve">MA-2024-0609</t>
  </si>
  <si>
    <t xml:space="preserve">WL-01511</t>
  </si>
  <si>
    <t xml:space="preserve">Nancy Sullivan</t>
  </si>
  <si>
    <t xml:space="preserve">WIDGEON SOUND</t>
  </si>
  <si>
    <t xml:space="preserve">TXN-202608-036025</t>
  </si>
  <si>
    <t xml:space="preserve">slip_inventory_2026-08.csv row 630; billing_transactions_2022_2026.csv row 46543</t>
  </si>
  <si>
    <t xml:space="preserve">EW-0610</t>
  </si>
  <si>
    <t xml:space="preserve">MA-2024-0610</t>
  </si>
  <si>
    <t xml:space="preserve">WL-02561</t>
  </si>
  <si>
    <t xml:space="preserve">Kayla Carpenter</t>
  </si>
  <si>
    <t xml:space="preserve">TXN-202608-036068</t>
  </si>
  <si>
    <t xml:space="preserve">slip_inventory_2026-08.csv row 631; billing_transactions_2022_2026.csv row 46544</t>
  </si>
  <si>
    <t xml:space="preserve">EW-0611</t>
  </si>
  <si>
    <t xml:space="preserve">MA-2024-0611</t>
  </si>
  <si>
    <t xml:space="preserve">WL-01796</t>
  </si>
  <si>
    <t xml:space="preserve">SABLE ROCK</t>
  </si>
  <si>
    <t xml:space="preserve">TXN-202608-036133</t>
  </si>
  <si>
    <t xml:space="preserve">slip_inventory_2026-08.csv row 632; billing_transactions_2022_2026.csv row 46546</t>
  </si>
  <si>
    <t xml:space="preserve">EW-0614</t>
  </si>
  <si>
    <t xml:space="preserve">MA-2024-0614</t>
  </si>
  <si>
    <t xml:space="preserve">WL-02310</t>
  </si>
  <si>
    <t xml:space="preserve">Kristy Bell</t>
  </si>
  <si>
    <t xml:space="preserve">POINT BAY</t>
  </si>
  <si>
    <t xml:space="preserve">TXN-202608-036213</t>
  </si>
  <si>
    <t xml:space="preserve">slip_inventory_2026-08.csv row 635; billing_transactions_2022_2026.csv row 46547</t>
  </si>
  <si>
    <t xml:space="preserve">EW-0615</t>
  </si>
  <si>
    <t xml:space="preserve">MA-2024-0615</t>
  </si>
  <si>
    <t xml:space="preserve">WL-03561</t>
  </si>
  <si>
    <t xml:space="preserve">Rebecca Crawford</t>
  </si>
  <si>
    <t xml:space="preserve">PINTAIL LINE</t>
  </si>
  <si>
    <t xml:space="preserve">TXN-202608-036278</t>
  </si>
  <si>
    <t xml:space="preserve">slip_inventory_2026-08.csv row 636; billing_transactions_2022_2026.csv row 46548</t>
  </si>
  <si>
    <t xml:space="preserve">EW-0616</t>
  </si>
  <si>
    <t xml:space="preserve">MA-2024-0616</t>
  </si>
  <si>
    <t xml:space="preserve">WL-01289</t>
  </si>
  <si>
    <t xml:space="preserve">Harry Faulkner</t>
  </si>
  <si>
    <t xml:space="preserve">PINTAIL RUNNER</t>
  </si>
  <si>
    <t xml:space="preserve">TXN-202608-036337</t>
  </si>
  <si>
    <t xml:space="preserve">slip_inventory_2026-08.csv row 637; billing_transactions_2022_2026.csv row 46549</t>
  </si>
  <si>
    <t xml:space="preserve">EW-0617</t>
  </si>
  <si>
    <t xml:space="preserve">MA-2024-0617</t>
  </si>
  <si>
    <t xml:space="preserve">WL-01818</t>
  </si>
  <si>
    <t xml:space="preserve">Natasha Higgins</t>
  </si>
  <si>
    <t xml:space="preserve">TIDE SOUND</t>
  </si>
  <si>
    <t xml:space="preserve">TXN-202608-036380</t>
  </si>
  <si>
    <t xml:space="preserve">slip_inventory_2026-08.csv row 638; billing_transactions_2022_2026.csv row 46550</t>
  </si>
  <si>
    <t xml:space="preserve">EW-0618</t>
  </si>
  <si>
    <t xml:space="preserve">MA-2024-0618</t>
  </si>
  <si>
    <t xml:space="preserve">WL-01884</t>
  </si>
  <si>
    <t xml:space="preserve">Rebecca Price</t>
  </si>
  <si>
    <t xml:space="preserve">TXN-202608-036459</t>
  </si>
  <si>
    <t xml:space="preserve">slip_inventory_2026-08.csv row 639; billing_transactions_2022_2026.csv row 46552</t>
  </si>
  <si>
    <t xml:space="preserve">EW-0621</t>
  </si>
  <si>
    <t xml:space="preserve">MA-2024-0621</t>
  </si>
  <si>
    <t xml:space="preserve">WL-01004</t>
  </si>
  <si>
    <t xml:space="preserve">Joseph Lopez</t>
  </si>
  <si>
    <t xml:space="preserve">OTTER HARBOR</t>
  </si>
  <si>
    <t xml:space="preserve">TXN-202608-036536</t>
  </si>
  <si>
    <t xml:space="preserve">slip_inventory_2026-08.csv row 642; billing_transactions_2022_2026.csv row 46553</t>
  </si>
  <si>
    <t xml:space="preserve">EW-0623</t>
  </si>
  <si>
    <t xml:space="preserve">MA-2024-0623</t>
  </si>
  <si>
    <t xml:space="preserve">WL-02886</t>
  </si>
  <si>
    <t xml:space="preserve">Sarah Woods</t>
  </si>
  <si>
    <t xml:space="preserve">BRANT GLIDE</t>
  </si>
  <si>
    <t xml:space="preserve">TXN-202608-036609</t>
  </si>
  <si>
    <t xml:space="preserve">slip_inventory_2026-08.csv row 644; billing_transactions_2022_2026.csv row 46554</t>
  </si>
  <si>
    <t xml:space="preserve">MA-2024-0624</t>
  </si>
  <si>
    <t xml:space="preserve">WL-01257</t>
  </si>
  <si>
    <t xml:space="preserve">Steven Parrish</t>
  </si>
  <si>
    <t xml:space="preserve">CORMORANT LIGHT</t>
  </si>
  <si>
    <t xml:space="preserve">TXN-202608-036685</t>
  </si>
  <si>
    <t xml:space="preserve">slip_inventory_2026-08.csv row 645; billing_transactions_2022_2026.csv row 46555</t>
  </si>
  <si>
    <t xml:space="preserve">EW-0702</t>
  </si>
  <si>
    <t xml:space="preserve">MA-2024-0702</t>
  </si>
  <si>
    <t xml:space="preserve">WL-02343</t>
  </si>
  <si>
    <t xml:space="preserve">Nicole Mata</t>
  </si>
  <si>
    <t xml:space="preserve">COHO HARBOR</t>
  </si>
  <si>
    <t xml:space="preserve">TXN-202608-036764</t>
  </si>
  <si>
    <t xml:space="preserve">slip_inventory_2026-08.csv row 647; billing_transactions_2022_2026.csv row 46556</t>
  </si>
  <si>
    <t xml:space="preserve">EW-0703</t>
  </si>
  <si>
    <t xml:space="preserve">MA-2024-0703</t>
  </si>
  <si>
    <t xml:space="preserve">WL-01158</t>
  </si>
  <si>
    <t xml:space="preserve">Scott Gutierrez</t>
  </si>
  <si>
    <t xml:space="preserve">TXN-202608-036843</t>
  </si>
  <si>
    <t xml:space="preserve">slip_inventory_2026-08.csv row 648; billing_transactions_2022_2026.csv row 46557</t>
  </si>
  <si>
    <t xml:space="preserve">MA-2024-0704</t>
  </si>
  <si>
    <t xml:space="preserve">WL-03717</t>
  </si>
  <si>
    <t xml:space="preserve">Roy Schmitt</t>
  </si>
  <si>
    <t xml:space="preserve">OSPREY SHORE</t>
  </si>
  <si>
    <t xml:space="preserve">TXN-202608-036884</t>
  </si>
  <si>
    <t xml:space="preserve">slip_inventory_2026-08.csv row 649; billing_transactions_2022_2026.csv row 46558</t>
  </si>
  <si>
    <t xml:space="preserve">EW-0705</t>
  </si>
  <si>
    <t xml:space="preserve">MA-2024-0705</t>
  </si>
  <si>
    <t xml:space="preserve">WL-01681</t>
  </si>
  <si>
    <t xml:space="preserve">Trevor Jones</t>
  </si>
  <si>
    <t xml:space="preserve">TIDE MIST</t>
  </si>
  <si>
    <t xml:space="preserve">TXN-202608-036964</t>
  </si>
  <si>
    <t xml:space="preserve">slip_inventory_2026-08.csv row 650; billing_transactions_2022_2026.csv row 46559</t>
  </si>
  <si>
    <t xml:space="preserve">EW-0706</t>
  </si>
  <si>
    <t xml:space="preserve">MA-2024-0706</t>
  </si>
  <si>
    <t xml:space="preserve">WL-03502</t>
  </si>
  <si>
    <t xml:space="preserve">Jennifer Bryant</t>
  </si>
  <si>
    <t xml:space="preserve">OSPREY DANCER</t>
  </si>
  <si>
    <t xml:space="preserve">TXN-202608-037037</t>
  </si>
  <si>
    <t xml:space="preserve">slip_inventory_2026-08.csv row 651; billing_transactions_2022_2026.csv row 46561</t>
  </si>
  <si>
    <t xml:space="preserve">MA-2024-0708</t>
  </si>
  <si>
    <t xml:space="preserve">WL-02872</t>
  </si>
  <si>
    <t xml:space="preserve">Jessica Fitzgerald</t>
  </si>
  <si>
    <t xml:space="preserve">SALISH STAR</t>
  </si>
  <si>
    <t xml:space="preserve">TXN-202608-037112</t>
  </si>
  <si>
    <t xml:space="preserve">slip_inventory_2026-08.csv row 653; billing_transactions_2022_2026.csv row 46562</t>
  </si>
  <si>
    <t xml:space="preserve">MA-2024-0709</t>
  </si>
  <si>
    <t xml:space="preserve">SCOTER WIND</t>
  </si>
  <si>
    <t xml:space="preserve">TXN-202608-037172</t>
  </si>
  <si>
    <t xml:space="preserve">slip_inventory_2026-08.csv row 654; billing_transactions_2022_2026.csv row 46563</t>
  </si>
  <si>
    <t xml:space="preserve">EW-0710</t>
  </si>
  <si>
    <t xml:space="preserve">MA-2024-0710</t>
  </si>
  <si>
    <t xml:space="preserve">WL-01290</t>
  </si>
  <si>
    <t xml:space="preserve">Laura Ball</t>
  </si>
  <si>
    <t xml:space="preserve">TIDE WIND</t>
  </si>
  <si>
    <t xml:space="preserve">TXN-202608-037237</t>
  </si>
  <si>
    <t xml:space="preserve">slip_inventory_2026-08.csv row 655; billing_transactions_2022_2026.csv row 46564</t>
  </si>
  <si>
    <t xml:space="preserve">EW-0712</t>
  </si>
  <si>
    <t xml:space="preserve">MA-2024-0712</t>
  </si>
  <si>
    <t xml:space="preserve">WL-02411</t>
  </si>
  <si>
    <t xml:space="preserve">Brooke Kelly</t>
  </si>
  <si>
    <t xml:space="preserve">MURRE CREST</t>
  </si>
  <si>
    <t xml:space="preserve">TXN-202608-037291</t>
  </si>
  <si>
    <t xml:space="preserve">slip_inventory_2026-08.csv row 657; billing_transactions_2022_2026.csv row 46565</t>
  </si>
  <si>
    <t xml:space="preserve">EW-0713</t>
  </si>
  <si>
    <t xml:space="preserve">MA-2024-0713</t>
  </si>
  <si>
    <t xml:space="preserve">WL-03726</t>
  </si>
  <si>
    <t xml:space="preserve">Christina Johnson</t>
  </si>
  <si>
    <t xml:space="preserve">PETREL QUEEN</t>
  </si>
  <si>
    <t xml:space="preserve">TXN-202608-037347</t>
  </si>
  <si>
    <t xml:space="preserve">slip_inventory_2026-08.csv row 658; billing_transactions_2022_2026.csv row 46567</t>
  </si>
  <si>
    <t xml:space="preserve">EW-0714</t>
  </si>
  <si>
    <t xml:space="preserve">MA-2024-0714</t>
  </si>
  <si>
    <t xml:space="preserve">WL-03863</t>
  </si>
  <si>
    <t xml:space="preserve">Brianna Phillips</t>
  </si>
  <si>
    <t xml:space="preserve">HERON LIGHT</t>
  </si>
  <si>
    <t xml:space="preserve">TXN-202608-037390</t>
  </si>
  <si>
    <t xml:space="preserve">slip_inventory_2026-08.csv row 659; billing_transactions_2022_2026.csv row 46568</t>
  </si>
  <si>
    <t xml:space="preserve">EW-0715</t>
  </si>
  <si>
    <t xml:space="preserve">MA-2024-0715</t>
  </si>
  <si>
    <t xml:space="preserve">WL-02155</t>
  </si>
  <si>
    <t xml:space="preserve">Jeremy Turner</t>
  </si>
  <si>
    <t xml:space="preserve">WIDGEON HARBOR</t>
  </si>
  <si>
    <t xml:space="preserve">TXN-202608-037453</t>
  </si>
  <si>
    <t xml:space="preserve">slip_inventory_2026-08.csv row 660; billing_transactions_2022_2026.csv row 46569</t>
  </si>
  <si>
    <t xml:space="preserve">MA-2024-0716</t>
  </si>
  <si>
    <t xml:space="preserve">WL-02280</t>
  </si>
  <si>
    <t xml:space="preserve">Joseph Rogers</t>
  </si>
  <si>
    <t xml:space="preserve">CORMORANT RUNNER</t>
  </si>
  <si>
    <t xml:space="preserve">TXN-202608-037528</t>
  </si>
  <si>
    <t xml:space="preserve">slip_inventory_2026-08.csv row 661; billing_transactions_2022_2026.csv row 46571</t>
  </si>
  <si>
    <t xml:space="preserve">EW-0717</t>
  </si>
  <si>
    <t xml:space="preserve">MA-2024-0717</t>
  </si>
  <si>
    <t xml:space="preserve">WL-02403</t>
  </si>
  <si>
    <t xml:space="preserve">Courtney Powell</t>
  </si>
  <si>
    <t xml:space="preserve">ANCHOR BAY</t>
  </si>
  <si>
    <t xml:space="preserve">TXN-202608-037606</t>
  </si>
  <si>
    <t xml:space="preserve">slip_inventory_2026-08.csv row 662; billing_transactions_2022_2026.csv row 46573</t>
  </si>
  <si>
    <t xml:space="preserve">EW-0718</t>
  </si>
  <si>
    <t xml:space="preserve">MA-2024-0718</t>
  </si>
  <si>
    <t xml:space="preserve">WL-01159</t>
  </si>
  <si>
    <t xml:space="preserve">Jesus Rice</t>
  </si>
  <si>
    <t xml:space="preserve">HERON ROCK</t>
  </si>
  <si>
    <t xml:space="preserve">TXN-202608-037669</t>
  </si>
  <si>
    <t xml:space="preserve">slip_inventory_2026-08.csv row 663; billing_transactions_2022_2026.csv row 46574</t>
  </si>
  <si>
    <t xml:space="preserve">EW-0719</t>
  </si>
  <si>
    <t xml:space="preserve">MA-2024-0719</t>
  </si>
  <si>
    <t xml:space="preserve">WL-02799</t>
  </si>
  <si>
    <t xml:space="preserve">Amber Turner</t>
  </si>
  <si>
    <t xml:space="preserve">SCOTER MOON</t>
  </si>
  <si>
    <t xml:space="preserve">TXN-202608-037737</t>
  </si>
  <si>
    <t xml:space="preserve">slip_inventory_2026-08.csv row 664; billing_transactions_2022_2026.csv row 46575</t>
  </si>
  <si>
    <t xml:space="preserve">EW-0720</t>
  </si>
  <si>
    <t xml:space="preserve">MA-2024-0720</t>
  </si>
  <si>
    <t xml:space="preserve">WL-03636</t>
  </si>
  <si>
    <t xml:space="preserve">Amy Flores</t>
  </si>
  <si>
    <t xml:space="preserve">SCOTER BAY</t>
  </si>
  <si>
    <t xml:space="preserve">TXN-202608-037807</t>
  </si>
  <si>
    <t xml:space="preserve">slip_inventory_2026-08.csv row 665; billing_transactions_2022_2026.csv row 46576</t>
  </si>
  <si>
    <t xml:space="preserve">EW-0721</t>
  </si>
  <si>
    <t xml:space="preserve">MA-2024-0721</t>
  </si>
  <si>
    <t xml:space="preserve">WL-01657</t>
  </si>
  <si>
    <t xml:space="preserve">Chad Wells</t>
  </si>
  <si>
    <t xml:space="preserve">SEAL DANCER</t>
  </si>
  <si>
    <t xml:space="preserve">TXN-202608-037851</t>
  </si>
  <si>
    <t xml:space="preserve">slip_inventory_2026-08.csv row 666; billing_transactions_2022_2026.csv row 46578</t>
  </si>
  <si>
    <t xml:space="preserve">EW-0722</t>
  </si>
  <si>
    <t xml:space="preserve">MA-2024-0722</t>
  </si>
  <si>
    <t xml:space="preserve">WL-02952</t>
  </si>
  <si>
    <t xml:space="preserve">Stacy Schroeder</t>
  </si>
  <si>
    <t xml:space="preserve">HERON WAKE</t>
  </si>
  <si>
    <t xml:space="preserve">TXN-202608-037899</t>
  </si>
  <si>
    <t xml:space="preserve">slip_inventory_2026-08.csv row 667; billing_transactions_2022_2026.csv row 46580</t>
  </si>
  <si>
    <t xml:space="preserve">EW-0723</t>
  </si>
  <si>
    <t xml:space="preserve">MA-2024-0723</t>
  </si>
  <si>
    <t xml:space="preserve">WL-03327</t>
  </si>
  <si>
    <t xml:space="preserve">Laura Zamora</t>
  </si>
  <si>
    <t xml:space="preserve">TXN-202608-037947</t>
  </si>
  <si>
    <t xml:space="preserve">slip_inventory_2026-08.csv row 668; billing_transactions_2022_2026.csv row 46581</t>
  </si>
  <si>
    <t xml:space="preserve">EW-0724</t>
  </si>
  <si>
    <t xml:space="preserve">MA-2024-0724</t>
  </si>
  <si>
    <t xml:space="preserve">WL-02005</t>
  </si>
  <si>
    <t xml:space="preserve">Caitlin Howard</t>
  </si>
  <si>
    <t xml:space="preserve">WIDGEON DANCER</t>
  </si>
  <si>
    <t xml:space="preserve">TXN-202608-037996</t>
  </si>
  <si>
    <t xml:space="preserve">slip_inventory_2026-08.csv row 669; billing_transactions_2022_2026.csv row 46582</t>
  </si>
  <si>
    <t xml:space="preserve">EW-0801</t>
  </si>
  <si>
    <t xml:space="preserve">MA-2024-0801</t>
  </si>
  <si>
    <t xml:space="preserve">WL-02019</t>
  </si>
  <si>
    <t xml:space="preserve">James Cox</t>
  </si>
  <si>
    <t xml:space="preserve">SANDERLING REACH</t>
  </si>
  <si>
    <t xml:space="preserve">TXN-202608-038044</t>
  </si>
  <si>
    <t xml:space="preserve">slip_inventory_2026-08.csv row 670; billing_transactions_2022_2026.csv row 46584</t>
  </si>
  <si>
    <t xml:space="preserve">EW-0802</t>
  </si>
  <si>
    <t xml:space="preserve">MA-2024-0802</t>
  </si>
  <si>
    <t xml:space="preserve">WL-03780</t>
  </si>
  <si>
    <t xml:space="preserve">Carmen Maldonado</t>
  </si>
  <si>
    <t xml:space="preserve">TXN-202608-038091</t>
  </si>
  <si>
    <t xml:space="preserve">slip_inventory_2026-08.csv row 671; billing_transactions_2022_2026.csv row 46586</t>
  </si>
  <si>
    <t xml:space="preserve">EW-0803</t>
  </si>
  <si>
    <t xml:space="preserve">MA-2024-0803</t>
  </si>
  <si>
    <t xml:space="preserve">TXN-202608-038169</t>
  </si>
  <si>
    <t xml:space="preserve">slip_inventory_2026-08.csv row 672; billing_transactions_2022_2026.csv row 46588</t>
  </si>
  <si>
    <t xml:space="preserve">MA-2024-0804</t>
  </si>
  <si>
    <t xml:space="preserve">WL-03722</t>
  </si>
  <si>
    <t xml:space="preserve">Seth Stone</t>
  </si>
  <si>
    <t xml:space="preserve">TXN-202608-038218</t>
  </si>
  <si>
    <t xml:space="preserve">slip_inventory_2026-08.csv row 673; billing_transactions_2022_2026.csv row 46590</t>
  </si>
  <si>
    <t xml:space="preserve">EW-0805</t>
  </si>
  <si>
    <t xml:space="preserve">MA-2024-0805</t>
  </si>
  <si>
    <t xml:space="preserve">WL-01569</t>
  </si>
  <si>
    <t xml:space="preserve">Sherri Smith</t>
  </si>
  <si>
    <t xml:space="preserve">MURRE GLIDE</t>
  </si>
  <si>
    <t xml:space="preserve">TXN-202608-038270</t>
  </si>
  <si>
    <t xml:space="preserve">slip_inventory_2026-08.csv row 674; billing_transactions_2022_2026.csv row 46591</t>
  </si>
  <si>
    <t xml:space="preserve">EW-0806</t>
  </si>
  <si>
    <t xml:space="preserve">MA-2024-0806</t>
  </si>
  <si>
    <t xml:space="preserve">WL-01375</t>
  </si>
  <si>
    <t xml:space="preserve">Crystal Austin</t>
  </si>
  <si>
    <t xml:space="preserve">TXN-202608-038334</t>
  </si>
  <si>
    <t xml:space="preserve">slip_inventory_2026-08.csv row 675; billing_transactions_2022_2026.csv row 46592</t>
  </si>
  <si>
    <t xml:space="preserve">MA-2024-0807</t>
  </si>
  <si>
    <t xml:space="preserve">WL-03182</t>
  </si>
  <si>
    <t xml:space="preserve">Matthew Gonzalez</t>
  </si>
  <si>
    <t xml:space="preserve">OTTER GLIDE</t>
  </si>
  <si>
    <t xml:space="preserve">TXN-202608-038400</t>
  </si>
  <si>
    <t xml:space="preserve">slip_inventory_2026-08.csv row 676; billing_transactions_2022_2026.csv row 46593</t>
  </si>
  <si>
    <t xml:space="preserve">EW-0808</t>
  </si>
  <si>
    <t xml:space="preserve">MA-2024-0808</t>
  </si>
  <si>
    <t xml:space="preserve">WL-02311</t>
  </si>
  <si>
    <t xml:space="preserve">Catherine Martinez</t>
  </si>
  <si>
    <t xml:space="preserve">TXN-202608-038461</t>
  </si>
  <si>
    <t xml:space="preserve">slip_inventory_2026-08.csv row 677; billing_transactions_2022_2026.csv row 46594</t>
  </si>
  <si>
    <t xml:space="preserve">EW-0809</t>
  </si>
  <si>
    <t xml:space="preserve">MA-2024-0809</t>
  </si>
  <si>
    <t xml:space="preserve">WL-02595</t>
  </si>
  <si>
    <t xml:space="preserve">Cheryl Wood</t>
  </si>
  <si>
    <t xml:space="preserve">TXN-202608-038502</t>
  </si>
  <si>
    <t xml:space="preserve">slip_inventory_2026-08.csv row 678; billing_transactions_2022_2026.csv row 46596</t>
  </si>
  <si>
    <t xml:space="preserve">EW-0810</t>
  </si>
  <si>
    <t xml:space="preserve">MA-2024-0810</t>
  </si>
  <si>
    <t xml:space="preserve">WL-03518</t>
  </si>
  <si>
    <t xml:space="preserve">Jorge Donovan</t>
  </si>
  <si>
    <t xml:space="preserve">TXN-202608-038553</t>
  </si>
  <si>
    <t xml:space="preserve">slip_inventory_2026-08.csv row 679; billing_transactions_2022_2026.csv row 46598</t>
  </si>
  <si>
    <t xml:space="preserve">EW-0811</t>
  </si>
  <si>
    <t xml:space="preserve">MA-2024-0811</t>
  </si>
  <si>
    <t xml:space="preserve">TXN-202608-038602</t>
  </si>
  <si>
    <t xml:space="preserve">slip_inventory_2026-08.csv row 680; billing_transactions_2022_2026.csv row 46600</t>
  </si>
  <si>
    <t xml:space="preserve">EW-0812</t>
  </si>
  <si>
    <t xml:space="preserve">MA-2024-0812</t>
  </si>
  <si>
    <t xml:space="preserve">WL-03679</t>
  </si>
  <si>
    <t xml:space="preserve">Tracy Page</t>
  </si>
  <si>
    <t xml:space="preserve">TIDE WAKE</t>
  </si>
  <si>
    <t xml:space="preserve">TXN-202608-038662</t>
  </si>
  <si>
    <t xml:space="preserve">slip_inventory_2026-08.csv row 681; billing_transactions_2022_2026.csv row 46601</t>
  </si>
  <si>
    <t xml:space="preserve">MA-2024-0813</t>
  </si>
  <si>
    <t xml:space="preserve">WL-02198</t>
  </si>
  <si>
    <t xml:space="preserve">James Torres</t>
  </si>
  <si>
    <t xml:space="preserve">OSPREY PASSAGE</t>
  </si>
  <si>
    <t xml:space="preserve">TXN-202608-038736</t>
  </si>
  <si>
    <t xml:space="preserve">slip_inventory_2026-08.csv row 682; billing_transactions_2022_2026.csv row 46602</t>
  </si>
  <si>
    <t xml:space="preserve">MA-2024-0814</t>
  </si>
  <si>
    <t xml:space="preserve">WL-01852</t>
  </si>
  <si>
    <t xml:space="preserve">Ross Erickson</t>
  </si>
  <si>
    <t xml:space="preserve">BRANT QUEEN</t>
  </si>
  <si>
    <t xml:space="preserve">TXN-202608-038794</t>
  </si>
  <si>
    <t xml:space="preserve">slip_inventory_2026-08.csv row 683; billing_transactions_2022_2026.csv row 46603</t>
  </si>
  <si>
    <t xml:space="preserve">MA-2024-0815</t>
  </si>
  <si>
    <t xml:space="preserve">WL-03368</t>
  </si>
  <si>
    <t xml:space="preserve">Daniel Bowen</t>
  </si>
  <si>
    <t xml:space="preserve">DRIFT BAY</t>
  </si>
  <si>
    <t xml:space="preserve">TXN-202608-038845</t>
  </si>
  <si>
    <t xml:space="preserve">slip_inventory_2026-08.csv row 684; billing_transactions_2022_2026.csv row 46604</t>
  </si>
  <si>
    <t xml:space="preserve">EW-0816</t>
  </si>
  <si>
    <t xml:space="preserve">MA-2024-0816</t>
  </si>
  <si>
    <t xml:space="preserve">PINTAIL</t>
  </si>
  <si>
    <t xml:space="preserve">TXN-202608-038883</t>
  </si>
  <si>
    <t xml:space="preserve">slip_inventory_2026-08.csv row 685; billing_transactions_2022_2026.csv row 46606</t>
  </si>
  <si>
    <t xml:space="preserve">EW-0817</t>
  </si>
  <si>
    <t xml:space="preserve">MA-2024-0817</t>
  </si>
  <si>
    <t xml:space="preserve">WL-03434</t>
  </si>
  <si>
    <t xml:space="preserve">Michelle Caldwell</t>
  </si>
  <si>
    <t xml:space="preserve">SABLE VEER</t>
  </si>
  <si>
    <t xml:space="preserve">TXN-202608-038934</t>
  </si>
  <si>
    <t xml:space="preserve">slip_inventory_2026-08.csv row 686; billing_transactions_2022_2026.csv row 46607</t>
  </si>
  <si>
    <t xml:space="preserve">EW-0818</t>
  </si>
  <si>
    <t xml:space="preserve">MA-2024-0818</t>
  </si>
  <si>
    <t xml:space="preserve">WL-03709</t>
  </si>
  <si>
    <t xml:space="preserve">Brandy Mays</t>
  </si>
  <si>
    <t xml:space="preserve">OTTER ROCK</t>
  </si>
  <si>
    <t xml:space="preserve">TXN-202608-038975</t>
  </si>
  <si>
    <t xml:space="preserve">slip_inventory_2026-08.csv row 687; billing_transactions_2022_2026.csv row 46608</t>
  </si>
  <si>
    <t xml:space="preserve">MA-2024-0819</t>
  </si>
  <si>
    <t xml:space="preserve">WL-02587</t>
  </si>
  <si>
    <t xml:space="preserve">Mary Figueroa</t>
  </si>
  <si>
    <t xml:space="preserve">KESTREL LINE</t>
  </si>
  <si>
    <t xml:space="preserve">TXN-202608-039033</t>
  </si>
  <si>
    <t xml:space="preserve">slip_inventory_2026-08.csv row 688; billing_transactions_2022_2026.csv row 46609</t>
  </si>
  <si>
    <t xml:space="preserve">EW-0821</t>
  </si>
  <si>
    <t xml:space="preserve">MA-2024-0821</t>
  </si>
  <si>
    <t xml:space="preserve">WL-02217</t>
  </si>
  <si>
    <t xml:space="preserve">Rose Morales</t>
  </si>
  <si>
    <t xml:space="preserve">WIDGEON SONG</t>
  </si>
  <si>
    <t xml:space="preserve">TXN-202608-039079</t>
  </si>
  <si>
    <t xml:space="preserve">slip_inventory_2026-08.csv row 690; billing_transactions_2022_2026.csv row 46611</t>
  </si>
  <si>
    <t xml:space="preserve">EW-0822</t>
  </si>
  <si>
    <t xml:space="preserve">MA-2024-0822</t>
  </si>
  <si>
    <t xml:space="preserve">WL-01076</t>
  </si>
  <si>
    <t xml:space="preserve">Timothy Robinson</t>
  </si>
  <si>
    <t xml:space="preserve">OSPREY ROCK</t>
  </si>
  <si>
    <t xml:space="preserve">TXN-202608-039122</t>
  </si>
  <si>
    <t xml:space="preserve">slip_inventory_2026-08.csv row 691; billing_transactions_2022_2026.csv row 46613</t>
  </si>
  <si>
    <t xml:space="preserve">EW-0823</t>
  </si>
  <si>
    <t xml:space="preserve">MA-2024-0823</t>
  </si>
  <si>
    <t xml:space="preserve">WL-03201</t>
  </si>
  <si>
    <t xml:space="preserve">Nancy Montgomery</t>
  </si>
  <si>
    <t xml:space="preserve">GRAY DANCER</t>
  </si>
  <si>
    <t xml:space="preserve">TXN-202608-039181</t>
  </si>
  <si>
    <t xml:space="preserve">slip_inventory_2026-08.csv row 692; billing_transactions_2022_2026.csv row 46615</t>
  </si>
  <si>
    <t xml:space="preserve">EW-0901</t>
  </si>
  <si>
    <t xml:space="preserve">MA-2024-0901</t>
  </si>
  <si>
    <t xml:space="preserve">WL-02581</t>
  </si>
  <si>
    <t xml:space="preserve">Carolyn Sanchez</t>
  </si>
  <si>
    <t xml:space="preserve">MURRE MIST</t>
  </si>
  <si>
    <t xml:space="preserve">TXN-202608-039223</t>
  </si>
  <si>
    <t xml:space="preserve">slip_inventory_2026-08.csv row 694; billing_transactions_2022_2026.csv row 46616</t>
  </si>
  <si>
    <t xml:space="preserve">MA-2024-0902</t>
  </si>
  <si>
    <t xml:space="preserve">OSPREY RUNNER</t>
  </si>
  <si>
    <t xml:space="preserve">TXN-202608-039298</t>
  </si>
  <si>
    <t xml:space="preserve">slip_inventory_2026-08.csv row 695; billing_transactions_2022_2026.csv row 46617</t>
  </si>
  <si>
    <t xml:space="preserve">EW-0903</t>
  </si>
  <si>
    <t xml:space="preserve">MA-2024-0903</t>
  </si>
  <si>
    <t xml:space="preserve">WL-01891</t>
  </si>
  <si>
    <t xml:space="preserve">Lee Ritter</t>
  </si>
  <si>
    <t xml:space="preserve">PINTAIL MOON</t>
  </si>
  <si>
    <t xml:space="preserve">TXN-202608-039369</t>
  </si>
  <si>
    <t xml:space="preserve">slip_inventory_2026-08.csv row 696; billing_transactions_2022_2026.csv row 46618</t>
  </si>
  <si>
    <t xml:space="preserve">EW-0904</t>
  </si>
  <si>
    <t xml:space="preserve">MA-2024-0904</t>
  </si>
  <si>
    <t xml:space="preserve">WL-03412</t>
  </si>
  <si>
    <t xml:space="preserve">Seth Smith</t>
  </si>
  <si>
    <t xml:space="preserve">SANDERLING WEATHER</t>
  </si>
  <si>
    <t xml:space="preserve">TXN-202608-039411</t>
  </si>
  <si>
    <t xml:space="preserve">slip_inventory_2026-08.csv row 697; billing_transactions_2022_2026.csv row 46620</t>
  </si>
  <si>
    <t xml:space="preserve">EW-0905</t>
  </si>
  <si>
    <t xml:space="preserve">MA-2024-0905</t>
  </si>
  <si>
    <t xml:space="preserve">WL-01393</t>
  </si>
  <si>
    <t xml:space="preserve">Lauren Thompson</t>
  </si>
  <si>
    <t xml:space="preserve">SCOTER SHORE</t>
  </si>
  <si>
    <t xml:space="preserve">TXN-202608-039463</t>
  </si>
  <si>
    <t xml:space="preserve">slip_inventory_2026-08.csv row 698; billing_transactions_2022_2026.csv row 46622</t>
  </si>
  <si>
    <t xml:space="preserve">EW-0906</t>
  </si>
  <si>
    <t xml:space="preserve">MA-2024-0906</t>
  </si>
  <si>
    <t xml:space="preserve">WL-01035</t>
  </si>
  <si>
    <t xml:space="preserve">Ivan Webster</t>
  </si>
  <si>
    <t xml:space="preserve">TXN-202608-039511</t>
  </si>
  <si>
    <t xml:space="preserve">slip_inventory_2026-08.csv row 699; billing_transactions_2022_2026.csv row 46624</t>
  </si>
  <si>
    <t xml:space="preserve">EW-0907</t>
  </si>
  <si>
    <t xml:space="preserve">MA-2024-0907</t>
  </si>
  <si>
    <t xml:space="preserve">WL-02881</t>
  </si>
  <si>
    <t xml:space="preserve">Christopher Woodward</t>
  </si>
  <si>
    <t xml:space="preserve">SALISH VEER</t>
  </si>
  <si>
    <t xml:space="preserve">TXN-202608-039579</t>
  </si>
  <si>
    <t xml:space="preserve">slip_inventory_2026-08.csv row 700; billing_transactions_2022_2026.csv row 46626</t>
  </si>
  <si>
    <t xml:space="preserve">EW-0908</t>
  </si>
  <si>
    <t xml:space="preserve">MA-2024-0908</t>
  </si>
  <si>
    <t xml:space="preserve">WL-02478</t>
  </si>
  <si>
    <t xml:space="preserve">Travis Long</t>
  </si>
  <si>
    <t xml:space="preserve">TXN-202608-039634</t>
  </si>
  <si>
    <t xml:space="preserve">slip_inventory_2026-08.csv row 701; billing_transactions_2022_2026.csv row 46628</t>
  </si>
  <si>
    <t xml:space="preserve">MA-2024-0909</t>
  </si>
  <si>
    <t xml:space="preserve">WL-03396</t>
  </si>
  <si>
    <t xml:space="preserve">Tanya Woods</t>
  </si>
  <si>
    <t xml:space="preserve">TXN-202608-039702</t>
  </si>
  <si>
    <t xml:space="preserve">slip_inventory_2026-08.csv row 702; billing_transactions_2022_2026.csv row 46629</t>
  </si>
  <si>
    <t xml:space="preserve">EW-0910</t>
  </si>
  <si>
    <t xml:space="preserve">MA-2024-0910</t>
  </si>
  <si>
    <t xml:space="preserve">WL-03319</t>
  </si>
  <si>
    <t xml:space="preserve">Darrell Hall</t>
  </si>
  <si>
    <t xml:space="preserve">TXN-202608-039753</t>
  </si>
  <si>
    <t xml:space="preserve">slip_inventory_2026-08.csv row 703; billing_transactions_2022_2026.csv row 46630</t>
  </si>
  <si>
    <t xml:space="preserve">EW-0911</t>
  </si>
  <si>
    <t xml:space="preserve">MA-2024-0911</t>
  </si>
  <si>
    <t xml:space="preserve">WL-02871</t>
  </si>
  <si>
    <t xml:space="preserve">Bailey Barnes</t>
  </si>
  <si>
    <t xml:space="preserve">TXN-202608-039834</t>
  </si>
  <si>
    <t xml:space="preserve">slip_inventory_2026-08.csv row 704; billing_transactions_2022_2026.csv row 46631</t>
  </si>
  <si>
    <t xml:space="preserve">EW-0912</t>
  </si>
  <si>
    <t xml:space="preserve">MA-2024-0912</t>
  </si>
  <si>
    <t xml:space="preserve">WL-03562</t>
  </si>
  <si>
    <t xml:space="preserve">Tara Davis</t>
  </si>
  <si>
    <t xml:space="preserve">ANCHOR SHORE</t>
  </si>
  <si>
    <t xml:space="preserve">TXN-202608-039907</t>
  </si>
  <si>
    <t xml:space="preserve">slip_inventory_2026-08.csv row 705; billing_transactions_2022_2026.csv row 46632</t>
  </si>
  <si>
    <t xml:space="preserve">EW-0913</t>
  </si>
  <si>
    <t xml:space="preserve">MA-2024-0913</t>
  </si>
  <si>
    <t xml:space="preserve">WL-02382</t>
  </si>
  <si>
    <t xml:space="preserve">Rachael Wallace</t>
  </si>
  <si>
    <t xml:space="preserve">CORMORANT QUEEN</t>
  </si>
  <si>
    <t xml:space="preserve">TXN-202608-039972</t>
  </si>
  <si>
    <t xml:space="preserve">slip_inventory_2026-08.csv row 706; billing_transactions_2022_2026.csv row 46634</t>
  </si>
  <si>
    <t xml:space="preserve">EW-0914</t>
  </si>
  <si>
    <t xml:space="preserve">MA-2024-0914</t>
  </si>
  <si>
    <t xml:space="preserve">WL-02046</t>
  </si>
  <si>
    <t xml:space="preserve">Jennifer Scott</t>
  </si>
  <si>
    <t xml:space="preserve">OTTER QUEEN</t>
  </si>
  <si>
    <t xml:space="preserve">TXN-202608-040025</t>
  </si>
  <si>
    <t xml:space="preserve">slip_inventory_2026-08.csv row 707; billing_transactions_2022_2026.csv row 46636</t>
  </si>
  <si>
    <t xml:space="preserve">EW-0915</t>
  </si>
  <si>
    <t xml:space="preserve">MA-2024-0915</t>
  </si>
  <si>
    <t xml:space="preserve">WL-03170</t>
  </si>
  <si>
    <t xml:space="preserve">Kyle Chen</t>
  </si>
  <si>
    <t xml:space="preserve">WIDGEON LINE</t>
  </si>
  <si>
    <t xml:space="preserve">TXN-202608-040069</t>
  </si>
  <si>
    <t xml:space="preserve">slip_inventory_2026-08.csv row 708; billing_transactions_2022_2026.csv row 46637</t>
  </si>
  <si>
    <t xml:space="preserve">MA-2024-0916</t>
  </si>
  <si>
    <t xml:space="preserve">WL-03268</t>
  </si>
  <si>
    <t xml:space="preserve">Charles Parker</t>
  </si>
  <si>
    <t xml:space="preserve">TXN-202608-040112</t>
  </si>
  <si>
    <t xml:space="preserve">slip_inventory_2026-08.csv row 709; billing_transactions_2022_2026.csv row 46639</t>
  </si>
  <si>
    <t xml:space="preserve">EW-0917</t>
  </si>
  <si>
    <t xml:space="preserve">MA-2024-0917</t>
  </si>
  <si>
    <t xml:space="preserve">WL-03374</t>
  </si>
  <si>
    <t xml:space="preserve">Tina Ward</t>
  </si>
  <si>
    <t xml:space="preserve">GRAY PASSAGE</t>
  </si>
  <si>
    <t xml:space="preserve">TXN-202608-040179</t>
  </si>
  <si>
    <t xml:space="preserve">slip_inventory_2026-08.csv row 710; billing_transactions_2022_2026.csv row 46640</t>
  </si>
  <si>
    <t xml:space="preserve">EW-0918</t>
  </si>
  <si>
    <t xml:space="preserve">MA-2024-0918</t>
  </si>
  <si>
    <t xml:space="preserve">WL-02502</t>
  </si>
  <si>
    <t xml:space="preserve">Michelle Cline</t>
  </si>
  <si>
    <t xml:space="preserve">SPINDRIFT STAR</t>
  </si>
  <si>
    <t xml:space="preserve">TXN-202608-040227</t>
  </si>
  <si>
    <t xml:space="preserve">slip_inventory_2026-08.csv row 711; billing_transactions_2022_2026.csv row 46641</t>
  </si>
  <si>
    <t xml:space="preserve">EW-0919</t>
  </si>
  <si>
    <t xml:space="preserve">MA-2024-0919</t>
  </si>
  <si>
    <t xml:space="preserve">WL-03012</t>
  </si>
  <si>
    <t xml:space="preserve">Olivia Joseph</t>
  </si>
  <si>
    <t xml:space="preserve">PINTAIL PASSAGE</t>
  </si>
  <si>
    <t xml:space="preserve">TXN-202608-040286</t>
  </si>
  <si>
    <t xml:space="preserve">slip_inventory_2026-08.csv row 712; billing_transactions_2022_2026.csv row 46643</t>
  </si>
  <si>
    <t xml:space="preserve">EW-0920</t>
  </si>
  <si>
    <t xml:space="preserve">MA-2024-0920</t>
  </si>
  <si>
    <t xml:space="preserve">WL-02451</t>
  </si>
  <si>
    <t xml:space="preserve">Brooke Bell</t>
  </si>
  <si>
    <t xml:space="preserve">PETREL HARBOR</t>
  </si>
  <si>
    <t xml:space="preserve">TXN-202608-040359</t>
  </si>
  <si>
    <t xml:space="preserve">slip_inventory_2026-08.csv row 713; billing_transactions_2022_2026.csv row 46645</t>
  </si>
  <si>
    <t xml:space="preserve">EW-0921</t>
  </si>
  <si>
    <t xml:space="preserve">MA-2024-0921</t>
  </si>
  <si>
    <t xml:space="preserve">WL-01499</t>
  </si>
  <si>
    <t xml:space="preserve">Jessica Miller</t>
  </si>
  <si>
    <t xml:space="preserve">OTTER WAKE</t>
  </si>
  <si>
    <t xml:space="preserve">TXN-202608-040419</t>
  </si>
  <si>
    <t xml:space="preserve">slip_inventory_2026-08.csv row 714; billing_transactions_2022_2026.csv row 46647</t>
  </si>
  <si>
    <t xml:space="preserve">EW-0922</t>
  </si>
  <si>
    <t xml:space="preserve">MA-2024-0922</t>
  </si>
  <si>
    <t xml:space="preserve">WL-03568</t>
  </si>
  <si>
    <t xml:space="preserve">Ricardo Jensen</t>
  </si>
  <si>
    <t xml:space="preserve">SABLE HARBOR</t>
  </si>
  <si>
    <t xml:space="preserve">TXN-202608-040496</t>
  </si>
  <si>
    <t xml:space="preserve">slip_inventory_2026-08.csv row 715; billing_transactions_2022_2026.csv row 46648</t>
  </si>
  <si>
    <t xml:space="preserve">EW-0923</t>
  </si>
  <si>
    <t xml:space="preserve">MA-2024-0923</t>
  </si>
  <si>
    <t xml:space="preserve">WL-03351</t>
  </si>
  <si>
    <t xml:space="preserve">Justin Mejia</t>
  </si>
  <si>
    <t xml:space="preserve">GRAY WAKE</t>
  </si>
  <si>
    <t xml:space="preserve">TXN-202608-040536</t>
  </si>
  <si>
    <t xml:space="preserve">slip_inventory_2026-08.csv row 716; billing_transactions_2022_2026.csv row 46649</t>
  </si>
  <si>
    <t xml:space="preserve">EW-1001</t>
  </si>
  <si>
    <t xml:space="preserve">MA-2024-1001</t>
  </si>
  <si>
    <t xml:space="preserve">WL-03821</t>
  </si>
  <si>
    <t xml:space="preserve">Tammy Dalton</t>
  </si>
  <si>
    <t xml:space="preserve">CORMORANT SHORE</t>
  </si>
  <si>
    <t xml:space="preserve">TXN-202608-040600</t>
  </si>
  <si>
    <t xml:space="preserve">slip_inventory_2026-08.csv row 718; billing_transactions_2022_2026.csv row 46650</t>
  </si>
  <si>
    <t xml:space="preserve">MA-2024-1002</t>
  </si>
  <si>
    <t xml:space="preserve">HALIBUT SHORE</t>
  </si>
  <si>
    <t xml:space="preserve">TXN-202608-040662</t>
  </si>
  <si>
    <t xml:space="preserve">slip_inventory_2026-08.csv row 719; billing_transactions_2022_2026.csv row 46651</t>
  </si>
  <si>
    <t xml:space="preserve">MA-2024-1003</t>
  </si>
  <si>
    <t xml:space="preserve">WL-01595</t>
  </si>
  <si>
    <t xml:space="preserve">Anthony Kemp</t>
  </si>
  <si>
    <t xml:space="preserve">CORMORANT LINE</t>
  </si>
  <si>
    <t xml:space="preserve">TXN-202608-040711</t>
  </si>
  <si>
    <t xml:space="preserve">slip_inventory_2026-08.csv row 720; billing_transactions_2022_2026.csv row 46652</t>
  </si>
  <si>
    <t xml:space="preserve">EW-1005</t>
  </si>
  <si>
    <t xml:space="preserve">MA-2024-1005</t>
  </si>
  <si>
    <t xml:space="preserve">WL-01010</t>
  </si>
  <si>
    <t xml:space="preserve">Steven Hanson</t>
  </si>
  <si>
    <t xml:space="preserve">TXN-202608-040785</t>
  </si>
  <si>
    <t xml:space="preserve">slip_inventory_2026-08.csv row 722; billing_transactions_2022_2026.csv row 46654</t>
  </si>
  <si>
    <t xml:space="preserve">MA-2024-1007</t>
  </si>
  <si>
    <t xml:space="preserve">WL-02438</t>
  </si>
  <si>
    <t xml:space="preserve">Sharon Phillips</t>
  </si>
  <si>
    <t xml:space="preserve">SCOTER ROCK</t>
  </si>
  <si>
    <t xml:space="preserve">TXN-202608-040838</t>
  </si>
  <si>
    <t xml:space="preserve">slip_inventory_2026-08.csv row 724; billing_transactions_2022_2026.csv row 46655</t>
  </si>
  <si>
    <t xml:space="preserve">EW-1008</t>
  </si>
  <si>
    <t xml:space="preserve">MA-2024-1008</t>
  </si>
  <si>
    <t xml:space="preserve">WL-02219</t>
  </si>
  <si>
    <t xml:space="preserve">Grant Cameron</t>
  </si>
  <si>
    <t xml:space="preserve">MURRE LIGHT</t>
  </si>
  <si>
    <t xml:space="preserve">TXN-202608-040905</t>
  </si>
  <si>
    <t xml:space="preserve">slip_inventory_2026-08.csv row 725; billing_transactions_2022_2026.csv row 46657</t>
  </si>
  <si>
    <t xml:space="preserve">EW-1010</t>
  </si>
  <si>
    <t xml:space="preserve">MA-2024-1010</t>
  </si>
  <si>
    <t xml:space="preserve">WL-02063</t>
  </si>
  <si>
    <t xml:space="preserve">Spencer Thompson</t>
  </si>
  <si>
    <t xml:space="preserve">TXN-202608-040958</t>
  </si>
  <si>
    <t xml:space="preserve">slip_inventory_2026-08.csv row 727; billing_transactions_2022_2026.csv row 46659</t>
  </si>
  <si>
    <t xml:space="preserve">EW-1011</t>
  </si>
  <si>
    <t xml:space="preserve">MA-2024-1011</t>
  </si>
  <si>
    <t xml:space="preserve">WL-03465</t>
  </si>
  <si>
    <t xml:space="preserve">Eric Mays</t>
  </si>
  <si>
    <t xml:space="preserve">GRAY QUEEN</t>
  </si>
  <si>
    <t xml:space="preserve">TXN-202608-041034</t>
  </si>
  <si>
    <t xml:space="preserve">slip_inventory_2026-08.csv row 728; billing_transactions_2022_2026.csv row 46660</t>
  </si>
  <si>
    <t xml:space="preserve">EW-1012</t>
  </si>
  <si>
    <t xml:space="preserve">MA-2024-1012</t>
  </si>
  <si>
    <t xml:space="preserve">WL-02406</t>
  </si>
  <si>
    <t xml:space="preserve">Christopher Jackson</t>
  </si>
  <si>
    <t xml:space="preserve">TIDE PASSAGE</t>
  </si>
  <si>
    <t xml:space="preserve">TXN-202608-041109</t>
  </si>
  <si>
    <t xml:space="preserve">slip_inventory_2026-08.csv row 729; billing_transactions_2022_2026.csv row 46661</t>
  </si>
  <si>
    <t xml:space="preserve">EW-1013</t>
  </si>
  <si>
    <t xml:space="preserve">MA-2024-1013</t>
  </si>
  <si>
    <t xml:space="preserve">WL-02008</t>
  </si>
  <si>
    <t xml:space="preserve">Karen Matthews</t>
  </si>
  <si>
    <t xml:space="preserve">KESTREL RUNNER</t>
  </si>
  <si>
    <t xml:space="preserve">TXN-202608-041150</t>
  </si>
  <si>
    <t xml:space="preserve">slip_inventory_2026-08.csv row 730; billing_transactions_2022_2026.csv row 46662</t>
  </si>
  <si>
    <t xml:space="preserve">EW-1014</t>
  </si>
  <si>
    <t xml:space="preserve">MA-2024-1014</t>
  </si>
  <si>
    <t xml:space="preserve">WL-02680</t>
  </si>
  <si>
    <t xml:space="preserve">Melanie Rivera</t>
  </si>
  <si>
    <t xml:space="preserve">TXN-202608-041203</t>
  </si>
  <si>
    <t xml:space="preserve">slip_inventory_2026-08.csv row 731; billing_transactions_2022_2026.csv row 46663</t>
  </si>
  <si>
    <t xml:space="preserve">MA-2024-1015</t>
  </si>
  <si>
    <t xml:space="preserve">WL-03353</t>
  </si>
  <si>
    <t xml:space="preserve">Patricia Adkins</t>
  </si>
  <si>
    <t xml:space="preserve">SPINDRIFT GLIDE</t>
  </si>
  <si>
    <t xml:space="preserve">TXN-202608-041266</t>
  </si>
  <si>
    <t xml:space="preserve">slip_inventory_2026-08.csv row 732; billing_transactions_2022_2026.csv row 46664</t>
  </si>
  <si>
    <t xml:space="preserve">EW-1016</t>
  </si>
  <si>
    <t xml:space="preserve">MA-2024-1016</t>
  </si>
  <si>
    <t xml:space="preserve">PINTAIL WEATHER</t>
  </si>
  <si>
    <t xml:space="preserve">TXN-202608-041322</t>
  </si>
  <si>
    <t xml:space="preserve">slip_inventory_2026-08.csv row 733; billing_transactions_2022_2026.csv row 46666</t>
  </si>
  <si>
    <t xml:space="preserve">EW-1017</t>
  </si>
  <si>
    <t xml:space="preserve">MA-2024-1017</t>
  </si>
  <si>
    <t xml:space="preserve">WL-02717</t>
  </si>
  <si>
    <t xml:space="preserve">Ryan Phillips</t>
  </si>
  <si>
    <t xml:space="preserve">KESTREL GLIDE</t>
  </si>
  <si>
    <t xml:space="preserve">TXN-202608-041365</t>
  </si>
  <si>
    <t xml:space="preserve">slip_inventory_2026-08.csv row 734; billing_transactions_2022_2026.csv row 46667</t>
  </si>
  <si>
    <t xml:space="preserve">EW-1018</t>
  </si>
  <si>
    <t xml:space="preserve">MA-2024-1018</t>
  </si>
  <si>
    <t xml:space="preserve">WL-01540</t>
  </si>
  <si>
    <t xml:space="preserve">Jonathan Baker</t>
  </si>
  <si>
    <t xml:space="preserve">TXN-202608-041431</t>
  </si>
  <si>
    <t xml:space="preserve">slip_inventory_2026-08.csv row 735; billing_transactions_2022_2026.csv row 46669</t>
  </si>
  <si>
    <t xml:space="preserve">EW-1019</t>
  </si>
  <si>
    <t xml:space="preserve">MA-2024-1019</t>
  </si>
  <si>
    <t xml:space="preserve">WL-03583</t>
  </si>
  <si>
    <t xml:space="preserve">Walter Martin</t>
  </si>
  <si>
    <t xml:space="preserve">TXN-202608-041480</t>
  </si>
  <si>
    <t xml:space="preserve">slip_inventory_2026-08.csv row 736; billing_transactions_2022_2026.csv row 46670</t>
  </si>
  <si>
    <t xml:space="preserve">MA-2024-1021</t>
  </si>
  <si>
    <t xml:space="preserve">TXN-202608-041527</t>
  </si>
  <si>
    <t xml:space="preserve">slip_inventory_2026-08.csv row 738; billing_transactions_2022_2026.csv row 46671</t>
  </si>
  <si>
    <t xml:space="preserve">MA-2024-1022</t>
  </si>
  <si>
    <t xml:space="preserve">TIDE GLIDE</t>
  </si>
  <si>
    <t xml:space="preserve">TXN-202608-041591</t>
  </si>
  <si>
    <t xml:space="preserve">slip_inventory_2026-08.csv row 739; billing_transactions_2022_2026.csv row 46673</t>
  </si>
  <si>
    <t xml:space="preserve">EW-1023</t>
  </si>
  <si>
    <t xml:space="preserve">MA-2024-1023</t>
  </si>
  <si>
    <t xml:space="preserve">WL-01824</t>
  </si>
  <si>
    <t xml:space="preserve">Robin Tucker</t>
  </si>
  <si>
    <t xml:space="preserve">SANDERLING PASSAGE</t>
  </si>
  <si>
    <t xml:space="preserve">TXN-202608-041651</t>
  </si>
  <si>
    <t xml:space="preserve">slip_inventory_2026-08.csv row 740; billing_transactions_2022_2026.csv row 46675</t>
  </si>
  <si>
    <t xml:space="preserve">EW-1024</t>
  </si>
  <si>
    <t xml:space="preserve">MA-2024-1024</t>
  </si>
  <si>
    <t xml:space="preserve">WL-03180</t>
  </si>
  <si>
    <t xml:space="preserve">Teresa Jimenez</t>
  </si>
  <si>
    <t xml:space="preserve">ANCHOR GLIDE</t>
  </si>
  <si>
    <t xml:space="preserve">TXN-202608-041702</t>
  </si>
  <si>
    <t xml:space="preserve">slip_inventory_2026-08.csv row 741; billing_transactions_2022_2026.csv row 46676</t>
  </si>
  <si>
    <t xml:space="preserve">GW-0102</t>
  </si>
  <si>
    <t xml:space="preserve">WL-01136</t>
  </si>
  <si>
    <t xml:space="preserve">Christina Green</t>
  </si>
  <si>
    <t xml:space="preserve">PETREL WIND</t>
  </si>
  <si>
    <t xml:space="preserve">TXN-202608-041755</t>
  </si>
  <si>
    <t xml:space="preserve">slip_inventory_2026-08.csv row 743; billing_transactions_2022_2026.csv row 46678</t>
  </si>
  <si>
    <t xml:space="preserve">WL-02233</t>
  </si>
  <si>
    <t xml:space="preserve">Sarah Forbes</t>
  </si>
  <si>
    <t xml:space="preserve">BRANT MIST</t>
  </si>
  <si>
    <t xml:space="preserve">TXN-202608-041830</t>
  </si>
  <si>
    <t xml:space="preserve">slip_inventory_2026-08.csv row 744; billing_transactions_2022_2026.csv row 46679</t>
  </si>
  <si>
    <t xml:space="preserve">GW-0104</t>
  </si>
  <si>
    <t xml:space="preserve">MA-2024-0104</t>
  </si>
  <si>
    <t xml:space="preserve">WL-01980</t>
  </si>
  <si>
    <t xml:space="preserve">Jacob Powell</t>
  </si>
  <si>
    <t xml:space="preserve">WIDGEON RUNNER</t>
  </si>
  <si>
    <t xml:space="preserve">TXN-202608-041882</t>
  </si>
  <si>
    <t xml:space="preserve">slip_inventory_2026-08.csv row 745; billing_transactions_2022_2026.csv row 46681</t>
  </si>
  <si>
    <t xml:space="preserve">WL-03409</t>
  </si>
  <si>
    <t xml:space="preserve">Linda Franklin</t>
  </si>
  <si>
    <t xml:space="preserve">SCOTER HARBOR</t>
  </si>
  <si>
    <t xml:space="preserve">TXN-202608-041952</t>
  </si>
  <si>
    <t xml:space="preserve">slip_inventory_2026-08.csv row 746; billing_transactions_2022_2026.csv row 46682</t>
  </si>
  <si>
    <t xml:space="preserve">GW-0106</t>
  </si>
  <si>
    <t xml:space="preserve">WL-01773</t>
  </si>
  <si>
    <t xml:space="preserve">Kara Bartlett</t>
  </si>
  <si>
    <t xml:space="preserve">SCOTER SONG</t>
  </si>
  <si>
    <t xml:space="preserve">TXN-202608-041997</t>
  </si>
  <si>
    <t xml:space="preserve">slip_inventory_2026-08.csv row 747; billing_transactions_2022_2026.csv row 46684</t>
  </si>
  <si>
    <t xml:space="preserve">GW-0108</t>
  </si>
  <si>
    <t xml:space="preserve">WL-02927</t>
  </si>
  <si>
    <t xml:space="preserve">Jonathon Jones</t>
  </si>
  <si>
    <t xml:space="preserve">TIDE VEER</t>
  </si>
  <si>
    <t xml:space="preserve">TXN-202608-042047</t>
  </si>
  <si>
    <t xml:space="preserve">slip_inventory_2026-08.csv row 749; billing_transactions_2022_2026.csv row 46686</t>
  </si>
  <si>
    <t xml:space="preserve">GW-0109</t>
  </si>
  <si>
    <t xml:space="preserve">WL-02979</t>
  </si>
  <si>
    <t xml:space="preserve">Catherine Reed</t>
  </si>
  <si>
    <t xml:space="preserve">TXN-202608-042085</t>
  </si>
  <si>
    <t xml:space="preserve">slip_inventory_2026-08.csv row 750; billing_transactions_2022_2026.csv row 46687</t>
  </si>
  <si>
    <t xml:space="preserve">GW-0110</t>
  </si>
  <si>
    <t xml:space="preserve">WL-02479</t>
  </si>
  <si>
    <t xml:space="preserve">Jeremy Aguirre</t>
  </si>
  <si>
    <t xml:space="preserve">POINT SOUND</t>
  </si>
  <si>
    <t xml:space="preserve">TXN-202608-042151</t>
  </si>
  <si>
    <t xml:space="preserve">slip_inventory_2026-08.csv row 751; billing_transactions_2022_2026.csv row 46688</t>
  </si>
  <si>
    <t xml:space="preserve">GW-0111</t>
  </si>
  <si>
    <t xml:space="preserve">WL-03229</t>
  </si>
  <si>
    <t xml:space="preserve">Monica Alvarez</t>
  </si>
  <si>
    <t xml:space="preserve">TXN-202608-042228</t>
  </si>
  <si>
    <t xml:space="preserve">slip_inventory_2026-08.csv row 752; billing_transactions_2022_2026.csv row 46690</t>
  </si>
  <si>
    <t xml:space="preserve">GW-0112</t>
  </si>
  <si>
    <t xml:space="preserve">WL-01208</t>
  </si>
  <si>
    <t xml:space="preserve">Nicholas Lewis</t>
  </si>
  <si>
    <t xml:space="preserve">BRANT WEATHER</t>
  </si>
  <si>
    <t xml:space="preserve">TXN-202608-042295</t>
  </si>
  <si>
    <t xml:space="preserve">slip_inventory_2026-08.csv row 753; billing_transactions_2022_2026.csv row 46692</t>
  </si>
  <si>
    <t xml:space="preserve">GW-0113</t>
  </si>
  <si>
    <t xml:space="preserve">WL-01259</t>
  </si>
  <si>
    <t xml:space="preserve">Sara Avery</t>
  </si>
  <si>
    <t xml:space="preserve">OSPREY LINE</t>
  </si>
  <si>
    <t xml:space="preserve">TXN-202608-042347</t>
  </si>
  <si>
    <t xml:space="preserve">slip_inventory_2026-08.csv row 754; billing_transactions_2022_2026.csv row 46693</t>
  </si>
  <si>
    <t xml:space="preserve">GW-0114</t>
  </si>
  <si>
    <t xml:space="preserve">WL-02985</t>
  </si>
  <si>
    <t xml:space="preserve">Francisco Benjamin</t>
  </si>
  <si>
    <t xml:space="preserve">CORMORANT MOON</t>
  </si>
  <si>
    <t xml:space="preserve">TXN-202608-042422</t>
  </si>
  <si>
    <t xml:space="preserve">slip_inventory_2026-08.csv row 755; billing_transactions_2022_2026.csv row 46694</t>
  </si>
  <si>
    <t xml:space="preserve">GW-0115</t>
  </si>
  <si>
    <t xml:space="preserve">WL-01610</t>
  </si>
  <si>
    <t xml:space="preserve">Anthony Johnson</t>
  </si>
  <si>
    <t xml:space="preserve">DRIFT SOUND</t>
  </si>
  <si>
    <t xml:space="preserve">TXN-202608-042493</t>
  </si>
  <si>
    <t xml:space="preserve">slip_inventory_2026-08.csv row 756; billing_transactions_2022_2026.csv row 46695</t>
  </si>
  <si>
    <t xml:space="preserve">WL-02724</t>
  </si>
  <si>
    <t xml:space="preserve">Benjamin Hawkins</t>
  </si>
  <si>
    <t xml:space="preserve">BRANT REACH</t>
  </si>
  <si>
    <t xml:space="preserve">TXN-202608-042568</t>
  </si>
  <si>
    <t xml:space="preserve">slip_inventory_2026-08.csv row 757; billing_transactions_2022_2026.csv row 46697</t>
  </si>
  <si>
    <t xml:space="preserve">GW-0117</t>
  </si>
  <si>
    <t xml:space="preserve">MA-2024-0117</t>
  </si>
  <si>
    <t xml:space="preserve">WL-02588</t>
  </si>
  <si>
    <t xml:space="preserve">Laura Wiley</t>
  </si>
  <si>
    <t xml:space="preserve">OSPREY MIST</t>
  </si>
  <si>
    <t xml:space="preserve">TXN-202608-042617</t>
  </si>
  <si>
    <t xml:space="preserve">slip_inventory_2026-08.csv row 758; billing_transactions_2022_2026.csv row 46699</t>
  </si>
  <si>
    <t xml:space="preserve">WL-02840</t>
  </si>
  <si>
    <t xml:space="preserve">Zachary Mcdonald</t>
  </si>
  <si>
    <t xml:space="preserve">TXN-202608-042670</t>
  </si>
  <si>
    <t xml:space="preserve">slip_inventory_2026-08.csv row 759; billing_transactions_2022_2026.csv row 46700</t>
  </si>
  <si>
    <t xml:space="preserve">GW-0119</t>
  </si>
  <si>
    <t xml:space="preserve">WL-01624</t>
  </si>
  <si>
    <t xml:space="preserve">Megan Estrada</t>
  </si>
  <si>
    <t xml:space="preserve">TXN-202608-042750</t>
  </si>
  <si>
    <t xml:space="preserve">slip_inventory_2026-08.csv row 760; billing_transactions_2022_2026.csv row 46701</t>
  </si>
  <si>
    <t xml:space="preserve">GW-0120</t>
  </si>
  <si>
    <t xml:space="preserve">WL-01224</t>
  </si>
  <si>
    <t xml:space="preserve">Yolanda Crane</t>
  </si>
  <si>
    <t xml:space="preserve">ANCHOR REACH</t>
  </si>
  <si>
    <t xml:space="preserve">TXN-202608-042798</t>
  </si>
  <si>
    <t xml:space="preserve">slip_inventory_2026-08.csv row 761; billing_transactions_2022_2026.csv row 46702</t>
  </si>
  <si>
    <t xml:space="preserve">GW-0121</t>
  </si>
  <si>
    <t xml:space="preserve">WL-01763</t>
  </si>
  <si>
    <t xml:space="preserve">Christopher Miller</t>
  </si>
  <si>
    <t xml:space="preserve">TXN-202608-042875</t>
  </si>
  <si>
    <t xml:space="preserve">slip_inventory_2026-08.csv row 762; billing_transactions_2022_2026.csv row 46704</t>
  </si>
  <si>
    <t xml:space="preserve">GW-0122</t>
  </si>
  <si>
    <t xml:space="preserve">WL-01683</t>
  </si>
  <si>
    <t xml:space="preserve">Steven Davis</t>
  </si>
  <si>
    <t xml:space="preserve">SCOTER CREST</t>
  </si>
  <si>
    <t xml:space="preserve">TXN-202608-042943</t>
  </si>
  <si>
    <t xml:space="preserve">slip_inventory_2026-08.csv row 763; billing_transactions_2022_2026.csv row 46706</t>
  </si>
  <si>
    <t xml:space="preserve">WL-03611</t>
  </si>
  <si>
    <t xml:space="preserve">Madeline Morris</t>
  </si>
  <si>
    <t xml:space="preserve">HALIBUT CREST</t>
  </si>
  <si>
    <t xml:space="preserve">TXN-202608-043005</t>
  </si>
  <si>
    <t xml:space="preserve">slip_inventory_2026-08.csv row 764; billing_transactions_2022_2026.csv row 46708</t>
  </si>
  <si>
    <t xml:space="preserve">WL-01782</t>
  </si>
  <si>
    <t xml:space="preserve">Ronald White</t>
  </si>
  <si>
    <t xml:space="preserve">SABLE SOUND</t>
  </si>
  <si>
    <t xml:space="preserve">TXN-202608-043082</t>
  </si>
  <si>
    <t xml:space="preserve">slip_inventory_2026-08.csv row 765; billing_transactions_2022_2026.csv row 46710</t>
  </si>
  <si>
    <t xml:space="preserve">GW-0202</t>
  </si>
  <si>
    <t xml:space="preserve">WL-03086</t>
  </si>
  <si>
    <t xml:space="preserve">William Daugherty</t>
  </si>
  <si>
    <t xml:space="preserve">PINTAIL DANCER</t>
  </si>
  <si>
    <t xml:space="preserve">TXN-202608-043120</t>
  </si>
  <si>
    <t xml:space="preserve">slip_inventory_2026-08.csv row 766; billing_transactions_2022_2026.csv row 46711</t>
  </si>
  <si>
    <t xml:space="preserve">GW-0204</t>
  </si>
  <si>
    <t xml:space="preserve">WL-02069</t>
  </si>
  <si>
    <t xml:space="preserve">David Lopez</t>
  </si>
  <si>
    <t xml:space="preserve">PETREL SONG</t>
  </si>
  <si>
    <t xml:space="preserve">TXN-202608-043165</t>
  </si>
  <si>
    <t xml:space="preserve">slip_inventory_2026-08.csv row 768; billing_transactions_2022_2026.csv row 46713</t>
  </si>
  <si>
    <t xml:space="preserve">GW-0205</t>
  </si>
  <si>
    <t xml:space="preserve">MA-2024-0205</t>
  </si>
  <si>
    <t xml:space="preserve">WL-01865</t>
  </si>
  <si>
    <t xml:space="preserve">Aaron Barton</t>
  </si>
  <si>
    <t xml:space="preserve">TXN-202608-043218</t>
  </si>
  <si>
    <t xml:space="preserve">slip_inventory_2026-08.csv row 769; billing_transactions_2022_2026.csv row 46715</t>
  </si>
  <si>
    <t xml:space="preserve">WL-03352</t>
  </si>
  <si>
    <t xml:space="preserve">Isabella Sutton</t>
  </si>
  <si>
    <t xml:space="preserve">ANCHOR RUNNER</t>
  </si>
  <si>
    <t xml:space="preserve">TXN-202608-043290</t>
  </si>
  <si>
    <t xml:space="preserve">slip_inventory_2026-08.csv row 770; billing_transactions_2022_2026.csv row 46717</t>
  </si>
  <si>
    <t xml:space="preserve">GW-0207</t>
  </si>
  <si>
    <t xml:space="preserve">WL-01291</t>
  </si>
  <si>
    <t xml:space="preserve">Brian Wallace</t>
  </si>
  <si>
    <t xml:space="preserve">TXN-202608-043364</t>
  </si>
  <si>
    <t xml:space="preserve">slip_inventory_2026-08.csv row 771; billing_transactions_2022_2026.csv row 46718</t>
  </si>
  <si>
    <t xml:space="preserve">GW-0208</t>
  </si>
  <si>
    <t xml:space="preserve">WL-02505</t>
  </si>
  <si>
    <t xml:space="preserve">Joe Smith</t>
  </si>
  <si>
    <t xml:space="preserve">CORMORANT HARBOR</t>
  </si>
  <si>
    <t xml:space="preserve">TXN-202608-043433</t>
  </si>
  <si>
    <t xml:space="preserve">slip_inventory_2026-08.csv row 772; billing_transactions_2022_2026.csv row 46719</t>
  </si>
  <si>
    <t xml:space="preserve">GW-0209</t>
  </si>
  <si>
    <t xml:space="preserve">WL-01421</t>
  </si>
  <si>
    <t xml:space="preserve">Jessica Brown</t>
  </si>
  <si>
    <t xml:space="preserve">GRAY LINE</t>
  </si>
  <si>
    <t xml:space="preserve">TXN-202608-043504</t>
  </si>
  <si>
    <t xml:space="preserve">slip_inventory_2026-08.csv row 773; billing_transactions_2022_2026.csv row 46720</t>
  </si>
  <si>
    <t xml:space="preserve">GW-0210</t>
  </si>
  <si>
    <t xml:space="preserve">WL-03832</t>
  </si>
  <si>
    <t xml:space="preserve">Amanda Smith</t>
  </si>
  <si>
    <t xml:space="preserve">TXN-202608-043553</t>
  </si>
  <si>
    <t xml:space="preserve">slip_inventory_2026-08.csv row 774; billing_transactions_2022_2026.csv row 46722</t>
  </si>
  <si>
    <t xml:space="preserve">GW-0211</t>
  </si>
  <si>
    <t xml:space="preserve">TXN-202608-043601</t>
  </si>
  <si>
    <t xml:space="preserve">slip_inventory_2026-08.csv row 775; billing_transactions_2022_2026.csv row 46724</t>
  </si>
  <si>
    <t xml:space="preserve">GW-0212</t>
  </si>
  <si>
    <t xml:space="preserve">WL-02184</t>
  </si>
  <si>
    <t xml:space="preserve">Leonard Wiley</t>
  </si>
  <si>
    <t xml:space="preserve">KESTREL PASSAGE</t>
  </si>
  <si>
    <t xml:space="preserve">TXN-202608-043650</t>
  </si>
  <si>
    <t xml:space="preserve">slip_inventory_2026-08.csv row 776; billing_transactions_2022_2026.csv row 46725</t>
  </si>
  <si>
    <t xml:space="preserve">GW-0213</t>
  </si>
  <si>
    <t xml:space="preserve">MA-2024-0213</t>
  </si>
  <si>
    <t xml:space="preserve">WL-02363</t>
  </si>
  <si>
    <t xml:space="preserve">Timothy Johnson</t>
  </si>
  <si>
    <t xml:space="preserve">HERON SOUND</t>
  </si>
  <si>
    <t xml:space="preserve">TXN-202608-043708</t>
  </si>
  <si>
    <t xml:space="preserve">slip_inventory_2026-08.csv row 777; billing_transactions_2022_2026.csv row 46727</t>
  </si>
  <si>
    <t xml:space="preserve">WL-03720</t>
  </si>
  <si>
    <t xml:space="preserve">Kristen Blair</t>
  </si>
  <si>
    <t xml:space="preserve">TXN-202608-043776</t>
  </si>
  <si>
    <t xml:space="preserve">slip_inventory_2026-08.csv row 778; billing_transactions_2022_2026.csv row 46729</t>
  </si>
  <si>
    <t xml:space="preserve">GW-0215</t>
  </si>
  <si>
    <t xml:space="preserve">WL-01436</t>
  </si>
  <si>
    <t xml:space="preserve">William Cook</t>
  </si>
  <si>
    <t xml:space="preserve">TXN-202608-043820</t>
  </si>
  <si>
    <t xml:space="preserve">slip_inventory_2026-08.csv row 779; billing_transactions_2022_2026.csv row 46730</t>
  </si>
  <si>
    <t xml:space="preserve">WL-03614</t>
  </si>
  <si>
    <t xml:space="preserve">Richard Waters</t>
  </si>
  <si>
    <t xml:space="preserve">PINTAIL HARBOR</t>
  </si>
  <si>
    <t xml:space="preserve">TXN-202608-043872</t>
  </si>
  <si>
    <t xml:space="preserve">slip_inventory_2026-08.csv row 780; billing_transactions_2022_2026.csv row 46732</t>
  </si>
  <si>
    <t xml:space="preserve">GW-0217</t>
  </si>
  <si>
    <t xml:space="preserve">WL-02984</t>
  </si>
  <si>
    <t xml:space="preserve">Bridget Jones</t>
  </si>
  <si>
    <t xml:space="preserve">TXN-202608-043913</t>
  </si>
  <si>
    <t xml:space="preserve">slip_inventory_2026-08.csv row 781; billing_transactions_2022_2026.csv row 46734</t>
  </si>
  <si>
    <t xml:space="preserve">WL-01556</t>
  </si>
  <si>
    <t xml:space="preserve">Christopher Russell</t>
  </si>
  <si>
    <t xml:space="preserve">PETREL REACH</t>
  </si>
  <si>
    <t xml:space="preserve">TXN-202608-043987</t>
  </si>
  <si>
    <t xml:space="preserve">slip_inventory_2026-08.csv row 782; billing_transactions_2022_2026.csv row 46735</t>
  </si>
  <si>
    <t xml:space="preserve">SEAL VEER</t>
  </si>
  <si>
    <t xml:space="preserve">TXN-202608-044062</t>
  </si>
  <si>
    <t xml:space="preserve">slip_inventory_2026-08.csv row 784; billing_transactions_2022_2026.csv row 46736</t>
  </si>
  <si>
    <t xml:space="preserve">GW-0221</t>
  </si>
  <si>
    <t xml:space="preserve">WL-02319</t>
  </si>
  <si>
    <t xml:space="preserve">Elizabeth Pacheco</t>
  </si>
  <si>
    <t xml:space="preserve">COHO VEER</t>
  </si>
  <si>
    <t xml:space="preserve">TXN-202608-044102</t>
  </si>
  <si>
    <t xml:space="preserve">slip_inventory_2026-08.csv row 785; billing_transactions_2022_2026.csv row 46738</t>
  </si>
  <si>
    <t xml:space="preserve">GW-0222</t>
  </si>
  <si>
    <t xml:space="preserve">WL-01365</t>
  </si>
  <si>
    <t xml:space="preserve">Andrew Griffith</t>
  </si>
  <si>
    <t xml:space="preserve">GRAY WIND</t>
  </si>
  <si>
    <t xml:space="preserve">TXN-202608-044147</t>
  </si>
  <si>
    <t xml:space="preserve">slip_inventory_2026-08.csv row 786; billing_transactions_2022_2026.csv row 46739</t>
  </si>
  <si>
    <t xml:space="preserve">WL-01975</t>
  </si>
  <si>
    <t xml:space="preserve">Susan Wilson</t>
  </si>
  <si>
    <t xml:space="preserve">GRAY REACH</t>
  </si>
  <si>
    <t xml:space="preserve">TXN-202608-044223</t>
  </si>
  <si>
    <t xml:space="preserve">slip_inventory_2026-08.csv row 787; billing_transactions_2022_2026.csv row 46740</t>
  </si>
  <si>
    <t xml:space="preserve">MA-2024-0301</t>
  </si>
  <si>
    <t xml:space="preserve">WL-01964</t>
  </si>
  <si>
    <t xml:space="preserve">Ryan Richardson</t>
  </si>
  <si>
    <t xml:space="preserve">PINTAIL SONG</t>
  </si>
  <si>
    <t xml:space="preserve">TXN-202608-044266</t>
  </si>
  <si>
    <t xml:space="preserve">slip_inventory_2026-08.csv row 788; billing_transactions_2022_2026.csv row 46741</t>
  </si>
  <si>
    <t xml:space="preserve">GW-0302</t>
  </si>
  <si>
    <t xml:space="preserve">WL-01735</t>
  </si>
  <si>
    <t xml:space="preserve">Jeffrey Brown</t>
  </si>
  <si>
    <t xml:space="preserve">SCOTER LINE</t>
  </si>
  <si>
    <t xml:space="preserve">TXN-202608-044320</t>
  </si>
  <si>
    <t xml:space="preserve">slip_inventory_2026-08.csv row 789; billing_transactions_2022_2026.csv row 46742</t>
  </si>
  <si>
    <t xml:space="preserve">GW-0303</t>
  </si>
  <si>
    <t xml:space="preserve">WL-02091</t>
  </si>
  <si>
    <t xml:space="preserve">Timothy Herrera</t>
  </si>
  <si>
    <t xml:space="preserve">TXN-202608-044396</t>
  </si>
  <si>
    <t xml:space="preserve">slip_inventory_2026-08.csv row 790; billing_transactions_2022_2026.csv row 46743</t>
  </si>
  <si>
    <t xml:space="preserve">GW-0304</t>
  </si>
  <si>
    <t xml:space="preserve">WL-01040</t>
  </si>
  <si>
    <t xml:space="preserve">Bradley Collins</t>
  </si>
  <si>
    <t xml:space="preserve">TXN-202608-044473</t>
  </si>
  <si>
    <t xml:space="preserve">slip_inventory_2026-08.csv row 791; billing_transactions_2022_2026.csv row 46745</t>
  </si>
  <si>
    <t xml:space="preserve">WL-02528</t>
  </si>
  <si>
    <t xml:space="preserve">Lisa Richards</t>
  </si>
  <si>
    <t xml:space="preserve">TXN-202608-044521</t>
  </si>
  <si>
    <t xml:space="preserve">slip_inventory_2026-08.csv row 792; billing_transactions_2022_2026.csv row 46747</t>
  </si>
  <si>
    <t xml:space="preserve">WL-02723</t>
  </si>
  <si>
    <t xml:space="preserve">Gregory Curtis</t>
  </si>
  <si>
    <t xml:space="preserve">FOUL DANCER</t>
  </si>
  <si>
    <t xml:space="preserve">TXN-202608-044594</t>
  </si>
  <si>
    <t xml:space="preserve">slip_inventory_2026-08.csv row 793; billing_transactions_2022_2026.csv row 46748</t>
  </si>
  <si>
    <t xml:space="preserve">GW-0307</t>
  </si>
  <si>
    <t xml:space="preserve">WL-02437</t>
  </si>
  <si>
    <t xml:space="preserve">Jeremy Holmes</t>
  </si>
  <si>
    <t xml:space="preserve">TXN-202608-044671</t>
  </si>
  <si>
    <t xml:space="preserve">slip_inventory_2026-08.csv row 794; billing_transactions_2022_2026.csv row 46749</t>
  </si>
  <si>
    <t xml:space="preserve">GW-0308</t>
  </si>
  <si>
    <t xml:space="preserve">WL-01165</t>
  </si>
  <si>
    <t xml:space="preserve">Rebecca Smith</t>
  </si>
  <si>
    <t xml:space="preserve">CORMORANT STAR</t>
  </si>
  <si>
    <t xml:space="preserve">TXN-202608-044734</t>
  </si>
  <si>
    <t xml:space="preserve">slip_inventory_2026-08.csv row 795; billing_transactions_2022_2026.csv row 46751</t>
  </si>
  <si>
    <t xml:space="preserve">GW-0309</t>
  </si>
  <si>
    <t xml:space="preserve">WL-03290</t>
  </si>
  <si>
    <t xml:space="preserve">Caitlin Chavez</t>
  </si>
  <si>
    <t xml:space="preserve">TXN-202608-044781</t>
  </si>
  <si>
    <t xml:space="preserve">slip_inventory_2026-08.csv row 796; billing_transactions_2022_2026.csv row 46753</t>
  </si>
  <si>
    <t xml:space="preserve">GW-0310</t>
  </si>
  <si>
    <t xml:space="preserve">MA-2024-0310</t>
  </si>
  <si>
    <t xml:space="preserve">WL-03315</t>
  </si>
  <si>
    <t xml:space="preserve">Marvin Miranda</t>
  </si>
  <si>
    <t xml:space="preserve">TXN-202608-044859</t>
  </si>
  <si>
    <t xml:space="preserve">slip_inventory_2026-08.csv row 797; billing_transactions_2022_2026.csv row 46755</t>
  </si>
  <si>
    <t xml:space="preserve">GW-0312</t>
  </si>
  <si>
    <t xml:space="preserve">WL-01955</t>
  </si>
  <si>
    <t xml:space="preserve">Nicole Davis</t>
  </si>
  <si>
    <t xml:space="preserve">TIDE ANN</t>
  </si>
  <si>
    <t xml:space="preserve">TXN-202608-044897</t>
  </si>
  <si>
    <t xml:space="preserve">slip_inventory_2026-08.csv row 799; billing_transactions_2022_2026.csv row 46756</t>
  </si>
  <si>
    <t xml:space="preserve">GW-0313</t>
  </si>
  <si>
    <t xml:space="preserve">PINTAIL GLIDE</t>
  </si>
  <si>
    <t xml:space="preserve">TXN-202608-044957</t>
  </si>
  <si>
    <t xml:space="preserve">slip_inventory_2026-08.csv row 800; billing_transactions_2022_2026.csv row 46758</t>
  </si>
  <si>
    <t xml:space="preserve">GW-0315</t>
  </si>
  <si>
    <t xml:space="preserve">TXN-202608-045025</t>
  </si>
  <si>
    <t xml:space="preserve">slip_inventory_2026-08.csv row 802; billing_transactions_2022_2026.csv row 46760</t>
  </si>
  <si>
    <t xml:space="preserve">GW-0316</t>
  </si>
  <si>
    <t xml:space="preserve">WL-01648</t>
  </si>
  <si>
    <t xml:space="preserve">Chelsea Matthews</t>
  </si>
  <si>
    <t xml:space="preserve">TXN-202608-045074</t>
  </si>
  <si>
    <t xml:space="preserve">slip_inventory_2026-08.csv row 803; billing_transactions_2022_2026.csv row 46762</t>
  </si>
  <si>
    <t xml:space="preserve">GW-0317</t>
  </si>
  <si>
    <t xml:space="preserve">WL-02270</t>
  </si>
  <si>
    <t xml:space="preserve">Nathan Lewis</t>
  </si>
  <si>
    <t xml:space="preserve">TXN-202608-045115</t>
  </si>
  <si>
    <t xml:space="preserve">slip_inventory_2026-08.csv row 804; billing_transactions_2022_2026.csv row 46763</t>
  </si>
  <si>
    <t xml:space="preserve">GW-0318</t>
  </si>
  <si>
    <t xml:space="preserve">WL-01122</t>
  </si>
  <si>
    <t xml:space="preserve">Rachel Carpenter</t>
  </si>
  <si>
    <t xml:space="preserve">TXN-202608-045187</t>
  </si>
  <si>
    <t xml:space="preserve">slip_inventory_2026-08.csv row 805; billing_transactions_2022_2026.csv row 46764</t>
  </si>
  <si>
    <t xml:space="preserve">GW-0320</t>
  </si>
  <si>
    <t xml:space="preserve">MA-2024-0320</t>
  </si>
  <si>
    <t xml:space="preserve">WL-01487</t>
  </si>
  <si>
    <t xml:space="preserve">Thomas Palmer</t>
  </si>
  <si>
    <t xml:space="preserve">WIDGEON BAY</t>
  </si>
  <si>
    <t xml:space="preserve">TXN-202608-045258</t>
  </si>
  <si>
    <t xml:space="preserve">slip_inventory_2026-08.csv row 807; billing_transactions_2022_2026.csv row 46765</t>
  </si>
  <si>
    <t xml:space="preserve">GW-0321</t>
  </si>
  <si>
    <t xml:space="preserve">WL-02922</t>
  </si>
  <si>
    <t xml:space="preserve">Sandra Allen</t>
  </si>
  <si>
    <t xml:space="preserve">ANCHOR WEATHER</t>
  </si>
  <si>
    <t xml:space="preserve">TXN-202608-045303</t>
  </si>
  <si>
    <t xml:space="preserve">slip_inventory_2026-08.csv row 808; billing_transactions_2022_2026.csv row 46766</t>
  </si>
  <si>
    <t xml:space="preserve">GW-0322</t>
  </si>
  <si>
    <t xml:space="preserve">WL-01815</t>
  </si>
  <si>
    <t xml:space="preserve">Theresa Martinez</t>
  </si>
  <si>
    <t xml:space="preserve">TXN-202608-045363</t>
  </si>
  <si>
    <t xml:space="preserve">slip_inventory_2026-08.csv row 809; billing_transactions_2022_2026.csv row 46767</t>
  </si>
  <si>
    <t xml:space="preserve">WL-02735</t>
  </si>
  <si>
    <t xml:space="preserve">Kristen Orr</t>
  </si>
  <si>
    <t xml:space="preserve">TXN-202608-045444</t>
  </si>
  <si>
    <t xml:space="preserve">slip_inventory_2026-08.csv row 810; billing_transactions_2022_2026.csv row 46768</t>
  </si>
  <si>
    <t xml:space="preserve">WL-03064</t>
  </si>
  <si>
    <t xml:space="preserve">Megan Hendricks</t>
  </si>
  <si>
    <t xml:space="preserve">SPINDRIFT VEER</t>
  </si>
  <si>
    <t xml:space="preserve">TXN-202608-045500</t>
  </si>
  <si>
    <t xml:space="preserve">slip_inventory_2026-08.csv row 811; billing_transactions_2022_2026.csv row 46770</t>
  </si>
  <si>
    <t xml:space="preserve">GW-0402</t>
  </si>
  <si>
    <t xml:space="preserve">WL-02635</t>
  </si>
  <si>
    <t xml:space="preserve">Roger Bowers</t>
  </si>
  <si>
    <t xml:space="preserve">GRAY GLIDE</t>
  </si>
  <si>
    <t xml:space="preserve">TXN-202608-045547</t>
  </si>
  <si>
    <t xml:space="preserve">slip_inventory_2026-08.csv row 812; billing_transactions_2022_2026.csv row 46772</t>
  </si>
  <si>
    <t xml:space="preserve">GW-0403</t>
  </si>
  <si>
    <t xml:space="preserve">WL-02399</t>
  </si>
  <si>
    <t xml:space="preserve">Jennifer Mccullough</t>
  </si>
  <si>
    <t xml:space="preserve">SPINDRIFT CREST</t>
  </si>
  <si>
    <t xml:space="preserve">TXN-202608-045595</t>
  </si>
  <si>
    <t xml:space="preserve">slip_inventory_2026-08.csv row 813; billing_transactions_2022_2026.csv row 46773</t>
  </si>
  <si>
    <t xml:space="preserve">GW-0404</t>
  </si>
  <si>
    <t xml:space="preserve">WL-03671</t>
  </si>
  <si>
    <t xml:space="preserve">Thomas Martinez</t>
  </si>
  <si>
    <t xml:space="preserve">TXN-202608-045645</t>
  </si>
  <si>
    <t xml:space="preserve">slip_inventory_2026-08.csv row 814; billing_transactions_2022_2026.csv row 46775</t>
  </si>
  <si>
    <t xml:space="preserve">GW-0405</t>
  </si>
  <si>
    <t xml:space="preserve">WL-01293</t>
  </si>
  <si>
    <t xml:space="preserve">Pamela Powell</t>
  </si>
  <si>
    <t xml:space="preserve">PETREL SOUND</t>
  </si>
  <si>
    <t xml:space="preserve">TXN-202608-045697</t>
  </si>
  <si>
    <t xml:space="preserve">slip_inventory_2026-08.csv row 815; billing_transactions_2022_2026.csv row 46777</t>
  </si>
  <si>
    <t xml:space="preserve">GW-0406</t>
  </si>
  <si>
    <t xml:space="preserve">WL-02077</t>
  </si>
  <si>
    <t xml:space="preserve">William Price</t>
  </si>
  <si>
    <t xml:space="preserve">TXN-202608-045761</t>
  </si>
  <si>
    <t xml:space="preserve">slip_inventory_2026-08.csv row 816; billing_transactions_2022_2026.csv row 46778</t>
  </si>
  <si>
    <t xml:space="preserve">GW-0407</t>
  </si>
  <si>
    <t xml:space="preserve">WL-03682</t>
  </si>
  <si>
    <t xml:space="preserve">Paul Anderson</t>
  </si>
  <si>
    <t xml:space="preserve">SANDERLING DANCER</t>
  </si>
  <si>
    <t xml:space="preserve">TXN-202608-045805</t>
  </si>
  <si>
    <t xml:space="preserve">slip_inventory_2026-08.csv row 817; billing_transactions_2022_2026.csv row 46779</t>
  </si>
  <si>
    <t xml:space="preserve">GW-0408</t>
  </si>
  <si>
    <t xml:space="preserve">WL-01551</t>
  </si>
  <si>
    <t xml:space="preserve">Megan Santiago</t>
  </si>
  <si>
    <t xml:space="preserve">KESTREL WIND</t>
  </si>
  <si>
    <t xml:space="preserve">TXN-202608-045872</t>
  </si>
  <si>
    <t xml:space="preserve">slip_inventory_2026-08.csv row 818; billing_transactions_2022_2026.csv row 46780</t>
  </si>
  <si>
    <t xml:space="preserve">GW-0409</t>
  </si>
  <si>
    <t xml:space="preserve">WL-02328</t>
  </si>
  <si>
    <t xml:space="preserve">Tony Mack</t>
  </si>
  <si>
    <t xml:space="preserve">HERON LINE</t>
  </si>
  <si>
    <t xml:space="preserve">TXN-202608-045915</t>
  </si>
  <si>
    <t xml:space="preserve">slip_inventory_2026-08.csv row 819; billing_transactions_2022_2026.csv row 46781</t>
  </si>
  <si>
    <t xml:space="preserve">GW-0410</t>
  </si>
  <si>
    <t xml:space="preserve">HALIBUT MOON</t>
  </si>
  <si>
    <t xml:space="preserve">TXN-202608-045954</t>
  </si>
  <si>
    <t xml:space="preserve">slip_inventory_2026-08.csv row 820; billing_transactions_2022_2026.csv row 46783</t>
  </si>
  <si>
    <t xml:space="preserve">GW-0411</t>
  </si>
  <si>
    <t xml:space="preserve">WL-01859</t>
  </si>
  <si>
    <t xml:space="preserve">Patricia Delgado</t>
  </si>
  <si>
    <t xml:space="preserve">GRAY STAR</t>
  </si>
  <si>
    <t xml:space="preserve">TXN-202608-046031</t>
  </si>
  <si>
    <t xml:space="preserve">slip_inventory_2026-08.csv row 821; billing_transactions_2022_2026.csv row 46785</t>
  </si>
  <si>
    <t xml:space="preserve">GW-0412</t>
  </si>
  <si>
    <t xml:space="preserve">WL-01282</t>
  </si>
  <si>
    <t xml:space="preserve">Nancy Miller</t>
  </si>
  <si>
    <t xml:space="preserve">COHO ROCK</t>
  </si>
  <si>
    <t xml:space="preserve">TXN-202608-046104</t>
  </si>
  <si>
    <t xml:space="preserve">slip_inventory_2026-08.csv row 822; billing_transactions_2022_2026.csv row 46786</t>
  </si>
  <si>
    <t xml:space="preserve">GW-0413</t>
  </si>
  <si>
    <t xml:space="preserve">WL-03767</t>
  </si>
  <si>
    <t xml:space="preserve">Chad David</t>
  </si>
  <si>
    <t xml:space="preserve">POINT HARBOR</t>
  </si>
  <si>
    <t xml:space="preserve">TXN-202608-046165</t>
  </si>
  <si>
    <t xml:space="preserve">slip_inventory_2026-08.csv row 823; billing_transactions_2022_2026.csv row 46787</t>
  </si>
  <si>
    <t xml:space="preserve">WL-01875</t>
  </si>
  <si>
    <t xml:space="preserve">Steven Harris</t>
  </si>
  <si>
    <t xml:space="preserve">SPINDRIFT ROCK</t>
  </si>
  <si>
    <t xml:space="preserve">TXN-202608-046241</t>
  </si>
  <si>
    <t xml:space="preserve">slip_inventory_2026-08.csv row 824; billing_transactions_2022_2026.csv row 46788</t>
  </si>
  <si>
    <t xml:space="preserve">WL-02969</t>
  </si>
  <si>
    <t xml:space="preserve">Anthony Davis</t>
  </si>
  <si>
    <t xml:space="preserve">SANDERLING ROCK</t>
  </si>
  <si>
    <t xml:space="preserve">TXN-202608-046288</t>
  </si>
  <si>
    <t xml:space="preserve">slip_inventory_2026-08.csv row 825; billing_transactions_2022_2026.csv row 46790</t>
  </si>
  <si>
    <t xml:space="preserve">GW-0416</t>
  </si>
  <si>
    <t xml:space="preserve">WL-01714</t>
  </si>
  <si>
    <t xml:space="preserve">Ashley Smith</t>
  </si>
  <si>
    <t xml:space="preserve">TXN-202608-046332</t>
  </si>
  <si>
    <t xml:space="preserve">slip_inventory_2026-08.csv row 826; billing_transactions_2022_2026.csv row 46791</t>
  </si>
  <si>
    <t xml:space="preserve">GW-0417</t>
  </si>
  <si>
    <t xml:space="preserve">WL-02423</t>
  </si>
  <si>
    <t xml:space="preserve">Melissa Johnson</t>
  </si>
  <si>
    <t xml:space="preserve">TXN-202608-046408</t>
  </si>
  <si>
    <t xml:space="preserve">slip_inventory_2026-08.csv row 827; billing_transactions_2022_2026.csv row 46792</t>
  </si>
  <si>
    <t xml:space="preserve">GW-0418</t>
  </si>
  <si>
    <t xml:space="preserve">WL-03144</t>
  </si>
  <si>
    <t xml:space="preserve">Brandi Jackson</t>
  </si>
  <si>
    <t xml:space="preserve">CORMORANT WAKE</t>
  </si>
  <si>
    <t xml:space="preserve">TXN-202608-046457</t>
  </si>
  <si>
    <t xml:space="preserve">slip_inventory_2026-08.csv row 828; billing_transactions_2022_2026.csv row 46793</t>
  </si>
  <si>
    <t xml:space="preserve">WL-03795</t>
  </si>
  <si>
    <t xml:space="preserve">Brenda Norman</t>
  </si>
  <si>
    <t xml:space="preserve">SANDERLING SHORE</t>
  </si>
  <si>
    <t xml:space="preserve">TXN-202608-046510</t>
  </si>
  <si>
    <t xml:space="preserve">slip_inventory_2026-08.csv row 829; billing_transactions_2022_2026.csv row 46795</t>
  </si>
  <si>
    <t xml:space="preserve">GW-0420</t>
  </si>
  <si>
    <t xml:space="preserve">WL-01133</t>
  </si>
  <si>
    <t xml:space="preserve">Shelia Lewis</t>
  </si>
  <si>
    <t xml:space="preserve">SEAL HARBOR</t>
  </si>
  <si>
    <t xml:space="preserve">TXN-202608-046577</t>
  </si>
  <si>
    <t xml:space="preserve">slip_inventory_2026-08.csv row 830; billing_transactions_2022_2026.csv row 46796</t>
  </si>
  <si>
    <t xml:space="preserve">GW-0421</t>
  </si>
  <si>
    <t xml:space="preserve">WL-01204</t>
  </si>
  <si>
    <t xml:space="preserve">David Williams</t>
  </si>
  <si>
    <t xml:space="preserve">CORMORANT REACH</t>
  </si>
  <si>
    <t xml:space="preserve">TXN-202608-046621</t>
  </si>
  <si>
    <t xml:space="preserve">slip_inventory_2026-08.csv row 831; billing_transactions_2022_2026.csv row 46797</t>
  </si>
  <si>
    <t xml:space="preserve">GW-0422</t>
  </si>
  <si>
    <t xml:space="preserve">MA-2024-0422</t>
  </si>
  <si>
    <t xml:space="preserve">WL-03799</t>
  </si>
  <si>
    <t xml:space="preserve">Ashley Duncan</t>
  </si>
  <si>
    <t xml:space="preserve">TIDE ROSE</t>
  </si>
  <si>
    <t xml:space="preserve">TXN-202608-046675</t>
  </si>
  <si>
    <t xml:space="preserve">slip_inventory_2026-08.csv row 832; billing_transactions_2022_2026.csv row 46798</t>
  </si>
  <si>
    <t xml:space="preserve">GW-0423</t>
  </si>
  <si>
    <t xml:space="preserve">WL-02053</t>
  </si>
  <si>
    <t xml:space="preserve">Erika Smith</t>
  </si>
  <si>
    <t xml:space="preserve">COHO WAKE</t>
  </si>
  <si>
    <t xml:space="preserve">TXN-202608-046721</t>
  </si>
  <si>
    <t xml:space="preserve">slip_inventory_2026-08.csv row 833; billing_transactions_2022_2026.csv row 46799</t>
  </si>
  <si>
    <t xml:space="preserve">GW-0501</t>
  </si>
  <si>
    <t xml:space="preserve">MA-2024-0501</t>
  </si>
  <si>
    <t xml:space="preserve">WL-01450</t>
  </si>
  <si>
    <t xml:space="preserve">Joel Barnes</t>
  </si>
  <si>
    <t xml:space="preserve">DRIFT WIND</t>
  </si>
  <si>
    <t xml:space="preserve">TXN-202608-046797</t>
  </si>
  <si>
    <t xml:space="preserve">slip_inventory_2026-08.csv row 834; billing_transactions_2022_2026.csv row 46801</t>
  </si>
  <si>
    <t xml:space="preserve">GW-0502</t>
  </si>
  <si>
    <t xml:space="preserve">WL-03559</t>
  </si>
  <si>
    <t xml:space="preserve">David Sanders</t>
  </si>
  <si>
    <t xml:space="preserve">KESTREL VEER</t>
  </si>
  <si>
    <t xml:space="preserve">slip_inventory_2026-08.csv row 835</t>
  </si>
  <si>
    <t xml:space="preserve">GW-0503</t>
  </si>
  <si>
    <t xml:space="preserve">WL-01494</t>
  </si>
  <si>
    <t xml:space="preserve">Ashley Park</t>
  </si>
  <si>
    <t xml:space="preserve">COHO WEATHER</t>
  </si>
  <si>
    <t xml:space="preserve">slip_inventory_2026-08.csv row 836</t>
  </si>
  <si>
    <t xml:space="preserve">GW-0504</t>
  </si>
  <si>
    <t xml:space="preserve">WL-01500</t>
  </si>
  <si>
    <t xml:space="preserve">Patricia Marquez</t>
  </si>
  <si>
    <t xml:space="preserve">OSPREY GLIDE</t>
  </si>
  <si>
    <t xml:space="preserve">slip_inventory_2026-08.csv row 837</t>
  </si>
  <si>
    <t xml:space="preserve">GW-0505</t>
  </si>
  <si>
    <t xml:space="preserve">CORMORANT WIND</t>
  </si>
  <si>
    <t xml:space="preserve">slip_inventory_2026-08.csv row 838</t>
  </si>
  <si>
    <t xml:space="preserve">GW-0506</t>
  </si>
  <si>
    <t xml:space="preserve">WIDGEON PASSAGE</t>
  </si>
  <si>
    <t xml:space="preserve">slip_inventory_2026-08.csv row 839</t>
  </si>
  <si>
    <t xml:space="preserve">GW-0507</t>
  </si>
  <si>
    <t xml:space="preserve">WL-03057</t>
  </si>
  <si>
    <t xml:space="preserve">Jennifer Stout</t>
  </si>
  <si>
    <t xml:space="preserve">BRANT ROSE</t>
  </si>
  <si>
    <t xml:space="preserve">slip_inventory_2026-08.csv row 840</t>
  </si>
  <si>
    <t xml:space="preserve">GW-0508</t>
  </si>
  <si>
    <t xml:space="preserve">WL-03692</t>
  </si>
  <si>
    <t xml:space="preserve">Warren Wilkins</t>
  </si>
  <si>
    <t xml:space="preserve">WIDGEON CREST</t>
  </si>
  <si>
    <t xml:space="preserve">slip_inventory_2026-08.csv row 841</t>
  </si>
  <si>
    <t xml:space="preserve">MA-2024-0509</t>
  </si>
  <si>
    <t xml:space="preserve">WL-03850</t>
  </si>
  <si>
    <t xml:space="preserve">Teresa Greer</t>
  </si>
  <si>
    <t xml:space="preserve">slip_inventory_2026-08.csv row 842</t>
  </si>
  <si>
    <t xml:space="preserve">GW-0511</t>
  </si>
  <si>
    <t xml:space="preserve">WL-02804</t>
  </si>
  <si>
    <t xml:space="preserve">Danny Jones</t>
  </si>
  <si>
    <t xml:space="preserve">slip_inventory_2026-08.csv row 844</t>
  </si>
  <si>
    <t xml:space="preserve">GW-0512</t>
  </si>
  <si>
    <t xml:space="preserve">WL-03869</t>
  </si>
  <si>
    <t xml:space="preserve">Seth Raymond</t>
  </si>
  <si>
    <t xml:space="preserve">slip_inventory_2026-08.csv row 845</t>
  </si>
  <si>
    <t xml:space="preserve">WL-03045</t>
  </si>
  <si>
    <t xml:space="preserve">Karen Davis</t>
  </si>
  <si>
    <t xml:space="preserve">GRAY BAY</t>
  </si>
  <si>
    <t xml:space="preserve">slip_inventory_2026-08.csv row 846</t>
  </si>
  <si>
    <t xml:space="preserve">GW-0514</t>
  </si>
  <si>
    <t xml:space="preserve">WL-03143</t>
  </si>
  <si>
    <t xml:space="preserve">Timothy Jennings</t>
  </si>
  <si>
    <t xml:space="preserve">POINT RUNNER</t>
  </si>
  <si>
    <t xml:space="preserve">slip_inventory_2026-08.csv row 847</t>
  </si>
  <si>
    <t xml:space="preserve">GW-0515</t>
  </si>
  <si>
    <t xml:space="preserve">WL-02025</t>
  </si>
  <si>
    <t xml:space="preserve">Haley Johnson</t>
  </si>
  <si>
    <t xml:space="preserve">slip_inventory_2026-08.csv row 848</t>
  </si>
  <si>
    <t xml:space="preserve">GW-0516</t>
  </si>
  <si>
    <t xml:space="preserve">WL-01072</t>
  </si>
  <si>
    <t xml:space="preserve">Sabrina Johnson</t>
  </si>
  <si>
    <t xml:space="preserve">SABLE LIGHT</t>
  </si>
  <si>
    <t xml:space="preserve">slip_inventory_2026-08.csv row 849</t>
  </si>
  <si>
    <t xml:space="preserve">WL-01986</t>
  </si>
  <si>
    <t xml:space="preserve">Leah Blake</t>
  </si>
  <si>
    <t xml:space="preserve">slip_inventory_2026-08.csv row 850</t>
  </si>
  <si>
    <t xml:space="preserve">GW-0518</t>
  </si>
  <si>
    <t xml:space="preserve">WL-02212</t>
  </si>
  <si>
    <t xml:space="preserve">Jeffery Delacruz</t>
  </si>
  <si>
    <t xml:space="preserve">slip_inventory_2026-08.csv row 851</t>
  </si>
  <si>
    <t xml:space="preserve">GW-0519</t>
  </si>
  <si>
    <t xml:space="preserve">WL-03269</t>
  </si>
  <si>
    <t xml:space="preserve">Maria Schultz</t>
  </si>
  <si>
    <t xml:space="preserve">DRIFT LIGHT</t>
  </si>
  <si>
    <t xml:space="preserve">slip_inventory_2026-08.csv row 852</t>
  </si>
  <si>
    <t xml:space="preserve">GW-0520</t>
  </si>
  <si>
    <t xml:space="preserve">WL-01266</t>
  </si>
  <si>
    <t xml:space="preserve">Derek Kirby</t>
  </si>
  <si>
    <t xml:space="preserve">SEAL ROSE</t>
  </si>
  <si>
    <t xml:space="preserve">slip_inventory_2026-08.csv row 853</t>
  </si>
  <si>
    <t xml:space="preserve">GW-0521</t>
  </si>
  <si>
    <t xml:space="preserve">WL-01548</t>
  </si>
  <si>
    <t xml:space="preserve">William Brown</t>
  </si>
  <si>
    <t xml:space="preserve">FOUL HARBOR</t>
  </si>
  <si>
    <t xml:space="preserve">slip_inventory_2026-08.csv row 854</t>
  </si>
  <si>
    <t xml:space="preserve">WL-03183</t>
  </si>
  <si>
    <t xml:space="preserve">Daniel Stevens</t>
  </si>
  <si>
    <t xml:space="preserve">OTTER ANN</t>
  </si>
  <si>
    <t xml:space="preserve">slip_inventory_2026-08.csv row 855</t>
  </si>
  <si>
    <t xml:space="preserve">GW-0523</t>
  </si>
  <si>
    <t xml:space="preserve">WL-02124</t>
  </si>
  <si>
    <t xml:space="preserve">Laura French</t>
  </si>
  <si>
    <t xml:space="preserve">SALISH MOON</t>
  </si>
  <si>
    <t xml:space="preserve">slip_inventory_2026-08.csv row 856</t>
  </si>
  <si>
    <t xml:space="preserve">WL-01097</t>
  </si>
  <si>
    <t xml:space="preserve">Alexis Walters</t>
  </si>
  <si>
    <t xml:space="preserve">slip_inventory_2026-08.csv row 857</t>
  </si>
  <si>
    <t xml:space="preserve">GW-0603</t>
  </si>
  <si>
    <t xml:space="preserve">WL-02089</t>
  </si>
  <si>
    <t xml:space="preserve">Todd Butler</t>
  </si>
  <si>
    <t xml:space="preserve">slip_inventory_2026-08.csv row 859</t>
  </si>
  <si>
    <t xml:space="preserve">GW-0604</t>
  </si>
  <si>
    <t xml:space="preserve">WL-02770</t>
  </si>
  <si>
    <t xml:space="preserve">Henry Okafor</t>
  </si>
  <si>
    <t xml:space="preserve">slip_inventory_2026-08.csv row 860</t>
  </si>
  <si>
    <t xml:space="preserve">GW-0605</t>
  </si>
  <si>
    <t xml:space="preserve">WL-03366</t>
  </si>
  <si>
    <t xml:space="preserve">Jose Mckinney</t>
  </si>
  <si>
    <t xml:space="preserve">slip_inventory_2026-08.csv row 861</t>
  </si>
  <si>
    <t xml:space="preserve">WL-01260</t>
  </si>
  <si>
    <t xml:space="preserve">Dale Thomas</t>
  </si>
  <si>
    <t xml:space="preserve">POINT WAKE</t>
  </si>
  <si>
    <t xml:space="preserve">slip_inventory_2026-08.csv row 862</t>
  </si>
  <si>
    <t xml:space="preserve">GW-0607</t>
  </si>
  <si>
    <t xml:space="preserve">WL-01881</t>
  </si>
  <si>
    <t xml:space="preserve">William Bennett</t>
  </si>
  <si>
    <t xml:space="preserve">slip_inventory_2026-08.csv row 863</t>
  </si>
  <si>
    <t xml:space="preserve">GW-0608</t>
  </si>
  <si>
    <t xml:space="preserve">WL-02296</t>
  </si>
  <si>
    <t xml:space="preserve">Jason Miller</t>
  </si>
  <si>
    <t xml:space="preserve">DRIFT PASSAGE</t>
  </si>
  <si>
    <t xml:space="preserve">slip_inventory_2026-08.csv row 864</t>
  </si>
  <si>
    <t xml:space="preserve">GW-0609</t>
  </si>
  <si>
    <t xml:space="preserve">WL-02915</t>
  </si>
  <si>
    <t xml:space="preserve">Lori Cook</t>
  </si>
  <si>
    <t xml:space="preserve">slip_inventory_2026-08.csv row 865</t>
  </si>
  <si>
    <t xml:space="preserve">WL-01206</t>
  </si>
  <si>
    <t xml:space="preserve">Cynthia Taylor</t>
  </si>
  <si>
    <t xml:space="preserve">slip_inventory_2026-08.csv row 866</t>
  </si>
  <si>
    <t xml:space="preserve">GW-0612</t>
  </si>
  <si>
    <t xml:space="preserve">MA-2024-0612</t>
  </si>
  <si>
    <t xml:space="preserve">WL-02970</t>
  </si>
  <si>
    <t xml:space="preserve">William Robles</t>
  </si>
  <si>
    <t xml:space="preserve">slip_inventory_2026-08.csv row 868</t>
  </si>
  <si>
    <t xml:space="preserve">GW-0613</t>
  </si>
  <si>
    <t xml:space="preserve">MA-2024-0613</t>
  </si>
  <si>
    <t xml:space="preserve">WL-02426</t>
  </si>
  <si>
    <t xml:space="preserve">Joshua Cherry</t>
  </si>
  <si>
    <t xml:space="preserve">slip_inventory_2026-08.csv row 869</t>
  </si>
  <si>
    <t xml:space="preserve">GW-0614</t>
  </si>
  <si>
    <t xml:space="preserve">WL-01995</t>
  </si>
  <si>
    <t xml:space="preserve">Tiffany Russell</t>
  </si>
  <si>
    <t xml:space="preserve">CORMORANT ROCK</t>
  </si>
  <si>
    <t xml:space="preserve">slip_inventory_2026-08.csv row 870</t>
  </si>
  <si>
    <t xml:space="preserve">slip_inventory_2026-08.csv row 871</t>
  </si>
  <si>
    <t xml:space="preserve">GW-0617</t>
  </si>
  <si>
    <t xml:space="preserve">WL-02400</t>
  </si>
  <si>
    <t xml:space="preserve">Sierra Washington</t>
  </si>
  <si>
    <t xml:space="preserve">slip_inventory_2026-08.csv row 873</t>
  </si>
  <si>
    <t xml:space="preserve">GW-0618</t>
  </si>
  <si>
    <t xml:space="preserve">WL-03467</t>
  </si>
  <si>
    <t xml:space="preserve">Juan Ray</t>
  </si>
  <si>
    <t xml:space="preserve">ANCHOR SONG</t>
  </si>
  <si>
    <t xml:space="preserve">slip_inventory_2026-08.csv row 874</t>
  </si>
  <si>
    <t xml:space="preserve">GW-0619</t>
  </si>
  <si>
    <t xml:space="preserve">MA-2024-0619</t>
  </si>
  <si>
    <t xml:space="preserve">WL-03110</t>
  </si>
  <si>
    <t xml:space="preserve">Randy Ramos</t>
  </si>
  <si>
    <t xml:space="preserve">SABLE STAR</t>
  </si>
  <si>
    <t xml:space="preserve">slip_inventory_2026-08.csv row 875</t>
  </si>
  <si>
    <t xml:space="preserve">MA-2024-0620</t>
  </si>
  <si>
    <t xml:space="preserve">WL-01357</t>
  </si>
  <si>
    <t xml:space="preserve">Cody Rose</t>
  </si>
  <si>
    <t xml:space="preserve">slip_inventory_2026-08.csv row 876</t>
  </si>
  <si>
    <t xml:space="preserve">GW-0621</t>
  </si>
  <si>
    <t xml:space="preserve">WL-03595</t>
  </si>
  <si>
    <t xml:space="preserve">Roger Johnson</t>
  </si>
  <si>
    <t xml:space="preserve">KESTREL ANN</t>
  </si>
  <si>
    <t xml:space="preserve">slip_inventory_2026-08.csv row 877</t>
  </si>
  <si>
    <t xml:space="preserve">MA-2024-0622</t>
  </si>
  <si>
    <t xml:space="preserve">WL-01075</t>
  </si>
  <si>
    <t xml:space="preserve">Ryan Gilmore</t>
  </si>
  <si>
    <t xml:space="preserve">slip_inventory_2026-08.csv row 878</t>
  </si>
  <si>
    <t xml:space="preserve">GW-0623</t>
  </si>
  <si>
    <t xml:space="preserve">WL-03819</t>
  </si>
  <si>
    <t xml:space="preserve">Anna Wu</t>
  </si>
  <si>
    <t xml:space="preserve">slip_inventory_2026-08.csv row 879</t>
  </si>
  <si>
    <t xml:space="preserve">GW-0702</t>
  </si>
  <si>
    <t xml:space="preserve">WL-02050</t>
  </si>
  <si>
    <t xml:space="preserve">John Howard</t>
  </si>
  <si>
    <t xml:space="preserve">SCOTER SOUND</t>
  </si>
  <si>
    <t xml:space="preserve">slip_inventory_2026-08.csv row 881</t>
  </si>
  <si>
    <t xml:space="preserve">WL-02415</t>
  </si>
  <si>
    <t xml:space="preserve">Valerie Nelson</t>
  </si>
  <si>
    <t xml:space="preserve">slip_inventory_2026-08.csv row 882</t>
  </si>
  <si>
    <t xml:space="preserve">GW-0704</t>
  </si>
  <si>
    <t xml:space="preserve">slip_inventory_2026-08.csv row 883</t>
  </si>
  <si>
    <t xml:space="preserve">WL-03168</t>
  </si>
  <si>
    <t xml:space="preserve">Danielle Mckinney</t>
  </si>
  <si>
    <t xml:space="preserve">HALIBUT ROCK</t>
  </si>
  <si>
    <t xml:space="preserve">slip_inventory_2026-08.csv row 884</t>
  </si>
  <si>
    <t xml:space="preserve">GW-0706</t>
  </si>
  <si>
    <t xml:space="preserve">WL-02503</t>
  </si>
  <si>
    <t xml:space="preserve">Molly Holland</t>
  </si>
  <si>
    <t xml:space="preserve">OTTER RUNNER</t>
  </si>
  <si>
    <t xml:space="preserve">slip_inventory_2026-08.csv row 885</t>
  </si>
  <si>
    <t xml:space="preserve">GW-0707</t>
  </si>
  <si>
    <t xml:space="preserve">MA-2024-0707</t>
  </si>
  <si>
    <t xml:space="preserve">WL-01688</t>
  </si>
  <si>
    <t xml:space="preserve">Michael Gardner</t>
  </si>
  <si>
    <t xml:space="preserve">slip_inventory_2026-08.csv row 886</t>
  </si>
  <si>
    <t xml:space="preserve">WL-01438</t>
  </si>
  <si>
    <t xml:space="preserve">Angela Whitehead</t>
  </si>
  <si>
    <t xml:space="preserve">KESTREL SOUND</t>
  </si>
  <si>
    <t xml:space="preserve">slip_inventory_2026-08.csv row 887</t>
  </si>
  <si>
    <t xml:space="preserve">GW-0710</t>
  </si>
  <si>
    <t xml:space="preserve">WL-01445</t>
  </si>
  <si>
    <t xml:space="preserve">Kyle Estes</t>
  </si>
  <si>
    <t xml:space="preserve">SCOTER WEATHER</t>
  </si>
  <si>
    <t xml:space="preserve">slip_inventory_2026-08.csv row 889</t>
  </si>
  <si>
    <t xml:space="preserve">GW-0711</t>
  </si>
  <si>
    <t xml:space="preserve">MA-2024-0711</t>
  </si>
  <si>
    <t xml:space="preserve">WL-01119</t>
  </si>
  <si>
    <t xml:space="preserve">Holly Kennedy</t>
  </si>
  <si>
    <t xml:space="preserve">POINT WIND</t>
  </si>
  <si>
    <t xml:space="preserve">slip_inventory_2026-08.csv row 890</t>
  </si>
  <si>
    <t xml:space="preserve">GW-0712</t>
  </si>
  <si>
    <t xml:space="preserve">MURRE WAKE</t>
  </si>
  <si>
    <t xml:space="preserve">slip_inventory_2026-08.csv row 891</t>
  </si>
  <si>
    <t xml:space="preserve">GW-0713</t>
  </si>
  <si>
    <t xml:space="preserve">WL-02476</t>
  </si>
  <si>
    <t xml:space="preserve">Dana Becker</t>
  </si>
  <si>
    <t xml:space="preserve">OTTER ROSE</t>
  </si>
  <si>
    <t xml:space="preserve">slip_inventory_2026-08.csv row 892</t>
  </si>
  <si>
    <t xml:space="preserve">GW-0714</t>
  </si>
  <si>
    <t xml:space="preserve">WL-01459</t>
  </si>
  <si>
    <t xml:space="preserve">Brian Green</t>
  </si>
  <si>
    <t xml:space="preserve">PETREL MOON</t>
  </si>
  <si>
    <t xml:space="preserve">slip_inventory_2026-08.csv row 893</t>
  </si>
  <si>
    <t xml:space="preserve">GW-0715</t>
  </si>
  <si>
    <t xml:space="preserve">WL-03752</t>
  </si>
  <si>
    <t xml:space="preserve">Timothy Soto</t>
  </si>
  <si>
    <t xml:space="preserve">POINT ROCK</t>
  </si>
  <si>
    <t xml:space="preserve">slip_inventory_2026-08.csv row 894</t>
  </si>
  <si>
    <t xml:space="preserve">GW-0716</t>
  </si>
  <si>
    <t xml:space="preserve">WL-02814</t>
  </si>
  <si>
    <t xml:space="preserve">John Hammond</t>
  </si>
  <si>
    <t xml:space="preserve">slip_inventory_2026-08.csv row 895</t>
  </si>
  <si>
    <t xml:space="preserve">GW-0717</t>
  </si>
  <si>
    <t xml:space="preserve">WL-01882</t>
  </si>
  <si>
    <t xml:space="preserve">Dennis Shepard</t>
  </si>
  <si>
    <t xml:space="preserve">OSPREY MOON</t>
  </si>
  <si>
    <t xml:space="preserve">slip_inventory_2026-08.csv row 896</t>
  </si>
  <si>
    <t xml:space="preserve">WL-03504</t>
  </si>
  <si>
    <t xml:space="preserve">Paul Brady</t>
  </si>
  <si>
    <t xml:space="preserve">slip_inventory_2026-08.csv row 898</t>
  </si>
  <si>
    <t xml:space="preserve">GW-0720</t>
  </si>
  <si>
    <t xml:space="preserve">WL-03312</t>
  </si>
  <si>
    <t xml:space="preserve">Karla Thomas</t>
  </si>
  <si>
    <t xml:space="preserve">slip_inventory_2026-08.csv row 899</t>
  </si>
  <si>
    <t xml:space="preserve">GW-0721</t>
  </si>
  <si>
    <t xml:space="preserve">WL-03215</t>
  </si>
  <si>
    <t xml:space="preserve">Eric Simmons</t>
  </si>
  <si>
    <t xml:space="preserve">HALIBUT WAKE</t>
  </si>
  <si>
    <t xml:space="preserve">slip_inventory_2026-08.csv row 900</t>
  </si>
  <si>
    <t xml:space="preserve">GW-0722</t>
  </si>
  <si>
    <t xml:space="preserve">WL-01180</t>
  </si>
  <si>
    <t xml:space="preserve">Rachel Smith</t>
  </si>
  <si>
    <t xml:space="preserve">COHO SONG</t>
  </si>
  <si>
    <t xml:space="preserve">slip_inventory_2026-08.csv row 901</t>
  </si>
  <si>
    <t xml:space="preserve">GW-0723</t>
  </si>
  <si>
    <t xml:space="preserve">WL-01389</t>
  </si>
  <si>
    <t xml:space="preserve">Brian White</t>
  </si>
  <si>
    <t xml:space="preserve">slip_inventory_2026-08.csv row 902</t>
  </si>
  <si>
    <t xml:space="preserve">GW-0802</t>
  </si>
  <si>
    <t xml:space="preserve">WL-01314</t>
  </si>
  <si>
    <t xml:space="preserve">Bobby Peterson</t>
  </si>
  <si>
    <t xml:space="preserve">SCOTER QUEEN</t>
  </si>
  <si>
    <t xml:space="preserve">slip_inventory_2026-08.csv row 904</t>
  </si>
  <si>
    <t xml:space="preserve">GW-0803</t>
  </si>
  <si>
    <t xml:space="preserve">WL-01235</t>
  </si>
  <si>
    <t xml:space="preserve">Stacy Wilkins</t>
  </si>
  <si>
    <t xml:space="preserve">TIDE SONG</t>
  </si>
  <si>
    <t xml:space="preserve">slip_inventory_2026-08.csv row 905</t>
  </si>
  <si>
    <t xml:space="preserve">GW-0804</t>
  </si>
  <si>
    <t xml:space="preserve">WL-01915</t>
  </si>
  <si>
    <t xml:space="preserve">Sara Fox</t>
  </si>
  <si>
    <t xml:space="preserve">DRIFT SONG</t>
  </si>
  <si>
    <t xml:space="preserve">slip_inventory_2026-08.csv row 906</t>
  </si>
  <si>
    <t xml:space="preserve">WL-03828</t>
  </si>
  <si>
    <t xml:space="preserve">Kristen Pittman</t>
  </si>
  <si>
    <t xml:space="preserve">HALIBUT RUNNER</t>
  </si>
  <si>
    <t xml:space="preserve">slip_inventory_2026-08.csv row 907</t>
  </si>
  <si>
    <t xml:space="preserve">GW-0806</t>
  </si>
  <si>
    <t xml:space="preserve">WL-03113</t>
  </si>
  <si>
    <t xml:space="preserve">Dale Martin</t>
  </si>
  <si>
    <t xml:space="preserve">slip_inventory_2026-08.csv row 908</t>
  </si>
  <si>
    <t xml:space="preserve">GW-0807</t>
  </si>
  <si>
    <t xml:space="preserve">WL-01110</t>
  </si>
  <si>
    <t xml:space="preserve">Ryan Jones</t>
  </si>
  <si>
    <t xml:space="preserve">HERON STAR</t>
  </si>
  <si>
    <t xml:space="preserve">slip_inventory_2026-08.csv row 909</t>
  </si>
  <si>
    <t xml:space="preserve">GW-0808</t>
  </si>
  <si>
    <t xml:space="preserve">WL-02125</t>
  </si>
  <si>
    <t xml:space="preserve">Fred Powell</t>
  </si>
  <si>
    <t xml:space="preserve">SABLE PASSAGE</t>
  </si>
  <si>
    <t xml:space="preserve">slip_inventory_2026-08.csv row 910</t>
  </si>
  <si>
    <t xml:space="preserve">GW-0809</t>
  </si>
  <si>
    <t xml:space="preserve">WL-02028</t>
  </si>
  <si>
    <t xml:space="preserve">Stephanie Shepard</t>
  </si>
  <si>
    <t xml:space="preserve">slip_inventory_2026-08.csv row 911</t>
  </si>
  <si>
    <t xml:space="preserve">slip_inventory_2026-08.csv row 912</t>
  </si>
  <si>
    <t xml:space="preserve">GW-0811</t>
  </si>
  <si>
    <t xml:space="preserve">WL-02325</t>
  </si>
  <si>
    <t xml:space="preserve">Lisa Brown</t>
  </si>
  <si>
    <t xml:space="preserve">slip_inventory_2026-08.csv row 913</t>
  </si>
  <si>
    <t xml:space="preserve">GW-0812</t>
  </si>
  <si>
    <t xml:space="preserve">HALIBUT WEATHER</t>
  </si>
  <si>
    <t xml:space="preserve">slip_inventory_2026-08.csv row 914</t>
  </si>
  <si>
    <t xml:space="preserve">WL-01147</t>
  </si>
  <si>
    <t xml:space="preserve">Rachel Burnett</t>
  </si>
  <si>
    <t xml:space="preserve">CORMORANT PASSAGE</t>
  </si>
  <si>
    <t xml:space="preserve">slip_inventory_2026-08.csv row 915</t>
  </si>
  <si>
    <t xml:space="preserve">WL-03573</t>
  </si>
  <si>
    <t xml:space="preserve">Kathy Sanchez</t>
  </si>
  <si>
    <t xml:space="preserve">TIDE WEATHER</t>
  </si>
  <si>
    <t xml:space="preserve">slip_inventory_2026-08.csv row 916</t>
  </si>
  <si>
    <t xml:space="preserve">GW-0816</t>
  </si>
  <si>
    <t xml:space="preserve">WL-01044</t>
  </si>
  <si>
    <t xml:space="preserve">Craig Mason</t>
  </si>
  <si>
    <t xml:space="preserve">slip_inventory_2026-08.csv row 918</t>
  </si>
  <si>
    <t xml:space="preserve">GW-0817</t>
  </si>
  <si>
    <t xml:space="preserve">WL-03408</t>
  </si>
  <si>
    <t xml:space="preserve">Mark Phillips</t>
  </si>
  <si>
    <t xml:space="preserve">slip_inventory_2026-08.csv row 919</t>
  </si>
  <si>
    <t xml:space="preserve">GW-0818</t>
  </si>
  <si>
    <t xml:space="preserve">WL-03081</t>
  </si>
  <si>
    <t xml:space="preserve">Casey Ortiz</t>
  </si>
  <si>
    <t xml:space="preserve">slip_inventory_2026-08.csv row 920</t>
  </si>
  <si>
    <t xml:space="preserve">GW-0819</t>
  </si>
  <si>
    <t xml:space="preserve">WL-01022</t>
  </si>
  <si>
    <t xml:space="preserve">Brett Cooley</t>
  </si>
  <si>
    <t xml:space="preserve">slip_inventory_2026-08.csv row 921</t>
  </si>
  <si>
    <t xml:space="preserve">GW-0820</t>
  </si>
  <si>
    <t xml:space="preserve">MA-2024-0820</t>
  </si>
  <si>
    <t xml:space="preserve">WL-03760</t>
  </si>
  <si>
    <t xml:space="preserve">Samantha Herring</t>
  </si>
  <si>
    <t xml:space="preserve">DRIFT REACH</t>
  </si>
  <si>
    <t xml:space="preserve">slip_inventory_2026-08.csv row 922</t>
  </si>
  <si>
    <t xml:space="preserve">GW-0821</t>
  </si>
  <si>
    <t xml:space="preserve">WL-02465</t>
  </si>
  <si>
    <t xml:space="preserve">Clinton Cox</t>
  </si>
  <si>
    <t xml:space="preserve">OTTER WIND</t>
  </si>
  <si>
    <t xml:space="preserve">slip_inventory_2026-08.csv row 923</t>
  </si>
  <si>
    <t xml:space="preserve">GW-0822</t>
  </si>
  <si>
    <t xml:space="preserve">WL-02630</t>
  </si>
  <si>
    <t xml:space="preserve">Susan Snow</t>
  </si>
  <si>
    <t xml:space="preserve">GRAY VEER</t>
  </si>
  <si>
    <t xml:space="preserve">slip_inventory_2026-08.csv row 924</t>
  </si>
  <si>
    <t xml:space="preserve">WL-01825</t>
  </si>
  <si>
    <t xml:space="preserve">Charles Krause</t>
  </si>
  <si>
    <t xml:space="preserve">slip_inventory_2026-08.csv row 925</t>
  </si>
  <si>
    <t xml:space="preserve">GW-0901</t>
  </si>
  <si>
    <t xml:space="preserve">WL-03757</t>
  </si>
  <si>
    <t xml:space="preserve">Stephanie Webb</t>
  </si>
  <si>
    <t xml:space="preserve">SALISH RUNNER</t>
  </si>
  <si>
    <t xml:space="preserve">slip_inventory_2026-08.csv row 926</t>
  </si>
  <si>
    <t xml:space="preserve">WL-02131</t>
  </si>
  <si>
    <t xml:space="preserve">Richard Thompson</t>
  </si>
  <si>
    <t xml:space="preserve">SCOTER WAKE</t>
  </si>
  <si>
    <t xml:space="preserve">slip_inventory_2026-08.csv row 927</t>
  </si>
  <si>
    <t xml:space="preserve">GW-0903</t>
  </si>
  <si>
    <t xml:space="preserve">WL-03429</t>
  </si>
  <si>
    <t xml:space="preserve">Daniel Perez</t>
  </si>
  <si>
    <t xml:space="preserve">slip_inventory_2026-08.csv row 928</t>
  </si>
  <si>
    <t xml:space="preserve">GW-0904</t>
  </si>
  <si>
    <t xml:space="preserve">WL-02021</t>
  </si>
  <si>
    <t xml:space="preserve">Andrew Medina</t>
  </si>
  <si>
    <t xml:space="preserve">PETREL SHORE</t>
  </si>
  <si>
    <t xml:space="preserve">slip_inventory_2026-08.csv row 929</t>
  </si>
  <si>
    <t xml:space="preserve">WL-02101</t>
  </si>
  <si>
    <t xml:space="preserve">David Green</t>
  </si>
  <si>
    <t xml:space="preserve">WIDGEON ROSE</t>
  </si>
  <si>
    <t xml:space="preserve">slip_inventory_2026-08.csv row 930</t>
  </si>
  <si>
    <t xml:space="preserve">GW-0906</t>
  </si>
  <si>
    <t xml:space="preserve">WL-01794</t>
  </si>
  <si>
    <t xml:space="preserve">Holly Thomas</t>
  </si>
  <si>
    <t xml:space="preserve">slip_inventory_2026-08.csv row 931</t>
  </si>
  <si>
    <t xml:space="preserve">GW-0907</t>
  </si>
  <si>
    <t xml:space="preserve">WL-02365</t>
  </si>
  <si>
    <t xml:space="preserve">Sophia Williams</t>
  </si>
  <si>
    <t xml:space="preserve">FOUL ROSE</t>
  </si>
  <si>
    <t xml:space="preserve">slip_inventory_2026-08.csv row 932</t>
  </si>
  <si>
    <t xml:space="preserve">WL-01615</t>
  </si>
  <si>
    <t xml:space="preserve">Melissa Gaines</t>
  </si>
  <si>
    <t xml:space="preserve">DRIFT HARBOR</t>
  </si>
  <si>
    <t xml:space="preserve">slip_inventory_2026-08.csv row 933</t>
  </si>
  <si>
    <t xml:space="preserve">GW-0909</t>
  </si>
  <si>
    <t xml:space="preserve">WL-01033</t>
  </si>
  <si>
    <t xml:space="preserve">Jodi Gonzalez</t>
  </si>
  <si>
    <t xml:space="preserve">slip_inventory_2026-08.csv row 934</t>
  </si>
  <si>
    <t xml:space="preserve">WL-01532</t>
  </si>
  <si>
    <t xml:space="preserve">Bradley Mejia</t>
  </si>
  <si>
    <t xml:space="preserve">slip_inventory_2026-08.csv row 935</t>
  </si>
  <si>
    <t xml:space="preserve">GW-0911</t>
  </si>
  <si>
    <t xml:space="preserve">WL-03632</t>
  </si>
  <si>
    <t xml:space="preserve">Melissa Wallace</t>
  </si>
  <si>
    <t xml:space="preserve">SALISH LINE</t>
  </si>
  <si>
    <t xml:space="preserve">slip_inventory_2026-08.csv row 936</t>
  </si>
  <si>
    <t xml:space="preserve">GW-0912</t>
  </si>
  <si>
    <t xml:space="preserve">WL-02341</t>
  </si>
  <si>
    <t xml:space="preserve">David Stewart</t>
  </si>
  <si>
    <t xml:space="preserve">SPINDRIFT REACH</t>
  </si>
  <si>
    <t xml:space="preserve">slip_inventory_2026-08.csv row 937</t>
  </si>
  <si>
    <t xml:space="preserve">GW-0913</t>
  </si>
  <si>
    <t xml:space="preserve">slip_inventory_2026-08.csv row 938</t>
  </si>
  <si>
    <t xml:space="preserve">GW-0914</t>
  </si>
  <si>
    <t xml:space="preserve">WL-01460</t>
  </si>
  <si>
    <t xml:space="preserve">Lori Maldonado</t>
  </si>
  <si>
    <t xml:space="preserve">PINTAIL SHORE</t>
  </si>
  <si>
    <t xml:space="preserve">slip_inventory_2026-08.csv row 939</t>
  </si>
  <si>
    <t xml:space="preserve">WL-03866</t>
  </si>
  <si>
    <t xml:space="preserve">Jacqueline Anderson</t>
  </si>
  <si>
    <t xml:space="preserve">ANCHOR CREST</t>
  </si>
  <si>
    <t xml:space="preserve">slip_inventory_2026-08.csv row 940</t>
  </si>
  <si>
    <t xml:space="preserve">GW-0916</t>
  </si>
  <si>
    <t xml:space="preserve">WL-01914</t>
  </si>
  <si>
    <t xml:space="preserve">Danny Flores</t>
  </si>
  <si>
    <t xml:space="preserve">slip_inventory_2026-08.csv row 941</t>
  </si>
  <si>
    <t xml:space="preserve">GW-0917</t>
  </si>
  <si>
    <t xml:space="preserve">slip_inventory_2026-08.csv row 942</t>
  </si>
  <si>
    <t xml:space="preserve">GW-0918</t>
  </si>
  <si>
    <t xml:space="preserve">WL-03172</t>
  </si>
  <si>
    <t xml:space="preserve">Jessica Sanford</t>
  </si>
  <si>
    <t xml:space="preserve">SALISH QUEEN</t>
  </si>
  <si>
    <t xml:space="preserve">slip_inventory_2026-08.csv row 943</t>
  </si>
  <si>
    <t xml:space="preserve">GW-0919</t>
  </si>
  <si>
    <t xml:space="preserve">WL-01940</t>
  </si>
  <si>
    <t xml:space="preserve">Kelly Howell</t>
  </si>
  <si>
    <t xml:space="preserve">slip_inventory_2026-08.csv row 944</t>
  </si>
  <si>
    <t xml:space="preserve">GW-0920</t>
  </si>
  <si>
    <t xml:space="preserve">WL-01338</t>
  </si>
  <si>
    <t xml:space="preserve">Philip Simpson</t>
  </si>
  <si>
    <t xml:space="preserve">MURRE STAR</t>
  </si>
  <si>
    <t xml:space="preserve">slip_inventory_2026-08.csv row 945</t>
  </si>
  <si>
    <t xml:space="preserve">GW-0921</t>
  </si>
  <si>
    <t xml:space="preserve">WL-02657</t>
  </si>
  <si>
    <t xml:space="preserve">Keith Barr</t>
  </si>
  <si>
    <t xml:space="preserve">slip_inventory_2026-08.csv row 946</t>
  </si>
  <si>
    <t xml:space="preserve">GW-0922</t>
  </si>
  <si>
    <t xml:space="preserve">WL-03531</t>
  </si>
  <si>
    <t xml:space="preserve">Nicole Golden</t>
  </si>
  <si>
    <t xml:space="preserve">slip_inventory_2026-08.csv row 947</t>
  </si>
  <si>
    <t xml:space="preserve">GW-0923</t>
  </si>
  <si>
    <t xml:space="preserve">HERON ANN</t>
  </si>
  <si>
    <t xml:space="preserve">slip_inventory_2026-08.csv row 948</t>
  </si>
  <si>
    <t xml:space="preserve">GW-1001</t>
  </si>
  <si>
    <t xml:space="preserve">WL-02083</t>
  </si>
  <si>
    <t xml:space="preserve">Brandon Choi</t>
  </si>
  <si>
    <t xml:space="preserve">slip_inventory_2026-08.csv row 949</t>
  </si>
  <si>
    <t xml:space="preserve">GW-1002</t>
  </si>
  <si>
    <t xml:space="preserve">WL-01108</t>
  </si>
  <si>
    <t xml:space="preserve">Evelyn Thomas</t>
  </si>
  <si>
    <t xml:space="preserve">OTTER MOON</t>
  </si>
  <si>
    <t xml:space="preserve">slip_inventory_2026-08.csv row 950</t>
  </si>
  <si>
    <t xml:space="preserve">WL-03052</t>
  </si>
  <si>
    <t xml:space="preserve">Jenna Marsh</t>
  </si>
  <si>
    <t xml:space="preserve">slip_inventory_2026-08.csv row 951</t>
  </si>
  <si>
    <t xml:space="preserve">GW-1004</t>
  </si>
  <si>
    <t xml:space="preserve">MA-2024-1004</t>
  </si>
  <si>
    <t xml:space="preserve">WL-03149</t>
  </si>
  <si>
    <t xml:space="preserve">Todd Williams</t>
  </si>
  <si>
    <t xml:space="preserve">slip_inventory_2026-08.csv row 952</t>
  </si>
  <si>
    <t xml:space="preserve">GW-1005</t>
  </si>
  <si>
    <t xml:space="preserve">WL-03191</t>
  </si>
  <si>
    <t xml:space="preserve">William Lam</t>
  </si>
  <si>
    <t xml:space="preserve">OTTER LIGHT</t>
  </si>
  <si>
    <t xml:space="preserve">slip_inventory_2026-08.csv row 953</t>
  </si>
  <si>
    <t xml:space="preserve">GW-1006</t>
  </si>
  <si>
    <t xml:space="preserve">MA-2024-1006</t>
  </si>
  <si>
    <t xml:space="preserve">WL-02170</t>
  </si>
  <si>
    <t xml:space="preserve">Robin Duke</t>
  </si>
  <si>
    <t xml:space="preserve">slip_inventory_2026-08.csv row 954</t>
  </si>
  <si>
    <t xml:space="preserve">GW-1007</t>
  </si>
  <si>
    <t xml:space="preserve">WL-01742</t>
  </si>
  <si>
    <t xml:space="preserve">Robert Smith</t>
  </si>
  <si>
    <t xml:space="preserve">slip_inventory_2026-08.csv row 955</t>
  </si>
  <si>
    <t xml:space="preserve">WL-03216</t>
  </si>
  <si>
    <t xml:space="preserve">Nancy Branch</t>
  </si>
  <si>
    <t xml:space="preserve">CORMORANT WEATHER</t>
  </si>
  <si>
    <t xml:space="preserve">slip_inventory_2026-08.csv row 956</t>
  </si>
  <si>
    <t xml:space="preserve">GW-1009</t>
  </si>
  <si>
    <t xml:space="preserve">MA-2024-1009</t>
  </si>
  <si>
    <t xml:space="preserve">GRAY ROSE</t>
  </si>
  <si>
    <t xml:space="preserve">slip_inventory_2026-08.csv row 957</t>
  </si>
  <si>
    <t xml:space="preserve">GW-1010</t>
  </si>
  <si>
    <t xml:space="preserve">WL-01543</t>
  </si>
  <si>
    <t xml:space="preserve">Charles Gomez</t>
  </si>
  <si>
    <t xml:space="preserve">SANDERLING RUNNER</t>
  </si>
  <si>
    <t xml:space="preserve">slip_inventory_2026-08.csv row 958</t>
  </si>
  <si>
    <t xml:space="preserve">GW-1011</t>
  </si>
  <si>
    <t xml:space="preserve">WL-02258</t>
  </si>
  <si>
    <t xml:space="preserve">Katrina Griffin</t>
  </si>
  <si>
    <t xml:space="preserve">slip_inventory_2026-08.csv row 959</t>
  </si>
  <si>
    <t xml:space="preserve">WL-01480</t>
  </si>
  <si>
    <t xml:space="preserve">Kaitlin Meyer</t>
  </si>
  <si>
    <t xml:space="preserve">ANCHOR MIST</t>
  </si>
  <si>
    <t xml:space="preserve">slip_inventory_2026-08.csv row 960</t>
  </si>
  <si>
    <t xml:space="preserve">WL-02038</t>
  </si>
  <si>
    <t xml:space="preserve">Patricia Thomas</t>
  </si>
  <si>
    <t xml:space="preserve">slip_inventory_2026-08.csv row 961</t>
  </si>
  <si>
    <t xml:space="preserve">GW-1014</t>
  </si>
  <si>
    <t xml:space="preserve">WL-03067</t>
  </si>
  <si>
    <t xml:space="preserve">Eric Thomas</t>
  </si>
  <si>
    <t xml:space="preserve">ANCHOR ROSE</t>
  </si>
  <si>
    <t xml:space="preserve">slip_inventory_2026-08.csv row 962</t>
  </si>
  <si>
    <t xml:space="preserve">GW-1015</t>
  </si>
  <si>
    <t xml:space="preserve">WL-02143</t>
  </si>
  <si>
    <t xml:space="preserve">Lisa Wright</t>
  </si>
  <si>
    <t xml:space="preserve">slip_inventory_2026-08.csv row 963</t>
  </si>
  <si>
    <t xml:space="preserve">GW-1016</t>
  </si>
  <si>
    <t xml:space="preserve">WL-02443</t>
  </si>
  <si>
    <t xml:space="preserve">Seth Neal</t>
  </si>
  <si>
    <t xml:space="preserve">ANCHOR ROCK</t>
  </si>
  <si>
    <t xml:space="preserve">slip_inventory_2026-08.csv row 964</t>
  </si>
  <si>
    <t xml:space="preserve">WL-01350</t>
  </si>
  <si>
    <t xml:space="preserve">John George</t>
  </si>
  <si>
    <t xml:space="preserve">slip_inventory_2026-08.csv row 965</t>
  </si>
  <si>
    <t xml:space="preserve">GW-1018</t>
  </si>
  <si>
    <t xml:space="preserve">slip_inventory_2026-08.csv row 966</t>
  </si>
  <si>
    <t xml:space="preserve">GW-1019</t>
  </si>
  <si>
    <t xml:space="preserve">WL-02234</t>
  </si>
  <si>
    <t xml:space="preserve">Chelsea Chandler</t>
  </si>
  <si>
    <t xml:space="preserve">slip_inventory_2026-08.csv row 967</t>
  </si>
  <si>
    <t xml:space="preserve">MA-2024-1020</t>
  </si>
  <si>
    <t xml:space="preserve">WL-03776</t>
  </si>
  <si>
    <t xml:space="preserve">Michael Beard</t>
  </si>
  <si>
    <t xml:space="preserve">OSPREY QUEEN</t>
  </si>
  <si>
    <t xml:space="preserve">slip_inventory_2026-08.csv row 968</t>
  </si>
  <si>
    <t xml:space="preserve">GW-1021</t>
  </si>
  <si>
    <t xml:space="preserve">WL-03394</t>
  </si>
  <si>
    <t xml:space="preserve">Alyssa Robinson</t>
  </si>
  <si>
    <t xml:space="preserve">DRIFT ROSE</t>
  </si>
  <si>
    <t xml:space="preserve">slip_inventory_2026-08.csv row 969</t>
  </si>
  <si>
    <t xml:space="preserve">GW-1023</t>
  </si>
  <si>
    <t xml:space="preserve">WL-02832</t>
  </si>
  <si>
    <t xml:space="preserve">Mia Schwartz</t>
  </si>
  <si>
    <t xml:space="preserve">slip_inventory_2026-08.csv row 971</t>
  </si>
  <si>
    <t xml:space="preserve">LP-0101</t>
  </si>
  <si>
    <t xml:space="preserve">WL-02442</t>
  </si>
  <si>
    <t xml:space="preserve">Elizabeth Burns</t>
  </si>
  <si>
    <t xml:space="preserve">SABLE REACH</t>
  </si>
  <si>
    <t xml:space="preserve">TXN-202608-000064</t>
  </si>
  <si>
    <t xml:space="preserve">slip_inventory_2026-08.csv row 2; billing_transactions_2022_2026.csv row 45694</t>
  </si>
  <si>
    <t xml:space="preserve">WL-02413</t>
  </si>
  <si>
    <t xml:space="preserve">Damon Phillips</t>
  </si>
  <si>
    <t xml:space="preserve">SEAL ROCK</t>
  </si>
  <si>
    <t xml:space="preserve">TXN-202608-000108</t>
  </si>
  <si>
    <t xml:space="preserve">slip_inventory_2026-08.csv row 3; billing_transactions_2022_2026.csv row 45696</t>
  </si>
  <si>
    <t xml:space="preserve">LP-0103</t>
  </si>
  <si>
    <t xml:space="preserve">WL-01449</t>
  </si>
  <si>
    <t xml:space="preserve">Charles Hudson</t>
  </si>
  <si>
    <t xml:space="preserve">HALIBUT HARBOR</t>
  </si>
  <si>
    <t xml:space="preserve">TXN-202608-000171</t>
  </si>
  <si>
    <t xml:space="preserve">slip_inventory_2026-08.csv row 4; billing_transactions_2022_2026.csv row 45697</t>
  </si>
  <si>
    <t xml:space="preserve">WL-03625</t>
  </si>
  <si>
    <t xml:space="preserve">Vincent Johnson</t>
  </si>
  <si>
    <t xml:space="preserve">ANCHOR DANCER</t>
  </si>
  <si>
    <t xml:space="preserve">TXN-202608-000239</t>
  </si>
  <si>
    <t xml:space="preserve">slip_inventory_2026-08.csv row 5; billing_transactions_2022_2026.csv row 45698</t>
  </si>
  <si>
    <t xml:space="preserve">LP-0105</t>
  </si>
  <si>
    <t xml:space="preserve">WL-03876</t>
  </si>
  <si>
    <t xml:space="preserve">John Heath</t>
  </si>
  <si>
    <t xml:space="preserve">TXN-202608-000299</t>
  </si>
  <si>
    <t xml:space="preserve">slip_inventory_2026-08.csv row 6; billing_transactions_2022_2026.csv row 45700</t>
  </si>
  <si>
    <t xml:space="preserve">LP-0106</t>
  </si>
  <si>
    <t xml:space="preserve">WL-02316</t>
  </si>
  <si>
    <t xml:space="preserve">Cheryl Elliott</t>
  </si>
  <si>
    <t xml:space="preserve">POINT ROSE</t>
  </si>
  <si>
    <t xml:space="preserve">TXN-202608-000338</t>
  </si>
  <si>
    <t xml:space="preserve">slip_inventory_2026-08.csv row 7; billing_transactions_2022_2026.csv row 45701</t>
  </si>
  <si>
    <t xml:space="preserve">LP-0107</t>
  </si>
  <si>
    <t xml:space="preserve">KESTREL REACH</t>
  </si>
  <si>
    <t xml:space="preserve">TXN-202608-000413</t>
  </si>
  <si>
    <t xml:space="preserve">slip_inventory_2026-08.csv row 8; billing_transactions_2022_2026.csv row 45702</t>
  </si>
  <si>
    <t xml:space="preserve">LP-0108</t>
  </si>
  <si>
    <t xml:space="preserve">WL-01567</t>
  </si>
  <si>
    <t xml:space="preserve">Alan Thomas</t>
  </si>
  <si>
    <t xml:space="preserve">TXN-202608-000483</t>
  </si>
  <si>
    <t xml:space="preserve">slip_inventory_2026-08.csv row 9; billing_transactions_2022_2026.csv row 45703</t>
  </si>
  <si>
    <t xml:space="preserve">LP-0109</t>
  </si>
  <si>
    <t xml:space="preserve">WL-02768</t>
  </si>
  <si>
    <t xml:space="preserve">Sandra Sweeney</t>
  </si>
  <si>
    <t xml:space="preserve">TXN-202608-000533</t>
  </si>
  <si>
    <t xml:space="preserve">slip_inventory_2026-08.csv row 10; billing_transactions_2022_2026.csv row 45704</t>
  </si>
  <si>
    <t xml:space="preserve">LP-0110</t>
  </si>
  <si>
    <t xml:space="preserve">WL-03140</t>
  </si>
  <si>
    <t xml:space="preserve">Jason Martinez</t>
  </si>
  <si>
    <t xml:space="preserve">PINTAIL STAR</t>
  </si>
  <si>
    <t xml:space="preserve">TXN-202608-000581</t>
  </si>
  <si>
    <t xml:space="preserve">slip_inventory_2026-08.csv row 11; billing_transactions_2022_2026.csv row 45706</t>
  </si>
  <si>
    <t xml:space="preserve">SALISH WAKE</t>
  </si>
  <si>
    <t xml:space="preserve">TXN-202608-000628</t>
  </si>
  <si>
    <t xml:space="preserve">slip_inventory_2026-08.csv row 12; billing_transactions_2022_2026.csv row 45707</t>
  </si>
  <si>
    <t xml:space="preserve">WL-02762</t>
  </si>
  <si>
    <t xml:space="preserve">Elizabeth Williams</t>
  </si>
  <si>
    <t xml:space="preserve">TXN-202608-000674</t>
  </si>
  <si>
    <t xml:space="preserve">slip_inventory_2026-08.csv row 14; billing_transactions_2022_2026.csv row 45709</t>
  </si>
  <si>
    <t xml:space="preserve">WL-02237</t>
  </si>
  <si>
    <t xml:space="preserve">William Powell</t>
  </si>
  <si>
    <t xml:space="preserve">TXN-202608-000728</t>
  </si>
  <si>
    <t xml:space="preserve">slip_inventory_2026-08.csv row 15; billing_transactions_2022_2026.csv row 45710</t>
  </si>
  <si>
    <t xml:space="preserve">LP-0115</t>
  </si>
  <si>
    <t xml:space="preserve">WL-02943</t>
  </si>
  <si>
    <t xml:space="preserve">Matthew Thomas</t>
  </si>
  <si>
    <t xml:space="preserve">PINTAIL CREST</t>
  </si>
  <si>
    <t xml:space="preserve">TXN-202608-000802</t>
  </si>
  <si>
    <t xml:space="preserve">slip_inventory_2026-08.csv row 16; billing_transactions_2022_2026.csv row 45711</t>
  </si>
  <si>
    <t xml:space="preserve">LP-0116</t>
  </si>
  <si>
    <t xml:space="preserve">WL-02031</t>
  </si>
  <si>
    <t xml:space="preserve">Joseph Bishop</t>
  </si>
  <si>
    <t xml:space="preserve">ANCHOR LIGHT</t>
  </si>
  <si>
    <t xml:space="preserve">TXN-202608-000869</t>
  </si>
  <si>
    <t xml:space="preserve">slip_inventory_2026-08.csv row 17; billing_transactions_2022_2026.csv row 45713</t>
  </si>
  <si>
    <t xml:space="preserve">LP-0117</t>
  </si>
  <si>
    <t xml:space="preserve">WL-01361</t>
  </si>
  <si>
    <t xml:space="preserve">Benjamin Willis</t>
  </si>
  <si>
    <t xml:space="preserve">COHO BAY</t>
  </si>
  <si>
    <t xml:space="preserve">TXN-202608-000938</t>
  </si>
  <si>
    <t xml:space="preserve">slip_inventory_2026-08.csv row 18; billing_transactions_2022_2026.csv row 45714</t>
  </si>
  <si>
    <t xml:space="preserve">LP-0118</t>
  </si>
  <si>
    <t xml:space="preserve">WL-03633</t>
  </si>
  <si>
    <t xml:space="preserve">Keith Powell</t>
  </si>
  <si>
    <t xml:space="preserve">TXN-202608-000989</t>
  </si>
  <si>
    <t xml:space="preserve">slip_inventory_2026-08.csv row 19; billing_transactions_2022_2026.csv row 45715</t>
  </si>
  <si>
    <t xml:space="preserve">LP-0119</t>
  </si>
  <si>
    <t xml:space="preserve">WL-01880</t>
  </si>
  <si>
    <t xml:space="preserve">Walter Torres</t>
  </si>
  <si>
    <t xml:space="preserve">TXN-202608-001067</t>
  </si>
  <si>
    <t xml:space="preserve">slip_inventory_2026-08.csv row 20; billing_transactions_2022_2026.csv row 45716</t>
  </si>
  <si>
    <t xml:space="preserve">LP-0120</t>
  </si>
  <si>
    <t xml:space="preserve">WL-03128</t>
  </si>
  <si>
    <t xml:space="preserve">Kayla Johnson</t>
  </si>
  <si>
    <t xml:space="preserve">FOUL SONG</t>
  </si>
  <si>
    <t xml:space="preserve">TXN-202608-001137</t>
  </si>
  <si>
    <t xml:space="preserve">slip_inventory_2026-08.csv row 21; billing_transactions_2022_2026.csv row 45717</t>
  </si>
  <si>
    <t xml:space="preserve">WL-03477</t>
  </si>
  <si>
    <t xml:space="preserve">Darryl Garcia</t>
  </si>
  <si>
    <t xml:space="preserve">TIDE SHORE</t>
  </si>
  <si>
    <t xml:space="preserve">TXN-202608-001182</t>
  </si>
  <si>
    <t xml:space="preserve">slip_inventory_2026-08.csv row 22; billing_transactions_2022_2026.csv row 45718</t>
  </si>
  <si>
    <t xml:space="preserve">LP-0122</t>
  </si>
  <si>
    <t xml:space="preserve">WL-01974</t>
  </si>
  <si>
    <t xml:space="preserve">Paula Arroyo</t>
  </si>
  <si>
    <t xml:space="preserve">OTTER SOUND</t>
  </si>
  <si>
    <t xml:space="preserve">TXN-202608-001251</t>
  </si>
  <si>
    <t xml:space="preserve">slip_inventory_2026-08.csv row 23; billing_transactions_2022_2026.csv row 45720</t>
  </si>
  <si>
    <t xml:space="preserve">LP-0123</t>
  </si>
  <si>
    <t xml:space="preserve">SALISH GLIDE</t>
  </si>
  <si>
    <t xml:space="preserve">TXN-202608-001319</t>
  </si>
  <si>
    <t xml:space="preserve">slip_inventory_2026-08.csv row 24; billing_transactions_2022_2026.csv row 45722</t>
  </si>
  <si>
    <t xml:space="preserve">WL-02080</t>
  </si>
  <si>
    <t xml:space="preserve">Audrey Le</t>
  </si>
  <si>
    <t xml:space="preserve">TXN-202608-001394</t>
  </si>
  <si>
    <t xml:space="preserve">slip_inventory_2026-08.csv row 25; billing_transactions_2022_2026.csv row 45724</t>
  </si>
  <si>
    <t xml:space="preserve">LP-0201</t>
  </si>
  <si>
    <t xml:space="preserve">WL-03657</t>
  </si>
  <si>
    <t xml:space="preserve">Melissa Wagner</t>
  </si>
  <si>
    <t xml:space="preserve">TXN-202608-001459</t>
  </si>
  <si>
    <t xml:space="preserve">slip_inventory_2026-08.csv row 26; billing_transactions_2022_2026.csv row 45725</t>
  </si>
  <si>
    <t xml:space="preserve">LP-0202</t>
  </si>
  <si>
    <t xml:space="preserve">WL-02964</t>
  </si>
  <si>
    <t xml:space="preserve">Christopher Boyd</t>
  </si>
  <si>
    <t xml:space="preserve">WIDGEON VEER</t>
  </si>
  <si>
    <t xml:space="preserve">TXN-202608-001533</t>
  </si>
  <si>
    <t xml:space="preserve">slip_inventory_2026-08.csv row 27; billing_transactions_2022_2026.csv row 45726</t>
  </si>
  <si>
    <t xml:space="preserve">WL-01820</t>
  </si>
  <si>
    <t xml:space="preserve">Andrew Petty</t>
  </si>
  <si>
    <t xml:space="preserve">TXN-202608-001590</t>
  </si>
  <si>
    <t xml:space="preserve">slip_inventory_2026-08.csv row 28; billing_transactions_2022_2026.csv row 45728</t>
  </si>
  <si>
    <t xml:space="preserve">WL-01587</t>
  </si>
  <si>
    <t xml:space="preserve">Patrick Guzman</t>
  </si>
  <si>
    <t xml:space="preserve">TXN-202608-001651</t>
  </si>
  <si>
    <t xml:space="preserve">slip_inventory_2026-08.csv row 29; billing_transactions_2022_2026.csv row 45730</t>
  </si>
  <si>
    <t xml:space="preserve">LP-0205</t>
  </si>
  <si>
    <t xml:space="preserve">WL-01514</t>
  </si>
  <si>
    <t xml:space="preserve">Gary Young</t>
  </si>
  <si>
    <t xml:space="preserve">SCOTER VEER</t>
  </si>
  <si>
    <t xml:space="preserve">TXN-202608-001727</t>
  </si>
  <si>
    <t xml:space="preserve">slip_inventory_2026-08.csv row 30; billing_transactions_2022_2026.csv row 45731</t>
  </si>
  <si>
    <t xml:space="preserve">LP-0206</t>
  </si>
  <si>
    <t xml:space="preserve">TXN-202608-001771</t>
  </si>
  <si>
    <t xml:space="preserve">slip_inventory_2026-08.csv row 31; billing_transactions_2022_2026.csv row 45732</t>
  </si>
  <si>
    <t xml:space="preserve">WL-02432</t>
  </si>
  <si>
    <t xml:space="preserve">James Olson</t>
  </si>
  <si>
    <t xml:space="preserve">SALISH SONG</t>
  </si>
  <si>
    <t xml:space="preserve">TXN-202608-001837</t>
  </si>
  <si>
    <t xml:space="preserve">slip_inventory_2026-08.csv row 33; billing_transactions_2022_2026.csv row 45734</t>
  </si>
  <si>
    <t xml:space="preserve">LP-0209</t>
  </si>
  <si>
    <t xml:space="preserve">WL-01517</t>
  </si>
  <si>
    <t xml:space="preserve">Manuel Abbott</t>
  </si>
  <si>
    <t xml:space="preserve">TXN-202608-001909</t>
  </si>
  <si>
    <t xml:space="preserve">slip_inventory_2026-08.csv row 34; billing_transactions_2022_2026.csv row 45735</t>
  </si>
  <si>
    <t xml:space="preserve">LP-0210</t>
  </si>
  <si>
    <t xml:space="preserve">COHO SHORE</t>
  </si>
  <si>
    <t xml:space="preserve">TXN-202608-001956</t>
  </si>
  <si>
    <t xml:space="preserve">slip_inventory_2026-08.csv row 35; billing_transactions_2022_2026.csv row 45737</t>
  </si>
  <si>
    <t xml:space="preserve">LP-0212</t>
  </si>
  <si>
    <t xml:space="preserve">WL-03348</t>
  </si>
  <si>
    <t xml:space="preserve">Sandra Jackson</t>
  </si>
  <si>
    <t xml:space="preserve">HERON RUNNER</t>
  </si>
  <si>
    <t xml:space="preserve">TXN-202608-002030</t>
  </si>
  <si>
    <t xml:space="preserve">slip_inventory_2026-08.csv row 37; billing_transactions_2022_2026.csv row 45739</t>
  </si>
  <si>
    <t xml:space="preserve">LP-0213</t>
  </si>
  <si>
    <t xml:space="preserve">WL-02388</t>
  </si>
  <si>
    <t xml:space="preserve">Gregory Brady</t>
  </si>
  <si>
    <t xml:space="preserve">TXN-202608-002082</t>
  </si>
  <si>
    <t xml:space="preserve">slip_inventory_2026-08.csv row 38; billing_transactions_2022_2026.csv row 45741</t>
  </si>
  <si>
    <t xml:space="preserve">LP-0214</t>
  </si>
  <si>
    <t xml:space="preserve">WL-01816</t>
  </si>
  <si>
    <t xml:space="preserve">Jeanne Bennett</t>
  </si>
  <si>
    <t xml:space="preserve">BRANT WIND</t>
  </si>
  <si>
    <t xml:space="preserve">TXN-202608-002126</t>
  </si>
  <si>
    <t xml:space="preserve">slip_inventory_2026-08.csv row 39; billing_transactions_2022_2026.csv row 45743</t>
  </si>
  <si>
    <t xml:space="preserve">WL-01337</t>
  </si>
  <si>
    <t xml:space="preserve">Anna Wright</t>
  </si>
  <si>
    <t xml:space="preserve">TXN-202608-002202</t>
  </si>
  <si>
    <t xml:space="preserve">slip_inventory_2026-08.csv row 40; billing_transactions_2022_2026.csv row 45744</t>
  </si>
  <si>
    <t xml:space="preserve">WL-01428</t>
  </si>
  <si>
    <t xml:space="preserve">Audrey Taylor</t>
  </si>
  <si>
    <t xml:space="preserve">TXN-202608-002273</t>
  </si>
  <si>
    <t xml:space="preserve">slip_inventory_2026-08.csv row 41; billing_transactions_2022_2026.csv row 45745</t>
  </si>
  <si>
    <t xml:space="preserve">LP-0217</t>
  </si>
  <si>
    <t xml:space="preserve">WL-01497</t>
  </si>
  <si>
    <t xml:space="preserve">Aaron Ellis</t>
  </si>
  <si>
    <t xml:space="preserve">SANDERLING STAR</t>
  </si>
  <si>
    <t xml:space="preserve">TXN-202608-002314</t>
  </si>
  <si>
    <t xml:space="preserve">slip_inventory_2026-08.csv row 42; billing_transactions_2022_2026.csv row 45747</t>
  </si>
  <si>
    <t xml:space="preserve">LP-0218</t>
  </si>
  <si>
    <t xml:space="preserve">WL-01177</t>
  </si>
  <si>
    <t xml:space="preserve">Sydney Moore</t>
  </si>
  <si>
    <t xml:space="preserve">SCOTER STAR</t>
  </si>
  <si>
    <t xml:space="preserve">TXN-202608-002387</t>
  </si>
  <si>
    <t xml:space="preserve">slip_inventory_2026-08.csv row 43; billing_transactions_2022_2026.csv row 45749</t>
  </si>
  <si>
    <t xml:space="preserve">WL-01324</t>
  </si>
  <si>
    <t xml:space="preserve">Bradley Baker</t>
  </si>
  <si>
    <t xml:space="preserve">PINTAIL QUEEN</t>
  </si>
  <si>
    <t xml:space="preserve">TXN-202608-002429</t>
  </si>
  <si>
    <t xml:space="preserve">slip_inventory_2026-08.csv row 44; billing_transactions_2022_2026.csv row 45751</t>
  </si>
  <si>
    <t xml:space="preserve">WL-02659</t>
  </si>
  <si>
    <t xml:space="preserve">Loretta Murillo</t>
  </si>
  <si>
    <t xml:space="preserve">TXN-202608-002497</t>
  </si>
  <si>
    <t xml:space="preserve">slip_inventory_2026-08.csv row 45; billing_transactions_2022_2026.csv row 45753</t>
  </si>
  <si>
    <t xml:space="preserve">LP-0221</t>
  </si>
  <si>
    <t xml:space="preserve">WL-03407</t>
  </si>
  <si>
    <t xml:space="preserve">Allison Anthony</t>
  </si>
  <si>
    <t xml:space="preserve">TXN-202608-002568</t>
  </si>
  <si>
    <t xml:space="preserve">slip_inventory_2026-08.csv row 46; billing_transactions_2022_2026.csv row 45755</t>
  </si>
  <si>
    <t xml:space="preserve">LP-0222</t>
  </si>
  <si>
    <t xml:space="preserve">WL-01185</t>
  </si>
  <si>
    <t xml:space="preserve">Stephen Burke</t>
  </si>
  <si>
    <t xml:space="preserve">SPINDRIFT HARBOR</t>
  </si>
  <si>
    <t xml:space="preserve">TXN-202608-002641</t>
  </si>
  <si>
    <t xml:space="preserve">slip_inventory_2026-08.csv row 47; billing_transactions_2022_2026.csv row 45757</t>
  </si>
  <si>
    <t xml:space="preserve">LP-0223</t>
  </si>
  <si>
    <t xml:space="preserve">WL-02494</t>
  </si>
  <si>
    <t xml:space="preserve">Renee Dean</t>
  </si>
  <si>
    <t xml:space="preserve">TXN-202608-002719</t>
  </si>
  <si>
    <t xml:space="preserve">slip_inventory_2026-08.csv row 48; billing_transactions_2022_2026.csv row 45758</t>
  </si>
  <si>
    <t xml:space="preserve">LP-0224</t>
  </si>
  <si>
    <t xml:space="preserve">WL-01261</t>
  </si>
  <si>
    <t xml:space="preserve">Anita Rose</t>
  </si>
  <si>
    <t xml:space="preserve">BRANT ANN</t>
  </si>
  <si>
    <t xml:space="preserve">TXN-202608-002772</t>
  </si>
  <si>
    <t xml:space="preserve">slip_inventory_2026-08.csv row 49; billing_transactions_2022_2026.csv row 45760</t>
  </si>
  <si>
    <t xml:space="preserve">LP-0301</t>
  </si>
  <si>
    <t xml:space="preserve">WL-03425</t>
  </si>
  <si>
    <t xml:space="preserve">Miranda Neal</t>
  </si>
  <si>
    <t xml:space="preserve">TXN-202608-002814</t>
  </si>
  <si>
    <t xml:space="preserve">slip_inventory_2026-08.csv row 50; billing_transactions_2022_2026.csv row 45761</t>
  </si>
  <si>
    <t xml:space="preserve">LP-0302</t>
  </si>
  <si>
    <t xml:space="preserve">WL-03048</t>
  </si>
  <si>
    <t xml:space="preserve">Brian Campbell</t>
  </si>
  <si>
    <t xml:space="preserve">TXN-202608-002864</t>
  </si>
  <si>
    <t xml:space="preserve">slip_inventory_2026-08.csv row 51; billing_transactions_2022_2026.csv row 45762</t>
  </si>
  <si>
    <t xml:space="preserve">WL-02853</t>
  </si>
  <si>
    <t xml:space="preserve">Adam Stevens</t>
  </si>
  <si>
    <t xml:space="preserve">TXN-202608-002923</t>
  </si>
  <si>
    <t xml:space="preserve">slip_inventory_2026-08.csv row 52; billing_transactions_2022_2026.csv row 45763</t>
  </si>
  <si>
    <t xml:space="preserve">LP-0305</t>
  </si>
  <si>
    <t xml:space="preserve">WL-03470</t>
  </si>
  <si>
    <t xml:space="preserve">Nathan Huffman</t>
  </si>
  <si>
    <t xml:space="preserve">TIDE ROCK</t>
  </si>
  <si>
    <t xml:space="preserve">TXN-202608-002983</t>
  </si>
  <si>
    <t xml:space="preserve">slip_inventory_2026-08.csv row 54; billing_transactions_2022_2026.csv row 45764</t>
  </si>
  <si>
    <t xml:space="preserve">LP-0306</t>
  </si>
  <si>
    <t xml:space="preserve">WL-02345</t>
  </si>
  <si>
    <t xml:space="preserve">Brian Wade</t>
  </si>
  <si>
    <t xml:space="preserve">TXN-202608-003038</t>
  </si>
  <si>
    <t xml:space="preserve">slip_inventory_2026-08.csv row 55; billing_transactions_2022_2026.csv row 45766</t>
  </si>
  <si>
    <t xml:space="preserve">WL-03230</t>
  </si>
  <si>
    <t xml:space="preserve">Cory Park</t>
  </si>
  <si>
    <t xml:space="preserve">SEAL SONG</t>
  </si>
  <si>
    <t xml:space="preserve">TXN-202608-003083</t>
  </si>
  <si>
    <t xml:space="preserve">slip_inventory_2026-08.csv row 56; billing_transactions_2022_2026.csv row 45767</t>
  </si>
  <si>
    <t xml:space="preserve">LP-0309</t>
  </si>
  <si>
    <t xml:space="preserve">WL-02885</t>
  </si>
  <si>
    <t xml:space="preserve">James Rivera</t>
  </si>
  <si>
    <t xml:space="preserve">BRANT PASSAGE</t>
  </si>
  <si>
    <t xml:space="preserve">TXN-202608-003124</t>
  </si>
  <si>
    <t xml:space="preserve">slip_inventory_2026-08.csv row 58; billing_transactions_2022_2026.csv row 45768</t>
  </si>
  <si>
    <t xml:space="preserve">LP-0311</t>
  </si>
  <si>
    <t xml:space="preserve">WL-01606</t>
  </si>
  <si>
    <t xml:space="preserve">Joel English</t>
  </si>
  <si>
    <t xml:space="preserve">COHO GLIDE</t>
  </si>
  <si>
    <t xml:space="preserve">TXN-202608-003180</t>
  </si>
  <si>
    <t xml:space="preserve">slip_inventory_2026-08.csv row 60; billing_transactions_2022_2026.csv row 45769</t>
  </si>
  <si>
    <t xml:space="preserve">WL-03333</t>
  </si>
  <si>
    <t xml:space="preserve">Steven Greene</t>
  </si>
  <si>
    <t xml:space="preserve">TXN-202608-003234</t>
  </si>
  <si>
    <t xml:space="preserve">slip_inventory_2026-08.csv row 61; billing_transactions_2022_2026.csv row 45770</t>
  </si>
  <si>
    <t xml:space="preserve">LP-0313</t>
  </si>
  <si>
    <t xml:space="preserve">WL-02675</t>
  </si>
  <si>
    <t xml:space="preserve">Christopher Lopez</t>
  </si>
  <si>
    <t xml:space="preserve">TXN-202608-003279</t>
  </si>
  <si>
    <t xml:space="preserve">slip_inventory_2026-08.csv row 62; billing_transactions_2022_2026.csv row 45771</t>
  </si>
  <si>
    <t xml:space="preserve">LP-0314</t>
  </si>
  <si>
    <t xml:space="preserve">WL-03274</t>
  </si>
  <si>
    <t xml:space="preserve">Brenda Matthews</t>
  </si>
  <si>
    <t xml:space="preserve">TXN-202608-003345</t>
  </si>
  <si>
    <t xml:space="preserve">slip_inventory_2026-08.csv row 63; billing_transactions_2022_2026.csv row 45773</t>
  </si>
  <si>
    <t xml:space="preserve">LP-0315</t>
  </si>
  <si>
    <t xml:space="preserve">WL-02756</t>
  </si>
  <si>
    <t xml:space="preserve">Gregory Phillips</t>
  </si>
  <si>
    <t xml:space="preserve">TXN-202608-003397</t>
  </si>
  <si>
    <t xml:space="preserve">slip_inventory_2026-08.csv row 64; billing_transactions_2022_2026.csv row 45775</t>
  </si>
  <si>
    <t xml:space="preserve">WL-03711</t>
  </si>
  <si>
    <t xml:space="preserve">Adam Webster</t>
  </si>
  <si>
    <t xml:space="preserve">TXN-202608-003440</t>
  </si>
  <si>
    <t xml:space="preserve">slip_inventory_2026-08.csv row 65; billing_transactions_2022_2026.csv row 45776</t>
  </si>
  <si>
    <t xml:space="preserve">TXN-202608-003495</t>
  </si>
  <si>
    <t xml:space="preserve">slip_inventory_2026-08.csv row 66; billing_transactions_2022_2026.csv row 45778</t>
  </si>
  <si>
    <t xml:space="preserve">LP-0318</t>
  </si>
  <si>
    <t xml:space="preserve">WL-03488</t>
  </si>
  <si>
    <t xml:space="preserve">Albert Hill</t>
  </si>
  <si>
    <t xml:space="preserve">TXN-202608-003557</t>
  </si>
  <si>
    <t xml:space="preserve">slip_inventory_2026-08.csv row 67; billing_transactions_2022_2026.csv row 45779</t>
  </si>
  <si>
    <t xml:space="preserve">LP-0320</t>
  </si>
  <si>
    <t xml:space="preserve">TXN-202608-003599</t>
  </si>
  <si>
    <t xml:space="preserve">slip_inventory_2026-08.csv row 69; billing_transactions_2022_2026.csv row 45781</t>
  </si>
  <si>
    <t xml:space="preserve">LP-0321</t>
  </si>
  <si>
    <t xml:space="preserve">WL-03415</t>
  </si>
  <si>
    <t xml:space="preserve">Jennifer Leonard</t>
  </si>
  <si>
    <t xml:space="preserve">TXN-202608-003665</t>
  </si>
  <si>
    <t xml:space="preserve">slip_inventory_2026-08.csv row 70; billing_transactions_2022_2026.csv row 45782</t>
  </si>
  <si>
    <t xml:space="preserve">LP-0322</t>
  </si>
  <si>
    <t xml:space="preserve">WL-01554</t>
  </si>
  <si>
    <t xml:space="preserve">Robert Nolan</t>
  </si>
  <si>
    <t xml:space="preserve">TXN-202608-003745</t>
  </si>
  <si>
    <t xml:space="preserve">slip_inventory_2026-08.csv row 71; billing_transactions_2022_2026.csv row 45783</t>
  </si>
  <si>
    <t xml:space="preserve">LP-0323</t>
  </si>
  <si>
    <t xml:space="preserve">WL-02461</t>
  </si>
  <si>
    <t xml:space="preserve">Robert Swanson</t>
  </si>
  <si>
    <t xml:space="preserve">TXN-202608-003807</t>
  </si>
  <si>
    <t xml:space="preserve">slip_inventory_2026-08.csv row 72; billing_transactions_2022_2026.csv row 45784</t>
  </si>
  <si>
    <t xml:space="preserve">WL-01462</t>
  </si>
  <si>
    <t xml:space="preserve">Stephanie Hart</t>
  </si>
  <si>
    <t xml:space="preserve">TXN-202608-003859</t>
  </si>
  <si>
    <t xml:space="preserve">slip_inventory_2026-08.csv row 73; billing_transactions_2022_2026.csv row 45786</t>
  </si>
  <si>
    <t xml:space="preserve">WL-01188</t>
  </si>
  <si>
    <t xml:space="preserve">Dawn Brown</t>
  </si>
  <si>
    <t xml:space="preserve">TXN-202608-003928</t>
  </si>
  <si>
    <t xml:space="preserve">slip_inventory_2026-08.csv row 75; billing_transactions_2022_2026.csv row 45788</t>
  </si>
  <si>
    <t xml:space="preserve">LP-0403</t>
  </si>
  <si>
    <t xml:space="preserve">WL-01063</t>
  </si>
  <si>
    <t xml:space="preserve">Donna Mitchell</t>
  </si>
  <si>
    <t xml:space="preserve">TXN-202608-003987</t>
  </si>
  <si>
    <t xml:space="preserve">slip_inventory_2026-08.csv row 76; billing_transactions_2022_2026.csv row 45790</t>
  </si>
  <si>
    <t xml:space="preserve">LP-0404</t>
  </si>
  <si>
    <t xml:space="preserve">WL-02961</t>
  </si>
  <si>
    <t xml:space="preserve">Rachel Flores</t>
  </si>
  <si>
    <t xml:space="preserve">SANDERLING HARBOR</t>
  </si>
  <si>
    <t xml:space="preserve">TXN-202608-004052</t>
  </si>
  <si>
    <t xml:space="preserve">slip_inventory_2026-08.csv row 77; billing_transactions_2022_2026.csv row 45792</t>
  </si>
  <si>
    <t xml:space="preserve">LP-0405</t>
  </si>
  <si>
    <t xml:space="preserve">WL-02530</t>
  </si>
  <si>
    <t xml:space="preserve">GRAY ROCK</t>
  </si>
  <si>
    <t xml:space="preserve">TXN-202608-004087</t>
  </si>
  <si>
    <t xml:space="preserve">slip_inventory_2026-08.csv row 78; billing_transactions_2022_2026.csv row 45794</t>
  </si>
  <si>
    <t xml:space="preserve">LP-0406</t>
  </si>
  <si>
    <t xml:space="preserve">WL-02260</t>
  </si>
  <si>
    <t xml:space="preserve">Michael King</t>
  </si>
  <si>
    <t xml:space="preserve">TXN-202608-004132</t>
  </si>
  <si>
    <t xml:space="preserve">slip_inventory_2026-08.csv row 79; billing_transactions_2022_2026.csv row 45796</t>
  </si>
  <si>
    <t xml:space="preserve">LP-0407</t>
  </si>
  <si>
    <t xml:space="preserve">WL-02332</t>
  </si>
  <si>
    <t xml:space="preserve">Karla Cross</t>
  </si>
  <si>
    <t xml:space="preserve">POINT PASSAGE</t>
  </si>
  <si>
    <t xml:space="preserve">TXN-202608-004184</t>
  </si>
  <si>
    <t xml:space="preserve">slip_inventory_2026-08.csv row 80; billing_transactions_2022_2026.csv row 45797</t>
  </si>
  <si>
    <t xml:space="preserve">LP-0408</t>
  </si>
  <si>
    <t xml:space="preserve">WL-03226</t>
  </si>
  <si>
    <t xml:space="preserve">Kari Snow</t>
  </si>
  <si>
    <t xml:space="preserve">TXN-202608-004246</t>
  </si>
  <si>
    <t xml:space="preserve">slip_inventory_2026-08.csv row 81; billing_transactions_2022_2026.csv row 45798</t>
  </si>
  <si>
    <t xml:space="preserve">LP-0409</t>
  </si>
  <si>
    <t xml:space="preserve">WL-02688</t>
  </si>
  <si>
    <t xml:space="preserve">Joseph Cohen</t>
  </si>
  <si>
    <t xml:space="preserve">MURRE QUEEN</t>
  </si>
  <si>
    <t xml:space="preserve">TXN-202608-004290</t>
  </si>
  <si>
    <t xml:space="preserve">slip_inventory_2026-08.csv row 82; billing_transactions_2022_2026.csv row 45799</t>
  </si>
  <si>
    <t xml:space="preserve">LP-0410</t>
  </si>
  <si>
    <t xml:space="preserve">WL-02453</t>
  </si>
  <si>
    <t xml:space="preserve">Kristina Savage</t>
  </si>
  <si>
    <t xml:space="preserve">TXN-202608-004352</t>
  </si>
  <si>
    <t xml:space="preserve">slip_inventory_2026-08.csv row 83; billing_transactions_2022_2026.csv row 45801</t>
  </si>
  <si>
    <t xml:space="preserve">LP-0411</t>
  </si>
  <si>
    <t xml:space="preserve">WL-01932</t>
  </si>
  <si>
    <t xml:space="preserve">Clayton Williams</t>
  </si>
  <si>
    <t xml:space="preserve">TXN-202608-004408</t>
  </si>
  <si>
    <t xml:space="preserve">slip_inventory_2026-08.csv row 84; billing_transactions_2022_2026.csv row 45802</t>
  </si>
  <si>
    <t xml:space="preserve">WL-01239</t>
  </si>
  <si>
    <t xml:space="preserve">Edward Cook</t>
  </si>
  <si>
    <t xml:space="preserve">TXN-202608-004480</t>
  </si>
  <si>
    <t xml:space="preserve">slip_inventory_2026-08.csv row 85; billing_transactions_2022_2026.csv row 45803</t>
  </si>
  <si>
    <t xml:space="preserve">WL-02589</t>
  </si>
  <si>
    <t xml:space="preserve">Tammie Johnson</t>
  </si>
  <si>
    <t xml:space="preserve">TXN-202608-004524</t>
  </si>
  <si>
    <t xml:space="preserve">slip_inventory_2026-08.csv row 86; billing_transactions_2022_2026.csv row 45804</t>
  </si>
  <si>
    <t xml:space="preserve">LP-0415</t>
  </si>
  <si>
    <t xml:space="preserve">WL-03907</t>
  </si>
  <si>
    <t xml:space="preserve">Ryan Collins</t>
  </si>
  <si>
    <t xml:space="preserve">TXN-202608-004586</t>
  </si>
  <si>
    <t xml:space="preserve">slip_inventory_2026-08.csv row 88; billing_transactions_2022_2026.csv row 45806</t>
  </si>
  <si>
    <t xml:space="preserve">WL-01699</t>
  </si>
  <si>
    <t xml:space="preserve">Kevin Fuller</t>
  </si>
  <si>
    <t xml:space="preserve">TXN-202608-004668</t>
  </si>
  <si>
    <t xml:space="preserve">slip_inventory_2026-08.csv row 89; billing_transactions_2022_2026.csv row 45808</t>
  </si>
  <si>
    <t xml:space="preserve">LP-0417</t>
  </si>
  <si>
    <t xml:space="preserve">WL-02689</t>
  </si>
  <si>
    <t xml:space="preserve">Julie Silva</t>
  </si>
  <si>
    <t xml:space="preserve">ANCHOR WAKE</t>
  </si>
  <si>
    <t xml:space="preserve">TXN-202608-004708</t>
  </si>
  <si>
    <t xml:space="preserve">slip_inventory_2026-08.csv row 90; billing_transactions_2022_2026.csv row 45810</t>
  </si>
  <si>
    <t xml:space="preserve">LP-0418</t>
  </si>
  <si>
    <t xml:space="preserve">WL-01703</t>
  </si>
  <si>
    <t xml:space="preserve">Jorge Avery</t>
  </si>
  <si>
    <t xml:space="preserve">TXN-202608-004770</t>
  </si>
  <si>
    <t xml:space="preserve">slip_inventory_2026-08.csv row 91; billing_transactions_2022_2026.csv row 45811</t>
  </si>
  <si>
    <t xml:space="preserve">LP-0419</t>
  </si>
  <si>
    <t xml:space="preserve">WL-02926</t>
  </si>
  <si>
    <t xml:space="preserve">Pamela Harris</t>
  </si>
  <si>
    <t xml:space="preserve">TXN-202608-004856</t>
  </si>
  <si>
    <t xml:space="preserve">slip_inventory_2026-08.csv row 92; billing_transactions_2022_2026.csv row 45812</t>
  </si>
  <si>
    <t xml:space="preserve">LP-0420</t>
  </si>
  <si>
    <t xml:space="preserve">TXN-202608-004931</t>
  </si>
  <si>
    <t xml:space="preserve">slip_inventory_2026-08.csv row 93; billing_transactions_2022_2026.csv row 45814</t>
  </si>
  <si>
    <t xml:space="preserve">LP-0421</t>
  </si>
  <si>
    <t xml:space="preserve">WL-03569</t>
  </si>
  <si>
    <t xml:space="preserve">Mary Hicks</t>
  </si>
  <si>
    <t xml:space="preserve">TXN-202608-004985</t>
  </si>
  <si>
    <t xml:space="preserve">slip_inventory_2026-08.csv row 94; billing_transactions_2022_2026.csv row 45816</t>
  </si>
  <si>
    <t xml:space="preserve">LP-0422</t>
  </si>
  <si>
    <t xml:space="preserve">WL-02875</t>
  </si>
  <si>
    <t xml:space="preserve">Frank Beard</t>
  </si>
  <si>
    <t xml:space="preserve">TXN-202608-005036</t>
  </si>
  <si>
    <t xml:space="preserve">slip_inventory_2026-08.csv row 95; billing_transactions_2022_2026.csv row 45818</t>
  </si>
  <si>
    <t xml:space="preserve">LP-0423</t>
  </si>
  <si>
    <t xml:space="preserve">WL-01778</t>
  </si>
  <si>
    <t xml:space="preserve">Margaret Brown</t>
  </si>
  <si>
    <t xml:space="preserve">DRIFT GLIDE</t>
  </si>
  <si>
    <t xml:space="preserve">TXN-202608-005106</t>
  </si>
  <si>
    <t xml:space="preserve">slip_inventory_2026-08.csv row 96; billing_transactions_2022_2026.csv row 45820</t>
  </si>
  <si>
    <t xml:space="preserve">LP-0424</t>
  </si>
  <si>
    <t xml:space="preserve">WL-02954</t>
  </si>
  <si>
    <t xml:space="preserve">Michael Perez</t>
  </si>
  <si>
    <t xml:space="preserve">TXN-202608-005152</t>
  </si>
  <si>
    <t xml:space="preserve">slip_inventory_2026-08.csv row 97; billing_transactions_2022_2026.csv row 45821</t>
  </si>
  <si>
    <t xml:space="preserve">LP-0502</t>
  </si>
  <si>
    <t xml:space="preserve">WL-02634</t>
  </si>
  <si>
    <t xml:space="preserve">Michelle Cooper</t>
  </si>
  <si>
    <t xml:space="preserve">KESTREL WAKE</t>
  </si>
  <si>
    <t xml:space="preserve">TXN-202608-005212</t>
  </si>
  <si>
    <t xml:space="preserve">slip_inventory_2026-08.csv row 99; billing_transactions_2022_2026.csv row 45822</t>
  </si>
  <si>
    <t xml:space="preserve">LP-0503</t>
  </si>
  <si>
    <t xml:space="preserve">WL-03603</t>
  </si>
  <si>
    <t xml:space="preserve">Steven Sanders</t>
  </si>
  <si>
    <t xml:space="preserve">PETREL PASSAGE</t>
  </si>
  <si>
    <t xml:space="preserve">TXN-202608-005253</t>
  </si>
  <si>
    <t xml:space="preserve">slip_inventory_2026-08.csv row 100; billing_transactions_2022_2026.csv row 45823</t>
  </si>
  <si>
    <t xml:space="preserve">WL-02974</t>
  </si>
  <si>
    <t xml:space="preserve">Natasha Wilson</t>
  </si>
  <si>
    <t xml:space="preserve">TXN-202608-005298</t>
  </si>
  <si>
    <t xml:space="preserve">slip_inventory_2026-08.csv row 101; billing_transactions_2022_2026.csv row 45825</t>
  </si>
  <si>
    <t xml:space="preserve">LP-0505</t>
  </si>
  <si>
    <t xml:space="preserve">WL-02433</t>
  </si>
  <si>
    <t xml:space="preserve">Jordan Casey</t>
  </si>
  <si>
    <t xml:space="preserve">TXN-202608-005363</t>
  </si>
  <si>
    <t xml:space="preserve">slip_inventory_2026-08.csv row 102; billing_transactions_2022_2026.csv row 45826</t>
  </si>
  <si>
    <t xml:space="preserve">LP-0506</t>
  </si>
  <si>
    <t xml:space="preserve">WL-01135</t>
  </si>
  <si>
    <t xml:space="preserve">Julia Mills</t>
  </si>
  <si>
    <t xml:space="preserve">BRANT SOUND</t>
  </si>
  <si>
    <t xml:space="preserve">TXN-202608-005422</t>
  </si>
  <si>
    <t xml:space="preserve">slip_inventory_2026-08.csv row 103; billing_transactions_2022_2026.csv row 45828</t>
  </si>
  <si>
    <t xml:space="preserve">LP-0507</t>
  </si>
  <si>
    <t xml:space="preserve">TXN-202608-005475</t>
  </si>
  <si>
    <t xml:space="preserve">slip_inventory_2026-08.csv row 104; billing_transactions_2022_2026.csv row 45829</t>
  </si>
  <si>
    <t xml:space="preserve">LP-0508</t>
  </si>
  <si>
    <t xml:space="preserve">WL-01855</t>
  </si>
  <si>
    <t xml:space="preserve">Maria Wright</t>
  </si>
  <si>
    <t xml:space="preserve">TXN-202608-005521</t>
  </si>
  <si>
    <t xml:space="preserve">slip_inventory_2026-08.csv row 105; billing_transactions_2022_2026.csv row 45830</t>
  </si>
  <si>
    <t xml:space="preserve">LP-0509</t>
  </si>
  <si>
    <t xml:space="preserve">WL-01968</t>
  </si>
  <si>
    <t xml:space="preserve">Cheryl Lewis</t>
  </si>
  <si>
    <t xml:space="preserve">TXN-202608-005573</t>
  </si>
  <si>
    <t xml:space="preserve">slip_inventory_2026-08.csv row 106; billing_transactions_2022_2026.csv row 45831</t>
  </si>
  <si>
    <t xml:space="preserve">LP-0510</t>
  </si>
  <si>
    <t xml:space="preserve">WL-03288</t>
  </si>
  <si>
    <t xml:space="preserve">Jaclyn Ingram</t>
  </si>
  <si>
    <t xml:space="preserve">TIDE BAY</t>
  </si>
  <si>
    <t xml:space="preserve">TXN-202608-005641</t>
  </si>
  <si>
    <t xml:space="preserve">slip_inventory_2026-08.csv row 107; billing_transactions_2022_2026.csv row 45832</t>
  </si>
  <si>
    <t xml:space="preserve">LP-0511</t>
  </si>
  <si>
    <t xml:space="preserve">WL-01060</t>
  </si>
  <si>
    <t xml:space="preserve">Michael Cole</t>
  </si>
  <si>
    <t xml:space="preserve">TXN-202608-005705</t>
  </si>
  <si>
    <t xml:space="preserve">slip_inventory_2026-08.csv row 108; billing_transactions_2022_2026.csv row 45833</t>
  </si>
  <si>
    <t xml:space="preserve">LP-0512</t>
  </si>
  <si>
    <t xml:space="preserve">WL-02938</t>
  </si>
  <si>
    <t xml:space="preserve">Micheal Perez</t>
  </si>
  <si>
    <t xml:space="preserve">TXN-202608-005752</t>
  </si>
  <si>
    <t xml:space="preserve">slip_inventory_2026-08.csv row 109; billing_transactions_2022_2026.csv row 45835</t>
  </si>
  <si>
    <t xml:space="preserve">WL-01509</t>
  </si>
  <si>
    <t xml:space="preserve">William Hatfield</t>
  </si>
  <si>
    <t xml:space="preserve">TIDE QUEEN</t>
  </si>
  <si>
    <t xml:space="preserve">TXN-202608-005804</t>
  </si>
  <si>
    <t xml:space="preserve">slip_inventory_2026-08.csv row 110; billing_transactions_2022_2026.csv row 45837</t>
  </si>
  <si>
    <t xml:space="preserve">WL-01036</t>
  </si>
  <si>
    <t xml:space="preserve">Brandy Rogers</t>
  </si>
  <si>
    <t xml:space="preserve">TXN-202608-005860</t>
  </si>
  <si>
    <t xml:space="preserve">slip_inventory_2026-08.csv row 111; billing_transactions_2022_2026.csv row 45839</t>
  </si>
  <si>
    <t xml:space="preserve">WL-03135</t>
  </si>
  <si>
    <t xml:space="preserve">Mallory Rodgers</t>
  </si>
  <si>
    <t xml:space="preserve">MURRE HARBOR</t>
  </si>
  <si>
    <t xml:space="preserve">TXN-202608-005932</t>
  </si>
  <si>
    <t xml:space="preserve">slip_inventory_2026-08.csv row 113; billing_transactions_2022_2026.csv row 45841</t>
  </si>
  <si>
    <t xml:space="preserve">LP-0517</t>
  </si>
  <si>
    <t xml:space="preserve">WL-02716</t>
  </si>
  <si>
    <t xml:space="preserve">John Nguyen</t>
  </si>
  <si>
    <t xml:space="preserve">TXN-202608-005973</t>
  </si>
  <si>
    <t xml:space="preserve">slip_inventory_2026-08.csv row 114; billing_transactions_2022_2026.csv row 45843</t>
  </si>
  <si>
    <t xml:space="preserve">LP-0518</t>
  </si>
  <si>
    <t xml:space="preserve">WL-02963</t>
  </si>
  <si>
    <t xml:space="preserve">Jennifer Liu</t>
  </si>
  <si>
    <t xml:space="preserve">WIDGEON MOON</t>
  </si>
  <si>
    <t xml:space="preserve">TXN-202608-006017</t>
  </si>
  <si>
    <t xml:space="preserve">slip_inventory_2026-08.csv row 115; billing_transactions_2022_2026.csv row 45844</t>
  </si>
  <si>
    <t xml:space="preserve">LP-0519</t>
  </si>
  <si>
    <t xml:space="preserve">POINT WEATHER</t>
  </si>
  <si>
    <t xml:space="preserve">TXN-202608-006076</t>
  </si>
  <si>
    <t xml:space="preserve">slip_inventory_2026-08.csv row 116; billing_transactions_2022_2026.csv row 45845</t>
  </si>
  <si>
    <t xml:space="preserve">WL-01896</t>
  </si>
  <si>
    <t xml:space="preserve">Meredith Williams</t>
  </si>
  <si>
    <t xml:space="preserve">TXN-202608-006145</t>
  </si>
  <si>
    <t xml:space="preserve">slip_inventory_2026-08.csv row 117; billing_transactions_2022_2026.csv row 45846</t>
  </si>
  <si>
    <t xml:space="preserve">LP-0521</t>
  </si>
  <si>
    <t xml:space="preserve">WL-03161</t>
  </si>
  <si>
    <t xml:space="preserve">Ashley Hall</t>
  </si>
  <si>
    <t xml:space="preserve">TXN-202608-006211</t>
  </si>
  <si>
    <t xml:space="preserve">slip_inventory_2026-08.csv row 118; billing_transactions_2022_2026.csv row 45847</t>
  </si>
  <si>
    <t xml:space="preserve">LP-0522</t>
  </si>
  <si>
    <t xml:space="preserve">WL-01604</t>
  </si>
  <si>
    <t xml:space="preserve">Patrick Barnes</t>
  </si>
  <si>
    <t xml:space="preserve">TXN-202608-006273</t>
  </si>
  <si>
    <t xml:space="preserve">slip_inventory_2026-08.csv row 119; billing_transactions_2022_2026.csv row 45849</t>
  </si>
  <si>
    <t xml:space="preserve">LP-0523</t>
  </si>
  <si>
    <t xml:space="preserve">WL-03212</t>
  </si>
  <si>
    <t xml:space="preserve">Damon Garcia</t>
  </si>
  <si>
    <t xml:space="preserve">WIDGEON STAR</t>
  </si>
  <si>
    <t xml:space="preserve">TXN-202608-006349</t>
  </si>
  <si>
    <t xml:space="preserve">slip_inventory_2026-08.csv row 120; billing_transactions_2022_2026.csv row 45851</t>
  </si>
  <si>
    <t xml:space="preserve">LP-0524</t>
  </si>
  <si>
    <t xml:space="preserve">WL-02695</t>
  </si>
  <si>
    <t xml:space="preserve">Anthony Hamilton</t>
  </si>
  <si>
    <t xml:space="preserve">FOUL LIGHT</t>
  </si>
  <si>
    <t xml:space="preserve">TXN-202608-006427</t>
  </si>
  <si>
    <t xml:space="preserve">slip_inventory_2026-08.csv row 121; billing_transactions_2022_2026.csv row 45853</t>
  </si>
  <si>
    <t xml:space="preserve">TXN-202608-006491</t>
  </si>
  <si>
    <t xml:space="preserve">slip_inventory_2026-08.csv row 122; billing_transactions_2022_2026.csv row 45854</t>
  </si>
  <si>
    <t xml:space="preserve">LP-0602</t>
  </si>
  <si>
    <t xml:space="preserve">WL-01342</t>
  </si>
  <si>
    <t xml:space="preserve">Lee Maldonado</t>
  </si>
  <si>
    <t xml:space="preserve">SCOTER PASSAGE</t>
  </si>
  <si>
    <t xml:space="preserve">TXN-202608-006543</t>
  </si>
  <si>
    <t xml:space="preserve">slip_inventory_2026-08.csv row 123; billing_transactions_2022_2026.csv row 45856</t>
  </si>
  <si>
    <t xml:space="preserve">LP-0603</t>
  </si>
  <si>
    <t xml:space="preserve">WL-02921</t>
  </si>
  <si>
    <t xml:space="preserve">Marissa Hatfield</t>
  </si>
  <si>
    <t xml:space="preserve">TXN-202608-006610</t>
  </si>
  <si>
    <t xml:space="preserve">slip_inventory_2026-08.csv row 124; billing_transactions_2022_2026.csv row 45858</t>
  </si>
  <si>
    <t xml:space="preserve">WL-02608</t>
  </si>
  <si>
    <t xml:space="preserve">Timothy Porter</t>
  </si>
  <si>
    <t xml:space="preserve">TXN-202608-006671</t>
  </si>
  <si>
    <t xml:space="preserve">slip_inventory_2026-08.csv row 125; billing_transactions_2022_2026.csv row 45859</t>
  </si>
  <si>
    <t xml:space="preserve">LP-0605</t>
  </si>
  <si>
    <t xml:space="preserve">WL-01747</t>
  </si>
  <si>
    <t xml:space="preserve">Andrew Anderson</t>
  </si>
  <si>
    <t xml:space="preserve">TXN-202608-006755</t>
  </si>
  <si>
    <t xml:space="preserve">slip_inventory_2026-08.csv row 126; billing_transactions_2022_2026.csv row 45861</t>
  </si>
  <si>
    <t xml:space="preserve">LP-0606</t>
  </si>
  <si>
    <t xml:space="preserve">WL-03735</t>
  </si>
  <si>
    <t xml:space="preserve">Kyle Foster</t>
  </si>
  <si>
    <t xml:space="preserve">TXN-202608-006821</t>
  </si>
  <si>
    <t xml:space="preserve">slip_inventory_2026-08.csv row 127; billing_transactions_2022_2026.csv row 45862</t>
  </si>
  <si>
    <t xml:space="preserve">LP-0607</t>
  </si>
  <si>
    <t xml:space="preserve">WL-01378</t>
  </si>
  <si>
    <t xml:space="preserve">Morgan Clark</t>
  </si>
  <si>
    <t xml:space="preserve">TXN-202608-006901</t>
  </si>
  <si>
    <t xml:space="preserve">slip_inventory_2026-08.csv row 128; billing_transactions_2022_2026.csv row 45863</t>
  </si>
  <si>
    <t xml:space="preserve">LP-0608</t>
  </si>
  <si>
    <t xml:space="preserve">WL-03905</t>
  </si>
  <si>
    <t xml:space="preserve">Jamie Carpenter</t>
  </si>
  <si>
    <t xml:space="preserve">TXN-202608-006979</t>
  </si>
  <si>
    <t xml:space="preserve">slip_inventory_2026-08.csv row 129; billing_transactions_2022_2026.csv row 45865</t>
  </si>
  <si>
    <t xml:space="preserve">WL-01602</t>
  </si>
  <si>
    <t xml:space="preserve">Micheal Martinez</t>
  </si>
  <si>
    <t xml:space="preserve">TXN-202608-007046</t>
  </si>
  <si>
    <t xml:space="preserve">slip_inventory_2026-08.csv row 130; billing_transactions_2022_2026.csv row 45866</t>
  </si>
  <si>
    <t xml:space="preserve">LP-0610</t>
  </si>
  <si>
    <t xml:space="preserve">WL-02905</t>
  </si>
  <si>
    <t xml:space="preserve">James Williams</t>
  </si>
  <si>
    <t xml:space="preserve">COHO LINE</t>
  </si>
  <si>
    <t xml:space="preserve">TXN-202608-007099</t>
  </si>
  <si>
    <t xml:space="preserve">slip_inventory_2026-08.csv row 131; billing_transactions_2022_2026.csv row 45868</t>
  </si>
  <si>
    <t xml:space="preserve">LP-0611</t>
  </si>
  <si>
    <t xml:space="preserve">WL-03556</t>
  </si>
  <si>
    <t xml:space="preserve">Scott Bird</t>
  </si>
  <si>
    <t xml:space="preserve">TXN-202608-007176</t>
  </si>
  <si>
    <t xml:space="preserve">slip_inventory_2026-08.csv row 132; billing_transactions_2022_2026.csv row 45869</t>
  </si>
  <si>
    <t xml:space="preserve">LP-0612</t>
  </si>
  <si>
    <t xml:space="preserve">WL-01625</t>
  </si>
  <si>
    <t xml:space="preserve">Albert Rowland</t>
  </si>
  <si>
    <t xml:space="preserve">TXN-202608-007262</t>
  </si>
  <si>
    <t xml:space="preserve">slip_inventory_2026-08.csv row 133; billing_transactions_2022_2026.csv row 45871</t>
  </si>
  <si>
    <t xml:space="preserve">LP-0613</t>
  </si>
  <si>
    <t xml:space="preserve">WL-03447</t>
  </si>
  <si>
    <t xml:space="preserve">Matthew Mcdonald</t>
  </si>
  <si>
    <t xml:space="preserve">TXN-202608-007316</t>
  </si>
  <si>
    <t xml:space="preserve">slip_inventory_2026-08.csv row 134; billing_transactions_2022_2026.csv row 45872</t>
  </si>
  <si>
    <t xml:space="preserve">WL-01107</t>
  </si>
  <si>
    <t xml:space="preserve">Dean Gonzalez</t>
  </si>
  <si>
    <t xml:space="preserve">TXN-202608-007382</t>
  </si>
  <si>
    <t xml:space="preserve">slip_inventory_2026-08.csv row 135; billing_transactions_2022_2026.csv row 45874</t>
  </si>
  <si>
    <t xml:space="preserve">LP-0615</t>
  </si>
  <si>
    <t xml:space="preserve">WL-03818</t>
  </si>
  <si>
    <t xml:space="preserve">Abigail Brooks</t>
  </si>
  <si>
    <t xml:space="preserve">TXN-202608-007438</t>
  </si>
  <si>
    <t xml:space="preserve">slip_inventory_2026-08.csv row 136; billing_transactions_2022_2026.csv row 45875</t>
  </si>
  <si>
    <t xml:space="preserve">WL-03854</t>
  </si>
  <si>
    <t xml:space="preserve">Brandon Jackson</t>
  </si>
  <si>
    <t xml:space="preserve">TXN-202608-007500</t>
  </si>
  <si>
    <t xml:space="preserve">slip_inventory_2026-08.csv row 137; billing_transactions_2022_2026.csv row 45876</t>
  </si>
  <si>
    <t xml:space="preserve">LP-0617</t>
  </si>
  <si>
    <t xml:space="preserve">WL-02073</t>
  </si>
  <si>
    <t xml:space="preserve">Susan Jordan</t>
  </si>
  <si>
    <t xml:space="preserve">TXN-202608-007544</t>
  </si>
  <si>
    <t xml:space="preserve">slip_inventory_2026-08.csv row 138; billing_transactions_2022_2026.csv row 45877</t>
  </si>
  <si>
    <t xml:space="preserve">LP-0618</t>
  </si>
  <si>
    <t xml:space="preserve">WL-01962</t>
  </si>
  <si>
    <t xml:space="preserve">Natalie Tyler</t>
  </si>
  <si>
    <t xml:space="preserve">HALIBUT PASSAGE</t>
  </si>
  <si>
    <t xml:space="preserve">TXN-202608-007614</t>
  </si>
  <si>
    <t xml:space="preserve">slip_inventory_2026-08.csv row 139; billing_transactions_2022_2026.csv row 45879</t>
  </si>
  <si>
    <t xml:space="preserve">LP-0620</t>
  </si>
  <si>
    <t xml:space="preserve">WL-02410</t>
  </si>
  <si>
    <t xml:space="preserve">Juan Martin</t>
  </si>
  <si>
    <t xml:space="preserve">SPINDRIFT BAY</t>
  </si>
  <si>
    <t xml:space="preserve">TXN-202608-007671</t>
  </si>
  <si>
    <t xml:space="preserve">slip_inventory_2026-08.csv row 141; billing_transactions_2022_2026.csv row 45880</t>
  </si>
  <si>
    <t xml:space="preserve">LP-0621</t>
  </si>
  <si>
    <t xml:space="preserve">WL-02194</t>
  </si>
  <si>
    <t xml:space="preserve">Victoria Williamson</t>
  </si>
  <si>
    <t xml:space="preserve">TXN-202608-007743</t>
  </si>
  <si>
    <t xml:space="preserve">slip_inventory_2026-08.csv row 142; billing_transactions_2022_2026.csv row 45881</t>
  </si>
  <si>
    <t xml:space="preserve">LP-0622</t>
  </si>
  <si>
    <t xml:space="preserve">FOUL WEATHER</t>
  </si>
  <si>
    <t xml:space="preserve">TXN-202608-007793</t>
  </si>
  <si>
    <t xml:space="preserve">slip_inventory_2026-08.csv row 143; billing_transactions_2022_2026.csv row 45882</t>
  </si>
  <si>
    <t xml:space="preserve">LP-0623</t>
  </si>
  <si>
    <t xml:space="preserve">WL-03096</t>
  </si>
  <si>
    <t xml:space="preserve">Craig Kelley</t>
  </si>
  <si>
    <t xml:space="preserve">COHO CREST</t>
  </si>
  <si>
    <t xml:space="preserve">TXN-202608-007847</t>
  </si>
  <si>
    <t xml:space="preserve">slip_inventory_2026-08.csv row 144; billing_transactions_2022_2026.csv row 45884</t>
  </si>
  <si>
    <t xml:space="preserve">LP-0624</t>
  </si>
  <si>
    <t xml:space="preserve">WL-02951</t>
  </si>
  <si>
    <t xml:space="preserve">Evelyn Thompson</t>
  </si>
  <si>
    <t xml:space="preserve">TXN-202608-007933</t>
  </si>
  <si>
    <t xml:space="preserve">slip_inventory_2026-08.csv row 145; billing_transactions_2022_2026.csv row 45885</t>
  </si>
  <si>
    <t xml:space="preserve">LP-0701</t>
  </si>
  <si>
    <t xml:space="preserve">MA-2024-0701</t>
  </si>
  <si>
    <t xml:space="preserve">WL-02344</t>
  </si>
  <si>
    <t xml:space="preserve">Michael Combs</t>
  </si>
  <si>
    <t xml:space="preserve">FOUL BAY</t>
  </si>
  <si>
    <t xml:space="preserve">TXN-202608-008015</t>
  </si>
  <si>
    <t xml:space="preserve">slip_inventory_2026-08.csv row 146; billing_transactions_2022_2026.csv row 45886</t>
  </si>
  <si>
    <t xml:space="preserve">LP-0702</t>
  </si>
  <si>
    <t xml:space="preserve">WL-01711</t>
  </si>
  <si>
    <t xml:space="preserve">TXN-202608-008093</t>
  </si>
  <si>
    <t xml:space="preserve">slip_inventory_2026-08.csv row 147; billing_transactions_2022_2026.csv row 45887</t>
  </si>
  <si>
    <t xml:space="preserve">LP-0703</t>
  </si>
  <si>
    <t xml:space="preserve">WL-03517</t>
  </si>
  <si>
    <t xml:space="preserve">Ruth Peters</t>
  </si>
  <si>
    <t xml:space="preserve">CORMORANT BAY</t>
  </si>
  <si>
    <t xml:space="preserve">TXN-202608-008150</t>
  </si>
  <si>
    <t xml:space="preserve">slip_inventory_2026-08.csv row 148; billing_transactions_2022_2026.csv row 45888</t>
  </si>
  <si>
    <t xml:space="preserve">LP-0704</t>
  </si>
  <si>
    <t xml:space="preserve">WL-02092</t>
  </si>
  <si>
    <t xml:space="preserve">Jason Brooks</t>
  </si>
  <si>
    <t xml:space="preserve">PETREL MIST</t>
  </si>
  <si>
    <t xml:space="preserve">TXN-202608-008231</t>
  </si>
  <si>
    <t xml:space="preserve">slip_inventory_2026-08.csv row 149; billing_transactions_2022_2026.csv row 45890</t>
  </si>
  <si>
    <t xml:space="preserve">WL-02327</t>
  </si>
  <si>
    <t xml:space="preserve">Sarah Hogan</t>
  </si>
  <si>
    <t xml:space="preserve">OTTER MIST</t>
  </si>
  <si>
    <t xml:space="preserve">TXN-202608-008302</t>
  </si>
  <si>
    <t xml:space="preserve">slip_inventory_2026-08.csv row 150; billing_transactions_2022_2026.csv row 45891</t>
  </si>
  <si>
    <t xml:space="preserve">WL-01857</t>
  </si>
  <si>
    <t xml:space="preserve">Anthony Morales</t>
  </si>
  <si>
    <t xml:space="preserve">TXN-202608-008377</t>
  </si>
  <si>
    <t xml:space="preserve">slip_inventory_2026-08.csv row 151; billing_transactions_2022_2026.csv row 45892</t>
  </si>
  <si>
    <t xml:space="preserve">LP-0707</t>
  </si>
  <si>
    <t xml:space="preserve">WL-02544</t>
  </si>
  <si>
    <t xml:space="preserve">Laurie Smith</t>
  </si>
  <si>
    <t xml:space="preserve">TXN-202608-008427</t>
  </si>
  <si>
    <t xml:space="preserve">slip_inventory_2026-08.csv row 152; billing_transactions_2022_2026.csv row 45894</t>
  </si>
  <si>
    <t xml:space="preserve">LP-0708</t>
  </si>
  <si>
    <t xml:space="preserve">WL-03803</t>
  </si>
  <si>
    <t xml:space="preserve">Elizabeth Mathews</t>
  </si>
  <si>
    <t xml:space="preserve">TXN-202608-008507</t>
  </si>
  <si>
    <t xml:space="preserve">slip_inventory_2026-08.csv row 153; billing_transactions_2022_2026.csv row 45896</t>
  </si>
  <si>
    <t xml:space="preserve">LP-0709</t>
  </si>
  <si>
    <t xml:space="preserve">HERON WIND</t>
  </si>
  <si>
    <t xml:space="preserve">TXN-202608-008563</t>
  </si>
  <si>
    <t xml:space="preserve">slip_inventory_2026-08.csv row 154; billing_transactions_2022_2026.csv row 45898</t>
  </si>
  <si>
    <t xml:space="preserve">LP-0710</t>
  </si>
  <si>
    <t xml:space="preserve">WL-03904</t>
  </si>
  <si>
    <t xml:space="preserve">Peggy Trevino</t>
  </si>
  <si>
    <t xml:space="preserve">BRANT SONG</t>
  </si>
  <si>
    <t xml:space="preserve">TXN-202608-008628</t>
  </si>
  <si>
    <t xml:space="preserve">slip_inventory_2026-08.csv row 155; billing_transactions_2022_2026.csv row 45900</t>
  </si>
  <si>
    <t xml:space="preserve">LP-0711</t>
  </si>
  <si>
    <t xml:space="preserve">WL-01740</t>
  </si>
  <si>
    <t xml:space="preserve">Lisa Wyatt</t>
  </si>
  <si>
    <t xml:space="preserve">PINTAIL BAY</t>
  </si>
  <si>
    <t xml:space="preserve">TXN-202608-008674</t>
  </si>
  <si>
    <t xml:space="preserve">slip_inventory_2026-08.csv row 156; billing_transactions_2022_2026.csv row 45902</t>
  </si>
  <si>
    <t xml:space="preserve">LP-0712</t>
  </si>
  <si>
    <t xml:space="preserve">WL-02936</t>
  </si>
  <si>
    <t xml:space="preserve">Matthew Spencer</t>
  </si>
  <si>
    <t xml:space="preserve">TXN-202608-008710</t>
  </si>
  <si>
    <t xml:space="preserve">slip_inventory_2026-08.csv row 157; billing_transactions_2022_2026.csv row 45904</t>
  </si>
  <si>
    <t xml:space="preserve">LP-0713</t>
  </si>
  <si>
    <t xml:space="preserve">WL-03438</t>
  </si>
  <si>
    <t xml:space="preserve">Stacey Mitchell</t>
  </si>
  <si>
    <t xml:space="preserve">TXN-202608-008763</t>
  </si>
  <si>
    <t xml:space="preserve">slip_inventory_2026-08.csv row 158; billing_transactions_2022_2026.csv row 45906</t>
  </si>
  <si>
    <t xml:space="preserve">LP-0714</t>
  </si>
  <si>
    <t xml:space="preserve">WL-01437</t>
  </si>
  <si>
    <t xml:space="preserve">Nicholas Woodward</t>
  </si>
  <si>
    <t xml:space="preserve">SEAL STAR</t>
  </si>
  <si>
    <t xml:space="preserve">TXN-202608-008838</t>
  </si>
  <si>
    <t xml:space="preserve">slip_inventory_2026-08.csv row 159; billing_transactions_2022_2026.csv row 45907</t>
  </si>
  <si>
    <t xml:space="preserve">WL-03454</t>
  </si>
  <si>
    <t xml:space="preserve">Jason Ramirez</t>
  </si>
  <si>
    <t xml:space="preserve">SABLE BAY</t>
  </si>
  <si>
    <t xml:space="preserve">TXN-202608-008888</t>
  </si>
  <si>
    <t xml:space="preserve">slip_inventory_2026-08.csv row 160; billing_transactions_2022_2026.csv row 45909</t>
  </si>
  <si>
    <t xml:space="preserve">LP-0716</t>
  </si>
  <si>
    <t xml:space="preserve">WL-03594</t>
  </si>
  <si>
    <t xml:space="preserve">Teresa Smith</t>
  </si>
  <si>
    <t xml:space="preserve">MURRE ANN</t>
  </si>
  <si>
    <t xml:space="preserve">TXN-202608-008941</t>
  </si>
  <si>
    <t xml:space="preserve">slip_inventory_2026-08.csv row 161; billing_transactions_2022_2026.csv row 45911</t>
  </si>
  <si>
    <t xml:space="preserve">LP-0717</t>
  </si>
  <si>
    <t xml:space="preserve">WL-01315</t>
  </si>
  <si>
    <t xml:space="preserve">Justin Richardson</t>
  </si>
  <si>
    <t xml:space="preserve">HERON MIST</t>
  </si>
  <si>
    <t xml:space="preserve">TXN-202608-008997</t>
  </si>
  <si>
    <t xml:space="preserve">slip_inventory_2026-08.csv row 162; billing_transactions_2022_2026.csv row 45913</t>
  </si>
  <si>
    <t xml:space="preserve">LP-0718</t>
  </si>
  <si>
    <t xml:space="preserve">WL-03399</t>
  </si>
  <si>
    <t xml:space="preserve">Charles Case</t>
  </si>
  <si>
    <t xml:space="preserve">TXN-202608-009047</t>
  </si>
  <si>
    <t xml:space="preserve">slip_inventory_2026-08.csv row 163; billing_transactions_2022_2026.csv row 45915</t>
  </si>
  <si>
    <t xml:space="preserve">LP-0719</t>
  </si>
  <si>
    <t xml:space="preserve">WL-02512</t>
  </si>
  <si>
    <t xml:space="preserve">Natalie Olsen</t>
  </si>
  <si>
    <t xml:space="preserve">TXN-202608-009113</t>
  </si>
  <si>
    <t xml:space="preserve">slip_inventory_2026-08.csv row 164; billing_transactions_2022_2026.csv row 45916</t>
  </si>
  <si>
    <t xml:space="preserve">LP-0720</t>
  </si>
  <si>
    <t xml:space="preserve">WL-01709</t>
  </si>
  <si>
    <t xml:space="preserve">Alexander Stephens</t>
  </si>
  <si>
    <t xml:space="preserve">TXN-202608-009164</t>
  </si>
  <si>
    <t xml:space="preserve">slip_inventory_2026-08.csv row 165; billing_transactions_2022_2026.csv row 45917</t>
  </si>
  <si>
    <t xml:space="preserve">WL-02525</t>
  </si>
  <si>
    <t xml:space="preserve">Matthew Wright</t>
  </si>
  <si>
    <t xml:space="preserve">TXN-202608-009235</t>
  </si>
  <si>
    <t xml:space="preserve">slip_inventory_2026-08.csv row 167; billing_transactions_2022_2026.csv row 45919</t>
  </si>
  <si>
    <t xml:space="preserve">LP-0723</t>
  </si>
  <si>
    <t xml:space="preserve">WL-01106</t>
  </si>
  <si>
    <t xml:space="preserve">ANCHOR QUEEN</t>
  </si>
  <si>
    <t xml:space="preserve">TXN-202608-009277</t>
  </si>
  <si>
    <t xml:space="preserve">slip_inventory_2026-08.csv row 168; billing_transactions_2022_2026.csv row 45920</t>
  </si>
  <si>
    <t xml:space="preserve">LP-0724</t>
  </si>
  <si>
    <t xml:space="preserve">WL-01738</t>
  </si>
  <si>
    <t xml:space="preserve">Zachary Kramer</t>
  </si>
  <si>
    <t xml:space="preserve">TXN-202608-009317</t>
  </si>
  <si>
    <t xml:space="preserve">slip_inventory_2026-08.csv row 169; billing_transactions_2022_2026.csv row 45921</t>
  </si>
  <si>
    <t xml:space="preserve">LP-0801</t>
  </si>
  <si>
    <t xml:space="preserve">WL-02322</t>
  </si>
  <si>
    <t xml:space="preserve">Allison Nguyen</t>
  </si>
  <si>
    <t xml:space="preserve">TXN-202608-009358</t>
  </si>
  <si>
    <t xml:space="preserve">slip_inventory_2026-08.csv row 170; billing_transactions_2022_2026.csv row 45923</t>
  </si>
  <si>
    <t xml:space="preserve">LP-0802</t>
  </si>
  <si>
    <t xml:space="preserve">TXN-202608-009428</t>
  </si>
  <si>
    <t xml:space="preserve">slip_inventory_2026-08.csv row 171; billing_transactions_2022_2026.csv row 45925</t>
  </si>
  <si>
    <t xml:space="preserve">WL-03367</t>
  </si>
  <si>
    <t xml:space="preserve">Jill Stevenson</t>
  </si>
  <si>
    <t xml:space="preserve">SEAL REACH</t>
  </si>
  <si>
    <t xml:space="preserve">TXN-202608-009493</t>
  </si>
  <si>
    <t xml:space="preserve">slip_inventory_2026-08.csv row 172; billing_transactions_2022_2026.csv row 45927</t>
  </si>
  <si>
    <t xml:space="preserve">LP-0805</t>
  </si>
  <si>
    <t xml:space="preserve">WL-02244</t>
  </si>
  <si>
    <t xml:space="preserve">Victoria Nash</t>
  </si>
  <si>
    <t xml:space="preserve">SABLE WAKE</t>
  </si>
  <si>
    <t xml:space="preserve">TXN-202608-009566</t>
  </si>
  <si>
    <t xml:space="preserve">slip_inventory_2026-08.csv row 174; billing_transactions_2022_2026.csv row 45928</t>
  </si>
  <si>
    <t xml:space="preserve">WL-02771</t>
  </si>
  <si>
    <t xml:space="preserve">Lisa Garcia</t>
  </si>
  <si>
    <t xml:space="preserve">TXN-202608-009636</t>
  </si>
  <si>
    <t xml:space="preserve">slip_inventory_2026-08.csv row 175; billing_transactions_2022_2026.csv row 45930</t>
  </si>
  <si>
    <t xml:space="preserve">LP-0807</t>
  </si>
  <si>
    <t xml:space="preserve">WL-02647</t>
  </si>
  <si>
    <t xml:space="preserve">Seth Perez</t>
  </si>
  <si>
    <t xml:space="preserve">COHO RUNNER</t>
  </si>
  <si>
    <t xml:space="preserve">TXN-202608-009719</t>
  </si>
  <si>
    <t xml:space="preserve">slip_inventory_2026-08.csv row 176; billing_transactions_2022_2026.csv row 45932</t>
  </si>
  <si>
    <t xml:space="preserve">LP-0808</t>
  </si>
  <si>
    <t xml:space="preserve">WL-03318</t>
  </si>
  <si>
    <t xml:space="preserve">Denise Jordan</t>
  </si>
  <si>
    <t xml:space="preserve">TXN-202608-009770</t>
  </si>
  <si>
    <t xml:space="preserve">slip_inventory_2026-08.csv row 177; billing_transactions_2022_2026.csv row 45933</t>
  </si>
  <si>
    <t xml:space="preserve">LP-0809</t>
  </si>
  <si>
    <t xml:space="preserve">WL-02205</t>
  </si>
  <si>
    <t xml:space="preserve">Robert Rivas</t>
  </si>
  <si>
    <t xml:space="preserve">TXN-202608-009852</t>
  </si>
  <si>
    <t xml:space="preserve">slip_inventory_2026-08.csv row 178; billing_transactions_2022_2026.csv row 45934</t>
  </si>
  <si>
    <t xml:space="preserve">LP-0811</t>
  </si>
  <si>
    <t xml:space="preserve">WL-02097</t>
  </si>
  <si>
    <t xml:space="preserve">Scott Brooks</t>
  </si>
  <si>
    <t xml:space="preserve">ANCHOR PASSAGE</t>
  </si>
  <si>
    <t xml:space="preserve">TXN-202608-009916</t>
  </si>
  <si>
    <t xml:space="preserve">slip_inventory_2026-08.csv row 180; billing_transactions_2022_2026.csv row 45936</t>
  </si>
  <si>
    <t xml:space="preserve">LP-0812</t>
  </si>
  <si>
    <t xml:space="preserve">WL-02511</t>
  </si>
  <si>
    <t xml:space="preserve">Brett Lee</t>
  </si>
  <si>
    <t xml:space="preserve">GRAY WEATHER</t>
  </si>
  <si>
    <t xml:space="preserve">TXN-202608-009999</t>
  </si>
  <si>
    <t xml:space="preserve">slip_inventory_2026-08.csv row 181; billing_transactions_2022_2026.csv row 45938</t>
  </si>
  <si>
    <t xml:space="preserve">LP-0813</t>
  </si>
  <si>
    <t xml:space="preserve">WL-02446</t>
  </si>
  <si>
    <t xml:space="preserve">Emily Parker</t>
  </si>
  <si>
    <t xml:space="preserve">TXN-202608-010077</t>
  </si>
  <si>
    <t xml:space="preserve">slip_inventory_2026-08.csv row 182; billing_transactions_2022_2026.csv row 45940</t>
  </si>
  <si>
    <t xml:space="preserve">LP-0814</t>
  </si>
  <si>
    <t xml:space="preserve">WL-02409</t>
  </si>
  <si>
    <t xml:space="preserve">Danny Sexton</t>
  </si>
  <si>
    <t xml:space="preserve">TXN-202608-010153</t>
  </si>
  <si>
    <t xml:space="preserve">slip_inventory_2026-08.csv row 183; billing_transactions_2022_2026.csv row 45941</t>
  </si>
  <si>
    <t xml:space="preserve">LP-0815</t>
  </si>
  <si>
    <t xml:space="preserve">WL-01947</t>
  </si>
  <si>
    <t xml:space="preserve">Teresa Mcdowell</t>
  </si>
  <si>
    <t xml:space="preserve">CORMORANT ANN</t>
  </si>
  <si>
    <t xml:space="preserve">TXN-202608-010227</t>
  </si>
  <si>
    <t xml:space="preserve">slip_inventory_2026-08.csv row 184; billing_transactions_2022_2026.csv row 45943</t>
  </si>
  <si>
    <t xml:space="preserve">WL-03243</t>
  </si>
  <si>
    <t xml:space="preserve">Jessica Long</t>
  </si>
  <si>
    <t xml:space="preserve">TXN-202608-010292</t>
  </si>
  <si>
    <t xml:space="preserve">slip_inventory_2026-08.csv row 185; billing_transactions_2022_2026.csv row 45944</t>
  </si>
  <si>
    <t xml:space="preserve">WL-03630</t>
  </si>
  <si>
    <t xml:space="preserve">Tiffany Torres</t>
  </si>
  <si>
    <t xml:space="preserve">SCOTER MIST</t>
  </si>
  <si>
    <t xml:space="preserve">TXN-202608-010354</t>
  </si>
  <si>
    <t xml:space="preserve">slip_inventory_2026-08.csv row 186; billing_transactions_2022_2026.csv row 45945</t>
  </si>
  <si>
    <t xml:space="preserve">LP-0818</t>
  </si>
  <si>
    <t xml:space="preserve">WL-02906</t>
  </si>
  <si>
    <t xml:space="preserve">Victor Turner</t>
  </si>
  <si>
    <t xml:space="preserve">TXN-202608-010428</t>
  </si>
  <si>
    <t xml:space="preserve">slip_inventory_2026-08.csv row 187; billing_transactions_2022_2026.csv row 45946</t>
  </si>
  <si>
    <t xml:space="preserve">LP-0819</t>
  </si>
  <si>
    <t xml:space="preserve">WL-02164</t>
  </si>
  <si>
    <t xml:space="preserve">Adrienne Thompson</t>
  </si>
  <si>
    <t xml:space="preserve">TXN-202608-010483</t>
  </si>
  <si>
    <t xml:space="preserve">slip_inventory_2026-08.csv row 188; billing_transactions_2022_2026.csv row 45947</t>
  </si>
  <si>
    <t xml:space="preserve">TXN-202608-010563</t>
  </si>
  <si>
    <t xml:space="preserve">slip_inventory_2026-08.csv row 189; billing_transactions_2022_2026.csv row 45949</t>
  </si>
  <si>
    <t xml:space="preserve">LP-0821</t>
  </si>
  <si>
    <t xml:space="preserve">WL-03375</t>
  </si>
  <si>
    <t xml:space="preserve">Debra Rogers</t>
  </si>
  <si>
    <t xml:space="preserve">TXN-202608-010626</t>
  </si>
  <si>
    <t xml:space="preserve">slip_inventory_2026-08.csv row 190; billing_transactions_2022_2026.csv row 45951</t>
  </si>
  <si>
    <t xml:space="preserve">WL-02728</t>
  </si>
  <si>
    <t xml:space="preserve">Ralph Archer</t>
  </si>
  <si>
    <t xml:space="preserve">TXN-202608-010690</t>
  </si>
  <si>
    <t xml:space="preserve">slip_inventory_2026-08.csv row 191; billing_transactions_2022_2026.csv row 45953</t>
  </si>
  <si>
    <t xml:space="preserve">LP-0823</t>
  </si>
  <si>
    <t xml:space="preserve">WL-03320</t>
  </si>
  <si>
    <t xml:space="preserve">Maria Robinson</t>
  </si>
  <si>
    <t xml:space="preserve">COHO MOON</t>
  </si>
  <si>
    <t xml:space="preserve">TXN-202608-010741</t>
  </si>
  <si>
    <t xml:space="preserve">slip_inventory_2026-08.csv row 192; billing_transactions_2022_2026.csv row 45954</t>
  </si>
  <si>
    <t xml:space="preserve">LP-0824</t>
  </si>
  <si>
    <t xml:space="preserve">MA-2024-0824</t>
  </si>
  <si>
    <t xml:space="preserve">WL-01024</t>
  </si>
  <si>
    <t xml:space="preserve">Jennifer Henson</t>
  </si>
  <si>
    <t xml:space="preserve">TXN-202608-010787</t>
  </si>
  <si>
    <t xml:space="preserve">slip_inventory_2026-08.csv row 193; billing_transactions_2022_2026.csv row 45956</t>
  </si>
  <si>
    <t xml:space="preserve">WL-02661</t>
  </si>
  <si>
    <t xml:space="preserve">Angela Poole</t>
  </si>
  <si>
    <t xml:space="preserve">HERON BAY</t>
  </si>
  <si>
    <t xml:space="preserve">TXN-202608-010867</t>
  </si>
  <si>
    <t xml:space="preserve">slip_inventory_2026-08.csv row 194; billing_transactions_2022_2026.csv row 45958</t>
  </si>
  <si>
    <t xml:space="preserve">LP-0902</t>
  </si>
  <si>
    <t xml:space="preserve">WL-01872</t>
  </si>
  <si>
    <t xml:space="preserve">Neil Adkins</t>
  </si>
  <si>
    <t xml:space="preserve">TXN-202608-010915</t>
  </si>
  <si>
    <t xml:space="preserve">slip_inventory_2026-08.csv row 195; billing_transactions_2022_2026.csv row 45960</t>
  </si>
  <si>
    <t xml:space="preserve">LP-0903</t>
  </si>
  <si>
    <t xml:space="preserve">TXN-202608-010994</t>
  </si>
  <si>
    <t xml:space="preserve">slip_inventory_2026-08.csv row 196; billing_transactions_2022_2026.csv row 45962</t>
  </si>
  <si>
    <t xml:space="preserve">LP-0904</t>
  </si>
  <si>
    <t xml:space="preserve">WL-03771</t>
  </si>
  <si>
    <t xml:space="preserve">Alexander Cross</t>
  </si>
  <si>
    <t xml:space="preserve">WIDGEON WAKE</t>
  </si>
  <si>
    <t xml:space="preserve">TXN-202608-011040</t>
  </si>
  <si>
    <t xml:space="preserve">slip_inventory_2026-08.csv row 197; billing_transactions_2022_2026.csv row 45963</t>
  </si>
  <si>
    <t xml:space="preserve">LP-0905</t>
  </si>
  <si>
    <t xml:space="preserve">WL-01795</t>
  </si>
  <si>
    <t xml:space="preserve">Emily Alexander</t>
  </si>
  <si>
    <t xml:space="preserve">TXN-202608-011113</t>
  </si>
  <si>
    <t xml:space="preserve">slip_inventory_2026-08.csv row 198; billing_transactions_2022_2026.csv row 45965</t>
  </si>
  <si>
    <t xml:space="preserve">WL-03019</t>
  </si>
  <si>
    <t xml:space="preserve">Denise Bonilla</t>
  </si>
  <si>
    <t xml:space="preserve">KESTREL QUEEN</t>
  </si>
  <si>
    <t xml:space="preserve">TXN-202608-011186</t>
  </si>
  <si>
    <t xml:space="preserve">slip_inventory_2026-08.csv row 199; billing_transactions_2022_2026.csv row 45966</t>
  </si>
  <si>
    <t xml:space="preserve">LP-0907</t>
  </si>
  <si>
    <t xml:space="preserve">WL-02873</t>
  </si>
  <si>
    <t xml:space="preserve">Brittany Wilkerson</t>
  </si>
  <si>
    <t xml:space="preserve">TXN-202608-011262</t>
  </si>
  <si>
    <t xml:space="preserve">slip_inventory_2026-08.csv row 200; billing_transactions_2022_2026.csv row 45967</t>
  </si>
  <si>
    <t xml:space="preserve">WL-01005</t>
  </si>
  <si>
    <t xml:space="preserve">Joseph Sharp</t>
  </si>
  <si>
    <t xml:space="preserve">TXN-202608-011328</t>
  </si>
  <si>
    <t xml:space="preserve">slip_inventory_2026-08.csv row 201; billing_transactions_2022_2026.csv row 45968</t>
  </si>
  <si>
    <t xml:space="preserve">LP-0909</t>
  </si>
  <si>
    <t xml:space="preserve">PETREL LIGHT</t>
  </si>
  <si>
    <t xml:space="preserve">TXN-202608-011387</t>
  </si>
  <si>
    <t xml:space="preserve">slip_inventory_2026-08.csv row 202; billing_transactions_2022_2026.csv row 45969</t>
  </si>
  <si>
    <t xml:space="preserve">LP-0910</t>
  </si>
  <si>
    <t xml:space="preserve">WL-01992</t>
  </si>
  <si>
    <t xml:space="preserve">John Davis</t>
  </si>
  <si>
    <t xml:space="preserve">TXN-202608-011449</t>
  </si>
  <si>
    <t xml:space="preserve">slip_inventory_2026-08.csv row 203; billing_transactions_2022_2026.csv row 45970</t>
  </si>
  <si>
    <t xml:space="preserve">LP-0911</t>
  </si>
  <si>
    <t xml:space="preserve">POINT SONG</t>
  </si>
  <si>
    <t xml:space="preserve">TXN-202608-011512</t>
  </si>
  <si>
    <t xml:space="preserve">slip_inventory_2026-08.csv row 204; billing_transactions_2022_2026.csv row 45972</t>
  </si>
  <si>
    <t xml:space="preserve">LP-0912</t>
  </si>
  <si>
    <t xml:space="preserve">WL-02965</t>
  </si>
  <si>
    <t xml:space="preserve">Harry Koch</t>
  </si>
  <si>
    <t xml:space="preserve">TXN-202608-011585</t>
  </si>
  <si>
    <t xml:space="preserve">slip_inventory_2026-08.csv row 205; billing_transactions_2022_2026.csv row 45974</t>
  </si>
  <si>
    <t xml:space="preserve">LP-0913</t>
  </si>
  <si>
    <t xml:space="preserve">WL-02303</t>
  </si>
  <si>
    <t xml:space="preserve">Christina Hernandez</t>
  </si>
  <si>
    <t xml:space="preserve">TXN-202608-011646</t>
  </si>
  <si>
    <t xml:space="preserve">slip_inventory_2026-08.csv row 206; billing_transactions_2022_2026.csv row 45975</t>
  </si>
  <si>
    <t xml:space="preserve">LP-0914</t>
  </si>
  <si>
    <t xml:space="preserve">WL-01697</t>
  </si>
  <si>
    <t xml:space="preserve">Paige Brown</t>
  </si>
  <si>
    <t xml:space="preserve">TXN-202608-011702</t>
  </si>
  <si>
    <t xml:space="preserve">slip_inventory_2026-08.csv row 207; billing_transactions_2022_2026.csv row 45976</t>
  </si>
  <si>
    <t xml:space="preserve">WL-01416</t>
  </si>
  <si>
    <t xml:space="preserve">Carmen Hernandez</t>
  </si>
  <si>
    <t xml:space="preserve">SCOTER REACH</t>
  </si>
  <si>
    <t xml:space="preserve">TXN-202608-011766</t>
  </si>
  <si>
    <t xml:space="preserve">slip_inventory_2026-08.csv row 208; billing_transactions_2022_2026.csv row 45977</t>
  </si>
  <si>
    <t xml:space="preserve">LP-0917</t>
  </si>
  <si>
    <t xml:space="preserve">WL-01392</t>
  </si>
  <si>
    <t xml:space="preserve">Ryan Carr</t>
  </si>
  <si>
    <t xml:space="preserve">TIDE CREST</t>
  </si>
  <si>
    <t xml:space="preserve">TXN-202608-011847</t>
  </si>
  <si>
    <t xml:space="preserve">slip_inventory_2026-08.csv row 210; billing_transactions_2022_2026.csv row 45979</t>
  </si>
  <si>
    <t xml:space="preserve">LP-0918</t>
  </si>
  <si>
    <t xml:space="preserve">WL-03842</t>
  </si>
  <si>
    <t xml:space="preserve">Jennifer Campbell</t>
  </si>
  <si>
    <t xml:space="preserve">ANCHOR SOUND</t>
  </si>
  <si>
    <t xml:space="preserve">TXN-202608-011919</t>
  </si>
  <si>
    <t xml:space="preserve">slip_inventory_2026-08.csv row 211; billing_transactions_2022_2026.csv row 45980</t>
  </si>
  <si>
    <t xml:space="preserve">LP-0919</t>
  </si>
  <si>
    <t xml:space="preserve">WL-02994</t>
  </si>
  <si>
    <t xml:space="preserve">Pamela Wright</t>
  </si>
  <si>
    <t xml:space="preserve">TXN-202608-011956</t>
  </si>
  <si>
    <t xml:space="preserve">slip_inventory_2026-08.csv row 212; billing_transactions_2022_2026.csv row 45981</t>
  </si>
  <si>
    <t xml:space="preserve">LP-0920</t>
  </si>
  <si>
    <t xml:space="preserve">WL-01174</t>
  </si>
  <si>
    <t xml:space="preserve">Jason Kim</t>
  </si>
  <si>
    <t xml:space="preserve">TXN-202608-012022</t>
  </si>
  <si>
    <t xml:space="preserve">slip_inventory_2026-08.csv row 213; billing_transactions_2022_2026.csv row 45982</t>
  </si>
  <si>
    <t xml:space="preserve">LP-0921</t>
  </si>
  <si>
    <t xml:space="preserve">WL-02368</t>
  </si>
  <si>
    <t xml:space="preserve">Chris Chavez</t>
  </si>
  <si>
    <t xml:space="preserve">COHO ROSE</t>
  </si>
  <si>
    <t xml:space="preserve">TXN-202608-012059</t>
  </si>
  <si>
    <t xml:space="preserve">slip_inventory_2026-08.csv row 214; billing_transactions_2022_2026.csv row 45983</t>
  </si>
  <si>
    <t xml:space="preserve">LP-0922</t>
  </si>
  <si>
    <t xml:space="preserve">SPINDRIFT SONG</t>
  </si>
  <si>
    <t xml:space="preserve">TXN-202608-012124</t>
  </si>
  <si>
    <t xml:space="preserve">slip_inventory_2026-08.csv row 215; billing_transactions_2022_2026.csv row 45985</t>
  </si>
  <si>
    <t xml:space="preserve">WL-02672</t>
  </si>
  <si>
    <t xml:space="preserve">Russell Barnes</t>
  </si>
  <si>
    <t xml:space="preserve">TXN-202608-012196</t>
  </si>
  <si>
    <t xml:space="preserve">slip_inventory_2026-08.csv row 216; billing_transactions_2022_2026.csv row 45987</t>
  </si>
  <si>
    <t xml:space="preserve">LP-0924</t>
  </si>
  <si>
    <t xml:space="preserve">MA-2024-0924</t>
  </si>
  <si>
    <t xml:space="preserve">WL-01312</t>
  </si>
  <si>
    <t xml:space="preserve">Matthew King</t>
  </si>
  <si>
    <t xml:space="preserve">TXN-202608-012242</t>
  </si>
  <si>
    <t xml:space="preserve">slip_inventory_2026-08.csv row 217; billing_transactions_2022_2026.csv row 45988</t>
  </si>
  <si>
    <t xml:space="preserve">WL-03184</t>
  </si>
  <si>
    <t xml:space="preserve">Lindsay Alexander</t>
  </si>
  <si>
    <t xml:space="preserve">SALISH MIST</t>
  </si>
  <si>
    <t xml:space="preserve">TXN-202608-012320</t>
  </si>
  <si>
    <t xml:space="preserve">slip_inventory_2026-08.csv row 218; billing_transactions_2022_2026.csv row 45990</t>
  </si>
  <si>
    <t xml:space="preserve">LP-1002</t>
  </si>
  <si>
    <t xml:space="preserve">WL-03393</t>
  </si>
  <si>
    <t xml:space="preserve">Richard Norris</t>
  </si>
  <si>
    <t xml:space="preserve">SALISH SOUND</t>
  </si>
  <si>
    <t xml:space="preserve">TXN-202608-012378</t>
  </si>
  <si>
    <t xml:space="preserve">slip_inventory_2026-08.csv row 219; billing_transactions_2022_2026.csv row 45991</t>
  </si>
  <si>
    <t xml:space="preserve">LP-1003</t>
  </si>
  <si>
    <t xml:space="preserve">WL-01310</t>
  </si>
  <si>
    <t xml:space="preserve">Donna Weber</t>
  </si>
  <si>
    <t xml:space="preserve">TXN-202608-012439</t>
  </si>
  <si>
    <t xml:space="preserve">slip_inventory_2026-08.csv row 220; billing_transactions_2022_2026.csv row 45993</t>
  </si>
  <si>
    <t xml:space="preserve">LP-1004</t>
  </si>
  <si>
    <t xml:space="preserve">WL-03418</t>
  </si>
  <si>
    <t xml:space="preserve">Mary Ford</t>
  </si>
  <si>
    <t xml:space="preserve">FOUL RUNNER</t>
  </si>
  <si>
    <t xml:space="preserve">TXN-202608-012506</t>
  </si>
  <si>
    <t xml:space="preserve">slip_inventory_2026-08.csv row 221; billing_transactions_2022_2026.csv row 45995</t>
  </si>
  <si>
    <t xml:space="preserve">LP-1005</t>
  </si>
  <si>
    <t xml:space="preserve">WL-03728</t>
  </si>
  <si>
    <t xml:space="preserve">Gary Wade</t>
  </si>
  <si>
    <t xml:space="preserve">TXN-202608-012563</t>
  </si>
  <si>
    <t xml:space="preserve">slip_inventory_2026-08.csv row 222; billing_transactions_2022_2026.csv row 45997</t>
  </si>
  <si>
    <t xml:space="preserve">LP-1006</t>
  </si>
  <si>
    <t xml:space="preserve">WL-02721</t>
  </si>
  <si>
    <t xml:space="preserve">Carol Scott</t>
  </si>
  <si>
    <t xml:space="preserve">KESTREL ROCK</t>
  </si>
  <si>
    <t xml:space="preserve">TXN-202608-012635</t>
  </si>
  <si>
    <t xml:space="preserve">slip_inventory_2026-08.csv row 223; billing_transactions_2022_2026.csv row 45998</t>
  </si>
  <si>
    <t xml:space="preserve">LP-1007</t>
  </si>
  <si>
    <t xml:space="preserve">WL-03683</t>
  </si>
  <si>
    <t xml:space="preserve">Shawn Carter</t>
  </si>
  <si>
    <t xml:space="preserve">TXN-202608-012709</t>
  </si>
  <si>
    <t xml:space="preserve">slip_inventory_2026-08.csv row 224; billing_transactions_2022_2026.csv row 45999</t>
  </si>
  <si>
    <t xml:space="preserve">LP-1008</t>
  </si>
  <si>
    <t xml:space="preserve">WL-02719</t>
  </si>
  <si>
    <t xml:space="preserve">Travis Sexton</t>
  </si>
  <si>
    <t xml:space="preserve">TXN-202608-012767</t>
  </si>
  <si>
    <t xml:space="preserve">slip_inventory_2026-08.csv row 225; billing_transactions_2022_2026.csv row 46000</t>
  </si>
  <si>
    <t xml:space="preserve">WL-01829</t>
  </si>
  <si>
    <t xml:space="preserve">Bradley Franklin</t>
  </si>
  <si>
    <t xml:space="preserve">TXN-202608-012832</t>
  </si>
  <si>
    <t xml:space="preserve">slip_inventory_2026-08.csv row 226; billing_transactions_2022_2026.csv row 46002</t>
  </si>
  <si>
    <t xml:space="preserve">LP-1010</t>
  </si>
  <si>
    <t xml:space="preserve">WL-01700</t>
  </si>
  <si>
    <t xml:space="preserve">Sherry Fletcher</t>
  </si>
  <si>
    <t xml:space="preserve">TXN-202608-012877</t>
  </si>
  <si>
    <t xml:space="preserve">slip_inventory_2026-08.csv row 227; billing_transactions_2022_2026.csv row 46003</t>
  </si>
  <si>
    <t xml:space="preserve">LP-1011</t>
  </si>
  <si>
    <t xml:space="preserve">TXN-202608-012944</t>
  </si>
  <si>
    <t xml:space="preserve">slip_inventory_2026-08.csv row 228; billing_transactions_2022_2026.csv row 46004</t>
  </si>
  <si>
    <t xml:space="preserve">LP-1012</t>
  </si>
  <si>
    <t xml:space="preserve">WL-02088</t>
  </si>
  <si>
    <t xml:space="preserve">Yvonne Collins</t>
  </si>
  <si>
    <t xml:space="preserve">WIDGEON WEATHER</t>
  </si>
  <si>
    <t xml:space="preserve">TXN-202608-012991</t>
  </si>
  <si>
    <t xml:space="preserve">slip_inventory_2026-08.csv row 229; billing_transactions_2022_2026.csv row 46005</t>
  </si>
  <si>
    <t xml:space="preserve">LP-1013</t>
  </si>
  <si>
    <t xml:space="preserve">TXN-202608-013039</t>
  </si>
  <si>
    <t xml:space="preserve">slip_inventory_2026-08.csv row 230; billing_transactions_2022_2026.csv row 46006</t>
  </si>
  <si>
    <t xml:space="preserve">LP-1014</t>
  </si>
  <si>
    <t xml:space="preserve">TXN-202608-013099</t>
  </si>
  <si>
    <t xml:space="preserve">slip_inventory_2026-08.csv row 231; billing_transactions_2022_2026.csv row 46007</t>
  </si>
  <si>
    <t xml:space="preserve">LP-1016</t>
  </si>
  <si>
    <t xml:space="preserve">WL-03089</t>
  </si>
  <si>
    <t xml:space="preserve">Joshua Rivera</t>
  </si>
  <si>
    <t xml:space="preserve">TXN-202608-013163</t>
  </si>
  <si>
    <t xml:space="preserve">slip_inventory_2026-08.csv row 233; billing_transactions_2022_2026.csv row 46009</t>
  </si>
  <si>
    <t xml:space="preserve">LP-1017</t>
  </si>
  <si>
    <t xml:space="preserve">WL-01838</t>
  </si>
  <si>
    <t xml:space="preserve">James Gregory</t>
  </si>
  <si>
    <t xml:space="preserve">TXN-202608-013209</t>
  </si>
  <si>
    <t xml:space="preserve">slip_inventory_2026-08.csv row 234; billing_transactions_2022_2026.csv row 46010</t>
  </si>
  <si>
    <t xml:space="preserve">LP-1018</t>
  </si>
  <si>
    <t xml:space="preserve">WL-01243</t>
  </si>
  <si>
    <t xml:space="preserve">Christina Rivera</t>
  </si>
  <si>
    <t xml:space="preserve">TXN-202608-013255</t>
  </si>
  <si>
    <t xml:space="preserve">slip_inventory_2026-08.csv row 235; billing_transactions_2022_2026.csv row 46012</t>
  </si>
  <si>
    <t xml:space="preserve">LP-1020</t>
  </si>
  <si>
    <t xml:space="preserve">WL-01990</t>
  </si>
  <si>
    <t xml:space="preserve">Michael Taylor</t>
  </si>
  <si>
    <t xml:space="preserve">TXN-202608-013320</t>
  </si>
  <si>
    <t xml:space="preserve">slip_inventory_2026-08.csv row 237; billing_transactions_2022_2026.csv row 46013</t>
  </si>
  <si>
    <t xml:space="preserve">LP-1021</t>
  </si>
  <si>
    <t xml:space="preserve">WL-02827</t>
  </si>
  <si>
    <t xml:space="preserve">Kimberly Wilson</t>
  </si>
  <si>
    <t xml:space="preserve">DRIFT WAKE</t>
  </si>
  <si>
    <t xml:space="preserve">TXN-202608-013399</t>
  </si>
  <si>
    <t xml:space="preserve">slip_inventory_2026-08.csv row 238; billing_transactions_2022_2026.csv row 46015</t>
  </si>
  <si>
    <t xml:space="preserve">LP-1022</t>
  </si>
  <si>
    <t xml:space="preserve">WL-01807</t>
  </si>
  <si>
    <t xml:space="preserve">Kathleen Mcdonald</t>
  </si>
  <si>
    <t xml:space="preserve">TXN-202608-013452</t>
  </si>
  <si>
    <t xml:space="preserve">slip_inventory_2026-08.csv row 239; billing_transactions_2022_2026.csv row 46016</t>
  </si>
  <si>
    <t xml:space="preserve">LP-1023</t>
  </si>
  <si>
    <t xml:space="preserve">WL-01364</t>
  </si>
  <si>
    <t xml:space="preserve">Patrick Richmond</t>
  </si>
  <si>
    <t xml:space="preserve">TXN-202608-013502</t>
  </si>
  <si>
    <t xml:space="preserve">slip_inventory_2026-08.csv row 240; billing_transactions_2022_2026.csv row 46017</t>
  </si>
  <si>
    <t xml:space="preserve">WL-01028</t>
  </si>
  <si>
    <t xml:space="preserve">Brittany Benson</t>
  </si>
  <si>
    <t xml:space="preserve">TXN-202608-013548</t>
  </si>
  <si>
    <t xml:space="preserve">slip_inventory_2026-08.csv row 241; billing_transactions_2022_2026.csv row 46018</t>
  </si>
  <si>
    <t xml:space="preserve">MA-2024-1102</t>
  </si>
  <si>
    <t xml:space="preserve">WL-03792</t>
  </si>
  <si>
    <t xml:space="preserve">Rodney Morris</t>
  </si>
  <si>
    <t xml:space="preserve">TXN-202608-013588</t>
  </si>
  <si>
    <t xml:space="preserve">slip_inventory_2026-08.csv row 243; billing_transactions_2022_2026.csv row 46020</t>
  </si>
  <si>
    <t xml:space="preserve">MA-2024-1103</t>
  </si>
  <si>
    <t xml:space="preserve">WL-03118</t>
  </si>
  <si>
    <t xml:space="preserve">Amanda Clayton</t>
  </si>
  <si>
    <t xml:space="preserve">SCOTER GLIDE</t>
  </si>
  <si>
    <t xml:space="preserve">TXN-202608-013657</t>
  </si>
  <si>
    <t xml:space="preserve">slip_inventory_2026-08.csv row 244; billing_transactions_2022_2026.csv row 46022</t>
  </si>
  <si>
    <t xml:space="preserve">MA-2024-1104</t>
  </si>
  <si>
    <t xml:space="preserve">WL-03003</t>
  </si>
  <si>
    <t xml:space="preserve">Trevor Turner</t>
  </si>
  <si>
    <t xml:space="preserve">TXN-202608-013719</t>
  </si>
  <si>
    <t xml:space="preserve">slip_inventory_2026-08.csv row 245; billing_transactions_2022_2026.csv row 46023</t>
  </si>
  <si>
    <t xml:space="preserve">MA-2024-1105</t>
  </si>
  <si>
    <t xml:space="preserve">WL-02015</t>
  </si>
  <si>
    <t xml:space="preserve">Kenneth Frazier</t>
  </si>
  <si>
    <t xml:space="preserve">HERON VEER</t>
  </si>
  <si>
    <t xml:space="preserve">TXN-202608-013761</t>
  </si>
  <si>
    <t xml:space="preserve">slip_inventory_2026-08.csv row 246; billing_transactions_2022_2026.csv row 46025</t>
  </si>
  <si>
    <t xml:space="preserve">LP-1106</t>
  </si>
  <si>
    <t xml:space="preserve">MA-2024-1106</t>
  </si>
  <si>
    <t xml:space="preserve">WL-01668</t>
  </si>
  <si>
    <t xml:space="preserve">Marisa Alexander</t>
  </si>
  <si>
    <t xml:space="preserve">BRANT STAR</t>
  </si>
  <si>
    <t xml:space="preserve">TXN-202608-013807</t>
  </si>
  <si>
    <t xml:space="preserve">slip_inventory_2026-08.csv row 247; billing_transactions_2022_2026.csv row 46026</t>
  </si>
  <si>
    <t xml:space="preserve">MA-2024-1107</t>
  </si>
  <si>
    <t xml:space="preserve">WL-03768</t>
  </si>
  <si>
    <t xml:space="preserve">Michael Ramirez</t>
  </si>
  <si>
    <t xml:space="preserve">CORMORANT SOUND</t>
  </si>
  <si>
    <t xml:space="preserve">TXN-202608-013873</t>
  </si>
  <si>
    <t xml:space="preserve">slip_inventory_2026-08.csv row 248; billing_transactions_2022_2026.csv row 46028</t>
  </si>
  <si>
    <t xml:space="preserve">MA-2024-1108</t>
  </si>
  <si>
    <t xml:space="preserve">WL-02575</t>
  </si>
  <si>
    <t xml:space="preserve">Victoria Aguirre</t>
  </si>
  <si>
    <t xml:space="preserve">TXN-202608-013934</t>
  </si>
  <si>
    <t xml:space="preserve">slip_inventory_2026-08.csv row 249; billing_transactions_2022_2026.csv row 46029</t>
  </si>
  <si>
    <t xml:space="preserve">MA-2024-1109</t>
  </si>
  <si>
    <t xml:space="preserve">WL-02691</t>
  </si>
  <si>
    <t xml:space="preserve">Pamela Le</t>
  </si>
  <si>
    <t xml:space="preserve">TXN-202608-014015</t>
  </si>
  <si>
    <t xml:space="preserve">slip_inventory_2026-08.csv row 250; billing_transactions_2022_2026.csv row 46031</t>
  </si>
  <si>
    <t xml:space="preserve">LP-1110</t>
  </si>
  <si>
    <t xml:space="preserve">MA-2024-1110</t>
  </si>
  <si>
    <t xml:space="preserve">WL-01093</t>
  </si>
  <si>
    <t xml:space="preserve">John Garcia</t>
  </si>
  <si>
    <t xml:space="preserve">TXN-202608-014077</t>
  </si>
  <si>
    <t xml:space="preserve">slip_inventory_2026-08.csv row 251; billing_transactions_2022_2026.csv row 46032</t>
  </si>
  <si>
    <t xml:space="preserve">LP-1111</t>
  </si>
  <si>
    <t xml:space="preserve">MA-2024-1111</t>
  </si>
  <si>
    <t xml:space="preserve">TXN-202608-014138</t>
  </si>
  <si>
    <t xml:space="preserve">slip_inventory_2026-08.csv row 252; billing_transactions_2022_2026.csv row 46033</t>
  </si>
  <si>
    <t xml:space="preserve">LP-1112</t>
  </si>
  <si>
    <t xml:space="preserve">MA-2024-1112</t>
  </si>
  <si>
    <t xml:space="preserve">WL-03706</t>
  </si>
  <si>
    <t xml:space="preserve">Nicole Richmond</t>
  </si>
  <si>
    <t xml:space="preserve">TXN-202608-014207</t>
  </si>
  <si>
    <t xml:space="preserve">slip_inventory_2026-08.csv row 253; billing_transactions_2022_2026.csv row 46035</t>
  </si>
  <si>
    <t xml:space="preserve">LP-1113</t>
  </si>
  <si>
    <t xml:space="preserve">MA-2024-1113</t>
  </si>
  <si>
    <t xml:space="preserve">WL-02029</t>
  </si>
  <si>
    <t xml:space="preserve">Whitney Jackson</t>
  </si>
  <si>
    <t xml:space="preserve">TXN-202608-014275</t>
  </si>
  <si>
    <t xml:space="preserve">slip_inventory_2026-08.csv row 254; billing_transactions_2022_2026.csv row 46037</t>
  </si>
  <si>
    <t xml:space="preserve">LP-1114</t>
  </si>
  <si>
    <t xml:space="preserve">MA-2024-1114</t>
  </si>
  <si>
    <t xml:space="preserve">WL-01680</t>
  </si>
  <si>
    <t xml:space="preserve">Sara Nelson</t>
  </si>
  <si>
    <t xml:space="preserve">TXN-202608-014329</t>
  </si>
  <si>
    <t xml:space="preserve">slip_inventory_2026-08.csv row 255; billing_transactions_2022_2026.csv row 46038</t>
  </si>
  <si>
    <t xml:space="preserve">LP-1115</t>
  </si>
  <si>
    <t xml:space="preserve">MA-2024-1115</t>
  </si>
  <si>
    <t xml:space="preserve">WL-02792</t>
  </si>
  <si>
    <t xml:space="preserve">Michelle Marsh</t>
  </si>
  <si>
    <t xml:space="preserve">TXN-202608-014384</t>
  </si>
  <si>
    <t xml:space="preserve">slip_inventory_2026-08.csv row 256; billing_transactions_2022_2026.csv row 46040</t>
  </si>
  <si>
    <t xml:space="preserve">MA-2024-1116</t>
  </si>
  <si>
    <t xml:space="preserve">WL-03453</t>
  </si>
  <si>
    <t xml:space="preserve">Kelly Johnson</t>
  </si>
  <si>
    <t xml:space="preserve">TXN-202608-014423</t>
  </si>
  <si>
    <t xml:space="preserve">slip_inventory_2026-08.csv row 257; billing_transactions_2022_2026.csv row 46042</t>
  </si>
  <si>
    <t xml:space="preserve">LP-1117</t>
  </si>
  <si>
    <t xml:space="preserve">MA-2024-1117</t>
  </si>
  <si>
    <t xml:space="preserve">WL-01944</t>
  </si>
  <si>
    <t xml:space="preserve">Tina Wells</t>
  </si>
  <si>
    <t xml:space="preserve">TXN-202608-014478</t>
  </si>
  <si>
    <t xml:space="preserve">slip_inventory_2026-08.csv row 258; billing_transactions_2022_2026.csv row 46043</t>
  </si>
  <si>
    <t xml:space="preserve">LP-1118</t>
  </si>
  <si>
    <t xml:space="preserve">MA-2024-1118</t>
  </si>
  <si>
    <t xml:space="preserve">WL-02489</t>
  </si>
  <si>
    <t xml:space="preserve">Caitlin Burgess</t>
  </si>
  <si>
    <t xml:space="preserve">TXN-202608-014536</t>
  </si>
  <si>
    <t xml:space="preserve">slip_inventory_2026-08.csv row 259; billing_transactions_2022_2026.csv row 46045</t>
  </si>
  <si>
    <t xml:space="preserve">LP-1119</t>
  </si>
  <si>
    <t xml:space="preserve">MA-2024-1119</t>
  </si>
  <si>
    <t xml:space="preserve">WL-03252</t>
  </si>
  <si>
    <t xml:space="preserve">John Gregory</t>
  </si>
  <si>
    <t xml:space="preserve">SANDERLING CREST</t>
  </si>
  <si>
    <t xml:space="preserve">TXN-202608-014593</t>
  </si>
  <si>
    <t xml:space="preserve">slip_inventory_2026-08.csv row 260; billing_transactions_2022_2026.csv row 46046</t>
  </si>
  <si>
    <t xml:space="preserve">LP-1120</t>
  </si>
  <si>
    <t xml:space="preserve">MA-2024-1120</t>
  </si>
  <si>
    <t xml:space="preserve">WL-01021</t>
  </si>
  <si>
    <t xml:space="preserve">Deborah Freeman</t>
  </si>
  <si>
    <t xml:space="preserve">DRIFT MIST</t>
  </si>
  <si>
    <t xml:space="preserve">TXN-202608-014636</t>
  </si>
  <si>
    <t xml:space="preserve">slip_inventory_2026-08.csv row 261; billing_transactions_2022_2026.csv row 46048</t>
  </si>
  <si>
    <t xml:space="preserve">SB-0101</t>
  </si>
  <si>
    <t xml:space="preserve">WL-03060</t>
  </si>
  <si>
    <t xml:space="preserve">Lisa Johnson</t>
  </si>
  <si>
    <t xml:space="preserve">DRIFT RUNNER</t>
  </si>
  <si>
    <t xml:space="preserve">slip_inventory_2026-08.csv row 972</t>
  </si>
  <si>
    <t xml:space="preserve">WL-02851</t>
  </si>
  <si>
    <t xml:space="preserve">Andrew Rivera</t>
  </si>
  <si>
    <t xml:space="preserve">SEAL SHORE</t>
  </si>
  <si>
    <t xml:space="preserve">slip_inventory_2026-08.csv row 973</t>
  </si>
  <si>
    <t xml:space="preserve">SB-0103</t>
  </si>
  <si>
    <t xml:space="preserve">WL-03155</t>
  </si>
  <si>
    <t xml:space="preserve">Mark Harvey</t>
  </si>
  <si>
    <t xml:space="preserve">BRANT CREST</t>
  </si>
  <si>
    <t xml:space="preserve">slip_inventory_2026-08.csv row 974</t>
  </si>
  <si>
    <t xml:space="preserve">WL-02079</t>
  </si>
  <si>
    <t xml:space="preserve">Vicki Wright</t>
  </si>
  <si>
    <t xml:space="preserve">slip_inventory_2026-08.csv row 975</t>
  </si>
  <si>
    <t xml:space="preserve">WL-03736</t>
  </si>
  <si>
    <t xml:space="preserve">Nicole Martinez</t>
  </si>
  <si>
    <t xml:space="preserve">slip_inventory_2026-08.csv row 977</t>
  </si>
  <si>
    <t xml:space="preserve">WL-02071</t>
  </si>
  <si>
    <t xml:space="preserve">Cameron Perry</t>
  </si>
  <si>
    <t xml:space="preserve">MURRE DANCER</t>
  </si>
  <si>
    <t xml:space="preserve">slip_inventory_2026-08.csv row 978</t>
  </si>
  <si>
    <t xml:space="preserve">SB-0108</t>
  </si>
  <si>
    <t xml:space="preserve">WL-03452</t>
  </si>
  <si>
    <t xml:space="preserve">Nicole Wood</t>
  </si>
  <si>
    <t xml:space="preserve">slip_inventory_2026-08.csv row 979</t>
  </si>
  <si>
    <t xml:space="preserve">WL-03007</t>
  </si>
  <si>
    <t xml:space="preserve">Brandy Hart</t>
  </si>
  <si>
    <t xml:space="preserve">slip_inventory_2026-08.csv row 980</t>
  </si>
  <si>
    <t xml:space="preserve">SB-0110</t>
  </si>
  <si>
    <t xml:space="preserve">WL-02641</t>
  </si>
  <si>
    <t xml:space="preserve">Denise Miles</t>
  </si>
  <si>
    <t xml:space="preserve">slip_inventory_2026-08.csv row 981</t>
  </si>
  <si>
    <t xml:space="preserve">SB-0111</t>
  </si>
  <si>
    <t xml:space="preserve">WL-03610</t>
  </si>
  <si>
    <t xml:space="preserve">David Austin</t>
  </si>
  <si>
    <t xml:space="preserve">slip_inventory_2026-08.csv row 982</t>
  </si>
  <si>
    <t xml:space="preserve">SB-0112</t>
  </si>
  <si>
    <t xml:space="preserve">WL-03043</t>
  </si>
  <si>
    <t xml:space="preserve">Donald Jones</t>
  </si>
  <si>
    <t xml:space="preserve">slip_inventory_2026-08.csv row 983</t>
  </si>
  <si>
    <t xml:space="preserve">SB-0113</t>
  </si>
  <si>
    <t xml:space="preserve">WL-03490</t>
  </si>
  <si>
    <t xml:space="preserve">Julian Browning</t>
  </si>
  <si>
    <t xml:space="preserve">slip_inventory_2026-08.csv row 984</t>
  </si>
  <si>
    <t xml:space="preserve">SB-0114</t>
  </si>
  <si>
    <t xml:space="preserve">WL-03362</t>
  </si>
  <si>
    <t xml:space="preserve">Crystal Porter</t>
  </si>
  <si>
    <t xml:space="preserve">slip_inventory_2026-08.csv row 985</t>
  </si>
  <si>
    <t xml:space="preserve">slip_inventory_2026-08.csv row 986</t>
  </si>
  <si>
    <t xml:space="preserve">SB-0116</t>
  </si>
  <si>
    <t xml:space="preserve">slip_inventory_2026-08.csv row 987</t>
  </si>
  <si>
    <t xml:space="preserve">SB-0117</t>
  </si>
  <si>
    <t xml:space="preserve">WL-02959</t>
  </si>
  <si>
    <t xml:space="preserve">Diamond Zavala</t>
  </si>
  <si>
    <t xml:space="preserve">slip_inventory_2026-08.csv row 988</t>
  </si>
  <si>
    <t xml:space="preserve">SB-0118</t>
  </si>
  <si>
    <t xml:space="preserve">WL-02380</t>
  </si>
  <si>
    <t xml:space="preserve">John Escobar</t>
  </si>
  <si>
    <t xml:space="preserve">SANDERLING GLIDE</t>
  </si>
  <si>
    <t xml:space="preserve">slip_inventory_2026-08.csv row 989</t>
  </si>
  <si>
    <t xml:space="preserve">SB-0119</t>
  </si>
  <si>
    <t xml:space="preserve">WL-02414</t>
  </si>
  <si>
    <t xml:space="preserve">Ashley Martinez</t>
  </si>
  <si>
    <t xml:space="preserve">slip_inventory_2026-08.csv row 990</t>
  </si>
  <si>
    <t xml:space="preserve">WL-03833</t>
  </si>
  <si>
    <t xml:space="preserve">Jenny Miller</t>
  </si>
  <si>
    <t xml:space="preserve">COHO MIST</t>
  </si>
  <si>
    <t xml:space="preserve">slip_inventory_2026-08.csv row 991</t>
  </si>
  <si>
    <t xml:space="preserve">SB-0121</t>
  </si>
  <si>
    <t xml:space="preserve">WL-02392</t>
  </si>
  <si>
    <t xml:space="preserve">Michael Jones</t>
  </si>
  <si>
    <t xml:space="preserve">slip_inventory_2026-08.csv row 992</t>
  </si>
  <si>
    <t xml:space="preserve">SB-0122</t>
  </si>
  <si>
    <t xml:space="preserve">WL-03856</t>
  </si>
  <si>
    <t xml:space="preserve">Taylor Ross</t>
  </si>
  <si>
    <t xml:space="preserve">slip_inventory_2026-08.csv row 993</t>
  </si>
  <si>
    <t xml:space="preserve">SB-0201</t>
  </si>
  <si>
    <t xml:space="preserve">WL-01401</t>
  </si>
  <si>
    <t xml:space="preserve">Douglas Thompson</t>
  </si>
  <si>
    <t xml:space="preserve">slip_inventory_2026-08.csv row 996</t>
  </si>
  <si>
    <t xml:space="preserve">SB-0202</t>
  </si>
  <si>
    <t xml:space="preserve">WL-03158</t>
  </si>
  <si>
    <t xml:space="preserve">Andrea Lopez</t>
  </si>
  <si>
    <t xml:space="preserve">SALISH ROCK</t>
  </si>
  <si>
    <t xml:space="preserve">slip_inventory_2026-08.csv row 997</t>
  </si>
  <si>
    <t xml:space="preserve">SB-0204</t>
  </si>
  <si>
    <t xml:space="preserve">slip_inventory_2026-08.csv row 999</t>
  </si>
  <si>
    <t xml:space="preserve">WL-03840</t>
  </si>
  <si>
    <t xml:space="preserve">David Davis</t>
  </si>
  <si>
    <t xml:space="preserve">slip_inventory_2026-08.csv row 1000</t>
  </si>
  <si>
    <t xml:space="preserve">SB-0206</t>
  </si>
  <si>
    <t xml:space="preserve">WL-02300</t>
  </si>
  <si>
    <t xml:space="preserve">Carolyn Murray</t>
  </si>
  <si>
    <t xml:space="preserve">slip_inventory_2026-08.csv row 1001</t>
  </si>
  <si>
    <t xml:space="preserve">SB-0207</t>
  </si>
  <si>
    <t xml:space="preserve">slip_inventory_2026-08.csv row 1002</t>
  </si>
  <si>
    <t xml:space="preserve">SB-0208</t>
  </si>
  <si>
    <t xml:space="preserve">WL-01383</t>
  </si>
  <si>
    <t xml:space="preserve">Donna Henderson</t>
  </si>
  <si>
    <t xml:space="preserve">slip_inventory_2026-08.csv row 1003</t>
  </si>
  <si>
    <t xml:space="preserve">WL-01114</t>
  </si>
  <si>
    <t xml:space="preserve">Dustin Lambert</t>
  </si>
  <si>
    <t xml:space="preserve">slip_inventory_2026-08.csv row 1004</t>
  </si>
  <si>
    <t xml:space="preserve">WL-03463</t>
  </si>
  <si>
    <t xml:space="preserve">Chris Dixon</t>
  </si>
  <si>
    <t xml:space="preserve">KESTREL WEATHER</t>
  </si>
  <si>
    <t xml:space="preserve">slip_inventory_2026-08.csv row 1005</t>
  </si>
  <si>
    <t xml:space="preserve">SB-0211</t>
  </si>
  <si>
    <t xml:space="preserve">WL-01011</t>
  </si>
  <si>
    <t xml:space="preserve">Kristen Hughes</t>
  </si>
  <si>
    <t xml:space="preserve">slip_inventory_2026-08.csv row 1006</t>
  </si>
  <si>
    <t xml:space="preserve">SB-0212</t>
  </si>
  <si>
    <t xml:space="preserve">WL-02204</t>
  </si>
  <si>
    <t xml:space="preserve">Julia Hansen</t>
  </si>
  <si>
    <t xml:space="preserve">slip_inventory_2026-08.csv row 1007</t>
  </si>
  <si>
    <t xml:space="preserve">WL-01573</t>
  </si>
  <si>
    <t xml:space="preserve">Benjamin Jimenez</t>
  </si>
  <si>
    <t xml:space="preserve">slip_inventory_2026-08.csv row 1008</t>
  </si>
  <si>
    <t xml:space="preserve">WL-01611</t>
  </si>
  <si>
    <t xml:space="preserve">Joshua Diaz</t>
  </si>
  <si>
    <t xml:space="preserve">slip_inventory_2026-08.csv row 1009</t>
  </si>
  <si>
    <t xml:space="preserve">SB-0215</t>
  </si>
  <si>
    <t xml:space="preserve">WL-03513</t>
  </si>
  <si>
    <t xml:space="preserve">Rose Lee</t>
  </si>
  <si>
    <t xml:space="preserve">slip_inventory_2026-08.csv row 1010</t>
  </si>
  <si>
    <t xml:space="preserve">SB-0216</t>
  </si>
  <si>
    <t xml:space="preserve">WL-01900</t>
  </si>
  <si>
    <t xml:space="preserve">Nancy Guerrero</t>
  </si>
  <si>
    <t xml:space="preserve">slip_inventory_2026-08.csv row 1011</t>
  </si>
  <si>
    <t xml:space="preserve">SB-0217</t>
  </si>
  <si>
    <t xml:space="preserve">WL-03724</t>
  </si>
  <si>
    <t xml:space="preserve">Ryan Garza</t>
  </si>
  <si>
    <t xml:space="preserve">FOUL GLIDE</t>
  </si>
  <si>
    <t xml:space="preserve">slip_inventory_2026-08.csv row 1012</t>
  </si>
  <si>
    <t xml:space="preserve">SB-0218</t>
  </si>
  <si>
    <t xml:space="preserve">WL-03103</t>
  </si>
  <si>
    <t xml:space="preserve">Thomas Roman</t>
  </si>
  <si>
    <t xml:space="preserve">slip_inventory_2026-08.csv row 1013</t>
  </si>
  <si>
    <t xml:space="preserve">SB-0219</t>
  </si>
  <si>
    <t xml:space="preserve">WL-03588</t>
  </si>
  <si>
    <t xml:space="preserve">Angela Olson</t>
  </si>
  <si>
    <t xml:space="preserve">OSPREY WIND</t>
  </si>
  <si>
    <t xml:space="preserve">slip_inventory_2026-08.csv row 1014</t>
  </si>
  <si>
    <t xml:space="preserve">SB-0220</t>
  </si>
  <si>
    <t xml:space="preserve">WL-02617</t>
  </si>
  <si>
    <t xml:space="preserve">Shane Lozano</t>
  </si>
  <si>
    <t xml:space="preserve">slip_inventory_2026-08.csv row 1015</t>
  </si>
  <si>
    <t xml:space="preserve">WL-02483</t>
  </si>
  <si>
    <t xml:space="preserve">Benjamin Gomez</t>
  </si>
  <si>
    <t xml:space="preserve">slip_inventory_2026-08.csv row 1017</t>
  </si>
  <si>
    <t xml:space="preserve">SB-0223</t>
  </si>
  <si>
    <t xml:space="preserve">WL-03116</t>
  </si>
  <si>
    <t xml:space="preserve">Anthony Kennedy</t>
  </si>
  <si>
    <t xml:space="preserve">slip_inventory_2026-08.csv row 1018</t>
  </si>
  <si>
    <t xml:space="preserve">SB-0224</t>
  </si>
  <si>
    <t xml:space="preserve">WL-01960</t>
  </si>
  <si>
    <t xml:space="preserve">Sean Smith</t>
  </si>
  <si>
    <t xml:space="preserve">PINTAIL ANN</t>
  </si>
  <si>
    <t xml:space="preserve">slip_inventory_2026-08.csv row 1019</t>
  </si>
  <si>
    <t xml:space="preserve">SB-0301</t>
  </si>
  <si>
    <t xml:space="preserve">WL-03355</t>
  </si>
  <si>
    <t xml:space="preserve">Sarah King</t>
  </si>
  <si>
    <t xml:space="preserve">slip_inventory_2026-08.csv row 1020</t>
  </si>
  <si>
    <t xml:space="preserve">WL-01068</t>
  </si>
  <si>
    <t xml:space="preserve">Charles Thomas</t>
  </si>
  <si>
    <t xml:space="preserve">slip_inventory_2026-08.csv row 1021</t>
  </si>
  <si>
    <t xml:space="preserve">SB-0303</t>
  </si>
  <si>
    <t xml:space="preserve">WL-03829</t>
  </si>
  <si>
    <t xml:space="preserve">Ana Christian</t>
  </si>
  <si>
    <t xml:space="preserve">slip_inventory_2026-08.csv row 1022</t>
  </si>
  <si>
    <t xml:space="preserve">SB-0304</t>
  </si>
  <si>
    <t xml:space="preserve">WL-03729</t>
  </si>
  <si>
    <t xml:space="preserve">Sara Jackson</t>
  </si>
  <si>
    <t xml:space="preserve">slip_inventory_2026-08.csv row 1023</t>
  </si>
  <si>
    <t xml:space="preserve">SB-0305</t>
  </si>
  <si>
    <t xml:space="preserve">WL-03660</t>
  </si>
  <si>
    <t xml:space="preserve">David Sutton</t>
  </si>
  <si>
    <t xml:space="preserve">slip_inventory_2026-08.csv row 1024</t>
  </si>
  <si>
    <t xml:space="preserve">WL-03658</t>
  </si>
  <si>
    <t xml:space="preserve">William Washington</t>
  </si>
  <si>
    <t xml:space="preserve">slip_inventory_2026-08.csv row 1025</t>
  </si>
  <si>
    <t xml:space="preserve">WL-02216</t>
  </si>
  <si>
    <t xml:space="preserve">Michael Diaz</t>
  </si>
  <si>
    <t xml:space="preserve">slip_inventory_2026-08.csv row 1026</t>
  </si>
  <si>
    <t xml:space="preserve">SB-0308</t>
  </si>
  <si>
    <t xml:space="preserve">WL-02849</t>
  </si>
  <si>
    <t xml:space="preserve">Peter Johnson</t>
  </si>
  <si>
    <t xml:space="preserve">GRAY LIGHT</t>
  </si>
  <si>
    <t xml:space="preserve">slip_inventory_2026-08.csv row 1027</t>
  </si>
  <si>
    <t xml:space="preserve">SB-0309</t>
  </si>
  <si>
    <t xml:space="preserve">WL-03557</t>
  </si>
  <si>
    <t xml:space="preserve">Tiffany Smith</t>
  </si>
  <si>
    <t xml:space="preserve">slip_inventory_2026-08.csv row 1028</t>
  </si>
  <si>
    <t xml:space="preserve">SB-0311</t>
  </si>
  <si>
    <t xml:space="preserve">WL-03282</t>
  </si>
  <si>
    <t xml:space="preserve">Jillian Curry</t>
  </si>
  <si>
    <t xml:space="preserve">TIDE REACH</t>
  </si>
  <si>
    <t xml:space="preserve">slip_inventory_2026-08.csv row 1030</t>
  </si>
  <si>
    <t xml:space="preserve">SB-0312</t>
  </si>
  <si>
    <t xml:space="preserve">WL-02507</t>
  </si>
  <si>
    <t xml:space="preserve">Erin Morris</t>
  </si>
  <si>
    <t xml:space="preserve">slip_inventory_2026-08.csv row 1031</t>
  </si>
  <si>
    <t xml:space="preserve">WL-02129</t>
  </si>
  <si>
    <t xml:space="preserve">Lisa Palmer</t>
  </si>
  <si>
    <t xml:space="preserve">slip_inventory_2026-08.csv row 1032</t>
  </si>
  <si>
    <t xml:space="preserve">WL-03303</t>
  </si>
  <si>
    <t xml:space="preserve">Eileen Norris</t>
  </si>
  <si>
    <t xml:space="preserve">slip_inventory_2026-08.csv row 1033</t>
  </si>
  <si>
    <t xml:space="preserve">SB-0315</t>
  </si>
  <si>
    <t xml:space="preserve">WL-02337</t>
  </si>
  <si>
    <t xml:space="preserve">Brian Taylor</t>
  </si>
  <si>
    <t xml:space="preserve">slip_inventory_2026-08.csv row 1034</t>
  </si>
  <si>
    <t xml:space="preserve">SB-0316</t>
  </si>
  <si>
    <t xml:space="preserve">WL-02020</t>
  </si>
  <si>
    <t xml:space="preserve">Jacqueline Daniels</t>
  </si>
  <si>
    <t xml:space="preserve">FOUL MIST</t>
  </si>
  <si>
    <t xml:space="preserve">slip_inventory_2026-08.csv row 1035</t>
  </si>
  <si>
    <t xml:space="preserve">SB-0317</t>
  </si>
  <si>
    <t xml:space="preserve">WL-01571</t>
  </si>
  <si>
    <t xml:space="preserve">Blake Webb</t>
  </si>
  <si>
    <t xml:space="preserve">slip_inventory_2026-08.csv row 1036</t>
  </si>
  <si>
    <t xml:space="preserve">SB-0318</t>
  </si>
  <si>
    <t xml:space="preserve">WL-03173</t>
  </si>
  <si>
    <t xml:space="preserve">Timothy Wood</t>
  </si>
  <si>
    <t xml:space="preserve">slip_inventory_2026-08.csv row 1037</t>
  </si>
  <si>
    <t xml:space="preserve">WL-02172</t>
  </si>
  <si>
    <t xml:space="preserve">Anna Bishop</t>
  </si>
  <si>
    <t xml:space="preserve">slip_inventory_2026-08.csv row 1038</t>
  </si>
  <si>
    <t xml:space="preserve">SB-0320</t>
  </si>
  <si>
    <t xml:space="preserve">WL-01830</t>
  </si>
  <si>
    <t xml:space="preserve">Robert Patel</t>
  </si>
  <si>
    <t xml:space="preserve">slip_inventory_2026-08.csv row 1039</t>
  </si>
  <si>
    <t xml:space="preserve">SB-0321</t>
  </si>
  <si>
    <t xml:space="preserve">WL-02472</t>
  </si>
  <si>
    <t xml:space="preserve">William Martinez</t>
  </si>
  <si>
    <t xml:space="preserve">slip_inventory_2026-08.csv row 1040</t>
  </si>
  <si>
    <t xml:space="preserve">SB-0322</t>
  </si>
  <si>
    <t xml:space="preserve">WL-02376</t>
  </si>
  <si>
    <t xml:space="preserve">Steven Robinson</t>
  </si>
  <si>
    <t xml:space="preserve">slip_inventory_2026-08.csv row 1041</t>
  </si>
  <si>
    <t xml:space="preserve">SB-0323</t>
  </si>
  <si>
    <t xml:space="preserve">WL-03820</t>
  </si>
  <si>
    <t xml:space="preserve">Thomas Robinson</t>
  </si>
  <si>
    <t xml:space="preserve">slip_inventory_2026-08.csv row 1042</t>
  </si>
  <si>
    <t xml:space="preserve">SB-0324</t>
  </si>
  <si>
    <t xml:space="preserve">WL-01917</t>
  </si>
  <si>
    <t xml:space="preserve">Matthew May</t>
  </si>
  <si>
    <t xml:space="preserve">slip_inventory_2026-08.csv row 1043</t>
  </si>
  <si>
    <t xml:space="preserve">WL-01395</t>
  </si>
  <si>
    <t xml:space="preserve">Denise Mitchell</t>
  </si>
  <si>
    <t xml:space="preserve">slip_inventory_2026-08.csv row 1044</t>
  </si>
  <si>
    <t xml:space="preserve">WL-03565</t>
  </si>
  <si>
    <t xml:space="preserve">Brian Rosario</t>
  </si>
  <si>
    <t xml:space="preserve">HERON HARBOR</t>
  </si>
  <si>
    <t xml:space="preserve">slip_inventory_2026-08.csv row 1045</t>
  </si>
  <si>
    <t xml:space="preserve">WL-02892</t>
  </si>
  <si>
    <t xml:space="preserve">Martha Cook</t>
  </si>
  <si>
    <t xml:space="preserve">FOUL WAKE</t>
  </si>
  <si>
    <t xml:space="preserve">slip_inventory_2026-08.csv row 1046</t>
  </si>
  <si>
    <t xml:space="preserve">SB-0404</t>
  </si>
  <si>
    <t xml:space="preserve">slip_inventory_2026-08.csv row 1047</t>
  </si>
  <si>
    <t xml:space="preserve">WL-02223</t>
  </si>
  <si>
    <t xml:space="preserve">Ashley Wilson</t>
  </si>
  <si>
    <t xml:space="preserve">FOUL REACH</t>
  </si>
  <si>
    <t xml:space="preserve">slip_inventory_2026-08.csv row 1048</t>
  </si>
  <si>
    <t xml:space="preserve">WL-02891</t>
  </si>
  <si>
    <t xml:space="preserve">Jon Suarez</t>
  </si>
  <si>
    <t xml:space="preserve">slip_inventory_2026-08.csv row 1049</t>
  </si>
  <si>
    <t xml:space="preserve">WL-02876</t>
  </si>
  <si>
    <t xml:space="preserve">Janice Collins</t>
  </si>
  <si>
    <t xml:space="preserve">SCOTER ANN</t>
  </si>
  <si>
    <t xml:space="preserve">slip_inventory_2026-08.csv row 1050</t>
  </si>
  <si>
    <t xml:space="preserve">WL-01281</t>
  </si>
  <si>
    <t xml:space="preserve">Alexander Ferguson</t>
  </si>
  <si>
    <t xml:space="preserve">slip_inventory_2026-08.csv row 1051</t>
  </si>
  <si>
    <t xml:space="preserve">SB-0409</t>
  </si>
  <si>
    <t xml:space="preserve">WL-01762</t>
  </si>
  <si>
    <t xml:space="preserve">John Powell</t>
  </si>
  <si>
    <t xml:space="preserve">slip_inventory_2026-08.csv row 1052</t>
  </si>
  <si>
    <t xml:space="preserve">WL-01770</t>
  </si>
  <si>
    <t xml:space="preserve">Billy Cummings</t>
  </si>
  <si>
    <t xml:space="preserve">slip_inventory_2026-08.csv row 1053</t>
  </si>
  <si>
    <t xml:space="preserve">WL-02542</t>
  </si>
  <si>
    <t xml:space="preserve">Susan Decker</t>
  </si>
  <si>
    <t xml:space="preserve">slip_inventory_2026-08.csv row 1054</t>
  </si>
  <si>
    <t xml:space="preserve">SB-0412</t>
  </si>
  <si>
    <t xml:space="preserve">WL-03345</t>
  </si>
  <si>
    <t xml:space="preserve">Cody Jackson</t>
  </si>
  <si>
    <t xml:space="preserve">FOUL LINE</t>
  </si>
  <si>
    <t xml:space="preserve">slip_inventory_2026-08.csv row 1055</t>
  </si>
  <si>
    <t xml:space="preserve">SB-0413</t>
  </si>
  <si>
    <t xml:space="preserve">WL-01247</t>
  </si>
  <si>
    <t xml:space="preserve">Daniel Wallace</t>
  </si>
  <si>
    <t xml:space="preserve">slip_inventory_2026-08.csv row 1056</t>
  </si>
  <si>
    <t xml:space="preserve">SB-0414</t>
  </si>
  <si>
    <t xml:space="preserve">WL-01769</t>
  </si>
  <si>
    <t xml:space="preserve">Brenda Cruz</t>
  </si>
  <si>
    <t xml:space="preserve">slip_inventory_2026-08.csv row 1057</t>
  </si>
  <si>
    <t xml:space="preserve">SB-0415</t>
  </si>
  <si>
    <t xml:space="preserve">WL-03540</t>
  </si>
  <si>
    <t xml:space="preserve">Julie Crane</t>
  </si>
  <si>
    <t xml:space="preserve">slip_inventory_2026-08.csv row 1058</t>
  </si>
  <si>
    <t xml:space="preserve">WL-03324</t>
  </si>
  <si>
    <t xml:space="preserve">Jacob Hanna</t>
  </si>
  <si>
    <t xml:space="preserve">slip_inventory_2026-08.csv row 1059</t>
  </si>
  <si>
    <t xml:space="preserve">SB-0418</t>
  </si>
  <si>
    <t xml:space="preserve">WL-03571</t>
  </si>
  <si>
    <t xml:space="preserve">Rebecca Merritt</t>
  </si>
  <si>
    <t xml:space="preserve">slip_inventory_2026-08.csv row 1061</t>
  </si>
  <si>
    <t xml:space="preserve">WL-03076</t>
  </si>
  <si>
    <t xml:space="preserve">Jennifer Davis</t>
  </si>
  <si>
    <t xml:space="preserve">OSPREY SONG</t>
  </si>
  <si>
    <t xml:space="preserve">slip_inventory_2026-08.csv row 1062</t>
  </si>
  <si>
    <t xml:space="preserve">WL-03473</t>
  </si>
  <si>
    <t xml:space="preserve">Brian Miller</t>
  </si>
  <si>
    <t xml:space="preserve">SABLE QUEEN</t>
  </si>
  <si>
    <t xml:space="preserve">slip_inventory_2026-08.csv row 1063</t>
  </si>
  <si>
    <t xml:space="preserve">SB-0421</t>
  </si>
  <si>
    <t xml:space="preserve">WL-02552</t>
  </si>
  <si>
    <t xml:space="preserve">Brian Shea</t>
  </si>
  <si>
    <t xml:space="preserve">slip_inventory_2026-08.csv row 1064</t>
  </si>
  <si>
    <t xml:space="preserve">SB-0422</t>
  </si>
  <si>
    <t xml:space="preserve">WL-02351</t>
  </si>
  <si>
    <t xml:space="preserve">Kenneth Bradford</t>
  </si>
  <si>
    <t xml:space="preserve">slip_inventory_2026-08.csv row 1065</t>
  </si>
  <si>
    <t xml:space="preserve">SB-0423</t>
  </si>
  <si>
    <t xml:space="preserve">WL-03606</t>
  </si>
  <si>
    <t xml:space="preserve">Jared Garcia</t>
  </si>
  <si>
    <t xml:space="preserve">slip_inventory_2026-08.csv row 1066</t>
  </si>
  <si>
    <t xml:space="preserve">SB-0424</t>
  </si>
  <si>
    <t xml:space="preserve">WL-02295</t>
  </si>
  <si>
    <t xml:space="preserve">Katie Hall</t>
  </si>
  <si>
    <t xml:space="preserve">slip_inventory_2026-08.csv row 1067</t>
  </si>
  <si>
    <t xml:space="preserve">SB-0502</t>
  </si>
  <si>
    <t xml:space="preserve">WL-01453</t>
  </si>
  <si>
    <t xml:space="preserve">Kelly Lee</t>
  </si>
  <si>
    <t xml:space="preserve">slip_inventory_2026-08.csv row 1069</t>
  </si>
  <si>
    <t xml:space="preserve">SB-0503</t>
  </si>
  <si>
    <t xml:space="preserve">WL-02805</t>
  </si>
  <si>
    <t xml:space="preserve">Sheila Fuentes</t>
  </si>
  <si>
    <t xml:space="preserve">slip_inventory_2026-08.csv row 1070</t>
  </si>
  <si>
    <t xml:space="preserve">SB-0504</t>
  </si>
  <si>
    <t xml:space="preserve">WL-03009</t>
  </si>
  <si>
    <t xml:space="preserve">Dennis Taylor</t>
  </si>
  <si>
    <t xml:space="preserve">slip_inventory_2026-08.csv row 1071</t>
  </si>
  <si>
    <t xml:space="preserve">SB-0505</t>
  </si>
  <si>
    <t xml:space="preserve">WL-03522</t>
  </si>
  <si>
    <t xml:space="preserve">Austin Sanchez</t>
  </si>
  <si>
    <t xml:space="preserve">slip_inventory_2026-08.csv row 1072</t>
  </si>
  <si>
    <t xml:space="preserve">SB-0506</t>
  </si>
  <si>
    <t xml:space="preserve">HALIBUT GLIDE</t>
  </si>
  <si>
    <t xml:space="preserve">slip_inventory_2026-08.csv row 1073</t>
  </si>
  <si>
    <t xml:space="preserve">SB-0507</t>
  </si>
  <si>
    <t xml:space="preserve">WL-03590</t>
  </si>
  <si>
    <t xml:space="preserve">Dawn Johnson</t>
  </si>
  <si>
    <t xml:space="preserve">slip_inventory_2026-08.csv row 1074</t>
  </si>
  <si>
    <t xml:space="preserve">SB-0509</t>
  </si>
  <si>
    <t xml:space="preserve">WL-02521</t>
  </si>
  <si>
    <t xml:space="preserve">Ashley Vance</t>
  </si>
  <si>
    <t xml:space="preserve">slip_inventory_2026-08.csv row 1076</t>
  </si>
  <si>
    <t xml:space="preserve">SB-0510</t>
  </si>
  <si>
    <t xml:space="preserve">WL-02318</t>
  </si>
  <si>
    <t xml:space="preserve">Brittany Harris</t>
  </si>
  <si>
    <t xml:space="preserve">PETREL ROCK</t>
  </si>
  <si>
    <t xml:space="preserve">slip_inventory_2026-08.csv row 1077</t>
  </si>
  <si>
    <t xml:space="preserve">SB-0511</t>
  </si>
  <si>
    <t xml:space="preserve">SPINDRIFT MIST</t>
  </si>
  <si>
    <t xml:space="preserve">slip_inventory_2026-08.csv row 1078</t>
  </si>
  <si>
    <t xml:space="preserve">SB-0512</t>
  </si>
  <si>
    <t xml:space="preserve">slip_inventory_2026-08.csv row 1079</t>
  </si>
  <si>
    <t xml:space="preserve">SB-0514</t>
  </si>
  <si>
    <t xml:space="preserve">WL-01190</t>
  </si>
  <si>
    <t xml:space="preserve">James Cortez</t>
  </si>
  <si>
    <t xml:space="preserve">slip_inventory_2026-08.csv row 1081</t>
  </si>
  <si>
    <t xml:space="preserve">SB-0515</t>
  </si>
  <si>
    <t xml:space="preserve">WL-01458</t>
  </si>
  <si>
    <t xml:space="preserve">Sean Ruiz</t>
  </si>
  <si>
    <t xml:space="preserve">slip_inventory_2026-08.csv row 1082</t>
  </si>
  <si>
    <t xml:space="preserve">SB-0516</t>
  </si>
  <si>
    <t xml:space="preserve">WL-02648</t>
  </si>
  <si>
    <t xml:space="preserve">William Russell</t>
  </si>
  <si>
    <t xml:space="preserve">slip_inventory_2026-08.csv row 1083</t>
  </si>
  <si>
    <t xml:space="preserve">SB-0518</t>
  </si>
  <si>
    <t xml:space="preserve">WL-02395</t>
  </si>
  <si>
    <t xml:space="preserve">Scott Ramos</t>
  </si>
  <si>
    <t xml:space="preserve">SANDERLING ANN</t>
  </si>
  <si>
    <t xml:space="preserve">slip_inventory_2026-08.csv row 1085</t>
  </si>
  <si>
    <t xml:space="preserve">SB-0520</t>
  </si>
  <si>
    <t xml:space="preserve">WL-02847</t>
  </si>
  <si>
    <t xml:space="preserve">Julie Johnston</t>
  </si>
  <si>
    <t xml:space="preserve">slip_inventory_2026-08.csv row 1087</t>
  </si>
  <si>
    <t xml:space="preserve">SB-0521</t>
  </si>
  <si>
    <t xml:space="preserve">WL-03663</t>
  </si>
  <si>
    <t xml:space="preserve">Jasmine Page</t>
  </si>
  <si>
    <t xml:space="preserve">slip_inventory_2026-08.csv row 1088</t>
  </si>
  <si>
    <t xml:space="preserve">SB-0522</t>
  </si>
  <si>
    <t xml:space="preserve">WL-03063</t>
  </si>
  <si>
    <t xml:space="preserve">Natalie Stout</t>
  </si>
  <si>
    <t xml:space="preserve">slip_inventory_2026-08.csv row 1089</t>
  </si>
  <si>
    <t xml:space="preserve">SB-0523</t>
  </si>
  <si>
    <t xml:space="preserve">WL-03436</t>
  </si>
  <si>
    <t xml:space="preserve">Katherine Hunter</t>
  </si>
  <si>
    <t xml:space="preserve">slip_inventory_2026-08.csv row 1090</t>
  </si>
  <si>
    <t xml:space="preserve">SB-0524</t>
  </si>
  <si>
    <t xml:space="preserve">WL-03511</t>
  </si>
  <si>
    <t xml:space="preserve">Kristen Turner</t>
  </si>
  <si>
    <t xml:space="preserve">slip_inventory_2026-08.csv row 1091</t>
  </si>
  <si>
    <t xml:space="preserve">WL-02855</t>
  </si>
  <si>
    <t xml:space="preserve">Kristy Bernard</t>
  </si>
  <si>
    <t xml:space="preserve">MURRE SHORE</t>
  </si>
  <si>
    <t xml:space="preserve">slip_inventory_2026-08.csv row 1092</t>
  </si>
  <si>
    <t xml:space="preserve">slip_inventory_2026-08.csv row 1093</t>
  </si>
  <si>
    <t xml:space="preserve">WL-01326</t>
  </si>
  <si>
    <t xml:space="preserve">Kristin Smith</t>
  </si>
  <si>
    <t xml:space="preserve">slip_inventory_2026-08.csv row 1094</t>
  </si>
  <si>
    <t xml:space="preserve">SB-0604</t>
  </si>
  <si>
    <t xml:space="preserve">GRAY SHORE</t>
  </si>
  <si>
    <t xml:space="preserve">slip_inventory_2026-08.csv row 1095</t>
  </si>
  <si>
    <t xml:space="preserve">SB-0605</t>
  </si>
  <si>
    <t xml:space="preserve">WL-02387</t>
  </si>
  <si>
    <t xml:space="preserve">Scott Roberts</t>
  </si>
  <si>
    <t xml:space="preserve">slip_inventory_2026-08.csv row 1096</t>
  </si>
  <si>
    <t xml:space="preserve">SB-0606</t>
  </si>
  <si>
    <t xml:space="preserve">WL-02385</t>
  </si>
  <si>
    <t xml:space="preserve">John Lopez</t>
  </si>
  <si>
    <t xml:space="preserve">slip_inventory_2026-08.csv row 1097</t>
  </si>
  <si>
    <t xml:space="preserve">WL-03601</t>
  </si>
  <si>
    <t xml:space="preserve">Jenny Perez</t>
  </si>
  <si>
    <t xml:space="preserve">slip_inventory_2026-08.csv row 1098</t>
  </si>
  <si>
    <t xml:space="preserve">SB-0609</t>
  </si>
  <si>
    <t xml:space="preserve">WL-01633</t>
  </si>
  <si>
    <t xml:space="preserve">Michael Gonzalez</t>
  </si>
  <si>
    <t xml:space="preserve">slip_inventory_2026-08.csv row 1100</t>
  </si>
  <si>
    <t xml:space="preserve">WL-02854</t>
  </si>
  <si>
    <t xml:space="preserve">Michael Martinez</t>
  </si>
  <si>
    <t xml:space="preserve">ANCHOR STAR</t>
  </si>
  <si>
    <t xml:space="preserve">slip_inventory_2026-08.csv row 1101</t>
  </si>
  <si>
    <t xml:space="preserve">SB-0611</t>
  </si>
  <si>
    <t xml:space="preserve">WL-02381</t>
  </si>
  <si>
    <t xml:space="preserve">Gary Waters</t>
  </si>
  <si>
    <t xml:space="preserve">slip_inventory_2026-08.csv row 1102</t>
  </si>
  <si>
    <t xml:space="preserve">SB-0612</t>
  </si>
  <si>
    <t xml:space="preserve">WL-03514</t>
  </si>
  <si>
    <t xml:space="preserve">Marvin Davila</t>
  </si>
  <si>
    <t xml:space="preserve">SEAL LINE</t>
  </si>
  <si>
    <t xml:space="preserve">slip_inventory_2026-08.csv row 1103</t>
  </si>
  <si>
    <t xml:space="preserve">SB-0613</t>
  </si>
  <si>
    <t xml:space="preserve">WL-03616</t>
  </si>
  <si>
    <t xml:space="preserve">Martin King</t>
  </si>
  <si>
    <t xml:space="preserve">slip_inventory_2026-08.csv row 1104</t>
  </si>
  <si>
    <t xml:space="preserve">SB-0614</t>
  </si>
  <si>
    <t xml:space="preserve">WL-01755</t>
  </si>
  <si>
    <t xml:space="preserve">Joshua Walton</t>
  </si>
  <si>
    <t xml:space="preserve">BRANT MOON</t>
  </si>
  <si>
    <t xml:space="preserve">slip_inventory_2026-08.csv row 1105</t>
  </si>
  <si>
    <t xml:space="preserve">SB-0615</t>
  </si>
  <si>
    <t xml:space="preserve">WL-01424</t>
  </si>
  <si>
    <t xml:space="preserve">Kristen Miller</t>
  </si>
  <si>
    <t xml:space="preserve">SABLE RUNNER</t>
  </si>
  <si>
    <t xml:space="preserve">slip_inventory_2026-08.csv row 1106</t>
  </si>
  <si>
    <t xml:space="preserve">WL-03789</t>
  </si>
  <si>
    <t xml:space="preserve">Christopher Dorsey</t>
  </si>
  <si>
    <t xml:space="preserve">COHO DANCER</t>
  </si>
  <si>
    <t xml:space="preserve">slip_inventory_2026-08.csv row 1107</t>
  </si>
  <si>
    <t xml:space="preserve">WL-01894</t>
  </si>
  <si>
    <t xml:space="preserve">Linda Taylor</t>
  </si>
  <si>
    <t xml:space="preserve">slip_inventory_2026-08.csv row 1108</t>
  </si>
  <si>
    <t xml:space="preserve">SB-0619</t>
  </si>
  <si>
    <t xml:space="preserve">WL-01977</t>
  </si>
  <si>
    <t xml:space="preserve">Adam Warner</t>
  </si>
  <si>
    <t xml:space="preserve">slip_inventory_2026-08.csv row 1110</t>
  </si>
  <si>
    <t xml:space="preserve">SB-0620</t>
  </si>
  <si>
    <t xml:space="preserve">WL-01426</t>
  </si>
  <si>
    <t xml:space="preserve">Glen Owen</t>
  </si>
  <si>
    <t xml:space="preserve">slip_inventory_2026-08.csv row 1111</t>
  </si>
  <si>
    <t xml:space="preserve">SB-0621</t>
  </si>
  <si>
    <t xml:space="preserve">WL-01415</t>
  </si>
  <si>
    <t xml:space="preserve">Jeremy Stevens</t>
  </si>
  <si>
    <t xml:space="preserve">slip_inventory_2026-08.csv row 1112</t>
  </si>
  <si>
    <t xml:space="preserve">SB-0622</t>
  </si>
  <si>
    <t xml:space="preserve">WL-03668</t>
  </si>
  <si>
    <t xml:space="preserve">Anthony Morris</t>
  </si>
  <si>
    <t xml:space="preserve">slip_inventory_2026-08.csv row 1113</t>
  </si>
  <si>
    <t xml:space="preserve">WL-01938</t>
  </si>
  <si>
    <t xml:space="preserve">Ian Webb</t>
  </si>
  <si>
    <t xml:space="preserve">SALISH ANN</t>
  </si>
  <si>
    <t xml:space="preserve">slip_inventory_2026-08.csv row 1114</t>
  </si>
  <si>
    <t xml:space="preserve">WL-01530</t>
  </si>
  <si>
    <t xml:space="preserve">Sean Huber</t>
  </si>
  <si>
    <t xml:space="preserve">slip_inventory_2026-08.csv row 1115</t>
  </si>
  <si>
    <t xml:space="preserve">SB-0701</t>
  </si>
  <si>
    <t xml:space="preserve">WL-02761</t>
  </si>
  <si>
    <t xml:space="preserve">Timothy Coleman</t>
  </si>
  <si>
    <t xml:space="preserve">slip_inventory_2026-08.csv row 1116</t>
  </si>
  <si>
    <t xml:space="preserve">SB-0702</t>
  </si>
  <si>
    <t xml:space="preserve">WL-03233</t>
  </si>
  <si>
    <t xml:space="preserve">Erin Williams</t>
  </si>
  <si>
    <t xml:space="preserve">slip_inventory_2026-08.csv row 1117</t>
  </si>
  <si>
    <t xml:space="preserve">SB-0703</t>
  </si>
  <si>
    <t xml:space="preserve">LITTLE AUK</t>
  </si>
  <si>
    <t xml:space="preserve">slip_inventory_2026-08.csv row 1118</t>
  </si>
  <si>
    <t xml:space="preserve">WL-02338</t>
  </si>
  <si>
    <t xml:space="preserve">Deborah Estrada</t>
  </si>
  <si>
    <t xml:space="preserve">SALISH CREST</t>
  </si>
  <si>
    <t xml:space="preserve">slip_inventory_2026-08.csv row 1119</t>
  </si>
  <si>
    <t xml:space="preserve">SB-0705</t>
  </si>
  <si>
    <t xml:space="preserve">WL-01922</t>
  </si>
  <si>
    <t xml:space="preserve">Jodi Holland</t>
  </si>
  <si>
    <t xml:space="preserve">SALISH WEATHER</t>
  </si>
  <si>
    <t xml:space="preserve">slip_inventory_2026-08.csv row 1120</t>
  </si>
  <si>
    <t xml:space="preserve">SB-0706</t>
  </si>
  <si>
    <t xml:space="preserve">WL-02346</t>
  </si>
  <si>
    <t xml:space="preserve">Tammy Thomas</t>
  </si>
  <si>
    <t xml:space="preserve">HERON CREST</t>
  </si>
  <si>
    <t xml:space="preserve">slip_inventory_2026-08.csv row 1121</t>
  </si>
  <si>
    <t xml:space="preserve">SB-0707</t>
  </si>
  <si>
    <t xml:space="preserve">WL-01946</t>
  </si>
  <si>
    <t xml:space="preserve">David Sweeney</t>
  </si>
  <si>
    <t xml:space="preserve">slip_inventory_2026-08.csv row 1122</t>
  </si>
  <si>
    <t xml:space="preserve">SB-0708</t>
  </si>
  <si>
    <t xml:space="preserve">WL-02065</t>
  </si>
  <si>
    <t xml:space="preserve">Christopher Torres</t>
  </si>
  <si>
    <t xml:space="preserve">slip_inventory_2026-08.csv row 1123</t>
  </si>
  <si>
    <t xml:space="preserve">WL-03577</t>
  </si>
  <si>
    <t xml:space="preserve">Charles Bell</t>
  </si>
  <si>
    <t xml:space="preserve">slip_inventory_2026-08.csv row 1124</t>
  </si>
  <si>
    <t xml:space="preserve">SB-0710</t>
  </si>
  <si>
    <t xml:space="preserve">WL-01525</t>
  </si>
  <si>
    <t xml:space="preserve">Holly Myers</t>
  </si>
  <si>
    <t xml:space="preserve">slip_inventory_2026-08.csv row 1125</t>
  </si>
  <si>
    <t xml:space="preserve">SB-0711</t>
  </si>
  <si>
    <t xml:space="preserve">slip_inventory_2026-08.csv row 1126</t>
  </si>
  <si>
    <t xml:space="preserve">SB-0712</t>
  </si>
  <si>
    <t xml:space="preserve">slip_inventory_2026-08.csv row 1127</t>
  </si>
  <si>
    <t xml:space="preserve">SB-0713</t>
  </si>
  <si>
    <t xml:space="preserve">WL-03510</t>
  </si>
  <si>
    <t xml:space="preserve">Kimberly Pearson</t>
  </si>
  <si>
    <t xml:space="preserve">slip_inventory_2026-08.csv row 1128</t>
  </si>
  <si>
    <t xml:space="preserve">SB-0714</t>
  </si>
  <si>
    <t xml:space="preserve">WL-03165</t>
  </si>
  <si>
    <t xml:space="preserve">Brendan Durham</t>
  </si>
  <si>
    <t xml:space="preserve">TIDE DANCER</t>
  </si>
  <si>
    <t xml:space="preserve">slip_inventory_2026-08.csv row 1129</t>
  </si>
  <si>
    <t xml:space="preserve">SB-0715</t>
  </si>
  <si>
    <t xml:space="preserve">WL-03330</t>
  </si>
  <si>
    <t xml:space="preserve">Lori Bauer</t>
  </si>
  <si>
    <t xml:space="preserve">KESTREL SHORE</t>
  </si>
  <si>
    <t xml:space="preserve">slip_inventory_2026-08.csv row 1130</t>
  </si>
  <si>
    <t xml:space="preserve">SB-0716</t>
  </si>
  <si>
    <t xml:space="preserve">WL-02899</t>
  </si>
  <si>
    <t xml:space="preserve">Tricia Dixon</t>
  </si>
  <si>
    <t xml:space="preserve">slip_inventory_2026-08.csv row 1131</t>
  </si>
  <si>
    <t xml:space="preserve">slip_inventory_2026-08.csv row 1132</t>
  </si>
  <si>
    <t xml:space="preserve">SB-0718</t>
  </si>
  <si>
    <t xml:space="preserve">WL-01111</t>
  </si>
  <si>
    <t xml:space="preserve">Monique Carey</t>
  </si>
  <si>
    <t xml:space="preserve">ANCHOR VEER</t>
  </si>
  <si>
    <t xml:space="preserve">slip_inventory_2026-08.csv row 1133</t>
  </si>
  <si>
    <t xml:space="preserve">WL-03199</t>
  </si>
  <si>
    <t xml:space="preserve">Miguel Tucker</t>
  </si>
  <si>
    <t xml:space="preserve">MURRE LINE</t>
  </si>
  <si>
    <t xml:space="preserve">slip_inventory_2026-08.csv row 1134</t>
  </si>
  <si>
    <t xml:space="preserve">WL-02654</t>
  </si>
  <si>
    <t xml:space="preserve">Christopher Evans</t>
  </si>
  <si>
    <t xml:space="preserve">SANDERLING MOON</t>
  </si>
  <si>
    <t xml:space="preserve">slip_inventory_2026-08.csv row 1135</t>
  </si>
  <si>
    <t xml:space="preserve">SB-0721</t>
  </si>
  <si>
    <t xml:space="preserve">WL-02272</t>
  </si>
  <si>
    <t xml:space="preserve">Scott Mendoza</t>
  </si>
  <si>
    <t xml:space="preserve">slip_inventory_2026-08.csv row 1136</t>
  </si>
  <si>
    <t xml:space="preserve">SB-0722</t>
  </si>
  <si>
    <t xml:space="preserve">WL-03331</t>
  </si>
  <si>
    <t xml:space="preserve">Samuel Lane</t>
  </si>
  <si>
    <t xml:space="preserve">slip_inventory_2026-08.csv row 1137</t>
  </si>
  <si>
    <t xml:space="preserve">SB-0723</t>
  </si>
  <si>
    <t xml:space="preserve">WL-02427</t>
  </si>
  <si>
    <t xml:space="preserve">Joseph Crosby</t>
  </si>
  <si>
    <t xml:space="preserve">SABLE LINE</t>
  </si>
  <si>
    <t xml:space="preserve">slip_inventory_2026-08.csv row 1138</t>
  </si>
  <si>
    <t xml:space="preserve">SB-0724</t>
  </si>
  <si>
    <t xml:space="preserve">WL-03552</t>
  </si>
  <si>
    <t xml:space="preserve">Dawn Hammond</t>
  </si>
  <si>
    <t xml:space="preserve">SALISH BAY</t>
  </si>
  <si>
    <t xml:space="preserve">slip_inventory_2026-08.csv row 1139</t>
  </si>
  <si>
    <t xml:space="preserve">WL-01126</t>
  </si>
  <si>
    <t xml:space="preserve">Jo Hernandez</t>
  </si>
  <si>
    <t xml:space="preserve">SABLE WEATHER</t>
  </si>
  <si>
    <t xml:space="preserve">slip_inventory_2026-08.csv row 1140</t>
  </si>
  <si>
    <t xml:space="preserve">SB-0802</t>
  </si>
  <si>
    <t xml:space="preserve">WL-03773</t>
  </si>
  <si>
    <t xml:space="preserve">David Giles</t>
  </si>
  <si>
    <t xml:space="preserve">slip_inventory_2026-08.csv row 1141</t>
  </si>
  <si>
    <t xml:space="preserve">SB-0803</t>
  </si>
  <si>
    <t xml:space="preserve">slip_inventory_2026-08.csv row 1142</t>
  </si>
  <si>
    <t xml:space="preserve">WL-01349</t>
  </si>
  <si>
    <t xml:space="preserve">Justin Johnson</t>
  </si>
  <si>
    <t xml:space="preserve">SCOTER DANCER</t>
  </si>
  <si>
    <t xml:space="preserve">slip_inventory_2026-08.csv row 1143</t>
  </si>
  <si>
    <t xml:space="preserve">SB-0805</t>
  </si>
  <si>
    <t xml:space="preserve">WL-02163</t>
  </si>
  <si>
    <t xml:space="preserve">Kimberly Brown</t>
  </si>
  <si>
    <t xml:space="preserve">slip_inventory_2026-08.csv row 1144</t>
  </si>
  <si>
    <t xml:space="preserve">WL-03521</t>
  </si>
  <si>
    <t xml:space="preserve">Penny Nelson</t>
  </si>
  <si>
    <t xml:space="preserve">OSPREY ANN</t>
  </si>
  <si>
    <t xml:space="preserve">slip_inventory_2026-08.csv row 1145</t>
  </si>
  <si>
    <t xml:space="preserve">SB-0808</t>
  </si>
  <si>
    <t xml:space="preserve">MURRE REACH</t>
  </si>
  <si>
    <t xml:space="preserve">slip_inventory_2026-08.csv row 1147</t>
  </si>
  <si>
    <t xml:space="preserve">SB-0809</t>
  </si>
  <si>
    <t xml:space="preserve">WL-03219</t>
  </si>
  <si>
    <t xml:space="preserve">Tara Sanders</t>
  </si>
  <si>
    <t xml:space="preserve">slip_inventory_2026-08.csv row 1148</t>
  </si>
  <si>
    <t xml:space="preserve">SB-0810</t>
  </si>
  <si>
    <t xml:space="preserve">WL-02815</t>
  </si>
  <si>
    <t xml:space="preserve">Mark Myers</t>
  </si>
  <si>
    <t xml:space="preserve">slip_inventory_2026-08.csv row 1149</t>
  </si>
  <si>
    <t xml:space="preserve">SB-0812</t>
  </si>
  <si>
    <t xml:space="preserve">slip_inventory_2026-08.csv row 1151</t>
  </si>
  <si>
    <t xml:space="preserve">SB-0813</t>
  </si>
  <si>
    <t xml:space="preserve">WL-01647</t>
  </si>
  <si>
    <t xml:space="preserve">Robert Shannon</t>
  </si>
  <si>
    <t xml:space="preserve">slip_inventory_2026-08.csv row 1152</t>
  </si>
  <si>
    <t xml:space="preserve">SB-0814</t>
  </si>
  <si>
    <t xml:space="preserve">WL-01607</t>
  </si>
  <si>
    <t xml:space="preserve">John Williams</t>
  </si>
  <si>
    <t xml:space="preserve">slip_inventory_2026-08.csv row 1153</t>
  </si>
  <si>
    <t xml:space="preserve">SB-0815</t>
  </si>
  <si>
    <t xml:space="preserve">WL-01237</t>
  </si>
  <si>
    <t xml:space="preserve">April Nguyen</t>
  </si>
  <si>
    <t xml:space="preserve">slip_inventory_2026-08.csv row 1154</t>
  </si>
  <si>
    <t xml:space="preserve">SB-0816</t>
  </si>
  <si>
    <t xml:space="preserve">WL-03446</t>
  </si>
  <si>
    <t xml:space="preserve">Joshua Weaver</t>
  </si>
  <si>
    <t xml:space="preserve">slip_inventory_2026-08.csv row 1155</t>
  </si>
  <si>
    <t xml:space="preserve">SB-0818</t>
  </si>
  <si>
    <t xml:space="preserve">WL-03486</t>
  </si>
  <si>
    <t xml:space="preserve">Mary Murillo</t>
  </si>
  <si>
    <t xml:space="preserve">HERON ROSE</t>
  </si>
  <si>
    <t xml:space="preserve">slip_inventory_2026-08.csv row 1157</t>
  </si>
  <si>
    <t xml:space="preserve">SB-0819</t>
  </si>
  <si>
    <t xml:space="preserve">WL-02764</t>
  </si>
  <si>
    <t xml:space="preserve">Jason Bradley</t>
  </si>
  <si>
    <t xml:space="preserve">slip_inventory_2026-08.csv row 1158</t>
  </si>
  <si>
    <t xml:space="preserve">SB-0820</t>
  </si>
  <si>
    <t xml:space="preserve">WL-02114</t>
  </si>
  <si>
    <t xml:space="preserve">Walter Adams</t>
  </si>
  <si>
    <t xml:space="preserve">slip_inventory_2026-08.csv row 1159</t>
  </si>
  <si>
    <t xml:space="preserve">WL-01693</t>
  </si>
  <si>
    <t xml:space="preserve">Michael Price</t>
  </si>
  <si>
    <t xml:space="preserve">slip_inventory_2026-08.csv row 1160</t>
  </si>
  <si>
    <t xml:space="preserve">SB-0822</t>
  </si>
  <si>
    <t xml:space="preserve">WL-03341</t>
  </si>
  <si>
    <t xml:space="preserve">Terri Johnston</t>
  </si>
  <si>
    <t xml:space="preserve">slip_inventory_2026-08.csv row 1161</t>
  </si>
  <si>
    <t xml:space="preserve">WL-01971</t>
  </si>
  <si>
    <t xml:space="preserve">Paul Smith</t>
  </si>
  <si>
    <t xml:space="preserve">slip_inventory_2026-08.csv row 1163</t>
  </si>
  <si>
    <t xml:space="preserve">SB-0901</t>
  </si>
  <si>
    <t xml:space="preserve">WL-03688</t>
  </si>
  <si>
    <t xml:space="preserve">Gilbert Rodriguez</t>
  </si>
  <si>
    <t xml:space="preserve">slip_inventory_2026-08.csv row 1164</t>
  </si>
  <si>
    <t xml:space="preserve">WL-03519</t>
  </si>
  <si>
    <t xml:space="preserve">Crystal Moore</t>
  </si>
  <si>
    <t xml:space="preserve">HALIBUT WIND</t>
  </si>
  <si>
    <t xml:space="preserve">slip_inventory_2026-08.csv row 1166</t>
  </si>
  <si>
    <t xml:space="preserve">SB-0904</t>
  </si>
  <si>
    <t xml:space="preserve">WL-02180</t>
  </si>
  <si>
    <t xml:space="preserve">Michele Jones</t>
  </si>
  <si>
    <t xml:space="preserve">MURRE PASSAGE</t>
  </si>
  <si>
    <t xml:space="preserve">slip_inventory_2026-08.csv row 1167</t>
  </si>
  <si>
    <t xml:space="preserve">WL-03714</t>
  </si>
  <si>
    <t xml:space="preserve">Christopher Mitchell</t>
  </si>
  <si>
    <t xml:space="preserve">slip_inventory_2026-08.csv row 1168</t>
  </si>
  <si>
    <t xml:space="preserve">SB-0906</t>
  </si>
  <si>
    <t xml:space="preserve">WL-01202</t>
  </si>
  <si>
    <t xml:space="preserve">Kevin Benson</t>
  </si>
  <si>
    <t xml:space="preserve">slip_inventory_2026-08.csv row 1169</t>
  </si>
  <si>
    <t xml:space="preserve">WL-03796</t>
  </si>
  <si>
    <t xml:space="preserve">Christine Johnson</t>
  </si>
  <si>
    <t xml:space="preserve">slip_inventory_2026-08.csv row 1171</t>
  </si>
  <si>
    <t xml:space="preserve">SB-0909</t>
  </si>
  <si>
    <t xml:space="preserve">WL-01919</t>
  </si>
  <si>
    <t xml:space="preserve">Glenda Perkins</t>
  </si>
  <si>
    <t xml:space="preserve">slip_inventory_2026-08.csv row 1172</t>
  </si>
  <si>
    <t xml:space="preserve">SB-0910</t>
  </si>
  <si>
    <t xml:space="preserve">WL-01503</t>
  </si>
  <si>
    <t xml:space="preserve">Kayla Moore</t>
  </si>
  <si>
    <t xml:space="preserve">slip_inventory_2026-08.csv row 1173</t>
  </si>
  <si>
    <t xml:space="preserve">SANDERLING SONG</t>
  </si>
  <si>
    <t xml:space="preserve">slip_inventory_2026-08.csv row 1174</t>
  </si>
  <si>
    <t xml:space="preserve">SB-0912</t>
  </si>
  <si>
    <t xml:space="preserve">WL-02350</t>
  </si>
  <si>
    <t xml:space="preserve">Christy Chambers</t>
  </si>
  <si>
    <t xml:space="preserve">slip_inventory_2026-08.csv row 1175</t>
  </si>
  <si>
    <t xml:space="preserve">SB-0913</t>
  </si>
  <si>
    <t xml:space="preserve">WL-02119</t>
  </si>
  <si>
    <t xml:space="preserve">Eric Forbes</t>
  </si>
  <si>
    <t xml:space="preserve">slip_inventory_2026-08.csv row 1176</t>
  </si>
  <si>
    <t xml:space="preserve">SB-0914</t>
  </si>
  <si>
    <t xml:space="preserve">WL-02602</t>
  </si>
  <si>
    <t xml:space="preserve">John Shah</t>
  </si>
  <si>
    <t xml:space="preserve">WIDGEON QUEEN</t>
  </si>
  <si>
    <t xml:space="preserve">slip_inventory_2026-08.csv row 1177</t>
  </si>
  <si>
    <t xml:space="preserve">WL-03084</t>
  </si>
  <si>
    <t xml:space="preserve">slip_inventory_2026-08.csv row 1178</t>
  </si>
  <si>
    <t xml:space="preserve">WL-03528</t>
  </si>
  <si>
    <t xml:space="preserve">Gina Hudson</t>
  </si>
  <si>
    <t xml:space="preserve">slip_inventory_2026-08.csv row 1179</t>
  </si>
  <si>
    <t xml:space="preserve">SB-0917</t>
  </si>
  <si>
    <t xml:space="preserve">WL-01294</t>
  </si>
  <si>
    <t xml:space="preserve">Peter Jenkins</t>
  </si>
  <si>
    <t xml:space="preserve">slip_inventory_2026-08.csv row 1180</t>
  </si>
  <si>
    <t xml:space="preserve">SB-0918</t>
  </si>
  <si>
    <t xml:space="preserve">WL-03420</t>
  </si>
  <si>
    <t xml:space="preserve">Laura Franklin</t>
  </si>
  <si>
    <t xml:space="preserve">slip_inventory_2026-08.csv row 1181</t>
  </si>
  <si>
    <t xml:space="preserve">VB-0101</t>
  </si>
  <si>
    <t xml:space="preserve">WL-03423</t>
  </si>
  <si>
    <t xml:space="preserve">Sarah Walker</t>
  </si>
  <si>
    <t xml:space="preserve">TXN-202608-014676</t>
  </si>
  <si>
    <t xml:space="preserve">slip_inventory_2026-08.csv row 262; billing_transactions_2022_2026.csv row 46049</t>
  </si>
  <si>
    <t xml:space="preserve">VB-0102</t>
  </si>
  <si>
    <t xml:space="preserve">WL-03356</t>
  </si>
  <si>
    <t xml:space="preserve">Nathaniel Flores</t>
  </si>
  <si>
    <t xml:space="preserve">TXN-202608-014731</t>
  </si>
  <si>
    <t xml:space="preserve">slip_inventory_2026-08.csv row 263; billing_transactions_2022_2026.csv row 46050</t>
  </si>
  <si>
    <t xml:space="preserve">VB-0103</t>
  </si>
  <si>
    <t xml:space="preserve">TXN-202608-014787</t>
  </si>
  <si>
    <t xml:space="preserve">slip_inventory_2026-08.csv row 264; billing_transactions_2022_2026.csv row 46052</t>
  </si>
  <si>
    <t xml:space="preserve">VB-0105</t>
  </si>
  <si>
    <t xml:space="preserve">WL-03843</t>
  </si>
  <si>
    <t xml:space="preserve">Tricia Davila</t>
  </si>
  <si>
    <t xml:space="preserve">TXN-202608-014870</t>
  </si>
  <si>
    <t xml:space="preserve">slip_inventory_2026-08.csv row 266; billing_transactions_2022_2026.csv row 46053</t>
  </si>
  <si>
    <t xml:space="preserve">VB-0106</t>
  </si>
  <si>
    <t xml:space="preserve">WL-01252</t>
  </si>
  <si>
    <t xml:space="preserve">Regina Brown</t>
  </si>
  <si>
    <t xml:space="preserve">TXN-202608-014949</t>
  </si>
  <si>
    <t xml:space="preserve">slip_inventory_2026-08.csv row 267; billing_transactions_2022_2026.csv row 46054</t>
  </si>
  <si>
    <t xml:space="preserve">VB-0107</t>
  </si>
  <si>
    <t xml:space="preserve">TXN-202608-015000</t>
  </si>
  <si>
    <t xml:space="preserve">slip_inventory_2026-08.csv row 268; billing_transactions_2022_2026.csv row 46056</t>
  </si>
  <si>
    <t xml:space="preserve">VB-0108</t>
  </si>
  <si>
    <t xml:space="preserve">WL-03877</t>
  </si>
  <si>
    <t xml:space="preserve">Jerry Davis</t>
  </si>
  <si>
    <t xml:space="preserve">TXN-202608-015080</t>
  </si>
  <si>
    <t xml:space="preserve">slip_inventory_2026-08.csv row 269; billing_transactions_2022_2026.csv row 46058</t>
  </si>
  <si>
    <t xml:space="preserve">VB-0109</t>
  </si>
  <si>
    <t xml:space="preserve">WL-02551</t>
  </si>
  <si>
    <t xml:space="preserve">Nicole Brown</t>
  </si>
  <si>
    <t xml:space="preserve">TXN-202608-015133</t>
  </si>
  <si>
    <t xml:space="preserve">slip_inventory_2026-08.csv row 270; billing_transactions_2022_2026.csv row 46059</t>
  </si>
  <si>
    <t xml:space="preserve">VB-0110</t>
  </si>
  <si>
    <t xml:space="preserve">WL-01895</t>
  </si>
  <si>
    <t xml:space="preserve">TXN-202608-015181</t>
  </si>
  <si>
    <t xml:space="preserve">slip_inventory_2026-08.csv row 271; billing_transactions_2022_2026.csv row 46060</t>
  </si>
  <si>
    <t xml:space="preserve">VB-0111</t>
  </si>
  <si>
    <t xml:space="preserve">WL-03639</t>
  </si>
  <si>
    <t xml:space="preserve">Toni Graves</t>
  </si>
  <si>
    <t xml:space="preserve">TXN-202608-015251</t>
  </si>
  <si>
    <t xml:space="preserve">slip_inventory_2026-08.csv row 272; billing_transactions_2022_2026.csv row 46061</t>
  </si>
  <si>
    <t xml:space="preserve">VB-0112</t>
  </si>
  <si>
    <t xml:space="preserve">WL-01196</t>
  </si>
  <si>
    <t xml:space="preserve">Valerie Montgomery</t>
  </si>
  <si>
    <t xml:space="preserve">TXN-202608-015323</t>
  </si>
  <si>
    <t xml:space="preserve">slip_inventory_2026-08.csv row 273; billing_transactions_2022_2026.csv row 46063</t>
  </si>
  <si>
    <t xml:space="preserve">WL-01600</t>
  </si>
  <si>
    <t xml:space="preserve">Kimberly Solomon</t>
  </si>
  <si>
    <t xml:space="preserve">TXN-202608-015365</t>
  </si>
  <si>
    <t xml:space="preserve">slip_inventory_2026-08.csv row 274; billing_transactions_2022_2026.csv row 46064</t>
  </si>
  <si>
    <t xml:space="preserve">VB-0114</t>
  </si>
  <si>
    <t xml:space="preserve">WL-02156</t>
  </si>
  <si>
    <t xml:space="preserve">Ariana Jenkins</t>
  </si>
  <si>
    <t xml:space="preserve">TXN-202608-015430</t>
  </si>
  <si>
    <t xml:space="preserve">slip_inventory_2026-08.csv row 275; billing_transactions_2022_2026.csv row 46066</t>
  </si>
  <si>
    <t xml:space="preserve">VB-0115</t>
  </si>
  <si>
    <t xml:space="preserve">WL-03848</t>
  </si>
  <si>
    <t xml:space="preserve">Anne Thomas</t>
  </si>
  <si>
    <t xml:space="preserve">TXN-202608-015500</t>
  </si>
  <si>
    <t xml:space="preserve">slip_inventory_2026-08.csv row 276; billing_transactions_2022_2026.csv row 46068</t>
  </si>
  <si>
    <t xml:space="preserve">VB-0116</t>
  </si>
  <si>
    <t xml:space="preserve">WL-03426</t>
  </si>
  <si>
    <t xml:space="preserve">Amanda Jackson</t>
  </si>
  <si>
    <t xml:space="preserve">TXN-202608-015581</t>
  </si>
  <si>
    <t xml:space="preserve">slip_inventory_2026-08.csv row 277; billing_transactions_2022_2026.csv row 46070</t>
  </si>
  <si>
    <t xml:space="preserve">VB-0117</t>
  </si>
  <si>
    <t xml:space="preserve">WL-01706</t>
  </si>
  <si>
    <t xml:space="preserve">Michael Lee</t>
  </si>
  <si>
    <t xml:space="preserve">TXN-202608-015658</t>
  </si>
  <si>
    <t xml:space="preserve">slip_inventory_2026-08.csv row 278; billing_transactions_2022_2026.csv row 46072</t>
  </si>
  <si>
    <t xml:space="preserve">TXN-202608-015719</t>
  </si>
  <si>
    <t xml:space="preserve">slip_inventory_2026-08.csv row 279; billing_transactions_2022_2026.csv row 46074</t>
  </si>
  <si>
    <t xml:space="preserve">VB-0119</t>
  </si>
  <si>
    <t xml:space="preserve">WL-01640</t>
  </si>
  <si>
    <t xml:space="preserve">Tammy Stone</t>
  </si>
  <si>
    <t xml:space="preserve">TXN-202608-015773</t>
  </si>
  <si>
    <t xml:space="preserve">slip_inventory_2026-08.csv row 280; billing_transactions_2022_2026.csv row 46075</t>
  </si>
  <si>
    <t xml:space="preserve">VB-0120</t>
  </si>
  <si>
    <t xml:space="preserve">WL-02030</t>
  </si>
  <si>
    <t xml:space="preserve">Adam Carr</t>
  </si>
  <si>
    <t xml:space="preserve">TXN-202608-015849</t>
  </si>
  <si>
    <t xml:space="preserve">slip_inventory_2026-08.csv row 281; billing_transactions_2022_2026.csv row 46076</t>
  </si>
  <si>
    <t xml:space="preserve">VB-0121</t>
  </si>
  <si>
    <t xml:space="preserve">WL-02857</t>
  </si>
  <si>
    <t xml:space="preserve">Charles Nichols</t>
  </si>
  <si>
    <t xml:space="preserve">BRANT LIGHT</t>
  </si>
  <si>
    <t xml:space="preserve">TXN-202608-015892</t>
  </si>
  <si>
    <t xml:space="preserve">slip_inventory_2026-08.csv row 282; billing_transactions_2022_2026.csv row 46077</t>
  </si>
  <si>
    <t xml:space="preserve">VB-0122</t>
  </si>
  <si>
    <t xml:space="preserve">WL-01705</t>
  </si>
  <si>
    <t xml:space="preserve">Tracy Walker</t>
  </si>
  <si>
    <t xml:space="preserve">SEAL LIGHT</t>
  </si>
  <si>
    <t xml:space="preserve">TXN-202608-015963</t>
  </si>
  <si>
    <t xml:space="preserve">slip_inventory_2026-08.csv row 283; billing_transactions_2022_2026.csv row 46078</t>
  </si>
  <si>
    <t xml:space="preserve">WL-03171</t>
  </si>
  <si>
    <t xml:space="preserve">Destiny Tucker</t>
  </si>
  <si>
    <t xml:space="preserve">TXN-202608-016006</t>
  </si>
  <si>
    <t xml:space="preserve">slip_inventory_2026-08.csv row 284; billing_transactions_2022_2026.csv row 46079</t>
  </si>
  <si>
    <t xml:space="preserve">VB-0124</t>
  </si>
  <si>
    <t xml:space="preserve">WL-03145</t>
  </si>
  <si>
    <t xml:space="preserve">Connie Hernandez</t>
  </si>
  <si>
    <t xml:space="preserve">HERON WEATHER</t>
  </si>
  <si>
    <t xml:space="preserve">TXN-202608-016050</t>
  </si>
  <si>
    <t xml:space="preserve">slip_inventory_2026-08.csv row 285; billing_transactions_2022_2026.csv row 46080</t>
  </si>
  <si>
    <t xml:space="preserve">WL-01629</t>
  </si>
  <si>
    <t xml:space="preserve">Mary Parker</t>
  </si>
  <si>
    <t xml:space="preserve">TXN-202608-016112</t>
  </si>
  <si>
    <t xml:space="preserve">slip_inventory_2026-08.csv row 286; billing_transactions_2022_2026.csv row 46081</t>
  </si>
  <si>
    <t xml:space="preserve">VB-0202</t>
  </si>
  <si>
    <t xml:space="preserve">WL-02677</t>
  </si>
  <si>
    <t xml:space="preserve">Brandon Cabrera</t>
  </si>
  <si>
    <t xml:space="preserve">TXN-202608-016174</t>
  </si>
  <si>
    <t xml:space="preserve">slip_inventory_2026-08.csv row 287; billing_transactions_2022_2026.csv row 46082</t>
  </si>
  <si>
    <t xml:space="preserve">VB-0203</t>
  </si>
  <si>
    <t xml:space="preserve">WL-03705</t>
  </si>
  <si>
    <t xml:space="preserve">Brittany Garcia</t>
  </si>
  <si>
    <t xml:space="preserve">TXN-202608-016222</t>
  </si>
  <si>
    <t xml:space="preserve">slip_inventory_2026-08.csv row 288; billing_transactions_2022_2026.csv row 46084</t>
  </si>
  <si>
    <t xml:space="preserve">VB-0204</t>
  </si>
  <si>
    <t xml:space="preserve">WL-03015</t>
  </si>
  <si>
    <t xml:space="preserve">Andrew Osborne</t>
  </si>
  <si>
    <t xml:space="preserve">TXN-202608-016304</t>
  </si>
  <si>
    <t xml:space="preserve">slip_inventory_2026-08.csv row 289; billing_transactions_2022_2026.csv row 46086</t>
  </si>
  <si>
    <t xml:space="preserve">WL-02622</t>
  </si>
  <si>
    <t xml:space="preserve">Laura Murillo</t>
  </si>
  <si>
    <t xml:space="preserve">TXN-202608-016360</t>
  </si>
  <si>
    <t xml:space="preserve">slip_inventory_2026-08.csv row 290; billing_transactions_2022_2026.csv row 46088</t>
  </si>
  <si>
    <t xml:space="preserve">VB-0206</t>
  </si>
  <si>
    <t xml:space="preserve">WL-01377</t>
  </si>
  <si>
    <t xml:space="preserve">Rhonda Ferguson</t>
  </si>
  <si>
    <t xml:space="preserve">TXN-202608-016410</t>
  </si>
  <si>
    <t xml:space="preserve">slip_inventory_2026-08.csv row 291; billing_transactions_2022_2026.csv row 46089</t>
  </si>
  <si>
    <t xml:space="preserve">VB-0207</t>
  </si>
  <si>
    <t xml:space="preserve">WL-03580</t>
  </si>
  <si>
    <t xml:space="preserve">Rebecca Carson</t>
  </si>
  <si>
    <t xml:space="preserve">TXN-202608-016464</t>
  </si>
  <si>
    <t xml:space="preserve">slip_inventory_2026-08.csv row 292; billing_transactions_2022_2026.csv row 46090</t>
  </si>
  <si>
    <t xml:space="preserve">VB-0208</t>
  </si>
  <si>
    <t xml:space="preserve">WL-03499</t>
  </si>
  <si>
    <t xml:space="preserve">Cameron Foster</t>
  </si>
  <si>
    <t xml:space="preserve">TXN-202608-016515</t>
  </si>
  <si>
    <t xml:space="preserve">slip_inventory_2026-08.csv row 293; billing_transactions_2022_2026.csv row 46091</t>
  </si>
  <si>
    <t xml:space="preserve">WL-02734</t>
  </si>
  <si>
    <t xml:space="preserve">Kenneth Lewis</t>
  </si>
  <si>
    <t xml:space="preserve">GRAY HARBOR</t>
  </si>
  <si>
    <t xml:space="preserve">TXN-202608-016568</t>
  </si>
  <si>
    <t xml:space="preserve">slip_inventory_2026-08.csv row 294; billing_transactions_2022_2026.csv row 46092</t>
  </si>
  <si>
    <t xml:space="preserve">VB-0210</t>
  </si>
  <si>
    <t xml:space="preserve">WL-02868</t>
  </si>
  <si>
    <t xml:space="preserve">Michael Lopez</t>
  </si>
  <si>
    <t xml:space="preserve">DRIFT ANN</t>
  </si>
  <si>
    <t xml:space="preserve">TXN-202608-016611</t>
  </si>
  <si>
    <t xml:space="preserve">slip_inventory_2026-08.csv row 295; billing_transactions_2022_2026.csv row 46093</t>
  </si>
  <si>
    <t xml:space="preserve">VB-0211</t>
  </si>
  <si>
    <t xml:space="preserve">TXN-202608-016682</t>
  </si>
  <si>
    <t xml:space="preserve">slip_inventory_2026-08.csv row 296; billing_transactions_2022_2026.csv row 46094</t>
  </si>
  <si>
    <t xml:space="preserve">VB-0212</t>
  </si>
  <si>
    <t xml:space="preserve">WL-02983</t>
  </si>
  <si>
    <t xml:space="preserve">Albert Rodriguez</t>
  </si>
  <si>
    <t xml:space="preserve">TXN-202608-016761</t>
  </si>
  <si>
    <t xml:space="preserve">slip_inventory_2026-08.csv row 297; billing_transactions_2022_2026.csv row 46096</t>
  </si>
  <si>
    <t xml:space="preserve">VB-0213</t>
  </si>
  <si>
    <t xml:space="preserve">WL-01002</t>
  </si>
  <si>
    <t xml:space="preserve">Virginia Ramirez</t>
  </si>
  <si>
    <t xml:space="preserve">TXN-202608-016822</t>
  </si>
  <si>
    <t xml:space="preserve">slip_inventory_2026-08.csv row 298; billing_transactions_2022_2026.csv row 46098</t>
  </si>
  <si>
    <t xml:space="preserve">VB-0214</t>
  </si>
  <si>
    <t xml:space="preserve">WL-01871</t>
  </si>
  <si>
    <t xml:space="preserve">Amber Munoz</t>
  </si>
  <si>
    <t xml:space="preserve">TXN-202608-016902</t>
  </si>
  <si>
    <t xml:space="preserve">slip_inventory_2026-08.csv row 299; billing_transactions_2022_2026.csv row 46100</t>
  </si>
  <si>
    <t xml:space="preserve">VB-0215</t>
  </si>
  <si>
    <t xml:space="preserve">WL-03364</t>
  </si>
  <si>
    <t xml:space="preserve">Brenda Patel</t>
  </si>
  <si>
    <t xml:space="preserve">TXN-202608-016986</t>
  </si>
  <si>
    <t xml:space="preserve">slip_inventory_2026-08.csv row 300; billing_transactions_2022_2026.csv row 46102</t>
  </si>
  <si>
    <t xml:space="preserve">VB-0216</t>
  </si>
  <si>
    <t xml:space="preserve">WL-02253</t>
  </si>
  <si>
    <t xml:space="preserve">Nathan Parker</t>
  </si>
  <si>
    <t xml:space="preserve">TXN-202608-017048</t>
  </si>
  <si>
    <t xml:space="preserve">slip_inventory_2026-08.csv row 301; billing_transactions_2022_2026.csv row 46103</t>
  </si>
  <si>
    <t xml:space="preserve">VB-0217</t>
  </si>
  <si>
    <t xml:space="preserve">WL-03383</t>
  </si>
  <si>
    <t xml:space="preserve">Michelle Potter</t>
  </si>
  <si>
    <t xml:space="preserve">CORMORANT SONG</t>
  </si>
  <si>
    <t xml:space="preserve">TXN-202608-017085</t>
  </si>
  <si>
    <t xml:space="preserve">slip_inventory_2026-08.csv row 302; billing_transactions_2022_2026.csv row 46104</t>
  </si>
  <si>
    <t xml:space="preserve">VB-0218</t>
  </si>
  <si>
    <t xml:space="preserve">WL-02534</t>
  </si>
  <si>
    <t xml:space="preserve">Daniel Erickson</t>
  </si>
  <si>
    <t xml:space="preserve">TXN-202608-017128</t>
  </si>
  <si>
    <t xml:space="preserve">slip_inventory_2026-08.csv row 303; billing_transactions_2022_2026.csv row 46105</t>
  </si>
  <si>
    <t xml:space="preserve">VB-0219</t>
  </si>
  <si>
    <t xml:space="preserve">WL-02980</t>
  </si>
  <si>
    <t xml:space="preserve">Elizabeth Dixon</t>
  </si>
  <si>
    <t xml:space="preserve">TXN-202608-017192</t>
  </si>
  <si>
    <t xml:space="preserve">slip_inventory_2026-08.csv row 304; billing_transactions_2022_2026.csv row 46106</t>
  </si>
  <si>
    <t xml:space="preserve">WL-02537</t>
  </si>
  <si>
    <t xml:space="preserve">Calvin Nelson</t>
  </si>
  <si>
    <t xml:space="preserve">SALISH LIGHT</t>
  </si>
  <si>
    <t xml:space="preserve">TXN-202608-017235</t>
  </si>
  <si>
    <t xml:space="preserve">slip_inventory_2026-08.csv row 305; billing_transactions_2022_2026.csv row 46107</t>
  </si>
  <si>
    <t xml:space="preserve">VB-0221</t>
  </si>
  <si>
    <t xml:space="preserve">WL-01130</t>
  </si>
  <si>
    <t xml:space="preserve">Thomas Davis</t>
  </si>
  <si>
    <t xml:space="preserve">TXN-202608-017306</t>
  </si>
  <si>
    <t xml:space="preserve">slip_inventory_2026-08.csv row 306; billing_transactions_2022_2026.csv row 46109</t>
  </si>
  <si>
    <t xml:space="preserve">WL-02331</t>
  </si>
  <si>
    <t xml:space="preserve">Cassandra Gibbs</t>
  </si>
  <si>
    <t xml:space="preserve">TXN-202608-017366</t>
  </si>
  <si>
    <t xml:space="preserve">slip_inventory_2026-08.csv row 307; billing_transactions_2022_2026.csv row 46110</t>
  </si>
  <si>
    <t xml:space="preserve">WL-02078</t>
  </si>
  <si>
    <t xml:space="preserve">Brian Kramer</t>
  </si>
  <si>
    <t xml:space="preserve">HALIBUT DANCER</t>
  </si>
  <si>
    <t xml:space="preserve">TXN-202608-017445</t>
  </si>
  <si>
    <t xml:space="preserve">slip_inventory_2026-08.csv row 308; billing_transactions_2022_2026.csv row 46111</t>
  </si>
  <si>
    <t xml:space="preserve">WL-01263</t>
  </si>
  <si>
    <t xml:space="preserve">Sandra Goodwin</t>
  </si>
  <si>
    <t xml:space="preserve">TXN-202608-017488</t>
  </si>
  <si>
    <t xml:space="preserve">slip_inventory_2026-08.csv row 309; billing_transactions_2022_2026.csv row 46112</t>
  </si>
  <si>
    <t xml:space="preserve">VB-0302</t>
  </si>
  <si>
    <t xml:space="preserve">WL-01447</t>
  </si>
  <si>
    <t xml:space="preserve">Tim Bailey</t>
  </si>
  <si>
    <t xml:space="preserve">TXN-202608-017533</t>
  </si>
  <si>
    <t xml:space="preserve">slip_inventory_2026-08.csv row 311; billing_transactions_2022_2026.csv row 46113</t>
  </si>
  <si>
    <t xml:space="preserve">VB-0303</t>
  </si>
  <si>
    <t xml:space="preserve">WL-01339</t>
  </si>
  <si>
    <t xml:space="preserve">Robert Houston</t>
  </si>
  <si>
    <t xml:space="preserve">TXN-202608-017584</t>
  </si>
  <si>
    <t xml:space="preserve">slip_inventory_2026-08.csv row 312; billing_transactions_2022_2026.csv row 46114</t>
  </si>
  <si>
    <t xml:space="preserve">WL-01303</t>
  </si>
  <si>
    <t xml:space="preserve">Robert Harmon</t>
  </si>
  <si>
    <t xml:space="preserve">TXN-202608-017650</t>
  </si>
  <si>
    <t xml:space="preserve">slip_inventory_2026-08.csv row 313; billing_transactions_2022_2026.csv row 46115</t>
  </si>
  <si>
    <t xml:space="preserve">VB-0305</t>
  </si>
  <si>
    <t xml:space="preserve">WL-02130</t>
  </si>
  <si>
    <t xml:space="preserve">Sierra Le</t>
  </si>
  <si>
    <t xml:space="preserve">TXN-202608-017703</t>
  </si>
  <si>
    <t xml:space="preserve">slip_inventory_2026-08.csv row 314; billing_transactions_2022_2026.csv row 46117</t>
  </si>
  <si>
    <t xml:space="preserve">TXN-202608-017754</t>
  </si>
  <si>
    <t xml:space="preserve">slip_inventory_2026-08.csv row 315; billing_transactions_2022_2026.csv row 46118</t>
  </si>
  <si>
    <t xml:space="preserve">VB-0307</t>
  </si>
  <si>
    <t xml:space="preserve">WL-01379</t>
  </si>
  <si>
    <t xml:space="preserve">Jacob Wong</t>
  </si>
  <si>
    <t xml:space="preserve">TXN-202608-017806</t>
  </si>
  <si>
    <t xml:space="preserve">slip_inventory_2026-08.csv row 316; billing_transactions_2022_2026.csv row 46120</t>
  </si>
  <si>
    <t xml:space="preserve">VB-0308</t>
  </si>
  <si>
    <t xml:space="preserve">WL-03564</t>
  </si>
  <si>
    <t xml:space="preserve">Amy Hernandez</t>
  </si>
  <si>
    <t xml:space="preserve">TXN-202608-017857</t>
  </si>
  <si>
    <t xml:space="preserve">slip_inventory_2026-08.csv row 317; billing_transactions_2022_2026.csv row 46122</t>
  </si>
  <si>
    <t xml:space="preserve">VB-0309</t>
  </si>
  <si>
    <t xml:space="preserve">WL-02656</t>
  </si>
  <si>
    <t xml:space="preserve">David Horton</t>
  </si>
  <si>
    <t xml:space="preserve">TXN-202608-017903</t>
  </si>
  <si>
    <t xml:space="preserve">slip_inventory_2026-08.csv row 318; billing_transactions_2022_2026.csv row 46123</t>
  </si>
  <si>
    <t xml:space="preserve">VB-0310</t>
  </si>
  <si>
    <t xml:space="preserve">WL-03313</t>
  </si>
  <si>
    <t xml:space="preserve">Jose Jimenez</t>
  </si>
  <si>
    <t xml:space="preserve">TXN-202608-017965</t>
  </si>
  <si>
    <t xml:space="preserve">slip_inventory_2026-08.csv row 319; billing_transactions_2022_2026.csv row 46124</t>
  </si>
  <si>
    <t xml:space="preserve">WL-01760</t>
  </si>
  <si>
    <t xml:space="preserve">Jose Becker</t>
  </si>
  <si>
    <t xml:space="preserve">TXN-202608-018019</t>
  </si>
  <si>
    <t xml:space="preserve">slip_inventory_2026-08.csv row 320; billing_transactions_2022_2026.csv row 46125</t>
  </si>
  <si>
    <t xml:space="preserve">WL-03224</t>
  </si>
  <si>
    <t xml:space="preserve">Catherine Flynn</t>
  </si>
  <si>
    <t xml:space="preserve">TXN-202608-018068</t>
  </si>
  <si>
    <t xml:space="preserve">slip_inventory_2026-08.csv row 321; billing_transactions_2022_2026.csv row 46126</t>
  </si>
  <si>
    <t xml:space="preserve">VB-0314</t>
  </si>
  <si>
    <t xml:space="preserve">TXN-202608-018138</t>
  </si>
  <si>
    <t xml:space="preserve">slip_inventory_2026-08.csv row 323; billing_transactions_2022_2026.csv row 46128</t>
  </si>
  <si>
    <t xml:space="preserve">VB-0315</t>
  </si>
  <si>
    <t xml:space="preserve">WL-03326</t>
  </si>
  <si>
    <t xml:space="preserve">Christopher Brock</t>
  </si>
  <si>
    <t xml:space="preserve">SANDERLING MIST</t>
  </si>
  <si>
    <t xml:space="preserve">TXN-202608-018198</t>
  </si>
  <si>
    <t xml:space="preserve">slip_inventory_2026-08.csv row 324; billing_transactions_2022_2026.csv row 46129</t>
  </si>
  <si>
    <t xml:space="preserve">VB-0316</t>
  </si>
  <si>
    <t xml:space="preserve">WL-03492</t>
  </si>
  <si>
    <t xml:space="preserve">Lisa Hernandez</t>
  </si>
  <si>
    <t xml:space="preserve">TXN-202608-018262</t>
  </si>
  <si>
    <t xml:space="preserve">slip_inventory_2026-08.csv row 325; billing_transactions_2022_2026.csv row 46130</t>
  </si>
  <si>
    <t xml:space="preserve">VB-0317</t>
  </si>
  <si>
    <t xml:space="preserve">TXN-202608-018320</t>
  </si>
  <si>
    <t xml:space="preserve">slip_inventory_2026-08.csv row 326; billing_transactions_2022_2026.csv row 46132</t>
  </si>
  <si>
    <t xml:space="preserve">VB-0318</t>
  </si>
  <si>
    <t xml:space="preserve">WL-02255</t>
  </si>
  <si>
    <t xml:space="preserve">Scott Garcia</t>
  </si>
  <si>
    <t xml:space="preserve">TXN-202608-018400</t>
  </si>
  <si>
    <t xml:space="preserve">slip_inventory_2026-08.csv row 327; billing_transactions_2022_2026.csv row 46133</t>
  </si>
  <si>
    <t xml:space="preserve">VB-0319</t>
  </si>
  <si>
    <t xml:space="preserve">WL-01381</t>
  </si>
  <si>
    <t xml:space="preserve">Michael Dickson</t>
  </si>
  <si>
    <t xml:space="preserve">TXN-202608-018455</t>
  </si>
  <si>
    <t xml:space="preserve">slip_inventory_2026-08.csv row 328; billing_transactions_2022_2026.csv row 46134</t>
  </si>
  <si>
    <t xml:space="preserve">VB-0320</t>
  </si>
  <si>
    <t xml:space="preserve">WL-01254</t>
  </si>
  <si>
    <t xml:space="preserve">Barbara Jones</t>
  </si>
  <si>
    <t xml:space="preserve">PETREL WEATHER</t>
  </si>
  <si>
    <t xml:space="preserve">TXN-202608-018508</t>
  </si>
  <si>
    <t xml:space="preserve">slip_inventory_2026-08.csv row 329; billing_transactions_2022_2026.csv row 46136</t>
  </si>
  <si>
    <t xml:space="preserve">VB-0321</t>
  </si>
  <si>
    <t xml:space="preserve">TXN-202608-018557</t>
  </si>
  <si>
    <t xml:space="preserve">slip_inventory_2026-08.csv row 330; billing_transactions_2022_2026.csv row 46138</t>
  </si>
  <si>
    <t xml:space="preserve">VB-0322</t>
  </si>
  <si>
    <t xml:space="preserve">WL-02256</t>
  </si>
  <si>
    <t xml:space="preserve">Ryan Johnson</t>
  </si>
  <si>
    <t xml:space="preserve">TXN-202608-018617</t>
  </si>
  <si>
    <t xml:space="preserve">slip_inventory_2026-08.csv row 331; billing_transactions_2022_2026.csv row 46140</t>
  </si>
  <si>
    <t xml:space="preserve">VB-0323</t>
  </si>
  <si>
    <t xml:space="preserve">WL-01488</t>
  </si>
  <si>
    <t xml:space="preserve">Stephen Wilcox</t>
  </si>
  <si>
    <t xml:space="preserve">TXN-202608-018669</t>
  </si>
  <si>
    <t xml:space="preserve">slip_inventory_2026-08.csv row 332; billing_transactions_2022_2026.csv row 46141</t>
  </si>
  <si>
    <t xml:space="preserve">VB-0324</t>
  </si>
  <si>
    <t xml:space="preserve">WL-01311</t>
  </si>
  <si>
    <t xml:space="preserve">Michael Fox</t>
  </si>
  <si>
    <t xml:space="preserve">TXN-202608-018725</t>
  </si>
  <si>
    <t xml:space="preserve">slip_inventory_2026-08.csv row 333; billing_transactions_2022_2026.csv row 46143</t>
  </si>
  <si>
    <t xml:space="preserve">VB-0401</t>
  </si>
  <si>
    <t xml:space="preserve">WL-01799</t>
  </si>
  <si>
    <t xml:space="preserve">Robert Johnson</t>
  </si>
  <si>
    <t xml:space="preserve">TXN-202608-018802</t>
  </si>
  <si>
    <t xml:space="preserve">slip_inventory_2026-08.csv row 334; billing_transactions_2022_2026.csv row 46145</t>
  </si>
  <si>
    <t xml:space="preserve">TXN-202608-018865</t>
  </si>
  <si>
    <t xml:space="preserve">slip_inventory_2026-08.csv row 335; billing_transactions_2022_2026.csv row 46147</t>
  </si>
  <si>
    <t xml:space="preserve">VB-0403</t>
  </si>
  <si>
    <t xml:space="preserve">WL-03548</t>
  </si>
  <si>
    <t xml:space="preserve">Michael Clark</t>
  </si>
  <si>
    <t xml:space="preserve">TXN-202608-018940</t>
  </si>
  <si>
    <t xml:space="preserve">slip_inventory_2026-08.csv row 336; billing_transactions_2022_2026.csv row 46148</t>
  </si>
  <si>
    <t xml:space="preserve">VB-0405</t>
  </si>
  <si>
    <t xml:space="preserve">WL-02118</t>
  </si>
  <si>
    <t xml:space="preserve">Matthew Meyer</t>
  </si>
  <si>
    <t xml:space="preserve">SANDERLING WAKE</t>
  </si>
  <si>
    <t xml:space="preserve">TXN-202608-018983</t>
  </si>
  <si>
    <t xml:space="preserve">slip_inventory_2026-08.csv row 338; billing_transactions_2022_2026.csv row 46149</t>
  </si>
  <si>
    <t xml:space="preserve">VB-0406</t>
  </si>
  <si>
    <t xml:space="preserve">WL-01591</t>
  </si>
  <si>
    <t xml:space="preserve">Chad Yang</t>
  </si>
  <si>
    <t xml:space="preserve">TXN-202608-019062</t>
  </si>
  <si>
    <t xml:space="preserve">slip_inventory_2026-08.csv row 339; billing_transactions_2022_2026.csv row 46151</t>
  </si>
  <si>
    <t xml:space="preserve">VB-0407</t>
  </si>
  <si>
    <t xml:space="preserve">WL-02731</t>
  </si>
  <si>
    <t xml:space="preserve">Allison Taylor</t>
  </si>
  <si>
    <t xml:space="preserve">TXN-202608-019137</t>
  </si>
  <si>
    <t xml:space="preserve">slip_inventory_2026-08.csv row 340; billing_transactions_2022_2026.csv row 46152</t>
  </si>
  <si>
    <t xml:space="preserve">VB-0408</t>
  </si>
  <si>
    <t xml:space="preserve">WL-01061</t>
  </si>
  <si>
    <t xml:space="preserve">Casey Smith</t>
  </si>
  <si>
    <t xml:space="preserve">TXN-202608-019207</t>
  </si>
  <si>
    <t xml:space="preserve">slip_inventory_2026-08.csv row 341; billing_transactions_2022_2026.csv row 46153</t>
  </si>
  <si>
    <t xml:space="preserve">TXN-202608-019276</t>
  </si>
  <si>
    <t xml:space="preserve">slip_inventory_2026-08.csv row 342; billing_transactions_2022_2026.csv row 46154</t>
  </si>
  <si>
    <t xml:space="preserve">VB-0410</t>
  </si>
  <si>
    <t xml:space="preserve">WL-02745</t>
  </si>
  <si>
    <t xml:space="preserve">Olivia Baldwin</t>
  </si>
  <si>
    <t xml:space="preserve">TXN-202608-019357</t>
  </si>
  <si>
    <t xml:space="preserve">slip_inventory_2026-08.csv row 343; billing_transactions_2022_2026.csv row 46155</t>
  </si>
  <si>
    <t xml:space="preserve">VB-0411</t>
  </si>
  <si>
    <t xml:space="preserve">WL-02986</t>
  </si>
  <si>
    <t xml:space="preserve">Jaime Hernandez</t>
  </si>
  <si>
    <t xml:space="preserve">TXN-202608-019425</t>
  </si>
  <si>
    <t xml:space="preserve">slip_inventory_2026-08.csv row 344; billing_transactions_2022_2026.csv row 46157</t>
  </si>
  <si>
    <t xml:space="preserve">VB-0412</t>
  </si>
  <si>
    <t xml:space="preserve">WL-02252</t>
  </si>
  <si>
    <t xml:space="preserve">Donald Mitchell</t>
  </si>
  <si>
    <t xml:space="preserve">TXN-202608-019500</t>
  </si>
  <si>
    <t xml:space="preserve">slip_inventory_2026-08.csv row 345; billing_transactions_2022_2026.csv row 46158</t>
  </si>
  <si>
    <t xml:space="preserve">VB-0413</t>
  </si>
  <si>
    <t xml:space="preserve">WL-01014</t>
  </si>
  <si>
    <t xml:space="preserve">Maria Johnson</t>
  </si>
  <si>
    <t xml:space="preserve">TXN-202608-019561</t>
  </si>
  <si>
    <t xml:space="preserve">slip_inventory_2026-08.csv row 346; billing_transactions_2022_2026.csv row 46159</t>
  </si>
  <si>
    <t xml:space="preserve">VB-0414</t>
  </si>
  <si>
    <t xml:space="preserve">WL-03699</t>
  </si>
  <si>
    <t xml:space="preserve">Christopher Duncan</t>
  </si>
  <si>
    <t xml:space="preserve">TXN-202608-019598</t>
  </si>
  <si>
    <t xml:space="preserve">slip_inventory_2026-08.csv row 347; billing_transactions_2022_2026.csv row 46161</t>
  </si>
  <si>
    <t xml:space="preserve">WL-03507</t>
  </si>
  <si>
    <t xml:space="preserve">John Chambers</t>
  </si>
  <si>
    <t xml:space="preserve">TXN-202608-019663</t>
  </si>
  <si>
    <t xml:space="preserve">slip_inventory_2026-08.csv row 348; billing_transactions_2022_2026.csv row 46162</t>
  </si>
  <si>
    <t xml:space="preserve">VB-0416</t>
  </si>
  <si>
    <t xml:space="preserve">WL-03602</t>
  </si>
  <si>
    <t xml:space="preserve">Michael Horne</t>
  </si>
  <si>
    <t xml:space="preserve">SEAL MIST</t>
  </si>
  <si>
    <t xml:space="preserve">TXN-202608-019720</t>
  </si>
  <si>
    <t xml:space="preserve">slip_inventory_2026-08.csv row 349; billing_transactions_2022_2026.csv row 46163</t>
  </si>
  <si>
    <t xml:space="preserve">VB-0417</t>
  </si>
  <si>
    <t xml:space="preserve">WL-03358</t>
  </si>
  <si>
    <t xml:space="preserve">Jeremiah Cruz</t>
  </si>
  <si>
    <t xml:space="preserve">TXN-202608-019788</t>
  </si>
  <si>
    <t xml:space="preserve">slip_inventory_2026-08.csv row 350; billing_transactions_2022_2026.csv row 46164</t>
  </si>
  <si>
    <t xml:space="preserve">VB-0418</t>
  </si>
  <si>
    <t xml:space="preserve">WL-03210</t>
  </si>
  <si>
    <t xml:space="preserve">James Calderon</t>
  </si>
  <si>
    <t xml:space="preserve">TXN-202608-019868</t>
  </si>
  <si>
    <t xml:space="preserve">slip_inventory_2026-08.csv row 351; billing_transactions_2022_2026.csv row 46165</t>
  </si>
  <si>
    <t xml:space="preserve">VB-0419</t>
  </si>
  <si>
    <t xml:space="preserve">WL-03884</t>
  </si>
  <si>
    <t xml:space="preserve">Lindsay Williams</t>
  </si>
  <si>
    <t xml:space="preserve">TXN-202608-019949</t>
  </si>
  <si>
    <t xml:space="preserve">slip_inventory_2026-08.csv row 352; billing_transactions_2022_2026.csv row 46167</t>
  </si>
  <si>
    <t xml:space="preserve">VB-0420</t>
  </si>
  <si>
    <t xml:space="preserve">WL-01215</t>
  </si>
  <si>
    <t xml:space="preserve">David Harris</t>
  </si>
  <si>
    <t xml:space="preserve">TXN-202608-020031</t>
  </si>
  <si>
    <t xml:space="preserve">slip_inventory_2026-08.csv row 353; billing_transactions_2022_2026.csv row 46168</t>
  </si>
  <si>
    <t xml:space="preserve">VB-0422</t>
  </si>
  <si>
    <t xml:space="preserve">WL-03830</t>
  </si>
  <si>
    <t xml:space="preserve">Erica Smith</t>
  </si>
  <si>
    <t xml:space="preserve">CORMORANT DANCER</t>
  </si>
  <si>
    <t xml:space="preserve">TXN-202608-020087</t>
  </si>
  <si>
    <t xml:space="preserve">slip_inventory_2026-08.csv row 355; billing_transactions_2022_2026.csv row 46169</t>
  </si>
  <si>
    <t xml:space="preserve">VB-0423</t>
  </si>
  <si>
    <t xml:space="preserve">TXN-202608-020126</t>
  </si>
  <si>
    <t xml:space="preserve">slip_inventory_2026-08.csv row 356; billing_transactions_2022_2026.csv row 46170</t>
  </si>
  <si>
    <t xml:space="preserve">VB-0424</t>
  </si>
  <si>
    <t xml:space="preserve">WL-02816</t>
  </si>
  <si>
    <t xml:space="preserve">Joel Chang</t>
  </si>
  <si>
    <t xml:space="preserve">BRANT HARBOR</t>
  </si>
  <si>
    <t xml:space="preserve">TXN-202608-020181</t>
  </si>
  <si>
    <t xml:space="preserve">slip_inventory_2026-08.csv row 357; billing_transactions_2022_2026.csv row 46172</t>
  </si>
  <si>
    <t xml:space="preserve">VB-0501</t>
  </si>
  <si>
    <t xml:space="preserve">WL-03576</t>
  </si>
  <si>
    <t xml:space="preserve">Aimee Cooper</t>
  </si>
  <si>
    <t xml:space="preserve">TXN-202608-020253</t>
  </si>
  <si>
    <t xml:space="preserve">slip_inventory_2026-08.csv row 358; billing_transactions_2022_2026.csv row 46173</t>
  </si>
  <si>
    <t xml:space="preserve">VB-0502</t>
  </si>
  <si>
    <t xml:space="preserve">WL-02127</t>
  </si>
  <si>
    <t xml:space="preserve">Kimberly Gomez</t>
  </si>
  <si>
    <t xml:space="preserve">TXN-202608-020310</t>
  </si>
  <si>
    <t xml:space="preserve">slip_inventory_2026-08.csv row 359; billing_transactions_2022_2026.csv row 46175</t>
  </si>
  <si>
    <t xml:space="preserve">WL-03734</t>
  </si>
  <si>
    <t xml:space="preserve">Erin Lewis</t>
  </si>
  <si>
    <t xml:space="preserve">TXN-202608-020377</t>
  </si>
  <si>
    <t xml:space="preserve">slip_inventory_2026-08.csv row 361; billing_transactions_2022_2026.csv row 46177</t>
  </si>
  <si>
    <t xml:space="preserve">VB-0505</t>
  </si>
  <si>
    <t xml:space="preserve">WL-03343</t>
  </si>
  <si>
    <t xml:space="preserve">Justin Mckinney</t>
  </si>
  <si>
    <t xml:space="preserve">TXN-202608-020417</t>
  </si>
  <si>
    <t xml:space="preserve">slip_inventory_2026-08.csv row 362; billing_transactions_2022_2026.csv row 46178</t>
  </si>
  <si>
    <t xml:space="preserve">VB-0506</t>
  </si>
  <si>
    <t xml:space="preserve">WL-03154</t>
  </si>
  <si>
    <t xml:space="preserve">Michael Stevens</t>
  </si>
  <si>
    <t xml:space="preserve">TXN-202608-020480</t>
  </si>
  <si>
    <t xml:space="preserve">slip_inventory_2026-08.csv row 363; billing_transactions_2022_2026.csv row 46179</t>
  </si>
  <si>
    <t xml:space="preserve">WL-01541</t>
  </si>
  <si>
    <t xml:space="preserve">Rhonda Johnson</t>
  </si>
  <si>
    <t xml:space="preserve">TXN-202608-020550</t>
  </si>
  <si>
    <t xml:space="preserve">slip_inventory_2026-08.csv row 364; billing_transactions_2022_2026.csv row 46181</t>
  </si>
  <si>
    <t xml:space="preserve">VB-0508</t>
  </si>
  <si>
    <t xml:space="preserve">WL-01834</t>
  </si>
  <si>
    <t xml:space="preserve">Kevin Baker</t>
  </si>
  <si>
    <t xml:space="preserve">WIDGEON GLIDE</t>
  </si>
  <si>
    <t xml:space="preserve">TXN-202608-020609</t>
  </si>
  <si>
    <t xml:space="preserve">slip_inventory_2026-08.csv row 365; billing_transactions_2022_2026.csv row 46182</t>
  </si>
  <si>
    <t xml:space="preserve">VB-0509</t>
  </si>
  <si>
    <t xml:space="preserve">WL-02326</t>
  </si>
  <si>
    <t xml:space="preserve">Debra Blackwell</t>
  </si>
  <si>
    <t xml:space="preserve">TXN-202608-020671</t>
  </si>
  <si>
    <t xml:space="preserve">slip_inventory_2026-08.csv row 366; billing_transactions_2022_2026.csv row 46184</t>
  </si>
  <si>
    <t xml:space="preserve">VB-0510</t>
  </si>
  <si>
    <t xml:space="preserve">TXN-202608-020741</t>
  </si>
  <si>
    <t xml:space="preserve">slip_inventory_2026-08.csv row 367; billing_transactions_2022_2026.csv row 46185</t>
  </si>
  <si>
    <t xml:space="preserve">VB-0511</t>
  </si>
  <si>
    <t xml:space="preserve">WL-02036</t>
  </si>
  <si>
    <t xml:space="preserve">Susan Miller</t>
  </si>
  <si>
    <t xml:space="preserve">TXN-202608-020819</t>
  </si>
  <si>
    <t xml:space="preserve">slip_inventory_2026-08.csv row 368; billing_transactions_2022_2026.csv row 46186</t>
  </si>
  <si>
    <t xml:space="preserve">WL-02592</t>
  </si>
  <si>
    <t xml:space="preserve">Stacy Hernandez</t>
  </si>
  <si>
    <t xml:space="preserve">TXN-202608-020854</t>
  </si>
  <si>
    <t xml:space="preserve">slip_inventory_2026-08.csv row 369; billing_transactions_2022_2026.csv row 46187</t>
  </si>
  <si>
    <t xml:space="preserve">VB-0513</t>
  </si>
  <si>
    <t xml:space="preserve">WL-01169</t>
  </si>
  <si>
    <t xml:space="preserve">Cheyenne Kim</t>
  </si>
  <si>
    <t xml:space="preserve">TXN-202608-020904</t>
  </si>
  <si>
    <t xml:space="preserve">slip_inventory_2026-08.csv row 370; billing_transactions_2022_2026.csv row 46189</t>
  </si>
  <si>
    <t xml:space="preserve">VB-0514</t>
  </si>
  <si>
    <t xml:space="preserve">WL-03262</t>
  </si>
  <si>
    <t xml:space="preserve">Melissa Kerr</t>
  </si>
  <si>
    <t xml:space="preserve">TXN-202608-020943</t>
  </si>
  <si>
    <t xml:space="preserve">slip_inventory_2026-08.csv row 371; billing_transactions_2022_2026.csv row 46190</t>
  </si>
  <si>
    <t xml:space="preserve">VB-0515</t>
  </si>
  <si>
    <t xml:space="preserve">WL-02590</t>
  </si>
  <si>
    <t xml:space="preserve">Thomas Anderson</t>
  </si>
  <si>
    <t xml:space="preserve">TXN-202608-021014</t>
  </si>
  <si>
    <t xml:space="preserve">slip_inventory_2026-08.csv row 372; billing_transactions_2022_2026.csv row 46192</t>
  </si>
  <si>
    <t xml:space="preserve">WL-03489</t>
  </si>
  <si>
    <t xml:space="preserve">Alec Padilla</t>
  </si>
  <si>
    <t xml:space="preserve">POINT STAR</t>
  </si>
  <si>
    <t xml:space="preserve">TXN-202608-021057</t>
  </si>
  <si>
    <t xml:space="preserve">slip_inventory_2026-08.csv row 374; billing_transactions_2022_2026.csv row 46194</t>
  </si>
  <si>
    <t xml:space="preserve">WL-01561</t>
  </si>
  <si>
    <t xml:space="preserve">Brandon Jacobs</t>
  </si>
  <si>
    <t xml:space="preserve">TXN-202608-021124</t>
  </si>
  <si>
    <t xml:space="preserve">slip_inventory_2026-08.csv row 375; billing_transactions_2022_2026.csv row 46196</t>
  </si>
  <si>
    <t xml:space="preserve">VB-0519</t>
  </si>
  <si>
    <t xml:space="preserve">WL-02751</t>
  </si>
  <si>
    <t xml:space="preserve">Tracy Austin</t>
  </si>
  <si>
    <t xml:space="preserve">TXN-202608-021195</t>
  </si>
  <si>
    <t xml:space="preserve">slip_inventory_2026-08.csv row 376; billing_transactions_2022_2026.csv row 46198</t>
  </si>
  <si>
    <t xml:space="preserve">VB-0520</t>
  </si>
  <si>
    <t xml:space="preserve">WL-03010</t>
  </si>
  <si>
    <t xml:space="preserve">Anthony Fleming</t>
  </si>
  <si>
    <t xml:space="preserve">TXN-202608-021264</t>
  </si>
  <si>
    <t xml:space="preserve">slip_inventory_2026-08.csv row 377; billing_transactions_2022_2026.csv row 46200</t>
  </si>
  <si>
    <t xml:space="preserve">TIDE FLATS</t>
  </si>
  <si>
    <t xml:space="preserve">TXN-202608-021330</t>
  </si>
  <si>
    <t xml:space="preserve">slip_inventory_2026-08.csv row 378; billing_transactions_2022_2026.csv row 46201</t>
  </si>
  <si>
    <t xml:space="preserve">VB-0522</t>
  </si>
  <si>
    <t xml:space="preserve">WL-03485</t>
  </si>
  <si>
    <t xml:space="preserve">Timothy Moon</t>
  </si>
  <si>
    <t xml:space="preserve">TXN-202608-021373</t>
  </si>
  <si>
    <t xml:space="preserve">slip_inventory_2026-08.csv row 379; billing_transactions_2022_2026.csv row 46203</t>
  </si>
  <si>
    <t xml:space="preserve">VB-0523</t>
  </si>
  <si>
    <t xml:space="preserve">WL-01927</t>
  </si>
  <si>
    <t xml:space="preserve">Mark Mclaughlin</t>
  </si>
  <si>
    <t xml:space="preserve">TXN-202608-021442</t>
  </si>
  <si>
    <t xml:space="preserve">slip_inventory_2026-08.csv row 380; billing_transactions_2022_2026.csv row 46204</t>
  </si>
  <si>
    <t xml:space="preserve">VB-0524</t>
  </si>
  <si>
    <t xml:space="preserve">WL-02787</t>
  </si>
  <si>
    <t xml:space="preserve">David Dawson</t>
  </si>
  <si>
    <t xml:space="preserve">TXN-202608-021527</t>
  </si>
  <si>
    <t xml:space="preserve">slip_inventory_2026-08.csv row 381; billing_transactions_2022_2026.csv row 46205</t>
  </si>
  <si>
    <t xml:space="preserve">WL-01730</t>
  </si>
  <si>
    <t xml:space="preserve">Charles Sparks</t>
  </si>
  <si>
    <t xml:space="preserve">SANDERLING ROSE</t>
  </si>
  <si>
    <t xml:space="preserve">TXN-202608-021568</t>
  </si>
  <si>
    <t xml:space="preserve">slip_inventory_2026-08.csv row 382; billing_transactions_2022_2026.csv row 46207</t>
  </si>
  <si>
    <t xml:space="preserve">WL-03241</t>
  </si>
  <si>
    <t xml:space="preserve">Michael Ford</t>
  </si>
  <si>
    <t xml:space="preserve">TXN-202608-021618</t>
  </si>
  <si>
    <t xml:space="preserve">slip_inventory_2026-08.csv row 383; billing_transactions_2022_2026.csv row 46209</t>
  </si>
  <si>
    <t xml:space="preserve">VB-0603</t>
  </si>
  <si>
    <t xml:space="preserve">TXN-202608-021670</t>
  </si>
  <si>
    <t xml:space="preserve">slip_inventory_2026-08.csv row 384; billing_transactions_2022_2026.csv row 46210</t>
  </si>
  <si>
    <t xml:space="preserve">WL-01999</t>
  </si>
  <si>
    <t xml:space="preserve">Kristen Williams</t>
  </si>
  <si>
    <t xml:space="preserve">TXN-202608-021707</t>
  </si>
  <si>
    <t xml:space="preserve">slip_inventory_2026-08.csv row 385; billing_transactions_2022_2026.csv row 46211</t>
  </si>
  <si>
    <t xml:space="preserve">VB-0605</t>
  </si>
  <si>
    <t xml:space="preserve">BRANT BAY</t>
  </si>
  <si>
    <t xml:space="preserve">TXN-202608-021751</t>
  </si>
  <si>
    <t xml:space="preserve">slip_inventory_2026-08.csv row 386; billing_transactions_2022_2026.csv row 46212</t>
  </si>
  <si>
    <t xml:space="preserve">VB-0606</t>
  </si>
  <si>
    <t xml:space="preserve">TXN-202608-021833</t>
  </si>
  <si>
    <t xml:space="preserve">slip_inventory_2026-08.csv row 387; billing_transactions_2022_2026.csv row 46214</t>
  </si>
  <si>
    <t xml:space="preserve">VB-0607</t>
  </si>
  <si>
    <t xml:space="preserve">WL-01590</t>
  </si>
  <si>
    <t xml:space="preserve">Cynthia Gutierrez</t>
  </si>
  <si>
    <t xml:space="preserve">TXN-202608-021913</t>
  </si>
  <si>
    <t xml:space="preserve">slip_inventory_2026-08.csv row 388; billing_transactions_2022_2026.csv row 46216</t>
  </si>
  <si>
    <t xml:space="preserve">VB-0609</t>
  </si>
  <si>
    <t xml:space="preserve">WL-01547</t>
  </si>
  <si>
    <t xml:space="preserve">Nicole Burke</t>
  </si>
  <si>
    <t xml:space="preserve">TXN-202608-021980</t>
  </si>
  <si>
    <t xml:space="preserve">slip_inventory_2026-08.csv row 390; billing_transactions_2022_2026.csv row 46217</t>
  </si>
  <si>
    <t xml:space="preserve">VB-0610</t>
  </si>
  <si>
    <t xml:space="preserve">WL-03058</t>
  </si>
  <si>
    <t xml:space="preserve">Mary Thomas</t>
  </si>
  <si>
    <t xml:space="preserve">TXN-202608-022062</t>
  </si>
  <si>
    <t xml:space="preserve">slip_inventory_2026-08.csv row 391; billing_transactions_2022_2026.csv row 46218</t>
  </si>
  <si>
    <t xml:space="preserve">VB-0611</t>
  </si>
  <si>
    <t xml:space="preserve">WL-01330</t>
  </si>
  <si>
    <t xml:space="preserve">Mark Flynn</t>
  </si>
  <si>
    <t xml:space="preserve">GRAY CREST</t>
  </si>
  <si>
    <t xml:space="preserve">TXN-202608-022115</t>
  </si>
  <si>
    <t xml:space="preserve">slip_inventory_2026-08.csv row 392; billing_transactions_2022_2026.csv row 46219</t>
  </si>
  <si>
    <t xml:space="preserve">VB-0612</t>
  </si>
  <si>
    <t xml:space="preserve">WL-03873</t>
  </si>
  <si>
    <t xml:space="preserve">Michele Clay</t>
  </si>
  <si>
    <t xml:space="preserve">TXN-202608-022168</t>
  </si>
  <si>
    <t xml:space="preserve">slip_inventory_2026-08.csv row 393; billing_transactions_2022_2026.csv row 46220</t>
  </si>
  <si>
    <t xml:space="preserve">VB-0613</t>
  </si>
  <si>
    <t xml:space="preserve">WL-02467</t>
  </si>
  <si>
    <t xml:space="preserve">Joseph Davis</t>
  </si>
  <si>
    <t xml:space="preserve">POINT LINE</t>
  </si>
  <si>
    <t xml:space="preserve">TXN-202608-022231</t>
  </si>
  <si>
    <t xml:space="preserve">slip_inventory_2026-08.csv row 394; billing_transactions_2022_2026.csv row 46222</t>
  </si>
  <si>
    <t xml:space="preserve">VB-0614</t>
  </si>
  <si>
    <t xml:space="preserve">TXN-202608-022302</t>
  </si>
  <si>
    <t xml:space="preserve">slip_inventory_2026-08.csv row 395; billing_transactions_2022_2026.csv row 46224</t>
  </si>
  <si>
    <t xml:space="preserve">VB-0615</t>
  </si>
  <si>
    <t xml:space="preserve">WL-02699</t>
  </si>
  <si>
    <t xml:space="preserve">Sharon Gonzales</t>
  </si>
  <si>
    <t xml:space="preserve">TXN-202608-022352</t>
  </si>
  <si>
    <t xml:space="preserve">slip_inventory_2026-08.csv row 396; billing_transactions_2022_2026.csv row 46226</t>
  </si>
  <si>
    <t xml:space="preserve">VB-0616</t>
  </si>
  <si>
    <t xml:space="preserve">WL-01627</t>
  </si>
  <si>
    <t xml:space="preserve">Paige Cherry</t>
  </si>
  <si>
    <t xml:space="preserve">TXN-202608-022429</t>
  </si>
  <si>
    <t xml:space="preserve">slip_inventory_2026-08.csv row 397; billing_transactions_2022_2026.csv row 46227</t>
  </si>
  <si>
    <t xml:space="preserve">WL-02887</t>
  </si>
  <si>
    <t xml:space="preserve">Shelly Mayer</t>
  </si>
  <si>
    <t xml:space="preserve">TXN-202608-022511</t>
  </si>
  <si>
    <t xml:space="preserve">slip_inventory_2026-08.csv row 398; billing_transactions_2022_2026.csv row 46228</t>
  </si>
  <si>
    <t xml:space="preserve">VB-0618</t>
  </si>
  <si>
    <t xml:space="preserve">WL-02828</t>
  </si>
  <si>
    <t xml:space="preserve">Desiree Olsen</t>
  </si>
  <si>
    <t xml:space="preserve">ANCHOR LINE</t>
  </si>
  <si>
    <t xml:space="preserve">TXN-202608-022571</t>
  </si>
  <si>
    <t xml:space="preserve">slip_inventory_2026-08.csv row 399; billing_transactions_2022_2026.csv row 46229</t>
  </si>
  <si>
    <t xml:space="preserve">WL-01841</t>
  </si>
  <si>
    <t xml:space="preserve">Arthur Jones</t>
  </si>
  <si>
    <t xml:space="preserve">TXN-202608-022636</t>
  </si>
  <si>
    <t xml:space="preserve">slip_inventory_2026-08.csv row 400; billing_transactions_2022_2026.csv row 46231</t>
  </si>
  <si>
    <t xml:space="preserve">WL-01226</t>
  </si>
  <si>
    <t xml:space="preserve">Phyllis Vargas</t>
  </si>
  <si>
    <t xml:space="preserve">TXN-202608-022704</t>
  </si>
  <si>
    <t xml:space="preserve">slip_inventory_2026-08.csv row 401; billing_transactions_2022_2026.csv row 46233</t>
  </si>
  <si>
    <t xml:space="preserve">VB-0621</t>
  </si>
  <si>
    <t xml:space="preserve">WL-01275</t>
  </si>
  <si>
    <t xml:space="preserve">Adam Shepherd</t>
  </si>
  <si>
    <t xml:space="preserve">TXN-202608-022757</t>
  </si>
  <si>
    <t xml:space="preserve">slip_inventory_2026-08.csv row 402; billing_transactions_2022_2026.csv row 46234</t>
  </si>
  <si>
    <t xml:space="preserve">VB-0622</t>
  </si>
  <si>
    <t xml:space="preserve">WL-01083</t>
  </si>
  <si>
    <t xml:space="preserve">Dennis Schmidt</t>
  </si>
  <si>
    <t xml:space="preserve">OTTER CREST</t>
  </si>
  <si>
    <t xml:space="preserve">TXN-202608-022809</t>
  </si>
  <si>
    <t xml:space="preserve">slip_inventory_2026-08.csv row 403; billing_transactions_2022_2026.csv row 46236</t>
  </si>
  <si>
    <t xml:space="preserve">VB-0623</t>
  </si>
  <si>
    <t xml:space="preserve">WL-02748</t>
  </si>
  <si>
    <t xml:space="preserve">Ross Griffin</t>
  </si>
  <si>
    <t xml:space="preserve">TXN-202608-022846</t>
  </si>
  <si>
    <t xml:space="preserve">slip_inventory_2026-08.csv row 404; billing_transactions_2022_2026.csv row 46237</t>
  </si>
  <si>
    <t xml:space="preserve">VB-0624</t>
  </si>
  <si>
    <t xml:space="preserve">WL-03304</t>
  </si>
  <si>
    <t xml:space="preserve">Heather Brown</t>
  </si>
  <si>
    <t xml:space="preserve">TXN-202608-022928</t>
  </si>
  <si>
    <t xml:space="preserve">slip_inventory_2026-08.csv row 405; billing_transactions_2022_2026.csv row 46238</t>
  </si>
  <si>
    <t xml:space="preserve">VB-0701</t>
  </si>
  <si>
    <t xml:space="preserve">WL-02201</t>
  </si>
  <si>
    <t xml:space="preserve">Johnathan Gould</t>
  </si>
  <si>
    <t xml:space="preserve">PINTAIL ROSE</t>
  </si>
  <si>
    <t xml:space="preserve">TXN-202608-022993</t>
  </si>
  <si>
    <t xml:space="preserve">slip_inventory_2026-08.csv row 406; billing_transactions_2022_2026.csv row 46239</t>
  </si>
  <si>
    <t xml:space="preserve">VB-0703</t>
  </si>
  <si>
    <t xml:space="preserve">WL-01897</t>
  </si>
  <si>
    <t xml:space="preserve">Raymond Davis</t>
  </si>
  <si>
    <t xml:space="preserve">TXN-202608-023071</t>
  </si>
  <si>
    <t xml:space="preserve">slip_inventory_2026-08.csv row 408; billing_transactions_2022_2026.csv row 46241</t>
  </si>
  <si>
    <t xml:space="preserve">VB-0704</t>
  </si>
  <si>
    <t xml:space="preserve">WL-02737</t>
  </si>
  <si>
    <t xml:space="preserve">Kimberly Crosby</t>
  </si>
  <si>
    <t xml:space="preserve">FOUL SHORE</t>
  </si>
  <si>
    <t xml:space="preserve">TXN-202608-023148</t>
  </si>
  <si>
    <t xml:space="preserve">slip_inventory_2026-08.csv row 409; billing_transactions_2022_2026.csv row 46242</t>
  </si>
  <si>
    <t xml:space="preserve">WL-02998</t>
  </si>
  <si>
    <t xml:space="preserve">Luis Bradley</t>
  </si>
  <si>
    <t xml:space="preserve">TXN-202608-023204</t>
  </si>
  <si>
    <t xml:space="preserve">slip_inventory_2026-08.csv row 410; billing_transactions_2022_2026.csv row 46244</t>
  </si>
  <si>
    <t xml:space="preserve">VB-0706</t>
  </si>
  <si>
    <t xml:space="preserve">WL-02627</t>
  </si>
  <si>
    <t xml:space="preserve">Cynthia Campbell</t>
  </si>
  <si>
    <t xml:space="preserve">TXN-202608-023276</t>
  </si>
  <si>
    <t xml:space="preserve">slip_inventory_2026-08.csv row 411; billing_transactions_2022_2026.csv row 46245</t>
  </si>
  <si>
    <t xml:space="preserve">TXN-202608-023322</t>
  </si>
  <si>
    <t xml:space="preserve">slip_inventory_2026-08.csv row 412; billing_transactions_2022_2026.csv row 46246</t>
  </si>
  <si>
    <t xml:space="preserve">VB-0708</t>
  </si>
  <si>
    <t xml:space="preserve">WL-01549</t>
  </si>
  <si>
    <t xml:space="preserve">Zachary Wilson</t>
  </si>
  <si>
    <t xml:space="preserve">FOUL QUEEN</t>
  </si>
  <si>
    <t xml:space="preserve">TXN-202608-023395</t>
  </si>
  <si>
    <t xml:space="preserve">slip_inventory_2026-08.csv row 413; billing_transactions_2022_2026.csv row 46248</t>
  </si>
  <si>
    <t xml:space="preserve">VB-0709</t>
  </si>
  <si>
    <t xml:space="preserve">WL-03117</t>
  </si>
  <si>
    <t xml:space="preserve">Stephanie Hawkins</t>
  </si>
  <si>
    <t xml:space="preserve">TXN-202608-023466</t>
  </si>
  <si>
    <t xml:space="preserve">slip_inventory_2026-08.csv row 414; billing_transactions_2022_2026.csv row 46249</t>
  </si>
  <si>
    <t xml:space="preserve">VB-0710</t>
  </si>
  <si>
    <t xml:space="preserve">WL-01146</t>
  </si>
  <si>
    <t xml:space="preserve">Jessica English</t>
  </si>
  <si>
    <t xml:space="preserve">TXN-202608-023520</t>
  </si>
  <si>
    <t xml:space="preserve">slip_inventory_2026-08.csv row 415; billing_transactions_2022_2026.csv row 46251</t>
  </si>
  <si>
    <t xml:space="preserve">VB-0711</t>
  </si>
  <si>
    <t xml:space="preserve">WL-03156</t>
  </si>
  <si>
    <t xml:space="preserve">Stephen Riley</t>
  </si>
  <si>
    <t xml:space="preserve">TXN-202608-023563</t>
  </si>
  <si>
    <t xml:space="preserve">slip_inventory_2026-08.csv row 416; billing_transactions_2022_2026.csv row 46252</t>
  </si>
  <si>
    <t xml:space="preserve">VB-0712</t>
  </si>
  <si>
    <t xml:space="preserve">WL-03530</t>
  </si>
  <si>
    <t xml:space="preserve">Jay Dominguez</t>
  </si>
  <si>
    <t xml:space="preserve">TXN-202608-023629</t>
  </si>
  <si>
    <t xml:space="preserve">slip_inventory_2026-08.csv row 417; billing_transactions_2022_2026.csv row 46253</t>
  </si>
  <si>
    <t xml:space="preserve">VB-0713</t>
  </si>
  <si>
    <t xml:space="preserve">WL-01276</t>
  </si>
  <si>
    <t xml:space="preserve">Nicole Fritz</t>
  </si>
  <si>
    <t xml:space="preserve">TXN-202608-023683</t>
  </si>
  <si>
    <t xml:space="preserve">slip_inventory_2026-08.csv row 418; billing_transactions_2022_2026.csv row 46254</t>
  </si>
  <si>
    <t xml:space="preserve">VB-0714</t>
  </si>
  <si>
    <t xml:space="preserve">WL-02262</t>
  </si>
  <si>
    <t xml:space="preserve">James Rice</t>
  </si>
  <si>
    <t xml:space="preserve">FOUL SOUND</t>
  </si>
  <si>
    <t xml:space="preserve">TXN-202608-023748</t>
  </si>
  <si>
    <t xml:space="preserve">slip_inventory_2026-08.csv row 419; billing_transactions_2022_2026.csv row 46255</t>
  </si>
  <si>
    <t xml:space="preserve">VB-0715</t>
  </si>
  <si>
    <t xml:space="preserve">KESTREL DANCER</t>
  </si>
  <si>
    <t xml:space="preserve">TXN-202608-023824</t>
  </si>
  <si>
    <t xml:space="preserve">slip_inventory_2026-08.csv row 420; billing_transactions_2022_2026.csv row 46256</t>
  </si>
  <si>
    <t xml:space="preserve">VB-0716</t>
  </si>
  <si>
    <t xml:space="preserve">WL-02482</t>
  </si>
  <si>
    <t xml:space="preserve">Emily Taylor</t>
  </si>
  <si>
    <t xml:space="preserve">TXN-202608-023899</t>
  </si>
  <si>
    <t xml:space="preserve">slip_inventory_2026-08.csv row 421; billing_transactions_2022_2026.csv row 46258</t>
  </si>
  <si>
    <t xml:space="preserve">WL-01515</t>
  </si>
  <si>
    <t xml:space="preserve">Andrea Simpson</t>
  </si>
  <si>
    <t xml:space="preserve">OSPREY STAR</t>
  </si>
  <si>
    <t xml:space="preserve">TXN-202608-023969</t>
  </si>
  <si>
    <t xml:space="preserve">slip_inventory_2026-08.csv row 422; billing_transactions_2022_2026.csv row 46260</t>
  </si>
  <si>
    <t xml:space="preserve">VB-0718</t>
  </si>
  <si>
    <t xml:space="preserve">WL-02670</t>
  </si>
  <si>
    <t xml:space="preserve">Sara Hamilton</t>
  </si>
  <si>
    <t xml:space="preserve">TXN-202608-024052</t>
  </si>
  <si>
    <t xml:space="preserve">slip_inventory_2026-08.csv row 423; billing_transactions_2022_2026.csv row 46261</t>
  </si>
  <si>
    <t xml:space="preserve">WL-01748</t>
  </si>
  <si>
    <t xml:space="preserve">Daniel Brown</t>
  </si>
  <si>
    <t xml:space="preserve">SANDERLING LINE</t>
  </si>
  <si>
    <t xml:space="preserve">TXN-202608-024133</t>
  </si>
  <si>
    <t xml:space="preserve">slip_inventory_2026-08.csv row 424; billing_transactions_2022_2026.csv row 46263</t>
  </si>
  <si>
    <t xml:space="preserve">WL-01043</t>
  </si>
  <si>
    <t xml:space="preserve">Diane James</t>
  </si>
  <si>
    <t xml:space="preserve">KESTREL HARBOR</t>
  </si>
  <si>
    <t xml:space="preserve">TXN-202608-024196</t>
  </si>
  <si>
    <t xml:space="preserve">slip_inventory_2026-08.csv row 425; billing_transactions_2022_2026.csv row 46264</t>
  </si>
  <si>
    <t xml:space="preserve">WL-01272</t>
  </si>
  <si>
    <t xml:space="preserve">Christopher Dixon</t>
  </si>
  <si>
    <t xml:space="preserve">BRANT SHORE</t>
  </si>
  <si>
    <t xml:space="preserve">TXN-202608-024248</t>
  </si>
  <si>
    <t xml:space="preserve">slip_inventory_2026-08.csv row 426; billing_transactions_2022_2026.csv row 46265</t>
  </si>
  <si>
    <t xml:space="preserve">VB-0722</t>
  </si>
  <si>
    <t xml:space="preserve">WL-03066</t>
  </si>
  <si>
    <t xml:space="preserve">Shawna Cain</t>
  </si>
  <si>
    <t xml:space="preserve">TXN-202608-024314</t>
  </si>
  <si>
    <t xml:space="preserve">slip_inventory_2026-08.csv row 427; billing_transactions_2022_2026.csv row 46266</t>
  </si>
  <si>
    <t xml:space="preserve">VB-0723</t>
  </si>
  <si>
    <t xml:space="preserve">WL-03192</t>
  </si>
  <si>
    <t xml:space="preserve">Aaron Johnson</t>
  </si>
  <si>
    <t xml:space="preserve">COHO LIGHT</t>
  </si>
  <si>
    <t xml:space="preserve">TXN-202608-024390</t>
  </si>
  <si>
    <t xml:space="preserve">slip_inventory_2026-08.csv row 428; billing_transactions_2022_2026.csv row 46267</t>
  </si>
  <si>
    <t xml:space="preserve">VB-0724</t>
  </si>
  <si>
    <t xml:space="preserve">WL-02714</t>
  </si>
  <si>
    <t xml:space="preserve">Mitchell Sanchez</t>
  </si>
  <si>
    <t xml:space="preserve">TXN-202608-024453</t>
  </si>
  <si>
    <t xml:space="preserve">slip_inventory_2026-08.csv row 429; billing_transactions_2022_2026.csv row 46268</t>
  </si>
  <si>
    <t xml:space="preserve">VB-0801</t>
  </si>
  <si>
    <t xml:space="preserve">WL-01099</t>
  </si>
  <si>
    <t xml:space="preserve">Joseph Cooper</t>
  </si>
  <si>
    <t xml:space="preserve">TXN-202608-024528</t>
  </si>
  <si>
    <t xml:space="preserve">slip_inventory_2026-08.csv row 430; billing_transactions_2022_2026.csv row 46269</t>
  </si>
  <si>
    <t xml:space="preserve">VB-0802</t>
  </si>
  <si>
    <t xml:space="preserve">WL-03073</t>
  </si>
  <si>
    <t xml:space="preserve">Donna Silva</t>
  </si>
  <si>
    <t xml:space="preserve">TXN-202608-024575</t>
  </si>
  <si>
    <t xml:space="preserve">slip_inventory_2026-08.csv row 431; billing_transactions_2022_2026.csv row 46271</t>
  </si>
  <si>
    <t xml:space="preserve">VB-0803</t>
  </si>
  <si>
    <t xml:space="preserve">TXN-202608-024658</t>
  </si>
  <si>
    <t xml:space="preserve">slip_inventory_2026-08.csv row 432; billing_transactions_2022_2026.csv row 46272</t>
  </si>
  <si>
    <t xml:space="preserve">WL-02837</t>
  </si>
  <si>
    <t xml:space="preserve">Tara Elliott</t>
  </si>
  <si>
    <t xml:space="preserve">TXN-202608-024724</t>
  </si>
  <si>
    <t xml:space="preserve">slip_inventory_2026-08.csv row 433; billing_transactions_2022_2026.csv row 46274</t>
  </si>
  <si>
    <t xml:space="preserve">WL-03293</t>
  </si>
  <si>
    <t xml:space="preserve">Laurie Huerta</t>
  </si>
  <si>
    <t xml:space="preserve">PETREL DANCER</t>
  </si>
  <si>
    <t xml:space="preserve">TXN-202608-024764</t>
  </si>
  <si>
    <t xml:space="preserve">slip_inventory_2026-08.csv row 434; billing_transactions_2022_2026.csv row 46276</t>
  </si>
  <si>
    <t xml:space="preserve">VB-0806</t>
  </si>
  <si>
    <t xml:space="preserve">WL-01493</t>
  </si>
  <si>
    <t xml:space="preserve">Jean Guerra</t>
  </si>
  <si>
    <t xml:space="preserve">OTTER VEER</t>
  </si>
  <si>
    <t xml:space="preserve">TXN-202608-024806</t>
  </si>
  <si>
    <t xml:space="preserve">slip_inventory_2026-08.csv row 435; billing_transactions_2022_2026.csv row 46277</t>
  </si>
  <si>
    <t xml:space="preserve">VB-0807</t>
  </si>
  <si>
    <t xml:space="preserve">WL-01492</t>
  </si>
  <si>
    <t xml:space="preserve">TXN-202608-024843</t>
  </si>
  <si>
    <t xml:space="preserve">slip_inventory_2026-08.csv row 436; billing_transactions_2022_2026.csv row 46278</t>
  </si>
  <si>
    <t xml:space="preserve">WL-03837</t>
  </si>
  <si>
    <t xml:space="preserve">John Griffith</t>
  </si>
  <si>
    <t xml:space="preserve">TXN-202608-024925</t>
  </si>
  <si>
    <t xml:space="preserve">slip_inventory_2026-08.csv row 437; billing_transactions_2022_2026.csv row 46280</t>
  </si>
  <si>
    <t xml:space="preserve">WL-03458</t>
  </si>
  <si>
    <t xml:space="preserve">Brittany Wells</t>
  </si>
  <si>
    <t xml:space="preserve">TXN-202608-024985</t>
  </si>
  <si>
    <t xml:space="preserve">slip_inventory_2026-08.csv row 439; billing_transactions_2022_2026.csv row 46281</t>
  </si>
  <si>
    <t xml:space="preserve">VB-0811</t>
  </si>
  <si>
    <t xml:space="preserve">WL-02419</t>
  </si>
  <si>
    <t xml:space="preserve">Cameron Aguirre</t>
  </si>
  <si>
    <t xml:space="preserve">TXN-202608-025051</t>
  </si>
  <si>
    <t xml:space="preserve">slip_inventory_2026-08.csv row 440; billing_transactions_2022_2026.csv row 46283</t>
  </si>
  <si>
    <t xml:space="preserve">VB-0812</t>
  </si>
  <si>
    <t xml:space="preserve">WL-02636</t>
  </si>
  <si>
    <t xml:space="preserve">Andrew Young</t>
  </si>
  <si>
    <t xml:space="preserve">TXN-202608-025106</t>
  </si>
  <si>
    <t xml:space="preserve">slip_inventory_2026-08.csv row 441; billing_transactions_2022_2026.csv row 46284</t>
  </si>
  <si>
    <t xml:space="preserve">WL-03132</t>
  </si>
  <si>
    <t xml:space="preserve">David Fox</t>
  </si>
  <si>
    <t xml:space="preserve">TXN-202608-025180</t>
  </si>
  <si>
    <t xml:space="preserve">slip_inventory_2026-08.csv row 442; billing_transactions_2022_2026.csv row 46285</t>
  </si>
  <si>
    <t xml:space="preserve">VB-0814</t>
  </si>
  <si>
    <t xml:space="preserve">WL-03609</t>
  </si>
  <si>
    <t xml:space="preserve">Daniel Dunn</t>
  </si>
  <si>
    <t xml:space="preserve">TXN-202608-025221</t>
  </si>
  <si>
    <t xml:space="preserve">slip_inventory_2026-08.csv row 443; billing_transactions_2022_2026.csv row 46286</t>
  </si>
  <si>
    <t xml:space="preserve">WL-01850</t>
  </si>
  <si>
    <t xml:space="preserve">Bryce Benjamin</t>
  </si>
  <si>
    <t xml:space="preserve">TXN-202608-025274</t>
  </si>
  <si>
    <t xml:space="preserve">slip_inventory_2026-08.csv row 444; billing_transactions_2022_2026.csv row 46287</t>
  </si>
  <si>
    <t xml:space="preserve">VB-0816</t>
  </si>
  <si>
    <t xml:space="preserve">WL-02825</t>
  </si>
  <si>
    <t xml:space="preserve">Dustin Watkins</t>
  </si>
  <si>
    <t xml:space="preserve">SEAL CREST</t>
  </si>
  <si>
    <t xml:space="preserve">TXN-202608-025342</t>
  </si>
  <si>
    <t xml:space="preserve">slip_inventory_2026-08.csv row 445; billing_transactions_2022_2026.csv row 46288</t>
  </si>
  <si>
    <t xml:space="preserve">VB-0817</t>
  </si>
  <si>
    <t xml:space="preserve">WL-02072</t>
  </si>
  <si>
    <t xml:space="preserve">Stephen Hoffman</t>
  </si>
  <si>
    <t xml:space="preserve">TXN-202608-025421</t>
  </si>
  <si>
    <t xml:space="preserve">slip_inventory_2026-08.csv row 446; billing_transactions_2022_2026.csv row 46289</t>
  </si>
  <si>
    <t xml:space="preserve">VB-0818</t>
  </si>
  <si>
    <t xml:space="preserve">WL-01501</t>
  </si>
  <si>
    <t xml:space="preserve">Thomas Levine</t>
  </si>
  <si>
    <t xml:space="preserve">TXN-202608-025469</t>
  </si>
  <si>
    <t xml:space="preserve">slip_inventory_2026-08.csv row 447; billing_transactions_2022_2026.csv row 46291</t>
  </si>
  <si>
    <t xml:space="preserve">VB-0819</t>
  </si>
  <si>
    <t xml:space="preserve">WL-03202</t>
  </si>
  <si>
    <t xml:space="preserve">TXN-202608-025515</t>
  </si>
  <si>
    <t xml:space="preserve">slip_inventory_2026-08.csv row 448; billing_transactions_2022_2026.csv row 46293</t>
  </si>
  <si>
    <t xml:space="preserve">WL-01842</t>
  </si>
  <si>
    <t xml:space="preserve">Amy Thomas</t>
  </si>
  <si>
    <t xml:space="preserve">TXN-202608-025599</t>
  </si>
  <si>
    <t xml:space="preserve">slip_inventory_2026-08.csv row 449; billing_transactions_2022_2026.csv row 46295</t>
  </si>
  <si>
    <t xml:space="preserve">VB-0821</t>
  </si>
  <si>
    <t xml:space="preserve">TXN-202608-025654</t>
  </si>
  <si>
    <t xml:space="preserve">slip_inventory_2026-08.csv row 450; billing_transactions_2022_2026.csv row 46296</t>
  </si>
  <si>
    <t xml:space="preserve">VB-0822</t>
  </si>
  <si>
    <t xml:space="preserve">WL-01320</t>
  </si>
  <si>
    <t xml:space="preserve">Jesse Jennings</t>
  </si>
  <si>
    <t xml:space="preserve">TXN-202608-025726</t>
  </si>
  <si>
    <t xml:space="preserve">slip_inventory_2026-08.csv row 451; billing_transactions_2022_2026.csv row 46297</t>
  </si>
  <si>
    <t xml:space="preserve">VB-0823</t>
  </si>
  <si>
    <t xml:space="preserve">WL-01903</t>
  </si>
  <si>
    <t xml:space="preserve">Andrea Brady</t>
  </si>
  <si>
    <t xml:space="preserve">TXN-202608-025778</t>
  </si>
  <si>
    <t xml:space="preserve">slip_inventory_2026-08.csv row 452; billing_transactions_2022_2026.csv row 46298</t>
  </si>
  <si>
    <t xml:space="preserve">VB-0901</t>
  </si>
  <si>
    <t xml:space="preserve">TXN-202608-025851</t>
  </si>
  <si>
    <t xml:space="preserve">slip_inventory_2026-08.csv row 454; billing_transactions_2022_2026.csv row 46300</t>
  </si>
  <si>
    <t xml:space="preserve">VB-0902</t>
  </si>
  <si>
    <t xml:space="preserve">WL-01273</t>
  </si>
  <si>
    <t xml:space="preserve">Eduardo Henry</t>
  </si>
  <si>
    <t xml:space="preserve">TXN-202608-025912</t>
  </si>
  <si>
    <t xml:space="preserve">slip_inventory_2026-08.csv row 455; billing_transactions_2022_2026.csv row 46301</t>
  </si>
  <si>
    <t xml:space="preserve">VB-0903</t>
  </si>
  <si>
    <t xml:space="preserve">WL-02456</t>
  </si>
  <si>
    <t xml:space="preserve">Madeline Nunez</t>
  </si>
  <si>
    <t xml:space="preserve">TXN-202608-025972</t>
  </si>
  <si>
    <t xml:space="preserve">slip_inventory_2026-08.csv row 456; billing_transactions_2022_2026.csv row 46303</t>
  </si>
  <si>
    <t xml:space="preserve">WL-02354</t>
  </si>
  <si>
    <t xml:space="preserve">Makayla Sanchez</t>
  </si>
  <si>
    <t xml:space="preserve">TXN-202608-026052</t>
  </si>
  <si>
    <t xml:space="preserve">slip_inventory_2026-08.csv row 457; billing_transactions_2022_2026.csv row 46304</t>
  </si>
  <si>
    <t xml:space="preserve">VB-0905</t>
  </si>
  <si>
    <t xml:space="preserve">WL-03101</t>
  </si>
  <si>
    <t xml:space="preserve">Kristie Cunningham</t>
  </si>
  <si>
    <t xml:space="preserve">TXN-202608-026105</t>
  </si>
  <si>
    <t xml:space="preserve">slip_inventory_2026-08.csv row 458; billing_transactions_2022_2026.csv row 46305</t>
  </si>
  <si>
    <t xml:space="preserve">TXN-202608-026174</t>
  </si>
  <si>
    <t xml:space="preserve">slip_inventory_2026-08.csv row 459; billing_transactions_2022_2026.csv row 46307</t>
  </si>
  <si>
    <t xml:space="preserve">VB-0907</t>
  </si>
  <si>
    <t xml:space="preserve">WL-03855</t>
  </si>
  <si>
    <t xml:space="preserve">Peggy Solomon</t>
  </si>
  <si>
    <t xml:space="preserve">SABLE CREST</t>
  </si>
  <si>
    <t xml:space="preserve">TXN-202608-026249</t>
  </si>
  <si>
    <t xml:space="preserve">slip_inventory_2026-08.csv row 460; billing_transactions_2022_2026.csv row 46308</t>
  </si>
  <si>
    <t xml:space="preserve">VB-0908</t>
  </si>
  <si>
    <t xml:space="preserve">TXN-202608-026315</t>
  </si>
  <si>
    <t xml:space="preserve">slip_inventory_2026-08.csv row 461; billing_transactions_2022_2026.csv row 46309</t>
  </si>
  <si>
    <t xml:space="preserve">VB-0909</t>
  </si>
  <si>
    <t xml:space="preserve">WL-02313</t>
  </si>
  <si>
    <t xml:space="preserve">Aaron Bell</t>
  </si>
  <si>
    <t xml:space="preserve">TXN-202608-026383</t>
  </si>
  <si>
    <t xml:space="preserve">slip_inventory_2026-08.csv row 462; billing_transactions_2022_2026.csv row 46310</t>
  </si>
  <si>
    <t xml:space="preserve">VB-0910</t>
  </si>
  <si>
    <t xml:space="preserve">WL-03308</t>
  </si>
  <si>
    <t xml:space="preserve">Tanya Hunt</t>
  </si>
  <si>
    <t xml:space="preserve">SCOTER ROSE</t>
  </si>
  <si>
    <t xml:space="preserve">TXN-202608-026438</t>
  </si>
  <si>
    <t xml:space="preserve">slip_inventory_2026-08.csv row 463; billing_transactions_2022_2026.csv row 46312</t>
  </si>
  <si>
    <t xml:space="preserve">VB-0911</t>
  </si>
  <si>
    <t xml:space="preserve">WL-01513</t>
  </si>
  <si>
    <t xml:space="preserve">Jennifer Thomas</t>
  </si>
  <si>
    <t xml:space="preserve">TXN-202608-026488</t>
  </si>
  <si>
    <t xml:space="preserve">slip_inventory_2026-08.csv row 464; billing_transactions_2022_2026.csv row 46314</t>
  </si>
  <si>
    <t xml:space="preserve">WL-01027</t>
  </si>
  <si>
    <t xml:space="preserve">Rachel Jones</t>
  </si>
  <si>
    <t xml:space="preserve">SEAL ANN</t>
  </si>
  <si>
    <t xml:space="preserve">TXN-202608-026527</t>
  </si>
  <si>
    <t xml:space="preserve">slip_inventory_2026-08.csv row 465; billing_transactions_2022_2026.csv row 46316</t>
  </si>
  <si>
    <t xml:space="preserve">VB-0913</t>
  </si>
  <si>
    <t xml:space="preserve">WL-03838</t>
  </si>
  <si>
    <t xml:space="preserve">Sean Cruz</t>
  </si>
  <si>
    <t xml:space="preserve">TXN-202608-026582</t>
  </si>
  <si>
    <t xml:space="preserve">slip_inventory_2026-08.csv row 466; billing_transactions_2022_2026.csv row 46318</t>
  </si>
  <si>
    <t xml:space="preserve">VB-0914</t>
  </si>
  <si>
    <t xml:space="preserve">WL-02950</t>
  </si>
  <si>
    <t xml:space="preserve">Travis Young</t>
  </si>
  <si>
    <t xml:space="preserve">TXN-202608-026661</t>
  </si>
  <si>
    <t xml:space="preserve">slip_inventory_2026-08.csv row 467; billing_transactions_2022_2026.csv row 46320</t>
  </si>
  <si>
    <t xml:space="preserve">VB-0915</t>
  </si>
  <si>
    <t xml:space="preserve">WL-02424</t>
  </si>
  <si>
    <t xml:space="preserve">Jessica Nguyen</t>
  </si>
  <si>
    <t xml:space="preserve">TXN-202608-026739</t>
  </si>
  <si>
    <t xml:space="preserve">slip_inventory_2026-08.csv row 468; billing_transactions_2022_2026.csv row 46321</t>
  </si>
  <si>
    <t xml:space="preserve">WL-01194</t>
  </si>
  <si>
    <t xml:space="preserve">Kathryn Munoz</t>
  </si>
  <si>
    <t xml:space="preserve">TXN-202608-026792</t>
  </si>
  <si>
    <t xml:space="preserve">slip_inventory_2026-08.csv row 469; billing_transactions_2022_2026.csv row 46323</t>
  </si>
  <si>
    <t xml:space="preserve">WL-03422</t>
  </si>
  <si>
    <t xml:space="preserve">Robin Jones</t>
  </si>
  <si>
    <t xml:space="preserve">TXN-202608-026843</t>
  </si>
  <si>
    <t xml:space="preserve">slip_inventory_2026-08.csv row 470; billing_transactions_2022_2026.csv row 46324</t>
  </si>
  <si>
    <t xml:space="preserve">VB-0918</t>
  </si>
  <si>
    <t xml:space="preserve">WL-03033</t>
  </si>
  <si>
    <t xml:space="preserve">Brian Sellers</t>
  </si>
  <si>
    <t xml:space="preserve">TXN-202608-026923</t>
  </si>
  <si>
    <t xml:space="preserve">slip_inventory_2026-08.csv row 471; billing_transactions_2022_2026.csv row 46325</t>
  </si>
  <si>
    <t xml:space="preserve">VB-0919</t>
  </si>
  <si>
    <t xml:space="preserve">WL-03091</t>
  </si>
  <si>
    <t xml:space="preserve">Sandra Barber</t>
  </si>
  <si>
    <t xml:space="preserve">TXN-202608-026985</t>
  </si>
  <si>
    <t xml:space="preserve">slip_inventory_2026-08.csv row 472; billing_transactions_2022_2026.csv row 46327</t>
  </si>
  <si>
    <t xml:space="preserve">VB-0920</t>
  </si>
  <si>
    <t xml:space="preserve">WL-02265</t>
  </si>
  <si>
    <t xml:space="preserve">Kimberly Bailey</t>
  </si>
  <si>
    <t xml:space="preserve">TXN-202608-027025</t>
  </si>
  <si>
    <t xml:space="preserve">slip_inventory_2026-08.csv row 473; billing_transactions_2022_2026.csv row 46329</t>
  </si>
  <si>
    <t xml:space="preserve">VB-0921</t>
  </si>
  <si>
    <t xml:space="preserve">WL-03544</t>
  </si>
  <si>
    <t xml:space="preserve">TXN-202608-027066</t>
  </si>
  <si>
    <t xml:space="preserve">slip_inventory_2026-08.csv row 474; billing_transactions_2022_2026.csv row 46330</t>
  </si>
  <si>
    <t xml:space="preserve">VB-0923</t>
  </si>
  <si>
    <t xml:space="preserve">WL-02666</t>
  </si>
  <si>
    <t xml:space="preserve">Amber Liu</t>
  </si>
  <si>
    <t xml:space="preserve">TXN-202608-027119</t>
  </si>
  <si>
    <t xml:space="preserve">slip_inventory_2026-08.csv row 476; billing_transactions_2022_2026.csv row 46332</t>
  </si>
  <si>
    <t xml:space="preserve">WL-03176</t>
  </si>
  <si>
    <t xml:space="preserve">Elizabeth Kelly</t>
  </si>
  <si>
    <t xml:space="preserve">TXN-202608-027201</t>
  </si>
  <si>
    <t xml:space="preserve">slip_inventory_2026-08.csv row 477; billing_transactions_2022_2026.csv row 46334</t>
  </si>
  <si>
    <t xml:space="preserve">VB-1001</t>
  </si>
  <si>
    <t xml:space="preserve">WL-03801</t>
  </si>
  <si>
    <t xml:space="preserve">Brian Robertson</t>
  </si>
  <si>
    <t xml:space="preserve">TXN-202608-027264</t>
  </si>
  <si>
    <t xml:space="preserve">slip_inventory_2026-08.csv row 478; billing_transactions_2022_2026.csv row 46335</t>
  </si>
  <si>
    <t xml:space="preserve">VB-1002</t>
  </si>
  <si>
    <t xml:space="preserve">WL-02902</t>
  </si>
  <si>
    <t xml:space="preserve">Lorraine Schultz</t>
  </si>
  <si>
    <t xml:space="preserve">TXN-202608-027309</t>
  </si>
  <si>
    <t xml:space="preserve">slip_inventory_2026-08.csv row 479; billing_transactions_2022_2026.csv row 46336</t>
  </si>
  <si>
    <t xml:space="preserve">VB-1004</t>
  </si>
  <si>
    <t xml:space="preserve">WL-03765</t>
  </si>
  <si>
    <t xml:space="preserve">Joel Schmidt</t>
  </si>
  <si>
    <t xml:space="preserve">TXN-202608-027352</t>
  </si>
  <si>
    <t xml:space="preserve">slip_inventory_2026-08.csv row 481; billing_transactions_2022_2026.csv row 46338</t>
  </si>
  <si>
    <t xml:space="preserve">VB-1005</t>
  </si>
  <si>
    <t xml:space="preserve">WL-01874</t>
  </si>
  <si>
    <t xml:space="preserve">Glenda Williams</t>
  </si>
  <si>
    <t xml:space="preserve">TXN-202608-027398</t>
  </si>
  <si>
    <t xml:space="preserve">slip_inventory_2026-08.csv row 482; billing_transactions_2022_2026.csv row 46340</t>
  </si>
  <si>
    <t xml:space="preserve">VB-1006</t>
  </si>
  <si>
    <t xml:space="preserve">WL-03723</t>
  </si>
  <si>
    <t xml:space="preserve">Michael Douglas</t>
  </si>
  <si>
    <t xml:space="preserve">TXN-202608-027475</t>
  </si>
  <si>
    <t xml:space="preserve">slip_inventory_2026-08.csv row 483; billing_transactions_2022_2026.csv row 46341</t>
  </si>
  <si>
    <t xml:space="preserve">VB-1007</t>
  </si>
  <si>
    <t xml:space="preserve">WL-02796</t>
  </si>
  <si>
    <t xml:space="preserve">Gavin Scott</t>
  </si>
  <si>
    <t xml:space="preserve">TXN-202608-027529</t>
  </si>
  <si>
    <t xml:space="preserve">slip_inventory_2026-08.csv row 484; billing_transactions_2022_2026.csv row 46342</t>
  </si>
  <si>
    <t xml:space="preserve">WL-02193</t>
  </si>
  <si>
    <t xml:space="preserve">Valerie Berg</t>
  </si>
  <si>
    <t xml:space="preserve">TXN-202608-027580</t>
  </si>
  <si>
    <t xml:space="preserve">slip_inventory_2026-08.csv row 485; billing_transactions_2022_2026.csv row 46343</t>
  </si>
  <si>
    <t xml:space="preserve">VB-1009</t>
  </si>
  <si>
    <t xml:space="preserve">WL-02802</t>
  </si>
  <si>
    <t xml:space="preserve">Kimberly Poole</t>
  </si>
  <si>
    <t xml:space="preserve">TXN-202608-027652</t>
  </si>
  <si>
    <t xml:space="preserve">slip_inventory_2026-08.csv row 486; billing_transactions_2022_2026.csv row 46344</t>
  </si>
  <si>
    <t xml:space="preserve">VB-1010</t>
  </si>
  <si>
    <t xml:space="preserve">WL-03077</t>
  </si>
  <si>
    <t xml:space="preserve">Lisa Jensen</t>
  </si>
  <si>
    <t xml:space="preserve">TXN-202608-027738</t>
  </si>
  <si>
    <t xml:space="preserve">slip_inventory_2026-08.csv row 487; billing_transactions_2022_2026.csv row 46346</t>
  </si>
  <si>
    <t xml:space="preserve">VB-1011</t>
  </si>
  <si>
    <t xml:space="preserve">WL-01187</t>
  </si>
  <si>
    <t xml:space="preserve">James Lee</t>
  </si>
  <si>
    <t xml:space="preserve">TXN-202608-027776</t>
  </si>
  <si>
    <t xml:space="preserve">slip_inventory_2026-08.csv row 488; billing_transactions_2022_2026.csv row 46347</t>
  </si>
  <si>
    <t xml:space="preserve">VB-1012</t>
  </si>
  <si>
    <t xml:space="preserve">WL-01323</t>
  </si>
  <si>
    <t xml:space="preserve">Melanie Alvarado</t>
  </si>
  <si>
    <t xml:space="preserve">TXN-202608-027841</t>
  </si>
  <si>
    <t xml:space="preserve">slip_inventory_2026-08.csv row 489; billing_transactions_2022_2026.csv row 46348</t>
  </si>
  <si>
    <t xml:space="preserve">VB-1013</t>
  </si>
  <si>
    <t xml:space="preserve">WL-02105</t>
  </si>
  <si>
    <t xml:space="preserve">Kenneth Underwood</t>
  </si>
  <si>
    <t xml:space="preserve">TXN-202608-027911</t>
  </si>
  <si>
    <t xml:space="preserve">slip_inventory_2026-08.csv row 490; billing_transactions_2022_2026.csv row 46350</t>
  </si>
  <si>
    <t xml:space="preserve">TXN-202608-027988</t>
  </si>
  <si>
    <t xml:space="preserve">slip_inventory_2026-08.csv row 491; billing_transactions_2022_2026.csv row 46351</t>
  </si>
  <si>
    <t xml:space="preserve">VB-1015</t>
  </si>
  <si>
    <t xml:space="preserve">WL-01478</t>
  </si>
  <si>
    <t xml:space="preserve">William Thomas</t>
  </si>
  <si>
    <t xml:space="preserve">TXN-202608-028037</t>
  </si>
  <si>
    <t xml:space="preserve">slip_inventory_2026-08.csv row 492; billing_transactions_2022_2026.csv row 46352</t>
  </si>
  <si>
    <t xml:space="preserve">VB-1016</t>
  </si>
  <si>
    <t xml:space="preserve">TXN-202608-028112</t>
  </si>
  <si>
    <t xml:space="preserve">slip_inventory_2026-08.csv row 493; billing_transactions_2022_2026.csv row 46353</t>
  </si>
  <si>
    <t xml:space="preserve">VB-1017</t>
  </si>
  <si>
    <t xml:space="preserve">WL-03104</t>
  </si>
  <si>
    <t xml:space="preserve">Jill Maldonado</t>
  </si>
  <si>
    <t xml:space="preserve">TXN-202608-028162</t>
  </si>
  <si>
    <t xml:space="preserve">slip_inventory_2026-08.csv row 494; billing_transactions_2022_2026.csv row 46355</t>
  </si>
  <si>
    <t xml:space="preserve">VB-1018</t>
  </si>
  <si>
    <t xml:space="preserve">POINT QUEEN</t>
  </si>
  <si>
    <t xml:space="preserve">TXN-202608-028239</t>
  </si>
  <si>
    <t xml:space="preserve">slip_inventory_2026-08.csv row 495; billing_transactions_2022_2026.csv row 46357</t>
  </si>
  <si>
    <t xml:space="preserve">VB-1019</t>
  </si>
  <si>
    <t xml:space="preserve">WL-03674</t>
  </si>
  <si>
    <t xml:space="preserve">Savannah Scott</t>
  </si>
  <si>
    <t xml:space="preserve">TXN-202608-028294</t>
  </si>
  <si>
    <t xml:space="preserve">slip_inventory_2026-08.csv row 496; billing_transactions_2022_2026.csv row 46358</t>
  </si>
  <si>
    <t xml:space="preserve">VB-1020</t>
  </si>
  <si>
    <t xml:space="preserve">WL-02112</t>
  </si>
  <si>
    <t xml:space="preserve">Molly Perez</t>
  </si>
  <si>
    <t xml:space="preserve">TXN-202608-028380</t>
  </si>
  <si>
    <t xml:space="preserve">slip_inventory_2026-08.csv row 497; billing_transactions_2022_2026.csv row 46359</t>
  </si>
  <si>
    <t xml:space="preserve">WL-03142</t>
  </si>
  <si>
    <t xml:space="preserve">Tommy Bennett</t>
  </si>
  <si>
    <t xml:space="preserve">TXN-202608-028430</t>
  </si>
  <si>
    <t xml:space="preserve">slip_inventory_2026-08.csv row 498; billing_transactions_2022_2026.csv row 46360</t>
  </si>
  <si>
    <t xml:space="preserve">VB-1022</t>
  </si>
  <si>
    <t xml:space="preserve">WL-01981</t>
  </si>
  <si>
    <t xml:space="preserve">Kathleen Walker</t>
  </si>
  <si>
    <t xml:space="preserve">TXN-202608-028505</t>
  </si>
  <si>
    <t xml:space="preserve">slip_inventory_2026-08.csv row 499; billing_transactions_2022_2026.csv row 46361</t>
  </si>
  <si>
    <t xml:space="preserve">WL-01467</t>
  </si>
  <si>
    <t xml:space="preserve">Walter Soto</t>
  </si>
  <si>
    <t xml:space="preserve">TXN-202608-028560</t>
  </si>
  <si>
    <t xml:space="preserve">slip_inventory_2026-08.csv row 500; billing_transactions_2022_2026.csv row 46362</t>
  </si>
  <si>
    <t xml:space="preserve">VB-1024</t>
  </si>
  <si>
    <t xml:space="preserve">WL-02463</t>
  </si>
  <si>
    <t xml:space="preserve">Lauren Oconnor</t>
  </si>
  <si>
    <t xml:space="preserve">TXN-202608-028608</t>
  </si>
  <si>
    <t xml:space="preserve">slip_inventory_2026-08.csv row 501; billing_transactions_2022_2026.csv row 46363</t>
  </si>
  <si>
    <t xml:space="preserve">TOTAL ACTIVE</t>
  </si>
  <si>
    <t xml:space="preserve">Formula totals</t>
  </si>
  <si>
    <t xml:space="preserve">AGING | Active slips more than 90 days delinquent</t>
  </si>
  <si>
    <t xml:space="preserve">Basis: July 31 close as August 1 opening position. Source days_90 is 91-120 days; more-than-90 = 91-120 + 120+.</t>
  </si>
  <si>
    <t xml:space="preserve">Tenant</t>
  </si>
  <si>
    <t xml:space="preserve">Inventory Status</t>
  </si>
  <si>
    <t xml:space="preserve">Current</t>
  </si>
  <si>
    <t xml:space="preserve">31-60</t>
  </si>
  <si>
    <t xml:space="preserve">61-90</t>
  </si>
  <si>
    <t xml:space="preserve">91-120</t>
  </si>
  <si>
    <t xml:space="preserve">120+</t>
  </si>
  <si>
    <t xml:space="preserve">More Than 90</t>
  </si>
  <si>
    <t xml:space="preserve">Total Due</t>
  </si>
  <si>
    <t xml:space="preserve">Overdue Excl. Current</t>
  </si>
  <si>
    <t xml:space="preserve">Payment Status</t>
  </si>
  <si>
    <t xml:space="preserve">Last Payment</t>
  </si>
  <si>
    <t xml:space="preserve">Last Contact</t>
  </si>
  <si>
    <t xml:space="preserve">Source Row</t>
  </si>
  <si>
    <t xml:space="preserve">COLLECTIONS</t>
  </si>
  <si>
    <t xml:space="preserve">ar_aging_2026-07-31.xlsx, AR_Aging row 23; slip_inventory_2026-08.csv row 23</t>
  </si>
  <si>
    <t xml:space="preserve">ar_aging_2026-07-31.xlsx, AR_Aging row 68; slip_inventory_2026-08.csv row 75</t>
  </si>
  <si>
    <t xml:space="preserve">ar_aging_2026-07-31.xlsx, AR_Aging row 113; slip_inventory_2026-08.csv row 123</t>
  </si>
  <si>
    <t xml:space="preserve">ar_aging_2026-07-31.xlsx, AR_Aging row 116; slip_inventory_2026-08.csv row 126</t>
  </si>
  <si>
    <t xml:space="preserve">ar_aging_2026-07-31.xlsx, AR_Aging row 147; slip_inventory_2026-08.csv row 158</t>
  </si>
  <si>
    <t xml:space="preserve">ar_aging_2026-07-31.xlsx, AR_Aging row 158; slip_inventory_2026-08.csv row 170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</si>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</sst>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-#,##0;\-"/>
    <numFmt numFmtId="166" formatCode="\$#,##0.00;[RED]&quot;-$&quot;#,##0.00;\-"/>
    <numFmt numFmtId="167" formatCode="yyyy\-mm\-dd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"/>
      <family val="0"/>
      <charset val="1"/>
    </font>
    <font>
      <i val="true"/>
      <sz val="9"/>
      <color rgb="FF667085"/>
      <name val="Noto Sans"/>
      <family val="0"/>
      <charset val="1"/>
    </font>
    <font>
      <b val="true"/>
      <sz val="12"/>
      <color rgb="FF17324D"/>
      <name val="Noto Sans"/>
      <family val="0"/>
      <charset val="1"/>
    </font>
    <font>
      <b val="true"/>
      <sz val="9"/>
      <color rgb="FFFFFFFF"/>
      <name val="Noto Sans"/>
      <family val="0"/>
      <charset val="1"/>
    </font>
    <font>
      <b val="true"/>
      <sz val="10"/>
      <color rgb="FF17324D"/>
      <name val="Noto Sans"/>
      <family val="0"/>
      <charset val="1"/>
    </font>
    <font>
      <sz val="9"/>
      <color rgb="FF17202A"/>
      <name val="Noto Sans"/>
      <family val="0"/>
      <charset val="1"/>
    </font>
    <font>
      <sz val="8"/>
      <color rgb="FF17202A"/>
      <name val="Noto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17202A"/>
      </patternFill>
    </fill>
    <fill>
      <patternFill patternType="solid">
        <fgColor rgb="FF167D88"/>
        <bgColor rgb="FF008080"/>
      </patternFill>
    </fill>
    <fill>
      <patternFill patternType="solid">
        <fgColor rgb="FFEAF2F7"/>
        <bgColor rgb="FFE4E7EC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7324D"/>
      </bottom>
      <diagonal/>
    </border>
    <border diagonalUp="false" diagonalDown="false">
      <left/>
      <right/>
      <top/>
      <bottom style="hair">
        <color rgb="FFE4E7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67D88"/>
          <bgColor rgb="FF000000"/>
        </patternFill>
      </fill>
    </dxf>
    <dxf>
      <fill>
        <patternFill patternType="solid">
          <fgColor rgb="FFEA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02A"/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ont>
        <b val="1"/>
        <color rgb="FFB42318"/>
      </font>
      <fill>
        <patternFill>
          <bgColor rgb="FFFCE8E6"/>
        </patternFill>
      </fill>
    </dxf>
    <dxf>
      <font>
        <b val="1"/>
        <color rgb="FFB42318"/>
      </font>
      <fill>
        <patternFill>
          <bgColor rgb="FFFFF4D6"/>
        </patternFill>
      </fill>
    </dxf>
    <dxf>
      <font>
        <b val="1"/>
        <color rgb="FF17202A"/>
      </font>
      <fill>
        <patternFill>
          <bgColor rgb="FFFFF4D6"/>
        </patternFill>
      </fill>
    </dxf>
    <dxf>
      <font>
        <b val="1"/>
        <color rgb="FF17324D"/>
      </font>
      <fill>
        <patternFill>
          <bgColor rgb="FFEAF2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7D88"/>
      <rgbColor rgb="FFC0C0C0"/>
      <rgbColor rgb="FF808080"/>
      <rgbColor rgb="FF9999FF"/>
      <rgbColor rgb="FF993366"/>
      <rgbColor rgb="FFFFF4D6"/>
      <rgbColor rgb="FFEA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EC"/>
      <rgbColor rgb="FFF8FAF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A441"/>
      <rgbColor rgb="FFFF6600"/>
      <rgbColor rgb="FF667085"/>
      <rgbColor rgb="FF969696"/>
      <rgbColor rgb="FF17324D"/>
      <rgbColor rgb="FF339966"/>
      <rgbColor rgb="FF003300"/>
      <rgbColor rgb="FF333300"/>
      <rgbColor rgb="FFB42318"/>
      <rgbColor rgb="FF993366"/>
      <rgbColor rgb="FF333399"/>
      <rgbColor rgb="FF172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9"/>
    <col collapsed="false" customWidth="true" hidden="false" outlineLevel="0" max="3" min="3" style="0" width="23"/>
    <col collapsed="false" customWidth="true" hidden="false" outlineLevel="0" max="4" min="4" style="0" width="6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21.75" hidden="false" customHeight="true" outlineLevel="0" collapsed="false">
      <c r="A6" s="5" t="s">
        <v>7</v>
      </c>
      <c r="B6" s="5"/>
      <c r="C6" s="5"/>
      <c r="D6" s="5"/>
    </row>
    <row r="7" customFormat="false" ht="15" hidden="false" customHeight="false" outlineLevel="0" collapsed="false">
      <c r="A7" s="6" t="s">
        <v>8</v>
      </c>
      <c r="B7" s="7" t="n">
        <f aca="false">COUNTA('Queue Exceptions'!A5:A313)</f>
        <v>309</v>
      </c>
      <c r="C7" s="6" t="s">
        <v>9</v>
      </c>
      <c r="D7" s="6" t="s">
        <v>10</v>
      </c>
    </row>
    <row r="8" customFormat="false" ht="15" hidden="false" customHeight="false" outlineLevel="0" collapsed="false">
      <c r="A8" s="6" t="s">
        <v>11</v>
      </c>
      <c r="B8" s="7" t="n">
        <f aca="false">COUNTIF('Queue Exceptions'!AH5:AH313,"EXCEPTION")</f>
        <v>173</v>
      </c>
      <c r="C8" s="6" t="s">
        <v>12</v>
      </c>
      <c r="D8" s="6" t="s">
        <v>13</v>
      </c>
    </row>
    <row r="9" customFormat="false" ht="15" hidden="false" customHeight="false" outlineLevel="0" collapsed="false">
      <c r="A9" s="6" t="s">
        <v>14</v>
      </c>
      <c r="B9" s="7" t="n">
        <f aca="false">COUNTIF('Queue Exceptions'!AH5:AH313,"NO EXCEPTION IDENTIFIED")</f>
        <v>136</v>
      </c>
      <c r="C9" s="6" t="s">
        <v>15</v>
      </c>
      <c r="D9" s="6" t="s">
        <v>16</v>
      </c>
    </row>
    <row r="10" customFormat="false" ht="15" hidden="false" customHeight="false" outlineLevel="0" collapsed="false">
      <c r="A10" s="6" t="s">
        <v>17</v>
      </c>
      <c r="B10" s="7" t="n">
        <f aca="false">COUNTIF('Queue Exceptions'!AB5:AB313,"Y")</f>
        <v>124</v>
      </c>
      <c r="C10" s="6" t="s">
        <v>18</v>
      </c>
      <c r="D10" s="6" t="s">
        <v>19</v>
      </c>
    </row>
    <row r="11" customFormat="false" ht="15" hidden="false" customHeight="false" outlineLevel="0" collapsed="false">
      <c r="A11" s="6" t="s">
        <v>20</v>
      </c>
      <c r="B11" s="7" t="n">
        <f aca="false">COUNTIF('Queue Exceptions'!AC5:AC313,"Y")</f>
        <v>19</v>
      </c>
      <c r="C11" s="6" t="s">
        <v>21</v>
      </c>
      <c r="D11" s="6" t="s">
        <v>22</v>
      </c>
    </row>
    <row r="12" customFormat="false" ht="15" hidden="false" customHeight="false" outlineLevel="0" collapsed="false">
      <c r="A12" s="6" t="s">
        <v>23</v>
      </c>
      <c r="B12" s="7" t="n">
        <f aca="false">COUNTIF('Queue Exceptions'!AD5:AD313,"Y")</f>
        <v>48</v>
      </c>
      <c r="C12" s="6" t="s">
        <v>24</v>
      </c>
      <c r="D12" s="6" t="s">
        <v>25</v>
      </c>
    </row>
    <row r="13" customFormat="false" ht="15" hidden="false" customHeight="false" outlineLevel="0" collapsed="false">
      <c r="A13" s="6" t="s">
        <v>26</v>
      </c>
      <c r="B13" s="7" t="n">
        <f aca="false">COUNTIF('Queue Exceptions'!AE5:AE313,"Y")</f>
        <v>5</v>
      </c>
      <c r="C13" s="6" t="s">
        <v>27</v>
      </c>
      <c r="D13" s="6" t="s">
        <v>28</v>
      </c>
    </row>
    <row r="14" customFormat="false" ht="15" hidden="false" customHeight="false" outlineLevel="0" collapsed="false">
      <c r="A14" s="6" t="s">
        <v>29</v>
      </c>
      <c r="B14" s="7" t="n">
        <f aca="false">COUNTIF('Queue Exceptions'!AF5:AF313,"Y")</f>
        <v>14</v>
      </c>
      <c r="C14" s="6" t="s">
        <v>27</v>
      </c>
      <c r="D14" s="6" t="s">
        <v>30</v>
      </c>
    </row>
    <row r="15" customFormat="false" ht="22.35" hidden="false" customHeight="false" outlineLevel="0" collapsed="false">
      <c r="A15" s="6" t="s">
        <v>31</v>
      </c>
      <c r="B15" s="7" t="n">
        <f aca="false">COUNTIF('Queue Exceptions'!AG5:AG313,"Y")</f>
        <v>0</v>
      </c>
      <c r="C15" s="6" t="str">
        <f aca="false">IF(B15=0,"None identified","Exceptions found")</f>
        <v>None identified</v>
      </c>
      <c r="D15" s="6" t="s">
        <v>32</v>
      </c>
    </row>
    <row r="16" customFormat="false" ht="21.75" hidden="false" customHeight="true" outlineLevel="0" collapsed="false">
      <c r="A16" s="5" t="s">
        <v>33</v>
      </c>
      <c r="B16" s="5"/>
      <c r="C16" s="5"/>
      <c r="D16" s="5"/>
    </row>
    <row r="17" customFormat="false" ht="15" hidden="false" customHeight="false" outlineLevel="0" collapsed="false">
      <c r="A17" s="6" t="s">
        <v>34</v>
      </c>
      <c r="B17" s="7" t="n">
        <f aca="false">COUNTA('Billing Reconciliations'!A5:A1090)</f>
        <v>1086</v>
      </c>
      <c r="C17" s="6" t="s">
        <v>9</v>
      </c>
      <c r="D17" s="6" t="s">
        <v>35</v>
      </c>
    </row>
    <row r="18" customFormat="false" ht="15" hidden="false" customHeight="false" outlineLevel="0" collapsed="false">
      <c r="A18" s="6" t="s">
        <v>36</v>
      </c>
      <c r="B18" s="7" t="n">
        <f aca="false">COUNTIF('Billing Reconciliations'!AA5:AA1090,"MATCH*")</f>
        <v>769</v>
      </c>
      <c r="C18" s="6"/>
      <c r="D18" s="6" t="s">
        <v>37</v>
      </c>
    </row>
    <row r="19" customFormat="false" ht="15" hidden="false" customHeight="false" outlineLevel="0" collapsed="false">
      <c r="A19" s="6" t="s">
        <v>38</v>
      </c>
      <c r="B19" s="7" t="n">
        <f aca="false">COUNTIF('Billing Reconciliations'!AA5:AA1090,"POSTED CHARGE MISMATCH")</f>
        <v>0</v>
      </c>
      <c r="C19" s="6" t="str">
        <f aca="false">IF(B19=0,"None identified","Exceptions found")</f>
        <v>None identified</v>
      </c>
      <c r="D19" s="6" t="s">
        <v>39</v>
      </c>
    </row>
    <row r="20" customFormat="false" ht="15" hidden="false" customHeight="false" outlineLevel="0" collapsed="false">
      <c r="A20" s="6" t="s">
        <v>40</v>
      </c>
      <c r="B20" s="7" t="n">
        <f aca="false">COUNTIF('Billing Reconciliations'!P5:P1090,"&gt;0")</f>
        <v>228</v>
      </c>
      <c r="C20" s="6" t="s">
        <v>41</v>
      </c>
      <c r="D20" s="6" t="s">
        <v>42</v>
      </c>
    </row>
    <row r="21" customFormat="false" ht="15" hidden="false" customHeight="false" outlineLevel="0" collapsed="false">
      <c r="A21" s="6" t="s">
        <v>43</v>
      </c>
      <c r="B21" s="7" t="n">
        <f aca="false">COUNTIF('Billing Reconciliations'!AA5:AA1090,"NO AUGUST POSTING IN EXPORT")</f>
        <v>317</v>
      </c>
      <c r="C21" s="6" t="s">
        <v>44</v>
      </c>
      <c r="D21" s="6" t="s">
        <v>45</v>
      </c>
    </row>
    <row r="22" customFormat="false" ht="15" hidden="false" customHeight="false" outlineLevel="0" collapsed="false">
      <c r="A22" s="6" t="s">
        <v>46</v>
      </c>
      <c r="B22" s="8" t="n">
        <f aca="false">SUM('Billing Reconciliations'!S5:S1090)</f>
        <v>439918.3</v>
      </c>
      <c r="C22" s="6"/>
      <c r="D22" s="6" t="s">
        <v>47</v>
      </c>
    </row>
    <row r="23" customFormat="false" ht="15" hidden="false" customHeight="false" outlineLevel="0" collapsed="false">
      <c r="A23" s="6" t="s">
        <v>48</v>
      </c>
      <c r="B23" s="8" t="n">
        <f aca="false">SUM('Billing Reconciliations'!X5:X1090)</f>
        <v>319760.05</v>
      </c>
      <c r="C23" s="6"/>
      <c r="D23" s="6" t="s">
        <v>49</v>
      </c>
    </row>
    <row r="24" customFormat="false" ht="15" hidden="false" customHeight="false" outlineLevel="0" collapsed="false">
      <c r="A24" s="6" t="s">
        <v>50</v>
      </c>
      <c r="B24" s="8" t="n">
        <f aca="false">SUM('Billing Reconciliations'!Y5:Y1090)</f>
        <v>0</v>
      </c>
      <c r="C24" s="6" t="s">
        <v>51</v>
      </c>
      <c r="D24" s="6" t="s">
        <v>52</v>
      </c>
    </row>
    <row r="25" customFormat="false" ht="15" hidden="false" customHeight="false" outlineLevel="0" collapsed="false">
      <c r="A25" s="6" t="s">
        <v>53</v>
      </c>
      <c r="B25" s="8" t="n">
        <f aca="false">SUMIF('Billing Reconciliations'!AA5:AA1090,"NO AUGUST POSTING IN EXPORT",'Billing Reconciliations'!S5:S1090)</f>
        <v>120158.25</v>
      </c>
      <c r="C25" s="6" t="s">
        <v>54</v>
      </c>
      <c r="D25" s="6" t="s">
        <v>55</v>
      </c>
    </row>
    <row r="26" customFormat="false" ht="15" hidden="false" customHeight="false" outlineLevel="0" collapsed="false">
      <c r="A26" s="6" t="s">
        <v>56</v>
      </c>
      <c r="B26" s="8" t="n">
        <f aca="false">SUM('Billing Reconciliations'!Z5:Z1090)</f>
        <v>-120158.25</v>
      </c>
      <c r="C26" s="6" t="s">
        <v>57</v>
      </c>
      <c r="D26" s="6" t="s">
        <v>58</v>
      </c>
    </row>
    <row r="27" customFormat="false" ht="21.75" hidden="false" customHeight="true" outlineLevel="0" collapsed="false">
      <c r="A27" s="5" t="s">
        <v>59</v>
      </c>
      <c r="B27" s="5"/>
      <c r="C27" s="5"/>
      <c r="D27" s="5"/>
    </row>
    <row r="28" customFormat="false" ht="15" hidden="false" customHeight="false" outlineLevel="0" collapsed="false">
      <c r="A28" s="6" t="s">
        <v>60</v>
      </c>
      <c r="B28" s="7" t="n">
        <f aca="false">COUNTA(Aging!A5:A10)</f>
        <v>6</v>
      </c>
      <c r="C28" s="6" t="s">
        <v>61</v>
      </c>
      <c r="D28" s="6" t="s">
        <v>62</v>
      </c>
    </row>
    <row r="29" customFormat="false" ht="15" hidden="false" customHeight="false" outlineLevel="0" collapsed="false">
      <c r="A29" s="6" t="s">
        <v>63</v>
      </c>
      <c r="B29" s="8" t="n">
        <f aca="false">SUM(Aging!K5:K10)</f>
        <v>4368</v>
      </c>
      <c r="C29" s="6"/>
      <c r="D29" s="6" t="s">
        <v>64</v>
      </c>
    </row>
    <row r="30" customFormat="false" ht="15" hidden="false" customHeight="false" outlineLevel="0" collapsed="false">
      <c r="A30" s="6" t="s">
        <v>65</v>
      </c>
      <c r="B30" s="8" t="n">
        <f aca="false">SUM(Aging!L5:L10)</f>
        <v>13166.4</v>
      </c>
      <c r="C30" s="6"/>
      <c r="D30" s="6" t="s">
        <v>66</v>
      </c>
    </row>
    <row r="31" customFormat="false" ht="15" hidden="false" customHeight="false" outlineLevel="0" collapsed="false">
      <c r="A31" s="6" t="s">
        <v>67</v>
      </c>
      <c r="B31" s="7" t="n">
        <f aca="false">260</f>
        <v>260</v>
      </c>
      <c r="C31" s="6" t="s">
        <v>68</v>
      </c>
      <c r="D31" s="6" t="s">
        <v>69</v>
      </c>
    </row>
  </sheetData>
  <autoFilter ref="A5:D31"/>
  <mergeCells count="5">
    <mergeCell ref="A1:D1"/>
    <mergeCell ref="A2:D2"/>
    <mergeCell ref="A6:D6"/>
    <mergeCell ref="A16:D16"/>
    <mergeCell ref="A27:D27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&amp;CChaldale Harbor District | Moorage audit | 1 August 2026&amp;RPage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AJ3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2" min="11" style="0" width="10"/>
    <col collapsed="false" customWidth="true" hidden="false" outlineLevel="0" max="13" min="13" style="0" width="21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7" min="17" style="0" width="35"/>
    <col collapsed="false" customWidth="true" hidden="false" outlineLevel="0" max="18" min="18" style="0" width="20"/>
    <col collapsed="false" customWidth="true" hidden="false" outlineLevel="0" max="19" min="19" style="0" width="19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18"/>
    <col collapsed="false" customWidth="true" hidden="false" outlineLevel="0" max="23" min="23" style="0" width="15"/>
    <col collapsed="false" customWidth="true" hidden="false" outlineLevel="0" max="24" min="24" style="0" width="28"/>
    <col collapsed="false" customWidth="true" hidden="false" outlineLevel="0" max="25" min="25" style="0" width="15"/>
    <col collapsed="false" customWidth="true" hidden="false" outlineLevel="0" max="26" min="26" style="0" width="12"/>
    <col collapsed="false" customWidth="true" hidden="false" outlineLevel="0" max="27" min="27" style="0" width="15"/>
    <col collapsed="false" customWidth="true" hidden="false" outlineLevel="0" max="28" min="28" style="0" width="12"/>
    <col collapsed="false" customWidth="true" hidden="false" outlineLevel="0" max="29" min="29" style="0" width="13"/>
    <col collapsed="false" customWidth="true" hidden="false" outlineLevel="0" max="30" min="30" style="0" width="15"/>
    <col collapsed="false" customWidth="true" hidden="false" outlineLevel="0" max="31" min="31" style="0" width="14"/>
    <col collapsed="false" customWidth="true" hidden="false" outlineLevel="0" max="33" min="32" style="0" width="15"/>
    <col collapsed="false" customWidth="true" hidden="false" outlineLevel="0" max="34" min="34" style="0" width="18"/>
    <col collapsed="false" customWidth="true" hidden="false" outlineLevel="0" max="35" min="35" style="0" width="52"/>
    <col collapsed="false" customWidth="true" hidden="false" outlineLevel="0" max="36" min="36" style="0" width="58"/>
  </cols>
  <sheetData>
    <row r="1" customFormat="false" ht="33.7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30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4" customFormat="false" ht="33.75" hidden="false" customHeight="true" outlineLevel="0" collapsed="false">
      <c r="A4" s="4" t="s">
        <v>72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78</v>
      </c>
      <c r="H4" s="4" t="s">
        <v>79</v>
      </c>
      <c r="I4" s="4" t="s">
        <v>80</v>
      </c>
      <c r="J4" s="4" t="s">
        <v>81</v>
      </c>
      <c r="K4" s="4" t="s">
        <v>82</v>
      </c>
      <c r="L4" s="4" t="s">
        <v>83</v>
      </c>
      <c r="M4" s="4" t="s">
        <v>84</v>
      </c>
      <c r="N4" s="4" t="s">
        <v>85</v>
      </c>
      <c r="O4" s="4" t="s">
        <v>86</v>
      </c>
      <c r="P4" s="4" t="s">
        <v>87</v>
      </c>
      <c r="Q4" s="4" t="s">
        <v>88</v>
      </c>
      <c r="R4" s="4" t="s">
        <v>89</v>
      </c>
      <c r="S4" s="4" t="s">
        <v>90</v>
      </c>
      <c r="T4" s="4" t="s">
        <v>91</v>
      </c>
      <c r="U4" s="4" t="s">
        <v>92</v>
      </c>
      <c r="V4" s="4" t="s">
        <v>93</v>
      </c>
      <c r="W4" s="4" t="s">
        <v>94</v>
      </c>
      <c r="X4" s="4" t="s">
        <v>95</v>
      </c>
      <c r="Y4" s="4" t="s">
        <v>96</v>
      </c>
      <c r="Z4" s="4" t="s">
        <v>97</v>
      </c>
      <c r="AA4" s="4" t="s">
        <v>98</v>
      </c>
      <c r="AB4" s="4" t="s">
        <v>99</v>
      </c>
      <c r="AC4" s="4" t="s">
        <v>100</v>
      </c>
      <c r="AD4" s="4" t="s">
        <v>101</v>
      </c>
      <c r="AE4" s="4" t="s">
        <v>102</v>
      </c>
      <c r="AF4" s="4" t="s">
        <v>103</v>
      </c>
      <c r="AG4" s="4" t="s">
        <v>104</v>
      </c>
      <c r="AH4" s="4" t="s">
        <v>105</v>
      </c>
      <c r="AI4" s="4" t="s">
        <v>106</v>
      </c>
      <c r="AJ4" s="4" t="s">
        <v>107</v>
      </c>
    </row>
    <row r="5" customFormat="false" ht="20.85" hidden="false" customHeight="false" outlineLevel="0" collapsed="false">
      <c r="A5" s="9" t="s">
        <v>108</v>
      </c>
      <c r="B5" s="10" t="n">
        <v>44934</v>
      </c>
      <c r="C5" s="9" t="s">
        <v>109</v>
      </c>
      <c r="D5" s="9" t="s">
        <v>110</v>
      </c>
      <c r="E5" s="9" t="n">
        <v>2099</v>
      </c>
      <c r="F5" s="10" t="n">
        <v>45755</v>
      </c>
      <c r="G5" s="9" t="n">
        <f aca="false">B5-F5</f>
        <v>-821</v>
      </c>
      <c r="H5" s="9" t="s">
        <v>111</v>
      </c>
      <c r="I5" s="9" t="s">
        <v>112</v>
      </c>
      <c r="J5" s="9" t="s">
        <v>113</v>
      </c>
      <c r="K5" s="9" t="s">
        <v>114</v>
      </c>
      <c r="L5" s="11" t="n">
        <v>40</v>
      </c>
      <c r="M5" s="9" t="s">
        <v>115</v>
      </c>
      <c r="N5" s="9" t="s">
        <v>116</v>
      </c>
      <c r="O5" s="9" t="s">
        <v>117</v>
      </c>
      <c r="P5" s="9" t="s">
        <v>118</v>
      </c>
      <c r="Q5" s="9" t="s">
        <v>119</v>
      </c>
      <c r="R5" s="9" t="s">
        <v>120</v>
      </c>
      <c r="S5" s="9"/>
      <c r="T5" s="10"/>
      <c r="U5" s="9"/>
      <c r="V5" s="9"/>
      <c r="W5" s="10"/>
      <c r="X5" s="9"/>
      <c r="Y5" s="9"/>
      <c r="Z5" s="11"/>
      <c r="AA5" s="11" t="n">
        <v>53</v>
      </c>
      <c r="AB5" s="9" t="str">
        <f aca="false">IF(B5&lt;F5,"Y","")</f>
        <v>Y</v>
      </c>
      <c r="AC5" s="9" t="str">
        <f aca="false">IF(O5&lt;&gt;"Y","Y","")</f>
        <v/>
      </c>
      <c r="AD5" s="9" t="str">
        <f aca="false">IF(AND(M5="declined-prior-offer",S5=""),"Y","")</f>
        <v/>
      </c>
      <c r="AE5" s="9" t="str">
        <f aca="false">IF(OR(R5&lt;&gt;"MATCH",ISNUMBER(SEARCH("conflict",Q5))),"Y","")</f>
        <v/>
      </c>
      <c r="AF5" s="9" t="str">
        <f aca="false">IF(AND(ISNUMBER(Z5),ABS(Z5-AA5)&gt;0.001),"Y","")</f>
        <v/>
      </c>
      <c r="AG5" s="9" t="str">
        <f aca="false">IF(AND(W5&lt;&gt;"",Y5&lt;&gt;"ACCEPTED"),"Y","")</f>
        <v/>
      </c>
      <c r="AH5" s="9" t="str">
        <f aca="false">IF(COUNTIF(AB5:AG5,"Y")&gt;0,"EXCEPTION","NO EXCEPTION IDENTIFIED")</f>
        <v>EXCEPTION</v>
      </c>
      <c r="AI5" s="12" t="s">
        <v>121</v>
      </c>
      <c r="AJ5" s="12" t="s">
        <v>122</v>
      </c>
    </row>
    <row r="6" customFormat="false" ht="20.85" hidden="false" customHeight="false" outlineLevel="0" collapsed="false">
      <c r="A6" s="13" t="s">
        <v>123</v>
      </c>
      <c r="B6" s="14" t="n">
        <v>44934</v>
      </c>
      <c r="C6" s="13" t="s">
        <v>124</v>
      </c>
      <c r="D6" s="13" t="s">
        <v>125</v>
      </c>
      <c r="E6" s="13" t="n">
        <v>1685</v>
      </c>
      <c r="F6" s="14" t="n">
        <v>45578</v>
      </c>
      <c r="G6" s="13" t="n">
        <f aca="false">B6-F6</f>
        <v>-644</v>
      </c>
      <c r="H6" s="13" t="s">
        <v>126</v>
      </c>
      <c r="I6" s="13" t="s">
        <v>127</v>
      </c>
      <c r="J6" s="13" t="s">
        <v>113</v>
      </c>
      <c r="K6" s="13" t="s">
        <v>114</v>
      </c>
      <c r="L6" s="15" t="n">
        <v>28</v>
      </c>
      <c r="M6" s="13" t="s">
        <v>115</v>
      </c>
      <c r="N6" s="13" t="s">
        <v>116</v>
      </c>
      <c r="O6" s="13" t="s">
        <v>117</v>
      </c>
      <c r="P6" s="13" t="s">
        <v>128</v>
      </c>
      <c r="Q6" s="13" t="s">
        <v>119</v>
      </c>
      <c r="R6" s="13" t="s">
        <v>120</v>
      </c>
      <c r="S6" s="13"/>
      <c r="T6" s="14"/>
      <c r="U6" s="13"/>
      <c r="V6" s="13"/>
      <c r="W6" s="14"/>
      <c r="X6" s="13"/>
      <c r="Y6" s="13"/>
      <c r="Z6" s="15"/>
      <c r="AA6" s="15" t="n">
        <v>50.2</v>
      </c>
      <c r="AB6" s="13" t="str">
        <f aca="false">IF(B6&lt;F6,"Y","")</f>
        <v>Y</v>
      </c>
      <c r="AC6" s="13" t="str">
        <f aca="false">IF(O6&lt;&gt;"Y","Y","")</f>
        <v/>
      </c>
      <c r="AD6" s="13" t="str">
        <f aca="false">IF(AND(M6="declined-prior-offer",S6=""),"Y","")</f>
        <v/>
      </c>
      <c r="AE6" s="13" t="str">
        <f aca="false">IF(OR(R6&lt;&gt;"MATCH",ISNUMBER(SEARCH("conflict",Q6))),"Y","")</f>
        <v/>
      </c>
      <c r="AF6" s="13" t="str">
        <f aca="false">IF(AND(ISNUMBER(Z6),ABS(Z6-AA6)&gt;0.001),"Y","")</f>
        <v/>
      </c>
      <c r="AG6" s="13" t="str">
        <f aca="false">IF(AND(W6&lt;&gt;"",Y6&lt;&gt;"ACCEPTED"),"Y","")</f>
        <v/>
      </c>
      <c r="AH6" s="13" t="str">
        <f aca="false">IF(COUNTIF(AB6:AG6,"Y")&gt;0,"EXCEPTION","NO EXCEPTION IDENTIFIED")</f>
        <v>EXCEPTION</v>
      </c>
      <c r="AI6" s="16" t="s">
        <v>121</v>
      </c>
      <c r="AJ6" s="16" t="s">
        <v>129</v>
      </c>
    </row>
    <row r="7" customFormat="false" ht="20.85" hidden="false" customHeight="false" outlineLevel="0" collapsed="false">
      <c r="A7" s="9" t="s">
        <v>130</v>
      </c>
      <c r="B7" s="10" t="n">
        <v>44934</v>
      </c>
      <c r="C7" s="9" t="s">
        <v>131</v>
      </c>
      <c r="D7" s="9" t="s">
        <v>132</v>
      </c>
      <c r="E7" s="9" t="n">
        <v>959</v>
      </c>
      <c r="F7" s="10" t="n">
        <v>45244</v>
      </c>
      <c r="G7" s="9" t="n">
        <f aca="false">B7-F7</f>
        <v>-310</v>
      </c>
      <c r="H7" s="9" t="s">
        <v>133</v>
      </c>
      <c r="I7" s="9" t="s">
        <v>134</v>
      </c>
      <c r="J7" s="9" t="s">
        <v>135</v>
      </c>
      <c r="K7" s="9" t="s">
        <v>114</v>
      </c>
      <c r="L7" s="11" t="n">
        <v>28</v>
      </c>
      <c r="M7" s="9" t="s">
        <v>136</v>
      </c>
      <c r="N7" s="9" t="s">
        <v>137</v>
      </c>
      <c r="O7" s="9" t="s">
        <v>117</v>
      </c>
      <c r="P7" s="9" t="s">
        <v>138</v>
      </c>
      <c r="Q7" s="9" t="s">
        <v>119</v>
      </c>
      <c r="R7" s="9" t="s">
        <v>120</v>
      </c>
      <c r="S7" s="9"/>
      <c r="T7" s="10"/>
      <c r="U7" s="9"/>
      <c r="V7" s="9"/>
      <c r="W7" s="10"/>
      <c r="X7" s="9"/>
      <c r="Y7" s="9"/>
      <c r="Z7" s="11"/>
      <c r="AA7" s="11" t="n">
        <v>46.8</v>
      </c>
      <c r="AB7" s="9" t="str">
        <f aca="false">IF(B7&lt;F7,"Y","")</f>
        <v>Y</v>
      </c>
      <c r="AC7" s="9" t="str">
        <f aca="false">IF(O7&lt;&gt;"Y","Y","")</f>
        <v/>
      </c>
      <c r="AD7" s="9" t="str">
        <f aca="false">IF(AND(M7="declined-prior-offer",S7=""),"Y","")</f>
        <v/>
      </c>
      <c r="AE7" s="9" t="str">
        <f aca="false">IF(OR(R7&lt;&gt;"MATCH",ISNUMBER(SEARCH("conflict",Q7))),"Y","")</f>
        <v/>
      </c>
      <c r="AF7" s="9" t="str">
        <f aca="false">IF(AND(ISNUMBER(Z7),ABS(Z7-AA7)&gt;0.001),"Y","")</f>
        <v/>
      </c>
      <c r="AG7" s="9" t="str">
        <f aca="false">IF(AND(W7&lt;&gt;"",Y7&lt;&gt;"ACCEPTED"),"Y","")</f>
        <v/>
      </c>
      <c r="AH7" s="9" t="str">
        <f aca="false">IF(COUNTIF(AB7:AG7,"Y")&gt;0,"EXCEPTION","NO EXCEPTION IDENTIFIED")</f>
        <v>EXCEPTION</v>
      </c>
      <c r="AI7" s="12" t="s">
        <v>121</v>
      </c>
      <c r="AJ7" s="12" t="s">
        <v>139</v>
      </c>
    </row>
    <row r="8" customFormat="false" ht="20.85" hidden="false" customHeight="false" outlineLevel="0" collapsed="false">
      <c r="A8" s="13" t="s">
        <v>140</v>
      </c>
      <c r="B8" s="14" t="n">
        <v>44936</v>
      </c>
      <c r="C8" s="13" t="s">
        <v>141</v>
      </c>
      <c r="D8" s="13" t="s">
        <v>142</v>
      </c>
      <c r="E8" s="13" t="n">
        <v>695</v>
      </c>
      <c r="F8" s="14" t="n">
        <v>45110</v>
      </c>
      <c r="G8" s="13" t="n">
        <f aca="false">B8-F8</f>
        <v>-174</v>
      </c>
      <c r="H8" s="13" t="s">
        <v>143</v>
      </c>
      <c r="I8" s="13" t="s">
        <v>144</v>
      </c>
      <c r="J8" s="13" t="s">
        <v>145</v>
      </c>
      <c r="K8" s="13" t="s">
        <v>146</v>
      </c>
      <c r="L8" s="15" t="n">
        <v>28</v>
      </c>
      <c r="M8" s="13" t="s">
        <v>115</v>
      </c>
      <c r="N8" s="13" t="s">
        <v>116</v>
      </c>
      <c r="O8" s="13" t="s">
        <v>147</v>
      </c>
      <c r="P8" s="13" t="s">
        <v>128</v>
      </c>
      <c r="Q8" s="13" t="s">
        <v>119</v>
      </c>
      <c r="R8" s="13" t="s">
        <v>120</v>
      </c>
      <c r="S8" s="13"/>
      <c r="T8" s="14"/>
      <c r="U8" s="13"/>
      <c r="V8" s="13"/>
      <c r="W8" s="14"/>
      <c r="X8" s="13"/>
      <c r="Y8" s="13"/>
      <c r="Z8" s="15"/>
      <c r="AA8" s="15" t="n">
        <v>24.6</v>
      </c>
      <c r="AB8" s="13" t="str">
        <f aca="false">IF(B8&lt;F8,"Y","")</f>
        <v>Y</v>
      </c>
      <c r="AC8" s="13" t="str">
        <f aca="false">IF(O8&lt;&gt;"Y","Y","")</f>
        <v>Y</v>
      </c>
      <c r="AD8" s="13" t="str">
        <f aca="false">IF(AND(M8="declined-prior-offer",S8=""),"Y","")</f>
        <v/>
      </c>
      <c r="AE8" s="13" t="str">
        <f aca="false">IF(OR(R8&lt;&gt;"MATCH",ISNUMBER(SEARCH("conflict",Q8))),"Y","")</f>
        <v/>
      </c>
      <c r="AF8" s="13" t="str">
        <f aca="false">IF(AND(ISNUMBER(Z8),ABS(Z8-AA8)&gt;0.001),"Y","")</f>
        <v/>
      </c>
      <c r="AG8" s="13" t="str">
        <f aca="false">IF(AND(W8&lt;&gt;"",Y8&lt;&gt;"ACCEPTED"),"Y","")</f>
        <v/>
      </c>
      <c r="AH8" s="13" t="str">
        <f aca="false">IF(COUNTIF(AB8:AG8,"Y")&gt;0,"EXCEPTION","NO EXCEPTION IDENTIFIED")</f>
        <v>EXCEPTION</v>
      </c>
      <c r="AI8" s="16" t="s">
        <v>148</v>
      </c>
      <c r="AJ8" s="16" t="s">
        <v>149</v>
      </c>
    </row>
    <row r="9" customFormat="false" ht="20.85" hidden="false" customHeight="false" outlineLevel="0" collapsed="false">
      <c r="A9" s="9" t="s">
        <v>150</v>
      </c>
      <c r="B9" s="10" t="n">
        <v>44952</v>
      </c>
      <c r="C9" s="9" t="s">
        <v>151</v>
      </c>
      <c r="D9" s="9" t="s">
        <v>152</v>
      </c>
      <c r="E9" s="9" t="n">
        <v>298</v>
      </c>
      <c r="F9" s="10" t="n">
        <v>44882</v>
      </c>
      <c r="G9" s="9" t="n">
        <f aca="false">B9-F9</f>
        <v>70</v>
      </c>
      <c r="H9" s="9" t="s">
        <v>153</v>
      </c>
      <c r="I9" s="9" t="s">
        <v>154</v>
      </c>
      <c r="J9" s="9" t="s">
        <v>155</v>
      </c>
      <c r="K9" s="9" t="s">
        <v>146</v>
      </c>
      <c r="L9" s="11" t="n">
        <v>70</v>
      </c>
      <c r="M9" s="9" t="s">
        <v>115</v>
      </c>
      <c r="N9" s="9" t="s">
        <v>116</v>
      </c>
      <c r="O9" s="9" t="s">
        <v>117</v>
      </c>
      <c r="P9" s="9" t="s">
        <v>118</v>
      </c>
      <c r="Q9" s="9" t="s">
        <v>119</v>
      </c>
      <c r="R9" s="9" t="s">
        <v>120</v>
      </c>
      <c r="S9" s="9"/>
      <c r="T9" s="10"/>
      <c r="U9" s="9"/>
      <c r="V9" s="9"/>
      <c r="W9" s="10"/>
      <c r="X9" s="9"/>
      <c r="Y9" s="9"/>
      <c r="Z9" s="11"/>
      <c r="AA9" s="11" t="n">
        <v>19.2</v>
      </c>
      <c r="AB9" s="9" t="str">
        <f aca="false">IF(B9&lt;F9,"Y","")</f>
        <v/>
      </c>
      <c r="AC9" s="9" t="str">
        <f aca="false">IF(O9&lt;&gt;"Y","Y","")</f>
        <v/>
      </c>
      <c r="AD9" s="9" t="str">
        <f aca="false">IF(AND(M9="declined-prior-offer",S9=""),"Y","")</f>
        <v/>
      </c>
      <c r="AE9" s="9" t="str">
        <f aca="false">IF(OR(R9&lt;&gt;"MATCH",ISNUMBER(SEARCH("conflict",Q9))),"Y","")</f>
        <v/>
      </c>
      <c r="AF9" s="9" t="str">
        <f aca="false">IF(AND(ISNUMBER(Z9),ABS(Z9-AA9)&gt;0.001),"Y","")</f>
        <v/>
      </c>
      <c r="AG9" s="9" t="str">
        <f aca="false">IF(AND(W9&lt;&gt;"",Y9&lt;&gt;"ACCEPTED"),"Y","")</f>
        <v/>
      </c>
      <c r="AH9" s="9" t="str">
        <f aca="false">IF(COUNTIF(AB9:AG9,"Y")&gt;0,"EXCEPTION","NO EXCEPTION IDENTIFIED")</f>
        <v>NO EXCEPTION IDENTIFIED</v>
      </c>
      <c r="AI9" s="12" t="s">
        <v>156</v>
      </c>
      <c r="AJ9" s="12" t="s">
        <v>157</v>
      </c>
    </row>
    <row r="10" customFormat="false" ht="20.85" hidden="false" customHeight="false" outlineLevel="0" collapsed="false">
      <c r="A10" s="13" t="s">
        <v>158</v>
      </c>
      <c r="B10" s="14" t="n">
        <v>44967</v>
      </c>
      <c r="C10" s="13" t="s">
        <v>159</v>
      </c>
      <c r="D10" s="13" t="s">
        <v>160</v>
      </c>
      <c r="E10" s="13" t="n">
        <v>2582</v>
      </c>
      <c r="F10" s="14" t="n">
        <v>45995</v>
      </c>
      <c r="G10" s="13" t="n">
        <f aca="false">B10-F10</f>
        <v>-1028</v>
      </c>
      <c r="H10" s="13" t="s">
        <v>161</v>
      </c>
      <c r="I10" s="13" t="s">
        <v>162</v>
      </c>
      <c r="J10" s="13" t="s">
        <v>155</v>
      </c>
      <c r="K10" s="13" t="s">
        <v>146</v>
      </c>
      <c r="L10" s="15" t="n">
        <v>24</v>
      </c>
      <c r="M10" s="13" t="s">
        <v>136</v>
      </c>
      <c r="N10" s="13" t="s">
        <v>137</v>
      </c>
      <c r="O10" s="13" t="s">
        <v>117</v>
      </c>
      <c r="P10" s="13" t="s">
        <v>128</v>
      </c>
      <c r="Q10" s="13" t="s">
        <v>119</v>
      </c>
      <c r="R10" s="13" t="s">
        <v>120</v>
      </c>
      <c r="S10" s="13"/>
      <c r="T10" s="14"/>
      <c r="U10" s="13"/>
      <c r="V10" s="13"/>
      <c r="W10" s="14"/>
      <c r="X10" s="13"/>
      <c r="Y10" s="13"/>
      <c r="Z10" s="15"/>
      <c r="AA10" s="15" t="n">
        <v>19.9</v>
      </c>
      <c r="AB10" s="13" t="str">
        <f aca="false">IF(B10&lt;F10,"Y","")</f>
        <v>Y</v>
      </c>
      <c r="AC10" s="13" t="str">
        <f aca="false">IF(O10&lt;&gt;"Y","Y","")</f>
        <v/>
      </c>
      <c r="AD10" s="13" t="str">
        <f aca="false">IF(AND(M10="declined-prior-offer",S10=""),"Y","")</f>
        <v/>
      </c>
      <c r="AE10" s="13" t="str">
        <f aca="false">IF(OR(R10&lt;&gt;"MATCH",ISNUMBER(SEARCH("conflict",Q10))),"Y","")</f>
        <v/>
      </c>
      <c r="AF10" s="13" t="str">
        <f aca="false">IF(AND(ISNUMBER(Z10),ABS(Z10-AA10)&gt;0.001),"Y","")</f>
        <v/>
      </c>
      <c r="AG10" s="13" t="str">
        <f aca="false">IF(AND(W10&lt;&gt;"",Y10&lt;&gt;"ACCEPTED"),"Y","")</f>
        <v/>
      </c>
      <c r="AH10" s="13" t="str">
        <f aca="false">IF(COUNTIF(AB10:AG10,"Y")&gt;0,"EXCEPTION","NO EXCEPTION IDENTIFIED")</f>
        <v>EXCEPTION</v>
      </c>
      <c r="AI10" s="16" t="s">
        <v>121</v>
      </c>
      <c r="AJ10" s="16" t="s">
        <v>163</v>
      </c>
    </row>
    <row r="11" customFormat="false" ht="20.85" hidden="false" customHeight="false" outlineLevel="0" collapsed="false">
      <c r="A11" s="9" t="s">
        <v>164</v>
      </c>
      <c r="B11" s="10" t="n">
        <v>44974</v>
      </c>
      <c r="C11" s="9" t="s">
        <v>165</v>
      </c>
      <c r="D11" s="9" t="s">
        <v>166</v>
      </c>
      <c r="E11" s="9" t="n">
        <v>1918</v>
      </c>
      <c r="F11" s="10" t="n">
        <v>45673</v>
      </c>
      <c r="G11" s="9" t="n">
        <f aca="false">B11-F11</f>
        <v>-699</v>
      </c>
      <c r="H11" s="9" t="s">
        <v>167</v>
      </c>
      <c r="I11" s="9" t="s">
        <v>168</v>
      </c>
      <c r="J11" s="9" t="s">
        <v>113</v>
      </c>
      <c r="K11" s="9" t="s">
        <v>114</v>
      </c>
      <c r="L11" s="11" t="n">
        <v>28</v>
      </c>
      <c r="M11" s="9" t="s">
        <v>169</v>
      </c>
      <c r="N11" s="9" t="s">
        <v>170</v>
      </c>
      <c r="O11" s="9" t="s">
        <v>117</v>
      </c>
      <c r="P11" s="9" t="s">
        <v>118</v>
      </c>
      <c r="Q11" s="9" t="s">
        <v>119</v>
      </c>
      <c r="R11" s="9" t="s">
        <v>120</v>
      </c>
      <c r="S11" s="9"/>
      <c r="T11" s="10"/>
      <c r="U11" s="9"/>
      <c r="V11" s="9"/>
      <c r="W11" s="10"/>
      <c r="X11" s="9"/>
      <c r="Y11" s="9"/>
      <c r="Z11" s="11"/>
      <c r="AA11" s="11" t="n">
        <v>50.6</v>
      </c>
      <c r="AB11" s="9" t="str">
        <f aca="false">IF(B11&lt;F11,"Y","")</f>
        <v>Y</v>
      </c>
      <c r="AC11" s="9" t="str">
        <f aca="false">IF(O11&lt;&gt;"Y","Y","")</f>
        <v/>
      </c>
      <c r="AD11" s="9" t="str">
        <f aca="false">IF(AND(M11="declined-prior-offer",S11=""),"Y","")</f>
        <v>Y</v>
      </c>
      <c r="AE11" s="9" t="str">
        <f aca="false">IF(OR(R11&lt;&gt;"MATCH",ISNUMBER(SEARCH("conflict",Q11))),"Y","")</f>
        <v/>
      </c>
      <c r="AF11" s="9" t="str">
        <f aca="false">IF(AND(ISNUMBER(Z11),ABS(Z11-AA11)&gt;0.001),"Y","")</f>
        <v/>
      </c>
      <c r="AG11" s="9" t="str">
        <f aca="false">IF(AND(W11&lt;&gt;"",Y11&lt;&gt;"ACCEPTED"),"Y","")</f>
        <v/>
      </c>
      <c r="AH11" s="9" t="str">
        <f aca="false">IF(COUNTIF(AB11:AG11,"Y")&gt;0,"EXCEPTION","NO EXCEPTION IDENTIFIED")</f>
        <v>EXCEPTION</v>
      </c>
      <c r="AI11" s="12" t="s">
        <v>171</v>
      </c>
      <c r="AJ11" s="12" t="s">
        <v>172</v>
      </c>
    </row>
    <row r="12" customFormat="false" ht="20.85" hidden="false" customHeight="false" outlineLevel="0" collapsed="false">
      <c r="A12" s="13" t="s">
        <v>173</v>
      </c>
      <c r="B12" s="14" t="n">
        <v>44975</v>
      </c>
      <c r="C12" s="13" t="s">
        <v>174</v>
      </c>
      <c r="D12" s="13" t="s">
        <v>175</v>
      </c>
      <c r="E12" s="13" t="n">
        <v>1565</v>
      </c>
      <c r="F12" s="14" t="n">
        <v>45530</v>
      </c>
      <c r="G12" s="13" t="n">
        <f aca="false">B12-F12</f>
        <v>-555</v>
      </c>
      <c r="H12" s="13" t="s">
        <v>176</v>
      </c>
      <c r="I12" s="13" t="s">
        <v>177</v>
      </c>
      <c r="J12" s="13" t="s">
        <v>155</v>
      </c>
      <c r="K12" s="13" t="s">
        <v>146</v>
      </c>
      <c r="L12" s="15" t="n">
        <v>32</v>
      </c>
      <c r="M12" s="13" t="s">
        <v>115</v>
      </c>
      <c r="N12" s="13" t="s">
        <v>116</v>
      </c>
      <c r="O12" s="13" t="s">
        <v>117</v>
      </c>
      <c r="P12" s="13" t="s">
        <v>178</v>
      </c>
      <c r="Q12" s="13" t="s">
        <v>119</v>
      </c>
      <c r="R12" s="13" t="s">
        <v>120</v>
      </c>
      <c r="S12" s="13"/>
      <c r="T12" s="14"/>
      <c r="U12" s="13"/>
      <c r="V12" s="13"/>
      <c r="W12" s="14"/>
      <c r="X12" s="13"/>
      <c r="Y12" s="13"/>
      <c r="Z12" s="15"/>
      <c r="AA12" s="15" t="n">
        <v>42.9</v>
      </c>
      <c r="AB12" s="13" t="str">
        <f aca="false">IF(B12&lt;F12,"Y","")</f>
        <v>Y</v>
      </c>
      <c r="AC12" s="13" t="str">
        <f aca="false">IF(O12&lt;&gt;"Y","Y","")</f>
        <v/>
      </c>
      <c r="AD12" s="13" t="str">
        <f aca="false">IF(AND(M12="declined-prior-offer",S12=""),"Y","")</f>
        <v/>
      </c>
      <c r="AE12" s="13" t="str">
        <f aca="false">IF(OR(R12&lt;&gt;"MATCH",ISNUMBER(SEARCH("conflict",Q12))),"Y","")</f>
        <v/>
      </c>
      <c r="AF12" s="13" t="str">
        <f aca="false">IF(AND(ISNUMBER(Z12),ABS(Z12-AA12)&gt;0.001),"Y","")</f>
        <v/>
      </c>
      <c r="AG12" s="13" t="str">
        <f aca="false">IF(AND(W12&lt;&gt;"",Y12&lt;&gt;"ACCEPTED"),"Y","")</f>
        <v/>
      </c>
      <c r="AH12" s="13" t="str">
        <f aca="false">IF(COUNTIF(AB12:AG12,"Y")&gt;0,"EXCEPTION","NO EXCEPTION IDENTIFIED")</f>
        <v>EXCEPTION</v>
      </c>
      <c r="AI12" s="16" t="s">
        <v>121</v>
      </c>
      <c r="AJ12" s="16" t="s">
        <v>179</v>
      </c>
    </row>
    <row r="13" customFormat="false" ht="20.85" hidden="false" customHeight="false" outlineLevel="0" collapsed="false">
      <c r="A13" s="9" t="s">
        <v>180</v>
      </c>
      <c r="B13" s="10" t="n">
        <v>44976</v>
      </c>
      <c r="C13" s="9" t="s">
        <v>181</v>
      </c>
      <c r="D13" s="9" t="s">
        <v>182</v>
      </c>
      <c r="E13" s="9" t="n">
        <v>1664</v>
      </c>
      <c r="F13" s="10" t="n">
        <v>45569</v>
      </c>
      <c r="G13" s="9" t="n">
        <f aca="false">B13-F13</f>
        <v>-593</v>
      </c>
      <c r="H13" s="9" t="s">
        <v>183</v>
      </c>
      <c r="I13" s="9" t="s">
        <v>184</v>
      </c>
      <c r="J13" s="9" t="s">
        <v>155</v>
      </c>
      <c r="K13" s="9" t="s">
        <v>146</v>
      </c>
      <c r="L13" s="11" t="n">
        <v>60</v>
      </c>
      <c r="M13" s="9" t="s">
        <v>185</v>
      </c>
      <c r="N13" s="9" t="s">
        <v>186</v>
      </c>
      <c r="O13" s="9" t="s">
        <v>117</v>
      </c>
      <c r="P13" s="9" t="s">
        <v>138</v>
      </c>
      <c r="Q13" s="9" t="s">
        <v>119</v>
      </c>
      <c r="R13" s="9" t="s">
        <v>120</v>
      </c>
      <c r="S13" s="9"/>
      <c r="T13" s="10"/>
      <c r="U13" s="9"/>
      <c r="V13" s="9"/>
      <c r="W13" s="10"/>
      <c r="X13" s="9"/>
      <c r="Y13" s="9"/>
      <c r="Z13" s="11"/>
      <c r="AA13" s="11" t="n">
        <v>54.5</v>
      </c>
      <c r="AB13" s="9" t="str">
        <f aca="false">IF(B13&lt;F13,"Y","")</f>
        <v>Y</v>
      </c>
      <c r="AC13" s="9" t="str">
        <f aca="false">IF(O13&lt;&gt;"Y","Y","")</f>
        <v/>
      </c>
      <c r="AD13" s="9" t="str">
        <f aca="false">IF(AND(M13="declined-prior-offer",S13=""),"Y","")</f>
        <v/>
      </c>
      <c r="AE13" s="9" t="str">
        <f aca="false">IF(OR(R13&lt;&gt;"MATCH",ISNUMBER(SEARCH("conflict",Q13))),"Y","")</f>
        <v/>
      </c>
      <c r="AF13" s="9" t="str">
        <f aca="false">IF(AND(ISNUMBER(Z13),ABS(Z13-AA13)&gt;0.001),"Y","")</f>
        <v/>
      </c>
      <c r="AG13" s="9" t="str">
        <f aca="false">IF(AND(W13&lt;&gt;"",Y13&lt;&gt;"ACCEPTED"),"Y","")</f>
        <v/>
      </c>
      <c r="AH13" s="9" t="str">
        <f aca="false">IF(COUNTIF(AB13:AG13,"Y")&gt;0,"EXCEPTION","NO EXCEPTION IDENTIFIED")</f>
        <v>EXCEPTION</v>
      </c>
      <c r="AI13" s="12" t="s">
        <v>121</v>
      </c>
      <c r="AJ13" s="12" t="s">
        <v>187</v>
      </c>
    </row>
    <row r="14" customFormat="false" ht="20.85" hidden="false" customHeight="false" outlineLevel="0" collapsed="false">
      <c r="A14" s="13" t="s">
        <v>188</v>
      </c>
      <c r="B14" s="14" t="n">
        <v>44991</v>
      </c>
      <c r="C14" s="13" t="s">
        <v>189</v>
      </c>
      <c r="D14" s="13" t="s">
        <v>190</v>
      </c>
      <c r="E14" s="13" t="n">
        <v>1366</v>
      </c>
      <c r="F14" s="14" t="n">
        <v>45434</v>
      </c>
      <c r="G14" s="13" t="n">
        <f aca="false">B14-F14</f>
        <v>-443</v>
      </c>
      <c r="H14" s="13" t="s">
        <v>191</v>
      </c>
      <c r="I14" s="13" t="s">
        <v>168</v>
      </c>
      <c r="J14" s="13" t="s">
        <v>113</v>
      </c>
      <c r="K14" s="13" t="s">
        <v>114</v>
      </c>
      <c r="L14" s="15" t="n">
        <v>28</v>
      </c>
      <c r="M14" s="13" t="s">
        <v>115</v>
      </c>
      <c r="N14" s="13" t="s">
        <v>116</v>
      </c>
      <c r="O14" s="13" t="s">
        <v>117</v>
      </c>
      <c r="P14" s="13" t="s">
        <v>138</v>
      </c>
      <c r="Q14" s="13" t="s">
        <v>119</v>
      </c>
      <c r="R14" s="13" t="s">
        <v>120</v>
      </c>
      <c r="S14" s="13"/>
      <c r="T14" s="14"/>
      <c r="U14" s="13"/>
      <c r="V14" s="13"/>
      <c r="W14" s="14"/>
      <c r="X14" s="13"/>
      <c r="Y14" s="13"/>
      <c r="Z14" s="15"/>
      <c r="AA14" s="15" t="n">
        <v>51.4</v>
      </c>
      <c r="AB14" s="13" t="str">
        <f aca="false">IF(B14&lt;F14,"Y","")</f>
        <v>Y</v>
      </c>
      <c r="AC14" s="13" t="str">
        <f aca="false">IF(O14&lt;&gt;"Y","Y","")</f>
        <v/>
      </c>
      <c r="AD14" s="13" t="str">
        <f aca="false">IF(AND(M14="declined-prior-offer",S14=""),"Y","")</f>
        <v/>
      </c>
      <c r="AE14" s="13" t="str">
        <f aca="false">IF(OR(R14&lt;&gt;"MATCH",ISNUMBER(SEARCH("conflict",Q14))),"Y","")</f>
        <v/>
      </c>
      <c r="AF14" s="13" t="str">
        <f aca="false">IF(AND(ISNUMBER(Z14),ABS(Z14-AA14)&gt;0.001),"Y","")</f>
        <v/>
      </c>
      <c r="AG14" s="13" t="str">
        <f aca="false">IF(AND(W14&lt;&gt;"",Y14&lt;&gt;"ACCEPTED"),"Y","")</f>
        <v/>
      </c>
      <c r="AH14" s="13" t="str">
        <f aca="false">IF(COUNTIF(AB14:AG14,"Y")&gt;0,"EXCEPTION","NO EXCEPTION IDENTIFIED")</f>
        <v>EXCEPTION</v>
      </c>
      <c r="AI14" s="16" t="s">
        <v>121</v>
      </c>
      <c r="AJ14" s="16" t="s">
        <v>192</v>
      </c>
    </row>
    <row r="15" customFormat="false" ht="20.85" hidden="false" customHeight="false" outlineLevel="0" collapsed="false">
      <c r="A15" s="9" t="s">
        <v>193</v>
      </c>
      <c r="B15" s="10" t="n">
        <v>44995</v>
      </c>
      <c r="C15" s="9" t="s">
        <v>194</v>
      </c>
      <c r="D15" s="9" t="s">
        <v>195</v>
      </c>
      <c r="E15" s="9" t="n">
        <v>984</v>
      </c>
      <c r="F15" s="10" t="n">
        <v>45257</v>
      </c>
      <c r="G15" s="9" t="n">
        <f aca="false">B15-F15</f>
        <v>-262</v>
      </c>
      <c r="H15" s="9" t="s">
        <v>196</v>
      </c>
      <c r="I15" s="9" t="s">
        <v>197</v>
      </c>
      <c r="J15" s="9" t="s">
        <v>155</v>
      </c>
      <c r="K15" s="9" t="s">
        <v>146</v>
      </c>
      <c r="L15" s="11" t="n">
        <v>60</v>
      </c>
      <c r="M15" s="9" t="s">
        <v>169</v>
      </c>
      <c r="N15" s="9" t="s">
        <v>170</v>
      </c>
      <c r="O15" s="9" t="s">
        <v>117</v>
      </c>
      <c r="P15" s="9" t="s">
        <v>138</v>
      </c>
      <c r="Q15" s="9" t="s">
        <v>119</v>
      </c>
      <c r="R15" s="9" t="s">
        <v>120</v>
      </c>
      <c r="S15" s="9"/>
      <c r="T15" s="10"/>
      <c r="U15" s="9"/>
      <c r="V15" s="9"/>
      <c r="W15" s="10"/>
      <c r="X15" s="9"/>
      <c r="Y15" s="9"/>
      <c r="Z15" s="11"/>
      <c r="AA15" s="11" t="n">
        <v>41.9</v>
      </c>
      <c r="AB15" s="9" t="str">
        <f aca="false">IF(B15&lt;F15,"Y","")</f>
        <v>Y</v>
      </c>
      <c r="AC15" s="9" t="str">
        <f aca="false">IF(O15&lt;&gt;"Y","Y","")</f>
        <v/>
      </c>
      <c r="AD15" s="9" t="str">
        <f aca="false">IF(AND(M15="declined-prior-offer",S15=""),"Y","")</f>
        <v>Y</v>
      </c>
      <c r="AE15" s="9" t="str">
        <f aca="false">IF(OR(R15&lt;&gt;"MATCH",ISNUMBER(SEARCH("conflict",Q15))),"Y","")</f>
        <v/>
      </c>
      <c r="AF15" s="9" t="str">
        <f aca="false">IF(AND(ISNUMBER(Z15),ABS(Z15-AA15)&gt;0.001),"Y","")</f>
        <v/>
      </c>
      <c r="AG15" s="9" t="str">
        <f aca="false">IF(AND(W15&lt;&gt;"",Y15&lt;&gt;"ACCEPTED"),"Y","")</f>
        <v/>
      </c>
      <c r="AH15" s="9" t="str">
        <f aca="false">IF(COUNTIF(AB15:AG15,"Y")&gt;0,"EXCEPTION","NO EXCEPTION IDENTIFIED")</f>
        <v>EXCEPTION</v>
      </c>
      <c r="AI15" s="12" t="s">
        <v>171</v>
      </c>
      <c r="AJ15" s="12" t="s">
        <v>198</v>
      </c>
    </row>
    <row r="16" customFormat="false" ht="20.85" hidden="false" customHeight="false" outlineLevel="0" collapsed="false">
      <c r="A16" s="13" t="s">
        <v>199</v>
      </c>
      <c r="B16" s="14" t="n">
        <v>45000</v>
      </c>
      <c r="C16" s="13" t="s">
        <v>200</v>
      </c>
      <c r="D16" s="13" t="s">
        <v>201</v>
      </c>
      <c r="E16" s="13" t="n">
        <v>2523</v>
      </c>
      <c r="F16" s="14" t="n">
        <v>45963</v>
      </c>
      <c r="G16" s="13" t="n">
        <f aca="false">B16-F16</f>
        <v>-963</v>
      </c>
      <c r="H16" s="13" t="s">
        <v>202</v>
      </c>
      <c r="I16" s="13" t="s">
        <v>203</v>
      </c>
      <c r="J16" s="13" t="s">
        <v>204</v>
      </c>
      <c r="K16" s="13" t="s">
        <v>146</v>
      </c>
      <c r="L16" s="15" t="n">
        <v>24</v>
      </c>
      <c r="M16" s="13" t="s">
        <v>115</v>
      </c>
      <c r="N16" s="13" t="s">
        <v>116</v>
      </c>
      <c r="O16" s="13" t="s">
        <v>147</v>
      </c>
      <c r="P16" s="13" t="s">
        <v>138</v>
      </c>
      <c r="Q16" s="13" t="s">
        <v>119</v>
      </c>
      <c r="R16" s="13" t="s">
        <v>120</v>
      </c>
      <c r="S16" s="13"/>
      <c r="T16" s="14"/>
      <c r="U16" s="13"/>
      <c r="V16" s="13"/>
      <c r="W16" s="14"/>
      <c r="X16" s="13"/>
      <c r="Y16" s="13"/>
      <c r="Z16" s="15"/>
      <c r="AA16" s="15" t="n">
        <v>53.1</v>
      </c>
      <c r="AB16" s="13" t="str">
        <f aca="false">IF(B16&lt;F16,"Y","")</f>
        <v>Y</v>
      </c>
      <c r="AC16" s="13" t="str">
        <f aca="false">IF(O16&lt;&gt;"Y","Y","")</f>
        <v>Y</v>
      </c>
      <c r="AD16" s="13" t="str">
        <f aca="false">IF(AND(M16="declined-prior-offer",S16=""),"Y","")</f>
        <v/>
      </c>
      <c r="AE16" s="13" t="str">
        <f aca="false">IF(OR(R16&lt;&gt;"MATCH",ISNUMBER(SEARCH("conflict",Q16))),"Y","")</f>
        <v/>
      </c>
      <c r="AF16" s="13" t="str">
        <f aca="false">IF(AND(ISNUMBER(Z16),ABS(Z16-AA16)&gt;0.001),"Y","")</f>
        <v/>
      </c>
      <c r="AG16" s="13" t="str">
        <f aca="false">IF(AND(W16&lt;&gt;"",Y16&lt;&gt;"ACCEPTED"),"Y","")</f>
        <v/>
      </c>
      <c r="AH16" s="13" t="str">
        <f aca="false">IF(COUNTIF(AB16:AG16,"Y")&gt;0,"EXCEPTION","NO EXCEPTION IDENTIFIED")</f>
        <v>EXCEPTION</v>
      </c>
      <c r="AI16" s="16" t="s">
        <v>148</v>
      </c>
      <c r="AJ16" s="16" t="s">
        <v>205</v>
      </c>
    </row>
    <row r="17" customFormat="false" ht="20.85" hidden="false" customHeight="false" outlineLevel="0" collapsed="false">
      <c r="A17" s="9" t="s">
        <v>206</v>
      </c>
      <c r="B17" s="10" t="n">
        <v>45006</v>
      </c>
      <c r="C17" s="9" t="s">
        <v>207</v>
      </c>
      <c r="D17" s="9" t="s">
        <v>208</v>
      </c>
      <c r="E17" s="9" t="n">
        <v>649</v>
      </c>
      <c r="F17" s="10" t="n">
        <v>45088</v>
      </c>
      <c r="G17" s="9" t="n">
        <f aca="false">B17-F17</f>
        <v>-82</v>
      </c>
      <c r="H17" s="9" t="s">
        <v>209</v>
      </c>
      <c r="I17" s="9" t="s">
        <v>210</v>
      </c>
      <c r="J17" s="9" t="s">
        <v>135</v>
      </c>
      <c r="K17" s="9" t="s">
        <v>114</v>
      </c>
      <c r="L17" s="11" t="n">
        <v>32</v>
      </c>
      <c r="M17" s="9" t="s">
        <v>115</v>
      </c>
      <c r="N17" s="9" t="s">
        <v>116</v>
      </c>
      <c r="O17" s="9" t="s">
        <v>117</v>
      </c>
      <c r="P17" s="9" t="s">
        <v>178</v>
      </c>
      <c r="Q17" s="9" t="s">
        <v>119</v>
      </c>
      <c r="R17" s="9" t="s">
        <v>120</v>
      </c>
      <c r="S17" s="9"/>
      <c r="T17" s="10"/>
      <c r="U17" s="9"/>
      <c r="V17" s="9"/>
      <c r="W17" s="10"/>
      <c r="X17" s="9"/>
      <c r="Y17" s="9"/>
      <c r="Z17" s="11"/>
      <c r="AA17" s="11" t="n">
        <v>50.1</v>
      </c>
      <c r="AB17" s="9" t="str">
        <f aca="false">IF(B17&lt;F17,"Y","")</f>
        <v>Y</v>
      </c>
      <c r="AC17" s="9" t="str">
        <f aca="false">IF(O17&lt;&gt;"Y","Y","")</f>
        <v/>
      </c>
      <c r="AD17" s="9" t="str">
        <f aca="false">IF(AND(M17="declined-prior-offer",S17=""),"Y","")</f>
        <v/>
      </c>
      <c r="AE17" s="9" t="str">
        <f aca="false">IF(OR(R17&lt;&gt;"MATCH",ISNUMBER(SEARCH("conflict",Q17))),"Y","")</f>
        <v/>
      </c>
      <c r="AF17" s="9" t="str">
        <f aca="false">IF(AND(ISNUMBER(Z17),ABS(Z17-AA17)&gt;0.001),"Y","")</f>
        <v/>
      </c>
      <c r="AG17" s="9" t="str">
        <f aca="false">IF(AND(W17&lt;&gt;"",Y17&lt;&gt;"ACCEPTED"),"Y","")</f>
        <v/>
      </c>
      <c r="AH17" s="9" t="str">
        <f aca="false">IF(COUNTIF(AB17:AG17,"Y")&gt;0,"EXCEPTION","NO EXCEPTION IDENTIFIED")</f>
        <v>EXCEPTION</v>
      </c>
      <c r="AI17" s="12" t="s">
        <v>121</v>
      </c>
      <c r="AJ17" s="12" t="s">
        <v>211</v>
      </c>
    </row>
    <row r="18" customFormat="false" ht="20.85" hidden="false" customHeight="false" outlineLevel="0" collapsed="false">
      <c r="A18" s="13" t="s">
        <v>212</v>
      </c>
      <c r="B18" s="14" t="n">
        <v>45010</v>
      </c>
      <c r="C18" s="13" t="s">
        <v>213</v>
      </c>
      <c r="D18" s="13" t="s">
        <v>214</v>
      </c>
      <c r="E18" s="13" t="n">
        <v>2535</v>
      </c>
      <c r="F18" s="14" t="n">
        <v>45969</v>
      </c>
      <c r="G18" s="13" t="n">
        <f aca="false">B18-F18</f>
        <v>-959</v>
      </c>
      <c r="H18" s="13" t="s">
        <v>215</v>
      </c>
      <c r="I18" s="13" t="s">
        <v>216</v>
      </c>
      <c r="J18" s="13" t="s">
        <v>155</v>
      </c>
      <c r="K18" s="13" t="s">
        <v>146</v>
      </c>
      <c r="L18" s="15" t="n">
        <v>24</v>
      </c>
      <c r="M18" s="13" t="s">
        <v>115</v>
      </c>
      <c r="N18" s="13" t="s">
        <v>116</v>
      </c>
      <c r="O18" s="13" t="s">
        <v>117</v>
      </c>
      <c r="P18" s="13" t="s">
        <v>118</v>
      </c>
      <c r="Q18" s="13" t="s">
        <v>119</v>
      </c>
      <c r="R18" s="13" t="s">
        <v>120</v>
      </c>
      <c r="S18" s="13"/>
      <c r="T18" s="14"/>
      <c r="U18" s="13"/>
      <c r="V18" s="13"/>
      <c r="W18" s="14"/>
      <c r="X18" s="13"/>
      <c r="Y18" s="13"/>
      <c r="Z18" s="15"/>
      <c r="AA18" s="15" t="n">
        <v>57.7</v>
      </c>
      <c r="AB18" s="13" t="str">
        <f aca="false">IF(B18&lt;F18,"Y","")</f>
        <v>Y</v>
      </c>
      <c r="AC18" s="13" t="str">
        <f aca="false">IF(O18&lt;&gt;"Y","Y","")</f>
        <v/>
      </c>
      <c r="AD18" s="13" t="str">
        <f aca="false">IF(AND(M18="declined-prior-offer",S18=""),"Y","")</f>
        <v/>
      </c>
      <c r="AE18" s="13" t="str">
        <f aca="false">IF(OR(R18&lt;&gt;"MATCH",ISNUMBER(SEARCH("conflict",Q18))),"Y","")</f>
        <v/>
      </c>
      <c r="AF18" s="13" t="str">
        <f aca="false">IF(AND(ISNUMBER(Z18),ABS(Z18-AA18)&gt;0.001),"Y","")</f>
        <v/>
      </c>
      <c r="AG18" s="13" t="str">
        <f aca="false">IF(AND(W18&lt;&gt;"",Y18&lt;&gt;"ACCEPTED"),"Y","")</f>
        <v/>
      </c>
      <c r="AH18" s="13" t="str">
        <f aca="false">IF(COUNTIF(AB18:AG18,"Y")&gt;0,"EXCEPTION","NO EXCEPTION IDENTIFIED")</f>
        <v>EXCEPTION</v>
      </c>
      <c r="AI18" s="16" t="s">
        <v>121</v>
      </c>
      <c r="AJ18" s="16" t="s">
        <v>217</v>
      </c>
    </row>
    <row r="19" customFormat="false" ht="20.85" hidden="false" customHeight="false" outlineLevel="0" collapsed="false">
      <c r="A19" s="9" t="s">
        <v>218</v>
      </c>
      <c r="B19" s="10" t="n">
        <v>45012</v>
      </c>
      <c r="C19" s="9" t="s">
        <v>219</v>
      </c>
      <c r="D19" s="9" t="s">
        <v>220</v>
      </c>
      <c r="E19" s="9" t="n">
        <v>388</v>
      </c>
      <c r="F19" s="10" t="n">
        <v>44933</v>
      </c>
      <c r="G19" s="9" t="n">
        <f aca="false">B19-F19</f>
        <v>79</v>
      </c>
      <c r="H19" s="9" t="s">
        <v>221</v>
      </c>
      <c r="I19" s="9" t="s">
        <v>222</v>
      </c>
      <c r="J19" s="9" t="s">
        <v>204</v>
      </c>
      <c r="K19" s="9" t="s">
        <v>146</v>
      </c>
      <c r="L19" s="11" t="n">
        <v>36</v>
      </c>
      <c r="M19" s="9" t="s">
        <v>115</v>
      </c>
      <c r="N19" s="9" t="s">
        <v>116</v>
      </c>
      <c r="O19" s="9" t="s">
        <v>117</v>
      </c>
      <c r="P19" s="9" t="s">
        <v>178</v>
      </c>
      <c r="Q19" s="9" t="s">
        <v>119</v>
      </c>
      <c r="R19" s="9" t="s">
        <v>120</v>
      </c>
      <c r="S19" s="9"/>
      <c r="T19" s="10"/>
      <c r="U19" s="9"/>
      <c r="V19" s="9"/>
      <c r="W19" s="10"/>
      <c r="X19" s="9"/>
      <c r="Y19" s="9"/>
      <c r="Z19" s="11"/>
      <c r="AA19" s="11" t="n">
        <v>26.7</v>
      </c>
      <c r="AB19" s="9" t="str">
        <f aca="false">IF(B19&lt;F19,"Y","")</f>
        <v/>
      </c>
      <c r="AC19" s="9" t="str">
        <f aca="false">IF(O19&lt;&gt;"Y","Y","")</f>
        <v/>
      </c>
      <c r="AD19" s="9" t="str">
        <f aca="false">IF(AND(M19="declined-prior-offer",S19=""),"Y","")</f>
        <v/>
      </c>
      <c r="AE19" s="9" t="str">
        <f aca="false">IF(OR(R19&lt;&gt;"MATCH",ISNUMBER(SEARCH("conflict",Q19))),"Y","")</f>
        <v/>
      </c>
      <c r="AF19" s="9" t="str">
        <f aca="false">IF(AND(ISNUMBER(Z19),ABS(Z19-AA19)&gt;0.001),"Y","")</f>
        <v/>
      </c>
      <c r="AG19" s="9" t="str">
        <f aca="false">IF(AND(W19&lt;&gt;"",Y19&lt;&gt;"ACCEPTED"),"Y","")</f>
        <v/>
      </c>
      <c r="AH19" s="9" t="str">
        <f aca="false">IF(COUNTIF(AB19:AG19,"Y")&gt;0,"EXCEPTION","NO EXCEPTION IDENTIFIED")</f>
        <v>NO EXCEPTION IDENTIFIED</v>
      </c>
      <c r="AI19" s="12" t="s">
        <v>156</v>
      </c>
      <c r="AJ19" s="12" t="s">
        <v>223</v>
      </c>
    </row>
    <row r="20" customFormat="false" ht="20.85" hidden="false" customHeight="false" outlineLevel="0" collapsed="false">
      <c r="A20" s="13" t="s">
        <v>224</v>
      </c>
      <c r="B20" s="14" t="n">
        <v>45018</v>
      </c>
      <c r="C20" s="13" t="s">
        <v>225</v>
      </c>
      <c r="D20" s="13" t="s">
        <v>226</v>
      </c>
      <c r="E20" s="13" t="n">
        <v>89</v>
      </c>
      <c r="F20" s="14" t="n">
        <v>44700</v>
      </c>
      <c r="G20" s="13" t="n">
        <f aca="false">B20-F20</f>
        <v>318</v>
      </c>
      <c r="H20" s="13" t="s">
        <v>227</v>
      </c>
      <c r="I20" s="13" t="s">
        <v>228</v>
      </c>
      <c r="J20" s="13" t="s">
        <v>155</v>
      </c>
      <c r="K20" s="13" t="s">
        <v>146</v>
      </c>
      <c r="L20" s="15" t="n">
        <v>32</v>
      </c>
      <c r="M20" s="13" t="s">
        <v>169</v>
      </c>
      <c r="N20" s="13" t="s">
        <v>170</v>
      </c>
      <c r="O20" s="13" t="s">
        <v>117</v>
      </c>
      <c r="P20" s="13" t="s">
        <v>178</v>
      </c>
      <c r="Q20" s="13" t="s">
        <v>119</v>
      </c>
      <c r="R20" s="13" t="s">
        <v>120</v>
      </c>
      <c r="S20" s="13"/>
      <c r="T20" s="14"/>
      <c r="U20" s="13"/>
      <c r="V20" s="13"/>
      <c r="W20" s="14"/>
      <c r="X20" s="13"/>
      <c r="Y20" s="13"/>
      <c r="Z20" s="15"/>
      <c r="AA20" s="15" t="n">
        <v>54.3</v>
      </c>
      <c r="AB20" s="13" t="str">
        <f aca="false">IF(B20&lt;F20,"Y","")</f>
        <v/>
      </c>
      <c r="AC20" s="13" t="str">
        <f aca="false">IF(O20&lt;&gt;"Y","Y","")</f>
        <v/>
      </c>
      <c r="AD20" s="13" t="str">
        <f aca="false">IF(AND(M20="declined-prior-offer",S20=""),"Y","")</f>
        <v>Y</v>
      </c>
      <c r="AE20" s="13" t="str">
        <f aca="false">IF(OR(R20&lt;&gt;"MATCH",ISNUMBER(SEARCH("conflict",Q20))),"Y","")</f>
        <v/>
      </c>
      <c r="AF20" s="13" t="str">
        <f aca="false">IF(AND(ISNUMBER(Z20),ABS(Z20-AA20)&gt;0.001),"Y","")</f>
        <v/>
      </c>
      <c r="AG20" s="13" t="str">
        <f aca="false">IF(AND(W20&lt;&gt;"",Y20&lt;&gt;"ACCEPTED"),"Y","")</f>
        <v/>
      </c>
      <c r="AH20" s="13" t="str">
        <f aca="false">IF(COUNTIF(AB20:AG20,"Y")&gt;0,"EXCEPTION","NO EXCEPTION IDENTIFIED")</f>
        <v>EXCEPTION</v>
      </c>
      <c r="AI20" s="16" t="s">
        <v>229</v>
      </c>
      <c r="AJ20" s="16" t="s">
        <v>230</v>
      </c>
    </row>
    <row r="21" customFormat="false" ht="20.85" hidden="false" customHeight="false" outlineLevel="0" collapsed="false">
      <c r="A21" s="9" t="s">
        <v>231</v>
      </c>
      <c r="B21" s="10" t="n">
        <v>45019</v>
      </c>
      <c r="C21" s="9" t="s">
        <v>232</v>
      </c>
      <c r="D21" s="9" t="s">
        <v>233</v>
      </c>
      <c r="E21" s="9" t="n">
        <v>2014</v>
      </c>
      <c r="F21" s="10" t="n">
        <v>45719</v>
      </c>
      <c r="G21" s="9" t="n">
        <f aca="false">B21-F21</f>
        <v>-700</v>
      </c>
      <c r="H21" s="9" t="s">
        <v>234</v>
      </c>
      <c r="I21" s="9" t="s">
        <v>235</v>
      </c>
      <c r="J21" s="9" t="s">
        <v>113</v>
      </c>
      <c r="K21" s="9" t="s">
        <v>114</v>
      </c>
      <c r="L21" s="11" t="n">
        <v>28</v>
      </c>
      <c r="M21" s="9" t="s">
        <v>115</v>
      </c>
      <c r="N21" s="9" t="s">
        <v>116</v>
      </c>
      <c r="O21" s="9" t="s">
        <v>117</v>
      </c>
      <c r="P21" s="9" t="s">
        <v>138</v>
      </c>
      <c r="Q21" s="9" t="s">
        <v>119</v>
      </c>
      <c r="R21" s="9" t="s">
        <v>120</v>
      </c>
      <c r="S21" s="9"/>
      <c r="T21" s="10"/>
      <c r="U21" s="9"/>
      <c r="V21" s="9"/>
      <c r="W21" s="10"/>
      <c r="X21" s="9"/>
      <c r="Y21" s="9"/>
      <c r="Z21" s="11"/>
      <c r="AA21" s="11" t="n">
        <v>52.3</v>
      </c>
      <c r="AB21" s="9" t="str">
        <f aca="false">IF(B21&lt;F21,"Y","")</f>
        <v>Y</v>
      </c>
      <c r="AC21" s="9" t="str">
        <f aca="false">IF(O21&lt;&gt;"Y","Y","")</f>
        <v/>
      </c>
      <c r="AD21" s="9" t="str">
        <f aca="false">IF(AND(M21="declined-prior-offer",S21=""),"Y","")</f>
        <v/>
      </c>
      <c r="AE21" s="9" t="str">
        <f aca="false">IF(OR(R21&lt;&gt;"MATCH",ISNUMBER(SEARCH("conflict",Q21))),"Y","")</f>
        <v/>
      </c>
      <c r="AF21" s="9" t="str">
        <f aca="false">IF(AND(ISNUMBER(Z21),ABS(Z21-AA21)&gt;0.001),"Y","")</f>
        <v/>
      </c>
      <c r="AG21" s="9" t="str">
        <f aca="false">IF(AND(W21&lt;&gt;"",Y21&lt;&gt;"ACCEPTED"),"Y","")</f>
        <v/>
      </c>
      <c r="AH21" s="9" t="str">
        <f aca="false">IF(COUNTIF(AB21:AG21,"Y")&gt;0,"EXCEPTION","NO EXCEPTION IDENTIFIED")</f>
        <v>EXCEPTION</v>
      </c>
      <c r="AI21" s="12" t="s">
        <v>121</v>
      </c>
      <c r="AJ21" s="12" t="s">
        <v>236</v>
      </c>
    </row>
    <row r="22" customFormat="false" ht="20.85" hidden="false" customHeight="false" outlineLevel="0" collapsed="false">
      <c r="A22" s="13" t="s">
        <v>237</v>
      </c>
      <c r="B22" s="14" t="n">
        <v>45024</v>
      </c>
      <c r="C22" s="13" t="s">
        <v>238</v>
      </c>
      <c r="D22" s="13" t="s">
        <v>239</v>
      </c>
      <c r="E22" s="13" t="n">
        <v>145</v>
      </c>
      <c r="F22" s="14" t="n">
        <v>44759</v>
      </c>
      <c r="G22" s="13" t="n">
        <f aca="false">B22-F22</f>
        <v>265</v>
      </c>
      <c r="H22" s="13" t="s">
        <v>240</v>
      </c>
      <c r="I22" s="13" t="s">
        <v>241</v>
      </c>
      <c r="J22" s="13" t="s">
        <v>145</v>
      </c>
      <c r="K22" s="13" t="s">
        <v>146</v>
      </c>
      <c r="L22" s="15" t="n">
        <v>36</v>
      </c>
      <c r="M22" s="13" t="s">
        <v>136</v>
      </c>
      <c r="N22" s="13" t="s">
        <v>137</v>
      </c>
      <c r="O22" s="13" t="s">
        <v>117</v>
      </c>
      <c r="P22" s="13" t="s">
        <v>128</v>
      </c>
      <c r="Q22" s="13" t="s">
        <v>119</v>
      </c>
      <c r="R22" s="13" t="s">
        <v>120</v>
      </c>
      <c r="S22" s="13"/>
      <c r="T22" s="14"/>
      <c r="U22" s="13"/>
      <c r="V22" s="13"/>
      <c r="W22" s="14"/>
      <c r="X22" s="13"/>
      <c r="Y22" s="13"/>
      <c r="Z22" s="15"/>
      <c r="AA22" s="15" t="n">
        <v>43.1</v>
      </c>
      <c r="AB22" s="13" t="str">
        <f aca="false">IF(B22&lt;F22,"Y","")</f>
        <v/>
      </c>
      <c r="AC22" s="13" t="str">
        <f aca="false">IF(O22&lt;&gt;"Y","Y","")</f>
        <v/>
      </c>
      <c r="AD22" s="13" t="str">
        <f aca="false">IF(AND(M22="declined-prior-offer",S22=""),"Y","")</f>
        <v/>
      </c>
      <c r="AE22" s="13" t="str">
        <f aca="false">IF(OR(R22&lt;&gt;"MATCH",ISNUMBER(SEARCH("conflict",Q22))),"Y","")</f>
        <v/>
      </c>
      <c r="AF22" s="13" t="str">
        <f aca="false">IF(AND(ISNUMBER(Z22),ABS(Z22-AA22)&gt;0.001),"Y","")</f>
        <v/>
      </c>
      <c r="AG22" s="13" t="str">
        <f aca="false">IF(AND(W22&lt;&gt;"",Y22&lt;&gt;"ACCEPTED"),"Y","")</f>
        <v/>
      </c>
      <c r="AH22" s="13" t="str">
        <f aca="false">IF(COUNTIF(AB22:AG22,"Y")&gt;0,"EXCEPTION","NO EXCEPTION IDENTIFIED")</f>
        <v>NO EXCEPTION IDENTIFIED</v>
      </c>
      <c r="AI22" s="16" t="s">
        <v>156</v>
      </c>
      <c r="AJ22" s="16" t="s">
        <v>242</v>
      </c>
    </row>
    <row r="23" customFormat="false" ht="20.85" hidden="false" customHeight="false" outlineLevel="0" collapsed="false">
      <c r="A23" s="9" t="s">
        <v>243</v>
      </c>
      <c r="B23" s="10" t="n">
        <v>45025</v>
      </c>
      <c r="C23" s="9" t="s">
        <v>244</v>
      </c>
      <c r="D23" s="9" t="s">
        <v>245</v>
      </c>
      <c r="E23" s="9" t="n">
        <v>886</v>
      </c>
      <c r="F23" s="10" t="n">
        <v>45211</v>
      </c>
      <c r="G23" s="9" t="n">
        <f aca="false">B23-F23</f>
        <v>-186</v>
      </c>
      <c r="H23" s="9" t="s">
        <v>246</v>
      </c>
      <c r="I23" s="9" t="s">
        <v>177</v>
      </c>
      <c r="J23" s="9" t="s">
        <v>155</v>
      </c>
      <c r="K23" s="9" t="s">
        <v>146</v>
      </c>
      <c r="L23" s="11" t="n">
        <v>32</v>
      </c>
      <c r="M23" s="9" t="s">
        <v>136</v>
      </c>
      <c r="N23" s="9" t="s">
        <v>137</v>
      </c>
      <c r="O23" s="9" t="s">
        <v>117</v>
      </c>
      <c r="P23" s="9" t="s">
        <v>138</v>
      </c>
      <c r="Q23" s="9" t="s">
        <v>119</v>
      </c>
      <c r="R23" s="9" t="s">
        <v>120</v>
      </c>
      <c r="S23" s="9"/>
      <c r="T23" s="10"/>
      <c r="U23" s="9"/>
      <c r="V23" s="9"/>
      <c r="W23" s="10"/>
      <c r="X23" s="9"/>
      <c r="Y23" s="9"/>
      <c r="Z23" s="11"/>
      <c r="AA23" s="11" t="n">
        <v>18.4</v>
      </c>
      <c r="AB23" s="9" t="str">
        <f aca="false">IF(B23&lt;F23,"Y","")</f>
        <v>Y</v>
      </c>
      <c r="AC23" s="9" t="str">
        <f aca="false">IF(O23&lt;&gt;"Y","Y","")</f>
        <v/>
      </c>
      <c r="AD23" s="9" t="str">
        <f aca="false">IF(AND(M23="declined-prior-offer",S23=""),"Y","")</f>
        <v/>
      </c>
      <c r="AE23" s="9" t="str">
        <f aca="false">IF(OR(R23&lt;&gt;"MATCH",ISNUMBER(SEARCH("conflict",Q23))),"Y","")</f>
        <v/>
      </c>
      <c r="AF23" s="9" t="str">
        <f aca="false">IF(AND(ISNUMBER(Z23),ABS(Z23-AA23)&gt;0.001),"Y","")</f>
        <v/>
      </c>
      <c r="AG23" s="9" t="str">
        <f aca="false">IF(AND(W23&lt;&gt;"",Y23&lt;&gt;"ACCEPTED"),"Y","")</f>
        <v/>
      </c>
      <c r="AH23" s="9" t="str">
        <f aca="false">IF(COUNTIF(AB23:AG23,"Y")&gt;0,"EXCEPTION","NO EXCEPTION IDENTIFIED")</f>
        <v>EXCEPTION</v>
      </c>
      <c r="AI23" s="12" t="s">
        <v>121</v>
      </c>
      <c r="AJ23" s="12" t="s">
        <v>247</v>
      </c>
    </row>
    <row r="24" customFormat="false" ht="20.85" hidden="false" customHeight="false" outlineLevel="0" collapsed="false">
      <c r="A24" s="13" t="s">
        <v>248</v>
      </c>
      <c r="B24" s="14" t="n">
        <v>45027</v>
      </c>
      <c r="C24" s="13" t="s">
        <v>249</v>
      </c>
      <c r="D24" s="13" t="s">
        <v>250</v>
      </c>
      <c r="E24" s="13" t="n">
        <v>1074</v>
      </c>
      <c r="F24" s="14" t="n">
        <v>45295</v>
      </c>
      <c r="G24" s="13" t="n">
        <f aca="false">B24-F24</f>
        <v>-268</v>
      </c>
      <c r="H24" s="13" t="s">
        <v>251</v>
      </c>
      <c r="I24" s="13" t="s">
        <v>252</v>
      </c>
      <c r="J24" s="13" t="s">
        <v>145</v>
      </c>
      <c r="K24" s="13" t="s">
        <v>146</v>
      </c>
      <c r="L24" s="15" t="n">
        <v>32</v>
      </c>
      <c r="M24" s="13" t="s">
        <v>115</v>
      </c>
      <c r="N24" s="13" t="s">
        <v>116</v>
      </c>
      <c r="O24" s="13" t="s">
        <v>117</v>
      </c>
      <c r="P24" s="13" t="s">
        <v>178</v>
      </c>
      <c r="Q24" s="13" t="s">
        <v>119</v>
      </c>
      <c r="R24" s="13" t="s">
        <v>120</v>
      </c>
      <c r="S24" s="13"/>
      <c r="T24" s="14"/>
      <c r="U24" s="13"/>
      <c r="V24" s="13"/>
      <c r="W24" s="14"/>
      <c r="X24" s="13"/>
      <c r="Y24" s="13"/>
      <c r="Z24" s="15"/>
      <c r="AA24" s="15" t="n">
        <v>40.2</v>
      </c>
      <c r="AB24" s="13" t="str">
        <f aca="false">IF(B24&lt;F24,"Y","")</f>
        <v>Y</v>
      </c>
      <c r="AC24" s="13" t="str">
        <f aca="false">IF(O24&lt;&gt;"Y","Y","")</f>
        <v/>
      </c>
      <c r="AD24" s="13" t="str">
        <f aca="false">IF(AND(M24="declined-prior-offer",S24=""),"Y","")</f>
        <v/>
      </c>
      <c r="AE24" s="13" t="str">
        <f aca="false">IF(OR(R24&lt;&gt;"MATCH",ISNUMBER(SEARCH("conflict",Q24))),"Y","")</f>
        <v/>
      </c>
      <c r="AF24" s="13" t="str">
        <f aca="false">IF(AND(ISNUMBER(Z24),ABS(Z24-AA24)&gt;0.001),"Y","")</f>
        <v/>
      </c>
      <c r="AG24" s="13" t="str">
        <f aca="false">IF(AND(W24&lt;&gt;"",Y24&lt;&gt;"ACCEPTED"),"Y","")</f>
        <v/>
      </c>
      <c r="AH24" s="13" t="str">
        <f aca="false">IF(COUNTIF(AB24:AG24,"Y")&gt;0,"EXCEPTION","NO EXCEPTION IDENTIFIED")</f>
        <v>EXCEPTION</v>
      </c>
      <c r="AI24" s="16" t="s">
        <v>121</v>
      </c>
      <c r="AJ24" s="16" t="s">
        <v>253</v>
      </c>
    </row>
    <row r="25" customFormat="false" ht="20.85" hidden="false" customHeight="false" outlineLevel="0" collapsed="false">
      <c r="A25" s="9" t="s">
        <v>254</v>
      </c>
      <c r="B25" s="10" t="n">
        <v>45036</v>
      </c>
      <c r="C25" s="9" t="s">
        <v>255</v>
      </c>
      <c r="D25" s="9" t="s">
        <v>256</v>
      </c>
      <c r="E25" s="9" t="n">
        <v>473</v>
      </c>
      <c r="F25" s="10" t="n">
        <v>44982</v>
      </c>
      <c r="G25" s="9" t="n">
        <f aca="false">B25-F25</f>
        <v>54</v>
      </c>
      <c r="H25" s="9" t="s">
        <v>257</v>
      </c>
      <c r="I25" s="9" t="s">
        <v>258</v>
      </c>
      <c r="J25" s="9" t="s">
        <v>204</v>
      </c>
      <c r="K25" s="9" t="s">
        <v>146</v>
      </c>
      <c r="L25" s="11" t="n">
        <v>28</v>
      </c>
      <c r="M25" s="9" t="s">
        <v>115</v>
      </c>
      <c r="N25" s="9" t="s">
        <v>116</v>
      </c>
      <c r="O25" s="9" t="s">
        <v>117</v>
      </c>
      <c r="P25" s="9" t="s">
        <v>128</v>
      </c>
      <c r="Q25" s="9" t="s">
        <v>119</v>
      </c>
      <c r="R25" s="9" t="s">
        <v>120</v>
      </c>
      <c r="S25" s="9"/>
      <c r="T25" s="10"/>
      <c r="U25" s="9"/>
      <c r="V25" s="9"/>
      <c r="W25" s="10"/>
      <c r="X25" s="9"/>
      <c r="Y25" s="9"/>
      <c r="Z25" s="11"/>
      <c r="AA25" s="11" t="n">
        <v>59</v>
      </c>
      <c r="AB25" s="9" t="str">
        <f aca="false">IF(B25&lt;F25,"Y","")</f>
        <v/>
      </c>
      <c r="AC25" s="9" t="str">
        <f aca="false">IF(O25&lt;&gt;"Y","Y","")</f>
        <v/>
      </c>
      <c r="AD25" s="9" t="str">
        <f aca="false">IF(AND(M25="declined-prior-offer",S25=""),"Y","")</f>
        <v/>
      </c>
      <c r="AE25" s="9" t="str">
        <f aca="false">IF(OR(R25&lt;&gt;"MATCH",ISNUMBER(SEARCH("conflict",Q25))),"Y","")</f>
        <v/>
      </c>
      <c r="AF25" s="9" t="str">
        <f aca="false">IF(AND(ISNUMBER(Z25),ABS(Z25-AA25)&gt;0.001),"Y","")</f>
        <v/>
      </c>
      <c r="AG25" s="9" t="str">
        <f aca="false">IF(AND(W25&lt;&gt;"",Y25&lt;&gt;"ACCEPTED"),"Y","")</f>
        <v/>
      </c>
      <c r="AH25" s="9" t="str">
        <f aca="false">IF(COUNTIF(AB25:AG25,"Y")&gt;0,"EXCEPTION","NO EXCEPTION IDENTIFIED")</f>
        <v>NO EXCEPTION IDENTIFIED</v>
      </c>
      <c r="AI25" s="12" t="s">
        <v>156</v>
      </c>
      <c r="AJ25" s="12" t="s">
        <v>259</v>
      </c>
    </row>
    <row r="26" customFormat="false" ht="20.85" hidden="false" customHeight="false" outlineLevel="0" collapsed="false">
      <c r="A26" s="13" t="s">
        <v>260</v>
      </c>
      <c r="B26" s="14" t="n">
        <v>45036</v>
      </c>
      <c r="C26" s="13" t="s">
        <v>261</v>
      </c>
      <c r="D26" s="13" t="s">
        <v>262</v>
      </c>
      <c r="E26" s="13" t="n">
        <v>1941</v>
      </c>
      <c r="F26" s="14" t="n">
        <v>45685</v>
      </c>
      <c r="G26" s="13" t="n">
        <f aca="false">B26-F26</f>
        <v>-649</v>
      </c>
      <c r="H26" s="13" t="s">
        <v>263</v>
      </c>
      <c r="I26" s="13" t="s">
        <v>264</v>
      </c>
      <c r="J26" s="13" t="s">
        <v>204</v>
      </c>
      <c r="K26" s="13" t="s">
        <v>146</v>
      </c>
      <c r="L26" s="15" t="n">
        <v>32</v>
      </c>
      <c r="M26" s="13" t="s">
        <v>115</v>
      </c>
      <c r="N26" s="13" t="s">
        <v>116</v>
      </c>
      <c r="O26" s="13" t="s">
        <v>117</v>
      </c>
      <c r="P26" s="13" t="s">
        <v>118</v>
      </c>
      <c r="Q26" s="13" t="s">
        <v>119</v>
      </c>
      <c r="R26" s="13" t="s">
        <v>120</v>
      </c>
      <c r="S26" s="13"/>
      <c r="T26" s="14"/>
      <c r="U26" s="13"/>
      <c r="V26" s="13"/>
      <c r="W26" s="14"/>
      <c r="X26" s="13"/>
      <c r="Y26" s="13"/>
      <c r="Z26" s="15"/>
      <c r="AA26" s="15" t="n">
        <v>51</v>
      </c>
      <c r="AB26" s="13" t="str">
        <f aca="false">IF(B26&lt;F26,"Y","")</f>
        <v>Y</v>
      </c>
      <c r="AC26" s="13" t="str">
        <f aca="false">IF(O26&lt;&gt;"Y","Y","")</f>
        <v/>
      </c>
      <c r="AD26" s="13" t="str">
        <f aca="false">IF(AND(M26="declined-prior-offer",S26=""),"Y","")</f>
        <v/>
      </c>
      <c r="AE26" s="13" t="str">
        <f aca="false">IF(OR(R26&lt;&gt;"MATCH",ISNUMBER(SEARCH("conflict",Q26))),"Y","")</f>
        <v/>
      </c>
      <c r="AF26" s="13" t="str">
        <f aca="false">IF(AND(ISNUMBER(Z26),ABS(Z26-AA26)&gt;0.001),"Y","")</f>
        <v/>
      </c>
      <c r="AG26" s="13" t="str">
        <f aca="false">IF(AND(W26&lt;&gt;"",Y26&lt;&gt;"ACCEPTED"),"Y","")</f>
        <v/>
      </c>
      <c r="AH26" s="13" t="str">
        <f aca="false">IF(COUNTIF(AB26:AG26,"Y")&gt;0,"EXCEPTION","NO EXCEPTION IDENTIFIED")</f>
        <v>EXCEPTION</v>
      </c>
      <c r="AI26" s="16" t="s">
        <v>121</v>
      </c>
      <c r="AJ26" s="16" t="s">
        <v>265</v>
      </c>
    </row>
    <row r="27" customFormat="false" ht="20.85" hidden="false" customHeight="false" outlineLevel="0" collapsed="false">
      <c r="A27" s="9" t="s">
        <v>266</v>
      </c>
      <c r="B27" s="10" t="n">
        <v>45044</v>
      </c>
      <c r="C27" s="9" t="s">
        <v>267</v>
      </c>
      <c r="D27" s="9" t="s">
        <v>268</v>
      </c>
      <c r="E27" s="9" t="n">
        <v>274</v>
      </c>
      <c r="F27" s="10" t="n">
        <v>44863</v>
      </c>
      <c r="G27" s="9" t="n">
        <f aca="false">B27-F27</f>
        <v>181</v>
      </c>
      <c r="H27" s="9" t="s">
        <v>269</v>
      </c>
      <c r="I27" s="9" t="s">
        <v>270</v>
      </c>
      <c r="J27" s="9" t="s">
        <v>155</v>
      </c>
      <c r="K27" s="9" t="s">
        <v>146</v>
      </c>
      <c r="L27" s="11" t="n">
        <v>50</v>
      </c>
      <c r="M27" s="9" t="s">
        <v>115</v>
      </c>
      <c r="N27" s="9" t="s">
        <v>116</v>
      </c>
      <c r="O27" s="9" t="s">
        <v>117</v>
      </c>
      <c r="P27" s="9" t="s">
        <v>138</v>
      </c>
      <c r="Q27" s="9" t="s">
        <v>119</v>
      </c>
      <c r="R27" s="9" t="s">
        <v>120</v>
      </c>
      <c r="S27" s="9"/>
      <c r="T27" s="10"/>
      <c r="U27" s="9"/>
      <c r="V27" s="9"/>
      <c r="W27" s="10"/>
      <c r="X27" s="9"/>
      <c r="Y27" s="9"/>
      <c r="Z27" s="11"/>
      <c r="AA27" s="11" t="n">
        <v>52.9</v>
      </c>
      <c r="AB27" s="9" t="str">
        <f aca="false">IF(B27&lt;F27,"Y","")</f>
        <v/>
      </c>
      <c r="AC27" s="9" t="str">
        <f aca="false">IF(O27&lt;&gt;"Y","Y","")</f>
        <v/>
      </c>
      <c r="AD27" s="9" t="str">
        <f aca="false">IF(AND(M27="declined-prior-offer",S27=""),"Y","")</f>
        <v/>
      </c>
      <c r="AE27" s="9" t="str">
        <f aca="false">IF(OR(R27&lt;&gt;"MATCH",ISNUMBER(SEARCH("conflict",Q27))),"Y","")</f>
        <v/>
      </c>
      <c r="AF27" s="9" t="str">
        <f aca="false">IF(AND(ISNUMBER(Z27),ABS(Z27-AA27)&gt;0.001),"Y","")</f>
        <v/>
      </c>
      <c r="AG27" s="9" t="str">
        <f aca="false">IF(AND(W27&lt;&gt;"",Y27&lt;&gt;"ACCEPTED"),"Y","")</f>
        <v/>
      </c>
      <c r="AH27" s="9" t="str">
        <f aca="false">IF(COUNTIF(AB27:AG27,"Y")&gt;0,"EXCEPTION","NO EXCEPTION IDENTIFIED")</f>
        <v>NO EXCEPTION IDENTIFIED</v>
      </c>
      <c r="AI27" s="12" t="s">
        <v>156</v>
      </c>
      <c r="AJ27" s="12" t="s">
        <v>271</v>
      </c>
    </row>
    <row r="28" customFormat="false" ht="20.85" hidden="false" customHeight="false" outlineLevel="0" collapsed="false">
      <c r="A28" s="13" t="s">
        <v>272</v>
      </c>
      <c r="B28" s="14" t="n">
        <v>45048</v>
      </c>
      <c r="C28" s="13" t="s">
        <v>273</v>
      </c>
      <c r="D28" s="13" t="s">
        <v>274</v>
      </c>
      <c r="E28" s="13" t="n">
        <v>469</v>
      </c>
      <c r="F28" s="14" t="n">
        <v>44977</v>
      </c>
      <c r="G28" s="13" t="n">
        <f aca="false">B28-F28</f>
        <v>71</v>
      </c>
      <c r="H28" s="13" t="s">
        <v>275</v>
      </c>
      <c r="I28" s="13" t="s">
        <v>276</v>
      </c>
      <c r="J28" s="13" t="s">
        <v>113</v>
      </c>
      <c r="K28" s="13" t="s">
        <v>114</v>
      </c>
      <c r="L28" s="15" t="n">
        <v>32</v>
      </c>
      <c r="M28" s="13" t="s">
        <v>115</v>
      </c>
      <c r="N28" s="13" t="s">
        <v>116</v>
      </c>
      <c r="O28" s="13" t="s">
        <v>117</v>
      </c>
      <c r="P28" s="13" t="s">
        <v>118</v>
      </c>
      <c r="Q28" s="13" t="s">
        <v>119</v>
      </c>
      <c r="R28" s="13" t="s">
        <v>120</v>
      </c>
      <c r="S28" s="13"/>
      <c r="T28" s="14"/>
      <c r="U28" s="13"/>
      <c r="V28" s="13"/>
      <c r="W28" s="14"/>
      <c r="X28" s="13"/>
      <c r="Y28" s="13"/>
      <c r="Z28" s="15"/>
      <c r="AA28" s="15" t="n">
        <v>21.4</v>
      </c>
      <c r="AB28" s="13" t="str">
        <f aca="false">IF(B28&lt;F28,"Y","")</f>
        <v/>
      </c>
      <c r="AC28" s="13" t="str">
        <f aca="false">IF(O28&lt;&gt;"Y","Y","")</f>
        <v/>
      </c>
      <c r="AD28" s="13" t="str">
        <f aca="false">IF(AND(M28="declined-prior-offer",S28=""),"Y","")</f>
        <v/>
      </c>
      <c r="AE28" s="13" t="str">
        <f aca="false">IF(OR(R28&lt;&gt;"MATCH",ISNUMBER(SEARCH("conflict",Q28))),"Y","")</f>
        <v/>
      </c>
      <c r="AF28" s="13" t="str">
        <f aca="false">IF(AND(ISNUMBER(Z28),ABS(Z28-AA28)&gt;0.001),"Y","")</f>
        <v/>
      </c>
      <c r="AG28" s="13" t="str">
        <f aca="false">IF(AND(W28&lt;&gt;"",Y28&lt;&gt;"ACCEPTED"),"Y","")</f>
        <v/>
      </c>
      <c r="AH28" s="13" t="str">
        <f aca="false">IF(COUNTIF(AB28:AG28,"Y")&gt;0,"EXCEPTION","NO EXCEPTION IDENTIFIED")</f>
        <v>NO EXCEPTION IDENTIFIED</v>
      </c>
      <c r="AI28" s="16" t="s">
        <v>156</v>
      </c>
      <c r="AJ28" s="16" t="s">
        <v>277</v>
      </c>
    </row>
    <row r="29" customFormat="false" ht="20.85" hidden="false" customHeight="false" outlineLevel="0" collapsed="false">
      <c r="A29" s="9" t="s">
        <v>278</v>
      </c>
      <c r="B29" s="10" t="n">
        <v>45048</v>
      </c>
      <c r="C29" s="9" t="s">
        <v>279</v>
      </c>
      <c r="D29" s="9" t="s">
        <v>280</v>
      </c>
      <c r="E29" s="9" t="n">
        <v>2178</v>
      </c>
      <c r="F29" s="10" t="n">
        <v>45790</v>
      </c>
      <c r="G29" s="9" t="n">
        <f aca="false">B29-F29</f>
        <v>-742</v>
      </c>
      <c r="H29" s="9" t="s">
        <v>281</v>
      </c>
      <c r="I29" s="9" t="s">
        <v>282</v>
      </c>
      <c r="J29" s="9" t="s">
        <v>135</v>
      </c>
      <c r="K29" s="9" t="s">
        <v>114</v>
      </c>
      <c r="L29" s="11" t="n">
        <v>32</v>
      </c>
      <c r="M29" s="9" t="s">
        <v>115</v>
      </c>
      <c r="N29" s="9" t="s">
        <v>116</v>
      </c>
      <c r="O29" s="9" t="s">
        <v>117</v>
      </c>
      <c r="P29" s="9" t="s">
        <v>178</v>
      </c>
      <c r="Q29" s="9" t="s">
        <v>119</v>
      </c>
      <c r="R29" s="9" t="s">
        <v>120</v>
      </c>
      <c r="S29" s="9"/>
      <c r="T29" s="10"/>
      <c r="U29" s="9"/>
      <c r="V29" s="9"/>
      <c r="W29" s="10"/>
      <c r="X29" s="9"/>
      <c r="Y29" s="9"/>
      <c r="Z29" s="11"/>
      <c r="AA29" s="11" t="n">
        <v>34.2</v>
      </c>
      <c r="AB29" s="9" t="str">
        <f aca="false">IF(B29&lt;F29,"Y","")</f>
        <v>Y</v>
      </c>
      <c r="AC29" s="9" t="str">
        <f aca="false">IF(O29&lt;&gt;"Y","Y","")</f>
        <v/>
      </c>
      <c r="AD29" s="9" t="str">
        <f aca="false">IF(AND(M29="declined-prior-offer",S29=""),"Y","")</f>
        <v/>
      </c>
      <c r="AE29" s="9" t="str">
        <f aca="false">IF(OR(R29&lt;&gt;"MATCH",ISNUMBER(SEARCH("conflict",Q29))),"Y","")</f>
        <v/>
      </c>
      <c r="AF29" s="9" t="str">
        <f aca="false">IF(AND(ISNUMBER(Z29),ABS(Z29-AA29)&gt;0.001),"Y","")</f>
        <v/>
      </c>
      <c r="AG29" s="9" t="str">
        <f aca="false">IF(AND(W29&lt;&gt;"",Y29&lt;&gt;"ACCEPTED"),"Y","")</f>
        <v/>
      </c>
      <c r="AH29" s="9" t="str">
        <f aca="false">IF(COUNTIF(AB29:AG29,"Y")&gt;0,"EXCEPTION","NO EXCEPTION IDENTIFIED")</f>
        <v>EXCEPTION</v>
      </c>
      <c r="AI29" s="12" t="s">
        <v>121</v>
      </c>
      <c r="AJ29" s="12" t="s">
        <v>283</v>
      </c>
    </row>
    <row r="30" customFormat="false" ht="20.85" hidden="false" customHeight="false" outlineLevel="0" collapsed="false">
      <c r="A30" s="13" t="s">
        <v>284</v>
      </c>
      <c r="B30" s="14" t="n">
        <v>45048</v>
      </c>
      <c r="C30" s="13" t="s">
        <v>285</v>
      </c>
      <c r="D30" s="13" t="s">
        <v>286</v>
      </c>
      <c r="E30" s="13" t="n">
        <v>1618</v>
      </c>
      <c r="F30" s="14" t="n">
        <v>45552</v>
      </c>
      <c r="G30" s="13" t="n">
        <f aca="false">B30-F30</f>
        <v>-504</v>
      </c>
      <c r="H30" s="13" t="s">
        <v>287</v>
      </c>
      <c r="I30" s="13" t="s">
        <v>288</v>
      </c>
      <c r="J30" s="13" t="s">
        <v>155</v>
      </c>
      <c r="K30" s="13" t="s">
        <v>146</v>
      </c>
      <c r="L30" s="15" t="n">
        <v>32</v>
      </c>
      <c r="M30" s="13" t="s">
        <v>115</v>
      </c>
      <c r="N30" s="13" t="s">
        <v>116</v>
      </c>
      <c r="O30" s="13" t="s">
        <v>147</v>
      </c>
      <c r="P30" s="13"/>
      <c r="Q30" s="13" t="s">
        <v>289</v>
      </c>
      <c r="R30" s="13" t="s">
        <v>290</v>
      </c>
      <c r="S30" s="13"/>
      <c r="T30" s="14"/>
      <c r="U30" s="13"/>
      <c r="V30" s="13"/>
      <c r="W30" s="14"/>
      <c r="X30" s="13"/>
      <c r="Y30" s="13"/>
      <c r="Z30" s="15"/>
      <c r="AA30" s="15" t="n">
        <v>27.8</v>
      </c>
      <c r="AB30" s="13" t="str">
        <f aca="false">IF(B30&lt;F30,"Y","")</f>
        <v>Y</v>
      </c>
      <c r="AC30" s="13" t="str">
        <f aca="false">IF(O30&lt;&gt;"Y","Y","")</f>
        <v>Y</v>
      </c>
      <c r="AD30" s="13" t="str">
        <f aca="false">IF(AND(M30="declined-prior-offer",S30=""),"Y","")</f>
        <v/>
      </c>
      <c r="AE30" s="13" t="str">
        <f aca="false">IF(OR(R30&lt;&gt;"MATCH",ISNUMBER(SEARCH("conflict",Q30))),"Y","")</f>
        <v>Y</v>
      </c>
      <c r="AF30" s="13" t="str">
        <f aca="false">IF(AND(ISNUMBER(Z30),ABS(Z30-AA30)&gt;0.001),"Y","")</f>
        <v/>
      </c>
      <c r="AG30" s="13" t="str">
        <f aca="false">IF(AND(W30&lt;&gt;"",Y30&lt;&gt;"ACCEPTED"),"Y","")</f>
        <v/>
      </c>
      <c r="AH30" s="13" t="str">
        <f aca="false">IF(COUNTIF(AB30:AG30,"Y")&gt;0,"EXCEPTION","NO EXCEPTION IDENTIFIED")</f>
        <v>EXCEPTION</v>
      </c>
      <c r="AI30" s="16" t="s">
        <v>291</v>
      </c>
      <c r="AJ30" s="16" t="s">
        <v>292</v>
      </c>
    </row>
    <row r="31" customFormat="false" ht="20.85" hidden="false" customHeight="false" outlineLevel="0" collapsed="false">
      <c r="A31" s="9" t="s">
        <v>293</v>
      </c>
      <c r="B31" s="10" t="n">
        <v>45050</v>
      </c>
      <c r="C31" s="9" t="s">
        <v>294</v>
      </c>
      <c r="D31" s="9" t="s">
        <v>295</v>
      </c>
      <c r="E31" s="9" t="n">
        <v>2537</v>
      </c>
      <c r="F31" s="10" t="n">
        <v>45969</v>
      </c>
      <c r="G31" s="9" t="n">
        <f aca="false">B31-F31</f>
        <v>-919</v>
      </c>
      <c r="H31" s="9" t="s">
        <v>296</v>
      </c>
      <c r="I31" s="9" t="s">
        <v>297</v>
      </c>
      <c r="J31" s="9" t="s">
        <v>155</v>
      </c>
      <c r="K31" s="9" t="s">
        <v>146</v>
      </c>
      <c r="L31" s="11" t="n">
        <v>32</v>
      </c>
      <c r="M31" s="9" t="s">
        <v>136</v>
      </c>
      <c r="N31" s="9" t="s">
        <v>137</v>
      </c>
      <c r="O31" s="9" t="s">
        <v>117</v>
      </c>
      <c r="P31" s="9" t="s">
        <v>118</v>
      </c>
      <c r="Q31" s="9" t="s">
        <v>119</v>
      </c>
      <c r="R31" s="9" t="s">
        <v>120</v>
      </c>
      <c r="S31" s="9"/>
      <c r="T31" s="10"/>
      <c r="U31" s="9"/>
      <c r="V31" s="9"/>
      <c r="W31" s="10"/>
      <c r="X31" s="9"/>
      <c r="Y31" s="9"/>
      <c r="Z31" s="11"/>
      <c r="AA31" s="11" t="n">
        <v>42.9</v>
      </c>
      <c r="AB31" s="9" t="str">
        <f aca="false">IF(B31&lt;F31,"Y","")</f>
        <v>Y</v>
      </c>
      <c r="AC31" s="9" t="str">
        <f aca="false">IF(O31&lt;&gt;"Y","Y","")</f>
        <v/>
      </c>
      <c r="AD31" s="9" t="str">
        <f aca="false">IF(AND(M31="declined-prior-offer",S31=""),"Y","")</f>
        <v/>
      </c>
      <c r="AE31" s="9" t="str">
        <f aca="false">IF(OR(R31&lt;&gt;"MATCH",ISNUMBER(SEARCH("conflict",Q31))),"Y","")</f>
        <v/>
      </c>
      <c r="AF31" s="9" t="str">
        <f aca="false">IF(AND(ISNUMBER(Z31),ABS(Z31-AA31)&gt;0.001),"Y","")</f>
        <v/>
      </c>
      <c r="AG31" s="9" t="str">
        <f aca="false">IF(AND(W31&lt;&gt;"",Y31&lt;&gt;"ACCEPTED"),"Y","")</f>
        <v/>
      </c>
      <c r="AH31" s="9" t="str">
        <f aca="false">IF(COUNTIF(AB31:AG31,"Y")&gt;0,"EXCEPTION","NO EXCEPTION IDENTIFIED")</f>
        <v>EXCEPTION</v>
      </c>
      <c r="AI31" s="12" t="s">
        <v>121</v>
      </c>
      <c r="AJ31" s="12" t="s">
        <v>298</v>
      </c>
    </row>
    <row r="32" customFormat="false" ht="20.85" hidden="false" customHeight="false" outlineLevel="0" collapsed="false">
      <c r="A32" s="13" t="s">
        <v>299</v>
      </c>
      <c r="B32" s="14" t="n">
        <v>45051</v>
      </c>
      <c r="C32" s="13" t="s">
        <v>300</v>
      </c>
      <c r="D32" s="13" t="s">
        <v>301</v>
      </c>
      <c r="E32" s="13" t="n">
        <v>2151</v>
      </c>
      <c r="F32" s="14" t="n">
        <v>45780</v>
      </c>
      <c r="G32" s="13" t="n">
        <f aca="false">B32-F32</f>
        <v>-729</v>
      </c>
      <c r="H32" s="13" t="s">
        <v>302</v>
      </c>
      <c r="I32" s="13" t="s">
        <v>303</v>
      </c>
      <c r="J32" s="13" t="s">
        <v>135</v>
      </c>
      <c r="K32" s="13" t="s">
        <v>114</v>
      </c>
      <c r="L32" s="15" t="n">
        <v>28</v>
      </c>
      <c r="M32" s="13" t="s">
        <v>169</v>
      </c>
      <c r="N32" s="13" t="s">
        <v>170</v>
      </c>
      <c r="O32" s="13" t="s">
        <v>117</v>
      </c>
      <c r="P32" s="13" t="s">
        <v>178</v>
      </c>
      <c r="Q32" s="13" t="s">
        <v>119</v>
      </c>
      <c r="R32" s="13" t="s">
        <v>120</v>
      </c>
      <c r="S32" s="13"/>
      <c r="T32" s="14"/>
      <c r="U32" s="13"/>
      <c r="V32" s="13"/>
      <c r="W32" s="14"/>
      <c r="X32" s="13"/>
      <c r="Y32" s="13"/>
      <c r="Z32" s="15"/>
      <c r="AA32" s="15" t="n">
        <v>59.5</v>
      </c>
      <c r="AB32" s="13" t="str">
        <f aca="false">IF(B32&lt;F32,"Y","")</f>
        <v>Y</v>
      </c>
      <c r="AC32" s="13" t="str">
        <f aca="false">IF(O32&lt;&gt;"Y","Y","")</f>
        <v/>
      </c>
      <c r="AD32" s="13" t="str">
        <f aca="false">IF(AND(M32="declined-prior-offer",S32=""),"Y","")</f>
        <v>Y</v>
      </c>
      <c r="AE32" s="13" t="str">
        <f aca="false">IF(OR(R32&lt;&gt;"MATCH",ISNUMBER(SEARCH("conflict",Q32))),"Y","")</f>
        <v/>
      </c>
      <c r="AF32" s="13" t="str">
        <f aca="false">IF(AND(ISNUMBER(Z32),ABS(Z32-AA32)&gt;0.001),"Y","")</f>
        <v/>
      </c>
      <c r="AG32" s="13" t="str">
        <f aca="false">IF(AND(W32&lt;&gt;"",Y32&lt;&gt;"ACCEPTED"),"Y","")</f>
        <v/>
      </c>
      <c r="AH32" s="13" t="str">
        <f aca="false">IF(COUNTIF(AB32:AG32,"Y")&gt;0,"EXCEPTION","NO EXCEPTION IDENTIFIED")</f>
        <v>EXCEPTION</v>
      </c>
      <c r="AI32" s="16" t="s">
        <v>171</v>
      </c>
      <c r="AJ32" s="16" t="s">
        <v>304</v>
      </c>
    </row>
    <row r="33" customFormat="false" ht="20.85" hidden="false" customHeight="false" outlineLevel="0" collapsed="false">
      <c r="A33" s="9" t="s">
        <v>305</v>
      </c>
      <c r="B33" s="10" t="n">
        <v>45056</v>
      </c>
      <c r="C33" s="9" t="s">
        <v>306</v>
      </c>
      <c r="D33" s="9" t="s">
        <v>307</v>
      </c>
      <c r="E33" s="9" t="n">
        <v>1134</v>
      </c>
      <c r="F33" s="10" t="n">
        <v>45330</v>
      </c>
      <c r="G33" s="9" t="n">
        <f aca="false">B33-F33</f>
        <v>-274</v>
      </c>
      <c r="H33" s="9" t="s">
        <v>308</v>
      </c>
      <c r="I33" s="9" t="s">
        <v>309</v>
      </c>
      <c r="J33" s="9" t="s">
        <v>145</v>
      </c>
      <c r="K33" s="9" t="s">
        <v>146</v>
      </c>
      <c r="L33" s="11" t="n">
        <v>60</v>
      </c>
      <c r="M33" s="9" t="s">
        <v>136</v>
      </c>
      <c r="N33" s="9" t="s">
        <v>137</v>
      </c>
      <c r="O33" s="9" t="s">
        <v>117</v>
      </c>
      <c r="P33" s="9" t="s">
        <v>128</v>
      </c>
      <c r="Q33" s="9" t="s">
        <v>119</v>
      </c>
      <c r="R33" s="9" t="s">
        <v>120</v>
      </c>
      <c r="S33" s="9"/>
      <c r="T33" s="10"/>
      <c r="U33" s="9"/>
      <c r="V33" s="9"/>
      <c r="W33" s="10"/>
      <c r="X33" s="9"/>
      <c r="Y33" s="9"/>
      <c r="Z33" s="11"/>
      <c r="AA33" s="11" t="n">
        <v>24.1</v>
      </c>
      <c r="AB33" s="9" t="str">
        <f aca="false">IF(B33&lt;F33,"Y","")</f>
        <v>Y</v>
      </c>
      <c r="AC33" s="9" t="str">
        <f aca="false">IF(O33&lt;&gt;"Y","Y","")</f>
        <v/>
      </c>
      <c r="AD33" s="9" t="str">
        <f aca="false">IF(AND(M33="declined-prior-offer",S33=""),"Y","")</f>
        <v/>
      </c>
      <c r="AE33" s="9" t="str">
        <f aca="false">IF(OR(R33&lt;&gt;"MATCH",ISNUMBER(SEARCH("conflict",Q33))),"Y","")</f>
        <v/>
      </c>
      <c r="AF33" s="9" t="str">
        <f aca="false">IF(AND(ISNUMBER(Z33),ABS(Z33-AA33)&gt;0.001),"Y","")</f>
        <v/>
      </c>
      <c r="AG33" s="9" t="str">
        <f aca="false">IF(AND(W33&lt;&gt;"",Y33&lt;&gt;"ACCEPTED"),"Y","")</f>
        <v/>
      </c>
      <c r="AH33" s="9" t="str">
        <f aca="false">IF(COUNTIF(AB33:AG33,"Y")&gt;0,"EXCEPTION","NO EXCEPTION IDENTIFIED")</f>
        <v>EXCEPTION</v>
      </c>
      <c r="AI33" s="12" t="s">
        <v>121</v>
      </c>
      <c r="AJ33" s="12" t="s">
        <v>310</v>
      </c>
    </row>
    <row r="34" customFormat="false" ht="20.85" hidden="false" customHeight="false" outlineLevel="0" collapsed="false">
      <c r="A34" s="13" t="s">
        <v>311</v>
      </c>
      <c r="B34" s="14" t="n">
        <v>45058</v>
      </c>
      <c r="C34" s="13" t="s">
        <v>312</v>
      </c>
      <c r="D34" s="13" t="s">
        <v>313</v>
      </c>
      <c r="E34" s="13" t="n">
        <v>2181</v>
      </c>
      <c r="F34" s="14" t="n">
        <v>45792</v>
      </c>
      <c r="G34" s="13" t="n">
        <f aca="false">B34-F34</f>
        <v>-734</v>
      </c>
      <c r="H34" s="13" t="s">
        <v>314</v>
      </c>
      <c r="I34" s="13" t="s">
        <v>315</v>
      </c>
      <c r="J34" s="13" t="s">
        <v>204</v>
      </c>
      <c r="K34" s="13" t="s">
        <v>146</v>
      </c>
      <c r="L34" s="15" t="n">
        <v>80</v>
      </c>
      <c r="M34" s="13" t="s">
        <v>115</v>
      </c>
      <c r="N34" s="13" t="s">
        <v>116</v>
      </c>
      <c r="O34" s="13" t="s">
        <v>117</v>
      </c>
      <c r="P34" s="13" t="s">
        <v>118</v>
      </c>
      <c r="Q34" s="13" t="s">
        <v>119</v>
      </c>
      <c r="R34" s="13" t="s">
        <v>120</v>
      </c>
      <c r="S34" s="13"/>
      <c r="T34" s="14"/>
      <c r="U34" s="13"/>
      <c r="V34" s="13"/>
      <c r="W34" s="14"/>
      <c r="X34" s="13"/>
      <c r="Y34" s="13"/>
      <c r="Z34" s="15"/>
      <c r="AA34" s="15" t="n">
        <v>36.5</v>
      </c>
      <c r="AB34" s="13" t="str">
        <f aca="false">IF(B34&lt;F34,"Y","")</f>
        <v>Y</v>
      </c>
      <c r="AC34" s="13" t="str">
        <f aca="false">IF(O34&lt;&gt;"Y","Y","")</f>
        <v/>
      </c>
      <c r="AD34" s="13" t="str">
        <f aca="false">IF(AND(M34="declined-prior-offer",S34=""),"Y","")</f>
        <v/>
      </c>
      <c r="AE34" s="13" t="str">
        <f aca="false">IF(OR(R34&lt;&gt;"MATCH",ISNUMBER(SEARCH("conflict",Q34))),"Y","")</f>
        <v/>
      </c>
      <c r="AF34" s="13" t="str">
        <f aca="false">IF(AND(ISNUMBER(Z34),ABS(Z34-AA34)&gt;0.001),"Y","")</f>
        <v/>
      </c>
      <c r="AG34" s="13" t="str">
        <f aca="false">IF(AND(W34&lt;&gt;"",Y34&lt;&gt;"ACCEPTED"),"Y","")</f>
        <v/>
      </c>
      <c r="AH34" s="13" t="str">
        <f aca="false">IF(COUNTIF(AB34:AG34,"Y")&gt;0,"EXCEPTION","NO EXCEPTION IDENTIFIED")</f>
        <v>EXCEPTION</v>
      </c>
      <c r="AI34" s="16" t="s">
        <v>121</v>
      </c>
      <c r="AJ34" s="16" t="s">
        <v>316</v>
      </c>
    </row>
    <row r="35" customFormat="false" ht="20.85" hidden="false" customHeight="false" outlineLevel="0" collapsed="false">
      <c r="A35" s="9" t="s">
        <v>317</v>
      </c>
      <c r="B35" s="10" t="n">
        <v>45059</v>
      </c>
      <c r="C35" s="9" t="s">
        <v>318</v>
      </c>
      <c r="D35" s="9" t="s">
        <v>319</v>
      </c>
      <c r="E35" s="9" t="n">
        <v>1485</v>
      </c>
      <c r="F35" s="10" t="n">
        <v>45489</v>
      </c>
      <c r="G35" s="9" t="n">
        <f aca="false">B35-F35</f>
        <v>-430</v>
      </c>
      <c r="H35" s="9" t="s">
        <v>320</v>
      </c>
      <c r="I35" s="9" t="s">
        <v>321</v>
      </c>
      <c r="J35" s="9" t="s">
        <v>135</v>
      </c>
      <c r="K35" s="9" t="s">
        <v>114</v>
      </c>
      <c r="L35" s="11" t="n">
        <v>32</v>
      </c>
      <c r="M35" s="9" t="s">
        <v>136</v>
      </c>
      <c r="N35" s="9" t="s">
        <v>137</v>
      </c>
      <c r="O35" s="9" t="s">
        <v>117</v>
      </c>
      <c r="P35" s="9" t="s">
        <v>128</v>
      </c>
      <c r="Q35" s="9" t="s">
        <v>119</v>
      </c>
      <c r="R35" s="9" t="s">
        <v>120</v>
      </c>
      <c r="S35" s="9"/>
      <c r="T35" s="10"/>
      <c r="U35" s="9"/>
      <c r="V35" s="9"/>
      <c r="W35" s="10"/>
      <c r="X35" s="9"/>
      <c r="Y35" s="9"/>
      <c r="Z35" s="11"/>
      <c r="AA35" s="11" t="n">
        <v>30.6</v>
      </c>
      <c r="AB35" s="9" t="str">
        <f aca="false">IF(B35&lt;F35,"Y","")</f>
        <v>Y</v>
      </c>
      <c r="AC35" s="9" t="str">
        <f aca="false">IF(O35&lt;&gt;"Y","Y","")</f>
        <v/>
      </c>
      <c r="AD35" s="9" t="str">
        <f aca="false">IF(AND(M35="declined-prior-offer",S35=""),"Y","")</f>
        <v/>
      </c>
      <c r="AE35" s="9" t="str">
        <f aca="false">IF(OR(R35&lt;&gt;"MATCH",ISNUMBER(SEARCH("conflict",Q35))),"Y","")</f>
        <v/>
      </c>
      <c r="AF35" s="9" t="str">
        <f aca="false">IF(AND(ISNUMBER(Z35),ABS(Z35-AA35)&gt;0.001),"Y","")</f>
        <v/>
      </c>
      <c r="AG35" s="9" t="str">
        <f aca="false">IF(AND(W35&lt;&gt;"",Y35&lt;&gt;"ACCEPTED"),"Y","")</f>
        <v/>
      </c>
      <c r="AH35" s="9" t="str">
        <f aca="false">IF(COUNTIF(AB35:AG35,"Y")&gt;0,"EXCEPTION","NO EXCEPTION IDENTIFIED")</f>
        <v>EXCEPTION</v>
      </c>
      <c r="AI35" s="12" t="s">
        <v>121</v>
      </c>
      <c r="AJ35" s="12" t="s">
        <v>322</v>
      </c>
    </row>
    <row r="36" customFormat="false" ht="20.85" hidden="false" customHeight="false" outlineLevel="0" collapsed="false">
      <c r="A36" s="13" t="s">
        <v>323</v>
      </c>
      <c r="B36" s="14" t="n">
        <v>45065</v>
      </c>
      <c r="C36" s="13" t="s">
        <v>324</v>
      </c>
      <c r="D36" s="13" t="s">
        <v>325</v>
      </c>
      <c r="E36" s="13" t="n">
        <v>1100</v>
      </c>
      <c r="F36" s="14" t="n">
        <v>45312</v>
      </c>
      <c r="G36" s="13" t="n">
        <f aca="false">B36-F36</f>
        <v>-247</v>
      </c>
      <c r="H36" s="13" t="s">
        <v>326</v>
      </c>
      <c r="I36" s="13" t="s">
        <v>327</v>
      </c>
      <c r="J36" s="13" t="s">
        <v>135</v>
      </c>
      <c r="K36" s="13" t="s">
        <v>114</v>
      </c>
      <c r="L36" s="15" t="n">
        <v>36</v>
      </c>
      <c r="M36" s="13" t="s">
        <v>185</v>
      </c>
      <c r="N36" s="13" t="s">
        <v>186</v>
      </c>
      <c r="O36" s="13" t="s">
        <v>117</v>
      </c>
      <c r="P36" s="13" t="s">
        <v>128</v>
      </c>
      <c r="Q36" s="13" t="s">
        <v>119</v>
      </c>
      <c r="R36" s="13" t="s">
        <v>120</v>
      </c>
      <c r="S36" s="13"/>
      <c r="T36" s="14"/>
      <c r="U36" s="13"/>
      <c r="V36" s="13"/>
      <c r="W36" s="14"/>
      <c r="X36" s="13"/>
      <c r="Y36" s="13"/>
      <c r="Z36" s="15"/>
      <c r="AA36" s="15" t="n">
        <v>51.9</v>
      </c>
      <c r="AB36" s="13" t="str">
        <f aca="false">IF(B36&lt;F36,"Y","")</f>
        <v>Y</v>
      </c>
      <c r="AC36" s="13" t="str">
        <f aca="false">IF(O36&lt;&gt;"Y","Y","")</f>
        <v/>
      </c>
      <c r="AD36" s="13" t="str">
        <f aca="false">IF(AND(M36="declined-prior-offer",S36=""),"Y","")</f>
        <v/>
      </c>
      <c r="AE36" s="13" t="str">
        <f aca="false">IF(OR(R36&lt;&gt;"MATCH",ISNUMBER(SEARCH("conflict",Q36))),"Y","")</f>
        <v/>
      </c>
      <c r="AF36" s="13" t="str">
        <f aca="false">IF(AND(ISNUMBER(Z36),ABS(Z36-AA36)&gt;0.001),"Y","")</f>
        <v/>
      </c>
      <c r="AG36" s="13" t="str">
        <f aca="false">IF(AND(W36&lt;&gt;"",Y36&lt;&gt;"ACCEPTED"),"Y","")</f>
        <v/>
      </c>
      <c r="AH36" s="13" t="str">
        <f aca="false">IF(COUNTIF(AB36:AG36,"Y")&gt;0,"EXCEPTION","NO EXCEPTION IDENTIFIED")</f>
        <v>EXCEPTION</v>
      </c>
      <c r="AI36" s="16" t="s">
        <v>121</v>
      </c>
      <c r="AJ36" s="16" t="s">
        <v>328</v>
      </c>
    </row>
    <row r="37" customFormat="false" ht="20.85" hidden="false" customHeight="false" outlineLevel="0" collapsed="false">
      <c r="A37" s="9" t="s">
        <v>329</v>
      </c>
      <c r="B37" s="10" t="n">
        <v>45066</v>
      </c>
      <c r="C37" s="9" t="s">
        <v>330</v>
      </c>
      <c r="D37" s="9" t="s">
        <v>331</v>
      </c>
      <c r="E37" s="9" t="n">
        <v>2816</v>
      </c>
      <c r="F37" s="10" t="n">
        <v>46141</v>
      </c>
      <c r="G37" s="9" t="n">
        <f aca="false">B37-F37</f>
        <v>-1075</v>
      </c>
      <c r="H37" s="9" t="s">
        <v>332</v>
      </c>
      <c r="I37" s="9" t="s">
        <v>333</v>
      </c>
      <c r="J37" s="9" t="s">
        <v>135</v>
      </c>
      <c r="K37" s="9" t="s">
        <v>114</v>
      </c>
      <c r="L37" s="11" t="n">
        <v>28</v>
      </c>
      <c r="M37" s="9" t="s">
        <v>185</v>
      </c>
      <c r="N37" s="9" t="s">
        <v>186</v>
      </c>
      <c r="O37" s="9" t="s">
        <v>117</v>
      </c>
      <c r="P37" s="9" t="s">
        <v>118</v>
      </c>
      <c r="Q37" s="9" t="s">
        <v>119</v>
      </c>
      <c r="R37" s="9" t="s">
        <v>120</v>
      </c>
      <c r="S37" s="9"/>
      <c r="T37" s="10"/>
      <c r="U37" s="9"/>
      <c r="V37" s="9"/>
      <c r="W37" s="10"/>
      <c r="X37" s="9"/>
      <c r="Y37" s="9"/>
      <c r="Z37" s="11"/>
      <c r="AA37" s="11" t="n">
        <v>25.7</v>
      </c>
      <c r="AB37" s="9" t="str">
        <f aca="false">IF(B37&lt;F37,"Y","")</f>
        <v>Y</v>
      </c>
      <c r="AC37" s="9" t="str">
        <f aca="false">IF(O37&lt;&gt;"Y","Y","")</f>
        <v/>
      </c>
      <c r="AD37" s="9" t="str">
        <f aca="false">IF(AND(M37="declined-prior-offer",S37=""),"Y","")</f>
        <v/>
      </c>
      <c r="AE37" s="9" t="str">
        <f aca="false">IF(OR(R37&lt;&gt;"MATCH",ISNUMBER(SEARCH("conflict",Q37))),"Y","")</f>
        <v/>
      </c>
      <c r="AF37" s="9" t="str">
        <f aca="false">IF(AND(ISNUMBER(Z37),ABS(Z37-AA37)&gt;0.001),"Y","")</f>
        <v/>
      </c>
      <c r="AG37" s="9" t="str">
        <f aca="false">IF(AND(W37&lt;&gt;"",Y37&lt;&gt;"ACCEPTED"),"Y","")</f>
        <v/>
      </c>
      <c r="AH37" s="9" t="str">
        <f aca="false">IF(COUNTIF(AB37:AG37,"Y")&gt;0,"EXCEPTION","NO EXCEPTION IDENTIFIED")</f>
        <v>EXCEPTION</v>
      </c>
      <c r="AI37" s="12" t="s">
        <v>121</v>
      </c>
      <c r="AJ37" s="12" t="s">
        <v>334</v>
      </c>
    </row>
    <row r="38" customFormat="false" ht="20.85" hidden="false" customHeight="false" outlineLevel="0" collapsed="false">
      <c r="A38" s="13" t="s">
        <v>335</v>
      </c>
      <c r="B38" s="14" t="n">
        <v>45067</v>
      </c>
      <c r="C38" s="13" t="s">
        <v>336</v>
      </c>
      <c r="D38" s="13" t="s">
        <v>337</v>
      </c>
      <c r="E38" s="13" t="n">
        <v>2712</v>
      </c>
      <c r="F38" s="14" t="n">
        <v>46065</v>
      </c>
      <c r="G38" s="13" t="n">
        <f aca="false">B38-F38</f>
        <v>-998</v>
      </c>
      <c r="H38" s="13" t="s">
        <v>338</v>
      </c>
      <c r="I38" s="13" t="s">
        <v>339</v>
      </c>
      <c r="J38" s="13" t="s">
        <v>113</v>
      </c>
      <c r="K38" s="13" t="s">
        <v>114</v>
      </c>
      <c r="L38" s="15" t="n">
        <v>36</v>
      </c>
      <c r="M38" s="13" t="s">
        <v>169</v>
      </c>
      <c r="N38" s="13" t="s">
        <v>170</v>
      </c>
      <c r="O38" s="13" t="s">
        <v>117</v>
      </c>
      <c r="P38" s="13" t="s">
        <v>128</v>
      </c>
      <c r="Q38" s="13" t="s">
        <v>119</v>
      </c>
      <c r="R38" s="13" t="s">
        <v>120</v>
      </c>
      <c r="S38" s="13"/>
      <c r="T38" s="14"/>
      <c r="U38" s="13"/>
      <c r="V38" s="13"/>
      <c r="W38" s="14"/>
      <c r="X38" s="13"/>
      <c r="Y38" s="13"/>
      <c r="Z38" s="15"/>
      <c r="AA38" s="15" t="n">
        <v>38.8</v>
      </c>
      <c r="AB38" s="13" t="str">
        <f aca="false">IF(B38&lt;F38,"Y","")</f>
        <v>Y</v>
      </c>
      <c r="AC38" s="13" t="str">
        <f aca="false">IF(O38&lt;&gt;"Y","Y","")</f>
        <v/>
      </c>
      <c r="AD38" s="13" t="str">
        <f aca="false">IF(AND(M38="declined-prior-offer",S38=""),"Y","")</f>
        <v>Y</v>
      </c>
      <c r="AE38" s="13" t="str">
        <f aca="false">IF(OR(R38&lt;&gt;"MATCH",ISNUMBER(SEARCH("conflict",Q38))),"Y","")</f>
        <v/>
      </c>
      <c r="AF38" s="13" t="str">
        <f aca="false">IF(AND(ISNUMBER(Z38),ABS(Z38-AA38)&gt;0.001),"Y","")</f>
        <v/>
      </c>
      <c r="AG38" s="13" t="str">
        <f aca="false">IF(AND(W38&lt;&gt;"",Y38&lt;&gt;"ACCEPTED"),"Y","")</f>
        <v/>
      </c>
      <c r="AH38" s="13" t="str">
        <f aca="false">IF(COUNTIF(AB38:AG38,"Y")&gt;0,"EXCEPTION","NO EXCEPTION IDENTIFIED")</f>
        <v>EXCEPTION</v>
      </c>
      <c r="AI38" s="16" t="s">
        <v>171</v>
      </c>
      <c r="AJ38" s="16" t="s">
        <v>340</v>
      </c>
    </row>
    <row r="39" customFormat="false" ht="20.85" hidden="false" customHeight="false" outlineLevel="0" collapsed="false">
      <c r="A39" s="9" t="s">
        <v>341</v>
      </c>
      <c r="B39" s="10" t="n">
        <v>45067</v>
      </c>
      <c r="C39" s="9" t="s">
        <v>342</v>
      </c>
      <c r="D39" s="9" t="s">
        <v>343</v>
      </c>
      <c r="E39" s="9" t="n">
        <v>1777</v>
      </c>
      <c r="F39" s="10" t="n">
        <v>45618</v>
      </c>
      <c r="G39" s="9" t="n">
        <f aca="false">B39-F39</f>
        <v>-551</v>
      </c>
      <c r="H39" s="9" t="s">
        <v>344</v>
      </c>
      <c r="I39" s="9" t="s">
        <v>345</v>
      </c>
      <c r="J39" s="9" t="s">
        <v>113</v>
      </c>
      <c r="K39" s="9" t="s">
        <v>114</v>
      </c>
      <c r="L39" s="11" t="n">
        <v>28</v>
      </c>
      <c r="M39" s="9" t="s">
        <v>115</v>
      </c>
      <c r="N39" s="9" t="s">
        <v>116</v>
      </c>
      <c r="O39" s="9" t="s">
        <v>117</v>
      </c>
      <c r="P39" s="9" t="s">
        <v>118</v>
      </c>
      <c r="Q39" s="9" t="s">
        <v>119</v>
      </c>
      <c r="R39" s="9" t="s">
        <v>120</v>
      </c>
      <c r="S39" s="9"/>
      <c r="T39" s="10"/>
      <c r="U39" s="9"/>
      <c r="V39" s="9"/>
      <c r="W39" s="10"/>
      <c r="X39" s="9"/>
      <c r="Y39" s="9"/>
      <c r="Z39" s="11"/>
      <c r="AA39" s="11" t="n">
        <v>30.7</v>
      </c>
      <c r="AB39" s="9" t="str">
        <f aca="false">IF(B39&lt;F39,"Y","")</f>
        <v>Y</v>
      </c>
      <c r="AC39" s="9" t="str">
        <f aca="false">IF(O39&lt;&gt;"Y","Y","")</f>
        <v/>
      </c>
      <c r="AD39" s="9" t="str">
        <f aca="false">IF(AND(M39="declined-prior-offer",S39=""),"Y","")</f>
        <v/>
      </c>
      <c r="AE39" s="9" t="str">
        <f aca="false">IF(OR(R39&lt;&gt;"MATCH",ISNUMBER(SEARCH("conflict",Q39))),"Y","")</f>
        <v/>
      </c>
      <c r="AF39" s="9" t="str">
        <f aca="false">IF(AND(ISNUMBER(Z39),ABS(Z39-AA39)&gt;0.001),"Y","")</f>
        <v/>
      </c>
      <c r="AG39" s="9" t="str">
        <f aca="false">IF(AND(W39&lt;&gt;"",Y39&lt;&gt;"ACCEPTED"),"Y","")</f>
        <v/>
      </c>
      <c r="AH39" s="9" t="str">
        <f aca="false">IF(COUNTIF(AB39:AG39,"Y")&gt;0,"EXCEPTION","NO EXCEPTION IDENTIFIED")</f>
        <v>EXCEPTION</v>
      </c>
      <c r="AI39" s="12" t="s">
        <v>121</v>
      </c>
      <c r="AJ39" s="12" t="s">
        <v>346</v>
      </c>
    </row>
    <row r="40" customFormat="false" ht="20.85" hidden="false" customHeight="false" outlineLevel="0" collapsed="false">
      <c r="A40" s="13" t="s">
        <v>347</v>
      </c>
      <c r="B40" s="14" t="n">
        <v>45067</v>
      </c>
      <c r="C40" s="13" t="s">
        <v>348</v>
      </c>
      <c r="D40" s="13" t="s">
        <v>349</v>
      </c>
      <c r="E40" s="13" t="n">
        <v>420</v>
      </c>
      <c r="F40" s="14" t="n">
        <v>44951</v>
      </c>
      <c r="G40" s="13" t="n">
        <f aca="false">B40-F40</f>
        <v>116</v>
      </c>
      <c r="H40" s="13" t="s">
        <v>350</v>
      </c>
      <c r="I40" s="13" t="s">
        <v>351</v>
      </c>
      <c r="J40" s="13" t="s">
        <v>204</v>
      </c>
      <c r="K40" s="13" t="s">
        <v>146</v>
      </c>
      <c r="L40" s="15" t="n">
        <v>45</v>
      </c>
      <c r="M40" s="13" t="s">
        <v>115</v>
      </c>
      <c r="N40" s="13" t="s">
        <v>116</v>
      </c>
      <c r="O40" s="13" t="s">
        <v>117</v>
      </c>
      <c r="P40" s="13" t="s">
        <v>178</v>
      </c>
      <c r="Q40" s="13" t="s">
        <v>119</v>
      </c>
      <c r="R40" s="13" t="s">
        <v>120</v>
      </c>
      <c r="S40" s="13"/>
      <c r="T40" s="14"/>
      <c r="U40" s="13"/>
      <c r="V40" s="13"/>
      <c r="W40" s="14"/>
      <c r="X40" s="13"/>
      <c r="Y40" s="13"/>
      <c r="Z40" s="15"/>
      <c r="AA40" s="15" t="n">
        <v>26.2</v>
      </c>
      <c r="AB40" s="13" t="str">
        <f aca="false">IF(B40&lt;F40,"Y","")</f>
        <v/>
      </c>
      <c r="AC40" s="13" t="str">
        <f aca="false">IF(O40&lt;&gt;"Y","Y","")</f>
        <v/>
      </c>
      <c r="AD40" s="13" t="str">
        <f aca="false">IF(AND(M40="declined-prior-offer",S40=""),"Y","")</f>
        <v/>
      </c>
      <c r="AE40" s="13" t="str">
        <f aca="false">IF(OR(R40&lt;&gt;"MATCH",ISNUMBER(SEARCH("conflict",Q40))),"Y","")</f>
        <v/>
      </c>
      <c r="AF40" s="13" t="str">
        <f aca="false">IF(AND(ISNUMBER(Z40),ABS(Z40-AA40)&gt;0.001),"Y","")</f>
        <v/>
      </c>
      <c r="AG40" s="13" t="str">
        <f aca="false">IF(AND(W40&lt;&gt;"",Y40&lt;&gt;"ACCEPTED"),"Y","")</f>
        <v/>
      </c>
      <c r="AH40" s="13" t="str">
        <f aca="false">IF(COUNTIF(AB40:AG40,"Y")&gt;0,"EXCEPTION","NO EXCEPTION IDENTIFIED")</f>
        <v>NO EXCEPTION IDENTIFIED</v>
      </c>
      <c r="AI40" s="16" t="s">
        <v>156</v>
      </c>
      <c r="AJ40" s="16" t="s">
        <v>352</v>
      </c>
    </row>
    <row r="41" customFormat="false" ht="20.85" hidden="false" customHeight="false" outlineLevel="0" collapsed="false">
      <c r="A41" s="9" t="s">
        <v>353</v>
      </c>
      <c r="B41" s="10" t="n">
        <v>45084</v>
      </c>
      <c r="C41" s="9" t="s">
        <v>354</v>
      </c>
      <c r="D41" s="9" t="s">
        <v>355</v>
      </c>
      <c r="E41" s="9" t="n">
        <v>1535</v>
      </c>
      <c r="F41" s="10" t="n">
        <v>45514</v>
      </c>
      <c r="G41" s="9" t="n">
        <f aca="false">B41-F41</f>
        <v>-430</v>
      </c>
      <c r="H41" s="9" t="s">
        <v>356</v>
      </c>
      <c r="I41" s="9" t="s">
        <v>357</v>
      </c>
      <c r="J41" s="9" t="s">
        <v>135</v>
      </c>
      <c r="K41" s="9" t="s">
        <v>114</v>
      </c>
      <c r="L41" s="11" t="n">
        <v>32</v>
      </c>
      <c r="M41" s="9" t="s">
        <v>169</v>
      </c>
      <c r="N41" s="9" t="s">
        <v>170</v>
      </c>
      <c r="O41" s="9" t="s">
        <v>117</v>
      </c>
      <c r="P41" s="9" t="s">
        <v>128</v>
      </c>
      <c r="Q41" s="9" t="s">
        <v>119</v>
      </c>
      <c r="R41" s="9" t="s">
        <v>120</v>
      </c>
      <c r="S41" s="9" t="s">
        <v>358</v>
      </c>
      <c r="T41" s="10" t="n">
        <v>44853</v>
      </c>
      <c r="U41" s="9" t="s">
        <v>359</v>
      </c>
      <c r="V41" s="9" t="s">
        <v>360</v>
      </c>
      <c r="W41" s="10"/>
      <c r="X41" s="9"/>
      <c r="Y41" s="9"/>
      <c r="Z41" s="11"/>
      <c r="AA41" s="11" t="n">
        <v>19.4</v>
      </c>
      <c r="AB41" s="9" t="str">
        <f aca="false">IF(B41&lt;F41,"Y","")</f>
        <v>Y</v>
      </c>
      <c r="AC41" s="9" t="str">
        <f aca="false">IF(O41&lt;&gt;"Y","Y","")</f>
        <v/>
      </c>
      <c r="AD41" s="9" t="str">
        <f aca="false">IF(AND(M41="declined-prior-offer",S41=""),"Y","")</f>
        <v/>
      </c>
      <c r="AE41" s="9" t="str">
        <f aca="false">IF(OR(R41&lt;&gt;"MATCH",ISNUMBER(SEARCH("conflict",Q41))),"Y","")</f>
        <v/>
      </c>
      <c r="AF41" s="9" t="str">
        <f aca="false">IF(AND(ISNUMBER(Z41),ABS(Z41-AA41)&gt;0.001),"Y","")</f>
        <v/>
      </c>
      <c r="AG41" s="9" t="str">
        <f aca="false">IF(AND(W41&lt;&gt;"",Y41&lt;&gt;"ACCEPTED"),"Y","")</f>
        <v/>
      </c>
      <c r="AH41" s="9" t="str">
        <f aca="false">IF(COUNTIF(AB41:AG41,"Y")&gt;0,"EXCEPTION","NO EXCEPTION IDENTIFIED")</f>
        <v>EXCEPTION</v>
      </c>
      <c r="AI41" s="12" t="s">
        <v>121</v>
      </c>
      <c r="AJ41" s="12" t="s">
        <v>361</v>
      </c>
    </row>
    <row r="42" customFormat="false" ht="20.85" hidden="false" customHeight="false" outlineLevel="0" collapsed="false">
      <c r="A42" s="13" t="s">
        <v>362</v>
      </c>
      <c r="B42" s="14" t="n">
        <v>45085</v>
      </c>
      <c r="C42" s="13" t="s">
        <v>363</v>
      </c>
      <c r="D42" s="13" t="s">
        <v>364</v>
      </c>
      <c r="E42" s="13" t="n">
        <v>193</v>
      </c>
      <c r="F42" s="14" t="n">
        <v>44799</v>
      </c>
      <c r="G42" s="13" t="n">
        <f aca="false">B42-F42</f>
        <v>286</v>
      </c>
      <c r="H42" s="13" t="s">
        <v>365</v>
      </c>
      <c r="I42" s="13" t="s">
        <v>366</v>
      </c>
      <c r="J42" s="13" t="s">
        <v>135</v>
      </c>
      <c r="K42" s="13" t="s">
        <v>114</v>
      </c>
      <c r="L42" s="15" t="n">
        <v>28</v>
      </c>
      <c r="M42" s="13" t="s">
        <v>169</v>
      </c>
      <c r="N42" s="13" t="s">
        <v>170</v>
      </c>
      <c r="O42" s="13" t="s">
        <v>117</v>
      </c>
      <c r="P42" s="13" t="s">
        <v>178</v>
      </c>
      <c r="Q42" s="13" t="s">
        <v>119</v>
      </c>
      <c r="R42" s="13" t="s">
        <v>120</v>
      </c>
      <c r="S42" s="13"/>
      <c r="T42" s="14"/>
      <c r="U42" s="13"/>
      <c r="V42" s="13"/>
      <c r="W42" s="14"/>
      <c r="X42" s="13"/>
      <c r="Y42" s="13"/>
      <c r="Z42" s="15"/>
      <c r="AA42" s="15" t="n">
        <v>20.2</v>
      </c>
      <c r="AB42" s="13" t="str">
        <f aca="false">IF(B42&lt;F42,"Y","")</f>
        <v/>
      </c>
      <c r="AC42" s="13" t="str">
        <f aca="false">IF(O42&lt;&gt;"Y","Y","")</f>
        <v/>
      </c>
      <c r="AD42" s="13" t="str">
        <f aca="false">IF(AND(M42="declined-prior-offer",S42=""),"Y","")</f>
        <v>Y</v>
      </c>
      <c r="AE42" s="13" t="str">
        <f aca="false">IF(OR(R42&lt;&gt;"MATCH",ISNUMBER(SEARCH("conflict",Q42))),"Y","")</f>
        <v/>
      </c>
      <c r="AF42" s="13" t="str">
        <f aca="false">IF(AND(ISNUMBER(Z42),ABS(Z42-AA42)&gt;0.001),"Y","")</f>
        <v/>
      </c>
      <c r="AG42" s="13" t="str">
        <f aca="false">IF(AND(W42&lt;&gt;"",Y42&lt;&gt;"ACCEPTED"),"Y","")</f>
        <v/>
      </c>
      <c r="AH42" s="13" t="str">
        <f aca="false">IF(COUNTIF(AB42:AG42,"Y")&gt;0,"EXCEPTION","NO EXCEPTION IDENTIFIED")</f>
        <v>EXCEPTION</v>
      </c>
      <c r="AI42" s="16" t="s">
        <v>229</v>
      </c>
      <c r="AJ42" s="16" t="s">
        <v>367</v>
      </c>
    </row>
    <row r="43" customFormat="false" ht="20.85" hidden="false" customHeight="false" outlineLevel="0" collapsed="false">
      <c r="A43" s="9" t="s">
        <v>368</v>
      </c>
      <c r="B43" s="10" t="n">
        <v>45085</v>
      </c>
      <c r="C43" s="9" t="s">
        <v>369</v>
      </c>
      <c r="D43" s="9" t="s">
        <v>370</v>
      </c>
      <c r="E43" s="9" t="n">
        <v>2758</v>
      </c>
      <c r="F43" s="10" t="n">
        <v>46098</v>
      </c>
      <c r="G43" s="9" t="n">
        <f aca="false">B43-F43</f>
        <v>-1013</v>
      </c>
      <c r="H43" s="9" t="s">
        <v>371</v>
      </c>
      <c r="I43" s="9" t="s">
        <v>372</v>
      </c>
      <c r="J43" s="9" t="s">
        <v>113</v>
      </c>
      <c r="K43" s="9" t="s">
        <v>114</v>
      </c>
      <c r="L43" s="11" t="n">
        <v>32</v>
      </c>
      <c r="M43" s="9" t="s">
        <v>185</v>
      </c>
      <c r="N43" s="9" t="s">
        <v>186</v>
      </c>
      <c r="O43" s="9" t="s">
        <v>117</v>
      </c>
      <c r="P43" s="9" t="s">
        <v>118</v>
      </c>
      <c r="Q43" s="9" t="s">
        <v>119</v>
      </c>
      <c r="R43" s="9" t="s">
        <v>120</v>
      </c>
      <c r="S43" s="9"/>
      <c r="T43" s="10"/>
      <c r="U43" s="9"/>
      <c r="V43" s="9"/>
      <c r="W43" s="10" t="n">
        <v>44895</v>
      </c>
      <c r="X43" s="9" t="s">
        <v>373</v>
      </c>
      <c r="Y43" s="9" t="s">
        <v>374</v>
      </c>
      <c r="Z43" s="11" t="n">
        <v>51.4</v>
      </c>
      <c r="AA43" s="11" t="n">
        <v>41.1</v>
      </c>
      <c r="AB43" s="9" t="str">
        <f aca="false">IF(B43&lt;F43,"Y","")</f>
        <v>Y</v>
      </c>
      <c r="AC43" s="9" t="str">
        <f aca="false">IF(O43&lt;&gt;"Y","Y","")</f>
        <v/>
      </c>
      <c r="AD43" s="9" t="str">
        <f aca="false">IF(AND(M43="declined-prior-offer",S43=""),"Y","")</f>
        <v/>
      </c>
      <c r="AE43" s="9" t="str">
        <f aca="false">IF(OR(R43&lt;&gt;"MATCH",ISNUMBER(SEARCH("conflict",Q43))),"Y","")</f>
        <v/>
      </c>
      <c r="AF43" s="9" t="str">
        <f aca="false">IF(AND(ISNUMBER(Z43),ABS(Z43-AA43)&gt;0.001),"Y","")</f>
        <v>Y</v>
      </c>
      <c r="AG43" s="9" t="str">
        <f aca="false">IF(AND(W43&lt;&gt;"",Y43&lt;&gt;"ACCEPTED"),"Y","")</f>
        <v/>
      </c>
      <c r="AH43" s="9" t="str">
        <f aca="false">IF(COUNTIF(AB43:AG43,"Y")&gt;0,"EXCEPTION","NO EXCEPTION IDENTIFIED")</f>
        <v>EXCEPTION</v>
      </c>
      <c r="AI43" s="12" t="s">
        <v>375</v>
      </c>
      <c r="AJ43" s="12" t="s">
        <v>376</v>
      </c>
    </row>
    <row r="44" customFormat="false" ht="20.85" hidden="false" customHeight="false" outlineLevel="0" collapsed="false">
      <c r="A44" s="13" t="s">
        <v>377</v>
      </c>
      <c r="B44" s="14" t="n">
        <v>45086</v>
      </c>
      <c r="C44" s="13" t="s">
        <v>378</v>
      </c>
      <c r="D44" s="13" t="s">
        <v>379</v>
      </c>
      <c r="E44" s="13" t="n">
        <v>129</v>
      </c>
      <c r="F44" s="14" t="n">
        <v>44741</v>
      </c>
      <c r="G44" s="13" t="n">
        <f aca="false">B44-F44</f>
        <v>345</v>
      </c>
      <c r="H44" s="13" t="s">
        <v>380</v>
      </c>
      <c r="I44" s="13" t="s">
        <v>381</v>
      </c>
      <c r="J44" s="13" t="s">
        <v>155</v>
      </c>
      <c r="K44" s="13" t="s">
        <v>146</v>
      </c>
      <c r="L44" s="15" t="n">
        <v>45</v>
      </c>
      <c r="M44" s="13" t="s">
        <v>185</v>
      </c>
      <c r="N44" s="13" t="s">
        <v>186</v>
      </c>
      <c r="O44" s="13" t="s">
        <v>117</v>
      </c>
      <c r="P44" s="13" t="s">
        <v>138</v>
      </c>
      <c r="Q44" s="13" t="s">
        <v>119</v>
      </c>
      <c r="R44" s="13" t="s">
        <v>120</v>
      </c>
      <c r="S44" s="13"/>
      <c r="T44" s="14"/>
      <c r="U44" s="13"/>
      <c r="V44" s="13"/>
      <c r="W44" s="14"/>
      <c r="X44" s="13"/>
      <c r="Y44" s="13"/>
      <c r="Z44" s="15"/>
      <c r="AA44" s="15" t="n">
        <v>27.8</v>
      </c>
      <c r="AB44" s="13" t="str">
        <f aca="false">IF(B44&lt;F44,"Y","")</f>
        <v/>
      </c>
      <c r="AC44" s="13" t="str">
        <f aca="false">IF(O44&lt;&gt;"Y","Y","")</f>
        <v/>
      </c>
      <c r="AD44" s="13" t="str">
        <f aca="false">IF(AND(M44="declined-prior-offer",S44=""),"Y","")</f>
        <v/>
      </c>
      <c r="AE44" s="13" t="str">
        <f aca="false">IF(OR(R44&lt;&gt;"MATCH",ISNUMBER(SEARCH("conflict",Q44))),"Y","")</f>
        <v/>
      </c>
      <c r="AF44" s="13" t="str">
        <f aca="false">IF(AND(ISNUMBER(Z44),ABS(Z44-AA44)&gt;0.001),"Y","")</f>
        <v/>
      </c>
      <c r="AG44" s="13" t="str">
        <f aca="false">IF(AND(W44&lt;&gt;"",Y44&lt;&gt;"ACCEPTED"),"Y","")</f>
        <v/>
      </c>
      <c r="AH44" s="13" t="str">
        <f aca="false">IF(COUNTIF(AB44:AG44,"Y")&gt;0,"EXCEPTION","NO EXCEPTION IDENTIFIED")</f>
        <v>NO EXCEPTION IDENTIFIED</v>
      </c>
      <c r="AI44" s="16" t="s">
        <v>156</v>
      </c>
      <c r="AJ44" s="16" t="s">
        <v>382</v>
      </c>
    </row>
    <row r="45" customFormat="false" ht="20.85" hidden="false" customHeight="false" outlineLevel="0" collapsed="false">
      <c r="A45" s="9" t="s">
        <v>383</v>
      </c>
      <c r="B45" s="10" t="n">
        <v>45087</v>
      </c>
      <c r="C45" s="9" t="s">
        <v>384</v>
      </c>
      <c r="D45" s="9" t="s">
        <v>385</v>
      </c>
      <c r="E45" s="9" t="n">
        <v>319</v>
      </c>
      <c r="F45" s="10" t="n">
        <v>44898</v>
      </c>
      <c r="G45" s="9" t="n">
        <f aca="false">B45-F45</f>
        <v>189</v>
      </c>
      <c r="H45" s="9" t="s">
        <v>386</v>
      </c>
      <c r="I45" s="9" t="s">
        <v>387</v>
      </c>
      <c r="J45" s="9" t="s">
        <v>155</v>
      </c>
      <c r="K45" s="9" t="s">
        <v>146</v>
      </c>
      <c r="L45" s="11" t="n">
        <v>60</v>
      </c>
      <c r="M45" s="9" t="s">
        <v>136</v>
      </c>
      <c r="N45" s="9" t="s">
        <v>137</v>
      </c>
      <c r="O45" s="9" t="s">
        <v>117</v>
      </c>
      <c r="P45" s="9" t="s">
        <v>128</v>
      </c>
      <c r="Q45" s="9" t="s">
        <v>119</v>
      </c>
      <c r="R45" s="9" t="s">
        <v>120</v>
      </c>
      <c r="S45" s="9"/>
      <c r="T45" s="10"/>
      <c r="U45" s="9"/>
      <c r="V45" s="9"/>
      <c r="W45" s="10"/>
      <c r="X45" s="9"/>
      <c r="Y45" s="9"/>
      <c r="Z45" s="11"/>
      <c r="AA45" s="11" t="n">
        <v>59.6</v>
      </c>
      <c r="AB45" s="9" t="str">
        <f aca="false">IF(B45&lt;F45,"Y","")</f>
        <v/>
      </c>
      <c r="AC45" s="9" t="str">
        <f aca="false">IF(O45&lt;&gt;"Y","Y","")</f>
        <v/>
      </c>
      <c r="AD45" s="9" t="str">
        <f aca="false">IF(AND(M45="declined-prior-offer",S45=""),"Y","")</f>
        <v/>
      </c>
      <c r="AE45" s="9" t="str">
        <f aca="false">IF(OR(R45&lt;&gt;"MATCH",ISNUMBER(SEARCH("conflict",Q45))),"Y","")</f>
        <v/>
      </c>
      <c r="AF45" s="9" t="str">
        <f aca="false">IF(AND(ISNUMBER(Z45),ABS(Z45-AA45)&gt;0.001),"Y","")</f>
        <v/>
      </c>
      <c r="AG45" s="9" t="str">
        <f aca="false">IF(AND(W45&lt;&gt;"",Y45&lt;&gt;"ACCEPTED"),"Y","")</f>
        <v/>
      </c>
      <c r="AH45" s="9" t="str">
        <f aca="false">IF(COUNTIF(AB45:AG45,"Y")&gt;0,"EXCEPTION","NO EXCEPTION IDENTIFIED")</f>
        <v>NO EXCEPTION IDENTIFIED</v>
      </c>
      <c r="AI45" s="12" t="s">
        <v>156</v>
      </c>
      <c r="AJ45" s="12" t="s">
        <v>388</v>
      </c>
    </row>
    <row r="46" customFormat="false" ht="20.85" hidden="false" customHeight="false" outlineLevel="0" collapsed="false">
      <c r="A46" s="13" t="s">
        <v>389</v>
      </c>
      <c r="B46" s="14" t="n">
        <v>45089</v>
      </c>
      <c r="C46" s="13" t="s">
        <v>390</v>
      </c>
      <c r="D46" s="13" t="s">
        <v>391</v>
      </c>
      <c r="E46" s="13" t="n">
        <v>1924</v>
      </c>
      <c r="F46" s="14" t="n">
        <v>45678</v>
      </c>
      <c r="G46" s="13" t="n">
        <f aca="false">B46-F46</f>
        <v>-589</v>
      </c>
      <c r="H46" s="13" t="s">
        <v>392</v>
      </c>
      <c r="I46" s="13" t="s">
        <v>393</v>
      </c>
      <c r="J46" s="13" t="s">
        <v>135</v>
      </c>
      <c r="K46" s="13" t="s">
        <v>114</v>
      </c>
      <c r="L46" s="15" t="n">
        <v>40</v>
      </c>
      <c r="M46" s="13" t="s">
        <v>136</v>
      </c>
      <c r="N46" s="13" t="s">
        <v>137</v>
      </c>
      <c r="O46" s="13" t="s">
        <v>117</v>
      </c>
      <c r="P46" s="13" t="s">
        <v>128</v>
      </c>
      <c r="Q46" s="13" t="s">
        <v>119</v>
      </c>
      <c r="R46" s="13" t="s">
        <v>120</v>
      </c>
      <c r="S46" s="13"/>
      <c r="T46" s="14"/>
      <c r="U46" s="13"/>
      <c r="V46" s="13"/>
      <c r="W46" s="14"/>
      <c r="X46" s="13"/>
      <c r="Y46" s="13"/>
      <c r="Z46" s="15"/>
      <c r="AA46" s="15" t="n">
        <v>22.2</v>
      </c>
      <c r="AB46" s="13" t="str">
        <f aca="false">IF(B46&lt;F46,"Y","")</f>
        <v>Y</v>
      </c>
      <c r="AC46" s="13" t="str">
        <f aca="false">IF(O46&lt;&gt;"Y","Y","")</f>
        <v/>
      </c>
      <c r="AD46" s="13" t="str">
        <f aca="false">IF(AND(M46="declined-prior-offer",S46=""),"Y","")</f>
        <v/>
      </c>
      <c r="AE46" s="13" t="str">
        <f aca="false">IF(OR(R46&lt;&gt;"MATCH",ISNUMBER(SEARCH("conflict",Q46))),"Y","")</f>
        <v/>
      </c>
      <c r="AF46" s="13" t="str">
        <f aca="false">IF(AND(ISNUMBER(Z46),ABS(Z46-AA46)&gt;0.001),"Y","")</f>
        <v/>
      </c>
      <c r="AG46" s="13" t="str">
        <f aca="false">IF(AND(W46&lt;&gt;"",Y46&lt;&gt;"ACCEPTED"),"Y","")</f>
        <v/>
      </c>
      <c r="AH46" s="13" t="str">
        <f aca="false">IF(COUNTIF(AB46:AG46,"Y")&gt;0,"EXCEPTION","NO EXCEPTION IDENTIFIED")</f>
        <v>EXCEPTION</v>
      </c>
      <c r="AI46" s="16" t="s">
        <v>121</v>
      </c>
      <c r="AJ46" s="16" t="s">
        <v>394</v>
      </c>
    </row>
    <row r="47" customFormat="false" ht="20.85" hidden="false" customHeight="false" outlineLevel="0" collapsed="false">
      <c r="A47" s="9" t="s">
        <v>395</v>
      </c>
      <c r="B47" s="10" t="n">
        <v>45089</v>
      </c>
      <c r="C47" s="9" t="s">
        <v>396</v>
      </c>
      <c r="D47" s="9" t="s">
        <v>397</v>
      </c>
      <c r="E47" s="9" t="n">
        <v>2100</v>
      </c>
      <c r="F47" s="10" t="n">
        <v>45755</v>
      </c>
      <c r="G47" s="9" t="n">
        <f aca="false">B47-F47</f>
        <v>-666</v>
      </c>
      <c r="H47" s="9" t="s">
        <v>398</v>
      </c>
      <c r="I47" s="9" t="s">
        <v>399</v>
      </c>
      <c r="J47" s="9" t="s">
        <v>145</v>
      </c>
      <c r="K47" s="9" t="s">
        <v>146</v>
      </c>
      <c r="L47" s="11" t="n">
        <v>70</v>
      </c>
      <c r="M47" s="9" t="s">
        <v>115</v>
      </c>
      <c r="N47" s="9" t="s">
        <v>116</v>
      </c>
      <c r="O47" s="9" t="s">
        <v>117</v>
      </c>
      <c r="P47" s="9" t="s">
        <v>178</v>
      </c>
      <c r="Q47" s="9" t="s">
        <v>119</v>
      </c>
      <c r="R47" s="9" t="s">
        <v>120</v>
      </c>
      <c r="S47" s="9"/>
      <c r="T47" s="10"/>
      <c r="U47" s="9"/>
      <c r="V47" s="9"/>
      <c r="W47" s="10"/>
      <c r="X47" s="9"/>
      <c r="Y47" s="9"/>
      <c r="Z47" s="11"/>
      <c r="AA47" s="11" t="n">
        <v>52.1</v>
      </c>
      <c r="AB47" s="9" t="str">
        <f aca="false">IF(B47&lt;F47,"Y","")</f>
        <v>Y</v>
      </c>
      <c r="AC47" s="9" t="str">
        <f aca="false">IF(O47&lt;&gt;"Y","Y","")</f>
        <v/>
      </c>
      <c r="AD47" s="9" t="str">
        <f aca="false">IF(AND(M47="declined-prior-offer",S47=""),"Y","")</f>
        <v/>
      </c>
      <c r="AE47" s="9" t="str">
        <f aca="false">IF(OR(R47&lt;&gt;"MATCH",ISNUMBER(SEARCH("conflict",Q47))),"Y","")</f>
        <v/>
      </c>
      <c r="AF47" s="9" t="str">
        <f aca="false">IF(AND(ISNUMBER(Z47),ABS(Z47-AA47)&gt;0.001),"Y","")</f>
        <v/>
      </c>
      <c r="AG47" s="9" t="str">
        <f aca="false">IF(AND(W47&lt;&gt;"",Y47&lt;&gt;"ACCEPTED"),"Y","")</f>
        <v/>
      </c>
      <c r="AH47" s="9" t="str">
        <f aca="false">IF(COUNTIF(AB47:AG47,"Y")&gt;0,"EXCEPTION","NO EXCEPTION IDENTIFIED")</f>
        <v>EXCEPTION</v>
      </c>
      <c r="AI47" s="12" t="s">
        <v>121</v>
      </c>
      <c r="AJ47" s="12" t="s">
        <v>400</v>
      </c>
    </row>
    <row r="48" customFormat="false" ht="20.85" hidden="false" customHeight="false" outlineLevel="0" collapsed="false">
      <c r="A48" s="13" t="s">
        <v>401</v>
      </c>
      <c r="B48" s="14" t="n">
        <v>45090</v>
      </c>
      <c r="C48" s="13" t="s">
        <v>402</v>
      </c>
      <c r="D48" s="13" t="s">
        <v>403</v>
      </c>
      <c r="E48" s="13" t="n">
        <v>1663</v>
      </c>
      <c r="F48" s="14" t="n">
        <v>45569</v>
      </c>
      <c r="G48" s="13" t="n">
        <f aca="false">B48-F48</f>
        <v>-479</v>
      </c>
      <c r="H48" s="13" t="s">
        <v>404</v>
      </c>
      <c r="I48" s="13" t="s">
        <v>405</v>
      </c>
      <c r="J48" s="13" t="s">
        <v>155</v>
      </c>
      <c r="K48" s="13" t="s">
        <v>146</v>
      </c>
      <c r="L48" s="15" t="n">
        <v>70</v>
      </c>
      <c r="M48" s="13" t="s">
        <v>115</v>
      </c>
      <c r="N48" s="13" t="s">
        <v>116</v>
      </c>
      <c r="O48" s="13" t="s">
        <v>117</v>
      </c>
      <c r="P48" s="13" t="s">
        <v>128</v>
      </c>
      <c r="Q48" s="13" t="s">
        <v>119</v>
      </c>
      <c r="R48" s="13" t="s">
        <v>120</v>
      </c>
      <c r="S48" s="13"/>
      <c r="T48" s="14"/>
      <c r="U48" s="13"/>
      <c r="V48" s="13"/>
      <c r="W48" s="14"/>
      <c r="X48" s="13"/>
      <c r="Y48" s="13"/>
      <c r="Z48" s="15"/>
      <c r="AA48" s="15" t="n">
        <v>43.8</v>
      </c>
      <c r="AB48" s="13" t="str">
        <f aca="false">IF(B48&lt;F48,"Y","")</f>
        <v>Y</v>
      </c>
      <c r="AC48" s="13" t="str">
        <f aca="false">IF(O48&lt;&gt;"Y","Y","")</f>
        <v/>
      </c>
      <c r="AD48" s="13" t="str">
        <f aca="false">IF(AND(M48="declined-prior-offer",S48=""),"Y","")</f>
        <v/>
      </c>
      <c r="AE48" s="13" t="str">
        <f aca="false">IF(OR(R48&lt;&gt;"MATCH",ISNUMBER(SEARCH("conflict",Q48))),"Y","")</f>
        <v/>
      </c>
      <c r="AF48" s="13" t="str">
        <f aca="false">IF(AND(ISNUMBER(Z48),ABS(Z48-AA48)&gt;0.001),"Y","")</f>
        <v/>
      </c>
      <c r="AG48" s="13" t="str">
        <f aca="false">IF(AND(W48&lt;&gt;"",Y48&lt;&gt;"ACCEPTED"),"Y","")</f>
        <v/>
      </c>
      <c r="AH48" s="13" t="str">
        <f aca="false">IF(COUNTIF(AB48:AG48,"Y")&gt;0,"EXCEPTION","NO EXCEPTION IDENTIFIED")</f>
        <v>EXCEPTION</v>
      </c>
      <c r="AI48" s="16" t="s">
        <v>121</v>
      </c>
      <c r="AJ48" s="16" t="s">
        <v>406</v>
      </c>
    </row>
    <row r="49" customFormat="false" ht="20.85" hidden="false" customHeight="false" outlineLevel="0" collapsed="false">
      <c r="A49" s="9" t="s">
        <v>407</v>
      </c>
      <c r="B49" s="10" t="n">
        <v>45092</v>
      </c>
      <c r="C49" s="9" t="s">
        <v>408</v>
      </c>
      <c r="D49" s="9" t="s">
        <v>409</v>
      </c>
      <c r="E49" s="9" t="n">
        <v>781</v>
      </c>
      <c r="F49" s="10" t="n">
        <v>45160</v>
      </c>
      <c r="G49" s="9" t="n">
        <f aca="false">B49-F49</f>
        <v>-68</v>
      </c>
      <c r="H49" s="9" t="s">
        <v>410</v>
      </c>
      <c r="I49" s="9" t="s">
        <v>411</v>
      </c>
      <c r="J49" s="9" t="s">
        <v>113</v>
      </c>
      <c r="K49" s="9" t="s">
        <v>114</v>
      </c>
      <c r="L49" s="11" t="n">
        <v>28</v>
      </c>
      <c r="M49" s="9" t="s">
        <v>185</v>
      </c>
      <c r="N49" s="9" t="s">
        <v>186</v>
      </c>
      <c r="O49" s="9" t="s">
        <v>147</v>
      </c>
      <c r="P49" s="9" t="s">
        <v>118</v>
      </c>
      <c r="Q49" s="9" t="s">
        <v>119</v>
      </c>
      <c r="R49" s="9" t="s">
        <v>120</v>
      </c>
      <c r="S49" s="9"/>
      <c r="T49" s="10"/>
      <c r="U49" s="9"/>
      <c r="V49" s="9"/>
      <c r="W49" s="10"/>
      <c r="X49" s="9"/>
      <c r="Y49" s="9"/>
      <c r="Z49" s="11"/>
      <c r="AA49" s="11" t="n">
        <v>35.2</v>
      </c>
      <c r="AB49" s="9" t="str">
        <f aca="false">IF(B49&lt;F49,"Y","")</f>
        <v>Y</v>
      </c>
      <c r="AC49" s="9" t="str">
        <f aca="false">IF(O49&lt;&gt;"Y","Y","")</f>
        <v>Y</v>
      </c>
      <c r="AD49" s="9" t="str">
        <f aca="false">IF(AND(M49="declined-prior-offer",S49=""),"Y","")</f>
        <v/>
      </c>
      <c r="AE49" s="9" t="str">
        <f aca="false">IF(OR(R49&lt;&gt;"MATCH",ISNUMBER(SEARCH("conflict",Q49))),"Y","")</f>
        <v/>
      </c>
      <c r="AF49" s="9" t="str">
        <f aca="false">IF(AND(ISNUMBER(Z49),ABS(Z49-AA49)&gt;0.001),"Y","")</f>
        <v/>
      </c>
      <c r="AG49" s="9" t="str">
        <f aca="false">IF(AND(W49&lt;&gt;"",Y49&lt;&gt;"ACCEPTED"),"Y","")</f>
        <v/>
      </c>
      <c r="AH49" s="9" t="str">
        <f aca="false">IF(COUNTIF(AB49:AG49,"Y")&gt;0,"EXCEPTION","NO EXCEPTION IDENTIFIED")</f>
        <v>EXCEPTION</v>
      </c>
      <c r="AI49" s="12" t="s">
        <v>148</v>
      </c>
      <c r="AJ49" s="12" t="s">
        <v>412</v>
      </c>
    </row>
    <row r="50" customFormat="false" ht="20.85" hidden="false" customHeight="false" outlineLevel="0" collapsed="false">
      <c r="A50" s="13" t="s">
        <v>413</v>
      </c>
      <c r="B50" s="14" t="n">
        <v>45101</v>
      </c>
      <c r="C50" s="13" t="s">
        <v>414</v>
      </c>
      <c r="D50" s="13" t="s">
        <v>415</v>
      </c>
      <c r="E50" s="13" t="n">
        <v>1173</v>
      </c>
      <c r="F50" s="14" t="n">
        <v>45350</v>
      </c>
      <c r="G50" s="13" t="n">
        <f aca="false">B50-F50</f>
        <v>-249</v>
      </c>
      <c r="H50" s="13" t="s">
        <v>416</v>
      </c>
      <c r="I50" s="13" t="s">
        <v>417</v>
      </c>
      <c r="J50" s="13" t="s">
        <v>204</v>
      </c>
      <c r="K50" s="13" t="s">
        <v>146</v>
      </c>
      <c r="L50" s="15" t="n">
        <v>45</v>
      </c>
      <c r="M50" s="13" t="s">
        <v>115</v>
      </c>
      <c r="N50" s="13" t="s">
        <v>116</v>
      </c>
      <c r="O50" s="13" t="s">
        <v>117</v>
      </c>
      <c r="P50" s="13" t="s">
        <v>138</v>
      </c>
      <c r="Q50" s="13" t="s">
        <v>119</v>
      </c>
      <c r="R50" s="13" t="s">
        <v>120</v>
      </c>
      <c r="S50" s="13"/>
      <c r="T50" s="14"/>
      <c r="U50" s="13"/>
      <c r="V50" s="13"/>
      <c r="W50" s="14"/>
      <c r="X50" s="13"/>
      <c r="Y50" s="13"/>
      <c r="Z50" s="15"/>
      <c r="AA50" s="15" t="n">
        <v>38.4</v>
      </c>
      <c r="AB50" s="13" t="str">
        <f aca="false">IF(B50&lt;F50,"Y","")</f>
        <v>Y</v>
      </c>
      <c r="AC50" s="13" t="str">
        <f aca="false">IF(O50&lt;&gt;"Y","Y","")</f>
        <v/>
      </c>
      <c r="AD50" s="13" t="str">
        <f aca="false">IF(AND(M50="declined-prior-offer",S50=""),"Y","")</f>
        <v/>
      </c>
      <c r="AE50" s="13" t="str">
        <f aca="false">IF(OR(R50&lt;&gt;"MATCH",ISNUMBER(SEARCH("conflict",Q50))),"Y","")</f>
        <v/>
      </c>
      <c r="AF50" s="13" t="str">
        <f aca="false">IF(AND(ISNUMBER(Z50),ABS(Z50-AA50)&gt;0.001),"Y","")</f>
        <v/>
      </c>
      <c r="AG50" s="13" t="str">
        <f aca="false">IF(AND(W50&lt;&gt;"",Y50&lt;&gt;"ACCEPTED"),"Y","")</f>
        <v/>
      </c>
      <c r="AH50" s="13" t="str">
        <f aca="false">IF(COUNTIF(AB50:AG50,"Y")&gt;0,"EXCEPTION","NO EXCEPTION IDENTIFIED")</f>
        <v>EXCEPTION</v>
      </c>
      <c r="AI50" s="16" t="s">
        <v>121</v>
      </c>
      <c r="AJ50" s="16" t="s">
        <v>418</v>
      </c>
    </row>
    <row r="51" customFormat="false" ht="20.85" hidden="false" customHeight="false" outlineLevel="0" collapsed="false">
      <c r="A51" s="9" t="s">
        <v>419</v>
      </c>
      <c r="B51" s="10" t="n">
        <v>45102</v>
      </c>
      <c r="C51" s="9" t="s">
        <v>420</v>
      </c>
      <c r="D51" s="9" t="s">
        <v>421</v>
      </c>
      <c r="E51" s="9" t="n">
        <v>568</v>
      </c>
      <c r="F51" s="10" t="n">
        <v>45039</v>
      </c>
      <c r="G51" s="9" t="n">
        <f aca="false">B51-F51</f>
        <v>63</v>
      </c>
      <c r="H51" s="9" t="s">
        <v>422</v>
      </c>
      <c r="I51" s="9" t="s">
        <v>423</v>
      </c>
      <c r="J51" s="9" t="s">
        <v>113</v>
      </c>
      <c r="K51" s="9" t="s">
        <v>114</v>
      </c>
      <c r="L51" s="11" t="n">
        <v>28</v>
      </c>
      <c r="M51" s="9" t="s">
        <v>169</v>
      </c>
      <c r="N51" s="9" t="s">
        <v>170</v>
      </c>
      <c r="O51" s="9" t="s">
        <v>117</v>
      </c>
      <c r="P51" s="9" t="s">
        <v>128</v>
      </c>
      <c r="Q51" s="9" t="s">
        <v>119</v>
      </c>
      <c r="R51" s="9" t="s">
        <v>120</v>
      </c>
      <c r="S51" s="9"/>
      <c r="T51" s="10"/>
      <c r="U51" s="9"/>
      <c r="V51" s="9"/>
      <c r="W51" s="10"/>
      <c r="X51" s="9"/>
      <c r="Y51" s="9"/>
      <c r="Z51" s="11"/>
      <c r="AA51" s="11" t="n">
        <v>27.4</v>
      </c>
      <c r="AB51" s="9" t="str">
        <f aca="false">IF(B51&lt;F51,"Y","")</f>
        <v/>
      </c>
      <c r="AC51" s="9" t="str">
        <f aca="false">IF(O51&lt;&gt;"Y","Y","")</f>
        <v/>
      </c>
      <c r="AD51" s="9" t="str">
        <f aca="false">IF(AND(M51="declined-prior-offer",S51=""),"Y","")</f>
        <v>Y</v>
      </c>
      <c r="AE51" s="9" t="str">
        <f aca="false">IF(OR(R51&lt;&gt;"MATCH",ISNUMBER(SEARCH("conflict",Q51))),"Y","")</f>
        <v/>
      </c>
      <c r="AF51" s="9" t="str">
        <f aca="false">IF(AND(ISNUMBER(Z51),ABS(Z51-AA51)&gt;0.001),"Y","")</f>
        <v/>
      </c>
      <c r="AG51" s="9" t="str">
        <f aca="false">IF(AND(W51&lt;&gt;"",Y51&lt;&gt;"ACCEPTED"),"Y","")</f>
        <v/>
      </c>
      <c r="AH51" s="9" t="str">
        <f aca="false">IF(COUNTIF(AB51:AG51,"Y")&gt;0,"EXCEPTION","NO EXCEPTION IDENTIFIED")</f>
        <v>EXCEPTION</v>
      </c>
      <c r="AI51" s="12" t="s">
        <v>229</v>
      </c>
      <c r="AJ51" s="12" t="s">
        <v>424</v>
      </c>
    </row>
    <row r="52" customFormat="false" ht="20.85" hidden="false" customHeight="false" outlineLevel="0" collapsed="false">
      <c r="A52" s="13" t="s">
        <v>425</v>
      </c>
      <c r="B52" s="14" t="n">
        <v>45110</v>
      </c>
      <c r="C52" s="13" t="s">
        <v>426</v>
      </c>
      <c r="D52" s="13" t="s">
        <v>427</v>
      </c>
      <c r="E52" s="13" t="n">
        <v>712</v>
      </c>
      <c r="F52" s="14" t="n">
        <v>45120</v>
      </c>
      <c r="G52" s="13" t="n">
        <f aca="false">B52-F52</f>
        <v>-10</v>
      </c>
      <c r="H52" s="13" t="s">
        <v>428</v>
      </c>
      <c r="I52" s="13" t="s">
        <v>429</v>
      </c>
      <c r="J52" s="13" t="s">
        <v>155</v>
      </c>
      <c r="K52" s="13" t="s">
        <v>146</v>
      </c>
      <c r="L52" s="15" t="n">
        <v>60</v>
      </c>
      <c r="M52" s="13" t="s">
        <v>115</v>
      </c>
      <c r="N52" s="13" t="s">
        <v>116</v>
      </c>
      <c r="O52" s="13" t="s">
        <v>117</v>
      </c>
      <c r="P52" s="13" t="s">
        <v>128</v>
      </c>
      <c r="Q52" s="13" t="s">
        <v>119</v>
      </c>
      <c r="R52" s="13" t="s">
        <v>120</v>
      </c>
      <c r="S52" s="13"/>
      <c r="T52" s="14"/>
      <c r="U52" s="13"/>
      <c r="V52" s="13"/>
      <c r="W52" s="14"/>
      <c r="X52" s="13"/>
      <c r="Y52" s="13"/>
      <c r="Z52" s="15"/>
      <c r="AA52" s="15" t="n">
        <v>49.4</v>
      </c>
      <c r="AB52" s="13" t="str">
        <f aca="false">IF(B52&lt;F52,"Y","")</f>
        <v>Y</v>
      </c>
      <c r="AC52" s="13" t="str">
        <f aca="false">IF(O52&lt;&gt;"Y","Y","")</f>
        <v/>
      </c>
      <c r="AD52" s="13" t="str">
        <f aca="false">IF(AND(M52="declined-prior-offer",S52=""),"Y","")</f>
        <v/>
      </c>
      <c r="AE52" s="13" t="str">
        <f aca="false">IF(OR(R52&lt;&gt;"MATCH",ISNUMBER(SEARCH("conflict",Q52))),"Y","")</f>
        <v/>
      </c>
      <c r="AF52" s="13" t="str">
        <f aca="false">IF(AND(ISNUMBER(Z52),ABS(Z52-AA52)&gt;0.001),"Y","")</f>
        <v/>
      </c>
      <c r="AG52" s="13" t="str">
        <f aca="false">IF(AND(W52&lt;&gt;"",Y52&lt;&gt;"ACCEPTED"),"Y","")</f>
        <v/>
      </c>
      <c r="AH52" s="13" t="str">
        <f aca="false">IF(COUNTIF(AB52:AG52,"Y")&gt;0,"EXCEPTION","NO EXCEPTION IDENTIFIED")</f>
        <v>EXCEPTION</v>
      </c>
      <c r="AI52" s="16" t="s">
        <v>121</v>
      </c>
      <c r="AJ52" s="16" t="s">
        <v>430</v>
      </c>
    </row>
    <row r="53" customFormat="false" ht="20.85" hidden="false" customHeight="false" outlineLevel="0" collapsed="false">
      <c r="A53" s="9" t="s">
        <v>431</v>
      </c>
      <c r="B53" s="10" t="n">
        <v>45110</v>
      </c>
      <c r="C53" s="9" t="s">
        <v>432</v>
      </c>
      <c r="D53" s="9" t="s">
        <v>433</v>
      </c>
      <c r="E53" s="9" t="n">
        <v>924</v>
      </c>
      <c r="F53" s="10" t="n">
        <v>45230</v>
      </c>
      <c r="G53" s="9" t="n">
        <f aca="false">B53-F53</f>
        <v>-120</v>
      </c>
      <c r="H53" s="9" t="s">
        <v>434</v>
      </c>
      <c r="I53" s="9" t="s">
        <v>435</v>
      </c>
      <c r="J53" s="9" t="s">
        <v>145</v>
      </c>
      <c r="K53" s="9" t="s">
        <v>146</v>
      </c>
      <c r="L53" s="11" t="n">
        <v>28</v>
      </c>
      <c r="M53" s="9" t="s">
        <v>115</v>
      </c>
      <c r="N53" s="9" t="s">
        <v>116</v>
      </c>
      <c r="O53" s="9" t="s">
        <v>117</v>
      </c>
      <c r="P53" s="9" t="s">
        <v>138</v>
      </c>
      <c r="Q53" s="9" t="s">
        <v>119</v>
      </c>
      <c r="R53" s="9" t="s">
        <v>120</v>
      </c>
      <c r="S53" s="9"/>
      <c r="T53" s="10"/>
      <c r="U53" s="9"/>
      <c r="V53" s="9"/>
      <c r="W53" s="10"/>
      <c r="X53" s="9"/>
      <c r="Y53" s="9"/>
      <c r="Z53" s="11"/>
      <c r="AA53" s="11" t="n">
        <v>21.2</v>
      </c>
      <c r="AB53" s="9" t="str">
        <f aca="false">IF(B53&lt;F53,"Y","")</f>
        <v>Y</v>
      </c>
      <c r="AC53" s="9" t="str">
        <f aca="false">IF(O53&lt;&gt;"Y","Y","")</f>
        <v/>
      </c>
      <c r="AD53" s="9" t="str">
        <f aca="false">IF(AND(M53="declined-prior-offer",S53=""),"Y","")</f>
        <v/>
      </c>
      <c r="AE53" s="9" t="str">
        <f aca="false">IF(OR(R53&lt;&gt;"MATCH",ISNUMBER(SEARCH("conflict",Q53))),"Y","")</f>
        <v/>
      </c>
      <c r="AF53" s="9" t="str">
        <f aca="false">IF(AND(ISNUMBER(Z53),ABS(Z53-AA53)&gt;0.001),"Y","")</f>
        <v/>
      </c>
      <c r="AG53" s="9" t="str">
        <f aca="false">IF(AND(W53&lt;&gt;"",Y53&lt;&gt;"ACCEPTED"),"Y","")</f>
        <v/>
      </c>
      <c r="AH53" s="9" t="str">
        <f aca="false">IF(COUNTIF(AB53:AG53,"Y")&gt;0,"EXCEPTION","NO EXCEPTION IDENTIFIED")</f>
        <v>EXCEPTION</v>
      </c>
      <c r="AI53" s="12" t="s">
        <v>121</v>
      </c>
      <c r="AJ53" s="12" t="s">
        <v>436</v>
      </c>
    </row>
    <row r="54" customFormat="false" ht="20.85" hidden="false" customHeight="false" outlineLevel="0" collapsed="false">
      <c r="A54" s="13" t="s">
        <v>437</v>
      </c>
      <c r="B54" s="14" t="n">
        <v>45111</v>
      </c>
      <c r="C54" s="13" t="s">
        <v>438</v>
      </c>
      <c r="D54" s="13" t="s">
        <v>439</v>
      </c>
      <c r="E54" s="13" t="n">
        <v>2857</v>
      </c>
      <c r="F54" s="14" t="n">
        <v>46176</v>
      </c>
      <c r="G54" s="13" t="n">
        <f aca="false">B54-F54</f>
        <v>-1065</v>
      </c>
      <c r="H54" s="13" t="s">
        <v>440</v>
      </c>
      <c r="I54" s="13" t="s">
        <v>441</v>
      </c>
      <c r="J54" s="13" t="s">
        <v>204</v>
      </c>
      <c r="K54" s="13" t="s">
        <v>146</v>
      </c>
      <c r="L54" s="15" t="n">
        <v>40</v>
      </c>
      <c r="M54" s="13" t="s">
        <v>136</v>
      </c>
      <c r="N54" s="13" t="s">
        <v>137</v>
      </c>
      <c r="O54" s="13" t="s">
        <v>117</v>
      </c>
      <c r="P54" s="13" t="s">
        <v>118</v>
      </c>
      <c r="Q54" s="13" t="s">
        <v>119</v>
      </c>
      <c r="R54" s="13" t="s">
        <v>120</v>
      </c>
      <c r="S54" s="13"/>
      <c r="T54" s="14"/>
      <c r="U54" s="13"/>
      <c r="V54" s="13"/>
      <c r="W54" s="14"/>
      <c r="X54" s="13"/>
      <c r="Y54" s="13"/>
      <c r="Z54" s="15"/>
      <c r="AA54" s="15" t="n">
        <v>45.5</v>
      </c>
      <c r="AB54" s="13" t="str">
        <f aca="false">IF(B54&lt;F54,"Y","")</f>
        <v>Y</v>
      </c>
      <c r="AC54" s="13" t="str">
        <f aca="false">IF(O54&lt;&gt;"Y","Y","")</f>
        <v/>
      </c>
      <c r="AD54" s="13" t="str">
        <f aca="false">IF(AND(M54="declined-prior-offer",S54=""),"Y","")</f>
        <v/>
      </c>
      <c r="AE54" s="13" t="str">
        <f aca="false">IF(OR(R54&lt;&gt;"MATCH",ISNUMBER(SEARCH("conflict",Q54))),"Y","")</f>
        <v/>
      </c>
      <c r="AF54" s="13" t="str">
        <f aca="false">IF(AND(ISNUMBER(Z54),ABS(Z54-AA54)&gt;0.001),"Y","")</f>
        <v/>
      </c>
      <c r="AG54" s="13" t="str">
        <f aca="false">IF(AND(W54&lt;&gt;"",Y54&lt;&gt;"ACCEPTED"),"Y","")</f>
        <v/>
      </c>
      <c r="AH54" s="13" t="str">
        <f aca="false">IF(COUNTIF(AB54:AG54,"Y")&gt;0,"EXCEPTION","NO EXCEPTION IDENTIFIED")</f>
        <v>EXCEPTION</v>
      </c>
      <c r="AI54" s="16" t="s">
        <v>121</v>
      </c>
      <c r="AJ54" s="16" t="s">
        <v>442</v>
      </c>
    </row>
    <row r="55" customFormat="false" ht="20.85" hidden="false" customHeight="false" outlineLevel="0" collapsed="false">
      <c r="A55" s="9" t="s">
        <v>443</v>
      </c>
      <c r="B55" s="10" t="n">
        <v>45114</v>
      </c>
      <c r="C55" s="9" t="s">
        <v>444</v>
      </c>
      <c r="D55" s="9" t="s">
        <v>445</v>
      </c>
      <c r="E55" s="9" t="n">
        <v>1160</v>
      </c>
      <c r="F55" s="10" t="n">
        <v>45340</v>
      </c>
      <c r="G55" s="9" t="n">
        <f aca="false">B55-F55</f>
        <v>-226</v>
      </c>
      <c r="H55" s="9" t="s">
        <v>446</v>
      </c>
      <c r="I55" s="9" t="s">
        <v>447</v>
      </c>
      <c r="J55" s="9" t="s">
        <v>113</v>
      </c>
      <c r="K55" s="9" t="s">
        <v>114</v>
      </c>
      <c r="L55" s="11" t="n">
        <v>32</v>
      </c>
      <c r="M55" s="9" t="s">
        <v>136</v>
      </c>
      <c r="N55" s="9" t="s">
        <v>137</v>
      </c>
      <c r="O55" s="9" t="s">
        <v>117</v>
      </c>
      <c r="P55" s="9" t="s">
        <v>178</v>
      </c>
      <c r="Q55" s="9" t="s">
        <v>119</v>
      </c>
      <c r="R55" s="9" t="s">
        <v>120</v>
      </c>
      <c r="S55" s="9"/>
      <c r="T55" s="10"/>
      <c r="U55" s="9"/>
      <c r="V55" s="9"/>
      <c r="W55" s="10"/>
      <c r="X55" s="9"/>
      <c r="Y55" s="9"/>
      <c r="Z55" s="11"/>
      <c r="AA55" s="11" t="n">
        <v>54.9</v>
      </c>
      <c r="AB55" s="9" t="str">
        <f aca="false">IF(B55&lt;F55,"Y","")</f>
        <v>Y</v>
      </c>
      <c r="AC55" s="9" t="str">
        <f aca="false">IF(O55&lt;&gt;"Y","Y","")</f>
        <v/>
      </c>
      <c r="AD55" s="9" t="str">
        <f aca="false">IF(AND(M55="declined-prior-offer",S55=""),"Y","")</f>
        <v/>
      </c>
      <c r="AE55" s="9" t="str">
        <f aca="false">IF(OR(R55&lt;&gt;"MATCH",ISNUMBER(SEARCH("conflict",Q55))),"Y","")</f>
        <v/>
      </c>
      <c r="AF55" s="9" t="str">
        <f aca="false">IF(AND(ISNUMBER(Z55),ABS(Z55-AA55)&gt;0.001),"Y","")</f>
        <v/>
      </c>
      <c r="AG55" s="9" t="str">
        <f aca="false">IF(AND(W55&lt;&gt;"",Y55&lt;&gt;"ACCEPTED"),"Y","")</f>
        <v/>
      </c>
      <c r="AH55" s="9" t="str">
        <f aca="false">IF(COUNTIF(AB55:AG55,"Y")&gt;0,"EXCEPTION","NO EXCEPTION IDENTIFIED")</f>
        <v>EXCEPTION</v>
      </c>
      <c r="AI55" s="12" t="s">
        <v>121</v>
      </c>
      <c r="AJ55" s="12" t="s">
        <v>448</v>
      </c>
    </row>
    <row r="56" customFormat="false" ht="20.85" hidden="false" customHeight="false" outlineLevel="0" collapsed="false">
      <c r="A56" s="13" t="s">
        <v>449</v>
      </c>
      <c r="B56" s="14" t="n">
        <v>45116</v>
      </c>
      <c r="C56" s="13" t="s">
        <v>450</v>
      </c>
      <c r="D56" s="13" t="s">
        <v>451</v>
      </c>
      <c r="E56" s="13" t="n">
        <v>242</v>
      </c>
      <c r="F56" s="14" t="n">
        <v>44838</v>
      </c>
      <c r="G56" s="13" t="n">
        <f aca="false">B56-F56</f>
        <v>278</v>
      </c>
      <c r="H56" s="13" t="s">
        <v>452</v>
      </c>
      <c r="I56" s="13" t="s">
        <v>453</v>
      </c>
      <c r="J56" s="13" t="s">
        <v>204</v>
      </c>
      <c r="K56" s="13" t="s">
        <v>146</v>
      </c>
      <c r="L56" s="15" t="n">
        <v>70</v>
      </c>
      <c r="M56" s="13" t="s">
        <v>115</v>
      </c>
      <c r="N56" s="13" t="s">
        <v>116</v>
      </c>
      <c r="O56" s="13" t="s">
        <v>117</v>
      </c>
      <c r="P56" s="13" t="s">
        <v>128</v>
      </c>
      <c r="Q56" s="13" t="s">
        <v>119</v>
      </c>
      <c r="R56" s="13" t="s">
        <v>120</v>
      </c>
      <c r="S56" s="13"/>
      <c r="T56" s="14"/>
      <c r="U56" s="13"/>
      <c r="V56" s="13"/>
      <c r="W56" s="14"/>
      <c r="X56" s="13"/>
      <c r="Y56" s="13"/>
      <c r="Z56" s="15"/>
      <c r="AA56" s="15" t="n">
        <v>19.5</v>
      </c>
      <c r="AB56" s="13" t="str">
        <f aca="false">IF(B56&lt;F56,"Y","")</f>
        <v/>
      </c>
      <c r="AC56" s="13" t="str">
        <f aca="false">IF(O56&lt;&gt;"Y","Y","")</f>
        <v/>
      </c>
      <c r="AD56" s="13" t="str">
        <f aca="false">IF(AND(M56="declined-prior-offer",S56=""),"Y","")</f>
        <v/>
      </c>
      <c r="AE56" s="13" t="str">
        <f aca="false">IF(OR(R56&lt;&gt;"MATCH",ISNUMBER(SEARCH("conflict",Q56))),"Y","")</f>
        <v/>
      </c>
      <c r="AF56" s="13" t="str">
        <f aca="false">IF(AND(ISNUMBER(Z56),ABS(Z56-AA56)&gt;0.001),"Y","")</f>
        <v/>
      </c>
      <c r="AG56" s="13" t="str">
        <f aca="false">IF(AND(W56&lt;&gt;"",Y56&lt;&gt;"ACCEPTED"),"Y","")</f>
        <v/>
      </c>
      <c r="AH56" s="13" t="str">
        <f aca="false">IF(COUNTIF(AB56:AG56,"Y")&gt;0,"EXCEPTION","NO EXCEPTION IDENTIFIED")</f>
        <v>NO EXCEPTION IDENTIFIED</v>
      </c>
      <c r="AI56" s="16" t="s">
        <v>156</v>
      </c>
      <c r="AJ56" s="16" t="s">
        <v>454</v>
      </c>
    </row>
    <row r="57" customFormat="false" ht="20.85" hidden="false" customHeight="false" outlineLevel="0" collapsed="false">
      <c r="A57" s="9" t="s">
        <v>455</v>
      </c>
      <c r="B57" s="10" t="n">
        <v>45118</v>
      </c>
      <c r="C57" s="9" t="s">
        <v>456</v>
      </c>
      <c r="D57" s="9" t="s">
        <v>457</v>
      </c>
      <c r="E57" s="9" t="n">
        <v>1206</v>
      </c>
      <c r="F57" s="10" t="n">
        <v>45366</v>
      </c>
      <c r="G57" s="9" t="n">
        <f aca="false">B57-F57</f>
        <v>-248</v>
      </c>
      <c r="H57" s="9" t="s">
        <v>458</v>
      </c>
      <c r="I57" s="9" t="s">
        <v>459</v>
      </c>
      <c r="J57" s="9" t="s">
        <v>155</v>
      </c>
      <c r="K57" s="9" t="s">
        <v>146</v>
      </c>
      <c r="L57" s="11" t="n">
        <v>50</v>
      </c>
      <c r="M57" s="9" t="s">
        <v>115</v>
      </c>
      <c r="N57" s="9" t="s">
        <v>116</v>
      </c>
      <c r="O57" s="9" t="s">
        <v>117</v>
      </c>
      <c r="P57" s="9" t="s">
        <v>128</v>
      </c>
      <c r="Q57" s="9" t="s">
        <v>119</v>
      </c>
      <c r="R57" s="9" t="s">
        <v>120</v>
      </c>
      <c r="S57" s="9"/>
      <c r="T57" s="10"/>
      <c r="U57" s="9"/>
      <c r="V57" s="9"/>
      <c r="W57" s="10"/>
      <c r="X57" s="9"/>
      <c r="Y57" s="9"/>
      <c r="Z57" s="11"/>
      <c r="AA57" s="11" t="n">
        <v>38.3</v>
      </c>
      <c r="AB57" s="9" t="str">
        <f aca="false">IF(B57&lt;F57,"Y","")</f>
        <v>Y</v>
      </c>
      <c r="AC57" s="9" t="str">
        <f aca="false">IF(O57&lt;&gt;"Y","Y","")</f>
        <v/>
      </c>
      <c r="AD57" s="9" t="str">
        <f aca="false">IF(AND(M57="declined-prior-offer",S57=""),"Y","")</f>
        <v/>
      </c>
      <c r="AE57" s="9" t="str">
        <f aca="false">IF(OR(R57&lt;&gt;"MATCH",ISNUMBER(SEARCH("conflict",Q57))),"Y","")</f>
        <v/>
      </c>
      <c r="AF57" s="9" t="str">
        <f aca="false">IF(AND(ISNUMBER(Z57),ABS(Z57-AA57)&gt;0.001),"Y","")</f>
        <v/>
      </c>
      <c r="AG57" s="9" t="str">
        <f aca="false">IF(AND(W57&lt;&gt;"",Y57&lt;&gt;"ACCEPTED"),"Y","")</f>
        <v/>
      </c>
      <c r="AH57" s="9" t="str">
        <f aca="false">IF(COUNTIF(AB57:AG57,"Y")&gt;0,"EXCEPTION","NO EXCEPTION IDENTIFIED")</f>
        <v>EXCEPTION</v>
      </c>
      <c r="AI57" s="12" t="s">
        <v>121</v>
      </c>
      <c r="AJ57" s="12" t="s">
        <v>460</v>
      </c>
    </row>
    <row r="58" customFormat="false" ht="20.85" hidden="false" customHeight="false" outlineLevel="0" collapsed="false">
      <c r="A58" s="13" t="s">
        <v>461</v>
      </c>
      <c r="B58" s="14" t="n">
        <v>45122</v>
      </c>
      <c r="C58" s="13" t="s">
        <v>462</v>
      </c>
      <c r="D58" s="13" t="s">
        <v>463</v>
      </c>
      <c r="E58" s="13" t="n">
        <v>54</v>
      </c>
      <c r="F58" s="14" t="n">
        <v>44669</v>
      </c>
      <c r="G58" s="13" t="n">
        <f aca="false">B58-F58</f>
        <v>453</v>
      </c>
      <c r="H58" s="13" t="s">
        <v>464</v>
      </c>
      <c r="I58" s="13" t="s">
        <v>465</v>
      </c>
      <c r="J58" s="13" t="s">
        <v>135</v>
      </c>
      <c r="K58" s="13" t="s">
        <v>114</v>
      </c>
      <c r="L58" s="15" t="n">
        <v>40</v>
      </c>
      <c r="M58" s="13" t="s">
        <v>115</v>
      </c>
      <c r="N58" s="13" t="s">
        <v>116</v>
      </c>
      <c r="O58" s="13" t="s">
        <v>117</v>
      </c>
      <c r="P58" s="13" t="s">
        <v>128</v>
      </c>
      <c r="Q58" s="13" t="s">
        <v>119</v>
      </c>
      <c r="R58" s="13" t="s">
        <v>120</v>
      </c>
      <c r="S58" s="13"/>
      <c r="T58" s="14"/>
      <c r="U58" s="13"/>
      <c r="V58" s="13"/>
      <c r="W58" s="14"/>
      <c r="X58" s="13"/>
      <c r="Y58" s="13"/>
      <c r="Z58" s="15"/>
      <c r="AA58" s="15" t="n">
        <v>20.7</v>
      </c>
      <c r="AB58" s="13" t="str">
        <f aca="false">IF(B58&lt;F58,"Y","")</f>
        <v/>
      </c>
      <c r="AC58" s="13" t="str">
        <f aca="false">IF(O58&lt;&gt;"Y","Y","")</f>
        <v/>
      </c>
      <c r="AD58" s="13" t="str">
        <f aca="false">IF(AND(M58="declined-prior-offer",S58=""),"Y","")</f>
        <v/>
      </c>
      <c r="AE58" s="13" t="str">
        <f aca="false">IF(OR(R58&lt;&gt;"MATCH",ISNUMBER(SEARCH("conflict",Q58))),"Y","")</f>
        <v/>
      </c>
      <c r="AF58" s="13" t="str">
        <f aca="false">IF(AND(ISNUMBER(Z58),ABS(Z58-AA58)&gt;0.001),"Y","")</f>
        <v/>
      </c>
      <c r="AG58" s="13" t="str">
        <f aca="false">IF(AND(W58&lt;&gt;"",Y58&lt;&gt;"ACCEPTED"),"Y","")</f>
        <v/>
      </c>
      <c r="AH58" s="13" t="str">
        <f aca="false">IF(COUNTIF(AB58:AG58,"Y")&gt;0,"EXCEPTION","NO EXCEPTION IDENTIFIED")</f>
        <v>NO EXCEPTION IDENTIFIED</v>
      </c>
      <c r="AI58" s="16" t="s">
        <v>156</v>
      </c>
      <c r="AJ58" s="16" t="s">
        <v>466</v>
      </c>
    </row>
    <row r="59" customFormat="false" ht="20.85" hidden="false" customHeight="false" outlineLevel="0" collapsed="false">
      <c r="A59" s="9" t="s">
        <v>467</v>
      </c>
      <c r="B59" s="10" t="n">
        <v>45127</v>
      </c>
      <c r="C59" s="9" t="s">
        <v>468</v>
      </c>
      <c r="D59" s="9" t="s">
        <v>469</v>
      </c>
      <c r="E59" s="9" t="n">
        <v>2411</v>
      </c>
      <c r="F59" s="10" t="n">
        <v>45901</v>
      </c>
      <c r="G59" s="9" t="n">
        <f aca="false">B59-F59</f>
        <v>-774</v>
      </c>
      <c r="H59" s="9" t="s">
        <v>470</v>
      </c>
      <c r="I59" s="9" t="s">
        <v>471</v>
      </c>
      <c r="J59" s="9" t="s">
        <v>135</v>
      </c>
      <c r="K59" s="9" t="s">
        <v>114</v>
      </c>
      <c r="L59" s="11" t="n">
        <v>32</v>
      </c>
      <c r="M59" s="9" t="s">
        <v>185</v>
      </c>
      <c r="N59" s="9" t="s">
        <v>186</v>
      </c>
      <c r="O59" s="9" t="s">
        <v>117</v>
      </c>
      <c r="P59" s="9" t="s">
        <v>138</v>
      </c>
      <c r="Q59" s="9" t="s">
        <v>119</v>
      </c>
      <c r="R59" s="9" t="s">
        <v>120</v>
      </c>
      <c r="S59" s="9"/>
      <c r="T59" s="10"/>
      <c r="U59" s="9"/>
      <c r="V59" s="9"/>
      <c r="W59" s="10"/>
      <c r="X59" s="9"/>
      <c r="Y59" s="9"/>
      <c r="Z59" s="11"/>
      <c r="AA59" s="11" t="n">
        <v>42.4</v>
      </c>
      <c r="AB59" s="9" t="str">
        <f aca="false">IF(B59&lt;F59,"Y","")</f>
        <v>Y</v>
      </c>
      <c r="AC59" s="9" t="str">
        <f aca="false">IF(O59&lt;&gt;"Y","Y","")</f>
        <v/>
      </c>
      <c r="AD59" s="9" t="str">
        <f aca="false">IF(AND(M59="declined-prior-offer",S59=""),"Y","")</f>
        <v/>
      </c>
      <c r="AE59" s="9" t="str">
        <f aca="false">IF(OR(R59&lt;&gt;"MATCH",ISNUMBER(SEARCH("conflict",Q59))),"Y","")</f>
        <v/>
      </c>
      <c r="AF59" s="9" t="str">
        <f aca="false">IF(AND(ISNUMBER(Z59),ABS(Z59-AA59)&gt;0.001),"Y","")</f>
        <v/>
      </c>
      <c r="AG59" s="9" t="str">
        <f aca="false">IF(AND(W59&lt;&gt;"",Y59&lt;&gt;"ACCEPTED"),"Y","")</f>
        <v/>
      </c>
      <c r="AH59" s="9" t="str">
        <f aca="false">IF(COUNTIF(AB59:AG59,"Y")&gt;0,"EXCEPTION","NO EXCEPTION IDENTIFIED")</f>
        <v>EXCEPTION</v>
      </c>
      <c r="AI59" s="12" t="s">
        <v>121</v>
      </c>
      <c r="AJ59" s="12" t="s">
        <v>472</v>
      </c>
    </row>
    <row r="60" customFormat="false" ht="20.85" hidden="false" customHeight="false" outlineLevel="0" collapsed="false">
      <c r="A60" s="13" t="s">
        <v>473</v>
      </c>
      <c r="B60" s="14" t="n">
        <v>45131</v>
      </c>
      <c r="C60" s="13" t="s">
        <v>474</v>
      </c>
      <c r="D60" s="13" t="s">
        <v>475</v>
      </c>
      <c r="E60" s="13" t="n">
        <v>1199</v>
      </c>
      <c r="F60" s="14" t="n">
        <v>45363</v>
      </c>
      <c r="G60" s="13" t="n">
        <f aca="false">B60-F60</f>
        <v>-232</v>
      </c>
      <c r="H60" s="13" t="s">
        <v>476</v>
      </c>
      <c r="I60" s="13" t="s">
        <v>477</v>
      </c>
      <c r="J60" s="13" t="s">
        <v>155</v>
      </c>
      <c r="K60" s="13" t="s">
        <v>146</v>
      </c>
      <c r="L60" s="15" t="n">
        <v>24</v>
      </c>
      <c r="M60" s="13" t="s">
        <v>136</v>
      </c>
      <c r="N60" s="13" t="s">
        <v>137</v>
      </c>
      <c r="O60" s="13" t="s">
        <v>117</v>
      </c>
      <c r="P60" s="13" t="s">
        <v>128</v>
      </c>
      <c r="Q60" s="13" t="s">
        <v>119</v>
      </c>
      <c r="R60" s="13" t="s">
        <v>120</v>
      </c>
      <c r="S60" s="13"/>
      <c r="T60" s="14"/>
      <c r="U60" s="13"/>
      <c r="V60" s="13"/>
      <c r="W60" s="14"/>
      <c r="X60" s="13"/>
      <c r="Y60" s="13"/>
      <c r="Z60" s="15"/>
      <c r="AA60" s="15" t="n">
        <v>33.8</v>
      </c>
      <c r="AB60" s="13" t="str">
        <f aca="false">IF(B60&lt;F60,"Y","")</f>
        <v>Y</v>
      </c>
      <c r="AC60" s="13" t="str">
        <f aca="false">IF(O60&lt;&gt;"Y","Y","")</f>
        <v/>
      </c>
      <c r="AD60" s="13" t="str">
        <f aca="false">IF(AND(M60="declined-prior-offer",S60=""),"Y","")</f>
        <v/>
      </c>
      <c r="AE60" s="13" t="str">
        <f aca="false">IF(OR(R60&lt;&gt;"MATCH",ISNUMBER(SEARCH("conflict",Q60))),"Y","")</f>
        <v/>
      </c>
      <c r="AF60" s="13" t="str">
        <f aca="false">IF(AND(ISNUMBER(Z60),ABS(Z60-AA60)&gt;0.001),"Y","")</f>
        <v/>
      </c>
      <c r="AG60" s="13" t="str">
        <f aca="false">IF(AND(W60&lt;&gt;"",Y60&lt;&gt;"ACCEPTED"),"Y","")</f>
        <v/>
      </c>
      <c r="AH60" s="13" t="str">
        <f aca="false">IF(COUNTIF(AB60:AG60,"Y")&gt;0,"EXCEPTION","NO EXCEPTION IDENTIFIED")</f>
        <v>EXCEPTION</v>
      </c>
      <c r="AI60" s="16" t="s">
        <v>121</v>
      </c>
      <c r="AJ60" s="16" t="s">
        <v>478</v>
      </c>
    </row>
    <row r="61" customFormat="false" ht="20.85" hidden="false" customHeight="false" outlineLevel="0" collapsed="false">
      <c r="A61" s="9" t="s">
        <v>479</v>
      </c>
      <c r="B61" s="10" t="n">
        <v>45133</v>
      </c>
      <c r="C61" s="9" t="s">
        <v>480</v>
      </c>
      <c r="D61" s="9" t="s">
        <v>481</v>
      </c>
      <c r="E61" s="9" t="n">
        <v>248</v>
      </c>
      <c r="F61" s="10" t="n">
        <v>44843</v>
      </c>
      <c r="G61" s="9" t="n">
        <f aca="false">B61-F61</f>
        <v>290</v>
      </c>
      <c r="H61" s="9" t="s">
        <v>482</v>
      </c>
      <c r="I61" s="9" t="s">
        <v>483</v>
      </c>
      <c r="J61" s="9" t="s">
        <v>204</v>
      </c>
      <c r="K61" s="9" t="s">
        <v>146</v>
      </c>
      <c r="L61" s="11" t="n">
        <v>32</v>
      </c>
      <c r="M61" s="9" t="s">
        <v>185</v>
      </c>
      <c r="N61" s="9" t="s">
        <v>186</v>
      </c>
      <c r="O61" s="9" t="s">
        <v>117</v>
      </c>
      <c r="P61" s="9" t="s">
        <v>128</v>
      </c>
      <c r="Q61" s="9" t="s">
        <v>119</v>
      </c>
      <c r="R61" s="9" t="s">
        <v>120</v>
      </c>
      <c r="S61" s="9"/>
      <c r="T61" s="10"/>
      <c r="U61" s="9"/>
      <c r="V61" s="9"/>
      <c r="W61" s="10"/>
      <c r="X61" s="9"/>
      <c r="Y61" s="9"/>
      <c r="Z61" s="11"/>
      <c r="AA61" s="11" t="n">
        <v>39.5</v>
      </c>
      <c r="AB61" s="9" t="str">
        <f aca="false">IF(B61&lt;F61,"Y","")</f>
        <v/>
      </c>
      <c r="AC61" s="9" t="str">
        <f aca="false">IF(O61&lt;&gt;"Y","Y","")</f>
        <v/>
      </c>
      <c r="AD61" s="9" t="str">
        <f aca="false">IF(AND(M61="declined-prior-offer",S61=""),"Y","")</f>
        <v/>
      </c>
      <c r="AE61" s="9" t="str">
        <f aca="false">IF(OR(R61&lt;&gt;"MATCH",ISNUMBER(SEARCH("conflict",Q61))),"Y","")</f>
        <v/>
      </c>
      <c r="AF61" s="9" t="str">
        <f aca="false">IF(AND(ISNUMBER(Z61),ABS(Z61-AA61)&gt;0.001),"Y","")</f>
        <v/>
      </c>
      <c r="AG61" s="9" t="str">
        <f aca="false">IF(AND(W61&lt;&gt;"",Y61&lt;&gt;"ACCEPTED"),"Y","")</f>
        <v/>
      </c>
      <c r="AH61" s="9" t="str">
        <f aca="false">IF(COUNTIF(AB61:AG61,"Y")&gt;0,"EXCEPTION","NO EXCEPTION IDENTIFIED")</f>
        <v>NO EXCEPTION IDENTIFIED</v>
      </c>
      <c r="AI61" s="12" t="s">
        <v>156</v>
      </c>
      <c r="AJ61" s="12" t="s">
        <v>484</v>
      </c>
    </row>
    <row r="62" customFormat="false" ht="20.85" hidden="false" customHeight="false" outlineLevel="0" collapsed="false">
      <c r="A62" s="13" t="s">
        <v>485</v>
      </c>
      <c r="B62" s="14" t="n">
        <v>45133</v>
      </c>
      <c r="C62" s="13" t="s">
        <v>486</v>
      </c>
      <c r="D62" s="13" t="s">
        <v>487</v>
      </c>
      <c r="E62" s="13" t="n">
        <v>1706</v>
      </c>
      <c r="F62" s="14" t="n">
        <v>45590</v>
      </c>
      <c r="G62" s="13" t="n">
        <f aca="false">B62-F62</f>
        <v>-457</v>
      </c>
      <c r="H62" s="13" t="s">
        <v>488</v>
      </c>
      <c r="I62" s="13" t="s">
        <v>489</v>
      </c>
      <c r="J62" s="13" t="s">
        <v>113</v>
      </c>
      <c r="K62" s="13" t="s">
        <v>114</v>
      </c>
      <c r="L62" s="15" t="n">
        <v>24</v>
      </c>
      <c r="M62" s="13" t="s">
        <v>169</v>
      </c>
      <c r="N62" s="13" t="s">
        <v>170</v>
      </c>
      <c r="O62" s="13" t="s">
        <v>117</v>
      </c>
      <c r="P62" s="13" t="s">
        <v>118</v>
      </c>
      <c r="Q62" s="13" t="s">
        <v>119</v>
      </c>
      <c r="R62" s="13" t="s">
        <v>120</v>
      </c>
      <c r="S62" s="13"/>
      <c r="T62" s="14"/>
      <c r="U62" s="13"/>
      <c r="V62" s="13"/>
      <c r="W62" s="14"/>
      <c r="X62" s="13"/>
      <c r="Y62" s="13"/>
      <c r="Z62" s="15"/>
      <c r="AA62" s="15" t="n">
        <v>47.7</v>
      </c>
      <c r="AB62" s="13" t="str">
        <f aca="false">IF(B62&lt;F62,"Y","")</f>
        <v>Y</v>
      </c>
      <c r="AC62" s="13" t="str">
        <f aca="false">IF(O62&lt;&gt;"Y","Y","")</f>
        <v/>
      </c>
      <c r="AD62" s="13" t="str">
        <f aca="false">IF(AND(M62="declined-prior-offer",S62=""),"Y","")</f>
        <v>Y</v>
      </c>
      <c r="AE62" s="13" t="str">
        <f aca="false">IF(OR(R62&lt;&gt;"MATCH",ISNUMBER(SEARCH("conflict",Q62))),"Y","")</f>
        <v/>
      </c>
      <c r="AF62" s="13" t="str">
        <f aca="false">IF(AND(ISNUMBER(Z62),ABS(Z62-AA62)&gt;0.001),"Y","")</f>
        <v/>
      </c>
      <c r="AG62" s="13" t="str">
        <f aca="false">IF(AND(W62&lt;&gt;"",Y62&lt;&gt;"ACCEPTED"),"Y","")</f>
        <v/>
      </c>
      <c r="AH62" s="13" t="str">
        <f aca="false">IF(COUNTIF(AB62:AG62,"Y")&gt;0,"EXCEPTION","NO EXCEPTION IDENTIFIED")</f>
        <v>EXCEPTION</v>
      </c>
      <c r="AI62" s="16" t="s">
        <v>171</v>
      </c>
      <c r="AJ62" s="16" t="s">
        <v>490</v>
      </c>
    </row>
    <row r="63" customFormat="false" ht="20.85" hidden="false" customHeight="false" outlineLevel="0" collapsed="false">
      <c r="A63" s="9" t="s">
        <v>491</v>
      </c>
      <c r="B63" s="10" t="n">
        <v>45134</v>
      </c>
      <c r="C63" s="9" t="s">
        <v>492</v>
      </c>
      <c r="D63" s="9" t="s">
        <v>493</v>
      </c>
      <c r="E63" s="9" t="n">
        <v>2652</v>
      </c>
      <c r="F63" s="10" t="n">
        <v>46033</v>
      </c>
      <c r="G63" s="9" t="n">
        <f aca="false">B63-F63</f>
        <v>-899</v>
      </c>
      <c r="H63" s="9" t="s">
        <v>494</v>
      </c>
      <c r="I63" s="9" t="s">
        <v>495</v>
      </c>
      <c r="J63" s="9" t="s">
        <v>155</v>
      </c>
      <c r="K63" s="9" t="s">
        <v>146</v>
      </c>
      <c r="L63" s="11" t="n">
        <v>24</v>
      </c>
      <c r="M63" s="9" t="s">
        <v>115</v>
      </c>
      <c r="N63" s="9" t="s">
        <v>116</v>
      </c>
      <c r="O63" s="9" t="s">
        <v>117</v>
      </c>
      <c r="P63" s="9" t="s">
        <v>178</v>
      </c>
      <c r="Q63" s="9" t="s">
        <v>119</v>
      </c>
      <c r="R63" s="9" t="s">
        <v>120</v>
      </c>
      <c r="S63" s="9"/>
      <c r="T63" s="10"/>
      <c r="U63" s="9"/>
      <c r="V63" s="9"/>
      <c r="W63" s="10"/>
      <c r="X63" s="9"/>
      <c r="Y63" s="9"/>
      <c r="Z63" s="11"/>
      <c r="AA63" s="11" t="n">
        <v>27.7</v>
      </c>
      <c r="AB63" s="9" t="str">
        <f aca="false">IF(B63&lt;F63,"Y","")</f>
        <v>Y</v>
      </c>
      <c r="AC63" s="9" t="str">
        <f aca="false">IF(O63&lt;&gt;"Y","Y","")</f>
        <v/>
      </c>
      <c r="AD63" s="9" t="str">
        <f aca="false">IF(AND(M63="declined-prior-offer",S63=""),"Y","")</f>
        <v/>
      </c>
      <c r="AE63" s="9" t="str">
        <f aca="false">IF(OR(R63&lt;&gt;"MATCH",ISNUMBER(SEARCH("conflict",Q63))),"Y","")</f>
        <v/>
      </c>
      <c r="AF63" s="9" t="str">
        <f aca="false">IF(AND(ISNUMBER(Z63),ABS(Z63-AA63)&gt;0.001),"Y","")</f>
        <v/>
      </c>
      <c r="AG63" s="9" t="str">
        <f aca="false">IF(AND(W63&lt;&gt;"",Y63&lt;&gt;"ACCEPTED"),"Y","")</f>
        <v/>
      </c>
      <c r="AH63" s="9" t="str">
        <f aca="false">IF(COUNTIF(AB63:AG63,"Y")&gt;0,"EXCEPTION","NO EXCEPTION IDENTIFIED")</f>
        <v>EXCEPTION</v>
      </c>
      <c r="AI63" s="12" t="s">
        <v>121</v>
      </c>
      <c r="AJ63" s="12" t="s">
        <v>496</v>
      </c>
    </row>
    <row r="64" customFormat="false" ht="20.85" hidden="false" customHeight="false" outlineLevel="0" collapsed="false">
      <c r="A64" s="13" t="s">
        <v>497</v>
      </c>
      <c r="B64" s="14" t="n">
        <v>45140</v>
      </c>
      <c r="C64" s="13" t="s">
        <v>498</v>
      </c>
      <c r="D64" s="13" t="s">
        <v>499</v>
      </c>
      <c r="E64" s="13" t="n">
        <v>1603</v>
      </c>
      <c r="F64" s="14" t="n">
        <v>45544</v>
      </c>
      <c r="G64" s="13" t="n">
        <f aca="false">B64-F64</f>
        <v>-404</v>
      </c>
      <c r="H64" s="13" t="s">
        <v>500</v>
      </c>
      <c r="I64" s="13" t="s">
        <v>501</v>
      </c>
      <c r="J64" s="13" t="s">
        <v>155</v>
      </c>
      <c r="K64" s="13" t="s">
        <v>146</v>
      </c>
      <c r="L64" s="15" t="n">
        <v>24</v>
      </c>
      <c r="M64" s="13" t="s">
        <v>169</v>
      </c>
      <c r="N64" s="13" t="s">
        <v>170</v>
      </c>
      <c r="O64" s="13" t="s">
        <v>117</v>
      </c>
      <c r="P64" s="13" t="s">
        <v>138</v>
      </c>
      <c r="Q64" s="13" t="s">
        <v>119</v>
      </c>
      <c r="R64" s="13" t="s">
        <v>120</v>
      </c>
      <c r="S64" s="13"/>
      <c r="T64" s="14"/>
      <c r="U64" s="13"/>
      <c r="V64" s="13"/>
      <c r="W64" s="14"/>
      <c r="X64" s="13"/>
      <c r="Y64" s="13"/>
      <c r="Z64" s="15"/>
      <c r="AA64" s="15" t="n">
        <v>56.4</v>
      </c>
      <c r="AB64" s="13" t="str">
        <f aca="false">IF(B64&lt;F64,"Y","")</f>
        <v>Y</v>
      </c>
      <c r="AC64" s="13" t="str">
        <f aca="false">IF(O64&lt;&gt;"Y","Y","")</f>
        <v/>
      </c>
      <c r="AD64" s="13" t="str">
        <f aca="false">IF(AND(M64="declined-prior-offer",S64=""),"Y","")</f>
        <v>Y</v>
      </c>
      <c r="AE64" s="13" t="str">
        <f aca="false">IF(OR(R64&lt;&gt;"MATCH",ISNUMBER(SEARCH("conflict",Q64))),"Y","")</f>
        <v/>
      </c>
      <c r="AF64" s="13" t="str">
        <f aca="false">IF(AND(ISNUMBER(Z64),ABS(Z64-AA64)&gt;0.001),"Y","")</f>
        <v/>
      </c>
      <c r="AG64" s="13" t="str">
        <f aca="false">IF(AND(W64&lt;&gt;"",Y64&lt;&gt;"ACCEPTED"),"Y","")</f>
        <v/>
      </c>
      <c r="AH64" s="13" t="str">
        <f aca="false">IF(COUNTIF(AB64:AG64,"Y")&gt;0,"EXCEPTION","NO EXCEPTION IDENTIFIED")</f>
        <v>EXCEPTION</v>
      </c>
      <c r="AI64" s="16" t="s">
        <v>171</v>
      </c>
      <c r="AJ64" s="16" t="s">
        <v>502</v>
      </c>
    </row>
    <row r="65" customFormat="false" ht="20.85" hidden="false" customHeight="false" outlineLevel="0" collapsed="false">
      <c r="A65" s="9" t="s">
        <v>503</v>
      </c>
      <c r="B65" s="10" t="n">
        <v>45143</v>
      </c>
      <c r="C65" s="9" t="s">
        <v>504</v>
      </c>
      <c r="D65" s="9" t="s">
        <v>505</v>
      </c>
      <c r="E65" s="9" t="n">
        <v>367</v>
      </c>
      <c r="F65" s="10" t="n">
        <v>44921</v>
      </c>
      <c r="G65" s="9" t="n">
        <f aca="false">B65-F65</f>
        <v>222</v>
      </c>
      <c r="H65" s="9" t="s">
        <v>506</v>
      </c>
      <c r="I65" s="9" t="s">
        <v>507</v>
      </c>
      <c r="J65" s="9" t="s">
        <v>155</v>
      </c>
      <c r="K65" s="9" t="s">
        <v>146</v>
      </c>
      <c r="L65" s="11" t="n">
        <v>32</v>
      </c>
      <c r="M65" s="9" t="s">
        <v>115</v>
      </c>
      <c r="N65" s="9" t="s">
        <v>116</v>
      </c>
      <c r="O65" s="9" t="s">
        <v>117</v>
      </c>
      <c r="P65" s="9" t="s">
        <v>138</v>
      </c>
      <c r="Q65" s="9" t="s">
        <v>119</v>
      </c>
      <c r="R65" s="9" t="s">
        <v>120</v>
      </c>
      <c r="S65" s="9"/>
      <c r="T65" s="10"/>
      <c r="U65" s="9"/>
      <c r="V65" s="9"/>
      <c r="W65" s="10"/>
      <c r="X65" s="9"/>
      <c r="Y65" s="9"/>
      <c r="Z65" s="11"/>
      <c r="AA65" s="11" t="n">
        <v>51.9</v>
      </c>
      <c r="AB65" s="9" t="str">
        <f aca="false">IF(B65&lt;F65,"Y","")</f>
        <v/>
      </c>
      <c r="AC65" s="9" t="str">
        <f aca="false">IF(O65&lt;&gt;"Y","Y","")</f>
        <v/>
      </c>
      <c r="AD65" s="9" t="str">
        <f aca="false">IF(AND(M65="declined-prior-offer",S65=""),"Y","")</f>
        <v/>
      </c>
      <c r="AE65" s="9" t="str">
        <f aca="false">IF(OR(R65&lt;&gt;"MATCH",ISNUMBER(SEARCH("conflict",Q65))),"Y","")</f>
        <v/>
      </c>
      <c r="AF65" s="9" t="str">
        <f aca="false">IF(AND(ISNUMBER(Z65),ABS(Z65-AA65)&gt;0.001),"Y","")</f>
        <v/>
      </c>
      <c r="AG65" s="9" t="str">
        <f aca="false">IF(AND(W65&lt;&gt;"",Y65&lt;&gt;"ACCEPTED"),"Y","")</f>
        <v/>
      </c>
      <c r="AH65" s="9" t="str">
        <f aca="false">IF(COUNTIF(AB65:AG65,"Y")&gt;0,"EXCEPTION","NO EXCEPTION IDENTIFIED")</f>
        <v>NO EXCEPTION IDENTIFIED</v>
      </c>
      <c r="AI65" s="12" t="s">
        <v>156</v>
      </c>
      <c r="AJ65" s="12" t="s">
        <v>508</v>
      </c>
    </row>
    <row r="66" customFormat="false" ht="20.85" hidden="false" customHeight="false" outlineLevel="0" collapsed="false">
      <c r="A66" s="13" t="s">
        <v>509</v>
      </c>
      <c r="B66" s="14" t="n">
        <v>45144</v>
      </c>
      <c r="C66" s="13" t="s">
        <v>510</v>
      </c>
      <c r="D66" s="13" t="s">
        <v>511</v>
      </c>
      <c r="E66" s="13" t="n">
        <v>29</v>
      </c>
      <c r="F66" s="14" t="n">
        <v>44638</v>
      </c>
      <c r="G66" s="13" t="n">
        <f aca="false">B66-F66</f>
        <v>506</v>
      </c>
      <c r="H66" s="13" t="s">
        <v>512</v>
      </c>
      <c r="I66" s="13" t="s">
        <v>513</v>
      </c>
      <c r="J66" s="13" t="s">
        <v>145</v>
      </c>
      <c r="K66" s="13" t="s">
        <v>146</v>
      </c>
      <c r="L66" s="15" t="n">
        <v>32</v>
      </c>
      <c r="M66" s="13" t="s">
        <v>185</v>
      </c>
      <c r="N66" s="13" t="s">
        <v>186</v>
      </c>
      <c r="O66" s="13" t="s">
        <v>117</v>
      </c>
      <c r="P66" s="13" t="s">
        <v>128</v>
      </c>
      <c r="Q66" s="13" t="s">
        <v>119</v>
      </c>
      <c r="R66" s="13" t="s">
        <v>120</v>
      </c>
      <c r="S66" s="13" t="s">
        <v>514</v>
      </c>
      <c r="T66" s="14" t="n">
        <v>44981</v>
      </c>
      <c r="U66" s="13" t="s">
        <v>515</v>
      </c>
      <c r="V66" s="13" t="s">
        <v>516</v>
      </c>
      <c r="W66" s="14"/>
      <c r="X66" s="13"/>
      <c r="Y66" s="13"/>
      <c r="Z66" s="15"/>
      <c r="AA66" s="15" t="n">
        <v>44.6</v>
      </c>
      <c r="AB66" s="13" t="str">
        <f aca="false">IF(B66&lt;F66,"Y","")</f>
        <v/>
      </c>
      <c r="AC66" s="13" t="str">
        <f aca="false">IF(O66&lt;&gt;"Y","Y","")</f>
        <v/>
      </c>
      <c r="AD66" s="13" t="str">
        <f aca="false">IF(AND(M66="declined-prior-offer",S66=""),"Y","")</f>
        <v/>
      </c>
      <c r="AE66" s="13" t="str">
        <f aca="false">IF(OR(R66&lt;&gt;"MATCH",ISNUMBER(SEARCH("conflict",Q66))),"Y","")</f>
        <v/>
      </c>
      <c r="AF66" s="13" t="str">
        <f aca="false">IF(AND(ISNUMBER(Z66),ABS(Z66-AA66)&gt;0.001),"Y","")</f>
        <v/>
      </c>
      <c r="AG66" s="13" t="str">
        <f aca="false">IF(AND(W66&lt;&gt;"",Y66&lt;&gt;"ACCEPTED"),"Y","")</f>
        <v/>
      </c>
      <c r="AH66" s="13" t="str">
        <f aca="false">IF(COUNTIF(AB66:AG66,"Y")&gt;0,"EXCEPTION","NO EXCEPTION IDENTIFIED")</f>
        <v>NO EXCEPTION IDENTIFIED</v>
      </c>
      <c r="AI66" s="16" t="s">
        <v>156</v>
      </c>
      <c r="AJ66" s="16" t="s">
        <v>517</v>
      </c>
    </row>
    <row r="67" customFormat="false" ht="20.85" hidden="false" customHeight="false" outlineLevel="0" collapsed="false">
      <c r="A67" s="9" t="s">
        <v>518</v>
      </c>
      <c r="B67" s="10" t="n">
        <v>45147</v>
      </c>
      <c r="C67" s="9" t="s">
        <v>519</v>
      </c>
      <c r="D67" s="9" t="s">
        <v>520</v>
      </c>
      <c r="E67" s="9" t="n">
        <v>297</v>
      </c>
      <c r="F67" s="10" t="n">
        <v>44881</v>
      </c>
      <c r="G67" s="9" t="n">
        <f aca="false">B67-F67</f>
        <v>266</v>
      </c>
      <c r="H67" s="9" t="s">
        <v>521</v>
      </c>
      <c r="I67" s="9" t="s">
        <v>522</v>
      </c>
      <c r="J67" s="9" t="s">
        <v>135</v>
      </c>
      <c r="K67" s="9" t="s">
        <v>114</v>
      </c>
      <c r="L67" s="11" t="n">
        <v>28</v>
      </c>
      <c r="M67" s="9" t="s">
        <v>136</v>
      </c>
      <c r="N67" s="9" t="s">
        <v>137</v>
      </c>
      <c r="O67" s="9" t="s">
        <v>117</v>
      </c>
      <c r="P67" s="9" t="s">
        <v>128</v>
      </c>
      <c r="Q67" s="9" t="s">
        <v>119</v>
      </c>
      <c r="R67" s="9" t="s">
        <v>120</v>
      </c>
      <c r="S67" s="9"/>
      <c r="T67" s="10"/>
      <c r="U67" s="9"/>
      <c r="V67" s="9"/>
      <c r="W67" s="10"/>
      <c r="X67" s="9"/>
      <c r="Y67" s="9"/>
      <c r="Z67" s="11"/>
      <c r="AA67" s="11" t="n">
        <v>44</v>
      </c>
      <c r="AB67" s="9" t="str">
        <f aca="false">IF(B67&lt;F67,"Y","")</f>
        <v/>
      </c>
      <c r="AC67" s="9" t="str">
        <f aca="false">IF(O67&lt;&gt;"Y","Y","")</f>
        <v/>
      </c>
      <c r="AD67" s="9" t="str">
        <f aca="false">IF(AND(M67="declined-prior-offer",S67=""),"Y","")</f>
        <v/>
      </c>
      <c r="AE67" s="9" t="str">
        <f aca="false">IF(OR(R67&lt;&gt;"MATCH",ISNUMBER(SEARCH("conflict",Q67))),"Y","")</f>
        <v/>
      </c>
      <c r="AF67" s="9" t="str">
        <f aca="false">IF(AND(ISNUMBER(Z67),ABS(Z67-AA67)&gt;0.001),"Y","")</f>
        <v/>
      </c>
      <c r="AG67" s="9" t="str">
        <f aca="false">IF(AND(W67&lt;&gt;"",Y67&lt;&gt;"ACCEPTED"),"Y","")</f>
        <v/>
      </c>
      <c r="AH67" s="9" t="str">
        <f aca="false">IF(COUNTIF(AB67:AG67,"Y")&gt;0,"EXCEPTION","NO EXCEPTION IDENTIFIED")</f>
        <v>NO EXCEPTION IDENTIFIED</v>
      </c>
      <c r="AI67" s="12" t="s">
        <v>156</v>
      </c>
      <c r="AJ67" s="12" t="s">
        <v>523</v>
      </c>
    </row>
    <row r="68" customFormat="false" ht="20.85" hidden="false" customHeight="false" outlineLevel="0" collapsed="false">
      <c r="A68" s="13" t="s">
        <v>524</v>
      </c>
      <c r="B68" s="14" t="n">
        <v>45148</v>
      </c>
      <c r="C68" s="13" t="s">
        <v>525</v>
      </c>
      <c r="D68" s="13" t="s">
        <v>526</v>
      </c>
      <c r="E68" s="13" t="n">
        <v>360</v>
      </c>
      <c r="F68" s="14" t="n">
        <v>44917</v>
      </c>
      <c r="G68" s="13" t="n">
        <f aca="false">B68-F68</f>
        <v>231</v>
      </c>
      <c r="H68" s="13" t="s">
        <v>527</v>
      </c>
      <c r="I68" s="13" t="s">
        <v>528</v>
      </c>
      <c r="J68" s="13" t="s">
        <v>113</v>
      </c>
      <c r="K68" s="13" t="s">
        <v>114</v>
      </c>
      <c r="L68" s="15" t="n">
        <v>40</v>
      </c>
      <c r="M68" s="13" t="s">
        <v>115</v>
      </c>
      <c r="N68" s="13" t="s">
        <v>116</v>
      </c>
      <c r="O68" s="13" t="s">
        <v>117</v>
      </c>
      <c r="P68" s="13" t="s">
        <v>118</v>
      </c>
      <c r="Q68" s="13" t="s">
        <v>119</v>
      </c>
      <c r="R68" s="13" t="s">
        <v>120</v>
      </c>
      <c r="S68" s="13"/>
      <c r="T68" s="14"/>
      <c r="U68" s="13"/>
      <c r="V68" s="13"/>
      <c r="W68" s="14"/>
      <c r="X68" s="13"/>
      <c r="Y68" s="13"/>
      <c r="Z68" s="15"/>
      <c r="AA68" s="15" t="n">
        <v>53</v>
      </c>
      <c r="AB68" s="13" t="str">
        <f aca="false">IF(B68&lt;F68,"Y","")</f>
        <v/>
      </c>
      <c r="AC68" s="13" t="str">
        <f aca="false">IF(O68&lt;&gt;"Y","Y","")</f>
        <v/>
      </c>
      <c r="AD68" s="13" t="str">
        <f aca="false">IF(AND(M68="declined-prior-offer",S68=""),"Y","")</f>
        <v/>
      </c>
      <c r="AE68" s="13" t="str">
        <f aca="false">IF(OR(R68&lt;&gt;"MATCH",ISNUMBER(SEARCH("conflict",Q68))),"Y","")</f>
        <v/>
      </c>
      <c r="AF68" s="13" t="str">
        <f aca="false">IF(AND(ISNUMBER(Z68),ABS(Z68-AA68)&gt;0.001),"Y","")</f>
        <v/>
      </c>
      <c r="AG68" s="13" t="str">
        <f aca="false">IF(AND(W68&lt;&gt;"",Y68&lt;&gt;"ACCEPTED"),"Y","")</f>
        <v/>
      </c>
      <c r="AH68" s="13" t="str">
        <f aca="false">IF(COUNTIF(AB68:AG68,"Y")&gt;0,"EXCEPTION","NO EXCEPTION IDENTIFIED")</f>
        <v>NO EXCEPTION IDENTIFIED</v>
      </c>
      <c r="AI68" s="16" t="s">
        <v>156</v>
      </c>
      <c r="AJ68" s="16" t="s">
        <v>529</v>
      </c>
    </row>
    <row r="69" customFormat="false" ht="20.85" hidden="false" customHeight="false" outlineLevel="0" collapsed="false">
      <c r="A69" s="9" t="s">
        <v>530</v>
      </c>
      <c r="B69" s="10" t="n">
        <v>45154</v>
      </c>
      <c r="C69" s="9" t="s">
        <v>531</v>
      </c>
      <c r="D69" s="9" t="s">
        <v>532</v>
      </c>
      <c r="E69" s="9" t="n">
        <v>847</v>
      </c>
      <c r="F69" s="10" t="n">
        <v>45192</v>
      </c>
      <c r="G69" s="9" t="n">
        <f aca="false">B69-F69</f>
        <v>-38</v>
      </c>
      <c r="H69" s="9" t="s">
        <v>533</v>
      </c>
      <c r="I69" s="9" t="s">
        <v>534</v>
      </c>
      <c r="J69" s="9" t="s">
        <v>145</v>
      </c>
      <c r="K69" s="9" t="s">
        <v>146</v>
      </c>
      <c r="L69" s="11" t="n">
        <v>28</v>
      </c>
      <c r="M69" s="9" t="s">
        <v>136</v>
      </c>
      <c r="N69" s="9" t="s">
        <v>137</v>
      </c>
      <c r="O69" s="9" t="s">
        <v>117</v>
      </c>
      <c r="P69" s="9" t="s">
        <v>118</v>
      </c>
      <c r="Q69" s="9" t="s">
        <v>119</v>
      </c>
      <c r="R69" s="9" t="s">
        <v>120</v>
      </c>
      <c r="S69" s="9"/>
      <c r="T69" s="10"/>
      <c r="U69" s="9"/>
      <c r="V69" s="9"/>
      <c r="W69" s="10"/>
      <c r="X69" s="9"/>
      <c r="Y69" s="9"/>
      <c r="Z69" s="11"/>
      <c r="AA69" s="11" t="n">
        <v>47.6</v>
      </c>
      <c r="AB69" s="9" t="str">
        <f aca="false">IF(B69&lt;F69,"Y","")</f>
        <v>Y</v>
      </c>
      <c r="AC69" s="9" t="str">
        <f aca="false">IF(O69&lt;&gt;"Y","Y","")</f>
        <v/>
      </c>
      <c r="AD69" s="9" t="str">
        <f aca="false">IF(AND(M69="declined-prior-offer",S69=""),"Y","")</f>
        <v/>
      </c>
      <c r="AE69" s="9" t="str">
        <f aca="false">IF(OR(R69&lt;&gt;"MATCH",ISNUMBER(SEARCH("conflict",Q69))),"Y","")</f>
        <v/>
      </c>
      <c r="AF69" s="9" t="str">
        <f aca="false">IF(AND(ISNUMBER(Z69),ABS(Z69-AA69)&gt;0.001),"Y","")</f>
        <v/>
      </c>
      <c r="AG69" s="9" t="str">
        <f aca="false">IF(AND(W69&lt;&gt;"",Y69&lt;&gt;"ACCEPTED"),"Y","")</f>
        <v/>
      </c>
      <c r="AH69" s="9" t="str">
        <f aca="false">IF(COUNTIF(AB69:AG69,"Y")&gt;0,"EXCEPTION","NO EXCEPTION IDENTIFIED")</f>
        <v>EXCEPTION</v>
      </c>
      <c r="AI69" s="12" t="s">
        <v>121</v>
      </c>
      <c r="AJ69" s="12" t="s">
        <v>535</v>
      </c>
    </row>
    <row r="70" customFormat="false" ht="20.85" hidden="false" customHeight="false" outlineLevel="0" collapsed="false">
      <c r="A70" s="13" t="s">
        <v>536</v>
      </c>
      <c r="B70" s="14" t="n">
        <v>45156</v>
      </c>
      <c r="C70" s="13" t="s">
        <v>537</v>
      </c>
      <c r="D70" s="13" t="s">
        <v>538</v>
      </c>
      <c r="E70" s="13" t="n">
        <v>1793</v>
      </c>
      <c r="F70" s="14" t="n">
        <v>45623</v>
      </c>
      <c r="G70" s="13" t="n">
        <f aca="false">B70-F70</f>
        <v>-467</v>
      </c>
      <c r="H70" s="13" t="s">
        <v>539</v>
      </c>
      <c r="I70" s="13" t="s">
        <v>540</v>
      </c>
      <c r="J70" s="13" t="s">
        <v>145</v>
      </c>
      <c r="K70" s="13" t="s">
        <v>146</v>
      </c>
      <c r="L70" s="15" t="n">
        <v>40</v>
      </c>
      <c r="M70" s="13" t="s">
        <v>115</v>
      </c>
      <c r="N70" s="13" t="s">
        <v>116</v>
      </c>
      <c r="O70" s="13" t="s">
        <v>117</v>
      </c>
      <c r="P70" s="13" t="s">
        <v>138</v>
      </c>
      <c r="Q70" s="13" t="s">
        <v>119</v>
      </c>
      <c r="R70" s="13" t="s">
        <v>120</v>
      </c>
      <c r="S70" s="13"/>
      <c r="T70" s="14"/>
      <c r="U70" s="13"/>
      <c r="V70" s="13"/>
      <c r="W70" s="14"/>
      <c r="X70" s="13"/>
      <c r="Y70" s="13"/>
      <c r="Z70" s="15"/>
      <c r="AA70" s="15" t="n">
        <v>47.6</v>
      </c>
      <c r="AB70" s="13" t="str">
        <f aca="false">IF(B70&lt;F70,"Y","")</f>
        <v>Y</v>
      </c>
      <c r="AC70" s="13" t="str">
        <f aca="false">IF(O70&lt;&gt;"Y","Y","")</f>
        <v/>
      </c>
      <c r="AD70" s="13" t="str">
        <f aca="false">IF(AND(M70="declined-prior-offer",S70=""),"Y","")</f>
        <v/>
      </c>
      <c r="AE70" s="13" t="str">
        <f aca="false">IF(OR(R70&lt;&gt;"MATCH",ISNUMBER(SEARCH("conflict",Q70))),"Y","")</f>
        <v/>
      </c>
      <c r="AF70" s="13" t="str">
        <f aca="false">IF(AND(ISNUMBER(Z70),ABS(Z70-AA70)&gt;0.001),"Y","")</f>
        <v/>
      </c>
      <c r="AG70" s="13" t="str">
        <f aca="false">IF(AND(W70&lt;&gt;"",Y70&lt;&gt;"ACCEPTED"),"Y","")</f>
        <v/>
      </c>
      <c r="AH70" s="13" t="str">
        <f aca="false">IF(COUNTIF(AB70:AG70,"Y")&gt;0,"EXCEPTION","NO EXCEPTION IDENTIFIED")</f>
        <v>EXCEPTION</v>
      </c>
      <c r="AI70" s="16" t="s">
        <v>121</v>
      </c>
      <c r="AJ70" s="16" t="s">
        <v>541</v>
      </c>
    </row>
    <row r="71" customFormat="false" ht="20.85" hidden="false" customHeight="false" outlineLevel="0" collapsed="false">
      <c r="A71" s="9" t="s">
        <v>542</v>
      </c>
      <c r="B71" s="10" t="n">
        <v>45160</v>
      </c>
      <c r="C71" s="9" t="s">
        <v>543</v>
      </c>
      <c r="D71" s="9" t="s">
        <v>544</v>
      </c>
      <c r="E71" s="9" t="n">
        <v>2153</v>
      </c>
      <c r="F71" s="10" t="n">
        <v>45781</v>
      </c>
      <c r="G71" s="9" t="n">
        <f aca="false">B71-F71</f>
        <v>-621</v>
      </c>
      <c r="H71" s="9" t="s">
        <v>545</v>
      </c>
      <c r="I71" s="9" t="s">
        <v>546</v>
      </c>
      <c r="J71" s="9" t="s">
        <v>145</v>
      </c>
      <c r="K71" s="9" t="s">
        <v>146</v>
      </c>
      <c r="L71" s="11" t="n">
        <v>28</v>
      </c>
      <c r="M71" s="9" t="s">
        <v>185</v>
      </c>
      <c r="N71" s="9" t="s">
        <v>186</v>
      </c>
      <c r="O71" s="9" t="s">
        <v>117</v>
      </c>
      <c r="P71" s="9" t="s">
        <v>178</v>
      </c>
      <c r="Q71" s="9" t="s">
        <v>119</v>
      </c>
      <c r="R71" s="9" t="s">
        <v>120</v>
      </c>
      <c r="S71" s="9"/>
      <c r="T71" s="10"/>
      <c r="U71" s="9"/>
      <c r="V71" s="9"/>
      <c r="W71" s="10"/>
      <c r="X71" s="9"/>
      <c r="Y71" s="9"/>
      <c r="Z71" s="11"/>
      <c r="AA71" s="11" t="n">
        <v>31.3</v>
      </c>
      <c r="AB71" s="9" t="str">
        <f aca="false">IF(B71&lt;F71,"Y","")</f>
        <v>Y</v>
      </c>
      <c r="AC71" s="9" t="str">
        <f aca="false">IF(O71&lt;&gt;"Y","Y","")</f>
        <v/>
      </c>
      <c r="AD71" s="9" t="str">
        <f aca="false">IF(AND(M71="declined-prior-offer",S71=""),"Y","")</f>
        <v/>
      </c>
      <c r="AE71" s="9" t="str">
        <f aca="false">IF(OR(R71&lt;&gt;"MATCH",ISNUMBER(SEARCH("conflict",Q71))),"Y","")</f>
        <v/>
      </c>
      <c r="AF71" s="9" t="str">
        <f aca="false">IF(AND(ISNUMBER(Z71),ABS(Z71-AA71)&gt;0.001),"Y","")</f>
        <v/>
      </c>
      <c r="AG71" s="9" t="str">
        <f aca="false">IF(AND(W71&lt;&gt;"",Y71&lt;&gt;"ACCEPTED"),"Y","")</f>
        <v/>
      </c>
      <c r="AH71" s="9" t="str">
        <f aca="false">IF(COUNTIF(AB71:AG71,"Y")&gt;0,"EXCEPTION","NO EXCEPTION IDENTIFIED")</f>
        <v>EXCEPTION</v>
      </c>
      <c r="AI71" s="12" t="s">
        <v>121</v>
      </c>
      <c r="AJ71" s="12" t="s">
        <v>547</v>
      </c>
    </row>
    <row r="72" customFormat="false" ht="20.85" hidden="false" customHeight="false" outlineLevel="0" collapsed="false">
      <c r="A72" s="13" t="s">
        <v>548</v>
      </c>
      <c r="B72" s="14" t="n">
        <v>45160</v>
      </c>
      <c r="C72" s="13" t="s">
        <v>549</v>
      </c>
      <c r="D72" s="13" t="s">
        <v>550</v>
      </c>
      <c r="E72" s="13" t="n">
        <v>1650</v>
      </c>
      <c r="F72" s="14" t="n">
        <v>45563</v>
      </c>
      <c r="G72" s="13" t="n">
        <f aca="false">B72-F72</f>
        <v>-403</v>
      </c>
      <c r="H72" s="13" t="s">
        <v>551</v>
      </c>
      <c r="I72" s="13" t="s">
        <v>552</v>
      </c>
      <c r="J72" s="13" t="s">
        <v>145</v>
      </c>
      <c r="K72" s="13" t="s">
        <v>146</v>
      </c>
      <c r="L72" s="15" t="n">
        <v>24</v>
      </c>
      <c r="M72" s="13" t="s">
        <v>169</v>
      </c>
      <c r="N72" s="13" t="s">
        <v>170</v>
      </c>
      <c r="O72" s="13" t="s">
        <v>117</v>
      </c>
      <c r="P72" s="13" t="s">
        <v>118</v>
      </c>
      <c r="Q72" s="13" t="s">
        <v>119</v>
      </c>
      <c r="R72" s="13" t="s">
        <v>120</v>
      </c>
      <c r="S72" s="13"/>
      <c r="T72" s="14"/>
      <c r="U72" s="13"/>
      <c r="V72" s="13"/>
      <c r="W72" s="14"/>
      <c r="X72" s="13"/>
      <c r="Y72" s="13"/>
      <c r="Z72" s="15"/>
      <c r="AA72" s="15" t="n">
        <v>46.5</v>
      </c>
      <c r="AB72" s="13" t="str">
        <f aca="false">IF(B72&lt;F72,"Y","")</f>
        <v>Y</v>
      </c>
      <c r="AC72" s="13" t="str">
        <f aca="false">IF(O72&lt;&gt;"Y","Y","")</f>
        <v/>
      </c>
      <c r="AD72" s="13" t="str">
        <f aca="false">IF(AND(M72="declined-prior-offer",S72=""),"Y","")</f>
        <v>Y</v>
      </c>
      <c r="AE72" s="13" t="str">
        <f aca="false">IF(OR(R72&lt;&gt;"MATCH",ISNUMBER(SEARCH("conflict",Q72))),"Y","")</f>
        <v/>
      </c>
      <c r="AF72" s="13" t="str">
        <f aca="false">IF(AND(ISNUMBER(Z72),ABS(Z72-AA72)&gt;0.001),"Y","")</f>
        <v/>
      </c>
      <c r="AG72" s="13" t="str">
        <f aca="false">IF(AND(W72&lt;&gt;"",Y72&lt;&gt;"ACCEPTED"),"Y","")</f>
        <v/>
      </c>
      <c r="AH72" s="13" t="str">
        <f aca="false">IF(COUNTIF(AB72:AG72,"Y")&gt;0,"EXCEPTION","NO EXCEPTION IDENTIFIED")</f>
        <v>EXCEPTION</v>
      </c>
      <c r="AI72" s="16" t="s">
        <v>171</v>
      </c>
      <c r="AJ72" s="16" t="s">
        <v>553</v>
      </c>
    </row>
    <row r="73" customFormat="false" ht="20.85" hidden="false" customHeight="false" outlineLevel="0" collapsed="false">
      <c r="A73" s="9" t="s">
        <v>554</v>
      </c>
      <c r="B73" s="10" t="n">
        <v>45172</v>
      </c>
      <c r="C73" s="9" t="s">
        <v>555</v>
      </c>
      <c r="D73" s="9" t="s">
        <v>556</v>
      </c>
      <c r="E73" s="9" t="n">
        <v>2715</v>
      </c>
      <c r="F73" s="10" t="n">
        <v>46069</v>
      </c>
      <c r="G73" s="9" t="n">
        <f aca="false">B73-F73</f>
        <v>-897</v>
      </c>
      <c r="H73" s="9" t="s">
        <v>557</v>
      </c>
      <c r="I73" s="9" t="s">
        <v>558</v>
      </c>
      <c r="J73" s="9" t="s">
        <v>135</v>
      </c>
      <c r="K73" s="9" t="s">
        <v>114</v>
      </c>
      <c r="L73" s="11" t="n">
        <v>28</v>
      </c>
      <c r="M73" s="9" t="s">
        <v>115</v>
      </c>
      <c r="N73" s="9" t="s">
        <v>116</v>
      </c>
      <c r="O73" s="9" t="s">
        <v>117</v>
      </c>
      <c r="P73" s="9" t="s">
        <v>138</v>
      </c>
      <c r="Q73" s="9" t="s">
        <v>119</v>
      </c>
      <c r="R73" s="9" t="s">
        <v>120</v>
      </c>
      <c r="S73" s="9"/>
      <c r="T73" s="10"/>
      <c r="U73" s="9"/>
      <c r="V73" s="9"/>
      <c r="W73" s="10"/>
      <c r="X73" s="9"/>
      <c r="Y73" s="9"/>
      <c r="Z73" s="11"/>
      <c r="AA73" s="11" t="n">
        <v>37</v>
      </c>
      <c r="AB73" s="9" t="str">
        <f aca="false">IF(B73&lt;F73,"Y","")</f>
        <v>Y</v>
      </c>
      <c r="AC73" s="9" t="str">
        <f aca="false">IF(O73&lt;&gt;"Y","Y","")</f>
        <v/>
      </c>
      <c r="AD73" s="9" t="str">
        <f aca="false">IF(AND(M73="declined-prior-offer",S73=""),"Y","")</f>
        <v/>
      </c>
      <c r="AE73" s="9" t="str">
        <f aca="false">IF(OR(R73&lt;&gt;"MATCH",ISNUMBER(SEARCH("conflict",Q73))),"Y","")</f>
        <v/>
      </c>
      <c r="AF73" s="9" t="str">
        <f aca="false">IF(AND(ISNUMBER(Z73),ABS(Z73-AA73)&gt;0.001),"Y","")</f>
        <v/>
      </c>
      <c r="AG73" s="9" t="str">
        <f aca="false">IF(AND(W73&lt;&gt;"",Y73&lt;&gt;"ACCEPTED"),"Y","")</f>
        <v/>
      </c>
      <c r="AH73" s="9" t="str">
        <f aca="false">IF(COUNTIF(AB73:AG73,"Y")&gt;0,"EXCEPTION","NO EXCEPTION IDENTIFIED")</f>
        <v>EXCEPTION</v>
      </c>
      <c r="AI73" s="12" t="s">
        <v>121</v>
      </c>
      <c r="AJ73" s="12" t="s">
        <v>559</v>
      </c>
    </row>
    <row r="74" customFormat="false" ht="20.85" hidden="false" customHeight="false" outlineLevel="0" collapsed="false">
      <c r="A74" s="13" t="s">
        <v>560</v>
      </c>
      <c r="B74" s="14" t="n">
        <v>45173</v>
      </c>
      <c r="C74" s="13" t="s">
        <v>561</v>
      </c>
      <c r="D74" s="13" t="s">
        <v>562</v>
      </c>
      <c r="E74" s="13" t="n">
        <v>2700</v>
      </c>
      <c r="F74" s="14" t="n">
        <v>46059</v>
      </c>
      <c r="G74" s="13" t="n">
        <f aca="false">B74-F74</f>
        <v>-886</v>
      </c>
      <c r="H74" s="13" t="s">
        <v>563</v>
      </c>
      <c r="I74" s="13" t="s">
        <v>564</v>
      </c>
      <c r="J74" s="13" t="s">
        <v>113</v>
      </c>
      <c r="K74" s="13" t="s">
        <v>114</v>
      </c>
      <c r="L74" s="15" t="n">
        <v>32</v>
      </c>
      <c r="M74" s="13" t="s">
        <v>136</v>
      </c>
      <c r="N74" s="13" t="s">
        <v>137</v>
      </c>
      <c r="O74" s="13" t="s">
        <v>117</v>
      </c>
      <c r="P74" s="13" t="s">
        <v>118</v>
      </c>
      <c r="Q74" s="13" t="s">
        <v>119</v>
      </c>
      <c r="R74" s="13" t="s">
        <v>120</v>
      </c>
      <c r="S74" s="13"/>
      <c r="T74" s="14"/>
      <c r="U74" s="13"/>
      <c r="V74" s="13"/>
      <c r="W74" s="14"/>
      <c r="X74" s="13"/>
      <c r="Y74" s="13"/>
      <c r="Z74" s="15"/>
      <c r="AA74" s="15" t="n">
        <v>18.6</v>
      </c>
      <c r="AB74" s="13" t="str">
        <f aca="false">IF(B74&lt;F74,"Y","")</f>
        <v>Y</v>
      </c>
      <c r="AC74" s="13" t="str">
        <f aca="false">IF(O74&lt;&gt;"Y","Y","")</f>
        <v/>
      </c>
      <c r="AD74" s="13" t="str">
        <f aca="false">IF(AND(M74="declined-prior-offer",S74=""),"Y","")</f>
        <v/>
      </c>
      <c r="AE74" s="13" t="str">
        <f aca="false">IF(OR(R74&lt;&gt;"MATCH",ISNUMBER(SEARCH("conflict",Q74))),"Y","")</f>
        <v/>
      </c>
      <c r="AF74" s="13" t="str">
        <f aca="false">IF(AND(ISNUMBER(Z74),ABS(Z74-AA74)&gt;0.001),"Y","")</f>
        <v/>
      </c>
      <c r="AG74" s="13" t="str">
        <f aca="false">IF(AND(W74&lt;&gt;"",Y74&lt;&gt;"ACCEPTED"),"Y","")</f>
        <v/>
      </c>
      <c r="AH74" s="13" t="str">
        <f aca="false">IF(COUNTIF(AB74:AG74,"Y")&gt;0,"EXCEPTION","NO EXCEPTION IDENTIFIED")</f>
        <v>EXCEPTION</v>
      </c>
      <c r="AI74" s="16" t="s">
        <v>121</v>
      </c>
      <c r="AJ74" s="16" t="s">
        <v>565</v>
      </c>
    </row>
    <row r="75" customFormat="false" ht="20.85" hidden="false" customHeight="false" outlineLevel="0" collapsed="false">
      <c r="A75" s="9" t="s">
        <v>566</v>
      </c>
      <c r="B75" s="10" t="n">
        <v>45174</v>
      </c>
      <c r="C75" s="9" t="s">
        <v>567</v>
      </c>
      <c r="D75" s="9" t="s">
        <v>568</v>
      </c>
      <c r="E75" s="9" t="n">
        <v>2673</v>
      </c>
      <c r="F75" s="10" t="n">
        <v>46046</v>
      </c>
      <c r="G75" s="9" t="n">
        <f aca="false">B75-F75</f>
        <v>-872</v>
      </c>
      <c r="H75" s="9" t="s">
        <v>569</v>
      </c>
      <c r="I75" s="9" t="s">
        <v>570</v>
      </c>
      <c r="J75" s="9" t="s">
        <v>155</v>
      </c>
      <c r="K75" s="9" t="s">
        <v>146</v>
      </c>
      <c r="L75" s="11" t="n">
        <v>80</v>
      </c>
      <c r="M75" s="9" t="s">
        <v>185</v>
      </c>
      <c r="N75" s="9" t="s">
        <v>186</v>
      </c>
      <c r="O75" s="9" t="s">
        <v>117</v>
      </c>
      <c r="P75" s="9" t="s">
        <v>178</v>
      </c>
      <c r="Q75" s="9" t="s">
        <v>119</v>
      </c>
      <c r="R75" s="9" t="s">
        <v>120</v>
      </c>
      <c r="S75" s="9"/>
      <c r="T75" s="10"/>
      <c r="U75" s="9"/>
      <c r="V75" s="9"/>
      <c r="W75" s="10"/>
      <c r="X75" s="9"/>
      <c r="Y75" s="9"/>
      <c r="Z75" s="11"/>
      <c r="AA75" s="11" t="n">
        <v>46.4</v>
      </c>
      <c r="AB75" s="9" t="str">
        <f aca="false">IF(B75&lt;F75,"Y","")</f>
        <v>Y</v>
      </c>
      <c r="AC75" s="9" t="str">
        <f aca="false">IF(O75&lt;&gt;"Y","Y","")</f>
        <v/>
      </c>
      <c r="AD75" s="9" t="str">
        <f aca="false">IF(AND(M75="declined-prior-offer",S75=""),"Y","")</f>
        <v/>
      </c>
      <c r="AE75" s="9" t="str">
        <f aca="false">IF(OR(R75&lt;&gt;"MATCH",ISNUMBER(SEARCH("conflict",Q75))),"Y","")</f>
        <v/>
      </c>
      <c r="AF75" s="9" t="str">
        <f aca="false">IF(AND(ISNUMBER(Z75),ABS(Z75-AA75)&gt;0.001),"Y","")</f>
        <v/>
      </c>
      <c r="AG75" s="9" t="str">
        <f aca="false">IF(AND(W75&lt;&gt;"",Y75&lt;&gt;"ACCEPTED"),"Y","")</f>
        <v/>
      </c>
      <c r="AH75" s="9" t="str">
        <f aca="false">IF(COUNTIF(AB75:AG75,"Y")&gt;0,"EXCEPTION","NO EXCEPTION IDENTIFIED")</f>
        <v>EXCEPTION</v>
      </c>
      <c r="AI75" s="12" t="s">
        <v>121</v>
      </c>
      <c r="AJ75" s="12" t="s">
        <v>571</v>
      </c>
    </row>
    <row r="76" customFormat="false" ht="20.85" hidden="false" customHeight="false" outlineLevel="0" collapsed="false">
      <c r="A76" s="13" t="s">
        <v>572</v>
      </c>
      <c r="B76" s="14" t="n">
        <v>45174</v>
      </c>
      <c r="C76" s="13" t="s">
        <v>573</v>
      </c>
      <c r="D76" s="13" t="s">
        <v>574</v>
      </c>
      <c r="E76" s="13" t="n">
        <v>746</v>
      </c>
      <c r="F76" s="14" t="n">
        <v>45138</v>
      </c>
      <c r="G76" s="13" t="n">
        <f aca="false">B76-F76</f>
        <v>36</v>
      </c>
      <c r="H76" s="13" t="s">
        <v>575</v>
      </c>
      <c r="I76" s="13" t="s">
        <v>576</v>
      </c>
      <c r="J76" s="13" t="s">
        <v>204</v>
      </c>
      <c r="K76" s="13" t="s">
        <v>146</v>
      </c>
      <c r="L76" s="15" t="n">
        <v>24</v>
      </c>
      <c r="M76" s="13" t="s">
        <v>136</v>
      </c>
      <c r="N76" s="13" t="s">
        <v>137</v>
      </c>
      <c r="O76" s="13" t="s">
        <v>117</v>
      </c>
      <c r="P76" s="13" t="s">
        <v>128</v>
      </c>
      <c r="Q76" s="13" t="s">
        <v>119</v>
      </c>
      <c r="R76" s="13" t="s">
        <v>120</v>
      </c>
      <c r="S76" s="13"/>
      <c r="T76" s="14"/>
      <c r="U76" s="13"/>
      <c r="V76" s="13"/>
      <c r="W76" s="14" t="n">
        <v>44960</v>
      </c>
      <c r="X76" s="13" t="s">
        <v>577</v>
      </c>
      <c r="Y76" s="13" t="s">
        <v>374</v>
      </c>
      <c r="Z76" s="15" t="n">
        <v>54.4</v>
      </c>
      <c r="AA76" s="15" t="n">
        <v>55.1</v>
      </c>
      <c r="AB76" s="13" t="str">
        <f aca="false">IF(B76&lt;F76,"Y","")</f>
        <v/>
      </c>
      <c r="AC76" s="13" t="str">
        <f aca="false">IF(O76&lt;&gt;"Y","Y","")</f>
        <v/>
      </c>
      <c r="AD76" s="13" t="str">
        <f aca="false">IF(AND(M76="declined-prior-offer",S76=""),"Y","")</f>
        <v/>
      </c>
      <c r="AE76" s="13" t="str">
        <f aca="false">IF(OR(R76&lt;&gt;"MATCH",ISNUMBER(SEARCH("conflict",Q76))),"Y","")</f>
        <v/>
      </c>
      <c r="AF76" s="13" t="str">
        <f aca="false">IF(AND(ISNUMBER(Z76),ABS(Z76-AA76)&gt;0.001),"Y","")</f>
        <v>Y</v>
      </c>
      <c r="AG76" s="13" t="str">
        <f aca="false">IF(AND(W76&lt;&gt;"",Y76&lt;&gt;"ACCEPTED"),"Y","")</f>
        <v/>
      </c>
      <c r="AH76" s="13" t="str">
        <f aca="false">IF(COUNTIF(AB76:AG76,"Y")&gt;0,"EXCEPTION","NO EXCEPTION IDENTIFIED")</f>
        <v>EXCEPTION</v>
      </c>
      <c r="AI76" s="16" t="s">
        <v>578</v>
      </c>
      <c r="AJ76" s="16" t="s">
        <v>579</v>
      </c>
    </row>
    <row r="77" customFormat="false" ht="20.85" hidden="false" customHeight="false" outlineLevel="0" collapsed="false">
      <c r="A77" s="9" t="s">
        <v>580</v>
      </c>
      <c r="B77" s="10" t="n">
        <v>45180</v>
      </c>
      <c r="C77" s="9" t="s">
        <v>581</v>
      </c>
      <c r="D77" s="9" t="s">
        <v>582</v>
      </c>
      <c r="E77" s="9" t="n">
        <v>2629</v>
      </c>
      <c r="F77" s="10" t="n">
        <v>46022</v>
      </c>
      <c r="G77" s="9" t="n">
        <f aca="false">B77-F77</f>
        <v>-842</v>
      </c>
      <c r="H77" s="9" t="s">
        <v>583</v>
      </c>
      <c r="I77" s="9" t="s">
        <v>168</v>
      </c>
      <c r="J77" s="9" t="s">
        <v>113</v>
      </c>
      <c r="K77" s="9" t="s">
        <v>114</v>
      </c>
      <c r="L77" s="11" t="n">
        <v>28</v>
      </c>
      <c r="M77" s="9" t="s">
        <v>115</v>
      </c>
      <c r="N77" s="9" t="s">
        <v>116</v>
      </c>
      <c r="O77" s="9" t="s">
        <v>117</v>
      </c>
      <c r="P77" s="9" t="s">
        <v>118</v>
      </c>
      <c r="Q77" s="9" t="s">
        <v>119</v>
      </c>
      <c r="R77" s="9" t="s">
        <v>120</v>
      </c>
      <c r="S77" s="9"/>
      <c r="T77" s="10"/>
      <c r="U77" s="9"/>
      <c r="V77" s="9"/>
      <c r="W77" s="10"/>
      <c r="X77" s="9"/>
      <c r="Y77" s="9"/>
      <c r="Z77" s="11"/>
      <c r="AA77" s="11" t="n">
        <v>26.5</v>
      </c>
      <c r="AB77" s="9" t="str">
        <f aca="false">IF(B77&lt;F77,"Y","")</f>
        <v>Y</v>
      </c>
      <c r="AC77" s="9" t="str">
        <f aca="false">IF(O77&lt;&gt;"Y","Y","")</f>
        <v/>
      </c>
      <c r="AD77" s="9" t="str">
        <f aca="false">IF(AND(M77="declined-prior-offer",S77=""),"Y","")</f>
        <v/>
      </c>
      <c r="AE77" s="9" t="str">
        <f aca="false">IF(OR(R77&lt;&gt;"MATCH",ISNUMBER(SEARCH("conflict",Q77))),"Y","")</f>
        <v/>
      </c>
      <c r="AF77" s="9" t="str">
        <f aca="false">IF(AND(ISNUMBER(Z77),ABS(Z77-AA77)&gt;0.001),"Y","")</f>
        <v/>
      </c>
      <c r="AG77" s="9" t="str">
        <f aca="false">IF(AND(W77&lt;&gt;"",Y77&lt;&gt;"ACCEPTED"),"Y","")</f>
        <v/>
      </c>
      <c r="AH77" s="9" t="str">
        <f aca="false">IF(COUNTIF(AB77:AG77,"Y")&gt;0,"EXCEPTION","NO EXCEPTION IDENTIFIED")</f>
        <v>EXCEPTION</v>
      </c>
      <c r="AI77" s="12" t="s">
        <v>121</v>
      </c>
      <c r="AJ77" s="12" t="s">
        <v>584</v>
      </c>
    </row>
    <row r="78" customFormat="false" ht="20.85" hidden="false" customHeight="false" outlineLevel="0" collapsed="false">
      <c r="A78" s="13" t="s">
        <v>585</v>
      </c>
      <c r="B78" s="14" t="n">
        <v>45180</v>
      </c>
      <c r="C78" s="13" t="s">
        <v>586</v>
      </c>
      <c r="D78" s="13" t="s">
        <v>587</v>
      </c>
      <c r="E78" s="13" t="n">
        <v>1285</v>
      </c>
      <c r="F78" s="14" t="n">
        <v>45404</v>
      </c>
      <c r="G78" s="13" t="n">
        <f aca="false">B78-F78</f>
        <v>-224</v>
      </c>
      <c r="H78" s="13" t="s">
        <v>588</v>
      </c>
      <c r="I78" s="13" t="s">
        <v>589</v>
      </c>
      <c r="J78" s="13" t="s">
        <v>145</v>
      </c>
      <c r="K78" s="13" t="s">
        <v>146</v>
      </c>
      <c r="L78" s="15" t="n">
        <v>28</v>
      </c>
      <c r="M78" s="13" t="s">
        <v>169</v>
      </c>
      <c r="N78" s="13" t="s">
        <v>170</v>
      </c>
      <c r="O78" s="13" t="s">
        <v>147</v>
      </c>
      <c r="P78" s="13" t="s">
        <v>138</v>
      </c>
      <c r="Q78" s="13" t="s">
        <v>119</v>
      </c>
      <c r="R78" s="13" t="s">
        <v>120</v>
      </c>
      <c r="S78" s="13"/>
      <c r="T78" s="14"/>
      <c r="U78" s="13"/>
      <c r="V78" s="13"/>
      <c r="W78" s="14"/>
      <c r="X78" s="13"/>
      <c r="Y78" s="13"/>
      <c r="Z78" s="15"/>
      <c r="AA78" s="15" t="n">
        <v>46</v>
      </c>
      <c r="AB78" s="13" t="str">
        <f aca="false">IF(B78&lt;F78,"Y","")</f>
        <v>Y</v>
      </c>
      <c r="AC78" s="13" t="str">
        <f aca="false">IF(O78&lt;&gt;"Y","Y","")</f>
        <v>Y</v>
      </c>
      <c r="AD78" s="13" t="str">
        <f aca="false">IF(AND(M78="declined-prior-offer",S78=""),"Y","")</f>
        <v>Y</v>
      </c>
      <c r="AE78" s="13" t="str">
        <f aca="false">IF(OR(R78&lt;&gt;"MATCH",ISNUMBER(SEARCH("conflict",Q78))),"Y","")</f>
        <v/>
      </c>
      <c r="AF78" s="13" t="str">
        <f aca="false">IF(AND(ISNUMBER(Z78),ABS(Z78-AA78)&gt;0.001),"Y","")</f>
        <v/>
      </c>
      <c r="AG78" s="13" t="str">
        <f aca="false">IF(AND(W78&lt;&gt;"",Y78&lt;&gt;"ACCEPTED"),"Y","")</f>
        <v/>
      </c>
      <c r="AH78" s="13" t="str">
        <f aca="false">IF(COUNTIF(AB78:AG78,"Y")&gt;0,"EXCEPTION","NO EXCEPTION IDENTIFIED")</f>
        <v>EXCEPTION</v>
      </c>
      <c r="AI78" s="16" t="s">
        <v>590</v>
      </c>
      <c r="AJ78" s="16" t="s">
        <v>591</v>
      </c>
    </row>
    <row r="79" customFormat="false" ht="20.85" hidden="false" customHeight="false" outlineLevel="0" collapsed="false">
      <c r="A79" s="9" t="s">
        <v>592</v>
      </c>
      <c r="B79" s="10" t="n">
        <v>45182</v>
      </c>
      <c r="C79" s="9" t="s">
        <v>593</v>
      </c>
      <c r="D79" s="9" t="s">
        <v>594</v>
      </c>
      <c r="E79" s="9" t="n">
        <v>1912</v>
      </c>
      <c r="F79" s="10" t="n">
        <v>45672</v>
      </c>
      <c r="G79" s="9" t="n">
        <f aca="false">B79-F79</f>
        <v>-490</v>
      </c>
      <c r="H79" s="9" t="s">
        <v>595</v>
      </c>
      <c r="I79" s="9" t="s">
        <v>596</v>
      </c>
      <c r="J79" s="9" t="s">
        <v>204</v>
      </c>
      <c r="K79" s="9" t="s">
        <v>146</v>
      </c>
      <c r="L79" s="11" t="n">
        <v>60</v>
      </c>
      <c r="M79" s="9" t="s">
        <v>115</v>
      </c>
      <c r="N79" s="9" t="s">
        <v>116</v>
      </c>
      <c r="O79" s="9" t="s">
        <v>117</v>
      </c>
      <c r="P79" s="9" t="s">
        <v>128</v>
      </c>
      <c r="Q79" s="9" t="s">
        <v>119</v>
      </c>
      <c r="R79" s="9" t="s">
        <v>120</v>
      </c>
      <c r="S79" s="9"/>
      <c r="T79" s="10"/>
      <c r="U79" s="9"/>
      <c r="V79" s="9"/>
      <c r="W79" s="10"/>
      <c r="X79" s="9"/>
      <c r="Y79" s="9"/>
      <c r="Z79" s="11"/>
      <c r="AA79" s="11" t="n">
        <v>52.6</v>
      </c>
      <c r="AB79" s="9" t="str">
        <f aca="false">IF(B79&lt;F79,"Y","")</f>
        <v>Y</v>
      </c>
      <c r="AC79" s="9" t="str">
        <f aca="false">IF(O79&lt;&gt;"Y","Y","")</f>
        <v/>
      </c>
      <c r="AD79" s="9" t="str">
        <f aca="false">IF(AND(M79="declined-prior-offer",S79=""),"Y","")</f>
        <v/>
      </c>
      <c r="AE79" s="9" t="str">
        <f aca="false">IF(OR(R79&lt;&gt;"MATCH",ISNUMBER(SEARCH("conflict",Q79))),"Y","")</f>
        <v/>
      </c>
      <c r="AF79" s="9" t="str">
        <f aca="false">IF(AND(ISNUMBER(Z79),ABS(Z79-AA79)&gt;0.001),"Y","")</f>
        <v/>
      </c>
      <c r="AG79" s="9" t="str">
        <f aca="false">IF(AND(W79&lt;&gt;"",Y79&lt;&gt;"ACCEPTED"),"Y","")</f>
        <v/>
      </c>
      <c r="AH79" s="9" t="str">
        <f aca="false">IF(COUNTIF(AB79:AG79,"Y")&gt;0,"EXCEPTION","NO EXCEPTION IDENTIFIED")</f>
        <v>EXCEPTION</v>
      </c>
      <c r="AI79" s="12" t="s">
        <v>121</v>
      </c>
      <c r="AJ79" s="12" t="s">
        <v>597</v>
      </c>
    </row>
    <row r="80" customFormat="false" ht="20.85" hidden="false" customHeight="false" outlineLevel="0" collapsed="false">
      <c r="A80" s="13" t="s">
        <v>598</v>
      </c>
      <c r="B80" s="14" t="n">
        <v>45185</v>
      </c>
      <c r="C80" s="13" t="s">
        <v>599</v>
      </c>
      <c r="D80" s="13" t="s">
        <v>600</v>
      </c>
      <c r="E80" s="13" t="n">
        <v>2844</v>
      </c>
      <c r="F80" s="14" t="n">
        <v>46159</v>
      </c>
      <c r="G80" s="13" t="n">
        <f aca="false">B80-F80</f>
        <v>-974</v>
      </c>
      <c r="H80" s="13" t="s">
        <v>601</v>
      </c>
      <c r="I80" s="13" t="s">
        <v>602</v>
      </c>
      <c r="J80" s="13" t="s">
        <v>145</v>
      </c>
      <c r="K80" s="13" t="s">
        <v>146</v>
      </c>
      <c r="L80" s="15" t="n">
        <v>60</v>
      </c>
      <c r="M80" s="13" t="s">
        <v>115</v>
      </c>
      <c r="N80" s="13" t="s">
        <v>116</v>
      </c>
      <c r="O80" s="13" t="s">
        <v>147</v>
      </c>
      <c r="P80" s="13" t="s">
        <v>118</v>
      </c>
      <c r="Q80" s="13" t="s">
        <v>119</v>
      </c>
      <c r="R80" s="13" t="s">
        <v>120</v>
      </c>
      <c r="S80" s="13"/>
      <c r="T80" s="14"/>
      <c r="U80" s="13"/>
      <c r="V80" s="13"/>
      <c r="W80" s="14"/>
      <c r="X80" s="13"/>
      <c r="Y80" s="13"/>
      <c r="Z80" s="15"/>
      <c r="AA80" s="15" t="n">
        <v>48</v>
      </c>
      <c r="AB80" s="13" t="str">
        <f aca="false">IF(B80&lt;F80,"Y","")</f>
        <v>Y</v>
      </c>
      <c r="AC80" s="13" t="str">
        <f aca="false">IF(O80&lt;&gt;"Y","Y","")</f>
        <v>Y</v>
      </c>
      <c r="AD80" s="13" t="str">
        <f aca="false">IF(AND(M80="declined-prior-offer",S80=""),"Y","")</f>
        <v/>
      </c>
      <c r="AE80" s="13" t="str">
        <f aca="false">IF(OR(R80&lt;&gt;"MATCH",ISNUMBER(SEARCH("conflict",Q80))),"Y","")</f>
        <v/>
      </c>
      <c r="AF80" s="13" t="str">
        <f aca="false">IF(AND(ISNUMBER(Z80),ABS(Z80-AA80)&gt;0.001),"Y","")</f>
        <v/>
      </c>
      <c r="AG80" s="13" t="str">
        <f aca="false">IF(AND(W80&lt;&gt;"",Y80&lt;&gt;"ACCEPTED"),"Y","")</f>
        <v/>
      </c>
      <c r="AH80" s="13" t="str">
        <f aca="false">IF(COUNTIF(AB80:AG80,"Y")&gt;0,"EXCEPTION","NO EXCEPTION IDENTIFIED")</f>
        <v>EXCEPTION</v>
      </c>
      <c r="AI80" s="16" t="s">
        <v>148</v>
      </c>
      <c r="AJ80" s="16" t="s">
        <v>603</v>
      </c>
    </row>
    <row r="81" customFormat="false" ht="20.85" hidden="false" customHeight="false" outlineLevel="0" collapsed="false">
      <c r="A81" s="9" t="s">
        <v>604</v>
      </c>
      <c r="B81" s="10" t="n">
        <v>45185</v>
      </c>
      <c r="C81" s="9" t="s">
        <v>605</v>
      </c>
      <c r="D81" s="9" t="s">
        <v>606</v>
      </c>
      <c r="E81" s="9" t="n">
        <v>1000</v>
      </c>
      <c r="F81" s="10" t="n">
        <v>45264</v>
      </c>
      <c r="G81" s="9" t="n">
        <f aca="false">B81-F81</f>
        <v>-79</v>
      </c>
      <c r="H81" s="9" t="s">
        <v>607</v>
      </c>
      <c r="I81" s="9" t="s">
        <v>608</v>
      </c>
      <c r="J81" s="9" t="s">
        <v>135</v>
      </c>
      <c r="K81" s="9" t="s">
        <v>114</v>
      </c>
      <c r="L81" s="11" t="n">
        <v>36</v>
      </c>
      <c r="M81" s="9" t="s">
        <v>185</v>
      </c>
      <c r="N81" s="9" t="s">
        <v>186</v>
      </c>
      <c r="O81" s="9" t="s">
        <v>117</v>
      </c>
      <c r="P81" s="9" t="s">
        <v>178</v>
      </c>
      <c r="Q81" s="9" t="s">
        <v>119</v>
      </c>
      <c r="R81" s="9" t="s">
        <v>120</v>
      </c>
      <c r="S81" s="9"/>
      <c r="T81" s="10"/>
      <c r="U81" s="9"/>
      <c r="V81" s="9"/>
      <c r="W81" s="10"/>
      <c r="X81" s="9"/>
      <c r="Y81" s="9"/>
      <c r="Z81" s="11"/>
      <c r="AA81" s="11" t="n">
        <v>56.2</v>
      </c>
      <c r="AB81" s="9" t="str">
        <f aca="false">IF(B81&lt;F81,"Y","")</f>
        <v>Y</v>
      </c>
      <c r="AC81" s="9" t="str">
        <f aca="false">IF(O81&lt;&gt;"Y","Y","")</f>
        <v/>
      </c>
      <c r="AD81" s="9" t="str">
        <f aca="false">IF(AND(M81="declined-prior-offer",S81=""),"Y","")</f>
        <v/>
      </c>
      <c r="AE81" s="9" t="str">
        <f aca="false">IF(OR(R81&lt;&gt;"MATCH",ISNUMBER(SEARCH("conflict",Q81))),"Y","")</f>
        <v/>
      </c>
      <c r="AF81" s="9" t="str">
        <f aca="false">IF(AND(ISNUMBER(Z81),ABS(Z81-AA81)&gt;0.001),"Y","")</f>
        <v/>
      </c>
      <c r="AG81" s="9" t="str">
        <f aca="false">IF(AND(W81&lt;&gt;"",Y81&lt;&gt;"ACCEPTED"),"Y","")</f>
        <v/>
      </c>
      <c r="AH81" s="9" t="str">
        <f aca="false">IF(COUNTIF(AB81:AG81,"Y")&gt;0,"EXCEPTION","NO EXCEPTION IDENTIFIED")</f>
        <v>EXCEPTION</v>
      </c>
      <c r="AI81" s="12" t="s">
        <v>121</v>
      </c>
      <c r="AJ81" s="12" t="s">
        <v>609</v>
      </c>
    </row>
    <row r="82" customFormat="false" ht="20.85" hidden="false" customHeight="false" outlineLevel="0" collapsed="false">
      <c r="A82" s="13" t="s">
        <v>610</v>
      </c>
      <c r="B82" s="14" t="n">
        <v>45186</v>
      </c>
      <c r="C82" s="13" t="s">
        <v>611</v>
      </c>
      <c r="D82" s="13" t="s">
        <v>612</v>
      </c>
      <c r="E82" s="13" t="n">
        <v>80</v>
      </c>
      <c r="F82" s="14" t="n">
        <v>44691</v>
      </c>
      <c r="G82" s="13" t="n">
        <f aca="false">B82-F82</f>
        <v>495</v>
      </c>
      <c r="H82" s="13" t="s">
        <v>613</v>
      </c>
      <c r="I82" s="13" t="s">
        <v>614</v>
      </c>
      <c r="J82" s="13" t="s">
        <v>145</v>
      </c>
      <c r="K82" s="13" t="s">
        <v>146</v>
      </c>
      <c r="L82" s="15" t="n">
        <v>28</v>
      </c>
      <c r="M82" s="13" t="s">
        <v>169</v>
      </c>
      <c r="N82" s="13" t="s">
        <v>170</v>
      </c>
      <c r="O82" s="13" t="s">
        <v>117</v>
      </c>
      <c r="P82" s="13" t="s">
        <v>118</v>
      </c>
      <c r="Q82" s="13" t="s">
        <v>119</v>
      </c>
      <c r="R82" s="13" t="s">
        <v>120</v>
      </c>
      <c r="S82" s="13"/>
      <c r="T82" s="14"/>
      <c r="U82" s="13"/>
      <c r="V82" s="13"/>
      <c r="W82" s="14"/>
      <c r="X82" s="13"/>
      <c r="Y82" s="13"/>
      <c r="Z82" s="15"/>
      <c r="AA82" s="15" t="n">
        <v>54</v>
      </c>
      <c r="AB82" s="13" t="str">
        <f aca="false">IF(B82&lt;F82,"Y","")</f>
        <v/>
      </c>
      <c r="AC82" s="13" t="str">
        <f aca="false">IF(O82&lt;&gt;"Y","Y","")</f>
        <v/>
      </c>
      <c r="AD82" s="13" t="str">
        <f aca="false">IF(AND(M82="declined-prior-offer",S82=""),"Y","")</f>
        <v>Y</v>
      </c>
      <c r="AE82" s="13" t="str">
        <f aca="false">IF(OR(R82&lt;&gt;"MATCH",ISNUMBER(SEARCH("conflict",Q82))),"Y","")</f>
        <v/>
      </c>
      <c r="AF82" s="13" t="str">
        <f aca="false">IF(AND(ISNUMBER(Z82),ABS(Z82-AA82)&gt;0.001),"Y","")</f>
        <v/>
      </c>
      <c r="AG82" s="13" t="str">
        <f aca="false">IF(AND(W82&lt;&gt;"",Y82&lt;&gt;"ACCEPTED"),"Y","")</f>
        <v/>
      </c>
      <c r="AH82" s="13" t="str">
        <f aca="false">IF(COUNTIF(AB82:AG82,"Y")&gt;0,"EXCEPTION","NO EXCEPTION IDENTIFIED")</f>
        <v>EXCEPTION</v>
      </c>
      <c r="AI82" s="16" t="s">
        <v>229</v>
      </c>
      <c r="AJ82" s="16" t="s">
        <v>615</v>
      </c>
    </row>
    <row r="83" customFormat="false" ht="20.85" hidden="false" customHeight="false" outlineLevel="0" collapsed="false">
      <c r="A83" s="9" t="s">
        <v>616</v>
      </c>
      <c r="B83" s="10" t="n">
        <v>45187</v>
      </c>
      <c r="C83" s="9" t="s">
        <v>617</v>
      </c>
      <c r="D83" s="9" t="s">
        <v>618</v>
      </c>
      <c r="E83" s="9" t="n">
        <v>2249</v>
      </c>
      <c r="F83" s="10" t="n">
        <v>45829</v>
      </c>
      <c r="G83" s="9" t="n">
        <f aca="false">B83-F83</f>
        <v>-642</v>
      </c>
      <c r="H83" s="9" t="s">
        <v>619</v>
      </c>
      <c r="I83" s="9" t="s">
        <v>620</v>
      </c>
      <c r="J83" s="9" t="s">
        <v>145</v>
      </c>
      <c r="K83" s="9" t="s">
        <v>146</v>
      </c>
      <c r="L83" s="11" t="n">
        <v>50</v>
      </c>
      <c r="M83" s="9" t="s">
        <v>136</v>
      </c>
      <c r="N83" s="9" t="s">
        <v>137</v>
      </c>
      <c r="O83" s="9" t="s">
        <v>117</v>
      </c>
      <c r="P83" s="9" t="s">
        <v>118</v>
      </c>
      <c r="Q83" s="9" t="s">
        <v>119</v>
      </c>
      <c r="R83" s="9" t="s">
        <v>120</v>
      </c>
      <c r="S83" s="9"/>
      <c r="T83" s="10"/>
      <c r="U83" s="9"/>
      <c r="V83" s="9"/>
      <c r="W83" s="10"/>
      <c r="X83" s="9"/>
      <c r="Y83" s="9"/>
      <c r="Z83" s="11"/>
      <c r="AA83" s="11" t="n">
        <v>60.8</v>
      </c>
      <c r="AB83" s="9" t="str">
        <f aca="false">IF(B83&lt;F83,"Y","")</f>
        <v>Y</v>
      </c>
      <c r="AC83" s="9" t="str">
        <f aca="false">IF(O83&lt;&gt;"Y","Y","")</f>
        <v/>
      </c>
      <c r="AD83" s="9" t="str">
        <f aca="false">IF(AND(M83="declined-prior-offer",S83=""),"Y","")</f>
        <v/>
      </c>
      <c r="AE83" s="9" t="str">
        <f aca="false">IF(OR(R83&lt;&gt;"MATCH",ISNUMBER(SEARCH("conflict",Q83))),"Y","")</f>
        <v/>
      </c>
      <c r="AF83" s="9" t="str">
        <f aca="false">IF(AND(ISNUMBER(Z83),ABS(Z83-AA83)&gt;0.001),"Y","")</f>
        <v/>
      </c>
      <c r="AG83" s="9" t="str">
        <f aca="false">IF(AND(W83&lt;&gt;"",Y83&lt;&gt;"ACCEPTED"),"Y","")</f>
        <v/>
      </c>
      <c r="AH83" s="9" t="str">
        <f aca="false">IF(COUNTIF(AB83:AG83,"Y")&gt;0,"EXCEPTION","NO EXCEPTION IDENTIFIED")</f>
        <v>EXCEPTION</v>
      </c>
      <c r="AI83" s="12" t="s">
        <v>121</v>
      </c>
      <c r="AJ83" s="12" t="s">
        <v>621</v>
      </c>
    </row>
    <row r="84" customFormat="false" ht="20.85" hidden="false" customHeight="false" outlineLevel="0" collapsed="false">
      <c r="A84" s="13" t="s">
        <v>622</v>
      </c>
      <c r="B84" s="14" t="n">
        <v>45190</v>
      </c>
      <c r="C84" s="13" t="s">
        <v>623</v>
      </c>
      <c r="D84" s="13" t="s">
        <v>624</v>
      </c>
      <c r="E84" s="13" t="n">
        <v>168</v>
      </c>
      <c r="F84" s="14" t="n">
        <v>44782</v>
      </c>
      <c r="G84" s="13" t="n">
        <f aca="false">B84-F84</f>
        <v>408</v>
      </c>
      <c r="H84" s="13" t="s">
        <v>625</v>
      </c>
      <c r="I84" s="13" t="s">
        <v>626</v>
      </c>
      <c r="J84" s="13" t="s">
        <v>113</v>
      </c>
      <c r="K84" s="13" t="s">
        <v>114</v>
      </c>
      <c r="L84" s="15" t="n">
        <v>40</v>
      </c>
      <c r="M84" s="13" t="s">
        <v>169</v>
      </c>
      <c r="N84" s="13" t="s">
        <v>170</v>
      </c>
      <c r="O84" s="13" t="s">
        <v>117</v>
      </c>
      <c r="P84" s="13" t="s">
        <v>118</v>
      </c>
      <c r="Q84" s="13" t="s">
        <v>119</v>
      </c>
      <c r="R84" s="13" t="s">
        <v>120</v>
      </c>
      <c r="S84" s="13"/>
      <c r="T84" s="14"/>
      <c r="U84" s="13"/>
      <c r="V84" s="13"/>
      <c r="W84" s="14"/>
      <c r="X84" s="13"/>
      <c r="Y84" s="13"/>
      <c r="Z84" s="15"/>
      <c r="AA84" s="15" t="n">
        <v>59.1</v>
      </c>
      <c r="AB84" s="13" t="str">
        <f aca="false">IF(B84&lt;F84,"Y","")</f>
        <v/>
      </c>
      <c r="AC84" s="13" t="str">
        <f aca="false">IF(O84&lt;&gt;"Y","Y","")</f>
        <v/>
      </c>
      <c r="AD84" s="13" t="str">
        <f aca="false">IF(AND(M84="declined-prior-offer",S84=""),"Y","")</f>
        <v>Y</v>
      </c>
      <c r="AE84" s="13" t="str">
        <f aca="false">IF(OR(R84&lt;&gt;"MATCH",ISNUMBER(SEARCH("conflict",Q84))),"Y","")</f>
        <v/>
      </c>
      <c r="AF84" s="13" t="str">
        <f aca="false">IF(AND(ISNUMBER(Z84),ABS(Z84-AA84)&gt;0.001),"Y","")</f>
        <v/>
      </c>
      <c r="AG84" s="13" t="str">
        <f aca="false">IF(AND(W84&lt;&gt;"",Y84&lt;&gt;"ACCEPTED"),"Y","")</f>
        <v/>
      </c>
      <c r="AH84" s="13" t="str">
        <f aca="false">IF(COUNTIF(AB84:AG84,"Y")&gt;0,"EXCEPTION","NO EXCEPTION IDENTIFIED")</f>
        <v>EXCEPTION</v>
      </c>
      <c r="AI84" s="16" t="s">
        <v>229</v>
      </c>
      <c r="AJ84" s="16" t="s">
        <v>627</v>
      </c>
    </row>
    <row r="85" customFormat="false" ht="20.85" hidden="false" customHeight="false" outlineLevel="0" collapsed="false">
      <c r="A85" s="9" t="s">
        <v>628</v>
      </c>
      <c r="B85" s="10" t="n">
        <v>45194</v>
      </c>
      <c r="C85" s="9" t="s">
        <v>629</v>
      </c>
      <c r="D85" s="9" t="s">
        <v>630</v>
      </c>
      <c r="E85" s="9" t="n">
        <v>566</v>
      </c>
      <c r="F85" s="10" t="n">
        <v>45038</v>
      </c>
      <c r="G85" s="9" t="n">
        <f aca="false">B85-F85</f>
        <v>156</v>
      </c>
      <c r="H85" s="9" t="s">
        <v>631</v>
      </c>
      <c r="I85" s="9" t="s">
        <v>632</v>
      </c>
      <c r="J85" s="9" t="s">
        <v>113</v>
      </c>
      <c r="K85" s="9" t="s">
        <v>114</v>
      </c>
      <c r="L85" s="11" t="n">
        <v>28</v>
      </c>
      <c r="M85" s="9" t="s">
        <v>115</v>
      </c>
      <c r="N85" s="9" t="s">
        <v>116</v>
      </c>
      <c r="O85" s="9" t="s">
        <v>117</v>
      </c>
      <c r="P85" s="9" t="s">
        <v>128</v>
      </c>
      <c r="Q85" s="9" t="s">
        <v>119</v>
      </c>
      <c r="R85" s="9" t="s">
        <v>120</v>
      </c>
      <c r="S85" s="9"/>
      <c r="T85" s="10"/>
      <c r="U85" s="9"/>
      <c r="V85" s="9"/>
      <c r="W85" s="10"/>
      <c r="X85" s="9"/>
      <c r="Y85" s="9"/>
      <c r="Z85" s="11"/>
      <c r="AA85" s="11" t="n">
        <v>32.9</v>
      </c>
      <c r="AB85" s="9" t="str">
        <f aca="false">IF(B85&lt;F85,"Y","")</f>
        <v/>
      </c>
      <c r="AC85" s="9" t="str">
        <f aca="false">IF(O85&lt;&gt;"Y","Y","")</f>
        <v/>
      </c>
      <c r="AD85" s="9" t="str">
        <f aca="false">IF(AND(M85="declined-prior-offer",S85=""),"Y","")</f>
        <v/>
      </c>
      <c r="AE85" s="9" t="str">
        <f aca="false">IF(OR(R85&lt;&gt;"MATCH",ISNUMBER(SEARCH("conflict",Q85))),"Y","")</f>
        <v/>
      </c>
      <c r="AF85" s="9" t="str">
        <f aca="false">IF(AND(ISNUMBER(Z85),ABS(Z85-AA85)&gt;0.001),"Y","")</f>
        <v/>
      </c>
      <c r="AG85" s="9" t="str">
        <f aca="false">IF(AND(W85&lt;&gt;"",Y85&lt;&gt;"ACCEPTED"),"Y","")</f>
        <v/>
      </c>
      <c r="AH85" s="9" t="str">
        <f aca="false">IF(COUNTIF(AB85:AG85,"Y")&gt;0,"EXCEPTION","NO EXCEPTION IDENTIFIED")</f>
        <v>NO EXCEPTION IDENTIFIED</v>
      </c>
      <c r="AI85" s="12" t="s">
        <v>156</v>
      </c>
      <c r="AJ85" s="12" t="s">
        <v>633</v>
      </c>
    </row>
    <row r="86" customFormat="false" ht="20.85" hidden="false" customHeight="false" outlineLevel="0" collapsed="false">
      <c r="A86" s="13" t="s">
        <v>634</v>
      </c>
      <c r="B86" s="14" t="n">
        <v>45204</v>
      </c>
      <c r="C86" s="13" t="s">
        <v>635</v>
      </c>
      <c r="D86" s="13" t="s">
        <v>636</v>
      </c>
      <c r="E86" s="13" t="n">
        <v>594</v>
      </c>
      <c r="F86" s="14" t="n">
        <v>45058</v>
      </c>
      <c r="G86" s="13" t="n">
        <f aca="false">B86-F86</f>
        <v>146</v>
      </c>
      <c r="H86" s="13" t="s">
        <v>637</v>
      </c>
      <c r="I86" s="13" t="s">
        <v>638</v>
      </c>
      <c r="J86" s="13" t="s">
        <v>155</v>
      </c>
      <c r="K86" s="13" t="s">
        <v>146</v>
      </c>
      <c r="L86" s="15" t="n">
        <v>24</v>
      </c>
      <c r="M86" s="13" t="s">
        <v>115</v>
      </c>
      <c r="N86" s="13" t="s">
        <v>116</v>
      </c>
      <c r="O86" s="13" t="s">
        <v>117</v>
      </c>
      <c r="P86" s="13" t="s">
        <v>178</v>
      </c>
      <c r="Q86" s="13" t="s">
        <v>119</v>
      </c>
      <c r="R86" s="13" t="s">
        <v>120</v>
      </c>
      <c r="S86" s="13" t="s">
        <v>639</v>
      </c>
      <c r="T86" s="14" t="n">
        <v>45099</v>
      </c>
      <c r="U86" s="13" t="s">
        <v>640</v>
      </c>
      <c r="V86" s="13" t="s">
        <v>360</v>
      </c>
      <c r="W86" s="14" t="n">
        <v>45148</v>
      </c>
      <c r="X86" s="13" t="s">
        <v>641</v>
      </c>
      <c r="Y86" s="13" t="s">
        <v>374</v>
      </c>
      <c r="Z86" s="15" t="n">
        <v>23.5</v>
      </c>
      <c r="AA86" s="15" t="n">
        <v>47.4</v>
      </c>
      <c r="AB86" s="13" t="str">
        <f aca="false">IF(B86&lt;F86,"Y","")</f>
        <v/>
      </c>
      <c r="AC86" s="13" t="str">
        <f aca="false">IF(O86&lt;&gt;"Y","Y","")</f>
        <v/>
      </c>
      <c r="AD86" s="13" t="str">
        <f aca="false">IF(AND(M86="declined-prior-offer",S86=""),"Y","")</f>
        <v/>
      </c>
      <c r="AE86" s="13" t="str">
        <f aca="false">IF(OR(R86&lt;&gt;"MATCH",ISNUMBER(SEARCH("conflict",Q86))),"Y","")</f>
        <v/>
      </c>
      <c r="AF86" s="13" t="str">
        <f aca="false">IF(AND(ISNUMBER(Z86),ABS(Z86-AA86)&gt;0.001),"Y","")</f>
        <v>Y</v>
      </c>
      <c r="AG86" s="13" t="str">
        <f aca="false">IF(AND(W86&lt;&gt;"",Y86&lt;&gt;"ACCEPTED"),"Y","")</f>
        <v/>
      </c>
      <c r="AH86" s="13" t="str">
        <f aca="false">IF(COUNTIF(AB86:AG86,"Y")&gt;0,"EXCEPTION","NO EXCEPTION IDENTIFIED")</f>
        <v>EXCEPTION</v>
      </c>
      <c r="AI86" s="16" t="s">
        <v>578</v>
      </c>
      <c r="AJ86" s="16" t="s">
        <v>642</v>
      </c>
    </row>
    <row r="87" customFormat="false" ht="20.85" hidden="false" customHeight="false" outlineLevel="0" collapsed="false">
      <c r="A87" s="9" t="s">
        <v>643</v>
      </c>
      <c r="B87" s="10" t="n">
        <v>45205</v>
      </c>
      <c r="C87" s="9" t="s">
        <v>644</v>
      </c>
      <c r="D87" s="9" t="s">
        <v>645</v>
      </c>
      <c r="E87" s="9" t="n">
        <v>3</v>
      </c>
      <c r="F87" s="10" t="n">
        <v>44579</v>
      </c>
      <c r="G87" s="9" t="n">
        <f aca="false">B87-F87</f>
        <v>626</v>
      </c>
      <c r="H87" s="9" t="s">
        <v>646</v>
      </c>
      <c r="I87" s="9" t="s">
        <v>647</v>
      </c>
      <c r="J87" s="9" t="s">
        <v>204</v>
      </c>
      <c r="K87" s="9" t="s">
        <v>146</v>
      </c>
      <c r="L87" s="11" t="n">
        <v>60</v>
      </c>
      <c r="M87" s="9" t="s">
        <v>136</v>
      </c>
      <c r="N87" s="9" t="s">
        <v>137</v>
      </c>
      <c r="O87" s="9" t="s">
        <v>117</v>
      </c>
      <c r="P87" s="9" t="s">
        <v>128</v>
      </c>
      <c r="Q87" s="9" t="s">
        <v>119</v>
      </c>
      <c r="R87" s="9" t="s">
        <v>120</v>
      </c>
      <c r="S87" s="9"/>
      <c r="T87" s="10"/>
      <c r="U87" s="9"/>
      <c r="V87" s="9"/>
      <c r="W87" s="10"/>
      <c r="X87" s="9"/>
      <c r="Y87" s="9"/>
      <c r="Z87" s="11"/>
      <c r="AA87" s="11" t="n">
        <v>55</v>
      </c>
      <c r="AB87" s="9" t="str">
        <f aca="false">IF(B87&lt;F87,"Y","")</f>
        <v/>
      </c>
      <c r="AC87" s="9" t="str">
        <f aca="false">IF(O87&lt;&gt;"Y","Y","")</f>
        <v/>
      </c>
      <c r="AD87" s="9" t="str">
        <f aca="false">IF(AND(M87="declined-prior-offer",S87=""),"Y","")</f>
        <v/>
      </c>
      <c r="AE87" s="9" t="str">
        <f aca="false">IF(OR(R87&lt;&gt;"MATCH",ISNUMBER(SEARCH("conflict",Q87))),"Y","")</f>
        <v/>
      </c>
      <c r="AF87" s="9" t="str">
        <f aca="false">IF(AND(ISNUMBER(Z87),ABS(Z87-AA87)&gt;0.001),"Y","")</f>
        <v/>
      </c>
      <c r="AG87" s="9" t="str">
        <f aca="false">IF(AND(W87&lt;&gt;"",Y87&lt;&gt;"ACCEPTED"),"Y","")</f>
        <v/>
      </c>
      <c r="AH87" s="9" t="str">
        <f aca="false">IF(COUNTIF(AB87:AG87,"Y")&gt;0,"EXCEPTION","NO EXCEPTION IDENTIFIED")</f>
        <v>NO EXCEPTION IDENTIFIED</v>
      </c>
      <c r="AI87" s="12" t="s">
        <v>156</v>
      </c>
      <c r="AJ87" s="12" t="s">
        <v>648</v>
      </c>
    </row>
    <row r="88" customFormat="false" ht="20.85" hidden="false" customHeight="false" outlineLevel="0" collapsed="false">
      <c r="A88" s="13" t="s">
        <v>649</v>
      </c>
      <c r="B88" s="14" t="n">
        <v>45208</v>
      </c>
      <c r="C88" s="13" t="s">
        <v>650</v>
      </c>
      <c r="D88" s="13" t="s">
        <v>651</v>
      </c>
      <c r="E88" s="13" t="n">
        <v>704</v>
      </c>
      <c r="F88" s="14" t="n">
        <v>45116</v>
      </c>
      <c r="G88" s="13" t="n">
        <f aca="false">B88-F88</f>
        <v>92</v>
      </c>
      <c r="H88" s="13" t="s">
        <v>652</v>
      </c>
      <c r="I88" s="13" t="s">
        <v>653</v>
      </c>
      <c r="J88" s="13" t="s">
        <v>145</v>
      </c>
      <c r="K88" s="13" t="s">
        <v>146</v>
      </c>
      <c r="L88" s="15" t="n">
        <v>32</v>
      </c>
      <c r="M88" s="13" t="s">
        <v>185</v>
      </c>
      <c r="N88" s="13" t="s">
        <v>186</v>
      </c>
      <c r="O88" s="13" t="s">
        <v>117</v>
      </c>
      <c r="P88" s="13" t="s">
        <v>138</v>
      </c>
      <c r="Q88" s="13" t="s">
        <v>119</v>
      </c>
      <c r="R88" s="13" t="s">
        <v>120</v>
      </c>
      <c r="S88" s="13"/>
      <c r="T88" s="14"/>
      <c r="U88" s="13"/>
      <c r="V88" s="13"/>
      <c r="W88" s="14"/>
      <c r="X88" s="13"/>
      <c r="Y88" s="13"/>
      <c r="Z88" s="15"/>
      <c r="AA88" s="15" t="n">
        <v>24.6</v>
      </c>
      <c r="AB88" s="13" t="str">
        <f aca="false">IF(B88&lt;F88,"Y","")</f>
        <v/>
      </c>
      <c r="AC88" s="13" t="str">
        <f aca="false">IF(O88&lt;&gt;"Y","Y","")</f>
        <v/>
      </c>
      <c r="AD88" s="13" t="str">
        <f aca="false">IF(AND(M88="declined-prior-offer",S88=""),"Y","")</f>
        <v/>
      </c>
      <c r="AE88" s="13" t="str">
        <f aca="false">IF(OR(R88&lt;&gt;"MATCH",ISNUMBER(SEARCH("conflict",Q88))),"Y","")</f>
        <v/>
      </c>
      <c r="AF88" s="13" t="str">
        <f aca="false">IF(AND(ISNUMBER(Z88),ABS(Z88-AA88)&gt;0.001),"Y","")</f>
        <v/>
      </c>
      <c r="AG88" s="13" t="str">
        <f aca="false">IF(AND(W88&lt;&gt;"",Y88&lt;&gt;"ACCEPTED"),"Y","")</f>
        <v/>
      </c>
      <c r="AH88" s="13" t="str">
        <f aca="false">IF(COUNTIF(AB88:AG88,"Y")&gt;0,"EXCEPTION","NO EXCEPTION IDENTIFIED")</f>
        <v>NO EXCEPTION IDENTIFIED</v>
      </c>
      <c r="AI88" s="16" t="s">
        <v>156</v>
      </c>
      <c r="AJ88" s="16" t="s">
        <v>654</v>
      </c>
    </row>
    <row r="89" customFormat="false" ht="20.85" hidden="false" customHeight="false" outlineLevel="0" collapsed="false">
      <c r="A89" s="9" t="s">
        <v>655</v>
      </c>
      <c r="B89" s="10" t="n">
        <v>45220</v>
      </c>
      <c r="C89" s="9" t="s">
        <v>656</v>
      </c>
      <c r="D89" s="9" t="s">
        <v>657</v>
      </c>
      <c r="E89" s="9" t="n">
        <v>918</v>
      </c>
      <c r="F89" s="10" t="n">
        <v>45229</v>
      </c>
      <c r="G89" s="9" t="n">
        <f aca="false">B89-F89</f>
        <v>-9</v>
      </c>
      <c r="H89" s="9" t="s">
        <v>658</v>
      </c>
      <c r="I89" s="9" t="s">
        <v>659</v>
      </c>
      <c r="J89" s="9" t="s">
        <v>135</v>
      </c>
      <c r="K89" s="9" t="s">
        <v>114</v>
      </c>
      <c r="L89" s="11" t="n">
        <v>24</v>
      </c>
      <c r="M89" s="9" t="s">
        <v>185</v>
      </c>
      <c r="N89" s="9" t="s">
        <v>186</v>
      </c>
      <c r="O89" s="9" t="s">
        <v>117</v>
      </c>
      <c r="P89" s="9" t="s">
        <v>178</v>
      </c>
      <c r="Q89" s="9" t="s">
        <v>119</v>
      </c>
      <c r="R89" s="9" t="s">
        <v>120</v>
      </c>
      <c r="S89" s="9"/>
      <c r="T89" s="10"/>
      <c r="U89" s="9"/>
      <c r="V89" s="9"/>
      <c r="W89" s="10"/>
      <c r="X89" s="9"/>
      <c r="Y89" s="9"/>
      <c r="Z89" s="11"/>
      <c r="AA89" s="11" t="n">
        <v>42.8</v>
      </c>
      <c r="AB89" s="9" t="str">
        <f aca="false">IF(B89&lt;F89,"Y","")</f>
        <v>Y</v>
      </c>
      <c r="AC89" s="9" t="str">
        <f aca="false">IF(O89&lt;&gt;"Y","Y","")</f>
        <v/>
      </c>
      <c r="AD89" s="9" t="str">
        <f aca="false">IF(AND(M89="declined-prior-offer",S89=""),"Y","")</f>
        <v/>
      </c>
      <c r="AE89" s="9" t="str">
        <f aca="false">IF(OR(R89&lt;&gt;"MATCH",ISNUMBER(SEARCH("conflict",Q89))),"Y","")</f>
        <v/>
      </c>
      <c r="AF89" s="9" t="str">
        <f aca="false">IF(AND(ISNUMBER(Z89),ABS(Z89-AA89)&gt;0.001),"Y","")</f>
        <v/>
      </c>
      <c r="AG89" s="9" t="str">
        <f aca="false">IF(AND(W89&lt;&gt;"",Y89&lt;&gt;"ACCEPTED"),"Y","")</f>
        <v/>
      </c>
      <c r="AH89" s="9" t="str">
        <f aca="false">IF(COUNTIF(AB89:AG89,"Y")&gt;0,"EXCEPTION","NO EXCEPTION IDENTIFIED")</f>
        <v>EXCEPTION</v>
      </c>
      <c r="AI89" s="12" t="s">
        <v>121</v>
      </c>
      <c r="AJ89" s="12" t="s">
        <v>660</v>
      </c>
    </row>
    <row r="90" customFormat="false" ht="20.85" hidden="false" customHeight="false" outlineLevel="0" collapsed="false">
      <c r="A90" s="13" t="s">
        <v>661</v>
      </c>
      <c r="B90" s="14" t="n">
        <v>45223</v>
      </c>
      <c r="C90" s="13" t="s">
        <v>662</v>
      </c>
      <c r="D90" s="13" t="s">
        <v>663</v>
      </c>
      <c r="E90" s="13" t="n">
        <v>2849</v>
      </c>
      <c r="F90" s="14" t="n">
        <v>46166</v>
      </c>
      <c r="G90" s="13" t="n">
        <f aca="false">B90-F90</f>
        <v>-943</v>
      </c>
      <c r="H90" s="13" t="s">
        <v>664</v>
      </c>
      <c r="I90" s="13" t="s">
        <v>665</v>
      </c>
      <c r="J90" s="13" t="s">
        <v>204</v>
      </c>
      <c r="K90" s="13" t="s">
        <v>146</v>
      </c>
      <c r="L90" s="15" t="n">
        <v>40</v>
      </c>
      <c r="M90" s="13" t="s">
        <v>136</v>
      </c>
      <c r="N90" s="13" t="s">
        <v>137</v>
      </c>
      <c r="O90" s="13" t="s">
        <v>117</v>
      </c>
      <c r="P90" s="13" t="s">
        <v>118</v>
      </c>
      <c r="Q90" s="13" t="s">
        <v>119</v>
      </c>
      <c r="R90" s="13" t="s">
        <v>120</v>
      </c>
      <c r="S90" s="13"/>
      <c r="T90" s="14"/>
      <c r="U90" s="13"/>
      <c r="V90" s="13"/>
      <c r="W90" s="14"/>
      <c r="X90" s="13"/>
      <c r="Y90" s="13"/>
      <c r="Z90" s="15"/>
      <c r="AA90" s="15" t="n">
        <v>60.4</v>
      </c>
      <c r="AB90" s="13" t="str">
        <f aca="false">IF(B90&lt;F90,"Y","")</f>
        <v>Y</v>
      </c>
      <c r="AC90" s="13" t="str">
        <f aca="false">IF(O90&lt;&gt;"Y","Y","")</f>
        <v/>
      </c>
      <c r="AD90" s="13" t="str">
        <f aca="false">IF(AND(M90="declined-prior-offer",S90=""),"Y","")</f>
        <v/>
      </c>
      <c r="AE90" s="13" t="str">
        <f aca="false">IF(OR(R90&lt;&gt;"MATCH",ISNUMBER(SEARCH("conflict",Q90))),"Y","")</f>
        <v/>
      </c>
      <c r="AF90" s="13" t="str">
        <f aca="false">IF(AND(ISNUMBER(Z90),ABS(Z90-AA90)&gt;0.001),"Y","")</f>
        <v/>
      </c>
      <c r="AG90" s="13" t="str">
        <f aca="false">IF(AND(W90&lt;&gt;"",Y90&lt;&gt;"ACCEPTED"),"Y","")</f>
        <v/>
      </c>
      <c r="AH90" s="13" t="str">
        <f aca="false">IF(COUNTIF(AB90:AG90,"Y")&gt;0,"EXCEPTION","NO EXCEPTION IDENTIFIED")</f>
        <v>EXCEPTION</v>
      </c>
      <c r="AI90" s="16" t="s">
        <v>121</v>
      </c>
      <c r="AJ90" s="16" t="s">
        <v>666</v>
      </c>
    </row>
    <row r="91" customFormat="false" ht="20.85" hidden="false" customHeight="false" outlineLevel="0" collapsed="false">
      <c r="A91" s="9" t="s">
        <v>667</v>
      </c>
      <c r="B91" s="10" t="n">
        <v>45252</v>
      </c>
      <c r="C91" s="9" t="s">
        <v>668</v>
      </c>
      <c r="D91" s="9" t="s">
        <v>669</v>
      </c>
      <c r="E91" s="9" t="n">
        <v>2696</v>
      </c>
      <c r="F91" s="10" t="n">
        <v>46056</v>
      </c>
      <c r="G91" s="9" t="n">
        <f aca="false">B91-F91</f>
        <v>-804</v>
      </c>
      <c r="H91" s="9" t="s">
        <v>670</v>
      </c>
      <c r="I91" s="9" t="s">
        <v>671</v>
      </c>
      <c r="J91" s="9" t="s">
        <v>113</v>
      </c>
      <c r="K91" s="9" t="s">
        <v>114</v>
      </c>
      <c r="L91" s="11" t="n">
        <v>24</v>
      </c>
      <c r="M91" s="9" t="s">
        <v>115</v>
      </c>
      <c r="N91" s="9" t="s">
        <v>116</v>
      </c>
      <c r="O91" s="9" t="s">
        <v>117</v>
      </c>
      <c r="P91" s="9" t="s">
        <v>118</v>
      </c>
      <c r="Q91" s="9" t="s">
        <v>119</v>
      </c>
      <c r="R91" s="9" t="s">
        <v>120</v>
      </c>
      <c r="S91" s="9"/>
      <c r="T91" s="10"/>
      <c r="U91" s="9"/>
      <c r="V91" s="9"/>
      <c r="W91" s="10"/>
      <c r="X91" s="9"/>
      <c r="Y91" s="9"/>
      <c r="Z91" s="11"/>
      <c r="AA91" s="11" t="n">
        <v>52.7</v>
      </c>
      <c r="AB91" s="9" t="str">
        <f aca="false">IF(B91&lt;F91,"Y","")</f>
        <v>Y</v>
      </c>
      <c r="AC91" s="9" t="str">
        <f aca="false">IF(O91&lt;&gt;"Y","Y","")</f>
        <v/>
      </c>
      <c r="AD91" s="9" t="str">
        <f aca="false">IF(AND(M91="declined-prior-offer",S91=""),"Y","")</f>
        <v/>
      </c>
      <c r="AE91" s="9" t="str">
        <f aca="false">IF(OR(R91&lt;&gt;"MATCH",ISNUMBER(SEARCH("conflict",Q91))),"Y","")</f>
        <v/>
      </c>
      <c r="AF91" s="9" t="str">
        <f aca="false">IF(AND(ISNUMBER(Z91),ABS(Z91-AA91)&gt;0.001),"Y","")</f>
        <v/>
      </c>
      <c r="AG91" s="9" t="str">
        <f aca="false">IF(AND(W91&lt;&gt;"",Y91&lt;&gt;"ACCEPTED"),"Y","")</f>
        <v/>
      </c>
      <c r="AH91" s="9" t="str">
        <f aca="false">IF(COUNTIF(AB91:AG91,"Y")&gt;0,"EXCEPTION","NO EXCEPTION IDENTIFIED")</f>
        <v>EXCEPTION</v>
      </c>
      <c r="AI91" s="12" t="s">
        <v>121</v>
      </c>
      <c r="AJ91" s="12" t="s">
        <v>672</v>
      </c>
    </row>
    <row r="92" customFormat="false" ht="20.85" hidden="false" customHeight="false" outlineLevel="0" collapsed="false">
      <c r="A92" s="13" t="s">
        <v>673</v>
      </c>
      <c r="B92" s="14" t="n">
        <v>45263</v>
      </c>
      <c r="C92" s="13" t="s">
        <v>432</v>
      </c>
      <c r="D92" s="13" t="s">
        <v>433</v>
      </c>
      <c r="E92" s="13" t="n">
        <v>924</v>
      </c>
      <c r="F92" s="14" t="n">
        <v>45230</v>
      </c>
      <c r="G92" s="13" t="n">
        <f aca="false">B92-F92</f>
        <v>33</v>
      </c>
      <c r="H92" s="13" t="s">
        <v>674</v>
      </c>
      <c r="I92" s="13" t="s">
        <v>675</v>
      </c>
      <c r="J92" s="13" t="s">
        <v>145</v>
      </c>
      <c r="K92" s="13" t="s">
        <v>146</v>
      </c>
      <c r="L92" s="15" t="n">
        <v>28</v>
      </c>
      <c r="M92" s="13" t="s">
        <v>169</v>
      </c>
      <c r="N92" s="13" t="s">
        <v>170</v>
      </c>
      <c r="O92" s="13" t="s">
        <v>117</v>
      </c>
      <c r="P92" s="13" t="s">
        <v>138</v>
      </c>
      <c r="Q92" s="13" t="s">
        <v>119</v>
      </c>
      <c r="R92" s="13" t="s">
        <v>120</v>
      </c>
      <c r="S92" s="13"/>
      <c r="T92" s="14"/>
      <c r="U92" s="13"/>
      <c r="V92" s="13"/>
      <c r="W92" s="14"/>
      <c r="X92" s="13"/>
      <c r="Y92" s="13"/>
      <c r="Z92" s="15"/>
      <c r="AA92" s="15" t="n">
        <v>21.2</v>
      </c>
      <c r="AB92" s="13" t="str">
        <f aca="false">IF(B92&lt;F92,"Y","")</f>
        <v/>
      </c>
      <c r="AC92" s="13" t="str">
        <f aca="false">IF(O92&lt;&gt;"Y","Y","")</f>
        <v/>
      </c>
      <c r="AD92" s="13" t="str">
        <f aca="false">IF(AND(M92="declined-prior-offer",S92=""),"Y","")</f>
        <v>Y</v>
      </c>
      <c r="AE92" s="13" t="str">
        <f aca="false">IF(OR(R92&lt;&gt;"MATCH",ISNUMBER(SEARCH("conflict",Q92))),"Y","")</f>
        <v/>
      </c>
      <c r="AF92" s="13" t="str">
        <f aca="false">IF(AND(ISNUMBER(Z92),ABS(Z92-AA92)&gt;0.001),"Y","")</f>
        <v/>
      </c>
      <c r="AG92" s="13" t="str">
        <f aca="false">IF(AND(W92&lt;&gt;"",Y92&lt;&gt;"ACCEPTED"),"Y","")</f>
        <v/>
      </c>
      <c r="AH92" s="13" t="str">
        <f aca="false">IF(COUNTIF(AB92:AG92,"Y")&gt;0,"EXCEPTION","NO EXCEPTION IDENTIFIED")</f>
        <v>EXCEPTION</v>
      </c>
      <c r="AI92" s="16" t="s">
        <v>229</v>
      </c>
      <c r="AJ92" s="16" t="s">
        <v>676</v>
      </c>
    </row>
    <row r="93" customFormat="false" ht="20.85" hidden="false" customHeight="false" outlineLevel="0" collapsed="false">
      <c r="A93" s="9" t="s">
        <v>677</v>
      </c>
      <c r="B93" s="10" t="n">
        <v>45277</v>
      </c>
      <c r="C93" s="9" t="s">
        <v>678</v>
      </c>
      <c r="D93" s="9" t="s">
        <v>679</v>
      </c>
      <c r="E93" s="9" t="n">
        <v>16</v>
      </c>
      <c r="F93" s="10" t="n">
        <v>44609</v>
      </c>
      <c r="G93" s="9" t="n">
        <f aca="false">B93-F93</f>
        <v>668</v>
      </c>
      <c r="H93" s="9" t="s">
        <v>680</v>
      </c>
      <c r="I93" s="9" t="s">
        <v>681</v>
      </c>
      <c r="J93" s="9" t="s">
        <v>113</v>
      </c>
      <c r="K93" s="9" t="s">
        <v>114</v>
      </c>
      <c r="L93" s="11" t="n">
        <v>24</v>
      </c>
      <c r="M93" s="9" t="s">
        <v>115</v>
      </c>
      <c r="N93" s="9" t="s">
        <v>116</v>
      </c>
      <c r="O93" s="9" t="s">
        <v>117</v>
      </c>
      <c r="P93" s="9" t="s">
        <v>128</v>
      </c>
      <c r="Q93" s="9" t="s">
        <v>119</v>
      </c>
      <c r="R93" s="9" t="s">
        <v>120</v>
      </c>
      <c r="S93" s="9"/>
      <c r="T93" s="10"/>
      <c r="U93" s="9"/>
      <c r="V93" s="9"/>
      <c r="W93" s="10"/>
      <c r="X93" s="9"/>
      <c r="Y93" s="9"/>
      <c r="Z93" s="11"/>
      <c r="AA93" s="11" t="n">
        <v>43.6</v>
      </c>
      <c r="AB93" s="9" t="str">
        <f aca="false">IF(B93&lt;F93,"Y","")</f>
        <v/>
      </c>
      <c r="AC93" s="9" t="str">
        <f aca="false">IF(O93&lt;&gt;"Y","Y","")</f>
        <v/>
      </c>
      <c r="AD93" s="9" t="str">
        <f aca="false">IF(AND(M93="declined-prior-offer",S93=""),"Y","")</f>
        <v/>
      </c>
      <c r="AE93" s="9" t="str">
        <f aca="false">IF(OR(R93&lt;&gt;"MATCH",ISNUMBER(SEARCH("conflict",Q93))),"Y","")</f>
        <v/>
      </c>
      <c r="AF93" s="9" t="str">
        <f aca="false">IF(AND(ISNUMBER(Z93),ABS(Z93-AA93)&gt;0.001),"Y","")</f>
        <v/>
      </c>
      <c r="AG93" s="9" t="str">
        <f aca="false">IF(AND(W93&lt;&gt;"",Y93&lt;&gt;"ACCEPTED"),"Y","")</f>
        <v/>
      </c>
      <c r="AH93" s="9" t="str">
        <f aca="false">IF(COUNTIF(AB93:AG93,"Y")&gt;0,"EXCEPTION","NO EXCEPTION IDENTIFIED")</f>
        <v>NO EXCEPTION IDENTIFIED</v>
      </c>
      <c r="AI93" s="12" t="s">
        <v>156</v>
      </c>
      <c r="AJ93" s="12" t="s">
        <v>682</v>
      </c>
    </row>
    <row r="94" customFormat="false" ht="20.85" hidden="false" customHeight="false" outlineLevel="0" collapsed="false">
      <c r="A94" s="13" t="s">
        <v>683</v>
      </c>
      <c r="B94" s="14" t="n">
        <v>45281</v>
      </c>
      <c r="C94" s="13" t="s">
        <v>684</v>
      </c>
      <c r="D94" s="13" t="s">
        <v>685</v>
      </c>
      <c r="E94" s="13" t="n">
        <v>186</v>
      </c>
      <c r="F94" s="14" t="n">
        <v>44798</v>
      </c>
      <c r="G94" s="13" t="n">
        <f aca="false">B94-F94</f>
        <v>483</v>
      </c>
      <c r="H94" s="13" t="s">
        <v>686</v>
      </c>
      <c r="I94" s="13" t="s">
        <v>687</v>
      </c>
      <c r="J94" s="13" t="s">
        <v>204</v>
      </c>
      <c r="K94" s="13" t="s">
        <v>146</v>
      </c>
      <c r="L94" s="15" t="n">
        <v>60</v>
      </c>
      <c r="M94" s="13" t="s">
        <v>136</v>
      </c>
      <c r="N94" s="13" t="s">
        <v>137</v>
      </c>
      <c r="O94" s="13" t="s">
        <v>117</v>
      </c>
      <c r="P94" s="13" t="s">
        <v>138</v>
      </c>
      <c r="Q94" s="13" t="s">
        <v>119</v>
      </c>
      <c r="R94" s="13" t="s">
        <v>120</v>
      </c>
      <c r="S94" s="13"/>
      <c r="T94" s="14"/>
      <c r="U94" s="13"/>
      <c r="V94" s="13"/>
      <c r="W94" s="14"/>
      <c r="X94" s="13"/>
      <c r="Y94" s="13"/>
      <c r="Z94" s="15"/>
      <c r="AA94" s="15" t="n">
        <v>39.6</v>
      </c>
      <c r="AB94" s="13" t="str">
        <f aca="false">IF(B94&lt;F94,"Y","")</f>
        <v/>
      </c>
      <c r="AC94" s="13" t="str">
        <f aca="false">IF(O94&lt;&gt;"Y","Y","")</f>
        <v/>
      </c>
      <c r="AD94" s="13" t="str">
        <f aca="false">IF(AND(M94="declined-prior-offer",S94=""),"Y","")</f>
        <v/>
      </c>
      <c r="AE94" s="13" t="str">
        <f aca="false">IF(OR(R94&lt;&gt;"MATCH",ISNUMBER(SEARCH("conflict",Q94))),"Y","")</f>
        <v/>
      </c>
      <c r="AF94" s="13" t="str">
        <f aca="false">IF(AND(ISNUMBER(Z94),ABS(Z94-AA94)&gt;0.001),"Y","")</f>
        <v/>
      </c>
      <c r="AG94" s="13" t="str">
        <f aca="false">IF(AND(W94&lt;&gt;"",Y94&lt;&gt;"ACCEPTED"),"Y","")</f>
        <v/>
      </c>
      <c r="AH94" s="13" t="str">
        <f aca="false">IF(COUNTIF(AB94:AG94,"Y")&gt;0,"EXCEPTION","NO EXCEPTION IDENTIFIED")</f>
        <v>NO EXCEPTION IDENTIFIED</v>
      </c>
      <c r="AI94" s="16" t="s">
        <v>156</v>
      </c>
      <c r="AJ94" s="16" t="s">
        <v>688</v>
      </c>
    </row>
    <row r="95" customFormat="false" ht="20.85" hidden="false" customHeight="false" outlineLevel="0" collapsed="false">
      <c r="A95" s="9" t="s">
        <v>689</v>
      </c>
      <c r="B95" s="10" t="n">
        <v>45284</v>
      </c>
      <c r="C95" s="9" t="s">
        <v>690</v>
      </c>
      <c r="D95" s="9" t="s">
        <v>691</v>
      </c>
      <c r="E95" s="9" t="n">
        <v>1726</v>
      </c>
      <c r="F95" s="10" t="n">
        <v>45599</v>
      </c>
      <c r="G95" s="9" t="n">
        <f aca="false">B95-F95</f>
        <v>-315</v>
      </c>
      <c r="H95" s="9" t="s">
        <v>692</v>
      </c>
      <c r="I95" s="9" t="s">
        <v>693</v>
      </c>
      <c r="J95" s="9" t="s">
        <v>145</v>
      </c>
      <c r="K95" s="9" t="s">
        <v>146</v>
      </c>
      <c r="L95" s="11" t="n">
        <v>24</v>
      </c>
      <c r="M95" s="9" t="s">
        <v>115</v>
      </c>
      <c r="N95" s="9" t="s">
        <v>116</v>
      </c>
      <c r="O95" s="9" t="s">
        <v>117</v>
      </c>
      <c r="P95" s="9" t="s">
        <v>178</v>
      </c>
      <c r="Q95" s="9" t="s">
        <v>119</v>
      </c>
      <c r="R95" s="9" t="s">
        <v>120</v>
      </c>
      <c r="S95" s="9"/>
      <c r="T95" s="10"/>
      <c r="U95" s="9"/>
      <c r="V95" s="9"/>
      <c r="W95" s="10"/>
      <c r="X95" s="9"/>
      <c r="Y95" s="9"/>
      <c r="Z95" s="11"/>
      <c r="AA95" s="11" t="n">
        <v>48.3</v>
      </c>
      <c r="AB95" s="9" t="str">
        <f aca="false">IF(B95&lt;F95,"Y","")</f>
        <v>Y</v>
      </c>
      <c r="AC95" s="9" t="str">
        <f aca="false">IF(O95&lt;&gt;"Y","Y","")</f>
        <v/>
      </c>
      <c r="AD95" s="9" t="str">
        <f aca="false">IF(AND(M95="declined-prior-offer",S95=""),"Y","")</f>
        <v/>
      </c>
      <c r="AE95" s="9" t="str">
        <f aca="false">IF(OR(R95&lt;&gt;"MATCH",ISNUMBER(SEARCH("conflict",Q95))),"Y","")</f>
        <v/>
      </c>
      <c r="AF95" s="9" t="str">
        <f aca="false">IF(AND(ISNUMBER(Z95),ABS(Z95-AA95)&gt;0.001),"Y","")</f>
        <v/>
      </c>
      <c r="AG95" s="9" t="str">
        <f aca="false">IF(AND(W95&lt;&gt;"",Y95&lt;&gt;"ACCEPTED"),"Y","")</f>
        <v/>
      </c>
      <c r="AH95" s="9" t="str">
        <f aca="false">IF(COUNTIF(AB95:AG95,"Y")&gt;0,"EXCEPTION","NO EXCEPTION IDENTIFIED")</f>
        <v>EXCEPTION</v>
      </c>
      <c r="AI95" s="12" t="s">
        <v>121</v>
      </c>
      <c r="AJ95" s="12" t="s">
        <v>694</v>
      </c>
    </row>
    <row r="96" customFormat="false" ht="20.85" hidden="false" customHeight="false" outlineLevel="0" collapsed="false">
      <c r="A96" s="13" t="s">
        <v>695</v>
      </c>
      <c r="B96" s="14" t="n">
        <v>45286</v>
      </c>
      <c r="C96" s="13" t="s">
        <v>696</v>
      </c>
      <c r="D96" s="13" t="s">
        <v>697</v>
      </c>
      <c r="E96" s="13" t="n">
        <v>524</v>
      </c>
      <c r="F96" s="14" t="n">
        <v>45013</v>
      </c>
      <c r="G96" s="13" t="n">
        <f aca="false">B96-F96</f>
        <v>273</v>
      </c>
      <c r="H96" s="13" t="s">
        <v>698</v>
      </c>
      <c r="I96" s="13" t="s">
        <v>699</v>
      </c>
      <c r="J96" s="13" t="s">
        <v>135</v>
      </c>
      <c r="K96" s="13" t="s">
        <v>114</v>
      </c>
      <c r="L96" s="15" t="n">
        <v>24</v>
      </c>
      <c r="M96" s="13" t="s">
        <v>136</v>
      </c>
      <c r="N96" s="13" t="s">
        <v>137</v>
      </c>
      <c r="O96" s="13" t="s">
        <v>117</v>
      </c>
      <c r="P96" s="13" t="s">
        <v>178</v>
      </c>
      <c r="Q96" s="13" t="s">
        <v>119</v>
      </c>
      <c r="R96" s="13" t="s">
        <v>120</v>
      </c>
      <c r="S96" s="13"/>
      <c r="T96" s="14"/>
      <c r="U96" s="13"/>
      <c r="V96" s="13"/>
      <c r="W96" s="14"/>
      <c r="X96" s="13"/>
      <c r="Y96" s="13"/>
      <c r="Z96" s="15"/>
      <c r="AA96" s="15" t="n">
        <v>60.8</v>
      </c>
      <c r="AB96" s="13" t="str">
        <f aca="false">IF(B96&lt;F96,"Y","")</f>
        <v/>
      </c>
      <c r="AC96" s="13" t="str">
        <f aca="false">IF(O96&lt;&gt;"Y","Y","")</f>
        <v/>
      </c>
      <c r="AD96" s="13" t="str">
        <f aca="false">IF(AND(M96="declined-prior-offer",S96=""),"Y","")</f>
        <v/>
      </c>
      <c r="AE96" s="13" t="str">
        <f aca="false">IF(OR(R96&lt;&gt;"MATCH",ISNUMBER(SEARCH("conflict",Q96))),"Y","")</f>
        <v/>
      </c>
      <c r="AF96" s="13" t="str">
        <f aca="false">IF(AND(ISNUMBER(Z96),ABS(Z96-AA96)&gt;0.001),"Y","")</f>
        <v/>
      </c>
      <c r="AG96" s="13" t="str">
        <f aca="false">IF(AND(W96&lt;&gt;"",Y96&lt;&gt;"ACCEPTED"),"Y","")</f>
        <v/>
      </c>
      <c r="AH96" s="13" t="str">
        <f aca="false">IF(COUNTIF(AB96:AG96,"Y")&gt;0,"EXCEPTION","NO EXCEPTION IDENTIFIED")</f>
        <v>NO EXCEPTION IDENTIFIED</v>
      </c>
      <c r="AI96" s="16" t="s">
        <v>156</v>
      </c>
      <c r="AJ96" s="16" t="s">
        <v>700</v>
      </c>
    </row>
    <row r="97" customFormat="false" ht="20.85" hidden="false" customHeight="false" outlineLevel="0" collapsed="false">
      <c r="A97" s="9" t="s">
        <v>701</v>
      </c>
      <c r="B97" s="10" t="n">
        <v>45286</v>
      </c>
      <c r="C97" s="9" t="s">
        <v>702</v>
      </c>
      <c r="D97" s="9" t="s">
        <v>703</v>
      </c>
      <c r="E97" s="9" t="n">
        <v>2111</v>
      </c>
      <c r="F97" s="10" t="n">
        <v>45760</v>
      </c>
      <c r="G97" s="9" t="n">
        <f aca="false">B97-F97</f>
        <v>-474</v>
      </c>
      <c r="H97" s="9" t="s">
        <v>704</v>
      </c>
      <c r="I97" s="9" t="s">
        <v>705</v>
      </c>
      <c r="J97" s="9" t="s">
        <v>135</v>
      </c>
      <c r="K97" s="9" t="s">
        <v>114</v>
      </c>
      <c r="L97" s="11" t="n">
        <v>32</v>
      </c>
      <c r="M97" s="9" t="s">
        <v>136</v>
      </c>
      <c r="N97" s="9" t="s">
        <v>137</v>
      </c>
      <c r="O97" s="9" t="s">
        <v>117</v>
      </c>
      <c r="P97" s="9" t="s">
        <v>178</v>
      </c>
      <c r="Q97" s="9" t="s">
        <v>119</v>
      </c>
      <c r="R97" s="9" t="s">
        <v>120</v>
      </c>
      <c r="S97" s="9"/>
      <c r="T97" s="10"/>
      <c r="U97" s="9"/>
      <c r="V97" s="9"/>
      <c r="W97" s="10"/>
      <c r="X97" s="9"/>
      <c r="Y97" s="9"/>
      <c r="Z97" s="11"/>
      <c r="AA97" s="11" t="n">
        <v>36.4</v>
      </c>
      <c r="AB97" s="9" t="str">
        <f aca="false">IF(B97&lt;F97,"Y","")</f>
        <v>Y</v>
      </c>
      <c r="AC97" s="9" t="str">
        <f aca="false">IF(O97&lt;&gt;"Y","Y","")</f>
        <v/>
      </c>
      <c r="AD97" s="9" t="str">
        <f aca="false">IF(AND(M97="declined-prior-offer",S97=""),"Y","")</f>
        <v/>
      </c>
      <c r="AE97" s="9" t="str">
        <f aca="false">IF(OR(R97&lt;&gt;"MATCH",ISNUMBER(SEARCH("conflict",Q97))),"Y","")</f>
        <v/>
      </c>
      <c r="AF97" s="9" t="str">
        <f aca="false">IF(AND(ISNUMBER(Z97),ABS(Z97-AA97)&gt;0.001),"Y","")</f>
        <v/>
      </c>
      <c r="AG97" s="9" t="str">
        <f aca="false">IF(AND(W97&lt;&gt;"",Y97&lt;&gt;"ACCEPTED"),"Y","")</f>
        <v/>
      </c>
      <c r="AH97" s="9" t="str">
        <f aca="false">IF(COUNTIF(AB97:AG97,"Y")&gt;0,"EXCEPTION","NO EXCEPTION IDENTIFIED")</f>
        <v>EXCEPTION</v>
      </c>
      <c r="AI97" s="12" t="s">
        <v>121</v>
      </c>
      <c r="AJ97" s="12" t="s">
        <v>706</v>
      </c>
    </row>
    <row r="98" customFormat="false" ht="20.85" hidden="false" customHeight="false" outlineLevel="0" collapsed="false">
      <c r="A98" s="13" t="s">
        <v>707</v>
      </c>
      <c r="B98" s="14" t="n">
        <v>45295</v>
      </c>
      <c r="C98" s="13" t="s">
        <v>708</v>
      </c>
      <c r="D98" s="13" t="s">
        <v>709</v>
      </c>
      <c r="E98" s="13" t="n">
        <v>632</v>
      </c>
      <c r="F98" s="14" t="n">
        <v>45080</v>
      </c>
      <c r="G98" s="13" t="n">
        <f aca="false">B98-F98</f>
        <v>215</v>
      </c>
      <c r="H98" s="13" t="s">
        <v>710</v>
      </c>
      <c r="I98" s="13" t="s">
        <v>711</v>
      </c>
      <c r="J98" s="13" t="s">
        <v>204</v>
      </c>
      <c r="K98" s="13" t="s">
        <v>146</v>
      </c>
      <c r="L98" s="15" t="n">
        <v>70</v>
      </c>
      <c r="M98" s="13" t="s">
        <v>185</v>
      </c>
      <c r="N98" s="13" t="s">
        <v>186</v>
      </c>
      <c r="O98" s="13" t="s">
        <v>117</v>
      </c>
      <c r="P98" s="13" t="s">
        <v>128</v>
      </c>
      <c r="Q98" s="13" t="s">
        <v>119</v>
      </c>
      <c r="R98" s="13" t="s">
        <v>120</v>
      </c>
      <c r="S98" s="13"/>
      <c r="T98" s="14"/>
      <c r="U98" s="13"/>
      <c r="V98" s="13"/>
      <c r="W98" s="14"/>
      <c r="X98" s="13"/>
      <c r="Y98" s="13"/>
      <c r="Z98" s="15"/>
      <c r="AA98" s="15" t="n">
        <v>46.2</v>
      </c>
      <c r="AB98" s="13" t="str">
        <f aca="false">IF(B98&lt;F98,"Y","")</f>
        <v/>
      </c>
      <c r="AC98" s="13" t="str">
        <f aca="false">IF(O98&lt;&gt;"Y","Y","")</f>
        <v/>
      </c>
      <c r="AD98" s="13" t="str">
        <f aca="false">IF(AND(M98="declined-prior-offer",S98=""),"Y","")</f>
        <v/>
      </c>
      <c r="AE98" s="13" t="str">
        <f aca="false">IF(OR(R98&lt;&gt;"MATCH",ISNUMBER(SEARCH("conflict",Q98))),"Y","")</f>
        <v/>
      </c>
      <c r="AF98" s="13" t="str">
        <f aca="false">IF(AND(ISNUMBER(Z98),ABS(Z98-AA98)&gt;0.001),"Y","")</f>
        <v/>
      </c>
      <c r="AG98" s="13" t="str">
        <f aca="false">IF(AND(W98&lt;&gt;"",Y98&lt;&gt;"ACCEPTED"),"Y","")</f>
        <v/>
      </c>
      <c r="AH98" s="13" t="str">
        <f aca="false">IF(COUNTIF(AB98:AG98,"Y")&gt;0,"EXCEPTION","NO EXCEPTION IDENTIFIED")</f>
        <v>NO EXCEPTION IDENTIFIED</v>
      </c>
      <c r="AI98" s="16" t="s">
        <v>156</v>
      </c>
      <c r="AJ98" s="16" t="s">
        <v>712</v>
      </c>
    </row>
    <row r="99" customFormat="false" ht="20.85" hidden="false" customHeight="false" outlineLevel="0" collapsed="false">
      <c r="A99" s="9" t="s">
        <v>713</v>
      </c>
      <c r="B99" s="10" t="n">
        <v>45305</v>
      </c>
      <c r="C99" s="9" t="s">
        <v>714</v>
      </c>
      <c r="D99" s="9" t="s">
        <v>715</v>
      </c>
      <c r="E99" s="9" t="n">
        <v>1759</v>
      </c>
      <c r="F99" s="10" t="n">
        <v>45610</v>
      </c>
      <c r="G99" s="9" t="n">
        <f aca="false">B99-F99</f>
        <v>-305</v>
      </c>
      <c r="H99" s="9" t="s">
        <v>716</v>
      </c>
      <c r="I99" s="9" t="s">
        <v>717</v>
      </c>
      <c r="J99" s="9" t="s">
        <v>145</v>
      </c>
      <c r="K99" s="9" t="s">
        <v>146</v>
      </c>
      <c r="L99" s="11" t="n">
        <v>50</v>
      </c>
      <c r="M99" s="9" t="s">
        <v>115</v>
      </c>
      <c r="N99" s="9" t="s">
        <v>116</v>
      </c>
      <c r="O99" s="9" t="s">
        <v>117</v>
      </c>
      <c r="P99" s="9" t="s">
        <v>128</v>
      </c>
      <c r="Q99" s="9" t="s">
        <v>119</v>
      </c>
      <c r="R99" s="9" t="s">
        <v>120</v>
      </c>
      <c r="S99" s="9"/>
      <c r="T99" s="10"/>
      <c r="U99" s="9"/>
      <c r="V99" s="9"/>
      <c r="W99" s="10"/>
      <c r="X99" s="9"/>
      <c r="Y99" s="9"/>
      <c r="Z99" s="11"/>
      <c r="AA99" s="11" t="n">
        <v>34.6</v>
      </c>
      <c r="AB99" s="9" t="str">
        <f aca="false">IF(B99&lt;F99,"Y","")</f>
        <v>Y</v>
      </c>
      <c r="AC99" s="9" t="str">
        <f aca="false">IF(O99&lt;&gt;"Y","Y","")</f>
        <v/>
      </c>
      <c r="AD99" s="9" t="str">
        <f aca="false">IF(AND(M99="declined-prior-offer",S99=""),"Y","")</f>
        <v/>
      </c>
      <c r="AE99" s="9" t="str">
        <f aca="false">IF(OR(R99&lt;&gt;"MATCH",ISNUMBER(SEARCH("conflict",Q99))),"Y","")</f>
        <v/>
      </c>
      <c r="AF99" s="9" t="str">
        <f aca="false">IF(AND(ISNUMBER(Z99),ABS(Z99-AA99)&gt;0.001),"Y","")</f>
        <v/>
      </c>
      <c r="AG99" s="9" t="str">
        <f aca="false">IF(AND(W99&lt;&gt;"",Y99&lt;&gt;"ACCEPTED"),"Y","")</f>
        <v/>
      </c>
      <c r="AH99" s="9" t="str">
        <f aca="false">IF(COUNTIF(AB99:AG99,"Y")&gt;0,"EXCEPTION","NO EXCEPTION IDENTIFIED")</f>
        <v>EXCEPTION</v>
      </c>
      <c r="AI99" s="12" t="s">
        <v>121</v>
      </c>
      <c r="AJ99" s="12" t="s">
        <v>718</v>
      </c>
    </row>
    <row r="100" customFormat="false" ht="20.85" hidden="false" customHeight="false" outlineLevel="0" collapsed="false">
      <c r="A100" s="13" t="s">
        <v>719</v>
      </c>
      <c r="B100" s="14" t="n">
        <v>45325</v>
      </c>
      <c r="C100" s="13" t="s">
        <v>720</v>
      </c>
      <c r="D100" s="13" t="s">
        <v>721</v>
      </c>
      <c r="E100" s="13" t="n">
        <v>253</v>
      </c>
      <c r="F100" s="14" t="n">
        <v>44846</v>
      </c>
      <c r="G100" s="13" t="n">
        <f aca="false">B100-F100</f>
        <v>479</v>
      </c>
      <c r="H100" s="13" t="s">
        <v>722</v>
      </c>
      <c r="I100" s="13" t="s">
        <v>723</v>
      </c>
      <c r="J100" s="13" t="s">
        <v>113</v>
      </c>
      <c r="K100" s="13" t="s">
        <v>114</v>
      </c>
      <c r="L100" s="15" t="n">
        <v>36</v>
      </c>
      <c r="M100" s="13" t="s">
        <v>169</v>
      </c>
      <c r="N100" s="13" t="s">
        <v>170</v>
      </c>
      <c r="O100" s="13" t="s">
        <v>117</v>
      </c>
      <c r="P100" s="13" t="s">
        <v>128</v>
      </c>
      <c r="Q100" s="13" t="s">
        <v>119</v>
      </c>
      <c r="R100" s="13" t="s">
        <v>120</v>
      </c>
      <c r="S100" s="13"/>
      <c r="T100" s="14"/>
      <c r="U100" s="13"/>
      <c r="V100" s="13"/>
      <c r="W100" s="14"/>
      <c r="X100" s="13"/>
      <c r="Y100" s="13"/>
      <c r="Z100" s="15"/>
      <c r="AA100" s="15" t="n">
        <v>52.6</v>
      </c>
      <c r="AB100" s="13" t="str">
        <f aca="false">IF(B100&lt;F100,"Y","")</f>
        <v/>
      </c>
      <c r="AC100" s="13" t="str">
        <f aca="false">IF(O100&lt;&gt;"Y","Y","")</f>
        <v/>
      </c>
      <c r="AD100" s="13" t="str">
        <f aca="false">IF(AND(M100="declined-prior-offer",S100=""),"Y","")</f>
        <v>Y</v>
      </c>
      <c r="AE100" s="13" t="str">
        <f aca="false">IF(OR(R100&lt;&gt;"MATCH",ISNUMBER(SEARCH("conflict",Q100))),"Y","")</f>
        <v/>
      </c>
      <c r="AF100" s="13" t="str">
        <f aca="false">IF(AND(ISNUMBER(Z100),ABS(Z100-AA100)&gt;0.001),"Y","")</f>
        <v/>
      </c>
      <c r="AG100" s="13" t="str">
        <f aca="false">IF(AND(W100&lt;&gt;"",Y100&lt;&gt;"ACCEPTED"),"Y","")</f>
        <v/>
      </c>
      <c r="AH100" s="13" t="str">
        <f aca="false">IF(COUNTIF(AB100:AG100,"Y")&gt;0,"EXCEPTION","NO EXCEPTION IDENTIFIED")</f>
        <v>EXCEPTION</v>
      </c>
      <c r="AI100" s="16" t="s">
        <v>229</v>
      </c>
      <c r="AJ100" s="16" t="s">
        <v>724</v>
      </c>
    </row>
    <row r="101" customFormat="false" ht="20.85" hidden="false" customHeight="false" outlineLevel="0" collapsed="false">
      <c r="A101" s="9" t="s">
        <v>725</v>
      </c>
      <c r="B101" s="10" t="n">
        <v>45329</v>
      </c>
      <c r="C101" s="9" t="s">
        <v>726</v>
      </c>
      <c r="D101" s="9" t="s">
        <v>727</v>
      </c>
      <c r="E101" s="9" t="n">
        <v>347</v>
      </c>
      <c r="F101" s="10" t="n">
        <v>44911</v>
      </c>
      <c r="G101" s="9" t="n">
        <f aca="false">B101-F101</f>
        <v>418</v>
      </c>
      <c r="H101" s="9" t="s">
        <v>728</v>
      </c>
      <c r="I101" s="9" t="s">
        <v>729</v>
      </c>
      <c r="J101" s="9" t="s">
        <v>145</v>
      </c>
      <c r="K101" s="9" t="s">
        <v>146</v>
      </c>
      <c r="L101" s="11" t="n">
        <v>60</v>
      </c>
      <c r="M101" s="9" t="s">
        <v>185</v>
      </c>
      <c r="N101" s="9" t="s">
        <v>186</v>
      </c>
      <c r="O101" s="9" t="s">
        <v>117</v>
      </c>
      <c r="P101" s="9" t="s">
        <v>138</v>
      </c>
      <c r="Q101" s="9" t="s">
        <v>119</v>
      </c>
      <c r="R101" s="9" t="s">
        <v>120</v>
      </c>
      <c r="S101" s="9"/>
      <c r="T101" s="10"/>
      <c r="U101" s="9"/>
      <c r="V101" s="9"/>
      <c r="W101" s="10"/>
      <c r="X101" s="9"/>
      <c r="Y101" s="9"/>
      <c r="Z101" s="11"/>
      <c r="AA101" s="11" t="n">
        <v>54.9</v>
      </c>
      <c r="AB101" s="9" t="str">
        <f aca="false">IF(B101&lt;F101,"Y","")</f>
        <v/>
      </c>
      <c r="AC101" s="9" t="str">
        <f aca="false">IF(O101&lt;&gt;"Y","Y","")</f>
        <v/>
      </c>
      <c r="AD101" s="9" t="str">
        <f aca="false">IF(AND(M101="declined-prior-offer",S101=""),"Y","")</f>
        <v/>
      </c>
      <c r="AE101" s="9" t="str">
        <f aca="false">IF(OR(R101&lt;&gt;"MATCH",ISNUMBER(SEARCH("conflict",Q101))),"Y","")</f>
        <v/>
      </c>
      <c r="AF101" s="9" t="str">
        <f aca="false">IF(AND(ISNUMBER(Z101),ABS(Z101-AA101)&gt;0.001),"Y","")</f>
        <v/>
      </c>
      <c r="AG101" s="9" t="str">
        <f aca="false">IF(AND(W101&lt;&gt;"",Y101&lt;&gt;"ACCEPTED"),"Y","")</f>
        <v/>
      </c>
      <c r="AH101" s="9" t="str">
        <f aca="false">IF(COUNTIF(AB101:AG101,"Y")&gt;0,"EXCEPTION","NO EXCEPTION IDENTIFIED")</f>
        <v>NO EXCEPTION IDENTIFIED</v>
      </c>
      <c r="AI101" s="12" t="s">
        <v>156</v>
      </c>
      <c r="AJ101" s="12" t="s">
        <v>730</v>
      </c>
    </row>
    <row r="102" customFormat="false" ht="20.85" hidden="false" customHeight="false" outlineLevel="0" collapsed="false">
      <c r="A102" s="13" t="s">
        <v>731</v>
      </c>
      <c r="B102" s="14" t="n">
        <v>45330</v>
      </c>
      <c r="C102" s="13" t="s">
        <v>732</v>
      </c>
      <c r="D102" s="13" t="s">
        <v>733</v>
      </c>
      <c r="E102" s="13" t="n">
        <v>1653</v>
      </c>
      <c r="F102" s="14" t="n">
        <v>45566</v>
      </c>
      <c r="G102" s="13" t="n">
        <f aca="false">B102-F102</f>
        <v>-236</v>
      </c>
      <c r="H102" s="13" t="s">
        <v>734</v>
      </c>
      <c r="I102" s="13" t="s">
        <v>735</v>
      </c>
      <c r="J102" s="13" t="s">
        <v>204</v>
      </c>
      <c r="K102" s="13" t="s">
        <v>146</v>
      </c>
      <c r="L102" s="15" t="n">
        <v>24</v>
      </c>
      <c r="M102" s="13" t="s">
        <v>115</v>
      </c>
      <c r="N102" s="13" t="s">
        <v>116</v>
      </c>
      <c r="O102" s="13" t="s">
        <v>117</v>
      </c>
      <c r="P102" s="13" t="s">
        <v>118</v>
      </c>
      <c r="Q102" s="13" t="s">
        <v>119</v>
      </c>
      <c r="R102" s="13" t="s">
        <v>120</v>
      </c>
      <c r="S102" s="13"/>
      <c r="T102" s="14"/>
      <c r="U102" s="13"/>
      <c r="V102" s="13"/>
      <c r="W102" s="14"/>
      <c r="X102" s="13"/>
      <c r="Y102" s="13"/>
      <c r="Z102" s="15"/>
      <c r="AA102" s="15" t="n">
        <v>34.4</v>
      </c>
      <c r="AB102" s="13" t="str">
        <f aca="false">IF(B102&lt;F102,"Y","")</f>
        <v>Y</v>
      </c>
      <c r="AC102" s="13" t="str">
        <f aca="false">IF(O102&lt;&gt;"Y","Y","")</f>
        <v/>
      </c>
      <c r="AD102" s="13" t="str">
        <f aca="false">IF(AND(M102="declined-prior-offer",S102=""),"Y","")</f>
        <v/>
      </c>
      <c r="AE102" s="13" t="str">
        <f aca="false">IF(OR(R102&lt;&gt;"MATCH",ISNUMBER(SEARCH("conflict",Q102))),"Y","")</f>
        <v/>
      </c>
      <c r="AF102" s="13" t="str">
        <f aca="false">IF(AND(ISNUMBER(Z102),ABS(Z102-AA102)&gt;0.001),"Y","")</f>
        <v/>
      </c>
      <c r="AG102" s="13" t="str">
        <f aca="false">IF(AND(W102&lt;&gt;"",Y102&lt;&gt;"ACCEPTED"),"Y","")</f>
        <v/>
      </c>
      <c r="AH102" s="13" t="str">
        <f aca="false">IF(COUNTIF(AB102:AG102,"Y")&gt;0,"EXCEPTION","NO EXCEPTION IDENTIFIED")</f>
        <v>EXCEPTION</v>
      </c>
      <c r="AI102" s="16" t="s">
        <v>121</v>
      </c>
      <c r="AJ102" s="16" t="s">
        <v>736</v>
      </c>
    </row>
    <row r="103" customFormat="false" ht="20.85" hidden="false" customHeight="false" outlineLevel="0" collapsed="false">
      <c r="A103" s="9" t="s">
        <v>737</v>
      </c>
      <c r="B103" s="10" t="n">
        <v>45331</v>
      </c>
      <c r="C103" s="9" t="s">
        <v>738</v>
      </c>
      <c r="D103" s="9" t="s">
        <v>739</v>
      </c>
      <c r="E103" s="9" t="n">
        <v>562</v>
      </c>
      <c r="F103" s="10" t="n">
        <v>45034</v>
      </c>
      <c r="G103" s="9" t="n">
        <f aca="false">B103-F103</f>
        <v>297</v>
      </c>
      <c r="H103" s="9" t="s">
        <v>740</v>
      </c>
      <c r="I103" s="9" t="s">
        <v>741</v>
      </c>
      <c r="J103" s="9" t="s">
        <v>155</v>
      </c>
      <c r="K103" s="9" t="s">
        <v>146</v>
      </c>
      <c r="L103" s="11" t="n">
        <v>80</v>
      </c>
      <c r="M103" s="9" t="s">
        <v>185</v>
      </c>
      <c r="N103" s="9" t="s">
        <v>186</v>
      </c>
      <c r="O103" s="9" t="s">
        <v>117</v>
      </c>
      <c r="P103" s="9" t="s">
        <v>178</v>
      </c>
      <c r="Q103" s="9" t="s">
        <v>119</v>
      </c>
      <c r="R103" s="9" t="s">
        <v>120</v>
      </c>
      <c r="S103" s="9"/>
      <c r="T103" s="10"/>
      <c r="U103" s="9"/>
      <c r="V103" s="9"/>
      <c r="W103" s="10"/>
      <c r="X103" s="9"/>
      <c r="Y103" s="9"/>
      <c r="Z103" s="11"/>
      <c r="AA103" s="11" t="n">
        <v>40.9</v>
      </c>
      <c r="AB103" s="9" t="str">
        <f aca="false">IF(B103&lt;F103,"Y","")</f>
        <v/>
      </c>
      <c r="AC103" s="9" t="str">
        <f aca="false">IF(O103&lt;&gt;"Y","Y","")</f>
        <v/>
      </c>
      <c r="AD103" s="9" t="str">
        <f aca="false">IF(AND(M103="declined-prior-offer",S103=""),"Y","")</f>
        <v/>
      </c>
      <c r="AE103" s="9" t="str">
        <f aca="false">IF(OR(R103&lt;&gt;"MATCH",ISNUMBER(SEARCH("conflict",Q103))),"Y","")</f>
        <v/>
      </c>
      <c r="AF103" s="9" t="str">
        <f aca="false">IF(AND(ISNUMBER(Z103),ABS(Z103-AA103)&gt;0.001),"Y","")</f>
        <v/>
      </c>
      <c r="AG103" s="9" t="str">
        <f aca="false">IF(AND(W103&lt;&gt;"",Y103&lt;&gt;"ACCEPTED"),"Y","")</f>
        <v/>
      </c>
      <c r="AH103" s="9" t="str">
        <f aca="false">IF(COUNTIF(AB103:AG103,"Y")&gt;0,"EXCEPTION","NO EXCEPTION IDENTIFIED")</f>
        <v>NO EXCEPTION IDENTIFIED</v>
      </c>
      <c r="AI103" s="12" t="s">
        <v>156</v>
      </c>
      <c r="AJ103" s="12" t="s">
        <v>742</v>
      </c>
    </row>
    <row r="104" customFormat="false" ht="20.85" hidden="false" customHeight="false" outlineLevel="0" collapsed="false">
      <c r="A104" s="13" t="s">
        <v>743</v>
      </c>
      <c r="B104" s="14" t="n">
        <v>45337</v>
      </c>
      <c r="C104" s="13" t="s">
        <v>744</v>
      </c>
      <c r="D104" s="13" t="s">
        <v>745</v>
      </c>
      <c r="E104" s="13" t="n">
        <v>2127</v>
      </c>
      <c r="F104" s="14" t="n">
        <v>45769</v>
      </c>
      <c r="G104" s="13" t="n">
        <f aca="false">B104-F104</f>
        <v>-432</v>
      </c>
      <c r="H104" s="13" t="s">
        <v>746</v>
      </c>
      <c r="I104" s="13" t="s">
        <v>747</v>
      </c>
      <c r="J104" s="13" t="s">
        <v>113</v>
      </c>
      <c r="K104" s="13" t="s">
        <v>114</v>
      </c>
      <c r="L104" s="15" t="n">
        <v>40</v>
      </c>
      <c r="M104" s="13" t="s">
        <v>185</v>
      </c>
      <c r="N104" s="13" t="s">
        <v>186</v>
      </c>
      <c r="O104" s="13" t="s">
        <v>117</v>
      </c>
      <c r="P104" s="13" t="s">
        <v>138</v>
      </c>
      <c r="Q104" s="13" t="s">
        <v>119</v>
      </c>
      <c r="R104" s="13" t="s">
        <v>120</v>
      </c>
      <c r="S104" s="13" t="s">
        <v>748</v>
      </c>
      <c r="T104" s="14" t="n">
        <v>45116</v>
      </c>
      <c r="U104" s="13" t="s">
        <v>345</v>
      </c>
      <c r="V104" s="13" t="s">
        <v>516</v>
      </c>
      <c r="W104" s="14"/>
      <c r="X104" s="13"/>
      <c r="Y104" s="13"/>
      <c r="Z104" s="15"/>
      <c r="AA104" s="15" t="n">
        <v>32.8</v>
      </c>
      <c r="AB104" s="13" t="str">
        <f aca="false">IF(B104&lt;F104,"Y","")</f>
        <v>Y</v>
      </c>
      <c r="AC104" s="13" t="str">
        <f aca="false">IF(O104&lt;&gt;"Y","Y","")</f>
        <v/>
      </c>
      <c r="AD104" s="13" t="str">
        <f aca="false">IF(AND(M104="declined-prior-offer",S104=""),"Y","")</f>
        <v/>
      </c>
      <c r="AE104" s="13" t="str">
        <f aca="false">IF(OR(R104&lt;&gt;"MATCH",ISNUMBER(SEARCH("conflict",Q104))),"Y","")</f>
        <v/>
      </c>
      <c r="AF104" s="13" t="str">
        <f aca="false">IF(AND(ISNUMBER(Z104),ABS(Z104-AA104)&gt;0.001),"Y","")</f>
        <v/>
      </c>
      <c r="AG104" s="13" t="str">
        <f aca="false">IF(AND(W104&lt;&gt;"",Y104&lt;&gt;"ACCEPTED"),"Y","")</f>
        <v/>
      </c>
      <c r="AH104" s="13" t="str">
        <f aca="false">IF(COUNTIF(AB104:AG104,"Y")&gt;0,"EXCEPTION","NO EXCEPTION IDENTIFIED")</f>
        <v>EXCEPTION</v>
      </c>
      <c r="AI104" s="16" t="s">
        <v>121</v>
      </c>
      <c r="AJ104" s="16" t="s">
        <v>749</v>
      </c>
    </row>
    <row r="105" customFormat="false" ht="20.85" hidden="false" customHeight="false" outlineLevel="0" collapsed="false">
      <c r="A105" s="9" t="s">
        <v>750</v>
      </c>
      <c r="B105" s="10" t="n">
        <v>45342</v>
      </c>
      <c r="C105" s="9" t="s">
        <v>751</v>
      </c>
      <c r="D105" s="9" t="s">
        <v>752</v>
      </c>
      <c r="E105" s="9" t="n">
        <v>2141</v>
      </c>
      <c r="F105" s="10" t="n">
        <v>45777</v>
      </c>
      <c r="G105" s="9" t="n">
        <f aca="false">B105-F105</f>
        <v>-435</v>
      </c>
      <c r="H105" s="9" t="s">
        <v>753</v>
      </c>
      <c r="I105" s="9" t="s">
        <v>754</v>
      </c>
      <c r="J105" s="9" t="s">
        <v>113</v>
      </c>
      <c r="K105" s="9" t="s">
        <v>114</v>
      </c>
      <c r="L105" s="11" t="n">
        <v>28</v>
      </c>
      <c r="M105" s="9" t="s">
        <v>115</v>
      </c>
      <c r="N105" s="9" t="s">
        <v>116</v>
      </c>
      <c r="O105" s="9" t="s">
        <v>117</v>
      </c>
      <c r="P105" s="9" t="s">
        <v>138</v>
      </c>
      <c r="Q105" s="9" t="s">
        <v>119</v>
      </c>
      <c r="R105" s="9" t="s">
        <v>120</v>
      </c>
      <c r="S105" s="9"/>
      <c r="T105" s="10"/>
      <c r="U105" s="9"/>
      <c r="V105" s="9"/>
      <c r="W105" s="10"/>
      <c r="X105" s="9"/>
      <c r="Y105" s="9"/>
      <c r="Z105" s="11"/>
      <c r="AA105" s="11" t="n">
        <v>32.8</v>
      </c>
      <c r="AB105" s="9" t="str">
        <f aca="false">IF(B105&lt;F105,"Y","")</f>
        <v>Y</v>
      </c>
      <c r="AC105" s="9" t="str">
        <f aca="false">IF(O105&lt;&gt;"Y","Y","")</f>
        <v/>
      </c>
      <c r="AD105" s="9" t="str">
        <f aca="false">IF(AND(M105="declined-prior-offer",S105=""),"Y","")</f>
        <v/>
      </c>
      <c r="AE105" s="9" t="str">
        <f aca="false">IF(OR(R105&lt;&gt;"MATCH",ISNUMBER(SEARCH("conflict",Q105))),"Y","")</f>
        <v/>
      </c>
      <c r="AF105" s="9" t="str">
        <f aca="false">IF(AND(ISNUMBER(Z105),ABS(Z105-AA105)&gt;0.001),"Y","")</f>
        <v/>
      </c>
      <c r="AG105" s="9" t="str">
        <f aca="false">IF(AND(W105&lt;&gt;"",Y105&lt;&gt;"ACCEPTED"),"Y","")</f>
        <v/>
      </c>
      <c r="AH105" s="9" t="str">
        <f aca="false">IF(COUNTIF(AB105:AG105,"Y")&gt;0,"EXCEPTION","NO EXCEPTION IDENTIFIED")</f>
        <v>EXCEPTION</v>
      </c>
      <c r="AI105" s="12" t="s">
        <v>121</v>
      </c>
      <c r="AJ105" s="12" t="s">
        <v>755</v>
      </c>
    </row>
    <row r="106" customFormat="false" ht="20.85" hidden="false" customHeight="false" outlineLevel="0" collapsed="false">
      <c r="A106" s="13" t="s">
        <v>756</v>
      </c>
      <c r="B106" s="14" t="n">
        <v>45342</v>
      </c>
      <c r="C106" s="13" t="s">
        <v>757</v>
      </c>
      <c r="D106" s="13" t="s">
        <v>758</v>
      </c>
      <c r="E106" s="13" t="n">
        <v>2044</v>
      </c>
      <c r="F106" s="14" t="n">
        <v>45730</v>
      </c>
      <c r="G106" s="13" t="n">
        <f aca="false">B106-F106</f>
        <v>-388</v>
      </c>
      <c r="H106" s="13" t="s">
        <v>759</v>
      </c>
      <c r="I106" s="13" t="s">
        <v>760</v>
      </c>
      <c r="J106" s="13" t="s">
        <v>135</v>
      </c>
      <c r="K106" s="13" t="s">
        <v>114</v>
      </c>
      <c r="L106" s="15" t="n">
        <v>28</v>
      </c>
      <c r="M106" s="13" t="s">
        <v>185</v>
      </c>
      <c r="N106" s="13" t="s">
        <v>186</v>
      </c>
      <c r="O106" s="13" t="s">
        <v>147</v>
      </c>
      <c r="P106" s="13"/>
      <c r="Q106" s="13" t="s">
        <v>289</v>
      </c>
      <c r="R106" s="13" t="s">
        <v>290</v>
      </c>
      <c r="S106" s="13"/>
      <c r="T106" s="14"/>
      <c r="U106" s="13"/>
      <c r="V106" s="13"/>
      <c r="W106" s="14"/>
      <c r="X106" s="13"/>
      <c r="Y106" s="13"/>
      <c r="Z106" s="15"/>
      <c r="AA106" s="15" t="n">
        <v>23.6</v>
      </c>
      <c r="AB106" s="13" t="str">
        <f aca="false">IF(B106&lt;F106,"Y","")</f>
        <v>Y</v>
      </c>
      <c r="AC106" s="13" t="str">
        <f aca="false">IF(O106&lt;&gt;"Y","Y","")</f>
        <v>Y</v>
      </c>
      <c r="AD106" s="13" t="str">
        <f aca="false">IF(AND(M106="declined-prior-offer",S106=""),"Y","")</f>
        <v/>
      </c>
      <c r="AE106" s="13" t="str">
        <f aca="false">IF(OR(R106&lt;&gt;"MATCH",ISNUMBER(SEARCH("conflict",Q106))),"Y","")</f>
        <v>Y</v>
      </c>
      <c r="AF106" s="13" t="str">
        <f aca="false">IF(AND(ISNUMBER(Z106),ABS(Z106-AA106)&gt;0.001),"Y","")</f>
        <v/>
      </c>
      <c r="AG106" s="13" t="str">
        <f aca="false">IF(AND(W106&lt;&gt;"",Y106&lt;&gt;"ACCEPTED"),"Y","")</f>
        <v/>
      </c>
      <c r="AH106" s="13" t="str">
        <f aca="false">IF(COUNTIF(AB106:AG106,"Y")&gt;0,"EXCEPTION","NO EXCEPTION IDENTIFIED")</f>
        <v>EXCEPTION</v>
      </c>
      <c r="AI106" s="16" t="s">
        <v>291</v>
      </c>
      <c r="AJ106" s="16" t="s">
        <v>761</v>
      </c>
    </row>
    <row r="107" customFormat="false" ht="20.85" hidden="false" customHeight="false" outlineLevel="0" collapsed="false">
      <c r="A107" s="9" t="s">
        <v>762</v>
      </c>
      <c r="B107" s="10" t="n">
        <v>45346</v>
      </c>
      <c r="C107" s="9" t="s">
        <v>763</v>
      </c>
      <c r="D107" s="9" t="s">
        <v>764</v>
      </c>
      <c r="E107" s="9" t="n">
        <v>1349</v>
      </c>
      <c r="F107" s="10" t="n">
        <v>45429</v>
      </c>
      <c r="G107" s="9" t="n">
        <f aca="false">B107-F107</f>
        <v>-83</v>
      </c>
      <c r="H107" s="9" t="s">
        <v>765</v>
      </c>
      <c r="I107" s="9" t="s">
        <v>766</v>
      </c>
      <c r="J107" s="9" t="s">
        <v>204</v>
      </c>
      <c r="K107" s="9" t="s">
        <v>146</v>
      </c>
      <c r="L107" s="11" t="n">
        <v>24</v>
      </c>
      <c r="M107" s="9" t="s">
        <v>185</v>
      </c>
      <c r="N107" s="9" t="s">
        <v>186</v>
      </c>
      <c r="O107" s="9" t="s">
        <v>117</v>
      </c>
      <c r="P107" s="9" t="s">
        <v>178</v>
      </c>
      <c r="Q107" s="9" t="s">
        <v>119</v>
      </c>
      <c r="R107" s="9" t="s">
        <v>120</v>
      </c>
      <c r="S107" s="9"/>
      <c r="T107" s="10"/>
      <c r="U107" s="9"/>
      <c r="V107" s="9"/>
      <c r="W107" s="10"/>
      <c r="X107" s="9"/>
      <c r="Y107" s="9"/>
      <c r="Z107" s="11"/>
      <c r="AA107" s="11" t="n">
        <v>41.7</v>
      </c>
      <c r="AB107" s="9" t="str">
        <f aca="false">IF(B107&lt;F107,"Y","")</f>
        <v>Y</v>
      </c>
      <c r="AC107" s="9" t="str">
        <f aca="false">IF(O107&lt;&gt;"Y","Y","")</f>
        <v/>
      </c>
      <c r="AD107" s="9" t="str">
        <f aca="false">IF(AND(M107="declined-prior-offer",S107=""),"Y","")</f>
        <v/>
      </c>
      <c r="AE107" s="9" t="str">
        <f aca="false">IF(OR(R107&lt;&gt;"MATCH",ISNUMBER(SEARCH("conflict",Q107))),"Y","")</f>
        <v/>
      </c>
      <c r="AF107" s="9" t="str">
        <f aca="false">IF(AND(ISNUMBER(Z107),ABS(Z107-AA107)&gt;0.001),"Y","")</f>
        <v/>
      </c>
      <c r="AG107" s="9" t="str">
        <f aca="false">IF(AND(W107&lt;&gt;"",Y107&lt;&gt;"ACCEPTED"),"Y","")</f>
        <v/>
      </c>
      <c r="AH107" s="9" t="str">
        <f aca="false">IF(COUNTIF(AB107:AG107,"Y")&gt;0,"EXCEPTION","NO EXCEPTION IDENTIFIED")</f>
        <v>EXCEPTION</v>
      </c>
      <c r="AI107" s="12" t="s">
        <v>121</v>
      </c>
      <c r="AJ107" s="12" t="s">
        <v>767</v>
      </c>
    </row>
    <row r="108" customFormat="false" ht="20.85" hidden="false" customHeight="false" outlineLevel="0" collapsed="false">
      <c r="A108" s="13" t="s">
        <v>768</v>
      </c>
      <c r="B108" s="14" t="n">
        <v>45353</v>
      </c>
      <c r="C108" s="13" t="s">
        <v>769</v>
      </c>
      <c r="D108" s="13" t="s">
        <v>770</v>
      </c>
      <c r="E108" s="13" t="n">
        <v>1893</v>
      </c>
      <c r="F108" s="14" t="n">
        <v>45664</v>
      </c>
      <c r="G108" s="13" t="n">
        <f aca="false">B108-F108</f>
        <v>-311</v>
      </c>
      <c r="H108" s="13" t="s">
        <v>771</v>
      </c>
      <c r="I108" s="13" t="s">
        <v>772</v>
      </c>
      <c r="J108" s="13" t="s">
        <v>145</v>
      </c>
      <c r="K108" s="13" t="s">
        <v>146</v>
      </c>
      <c r="L108" s="15" t="n">
        <v>70</v>
      </c>
      <c r="M108" s="13" t="s">
        <v>169</v>
      </c>
      <c r="N108" s="13" t="s">
        <v>170</v>
      </c>
      <c r="O108" s="13" t="s">
        <v>117</v>
      </c>
      <c r="P108" s="13" t="s">
        <v>128</v>
      </c>
      <c r="Q108" s="13" t="s">
        <v>119</v>
      </c>
      <c r="R108" s="13" t="s">
        <v>120</v>
      </c>
      <c r="S108" s="13" t="s">
        <v>773</v>
      </c>
      <c r="T108" s="14" t="n">
        <v>44725</v>
      </c>
      <c r="U108" s="13" t="s">
        <v>774</v>
      </c>
      <c r="V108" s="13" t="s">
        <v>360</v>
      </c>
      <c r="W108" s="14"/>
      <c r="X108" s="13"/>
      <c r="Y108" s="13"/>
      <c r="Z108" s="15"/>
      <c r="AA108" s="15" t="n">
        <v>39.2</v>
      </c>
      <c r="AB108" s="13" t="str">
        <f aca="false">IF(B108&lt;F108,"Y","")</f>
        <v>Y</v>
      </c>
      <c r="AC108" s="13" t="str">
        <f aca="false">IF(O108&lt;&gt;"Y","Y","")</f>
        <v/>
      </c>
      <c r="AD108" s="13" t="str">
        <f aca="false">IF(AND(M108="declined-prior-offer",S108=""),"Y","")</f>
        <v/>
      </c>
      <c r="AE108" s="13" t="str">
        <f aca="false">IF(OR(R108&lt;&gt;"MATCH",ISNUMBER(SEARCH("conflict",Q108))),"Y","")</f>
        <v/>
      </c>
      <c r="AF108" s="13" t="str">
        <f aca="false">IF(AND(ISNUMBER(Z108),ABS(Z108-AA108)&gt;0.001),"Y","")</f>
        <v/>
      </c>
      <c r="AG108" s="13" t="str">
        <f aca="false">IF(AND(W108&lt;&gt;"",Y108&lt;&gt;"ACCEPTED"),"Y","")</f>
        <v/>
      </c>
      <c r="AH108" s="13" t="str">
        <f aca="false">IF(COUNTIF(AB108:AG108,"Y")&gt;0,"EXCEPTION","NO EXCEPTION IDENTIFIED")</f>
        <v>EXCEPTION</v>
      </c>
      <c r="AI108" s="16" t="s">
        <v>121</v>
      </c>
      <c r="AJ108" s="16" t="s">
        <v>775</v>
      </c>
    </row>
    <row r="109" customFormat="false" ht="20.85" hidden="false" customHeight="false" outlineLevel="0" collapsed="false">
      <c r="A109" s="9" t="s">
        <v>776</v>
      </c>
      <c r="B109" s="10" t="n">
        <v>45353</v>
      </c>
      <c r="C109" s="9" t="s">
        <v>777</v>
      </c>
      <c r="D109" s="9" t="s">
        <v>778</v>
      </c>
      <c r="E109" s="9" t="n">
        <v>1769</v>
      </c>
      <c r="F109" s="10" t="n">
        <v>45615</v>
      </c>
      <c r="G109" s="9" t="n">
        <f aca="false">B109-F109</f>
        <v>-262</v>
      </c>
      <c r="H109" s="9" t="s">
        <v>779</v>
      </c>
      <c r="I109" s="9" t="s">
        <v>780</v>
      </c>
      <c r="J109" s="9" t="s">
        <v>145</v>
      </c>
      <c r="K109" s="9" t="s">
        <v>146</v>
      </c>
      <c r="L109" s="11" t="n">
        <v>80</v>
      </c>
      <c r="M109" s="9" t="s">
        <v>169</v>
      </c>
      <c r="N109" s="9" t="s">
        <v>170</v>
      </c>
      <c r="O109" s="9" t="s">
        <v>117</v>
      </c>
      <c r="P109" s="9" t="s">
        <v>118</v>
      </c>
      <c r="Q109" s="9" t="s">
        <v>119</v>
      </c>
      <c r="R109" s="9" t="s">
        <v>120</v>
      </c>
      <c r="S109" s="9"/>
      <c r="T109" s="10"/>
      <c r="U109" s="9"/>
      <c r="V109" s="9"/>
      <c r="W109" s="10"/>
      <c r="X109" s="9"/>
      <c r="Y109" s="9"/>
      <c r="Z109" s="11"/>
      <c r="AA109" s="11" t="n">
        <v>34</v>
      </c>
      <c r="AB109" s="9" t="str">
        <f aca="false">IF(B109&lt;F109,"Y","")</f>
        <v>Y</v>
      </c>
      <c r="AC109" s="9" t="str">
        <f aca="false">IF(O109&lt;&gt;"Y","Y","")</f>
        <v/>
      </c>
      <c r="AD109" s="9" t="str">
        <f aca="false">IF(AND(M109="declined-prior-offer",S109=""),"Y","")</f>
        <v>Y</v>
      </c>
      <c r="AE109" s="9" t="str">
        <f aca="false">IF(OR(R109&lt;&gt;"MATCH",ISNUMBER(SEARCH("conflict",Q109))),"Y","")</f>
        <v/>
      </c>
      <c r="AF109" s="9" t="str">
        <f aca="false">IF(AND(ISNUMBER(Z109),ABS(Z109-AA109)&gt;0.001),"Y","")</f>
        <v/>
      </c>
      <c r="AG109" s="9" t="str">
        <f aca="false">IF(AND(W109&lt;&gt;"",Y109&lt;&gt;"ACCEPTED"),"Y","")</f>
        <v/>
      </c>
      <c r="AH109" s="9" t="str">
        <f aca="false">IF(COUNTIF(AB109:AG109,"Y")&gt;0,"EXCEPTION","NO EXCEPTION IDENTIFIED")</f>
        <v>EXCEPTION</v>
      </c>
      <c r="AI109" s="12" t="s">
        <v>171</v>
      </c>
      <c r="AJ109" s="12" t="s">
        <v>781</v>
      </c>
    </row>
    <row r="110" customFormat="false" ht="20.85" hidden="false" customHeight="false" outlineLevel="0" collapsed="false">
      <c r="A110" s="13" t="s">
        <v>782</v>
      </c>
      <c r="B110" s="14" t="n">
        <v>45370</v>
      </c>
      <c r="C110" s="13" t="s">
        <v>783</v>
      </c>
      <c r="D110" s="13" t="s">
        <v>784</v>
      </c>
      <c r="E110" s="13" t="n">
        <v>1877</v>
      </c>
      <c r="F110" s="14" t="n">
        <v>45660</v>
      </c>
      <c r="G110" s="13" t="n">
        <f aca="false">B110-F110</f>
        <v>-290</v>
      </c>
      <c r="H110" s="13" t="s">
        <v>759</v>
      </c>
      <c r="I110" s="13" t="s">
        <v>785</v>
      </c>
      <c r="J110" s="13" t="s">
        <v>155</v>
      </c>
      <c r="K110" s="13" t="s">
        <v>146</v>
      </c>
      <c r="L110" s="15" t="n">
        <v>80</v>
      </c>
      <c r="M110" s="13" t="s">
        <v>115</v>
      </c>
      <c r="N110" s="13" t="s">
        <v>116</v>
      </c>
      <c r="O110" s="13" t="s">
        <v>117</v>
      </c>
      <c r="P110" s="13" t="s">
        <v>178</v>
      </c>
      <c r="Q110" s="13" t="s">
        <v>786</v>
      </c>
      <c r="R110" s="13" t="s">
        <v>290</v>
      </c>
      <c r="S110" s="13"/>
      <c r="T110" s="14"/>
      <c r="U110" s="13"/>
      <c r="V110" s="13"/>
      <c r="W110" s="14"/>
      <c r="X110" s="13"/>
      <c r="Y110" s="13"/>
      <c r="Z110" s="15"/>
      <c r="AA110" s="15" t="n">
        <v>33.2</v>
      </c>
      <c r="AB110" s="13" t="str">
        <f aca="false">IF(B110&lt;F110,"Y","")</f>
        <v>Y</v>
      </c>
      <c r="AC110" s="13" t="str">
        <f aca="false">IF(O110&lt;&gt;"Y","Y","")</f>
        <v/>
      </c>
      <c r="AD110" s="13" t="str">
        <f aca="false">IF(AND(M110="declined-prior-offer",S110=""),"Y","")</f>
        <v/>
      </c>
      <c r="AE110" s="13" t="str">
        <f aca="false">IF(OR(R110&lt;&gt;"MATCH",ISNUMBER(SEARCH("conflict",Q110))),"Y","")</f>
        <v>Y</v>
      </c>
      <c r="AF110" s="13" t="str">
        <f aca="false">IF(AND(ISNUMBER(Z110),ABS(Z110-AA110)&gt;0.001),"Y","")</f>
        <v/>
      </c>
      <c r="AG110" s="13" t="str">
        <f aca="false">IF(AND(W110&lt;&gt;"",Y110&lt;&gt;"ACCEPTED"),"Y","")</f>
        <v/>
      </c>
      <c r="AH110" s="13" t="str">
        <f aca="false">IF(COUNTIF(AB110:AG110,"Y")&gt;0,"EXCEPTION","NO EXCEPTION IDENTIFIED")</f>
        <v>EXCEPTION</v>
      </c>
      <c r="AI110" s="16" t="s">
        <v>787</v>
      </c>
      <c r="AJ110" s="16" t="s">
        <v>788</v>
      </c>
    </row>
    <row r="111" customFormat="false" ht="20.85" hidden="false" customHeight="false" outlineLevel="0" collapsed="false">
      <c r="A111" s="9" t="s">
        <v>789</v>
      </c>
      <c r="B111" s="10" t="n">
        <v>45371</v>
      </c>
      <c r="C111" s="9" t="s">
        <v>790</v>
      </c>
      <c r="D111" s="9" t="s">
        <v>791</v>
      </c>
      <c r="E111" s="9" t="n">
        <v>2661</v>
      </c>
      <c r="F111" s="10" t="n">
        <v>46038</v>
      </c>
      <c r="G111" s="9" t="n">
        <f aca="false">B111-F111</f>
        <v>-667</v>
      </c>
      <c r="H111" s="9" t="s">
        <v>792</v>
      </c>
      <c r="I111" s="9" t="s">
        <v>793</v>
      </c>
      <c r="J111" s="9" t="s">
        <v>145</v>
      </c>
      <c r="K111" s="9" t="s">
        <v>146</v>
      </c>
      <c r="L111" s="11" t="n">
        <v>28</v>
      </c>
      <c r="M111" s="9" t="s">
        <v>115</v>
      </c>
      <c r="N111" s="9" t="s">
        <v>116</v>
      </c>
      <c r="O111" s="9" t="s">
        <v>117</v>
      </c>
      <c r="P111" s="9" t="s">
        <v>128</v>
      </c>
      <c r="Q111" s="9" t="s">
        <v>119</v>
      </c>
      <c r="R111" s="9" t="s">
        <v>120</v>
      </c>
      <c r="S111" s="9"/>
      <c r="T111" s="10"/>
      <c r="U111" s="9"/>
      <c r="V111" s="9"/>
      <c r="W111" s="10"/>
      <c r="X111" s="9"/>
      <c r="Y111" s="9"/>
      <c r="Z111" s="11"/>
      <c r="AA111" s="11" t="n">
        <v>54.8</v>
      </c>
      <c r="AB111" s="9" t="str">
        <f aca="false">IF(B111&lt;F111,"Y","")</f>
        <v>Y</v>
      </c>
      <c r="AC111" s="9" t="str">
        <f aca="false">IF(O111&lt;&gt;"Y","Y","")</f>
        <v/>
      </c>
      <c r="AD111" s="9" t="str">
        <f aca="false">IF(AND(M111="declined-prior-offer",S111=""),"Y","")</f>
        <v/>
      </c>
      <c r="AE111" s="9" t="str">
        <f aca="false">IF(OR(R111&lt;&gt;"MATCH",ISNUMBER(SEARCH("conflict",Q111))),"Y","")</f>
        <v/>
      </c>
      <c r="AF111" s="9" t="str">
        <f aca="false">IF(AND(ISNUMBER(Z111),ABS(Z111-AA111)&gt;0.001),"Y","")</f>
        <v/>
      </c>
      <c r="AG111" s="9" t="str">
        <f aca="false">IF(AND(W111&lt;&gt;"",Y111&lt;&gt;"ACCEPTED"),"Y","")</f>
        <v/>
      </c>
      <c r="AH111" s="9" t="str">
        <f aca="false">IF(COUNTIF(AB111:AG111,"Y")&gt;0,"EXCEPTION","NO EXCEPTION IDENTIFIED")</f>
        <v>EXCEPTION</v>
      </c>
      <c r="AI111" s="12" t="s">
        <v>121</v>
      </c>
      <c r="AJ111" s="12" t="s">
        <v>794</v>
      </c>
    </row>
    <row r="112" customFormat="false" ht="20.85" hidden="false" customHeight="false" outlineLevel="0" collapsed="false">
      <c r="A112" s="13" t="s">
        <v>795</v>
      </c>
      <c r="B112" s="14" t="n">
        <v>45373</v>
      </c>
      <c r="C112" s="13" t="s">
        <v>796</v>
      </c>
      <c r="D112" s="13" t="s">
        <v>797</v>
      </c>
      <c r="E112" s="13" t="n">
        <v>1027</v>
      </c>
      <c r="F112" s="14" t="n">
        <v>45279</v>
      </c>
      <c r="G112" s="13" t="n">
        <f aca="false">B112-F112</f>
        <v>94</v>
      </c>
      <c r="H112" s="13" t="s">
        <v>798</v>
      </c>
      <c r="I112" s="13" t="s">
        <v>570</v>
      </c>
      <c r="J112" s="13" t="s">
        <v>155</v>
      </c>
      <c r="K112" s="13" t="s">
        <v>146</v>
      </c>
      <c r="L112" s="15" t="n">
        <v>80</v>
      </c>
      <c r="M112" s="13" t="s">
        <v>136</v>
      </c>
      <c r="N112" s="13" t="s">
        <v>137</v>
      </c>
      <c r="O112" s="13" t="s">
        <v>117</v>
      </c>
      <c r="P112" s="13" t="s">
        <v>138</v>
      </c>
      <c r="Q112" s="13" t="s">
        <v>119</v>
      </c>
      <c r="R112" s="13" t="s">
        <v>120</v>
      </c>
      <c r="S112" s="13"/>
      <c r="T112" s="14"/>
      <c r="U112" s="13"/>
      <c r="V112" s="13"/>
      <c r="W112" s="14"/>
      <c r="X112" s="13"/>
      <c r="Y112" s="13"/>
      <c r="Z112" s="15"/>
      <c r="AA112" s="15" t="n">
        <v>46.1</v>
      </c>
      <c r="AB112" s="13" t="str">
        <f aca="false">IF(B112&lt;F112,"Y","")</f>
        <v/>
      </c>
      <c r="AC112" s="13" t="str">
        <f aca="false">IF(O112&lt;&gt;"Y","Y","")</f>
        <v/>
      </c>
      <c r="AD112" s="13" t="str">
        <f aca="false">IF(AND(M112="declined-prior-offer",S112=""),"Y","")</f>
        <v/>
      </c>
      <c r="AE112" s="13" t="str">
        <f aca="false">IF(OR(R112&lt;&gt;"MATCH",ISNUMBER(SEARCH("conflict",Q112))),"Y","")</f>
        <v/>
      </c>
      <c r="AF112" s="13" t="str">
        <f aca="false">IF(AND(ISNUMBER(Z112),ABS(Z112-AA112)&gt;0.001),"Y","")</f>
        <v/>
      </c>
      <c r="AG112" s="13" t="str">
        <f aca="false">IF(AND(W112&lt;&gt;"",Y112&lt;&gt;"ACCEPTED"),"Y","")</f>
        <v/>
      </c>
      <c r="AH112" s="13" t="str">
        <f aca="false">IF(COUNTIF(AB112:AG112,"Y")&gt;0,"EXCEPTION","NO EXCEPTION IDENTIFIED")</f>
        <v>NO EXCEPTION IDENTIFIED</v>
      </c>
      <c r="AI112" s="16" t="s">
        <v>156</v>
      </c>
      <c r="AJ112" s="16" t="s">
        <v>799</v>
      </c>
    </row>
    <row r="113" customFormat="false" ht="20.85" hidden="false" customHeight="false" outlineLevel="0" collapsed="false">
      <c r="A113" s="9" t="s">
        <v>800</v>
      </c>
      <c r="B113" s="10" t="n">
        <v>45374</v>
      </c>
      <c r="C113" s="9" t="s">
        <v>801</v>
      </c>
      <c r="D113" s="9" t="s">
        <v>802</v>
      </c>
      <c r="E113" s="9" t="n">
        <v>1629</v>
      </c>
      <c r="F113" s="10" t="n">
        <v>45557</v>
      </c>
      <c r="G113" s="9" t="n">
        <f aca="false">B113-F113</f>
        <v>-183</v>
      </c>
      <c r="H113" s="9" t="s">
        <v>803</v>
      </c>
      <c r="I113" s="9" t="s">
        <v>804</v>
      </c>
      <c r="J113" s="9" t="s">
        <v>135</v>
      </c>
      <c r="K113" s="9" t="s">
        <v>114</v>
      </c>
      <c r="L113" s="11" t="n">
        <v>40</v>
      </c>
      <c r="M113" s="9" t="s">
        <v>115</v>
      </c>
      <c r="N113" s="9" t="s">
        <v>116</v>
      </c>
      <c r="O113" s="9" t="s">
        <v>117</v>
      </c>
      <c r="P113" s="9" t="s">
        <v>178</v>
      </c>
      <c r="Q113" s="9" t="s">
        <v>119</v>
      </c>
      <c r="R113" s="9" t="s">
        <v>120</v>
      </c>
      <c r="S113" s="9" t="s">
        <v>805</v>
      </c>
      <c r="T113" s="10" t="n">
        <v>44704</v>
      </c>
      <c r="U113" s="9" t="s">
        <v>806</v>
      </c>
      <c r="V113" s="9" t="s">
        <v>360</v>
      </c>
      <c r="W113" s="10"/>
      <c r="X113" s="9"/>
      <c r="Y113" s="9"/>
      <c r="Z113" s="11"/>
      <c r="AA113" s="11" t="n">
        <v>20.9</v>
      </c>
      <c r="AB113" s="9" t="str">
        <f aca="false">IF(B113&lt;F113,"Y","")</f>
        <v>Y</v>
      </c>
      <c r="AC113" s="9" t="str">
        <f aca="false">IF(O113&lt;&gt;"Y","Y","")</f>
        <v/>
      </c>
      <c r="AD113" s="9" t="str">
        <f aca="false">IF(AND(M113="declined-prior-offer",S113=""),"Y","")</f>
        <v/>
      </c>
      <c r="AE113" s="9" t="str">
        <f aca="false">IF(OR(R113&lt;&gt;"MATCH",ISNUMBER(SEARCH("conflict",Q113))),"Y","")</f>
        <v/>
      </c>
      <c r="AF113" s="9" t="str">
        <f aca="false">IF(AND(ISNUMBER(Z113),ABS(Z113-AA113)&gt;0.001),"Y","")</f>
        <v/>
      </c>
      <c r="AG113" s="9" t="str">
        <f aca="false">IF(AND(W113&lt;&gt;"",Y113&lt;&gt;"ACCEPTED"),"Y","")</f>
        <v/>
      </c>
      <c r="AH113" s="9" t="str">
        <f aca="false">IF(COUNTIF(AB113:AG113,"Y")&gt;0,"EXCEPTION","NO EXCEPTION IDENTIFIED")</f>
        <v>EXCEPTION</v>
      </c>
      <c r="AI113" s="12" t="s">
        <v>121</v>
      </c>
      <c r="AJ113" s="12" t="s">
        <v>807</v>
      </c>
    </row>
    <row r="114" customFormat="false" ht="20.85" hidden="false" customHeight="false" outlineLevel="0" collapsed="false">
      <c r="A114" s="13" t="s">
        <v>808</v>
      </c>
      <c r="B114" s="14" t="n">
        <v>45376</v>
      </c>
      <c r="C114" s="13" t="s">
        <v>809</v>
      </c>
      <c r="D114" s="13" t="s">
        <v>810</v>
      </c>
      <c r="E114" s="13" t="n">
        <v>1274</v>
      </c>
      <c r="F114" s="14" t="n">
        <v>45400</v>
      </c>
      <c r="G114" s="13" t="n">
        <f aca="false">B114-F114</f>
        <v>-24</v>
      </c>
      <c r="H114" s="13" t="s">
        <v>811</v>
      </c>
      <c r="I114" s="13" t="s">
        <v>812</v>
      </c>
      <c r="J114" s="13" t="s">
        <v>135</v>
      </c>
      <c r="K114" s="13" t="s">
        <v>114</v>
      </c>
      <c r="L114" s="15" t="n">
        <v>28</v>
      </c>
      <c r="M114" s="13" t="s">
        <v>115</v>
      </c>
      <c r="N114" s="13" t="s">
        <v>116</v>
      </c>
      <c r="O114" s="13" t="s">
        <v>117</v>
      </c>
      <c r="P114" s="13" t="s">
        <v>138</v>
      </c>
      <c r="Q114" s="13" t="s">
        <v>119</v>
      </c>
      <c r="R114" s="13" t="s">
        <v>120</v>
      </c>
      <c r="S114" s="13"/>
      <c r="T114" s="14"/>
      <c r="U114" s="13"/>
      <c r="V114" s="13"/>
      <c r="W114" s="14"/>
      <c r="X114" s="13"/>
      <c r="Y114" s="13"/>
      <c r="Z114" s="15"/>
      <c r="AA114" s="15" t="n">
        <v>44</v>
      </c>
      <c r="AB114" s="13" t="str">
        <f aca="false">IF(B114&lt;F114,"Y","")</f>
        <v>Y</v>
      </c>
      <c r="AC114" s="13" t="str">
        <f aca="false">IF(O114&lt;&gt;"Y","Y","")</f>
        <v/>
      </c>
      <c r="AD114" s="13" t="str">
        <f aca="false">IF(AND(M114="declined-prior-offer",S114=""),"Y","")</f>
        <v/>
      </c>
      <c r="AE114" s="13" t="str">
        <f aca="false">IF(OR(R114&lt;&gt;"MATCH",ISNUMBER(SEARCH("conflict",Q114))),"Y","")</f>
        <v/>
      </c>
      <c r="AF114" s="13" t="str">
        <f aca="false">IF(AND(ISNUMBER(Z114),ABS(Z114-AA114)&gt;0.001),"Y","")</f>
        <v/>
      </c>
      <c r="AG114" s="13" t="str">
        <f aca="false">IF(AND(W114&lt;&gt;"",Y114&lt;&gt;"ACCEPTED"),"Y","")</f>
        <v/>
      </c>
      <c r="AH114" s="13" t="str">
        <f aca="false">IF(COUNTIF(AB114:AG114,"Y")&gt;0,"EXCEPTION","NO EXCEPTION IDENTIFIED")</f>
        <v>EXCEPTION</v>
      </c>
      <c r="AI114" s="16" t="s">
        <v>121</v>
      </c>
      <c r="AJ114" s="16" t="s">
        <v>813</v>
      </c>
    </row>
    <row r="115" customFormat="false" ht="20.85" hidden="false" customHeight="false" outlineLevel="0" collapsed="false">
      <c r="A115" s="9" t="s">
        <v>814</v>
      </c>
      <c r="B115" s="10" t="n">
        <v>45378</v>
      </c>
      <c r="C115" s="9" t="s">
        <v>815</v>
      </c>
      <c r="D115" s="9" t="s">
        <v>816</v>
      </c>
      <c r="E115" s="9" t="n">
        <v>2185</v>
      </c>
      <c r="F115" s="10" t="n">
        <v>45793</v>
      </c>
      <c r="G115" s="9" t="n">
        <f aca="false">B115-F115</f>
        <v>-415</v>
      </c>
      <c r="H115" s="9" t="s">
        <v>817</v>
      </c>
      <c r="I115" s="9" t="s">
        <v>818</v>
      </c>
      <c r="J115" s="9" t="s">
        <v>204</v>
      </c>
      <c r="K115" s="9" t="s">
        <v>146</v>
      </c>
      <c r="L115" s="11" t="n">
        <v>24</v>
      </c>
      <c r="M115" s="9" t="s">
        <v>115</v>
      </c>
      <c r="N115" s="9" t="s">
        <v>116</v>
      </c>
      <c r="O115" s="9" t="s">
        <v>117</v>
      </c>
      <c r="P115" s="9" t="s">
        <v>118</v>
      </c>
      <c r="Q115" s="9" t="s">
        <v>119</v>
      </c>
      <c r="R115" s="9" t="s">
        <v>120</v>
      </c>
      <c r="S115" s="9"/>
      <c r="T115" s="10"/>
      <c r="U115" s="9"/>
      <c r="V115" s="9"/>
      <c r="W115" s="10"/>
      <c r="X115" s="9"/>
      <c r="Y115" s="9"/>
      <c r="Z115" s="11"/>
      <c r="AA115" s="11" t="n">
        <v>34.5</v>
      </c>
      <c r="AB115" s="9" t="str">
        <f aca="false">IF(B115&lt;F115,"Y","")</f>
        <v>Y</v>
      </c>
      <c r="AC115" s="9" t="str">
        <f aca="false">IF(O115&lt;&gt;"Y","Y","")</f>
        <v/>
      </c>
      <c r="AD115" s="9" t="str">
        <f aca="false">IF(AND(M115="declined-prior-offer",S115=""),"Y","")</f>
        <v/>
      </c>
      <c r="AE115" s="9" t="str">
        <f aca="false">IF(OR(R115&lt;&gt;"MATCH",ISNUMBER(SEARCH("conflict",Q115))),"Y","")</f>
        <v/>
      </c>
      <c r="AF115" s="9" t="str">
        <f aca="false">IF(AND(ISNUMBER(Z115),ABS(Z115-AA115)&gt;0.001),"Y","")</f>
        <v/>
      </c>
      <c r="AG115" s="9" t="str">
        <f aca="false">IF(AND(W115&lt;&gt;"",Y115&lt;&gt;"ACCEPTED"),"Y","")</f>
        <v/>
      </c>
      <c r="AH115" s="9" t="str">
        <f aca="false">IF(COUNTIF(AB115:AG115,"Y")&gt;0,"EXCEPTION","NO EXCEPTION IDENTIFIED")</f>
        <v>EXCEPTION</v>
      </c>
      <c r="AI115" s="12" t="s">
        <v>121</v>
      </c>
      <c r="AJ115" s="12" t="s">
        <v>819</v>
      </c>
    </row>
    <row r="116" customFormat="false" ht="20.85" hidden="false" customHeight="false" outlineLevel="0" collapsed="false">
      <c r="A116" s="13" t="s">
        <v>820</v>
      </c>
      <c r="B116" s="14" t="n">
        <v>45379</v>
      </c>
      <c r="C116" s="13" t="s">
        <v>821</v>
      </c>
      <c r="D116" s="13" t="s">
        <v>822</v>
      </c>
      <c r="E116" s="13" t="n">
        <v>2621</v>
      </c>
      <c r="F116" s="14" t="n">
        <v>46018</v>
      </c>
      <c r="G116" s="13" t="n">
        <f aca="false">B116-F116</f>
        <v>-639</v>
      </c>
      <c r="H116" s="13" t="s">
        <v>823</v>
      </c>
      <c r="I116" s="13" t="s">
        <v>824</v>
      </c>
      <c r="J116" s="13" t="s">
        <v>204</v>
      </c>
      <c r="K116" s="13" t="s">
        <v>146</v>
      </c>
      <c r="L116" s="15" t="n">
        <v>24</v>
      </c>
      <c r="M116" s="13" t="s">
        <v>169</v>
      </c>
      <c r="N116" s="13" t="s">
        <v>170</v>
      </c>
      <c r="O116" s="13" t="s">
        <v>117</v>
      </c>
      <c r="P116" s="13" t="s">
        <v>118</v>
      </c>
      <c r="Q116" s="13" t="s">
        <v>119</v>
      </c>
      <c r="R116" s="13" t="s">
        <v>120</v>
      </c>
      <c r="S116" s="13"/>
      <c r="T116" s="14"/>
      <c r="U116" s="13"/>
      <c r="V116" s="13"/>
      <c r="W116" s="14"/>
      <c r="X116" s="13"/>
      <c r="Y116" s="13"/>
      <c r="Z116" s="15"/>
      <c r="AA116" s="15" t="n">
        <v>53.5</v>
      </c>
      <c r="AB116" s="13" t="str">
        <f aca="false">IF(B116&lt;F116,"Y","")</f>
        <v>Y</v>
      </c>
      <c r="AC116" s="13" t="str">
        <f aca="false">IF(O116&lt;&gt;"Y","Y","")</f>
        <v/>
      </c>
      <c r="AD116" s="13" t="str">
        <f aca="false">IF(AND(M116="declined-prior-offer",S116=""),"Y","")</f>
        <v>Y</v>
      </c>
      <c r="AE116" s="13" t="str">
        <f aca="false">IF(OR(R116&lt;&gt;"MATCH",ISNUMBER(SEARCH("conflict",Q116))),"Y","")</f>
        <v/>
      </c>
      <c r="AF116" s="13" t="str">
        <f aca="false">IF(AND(ISNUMBER(Z116),ABS(Z116-AA116)&gt;0.001),"Y","")</f>
        <v/>
      </c>
      <c r="AG116" s="13" t="str">
        <f aca="false">IF(AND(W116&lt;&gt;"",Y116&lt;&gt;"ACCEPTED"),"Y","")</f>
        <v/>
      </c>
      <c r="AH116" s="13" t="str">
        <f aca="false">IF(COUNTIF(AB116:AG116,"Y")&gt;0,"EXCEPTION","NO EXCEPTION IDENTIFIED")</f>
        <v>EXCEPTION</v>
      </c>
      <c r="AI116" s="16" t="s">
        <v>171</v>
      </c>
      <c r="AJ116" s="16" t="s">
        <v>825</v>
      </c>
    </row>
    <row r="117" customFormat="false" ht="20.85" hidden="false" customHeight="false" outlineLevel="0" collapsed="false">
      <c r="A117" s="9" t="s">
        <v>826</v>
      </c>
      <c r="B117" s="10" t="n">
        <v>45384</v>
      </c>
      <c r="C117" s="9" t="s">
        <v>827</v>
      </c>
      <c r="D117" s="9" t="s">
        <v>828</v>
      </c>
      <c r="E117" s="9" t="n">
        <v>950</v>
      </c>
      <c r="F117" s="10" t="n">
        <v>45239</v>
      </c>
      <c r="G117" s="9" t="n">
        <f aca="false">B117-F117</f>
        <v>145</v>
      </c>
      <c r="H117" s="9" t="s">
        <v>829</v>
      </c>
      <c r="I117" s="9" t="s">
        <v>830</v>
      </c>
      <c r="J117" s="9" t="s">
        <v>145</v>
      </c>
      <c r="K117" s="9" t="s">
        <v>146</v>
      </c>
      <c r="L117" s="11" t="n">
        <v>28</v>
      </c>
      <c r="M117" s="9" t="s">
        <v>115</v>
      </c>
      <c r="N117" s="9" t="s">
        <v>116</v>
      </c>
      <c r="O117" s="9" t="s">
        <v>147</v>
      </c>
      <c r="P117" s="9" t="s">
        <v>118</v>
      </c>
      <c r="Q117" s="9" t="s">
        <v>119</v>
      </c>
      <c r="R117" s="9" t="s">
        <v>120</v>
      </c>
      <c r="S117" s="9"/>
      <c r="T117" s="10"/>
      <c r="U117" s="9"/>
      <c r="V117" s="9"/>
      <c r="W117" s="10"/>
      <c r="X117" s="9"/>
      <c r="Y117" s="9"/>
      <c r="Z117" s="11"/>
      <c r="AA117" s="11" t="n">
        <v>56</v>
      </c>
      <c r="AB117" s="9" t="str">
        <f aca="false">IF(B117&lt;F117,"Y","")</f>
        <v/>
      </c>
      <c r="AC117" s="9" t="str">
        <f aca="false">IF(O117&lt;&gt;"Y","Y","")</f>
        <v>Y</v>
      </c>
      <c r="AD117" s="9" t="str">
        <f aca="false">IF(AND(M117="declined-prior-offer",S117=""),"Y","")</f>
        <v/>
      </c>
      <c r="AE117" s="9" t="str">
        <f aca="false">IF(OR(R117&lt;&gt;"MATCH",ISNUMBER(SEARCH("conflict",Q117))),"Y","")</f>
        <v/>
      </c>
      <c r="AF117" s="9" t="str">
        <f aca="false">IF(AND(ISNUMBER(Z117),ABS(Z117-AA117)&gt;0.001),"Y","")</f>
        <v/>
      </c>
      <c r="AG117" s="9" t="str">
        <f aca="false">IF(AND(W117&lt;&gt;"",Y117&lt;&gt;"ACCEPTED"),"Y","")</f>
        <v/>
      </c>
      <c r="AH117" s="9" t="str">
        <f aca="false">IF(COUNTIF(AB117:AG117,"Y")&gt;0,"EXCEPTION","NO EXCEPTION IDENTIFIED")</f>
        <v>EXCEPTION</v>
      </c>
      <c r="AI117" s="12" t="s">
        <v>831</v>
      </c>
      <c r="AJ117" s="12" t="s">
        <v>832</v>
      </c>
    </row>
    <row r="118" customFormat="false" ht="20.85" hidden="false" customHeight="false" outlineLevel="0" collapsed="false">
      <c r="A118" s="13" t="s">
        <v>833</v>
      </c>
      <c r="B118" s="14" t="n">
        <v>45390</v>
      </c>
      <c r="C118" s="13" t="s">
        <v>834</v>
      </c>
      <c r="D118" s="13" t="s">
        <v>835</v>
      </c>
      <c r="E118" s="13" t="n">
        <v>2018</v>
      </c>
      <c r="F118" s="14" t="n">
        <v>45720</v>
      </c>
      <c r="G118" s="13" t="n">
        <f aca="false">B118-F118</f>
        <v>-330</v>
      </c>
      <c r="H118" s="13" t="s">
        <v>836</v>
      </c>
      <c r="I118" s="13" t="s">
        <v>837</v>
      </c>
      <c r="J118" s="13" t="s">
        <v>135</v>
      </c>
      <c r="K118" s="13" t="s">
        <v>114</v>
      </c>
      <c r="L118" s="15" t="n">
        <v>40</v>
      </c>
      <c r="M118" s="13" t="s">
        <v>115</v>
      </c>
      <c r="N118" s="13" t="s">
        <v>116</v>
      </c>
      <c r="O118" s="13" t="s">
        <v>117</v>
      </c>
      <c r="P118" s="13" t="s">
        <v>178</v>
      </c>
      <c r="Q118" s="13" t="s">
        <v>119</v>
      </c>
      <c r="R118" s="13" t="s">
        <v>120</v>
      </c>
      <c r="S118" s="13"/>
      <c r="T118" s="14"/>
      <c r="U118" s="13"/>
      <c r="V118" s="13"/>
      <c r="W118" s="14"/>
      <c r="X118" s="13"/>
      <c r="Y118" s="13"/>
      <c r="Z118" s="15"/>
      <c r="AA118" s="15" t="n">
        <v>19.8</v>
      </c>
      <c r="AB118" s="13" t="str">
        <f aca="false">IF(B118&lt;F118,"Y","")</f>
        <v>Y</v>
      </c>
      <c r="AC118" s="13" t="str">
        <f aca="false">IF(O118&lt;&gt;"Y","Y","")</f>
        <v/>
      </c>
      <c r="AD118" s="13" t="str">
        <f aca="false">IF(AND(M118="declined-prior-offer",S118=""),"Y","")</f>
        <v/>
      </c>
      <c r="AE118" s="13" t="str">
        <f aca="false">IF(OR(R118&lt;&gt;"MATCH",ISNUMBER(SEARCH("conflict",Q118))),"Y","")</f>
        <v/>
      </c>
      <c r="AF118" s="13" t="str">
        <f aca="false">IF(AND(ISNUMBER(Z118),ABS(Z118-AA118)&gt;0.001),"Y","")</f>
        <v/>
      </c>
      <c r="AG118" s="13" t="str">
        <f aca="false">IF(AND(W118&lt;&gt;"",Y118&lt;&gt;"ACCEPTED"),"Y","")</f>
        <v/>
      </c>
      <c r="AH118" s="13" t="str">
        <f aca="false">IF(COUNTIF(AB118:AG118,"Y")&gt;0,"EXCEPTION","NO EXCEPTION IDENTIFIED")</f>
        <v>EXCEPTION</v>
      </c>
      <c r="AI118" s="16" t="s">
        <v>121</v>
      </c>
      <c r="AJ118" s="16" t="s">
        <v>838</v>
      </c>
    </row>
    <row r="119" customFormat="false" ht="20.85" hidden="false" customHeight="false" outlineLevel="0" collapsed="false">
      <c r="A119" s="9" t="s">
        <v>839</v>
      </c>
      <c r="B119" s="10" t="n">
        <v>45403</v>
      </c>
      <c r="C119" s="9" t="s">
        <v>840</v>
      </c>
      <c r="D119" s="9" t="s">
        <v>841</v>
      </c>
      <c r="E119" s="9" t="n">
        <v>1948</v>
      </c>
      <c r="F119" s="10" t="n">
        <v>45689</v>
      </c>
      <c r="G119" s="9" t="n">
        <f aca="false">B119-F119</f>
        <v>-286</v>
      </c>
      <c r="H119" s="9" t="s">
        <v>842</v>
      </c>
      <c r="I119" s="9" t="s">
        <v>843</v>
      </c>
      <c r="J119" s="9" t="s">
        <v>155</v>
      </c>
      <c r="K119" s="9" t="s">
        <v>146</v>
      </c>
      <c r="L119" s="11" t="n">
        <v>60</v>
      </c>
      <c r="M119" s="9" t="s">
        <v>115</v>
      </c>
      <c r="N119" s="9" t="s">
        <v>116</v>
      </c>
      <c r="O119" s="9" t="s">
        <v>147</v>
      </c>
      <c r="P119" s="9" t="s">
        <v>128</v>
      </c>
      <c r="Q119" s="9" t="s">
        <v>119</v>
      </c>
      <c r="R119" s="9" t="s">
        <v>120</v>
      </c>
      <c r="S119" s="9"/>
      <c r="T119" s="10"/>
      <c r="U119" s="9"/>
      <c r="V119" s="9"/>
      <c r="W119" s="10"/>
      <c r="X119" s="9"/>
      <c r="Y119" s="9"/>
      <c r="Z119" s="11"/>
      <c r="AA119" s="11" t="n">
        <v>41.9</v>
      </c>
      <c r="AB119" s="9" t="str">
        <f aca="false">IF(B119&lt;F119,"Y","")</f>
        <v>Y</v>
      </c>
      <c r="AC119" s="9" t="str">
        <f aca="false">IF(O119&lt;&gt;"Y","Y","")</f>
        <v>Y</v>
      </c>
      <c r="AD119" s="9" t="str">
        <f aca="false">IF(AND(M119="declined-prior-offer",S119=""),"Y","")</f>
        <v/>
      </c>
      <c r="AE119" s="9" t="str">
        <f aca="false">IF(OR(R119&lt;&gt;"MATCH",ISNUMBER(SEARCH("conflict",Q119))),"Y","")</f>
        <v/>
      </c>
      <c r="AF119" s="9" t="str">
        <f aca="false">IF(AND(ISNUMBER(Z119),ABS(Z119-AA119)&gt;0.001),"Y","")</f>
        <v/>
      </c>
      <c r="AG119" s="9" t="str">
        <f aca="false">IF(AND(W119&lt;&gt;"",Y119&lt;&gt;"ACCEPTED"),"Y","")</f>
        <v/>
      </c>
      <c r="AH119" s="9" t="str">
        <f aca="false">IF(COUNTIF(AB119:AG119,"Y")&gt;0,"EXCEPTION","NO EXCEPTION IDENTIFIED")</f>
        <v>EXCEPTION</v>
      </c>
      <c r="AI119" s="12" t="s">
        <v>148</v>
      </c>
      <c r="AJ119" s="12" t="s">
        <v>844</v>
      </c>
    </row>
    <row r="120" customFormat="false" ht="20.85" hidden="false" customHeight="false" outlineLevel="0" collapsed="false">
      <c r="A120" s="13" t="s">
        <v>845</v>
      </c>
      <c r="B120" s="14" t="n">
        <v>45407</v>
      </c>
      <c r="C120" s="13" t="s">
        <v>846</v>
      </c>
      <c r="D120" s="13" t="s">
        <v>847</v>
      </c>
      <c r="E120" s="13" t="n">
        <v>1895</v>
      </c>
      <c r="F120" s="14" t="n">
        <v>45664</v>
      </c>
      <c r="G120" s="13" t="n">
        <f aca="false">B120-F120</f>
        <v>-257</v>
      </c>
      <c r="H120" s="13" t="s">
        <v>848</v>
      </c>
      <c r="I120" s="13" t="s">
        <v>849</v>
      </c>
      <c r="J120" s="13" t="s">
        <v>145</v>
      </c>
      <c r="K120" s="13" t="s">
        <v>146</v>
      </c>
      <c r="L120" s="15" t="n">
        <v>50</v>
      </c>
      <c r="M120" s="13" t="s">
        <v>115</v>
      </c>
      <c r="N120" s="13" t="s">
        <v>116</v>
      </c>
      <c r="O120" s="13" t="s">
        <v>117</v>
      </c>
      <c r="P120" s="13" t="s">
        <v>128</v>
      </c>
      <c r="Q120" s="13" t="s">
        <v>119</v>
      </c>
      <c r="R120" s="13" t="s">
        <v>120</v>
      </c>
      <c r="S120" s="13"/>
      <c r="T120" s="14"/>
      <c r="U120" s="13"/>
      <c r="V120" s="13"/>
      <c r="W120" s="14"/>
      <c r="X120" s="13"/>
      <c r="Y120" s="13"/>
      <c r="Z120" s="15"/>
      <c r="AA120" s="15" t="n">
        <v>61.5</v>
      </c>
      <c r="AB120" s="13" t="str">
        <f aca="false">IF(B120&lt;F120,"Y","")</f>
        <v>Y</v>
      </c>
      <c r="AC120" s="13" t="str">
        <f aca="false">IF(O120&lt;&gt;"Y","Y","")</f>
        <v/>
      </c>
      <c r="AD120" s="13" t="str">
        <f aca="false">IF(AND(M120="declined-prior-offer",S120=""),"Y","")</f>
        <v/>
      </c>
      <c r="AE120" s="13" t="str">
        <f aca="false">IF(OR(R120&lt;&gt;"MATCH",ISNUMBER(SEARCH("conflict",Q120))),"Y","")</f>
        <v/>
      </c>
      <c r="AF120" s="13" t="str">
        <f aca="false">IF(AND(ISNUMBER(Z120),ABS(Z120-AA120)&gt;0.001),"Y","")</f>
        <v/>
      </c>
      <c r="AG120" s="13" t="str">
        <f aca="false">IF(AND(W120&lt;&gt;"",Y120&lt;&gt;"ACCEPTED"),"Y","")</f>
        <v/>
      </c>
      <c r="AH120" s="13" t="str">
        <f aca="false">IF(COUNTIF(AB120:AG120,"Y")&gt;0,"EXCEPTION","NO EXCEPTION IDENTIFIED")</f>
        <v>EXCEPTION</v>
      </c>
      <c r="AI120" s="16" t="s">
        <v>121</v>
      </c>
      <c r="AJ120" s="16" t="s">
        <v>850</v>
      </c>
    </row>
    <row r="121" customFormat="false" ht="20.85" hidden="false" customHeight="false" outlineLevel="0" collapsed="false">
      <c r="A121" s="9" t="s">
        <v>851</v>
      </c>
      <c r="B121" s="10" t="n">
        <v>45413</v>
      </c>
      <c r="C121" s="9" t="s">
        <v>852</v>
      </c>
      <c r="D121" s="9" t="s">
        <v>853</v>
      </c>
      <c r="E121" s="9" t="n">
        <v>318</v>
      </c>
      <c r="F121" s="10" t="n">
        <v>44897</v>
      </c>
      <c r="G121" s="9" t="n">
        <f aca="false">B121-F121</f>
        <v>516</v>
      </c>
      <c r="H121" s="9" t="s">
        <v>854</v>
      </c>
      <c r="I121" s="9" t="s">
        <v>351</v>
      </c>
      <c r="J121" s="9" t="s">
        <v>204</v>
      </c>
      <c r="K121" s="9" t="s">
        <v>146</v>
      </c>
      <c r="L121" s="11" t="n">
        <v>45</v>
      </c>
      <c r="M121" s="9" t="s">
        <v>185</v>
      </c>
      <c r="N121" s="9" t="s">
        <v>186</v>
      </c>
      <c r="O121" s="9" t="s">
        <v>117</v>
      </c>
      <c r="P121" s="9" t="s">
        <v>178</v>
      </c>
      <c r="Q121" s="9" t="s">
        <v>119</v>
      </c>
      <c r="R121" s="9" t="s">
        <v>120</v>
      </c>
      <c r="S121" s="9"/>
      <c r="T121" s="10"/>
      <c r="U121" s="9"/>
      <c r="V121" s="9"/>
      <c r="W121" s="10"/>
      <c r="X121" s="9"/>
      <c r="Y121" s="9"/>
      <c r="Z121" s="11"/>
      <c r="AA121" s="11" t="n">
        <v>38</v>
      </c>
      <c r="AB121" s="9" t="str">
        <f aca="false">IF(B121&lt;F121,"Y","")</f>
        <v/>
      </c>
      <c r="AC121" s="9" t="str">
        <f aca="false">IF(O121&lt;&gt;"Y","Y","")</f>
        <v/>
      </c>
      <c r="AD121" s="9" t="str">
        <f aca="false">IF(AND(M121="declined-prior-offer",S121=""),"Y","")</f>
        <v/>
      </c>
      <c r="AE121" s="9" t="str">
        <f aca="false">IF(OR(R121&lt;&gt;"MATCH",ISNUMBER(SEARCH("conflict",Q121))),"Y","")</f>
        <v/>
      </c>
      <c r="AF121" s="9" t="str">
        <f aca="false">IF(AND(ISNUMBER(Z121),ABS(Z121-AA121)&gt;0.001),"Y","")</f>
        <v/>
      </c>
      <c r="AG121" s="9" t="str">
        <f aca="false">IF(AND(W121&lt;&gt;"",Y121&lt;&gt;"ACCEPTED"),"Y","")</f>
        <v/>
      </c>
      <c r="AH121" s="9" t="str">
        <f aca="false">IF(COUNTIF(AB121:AG121,"Y")&gt;0,"EXCEPTION","NO EXCEPTION IDENTIFIED")</f>
        <v>NO EXCEPTION IDENTIFIED</v>
      </c>
      <c r="AI121" s="12" t="s">
        <v>156</v>
      </c>
      <c r="AJ121" s="12" t="s">
        <v>855</v>
      </c>
    </row>
    <row r="122" customFormat="false" ht="20.85" hidden="false" customHeight="false" outlineLevel="0" collapsed="false">
      <c r="A122" s="13" t="s">
        <v>856</v>
      </c>
      <c r="B122" s="14" t="n">
        <v>45420</v>
      </c>
      <c r="C122" s="13" t="s">
        <v>857</v>
      </c>
      <c r="D122" s="13" t="s">
        <v>858</v>
      </c>
      <c r="E122" s="13" t="n">
        <v>1305</v>
      </c>
      <c r="F122" s="14" t="n">
        <v>45410</v>
      </c>
      <c r="G122" s="13" t="n">
        <f aca="false">B122-F122</f>
        <v>10</v>
      </c>
      <c r="H122" s="13" t="s">
        <v>859</v>
      </c>
      <c r="I122" s="13" t="s">
        <v>860</v>
      </c>
      <c r="J122" s="13" t="s">
        <v>155</v>
      </c>
      <c r="K122" s="13" t="s">
        <v>146</v>
      </c>
      <c r="L122" s="15" t="n">
        <v>60</v>
      </c>
      <c r="M122" s="13" t="s">
        <v>169</v>
      </c>
      <c r="N122" s="13" t="s">
        <v>170</v>
      </c>
      <c r="O122" s="13" t="s">
        <v>117</v>
      </c>
      <c r="P122" s="13" t="s">
        <v>178</v>
      </c>
      <c r="Q122" s="13" t="s">
        <v>119</v>
      </c>
      <c r="R122" s="13" t="s">
        <v>120</v>
      </c>
      <c r="S122" s="13"/>
      <c r="T122" s="14"/>
      <c r="U122" s="13"/>
      <c r="V122" s="13"/>
      <c r="W122" s="14"/>
      <c r="X122" s="13"/>
      <c r="Y122" s="13"/>
      <c r="Z122" s="15"/>
      <c r="AA122" s="15" t="n">
        <v>21.5</v>
      </c>
      <c r="AB122" s="13" t="str">
        <f aca="false">IF(B122&lt;F122,"Y","")</f>
        <v/>
      </c>
      <c r="AC122" s="13" t="str">
        <f aca="false">IF(O122&lt;&gt;"Y","Y","")</f>
        <v/>
      </c>
      <c r="AD122" s="13" t="str">
        <f aca="false">IF(AND(M122="declined-prior-offer",S122=""),"Y","")</f>
        <v>Y</v>
      </c>
      <c r="AE122" s="13" t="str">
        <f aca="false">IF(OR(R122&lt;&gt;"MATCH",ISNUMBER(SEARCH("conflict",Q122))),"Y","")</f>
        <v/>
      </c>
      <c r="AF122" s="13" t="str">
        <f aca="false">IF(AND(ISNUMBER(Z122),ABS(Z122-AA122)&gt;0.001),"Y","")</f>
        <v/>
      </c>
      <c r="AG122" s="13" t="str">
        <f aca="false">IF(AND(W122&lt;&gt;"",Y122&lt;&gt;"ACCEPTED"),"Y","")</f>
        <v/>
      </c>
      <c r="AH122" s="13" t="str">
        <f aca="false">IF(COUNTIF(AB122:AG122,"Y")&gt;0,"EXCEPTION","NO EXCEPTION IDENTIFIED")</f>
        <v>EXCEPTION</v>
      </c>
      <c r="AI122" s="16" t="s">
        <v>229</v>
      </c>
      <c r="AJ122" s="16" t="s">
        <v>861</v>
      </c>
    </row>
    <row r="123" customFormat="false" ht="20.85" hidden="false" customHeight="false" outlineLevel="0" collapsed="false">
      <c r="A123" s="9" t="s">
        <v>862</v>
      </c>
      <c r="B123" s="10" t="n">
        <v>45425</v>
      </c>
      <c r="C123" s="9" t="s">
        <v>863</v>
      </c>
      <c r="D123" s="9" t="s">
        <v>175</v>
      </c>
      <c r="E123" s="9" t="n">
        <v>675</v>
      </c>
      <c r="F123" s="10" t="n">
        <v>45098</v>
      </c>
      <c r="G123" s="9" t="n">
        <f aca="false">B123-F123</f>
        <v>327</v>
      </c>
      <c r="H123" s="9" t="s">
        <v>864</v>
      </c>
      <c r="I123" s="9" t="s">
        <v>865</v>
      </c>
      <c r="J123" s="9" t="s">
        <v>135</v>
      </c>
      <c r="K123" s="9" t="s">
        <v>114</v>
      </c>
      <c r="L123" s="11" t="n">
        <v>24</v>
      </c>
      <c r="M123" s="9" t="s">
        <v>185</v>
      </c>
      <c r="N123" s="9" t="s">
        <v>186</v>
      </c>
      <c r="O123" s="9" t="s">
        <v>117</v>
      </c>
      <c r="P123" s="9" t="s">
        <v>128</v>
      </c>
      <c r="Q123" s="9" t="s">
        <v>119</v>
      </c>
      <c r="R123" s="9" t="s">
        <v>120</v>
      </c>
      <c r="S123" s="9"/>
      <c r="T123" s="10"/>
      <c r="U123" s="9"/>
      <c r="V123" s="9"/>
      <c r="W123" s="10" t="n">
        <v>45291</v>
      </c>
      <c r="X123" s="9" t="s">
        <v>866</v>
      </c>
      <c r="Y123" s="9" t="s">
        <v>374</v>
      </c>
      <c r="Z123" s="11" t="n">
        <v>34</v>
      </c>
      <c r="AA123" s="11" t="n">
        <v>31.1</v>
      </c>
      <c r="AB123" s="9" t="str">
        <f aca="false">IF(B123&lt;F123,"Y","")</f>
        <v/>
      </c>
      <c r="AC123" s="9" t="str">
        <f aca="false">IF(O123&lt;&gt;"Y","Y","")</f>
        <v/>
      </c>
      <c r="AD123" s="9" t="str">
        <f aca="false">IF(AND(M123="declined-prior-offer",S123=""),"Y","")</f>
        <v/>
      </c>
      <c r="AE123" s="9" t="str">
        <f aca="false">IF(OR(R123&lt;&gt;"MATCH",ISNUMBER(SEARCH("conflict",Q123))),"Y","")</f>
        <v/>
      </c>
      <c r="AF123" s="9" t="str">
        <f aca="false">IF(AND(ISNUMBER(Z123),ABS(Z123-AA123)&gt;0.001),"Y","")</f>
        <v>Y</v>
      </c>
      <c r="AG123" s="9" t="str">
        <f aca="false">IF(AND(W123&lt;&gt;"",Y123&lt;&gt;"ACCEPTED"),"Y","")</f>
        <v/>
      </c>
      <c r="AH123" s="9" t="str">
        <f aca="false">IF(COUNTIF(AB123:AG123,"Y")&gt;0,"EXCEPTION","NO EXCEPTION IDENTIFIED")</f>
        <v>EXCEPTION</v>
      </c>
      <c r="AI123" s="12" t="s">
        <v>578</v>
      </c>
      <c r="AJ123" s="12" t="s">
        <v>867</v>
      </c>
    </row>
    <row r="124" customFormat="false" ht="20.85" hidden="false" customHeight="false" outlineLevel="0" collapsed="false">
      <c r="A124" s="13" t="s">
        <v>868</v>
      </c>
      <c r="B124" s="14" t="n">
        <v>45427</v>
      </c>
      <c r="C124" s="13" t="s">
        <v>869</v>
      </c>
      <c r="D124" s="13" t="s">
        <v>870</v>
      </c>
      <c r="E124" s="13" t="n">
        <v>753</v>
      </c>
      <c r="F124" s="14" t="n">
        <v>45144</v>
      </c>
      <c r="G124" s="13" t="n">
        <f aca="false">B124-F124</f>
        <v>283</v>
      </c>
      <c r="H124" s="13" t="s">
        <v>871</v>
      </c>
      <c r="I124" s="13" t="s">
        <v>872</v>
      </c>
      <c r="J124" s="13" t="s">
        <v>113</v>
      </c>
      <c r="K124" s="13" t="s">
        <v>114</v>
      </c>
      <c r="L124" s="15" t="n">
        <v>24</v>
      </c>
      <c r="M124" s="13" t="s">
        <v>169</v>
      </c>
      <c r="N124" s="13" t="s">
        <v>170</v>
      </c>
      <c r="O124" s="13" t="s">
        <v>117</v>
      </c>
      <c r="P124" s="13" t="s">
        <v>128</v>
      </c>
      <c r="Q124" s="13" t="s">
        <v>119</v>
      </c>
      <c r="R124" s="13" t="s">
        <v>120</v>
      </c>
      <c r="S124" s="13"/>
      <c r="T124" s="14"/>
      <c r="U124" s="13"/>
      <c r="V124" s="13"/>
      <c r="W124" s="14"/>
      <c r="X124" s="13"/>
      <c r="Y124" s="13"/>
      <c r="Z124" s="15"/>
      <c r="AA124" s="15" t="n">
        <v>31.4</v>
      </c>
      <c r="AB124" s="13" t="str">
        <f aca="false">IF(B124&lt;F124,"Y","")</f>
        <v/>
      </c>
      <c r="AC124" s="13" t="str">
        <f aca="false">IF(O124&lt;&gt;"Y","Y","")</f>
        <v/>
      </c>
      <c r="AD124" s="13" t="str">
        <f aca="false">IF(AND(M124="declined-prior-offer",S124=""),"Y","")</f>
        <v>Y</v>
      </c>
      <c r="AE124" s="13" t="str">
        <f aca="false">IF(OR(R124&lt;&gt;"MATCH",ISNUMBER(SEARCH("conflict",Q124))),"Y","")</f>
        <v/>
      </c>
      <c r="AF124" s="13" t="str">
        <f aca="false">IF(AND(ISNUMBER(Z124),ABS(Z124-AA124)&gt;0.001),"Y","")</f>
        <v/>
      </c>
      <c r="AG124" s="13" t="str">
        <f aca="false">IF(AND(W124&lt;&gt;"",Y124&lt;&gt;"ACCEPTED"),"Y","")</f>
        <v/>
      </c>
      <c r="AH124" s="13" t="str">
        <f aca="false">IF(COUNTIF(AB124:AG124,"Y")&gt;0,"EXCEPTION","NO EXCEPTION IDENTIFIED")</f>
        <v>EXCEPTION</v>
      </c>
      <c r="AI124" s="16" t="s">
        <v>229</v>
      </c>
      <c r="AJ124" s="16" t="s">
        <v>873</v>
      </c>
    </row>
    <row r="125" customFormat="false" ht="20.85" hidden="false" customHeight="false" outlineLevel="0" collapsed="false">
      <c r="A125" s="9" t="s">
        <v>874</v>
      </c>
      <c r="B125" s="10" t="n">
        <v>45431</v>
      </c>
      <c r="C125" s="9" t="s">
        <v>875</v>
      </c>
      <c r="D125" s="9" t="s">
        <v>876</v>
      </c>
      <c r="E125" s="9" t="n">
        <v>536</v>
      </c>
      <c r="F125" s="10" t="n">
        <v>45019</v>
      </c>
      <c r="G125" s="9" t="n">
        <f aca="false">B125-F125</f>
        <v>412</v>
      </c>
      <c r="H125" s="9" t="s">
        <v>877</v>
      </c>
      <c r="I125" s="9" t="s">
        <v>878</v>
      </c>
      <c r="J125" s="9" t="s">
        <v>155</v>
      </c>
      <c r="K125" s="9" t="s">
        <v>146</v>
      </c>
      <c r="L125" s="11" t="n">
        <v>28</v>
      </c>
      <c r="M125" s="9" t="s">
        <v>136</v>
      </c>
      <c r="N125" s="9" t="s">
        <v>137</v>
      </c>
      <c r="O125" s="9" t="s">
        <v>117</v>
      </c>
      <c r="P125" s="9" t="s">
        <v>128</v>
      </c>
      <c r="Q125" s="9" t="s">
        <v>119</v>
      </c>
      <c r="R125" s="9" t="s">
        <v>120</v>
      </c>
      <c r="S125" s="9"/>
      <c r="T125" s="10"/>
      <c r="U125" s="9"/>
      <c r="V125" s="9"/>
      <c r="W125" s="10"/>
      <c r="X125" s="9"/>
      <c r="Y125" s="9"/>
      <c r="Z125" s="11"/>
      <c r="AA125" s="11" t="n">
        <v>24.9</v>
      </c>
      <c r="AB125" s="9" t="str">
        <f aca="false">IF(B125&lt;F125,"Y","")</f>
        <v/>
      </c>
      <c r="AC125" s="9" t="str">
        <f aca="false">IF(O125&lt;&gt;"Y","Y","")</f>
        <v/>
      </c>
      <c r="AD125" s="9" t="str">
        <f aca="false">IF(AND(M125="declined-prior-offer",S125=""),"Y","")</f>
        <v/>
      </c>
      <c r="AE125" s="9" t="str">
        <f aca="false">IF(OR(R125&lt;&gt;"MATCH",ISNUMBER(SEARCH("conflict",Q125))),"Y","")</f>
        <v/>
      </c>
      <c r="AF125" s="9" t="str">
        <f aca="false">IF(AND(ISNUMBER(Z125),ABS(Z125-AA125)&gt;0.001),"Y","")</f>
        <v/>
      </c>
      <c r="AG125" s="9" t="str">
        <f aca="false">IF(AND(W125&lt;&gt;"",Y125&lt;&gt;"ACCEPTED"),"Y","")</f>
        <v/>
      </c>
      <c r="AH125" s="9" t="str">
        <f aca="false">IF(COUNTIF(AB125:AG125,"Y")&gt;0,"EXCEPTION","NO EXCEPTION IDENTIFIED")</f>
        <v>NO EXCEPTION IDENTIFIED</v>
      </c>
      <c r="AI125" s="12" t="s">
        <v>156</v>
      </c>
      <c r="AJ125" s="12" t="s">
        <v>879</v>
      </c>
    </row>
    <row r="126" customFormat="false" ht="20.85" hidden="false" customHeight="false" outlineLevel="0" collapsed="false">
      <c r="A126" s="13" t="s">
        <v>880</v>
      </c>
      <c r="B126" s="14" t="n">
        <v>45433</v>
      </c>
      <c r="C126" s="13" t="s">
        <v>881</v>
      </c>
      <c r="D126" s="13" t="s">
        <v>882</v>
      </c>
      <c r="E126" s="13" t="n">
        <v>2891</v>
      </c>
      <c r="F126" s="14" t="n">
        <v>46200</v>
      </c>
      <c r="G126" s="13" t="n">
        <f aca="false">B126-F126</f>
        <v>-767</v>
      </c>
      <c r="H126" s="13" t="s">
        <v>883</v>
      </c>
      <c r="I126" s="13" t="s">
        <v>884</v>
      </c>
      <c r="J126" s="13" t="s">
        <v>145</v>
      </c>
      <c r="K126" s="13" t="s">
        <v>146</v>
      </c>
      <c r="L126" s="15" t="n">
        <v>24</v>
      </c>
      <c r="M126" s="13" t="s">
        <v>115</v>
      </c>
      <c r="N126" s="13" t="s">
        <v>116</v>
      </c>
      <c r="O126" s="13" t="s">
        <v>117</v>
      </c>
      <c r="P126" s="13" t="s">
        <v>178</v>
      </c>
      <c r="Q126" s="13" t="s">
        <v>119</v>
      </c>
      <c r="R126" s="13" t="s">
        <v>120</v>
      </c>
      <c r="S126" s="13"/>
      <c r="T126" s="14"/>
      <c r="U126" s="13"/>
      <c r="V126" s="13"/>
      <c r="W126" s="14"/>
      <c r="X126" s="13"/>
      <c r="Y126" s="13"/>
      <c r="Z126" s="15"/>
      <c r="AA126" s="15" t="n">
        <v>40.2</v>
      </c>
      <c r="AB126" s="13" t="str">
        <f aca="false">IF(B126&lt;F126,"Y","")</f>
        <v>Y</v>
      </c>
      <c r="AC126" s="13" t="str">
        <f aca="false">IF(O126&lt;&gt;"Y","Y","")</f>
        <v/>
      </c>
      <c r="AD126" s="13" t="str">
        <f aca="false">IF(AND(M126="declined-prior-offer",S126=""),"Y","")</f>
        <v/>
      </c>
      <c r="AE126" s="13" t="str">
        <f aca="false">IF(OR(R126&lt;&gt;"MATCH",ISNUMBER(SEARCH("conflict",Q126))),"Y","")</f>
        <v/>
      </c>
      <c r="AF126" s="13" t="str">
        <f aca="false">IF(AND(ISNUMBER(Z126),ABS(Z126-AA126)&gt;0.001),"Y","")</f>
        <v/>
      </c>
      <c r="AG126" s="13" t="str">
        <f aca="false">IF(AND(W126&lt;&gt;"",Y126&lt;&gt;"ACCEPTED"),"Y","")</f>
        <v/>
      </c>
      <c r="AH126" s="13" t="str">
        <f aca="false">IF(COUNTIF(AB126:AG126,"Y")&gt;0,"EXCEPTION","NO EXCEPTION IDENTIFIED")</f>
        <v>EXCEPTION</v>
      </c>
      <c r="AI126" s="16" t="s">
        <v>121</v>
      </c>
      <c r="AJ126" s="16" t="s">
        <v>885</v>
      </c>
    </row>
    <row r="127" customFormat="false" ht="20.85" hidden="false" customHeight="false" outlineLevel="0" collapsed="false">
      <c r="A127" s="9" t="s">
        <v>886</v>
      </c>
      <c r="B127" s="10" t="n">
        <v>45434</v>
      </c>
      <c r="C127" s="9" t="s">
        <v>887</v>
      </c>
      <c r="D127" s="9" t="s">
        <v>888</v>
      </c>
      <c r="E127" s="9" t="n">
        <v>1013</v>
      </c>
      <c r="F127" s="10" t="n">
        <v>45271</v>
      </c>
      <c r="G127" s="9" t="n">
        <f aca="false">B127-F127</f>
        <v>163</v>
      </c>
      <c r="H127" s="9" t="s">
        <v>889</v>
      </c>
      <c r="I127" s="9" t="s">
        <v>890</v>
      </c>
      <c r="J127" s="9" t="s">
        <v>135</v>
      </c>
      <c r="K127" s="9" t="s">
        <v>114</v>
      </c>
      <c r="L127" s="11" t="n">
        <v>24</v>
      </c>
      <c r="M127" s="9" t="s">
        <v>136</v>
      </c>
      <c r="N127" s="9" t="s">
        <v>137</v>
      </c>
      <c r="O127" s="9" t="s">
        <v>117</v>
      </c>
      <c r="P127" s="9" t="s">
        <v>178</v>
      </c>
      <c r="Q127" s="9" t="s">
        <v>119</v>
      </c>
      <c r="R127" s="9" t="s">
        <v>120</v>
      </c>
      <c r="S127" s="9"/>
      <c r="T127" s="10"/>
      <c r="U127" s="9"/>
      <c r="V127" s="9"/>
      <c r="W127" s="10"/>
      <c r="X127" s="9"/>
      <c r="Y127" s="9"/>
      <c r="Z127" s="11"/>
      <c r="AA127" s="11" t="n">
        <v>40.8</v>
      </c>
      <c r="AB127" s="9" t="str">
        <f aca="false">IF(B127&lt;F127,"Y","")</f>
        <v/>
      </c>
      <c r="AC127" s="9" t="str">
        <f aca="false">IF(O127&lt;&gt;"Y","Y","")</f>
        <v/>
      </c>
      <c r="AD127" s="9" t="str">
        <f aca="false">IF(AND(M127="declined-prior-offer",S127=""),"Y","")</f>
        <v/>
      </c>
      <c r="AE127" s="9" t="str">
        <f aca="false">IF(OR(R127&lt;&gt;"MATCH",ISNUMBER(SEARCH("conflict",Q127))),"Y","")</f>
        <v/>
      </c>
      <c r="AF127" s="9" t="str">
        <f aca="false">IF(AND(ISNUMBER(Z127),ABS(Z127-AA127)&gt;0.001),"Y","")</f>
        <v/>
      </c>
      <c r="AG127" s="9" t="str">
        <f aca="false">IF(AND(W127&lt;&gt;"",Y127&lt;&gt;"ACCEPTED"),"Y","")</f>
        <v/>
      </c>
      <c r="AH127" s="9" t="str">
        <f aca="false">IF(COUNTIF(AB127:AG127,"Y")&gt;0,"EXCEPTION","NO EXCEPTION IDENTIFIED")</f>
        <v>NO EXCEPTION IDENTIFIED</v>
      </c>
      <c r="AI127" s="12" t="s">
        <v>156</v>
      </c>
      <c r="AJ127" s="12" t="s">
        <v>891</v>
      </c>
    </row>
    <row r="128" customFormat="false" ht="20.85" hidden="false" customHeight="false" outlineLevel="0" collapsed="false">
      <c r="A128" s="13" t="s">
        <v>892</v>
      </c>
      <c r="B128" s="14" t="n">
        <v>45435</v>
      </c>
      <c r="C128" s="13" t="s">
        <v>450</v>
      </c>
      <c r="D128" s="13" t="s">
        <v>451</v>
      </c>
      <c r="E128" s="13" t="n">
        <v>242</v>
      </c>
      <c r="F128" s="14" t="n">
        <v>44838</v>
      </c>
      <c r="G128" s="13" t="n">
        <f aca="false">B128-F128</f>
        <v>597</v>
      </c>
      <c r="H128" s="13" t="s">
        <v>893</v>
      </c>
      <c r="I128" s="13" t="s">
        <v>270</v>
      </c>
      <c r="J128" s="13" t="s">
        <v>155</v>
      </c>
      <c r="K128" s="13" t="s">
        <v>146</v>
      </c>
      <c r="L128" s="15" t="n">
        <v>50</v>
      </c>
      <c r="M128" s="13" t="s">
        <v>169</v>
      </c>
      <c r="N128" s="13" t="s">
        <v>170</v>
      </c>
      <c r="O128" s="13" t="s">
        <v>117</v>
      </c>
      <c r="P128" s="13" t="s">
        <v>178</v>
      </c>
      <c r="Q128" s="13" t="s">
        <v>119</v>
      </c>
      <c r="R128" s="13" t="s">
        <v>120</v>
      </c>
      <c r="S128" s="13"/>
      <c r="T128" s="14"/>
      <c r="U128" s="13"/>
      <c r="V128" s="13"/>
      <c r="W128" s="14"/>
      <c r="X128" s="13"/>
      <c r="Y128" s="13"/>
      <c r="Z128" s="15"/>
      <c r="AA128" s="15" t="n">
        <v>19.5</v>
      </c>
      <c r="AB128" s="13" t="str">
        <f aca="false">IF(B128&lt;F128,"Y","")</f>
        <v/>
      </c>
      <c r="AC128" s="13" t="str">
        <f aca="false">IF(O128&lt;&gt;"Y","Y","")</f>
        <v/>
      </c>
      <c r="AD128" s="13" t="str">
        <f aca="false">IF(AND(M128="declined-prior-offer",S128=""),"Y","")</f>
        <v>Y</v>
      </c>
      <c r="AE128" s="13" t="str">
        <f aca="false">IF(OR(R128&lt;&gt;"MATCH",ISNUMBER(SEARCH("conflict",Q128))),"Y","")</f>
        <v/>
      </c>
      <c r="AF128" s="13" t="str">
        <f aca="false">IF(AND(ISNUMBER(Z128),ABS(Z128-AA128)&gt;0.001),"Y","")</f>
        <v/>
      </c>
      <c r="AG128" s="13" t="str">
        <f aca="false">IF(AND(W128&lt;&gt;"",Y128&lt;&gt;"ACCEPTED"),"Y","")</f>
        <v/>
      </c>
      <c r="AH128" s="13" t="str">
        <f aca="false">IF(COUNTIF(AB128:AG128,"Y")&gt;0,"EXCEPTION","NO EXCEPTION IDENTIFIED")</f>
        <v>EXCEPTION</v>
      </c>
      <c r="AI128" s="16" t="s">
        <v>229</v>
      </c>
      <c r="AJ128" s="16" t="s">
        <v>894</v>
      </c>
    </row>
    <row r="129" customFormat="false" ht="20.85" hidden="false" customHeight="false" outlineLevel="0" collapsed="false">
      <c r="A129" s="9" t="s">
        <v>895</v>
      </c>
      <c r="B129" s="10" t="n">
        <v>45448</v>
      </c>
      <c r="C129" s="9" t="s">
        <v>896</v>
      </c>
      <c r="D129" s="9" t="s">
        <v>897</v>
      </c>
      <c r="E129" s="9" t="n">
        <v>144</v>
      </c>
      <c r="F129" s="10" t="n">
        <v>44757</v>
      </c>
      <c r="G129" s="9" t="n">
        <f aca="false">B129-F129</f>
        <v>691</v>
      </c>
      <c r="H129" s="9" t="s">
        <v>898</v>
      </c>
      <c r="I129" s="9" t="s">
        <v>899</v>
      </c>
      <c r="J129" s="9" t="s">
        <v>113</v>
      </c>
      <c r="K129" s="9" t="s">
        <v>114</v>
      </c>
      <c r="L129" s="11" t="n">
        <v>32</v>
      </c>
      <c r="M129" s="9" t="s">
        <v>115</v>
      </c>
      <c r="N129" s="9" t="s">
        <v>116</v>
      </c>
      <c r="O129" s="9" t="s">
        <v>147</v>
      </c>
      <c r="P129" s="9" t="s">
        <v>138</v>
      </c>
      <c r="Q129" s="9" t="s">
        <v>119</v>
      </c>
      <c r="R129" s="9" t="s">
        <v>120</v>
      </c>
      <c r="S129" s="9"/>
      <c r="T129" s="10"/>
      <c r="U129" s="9"/>
      <c r="V129" s="9"/>
      <c r="W129" s="10"/>
      <c r="X129" s="9"/>
      <c r="Y129" s="9"/>
      <c r="Z129" s="11"/>
      <c r="AA129" s="11" t="n">
        <v>19.6</v>
      </c>
      <c r="AB129" s="9" t="str">
        <f aca="false">IF(B129&lt;F129,"Y","")</f>
        <v/>
      </c>
      <c r="AC129" s="9" t="str">
        <f aca="false">IF(O129&lt;&gt;"Y","Y","")</f>
        <v>Y</v>
      </c>
      <c r="AD129" s="9" t="str">
        <f aca="false">IF(AND(M129="declined-prior-offer",S129=""),"Y","")</f>
        <v/>
      </c>
      <c r="AE129" s="9" t="str">
        <f aca="false">IF(OR(R129&lt;&gt;"MATCH",ISNUMBER(SEARCH("conflict",Q129))),"Y","")</f>
        <v/>
      </c>
      <c r="AF129" s="9" t="str">
        <f aca="false">IF(AND(ISNUMBER(Z129),ABS(Z129-AA129)&gt;0.001),"Y","")</f>
        <v/>
      </c>
      <c r="AG129" s="9" t="str">
        <f aca="false">IF(AND(W129&lt;&gt;"",Y129&lt;&gt;"ACCEPTED"),"Y","")</f>
        <v/>
      </c>
      <c r="AH129" s="9" t="str">
        <f aca="false">IF(COUNTIF(AB129:AG129,"Y")&gt;0,"EXCEPTION","NO EXCEPTION IDENTIFIED")</f>
        <v>EXCEPTION</v>
      </c>
      <c r="AI129" s="12" t="s">
        <v>831</v>
      </c>
      <c r="AJ129" s="12" t="s">
        <v>900</v>
      </c>
    </row>
    <row r="130" customFormat="false" ht="20.85" hidden="false" customHeight="false" outlineLevel="0" collapsed="false">
      <c r="A130" s="13" t="s">
        <v>901</v>
      </c>
      <c r="B130" s="14" t="n">
        <v>45451</v>
      </c>
      <c r="C130" s="13" t="s">
        <v>902</v>
      </c>
      <c r="D130" s="13" t="s">
        <v>903</v>
      </c>
      <c r="E130" s="13" t="n">
        <v>2390</v>
      </c>
      <c r="F130" s="14" t="n">
        <v>45888</v>
      </c>
      <c r="G130" s="13" t="n">
        <f aca="false">B130-F130</f>
        <v>-437</v>
      </c>
      <c r="H130" s="13" t="s">
        <v>904</v>
      </c>
      <c r="I130" s="13" t="s">
        <v>905</v>
      </c>
      <c r="J130" s="13" t="s">
        <v>204</v>
      </c>
      <c r="K130" s="13" t="s">
        <v>146</v>
      </c>
      <c r="L130" s="15" t="n">
        <v>28</v>
      </c>
      <c r="M130" s="13" t="s">
        <v>169</v>
      </c>
      <c r="N130" s="13" t="s">
        <v>170</v>
      </c>
      <c r="O130" s="13" t="s">
        <v>117</v>
      </c>
      <c r="P130" s="13" t="s">
        <v>128</v>
      </c>
      <c r="Q130" s="13" t="s">
        <v>119</v>
      </c>
      <c r="R130" s="13" t="s">
        <v>120</v>
      </c>
      <c r="S130" s="13"/>
      <c r="T130" s="14"/>
      <c r="U130" s="13"/>
      <c r="V130" s="13"/>
      <c r="W130" s="14"/>
      <c r="X130" s="13"/>
      <c r="Y130" s="13"/>
      <c r="Z130" s="15"/>
      <c r="AA130" s="15" t="n">
        <v>29.9</v>
      </c>
      <c r="AB130" s="13" t="str">
        <f aca="false">IF(B130&lt;F130,"Y","")</f>
        <v>Y</v>
      </c>
      <c r="AC130" s="13" t="str">
        <f aca="false">IF(O130&lt;&gt;"Y","Y","")</f>
        <v/>
      </c>
      <c r="AD130" s="13" t="str">
        <f aca="false">IF(AND(M130="declined-prior-offer",S130=""),"Y","")</f>
        <v>Y</v>
      </c>
      <c r="AE130" s="13" t="str">
        <f aca="false">IF(OR(R130&lt;&gt;"MATCH",ISNUMBER(SEARCH("conflict",Q130))),"Y","")</f>
        <v/>
      </c>
      <c r="AF130" s="13" t="str">
        <f aca="false">IF(AND(ISNUMBER(Z130),ABS(Z130-AA130)&gt;0.001),"Y","")</f>
        <v/>
      </c>
      <c r="AG130" s="13" t="str">
        <f aca="false">IF(AND(W130&lt;&gt;"",Y130&lt;&gt;"ACCEPTED"),"Y","")</f>
        <v/>
      </c>
      <c r="AH130" s="13" t="str">
        <f aca="false">IF(COUNTIF(AB130:AG130,"Y")&gt;0,"EXCEPTION","NO EXCEPTION IDENTIFIED")</f>
        <v>EXCEPTION</v>
      </c>
      <c r="AI130" s="16" t="s">
        <v>171</v>
      </c>
      <c r="AJ130" s="16" t="s">
        <v>906</v>
      </c>
    </row>
    <row r="131" customFormat="false" ht="20.85" hidden="false" customHeight="false" outlineLevel="0" collapsed="false">
      <c r="A131" s="9" t="s">
        <v>907</v>
      </c>
      <c r="B131" s="10" t="n">
        <v>45452</v>
      </c>
      <c r="C131" s="9" t="s">
        <v>908</v>
      </c>
      <c r="D131" s="9" t="s">
        <v>909</v>
      </c>
      <c r="E131" s="9" t="n">
        <v>368</v>
      </c>
      <c r="F131" s="10" t="n">
        <v>44921</v>
      </c>
      <c r="G131" s="9" t="n">
        <f aca="false">B131-F131</f>
        <v>531</v>
      </c>
      <c r="H131" s="9" t="s">
        <v>910</v>
      </c>
      <c r="I131" s="9" t="s">
        <v>911</v>
      </c>
      <c r="J131" s="9" t="s">
        <v>135</v>
      </c>
      <c r="K131" s="9" t="s">
        <v>114</v>
      </c>
      <c r="L131" s="11" t="n">
        <v>32</v>
      </c>
      <c r="M131" s="9" t="s">
        <v>185</v>
      </c>
      <c r="N131" s="9" t="s">
        <v>186</v>
      </c>
      <c r="O131" s="9" t="s">
        <v>117</v>
      </c>
      <c r="P131" s="9" t="s">
        <v>118</v>
      </c>
      <c r="Q131" s="9" t="s">
        <v>119</v>
      </c>
      <c r="R131" s="9" t="s">
        <v>120</v>
      </c>
      <c r="S131" s="9"/>
      <c r="T131" s="10"/>
      <c r="U131" s="9"/>
      <c r="V131" s="9"/>
      <c r="W131" s="10"/>
      <c r="X131" s="9"/>
      <c r="Y131" s="9"/>
      <c r="Z131" s="11"/>
      <c r="AA131" s="11" t="n">
        <v>23.7</v>
      </c>
      <c r="AB131" s="9" t="str">
        <f aca="false">IF(B131&lt;F131,"Y","")</f>
        <v/>
      </c>
      <c r="AC131" s="9" t="str">
        <f aca="false">IF(O131&lt;&gt;"Y","Y","")</f>
        <v/>
      </c>
      <c r="AD131" s="9" t="str">
        <f aca="false">IF(AND(M131="declined-prior-offer",S131=""),"Y","")</f>
        <v/>
      </c>
      <c r="AE131" s="9" t="str">
        <f aca="false">IF(OR(R131&lt;&gt;"MATCH",ISNUMBER(SEARCH("conflict",Q131))),"Y","")</f>
        <v/>
      </c>
      <c r="AF131" s="9" t="str">
        <f aca="false">IF(AND(ISNUMBER(Z131),ABS(Z131-AA131)&gt;0.001),"Y","")</f>
        <v/>
      </c>
      <c r="AG131" s="9" t="str">
        <f aca="false">IF(AND(W131&lt;&gt;"",Y131&lt;&gt;"ACCEPTED"),"Y","")</f>
        <v/>
      </c>
      <c r="AH131" s="9" t="str">
        <f aca="false">IF(COUNTIF(AB131:AG131,"Y")&gt;0,"EXCEPTION","NO EXCEPTION IDENTIFIED")</f>
        <v>NO EXCEPTION IDENTIFIED</v>
      </c>
      <c r="AI131" s="12" t="s">
        <v>156</v>
      </c>
      <c r="AJ131" s="12" t="s">
        <v>912</v>
      </c>
    </row>
    <row r="132" customFormat="false" ht="20.85" hidden="false" customHeight="false" outlineLevel="0" collapsed="false">
      <c r="A132" s="13" t="s">
        <v>913</v>
      </c>
      <c r="B132" s="14" t="n">
        <v>45455</v>
      </c>
      <c r="C132" s="13" t="s">
        <v>914</v>
      </c>
      <c r="D132" s="13" t="s">
        <v>915</v>
      </c>
      <c r="E132" s="13" t="n">
        <v>2026</v>
      </c>
      <c r="F132" s="14" t="n">
        <v>45722</v>
      </c>
      <c r="G132" s="13" t="n">
        <f aca="false">B132-F132</f>
        <v>-267</v>
      </c>
      <c r="H132" s="13" t="s">
        <v>916</v>
      </c>
      <c r="I132" s="13" t="s">
        <v>917</v>
      </c>
      <c r="J132" s="13" t="s">
        <v>113</v>
      </c>
      <c r="K132" s="13" t="s">
        <v>114</v>
      </c>
      <c r="L132" s="15" t="n">
        <v>32</v>
      </c>
      <c r="M132" s="13" t="s">
        <v>136</v>
      </c>
      <c r="N132" s="13" t="s">
        <v>137</v>
      </c>
      <c r="O132" s="13" t="s">
        <v>117</v>
      </c>
      <c r="P132" s="13" t="s">
        <v>118</v>
      </c>
      <c r="Q132" s="13" t="s">
        <v>119</v>
      </c>
      <c r="R132" s="13" t="s">
        <v>120</v>
      </c>
      <c r="S132" s="13"/>
      <c r="T132" s="14"/>
      <c r="U132" s="13"/>
      <c r="V132" s="13"/>
      <c r="W132" s="14"/>
      <c r="X132" s="13"/>
      <c r="Y132" s="13"/>
      <c r="Z132" s="15"/>
      <c r="AA132" s="15" t="n">
        <v>25.8</v>
      </c>
      <c r="AB132" s="13" t="str">
        <f aca="false">IF(B132&lt;F132,"Y","")</f>
        <v>Y</v>
      </c>
      <c r="AC132" s="13" t="str">
        <f aca="false">IF(O132&lt;&gt;"Y","Y","")</f>
        <v/>
      </c>
      <c r="AD132" s="13" t="str">
        <f aca="false">IF(AND(M132="declined-prior-offer",S132=""),"Y","")</f>
        <v/>
      </c>
      <c r="AE132" s="13" t="str">
        <f aca="false">IF(OR(R132&lt;&gt;"MATCH",ISNUMBER(SEARCH("conflict",Q132))),"Y","")</f>
        <v/>
      </c>
      <c r="AF132" s="13" t="str">
        <f aca="false">IF(AND(ISNUMBER(Z132),ABS(Z132-AA132)&gt;0.001),"Y","")</f>
        <v/>
      </c>
      <c r="AG132" s="13" t="str">
        <f aca="false">IF(AND(W132&lt;&gt;"",Y132&lt;&gt;"ACCEPTED"),"Y","")</f>
        <v/>
      </c>
      <c r="AH132" s="13" t="str">
        <f aca="false">IF(COUNTIF(AB132:AG132,"Y")&gt;0,"EXCEPTION","NO EXCEPTION IDENTIFIED")</f>
        <v>EXCEPTION</v>
      </c>
      <c r="AI132" s="16" t="s">
        <v>121</v>
      </c>
      <c r="AJ132" s="16" t="s">
        <v>918</v>
      </c>
    </row>
    <row r="133" customFormat="false" ht="20.85" hidden="false" customHeight="false" outlineLevel="0" collapsed="false">
      <c r="A133" s="9" t="s">
        <v>919</v>
      </c>
      <c r="B133" s="10" t="n">
        <v>45457</v>
      </c>
      <c r="C133" s="9" t="s">
        <v>920</v>
      </c>
      <c r="D133" s="9" t="s">
        <v>921</v>
      </c>
      <c r="E133" s="9" t="n">
        <v>2527</v>
      </c>
      <c r="F133" s="10" t="n">
        <v>45965</v>
      </c>
      <c r="G133" s="9" t="n">
        <f aca="false">B133-F133</f>
        <v>-508</v>
      </c>
      <c r="H133" s="9" t="s">
        <v>922</v>
      </c>
      <c r="I133" s="9" t="s">
        <v>923</v>
      </c>
      <c r="J133" s="9" t="s">
        <v>145</v>
      </c>
      <c r="K133" s="9" t="s">
        <v>146</v>
      </c>
      <c r="L133" s="11" t="n">
        <v>24</v>
      </c>
      <c r="M133" s="9" t="s">
        <v>136</v>
      </c>
      <c r="N133" s="9" t="s">
        <v>137</v>
      </c>
      <c r="O133" s="9" t="s">
        <v>117</v>
      </c>
      <c r="P133" s="9" t="s">
        <v>128</v>
      </c>
      <c r="Q133" s="9" t="s">
        <v>119</v>
      </c>
      <c r="R133" s="9" t="s">
        <v>120</v>
      </c>
      <c r="S133" s="9"/>
      <c r="T133" s="10"/>
      <c r="U133" s="9"/>
      <c r="V133" s="9"/>
      <c r="W133" s="10"/>
      <c r="X133" s="9"/>
      <c r="Y133" s="9"/>
      <c r="Z133" s="11"/>
      <c r="AA133" s="11" t="n">
        <v>30.5</v>
      </c>
      <c r="AB133" s="9" t="str">
        <f aca="false">IF(B133&lt;F133,"Y","")</f>
        <v>Y</v>
      </c>
      <c r="AC133" s="9" t="str">
        <f aca="false">IF(O133&lt;&gt;"Y","Y","")</f>
        <v/>
      </c>
      <c r="AD133" s="9" t="str">
        <f aca="false">IF(AND(M133="declined-prior-offer",S133=""),"Y","")</f>
        <v/>
      </c>
      <c r="AE133" s="9" t="str">
        <f aca="false">IF(OR(R133&lt;&gt;"MATCH",ISNUMBER(SEARCH("conflict",Q133))),"Y","")</f>
        <v/>
      </c>
      <c r="AF133" s="9" t="str">
        <f aca="false">IF(AND(ISNUMBER(Z133),ABS(Z133-AA133)&gt;0.001),"Y","")</f>
        <v/>
      </c>
      <c r="AG133" s="9" t="str">
        <f aca="false">IF(AND(W133&lt;&gt;"",Y133&lt;&gt;"ACCEPTED"),"Y","")</f>
        <v/>
      </c>
      <c r="AH133" s="9" t="str">
        <f aca="false">IF(COUNTIF(AB133:AG133,"Y")&gt;0,"EXCEPTION","NO EXCEPTION IDENTIFIED")</f>
        <v>EXCEPTION</v>
      </c>
      <c r="AI133" s="12" t="s">
        <v>121</v>
      </c>
      <c r="AJ133" s="12" t="s">
        <v>924</v>
      </c>
    </row>
    <row r="134" customFormat="false" ht="20.85" hidden="false" customHeight="false" outlineLevel="0" collapsed="false">
      <c r="A134" s="13" t="s">
        <v>925</v>
      </c>
      <c r="B134" s="14" t="n">
        <v>45458</v>
      </c>
      <c r="C134" s="13" t="s">
        <v>926</v>
      </c>
      <c r="D134" s="13" t="s">
        <v>927</v>
      </c>
      <c r="E134" s="13" t="n">
        <v>2245</v>
      </c>
      <c r="F134" s="14" t="n">
        <v>45825</v>
      </c>
      <c r="G134" s="13" t="n">
        <f aca="false">B134-F134</f>
        <v>-367</v>
      </c>
      <c r="H134" s="13" t="s">
        <v>928</v>
      </c>
      <c r="I134" s="13" t="s">
        <v>929</v>
      </c>
      <c r="J134" s="13" t="s">
        <v>113</v>
      </c>
      <c r="K134" s="13" t="s">
        <v>114</v>
      </c>
      <c r="L134" s="15" t="n">
        <v>40</v>
      </c>
      <c r="M134" s="13" t="s">
        <v>115</v>
      </c>
      <c r="N134" s="13" t="s">
        <v>116</v>
      </c>
      <c r="O134" s="13" t="s">
        <v>117</v>
      </c>
      <c r="P134" s="13" t="s">
        <v>118</v>
      </c>
      <c r="Q134" s="13" t="s">
        <v>119</v>
      </c>
      <c r="R134" s="13" t="s">
        <v>120</v>
      </c>
      <c r="S134" s="13"/>
      <c r="T134" s="14"/>
      <c r="U134" s="13"/>
      <c r="V134" s="13"/>
      <c r="W134" s="14"/>
      <c r="X134" s="13"/>
      <c r="Y134" s="13"/>
      <c r="Z134" s="15"/>
      <c r="AA134" s="15" t="n">
        <v>39.6</v>
      </c>
      <c r="AB134" s="13" t="str">
        <f aca="false">IF(B134&lt;F134,"Y","")</f>
        <v>Y</v>
      </c>
      <c r="AC134" s="13" t="str">
        <f aca="false">IF(O134&lt;&gt;"Y","Y","")</f>
        <v/>
      </c>
      <c r="AD134" s="13" t="str">
        <f aca="false">IF(AND(M134="declined-prior-offer",S134=""),"Y","")</f>
        <v/>
      </c>
      <c r="AE134" s="13" t="str">
        <f aca="false">IF(OR(R134&lt;&gt;"MATCH",ISNUMBER(SEARCH("conflict",Q134))),"Y","")</f>
        <v/>
      </c>
      <c r="AF134" s="13" t="str">
        <f aca="false">IF(AND(ISNUMBER(Z134),ABS(Z134-AA134)&gt;0.001),"Y","")</f>
        <v/>
      </c>
      <c r="AG134" s="13" t="str">
        <f aca="false">IF(AND(W134&lt;&gt;"",Y134&lt;&gt;"ACCEPTED"),"Y","")</f>
        <v/>
      </c>
      <c r="AH134" s="13" t="str">
        <f aca="false">IF(COUNTIF(AB134:AG134,"Y")&gt;0,"EXCEPTION","NO EXCEPTION IDENTIFIED")</f>
        <v>EXCEPTION</v>
      </c>
      <c r="AI134" s="16" t="s">
        <v>121</v>
      </c>
      <c r="AJ134" s="16" t="s">
        <v>930</v>
      </c>
    </row>
    <row r="135" customFormat="false" ht="20.85" hidden="false" customHeight="false" outlineLevel="0" collapsed="false">
      <c r="A135" s="9" t="s">
        <v>931</v>
      </c>
      <c r="B135" s="10" t="n">
        <v>45478</v>
      </c>
      <c r="C135" s="9" t="s">
        <v>932</v>
      </c>
      <c r="D135" s="9" t="s">
        <v>933</v>
      </c>
      <c r="E135" s="9" t="n">
        <v>691</v>
      </c>
      <c r="F135" s="10" t="n">
        <v>45109</v>
      </c>
      <c r="G135" s="9" t="n">
        <f aca="false">B135-F135</f>
        <v>369</v>
      </c>
      <c r="H135" s="9" t="s">
        <v>934</v>
      </c>
      <c r="I135" s="9" t="s">
        <v>935</v>
      </c>
      <c r="J135" s="9" t="s">
        <v>113</v>
      </c>
      <c r="K135" s="9" t="s">
        <v>114</v>
      </c>
      <c r="L135" s="11" t="n">
        <v>32</v>
      </c>
      <c r="M135" s="9" t="s">
        <v>185</v>
      </c>
      <c r="N135" s="9" t="s">
        <v>186</v>
      </c>
      <c r="O135" s="9" t="s">
        <v>117</v>
      </c>
      <c r="P135" s="9" t="s">
        <v>128</v>
      </c>
      <c r="Q135" s="9" t="s">
        <v>119</v>
      </c>
      <c r="R135" s="9" t="s">
        <v>120</v>
      </c>
      <c r="S135" s="9"/>
      <c r="T135" s="10"/>
      <c r="U135" s="9"/>
      <c r="V135" s="9"/>
      <c r="W135" s="10"/>
      <c r="X135" s="9"/>
      <c r="Y135" s="9"/>
      <c r="Z135" s="11"/>
      <c r="AA135" s="11" t="n">
        <v>61.4</v>
      </c>
      <c r="AB135" s="9" t="str">
        <f aca="false">IF(B135&lt;F135,"Y","")</f>
        <v/>
      </c>
      <c r="AC135" s="9" t="str">
        <f aca="false">IF(O135&lt;&gt;"Y","Y","")</f>
        <v/>
      </c>
      <c r="AD135" s="9" t="str">
        <f aca="false">IF(AND(M135="declined-prior-offer",S135=""),"Y","")</f>
        <v/>
      </c>
      <c r="AE135" s="9" t="str">
        <f aca="false">IF(OR(R135&lt;&gt;"MATCH",ISNUMBER(SEARCH("conflict",Q135))),"Y","")</f>
        <v/>
      </c>
      <c r="AF135" s="9" t="str">
        <f aca="false">IF(AND(ISNUMBER(Z135),ABS(Z135-AA135)&gt;0.001),"Y","")</f>
        <v/>
      </c>
      <c r="AG135" s="9" t="str">
        <f aca="false">IF(AND(W135&lt;&gt;"",Y135&lt;&gt;"ACCEPTED"),"Y","")</f>
        <v/>
      </c>
      <c r="AH135" s="9" t="str">
        <f aca="false">IF(COUNTIF(AB135:AG135,"Y")&gt;0,"EXCEPTION","NO EXCEPTION IDENTIFIED")</f>
        <v>NO EXCEPTION IDENTIFIED</v>
      </c>
      <c r="AI135" s="12" t="s">
        <v>156</v>
      </c>
      <c r="AJ135" s="12" t="s">
        <v>936</v>
      </c>
    </row>
    <row r="136" customFormat="false" ht="20.85" hidden="false" customHeight="false" outlineLevel="0" collapsed="false">
      <c r="A136" s="13" t="s">
        <v>937</v>
      </c>
      <c r="B136" s="14" t="n">
        <v>45487</v>
      </c>
      <c r="C136" s="13" t="s">
        <v>938</v>
      </c>
      <c r="D136" s="13" t="s">
        <v>939</v>
      </c>
      <c r="E136" s="13" t="n">
        <v>1850</v>
      </c>
      <c r="F136" s="14" t="n">
        <v>45650</v>
      </c>
      <c r="G136" s="13" t="n">
        <f aca="false">B136-F136</f>
        <v>-163</v>
      </c>
      <c r="H136" s="13" t="s">
        <v>940</v>
      </c>
      <c r="I136" s="13" t="s">
        <v>941</v>
      </c>
      <c r="J136" s="13" t="s">
        <v>204</v>
      </c>
      <c r="K136" s="13" t="s">
        <v>146</v>
      </c>
      <c r="L136" s="15" t="n">
        <v>40</v>
      </c>
      <c r="M136" s="13" t="s">
        <v>115</v>
      </c>
      <c r="N136" s="13" t="s">
        <v>116</v>
      </c>
      <c r="O136" s="13" t="s">
        <v>117</v>
      </c>
      <c r="P136" s="13" t="s">
        <v>118</v>
      </c>
      <c r="Q136" s="13" t="s">
        <v>119</v>
      </c>
      <c r="R136" s="13" t="s">
        <v>120</v>
      </c>
      <c r="S136" s="13"/>
      <c r="T136" s="14"/>
      <c r="U136" s="13"/>
      <c r="V136" s="13"/>
      <c r="W136" s="14"/>
      <c r="X136" s="13"/>
      <c r="Y136" s="13"/>
      <c r="Z136" s="15"/>
      <c r="AA136" s="15" t="n">
        <v>48.7</v>
      </c>
      <c r="AB136" s="13" t="str">
        <f aca="false">IF(B136&lt;F136,"Y","")</f>
        <v>Y</v>
      </c>
      <c r="AC136" s="13" t="str">
        <f aca="false">IF(O136&lt;&gt;"Y","Y","")</f>
        <v/>
      </c>
      <c r="AD136" s="13" t="str">
        <f aca="false">IF(AND(M136="declined-prior-offer",S136=""),"Y","")</f>
        <v/>
      </c>
      <c r="AE136" s="13" t="str">
        <f aca="false">IF(OR(R136&lt;&gt;"MATCH",ISNUMBER(SEARCH("conflict",Q136))),"Y","")</f>
        <v/>
      </c>
      <c r="AF136" s="13" t="str">
        <f aca="false">IF(AND(ISNUMBER(Z136),ABS(Z136-AA136)&gt;0.001),"Y","")</f>
        <v/>
      </c>
      <c r="AG136" s="13" t="str">
        <f aca="false">IF(AND(W136&lt;&gt;"",Y136&lt;&gt;"ACCEPTED"),"Y","")</f>
        <v/>
      </c>
      <c r="AH136" s="13" t="str">
        <f aca="false">IF(COUNTIF(AB136:AG136,"Y")&gt;0,"EXCEPTION","NO EXCEPTION IDENTIFIED")</f>
        <v>EXCEPTION</v>
      </c>
      <c r="AI136" s="16" t="s">
        <v>121</v>
      </c>
      <c r="AJ136" s="16" t="s">
        <v>942</v>
      </c>
    </row>
    <row r="137" customFormat="false" ht="20.85" hidden="false" customHeight="false" outlineLevel="0" collapsed="false">
      <c r="A137" s="9" t="s">
        <v>943</v>
      </c>
      <c r="B137" s="10" t="n">
        <v>45501</v>
      </c>
      <c r="C137" s="9" t="s">
        <v>944</v>
      </c>
      <c r="D137" s="9" t="s">
        <v>945</v>
      </c>
      <c r="E137" s="9" t="n">
        <v>889</v>
      </c>
      <c r="F137" s="10" t="n">
        <v>45212</v>
      </c>
      <c r="G137" s="9" t="n">
        <f aca="false">B137-F137</f>
        <v>289</v>
      </c>
      <c r="H137" s="9" t="s">
        <v>946</v>
      </c>
      <c r="I137" s="9" t="s">
        <v>947</v>
      </c>
      <c r="J137" s="9" t="s">
        <v>155</v>
      </c>
      <c r="K137" s="9" t="s">
        <v>146</v>
      </c>
      <c r="L137" s="11" t="n">
        <v>24</v>
      </c>
      <c r="M137" s="9" t="s">
        <v>115</v>
      </c>
      <c r="N137" s="9" t="s">
        <v>116</v>
      </c>
      <c r="O137" s="9" t="s">
        <v>117</v>
      </c>
      <c r="P137" s="9" t="s">
        <v>178</v>
      </c>
      <c r="Q137" s="9" t="s">
        <v>119</v>
      </c>
      <c r="R137" s="9" t="s">
        <v>120</v>
      </c>
      <c r="S137" s="9"/>
      <c r="T137" s="10"/>
      <c r="U137" s="9"/>
      <c r="V137" s="9"/>
      <c r="W137" s="10"/>
      <c r="X137" s="9"/>
      <c r="Y137" s="9"/>
      <c r="Z137" s="11"/>
      <c r="AA137" s="11" t="n">
        <v>27.9</v>
      </c>
      <c r="AB137" s="9" t="str">
        <f aca="false">IF(B137&lt;F137,"Y","")</f>
        <v/>
      </c>
      <c r="AC137" s="9" t="str">
        <f aca="false">IF(O137&lt;&gt;"Y","Y","")</f>
        <v/>
      </c>
      <c r="AD137" s="9" t="str">
        <f aca="false">IF(AND(M137="declined-prior-offer",S137=""),"Y","")</f>
        <v/>
      </c>
      <c r="AE137" s="9" t="str">
        <f aca="false">IF(OR(R137&lt;&gt;"MATCH",ISNUMBER(SEARCH("conflict",Q137))),"Y","")</f>
        <v/>
      </c>
      <c r="AF137" s="9" t="str">
        <f aca="false">IF(AND(ISNUMBER(Z137),ABS(Z137-AA137)&gt;0.001),"Y","")</f>
        <v/>
      </c>
      <c r="AG137" s="9" t="str">
        <f aca="false">IF(AND(W137&lt;&gt;"",Y137&lt;&gt;"ACCEPTED"),"Y","")</f>
        <v/>
      </c>
      <c r="AH137" s="9" t="str">
        <f aca="false">IF(COUNTIF(AB137:AG137,"Y")&gt;0,"EXCEPTION","NO EXCEPTION IDENTIFIED")</f>
        <v>NO EXCEPTION IDENTIFIED</v>
      </c>
      <c r="AI137" s="12" t="s">
        <v>156</v>
      </c>
      <c r="AJ137" s="12" t="s">
        <v>948</v>
      </c>
    </row>
    <row r="138" customFormat="false" ht="20.85" hidden="false" customHeight="false" outlineLevel="0" collapsed="false">
      <c r="A138" s="13" t="s">
        <v>949</v>
      </c>
      <c r="B138" s="14" t="n">
        <v>45508</v>
      </c>
      <c r="C138" s="13" t="s">
        <v>950</v>
      </c>
      <c r="D138" s="13" t="s">
        <v>951</v>
      </c>
      <c r="E138" s="13" t="n">
        <v>1925</v>
      </c>
      <c r="F138" s="14" t="n">
        <v>45679</v>
      </c>
      <c r="G138" s="13" t="n">
        <f aca="false">B138-F138</f>
        <v>-171</v>
      </c>
      <c r="H138" s="13" t="s">
        <v>952</v>
      </c>
      <c r="I138" s="13" t="s">
        <v>953</v>
      </c>
      <c r="J138" s="13" t="s">
        <v>145</v>
      </c>
      <c r="K138" s="13" t="s">
        <v>146</v>
      </c>
      <c r="L138" s="15" t="n">
        <v>80</v>
      </c>
      <c r="M138" s="13" t="s">
        <v>185</v>
      </c>
      <c r="N138" s="13" t="s">
        <v>186</v>
      </c>
      <c r="O138" s="13" t="s">
        <v>117</v>
      </c>
      <c r="P138" s="13" t="s">
        <v>138</v>
      </c>
      <c r="Q138" s="13" t="s">
        <v>119</v>
      </c>
      <c r="R138" s="13" t="s">
        <v>120</v>
      </c>
      <c r="S138" s="13"/>
      <c r="T138" s="14"/>
      <c r="U138" s="13"/>
      <c r="V138" s="13"/>
      <c r="W138" s="14"/>
      <c r="X138" s="13"/>
      <c r="Y138" s="13"/>
      <c r="Z138" s="15"/>
      <c r="AA138" s="15" t="n">
        <v>40.9</v>
      </c>
      <c r="AB138" s="13" t="str">
        <f aca="false">IF(B138&lt;F138,"Y","")</f>
        <v>Y</v>
      </c>
      <c r="AC138" s="13" t="str">
        <f aca="false">IF(O138&lt;&gt;"Y","Y","")</f>
        <v/>
      </c>
      <c r="AD138" s="13" t="str">
        <f aca="false">IF(AND(M138="declined-prior-offer",S138=""),"Y","")</f>
        <v/>
      </c>
      <c r="AE138" s="13" t="str">
        <f aca="false">IF(OR(R138&lt;&gt;"MATCH",ISNUMBER(SEARCH("conflict",Q138))),"Y","")</f>
        <v/>
      </c>
      <c r="AF138" s="13" t="str">
        <f aca="false">IF(AND(ISNUMBER(Z138),ABS(Z138-AA138)&gt;0.001),"Y","")</f>
        <v/>
      </c>
      <c r="AG138" s="13" t="str">
        <f aca="false">IF(AND(W138&lt;&gt;"",Y138&lt;&gt;"ACCEPTED"),"Y","")</f>
        <v/>
      </c>
      <c r="AH138" s="13" t="str">
        <f aca="false">IF(COUNTIF(AB138:AG138,"Y")&gt;0,"EXCEPTION","NO EXCEPTION IDENTIFIED")</f>
        <v>EXCEPTION</v>
      </c>
      <c r="AI138" s="16" t="s">
        <v>121</v>
      </c>
      <c r="AJ138" s="16" t="s">
        <v>954</v>
      </c>
    </row>
    <row r="139" customFormat="false" ht="20.85" hidden="false" customHeight="false" outlineLevel="0" collapsed="false">
      <c r="A139" s="9" t="s">
        <v>955</v>
      </c>
      <c r="B139" s="10" t="n">
        <v>45510</v>
      </c>
      <c r="C139" s="9" t="s">
        <v>956</v>
      </c>
      <c r="D139" s="9" t="s">
        <v>957</v>
      </c>
      <c r="E139" s="9" t="n">
        <v>2542</v>
      </c>
      <c r="F139" s="10" t="n">
        <v>45974</v>
      </c>
      <c r="G139" s="9" t="n">
        <f aca="false">B139-F139</f>
        <v>-464</v>
      </c>
      <c r="H139" s="9" t="s">
        <v>958</v>
      </c>
      <c r="I139" s="9" t="s">
        <v>959</v>
      </c>
      <c r="J139" s="9" t="s">
        <v>204</v>
      </c>
      <c r="K139" s="9" t="s">
        <v>146</v>
      </c>
      <c r="L139" s="11" t="n">
        <v>32</v>
      </c>
      <c r="M139" s="9" t="s">
        <v>115</v>
      </c>
      <c r="N139" s="9" t="s">
        <v>116</v>
      </c>
      <c r="O139" s="9" t="s">
        <v>117</v>
      </c>
      <c r="P139" s="9" t="s">
        <v>178</v>
      </c>
      <c r="Q139" s="9" t="s">
        <v>119</v>
      </c>
      <c r="R139" s="9" t="s">
        <v>120</v>
      </c>
      <c r="S139" s="9"/>
      <c r="T139" s="10"/>
      <c r="U139" s="9"/>
      <c r="V139" s="9"/>
      <c r="W139" s="10"/>
      <c r="X139" s="9"/>
      <c r="Y139" s="9"/>
      <c r="Z139" s="11"/>
      <c r="AA139" s="11" t="n">
        <v>60.5</v>
      </c>
      <c r="AB139" s="9" t="str">
        <f aca="false">IF(B139&lt;F139,"Y","")</f>
        <v>Y</v>
      </c>
      <c r="AC139" s="9" t="str">
        <f aca="false">IF(O139&lt;&gt;"Y","Y","")</f>
        <v/>
      </c>
      <c r="AD139" s="9" t="str">
        <f aca="false">IF(AND(M139="declined-prior-offer",S139=""),"Y","")</f>
        <v/>
      </c>
      <c r="AE139" s="9" t="str">
        <f aca="false">IF(OR(R139&lt;&gt;"MATCH",ISNUMBER(SEARCH("conflict",Q139))),"Y","")</f>
        <v/>
      </c>
      <c r="AF139" s="9" t="str">
        <f aca="false">IF(AND(ISNUMBER(Z139),ABS(Z139-AA139)&gt;0.001),"Y","")</f>
        <v/>
      </c>
      <c r="AG139" s="9" t="str">
        <f aca="false">IF(AND(W139&lt;&gt;"",Y139&lt;&gt;"ACCEPTED"),"Y","")</f>
        <v/>
      </c>
      <c r="AH139" s="9" t="str">
        <f aca="false">IF(COUNTIF(AB139:AG139,"Y")&gt;0,"EXCEPTION","NO EXCEPTION IDENTIFIED")</f>
        <v>EXCEPTION</v>
      </c>
      <c r="AI139" s="12" t="s">
        <v>121</v>
      </c>
      <c r="AJ139" s="12" t="s">
        <v>960</v>
      </c>
    </row>
    <row r="140" customFormat="false" ht="20.85" hidden="false" customHeight="false" outlineLevel="0" collapsed="false">
      <c r="A140" s="13" t="s">
        <v>961</v>
      </c>
      <c r="B140" s="14" t="n">
        <v>45514</v>
      </c>
      <c r="C140" s="13" t="s">
        <v>962</v>
      </c>
      <c r="D140" s="13" t="s">
        <v>963</v>
      </c>
      <c r="E140" s="13" t="n">
        <v>1</v>
      </c>
      <c r="F140" s="14" t="n">
        <v>44574</v>
      </c>
      <c r="G140" s="13" t="n">
        <f aca="false">B140-F140</f>
        <v>940</v>
      </c>
      <c r="H140" s="13" t="s">
        <v>964</v>
      </c>
      <c r="I140" s="13" t="s">
        <v>965</v>
      </c>
      <c r="J140" s="13" t="s">
        <v>135</v>
      </c>
      <c r="K140" s="13" t="s">
        <v>114</v>
      </c>
      <c r="L140" s="15" t="n">
        <v>36</v>
      </c>
      <c r="M140" s="13" t="s">
        <v>136</v>
      </c>
      <c r="N140" s="13" t="s">
        <v>137</v>
      </c>
      <c r="O140" s="13" t="s">
        <v>117</v>
      </c>
      <c r="P140" s="13" t="s">
        <v>178</v>
      </c>
      <c r="Q140" s="13" t="s">
        <v>119</v>
      </c>
      <c r="R140" s="13" t="s">
        <v>120</v>
      </c>
      <c r="S140" s="13"/>
      <c r="T140" s="14"/>
      <c r="U140" s="13"/>
      <c r="V140" s="13"/>
      <c r="W140" s="14" t="n">
        <v>45464</v>
      </c>
      <c r="X140" s="13" t="s">
        <v>966</v>
      </c>
      <c r="Y140" s="13" t="s">
        <v>374</v>
      </c>
      <c r="Z140" s="15" t="n">
        <v>50.8</v>
      </c>
      <c r="AA140" s="15" t="n">
        <v>51.6</v>
      </c>
      <c r="AB140" s="13" t="str">
        <f aca="false">IF(B140&lt;F140,"Y","")</f>
        <v/>
      </c>
      <c r="AC140" s="13" t="str">
        <f aca="false">IF(O140&lt;&gt;"Y","Y","")</f>
        <v/>
      </c>
      <c r="AD140" s="13" t="str">
        <f aca="false">IF(AND(M140="declined-prior-offer",S140=""),"Y","")</f>
        <v/>
      </c>
      <c r="AE140" s="13" t="str">
        <f aca="false">IF(OR(R140&lt;&gt;"MATCH",ISNUMBER(SEARCH("conflict",Q140))),"Y","")</f>
        <v/>
      </c>
      <c r="AF140" s="13" t="str">
        <f aca="false">IF(AND(ISNUMBER(Z140),ABS(Z140-AA140)&gt;0.001),"Y","")</f>
        <v>Y</v>
      </c>
      <c r="AG140" s="13" t="str">
        <f aca="false">IF(AND(W140&lt;&gt;"",Y140&lt;&gt;"ACCEPTED"),"Y","")</f>
        <v/>
      </c>
      <c r="AH140" s="13" t="str">
        <f aca="false">IF(COUNTIF(AB140:AG140,"Y")&gt;0,"EXCEPTION","NO EXCEPTION IDENTIFIED")</f>
        <v>EXCEPTION</v>
      </c>
      <c r="AI140" s="16" t="s">
        <v>578</v>
      </c>
      <c r="AJ140" s="16" t="s">
        <v>967</v>
      </c>
    </row>
    <row r="141" customFormat="false" ht="20.85" hidden="false" customHeight="false" outlineLevel="0" collapsed="false">
      <c r="A141" s="9" t="s">
        <v>968</v>
      </c>
      <c r="B141" s="10" t="n">
        <v>45520</v>
      </c>
      <c r="C141" s="9" t="s">
        <v>969</v>
      </c>
      <c r="D141" s="9" t="s">
        <v>970</v>
      </c>
      <c r="E141" s="9" t="n">
        <v>2759</v>
      </c>
      <c r="F141" s="10" t="n">
        <v>46099</v>
      </c>
      <c r="G141" s="9" t="n">
        <f aca="false">B141-F141</f>
        <v>-579</v>
      </c>
      <c r="H141" s="9" t="s">
        <v>971</v>
      </c>
      <c r="I141" s="9" t="s">
        <v>972</v>
      </c>
      <c r="J141" s="9" t="s">
        <v>155</v>
      </c>
      <c r="K141" s="9" t="s">
        <v>146</v>
      </c>
      <c r="L141" s="11" t="n">
        <v>80</v>
      </c>
      <c r="M141" s="9" t="s">
        <v>136</v>
      </c>
      <c r="N141" s="9" t="s">
        <v>137</v>
      </c>
      <c r="O141" s="9" t="s">
        <v>117</v>
      </c>
      <c r="P141" s="9" t="s">
        <v>128</v>
      </c>
      <c r="Q141" s="9" t="s">
        <v>119</v>
      </c>
      <c r="R141" s="9" t="s">
        <v>120</v>
      </c>
      <c r="S141" s="9"/>
      <c r="T141" s="10"/>
      <c r="U141" s="9"/>
      <c r="V141" s="9"/>
      <c r="W141" s="10"/>
      <c r="X141" s="9"/>
      <c r="Y141" s="9"/>
      <c r="Z141" s="11"/>
      <c r="AA141" s="11" t="n">
        <v>58.7</v>
      </c>
      <c r="AB141" s="9" t="str">
        <f aca="false">IF(B141&lt;F141,"Y","")</f>
        <v>Y</v>
      </c>
      <c r="AC141" s="9" t="str">
        <f aca="false">IF(O141&lt;&gt;"Y","Y","")</f>
        <v/>
      </c>
      <c r="AD141" s="9" t="str">
        <f aca="false">IF(AND(M141="declined-prior-offer",S141=""),"Y","")</f>
        <v/>
      </c>
      <c r="AE141" s="9" t="str">
        <f aca="false">IF(OR(R141&lt;&gt;"MATCH",ISNUMBER(SEARCH("conflict",Q141))),"Y","")</f>
        <v/>
      </c>
      <c r="AF141" s="9" t="str">
        <f aca="false">IF(AND(ISNUMBER(Z141),ABS(Z141-AA141)&gt;0.001),"Y","")</f>
        <v/>
      </c>
      <c r="AG141" s="9" t="str">
        <f aca="false">IF(AND(W141&lt;&gt;"",Y141&lt;&gt;"ACCEPTED"),"Y","")</f>
        <v/>
      </c>
      <c r="AH141" s="9" t="str">
        <f aca="false">IF(COUNTIF(AB141:AG141,"Y")&gt;0,"EXCEPTION","NO EXCEPTION IDENTIFIED")</f>
        <v>EXCEPTION</v>
      </c>
      <c r="AI141" s="12" t="s">
        <v>121</v>
      </c>
      <c r="AJ141" s="12" t="s">
        <v>973</v>
      </c>
    </row>
    <row r="142" customFormat="false" ht="20.85" hidden="false" customHeight="false" outlineLevel="0" collapsed="false">
      <c r="A142" s="13" t="s">
        <v>974</v>
      </c>
      <c r="B142" s="14" t="n">
        <v>45522</v>
      </c>
      <c r="C142" s="13" t="s">
        <v>975</v>
      </c>
      <c r="D142" s="13" t="s">
        <v>976</v>
      </c>
      <c r="E142" s="13" t="n">
        <v>2762</v>
      </c>
      <c r="F142" s="14" t="n">
        <v>46105</v>
      </c>
      <c r="G142" s="13" t="n">
        <f aca="false">B142-F142</f>
        <v>-583</v>
      </c>
      <c r="H142" s="13" t="s">
        <v>977</v>
      </c>
      <c r="I142" s="13" t="s">
        <v>978</v>
      </c>
      <c r="J142" s="13" t="s">
        <v>113</v>
      </c>
      <c r="K142" s="13" t="s">
        <v>114</v>
      </c>
      <c r="L142" s="15" t="n">
        <v>24</v>
      </c>
      <c r="M142" s="13" t="s">
        <v>115</v>
      </c>
      <c r="N142" s="13" t="s">
        <v>116</v>
      </c>
      <c r="O142" s="13" t="s">
        <v>117</v>
      </c>
      <c r="P142" s="13" t="s">
        <v>128</v>
      </c>
      <c r="Q142" s="13" t="s">
        <v>119</v>
      </c>
      <c r="R142" s="13" t="s">
        <v>120</v>
      </c>
      <c r="S142" s="13"/>
      <c r="T142" s="14"/>
      <c r="U142" s="13"/>
      <c r="V142" s="13"/>
      <c r="W142" s="14"/>
      <c r="X142" s="13"/>
      <c r="Y142" s="13"/>
      <c r="Z142" s="15"/>
      <c r="AA142" s="15" t="n">
        <v>37.6</v>
      </c>
      <c r="AB142" s="13" t="str">
        <f aca="false">IF(B142&lt;F142,"Y","")</f>
        <v>Y</v>
      </c>
      <c r="AC142" s="13" t="str">
        <f aca="false">IF(O142&lt;&gt;"Y","Y","")</f>
        <v/>
      </c>
      <c r="AD142" s="13" t="str">
        <f aca="false">IF(AND(M142="declined-prior-offer",S142=""),"Y","")</f>
        <v/>
      </c>
      <c r="AE142" s="13" t="str">
        <f aca="false">IF(OR(R142&lt;&gt;"MATCH",ISNUMBER(SEARCH("conflict",Q142))),"Y","")</f>
        <v/>
      </c>
      <c r="AF142" s="13" t="str">
        <f aca="false">IF(AND(ISNUMBER(Z142),ABS(Z142-AA142)&gt;0.001),"Y","")</f>
        <v/>
      </c>
      <c r="AG142" s="13" t="str">
        <f aca="false">IF(AND(W142&lt;&gt;"",Y142&lt;&gt;"ACCEPTED"),"Y","")</f>
        <v/>
      </c>
      <c r="AH142" s="13" t="str">
        <f aca="false">IF(COUNTIF(AB142:AG142,"Y")&gt;0,"EXCEPTION","NO EXCEPTION IDENTIFIED")</f>
        <v>EXCEPTION</v>
      </c>
      <c r="AI142" s="16" t="s">
        <v>121</v>
      </c>
      <c r="AJ142" s="16" t="s">
        <v>979</v>
      </c>
    </row>
    <row r="143" customFormat="false" ht="20.85" hidden="false" customHeight="false" outlineLevel="0" collapsed="false">
      <c r="A143" s="9" t="s">
        <v>980</v>
      </c>
      <c r="B143" s="10" t="n">
        <v>45529</v>
      </c>
      <c r="C143" s="9" t="s">
        <v>981</v>
      </c>
      <c r="D143" s="9" t="s">
        <v>982</v>
      </c>
      <c r="E143" s="9" t="n">
        <v>1791</v>
      </c>
      <c r="F143" s="10" t="n">
        <v>45623</v>
      </c>
      <c r="G143" s="9" t="n">
        <f aca="false">B143-F143</f>
        <v>-94</v>
      </c>
      <c r="H143" s="9" t="s">
        <v>983</v>
      </c>
      <c r="I143" s="9" t="s">
        <v>417</v>
      </c>
      <c r="J143" s="9" t="s">
        <v>204</v>
      </c>
      <c r="K143" s="9" t="s">
        <v>146</v>
      </c>
      <c r="L143" s="11" t="n">
        <v>45</v>
      </c>
      <c r="M143" s="9" t="s">
        <v>115</v>
      </c>
      <c r="N143" s="9" t="s">
        <v>116</v>
      </c>
      <c r="O143" s="9" t="s">
        <v>117</v>
      </c>
      <c r="P143" s="9" t="s">
        <v>128</v>
      </c>
      <c r="Q143" s="9" t="s">
        <v>119</v>
      </c>
      <c r="R143" s="9" t="s">
        <v>120</v>
      </c>
      <c r="S143" s="9"/>
      <c r="T143" s="10"/>
      <c r="U143" s="9"/>
      <c r="V143" s="9"/>
      <c r="W143" s="10"/>
      <c r="X143" s="9"/>
      <c r="Y143" s="9"/>
      <c r="Z143" s="11"/>
      <c r="AA143" s="11" t="n">
        <v>47.7</v>
      </c>
      <c r="AB143" s="9" t="str">
        <f aca="false">IF(B143&lt;F143,"Y","")</f>
        <v>Y</v>
      </c>
      <c r="AC143" s="9" t="str">
        <f aca="false">IF(O143&lt;&gt;"Y","Y","")</f>
        <v/>
      </c>
      <c r="AD143" s="9" t="str">
        <f aca="false">IF(AND(M143="declined-prior-offer",S143=""),"Y","")</f>
        <v/>
      </c>
      <c r="AE143" s="9" t="str">
        <f aca="false">IF(OR(R143&lt;&gt;"MATCH",ISNUMBER(SEARCH("conflict",Q143))),"Y","")</f>
        <v/>
      </c>
      <c r="AF143" s="9" t="str">
        <f aca="false">IF(AND(ISNUMBER(Z143),ABS(Z143-AA143)&gt;0.001),"Y","")</f>
        <v/>
      </c>
      <c r="AG143" s="9" t="str">
        <f aca="false">IF(AND(W143&lt;&gt;"",Y143&lt;&gt;"ACCEPTED"),"Y","")</f>
        <v/>
      </c>
      <c r="AH143" s="9" t="str">
        <f aca="false">IF(COUNTIF(AB143:AG143,"Y")&gt;0,"EXCEPTION","NO EXCEPTION IDENTIFIED")</f>
        <v>EXCEPTION</v>
      </c>
      <c r="AI143" s="12" t="s">
        <v>121</v>
      </c>
      <c r="AJ143" s="12" t="s">
        <v>984</v>
      </c>
    </row>
    <row r="144" customFormat="false" ht="20.85" hidden="false" customHeight="false" outlineLevel="0" collapsed="false">
      <c r="A144" s="13" t="s">
        <v>985</v>
      </c>
      <c r="B144" s="14" t="n">
        <v>45532</v>
      </c>
      <c r="C144" s="13" t="s">
        <v>986</v>
      </c>
      <c r="D144" s="13" t="s">
        <v>987</v>
      </c>
      <c r="E144" s="13" t="n">
        <v>998</v>
      </c>
      <c r="F144" s="14" t="n">
        <v>45263</v>
      </c>
      <c r="G144" s="13" t="n">
        <f aca="false">B144-F144</f>
        <v>269</v>
      </c>
      <c r="H144" s="13" t="s">
        <v>988</v>
      </c>
      <c r="I144" s="13" t="s">
        <v>989</v>
      </c>
      <c r="J144" s="13" t="s">
        <v>145</v>
      </c>
      <c r="K144" s="13" t="s">
        <v>146</v>
      </c>
      <c r="L144" s="15" t="n">
        <v>45</v>
      </c>
      <c r="M144" s="13" t="s">
        <v>115</v>
      </c>
      <c r="N144" s="13" t="s">
        <v>116</v>
      </c>
      <c r="O144" s="13" t="s">
        <v>117</v>
      </c>
      <c r="P144" s="13" t="s">
        <v>128</v>
      </c>
      <c r="Q144" s="13" t="s">
        <v>119</v>
      </c>
      <c r="R144" s="13" t="s">
        <v>120</v>
      </c>
      <c r="S144" s="13"/>
      <c r="T144" s="14"/>
      <c r="U144" s="13"/>
      <c r="V144" s="13"/>
      <c r="W144" s="14"/>
      <c r="X144" s="13"/>
      <c r="Y144" s="13"/>
      <c r="Z144" s="15"/>
      <c r="AA144" s="15" t="n">
        <v>43.3</v>
      </c>
      <c r="AB144" s="13" t="str">
        <f aca="false">IF(B144&lt;F144,"Y","")</f>
        <v/>
      </c>
      <c r="AC144" s="13" t="str">
        <f aca="false">IF(O144&lt;&gt;"Y","Y","")</f>
        <v/>
      </c>
      <c r="AD144" s="13" t="str">
        <f aca="false">IF(AND(M144="declined-prior-offer",S144=""),"Y","")</f>
        <v/>
      </c>
      <c r="AE144" s="13" t="str">
        <f aca="false">IF(OR(R144&lt;&gt;"MATCH",ISNUMBER(SEARCH("conflict",Q144))),"Y","")</f>
        <v/>
      </c>
      <c r="AF144" s="13" t="str">
        <f aca="false">IF(AND(ISNUMBER(Z144),ABS(Z144-AA144)&gt;0.001),"Y","")</f>
        <v/>
      </c>
      <c r="AG144" s="13" t="str">
        <f aca="false">IF(AND(W144&lt;&gt;"",Y144&lt;&gt;"ACCEPTED"),"Y","")</f>
        <v/>
      </c>
      <c r="AH144" s="13" t="str">
        <f aca="false">IF(COUNTIF(AB144:AG144,"Y")&gt;0,"EXCEPTION","NO EXCEPTION IDENTIFIED")</f>
        <v>NO EXCEPTION IDENTIFIED</v>
      </c>
      <c r="AI144" s="16" t="s">
        <v>156</v>
      </c>
      <c r="AJ144" s="16" t="s">
        <v>990</v>
      </c>
    </row>
    <row r="145" customFormat="false" ht="20.85" hidden="false" customHeight="false" outlineLevel="0" collapsed="false">
      <c r="A145" s="9" t="s">
        <v>991</v>
      </c>
      <c r="B145" s="10" t="n">
        <v>45536</v>
      </c>
      <c r="C145" s="9" t="s">
        <v>992</v>
      </c>
      <c r="D145" s="9" t="s">
        <v>993</v>
      </c>
      <c r="E145" s="9" t="n">
        <v>2615</v>
      </c>
      <c r="F145" s="10" t="n">
        <v>46015</v>
      </c>
      <c r="G145" s="9" t="n">
        <f aca="false">B145-F145</f>
        <v>-479</v>
      </c>
      <c r="H145" s="9" t="s">
        <v>994</v>
      </c>
      <c r="I145" s="9" t="s">
        <v>995</v>
      </c>
      <c r="J145" s="9" t="s">
        <v>135</v>
      </c>
      <c r="K145" s="9" t="s">
        <v>114</v>
      </c>
      <c r="L145" s="11" t="n">
        <v>28</v>
      </c>
      <c r="M145" s="9" t="s">
        <v>169</v>
      </c>
      <c r="N145" s="9" t="s">
        <v>170</v>
      </c>
      <c r="O145" s="9" t="s">
        <v>117</v>
      </c>
      <c r="P145" s="9" t="s">
        <v>128</v>
      </c>
      <c r="Q145" s="9" t="s">
        <v>119</v>
      </c>
      <c r="R145" s="9" t="s">
        <v>120</v>
      </c>
      <c r="S145" s="9"/>
      <c r="T145" s="10"/>
      <c r="U145" s="9"/>
      <c r="V145" s="9"/>
      <c r="W145" s="10"/>
      <c r="X145" s="9"/>
      <c r="Y145" s="9"/>
      <c r="Z145" s="11"/>
      <c r="AA145" s="11" t="n">
        <v>25.2</v>
      </c>
      <c r="AB145" s="9" t="str">
        <f aca="false">IF(B145&lt;F145,"Y","")</f>
        <v>Y</v>
      </c>
      <c r="AC145" s="9" t="str">
        <f aca="false">IF(O145&lt;&gt;"Y","Y","")</f>
        <v/>
      </c>
      <c r="AD145" s="9" t="str">
        <f aca="false">IF(AND(M145="declined-prior-offer",S145=""),"Y","")</f>
        <v>Y</v>
      </c>
      <c r="AE145" s="9" t="str">
        <f aca="false">IF(OR(R145&lt;&gt;"MATCH",ISNUMBER(SEARCH("conflict",Q145))),"Y","")</f>
        <v/>
      </c>
      <c r="AF145" s="9" t="str">
        <f aca="false">IF(AND(ISNUMBER(Z145),ABS(Z145-AA145)&gt;0.001),"Y","")</f>
        <v/>
      </c>
      <c r="AG145" s="9" t="str">
        <f aca="false">IF(AND(W145&lt;&gt;"",Y145&lt;&gt;"ACCEPTED"),"Y","")</f>
        <v/>
      </c>
      <c r="AH145" s="9" t="str">
        <f aca="false">IF(COUNTIF(AB145:AG145,"Y")&gt;0,"EXCEPTION","NO EXCEPTION IDENTIFIED")</f>
        <v>EXCEPTION</v>
      </c>
      <c r="AI145" s="12" t="s">
        <v>171</v>
      </c>
      <c r="AJ145" s="12" t="s">
        <v>996</v>
      </c>
    </row>
    <row r="146" customFormat="false" ht="20.85" hidden="false" customHeight="false" outlineLevel="0" collapsed="false">
      <c r="A146" s="13" t="s">
        <v>997</v>
      </c>
      <c r="B146" s="14" t="n">
        <v>45536</v>
      </c>
      <c r="C146" s="13" t="s">
        <v>998</v>
      </c>
      <c r="D146" s="13" t="s">
        <v>999</v>
      </c>
      <c r="E146" s="13" t="n">
        <v>2228</v>
      </c>
      <c r="F146" s="14" t="n">
        <v>45816</v>
      </c>
      <c r="G146" s="13" t="n">
        <f aca="false">B146-F146</f>
        <v>-280</v>
      </c>
      <c r="H146" s="13" t="s">
        <v>1000</v>
      </c>
      <c r="I146" s="13" t="s">
        <v>1001</v>
      </c>
      <c r="J146" s="13" t="s">
        <v>145</v>
      </c>
      <c r="K146" s="13" t="s">
        <v>146</v>
      </c>
      <c r="L146" s="15" t="n">
        <v>70</v>
      </c>
      <c r="M146" s="13" t="s">
        <v>169</v>
      </c>
      <c r="N146" s="13" t="s">
        <v>170</v>
      </c>
      <c r="O146" s="13" t="s">
        <v>117</v>
      </c>
      <c r="P146" s="13" t="s">
        <v>138</v>
      </c>
      <c r="Q146" s="13" t="s">
        <v>119</v>
      </c>
      <c r="R146" s="13" t="s">
        <v>120</v>
      </c>
      <c r="S146" s="13"/>
      <c r="T146" s="14"/>
      <c r="U146" s="13"/>
      <c r="V146" s="13"/>
      <c r="W146" s="14"/>
      <c r="X146" s="13"/>
      <c r="Y146" s="13"/>
      <c r="Z146" s="15"/>
      <c r="AA146" s="15" t="n">
        <v>47.5</v>
      </c>
      <c r="AB146" s="13" t="str">
        <f aca="false">IF(B146&lt;F146,"Y","")</f>
        <v>Y</v>
      </c>
      <c r="AC146" s="13" t="str">
        <f aca="false">IF(O146&lt;&gt;"Y","Y","")</f>
        <v/>
      </c>
      <c r="AD146" s="13" t="str">
        <f aca="false">IF(AND(M146="declined-prior-offer",S146=""),"Y","")</f>
        <v>Y</v>
      </c>
      <c r="AE146" s="13" t="str">
        <f aca="false">IF(OR(R146&lt;&gt;"MATCH",ISNUMBER(SEARCH("conflict",Q146))),"Y","")</f>
        <v/>
      </c>
      <c r="AF146" s="13" t="str">
        <f aca="false">IF(AND(ISNUMBER(Z146),ABS(Z146-AA146)&gt;0.001),"Y","")</f>
        <v/>
      </c>
      <c r="AG146" s="13" t="str">
        <f aca="false">IF(AND(W146&lt;&gt;"",Y146&lt;&gt;"ACCEPTED"),"Y","")</f>
        <v/>
      </c>
      <c r="AH146" s="13" t="str">
        <f aca="false">IF(COUNTIF(AB146:AG146,"Y")&gt;0,"EXCEPTION","NO EXCEPTION IDENTIFIED")</f>
        <v>EXCEPTION</v>
      </c>
      <c r="AI146" s="16" t="s">
        <v>171</v>
      </c>
      <c r="AJ146" s="16" t="s">
        <v>1002</v>
      </c>
    </row>
    <row r="147" customFormat="false" ht="20.85" hidden="false" customHeight="false" outlineLevel="0" collapsed="false">
      <c r="A147" s="9" t="s">
        <v>1003</v>
      </c>
      <c r="B147" s="10" t="n">
        <v>45537</v>
      </c>
      <c r="C147" s="9" t="s">
        <v>1004</v>
      </c>
      <c r="D147" s="9" t="s">
        <v>1005</v>
      </c>
      <c r="E147" s="9" t="n">
        <v>504</v>
      </c>
      <c r="F147" s="10" t="n">
        <v>45000</v>
      </c>
      <c r="G147" s="9" t="n">
        <f aca="false">B147-F147</f>
        <v>537</v>
      </c>
      <c r="H147" s="9" t="s">
        <v>1006</v>
      </c>
      <c r="I147" s="9" t="s">
        <v>1007</v>
      </c>
      <c r="J147" s="9" t="s">
        <v>135</v>
      </c>
      <c r="K147" s="9" t="s">
        <v>114</v>
      </c>
      <c r="L147" s="11" t="n">
        <v>32</v>
      </c>
      <c r="M147" s="9" t="s">
        <v>115</v>
      </c>
      <c r="N147" s="9" t="s">
        <v>116</v>
      </c>
      <c r="O147" s="9" t="s">
        <v>117</v>
      </c>
      <c r="P147" s="9" t="s">
        <v>178</v>
      </c>
      <c r="Q147" s="9" t="s">
        <v>119</v>
      </c>
      <c r="R147" s="9" t="s">
        <v>120</v>
      </c>
      <c r="S147" s="9"/>
      <c r="T147" s="10"/>
      <c r="U147" s="9"/>
      <c r="V147" s="9"/>
      <c r="W147" s="10"/>
      <c r="X147" s="9"/>
      <c r="Y147" s="9"/>
      <c r="Z147" s="11"/>
      <c r="AA147" s="11" t="n">
        <v>32.6</v>
      </c>
      <c r="AB147" s="9" t="str">
        <f aca="false">IF(B147&lt;F147,"Y","")</f>
        <v/>
      </c>
      <c r="AC147" s="9" t="str">
        <f aca="false">IF(O147&lt;&gt;"Y","Y","")</f>
        <v/>
      </c>
      <c r="AD147" s="9" t="str">
        <f aca="false">IF(AND(M147="declined-prior-offer",S147=""),"Y","")</f>
        <v/>
      </c>
      <c r="AE147" s="9" t="str">
        <f aca="false">IF(OR(R147&lt;&gt;"MATCH",ISNUMBER(SEARCH("conflict",Q147))),"Y","")</f>
        <v/>
      </c>
      <c r="AF147" s="9" t="str">
        <f aca="false">IF(AND(ISNUMBER(Z147),ABS(Z147-AA147)&gt;0.001),"Y","")</f>
        <v/>
      </c>
      <c r="AG147" s="9" t="str">
        <f aca="false">IF(AND(W147&lt;&gt;"",Y147&lt;&gt;"ACCEPTED"),"Y","")</f>
        <v/>
      </c>
      <c r="AH147" s="9" t="str">
        <f aca="false">IF(COUNTIF(AB147:AG147,"Y")&gt;0,"EXCEPTION","NO EXCEPTION IDENTIFIED")</f>
        <v>NO EXCEPTION IDENTIFIED</v>
      </c>
      <c r="AI147" s="12" t="s">
        <v>156</v>
      </c>
      <c r="AJ147" s="12" t="s">
        <v>1008</v>
      </c>
    </row>
    <row r="148" customFormat="false" ht="20.85" hidden="false" customHeight="false" outlineLevel="0" collapsed="false">
      <c r="A148" s="13" t="s">
        <v>1009</v>
      </c>
      <c r="B148" s="14" t="n">
        <v>45542</v>
      </c>
      <c r="C148" s="13" t="s">
        <v>1010</v>
      </c>
      <c r="D148" s="13" t="s">
        <v>1011</v>
      </c>
      <c r="E148" s="13" t="n">
        <v>779</v>
      </c>
      <c r="F148" s="14" t="n">
        <v>45159</v>
      </c>
      <c r="G148" s="13" t="n">
        <f aca="false">B148-F148</f>
        <v>383</v>
      </c>
      <c r="H148" s="13" t="s">
        <v>1012</v>
      </c>
      <c r="I148" s="13" t="s">
        <v>1013</v>
      </c>
      <c r="J148" s="13" t="s">
        <v>204</v>
      </c>
      <c r="K148" s="13" t="s">
        <v>146</v>
      </c>
      <c r="L148" s="15" t="n">
        <v>24</v>
      </c>
      <c r="M148" s="13" t="s">
        <v>185</v>
      </c>
      <c r="N148" s="13" t="s">
        <v>186</v>
      </c>
      <c r="O148" s="13" t="s">
        <v>117</v>
      </c>
      <c r="P148" s="13" t="s">
        <v>118</v>
      </c>
      <c r="Q148" s="13" t="s">
        <v>119</v>
      </c>
      <c r="R148" s="13" t="s">
        <v>120</v>
      </c>
      <c r="S148" s="13"/>
      <c r="T148" s="14"/>
      <c r="U148" s="13"/>
      <c r="V148" s="13"/>
      <c r="W148" s="14"/>
      <c r="X148" s="13"/>
      <c r="Y148" s="13"/>
      <c r="Z148" s="15"/>
      <c r="AA148" s="15" t="n">
        <v>61</v>
      </c>
      <c r="AB148" s="13" t="str">
        <f aca="false">IF(B148&lt;F148,"Y","")</f>
        <v/>
      </c>
      <c r="AC148" s="13" t="str">
        <f aca="false">IF(O148&lt;&gt;"Y","Y","")</f>
        <v/>
      </c>
      <c r="AD148" s="13" t="str">
        <f aca="false">IF(AND(M148="declined-prior-offer",S148=""),"Y","")</f>
        <v/>
      </c>
      <c r="AE148" s="13" t="str">
        <f aca="false">IF(OR(R148&lt;&gt;"MATCH",ISNUMBER(SEARCH("conflict",Q148))),"Y","")</f>
        <v/>
      </c>
      <c r="AF148" s="13" t="str">
        <f aca="false">IF(AND(ISNUMBER(Z148),ABS(Z148-AA148)&gt;0.001),"Y","")</f>
        <v/>
      </c>
      <c r="AG148" s="13" t="str">
        <f aca="false">IF(AND(W148&lt;&gt;"",Y148&lt;&gt;"ACCEPTED"),"Y","")</f>
        <v/>
      </c>
      <c r="AH148" s="13" t="str">
        <f aca="false">IF(COUNTIF(AB148:AG148,"Y")&gt;0,"EXCEPTION","NO EXCEPTION IDENTIFIED")</f>
        <v>NO EXCEPTION IDENTIFIED</v>
      </c>
      <c r="AI148" s="16" t="s">
        <v>156</v>
      </c>
      <c r="AJ148" s="16" t="s">
        <v>1014</v>
      </c>
    </row>
    <row r="149" customFormat="false" ht="20.85" hidden="false" customHeight="false" outlineLevel="0" collapsed="false">
      <c r="A149" s="9" t="s">
        <v>1015</v>
      </c>
      <c r="B149" s="10" t="n">
        <v>45545</v>
      </c>
      <c r="C149" s="9" t="s">
        <v>1016</v>
      </c>
      <c r="D149" s="9" t="s">
        <v>1017</v>
      </c>
      <c r="E149" s="9" t="n">
        <v>2479</v>
      </c>
      <c r="F149" s="10" t="n">
        <v>45936</v>
      </c>
      <c r="G149" s="9" t="n">
        <f aca="false">B149-F149</f>
        <v>-391</v>
      </c>
      <c r="H149" s="9" t="s">
        <v>1018</v>
      </c>
      <c r="I149" s="9" t="s">
        <v>1019</v>
      </c>
      <c r="J149" s="9" t="s">
        <v>204</v>
      </c>
      <c r="K149" s="9" t="s">
        <v>146</v>
      </c>
      <c r="L149" s="11" t="n">
        <v>40</v>
      </c>
      <c r="M149" s="9" t="s">
        <v>115</v>
      </c>
      <c r="N149" s="9" t="s">
        <v>116</v>
      </c>
      <c r="O149" s="9" t="s">
        <v>117</v>
      </c>
      <c r="P149" s="9" t="s">
        <v>138</v>
      </c>
      <c r="Q149" s="9" t="s">
        <v>119</v>
      </c>
      <c r="R149" s="9" t="s">
        <v>120</v>
      </c>
      <c r="S149" s="9"/>
      <c r="T149" s="10"/>
      <c r="U149" s="9"/>
      <c r="V149" s="9"/>
      <c r="W149" s="10"/>
      <c r="X149" s="9"/>
      <c r="Y149" s="9"/>
      <c r="Z149" s="11"/>
      <c r="AA149" s="11" t="n">
        <v>25.3</v>
      </c>
      <c r="AB149" s="9" t="str">
        <f aca="false">IF(B149&lt;F149,"Y","")</f>
        <v>Y</v>
      </c>
      <c r="AC149" s="9" t="str">
        <f aca="false">IF(O149&lt;&gt;"Y","Y","")</f>
        <v/>
      </c>
      <c r="AD149" s="9" t="str">
        <f aca="false">IF(AND(M149="declined-prior-offer",S149=""),"Y","")</f>
        <v/>
      </c>
      <c r="AE149" s="9" t="str">
        <f aca="false">IF(OR(R149&lt;&gt;"MATCH",ISNUMBER(SEARCH("conflict",Q149))),"Y","")</f>
        <v/>
      </c>
      <c r="AF149" s="9" t="str">
        <f aca="false">IF(AND(ISNUMBER(Z149),ABS(Z149-AA149)&gt;0.001),"Y","")</f>
        <v/>
      </c>
      <c r="AG149" s="9" t="str">
        <f aca="false">IF(AND(W149&lt;&gt;"",Y149&lt;&gt;"ACCEPTED"),"Y","")</f>
        <v/>
      </c>
      <c r="AH149" s="9" t="str">
        <f aca="false">IF(COUNTIF(AB149:AG149,"Y")&gt;0,"EXCEPTION","NO EXCEPTION IDENTIFIED")</f>
        <v>EXCEPTION</v>
      </c>
      <c r="AI149" s="12" t="s">
        <v>121</v>
      </c>
      <c r="AJ149" s="12" t="s">
        <v>1020</v>
      </c>
    </row>
    <row r="150" customFormat="false" ht="20.85" hidden="false" customHeight="false" outlineLevel="0" collapsed="false">
      <c r="A150" s="13" t="s">
        <v>1021</v>
      </c>
      <c r="B150" s="14" t="n">
        <v>45545</v>
      </c>
      <c r="C150" s="13" t="s">
        <v>1022</v>
      </c>
      <c r="D150" s="13" t="s">
        <v>1023</v>
      </c>
      <c r="E150" s="13" t="n">
        <v>1336</v>
      </c>
      <c r="F150" s="14" t="n">
        <v>45422</v>
      </c>
      <c r="G150" s="13" t="n">
        <f aca="false">B150-F150</f>
        <v>123</v>
      </c>
      <c r="H150" s="13" t="s">
        <v>1024</v>
      </c>
      <c r="I150" s="13" t="s">
        <v>1025</v>
      </c>
      <c r="J150" s="13" t="s">
        <v>135</v>
      </c>
      <c r="K150" s="13" t="s">
        <v>114</v>
      </c>
      <c r="L150" s="15" t="n">
        <v>28</v>
      </c>
      <c r="M150" s="13" t="s">
        <v>136</v>
      </c>
      <c r="N150" s="13" t="s">
        <v>137</v>
      </c>
      <c r="O150" s="13" t="s">
        <v>117</v>
      </c>
      <c r="P150" s="13" t="s">
        <v>138</v>
      </c>
      <c r="Q150" s="13" t="s">
        <v>119</v>
      </c>
      <c r="R150" s="13" t="s">
        <v>120</v>
      </c>
      <c r="S150" s="13"/>
      <c r="T150" s="14"/>
      <c r="U150" s="13"/>
      <c r="V150" s="13"/>
      <c r="W150" s="14"/>
      <c r="X150" s="13"/>
      <c r="Y150" s="13"/>
      <c r="Z150" s="15"/>
      <c r="AA150" s="15" t="n">
        <v>46.3</v>
      </c>
      <c r="AB150" s="13" t="str">
        <f aca="false">IF(B150&lt;F150,"Y","")</f>
        <v/>
      </c>
      <c r="AC150" s="13" t="str">
        <f aca="false">IF(O150&lt;&gt;"Y","Y","")</f>
        <v/>
      </c>
      <c r="AD150" s="13" t="str">
        <f aca="false">IF(AND(M150="declined-prior-offer",S150=""),"Y","")</f>
        <v/>
      </c>
      <c r="AE150" s="13" t="str">
        <f aca="false">IF(OR(R150&lt;&gt;"MATCH",ISNUMBER(SEARCH("conflict",Q150))),"Y","")</f>
        <v/>
      </c>
      <c r="AF150" s="13" t="str">
        <f aca="false">IF(AND(ISNUMBER(Z150),ABS(Z150-AA150)&gt;0.001),"Y","")</f>
        <v/>
      </c>
      <c r="AG150" s="13" t="str">
        <f aca="false">IF(AND(W150&lt;&gt;"",Y150&lt;&gt;"ACCEPTED"),"Y","")</f>
        <v/>
      </c>
      <c r="AH150" s="13" t="str">
        <f aca="false">IF(COUNTIF(AB150:AG150,"Y")&gt;0,"EXCEPTION","NO EXCEPTION IDENTIFIED")</f>
        <v>NO EXCEPTION IDENTIFIED</v>
      </c>
      <c r="AI150" s="16" t="s">
        <v>156</v>
      </c>
      <c r="AJ150" s="16" t="s">
        <v>1026</v>
      </c>
    </row>
    <row r="151" customFormat="false" ht="20.85" hidden="false" customHeight="false" outlineLevel="0" collapsed="false">
      <c r="A151" s="9" t="s">
        <v>1027</v>
      </c>
      <c r="B151" s="10" t="n">
        <v>45546</v>
      </c>
      <c r="C151" s="9" t="s">
        <v>1028</v>
      </c>
      <c r="D151" s="9" t="s">
        <v>1029</v>
      </c>
      <c r="E151" s="9" t="n">
        <v>2062</v>
      </c>
      <c r="F151" s="10" t="n">
        <v>45739</v>
      </c>
      <c r="G151" s="9" t="n">
        <f aca="false">B151-F151</f>
        <v>-193</v>
      </c>
      <c r="H151" s="9" t="s">
        <v>1030</v>
      </c>
      <c r="I151" s="9" t="s">
        <v>1031</v>
      </c>
      <c r="J151" s="9" t="s">
        <v>113</v>
      </c>
      <c r="K151" s="9" t="s">
        <v>114</v>
      </c>
      <c r="L151" s="11" t="n">
        <v>32</v>
      </c>
      <c r="M151" s="9" t="s">
        <v>169</v>
      </c>
      <c r="N151" s="9" t="s">
        <v>170</v>
      </c>
      <c r="O151" s="9" t="s">
        <v>117</v>
      </c>
      <c r="P151" s="9" t="s">
        <v>138</v>
      </c>
      <c r="Q151" s="9" t="s">
        <v>119</v>
      </c>
      <c r="R151" s="9" t="s">
        <v>120</v>
      </c>
      <c r="S151" s="9"/>
      <c r="T151" s="10"/>
      <c r="U151" s="9"/>
      <c r="V151" s="9"/>
      <c r="W151" s="10"/>
      <c r="X151" s="9"/>
      <c r="Y151" s="9"/>
      <c r="Z151" s="11"/>
      <c r="AA151" s="11" t="n">
        <v>47</v>
      </c>
      <c r="AB151" s="9" t="str">
        <f aca="false">IF(B151&lt;F151,"Y","")</f>
        <v>Y</v>
      </c>
      <c r="AC151" s="9" t="str">
        <f aca="false">IF(O151&lt;&gt;"Y","Y","")</f>
        <v/>
      </c>
      <c r="AD151" s="9" t="str">
        <f aca="false">IF(AND(M151="declined-prior-offer",S151=""),"Y","")</f>
        <v>Y</v>
      </c>
      <c r="AE151" s="9" t="str">
        <f aca="false">IF(OR(R151&lt;&gt;"MATCH",ISNUMBER(SEARCH("conflict",Q151))),"Y","")</f>
        <v/>
      </c>
      <c r="AF151" s="9" t="str">
        <f aca="false">IF(AND(ISNUMBER(Z151),ABS(Z151-AA151)&gt;0.001),"Y","")</f>
        <v/>
      </c>
      <c r="AG151" s="9" t="str">
        <f aca="false">IF(AND(W151&lt;&gt;"",Y151&lt;&gt;"ACCEPTED"),"Y","")</f>
        <v/>
      </c>
      <c r="AH151" s="9" t="str">
        <f aca="false">IF(COUNTIF(AB151:AG151,"Y")&gt;0,"EXCEPTION","NO EXCEPTION IDENTIFIED")</f>
        <v>EXCEPTION</v>
      </c>
      <c r="AI151" s="12" t="s">
        <v>171</v>
      </c>
      <c r="AJ151" s="12" t="s">
        <v>1032</v>
      </c>
    </row>
    <row r="152" customFormat="false" ht="20.85" hidden="false" customHeight="false" outlineLevel="0" collapsed="false">
      <c r="A152" s="13" t="s">
        <v>1033</v>
      </c>
      <c r="B152" s="14" t="n">
        <v>45549</v>
      </c>
      <c r="C152" s="13" t="s">
        <v>1034</v>
      </c>
      <c r="D152" s="13" t="s">
        <v>1035</v>
      </c>
      <c r="E152" s="13" t="n">
        <v>1574</v>
      </c>
      <c r="F152" s="14" t="n">
        <v>45533</v>
      </c>
      <c r="G152" s="13" t="n">
        <f aca="false">B152-F152</f>
        <v>16</v>
      </c>
      <c r="H152" s="13" t="s">
        <v>1036</v>
      </c>
      <c r="I152" s="13" t="s">
        <v>766</v>
      </c>
      <c r="J152" s="13" t="s">
        <v>204</v>
      </c>
      <c r="K152" s="13" t="s">
        <v>146</v>
      </c>
      <c r="L152" s="15" t="n">
        <v>24</v>
      </c>
      <c r="M152" s="13" t="s">
        <v>136</v>
      </c>
      <c r="N152" s="13" t="s">
        <v>137</v>
      </c>
      <c r="O152" s="13" t="s">
        <v>117</v>
      </c>
      <c r="P152" s="13" t="s">
        <v>128</v>
      </c>
      <c r="Q152" s="13" t="s">
        <v>119</v>
      </c>
      <c r="R152" s="13" t="s">
        <v>120</v>
      </c>
      <c r="S152" s="13"/>
      <c r="T152" s="14"/>
      <c r="U152" s="13"/>
      <c r="V152" s="13"/>
      <c r="W152" s="14"/>
      <c r="X152" s="13"/>
      <c r="Y152" s="13"/>
      <c r="Z152" s="15"/>
      <c r="AA152" s="15" t="n">
        <v>26.3</v>
      </c>
      <c r="AB152" s="13" t="str">
        <f aca="false">IF(B152&lt;F152,"Y","")</f>
        <v/>
      </c>
      <c r="AC152" s="13" t="str">
        <f aca="false">IF(O152&lt;&gt;"Y","Y","")</f>
        <v/>
      </c>
      <c r="AD152" s="13" t="str">
        <f aca="false">IF(AND(M152="declined-prior-offer",S152=""),"Y","")</f>
        <v/>
      </c>
      <c r="AE152" s="13" t="str">
        <f aca="false">IF(OR(R152&lt;&gt;"MATCH",ISNUMBER(SEARCH("conflict",Q152))),"Y","")</f>
        <v/>
      </c>
      <c r="AF152" s="13" t="str">
        <f aca="false">IF(AND(ISNUMBER(Z152),ABS(Z152-AA152)&gt;0.001),"Y","")</f>
        <v/>
      </c>
      <c r="AG152" s="13" t="str">
        <f aca="false">IF(AND(W152&lt;&gt;"",Y152&lt;&gt;"ACCEPTED"),"Y","")</f>
        <v/>
      </c>
      <c r="AH152" s="13" t="str">
        <f aca="false">IF(COUNTIF(AB152:AG152,"Y")&gt;0,"EXCEPTION","NO EXCEPTION IDENTIFIED")</f>
        <v>NO EXCEPTION IDENTIFIED</v>
      </c>
      <c r="AI152" s="16" t="s">
        <v>156</v>
      </c>
      <c r="AJ152" s="16" t="s">
        <v>1037</v>
      </c>
    </row>
    <row r="153" customFormat="false" ht="20.85" hidden="false" customHeight="false" outlineLevel="0" collapsed="false">
      <c r="A153" s="9" t="s">
        <v>1038</v>
      </c>
      <c r="B153" s="10" t="n">
        <v>45560</v>
      </c>
      <c r="C153" s="9" t="s">
        <v>1039</v>
      </c>
      <c r="D153" s="9" t="s">
        <v>1040</v>
      </c>
      <c r="E153" s="9" t="n">
        <v>718</v>
      </c>
      <c r="F153" s="10" t="n">
        <v>45125</v>
      </c>
      <c r="G153" s="9" t="n">
        <f aca="false">B153-F153</f>
        <v>435</v>
      </c>
      <c r="H153" s="9" t="s">
        <v>1041</v>
      </c>
      <c r="I153" s="9" t="s">
        <v>1042</v>
      </c>
      <c r="J153" s="9" t="s">
        <v>204</v>
      </c>
      <c r="K153" s="9" t="s">
        <v>146</v>
      </c>
      <c r="L153" s="11" t="n">
        <v>36</v>
      </c>
      <c r="M153" s="9" t="s">
        <v>169</v>
      </c>
      <c r="N153" s="9" t="s">
        <v>170</v>
      </c>
      <c r="O153" s="9" t="s">
        <v>117</v>
      </c>
      <c r="P153" s="9" t="s">
        <v>178</v>
      </c>
      <c r="Q153" s="9" t="s">
        <v>119</v>
      </c>
      <c r="R153" s="9" t="s">
        <v>120</v>
      </c>
      <c r="S153" s="9"/>
      <c r="T153" s="10"/>
      <c r="U153" s="9"/>
      <c r="V153" s="9"/>
      <c r="W153" s="10"/>
      <c r="X153" s="9"/>
      <c r="Y153" s="9"/>
      <c r="Z153" s="11"/>
      <c r="AA153" s="11" t="n">
        <v>20.6</v>
      </c>
      <c r="AB153" s="9" t="str">
        <f aca="false">IF(B153&lt;F153,"Y","")</f>
        <v/>
      </c>
      <c r="AC153" s="9" t="str">
        <f aca="false">IF(O153&lt;&gt;"Y","Y","")</f>
        <v/>
      </c>
      <c r="AD153" s="9" t="str">
        <f aca="false">IF(AND(M153="declined-prior-offer",S153=""),"Y","")</f>
        <v>Y</v>
      </c>
      <c r="AE153" s="9" t="str">
        <f aca="false">IF(OR(R153&lt;&gt;"MATCH",ISNUMBER(SEARCH("conflict",Q153))),"Y","")</f>
        <v/>
      </c>
      <c r="AF153" s="9" t="str">
        <f aca="false">IF(AND(ISNUMBER(Z153),ABS(Z153-AA153)&gt;0.001),"Y","")</f>
        <v/>
      </c>
      <c r="AG153" s="9" t="str">
        <f aca="false">IF(AND(W153&lt;&gt;"",Y153&lt;&gt;"ACCEPTED"),"Y","")</f>
        <v/>
      </c>
      <c r="AH153" s="9" t="str">
        <f aca="false">IF(COUNTIF(AB153:AG153,"Y")&gt;0,"EXCEPTION","NO EXCEPTION IDENTIFIED")</f>
        <v>EXCEPTION</v>
      </c>
      <c r="AI153" s="12" t="s">
        <v>229</v>
      </c>
      <c r="AJ153" s="12" t="s">
        <v>1043</v>
      </c>
    </row>
    <row r="154" customFormat="false" ht="20.85" hidden="false" customHeight="false" outlineLevel="0" collapsed="false">
      <c r="A154" s="13" t="s">
        <v>1044</v>
      </c>
      <c r="B154" s="14" t="n">
        <v>45580</v>
      </c>
      <c r="C154" s="13" t="s">
        <v>1045</v>
      </c>
      <c r="D154" s="13" t="s">
        <v>1046</v>
      </c>
      <c r="E154" s="13" t="n">
        <v>269</v>
      </c>
      <c r="F154" s="14" t="n">
        <v>44859</v>
      </c>
      <c r="G154" s="13" t="n">
        <f aca="false">B154-F154</f>
        <v>721</v>
      </c>
      <c r="H154" s="13" t="s">
        <v>1047</v>
      </c>
      <c r="I154" s="13" t="s">
        <v>1048</v>
      </c>
      <c r="J154" s="13" t="s">
        <v>135</v>
      </c>
      <c r="K154" s="13" t="s">
        <v>114</v>
      </c>
      <c r="L154" s="15" t="n">
        <v>28</v>
      </c>
      <c r="M154" s="13" t="s">
        <v>115</v>
      </c>
      <c r="N154" s="13" t="s">
        <v>116</v>
      </c>
      <c r="O154" s="13" t="s">
        <v>117</v>
      </c>
      <c r="P154" s="13" t="s">
        <v>138</v>
      </c>
      <c r="Q154" s="13" t="s">
        <v>119</v>
      </c>
      <c r="R154" s="13" t="s">
        <v>120</v>
      </c>
      <c r="S154" s="13"/>
      <c r="T154" s="14"/>
      <c r="U154" s="13"/>
      <c r="V154" s="13"/>
      <c r="W154" s="14"/>
      <c r="X154" s="13"/>
      <c r="Y154" s="13"/>
      <c r="Z154" s="15"/>
      <c r="AA154" s="15" t="n">
        <v>46.7</v>
      </c>
      <c r="AB154" s="13" t="str">
        <f aca="false">IF(B154&lt;F154,"Y","")</f>
        <v/>
      </c>
      <c r="AC154" s="13" t="str">
        <f aca="false">IF(O154&lt;&gt;"Y","Y","")</f>
        <v/>
      </c>
      <c r="AD154" s="13" t="str">
        <f aca="false">IF(AND(M154="declined-prior-offer",S154=""),"Y","")</f>
        <v/>
      </c>
      <c r="AE154" s="13" t="str">
        <f aca="false">IF(OR(R154&lt;&gt;"MATCH",ISNUMBER(SEARCH("conflict",Q154))),"Y","")</f>
        <v/>
      </c>
      <c r="AF154" s="13" t="str">
        <f aca="false">IF(AND(ISNUMBER(Z154),ABS(Z154-AA154)&gt;0.001),"Y","")</f>
        <v/>
      </c>
      <c r="AG154" s="13" t="str">
        <f aca="false">IF(AND(W154&lt;&gt;"",Y154&lt;&gt;"ACCEPTED"),"Y","")</f>
        <v/>
      </c>
      <c r="AH154" s="13" t="str">
        <f aca="false">IF(COUNTIF(AB154:AG154,"Y")&gt;0,"EXCEPTION","NO EXCEPTION IDENTIFIED")</f>
        <v>NO EXCEPTION IDENTIFIED</v>
      </c>
      <c r="AI154" s="16" t="s">
        <v>156</v>
      </c>
      <c r="AJ154" s="16" t="s">
        <v>1049</v>
      </c>
    </row>
    <row r="155" customFormat="false" ht="20.85" hidden="false" customHeight="false" outlineLevel="0" collapsed="false">
      <c r="A155" s="9" t="s">
        <v>1050</v>
      </c>
      <c r="B155" s="10" t="n">
        <v>45585</v>
      </c>
      <c r="C155" s="9" t="s">
        <v>1051</v>
      </c>
      <c r="D155" s="9" t="s">
        <v>1052</v>
      </c>
      <c r="E155" s="9" t="n">
        <v>2733</v>
      </c>
      <c r="F155" s="10" t="n">
        <v>46081</v>
      </c>
      <c r="G155" s="9" t="n">
        <f aca="false">B155-F155</f>
        <v>-496</v>
      </c>
      <c r="H155" s="9" t="s">
        <v>1053</v>
      </c>
      <c r="I155" s="9" t="s">
        <v>1054</v>
      </c>
      <c r="J155" s="9" t="s">
        <v>155</v>
      </c>
      <c r="K155" s="9" t="s">
        <v>146</v>
      </c>
      <c r="L155" s="11" t="n">
        <v>70</v>
      </c>
      <c r="M155" s="9" t="s">
        <v>115</v>
      </c>
      <c r="N155" s="9" t="s">
        <v>116</v>
      </c>
      <c r="O155" s="9" t="s">
        <v>117</v>
      </c>
      <c r="P155" s="9" t="s">
        <v>138</v>
      </c>
      <c r="Q155" s="9" t="s">
        <v>119</v>
      </c>
      <c r="R155" s="9" t="s">
        <v>120</v>
      </c>
      <c r="S155" s="9"/>
      <c r="T155" s="10"/>
      <c r="U155" s="9"/>
      <c r="V155" s="9"/>
      <c r="W155" s="10"/>
      <c r="X155" s="9"/>
      <c r="Y155" s="9"/>
      <c r="Z155" s="11"/>
      <c r="AA155" s="11" t="n">
        <v>37</v>
      </c>
      <c r="AB155" s="9" t="str">
        <f aca="false">IF(B155&lt;F155,"Y","")</f>
        <v>Y</v>
      </c>
      <c r="AC155" s="9" t="str">
        <f aca="false">IF(O155&lt;&gt;"Y","Y","")</f>
        <v/>
      </c>
      <c r="AD155" s="9" t="str">
        <f aca="false">IF(AND(M155="declined-prior-offer",S155=""),"Y","")</f>
        <v/>
      </c>
      <c r="AE155" s="9" t="str">
        <f aca="false">IF(OR(R155&lt;&gt;"MATCH",ISNUMBER(SEARCH("conflict",Q155))),"Y","")</f>
        <v/>
      </c>
      <c r="AF155" s="9" t="str">
        <f aca="false">IF(AND(ISNUMBER(Z155),ABS(Z155-AA155)&gt;0.001),"Y","")</f>
        <v/>
      </c>
      <c r="AG155" s="9" t="str">
        <f aca="false">IF(AND(W155&lt;&gt;"",Y155&lt;&gt;"ACCEPTED"),"Y","")</f>
        <v/>
      </c>
      <c r="AH155" s="9" t="str">
        <f aca="false">IF(COUNTIF(AB155:AG155,"Y")&gt;0,"EXCEPTION","NO EXCEPTION IDENTIFIED")</f>
        <v>EXCEPTION</v>
      </c>
      <c r="AI155" s="12" t="s">
        <v>121</v>
      </c>
      <c r="AJ155" s="12" t="s">
        <v>1055</v>
      </c>
    </row>
    <row r="156" customFormat="false" ht="20.85" hidden="false" customHeight="false" outlineLevel="0" collapsed="false">
      <c r="A156" s="13" t="s">
        <v>1056</v>
      </c>
      <c r="B156" s="14" t="n">
        <v>45586</v>
      </c>
      <c r="C156" s="13" t="s">
        <v>1057</v>
      </c>
      <c r="D156" s="13" t="s">
        <v>1058</v>
      </c>
      <c r="E156" s="13" t="n">
        <v>2831</v>
      </c>
      <c r="F156" s="14" t="n">
        <v>46151</v>
      </c>
      <c r="G156" s="13" t="n">
        <f aca="false">B156-F156</f>
        <v>-565</v>
      </c>
      <c r="H156" s="13" t="s">
        <v>1059</v>
      </c>
      <c r="I156" s="13" t="s">
        <v>1060</v>
      </c>
      <c r="J156" s="13" t="s">
        <v>145</v>
      </c>
      <c r="K156" s="13" t="s">
        <v>146</v>
      </c>
      <c r="L156" s="15" t="n">
        <v>32</v>
      </c>
      <c r="M156" s="13" t="s">
        <v>136</v>
      </c>
      <c r="N156" s="13" t="s">
        <v>137</v>
      </c>
      <c r="O156" s="13" t="s">
        <v>117</v>
      </c>
      <c r="P156" s="13" t="s">
        <v>118</v>
      </c>
      <c r="Q156" s="13" t="s">
        <v>119</v>
      </c>
      <c r="R156" s="13" t="s">
        <v>120</v>
      </c>
      <c r="S156" s="13"/>
      <c r="T156" s="14"/>
      <c r="U156" s="13"/>
      <c r="V156" s="13"/>
      <c r="W156" s="14"/>
      <c r="X156" s="13"/>
      <c r="Y156" s="13"/>
      <c r="Z156" s="15"/>
      <c r="AA156" s="15" t="n">
        <v>21</v>
      </c>
      <c r="AB156" s="13" t="str">
        <f aca="false">IF(B156&lt;F156,"Y","")</f>
        <v>Y</v>
      </c>
      <c r="AC156" s="13" t="str">
        <f aca="false">IF(O156&lt;&gt;"Y","Y","")</f>
        <v/>
      </c>
      <c r="AD156" s="13" t="str">
        <f aca="false">IF(AND(M156="declined-prior-offer",S156=""),"Y","")</f>
        <v/>
      </c>
      <c r="AE156" s="13" t="str">
        <f aca="false">IF(OR(R156&lt;&gt;"MATCH",ISNUMBER(SEARCH("conflict",Q156))),"Y","")</f>
        <v/>
      </c>
      <c r="AF156" s="13" t="str">
        <f aca="false">IF(AND(ISNUMBER(Z156),ABS(Z156-AA156)&gt;0.001),"Y","")</f>
        <v/>
      </c>
      <c r="AG156" s="13" t="str">
        <f aca="false">IF(AND(W156&lt;&gt;"",Y156&lt;&gt;"ACCEPTED"),"Y","")</f>
        <v/>
      </c>
      <c r="AH156" s="13" t="str">
        <f aca="false">IF(COUNTIF(AB156:AG156,"Y")&gt;0,"EXCEPTION","NO EXCEPTION IDENTIFIED")</f>
        <v>EXCEPTION</v>
      </c>
      <c r="AI156" s="16" t="s">
        <v>121</v>
      </c>
      <c r="AJ156" s="16" t="s">
        <v>1061</v>
      </c>
    </row>
    <row r="157" customFormat="false" ht="20.85" hidden="false" customHeight="false" outlineLevel="0" collapsed="false">
      <c r="A157" s="9" t="s">
        <v>1062</v>
      </c>
      <c r="B157" s="10" t="n">
        <v>45586</v>
      </c>
      <c r="C157" s="9" t="s">
        <v>1063</v>
      </c>
      <c r="D157" s="9" t="s">
        <v>1064</v>
      </c>
      <c r="E157" s="9" t="n">
        <v>264</v>
      </c>
      <c r="F157" s="10" t="n">
        <v>44856</v>
      </c>
      <c r="G157" s="9" t="n">
        <f aca="false">B157-F157</f>
        <v>730</v>
      </c>
      <c r="H157" s="9" t="s">
        <v>1065</v>
      </c>
      <c r="I157" s="9" t="s">
        <v>1066</v>
      </c>
      <c r="J157" s="9" t="s">
        <v>135</v>
      </c>
      <c r="K157" s="9" t="s">
        <v>114</v>
      </c>
      <c r="L157" s="11" t="n">
        <v>28</v>
      </c>
      <c r="M157" s="9" t="s">
        <v>185</v>
      </c>
      <c r="N157" s="9" t="s">
        <v>186</v>
      </c>
      <c r="O157" s="9" t="s">
        <v>117</v>
      </c>
      <c r="P157" s="9" t="s">
        <v>128</v>
      </c>
      <c r="Q157" s="9" t="s">
        <v>119</v>
      </c>
      <c r="R157" s="9" t="s">
        <v>120</v>
      </c>
      <c r="S157" s="9"/>
      <c r="T157" s="10"/>
      <c r="U157" s="9"/>
      <c r="V157" s="9"/>
      <c r="W157" s="10"/>
      <c r="X157" s="9"/>
      <c r="Y157" s="9"/>
      <c r="Z157" s="11"/>
      <c r="AA157" s="11" t="n">
        <v>51.6</v>
      </c>
      <c r="AB157" s="9" t="str">
        <f aca="false">IF(B157&lt;F157,"Y","")</f>
        <v/>
      </c>
      <c r="AC157" s="9" t="str">
        <f aca="false">IF(O157&lt;&gt;"Y","Y","")</f>
        <v/>
      </c>
      <c r="AD157" s="9" t="str">
        <f aca="false">IF(AND(M157="declined-prior-offer",S157=""),"Y","")</f>
        <v/>
      </c>
      <c r="AE157" s="9" t="str">
        <f aca="false">IF(OR(R157&lt;&gt;"MATCH",ISNUMBER(SEARCH("conflict",Q157))),"Y","")</f>
        <v/>
      </c>
      <c r="AF157" s="9" t="str">
        <f aca="false">IF(AND(ISNUMBER(Z157),ABS(Z157-AA157)&gt;0.001),"Y","")</f>
        <v/>
      </c>
      <c r="AG157" s="9" t="str">
        <f aca="false">IF(AND(W157&lt;&gt;"",Y157&lt;&gt;"ACCEPTED"),"Y","")</f>
        <v/>
      </c>
      <c r="AH157" s="9" t="str">
        <f aca="false">IF(COUNTIF(AB157:AG157,"Y")&gt;0,"EXCEPTION","NO EXCEPTION IDENTIFIED")</f>
        <v>NO EXCEPTION IDENTIFIED</v>
      </c>
      <c r="AI157" s="12" t="s">
        <v>156</v>
      </c>
      <c r="AJ157" s="12" t="s">
        <v>1067</v>
      </c>
    </row>
    <row r="158" customFormat="false" ht="20.85" hidden="false" customHeight="false" outlineLevel="0" collapsed="false">
      <c r="A158" s="13" t="s">
        <v>1068</v>
      </c>
      <c r="B158" s="14" t="n">
        <v>45590</v>
      </c>
      <c r="C158" s="13" t="s">
        <v>1069</v>
      </c>
      <c r="D158" s="13" t="s">
        <v>1070</v>
      </c>
      <c r="E158" s="13" t="n">
        <v>2708</v>
      </c>
      <c r="F158" s="14" t="n">
        <v>46062</v>
      </c>
      <c r="G158" s="13" t="n">
        <f aca="false">B158-F158</f>
        <v>-472</v>
      </c>
      <c r="H158" s="13" t="s">
        <v>1071</v>
      </c>
      <c r="I158" s="13" t="s">
        <v>1072</v>
      </c>
      <c r="J158" s="13" t="s">
        <v>155</v>
      </c>
      <c r="K158" s="13" t="s">
        <v>146</v>
      </c>
      <c r="L158" s="15" t="n">
        <v>28</v>
      </c>
      <c r="M158" s="13" t="s">
        <v>136</v>
      </c>
      <c r="N158" s="13" t="s">
        <v>137</v>
      </c>
      <c r="O158" s="13" t="s">
        <v>117</v>
      </c>
      <c r="P158" s="13" t="s">
        <v>128</v>
      </c>
      <c r="Q158" s="13" t="s">
        <v>119</v>
      </c>
      <c r="R158" s="13" t="s">
        <v>120</v>
      </c>
      <c r="S158" s="13"/>
      <c r="T158" s="14"/>
      <c r="U158" s="13"/>
      <c r="V158" s="13"/>
      <c r="W158" s="14"/>
      <c r="X158" s="13"/>
      <c r="Y158" s="13"/>
      <c r="Z158" s="15"/>
      <c r="AA158" s="15" t="n">
        <v>61</v>
      </c>
      <c r="AB158" s="13" t="str">
        <f aca="false">IF(B158&lt;F158,"Y","")</f>
        <v>Y</v>
      </c>
      <c r="AC158" s="13" t="str">
        <f aca="false">IF(O158&lt;&gt;"Y","Y","")</f>
        <v/>
      </c>
      <c r="AD158" s="13" t="str">
        <f aca="false">IF(AND(M158="declined-prior-offer",S158=""),"Y","")</f>
        <v/>
      </c>
      <c r="AE158" s="13" t="str">
        <f aca="false">IF(OR(R158&lt;&gt;"MATCH",ISNUMBER(SEARCH("conflict",Q158))),"Y","")</f>
        <v/>
      </c>
      <c r="AF158" s="13" t="str">
        <f aca="false">IF(AND(ISNUMBER(Z158),ABS(Z158-AA158)&gt;0.001),"Y","")</f>
        <v/>
      </c>
      <c r="AG158" s="13" t="str">
        <f aca="false">IF(AND(W158&lt;&gt;"",Y158&lt;&gt;"ACCEPTED"),"Y","")</f>
        <v/>
      </c>
      <c r="AH158" s="13" t="str">
        <f aca="false">IF(COUNTIF(AB158:AG158,"Y")&gt;0,"EXCEPTION","NO EXCEPTION IDENTIFIED")</f>
        <v>EXCEPTION</v>
      </c>
      <c r="AI158" s="16" t="s">
        <v>121</v>
      </c>
      <c r="AJ158" s="16" t="s">
        <v>1073</v>
      </c>
    </row>
    <row r="159" customFormat="false" ht="20.85" hidden="false" customHeight="false" outlineLevel="0" collapsed="false">
      <c r="A159" s="9" t="s">
        <v>1074</v>
      </c>
      <c r="B159" s="10" t="n">
        <v>45591</v>
      </c>
      <c r="C159" s="9" t="s">
        <v>1075</v>
      </c>
      <c r="D159" s="9" t="s">
        <v>1076</v>
      </c>
      <c r="E159" s="9" t="n">
        <v>26</v>
      </c>
      <c r="F159" s="10" t="n">
        <v>44633</v>
      </c>
      <c r="G159" s="9" t="n">
        <f aca="false">B159-F159</f>
        <v>958</v>
      </c>
      <c r="H159" s="9" t="s">
        <v>1077</v>
      </c>
      <c r="I159" s="9" t="s">
        <v>1078</v>
      </c>
      <c r="J159" s="9" t="s">
        <v>204</v>
      </c>
      <c r="K159" s="9" t="s">
        <v>146</v>
      </c>
      <c r="L159" s="11" t="n">
        <v>28</v>
      </c>
      <c r="M159" s="9" t="s">
        <v>169</v>
      </c>
      <c r="N159" s="9" t="s">
        <v>170</v>
      </c>
      <c r="O159" s="9" t="s">
        <v>117</v>
      </c>
      <c r="P159" s="9" t="s">
        <v>128</v>
      </c>
      <c r="Q159" s="9" t="s">
        <v>119</v>
      </c>
      <c r="R159" s="9" t="s">
        <v>120</v>
      </c>
      <c r="S159" s="9"/>
      <c r="T159" s="10"/>
      <c r="U159" s="9"/>
      <c r="V159" s="9"/>
      <c r="W159" s="10"/>
      <c r="X159" s="9"/>
      <c r="Y159" s="9"/>
      <c r="Z159" s="11"/>
      <c r="AA159" s="11" t="n">
        <v>53.1</v>
      </c>
      <c r="AB159" s="9" t="str">
        <f aca="false">IF(B159&lt;F159,"Y","")</f>
        <v/>
      </c>
      <c r="AC159" s="9" t="str">
        <f aca="false">IF(O159&lt;&gt;"Y","Y","")</f>
        <v/>
      </c>
      <c r="AD159" s="9" t="str">
        <f aca="false">IF(AND(M159="declined-prior-offer",S159=""),"Y","")</f>
        <v>Y</v>
      </c>
      <c r="AE159" s="9" t="str">
        <f aca="false">IF(OR(R159&lt;&gt;"MATCH",ISNUMBER(SEARCH("conflict",Q159))),"Y","")</f>
        <v/>
      </c>
      <c r="AF159" s="9" t="str">
        <f aca="false">IF(AND(ISNUMBER(Z159),ABS(Z159-AA159)&gt;0.001),"Y","")</f>
        <v/>
      </c>
      <c r="AG159" s="9" t="str">
        <f aca="false">IF(AND(W159&lt;&gt;"",Y159&lt;&gt;"ACCEPTED"),"Y","")</f>
        <v/>
      </c>
      <c r="AH159" s="9" t="str">
        <f aca="false">IF(COUNTIF(AB159:AG159,"Y")&gt;0,"EXCEPTION","NO EXCEPTION IDENTIFIED")</f>
        <v>EXCEPTION</v>
      </c>
      <c r="AI159" s="12" t="s">
        <v>229</v>
      </c>
      <c r="AJ159" s="12" t="s">
        <v>1079</v>
      </c>
    </row>
    <row r="160" customFormat="false" ht="20.85" hidden="false" customHeight="false" outlineLevel="0" collapsed="false">
      <c r="A160" s="13" t="s">
        <v>1080</v>
      </c>
      <c r="B160" s="14" t="n">
        <v>45592</v>
      </c>
      <c r="C160" s="13" t="s">
        <v>1081</v>
      </c>
      <c r="D160" s="13" t="s">
        <v>1082</v>
      </c>
      <c r="E160" s="13" t="n">
        <v>2808</v>
      </c>
      <c r="F160" s="14" t="n">
        <v>46136</v>
      </c>
      <c r="G160" s="13" t="n">
        <f aca="false">B160-F160</f>
        <v>-544</v>
      </c>
      <c r="H160" s="13" t="s">
        <v>1083</v>
      </c>
      <c r="I160" s="13" t="s">
        <v>1084</v>
      </c>
      <c r="J160" s="13" t="s">
        <v>135</v>
      </c>
      <c r="K160" s="13" t="s">
        <v>114</v>
      </c>
      <c r="L160" s="15" t="n">
        <v>24</v>
      </c>
      <c r="M160" s="13" t="s">
        <v>169</v>
      </c>
      <c r="N160" s="13" t="s">
        <v>170</v>
      </c>
      <c r="O160" s="13" t="s">
        <v>117</v>
      </c>
      <c r="P160" s="13" t="s">
        <v>138</v>
      </c>
      <c r="Q160" s="13" t="s">
        <v>119</v>
      </c>
      <c r="R160" s="13" t="s">
        <v>120</v>
      </c>
      <c r="S160" s="13"/>
      <c r="T160" s="14"/>
      <c r="U160" s="13"/>
      <c r="V160" s="13"/>
      <c r="W160" s="14"/>
      <c r="X160" s="13"/>
      <c r="Y160" s="13"/>
      <c r="Z160" s="15"/>
      <c r="AA160" s="15" t="n">
        <v>33.8</v>
      </c>
      <c r="AB160" s="13" t="str">
        <f aca="false">IF(B160&lt;F160,"Y","")</f>
        <v>Y</v>
      </c>
      <c r="AC160" s="13" t="str">
        <f aca="false">IF(O160&lt;&gt;"Y","Y","")</f>
        <v/>
      </c>
      <c r="AD160" s="13" t="str">
        <f aca="false">IF(AND(M160="declined-prior-offer",S160=""),"Y","")</f>
        <v>Y</v>
      </c>
      <c r="AE160" s="13" t="str">
        <f aca="false">IF(OR(R160&lt;&gt;"MATCH",ISNUMBER(SEARCH("conflict",Q160))),"Y","")</f>
        <v/>
      </c>
      <c r="AF160" s="13" t="str">
        <f aca="false">IF(AND(ISNUMBER(Z160),ABS(Z160-AA160)&gt;0.001),"Y","")</f>
        <v/>
      </c>
      <c r="AG160" s="13" t="str">
        <f aca="false">IF(AND(W160&lt;&gt;"",Y160&lt;&gt;"ACCEPTED"),"Y","")</f>
        <v/>
      </c>
      <c r="AH160" s="13" t="str">
        <f aca="false">IF(COUNTIF(AB160:AG160,"Y")&gt;0,"EXCEPTION","NO EXCEPTION IDENTIFIED")</f>
        <v>EXCEPTION</v>
      </c>
      <c r="AI160" s="16" t="s">
        <v>171</v>
      </c>
      <c r="AJ160" s="16" t="s">
        <v>1085</v>
      </c>
    </row>
    <row r="161" customFormat="false" ht="20.85" hidden="false" customHeight="false" outlineLevel="0" collapsed="false">
      <c r="A161" s="9" t="s">
        <v>1086</v>
      </c>
      <c r="B161" s="10" t="n">
        <v>45599</v>
      </c>
      <c r="C161" s="9" t="s">
        <v>438</v>
      </c>
      <c r="D161" s="9" t="s">
        <v>439</v>
      </c>
      <c r="E161" s="9" t="n">
        <v>2857</v>
      </c>
      <c r="F161" s="10" t="n">
        <v>46176</v>
      </c>
      <c r="G161" s="9" t="n">
        <f aca="false">B161-F161</f>
        <v>-577</v>
      </c>
      <c r="H161" s="9" t="s">
        <v>1087</v>
      </c>
      <c r="I161" s="9" t="s">
        <v>1088</v>
      </c>
      <c r="J161" s="9" t="s">
        <v>204</v>
      </c>
      <c r="K161" s="9" t="s">
        <v>146</v>
      </c>
      <c r="L161" s="11" t="n">
        <v>24</v>
      </c>
      <c r="M161" s="9" t="s">
        <v>115</v>
      </c>
      <c r="N161" s="9" t="s">
        <v>116</v>
      </c>
      <c r="O161" s="9" t="s">
        <v>117</v>
      </c>
      <c r="P161" s="9" t="s">
        <v>118</v>
      </c>
      <c r="Q161" s="9" t="s">
        <v>119</v>
      </c>
      <c r="R161" s="9" t="s">
        <v>120</v>
      </c>
      <c r="S161" s="9"/>
      <c r="T161" s="10"/>
      <c r="U161" s="9"/>
      <c r="V161" s="9"/>
      <c r="W161" s="10"/>
      <c r="X161" s="9"/>
      <c r="Y161" s="9"/>
      <c r="Z161" s="11"/>
      <c r="AA161" s="11" t="n">
        <v>45.5</v>
      </c>
      <c r="AB161" s="9" t="str">
        <f aca="false">IF(B161&lt;F161,"Y","")</f>
        <v>Y</v>
      </c>
      <c r="AC161" s="9" t="str">
        <f aca="false">IF(O161&lt;&gt;"Y","Y","")</f>
        <v/>
      </c>
      <c r="AD161" s="9" t="str">
        <f aca="false">IF(AND(M161="declined-prior-offer",S161=""),"Y","")</f>
        <v/>
      </c>
      <c r="AE161" s="9" t="str">
        <f aca="false">IF(OR(R161&lt;&gt;"MATCH",ISNUMBER(SEARCH("conflict",Q161))),"Y","")</f>
        <v/>
      </c>
      <c r="AF161" s="9" t="str">
        <f aca="false">IF(AND(ISNUMBER(Z161),ABS(Z161-AA161)&gt;0.001),"Y","")</f>
        <v/>
      </c>
      <c r="AG161" s="9" t="str">
        <f aca="false">IF(AND(W161&lt;&gt;"",Y161&lt;&gt;"ACCEPTED"),"Y","")</f>
        <v/>
      </c>
      <c r="AH161" s="9" t="str">
        <f aca="false">IF(COUNTIF(AB161:AG161,"Y")&gt;0,"EXCEPTION","NO EXCEPTION IDENTIFIED")</f>
        <v>EXCEPTION</v>
      </c>
      <c r="AI161" s="12" t="s">
        <v>121</v>
      </c>
      <c r="AJ161" s="12" t="s">
        <v>1089</v>
      </c>
    </row>
    <row r="162" customFormat="false" ht="30.55" hidden="false" customHeight="false" outlineLevel="0" collapsed="false">
      <c r="A162" s="13" t="s">
        <v>1090</v>
      </c>
      <c r="B162" s="14" t="n">
        <v>45601</v>
      </c>
      <c r="C162" s="13" t="s">
        <v>902</v>
      </c>
      <c r="D162" s="13" t="s">
        <v>903</v>
      </c>
      <c r="E162" s="13" t="n">
        <v>2390</v>
      </c>
      <c r="F162" s="14" t="n">
        <v>45888</v>
      </c>
      <c r="G162" s="13" t="n">
        <f aca="false">B162-F162</f>
        <v>-287</v>
      </c>
      <c r="H162" s="13" t="s">
        <v>759</v>
      </c>
      <c r="I162" s="13" t="s">
        <v>1091</v>
      </c>
      <c r="J162" s="13" t="s">
        <v>204</v>
      </c>
      <c r="K162" s="13" t="s">
        <v>146</v>
      </c>
      <c r="L162" s="15" t="n">
        <v>40</v>
      </c>
      <c r="M162" s="13" t="s">
        <v>169</v>
      </c>
      <c r="N162" s="13" t="s">
        <v>170</v>
      </c>
      <c r="O162" s="13" t="s">
        <v>147</v>
      </c>
      <c r="P162" s="13"/>
      <c r="Q162" s="13" t="s">
        <v>1092</v>
      </c>
      <c r="R162" s="13" t="s">
        <v>290</v>
      </c>
      <c r="S162" s="13"/>
      <c r="T162" s="14"/>
      <c r="U162" s="13"/>
      <c r="V162" s="13"/>
      <c r="W162" s="14"/>
      <c r="X162" s="13"/>
      <c r="Y162" s="13"/>
      <c r="Z162" s="15"/>
      <c r="AA162" s="15" t="n">
        <v>29.9</v>
      </c>
      <c r="AB162" s="13" t="str">
        <f aca="false">IF(B162&lt;F162,"Y","")</f>
        <v>Y</v>
      </c>
      <c r="AC162" s="13" t="str">
        <f aca="false">IF(O162&lt;&gt;"Y","Y","")</f>
        <v>Y</v>
      </c>
      <c r="AD162" s="13" t="str">
        <f aca="false">IF(AND(M162="declined-prior-offer",S162=""),"Y","")</f>
        <v>Y</v>
      </c>
      <c r="AE162" s="13" t="str">
        <f aca="false">IF(OR(R162&lt;&gt;"MATCH",ISNUMBER(SEARCH("conflict",Q162))),"Y","")</f>
        <v>Y</v>
      </c>
      <c r="AF162" s="13" t="str">
        <f aca="false">IF(AND(ISNUMBER(Z162),ABS(Z162-AA162)&gt;0.001),"Y","")</f>
        <v/>
      </c>
      <c r="AG162" s="13" t="str">
        <f aca="false">IF(AND(W162&lt;&gt;"",Y162&lt;&gt;"ACCEPTED"),"Y","")</f>
        <v/>
      </c>
      <c r="AH162" s="13" t="str">
        <f aca="false">IF(COUNTIF(AB162:AG162,"Y")&gt;0,"EXCEPTION","NO EXCEPTION IDENTIFIED")</f>
        <v>EXCEPTION</v>
      </c>
      <c r="AI162" s="16" t="s">
        <v>1093</v>
      </c>
      <c r="AJ162" s="16" t="s">
        <v>1094</v>
      </c>
    </row>
    <row r="163" customFormat="false" ht="20.85" hidden="false" customHeight="false" outlineLevel="0" collapsed="false">
      <c r="A163" s="9" t="s">
        <v>1095</v>
      </c>
      <c r="B163" s="10" t="n">
        <v>45613</v>
      </c>
      <c r="C163" s="9" t="s">
        <v>1096</v>
      </c>
      <c r="D163" s="9" t="s">
        <v>1097</v>
      </c>
      <c r="E163" s="9" t="n">
        <v>1598</v>
      </c>
      <c r="F163" s="10" t="n">
        <v>45542</v>
      </c>
      <c r="G163" s="9" t="n">
        <f aca="false">B163-F163</f>
        <v>71</v>
      </c>
      <c r="H163" s="9" t="s">
        <v>1098</v>
      </c>
      <c r="I163" s="9" t="s">
        <v>1099</v>
      </c>
      <c r="J163" s="9" t="s">
        <v>155</v>
      </c>
      <c r="K163" s="9" t="s">
        <v>146</v>
      </c>
      <c r="L163" s="11" t="n">
        <v>36</v>
      </c>
      <c r="M163" s="9" t="s">
        <v>115</v>
      </c>
      <c r="N163" s="9" t="s">
        <v>116</v>
      </c>
      <c r="O163" s="9" t="s">
        <v>147</v>
      </c>
      <c r="P163" s="9" t="s">
        <v>128</v>
      </c>
      <c r="Q163" s="9" t="s">
        <v>119</v>
      </c>
      <c r="R163" s="9" t="s">
        <v>120</v>
      </c>
      <c r="S163" s="9"/>
      <c r="T163" s="10"/>
      <c r="U163" s="9"/>
      <c r="V163" s="9"/>
      <c r="W163" s="10"/>
      <c r="X163" s="9"/>
      <c r="Y163" s="9"/>
      <c r="Z163" s="11"/>
      <c r="AA163" s="11" t="n">
        <v>29.2</v>
      </c>
      <c r="AB163" s="9" t="str">
        <f aca="false">IF(B163&lt;F163,"Y","")</f>
        <v/>
      </c>
      <c r="AC163" s="9" t="str">
        <f aca="false">IF(O163&lt;&gt;"Y","Y","")</f>
        <v>Y</v>
      </c>
      <c r="AD163" s="9" t="str">
        <f aca="false">IF(AND(M163="declined-prior-offer",S163=""),"Y","")</f>
        <v/>
      </c>
      <c r="AE163" s="9" t="str">
        <f aca="false">IF(OR(R163&lt;&gt;"MATCH",ISNUMBER(SEARCH("conflict",Q163))),"Y","")</f>
        <v/>
      </c>
      <c r="AF163" s="9" t="str">
        <f aca="false">IF(AND(ISNUMBER(Z163),ABS(Z163-AA163)&gt;0.001),"Y","")</f>
        <v/>
      </c>
      <c r="AG163" s="9" t="str">
        <f aca="false">IF(AND(W163&lt;&gt;"",Y163&lt;&gt;"ACCEPTED"),"Y","")</f>
        <v/>
      </c>
      <c r="AH163" s="9" t="str">
        <f aca="false">IF(COUNTIF(AB163:AG163,"Y")&gt;0,"EXCEPTION","NO EXCEPTION IDENTIFIED")</f>
        <v>EXCEPTION</v>
      </c>
      <c r="AI163" s="12" t="s">
        <v>831</v>
      </c>
      <c r="AJ163" s="12" t="s">
        <v>1100</v>
      </c>
    </row>
    <row r="164" customFormat="false" ht="20.85" hidden="false" customHeight="false" outlineLevel="0" collapsed="false">
      <c r="A164" s="13" t="s">
        <v>1101</v>
      </c>
      <c r="B164" s="14" t="n">
        <v>45618</v>
      </c>
      <c r="C164" s="13" t="s">
        <v>1102</v>
      </c>
      <c r="D164" s="13" t="s">
        <v>1103</v>
      </c>
      <c r="E164" s="13" t="n">
        <v>1139</v>
      </c>
      <c r="F164" s="14" t="n">
        <v>45331</v>
      </c>
      <c r="G164" s="13" t="n">
        <f aca="false">B164-F164</f>
        <v>287</v>
      </c>
      <c r="H164" s="13" t="s">
        <v>1104</v>
      </c>
      <c r="I164" s="13" t="s">
        <v>1105</v>
      </c>
      <c r="J164" s="13" t="s">
        <v>113</v>
      </c>
      <c r="K164" s="13" t="s">
        <v>114</v>
      </c>
      <c r="L164" s="15" t="n">
        <v>28</v>
      </c>
      <c r="M164" s="13" t="s">
        <v>115</v>
      </c>
      <c r="N164" s="13" t="s">
        <v>116</v>
      </c>
      <c r="O164" s="13" t="s">
        <v>117</v>
      </c>
      <c r="P164" s="13" t="s">
        <v>128</v>
      </c>
      <c r="Q164" s="13" t="s">
        <v>119</v>
      </c>
      <c r="R164" s="13" t="s">
        <v>120</v>
      </c>
      <c r="S164" s="13"/>
      <c r="T164" s="14"/>
      <c r="U164" s="13"/>
      <c r="V164" s="13"/>
      <c r="W164" s="14"/>
      <c r="X164" s="13"/>
      <c r="Y164" s="13"/>
      <c r="Z164" s="15"/>
      <c r="AA164" s="15" t="n">
        <v>52.5</v>
      </c>
      <c r="AB164" s="13" t="str">
        <f aca="false">IF(B164&lt;F164,"Y","")</f>
        <v/>
      </c>
      <c r="AC164" s="13" t="str">
        <f aca="false">IF(O164&lt;&gt;"Y","Y","")</f>
        <v/>
      </c>
      <c r="AD164" s="13" t="str">
        <f aca="false">IF(AND(M164="declined-prior-offer",S164=""),"Y","")</f>
        <v/>
      </c>
      <c r="AE164" s="13" t="str">
        <f aca="false">IF(OR(R164&lt;&gt;"MATCH",ISNUMBER(SEARCH("conflict",Q164))),"Y","")</f>
        <v/>
      </c>
      <c r="AF164" s="13" t="str">
        <f aca="false">IF(AND(ISNUMBER(Z164),ABS(Z164-AA164)&gt;0.001),"Y","")</f>
        <v/>
      </c>
      <c r="AG164" s="13" t="str">
        <f aca="false">IF(AND(W164&lt;&gt;"",Y164&lt;&gt;"ACCEPTED"),"Y","")</f>
        <v/>
      </c>
      <c r="AH164" s="13" t="str">
        <f aca="false">IF(COUNTIF(AB164:AG164,"Y")&gt;0,"EXCEPTION","NO EXCEPTION IDENTIFIED")</f>
        <v>NO EXCEPTION IDENTIFIED</v>
      </c>
      <c r="AI164" s="16" t="s">
        <v>156</v>
      </c>
      <c r="AJ164" s="16" t="s">
        <v>1106</v>
      </c>
    </row>
    <row r="165" customFormat="false" ht="20.85" hidden="false" customHeight="false" outlineLevel="0" collapsed="false">
      <c r="A165" s="9" t="s">
        <v>1107</v>
      </c>
      <c r="B165" s="10" t="n">
        <v>45619</v>
      </c>
      <c r="C165" s="9" t="s">
        <v>1108</v>
      </c>
      <c r="D165" s="9" t="s">
        <v>1109</v>
      </c>
      <c r="E165" s="9" t="n">
        <v>832</v>
      </c>
      <c r="F165" s="10" t="n">
        <v>45182</v>
      </c>
      <c r="G165" s="9" t="n">
        <f aca="false">B165-F165</f>
        <v>437</v>
      </c>
      <c r="H165" s="9" t="s">
        <v>1110</v>
      </c>
      <c r="I165" s="9" t="s">
        <v>1111</v>
      </c>
      <c r="J165" s="9" t="s">
        <v>135</v>
      </c>
      <c r="K165" s="9" t="s">
        <v>114</v>
      </c>
      <c r="L165" s="11" t="n">
        <v>28</v>
      </c>
      <c r="M165" s="9" t="s">
        <v>136</v>
      </c>
      <c r="N165" s="9" t="s">
        <v>137</v>
      </c>
      <c r="O165" s="9" t="s">
        <v>117</v>
      </c>
      <c r="P165" s="9" t="s">
        <v>128</v>
      </c>
      <c r="Q165" s="9" t="s">
        <v>119</v>
      </c>
      <c r="R165" s="9" t="s">
        <v>120</v>
      </c>
      <c r="S165" s="9" t="s">
        <v>1112</v>
      </c>
      <c r="T165" s="10" t="n">
        <v>45525</v>
      </c>
      <c r="U165" s="9" t="s">
        <v>1113</v>
      </c>
      <c r="V165" s="9" t="s">
        <v>516</v>
      </c>
      <c r="W165" s="10"/>
      <c r="X165" s="9"/>
      <c r="Y165" s="9"/>
      <c r="Z165" s="11"/>
      <c r="AA165" s="11" t="n">
        <v>57</v>
      </c>
      <c r="AB165" s="9" t="str">
        <f aca="false">IF(B165&lt;F165,"Y","")</f>
        <v/>
      </c>
      <c r="AC165" s="9" t="str">
        <f aca="false">IF(O165&lt;&gt;"Y","Y","")</f>
        <v/>
      </c>
      <c r="AD165" s="9" t="str">
        <f aca="false">IF(AND(M165="declined-prior-offer",S165=""),"Y","")</f>
        <v/>
      </c>
      <c r="AE165" s="9" t="str">
        <f aca="false">IF(OR(R165&lt;&gt;"MATCH",ISNUMBER(SEARCH("conflict",Q165))),"Y","")</f>
        <v/>
      </c>
      <c r="AF165" s="9" t="str">
        <f aca="false">IF(AND(ISNUMBER(Z165),ABS(Z165-AA165)&gt;0.001),"Y","")</f>
        <v/>
      </c>
      <c r="AG165" s="9" t="str">
        <f aca="false">IF(AND(W165&lt;&gt;"",Y165&lt;&gt;"ACCEPTED"),"Y","")</f>
        <v/>
      </c>
      <c r="AH165" s="9" t="str">
        <f aca="false">IF(COUNTIF(AB165:AG165,"Y")&gt;0,"EXCEPTION","NO EXCEPTION IDENTIFIED")</f>
        <v>NO EXCEPTION IDENTIFIED</v>
      </c>
      <c r="AI165" s="12" t="s">
        <v>156</v>
      </c>
      <c r="AJ165" s="12" t="s">
        <v>1114</v>
      </c>
    </row>
    <row r="166" customFormat="false" ht="20.85" hidden="false" customHeight="false" outlineLevel="0" collapsed="false">
      <c r="A166" s="13" t="s">
        <v>1115</v>
      </c>
      <c r="B166" s="14" t="n">
        <v>45637</v>
      </c>
      <c r="C166" s="13" t="s">
        <v>1116</v>
      </c>
      <c r="D166" s="13" t="s">
        <v>1117</v>
      </c>
      <c r="E166" s="13" t="n">
        <v>2294</v>
      </c>
      <c r="F166" s="14" t="n">
        <v>45850</v>
      </c>
      <c r="G166" s="13" t="n">
        <f aca="false">B166-F166</f>
        <v>-213</v>
      </c>
      <c r="H166" s="13" t="s">
        <v>1118</v>
      </c>
      <c r="I166" s="13" t="s">
        <v>1119</v>
      </c>
      <c r="J166" s="13" t="s">
        <v>113</v>
      </c>
      <c r="K166" s="13" t="s">
        <v>114</v>
      </c>
      <c r="L166" s="15" t="n">
        <v>40</v>
      </c>
      <c r="M166" s="13" t="s">
        <v>115</v>
      </c>
      <c r="N166" s="13" t="s">
        <v>116</v>
      </c>
      <c r="O166" s="13" t="s">
        <v>117</v>
      </c>
      <c r="P166" s="13" t="s">
        <v>128</v>
      </c>
      <c r="Q166" s="13" t="s">
        <v>119</v>
      </c>
      <c r="R166" s="13" t="s">
        <v>120</v>
      </c>
      <c r="S166" s="13"/>
      <c r="T166" s="14"/>
      <c r="U166" s="13"/>
      <c r="V166" s="13"/>
      <c r="W166" s="14"/>
      <c r="X166" s="13"/>
      <c r="Y166" s="13"/>
      <c r="Z166" s="15"/>
      <c r="AA166" s="15" t="n">
        <v>28.9</v>
      </c>
      <c r="AB166" s="13" t="str">
        <f aca="false">IF(B166&lt;F166,"Y","")</f>
        <v>Y</v>
      </c>
      <c r="AC166" s="13" t="str">
        <f aca="false">IF(O166&lt;&gt;"Y","Y","")</f>
        <v/>
      </c>
      <c r="AD166" s="13" t="str">
        <f aca="false">IF(AND(M166="declined-prior-offer",S166=""),"Y","")</f>
        <v/>
      </c>
      <c r="AE166" s="13" t="str">
        <f aca="false">IF(OR(R166&lt;&gt;"MATCH",ISNUMBER(SEARCH("conflict",Q166))),"Y","")</f>
        <v/>
      </c>
      <c r="AF166" s="13" t="str">
        <f aca="false">IF(AND(ISNUMBER(Z166),ABS(Z166-AA166)&gt;0.001),"Y","")</f>
        <v/>
      </c>
      <c r="AG166" s="13" t="str">
        <f aca="false">IF(AND(W166&lt;&gt;"",Y166&lt;&gt;"ACCEPTED"),"Y","")</f>
        <v/>
      </c>
      <c r="AH166" s="13" t="str">
        <f aca="false">IF(COUNTIF(AB166:AG166,"Y")&gt;0,"EXCEPTION","NO EXCEPTION IDENTIFIED")</f>
        <v>EXCEPTION</v>
      </c>
      <c r="AI166" s="16" t="s">
        <v>121</v>
      </c>
      <c r="AJ166" s="16" t="s">
        <v>1120</v>
      </c>
    </row>
    <row r="167" customFormat="false" ht="20.85" hidden="false" customHeight="false" outlineLevel="0" collapsed="false">
      <c r="A167" s="9" t="s">
        <v>1121</v>
      </c>
      <c r="B167" s="10" t="n">
        <v>45639</v>
      </c>
      <c r="C167" s="9" t="s">
        <v>1122</v>
      </c>
      <c r="D167" s="9" t="s">
        <v>1123</v>
      </c>
      <c r="E167" s="9" t="n">
        <v>1412</v>
      </c>
      <c r="F167" s="10" t="n">
        <v>45457</v>
      </c>
      <c r="G167" s="9" t="n">
        <f aca="false">B167-F167</f>
        <v>182</v>
      </c>
      <c r="H167" s="9" t="s">
        <v>1124</v>
      </c>
      <c r="I167" s="9" t="s">
        <v>1125</v>
      </c>
      <c r="J167" s="9" t="s">
        <v>155</v>
      </c>
      <c r="K167" s="9" t="s">
        <v>146</v>
      </c>
      <c r="L167" s="11" t="n">
        <v>32</v>
      </c>
      <c r="M167" s="9" t="s">
        <v>185</v>
      </c>
      <c r="N167" s="9" t="s">
        <v>186</v>
      </c>
      <c r="O167" s="9" t="s">
        <v>117</v>
      </c>
      <c r="P167" s="9" t="s">
        <v>118</v>
      </c>
      <c r="Q167" s="9" t="s">
        <v>119</v>
      </c>
      <c r="R167" s="9" t="s">
        <v>120</v>
      </c>
      <c r="S167" s="9"/>
      <c r="T167" s="10"/>
      <c r="U167" s="9"/>
      <c r="V167" s="9"/>
      <c r="W167" s="10"/>
      <c r="X167" s="9"/>
      <c r="Y167" s="9"/>
      <c r="Z167" s="11"/>
      <c r="AA167" s="11" t="n">
        <v>61.6</v>
      </c>
      <c r="AB167" s="9" t="str">
        <f aca="false">IF(B167&lt;F167,"Y","")</f>
        <v/>
      </c>
      <c r="AC167" s="9" t="str">
        <f aca="false">IF(O167&lt;&gt;"Y","Y","")</f>
        <v/>
      </c>
      <c r="AD167" s="9" t="str">
        <f aca="false">IF(AND(M167="declined-prior-offer",S167=""),"Y","")</f>
        <v/>
      </c>
      <c r="AE167" s="9" t="str">
        <f aca="false">IF(OR(R167&lt;&gt;"MATCH",ISNUMBER(SEARCH("conflict",Q167))),"Y","")</f>
        <v/>
      </c>
      <c r="AF167" s="9" t="str">
        <f aca="false">IF(AND(ISNUMBER(Z167),ABS(Z167-AA167)&gt;0.001),"Y","")</f>
        <v/>
      </c>
      <c r="AG167" s="9" t="str">
        <f aca="false">IF(AND(W167&lt;&gt;"",Y167&lt;&gt;"ACCEPTED"),"Y","")</f>
        <v/>
      </c>
      <c r="AH167" s="9" t="str">
        <f aca="false">IF(COUNTIF(AB167:AG167,"Y")&gt;0,"EXCEPTION","NO EXCEPTION IDENTIFIED")</f>
        <v>NO EXCEPTION IDENTIFIED</v>
      </c>
      <c r="AI167" s="12" t="s">
        <v>156</v>
      </c>
      <c r="AJ167" s="12" t="s">
        <v>1126</v>
      </c>
    </row>
    <row r="168" customFormat="false" ht="20.85" hidden="false" customHeight="false" outlineLevel="0" collapsed="false">
      <c r="A168" s="13" t="s">
        <v>1127</v>
      </c>
      <c r="B168" s="14" t="n">
        <v>45644</v>
      </c>
      <c r="C168" s="13" t="s">
        <v>1128</v>
      </c>
      <c r="D168" s="13" t="s">
        <v>1129</v>
      </c>
      <c r="E168" s="13" t="n">
        <v>1923</v>
      </c>
      <c r="F168" s="14" t="n">
        <v>45677</v>
      </c>
      <c r="G168" s="13" t="n">
        <f aca="false">B168-F168</f>
        <v>-33</v>
      </c>
      <c r="H168" s="13" t="s">
        <v>1130</v>
      </c>
      <c r="I168" s="13" t="s">
        <v>1131</v>
      </c>
      <c r="J168" s="13" t="s">
        <v>113</v>
      </c>
      <c r="K168" s="13" t="s">
        <v>114</v>
      </c>
      <c r="L168" s="15" t="n">
        <v>36</v>
      </c>
      <c r="M168" s="13" t="s">
        <v>185</v>
      </c>
      <c r="N168" s="13" t="s">
        <v>186</v>
      </c>
      <c r="O168" s="13" t="s">
        <v>117</v>
      </c>
      <c r="P168" s="13" t="s">
        <v>128</v>
      </c>
      <c r="Q168" s="13" t="s">
        <v>119</v>
      </c>
      <c r="R168" s="13" t="s">
        <v>120</v>
      </c>
      <c r="S168" s="13"/>
      <c r="T168" s="14"/>
      <c r="U168" s="13"/>
      <c r="V168" s="13"/>
      <c r="W168" s="14"/>
      <c r="X168" s="13"/>
      <c r="Y168" s="13"/>
      <c r="Z168" s="15"/>
      <c r="AA168" s="15" t="n">
        <v>22.7</v>
      </c>
      <c r="AB168" s="13" t="str">
        <f aca="false">IF(B168&lt;F168,"Y","")</f>
        <v>Y</v>
      </c>
      <c r="AC168" s="13" t="str">
        <f aca="false">IF(O168&lt;&gt;"Y","Y","")</f>
        <v/>
      </c>
      <c r="AD168" s="13" t="str">
        <f aca="false">IF(AND(M168="declined-prior-offer",S168=""),"Y","")</f>
        <v/>
      </c>
      <c r="AE168" s="13" t="str">
        <f aca="false">IF(OR(R168&lt;&gt;"MATCH",ISNUMBER(SEARCH("conflict",Q168))),"Y","")</f>
        <v/>
      </c>
      <c r="AF168" s="13" t="str">
        <f aca="false">IF(AND(ISNUMBER(Z168),ABS(Z168-AA168)&gt;0.001),"Y","")</f>
        <v/>
      </c>
      <c r="AG168" s="13" t="str">
        <f aca="false">IF(AND(W168&lt;&gt;"",Y168&lt;&gt;"ACCEPTED"),"Y","")</f>
        <v/>
      </c>
      <c r="AH168" s="13" t="str">
        <f aca="false">IF(COUNTIF(AB168:AG168,"Y")&gt;0,"EXCEPTION","NO EXCEPTION IDENTIFIED")</f>
        <v>EXCEPTION</v>
      </c>
      <c r="AI168" s="16" t="s">
        <v>121</v>
      </c>
      <c r="AJ168" s="16" t="s">
        <v>1132</v>
      </c>
    </row>
    <row r="169" customFormat="false" ht="20.85" hidden="false" customHeight="false" outlineLevel="0" collapsed="false">
      <c r="A169" s="9" t="s">
        <v>1133</v>
      </c>
      <c r="B169" s="10" t="n">
        <v>45648</v>
      </c>
      <c r="C169" s="9" t="s">
        <v>1134</v>
      </c>
      <c r="D169" s="9" t="s">
        <v>1135</v>
      </c>
      <c r="E169" s="9" t="n">
        <v>844</v>
      </c>
      <c r="F169" s="10" t="n">
        <v>45190</v>
      </c>
      <c r="G169" s="9" t="n">
        <f aca="false">B169-F169</f>
        <v>458</v>
      </c>
      <c r="H169" s="9" t="s">
        <v>1136</v>
      </c>
      <c r="I169" s="9" t="s">
        <v>1137</v>
      </c>
      <c r="J169" s="9" t="s">
        <v>145</v>
      </c>
      <c r="K169" s="9" t="s">
        <v>146</v>
      </c>
      <c r="L169" s="11" t="n">
        <v>32</v>
      </c>
      <c r="M169" s="9" t="s">
        <v>115</v>
      </c>
      <c r="N169" s="9" t="s">
        <v>116</v>
      </c>
      <c r="O169" s="9" t="s">
        <v>117</v>
      </c>
      <c r="P169" s="9" t="s">
        <v>128</v>
      </c>
      <c r="Q169" s="9" t="s">
        <v>119</v>
      </c>
      <c r="R169" s="9" t="s">
        <v>120</v>
      </c>
      <c r="S169" s="9"/>
      <c r="T169" s="10"/>
      <c r="U169" s="9"/>
      <c r="V169" s="9"/>
      <c r="W169" s="10"/>
      <c r="X169" s="9"/>
      <c r="Y169" s="9"/>
      <c r="Z169" s="11"/>
      <c r="AA169" s="11" t="n">
        <v>55.4</v>
      </c>
      <c r="AB169" s="9" t="str">
        <f aca="false">IF(B169&lt;F169,"Y","")</f>
        <v/>
      </c>
      <c r="AC169" s="9" t="str">
        <f aca="false">IF(O169&lt;&gt;"Y","Y","")</f>
        <v/>
      </c>
      <c r="AD169" s="9" t="str">
        <f aca="false">IF(AND(M169="declined-prior-offer",S169=""),"Y","")</f>
        <v/>
      </c>
      <c r="AE169" s="9" t="str">
        <f aca="false">IF(OR(R169&lt;&gt;"MATCH",ISNUMBER(SEARCH("conflict",Q169))),"Y","")</f>
        <v/>
      </c>
      <c r="AF169" s="9" t="str">
        <f aca="false">IF(AND(ISNUMBER(Z169),ABS(Z169-AA169)&gt;0.001),"Y","")</f>
        <v/>
      </c>
      <c r="AG169" s="9" t="str">
        <f aca="false">IF(AND(W169&lt;&gt;"",Y169&lt;&gt;"ACCEPTED"),"Y","")</f>
        <v/>
      </c>
      <c r="AH169" s="9" t="str">
        <f aca="false">IF(COUNTIF(AB169:AG169,"Y")&gt;0,"EXCEPTION","NO EXCEPTION IDENTIFIED")</f>
        <v>NO EXCEPTION IDENTIFIED</v>
      </c>
      <c r="AI169" s="12" t="s">
        <v>156</v>
      </c>
      <c r="AJ169" s="12" t="s">
        <v>1138</v>
      </c>
    </row>
    <row r="170" customFormat="false" ht="20.85" hidden="false" customHeight="false" outlineLevel="0" collapsed="false">
      <c r="A170" s="13" t="s">
        <v>1139</v>
      </c>
      <c r="B170" s="14" t="n">
        <v>45650</v>
      </c>
      <c r="C170" s="13" t="s">
        <v>1140</v>
      </c>
      <c r="D170" s="13" t="s">
        <v>1141</v>
      </c>
      <c r="E170" s="13" t="n">
        <v>2079</v>
      </c>
      <c r="F170" s="14" t="n">
        <v>45748</v>
      </c>
      <c r="G170" s="13" t="n">
        <f aca="false">B170-F170</f>
        <v>-98</v>
      </c>
      <c r="H170" s="13" t="s">
        <v>1142</v>
      </c>
      <c r="I170" s="13" t="s">
        <v>1143</v>
      </c>
      <c r="J170" s="13" t="s">
        <v>204</v>
      </c>
      <c r="K170" s="13" t="s">
        <v>146</v>
      </c>
      <c r="L170" s="15" t="n">
        <v>28</v>
      </c>
      <c r="M170" s="13" t="s">
        <v>136</v>
      </c>
      <c r="N170" s="13" t="s">
        <v>137</v>
      </c>
      <c r="O170" s="13" t="s">
        <v>117</v>
      </c>
      <c r="P170" s="13" t="s">
        <v>118</v>
      </c>
      <c r="Q170" s="13" t="s">
        <v>119</v>
      </c>
      <c r="R170" s="13" t="s">
        <v>120</v>
      </c>
      <c r="S170" s="13"/>
      <c r="T170" s="14"/>
      <c r="U170" s="13"/>
      <c r="V170" s="13"/>
      <c r="W170" s="14"/>
      <c r="X170" s="13"/>
      <c r="Y170" s="13"/>
      <c r="Z170" s="15"/>
      <c r="AA170" s="15" t="n">
        <v>41.4</v>
      </c>
      <c r="AB170" s="13" t="str">
        <f aca="false">IF(B170&lt;F170,"Y","")</f>
        <v>Y</v>
      </c>
      <c r="AC170" s="13" t="str">
        <f aca="false">IF(O170&lt;&gt;"Y","Y","")</f>
        <v/>
      </c>
      <c r="AD170" s="13" t="str">
        <f aca="false">IF(AND(M170="declined-prior-offer",S170=""),"Y","")</f>
        <v/>
      </c>
      <c r="AE170" s="13" t="str">
        <f aca="false">IF(OR(R170&lt;&gt;"MATCH",ISNUMBER(SEARCH("conflict",Q170))),"Y","")</f>
        <v/>
      </c>
      <c r="AF170" s="13" t="str">
        <f aca="false">IF(AND(ISNUMBER(Z170),ABS(Z170-AA170)&gt;0.001),"Y","")</f>
        <v/>
      </c>
      <c r="AG170" s="13" t="str">
        <f aca="false">IF(AND(W170&lt;&gt;"",Y170&lt;&gt;"ACCEPTED"),"Y","")</f>
        <v/>
      </c>
      <c r="AH170" s="13" t="str">
        <f aca="false">IF(COUNTIF(AB170:AG170,"Y")&gt;0,"EXCEPTION","NO EXCEPTION IDENTIFIED")</f>
        <v>EXCEPTION</v>
      </c>
      <c r="AI170" s="16" t="s">
        <v>121</v>
      </c>
      <c r="AJ170" s="16" t="s">
        <v>1144</v>
      </c>
    </row>
    <row r="171" customFormat="false" ht="20.85" hidden="false" customHeight="false" outlineLevel="0" collapsed="false">
      <c r="A171" s="9" t="s">
        <v>1145</v>
      </c>
      <c r="B171" s="10" t="n">
        <v>45658</v>
      </c>
      <c r="C171" s="9" t="s">
        <v>1146</v>
      </c>
      <c r="D171" s="9" t="s">
        <v>1147</v>
      </c>
      <c r="E171" s="9" t="n">
        <v>382</v>
      </c>
      <c r="F171" s="10" t="n">
        <v>44931</v>
      </c>
      <c r="G171" s="9" t="n">
        <f aca="false">B171-F171</f>
        <v>727</v>
      </c>
      <c r="H171" s="9" t="s">
        <v>1148</v>
      </c>
      <c r="I171" s="9" t="s">
        <v>1149</v>
      </c>
      <c r="J171" s="9" t="s">
        <v>155</v>
      </c>
      <c r="K171" s="9" t="s">
        <v>146</v>
      </c>
      <c r="L171" s="11" t="n">
        <v>24</v>
      </c>
      <c r="M171" s="9" t="s">
        <v>115</v>
      </c>
      <c r="N171" s="9" t="s">
        <v>116</v>
      </c>
      <c r="O171" s="9" t="s">
        <v>117</v>
      </c>
      <c r="P171" s="9" t="s">
        <v>118</v>
      </c>
      <c r="Q171" s="9" t="s">
        <v>119</v>
      </c>
      <c r="R171" s="9" t="s">
        <v>120</v>
      </c>
      <c r="S171" s="9"/>
      <c r="T171" s="10"/>
      <c r="U171" s="9"/>
      <c r="V171" s="9"/>
      <c r="W171" s="10"/>
      <c r="X171" s="9"/>
      <c r="Y171" s="9"/>
      <c r="Z171" s="11"/>
      <c r="AA171" s="11" t="n">
        <v>32.2</v>
      </c>
      <c r="AB171" s="9" t="str">
        <f aca="false">IF(B171&lt;F171,"Y","")</f>
        <v/>
      </c>
      <c r="AC171" s="9" t="str">
        <f aca="false">IF(O171&lt;&gt;"Y","Y","")</f>
        <v/>
      </c>
      <c r="AD171" s="9" t="str">
        <f aca="false">IF(AND(M171="declined-prior-offer",S171=""),"Y","")</f>
        <v/>
      </c>
      <c r="AE171" s="9" t="str">
        <f aca="false">IF(OR(R171&lt;&gt;"MATCH",ISNUMBER(SEARCH("conflict",Q171))),"Y","")</f>
        <v/>
      </c>
      <c r="AF171" s="9" t="str">
        <f aca="false">IF(AND(ISNUMBER(Z171),ABS(Z171-AA171)&gt;0.001),"Y","")</f>
        <v/>
      </c>
      <c r="AG171" s="9" t="str">
        <f aca="false">IF(AND(W171&lt;&gt;"",Y171&lt;&gt;"ACCEPTED"),"Y","")</f>
        <v/>
      </c>
      <c r="AH171" s="9" t="str">
        <f aca="false">IF(COUNTIF(AB171:AG171,"Y")&gt;0,"EXCEPTION","NO EXCEPTION IDENTIFIED")</f>
        <v>NO EXCEPTION IDENTIFIED</v>
      </c>
      <c r="AI171" s="12" t="s">
        <v>156</v>
      </c>
      <c r="AJ171" s="12" t="s">
        <v>1150</v>
      </c>
    </row>
    <row r="172" customFormat="false" ht="20.85" hidden="false" customHeight="false" outlineLevel="0" collapsed="false">
      <c r="A172" s="13" t="s">
        <v>1151</v>
      </c>
      <c r="B172" s="14" t="n">
        <v>45669</v>
      </c>
      <c r="C172" s="13" t="s">
        <v>1152</v>
      </c>
      <c r="D172" s="13" t="s">
        <v>1153</v>
      </c>
      <c r="E172" s="13" t="n">
        <v>2888</v>
      </c>
      <c r="F172" s="14" t="n">
        <v>46196</v>
      </c>
      <c r="G172" s="13" t="n">
        <f aca="false">B172-F172</f>
        <v>-527</v>
      </c>
      <c r="H172" s="13" t="s">
        <v>1154</v>
      </c>
      <c r="I172" s="13" t="s">
        <v>1155</v>
      </c>
      <c r="J172" s="13" t="s">
        <v>204</v>
      </c>
      <c r="K172" s="13" t="s">
        <v>146</v>
      </c>
      <c r="L172" s="15" t="n">
        <v>32</v>
      </c>
      <c r="M172" s="13" t="s">
        <v>169</v>
      </c>
      <c r="N172" s="13" t="s">
        <v>170</v>
      </c>
      <c r="O172" s="13" t="s">
        <v>117</v>
      </c>
      <c r="P172" s="13" t="s">
        <v>138</v>
      </c>
      <c r="Q172" s="13" t="s">
        <v>119</v>
      </c>
      <c r="R172" s="13" t="s">
        <v>120</v>
      </c>
      <c r="S172" s="13"/>
      <c r="T172" s="14"/>
      <c r="U172" s="13"/>
      <c r="V172" s="13"/>
      <c r="W172" s="14"/>
      <c r="X172" s="13"/>
      <c r="Y172" s="13"/>
      <c r="Z172" s="15"/>
      <c r="AA172" s="15" t="n">
        <v>57.5</v>
      </c>
      <c r="AB172" s="13" t="str">
        <f aca="false">IF(B172&lt;F172,"Y","")</f>
        <v>Y</v>
      </c>
      <c r="AC172" s="13" t="str">
        <f aca="false">IF(O172&lt;&gt;"Y","Y","")</f>
        <v/>
      </c>
      <c r="AD172" s="13" t="str">
        <f aca="false">IF(AND(M172="declined-prior-offer",S172=""),"Y","")</f>
        <v>Y</v>
      </c>
      <c r="AE172" s="13" t="str">
        <f aca="false">IF(OR(R172&lt;&gt;"MATCH",ISNUMBER(SEARCH("conflict",Q172))),"Y","")</f>
        <v/>
      </c>
      <c r="AF172" s="13" t="str">
        <f aca="false">IF(AND(ISNUMBER(Z172),ABS(Z172-AA172)&gt;0.001),"Y","")</f>
        <v/>
      </c>
      <c r="AG172" s="13" t="str">
        <f aca="false">IF(AND(W172&lt;&gt;"",Y172&lt;&gt;"ACCEPTED"),"Y","")</f>
        <v/>
      </c>
      <c r="AH172" s="13" t="str">
        <f aca="false">IF(COUNTIF(AB172:AG172,"Y")&gt;0,"EXCEPTION","NO EXCEPTION IDENTIFIED")</f>
        <v>EXCEPTION</v>
      </c>
      <c r="AI172" s="16" t="s">
        <v>171</v>
      </c>
      <c r="AJ172" s="16" t="s">
        <v>1156</v>
      </c>
    </row>
    <row r="173" customFormat="false" ht="20.85" hidden="false" customHeight="false" outlineLevel="0" collapsed="false">
      <c r="A173" s="9" t="s">
        <v>1157</v>
      </c>
      <c r="B173" s="10" t="n">
        <v>45672</v>
      </c>
      <c r="C173" s="9" t="s">
        <v>1158</v>
      </c>
      <c r="D173" s="9" t="s">
        <v>1159</v>
      </c>
      <c r="E173" s="9" t="n">
        <v>2628</v>
      </c>
      <c r="F173" s="10" t="n">
        <v>46022</v>
      </c>
      <c r="G173" s="9" t="n">
        <f aca="false">B173-F173</f>
        <v>-350</v>
      </c>
      <c r="H173" s="9" t="s">
        <v>1160</v>
      </c>
      <c r="I173" s="9" t="s">
        <v>1161</v>
      </c>
      <c r="J173" s="9" t="s">
        <v>113</v>
      </c>
      <c r="K173" s="9" t="s">
        <v>114</v>
      </c>
      <c r="L173" s="11" t="n">
        <v>32</v>
      </c>
      <c r="M173" s="9" t="s">
        <v>185</v>
      </c>
      <c r="N173" s="9" t="s">
        <v>186</v>
      </c>
      <c r="O173" s="9" t="s">
        <v>117</v>
      </c>
      <c r="P173" s="9" t="s">
        <v>118</v>
      </c>
      <c r="Q173" s="9" t="s">
        <v>119</v>
      </c>
      <c r="R173" s="9" t="s">
        <v>120</v>
      </c>
      <c r="S173" s="9"/>
      <c r="T173" s="10"/>
      <c r="U173" s="9"/>
      <c r="V173" s="9"/>
      <c r="W173" s="10"/>
      <c r="X173" s="9"/>
      <c r="Y173" s="9"/>
      <c r="Z173" s="11"/>
      <c r="AA173" s="11" t="n">
        <v>36.7</v>
      </c>
      <c r="AB173" s="9" t="str">
        <f aca="false">IF(B173&lt;F173,"Y","")</f>
        <v>Y</v>
      </c>
      <c r="AC173" s="9" t="str">
        <f aca="false">IF(O173&lt;&gt;"Y","Y","")</f>
        <v/>
      </c>
      <c r="AD173" s="9" t="str">
        <f aca="false">IF(AND(M173="declined-prior-offer",S173=""),"Y","")</f>
        <v/>
      </c>
      <c r="AE173" s="9" t="str">
        <f aca="false">IF(OR(R173&lt;&gt;"MATCH",ISNUMBER(SEARCH("conflict",Q173))),"Y","")</f>
        <v/>
      </c>
      <c r="AF173" s="9" t="str">
        <f aca="false">IF(AND(ISNUMBER(Z173),ABS(Z173-AA173)&gt;0.001),"Y","")</f>
        <v/>
      </c>
      <c r="AG173" s="9" t="str">
        <f aca="false">IF(AND(W173&lt;&gt;"",Y173&lt;&gt;"ACCEPTED"),"Y","")</f>
        <v/>
      </c>
      <c r="AH173" s="9" t="str">
        <f aca="false">IF(COUNTIF(AB173:AG173,"Y")&gt;0,"EXCEPTION","NO EXCEPTION IDENTIFIED")</f>
        <v>EXCEPTION</v>
      </c>
      <c r="AI173" s="12" t="s">
        <v>121</v>
      </c>
      <c r="AJ173" s="12" t="s">
        <v>1162</v>
      </c>
    </row>
    <row r="174" customFormat="false" ht="20.85" hidden="false" customHeight="false" outlineLevel="0" collapsed="false">
      <c r="A174" s="13" t="s">
        <v>1163</v>
      </c>
      <c r="B174" s="14" t="n">
        <v>45673</v>
      </c>
      <c r="C174" s="13" t="s">
        <v>1164</v>
      </c>
      <c r="D174" s="13" t="s">
        <v>1165</v>
      </c>
      <c r="E174" s="13" t="n">
        <v>1733</v>
      </c>
      <c r="F174" s="14" t="n">
        <v>45600</v>
      </c>
      <c r="G174" s="13" t="n">
        <f aca="false">B174-F174</f>
        <v>73</v>
      </c>
      <c r="H174" s="13" t="s">
        <v>1166</v>
      </c>
      <c r="I174" s="13" t="s">
        <v>1167</v>
      </c>
      <c r="J174" s="13" t="s">
        <v>113</v>
      </c>
      <c r="K174" s="13" t="s">
        <v>114</v>
      </c>
      <c r="L174" s="15" t="n">
        <v>28</v>
      </c>
      <c r="M174" s="13" t="s">
        <v>115</v>
      </c>
      <c r="N174" s="13" t="s">
        <v>116</v>
      </c>
      <c r="O174" s="13" t="s">
        <v>117</v>
      </c>
      <c r="P174" s="13" t="s">
        <v>138</v>
      </c>
      <c r="Q174" s="13" t="s">
        <v>119</v>
      </c>
      <c r="R174" s="13" t="s">
        <v>120</v>
      </c>
      <c r="S174" s="13"/>
      <c r="T174" s="14"/>
      <c r="U174" s="13"/>
      <c r="V174" s="13"/>
      <c r="W174" s="14"/>
      <c r="X174" s="13"/>
      <c r="Y174" s="13"/>
      <c r="Z174" s="15"/>
      <c r="AA174" s="15" t="n">
        <v>51.9</v>
      </c>
      <c r="AB174" s="13" t="str">
        <f aca="false">IF(B174&lt;F174,"Y","")</f>
        <v/>
      </c>
      <c r="AC174" s="13" t="str">
        <f aca="false">IF(O174&lt;&gt;"Y","Y","")</f>
        <v/>
      </c>
      <c r="AD174" s="13" t="str">
        <f aca="false">IF(AND(M174="declined-prior-offer",S174=""),"Y","")</f>
        <v/>
      </c>
      <c r="AE174" s="13" t="str">
        <f aca="false">IF(OR(R174&lt;&gt;"MATCH",ISNUMBER(SEARCH("conflict",Q174))),"Y","")</f>
        <v/>
      </c>
      <c r="AF174" s="13" t="str">
        <f aca="false">IF(AND(ISNUMBER(Z174),ABS(Z174-AA174)&gt;0.001),"Y","")</f>
        <v/>
      </c>
      <c r="AG174" s="13" t="str">
        <f aca="false">IF(AND(W174&lt;&gt;"",Y174&lt;&gt;"ACCEPTED"),"Y","")</f>
        <v/>
      </c>
      <c r="AH174" s="13" t="str">
        <f aca="false">IF(COUNTIF(AB174:AG174,"Y")&gt;0,"EXCEPTION","NO EXCEPTION IDENTIFIED")</f>
        <v>NO EXCEPTION IDENTIFIED</v>
      </c>
      <c r="AI174" s="16" t="s">
        <v>156</v>
      </c>
      <c r="AJ174" s="16" t="s">
        <v>1168</v>
      </c>
    </row>
    <row r="175" customFormat="false" ht="20.85" hidden="false" customHeight="false" outlineLevel="0" collapsed="false">
      <c r="A175" s="9" t="s">
        <v>1169</v>
      </c>
      <c r="B175" s="10" t="n">
        <v>45674</v>
      </c>
      <c r="C175" s="9" t="s">
        <v>656</v>
      </c>
      <c r="D175" s="9" t="s">
        <v>657</v>
      </c>
      <c r="E175" s="9" t="n">
        <v>918</v>
      </c>
      <c r="F175" s="10" t="n">
        <v>45229</v>
      </c>
      <c r="G175" s="9" t="n">
        <f aca="false">B175-F175</f>
        <v>445</v>
      </c>
      <c r="H175" s="9" t="s">
        <v>1170</v>
      </c>
      <c r="I175" s="9" t="s">
        <v>1171</v>
      </c>
      <c r="J175" s="9" t="s">
        <v>155</v>
      </c>
      <c r="K175" s="9" t="s">
        <v>146</v>
      </c>
      <c r="L175" s="11" t="n">
        <v>24</v>
      </c>
      <c r="M175" s="9" t="s">
        <v>136</v>
      </c>
      <c r="N175" s="9" t="s">
        <v>137</v>
      </c>
      <c r="O175" s="9" t="s">
        <v>117</v>
      </c>
      <c r="P175" s="9" t="s">
        <v>178</v>
      </c>
      <c r="Q175" s="9" t="s">
        <v>119</v>
      </c>
      <c r="R175" s="9" t="s">
        <v>120</v>
      </c>
      <c r="S175" s="9"/>
      <c r="T175" s="10"/>
      <c r="U175" s="9"/>
      <c r="V175" s="9"/>
      <c r="W175" s="10"/>
      <c r="X175" s="9"/>
      <c r="Y175" s="9"/>
      <c r="Z175" s="11"/>
      <c r="AA175" s="11" t="n">
        <v>42.8</v>
      </c>
      <c r="AB175" s="9" t="str">
        <f aca="false">IF(B175&lt;F175,"Y","")</f>
        <v/>
      </c>
      <c r="AC175" s="9" t="str">
        <f aca="false">IF(O175&lt;&gt;"Y","Y","")</f>
        <v/>
      </c>
      <c r="AD175" s="9" t="str">
        <f aca="false">IF(AND(M175="declined-prior-offer",S175=""),"Y","")</f>
        <v/>
      </c>
      <c r="AE175" s="9" t="str">
        <f aca="false">IF(OR(R175&lt;&gt;"MATCH",ISNUMBER(SEARCH("conflict",Q175))),"Y","")</f>
        <v/>
      </c>
      <c r="AF175" s="9" t="str">
        <f aca="false">IF(AND(ISNUMBER(Z175),ABS(Z175-AA175)&gt;0.001),"Y","")</f>
        <v/>
      </c>
      <c r="AG175" s="9" t="str">
        <f aca="false">IF(AND(W175&lt;&gt;"",Y175&lt;&gt;"ACCEPTED"),"Y","")</f>
        <v/>
      </c>
      <c r="AH175" s="9" t="str">
        <f aca="false">IF(COUNTIF(AB175:AG175,"Y")&gt;0,"EXCEPTION","NO EXCEPTION IDENTIFIED")</f>
        <v>NO EXCEPTION IDENTIFIED</v>
      </c>
      <c r="AI175" s="12" t="s">
        <v>156</v>
      </c>
      <c r="AJ175" s="12" t="s">
        <v>1172</v>
      </c>
    </row>
    <row r="176" customFormat="false" ht="20.85" hidden="false" customHeight="false" outlineLevel="0" collapsed="false">
      <c r="A176" s="13" t="s">
        <v>1173</v>
      </c>
      <c r="B176" s="14" t="n">
        <v>45708</v>
      </c>
      <c r="C176" s="13" t="s">
        <v>1174</v>
      </c>
      <c r="D176" s="13" t="s">
        <v>1175</v>
      </c>
      <c r="E176" s="13" t="n">
        <v>2244</v>
      </c>
      <c r="F176" s="14" t="n">
        <v>45825</v>
      </c>
      <c r="G176" s="13" t="n">
        <f aca="false">B176-F176</f>
        <v>-117</v>
      </c>
      <c r="H176" s="13" t="s">
        <v>1176</v>
      </c>
      <c r="I176" s="13" t="s">
        <v>1177</v>
      </c>
      <c r="J176" s="13" t="s">
        <v>145</v>
      </c>
      <c r="K176" s="13" t="s">
        <v>146</v>
      </c>
      <c r="L176" s="15" t="n">
        <v>24</v>
      </c>
      <c r="M176" s="13" t="s">
        <v>136</v>
      </c>
      <c r="N176" s="13" t="s">
        <v>137</v>
      </c>
      <c r="O176" s="13" t="s">
        <v>117</v>
      </c>
      <c r="P176" s="13" t="s">
        <v>138</v>
      </c>
      <c r="Q176" s="13" t="s">
        <v>119</v>
      </c>
      <c r="R176" s="13" t="s">
        <v>120</v>
      </c>
      <c r="S176" s="13"/>
      <c r="T176" s="14"/>
      <c r="U176" s="13"/>
      <c r="V176" s="13"/>
      <c r="W176" s="14"/>
      <c r="X176" s="13"/>
      <c r="Y176" s="13"/>
      <c r="Z176" s="15"/>
      <c r="AA176" s="15" t="n">
        <v>43.4</v>
      </c>
      <c r="AB176" s="13" t="str">
        <f aca="false">IF(B176&lt;F176,"Y","")</f>
        <v>Y</v>
      </c>
      <c r="AC176" s="13" t="str">
        <f aca="false">IF(O176&lt;&gt;"Y","Y","")</f>
        <v/>
      </c>
      <c r="AD176" s="13" t="str">
        <f aca="false">IF(AND(M176="declined-prior-offer",S176=""),"Y","")</f>
        <v/>
      </c>
      <c r="AE176" s="13" t="str">
        <f aca="false">IF(OR(R176&lt;&gt;"MATCH",ISNUMBER(SEARCH("conflict",Q176))),"Y","")</f>
        <v/>
      </c>
      <c r="AF176" s="13" t="str">
        <f aca="false">IF(AND(ISNUMBER(Z176),ABS(Z176-AA176)&gt;0.001),"Y","")</f>
        <v/>
      </c>
      <c r="AG176" s="13" t="str">
        <f aca="false">IF(AND(W176&lt;&gt;"",Y176&lt;&gt;"ACCEPTED"),"Y","")</f>
        <v/>
      </c>
      <c r="AH176" s="13" t="str">
        <f aca="false">IF(COUNTIF(AB176:AG176,"Y")&gt;0,"EXCEPTION","NO EXCEPTION IDENTIFIED")</f>
        <v>EXCEPTION</v>
      </c>
      <c r="AI176" s="16" t="s">
        <v>121</v>
      </c>
      <c r="AJ176" s="16" t="s">
        <v>1178</v>
      </c>
    </row>
    <row r="177" customFormat="false" ht="20.85" hidden="false" customHeight="false" outlineLevel="0" collapsed="false">
      <c r="A177" s="9" t="s">
        <v>1179</v>
      </c>
      <c r="B177" s="10" t="n">
        <v>45717</v>
      </c>
      <c r="C177" s="9" t="s">
        <v>1180</v>
      </c>
      <c r="D177" s="9" t="s">
        <v>1181</v>
      </c>
      <c r="E177" s="9" t="n">
        <v>2815</v>
      </c>
      <c r="F177" s="10" t="n">
        <v>46140</v>
      </c>
      <c r="G177" s="9" t="n">
        <f aca="false">B177-F177</f>
        <v>-423</v>
      </c>
      <c r="H177" s="9" t="s">
        <v>1182</v>
      </c>
      <c r="I177" s="9" t="s">
        <v>917</v>
      </c>
      <c r="J177" s="9" t="s">
        <v>113</v>
      </c>
      <c r="K177" s="9" t="s">
        <v>114</v>
      </c>
      <c r="L177" s="11" t="n">
        <v>32</v>
      </c>
      <c r="M177" s="9" t="s">
        <v>185</v>
      </c>
      <c r="N177" s="9" t="s">
        <v>186</v>
      </c>
      <c r="O177" s="9" t="s">
        <v>117</v>
      </c>
      <c r="P177" s="9" t="s">
        <v>128</v>
      </c>
      <c r="Q177" s="9" t="s">
        <v>119</v>
      </c>
      <c r="R177" s="9" t="s">
        <v>120</v>
      </c>
      <c r="S177" s="9"/>
      <c r="T177" s="10"/>
      <c r="U177" s="9"/>
      <c r="V177" s="9"/>
      <c r="W177" s="10"/>
      <c r="X177" s="9"/>
      <c r="Y177" s="9"/>
      <c r="Z177" s="11"/>
      <c r="AA177" s="11" t="n">
        <v>19.2</v>
      </c>
      <c r="AB177" s="9" t="str">
        <f aca="false">IF(B177&lt;F177,"Y","")</f>
        <v>Y</v>
      </c>
      <c r="AC177" s="9" t="str">
        <f aca="false">IF(O177&lt;&gt;"Y","Y","")</f>
        <v/>
      </c>
      <c r="AD177" s="9" t="str">
        <f aca="false">IF(AND(M177="declined-prior-offer",S177=""),"Y","")</f>
        <v/>
      </c>
      <c r="AE177" s="9" t="str">
        <f aca="false">IF(OR(R177&lt;&gt;"MATCH",ISNUMBER(SEARCH("conflict",Q177))),"Y","")</f>
        <v/>
      </c>
      <c r="AF177" s="9" t="str">
        <f aca="false">IF(AND(ISNUMBER(Z177),ABS(Z177-AA177)&gt;0.001),"Y","")</f>
        <v/>
      </c>
      <c r="AG177" s="9" t="str">
        <f aca="false">IF(AND(W177&lt;&gt;"",Y177&lt;&gt;"ACCEPTED"),"Y","")</f>
        <v/>
      </c>
      <c r="AH177" s="9" t="str">
        <f aca="false">IF(COUNTIF(AB177:AG177,"Y")&gt;0,"EXCEPTION","NO EXCEPTION IDENTIFIED")</f>
        <v>EXCEPTION</v>
      </c>
      <c r="AI177" s="12" t="s">
        <v>121</v>
      </c>
      <c r="AJ177" s="12" t="s">
        <v>1183</v>
      </c>
    </row>
    <row r="178" customFormat="false" ht="20.85" hidden="false" customHeight="false" outlineLevel="0" collapsed="false">
      <c r="A178" s="13" t="s">
        <v>1184</v>
      </c>
      <c r="B178" s="14" t="n">
        <v>45725</v>
      </c>
      <c r="C178" s="13" t="s">
        <v>1185</v>
      </c>
      <c r="D178" s="13" t="s">
        <v>1186</v>
      </c>
      <c r="E178" s="13" t="n">
        <v>2604</v>
      </c>
      <c r="F178" s="14" t="n">
        <v>46008</v>
      </c>
      <c r="G178" s="13" t="n">
        <f aca="false">B178-F178</f>
        <v>-283</v>
      </c>
      <c r="H178" s="13" t="s">
        <v>1187</v>
      </c>
      <c r="I178" s="13" t="s">
        <v>1188</v>
      </c>
      <c r="J178" s="13" t="s">
        <v>145</v>
      </c>
      <c r="K178" s="13" t="s">
        <v>146</v>
      </c>
      <c r="L178" s="15" t="n">
        <v>45</v>
      </c>
      <c r="M178" s="13" t="s">
        <v>136</v>
      </c>
      <c r="N178" s="13" t="s">
        <v>137</v>
      </c>
      <c r="O178" s="13" t="s">
        <v>117</v>
      </c>
      <c r="P178" s="13" t="s">
        <v>178</v>
      </c>
      <c r="Q178" s="13" t="s">
        <v>119</v>
      </c>
      <c r="R178" s="13" t="s">
        <v>120</v>
      </c>
      <c r="S178" s="13"/>
      <c r="T178" s="14"/>
      <c r="U178" s="13"/>
      <c r="V178" s="13"/>
      <c r="W178" s="14"/>
      <c r="X178" s="13"/>
      <c r="Y178" s="13"/>
      <c r="Z178" s="15"/>
      <c r="AA178" s="15" t="n">
        <v>54.1</v>
      </c>
      <c r="AB178" s="13" t="str">
        <f aca="false">IF(B178&lt;F178,"Y","")</f>
        <v>Y</v>
      </c>
      <c r="AC178" s="13" t="str">
        <f aca="false">IF(O178&lt;&gt;"Y","Y","")</f>
        <v/>
      </c>
      <c r="AD178" s="13" t="str">
        <f aca="false">IF(AND(M178="declined-prior-offer",S178=""),"Y","")</f>
        <v/>
      </c>
      <c r="AE178" s="13" t="str">
        <f aca="false">IF(OR(R178&lt;&gt;"MATCH",ISNUMBER(SEARCH("conflict",Q178))),"Y","")</f>
        <v/>
      </c>
      <c r="AF178" s="13" t="str">
        <f aca="false">IF(AND(ISNUMBER(Z178),ABS(Z178-AA178)&gt;0.001),"Y","")</f>
        <v/>
      </c>
      <c r="AG178" s="13" t="str">
        <f aca="false">IF(AND(W178&lt;&gt;"",Y178&lt;&gt;"ACCEPTED"),"Y","")</f>
        <v/>
      </c>
      <c r="AH178" s="13" t="str">
        <f aca="false">IF(COUNTIF(AB178:AG178,"Y")&gt;0,"EXCEPTION","NO EXCEPTION IDENTIFIED")</f>
        <v>EXCEPTION</v>
      </c>
      <c r="AI178" s="16" t="s">
        <v>121</v>
      </c>
      <c r="AJ178" s="16" t="s">
        <v>1189</v>
      </c>
    </row>
    <row r="179" customFormat="false" ht="20.85" hidden="false" customHeight="false" outlineLevel="0" collapsed="false">
      <c r="A179" s="9" t="s">
        <v>1190</v>
      </c>
      <c r="B179" s="10" t="n">
        <v>45728</v>
      </c>
      <c r="C179" s="9" t="s">
        <v>1191</v>
      </c>
      <c r="D179" s="9" t="s">
        <v>1192</v>
      </c>
      <c r="E179" s="9" t="n">
        <v>2442</v>
      </c>
      <c r="F179" s="10" t="n">
        <v>45918</v>
      </c>
      <c r="G179" s="9" t="n">
        <f aca="false">B179-F179</f>
        <v>-190</v>
      </c>
      <c r="H179" s="9" t="s">
        <v>1193</v>
      </c>
      <c r="I179" s="9" t="s">
        <v>1194</v>
      </c>
      <c r="J179" s="9" t="s">
        <v>204</v>
      </c>
      <c r="K179" s="9" t="s">
        <v>146</v>
      </c>
      <c r="L179" s="11" t="n">
        <v>36</v>
      </c>
      <c r="M179" s="9" t="s">
        <v>136</v>
      </c>
      <c r="N179" s="9" t="s">
        <v>137</v>
      </c>
      <c r="O179" s="9" t="s">
        <v>117</v>
      </c>
      <c r="P179" s="9" t="s">
        <v>118</v>
      </c>
      <c r="Q179" s="9" t="s">
        <v>119</v>
      </c>
      <c r="R179" s="9" t="s">
        <v>120</v>
      </c>
      <c r="S179" s="9"/>
      <c r="T179" s="10"/>
      <c r="U179" s="9"/>
      <c r="V179" s="9"/>
      <c r="W179" s="10"/>
      <c r="X179" s="9"/>
      <c r="Y179" s="9"/>
      <c r="Z179" s="11"/>
      <c r="AA179" s="11" t="n">
        <v>29.5</v>
      </c>
      <c r="AB179" s="9" t="str">
        <f aca="false">IF(B179&lt;F179,"Y","")</f>
        <v>Y</v>
      </c>
      <c r="AC179" s="9" t="str">
        <f aca="false">IF(O179&lt;&gt;"Y","Y","")</f>
        <v/>
      </c>
      <c r="AD179" s="9" t="str">
        <f aca="false">IF(AND(M179="declined-prior-offer",S179=""),"Y","")</f>
        <v/>
      </c>
      <c r="AE179" s="9" t="str">
        <f aca="false">IF(OR(R179&lt;&gt;"MATCH",ISNUMBER(SEARCH("conflict",Q179))),"Y","")</f>
        <v/>
      </c>
      <c r="AF179" s="9" t="str">
        <f aca="false">IF(AND(ISNUMBER(Z179),ABS(Z179-AA179)&gt;0.001),"Y","")</f>
        <v/>
      </c>
      <c r="AG179" s="9" t="str">
        <f aca="false">IF(AND(W179&lt;&gt;"",Y179&lt;&gt;"ACCEPTED"),"Y","")</f>
        <v/>
      </c>
      <c r="AH179" s="9" t="str">
        <f aca="false">IF(COUNTIF(AB179:AG179,"Y")&gt;0,"EXCEPTION","NO EXCEPTION IDENTIFIED")</f>
        <v>EXCEPTION</v>
      </c>
      <c r="AI179" s="12" t="s">
        <v>121</v>
      </c>
      <c r="AJ179" s="12" t="s">
        <v>1195</v>
      </c>
    </row>
    <row r="180" customFormat="false" ht="20.85" hidden="false" customHeight="false" outlineLevel="0" collapsed="false">
      <c r="A180" s="13" t="s">
        <v>1196</v>
      </c>
      <c r="B180" s="14" t="n">
        <v>45738</v>
      </c>
      <c r="C180" s="13" t="s">
        <v>1197</v>
      </c>
      <c r="D180" s="13" t="s">
        <v>1198</v>
      </c>
      <c r="E180" s="13" t="n">
        <v>1067</v>
      </c>
      <c r="F180" s="14" t="n">
        <v>45293</v>
      </c>
      <c r="G180" s="13" t="n">
        <f aca="false">B180-F180</f>
        <v>445</v>
      </c>
      <c r="H180" s="13" t="s">
        <v>1199</v>
      </c>
      <c r="I180" s="13" t="s">
        <v>1200</v>
      </c>
      <c r="J180" s="13" t="s">
        <v>113</v>
      </c>
      <c r="K180" s="13" t="s">
        <v>114</v>
      </c>
      <c r="L180" s="15" t="n">
        <v>28</v>
      </c>
      <c r="M180" s="13" t="s">
        <v>136</v>
      </c>
      <c r="N180" s="13" t="s">
        <v>137</v>
      </c>
      <c r="O180" s="13" t="s">
        <v>117</v>
      </c>
      <c r="P180" s="13" t="s">
        <v>178</v>
      </c>
      <c r="Q180" s="13" t="s">
        <v>119</v>
      </c>
      <c r="R180" s="13" t="s">
        <v>120</v>
      </c>
      <c r="S180" s="13"/>
      <c r="T180" s="14"/>
      <c r="U180" s="13"/>
      <c r="V180" s="13"/>
      <c r="W180" s="14"/>
      <c r="X180" s="13"/>
      <c r="Y180" s="13"/>
      <c r="Z180" s="15"/>
      <c r="AA180" s="15" t="n">
        <v>47.8</v>
      </c>
      <c r="AB180" s="13" t="str">
        <f aca="false">IF(B180&lt;F180,"Y","")</f>
        <v/>
      </c>
      <c r="AC180" s="13" t="str">
        <f aca="false">IF(O180&lt;&gt;"Y","Y","")</f>
        <v/>
      </c>
      <c r="AD180" s="13" t="str">
        <f aca="false">IF(AND(M180="declined-prior-offer",S180=""),"Y","")</f>
        <v/>
      </c>
      <c r="AE180" s="13" t="str">
        <f aca="false">IF(OR(R180&lt;&gt;"MATCH",ISNUMBER(SEARCH("conflict",Q180))),"Y","")</f>
        <v/>
      </c>
      <c r="AF180" s="13" t="str">
        <f aca="false">IF(AND(ISNUMBER(Z180),ABS(Z180-AA180)&gt;0.001),"Y","")</f>
        <v/>
      </c>
      <c r="AG180" s="13" t="str">
        <f aca="false">IF(AND(W180&lt;&gt;"",Y180&lt;&gt;"ACCEPTED"),"Y","")</f>
        <v/>
      </c>
      <c r="AH180" s="13" t="str">
        <f aca="false">IF(COUNTIF(AB180:AG180,"Y")&gt;0,"EXCEPTION","NO EXCEPTION IDENTIFIED")</f>
        <v>NO EXCEPTION IDENTIFIED</v>
      </c>
      <c r="AI180" s="16" t="s">
        <v>156</v>
      </c>
      <c r="AJ180" s="16" t="s">
        <v>1201</v>
      </c>
    </row>
    <row r="181" customFormat="false" ht="20.85" hidden="false" customHeight="false" outlineLevel="0" collapsed="false">
      <c r="A181" s="9" t="s">
        <v>1202</v>
      </c>
      <c r="B181" s="10" t="n">
        <v>45743</v>
      </c>
      <c r="C181" s="9" t="s">
        <v>1203</v>
      </c>
      <c r="D181" s="9" t="s">
        <v>1204</v>
      </c>
      <c r="E181" s="9" t="n">
        <v>523</v>
      </c>
      <c r="F181" s="10" t="n">
        <v>45012</v>
      </c>
      <c r="G181" s="9" t="n">
        <f aca="false">B181-F181</f>
        <v>731</v>
      </c>
      <c r="H181" s="9" t="s">
        <v>1205</v>
      </c>
      <c r="I181" s="9" t="s">
        <v>1206</v>
      </c>
      <c r="J181" s="9" t="s">
        <v>113</v>
      </c>
      <c r="K181" s="9" t="s">
        <v>114</v>
      </c>
      <c r="L181" s="11" t="n">
        <v>36</v>
      </c>
      <c r="M181" s="9" t="s">
        <v>136</v>
      </c>
      <c r="N181" s="9" t="s">
        <v>137</v>
      </c>
      <c r="O181" s="9" t="s">
        <v>117</v>
      </c>
      <c r="P181" s="9" t="s">
        <v>138</v>
      </c>
      <c r="Q181" s="9" t="s">
        <v>119</v>
      </c>
      <c r="R181" s="9" t="s">
        <v>120</v>
      </c>
      <c r="S181" s="9"/>
      <c r="T181" s="10"/>
      <c r="U181" s="9"/>
      <c r="V181" s="9"/>
      <c r="W181" s="10"/>
      <c r="X181" s="9"/>
      <c r="Y181" s="9"/>
      <c r="Z181" s="11"/>
      <c r="AA181" s="11" t="n">
        <v>49.4</v>
      </c>
      <c r="AB181" s="9" t="str">
        <f aca="false">IF(B181&lt;F181,"Y","")</f>
        <v/>
      </c>
      <c r="AC181" s="9" t="str">
        <f aca="false">IF(O181&lt;&gt;"Y","Y","")</f>
        <v/>
      </c>
      <c r="AD181" s="9" t="str">
        <f aca="false">IF(AND(M181="declined-prior-offer",S181=""),"Y","")</f>
        <v/>
      </c>
      <c r="AE181" s="9" t="str">
        <f aca="false">IF(OR(R181&lt;&gt;"MATCH",ISNUMBER(SEARCH("conflict",Q181))),"Y","")</f>
        <v/>
      </c>
      <c r="AF181" s="9" t="str">
        <f aca="false">IF(AND(ISNUMBER(Z181),ABS(Z181-AA181)&gt;0.001),"Y","")</f>
        <v/>
      </c>
      <c r="AG181" s="9" t="str">
        <f aca="false">IF(AND(W181&lt;&gt;"",Y181&lt;&gt;"ACCEPTED"),"Y","")</f>
        <v/>
      </c>
      <c r="AH181" s="9" t="str">
        <f aca="false">IF(COUNTIF(AB181:AG181,"Y")&gt;0,"EXCEPTION","NO EXCEPTION IDENTIFIED")</f>
        <v>NO EXCEPTION IDENTIFIED</v>
      </c>
      <c r="AI181" s="12" t="s">
        <v>156</v>
      </c>
      <c r="AJ181" s="12" t="s">
        <v>1207</v>
      </c>
    </row>
    <row r="182" customFormat="false" ht="20.85" hidden="false" customHeight="false" outlineLevel="0" collapsed="false">
      <c r="A182" s="13" t="s">
        <v>1208</v>
      </c>
      <c r="B182" s="14" t="n">
        <v>45749</v>
      </c>
      <c r="C182" s="13" t="s">
        <v>1209</v>
      </c>
      <c r="D182" s="13" t="s">
        <v>1210</v>
      </c>
      <c r="E182" s="13" t="n">
        <v>1178</v>
      </c>
      <c r="F182" s="14" t="n">
        <v>45352</v>
      </c>
      <c r="G182" s="13" t="n">
        <f aca="false">B182-F182</f>
        <v>397</v>
      </c>
      <c r="H182" s="13" t="s">
        <v>1211</v>
      </c>
      <c r="I182" s="13" t="s">
        <v>1125</v>
      </c>
      <c r="J182" s="13" t="s">
        <v>155</v>
      </c>
      <c r="K182" s="13" t="s">
        <v>146</v>
      </c>
      <c r="L182" s="15" t="n">
        <v>32</v>
      </c>
      <c r="M182" s="13" t="s">
        <v>115</v>
      </c>
      <c r="N182" s="13" t="s">
        <v>116</v>
      </c>
      <c r="O182" s="13" t="s">
        <v>117</v>
      </c>
      <c r="P182" s="13" t="s">
        <v>128</v>
      </c>
      <c r="Q182" s="13" t="s">
        <v>119</v>
      </c>
      <c r="R182" s="13" t="s">
        <v>120</v>
      </c>
      <c r="S182" s="13"/>
      <c r="T182" s="14"/>
      <c r="U182" s="13"/>
      <c r="V182" s="13"/>
      <c r="W182" s="14"/>
      <c r="X182" s="13"/>
      <c r="Y182" s="13"/>
      <c r="Z182" s="15"/>
      <c r="AA182" s="15" t="n">
        <v>24.8</v>
      </c>
      <c r="AB182" s="13" t="str">
        <f aca="false">IF(B182&lt;F182,"Y","")</f>
        <v/>
      </c>
      <c r="AC182" s="13" t="str">
        <f aca="false">IF(O182&lt;&gt;"Y","Y","")</f>
        <v/>
      </c>
      <c r="AD182" s="13" t="str">
        <f aca="false">IF(AND(M182="declined-prior-offer",S182=""),"Y","")</f>
        <v/>
      </c>
      <c r="AE182" s="13" t="str">
        <f aca="false">IF(OR(R182&lt;&gt;"MATCH",ISNUMBER(SEARCH("conflict",Q182))),"Y","")</f>
        <v/>
      </c>
      <c r="AF182" s="13" t="str">
        <f aca="false">IF(AND(ISNUMBER(Z182),ABS(Z182-AA182)&gt;0.001),"Y","")</f>
        <v/>
      </c>
      <c r="AG182" s="13" t="str">
        <f aca="false">IF(AND(W182&lt;&gt;"",Y182&lt;&gt;"ACCEPTED"),"Y","")</f>
        <v/>
      </c>
      <c r="AH182" s="13" t="str">
        <f aca="false">IF(COUNTIF(AB182:AG182,"Y")&gt;0,"EXCEPTION","NO EXCEPTION IDENTIFIED")</f>
        <v>NO EXCEPTION IDENTIFIED</v>
      </c>
      <c r="AI182" s="16" t="s">
        <v>156</v>
      </c>
      <c r="AJ182" s="16" t="s">
        <v>1212</v>
      </c>
    </row>
    <row r="183" customFormat="false" ht="20.85" hidden="false" customHeight="false" outlineLevel="0" collapsed="false">
      <c r="A183" s="9" t="s">
        <v>1213</v>
      </c>
      <c r="B183" s="10" t="n">
        <v>45752</v>
      </c>
      <c r="C183" s="9" t="s">
        <v>1214</v>
      </c>
      <c r="D183" s="9" t="s">
        <v>1215</v>
      </c>
      <c r="E183" s="9" t="n">
        <v>1524</v>
      </c>
      <c r="F183" s="10" t="n">
        <v>45511</v>
      </c>
      <c r="G183" s="9" t="n">
        <f aca="false">B183-F183</f>
        <v>241</v>
      </c>
      <c r="H183" s="9" t="s">
        <v>1216</v>
      </c>
      <c r="I183" s="9" t="s">
        <v>1217</v>
      </c>
      <c r="J183" s="9" t="s">
        <v>204</v>
      </c>
      <c r="K183" s="9" t="s">
        <v>146</v>
      </c>
      <c r="L183" s="11" t="n">
        <v>32</v>
      </c>
      <c r="M183" s="9" t="s">
        <v>115</v>
      </c>
      <c r="N183" s="9" t="s">
        <v>116</v>
      </c>
      <c r="O183" s="9" t="s">
        <v>117</v>
      </c>
      <c r="P183" s="9" t="s">
        <v>118</v>
      </c>
      <c r="Q183" s="9" t="s">
        <v>119</v>
      </c>
      <c r="R183" s="9" t="s">
        <v>120</v>
      </c>
      <c r="S183" s="9"/>
      <c r="T183" s="10"/>
      <c r="U183" s="9"/>
      <c r="V183" s="9"/>
      <c r="W183" s="10"/>
      <c r="X183" s="9"/>
      <c r="Y183" s="9"/>
      <c r="Z183" s="11"/>
      <c r="AA183" s="11" t="n">
        <v>53.4</v>
      </c>
      <c r="AB183" s="9" t="str">
        <f aca="false">IF(B183&lt;F183,"Y","")</f>
        <v/>
      </c>
      <c r="AC183" s="9" t="str">
        <f aca="false">IF(O183&lt;&gt;"Y","Y","")</f>
        <v/>
      </c>
      <c r="AD183" s="9" t="str">
        <f aca="false">IF(AND(M183="declined-prior-offer",S183=""),"Y","")</f>
        <v/>
      </c>
      <c r="AE183" s="9" t="str">
        <f aca="false">IF(OR(R183&lt;&gt;"MATCH",ISNUMBER(SEARCH("conflict",Q183))),"Y","")</f>
        <v/>
      </c>
      <c r="AF183" s="9" t="str">
        <f aca="false">IF(AND(ISNUMBER(Z183),ABS(Z183-AA183)&gt;0.001),"Y","")</f>
        <v/>
      </c>
      <c r="AG183" s="9" t="str">
        <f aca="false">IF(AND(W183&lt;&gt;"",Y183&lt;&gt;"ACCEPTED"),"Y","")</f>
        <v/>
      </c>
      <c r="AH183" s="9" t="str">
        <f aca="false">IF(COUNTIF(AB183:AG183,"Y")&gt;0,"EXCEPTION","NO EXCEPTION IDENTIFIED")</f>
        <v>NO EXCEPTION IDENTIFIED</v>
      </c>
      <c r="AI183" s="12" t="s">
        <v>156</v>
      </c>
      <c r="AJ183" s="12" t="s">
        <v>1218</v>
      </c>
    </row>
    <row r="184" customFormat="false" ht="20.85" hidden="false" customHeight="false" outlineLevel="0" collapsed="false">
      <c r="A184" s="13" t="s">
        <v>1219</v>
      </c>
      <c r="B184" s="14" t="n">
        <v>45754</v>
      </c>
      <c r="C184" s="13" t="s">
        <v>1220</v>
      </c>
      <c r="D184" s="13" t="s">
        <v>1221</v>
      </c>
      <c r="E184" s="13" t="n">
        <v>808</v>
      </c>
      <c r="F184" s="14" t="n">
        <v>45172</v>
      </c>
      <c r="G184" s="13" t="n">
        <f aca="false">B184-F184</f>
        <v>582</v>
      </c>
      <c r="H184" s="13" t="s">
        <v>1222</v>
      </c>
      <c r="I184" s="13" t="s">
        <v>1223</v>
      </c>
      <c r="J184" s="13" t="s">
        <v>113</v>
      </c>
      <c r="K184" s="13" t="s">
        <v>114</v>
      </c>
      <c r="L184" s="15" t="n">
        <v>40</v>
      </c>
      <c r="M184" s="13" t="s">
        <v>136</v>
      </c>
      <c r="N184" s="13" t="s">
        <v>137</v>
      </c>
      <c r="O184" s="13" t="s">
        <v>117</v>
      </c>
      <c r="P184" s="13" t="s">
        <v>118</v>
      </c>
      <c r="Q184" s="13" t="s">
        <v>119</v>
      </c>
      <c r="R184" s="13" t="s">
        <v>120</v>
      </c>
      <c r="S184" s="13"/>
      <c r="T184" s="14"/>
      <c r="U184" s="13"/>
      <c r="V184" s="13"/>
      <c r="W184" s="14"/>
      <c r="X184" s="13"/>
      <c r="Y184" s="13"/>
      <c r="Z184" s="15"/>
      <c r="AA184" s="15" t="n">
        <v>46.7</v>
      </c>
      <c r="AB184" s="13" t="str">
        <f aca="false">IF(B184&lt;F184,"Y","")</f>
        <v/>
      </c>
      <c r="AC184" s="13" t="str">
        <f aca="false">IF(O184&lt;&gt;"Y","Y","")</f>
        <v/>
      </c>
      <c r="AD184" s="13" t="str">
        <f aca="false">IF(AND(M184="declined-prior-offer",S184=""),"Y","")</f>
        <v/>
      </c>
      <c r="AE184" s="13" t="str">
        <f aca="false">IF(OR(R184&lt;&gt;"MATCH",ISNUMBER(SEARCH("conflict",Q184))),"Y","")</f>
        <v/>
      </c>
      <c r="AF184" s="13" t="str">
        <f aca="false">IF(AND(ISNUMBER(Z184),ABS(Z184-AA184)&gt;0.001),"Y","")</f>
        <v/>
      </c>
      <c r="AG184" s="13" t="str">
        <f aca="false">IF(AND(W184&lt;&gt;"",Y184&lt;&gt;"ACCEPTED"),"Y","")</f>
        <v/>
      </c>
      <c r="AH184" s="13" t="str">
        <f aca="false">IF(COUNTIF(AB184:AG184,"Y")&gt;0,"EXCEPTION","NO EXCEPTION IDENTIFIED")</f>
        <v>NO EXCEPTION IDENTIFIED</v>
      </c>
      <c r="AI184" s="16" t="s">
        <v>156</v>
      </c>
      <c r="AJ184" s="16" t="s">
        <v>1224</v>
      </c>
    </row>
    <row r="185" customFormat="false" ht="20.85" hidden="false" customHeight="false" outlineLevel="0" collapsed="false">
      <c r="A185" s="9" t="s">
        <v>1225</v>
      </c>
      <c r="B185" s="10" t="n">
        <v>45756</v>
      </c>
      <c r="C185" s="9" t="s">
        <v>732</v>
      </c>
      <c r="D185" s="9" t="s">
        <v>733</v>
      </c>
      <c r="E185" s="9" t="n">
        <v>1653</v>
      </c>
      <c r="F185" s="10" t="n">
        <v>45566</v>
      </c>
      <c r="G185" s="9" t="n">
        <f aca="false">B185-F185</f>
        <v>190</v>
      </c>
      <c r="H185" s="9" t="s">
        <v>1226</v>
      </c>
      <c r="I185" s="9" t="s">
        <v>162</v>
      </c>
      <c r="J185" s="9" t="s">
        <v>155</v>
      </c>
      <c r="K185" s="9" t="s">
        <v>146</v>
      </c>
      <c r="L185" s="11" t="n">
        <v>24</v>
      </c>
      <c r="M185" s="9" t="s">
        <v>136</v>
      </c>
      <c r="N185" s="9" t="s">
        <v>137</v>
      </c>
      <c r="O185" s="9" t="s">
        <v>117</v>
      </c>
      <c r="P185" s="9" t="s">
        <v>178</v>
      </c>
      <c r="Q185" s="9" t="s">
        <v>119</v>
      </c>
      <c r="R185" s="9" t="s">
        <v>120</v>
      </c>
      <c r="S185" s="9"/>
      <c r="T185" s="10"/>
      <c r="U185" s="9"/>
      <c r="V185" s="9"/>
      <c r="W185" s="10"/>
      <c r="X185" s="9"/>
      <c r="Y185" s="9"/>
      <c r="Z185" s="11"/>
      <c r="AA185" s="11" t="n">
        <v>34.4</v>
      </c>
      <c r="AB185" s="9" t="str">
        <f aca="false">IF(B185&lt;F185,"Y","")</f>
        <v/>
      </c>
      <c r="AC185" s="9" t="str">
        <f aca="false">IF(O185&lt;&gt;"Y","Y","")</f>
        <v/>
      </c>
      <c r="AD185" s="9" t="str">
        <f aca="false">IF(AND(M185="declined-prior-offer",S185=""),"Y","")</f>
        <v/>
      </c>
      <c r="AE185" s="9" t="str">
        <f aca="false">IF(OR(R185&lt;&gt;"MATCH",ISNUMBER(SEARCH("conflict",Q185))),"Y","")</f>
        <v/>
      </c>
      <c r="AF185" s="9" t="str">
        <f aca="false">IF(AND(ISNUMBER(Z185),ABS(Z185-AA185)&gt;0.001),"Y","")</f>
        <v/>
      </c>
      <c r="AG185" s="9" t="str">
        <f aca="false">IF(AND(W185&lt;&gt;"",Y185&lt;&gt;"ACCEPTED"),"Y","")</f>
        <v/>
      </c>
      <c r="AH185" s="9" t="str">
        <f aca="false">IF(COUNTIF(AB185:AG185,"Y")&gt;0,"EXCEPTION","NO EXCEPTION IDENTIFIED")</f>
        <v>NO EXCEPTION IDENTIFIED</v>
      </c>
      <c r="AI185" s="12" t="s">
        <v>156</v>
      </c>
      <c r="AJ185" s="12" t="s">
        <v>1227</v>
      </c>
    </row>
    <row r="186" customFormat="false" ht="20.85" hidden="false" customHeight="false" outlineLevel="0" collapsed="false">
      <c r="A186" s="13" t="s">
        <v>1228</v>
      </c>
      <c r="B186" s="14" t="n">
        <v>45756</v>
      </c>
      <c r="C186" s="13" t="s">
        <v>1229</v>
      </c>
      <c r="D186" s="13" t="s">
        <v>1230</v>
      </c>
      <c r="E186" s="13" t="n">
        <v>1188</v>
      </c>
      <c r="F186" s="14" t="n">
        <v>45358</v>
      </c>
      <c r="G186" s="13" t="n">
        <f aca="false">B186-F186</f>
        <v>398</v>
      </c>
      <c r="H186" s="13" t="s">
        <v>1231</v>
      </c>
      <c r="I186" s="13" t="s">
        <v>1232</v>
      </c>
      <c r="J186" s="13" t="s">
        <v>113</v>
      </c>
      <c r="K186" s="13" t="s">
        <v>114</v>
      </c>
      <c r="L186" s="15" t="n">
        <v>32</v>
      </c>
      <c r="M186" s="13" t="s">
        <v>115</v>
      </c>
      <c r="N186" s="13" t="s">
        <v>116</v>
      </c>
      <c r="O186" s="13" t="s">
        <v>117</v>
      </c>
      <c r="P186" s="13" t="s">
        <v>178</v>
      </c>
      <c r="Q186" s="13" t="s">
        <v>119</v>
      </c>
      <c r="R186" s="13" t="s">
        <v>120</v>
      </c>
      <c r="S186" s="13"/>
      <c r="T186" s="14"/>
      <c r="U186" s="13"/>
      <c r="V186" s="13"/>
      <c r="W186" s="14"/>
      <c r="X186" s="13"/>
      <c r="Y186" s="13"/>
      <c r="Z186" s="15"/>
      <c r="AA186" s="15" t="n">
        <v>32.3</v>
      </c>
      <c r="AB186" s="13" t="str">
        <f aca="false">IF(B186&lt;F186,"Y","")</f>
        <v/>
      </c>
      <c r="AC186" s="13" t="str">
        <f aca="false">IF(O186&lt;&gt;"Y","Y","")</f>
        <v/>
      </c>
      <c r="AD186" s="13" t="str">
        <f aca="false">IF(AND(M186="declined-prior-offer",S186=""),"Y","")</f>
        <v/>
      </c>
      <c r="AE186" s="13" t="str">
        <f aca="false">IF(OR(R186&lt;&gt;"MATCH",ISNUMBER(SEARCH("conflict",Q186))),"Y","")</f>
        <v/>
      </c>
      <c r="AF186" s="13" t="str">
        <f aca="false">IF(AND(ISNUMBER(Z186),ABS(Z186-AA186)&gt;0.001),"Y","")</f>
        <v/>
      </c>
      <c r="AG186" s="13" t="str">
        <f aca="false">IF(AND(W186&lt;&gt;"",Y186&lt;&gt;"ACCEPTED"),"Y","")</f>
        <v/>
      </c>
      <c r="AH186" s="13" t="str">
        <f aca="false">IF(COUNTIF(AB186:AG186,"Y")&gt;0,"EXCEPTION","NO EXCEPTION IDENTIFIED")</f>
        <v>NO EXCEPTION IDENTIFIED</v>
      </c>
      <c r="AI186" s="16" t="s">
        <v>156</v>
      </c>
      <c r="AJ186" s="16" t="s">
        <v>1233</v>
      </c>
    </row>
    <row r="187" customFormat="false" ht="20.85" hidden="false" customHeight="false" outlineLevel="0" collapsed="false">
      <c r="A187" s="9" t="s">
        <v>1234</v>
      </c>
      <c r="B187" s="10" t="n">
        <v>45761</v>
      </c>
      <c r="C187" s="9" t="s">
        <v>1235</v>
      </c>
      <c r="D187" s="9" t="s">
        <v>1236</v>
      </c>
      <c r="E187" s="9" t="n">
        <v>1845</v>
      </c>
      <c r="F187" s="10" t="n">
        <v>45648</v>
      </c>
      <c r="G187" s="9" t="n">
        <f aca="false">B187-F187</f>
        <v>113</v>
      </c>
      <c r="H187" s="9" t="s">
        <v>1237</v>
      </c>
      <c r="I187" s="9" t="s">
        <v>1238</v>
      </c>
      <c r="J187" s="9" t="s">
        <v>204</v>
      </c>
      <c r="K187" s="9" t="s">
        <v>146</v>
      </c>
      <c r="L187" s="11" t="n">
        <v>24</v>
      </c>
      <c r="M187" s="9" t="s">
        <v>169</v>
      </c>
      <c r="N187" s="9" t="s">
        <v>170</v>
      </c>
      <c r="O187" s="9" t="s">
        <v>117</v>
      </c>
      <c r="P187" s="9" t="s">
        <v>178</v>
      </c>
      <c r="Q187" s="9" t="s">
        <v>119</v>
      </c>
      <c r="R187" s="9" t="s">
        <v>120</v>
      </c>
      <c r="S187" s="9"/>
      <c r="T187" s="10"/>
      <c r="U187" s="9"/>
      <c r="V187" s="9"/>
      <c r="W187" s="10"/>
      <c r="X187" s="9"/>
      <c r="Y187" s="9"/>
      <c r="Z187" s="11"/>
      <c r="AA187" s="11" t="n">
        <v>35.5</v>
      </c>
      <c r="AB187" s="9" t="str">
        <f aca="false">IF(B187&lt;F187,"Y","")</f>
        <v/>
      </c>
      <c r="AC187" s="9" t="str">
        <f aca="false">IF(O187&lt;&gt;"Y","Y","")</f>
        <v/>
      </c>
      <c r="AD187" s="9" t="str">
        <f aca="false">IF(AND(M187="declined-prior-offer",S187=""),"Y","")</f>
        <v>Y</v>
      </c>
      <c r="AE187" s="9" t="str">
        <f aca="false">IF(OR(R187&lt;&gt;"MATCH",ISNUMBER(SEARCH("conflict",Q187))),"Y","")</f>
        <v/>
      </c>
      <c r="AF187" s="9" t="str">
        <f aca="false">IF(AND(ISNUMBER(Z187),ABS(Z187-AA187)&gt;0.001),"Y","")</f>
        <v/>
      </c>
      <c r="AG187" s="9" t="str">
        <f aca="false">IF(AND(W187&lt;&gt;"",Y187&lt;&gt;"ACCEPTED"),"Y","")</f>
        <v/>
      </c>
      <c r="AH187" s="9" t="str">
        <f aca="false">IF(COUNTIF(AB187:AG187,"Y")&gt;0,"EXCEPTION","NO EXCEPTION IDENTIFIED")</f>
        <v>EXCEPTION</v>
      </c>
      <c r="AI187" s="12" t="s">
        <v>229</v>
      </c>
      <c r="AJ187" s="12" t="s">
        <v>1239</v>
      </c>
    </row>
    <row r="188" customFormat="false" ht="20.85" hidden="false" customHeight="false" outlineLevel="0" collapsed="false">
      <c r="A188" s="13" t="s">
        <v>1240</v>
      </c>
      <c r="B188" s="14" t="n">
        <v>45763</v>
      </c>
      <c r="C188" s="13" t="s">
        <v>1241</v>
      </c>
      <c r="D188" s="13" t="s">
        <v>1242</v>
      </c>
      <c r="E188" s="13" t="n">
        <v>578</v>
      </c>
      <c r="F188" s="14" t="n">
        <v>45047</v>
      </c>
      <c r="G188" s="13" t="n">
        <f aca="false">B188-F188</f>
        <v>716</v>
      </c>
      <c r="H188" s="13" t="s">
        <v>1243</v>
      </c>
      <c r="I188" s="13" t="s">
        <v>1244</v>
      </c>
      <c r="J188" s="13" t="s">
        <v>113</v>
      </c>
      <c r="K188" s="13" t="s">
        <v>114</v>
      </c>
      <c r="L188" s="15" t="n">
        <v>32</v>
      </c>
      <c r="M188" s="13" t="s">
        <v>136</v>
      </c>
      <c r="N188" s="13" t="s">
        <v>137</v>
      </c>
      <c r="O188" s="13" t="s">
        <v>117</v>
      </c>
      <c r="P188" s="13" t="s">
        <v>118</v>
      </c>
      <c r="Q188" s="13" t="s">
        <v>119</v>
      </c>
      <c r="R188" s="13" t="s">
        <v>120</v>
      </c>
      <c r="S188" s="13"/>
      <c r="T188" s="14"/>
      <c r="U188" s="13"/>
      <c r="V188" s="13"/>
      <c r="W188" s="14"/>
      <c r="X188" s="13"/>
      <c r="Y188" s="13"/>
      <c r="Z188" s="15"/>
      <c r="AA188" s="15" t="n">
        <v>48.3</v>
      </c>
      <c r="AB188" s="13" t="str">
        <f aca="false">IF(B188&lt;F188,"Y","")</f>
        <v/>
      </c>
      <c r="AC188" s="13" t="str">
        <f aca="false">IF(O188&lt;&gt;"Y","Y","")</f>
        <v/>
      </c>
      <c r="AD188" s="13" t="str">
        <f aca="false">IF(AND(M188="declined-prior-offer",S188=""),"Y","")</f>
        <v/>
      </c>
      <c r="AE188" s="13" t="str">
        <f aca="false">IF(OR(R188&lt;&gt;"MATCH",ISNUMBER(SEARCH("conflict",Q188))),"Y","")</f>
        <v/>
      </c>
      <c r="AF188" s="13" t="str">
        <f aca="false">IF(AND(ISNUMBER(Z188),ABS(Z188-AA188)&gt;0.001),"Y","")</f>
        <v/>
      </c>
      <c r="AG188" s="13" t="str">
        <f aca="false">IF(AND(W188&lt;&gt;"",Y188&lt;&gt;"ACCEPTED"),"Y","")</f>
        <v/>
      </c>
      <c r="AH188" s="13" t="str">
        <f aca="false">IF(COUNTIF(AB188:AG188,"Y")&gt;0,"EXCEPTION","NO EXCEPTION IDENTIFIED")</f>
        <v>NO EXCEPTION IDENTIFIED</v>
      </c>
      <c r="AI188" s="16" t="s">
        <v>156</v>
      </c>
      <c r="AJ188" s="16" t="s">
        <v>1245</v>
      </c>
    </row>
    <row r="189" customFormat="false" ht="20.85" hidden="false" customHeight="false" outlineLevel="0" collapsed="false">
      <c r="A189" s="9" t="s">
        <v>1246</v>
      </c>
      <c r="B189" s="10" t="n">
        <v>45769</v>
      </c>
      <c r="C189" s="9" t="s">
        <v>1247</v>
      </c>
      <c r="D189" s="9" t="s">
        <v>1248</v>
      </c>
      <c r="E189" s="9" t="n">
        <v>1693</v>
      </c>
      <c r="F189" s="10" t="n">
        <v>45581</v>
      </c>
      <c r="G189" s="9" t="n">
        <f aca="false">B189-F189</f>
        <v>188</v>
      </c>
      <c r="H189" s="9" t="s">
        <v>1249</v>
      </c>
      <c r="I189" s="9" t="s">
        <v>1250</v>
      </c>
      <c r="J189" s="9" t="s">
        <v>135</v>
      </c>
      <c r="K189" s="9" t="s">
        <v>114</v>
      </c>
      <c r="L189" s="11" t="n">
        <v>36</v>
      </c>
      <c r="M189" s="9" t="s">
        <v>185</v>
      </c>
      <c r="N189" s="9" t="s">
        <v>186</v>
      </c>
      <c r="O189" s="9" t="s">
        <v>117</v>
      </c>
      <c r="P189" s="9" t="s">
        <v>138</v>
      </c>
      <c r="Q189" s="9" t="s">
        <v>119</v>
      </c>
      <c r="R189" s="9" t="s">
        <v>120</v>
      </c>
      <c r="S189" s="9"/>
      <c r="T189" s="10"/>
      <c r="U189" s="9"/>
      <c r="V189" s="9"/>
      <c r="W189" s="10"/>
      <c r="X189" s="9"/>
      <c r="Y189" s="9"/>
      <c r="Z189" s="11"/>
      <c r="AA189" s="11" t="n">
        <v>45.7</v>
      </c>
      <c r="AB189" s="9" t="str">
        <f aca="false">IF(B189&lt;F189,"Y","")</f>
        <v/>
      </c>
      <c r="AC189" s="9" t="str">
        <f aca="false">IF(O189&lt;&gt;"Y","Y","")</f>
        <v/>
      </c>
      <c r="AD189" s="9" t="str">
        <f aca="false">IF(AND(M189="declined-prior-offer",S189=""),"Y","")</f>
        <v/>
      </c>
      <c r="AE189" s="9" t="str">
        <f aca="false">IF(OR(R189&lt;&gt;"MATCH",ISNUMBER(SEARCH("conflict",Q189))),"Y","")</f>
        <v/>
      </c>
      <c r="AF189" s="9" t="str">
        <f aca="false">IF(AND(ISNUMBER(Z189),ABS(Z189-AA189)&gt;0.001),"Y","")</f>
        <v/>
      </c>
      <c r="AG189" s="9" t="str">
        <f aca="false">IF(AND(W189&lt;&gt;"",Y189&lt;&gt;"ACCEPTED"),"Y","")</f>
        <v/>
      </c>
      <c r="AH189" s="9" t="str">
        <f aca="false">IF(COUNTIF(AB189:AG189,"Y")&gt;0,"EXCEPTION","NO EXCEPTION IDENTIFIED")</f>
        <v>NO EXCEPTION IDENTIFIED</v>
      </c>
      <c r="AI189" s="12" t="s">
        <v>156</v>
      </c>
      <c r="AJ189" s="12" t="s">
        <v>1251</v>
      </c>
    </row>
    <row r="190" customFormat="false" ht="20.85" hidden="false" customHeight="false" outlineLevel="0" collapsed="false">
      <c r="A190" s="13" t="s">
        <v>1252</v>
      </c>
      <c r="B190" s="14" t="n">
        <v>45774</v>
      </c>
      <c r="C190" s="13" t="s">
        <v>1253</v>
      </c>
      <c r="D190" s="13" t="s">
        <v>1254</v>
      </c>
      <c r="E190" s="13" t="n">
        <v>328</v>
      </c>
      <c r="F190" s="14" t="n">
        <v>44902</v>
      </c>
      <c r="G190" s="13" t="n">
        <f aca="false">B190-F190</f>
        <v>872</v>
      </c>
      <c r="H190" s="13" t="s">
        <v>1255</v>
      </c>
      <c r="I190" s="13" t="s">
        <v>1256</v>
      </c>
      <c r="J190" s="13" t="s">
        <v>204</v>
      </c>
      <c r="K190" s="13" t="s">
        <v>146</v>
      </c>
      <c r="L190" s="15" t="n">
        <v>70</v>
      </c>
      <c r="M190" s="13" t="s">
        <v>115</v>
      </c>
      <c r="N190" s="13" t="s">
        <v>116</v>
      </c>
      <c r="O190" s="13" t="s">
        <v>117</v>
      </c>
      <c r="P190" s="13" t="s">
        <v>118</v>
      </c>
      <c r="Q190" s="13" t="s">
        <v>119</v>
      </c>
      <c r="R190" s="13" t="s">
        <v>120</v>
      </c>
      <c r="S190" s="13"/>
      <c r="T190" s="14"/>
      <c r="U190" s="13"/>
      <c r="V190" s="13"/>
      <c r="W190" s="14"/>
      <c r="X190" s="13"/>
      <c r="Y190" s="13"/>
      <c r="Z190" s="15"/>
      <c r="AA190" s="15" t="n">
        <v>52</v>
      </c>
      <c r="AB190" s="13" t="str">
        <f aca="false">IF(B190&lt;F190,"Y","")</f>
        <v/>
      </c>
      <c r="AC190" s="13" t="str">
        <f aca="false">IF(O190&lt;&gt;"Y","Y","")</f>
        <v/>
      </c>
      <c r="AD190" s="13" t="str">
        <f aca="false">IF(AND(M190="declined-prior-offer",S190=""),"Y","")</f>
        <v/>
      </c>
      <c r="AE190" s="13" t="str">
        <f aca="false">IF(OR(R190&lt;&gt;"MATCH",ISNUMBER(SEARCH("conflict",Q190))),"Y","")</f>
        <v/>
      </c>
      <c r="AF190" s="13" t="str">
        <f aca="false">IF(AND(ISNUMBER(Z190),ABS(Z190-AA190)&gt;0.001),"Y","")</f>
        <v/>
      </c>
      <c r="AG190" s="13" t="str">
        <f aca="false">IF(AND(W190&lt;&gt;"",Y190&lt;&gt;"ACCEPTED"),"Y","")</f>
        <v/>
      </c>
      <c r="AH190" s="13" t="str">
        <f aca="false">IF(COUNTIF(AB190:AG190,"Y")&gt;0,"EXCEPTION","NO EXCEPTION IDENTIFIED")</f>
        <v>NO EXCEPTION IDENTIFIED</v>
      </c>
      <c r="AI190" s="16" t="s">
        <v>156</v>
      </c>
      <c r="AJ190" s="16" t="s">
        <v>1257</v>
      </c>
    </row>
    <row r="191" customFormat="false" ht="20.85" hidden="false" customHeight="false" outlineLevel="0" collapsed="false">
      <c r="A191" s="9" t="s">
        <v>1258</v>
      </c>
      <c r="B191" s="10" t="n">
        <v>45782</v>
      </c>
      <c r="C191" s="9" t="s">
        <v>1259</v>
      </c>
      <c r="D191" s="9" t="s">
        <v>1260</v>
      </c>
      <c r="E191" s="9" t="n">
        <v>2662</v>
      </c>
      <c r="F191" s="10" t="n">
        <v>46041</v>
      </c>
      <c r="G191" s="9" t="n">
        <f aca="false">B191-F191</f>
        <v>-259</v>
      </c>
      <c r="H191" s="9" t="s">
        <v>1261</v>
      </c>
      <c r="I191" s="9" t="s">
        <v>1262</v>
      </c>
      <c r="J191" s="9" t="s">
        <v>135</v>
      </c>
      <c r="K191" s="9" t="s">
        <v>114</v>
      </c>
      <c r="L191" s="11" t="n">
        <v>28</v>
      </c>
      <c r="M191" s="9" t="s">
        <v>136</v>
      </c>
      <c r="N191" s="9" t="s">
        <v>137</v>
      </c>
      <c r="O191" s="9" t="s">
        <v>117</v>
      </c>
      <c r="P191" s="9" t="s">
        <v>118</v>
      </c>
      <c r="Q191" s="9" t="s">
        <v>119</v>
      </c>
      <c r="R191" s="9" t="s">
        <v>120</v>
      </c>
      <c r="S191" s="9"/>
      <c r="T191" s="10"/>
      <c r="U191" s="9"/>
      <c r="V191" s="9"/>
      <c r="W191" s="10"/>
      <c r="X191" s="9"/>
      <c r="Y191" s="9"/>
      <c r="Z191" s="11"/>
      <c r="AA191" s="11" t="n">
        <v>26.9</v>
      </c>
      <c r="AB191" s="9" t="str">
        <f aca="false">IF(B191&lt;F191,"Y","")</f>
        <v>Y</v>
      </c>
      <c r="AC191" s="9" t="str">
        <f aca="false">IF(O191&lt;&gt;"Y","Y","")</f>
        <v/>
      </c>
      <c r="AD191" s="9" t="str">
        <f aca="false">IF(AND(M191="declined-prior-offer",S191=""),"Y","")</f>
        <v/>
      </c>
      <c r="AE191" s="9" t="str">
        <f aca="false">IF(OR(R191&lt;&gt;"MATCH",ISNUMBER(SEARCH("conflict",Q191))),"Y","")</f>
        <v/>
      </c>
      <c r="AF191" s="9" t="str">
        <f aca="false">IF(AND(ISNUMBER(Z191),ABS(Z191-AA191)&gt;0.001),"Y","")</f>
        <v/>
      </c>
      <c r="AG191" s="9" t="str">
        <f aca="false">IF(AND(W191&lt;&gt;"",Y191&lt;&gt;"ACCEPTED"),"Y","")</f>
        <v/>
      </c>
      <c r="AH191" s="9" t="str">
        <f aca="false">IF(COUNTIF(AB191:AG191,"Y")&gt;0,"EXCEPTION","NO EXCEPTION IDENTIFIED")</f>
        <v>EXCEPTION</v>
      </c>
      <c r="AI191" s="12" t="s">
        <v>121</v>
      </c>
      <c r="AJ191" s="12" t="s">
        <v>1263</v>
      </c>
    </row>
    <row r="192" customFormat="false" ht="20.85" hidden="false" customHeight="false" outlineLevel="0" collapsed="false">
      <c r="A192" s="13" t="s">
        <v>1264</v>
      </c>
      <c r="B192" s="14" t="n">
        <v>45784</v>
      </c>
      <c r="C192" s="13" t="s">
        <v>1265</v>
      </c>
      <c r="D192" s="13" t="s">
        <v>1266</v>
      </c>
      <c r="E192" s="13" t="n">
        <v>2839</v>
      </c>
      <c r="F192" s="14" t="n">
        <v>46156</v>
      </c>
      <c r="G192" s="13" t="n">
        <f aca="false">B192-F192</f>
        <v>-372</v>
      </c>
      <c r="H192" s="13" t="s">
        <v>1267</v>
      </c>
      <c r="I192" s="13" t="s">
        <v>1268</v>
      </c>
      <c r="J192" s="13" t="s">
        <v>145</v>
      </c>
      <c r="K192" s="13" t="s">
        <v>146</v>
      </c>
      <c r="L192" s="15" t="n">
        <v>36</v>
      </c>
      <c r="M192" s="13" t="s">
        <v>115</v>
      </c>
      <c r="N192" s="13" t="s">
        <v>116</v>
      </c>
      <c r="O192" s="13" t="s">
        <v>117</v>
      </c>
      <c r="P192" s="13" t="s">
        <v>118</v>
      </c>
      <c r="Q192" s="13" t="s">
        <v>119</v>
      </c>
      <c r="R192" s="13" t="s">
        <v>120</v>
      </c>
      <c r="S192" s="13"/>
      <c r="T192" s="14"/>
      <c r="U192" s="13"/>
      <c r="V192" s="13"/>
      <c r="W192" s="14"/>
      <c r="X192" s="13"/>
      <c r="Y192" s="13"/>
      <c r="Z192" s="15"/>
      <c r="AA192" s="15" t="n">
        <v>43.2</v>
      </c>
      <c r="AB192" s="13" t="str">
        <f aca="false">IF(B192&lt;F192,"Y","")</f>
        <v>Y</v>
      </c>
      <c r="AC192" s="13" t="str">
        <f aca="false">IF(O192&lt;&gt;"Y","Y","")</f>
        <v/>
      </c>
      <c r="AD192" s="13" t="str">
        <f aca="false">IF(AND(M192="declined-prior-offer",S192=""),"Y","")</f>
        <v/>
      </c>
      <c r="AE192" s="13" t="str">
        <f aca="false">IF(OR(R192&lt;&gt;"MATCH",ISNUMBER(SEARCH("conflict",Q192))),"Y","")</f>
        <v/>
      </c>
      <c r="AF192" s="13" t="str">
        <f aca="false">IF(AND(ISNUMBER(Z192),ABS(Z192-AA192)&gt;0.001),"Y","")</f>
        <v/>
      </c>
      <c r="AG192" s="13" t="str">
        <f aca="false">IF(AND(W192&lt;&gt;"",Y192&lt;&gt;"ACCEPTED"),"Y","")</f>
        <v/>
      </c>
      <c r="AH192" s="13" t="str">
        <f aca="false">IF(COUNTIF(AB192:AG192,"Y")&gt;0,"EXCEPTION","NO EXCEPTION IDENTIFIED")</f>
        <v>EXCEPTION</v>
      </c>
      <c r="AI192" s="16" t="s">
        <v>121</v>
      </c>
      <c r="AJ192" s="16" t="s">
        <v>1269</v>
      </c>
    </row>
    <row r="193" customFormat="false" ht="20.85" hidden="false" customHeight="false" outlineLevel="0" collapsed="false">
      <c r="A193" s="9" t="s">
        <v>1270</v>
      </c>
      <c r="B193" s="10" t="n">
        <v>45784</v>
      </c>
      <c r="C193" s="9" t="s">
        <v>1271</v>
      </c>
      <c r="D193" s="9" t="s">
        <v>1272</v>
      </c>
      <c r="E193" s="9" t="n">
        <v>472</v>
      </c>
      <c r="F193" s="10" t="n">
        <v>44980</v>
      </c>
      <c r="G193" s="9" t="n">
        <f aca="false">B193-F193</f>
        <v>804</v>
      </c>
      <c r="H193" s="9" t="s">
        <v>1273</v>
      </c>
      <c r="I193" s="9" t="s">
        <v>1274</v>
      </c>
      <c r="J193" s="9" t="s">
        <v>204</v>
      </c>
      <c r="K193" s="9" t="s">
        <v>146</v>
      </c>
      <c r="L193" s="11" t="n">
        <v>28</v>
      </c>
      <c r="M193" s="9" t="s">
        <v>185</v>
      </c>
      <c r="N193" s="9" t="s">
        <v>186</v>
      </c>
      <c r="O193" s="9" t="s">
        <v>117</v>
      </c>
      <c r="P193" s="9" t="s">
        <v>118</v>
      </c>
      <c r="Q193" s="9" t="s">
        <v>119</v>
      </c>
      <c r="R193" s="9" t="s">
        <v>120</v>
      </c>
      <c r="S193" s="9"/>
      <c r="T193" s="10"/>
      <c r="U193" s="9"/>
      <c r="V193" s="9"/>
      <c r="W193" s="10"/>
      <c r="X193" s="9"/>
      <c r="Y193" s="9"/>
      <c r="Z193" s="11"/>
      <c r="AA193" s="11" t="n">
        <v>47.3</v>
      </c>
      <c r="AB193" s="9" t="str">
        <f aca="false">IF(B193&lt;F193,"Y","")</f>
        <v/>
      </c>
      <c r="AC193" s="9" t="str">
        <f aca="false">IF(O193&lt;&gt;"Y","Y","")</f>
        <v/>
      </c>
      <c r="AD193" s="9" t="str">
        <f aca="false">IF(AND(M193="declined-prior-offer",S193=""),"Y","")</f>
        <v/>
      </c>
      <c r="AE193" s="9" t="str">
        <f aca="false">IF(OR(R193&lt;&gt;"MATCH",ISNUMBER(SEARCH("conflict",Q193))),"Y","")</f>
        <v/>
      </c>
      <c r="AF193" s="9" t="str">
        <f aca="false">IF(AND(ISNUMBER(Z193),ABS(Z193-AA193)&gt;0.001),"Y","")</f>
        <v/>
      </c>
      <c r="AG193" s="9" t="str">
        <f aca="false">IF(AND(W193&lt;&gt;"",Y193&lt;&gt;"ACCEPTED"),"Y","")</f>
        <v/>
      </c>
      <c r="AH193" s="9" t="str">
        <f aca="false">IF(COUNTIF(AB193:AG193,"Y")&gt;0,"EXCEPTION","NO EXCEPTION IDENTIFIED")</f>
        <v>NO EXCEPTION IDENTIFIED</v>
      </c>
      <c r="AI193" s="12" t="s">
        <v>156</v>
      </c>
      <c r="AJ193" s="12" t="s">
        <v>1275</v>
      </c>
    </row>
    <row r="194" customFormat="false" ht="20.85" hidden="false" customHeight="false" outlineLevel="0" collapsed="false">
      <c r="A194" s="13" t="s">
        <v>1276</v>
      </c>
      <c r="B194" s="14" t="n">
        <v>45787</v>
      </c>
      <c r="C194" s="13" t="s">
        <v>1277</v>
      </c>
      <c r="D194" s="13" t="s">
        <v>1278</v>
      </c>
      <c r="E194" s="13" t="n">
        <v>2360</v>
      </c>
      <c r="F194" s="14" t="n">
        <v>45879</v>
      </c>
      <c r="G194" s="13" t="n">
        <f aca="false">B194-F194</f>
        <v>-92</v>
      </c>
      <c r="H194" s="13" t="s">
        <v>1279</v>
      </c>
      <c r="I194" s="13" t="s">
        <v>1280</v>
      </c>
      <c r="J194" s="13" t="s">
        <v>145</v>
      </c>
      <c r="K194" s="13" t="s">
        <v>146</v>
      </c>
      <c r="L194" s="15" t="n">
        <v>40</v>
      </c>
      <c r="M194" s="13" t="s">
        <v>136</v>
      </c>
      <c r="N194" s="13" t="s">
        <v>137</v>
      </c>
      <c r="O194" s="13" t="s">
        <v>117</v>
      </c>
      <c r="P194" s="13" t="s">
        <v>178</v>
      </c>
      <c r="Q194" s="13" t="s">
        <v>119</v>
      </c>
      <c r="R194" s="13" t="s">
        <v>120</v>
      </c>
      <c r="S194" s="13"/>
      <c r="T194" s="14"/>
      <c r="U194" s="13"/>
      <c r="V194" s="13"/>
      <c r="W194" s="14"/>
      <c r="X194" s="13"/>
      <c r="Y194" s="13"/>
      <c r="Z194" s="15"/>
      <c r="AA194" s="15" t="n">
        <v>56.4</v>
      </c>
      <c r="AB194" s="13" t="str">
        <f aca="false">IF(B194&lt;F194,"Y","")</f>
        <v>Y</v>
      </c>
      <c r="AC194" s="13" t="str">
        <f aca="false">IF(O194&lt;&gt;"Y","Y","")</f>
        <v/>
      </c>
      <c r="AD194" s="13" t="str">
        <f aca="false">IF(AND(M194="declined-prior-offer",S194=""),"Y","")</f>
        <v/>
      </c>
      <c r="AE194" s="13" t="str">
        <f aca="false">IF(OR(R194&lt;&gt;"MATCH",ISNUMBER(SEARCH("conflict",Q194))),"Y","")</f>
        <v/>
      </c>
      <c r="AF194" s="13" t="str">
        <f aca="false">IF(AND(ISNUMBER(Z194),ABS(Z194-AA194)&gt;0.001),"Y","")</f>
        <v/>
      </c>
      <c r="AG194" s="13" t="str">
        <f aca="false">IF(AND(W194&lt;&gt;"",Y194&lt;&gt;"ACCEPTED"),"Y","")</f>
        <v/>
      </c>
      <c r="AH194" s="13" t="str">
        <f aca="false">IF(COUNTIF(AB194:AG194,"Y")&gt;0,"EXCEPTION","NO EXCEPTION IDENTIFIED")</f>
        <v>EXCEPTION</v>
      </c>
      <c r="AI194" s="16" t="s">
        <v>121</v>
      </c>
      <c r="AJ194" s="16" t="s">
        <v>1281</v>
      </c>
    </row>
    <row r="195" customFormat="false" ht="20.85" hidden="false" customHeight="false" outlineLevel="0" collapsed="false">
      <c r="A195" s="9" t="s">
        <v>1282</v>
      </c>
      <c r="B195" s="10" t="n">
        <v>45794</v>
      </c>
      <c r="C195" s="9" t="s">
        <v>1283</v>
      </c>
      <c r="D195" s="9" t="s">
        <v>1284</v>
      </c>
      <c r="E195" s="9" t="n">
        <v>2094</v>
      </c>
      <c r="F195" s="10" t="n">
        <v>45753</v>
      </c>
      <c r="G195" s="9" t="n">
        <f aca="false">B195-F195</f>
        <v>41</v>
      </c>
      <c r="H195" s="9" t="s">
        <v>1285</v>
      </c>
      <c r="I195" s="9" t="s">
        <v>1223</v>
      </c>
      <c r="J195" s="9" t="s">
        <v>113</v>
      </c>
      <c r="K195" s="9" t="s">
        <v>114</v>
      </c>
      <c r="L195" s="11" t="n">
        <v>40</v>
      </c>
      <c r="M195" s="9" t="s">
        <v>115</v>
      </c>
      <c r="N195" s="9" t="s">
        <v>116</v>
      </c>
      <c r="O195" s="9" t="s">
        <v>117</v>
      </c>
      <c r="P195" s="9" t="s">
        <v>118</v>
      </c>
      <c r="Q195" s="9" t="s">
        <v>119</v>
      </c>
      <c r="R195" s="9" t="s">
        <v>120</v>
      </c>
      <c r="S195" s="9"/>
      <c r="T195" s="10"/>
      <c r="U195" s="9"/>
      <c r="V195" s="9"/>
      <c r="W195" s="10"/>
      <c r="X195" s="9"/>
      <c r="Y195" s="9"/>
      <c r="Z195" s="11"/>
      <c r="AA195" s="11" t="n">
        <v>26.2</v>
      </c>
      <c r="AB195" s="9" t="str">
        <f aca="false">IF(B195&lt;F195,"Y","")</f>
        <v/>
      </c>
      <c r="AC195" s="9" t="str">
        <f aca="false">IF(O195&lt;&gt;"Y","Y","")</f>
        <v/>
      </c>
      <c r="AD195" s="9" t="str">
        <f aca="false">IF(AND(M195="declined-prior-offer",S195=""),"Y","")</f>
        <v/>
      </c>
      <c r="AE195" s="9" t="str">
        <f aca="false">IF(OR(R195&lt;&gt;"MATCH",ISNUMBER(SEARCH("conflict",Q195))),"Y","")</f>
        <v/>
      </c>
      <c r="AF195" s="9" t="str">
        <f aca="false">IF(AND(ISNUMBER(Z195),ABS(Z195-AA195)&gt;0.001),"Y","")</f>
        <v/>
      </c>
      <c r="AG195" s="9" t="str">
        <f aca="false">IF(AND(W195&lt;&gt;"",Y195&lt;&gt;"ACCEPTED"),"Y","")</f>
        <v/>
      </c>
      <c r="AH195" s="9" t="str">
        <f aca="false">IF(COUNTIF(AB195:AG195,"Y")&gt;0,"EXCEPTION","NO EXCEPTION IDENTIFIED")</f>
        <v>NO EXCEPTION IDENTIFIED</v>
      </c>
      <c r="AI195" s="12" t="s">
        <v>156</v>
      </c>
      <c r="AJ195" s="12" t="s">
        <v>1286</v>
      </c>
    </row>
    <row r="196" customFormat="false" ht="20.85" hidden="false" customHeight="false" outlineLevel="0" collapsed="false">
      <c r="A196" s="13" t="s">
        <v>1287</v>
      </c>
      <c r="B196" s="14" t="n">
        <v>45810</v>
      </c>
      <c r="C196" s="13" t="s">
        <v>1288</v>
      </c>
      <c r="D196" s="13" t="s">
        <v>1289</v>
      </c>
      <c r="E196" s="13" t="n">
        <v>2047</v>
      </c>
      <c r="F196" s="14" t="n">
        <v>45732</v>
      </c>
      <c r="G196" s="13" t="n">
        <f aca="false">B196-F196</f>
        <v>78</v>
      </c>
      <c r="H196" s="13" t="s">
        <v>1290</v>
      </c>
      <c r="I196" s="13" t="s">
        <v>1291</v>
      </c>
      <c r="J196" s="13" t="s">
        <v>145</v>
      </c>
      <c r="K196" s="13" t="s">
        <v>146</v>
      </c>
      <c r="L196" s="15" t="n">
        <v>24</v>
      </c>
      <c r="M196" s="13" t="s">
        <v>185</v>
      </c>
      <c r="N196" s="13" t="s">
        <v>186</v>
      </c>
      <c r="O196" s="13" t="s">
        <v>117</v>
      </c>
      <c r="P196" s="13" t="s">
        <v>178</v>
      </c>
      <c r="Q196" s="13" t="s">
        <v>119</v>
      </c>
      <c r="R196" s="13" t="s">
        <v>120</v>
      </c>
      <c r="S196" s="13"/>
      <c r="T196" s="14"/>
      <c r="U196" s="13"/>
      <c r="V196" s="13"/>
      <c r="W196" s="14"/>
      <c r="X196" s="13"/>
      <c r="Y196" s="13"/>
      <c r="Z196" s="15"/>
      <c r="AA196" s="15" t="n">
        <v>30.5</v>
      </c>
      <c r="AB196" s="13" t="str">
        <f aca="false">IF(B196&lt;F196,"Y","")</f>
        <v/>
      </c>
      <c r="AC196" s="13" t="str">
        <f aca="false">IF(O196&lt;&gt;"Y","Y","")</f>
        <v/>
      </c>
      <c r="AD196" s="13" t="str">
        <f aca="false">IF(AND(M196="declined-prior-offer",S196=""),"Y","")</f>
        <v/>
      </c>
      <c r="AE196" s="13" t="str">
        <f aca="false">IF(OR(R196&lt;&gt;"MATCH",ISNUMBER(SEARCH("conflict",Q196))),"Y","")</f>
        <v/>
      </c>
      <c r="AF196" s="13" t="str">
        <f aca="false">IF(AND(ISNUMBER(Z196),ABS(Z196-AA196)&gt;0.001),"Y","")</f>
        <v/>
      </c>
      <c r="AG196" s="13" t="str">
        <f aca="false">IF(AND(W196&lt;&gt;"",Y196&lt;&gt;"ACCEPTED"),"Y","")</f>
        <v/>
      </c>
      <c r="AH196" s="13" t="str">
        <f aca="false">IF(COUNTIF(AB196:AG196,"Y")&gt;0,"EXCEPTION","NO EXCEPTION IDENTIFIED")</f>
        <v>NO EXCEPTION IDENTIFIED</v>
      </c>
      <c r="AI196" s="16" t="s">
        <v>156</v>
      </c>
      <c r="AJ196" s="16" t="s">
        <v>1292</v>
      </c>
    </row>
    <row r="197" customFormat="false" ht="20.85" hidden="false" customHeight="false" outlineLevel="0" collapsed="false">
      <c r="A197" s="9" t="s">
        <v>1293</v>
      </c>
      <c r="B197" s="10" t="n">
        <v>45810</v>
      </c>
      <c r="C197" s="9" t="s">
        <v>887</v>
      </c>
      <c r="D197" s="9" t="s">
        <v>888</v>
      </c>
      <c r="E197" s="9" t="n">
        <v>1013</v>
      </c>
      <c r="F197" s="10" t="n">
        <v>45271</v>
      </c>
      <c r="G197" s="9" t="n">
        <f aca="false">B197-F197</f>
        <v>539</v>
      </c>
      <c r="H197" s="9" t="s">
        <v>1294</v>
      </c>
      <c r="I197" s="9" t="s">
        <v>1295</v>
      </c>
      <c r="J197" s="9" t="s">
        <v>113</v>
      </c>
      <c r="K197" s="9" t="s">
        <v>114</v>
      </c>
      <c r="L197" s="11" t="n">
        <v>40</v>
      </c>
      <c r="M197" s="9" t="s">
        <v>136</v>
      </c>
      <c r="N197" s="9" t="s">
        <v>137</v>
      </c>
      <c r="O197" s="9" t="s">
        <v>117</v>
      </c>
      <c r="P197" s="9" t="s">
        <v>118</v>
      </c>
      <c r="Q197" s="9" t="s">
        <v>119</v>
      </c>
      <c r="R197" s="9" t="s">
        <v>120</v>
      </c>
      <c r="S197" s="9"/>
      <c r="T197" s="10"/>
      <c r="U197" s="9"/>
      <c r="V197" s="9"/>
      <c r="W197" s="10"/>
      <c r="X197" s="9"/>
      <c r="Y197" s="9"/>
      <c r="Z197" s="11"/>
      <c r="AA197" s="11" t="n">
        <v>40.8</v>
      </c>
      <c r="AB197" s="9" t="str">
        <f aca="false">IF(B197&lt;F197,"Y","")</f>
        <v/>
      </c>
      <c r="AC197" s="9" t="str">
        <f aca="false">IF(O197&lt;&gt;"Y","Y","")</f>
        <v/>
      </c>
      <c r="AD197" s="9" t="str">
        <f aca="false">IF(AND(M197="declined-prior-offer",S197=""),"Y","")</f>
        <v/>
      </c>
      <c r="AE197" s="9" t="str">
        <f aca="false">IF(OR(R197&lt;&gt;"MATCH",ISNUMBER(SEARCH("conflict",Q197))),"Y","")</f>
        <v/>
      </c>
      <c r="AF197" s="9" t="str">
        <f aca="false">IF(AND(ISNUMBER(Z197),ABS(Z197-AA197)&gt;0.001),"Y","")</f>
        <v/>
      </c>
      <c r="AG197" s="9" t="str">
        <f aca="false">IF(AND(W197&lt;&gt;"",Y197&lt;&gt;"ACCEPTED"),"Y","")</f>
        <v/>
      </c>
      <c r="AH197" s="9" t="str">
        <f aca="false">IF(COUNTIF(AB197:AG197,"Y")&gt;0,"EXCEPTION","NO EXCEPTION IDENTIFIED")</f>
        <v>NO EXCEPTION IDENTIFIED</v>
      </c>
      <c r="AI197" s="12" t="s">
        <v>156</v>
      </c>
      <c r="AJ197" s="12" t="s">
        <v>1296</v>
      </c>
    </row>
    <row r="198" customFormat="false" ht="20.85" hidden="false" customHeight="false" outlineLevel="0" collapsed="false">
      <c r="A198" s="13" t="s">
        <v>1297</v>
      </c>
      <c r="B198" s="14" t="n">
        <v>45817</v>
      </c>
      <c r="C198" s="13" t="s">
        <v>1298</v>
      </c>
      <c r="D198" s="13" t="s">
        <v>1299</v>
      </c>
      <c r="E198" s="13" t="n">
        <v>1356</v>
      </c>
      <c r="F198" s="14" t="n">
        <v>45431</v>
      </c>
      <c r="G198" s="13" t="n">
        <f aca="false">B198-F198</f>
        <v>386</v>
      </c>
      <c r="H198" s="13" t="s">
        <v>1300</v>
      </c>
      <c r="I198" s="13" t="s">
        <v>1301</v>
      </c>
      <c r="J198" s="13" t="s">
        <v>204</v>
      </c>
      <c r="K198" s="13" t="s">
        <v>146</v>
      </c>
      <c r="L198" s="15" t="n">
        <v>24</v>
      </c>
      <c r="M198" s="13" t="s">
        <v>185</v>
      </c>
      <c r="N198" s="13" t="s">
        <v>186</v>
      </c>
      <c r="O198" s="13" t="s">
        <v>117</v>
      </c>
      <c r="P198" s="13" t="s">
        <v>128</v>
      </c>
      <c r="Q198" s="13" t="s">
        <v>119</v>
      </c>
      <c r="R198" s="13" t="s">
        <v>120</v>
      </c>
      <c r="S198" s="13"/>
      <c r="T198" s="14"/>
      <c r="U198" s="13"/>
      <c r="V198" s="13"/>
      <c r="W198" s="14"/>
      <c r="X198" s="13"/>
      <c r="Y198" s="13"/>
      <c r="Z198" s="15"/>
      <c r="AA198" s="15" t="n">
        <v>19.4</v>
      </c>
      <c r="AB198" s="13" t="str">
        <f aca="false">IF(B198&lt;F198,"Y","")</f>
        <v/>
      </c>
      <c r="AC198" s="13" t="str">
        <f aca="false">IF(O198&lt;&gt;"Y","Y","")</f>
        <v/>
      </c>
      <c r="AD198" s="13" t="str">
        <f aca="false">IF(AND(M198="declined-prior-offer",S198=""),"Y","")</f>
        <v/>
      </c>
      <c r="AE198" s="13" t="str">
        <f aca="false">IF(OR(R198&lt;&gt;"MATCH",ISNUMBER(SEARCH("conflict",Q198))),"Y","")</f>
        <v/>
      </c>
      <c r="AF198" s="13" t="str">
        <f aca="false">IF(AND(ISNUMBER(Z198),ABS(Z198-AA198)&gt;0.001),"Y","")</f>
        <v/>
      </c>
      <c r="AG198" s="13" t="str">
        <f aca="false">IF(AND(W198&lt;&gt;"",Y198&lt;&gt;"ACCEPTED"),"Y","")</f>
        <v/>
      </c>
      <c r="AH198" s="13" t="str">
        <f aca="false">IF(COUNTIF(AB198:AG198,"Y")&gt;0,"EXCEPTION","NO EXCEPTION IDENTIFIED")</f>
        <v>NO EXCEPTION IDENTIFIED</v>
      </c>
      <c r="AI198" s="16" t="s">
        <v>156</v>
      </c>
      <c r="AJ198" s="16" t="s">
        <v>1302</v>
      </c>
    </row>
    <row r="199" customFormat="false" ht="20.85" hidden="false" customHeight="false" outlineLevel="0" collapsed="false">
      <c r="A199" s="9" t="s">
        <v>1303</v>
      </c>
      <c r="B199" s="10" t="n">
        <v>45822</v>
      </c>
      <c r="C199" s="9" t="s">
        <v>1304</v>
      </c>
      <c r="D199" s="9" t="s">
        <v>1305</v>
      </c>
      <c r="E199" s="9" t="n">
        <v>151</v>
      </c>
      <c r="F199" s="10" t="n">
        <v>44766</v>
      </c>
      <c r="G199" s="9" t="n">
        <f aca="false">B199-F199</f>
        <v>1056</v>
      </c>
      <c r="H199" s="9" t="s">
        <v>1306</v>
      </c>
      <c r="I199" s="9" t="s">
        <v>1307</v>
      </c>
      <c r="J199" s="9" t="s">
        <v>204</v>
      </c>
      <c r="K199" s="9" t="s">
        <v>146</v>
      </c>
      <c r="L199" s="11" t="n">
        <v>24</v>
      </c>
      <c r="M199" s="9" t="s">
        <v>136</v>
      </c>
      <c r="N199" s="9" t="s">
        <v>137</v>
      </c>
      <c r="O199" s="9" t="s">
        <v>117</v>
      </c>
      <c r="P199" s="9" t="s">
        <v>118</v>
      </c>
      <c r="Q199" s="9" t="s">
        <v>119</v>
      </c>
      <c r="R199" s="9" t="s">
        <v>120</v>
      </c>
      <c r="S199" s="9"/>
      <c r="T199" s="10"/>
      <c r="U199" s="9"/>
      <c r="V199" s="9"/>
      <c r="W199" s="10"/>
      <c r="X199" s="9"/>
      <c r="Y199" s="9"/>
      <c r="Z199" s="11"/>
      <c r="AA199" s="11" t="n">
        <v>18.9</v>
      </c>
      <c r="AB199" s="9" t="str">
        <f aca="false">IF(B199&lt;F199,"Y","")</f>
        <v/>
      </c>
      <c r="AC199" s="9" t="str">
        <f aca="false">IF(O199&lt;&gt;"Y","Y","")</f>
        <v/>
      </c>
      <c r="AD199" s="9" t="str">
        <f aca="false">IF(AND(M199="declined-prior-offer",S199=""),"Y","")</f>
        <v/>
      </c>
      <c r="AE199" s="9" t="str">
        <f aca="false">IF(OR(R199&lt;&gt;"MATCH",ISNUMBER(SEARCH("conflict",Q199))),"Y","")</f>
        <v/>
      </c>
      <c r="AF199" s="9" t="str">
        <f aca="false">IF(AND(ISNUMBER(Z199),ABS(Z199-AA199)&gt;0.001),"Y","")</f>
        <v/>
      </c>
      <c r="AG199" s="9" t="str">
        <f aca="false">IF(AND(W199&lt;&gt;"",Y199&lt;&gt;"ACCEPTED"),"Y","")</f>
        <v/>
      </c>
      <c r="AH199" s="9" t="str">
        <f aca="false">IF(COUNTIF(AB199:AG199,"Y")&gt;0,"EXCEPTION","NO EXCEPTION IDENTIFIED")</f>
        <v>NO EXCEPTION IDENTIFIED</v>
      </c>
      <c r="AI199" s="12" t="s">
        <v>156</v>
      </c>
      <c r="AJ199" s="12" t="s">
        <v>1308</v>
      </c>
    </row>
    <row r="200" customFormat="false" ht="20.85" hidden="false" customHeight="false" outlineLevel="0" collapsed="false">
      <c r="A200" s="13" t="s">
        <v>1309</v>
      </c>
      <c r="B200" s="14" t="n">
        <v>45823</v>
      </c>
      <c r="C200" s="13" t="s">
        <v>1310</v>
      </c>
      <c r="D200" s="13" t="s">
        <v>1311</v>
      </c>
      <c r="E200" s="13" t="n">
        <v>1698</v>
      </c>
      <c r="F200" s="14" t="n">
        <v>45584</v>
      </c>
      <c r="G200" s="13" t="n">
        <f aca="false">B200-F200</f>
        <v>239</v>
      </c>
      <c r="H200" s="13" t="s">
        <v>1312</v>
      </c>
      <c r="I200" s="13" t="s">
        <v>1313</v>
      </c>
      <c r="J200" s="13" t="s">
        <v>135</v>
      </c>
      <c r="K200" s="13" t="s">
        <v>114</v>
      </c>
      <c r="L200" s="15" t="n">
        <v>32</v>
      </c>
      <c r="M200" s="13" t="s">
        <v>185</v>
      </c>
      <c r="N200" s="13" t="s">
        <v>186</v>
      </c>
      <c r="O200" s="13" t="s">
        <v>117</v>
      </c>
      <c r="P200" s="13" t="s">
        <v>128</v>
      </c>
      <c r="Q200" s="13" t="s">
        <v>119</v>
      </c>
      <c r="R200" s="13" t="s">
        <v>120</v>
      </c>
      <c r="S200" s="13"/>
      <c r="T200" s="14"/>
      <c r="U200" s="13"/>
      <c r="V200" s="13"/>
      <c r="W200" s="14"/>
      <c r="X200" s="13"/>
      <c r="Y200" s="13"/>
      <c r="Z200" s="15"/>
      <c r="AA200" s="15" t="n">
        <v>18.6</v>
      </c>
      <c r="AB200" s="13" t="str">
        <f aca="false">IF(B200&lt;F200,"Y","")</f>
        <v/>
      </c>
      <c r="AC200" s="13" t="str">
        <f aca="false">IF(O200&lt;&gt;"Y","Y","")</f>
        <v/>
      </c>
      <c r="AD200" s="13" t="str">
        <f aca="false">IF(AND(M200="declined-prior-offer",S200=""),"Y","")</f>
        <v/>
      </c>
      <c r="AE200" s="13" t="str">
        <f aca="false">IF(OR(R200&lt;&gt;"MATCH",ISNUMBER(SEARCH("conflict",Q200))),"Y","")</f>
        <v/>
      </c>
      <c r="AF200" s="13" t="str">
        <f aca="false">IF(AND(ISNUMBER(Z200),ABS(Z200-AA200)&gt;0.001),"Y","")</f>
        <v/>
      </c>
      <c r="AG200" s="13" t="str">
        <f aca="false">IF(AND(W200&lt;&gt;"",Y200&lt;&gt;"ACCEPTED"),"Y","")</f>
        <v/>
      </c>
      <c r="AH200" s="13" t="str">
        <f aca="false">IF(COUNTIF(AB200:AG200,"Y")&gt;0,"EXCEPTION","NO EXCEPTION IDENTIFIED")</f>
        <v>NO EXCEPTION IDENTIFIED</v>
      </c>
      <c r="AI200" s="16" t="s">
        <v>156</v>
      </c>
      <c r="AJ200" s="16" t="s">
        <v>1314</v>
      </c>
    </row>
    <row r="201" customFormat="false" ht="20.85" hidden="false" customHeight="false" outlineLevel="0" collapsed="false">
      <c r="A201" s="9" t="s">
        <v>1315</v>
      </c>
      <c r="B201" s="10" t="n">
        <v>45826</v>
      </c>
      <c r="C201" s="9" t="s">
        <v>1316</v>
      </c>
      <c r="D201" s="9" t="s">
        <v>1317</v>
      </c>
      <c r="E201" s="9" t="n">
        <v>1747</v>
      </c>
      <c r="F201" s="10" t="n">
        <v>45606</v>
      </c>
      <c r="G201" s="9" t="n">
        <f aca="false">B201-F201</f>
        <v>220</v>
      </c>
      <c r="H201" s="9" t="s">
        <v>1318</v>
      </c>
      <c r="I201" s="9" t="s">
        <v>1319</v>
      </c>
      <c r="J201" s="9" t="s">
        <v>155</v>
      </c>
      <c r="K201" s="9" t="s">
        <v>146</v>
      </c>
      <c r="L201" s="11" t="n">
        <v>45</v>
      </c>
      <c r="M201" s="9" t="s">
        <v>185</v>
      </c>
      <c r="N201" s="9" t="s">
        <v>186</v>
      </c>
      <c r="O201" s="9" t="s">
        <v>117</v>
      </c>
      <c r="P201" s="9" t="s">
        <v>178</v>
      </c>
      <c r="Q201" s="9" t="s">
        <v>119</v>
      </c>
      <c r="R201" s="9" t="s">
        <v>120</v>
      </c>
      <c r="S201" s="9"/>
      <c r="T201" s="10"/>
      <c r="U201" s="9"/>
      <c r="V201" s="9"/>
      <c r="W201" s="10" t="n">
        <v>45095</v>
      </c>
      <c r="X201" s="9" t="s">
        <v>1320</v>
      </c>
      <c r="Y201" s="9" t="s">
        <v>374</v>
      </c>
      <c r="Z201" s="11" t="n">
        <v>51.8</v>
      </c>
      <c r="AA201" s="11" t="n">
        <v>29.3</v>
      </c>
      <c r="AB201" s="9" t="str">
        <f aca="false">IF(B201&lt;F201,"Y","")</f>
        <v/>
      </c>
      <c r="AC201" s="9" t="str">
        <f aca="false">IF(O201&lt;&gt;"Y","Y","")</f>
        <v/>
      </c>
      <c r="AD201" s="9" t="str">
        <f aca="false">IF(AND(M201="declined-prior-offer",S201=""),"Y","")</f>
        <v/>
      </c>
      <c r="AE201" s="9" t="str">
        <f aca="false">IF(OR(R201&lt;&gt;"MATCH",ISNUMBER(SEARCH("conflict",Q201))),"Y","")</f>
        <v/>
      </c>
      <c r="AF201" s="9" t="str">
        <f aca="false">IF(AND(ISNUMBER(Z201),ABS(Z201-AA201)&gt;0.001),"Y","")</f>
        <v>Y</v>
      </c>
      <c r="AG201" s="9" t="str">
        <f aca="false">IF(AND(W201&lt;&gt;"",Y201&lt;&gt;"ACCEPTED"),"Y","")</f>
        <v/>
      </c>
      <c r="AH201" s="9" t="str">
        <f aca="false">IF(COUNTIF(AB201:AG201,"Y")&gt;0,"EXCEPTION","NO EXCEPTION IDENTIFIED")</f>
        <v>EXCEPTION</v>
      </c>
      <c r="AI201" s="12" t="s">
        <v>578</v>
      </c>
      <c r="AJ201" s="12" t="s">
        <v>1321</v>
      </c>
    </row>
    <row r="202" customFormat="false" ht="20.85" hidden="false" customHeight="false" outlineLevel="0" collapsed="false">
      <c r="A202" s="13" t="s">
        <v>1322</v>
      </c>
      <c r="B202" s="14" t="n">
        <v>45826</v>
      </c>
      <c r="C202" s="13" t="s">
        <v>1323</v>
      </c>
      <c r="D202" s="13" t="s">
        <v>1324</v>
      </c>
      <c r="E202" s="13" t="n">
        <v>333</v>
      </c>
      <c r="F202" s="14" t="n">
        <v>44904</v>
      </c>
      <c r="G202" s="13" t="n">
        <f aca="false">B202-F202</f>
        <v>922</v>
      </c>
      <c r="H202" s="13" t="s">
        <v>1325</v>
      </c>
      <c r="I202" s="13" t="s">
        <v>1326</v>
      </c>
      <c r="J202" s="13" t="s">
        <v>113</v>
      </c>
      <c r="K202" s="13" t="s">
        <v>114</v>
      </c>
      <c r="L202" s="15" t="n">
        <v>32</v>
      </c>
      <c r="M202" s="13" t="s">
        <v>136</v>
      </c>
      <c r="N202" s="13" t="s">
        <v>137</v>
      </c>
      <c r="O202" s="13" t="s">
        <v>117</v>
      </c>
      <c r="P202" s="13" t="s">
        <v>138</v>
      </c>
      <c r="Q202" s="13" t="s">
        <v>119</v>
      </c>
      <c r="R202" s="13" t="s">
        <v>120</v>
      </c>
      <c r="S202" s="13"/>
      <c r="T202" s="14"/>
      <c r="U202" s="13"/>
      <c r="V202" s="13"/>
      <c r="W202" s="14" t="n">
        <v>44839</v>
      </c>
      <c r="X202" s="13" t="s">
        <v>1327</v>
      </c>
      <c r="Y202" s="13" t="s">
        <v>374</v>
      </c>
      <c r="Z202" s="15" t="n">
        <v>20.2</v>
      </c>
      <c r="AA202" s="15" t="n">
        <v>30.6</v>
      </c>
      <c r="AB202" s="13" t="str">
        <f aca="false">IF(B202&lt;F202,"Y","")</f>
        <v/>
      </c>
      <c r="AC202" s="13" t="str">
        <f aca="false">IF(O202&lt;&gt;"Y","Y","")</f>
        <v/>
      </c>
      <c r="AD202" s="13" t="str">
        <f aca="false">IF(AND(M202="declined-prior-offer",S202=""),"Y","")</f>
        <v/>
      </c>
      <c r="AE202" s="13" t="str">
        <f aca="false">IF(OR(R202&lt;&gt;"MATCH",ISNUMBER(SEARCH("conflict",Q202))),"Y","")</f>
        <v/>
      </c>
      <c r="AF202" s="13" t="str">
        <f aca="false">IF(AND(ISNUMBER(Z202),ABS(Z202-AA202)&gt;0.001),"Y","")</f>
        <v>Y</v>
      </c>
      <c r="AG202" s="13" t="str">
        <f aca="false">IF(AND(W202&lt;&gt;"",Y202&lt;&gt;"ACCEPTED"),"Y","")</f>
        <v/>
      </c>
      <c r="AH202" s="13" t="str">
        <f aca="false">IF(COUNTIF(AB202:AG202,"Y")&gt;0,"EXCEPTION","NO EXCEPTION IDENTIFIED")</f>
        <v>EXCEPTION</v>
      </c>
      <c r="AI202" s="16" t="s">
        <v>578</v>
      </c>
      <c r="AJ202" s="16" t="s">
        <v>1328</v>
      </c>
    </row>
    <row r="203" customFormat="false" ht="20.85" hidden="false" customHeight="false" outlineLevel="0" collapsed="false">
      <c r="A203" s="9" t="s">
        <v>1329</v>
      </c>
      <c r="B203" s="10" t="n">
        <v>45827</v>
      </c>
      <c r="C203" s="9" t="s">
        <v>1330</v>
      </c>
      <c r="D203" s="9" t="s">
        <v>1331</v>
      </c>
      <c r="E203" s="9" t="n">
        <v>1314</v>
      </c>
      <c r="F203" s="10" t="n">
        <v>45412</v>
      </c>
      <c r="G203" s="9" t="n">
        <f aca="false">B203-F203</f>
        <v>415</v>
      </c>
      <c r="H203" s="9" t="s">
        <v>1332</v>
      </c>
      <c r="I203" s="9" t="s">
        <v>1333</v>
      </c>
      <c r="J203" s="9" t="s">
        <v>113</v>
      </c>
      <c r="K203" s="9" t="s">
        <v>114</v>
      </c>
      <c r="L203" s="11" t="n">
        <v>28</v>
      </c>
      <c r="M203" s="9" t="s">
        <v>136</v>
      </c>
      <c r="N203" s="9" t="s">
        <v>137</v>
      </c>
      <c r="O203" s="9" t="s">
        <v>117</v>
      </c>
      <c r="P203" s="9" t="s">
        <v>138</v>
      </c>
      <c r="Q203" s="9" t="s">
        <v>119</v>
      </c>
      <c r="R203" s="9" t="s">
        <v>120</v>
      </c>
      <c r="S203" s="9"/>
      <c r="T203" s="10"/>
      <c r="U203" s="9"/>
      <c r="V203" s="9"/>
      <c r="W203" s="10"/>
      <c r="X203" s="9"/>
      <c r="Y203" s="9"/>
      <c r="Z203" s="11"/>
      <c r="AA203" s="11" t="n">
        <v>31.1</v>
      </c>
      <c r="AB203" s="9" t="str">
        <f aca="false">IF(B203&lt;F203,"Y","")</f>
        <v/>
      </c>
      <c r="AC203" s="9" t="str">
        <f aca="false">IF(O203&lt;&gt;"Y","Y","")</f>
        <v/>
      </c>
      <c r="AD203" s="9" t="str">
        <f aca="false">IF(AND(M203="declined-prior-offer",S203=""),"Y","")</f>
        <v/>
      </c>
      <c r="AE203" s="9" t="str">
        <f aca="false">IF(OR(R203&lt;&gt;"MATCH",ISNUMBER(SEARCH("conflict",Q203))),"Y","")</f>
        <v/>
      </c>
      <c r="AF203" s="9" t="str">
        <f aca="false">IF(AND(ISNUMBER(Z203),ABS(Z203-AA203)&gt;0.001),"Y","")</f>
        <v/>
      </c>
      <c r="AG203" s="9" t="str">
        <f aca="false">IF(AND(W203&lt;&gt;"",Y203&lt;&gt;"ACCEPTED"),"Y","")</f>
        <v/>
      </c>
      <c r="AH203" s="9" t="str">
        <f aca="false">IF(COUNTIF(AB203:AG203,"Y")&gt;0,"EXCEPTION","NO EXCEPTION IDENTIFIED")</f>
        <v>NO EXCEPTION IDENTIFIED</v>
      </c>
      <c r="AI203" s="12" t="s">
        <v>156</v>
      </c>
      <c r="AJ203" s="12" t="s">
        <v>1334</v>
      </c>
    </row>
    <row r="204" customFormat="false" ht="20.85" hidden="false" customHeight="false" outlineLevel="0" collapsed="false">
      <c r="A204" s="13" t="s">
        <v>1335</v>
      </c>
      <c r="B204" s="14" t="n">
        <v>45844</v>
      </c>
      <c r="C204" s="13" t="s">
        <v>1336</v>
      </c>
      <c r="D204" s="13" t="s">
        <v>1337</v>
      </c>
      <c r="E204" s="13" t="n">
        <v>1298</v>
      </c>
      <c r="F204" s="14" t="n">
        <v>45407</v>
      </c>
      <c r="G204" s="13" t="n">
        <f aca="false">B204-F204</f>
        <v>437</v>
      </c>
      <c r="H204" s="13" t="s">
        <v>1338</v>
      </c>
      <c r="I204" s="13" t="s">
        <v>1339</v>
      </c>
      <c r="J204" s="13" t="s">
        <v>155</v>
      </c>
      <c r="K204" s="13" t="s">
        <v>146</v>
      </c>
      <c r="L204" s="15" t="n">
        <v>32</v>
      </c>
      <c r="M204" s="13" t="s">
        <v>115</v>
      </c>
      <c r="N204" s="13" t="s">
        <v>116</v>
      </c>
      <c r="O204" s="13" t="s">
        <v>147</v>
      </c>
      <c r="P204" s="13" t="s">
        <v>178</v>
      </c>
      <c r="Q204" s="13" t="s">
        <v>119</v>
      </c>
      <c r="R204" s="13" t="s">
        <v>120</v>
      </c>
      <c r="S204" s="13"/>
      <c r="T204" s="14"/>
      <c r="U204" s="13"/>
      <c r="V204" s="13"/>
      <c r="W204" s="14"/>
      <c r="X204" s="13"/>
      <c r="Y204" s="13"/>
      <c r="Z204" s="15"/>
      <c r="AA204" s="15" t="n">
        <v>25.7</v>
      </c>
      <c r="AB204" s="13" t="str">
        <f aca="false">IF(B204&lt;F204,"Y","")</f>
        <v/>
      </c>
      <c r="AC204" s="13" t="str">
        <f aca="false">IF(O204&lt;&gt;"Y","Y","")</f>
        <v>Y</v>
      </c>
      <c r="AD204" s="13" t="str">
        <f aca="false">IF(AND(M204="declined-prior-offer",S204=""),"Y","")</f>
        <v/>
      </c>
      <c r="AE204" s="13" t="str">
        <f aca="false">IF(OR(R204&lt;&gt;"MATCH",ISNUMBER(SEARCH("conflict",Q204))),"Y","")</f>
        <v/>
      </c>
      <c r="AF204" s="13" t="str">
        <f aca="false">IF(AND(ISNUMBER(Z204),ABS(Z204-AA204)&gt;0.001),"Y","")</f>
        <v/>
      </c>
      <c r="AG204" s="13" t="str">
        <f aca="false">IF(AND(W204&lt;&gt;"",Y204&lt;&gt;"ACCEPTED"),"Y","")</f>
        <v/>
      </c>
      <c r="AH204" s="13" t="str">
        <f aca="false">IF(COUNTIF(AB204:AG204,"Y")&gt;0,"EXCEPTION","NO EXCEPTION IDENTIFIED")</f>
        <v>EXCEPTION</v>
      </c>
      <c r="AI204" s="16" t="s">
        <v>831</v>
      </c>
      <c r="AJ204" s="16" t="s">
        <v>1340</v>
      </c>
    </row>
    <row r="205" customFormat="false" ht="20.85" hidden="false" customHeight="false" outlineLevel="0" collapsed="false">
      <c r="A205" s="9" t="s">
        <v>1341</v>
      </c>
      <c r="B205" s="10" t="n">
        <v>45848</v>
      </c>
      <c r="C205" s="9" t="s">
        <v>1342</v>
      </c>
      <c r="D205" s="9" t="s">
        <v>1343</v>
      </c>
      <c r="E205" s="9" t="n">
        <v>813</v>
      </c>
      <c r="F205" s="10" t="n">
        <v>45175</v>
      </c>
      <c r="G205" s="9" t="n">
        <f aca="false">B205-F205</f>
        <v>673</v>
      </c>
      <c r="H205" s="9" t="s">
        <v>1344</v>
      </c>
      <c r="I205" s="9" t="s">
        <v>1345</v>
      </c>
      <c r="J205" s="9" t="s">
        <v>155</v>
      </c>
      <c r="K205" s="9" t="s">
        <v>146</v>
      </c>
      <c r="L205" s="11" t="n">
        <v>50</v>
      </c>
      <c r="M205" s="9" t="s">
        <v>136</v>
      </c>
      <c r="N205" s="9" t="s">
        <v>137</v>
      </c>
      <c r="O205" s="9" t="s">
        <v>117</v>
      </c>
      <c r="P205" s="9" t="s">
        <v>178</v>
      </c>
      <c r="Q205" s="9" t="s">
        <v>119</v>
      </c>
      <c r="R205" s="9" t="s">
        <v>120</v>
      </c>
      <c r="S205" s="9"/>
      <c r="T205" s="10"/>
      <c r="U205" s="9"/>
      <c r="V205" s="9"/>
      <c r="W205" s="10"/>
      <c r="X205" s="9"/>
      <c r="Y205" s="9"/>
      <c r="Z205" s="11"/>
      <c r="AA205" s="11" t="n">
        <v>56</v>
      </c>
      <c r="AB205" s="9" t="str">
        <f aca="false">IF(B205&lt;F205,"Y","")</f>
        <v/>
      </c>
      <c r="AC205" s="9" t="str">
        <f aca="false">IF(O205&lt;&gt;"Y","Y","")</f>
        <v/>
      </c>
      <c r="AD205" s="9" t="str">
        <f aca="false">IF(AND(M205="declined-prior-offer",S205=""),"Y","")</f>
        <v/>
      </c>
      <c r="AE205" s="9" t="str">
        <f aca="false">IF(OR(R205&lt;&gt;"MATCH",ISNUMBER(SEARCH("conflict",Q205))),"Y","")</f>
        <v/>
      </c>
      <c r="AF205" s="9" t="str">
        <f aca="false">IF(AND(ISNUMBER(Z205),ABS(Z205-AA205)&gt;0.001),"Y","")</f>
        <v/>
      </c>
      <c r="AG205" s="9" t="str">
        <f aca="false">IF(AND(W205&lt;&gt;"",Y205&lt;&gt;"ACCEPTED"),"Y","")</f>
        <v/>
      </c>
      <c r="AH205" s="9" t="str">
        <f aca="false">IF(COUNTIF(AB205:AG205,"Y")&gt;0,"EXCEPTION","NO EXCEPTION IDENTIFIED")</f>
        <v>NO EXCEPTION IDENTIFIED</v>
      </c>
      <c r="AI205" s="12" t="s">
        <v>156</v>
      </c>
      <c r="AJ205" s="12" t="s">
        <v>1346</v>
      </c>
    </row>
    <row r="206" customFormat="false" ht="20.85" hidden="false" customHeight="false" outlineLevel="0" collapsed="false">
      <c r="A206" s="13" t="s">
        <v>1347</v>
      </c>
      <c r="B206" s="14" t="n">
        <v>45849</v>
      </c>
      <c r="C206" s="13" t="s">
        <v>1348</v>
      </c>
      <c r="D206" s="13" t="s">
        <v>1349</v>
      </c>
      <c r="E206" s="13" t="n">
        <v>2579</v>
      </c>
      <c r="F206" s="14" t="n">
        <v>45993</v>
      </c>
      <c r="G206" s="13" t="n">
        <f aca="false">B206-F206</f>
        <v>-144</v>
      </c>
      <c r="H206" s="13" t="s">
        <v>1350</v>
      </c>
      <c r="I206" s="13" t="s">
        <v>1351</v>
      </c>
      <c r="J206" s="13" t="s">
        <v>113</v>
      </c>
      <c r="K206" s="13" t="s">
        <v>114</v>
      </c>
      <c r="L206" s="15" t="n">
        <v>28</v>
      </c>
      <c r="M206" s="13" t="s">
        <v>169</v>
      </c>
      <c r="N206" s="13" t="s">
        <v>170</v>
      </c>
      <c r="O206" s="13" t="s">
        <v>117</v>
      </c>
      <c r="P206" s="13" t="s">
        <v>178</v>
      </c>
      <c r="Q206" s="13" t="s">
        <v>119</v>
      </c>
      <c r="R206" s="13" t="s">
        <v>120</v>
      </c>
      <c r="S206" s="13"/>
      <c r="T206" s="14"/>
      <c r="U206" s="13"/>
      <c r="V206" s="13"/>
      <c r="W206" s="14"/>
      <c r="X206" s="13"/>
      <c r="Y206" s="13"/>
      <c r="Z206" s="15"/>
      <c r="AA206" s="15" t="n">
        <v>40.8</v>
      </c>
      <c r="AB206" s="13" t="str">
        <f aca="false">IF(B206&lt;F206,"Y","")</f>
        <v>Y</v>
      </c>
      <c r="AC206" s="13" t="str">
        <f aca="false">IF(O206&lt;&gt;"Y","Y","")</f>
        <v/>
      </c>
      <c r="AD206" s="13" t="str">
        <f aca="false">IF(AND(M206="declined-prior-offer",S206=""),"Y","")</f>
        <v>Y</v>
      </c>
      <c r="AE206" s="13" t="str">
        <f aca="false">IF(OR(R206&lt;&gt;"MATCH",ISNUMBER(SEARCH("conflict",Q206))),"Y","")</f>
        <v/>
      </c>
      <c r="AF206" s="13" t="str">
        <f aca="false">IF(AND(ISNUMBER(Z206),ABS(Z206-AA206)&gt;0.001),"Y","")</f>
        <v/>
      </c>
      <c r="AG206" s="13" t="str">
        <f aca="false">IF(AND(W206&lt;&gt;"",Y206&lt;&gt;"ACCEPTED"),"Y","")</f>
        <v/>
      </c>
      <c r="AH206" s="13" t="str">
        <f aca="false">IF(COUNTIF(AB206:AG206,"Y")&gt;0,"EXCEPTION","NO EXCEPTION IDENTIFIED")</f>
        <v>EXCEPTION</v>
      </c>
      <c r="AI206" s="16" t="s">
        <v>171</v>
      </c>
      <c r="AJ206" s="16" t="s">
        <v>1352</v>
      </c>
    </row>
    <row r="207" customFormat="false" ht="20.85" hidden="false" customHeight="false" outlineLevel="0" collapsed="false">
      <c r="A207" s="9" t="s">
        <v>1353</v>
      </c>
      <c r="B207" s="10" t="n">
        <v>45850</v>
      </c>
      <c r="C207" s="9" t="s">
        <v>1354</v>
      </c>
      <c r="D207" s="9" t="s">
        <v>1355</v>
      </c>
      <c r="E207" s="9" t="n">
        <v>2516</v>
      </c>
      <c r="F207" s="10" t="n">
        <v>45957</v>
      </c>
      <c r="G207" s="9" t="n">
        <f aca="false">B207-F207</f>
        <v>-107</v>
      </c>
      <c r="H207" s="9" t="s">
        <v>1356</v>
      </c>
      <c r="I207" s="9" t="s">
        <v>1357</v>
      </c>
      <c r="J207" s="9" t="s">
        <v>135</v>
      </c>
      <c r="K207" s="9" t="s">
        <v>114</v>
      </c>
      <c r="L207" s="11" t="n">
        <v>32</v>
      </c>
      <c r="M207" s="9" t="s">
        <v>185</v>
      </c>
      <c r="N207" s="9" t="s">
        <v>186</v>
      </c>
      <c r="O207" s="9" t="s">
        <v>117</v>
      </c>
      <c r="P207" s="9" t="s">
        <v>118</v>
      </c>
      <c r="Q207" s="9" t="s">
        <v>119</v>
      </c>
      <c r="R207" s="9" t="s">
        <v>120</v>
      </c>
      <c r="S207" s="9"/>
      <c r="T207" s="10"/>
      <c r="U207" s="9"/>
      <c r="V207" s="9"/>
      <c r="W207" s="10"/>
      <c r="X207" s="9"/>
      <c r="Y207" s="9"/>
      <c r="Z207" s="11"/>
      <c r="AA207" s="11" t="n">
        <v>20.5</v>
      </c>
      <c r="AB207" s="9" t="str">
        <f aca="false">IF(B207&lt;F207,"Y","")</f>
        <v>Y</v>
      </c>
      <c r="AC207" s="9" t="str">
        <f aca="false">IF(O207&lt;&gt;"Y","Y","")</f>
        <v/>
      </c>
      <c r="AD207" s="9" t="str">
        <f aca="false">IF(AND(M207="declined-prior-offer",S207=""),"Y","")</f>
        <v/>
      </c>
      <c r="AE207" s="9" t="str">
        <f aca="false">IF(OR(R207&lt;&gt;"MATCH",ISNUMBER(SEARCH("conflict",Q207))),"Y","")</f>
        <v/>
      </c>
      <c r="AF207" s="9" t="str">
        <f aca="false">IF(AND(ISNUMBER(Z207),ABS(Z207-AA207)&gt;0.001),"Y","")</f>
        <v/>
      </c>
      <c r="AG207" s="9" t="str">
        <f aca="false">IF(AND(W207&lt;&gt;"",Y207&lt;&gt;"ACCEPTED"),"Y","")</f>
        <v/>
      </c>
      <c r="AH207" s="9" t="str">
        <f aca="false">IF(COUNTIF(AB207:AG207,"Y")&gt;0,"EXCEPTION","NO EXCEPTION IDENTIFIED")</f>
        <v>EXCEPTION</v>
      </c>
      <c r="AI207" s="12" t="s">
        <v>121</v>
      </c>
      <c r="AJ207" s="12" t="s">
        <v>1358</v>
      </c>
    </row>
    <row r="208" customFormat="false" ht="20.85" hidden="false" customHeight="false" outlineLevel="0" collapsed="false">
      <c r="A208" s="13" t="s">
        <v>1359</v>
      </c>
      <c r="B208" s="14" t="n">
        <v>45855</v>
      </c>
      <c r="C208" s="13" t="s">
        <v>1360</v>
      </c>
      <c r="D208" s="13" t="s">
        <v>1361</v>
      </c>
      <c r="E208" s="13" t="n">
        <v>2248</v>
      </c>
      <c r="F208" s="14" t="n">
        <v>45828</v>
      </c>
      <c r="G208" s="13" t="n">
        <f aca="false">B208-F208</f>
        <v>27</v>
      </c>
      <c r="H208" s="13" t="s">
        <v>1362</v>
      </c>
      <c r="I208" s="13" t="s">
        <v>1363</v>
      </c>
      <c r="J208" s="13" t="s">
        <v>113</v>
      </c>
      <c r="K208" s="13" t="s">
        <v>114</v>
      </c>
      <c r="L208" s="15" t="n">
        <v>24</v>
      </c>
      <c r="M208" s="13" t="s">
        <v>185</v>
      </c>
      <c r="N208" s="13" t="s">
        <v>186</v>
      </c>
      <c r="O208" s="13" t="s">
        <v>117</v>
      </c>
      <c r="P208" s="13" t="s">
        <v>138</v>
      </c>
      <c r="Q208" s="13" t="s">
        <v>119</v>
      </c>
      <c r="R208" s="13" t="s">
        <v>120</v>
      </c>
      <c r="S208" s="13"/>
      <c r="T208" s="14"/>
      <c r="U208" s="13"/>
      <c r="V208" s="13"/>
      <c r="W208" s="14"/>
      <c r="X208" s="13"/>
      <c r="Y208" s="13"/>
      <c r="Z208" s="15"/>
      <c r="AA208" s="15" t="n">
        <v>20.5</v>
      </c>
      <c r="AB208" s="13" t="str">
        <f aca="false">IF(B208&lt;F208,"Y","")</f>
        <v/>
      </c>
      <c r="AC208" s="13" t="str">
        <f aca="false">IF(O208&lt;&gt;"Y","Y","")</f>
        <v/>
      </c>
      <c r="AD208" s="13" t="str">
        <f aca="false">IF(AND(M208="declined-prior-offer",S208=""),"Y","")</f>
        <v/>
      </c>
      <c r="AE208" s="13" t="str">
        <f aca="false">IF(OR(R208&lt;&gt;"MATCH",ISNUMBER(SEARCH("conflict",Q208))),"Y","")</f>
        <v/>
      </c>
      <c r="AF208" s="13" t="str">
        <f aca="false">IF(AND(ISNUMBER(Z208),ABS(Z208-AA208)&gt;0.001),"Y","")</f>
        <v/>
      </c>
      <c r="AG208" s="13" t="str">
        <f aca="false">IF(AND(W208&lt;&gt;"",Y208&lt;&gt;"ACCEPTED"),"Y","")</f>
        <v/>
      </c>
      <c r="AH208" s="13" t="str">
        <f aca="false">IF(COUNTIF(AB208:AG208,"Y")&gt;0,"EXCEPTION","NO EXCEPTION IDENTIFIED")</f>
        <v>NO EXCEPTION IDENTIFIED</v>
      </c>
      <c r="AI208" s="16" t="s">
        <v>156</v>
      </c>
      <c r="AJ208" s="16" t="s">
        <v>1364</v>
      </c>
    </row>
    <row r="209" customFormat="false" ht="20.85" hidden="false" customHeight="false" outlineLevel="0" collapsed="false">
      <c r="A209" s="9" t="s">
        <v>1365</v>
      </c>
      <c r="B209" s="10" t="n">
        <v>45860</v>
      </c>
      <c r="C209" s="9" t="s">
        <v>1366</v>
      </c>
      <c r="D209" s="9" t="s">
        <v>1367</v>
      </c>
      <c r="E209" s="9" t="n">
        <v>2526</v>
      </c>
      <c r="F209" s="10" t="n">
        <v>45964</v>
      </c>
      <c r="G209" s="9" t="n">
        <f aca="false">B209-F209</f>
        <v>-104</v>
      </c>
      <c r="H209" s="9" t="s">
        <v>1368</v>
      </c>
      <c r="I209" s="9" t="s">
        <v>1217</v>
      </c>
      <c r="J209" s="9" t="s">
        <v>204</v>
      </c>
      <c r="K209" s="9" t="s">
        <v>146</v>
      </c>
      <c r="L209" s="11" t="n">
        <v>32</v>
      </c>
      <c r="M209" s="9" t="s">
        <v>185</v>
      </c>
      <c r="N209" s="9" t="s">
        <v>186</v>
      </c>
      <c r="O209" s="9" t="s">
        <v>117</v>
      </c>
      <c r="P209" s="9" t="s">
        <v>118</v>
      </c>
      <c r="Q209" s="9" t="s">
        <v>119</v>
      </c>
      <c r="R209" s="9" t="s">
        <v>120</v>
      </c>
      <c r="S209" s="9"/>
      <c r="T209" s="10"/>
      <c r="U209" s="9"/>
      <c r="V209" s="9"/>
      <c r="W209" s="10"/>
      <c r="X209" s="9"/>
      <c r="Y209" s="9"/>
      <c r="Z209" s="11"/>
      <c r="AA209" s="11" t="n">
        <v>35.1</v>
      </c>
      <c r="AB209" s="9" t="str">
        <f aca="false">IF(B209&lt;F209,"Y","")</f>
        <v>Y</v>
      </c>
      <c r="AC209" s="9" t="str">
        <f aca="false">IF(O209&lt;&gt;"Y","Y","")</f>
        <v/>
      </c>
      <c r="AD209" s="9" t="str">
        <f aca="false">IF(AND(M209="declined-prior-offer",S209=""),"Y","")</f>
        <v/>
      </c>
      <c r="AE209" s="9" t="str">
        <f aca="false">IF(OR(R209&lt;&gt;"MATCH",ISNUMBER(SEARCH("conflict",Q209))),"Y","")</f>
        <v/>
      </c>
      <c r="AF209" s="9" t="str">
        <f aca="false">IF(AND(ISNUMBER(Z209),ABS(Z209-AA209)&gt;0.001),"Y","")</f>
        <v/>
      </c>
      <c r="AG209" s="9" t="str">
        <f aca="false">IF(AND(W209&lt;&gt;"",Y209&lt;&gt;"ACCEPTED"),"Y","")</f>
        <v/>
      </c>
      <c r="AH209" s="9" t="str">
        <f aca="false">IF(COUNTIF(AB209:AG209,"Y")&gt;0,"EXCEPTION","NO EXCEPTION IDENTIFIED")</f>
        <v>EXCEPTION</v>
      </c>
      <c r="AI209" s="12" t="s">
        <v>121</v>
      </c>
      <c r="AJ209" s="12" t="s">
        <v>1369</v>
      </c>
    </row>
    <row r="210" customFormat="false" ht="20.85" hidden="false" customHeight="false" outlineLevel="0" collapsed="false">
      <c r="A210" s="13" t="s">
        <v>1370</v>
      </c>
      <c r="B210" s="14" t="n">
        <v>45863</v>
      </c>
      <c r="C210" s="13" t="s">
        <v>1371</v>
      </c>
      <c r="D210" s="13" t="s">
        <v>1372</v>
      </c>
      <c r="E210" s="13" t="n">
        <v>2227</v>
      </c>
      <c r="F210" s="14" t="n">
        <v>45815</v>
      </c>
      <c r="G210" s="13" t="n">
        <f aca="false">B210-F210</f>
        <v>48</v>
      </c>
      <c r="H210" s="13" t="s">
        <v>1373</v>
      </c>
      <c r="I210" s="13" t="s">
        <v>1374</v>
      </c>
      <c r="J210" s="13" t="s">
        <v>113</v>
      </c>
      <c r="K210" s="13" t="s">
        <v>114</v>
      </c>
      <c r="L210" s="15" t="n">
        <v>40</v>
      </c>
      <c r="M210" s="13" t="s">
        <v>169</v>
      </c>
      <c r="N210" s="13" t="s">
        <v>170</v>
      </c>
      <c r="O210" s="13" t="s">
        <v>117</v>
      </c>
      <c r="P210" s="13" t="s">
        <v>138</v>
      </c>
      <c r="Q210" s="13" t="s">
        <v>119</v>
      </c>
      <c r="R210" s="13" t="s">
        <v>120</v>
      </c>
      <c r="S210" s="13"/>
      <c r="T210" s="14"/>
      <c r="U210" s="13"/>
      <c r="V210" s="13"/>
      <c r="W210" s="14"/>
      <c r="X210" s="13"/>
      <c r="Y210" s="13"/>
      <c r="Z210" s="15"/>
      <c r="AA210" s="15" t="n">
        <v>58.9</v>
      </c>
      <c r="AB210" s="13" t="str">
        <f aca="false">IF(B210&lt;F210,"Y","")</f>
        <v/>
      </c>
      <c r="AC210" s="13" t="str">
        <f aca="false">IF(O210&lt;&gt;"Y","Y","")</f>
        <v/>
      </c>
      <c r="AD210" s="13" t="str">
        <f aca="false">IF(AND(M210="declined-prior-offer",S210=""),"Y","")</f>
        <v>Y</v>
      </c>
      <c r="AE210" s="13" t="str">
        <f aca="false">IF(OR(R210&lt;&gt;"MATCH",ISNUMBER(SEARCH("conflict",Q210))),"Y","")</f>
        <v/>
      </c>
      <c r="AF210" s="13" t="str">
        <f aca="false">IF(AND(ISNUMBER(Z210),ABS(Z210-AA210)&gt;0.001),"Y","")</f>
        <v/>
      </c>
      <c r="AG210" s="13" t="str">
        <f aca="false">IF(AND(W210&lt;&gt;"",Y210&lt;&gt;"ACCEPTED"),"Y","")</f>
        <v/>
      </c>
      <c r="AH210" s="13" t="str">
        <f aca="false">IF(COUNTIF(AB210:AG210,"Y")&gt;0,"EXCEPTION","NO EXCEPTION IDENTIFIED")</f>
        <v>EXCEPTION</v>
      </c>
      <c r="AI210" s="16" t="s">
        <v>229</v>
      </c>
      <c r="AJ210" s="16" t="s">
        <v>1375</v>
      </c>
    </row>
    <row r="211" customFormat="false" ht="20.85" hidden="false" customHeight="false" outlineLevel="0" collapsed="false">
      <c r="A211" s="9" t="s">
        <v>1376</v>
      </c>
      <c r="B211" s="10" t="n">
        <v>45866</v>
      </c>
      <c r="C211" s="9" t="s">
        <v>1283</v>
      </c>
      <c r="D211" s="9" t="s">
        <v>1284</v>
      </c>
      <c r="E211" s="9" t="n">
        <v>2094</v>
      </c>
      <c r="F211" s="10" t="n">
        <v>45753</v>
      </c>
      <c r="G211" s="9" t="n">
        <f aca="false">B211-F211</f>
        <v>113</v>
      </c>
      <c r="H211" s="9" t="s">
        <v>1377</v>
      </c>
      <c r="I211" s="9" t="s">
        <v>1378</v>
      </c>
      <c r="J211" s="9" t="s">
        <v>155</v>
      </c>
      <c r="K211" s="9" t="s">
        <v>146</v>
      </c>
      <c r="L211" s="11" t="n">
        <v>45</v>
      </c>
      <c r="M211" s="9" t="s">
        <v>136</v>
      </c>
      <c r="N211" s="9" t="s">
        <v>137</v>
      </c>
      <c r="O211" s="9" t="s">
        <v>147</v>
      </c>
      <c r="P211" s="9" t="s">
        <v>178</v>
      </c>
      <c r="Q211" s="9" t="s">
        <v>119</v>
      </c>
      <c r="R211" s="9" t="s">
        <v>120</v>
      </c>
      <c r="S211" s="9"/>
      <c r="T211" s="10"/>
      <c r="U211" s="9"/>
      <c r="V211" s="9"/>
      <c r="W211" s="10"/>
      <c r="X211" s="9"/>
      <c r="Y211" s="9"/>
      <c r="Z211" s="11"/>
      <c r="AA211" s="11" t="n">
        <v>26.2</v>
      </c>
      <c r="AB211" s="9" t="str">
        <f aca="false">IF(B211&lt;F211,"Y","")</f>
        <v/>
      </c>
      <c r="AC211" s="9" t="str">
        <f aca="false">IF(O211&lt;&gt;"Y","Y","")</f>
        <v>Y</v>
      </c>
      <c r="AD211" s="9" t="str">
        <f aca="false">IF(AND(M211="declined-prior-offer",S211=""),"Y","")</f>
        <v/>
      </c>
      <c r="AE211" s="9" t="str">
        <f aca="false">IF(OR(R211&lt;&gt;"MATCH",ISNUMBER(SEARCH("conflict",Q211))),"Y","")</f>
        <v/>
      </c>
      <c r="AF211" s="9" t="str">
        <f aca="false">IF(AND(ISNUMBER(Z211),ABS(Z211-AA211)&gt;0.001),"Y","")</f>
        <v/>
      </c>
      <c r="AG211" s="9" t="str">
        <f aca="false">IF(AND(W211&lt;&gt;"",Y211&lt;&gt;"ACCEPTED"),"Y","")</f>
        <v/>
      </c>
      <c r="AH211" s="9" t="str">
        <f aca="false">IF(COUNTIF(AB211:AG211,"Y")&gt;0,"EXCEPTION","NO EXCEPTION IDENTIFIED")</f>
        <v>EXCEPTION</v>
      </c>
      <c r="AI211" s="12" t="s">
        <v>831</v>
      </c>
      <c r="AJ211" s="12" t="s">
        <v>1379</v>
      </c>
    </row>
    <row r="212" customFormat="false" ht="20.85" hidden="false" customHeight="false" outlineLevel="0" collapsed="false">
      <c r="A212" s="13" t="s">
        <v>1380</v>
      </c>
      <c r="B212" s="14" t="n">
        <v>45872</v>
      </c>
      <c r="C212" s="13" t="s">
        <v>1381</v>
      </c>
      <c r="D212" s="13" t="s">
        <v>1382</v>
      </c>
      <c r="E212" s="13" t="n">
        <v>2481</v>
      </c>
      <c r="F212" s="14" t="n">
        <v>45937</v>
      </c>
      <c r="G212" s="13" t="n">
        <f aca="false">B212-F212</f>
        <v>-65</v>
      </c>
      <c r="H212" s="13" t="s">
        <v>1383</v>
      </c>
      <c r="I212" s="13" t="s">
        <v>1384</v>
      </c>
      <c r="J212" s="13" t="s">
        <v>155</v>
      </c>
      <c r="K212" s="13" t="s">
        <v>146</v>
      </c>
      <c r="L212" s="15" t="n">
        <v>32</v>
      </c>
      <c r="M212" s="13" t="s">
        <v>115</v>
      </c>
      <c r="N212" s="13" t="s">
        <v>116</v>
      </c>
      <c r="O212" s="13" t="s">
        <v>117</v>
      </c>
      <c r="P212" s="13" t="s">
        <v>118</v>
      </c>
      <c r="Q212" s="13" t="s">
        <v>119</v>
      </c>
      <c r="R212" s="13" t="s">
        <v>120</v>
      </c>
      <c r="S212" s="13"/>
      <c r="T212" s="14"/>
      <c r="U212" s="13"/>
      <c r="V212" s="13"/>
      <c r="W212" s="14"/>
      <c r="X212" s="13"/>
      <c r="Y212" s="13"/>
      <c r="Z212" s="15"/>
      <c r="AA212" s="15" t="n">
        <v>22.1</v>
      </c>
      <c r="AB212" s="13" t="str">
        <f aca="false">IF(B212&lt;F212,"Y","")</f>
        <v>Y</v>
      </c>
      <c r="AC212" s="13" t="str">
        <f aca="false">IF(O212&lt;&gt;"Y","Y","")</f>
        <v/>
      </c>
      <c r="AD212" s="13" t="str">
        <f aca="false">IF(AND(M212="declined-prior-offer",S212=""),"Y","")</f>
        <v/>
      </c>
      <c r="AE212" s="13" t="str">
        <f aca="false">IF(OR(R212&lt;&gt;"MATCH",ISNUMBER(SEARCH("conflict",Q212))),"Y","")</f>
        <v/>
      </c>
      <c r="AF212" s="13" t="str">
        <f aca="false">IF(AND(ISNUMBER(Z212),ABS(Z212-AA212)&gt;0.001),"Y","")</f>
        <v/>
      </c>
      <c r="AG212" s="13" t="str">
        <f aca="false">IF(AND(W212&lt;&gt;"",Y212&lt;&gt;"ACCEPTED"),"Y","")</f>
        <v/>
      </c>
      <c r="AH212" s="13" t="str">
        <f aca="false">IF(COUNTIF(AB212:AG212,"Y")&gt;0,"EXCEPTION","NO EXCEPTION IDENTIFIED")</f>
        <v>EXCEPTION</v>
      </c>
      <c r="AI212" s="16" t="s">
        <v>121</v>
      </c>
      <c r="AJ212" s="16" t="s">
        <v>1385</v>
      </c>
    </row>
    <row r="213" customFormat="false" ht="20.85" hidden="false" customHeight="false" outlineLevel="0" collapsed="false">
      <c r="A213" s="9" t="s">
        <v>1386</v>
      </c>
      <c r="B213" s="10" t="n">
        <v>45874</v>
      </c>
      <c r="C213" s="9" t="s">
        <v>1387</v>
      </c>
      <c r="D213" s="9" t="s">
        <v>1388</v>
      </c>
      <c r="E213" s="9" t="n">
        <v>1323</v>
      </c>
      <c r="F213" s="10" t="n">
        <v>45415</v>
      </c>
      <c r="G213" s="9" t="n">
        <f aca="false">B213-F213</f>
        <v>459</v>
      </c>
      <c r="H213" s="9" t="s">
        <v>1389</v>
      </c>
      <c r="I213" s="9" t="s">
        <v>989</v>
      </c>
      <c r="J213" s="9" t="s">
        <v>145</v>
      </c>
      <c r="K213" s="9" t="s">
        <v>146</v>
      </c>
      <c r="L213" s="11" t="n">
        <v>45</v>
      </c>
      <c r="M213" s="9" t="s">
        <v>136</v>
      </c>
      <c r="N213" s="9" t="s">
        <v>137</v>
      </c>
      <c r="O213" s="9" t="s">
        <v>117</v>
      </c>
      <c r="P213" s="9" t="s">
        <v>128</v>
      </c>
      <c r="Q213" s="9" t="s">
        <v>119</v>
      </c>
      <c r="R213" s="9" t="s">
        <v>120</v>
      </c>
      <c r="S213" s="9"/>
      <c r="T213" s="10"/>
      <c r="U213" s="9"/>
      <c r="V213" s="9"/>
      <c r="W213" s="10"/>
      <c r="X213" s="9"/>
      <c r="Y213" s="9"/>
      <c r="Z213" s="11"/>
      <c r="AA213" s="11" t="n">
        <v>56.7</v>
      </c>
      <c r="AB213" s="9" t="str">
        <f aca="false">IF(B213&lt;F213,"Y","")</f>
        <v/>
      </c>
      <c r="AC213" s="9" t="str">
        <f aca="false">IF(O213&lt;&gt;"Y","Y","")</f>
        <v/>
      </c>
      <c r="AD213" s="9" t="str">
        <f aca="false">IF(AND(M213="declined-prior-offer",S213=""),"Y","")</f>
        <v/>
      </c>
      <c r="AE213" s="9" t="str">
        <f aca="false">IF(OR(R213&lt;&gt;"MATCH",ISNUMBER(SEARCH("conflict",Q213))),"Y","")</f>
        <v/>
      </c>
      <c r="AF213" s="9" t="str">
        <f aca="false">IF(AND(ISNUMBER(Z213),ABS(Z213-AA213)&gt;0.001),"Y","")</f>
        <v/>
      </c>
      <c r="AG213" s="9" t="str">
        <f aca="false">IF(AND(W213&lt;&gt;"",Y213&lt;&gt;"ACCEPTED"),"Y","")</f>
        <v/>
      </c>
      <c r="AH213" s="9" t="str">
        <f aca="false">IF(COUNTIF(AB213:AG213,"Y")&gt;0,"EXCEPTION","NO EXCEPTION IDENTIFIED")</f>
        <v>NO EXCEPTION IDENTIFIED</v>
      </c>
      <c r="AI213" s="12" t="s">
        <v>156</v>
      </c>
      <c r="AJ213" s="12" t="s">
        <v>1390</v>
      </c>
    </row>
    <row r="214" customFormat="false" ht="20.85" hidden="false" customHeight="false" outlineLevel="0" collapsed="false">
      <c r="A214" s="13" t="s">
        <v>1391</v>
      </c>
      <c r="B214" s="14" t="n">
        <v>45877</v>
      </c>
      <c r="C214" s="13" t="s">
        <v>593</v>
      </c>
      <c r="D214" s="13" t="s">
        <v>594</v>
      </c>
      <c r="E214" s="13" t="n">
        <v>1912</v>
      </c>
      <c r="F214" s="14" t="n">
        <v>45672</v>
      </c>
      <c r="G214" s="13" t="n">
        <f aca="false">B214-F214</f>
        <v>205</v>
      </c>
      <c r="H214" s="13" t="s">
        <v>1392</v>
      </c>
      <c r="I214" s="13" t="s">
        <v>1393</v>
      </c>
      <c r="J214" s="13" t="s">
        <v>204</v>
      </c>
      <c r="K214" s="13" t="s">
        <v>146</v>
      </c>
      <c r="L214" s="15" t="n">
        <v>32</v>
      </c>
      <c r="M214" s="13" t="s">
        <v>185</v>
      </c>
      <c r="N214" s="13" t="s">
        <v>186</v>
      </c>
      <c r="O214" s="13" t="s">
        <v>117</v>
      </c>
      <c r="P214" s="13" t="s">
        <v>118</v>
      </c>
      <c r="Q214" s="13" t="s">
        <v>119</v>
      </c>
      <c r="R214" s="13" t="s">
        <v>120</v>
      </c>
      <c r="S214" s="13"/>
      <c r="T214" s="14"/>
      <c r="U214" s="13"/>
      <c r="V214" s="13"/>
      <c r="W214" s="14"/>
      <c r="X214" s="13"/>
      <c r="Y214" s="13"/>
      <c r="Z214" s="15"/>
      <c r="AA214" s="15" t="n">
        <v>52.6</v>
      </c>
      <c r="AB214" s="13" t="str">
        <f aca="false">IF(B214&lt;F214,"Y","")</f>
        <v/>
      </c>
      <c r="AC214" s="13" t="str">
        <f aca="false">IF(O214&lt;&gt;"Y","Y","")</f>
        <v/>
      </c>
      <c r="AD214" s="13" t="str">
        <f aca="false">IF(AND(M214="declined-prior-offer",S214=""),"Y","")</f>
        <v/>
      </c>
      <c r="AE214" s="13" t="str">
        <f aca="false">IF(OR(R214&lt;&gt;"MATCH",ISNUMBER(SEARCH("conflict",Q214))),"Y","")</f>
        <v/>
      </c>
      <c r="AF214" s="13" t="str">
        <f aca="false">IF(AND(ISNUMBER(Z214),ABS(Z214-AA214)&gt;0.001),"Y","")</f>
        <v/>
      </c>
      <c r="AG214" s="13" t="str">
        <f aca="false">IF(AND(W214&lt;&gt;"",Y214&lt;&gt;"ACCEPTED"),"Y","")</f>
        <v/>
      </c>
      <c r="AH214" s="13" t="str">
        <f aca="false">IF(COUNTIF(AB214:AG214,"Y")&gt;0,"EXCEPTION","NO EXCEPTION IDENTIFIED")</f>
        <v>NO EXCEPTION IDENTIFIED</v>
      </c>
      <c r="AI214" s="16" t="s">
        <v>156</v>
      </c>
      <c r="AJ214" s="16" t="s">
        <v>1394</v>
      </c>
    </row>
    <row r="215" customFormat="false" ht="20.85" hidden="false" customHeight="false" outlineLevel="0" collapsed="false">
      <c r="A215" s="9" t="s">
        <v>1395</v>
      </c>
      <c r="B215" s="10" t="n">
        <v>45879</v>
      </c>
      <c r="C215" s="9" t="s">
        <v>1396</v>
      </c>
      <c r="D215" s="9" t="s">
        <v>1397</v>
      </c>
      <c r="E215" s="9" t="n">
        <v>1607</v>
      </c>
      <c r="F215" s="10" t="n">
        <v>45547</v>
      </c>
      <c r="G215" s="9" t="n">
        <f aca="false">B215-F215</f>
        <v>332</v>
      </c>
      <c r="H215" s="9" t="s">
        <v>1398</v>
      </c>
      <c r="I215" s="9" t="s">
        <v>935</v>
      </c>
      <c r="J215" s="9" t="s">
        <v>113</v>
      </c>
      <c r="K215" s="9" t="s">
        <v>114</v>
      </c>
      <c r="L215" s="11" t="n">
        <v>32</v>
      </c>
      <c r="M215" s="9" t="s">
        <v>115</v>
      </c>
      <c r="N215" s="9" t="s">
        <v>116</v>
      </c>
      <c r="O215" s="9" t="s">
        <v>117</v>
      </c>
      <c r="P215" s="9" t="s">
        <v>128</v>
      </c>
      <c r="Q215" s="9" t="s">
        <v>119</v>
      </c>
      <c r="R215" s="9" t="s">
        <v>120</v>
      </c>
      <c r="S215" s="9"/>
      <c r="T215" s="10"/>
      <c r="U215" s="9"/>
      <c r="V215" s="9"/>
      <c r="W215" s="10" t="n">
        <v>45573</v>
      </c>
      <c r="X215" s="9" t="s">
        <v>1399</v>
      </c>
      <c r="Y215" s="9" t="s">
        <v>374</v>
      </c>
      <c r="Z215" s="11" t="n">
        <v>27.7</v>
      </c>
      <c r="AA215" s="11" t="n">
        <v>30.4</v>
      </c>
      <c r="AB215" s="9" t="str">
        <f aca="false">IF(B215&lt;F215,"Y","")</f>
        <v/>
      </c>
      <c r="AC215" s="9" t="str">
        <f aca="false">IF(O215&lt;&gt;"Y","Y","")</f>
        <v/>
      </c>
      <c r="AD215" s="9" t="str">
        <f aca="false">IF(AND(M215="declined-prior-offer",S215=""),"Y","")</f>
        <v/>
      </c>
      <c r="AE215" s="9" t="str">
        <f aca="false">IF(OR(R215&lt;&gt;"MATCH",ISNUMBER(SEARCH("conflict",Q215))),"Y","")</f>
        <v/>
      </c>
      <c r="AF215" s="9" t="str">
        <f aca="false">IF(AND(ISNUMBER(Z215),ABS(Z215-AA215)&gt;0.001),"Y","")</f>
        <v>Y</v>
      </c>
      <c r="AG215" s="9" t="str">
        <f aca="false">IF(AND(W215&lt;&gt;"",Y215&lt;&gt;"ACCEPTED"),"Y","")</f>
        <v/>
      </c>
      <c r="AH215" s="9" t="str">
        <f aca="false">IF(COUNTIF(AB215:AG215,"Y")&gt;0,"EXCEPTION","NO EXCEPTION IDENTIFIED")</f>
        <v>EXCEPTION</v>
      </c>
      <c r="AI215" s="12" t="s">
        <v>578</v>
      </c>
      <c r="AJ215" s="12" t="s">
        <v>1400</v>
      </c>
    </row>
    <row r="216" customFormat="false" ht="20.85" hidden="false" customHeight="false" outlineLevel="0" collapsed="false">
      <c r="A216" s="13" t="s">
        <v>1401</v>
      </c>
      <c r="B216" s="14" t="n">
        <v>45883</v>
      </c>
      <c r="C216" s="13" t="s">
        <v>1402</v>
      </c>
      <c r="D216" s="13" t="s">
        <v>1403</v>
      </c>
      <c r="E216" s="13" t="n">
        <v>2134</v>
      </c>
      <c r="F216" s="14" t="n">
        <v>45772</v>
      </c>
      <c r="G216" s="13" t="n">
        <f aca="false">B216-F216</f>
        <v>111</v>
      </c>
      <c r="H216" s="13" t="s">
        <v>1404</v>
      </c>
      <c r="I216" s="13" t="s">
        <v>1405</v>
      </c>
      <c r="J216" s="13" t="s">
        <v>204</v>
      </c>
      <c r="K216" s="13" t="s">
        <v>146</v>
      </c>
      <c r="L216" s="15" t="n">
        <v>24</v>
      </c>
      <c r="M216" s="13" t="s">
        <v>115</v>
      </c>
      <c r="N216" s="13" t="s">
        <v>116</v>
      </c>
      <c r="O216" s="13" t="s">
        <v>117</v>
      </c>
      <c r="P216" s="13" t="s">
        <v>138</v>
      </c>
      <c r="Q216" s="13" t="s">
        <v>119</v>
      </c>
      <c r="R216" s="13" t="s">
        <v>120</v>
      </c>
      <c r="S216" s="13"/>
      <c r="T216" s="14"/>
      <c r="U216" s="13"/>
      <c r="V216" s="13"/>
      <c r="W216" s="14"/>
      <c r="X216" s="13"/>
      <c r="Y216" s="13"/>
      <c r="Z216" s="15"/>
      <c r="AA216" s="15" t="n">
        <v>22</v>
      </c>
      <c r="AB216" s="13" t="str">
        <f aca="false">IF(B216&lt;F216,"Y","")</f>
        <v/>
      </c>
      <c r="AC216" s="13" t="str">
        <f aca="false">IF(O216&lt;&gt;"Y","Y","")</f>
        <v/>
      </c>
      <c r="AD216" s="13" t="str">
        <f aca="false">IF(AND(M216="declined-prior-offer",S216=""),"Y","")</f>
        <v/>
      </c>
      <c r="AE216" s="13" t="str">
        <f aca="false">IF(OR(R216&lt;&gt;"MATCH",ISNUMBER(SEARCH("conflict",Q216))),"Y","")</f>
        <v/>
      </c>
      <c r="AF216" s="13" t="str">
        <f aca="false">IF(AND(ISNUMBER(Z216),ABS(Z216-AA216)&gt;0.001),"Y","")</f>
        <v/>
      </c>
      <c r="AG216" s="13" t="str">
        <f aca="false">IF(AND(W216&lt;&gt;"",Y216&lt;&gt;"ACCEPTED"),"Y","")</f>
        <v/>
      </c>
      <c r="AH216" s="13" t="str">
        <f aca="false">IF(COUNTIF(AB216:AG216,"Y")&gt;0,"EXCEPTION","NO EXCEPTION IDENTIFIED")</f>
        <v>NO EXCEPTION IDENTIFIED</v>
      </c>
      <c r="AI216" s="16" t="s">
        <v>156</v>
      </c>
      <c r="AJ216" s="16" t="s">
        <v>1406</v>
      </c>
    </row>
    <row r="217" customFormat="false" ht="20.85" hidden="false" customHeight="false" outlineLevel="0" collapsed="false">
      <c r="A217" s="9" t="s">
        <v>1407</v>
      </c>
      <c r="B217" s="10" t="n">
        <v>45884</v>
      </c>
      <c r="C217" s="9" t="s">
        <v>1408</v>
      </c>
      <c r="D217" s="9" t="s">
        <v>1409</v>
      </c>
      <c r="E217" s="9" t="n">
        <v>2314</v>
      </c>
      <c r="F217" s="10" t="n">
        <v>45859</v>
      </c>
      <c r="G217" s="9" t="n">
        <f aca="false">B217-F217</f>
        <v>25</v>
      </c>
      <c r="H217" s="9" t="s">
        <v>1410</v>
      </c>
      <c r="I217" s="9" t="s">
        <v>1411</v>
      </c>
      <c r="J217" s="9" t="s">
        <v>113</v>
      </c>
      <c r="K217" s="9" t="s">
        <v>114</v>
      </c>
      <c r="L217" s="11" t="n">
        <v>32</v>
      </c>
      <c r="M217" s="9" t="s">
        <v>185</v>
      </c>
      <c r="N217" s="9" t="s">
        <v>186</v>
      </c>
      <c r="O217" s="9" t="s">
        <v>117</v>
      </c>
      <c r="P217" s="9" t="s">
        <v>178</v>
      </c>
      <c r="Q217" s="9" t="s">
        <v>119</v>
      </c>
      <c r="R217" s="9" t="s">
        <v>120</v>
      </c>
      <c r="S217" s="9"/>
      <c r="T217" s="10"/>
      <c r="U217" s="9"/>
      <c r="V217" s="9"/>
      <c r="W217" s="10"/>
      <c r="X217" s="9"/>
      <c r="Y217" s="9"/>
      <c r="Z217" s="11"/>
      <c r="AA217" s="11" t="n">
        <v>57</v>
      </c>
      <c r="AB217" s="9" t="str">
        <f aca="false">IF(B217&lt;F217,"Y","")</f>
        <v/>
      </c>
      <c r="AC217" s="9" t="str">
        <f aca="false">IF(O217&lt;&gt;"Y","Y","")</f>
        <v/>
      </c>
      <c r="AD217" s="9" t="str">
        <f aca="false">IF(AND(M217="declined-prior-offer",S217=""),"Y","")</f>
        <v/>
      </c>
      <c r="AE217" s="9" t="str">
        <f aca="false">IF(OR(R217&lt;&gt;"MATCH",ISNUMBER(SEARCH("conflict",Q217))),"Y","")</f>
        <v/>
      </c>
      <c r="AF217" s="9" t="str">
        <f aca="false">IF(AND(ISNUMBER(Z217),ABS(Z217-AA217)&gt;0.001),"Y","")</f>
        <v/>
      </c>
      <c r="AG217" s="9" t="str">
        <f aca="false">IF(AND(W217&lt;&gt;"",Y217&lt;&gt;"ACCEPTED"),"Y","")</f>
        <v/>
      </c>
      <c r="AH217" s="9" t="str">
        <f aca="false">IF(COUNTIF(AB217:AG217,"Y")&gt;0,"EXCEPTION","NO EXCEPTION IDENTIFIED")</f>
        <v>NO EXCEPTION IDENTIFIED</v>
      </c>
      <c r="AI217" s="12" t="s">
        <v>156</v>
      </c>
      <c r="AJ217" s="12" t="s">
        <v>1412</v>
      </c>
    </row>
    <row r="218" customFormat="false" ht="20.85" hidden="false" customHeight="false" outlineLevel="0" collapsed="false">
      <c r="A218" s="13" t="s">
        <v>1413</v>
      </c>
      <c r="B218" s="14" t="n">
        <v>45887</v>
      </c>
      <c r="C218" s="13" t="s">
        <v>1414</v>
      </c>
      <c r="D218" s="13" t="s">
        <v>1415</v>
      </c>
      <c r="E218" s="13" t="n">
        <v>537</v>
      </c>
      <c r="F218" s="14" t="n">
        <v>45020</v>
      </c>
      <c r="G218" s="13" t="n">
        <f aca="false">B218-F218</f>
        <v>867</v>
      </c>
      <c r="H218" s="13" t="s">
        <v>1416</v>
      </c>
      <c r="I218" s="13" t="s">
        <v>1417</v>
      </c>
      <c r="J218" s="13" t="s">
        <v>155</v>
      </c>
      <c r="K218" s="13" t="s">
        <v>146</v>
      </c>
      <c r="L218" s="15" t="n">
        <v>80</v>
      </c>
      <c r="M218" s="13" t="s">
        <v>115</v>
      </c>
      <c r="N218" s="13" t="s">
        <v>116</v>
      </c>
      <c r="O218" s="13" t="s">
        <v>117</v>
      </c>
      <c r="P218" s="13" t="s">
        <v>118</v>
      </c>
      <c r="Q218" s="13" t="s">
        <v>119</v>
      </c>
      <c r="R218" s="13" t="s">
        <v>120</v>
      </c>
      <c r="S218" s="13"/>
      <c r="T218" s="14"/>
      <c r="U218" s="13"/>
      <c r="V218" s="13"/>
      <c r="W218" s="14"/>
      <c r="X218" s="13"/>
      <c r="Y218" s="13"/>
      <c r="Z218" s="15"/>
      <c r="AA218" s="15" t="n">
        <v>21.6</v>
      </c>
      <c r="AB218" s="13" t="str">
        <f aca="false">IF(B218&lt;F218,"Y","")</f>
        <v/>
      </c>
      <c r="AC218" s="13" t="str">
        <f aca="false">IF(O218&lt;&gt;"Y","Y","")</f>
        <v/>
      </c>
      <c r="AD218" s="13" t="str">
        <f aca="false">IF(AND(M218="declined-prior-offer",S218=""),"Y","")</f>
        <v/>
      </c>
      <c r="AE218" s="13" t="str">
        <f aca="false">IF(OR(R218&lt;&gt;"MATCH",ISNUMBER(SEARCH("conflict",Q218))),"Y","")</f>
        <v/>
      </c>
      <c r="AF218" s="13" t="str">
        <f aca="false">IF(AND(ISNUMBER(Z218),ABS(Z218-AA218)&gt;0.001),"Y","")</f>
        <v/>
      </c>
      <c r="AG218" s="13" t="str">
        <f aca="false">IF(AND(W218&lt;&gt;"",Y218&lt;&gt;"ACCEPTED"),"Y","")</f>
        <v/>
      </c>
      <c r="AH218" s="13" t="str">
        <f aca="false">IF(COUNTIF(AB218:AG218,"Y")&gt;0,"EXCEPTION","NO EXCEPTION IDENTIFIED")</f>
        <v>NO EXCEPTION IDENTIFIED</v>
      </c>
      <c r="AI218" s="16" t="s">
        <v>156</v>
      </c>
      <c r="AJ218" s="16" t="s">
        <v>1418</v>
      </c>
    </row>
    <row r="219" customFormat="false" ht="20.85" hidden="false" customHeight="false" outlineLevel="0" collapsed="false">
      <c r="A219" s="9" t="s">
        <v>1419</v>
      </c>
      <c r="B219" s="10" t="n">
        <v>45888</v>
      </c>
      <c r="C219" s="9" t="s">
        <v>1420</v>
      </c>
      <c r="D219" s="9" t="s">
        <v>1421</v>
      </c>
      <c r="E219" s="9" t="n">
        <v>843</v>
      </c>
      <c r="F219" s="10" t="n">
        <v>45190</v>
      </c>
      <c r="G219" s="9" t="n">
        <f aca="false">B219-F219</f>
        <v>698</v>
      </c>
      <c r="H219" s="9" t="s">
        <v>1422</v>
      </c>
      <c r="I219" s="9" t="s">
        <v>264</v>
      </c>
      <c r="J219" s="9" t="s">
        <v>204</v>
      </c>
      <c r="K219" s="9" t="s">
        <v>146</v>
      </c>
      <c r="L219" s="11" t="n">
        <v>32</v>
      </c>
      <c r="M219" s="9" t="s">
        <v>185</v>
      </c>
      <c r="N219" s="9" t="s">
        <v>186</v>
      </c>
      <c r="O219" s="9" t="s">
        <v>117</v>
      </c>
      <c r="P219" s="9" t="s">
        <v>128</v>
      </c>
      <c r="Q219" s="9" t="s">
        <v>119</v>
      </c>
      <c r="R219" s="9" t="s">
        <v>120</v>
      </c>
      <c r="S219" s="9"/>
      <c r="T219" s="10"/>
      <c r="U219" s="9"/>
      <c r="V219" s="9"/>
      <c r="W219" s="10"/>
      <c r="X219" s="9"/>
      <c r="Y219" s="9"/>
      <c r="Z219" s="11"/>
      <c r="AA219" s="11" t="n">
        <v>44.8</v>
      </c>
      <c r="AB219" s="9" t="str">
        <f aca="false">IF(B219&lt;F219,"Y","")</f>
        <v/>
      </c>
      <c r="AC219" s="9" t="str">
        <f aca="false">IF(O219&lt;&gt;"Y","Y","")</f>
        <v/>
      </c>
      <c r="AD219" s="9" t="str">
        <f aca="false">IF(AND(M219="declined-prior-offer",S219=""),"Y","")</f>
        <v/>
      </c>
      <c r="AE219" s="9" t="str">
        <f aca="false">IF(OR(R219&lt;&gt;"MATCH",ISNUMBER(SEARCH("conflict",Q219))),"Y","")</f>
        <v/>
      </c>
      <c r="AF219" s="9" t="str">
        <f aca="false">IF(AND(ISNUMBER(Z219),ABS(Z219-AA219)&gt;0.001),"Y","")</f>
        <v/>
      </c>
      <c r="AG219" s="9" t="str">
        <f aca="false">IF(AND(W219&lt;&gt;"",Y219&lt;&gt;"ACCEPTED"),"Y","")</f>
        <v/>
      </c>
      <c r="AH219" s="9" t="str">
        <f aca="false">IF(COUNTIF(AB219:AG219,"Y")&gt;0,"EXCEPTION","NO EXCEPTION IDENTIFIED")</f>
        <v>NO EXCEPTION IDENTIFIED</v>
      </c>
      <c r="AI219" s="12" t="s">
        <v>156</v>
      </c>
      <c r="AJ219" s="12" t="s">
        <v>1423</v>
      </c>
    </row>
    <row r="220" customFormat="false" ht="20.85" hidden="false" customHeight="false" outlineLevel="0" collapsed="false">
      <c r="A220" s="13" t="s">
        <v>1424</v>
      </c>
      <c r="B220" s="14" t="n">
        <v>45891</v>
      </c>
      <c r="C220" s="13" t="s">
        <v>1425</v>
      </c>
      <c r="D220" s="13" t="s">
        <v>1426</v>
      </c>
      <c r="E220" s="13" t="n">
        <v>702</v>
      </c>
      <c r="F220" s="14" t="n">
        <v>45115</v>
      </c>
      <c r="G220" s="13" t="n">
        <f aca="false">B220-F220</f>
        <v>776</v>
      </c>
      <c r="H220" s="13" t="s">
        <v>1427</v>
      </c>
      <c r="I220" s="13" t="s">
        <v>1428</v>
      </c>
      <c r="J220" s="13" t="s">
        <v>135</v>
      </c>
      <c r="K220" s="13" t="s">
        <v>114</v>
      </c>
      <c r="L220" s="15" t="n">
        <v>36</v>
      </c>
      <c r="M220" s="13" t="s">
        <v>115</v>
      </c>
      <c r="N220" s="13" t="s">
        <v>116</v>
      </c>
      <c r="O220" s="13" t="s">
        <v>117</v>
      </c>
      <c r="P220" s="13" t="s">
        <v>178</v>
      </c>
      <c r="Q220" s="13" t="s">
        <v>119</v>
      </c>
      <c r="R220" s="13" t="s">
        <v>120</v>
      </c>
      <c r="S220" s="13"/>
      <c r="T220" s="14"/>
      <c r="U220" s="13"/>
      <c r="V220" s="13"/>
      <c r="W220" s="14"/>
      <c r="X220" s="13"/>
      <c r="Y220" s="13"/>
      <c r="Z220" s="15"/>
      <c r="AA220" s="15" t="n">
        <v>58.3</v>
      </c>
      <c r="AB220" s="13" t="str">
        <f aca="false">IF(B220&lt;F220,"Y","")</f>
        <v/>
      </c>
      <c r="AC220" s="13" t="str">
        <f aca="false">IF(O220&lt;&gt;"Y","Y","")</f>
        <v/>
      </c>
      <c r="AD220" s="13" t="str">
        <f aca="false">IF(AND(M220="declined-prior-offer",S220=""),"Y","")</f>
        <v/>
      </c>
      <c r="AE220" s="13" t="str">
        <f aca="false">IF(OR(R220&lt;&gt;"MATCH",ISNUMBER(SEARCH("conflict",Q220))),"Y","")</f>
        <v/>
      </c>
      <c r="AF220" s="13" t="str">
        <f aca="false">IF(AND(ISNUMBER(Z220),ABS(Z220-AA220)&gt;0.001),"Y","")</f>
        <v/>
      </c>
      <c r="AG220" s="13" t="str">
        <f aca="false">IF(AND(W220&lt;&gt;"",Y220&lt;&gt;"ACCEPTED"),"Y","")</f>
        <v/>
      </c>
      <c r="AH220" s="13" t="str">
        <f aca="false">IF(COUNTIF(AB220:AG220,"Y")&gt;0,"EXCEPTION","NO EXCEPTION IDENTIFIED")</f>
        <v>NO EXCEPTION IDENTIFIED</v>
      </c>
      <c r="AI220" s="16" t="s">
        <v>156</v>
      </c>
      <c r="AJ220" s="16" t="s">
        <v>1429</v>
      </c>
    </row>
    <row r="221" customFormat="false" ht="20.85" hidden="false" customHeight="false" outlineLevel="0" collapsed="false">
      <c r="A221" s="9" t="s">
        <v>1430</v>
      </c>
      <c r="B221" s="10" t="n">
        <v>45895</v>
      </c>
      <c r="C221" s="9" t="s">
        <v>1431</v>
      </c>
      <c r="D221" s="9" t="s">
        <v>1432</v>
      </c>
      <c r="E221" s="9" t="n">
        <v>1774</v>
      </c>
      <c r="F221" s="10" t="n">
        <v>45618</v>
      </c>
      <c r="G221" s="9" t="n">
        <f aca="false">B221-F221</f>
        <v>277</v>
      </c>
      <c r="H221" s="9" t="s">
        <v>1433</v>
      </c>
      <c r="I221" s="9" t="s">
        <v>1326</v>
      </c>
      <c r="J221" s="9" t="s">
        <v>113</v>
      </c>
      <c r="K221" s="9" t="s">
        <v>114</v>
      </c>
      <c r="L221" s="11" t="n">
        <v>32</v>
      </c>
      <c r="M221" s="9" t="s">
        <v>169</v>
      </c>
      <c r="N221" s="9" t="s">
        <v>170</v>
      </c>
      <c r="O221" s="9" t="s">
        <v>117</v>
      </c>
      <c r="P221" s="9" t="s">
        <v>128</v>
      </c>
      <c r="Q221" s="9" t="s">
        <v>119</v>
      </c>
      <c r="R221" s="9" t="s">
        <v>120</v>
      </c>
      <c r="S221" s="9"/>
      <c r="T221" s="10"/>
      <c r="U221" s="9"/>
      <c r="V221" s="9"/>
      <c r="W221" s="10"/>
      <c r="X221" s="9"/>
      <c r="Y221" s="9"/>
      <c r="Z221" s="11"/>
      <c r="AA221" s="11" t="n">
        <v>52</v>
      </c>
      <c r="AB221" s="9" t="str">
        <f aca="false">IF(B221&lt;F221,"Y","")</f>
        <v/>
      </c>
      <c r="AC221" s="9" t="str">
        <f aca="false">IF(O221&lt;&gt;"Y","Y","")</f>
        <v/>
      </c>
      <c r="AD221" s="9" t="str">
        <f aca="false">IF(AND(M221="declined-prior-offer",S221=""),"Y","")</f>
        <v>Y</v>
      </c>
      <c r="AE221" s="9" t="str">
        <f aca="false">IF(OR(R221&lt;&gt;"MATCH",ISNUMBER(SEARCH("conflict",Q221))),"Y","")</f>
        <v/>
      </c>
      <c r="AF221" s="9" t="str">
        <f aca="false">IF(AND(ISNUMBER(Z221),ABS(Z221-AA221)&gt;0.001),"Y","")</f>
        <v/>
      </c>
      <c r="AG221" s="9" t="str">
        <f aca="false">IF(AND(W221&lt;&gt;"",Y221&lt;&gt;"ACCEPTED"),"Y","")</f>
        <v/>
      </c>
      <c r="AH221" s="9" t="str">
        <f aca="false">IF(COUNTIF(AB221:AG221,"Y")&gt;0,"EXCEPTION","NO EXCEPTION IDENTIFIED")</f>
        <v>EXCEPTION</v>
      </c>
      <c r="AI221" s="12" t="s">
        <v>229</v>
      </c>
      <c r="AJ221" s="12" t="s">
        <v>1434</v>
      </c>
    </row>
    <row r="222" customFormat="false" ht="20.85" hidden="false" customHeight="false" outlineLevel="0" collapsed="false">
      <c r="A222" s="13" t="s">
        <v>1435</v>
      </c>
      <c r="B222" s="14" t="n">
        <v>45895</v>
      </c>
      <c r="C222" s="13" t="s">
        <v>1436</v>
      </c>
      <c r="D222" s="13" t="s">
        <v>1437</v>
      </c>
      <c r="E222" s="13" t="n">
        <v>2311</v>
      </c>
      <c r="F222" s="14" t="n">
        <v>45858</v>
      </c>
      <c r="G222" s="13" t="n">
        <f aca="false">B222-F222</f>
        <v>37</v>
      </c>
      <c r="H222" s="13" t="s">
        <v>1438</v>
      </c>
      <c r="I222" s="13" t="s">
        <v>177</v>
      </c>
      <c r="J222" s="13" t="s">
        <v>155</v>
      </c>
      <c r="K222" s="13" t="s">
        <v>146</v>
      </c>
      <c r="L222" s="15" t="n">
        <v>32</v>
      </c>
      <c r="M222" s="13" t="s">
        <v>185</v>
      </c>
      <c r="N222" s="13" t="s">
        <v>186</v>
      </c>
      <c r="O222" s="13" t="s">
        <v>117</v>
      </c>
      <c r="P222" s="13" t="s">
        <v>178</v>
      </c>
      <c r="Q222" s="13" t="s">
        <v>119</v>
      </c>
      <c r="R222" s="13" t="s">
        <v>120</v>
      </c>
      <c r="S222" s="13"/>
      <c r="T222" s="14"/>
      <c r="U222" s="13"/>
      <c r="V222" s="13"/>
      <c r="W222" s="14"/>
      <c r="X222" s="13"/>
      <c r="Y222" s="13"/>
      <c r="Z222" s="15"/>
      <c r="AA222" s="15" t="n">
        <v>41</v>
      </c>
      <c r="AB222" s="13" t="str">
        <f aca="false">IF(B222&lt;F222,"Y","")</f>
        <v/>
      </c>
      <c r="AC222" s="13" t="str">
        <f aca="false">IF(O222&lt;&gt;"Y","Y","")</f>
        <v/>
      </c>
      <c r="AD222" s="13" t="str">
        <f aca="false">IF(AND(M222="declined-prior-offer",S222=""),"Y","")</f>
        <v/>
      </c>
      <c r="AE222" s="13" t="str">
        <f aca="false">IF(OR(R222&lt;&gt;"MATCH",ISNUMBER(SEARCH("conflict",Q222))),"Y","")</f>
        <v/>
      </c>
      <c r="AF222" s="13" t="str">
        <f aca="false">IF(AND(ISNUMBER(Z222),ABS(Z222-AA222)&gt;0.001),"Y","")</f>
        <v/>
      </c>
      <c r="AG222" s="13" t="str">
        <f aca="false">IF(AND(W222&lt;&gt;"",Y222&lt;&gt;"ACCEPTED"),"Y","")</f>
        <v/>
      </c>
      <c r="AH222" s="13" t="str">
        <f aca="false">IF(COUNTIF(AB222:AG222,"Y")&gt;0,"EXCEPTION","NO EXCEPTION IDENTIFIED")</f>
        <v>NO EXCEPTION IDENTIFIED</v>
      </c>
      <c r="AI222" s="16" t="s">
        <v>156</v>
      </c>
      <c r="AJ222" s="16" t="s">
        <v>1439</v>
      </c>
    </row>
    <row r="223" customFormat="false" ht="20.85" hidden="false" customHeight="false" outlineLevel="0" collapsed="false">
      <c r="A223" s="9" t="s">
        <v>1440</v>
      </c>
      <c r="B223" s="10" t="n">
        <v>45895</v>
      </c>
      <c r="C223" s="9" t="s">
        <v>1441</v>
      </c>
      <c r="D223" s="9" t="s">
        <v>1442</v>
      </c>
      <c r="E223" s="9" t="n">
        <v>788</v>
      </c>
      <c r="F223" s="10" t="n">
        <v>45162</v>
      </c>
      <c r="G223" s="9" t="n">
        <f aca="false">B223-F223</f>
        <v>733</v>
      </c>
      <c r="H223" s="9" t="s">
        <v>1443</v>
      </c>
      <c r="I223" s="9" t="s">
        <v>1444</v>
      </c>
      <c r="J223" s="9" t="s">
        <v>155</v>
      </c>
      <c r="K223" s="9" t="s">
        <v>146</v>
      </c>
      <c r="L223" s="11" t="n">
        <v>80</v>
      </c>
      <c r="M223" s="9" t="s">
        <v>115</v>
      </c>
      <c r="N223" s="9" t="s">
        <v>116</v>
      </c>
      <c r="O223" s="9" t="s">
        <v>117</v>
      </c>
      <c r="P223" s="9" t="s">
        <v>128</v>
      </c>
      <c r="Q223" s="9" t="s">
        <v>119</v>
      </c>
      <c r="R223" s="9" t="s">
        <v>120</v>
      </c>
      <c r="S223" s="9"/>
      <c r="T223" s="10"/>
      <c r="U223" s="9"/>
      <c r="V223" s="9"/>
      <c r="W223" s="10"/>
      <c r="X223" s="9"/>
      <c r="Y223" s="9"/>
      <c r="Z223" s="11"/>
      <c r="AA223" s="11" t="n">
        <v>39</v>
      </c>
      <c r="AB223" s="9" t="str">
        <f aca="false">IF(B223&lt;F223,"Y","")</f>
        <v/>
      </c>
      <c r="AC223" s="9" t="str">
        <f aca="false">IF(O223&lt;&gt;"Y","Y","")</f>
        <v/>
      </c>
      <c r="AD223" s="9" t="str">
        <f aca="false">IF(AND(M223="declined-prior-offer",S223=""),"Y","")</f>
        <v/>
      </c>
      <c r="AE223" s="9" t="str">
        <f aca="false">IF(OR(R223&lt;&gt;"MATCH",ISNUMBER(SEARCH("conflict",Q223))),"Y","")</f>
        <v/>
      </c>
      <c r="AF223" s="9" t="str">
        <f aca="false">IF(AND(ISNUMBER(Z223),ABS(Z223-AA223)&gt;0.001),"Y","")</f>
        <v/>
      </c>
      <c r="AG223" s="9" t="str">
        <f aca="false">IF(AND(W223&lt;&gt;"",Y223&lt;&gt;"ACCEPTED"),"Y","")</f>
        <v/>
      </c>
      <c r="AH223" s="9" t="str">
        <f aca="false">IF(COUNTIF(AB223:AG223,"Y")&gt;0,"EXCEPTION","NO EXCEPTION IDENTIFIED")</f>
        <v>NO EXCEPTION IDENTIFIED</v>
      </c>
      <c r="AI223" s="12" t="s">
        <v>156</v>
      </c>
      <c r="AJ223" s="12" t="s">
        <v>1445</v>
      </c>
    </row>
    <row r="224" customFormat="false" ht="20.85" hidden="false" customHeight="false" outlineLevel="0" collapsed="false">
      <c r="A224" s="13" t="s">
        <v>1446</v>
      </c>
      <c r="B224" s="14" t="n">
        <v>45897</v>
      </c>
      <c r="C224" s="13" t="s">
        <v>1447</v>
      </c>
      <c r="D224" s="13" t="s">
        <v>1448</v>
      </c>
      <c r="E224" s="13" t="n">
        <v>1838</v>
      </c>
      <c r="F224" s="14" t="n">
        <v>45644</v>
      </c>
      <c r="G224" s="13" t="n">
        <f aca="false">B224-F224</f>
        <v>253</v>
      </c>
      <c r="H224" s="13" t="s">
        <v>1449</v>
      </c>
      <c r="I224" s="13" t="s">
        <v>1450</v>
      </c>
      <c r="J224" s="13" t="s">
        <v>113</v>
      </c>
      <c r="K224" s="13" t="s">
        <v>114</v>
      </c>
      <c r="L224" s="15" t="n">
        <v>28</v>
      </c>
      <c r="M224" s="13" t="s">
        <v>169</v>
      </c>
      <c r="N224" s="13" t="s">
        <v>170</v>
      </c>
      <c r="O224" s="13" t="s">
        <v>147</v>
      </c>
      <c r="P224" s="13" t="s">
        <v>138</v>
      </c>
      <c r="Q224" s="13" t="s">
        <v>119</v>
      </c>
      <c r="R224" s="13" t="s">
        <v>120</v>
      </c>
      <c r="S224" s="13"/>
      <c r="T224" s="14"/>
      <c r="U224" s="13"/>
      <c r="V224" s="13"/>
      <c r="W224" s="14"/>
      <c r="X224" s="13"/>
      <c r="Y224" s="13"/>
      <c r="Z224" s="15"/>
      <c r="AA224" s="15" t="n">
        <v>48.5</v>
      </c>
      <c r="AB224" s="13" t="str">
        <f aca="false">IF(B224&lt;F224,"Y","")</f>
        <v/>
      </c>
      <c r="AC224" s="13" t="str">
        <f aca="false">IF(O224&lt;&gt;"Y","Y","")</f>
        <v>Y</v>
      </c>
      <c r="AD224" s="13" t="str">
        <f aca="false">IF(AND(M224="declined-prior-offer",S224=""),"Y","")</f>
        <v>Y</v>
      </c>
      <c r="AE224" s="13" t="str">
        <f aca="false">IF(OR(R224&lt;&gt;"MATCH",ISNUMBER(SEARCH("conflict",Q224))),"Y","")</f>
        <v/>
      </c>
      <c r="AF224" s="13" t="str">
        <f aca="false">IF(AND(ISNUMBER(Z224),ABS(Z224-AA224)&gt;0.001),"Y","")</f>
        <v/>
      </c>
      <c r="AG224" s="13" t="str">
        <f aca="false">IF(AND(W224&lt;&gt;"",Y224&lt;&gt;"ACCEPTED"),"Y","")</f>
        <v/>
      </c>
      <c r="AH224" s="13" t="str">
        <f aca="false">IF(COUNTIF(AB224:AG224,"Y")&gt;0,"EXCEPTION","NO EXCEPTION IDENTIFIED")</f>
        <v>EXCEPTION</v>
      </c>
      <c r="AI224" s="16" t="s">
        <v>1451</v>
      </c>
      <c r="AJ224" s="16" t="s">
        <v>1452</v>
      </c>
    </row>
    <row r="225" customFormat="false" ht="20.85" hidden="false" customHeight="false" outlineLevel="0" collapsed="false">
      <c r="A225" s="9" t="s">
        <v>1453</v>
      </c>
      <c r="B225" s="10" t="n">
        <v>45897</v>
      </c>
      <c r="C225" s="9" t="s">
        <v>1454</v>
      </c>
      <c r="D225" s="9" t="s">
        <v>1455</v>
      </c>
      <c r="E225" s="9" t="n">
        <v>617</v>
      </c>
      <c r="F225" s="10" t="n">
        <v>45071</v>
      </c>
      <c r="G225" s="9" t="n">
        <f aca="false">B225-F225</f>
        <v>826</v>
      </c>
      <c r="H225" s="9" t="s">
        <v>1456</v>
      </c>
      <c r="I225" s="9" t="s">
        <v>1113</v>
      </c>
      <c r="J225" s="9" t="s">
        <v>135</v>
      </c>
      <c r="K225" s="9" t="s">
        <v>114</v>
      </c>
      <c r="L225" s="11" t="n">
        <v>28</v>
      </c>
      <c r="M225" s="9" t="s">
        <v>115</v>
      </c>
      <c r="N225" s="9" t="s">
        <v>116</v>
      </c>
      <c r="O225" s="9" t="s">
        <v>117</v>
      </c>
      <c r="P225" s="9" t="s">
        <v>178</v>
      </c>
      <c r="Q225" s="9" t="s">
        <v>119</v>
      </c>
      <c r="R225" s="9" t="s">
        <v>120</v>
      </c>
      <c r="S225" s="9"/>
      <c r="T225" s="10"/>
      <c r="U225" s="9"/>
      <c r="V225" s="9"/>
      <c r="W225" s="10"/>
      <c r="X225" s="9"/>
      <c r="Y225" s="9"/>
      <c r="Z225" s="11"/>
      <c r="AA225" s="11" t="n">
        <v>43.9</v>
      </c>
      <c r="AB225" s="9" t="str">
        <f aca="false">IF(B225&lt;F225,"Y","")</f>
        <v/>
      </c>
      <c r="AC225" s="9" t="str">
        <f aca="false">IF(O225&lt;&gt;"Y","Y","")</f>
        <v/>
      </c>
      <c r="AD225" s="9" t="str">
        <f aca="false">IF(AND(M225="declined-prior-offer",S225=""),"Y","")</f>
        <v/>
      </c>
      <c r="AE225" s="9" t="str">
        <f aca="false">IF(OR(R225&lt;&gt;"MATCH",ISNUMBER(SEARCH("conflict",Q225))),"Y","")</f>
        <v/>
      </c>
      <c r="AF225" s="9" t="str">
        <f aca="false">IF(AND(ISNUMBER(Z225),ABS(Z225-AA225)&gt;0.001),"Y","")</f>
        <v/>
      </c>
      <c r="AG225" s="9" t="str">
        <f aca="false">IF(AND(W225&lt;&gt;"",Y225&lt;&gt;"ACCEPTED"),"Y","")</f>
        <v/>
      </c>
      <c r="AH225" s="9" t="str">
        <f aca="false">IF(COUNTIF(AB225:AG225,"Y")&gt;0,"EXCEPTION","NO EXCEPTION IDENTIFIED")</f>
        <v>NO EXCEPTION IDENTIFIED</v>
      </c>
      <c r="AI225" s="12" t="s">
        <v>156</v>
      </c>
      <c r="AJ225" s="12" t="s">
        <v>1457</v>
      </c>
    </row>
    <row r="226" customFormat="false" ht="20.85" hidden="false" customHeight="false" outlineLevel="0" collapsed="false">
      <c r="A226" s="13" t="s">
        <v>1458</v>
      </c>
      <c r="B226" s="14" t="n">
        <v>45903</v>
      </c>
      <c r="C226" s="13" t="s">
        <v>1459</v>
      </c>
      <c r="D226" s="13" t="s">
        <v>1460</v>
      </c>
      <c r="E226" s="13" t="n">
        <v>334</v>
      </c>
      <c r="F226" s="14" t="n">
        <v>44906</v>
      </c>
      <c r="G226" s="13" t="n">
        <f aca="false">B226-F226</f>
        <v>997</v>
      </c>
      <c r="H226" s="13" t="s">
        <v>1461</v>
      </c>
      <c r="I226" s="13" t="s">
        <v>1462</v>
      </c>
      <c r="J226" s="13" t="s">
        <v>113</v>
      </c>
      <c r="K226" s="13" t="s">
        <v>114</v>
      </c>
      <c r="L226" s="15" t="n">
        <v>28</v>
      </c>
      <c r="M226" s="13" t="s">
        <v>136</v>
      </c>
      <c r="N226" s="13" t="s">
        <v>137</v>
      </c>
      <c r="O226" s="13" t="s">
        <v>117</v>
      </c>
      <c r="P226" s="13" t="s">
        <v>128</v>
      </c>
      <c r="Q226" s="13" t="s">
        <v>119</v>
      </c>
      <c r="R226" s="13" t="s">
        <v>120</v>
      </c>
      <c r="S226" s="13"/>
      <c r="T226" s="14"/>
      <c r="U226" s="13"/>
      <c r="V226" s="13"/>
      <c r="W226" s="14"/>
      <c r="X226" s="13"/>
      <c r="Y226" s="13"/>
      <c r="Z226" s="15"/>
      <c r="AA226" s="15" t="n">
        <v>31.5</v>
      </c>
      <c r="AB226" s="13" t="str">
        <f aca="false">IF(B226&lt;F226,"Y","")</f>
        <v/>
      </c>
      <c r="AC226" s="13" t="str">
        <f aca="false">IF(O226&lt;&gt;"Y","Y","")</f>
        <v/>
      </c>
      <c r="AD226" s="13" t="str">
        <f aca="false">IF(AND(M226="declined-prior-offer",S226=""),"Y","")</f>
        <v/>
      </c>
      <c r="AE226" s="13" t="str">
        <f aca="false">IF(OR(R226&lt;&gt;"MATCH",ISNUMBER(SEARCH("conflict",Q226))),"Y","")</f>
        <v/>
      </c>
      <c r="AF226" s="13" t="str">
        <f aca="false">IF(AND(ISNUMBER(Z226),ABS(Z226-AA226)&gt;0.001),"Y","")</f>
        <v/>
      </c>
      <c r="AG226" s="13" t="str">
        <f aca="false">IF(AND(W226&lt;&gt;"",Y226&lt;&gt;"ACCEPTED"),"Y","")</f>
        <v/>
      </c>
      <c r="AH226" s="13" t="str">
        <f aca="false">IF(COUNTIF(AB226:AG226,"Y")&gt;0,"EXCEPTION","NO EXCEPTION IDENTIFIED")</f>
        <v>NO EXCEPTION IDENTIFIED</v>
      </c>
      <c r="AI226" s="16" t="s">
        <v>156</v>
      </c>
      <c r="AJ226" s="16" t="s">
        <v>1463</v>
      </c>
    </row>
    <row r="227" customFormat="false" ht="20.85" hidden="false" customHeight="false" outlineLevel="0" collapsed="false">
      <c r="A227" s="9" t="s">
        <v>1464</v>
      </c>
      <c r="B227" s="10" t="n">
        <v>45905</v>
      </c>
      <c r="C227" s="9" t="s">
        <v>1465</v>
      </c>
      <c r="D227" s="9" t="s">
        <v>1466</v>
      </c>
      <c r="E227" s="9" t="n">
        <v>1002</v>
      </c>
      <c r="F227" s="10" t="n">
        <v>45264</v>
      </c>
      <c r="G227" s="9" t="n">
        <f aca="false">B227-F227</f>
        <v>641</v>
      </c>
      <c r="H227" s="9" t="s">
        <v>1467</v>
      </c>
      <c r="I227" s="9" t="s">
        <v>1131</v>
      </c>
      <c r="J227" s="9" t="s">
        <v>113</v>
      </c>
      <c r="K227" s="9" t="s">
        <v>114</v>
      </c>
      <c r="L227" s="11" t="n">
        <v>36</v>
      </c>
      <c r="M227" s="9" t="s">
        <v>136</v>
      </c>
      <c r="N227" s="9" t="s">
        <v>137</v>
      </c>
      <c r="O227" s="9" t="s">
        <v>117</v>
      </c>
      <c r="P227" s="9" t="s">
        <v>178</v>
      </c>
      <c r="Q227" s="9" t="s">
        <v>119</v>
      </c>
      <c r="R227" s="9" t="s">
        <v>120</v>
      </c>
      <c r="S227" s="9"/>
      <c r="T227" s="10"/>
      <c r="U227" s="9"/>
      <c r="V227" s="9"/>
      <c r="W227" s="10"/>
      <c r="X227" s="9"/>
      <c r="Y227" s="9"/>
      <c r="Z227" s="11"/>
      <c r="AA227" s="11" t="n">
        <v>46.8</v>
      </c>
      <c r="AB227" s="9" t="str">
        <f aca="false">IF(B227&lt;F227,"Y","")</f>
        <v/>
      </c>
      <c r="AC227" s="9" t="str">
        <f aca="false">IF(O227&lt;&gt;"Y","Y","")</f>
        <v/>
      </c>
      <c r="AD227" s="9" t="str">
        <f aca="false">IF(AND(M227="declined-prior-offer",S227=""),"Y","")</f>
        <v/>
      </c>
      <c r="AE227" s="9" t="str">
        <f aca="false">IF(OR(R227&lt;&gt;"MATCH",ISNUMBER(SEARCH("conflict",Q227))),"Y","")</f>
        <v/>
      </c>
      <c r="AF227" s="9" t="str">
        <f aca="false">IF(AND(ISNUMBER(Z227),ABS(Z227-AA227)&gt;0.001),"Y","")</f>
        <v/>
      </c>
      <c r="AG227" s="9" t="str">
        <f aca="false">IF(AND(W227&lt;&gt;"",Y227&lt;&gt;"ACCEPTED"),"Y","")</f>
        <v/>
      </c>
      <c r="AH227" s="9" t="str">
        <f aca="false">IF(COUNTIF(AB227:AG227,"Y")&gt;0,"EXCEPTION","NO EXCEPTION IDENTIFIED")</f>
        <v>NO EXCEPTION IDENTIFIED</v>
      </c>
      <c r="AI227" s="12" t="s">
        <v>156</v>
      </c>
      <c r="AJ227" s="12" t="s">
        <v>1468</v>
      </c>
    </row>
    <row r="228" customFormat="false" ht="20.85" hidden="false" customHeight="false" outlineLevel="0" collapsed="false">
      <c r="A228" s="13" t="s">
        <v>1469</v>
      </c>
      <c r="B228" s="14" t="n">
        <v>45909</v>
      </c>
      <c r="C228" s="13" t="s">
        <v>1470</v>
      </c>
      <c r="D228" s="13" t="s">
        <v>1471</v>
      </c>
      <c r="E228" s="13" t="n">
        <v>1167</v>
      </c>
      <c r="F228" s="14" t="n">
        <v>45345</v>
      </c>
      <c r="G228" s="13" t="n">
        <f aca="false">B228-F228</f>
        <v>564</v>
      </c>
      <c r="H228" s="13" t="s">
        <v>1472</v>
      </c>
      <c r="I228" s="13" t="s">
        <v>1473</v>
      </c>
      <c r="J228" s="13" t="s">
        <v>135</v>
      </c>
      <c r="K228" s="13" t="s">
        <v>114</v>
      </c>
      <c r="L228" s="15" t="n">
        <v>32</v>
      </c>
      <c r="M228" s="13" t="s">
        <v>115</v>
      </c>
      <c r="N228" s="13" t="s">
        <v>116</v>
      </c>
      <c r="O228" s="13" t="s">
        <v>117</v>
      </c>
      <c r="P228" s="13" t="s">
        <v>118</v>
      </c>
      <c r="Q228" s="13" t="s">
        <v>119</v>
      </c>
      <c r="R228" s="13" t="s">
        <v>120</v>
      </c>
      <c r="S228" s="13"/>
      <c r="T228" s="14"/>
      <c r="U228" s="13"/>
      <c r="V228" s="13"/>
      <c r="W228" s="14" t="n">
        <v>45395</v>
      </c>
      <c r="X228" s="13" t="s">
        <v>1474</v>
      </c>
      <c r="Y228" s="13" t="s">
        <v>374</v>
      </c>
      <c r="Z228" s="15" t="n">
        <v>34.9</v>
      </c>
      <c r="AA228" s="15" t="n">
        <v>22.8</v>
      </c>
      <c r="AB228" s="13" t="str">
        <f aca="false">IF(B228&lt;F228,"Y","")</f>
        <v/>
      </c>
      <c r="AC228" s="13" t="str">
        <f aca="false">IF(O228&lt;&gt;"Y","Y","")</f>
        <v/>
      </c>
      <c r="AD228" s="13" t="str">
        <f aca="false">IF(AND(M228="declined-prior-offer",S228=""),"Y","")</f>
        <v/>
      </c>
      <c r="AE228" s="13" t="str">
        <f aca="false">IF(OR(R228&lt;&gt;"MATCH",ISNUMBER(SEARCH("conflict",Q228))),"Y","")</f>
        <v/>
      </c>
      <c r="AF228" s="13" t="str">
        <f aca="false">IF(AND(ISNUMBER(Z228),ABS(Z228-AA228)&gt;0.001),"Y","")</f>
        <v>Y</v>
      </c>
      <c r="AG228" s="13" t="str">
        <f aca="false">IF(AND(W228&lt;&gt;"",Y228&lt;&gt;"ACCEPTED"),"Y","")</f>
        <v/>
      </c>
      <c r="AH228" s="13" t="str">
        <f aca="false">IF(COUNTIF(AB228:AG228,"Y")&gt;0,"EXCEPTION","NO EXCEPTION IDENTIFIED")</f>
        <v>EXCEPTION</v>
      </c>
      <c r="AI228" s="16" t="s">
        <v>578</v>
      </c>
      <c r="AJ228" s="16" t="s">
        <v>1475</v>
      </c>
    </row>
    <row r="229" customFormat="false" ht="20.85" hidden="false" customHeight="false" outlineLevel="0" collapsed="false">
      <c r="A229" s="9" t="s">
        <v>1476</v>
      </c>
      <c r="B229" s="10" t="n">
        <v>45909</v>
      </c>
      <c r="C229" s="9" t="s">
        <v>1477</v>
      </c>
      <c r="D229" s="9" t="s">
        <v>1478</v>
      </c>
      <c r="E229" s="9" t="n">
        <v>2102</v>
      </c>
      <c r="F229" s="10" t="n">
        <v>45757</v>
      </c>
      <c r="G229" s="9" t="n">
        <f aca="false">B229-F229</f>
        <v>152</v>
      </c>
      <c r="H229" s="9" t="s">
        <v>1479</v>
      </c>
      <c r="I229" s="9" t="s">
        <v>1480</v>
      </c>
      <c r="J229" s="9" t="s">
        <v>113</v>
      </c>
      <c r="K229" s="9" t="s">
        <v>114</v>
      </c>
      <c r="L229" s="11" t="n">
        <v>36</v>
      </c>
      <c r="M229" s="9" t="s">
        <v>185</v>
      </c>
      <c r="N229" s="9" t="s">
        <v>186</v>
      </c>
      <c r="O229" s="9" t="s">
        <v>117</v>
      </c>
      <c r="P229" s="9" t="s">
        <v>118</v>
      </c>
      <c r="Q229" s="9" t="s">
        <v>786</v>
      </c>
      <c r="R229" s="9" t="s">
        <v>290</v>
      </c>
      <c r="S229" s="9"/>
      <c r="T229" s="10"/>
      <c r="U229" s="9"/>
      <c r="V229" s="9"/>
      <c r="W229" s="10" t="n">
        <v>45839</v>
      </c>
      <c r="X229" s="9" t="s">
        <v>1481</v>
      </c>
      <c r="Y229" s="9" t="s">
        <v>374</v>
      </c>
      <c r="Z229" s="11" t="n">
        <v>35.8</v>
      </c>
      <c r="AA229" s="11" t="n">
        <v>35.8</v>
      </c>
      <c r="AB229" s="9" t="str">
        <f aca="false">IF(B229&lt;F229,"Y","")</f>
        <v/>
      </c>
      <c r="AC229" s="9" t="str">
        <f aca="false">IF(O229&lt;&gt;"Y","Y","")</f>
        <v/>
      </c>
      <c r="AD229" s="9" t="str">
        <f aca="false">IF(AND(M229="declined-prior-offer",S229=""),"Y","")</f>
        <v/>
      </c>
      <c r="AE229" s="9" t="str">
        <f aca="false">IF(OR(R229&lt;&gt;"MATCH",ISNUMBER(SEARCH("conflict",Q229))),"Y","")</f>
        <v>Y</v>
      </c>
      <c r="AF229" s="9" t="str">
        <f aca="false">IF(AND(ISNUMBER(Z229),ABS(Z229-AA229)&gt;0.001),"Y","")</f>
        <v/>
      </c>
      <c r="AG229" s="9" t="str">
        <f aca="false">IF(AND(W229&lt;&gt;"",Y229&lt;&gt;"ACCEPTED"),"Y","")</f>
        <v/>
      </c>
      <c r="AH229" s="9" t="str">
        <f aca="false">IF(COUNTIF(AB229:AG229,"Y")&gt;0,"EXCEPTION","NO EXCEPTION IDENTIFIED")</f>
        <v>EXCEPTION</v>
      </c>
      <c r="AI229" s="12" t="s">
        <v>1482</v>
      </c>
      <c r="AJ229" s="12" t="s">
        <v>1483</v>
      </c>
    </row>
    <row r="230" customFormat="false" ht="20.85" hidden="false" customHeight="false" outlineLevel="0" collapsed="false">
      <c r="A230" s="13" t="s">
        <v>1484</v>
      </c>
      <c r="B230" s="14" t="n">
        <v>45911</v>
      </c>
      <c r="C230" s="13" t="s">
        <v>1485</v>
      </c>
      <c r="D230" s="13" t="s">
        <v>1486</v>
      </c>
      <c r="E230" s="13" t="n">
        <v>2865</v>
      </c>
      <c r="F230" s="14" t="n">
        <v>46182</v>
      </c>
      <c r="G230" s="13" t="n">
        <f aca="false">B230-F230</f>
        <v>-271</v>
      </c>
      <c r="H230" s="13" t="s">
        <v>1487</v>
      </c>
      <c r="I230" s="13" t="s">
        <v>1143</v>
      </c>
      <c r="J230" s="13" t="s">
        <v>204</v>
      </c>
      <c r="K230" s="13" t="s">
        <v>146</v>
      </c>
      <c r="L230" s="15" t="n">
        <v>28</v>
      </c>
      <c r="M230" s="13" t="s">
        <v>169</v>
      </c>
      <c r="N230" s="13" t="s">
        <v>170</v>
      </c>
      <c r="O230" s="13" t="s">
        <v>117</v>
      </c>
      <c r="P230" s="13" t="s">
        <v>128</v>
      </c>
      <c r="Q230" s="13" t="s">
        <v>119</v>
      </c>
      <c r="R230" s="13" t="s">
        <v>120</v>
      </c>
      <c r="S230" s="13"/>
      <c r="T230" s="14"/>
      <c r="U230" s="13"/>
      <c r="V230" s="13"/>
      <c r="W230" s="14"/>
      <c r="X230" s="13"/>
      <c r="Y230" s="13"/>
      <c r="Z230" s="15"/>
      <c r="AA230" s="15" t="n">
        <v>58.8</v>
      </c>
      <c r="AB230" s="13" t="str">
        <f aca="false">IF(B230&lt;F230,"Y","")</f>
        <v>Y</v>
      </c>
      <c r="AC230" s="13" t="str">
        <f aca="false">IF(O230&lt;&gt;"Y","Y","")</f>
        <v/>
      </c>
      <c r="AD230" s="13" t="str">
        <f aca="false">IF(AND(M230="declined-prior-offer",S230=""),"Y","")</f>
        <v>Y</v>
      </c>
      <c r="AE230" s="13" t="str">
        <f aca="false">IF(OR(R230&lt;&gt;"MATCH",ISNUMBER(SEARCH("conflict",Q230))),"Y","")</f>
        <v/>
      </c>
      <c r="AF230" s="13" t="str">
        <f aca="false">IF(AND(ISNUMBER(Z230),ABS(Z230-AA230)&gt;0.001),"Y","")</f>
        <v/>
      </c>
      <c r="AG230" s="13" t="str">
        <f aca="false">IF(AND(W230&lt;&gt;"",Y230&lt;&gt;"ACCEPTED"),"Y","")</f>
        <v/>
      </c>
      <c r="AH230" s="13" t="str">
        <f aca="false">IF(COUNTIF(AB230:AG230,"Y")&gt;0,"EXCEPTION","NO EXCEPTION IDENTIFIED")</f>
        <v>EXCEPTION</v>
      </c>
      <c r="AI230" s="16" t="s">
        <v>171</v>
      </c>
      <c r="AJ230" s="16" t="s">
        <v>1488</v>
      </c>
    </row>
    <row r="231" customFormat="false" ht="20.85" hidden="false" customHeight="false" outlineLevel="0" collapsed="false">
      <c r="A231" s="9" t="s">
        <v>1489</v>
      </c>
      <c r="B231" s="10" t="n">
        <v>45917</v>
      </c>
      <c r="C231" s="9" t="s">
        <v>1490</v>
      </c>
      <c r="D231" s="9" t="s">
        <v>1491</v>
      </c>
      <c r="E231" s="9" t="n">
        <v>715</v>
      </c>
      <c r="F231" s="10" t="n">
        <v>45123</v>
      </c>
      <c r="G231" s="9" t="n">
        <f aca="false">B231-F231</f>
        <v>794</v>
      </c>
      <c r="H231" s="9" t="s">
        <v>1492</v>
      </c>
      <c r="I231" s="9" t="s">
        <v>1493</v>
      </c>
      <c r="J231" s="9" t="s">
        <v>155</v>
      </c>
      <c r="K231" s="9" t="s">
        <v>146</v>
      </c>
      <c r="L231" s="11" t="n">
        <v>80</v>
      </c>
      <c r="M231" s="9" t="s">
        <v>115</v>
      </c>
      <c r="N231" s="9" t="s">
        <v>116</v>
      </c>
      <c r="O231" s="9" t="s">
        <v>117</v>
      </c>
      <c r="P231" s="9" t="s">
        <v>178</v>
      </c>
      <c r="Q231" s="9" t="s">
        <v>119</v>
      </c>
      <c r="R231" s="9" t="s">
        <v>120</v>
      </c>
      <c r="S231" s="9"/>
      <c r="T231" s="10"/>
      <c r="U231" s="9"/>
      <c r="V231" s="9"/>
      <c r="W231" s="10"/>
      <c r="X231" s="9"/>
      <c r="Y231" s="9"/>
      <c r="Z231" s="11"/>
      <c r="AA231" s="11" t="n">
        <v>30.1</v>
      </c>
      <c r="AB231" s="9" t="str">
        <f aca="false">IF(B231&lt;F231,"Y","")</f>
        <v/>
      </c>
      <c r="AC231" s="9" t="str">
        <f aca="false">IF(O231&lt;&gt;"Y","Y","")</f>
        <v/>
      </c>
      <c r="AD231" s="9" t="str">
        <f aca="false">IF(AND(M231="declined-prior-offer",S231=""),"Y","")</f>
        <v/>
      </c>
      <c r="AE231" s="9" t="str">
        <f aca="false">IF(OR(R231&lt;&gt;"MATCH",ISNUMBER(SEARCH("conflict",Q231))),"Y","")</f>
        <v/>
      </c>
      <c r="AF231" s="9" t="str">
        <f aca="false">IF(AND(ISNUMBER(Z231),ABS(Z231-AA231)&gt;0.001),"Y","")</f>
        <v/>
      </c>
      <c r="AG231" s="9" t="str">
        <f aca="false">IF(AND(W231&lt;&gt;"",Y231&lt;&gt;"ACCEPTED"),"Y","")</f>
        <v/>
      </c>
      <c r="AH231" s="9" t="str">
        <f aca="false">IF(COUNTIF(AB231:AG231,"Y")&gt;0,"EXCEPTION","NO EXCEPTION IDENTIFIED")</f>
        <v>NO EXCEPTION IDENTIFIED</v>
      </c>
      <c r="AI231" s="12" t="s">
        <v>156</v>
      </c>
      <c r="AJ231" s="12" t="s">
        <v>1494</v>
      </c>
    </row>
    <row r="232" customFormat="false" ht="20.85" hidden="false" customHeight="false" outlineLevel="0" collapsed="false">
      <c r="A232" s="13" t="s">
        <v>1495</v>
      </c>
      <c r="B232" s="14" t="n">
        <v>45917</v>
      </c>
      <c r="C232" s="13" t="s">
        <v>1496</v>
      </c>
      <c r="D232" s="13" t="s">
        <v>1497</v>
      </c>
      <c r="E232" s="13" t="n">
        <v>1428</v>
      </c>
      <c r="F232" s="14" t="n">
        <v>45466</v>
      </c>
      <c r="G232" s="13" t="n">
        <f aca="false">B232-F232</f>
        <v>451</v>
      </c>
      <c r="H232" s="13" t="s">
        <v>1498</v>
      </c>
      <c r="I232" s="13" t="s">
        <v>264</v>
      </c>
      <c r="J232" s="13" t="s">
        <v>204</v>
      </c>
      <c r="K232" s="13" t="s">
        <v>146</v>
      </c>
      <c r="L232" s="15" t="n">
        <v>32</v>
      </c>
      <c r="M232" s="13" t="s">
        <v>115</v>
      </c>
      <c r="N232" s="13" t="s">
        <v>116</v>
      </c>
      <c r="O232" s="13" t="s">
        <v>117</v>
      </c>
      <c r="P232" s="13" t="s">
        <v>178</v>
      </c>
      <c r="Q232" s="13" t="s">
        <v>119</v>
      </c>
      <c r="R232" s="13" t="s">
        <v>120</v>
      </c>
      <c r="S232" s="13" t="s">
        <v>1499</v>
      </c>
      <c r="T232" s="14" t="n">
        <v>45510</v>
      </c>
      <c r="U232" s="13" t="s">
        <v>1500</v>
      </c>
      <c r="V232" s="13" t="s">
        <v>1501</v>
      </c>
      <c r="W232" s="14"/>
      <c r="X232" s="13"/>
      <c r="Y232" s="13"/>
      <c r="Z232" s="15"/>
      <c r="AA232" s="15" t="n">
        <v>50.3</v>
      </c>
      <c r="AB232" s="13" t="str">
        <f aca="false">IF(B232&lt;F232,"Y","")</f>
        <v/>
      </c>
      <c r="AC232" s="13" t="str">
        <f aca="false">IF(O232&lt;&gt;"Y","Y","")</f>
        <v/>
      </c>
      <c r="AD232" s="13" t="str">
        <f aca="false">IF(AND(M232="declined-prior-offer",S232=""),"Y","")</f>
        <v/>
      </c>
      <c r="AE232" s="13" t="str">
        <f aca="false">IF(OR(R232&lt;&gt;"MATCH",ISNUMBER(SEARCH("conflict",Q232))),"Y","")</f>
        <v/>
      </c>
      <c r="AF232" s="13" t="str">
        <f aca="false">IF(AND(ISNUMBER(Z232),ABS(Z232-AA232)&gt;0.001),"Y","")</f>
        <v/>
      </c>
      <c r="AG232" s="13" t="str">
        <f aca="false">IF(AND(W232&lt;&gt;"",Y232&lt;&gt;"ACCEPTED"),"Y","")</f>
        <v/>
      </c>
      <c r="AH232" s="13" t="str">
        <f aca="false">IF(COUNTIF(AB232:AG232,"Y")&gt;0,"EXCEPTION","NO EXCEPTION IDENTIFIED")</f>
        <v>NO EXCEPTION IDENTIFIED</v>
      </c>
      <c r="AI232" s="16" t="s">
        <v>156</v>
      </c>
      <c r="AJ232" s="16" t="s">
        <v>1502</v>
      </c>
    </row>
    <row r="233" customFormat="false" ht="20.85" hidden="false" customHeight="false" outlineLevel="0" collapsed="false">
      <c r="A233" s="9" t="s">
        <v>1503</v>
      </c>
      <c r="B233" s="10" t="n">
        <v>45919</v>
      </c>
      <c r="C233" s="9" t="s">
        <v>1504</v>
      </c>
      <c r="D233" s="9" t="s">
        <v>1505</v>
      </c>
      <c r="E233" s="9" t="n">
        <v>1890</v>
      </c>
      <c r="F233" s="10" t="n">
        <v>45663</v>
      </c>
      <c r="G233" s="9" t="n">
        <f aca="false">B233-F233</f>
        <v>256</v>
      </c>
      <c r="H233" s="9" t="s">
        <v>1506</v>
      </c>
      <c r="I233" s="9" t="s">
        <v>1507</v>
      </c>
      <c r="J233" s="9" t="s">
        <v>145</v>
      </c>
      <c r="K233" s="9" t="s">
        <v>146</v>
      </c>
      <c r="L233" s="11" t="n">
        <v>28</v>
      </c>
      <c r="M233" s="9" t="s">
        <v>136</v>
      </c>
      <c r="N233" s="9" t="s">
        <v>137</v>
      </c>
      <c r="O233" s="9" t="s">
        <v>117</v>
      </c>
      <c r="P233" s="9" t="s">
        <v>128</v>
      </c>
      <c r="Q233" s="9" t="s">
        <v>119</v>
      </c>
      <c r="R233" s="9" t="s">
        <v>120</v>
      </c>
      <c r="S233" s="9"/>
      <c r="T233" s="10"/>
      <c r="U233" s="9"/>
      <c r="V233" s="9"/>
      <c r="W233" s="10"/>
      <c r="X233" s="9"/>
      <c r="Y233" s="9"/>
      <c r="Z233" s="11"/>
      <c r="AA233" s="11" t="n">
        <v>35.2</v>
      </c>
      <c r="AB233" s="9" t="str">
        <f aca="false">IF(B233&lt;F233,"Y","")</f>
        <v/>
      </c>
      <c r="AC233" s="9" t="str">
        <f aca="false">IF(O233&lt;&gt;"Y","Y","")</f>
        <v/>
      </c>
      <c r="AD233" s="9" t="str">
        <f aca="false">IF(AND(M233="declined-prior-offer",S233=""),"Y","")</f>
        <v/>
      </c>
      <c r="AE233" s="9" t="str">
        <f aca="false">IF(OR(R233&lt;&gt;"MATCH",ISNUMBER(SEARCH("conflict",Q233))),"Y","")</f>
        <v/>
      </c>
      <c r="AF233" s="9" t="str">
        <f aca="false">IF(AND(ISNUMBER(Z233),ABS(Z233-AA233)&gt;0.001),"Y","")</f>
        <v/>
      </c>
      <c r="AG233" s="9" t="str">
        <f aca="false">IF(AND(W233&lt;&gt;"",Y233&lt;&gt;"ACCEPTED"),"Y","")</f>
        <v/>
      </c>
      <c r="AH233" s="9" t="str">
        <f aca="false">IF(COUNTIF(AB233:AG233,"Y")&gt;0,"EXCEPTION","NO EXCEPTION IDENTIFIED")</f>
        <v>NO EXCEPTION IDENTIFIED</v>
      </c>
      <c r="AI233" s="12" t="s">
        <v>156</v>
      </c>
      <c r="AJ233" s="12" t="s">
        <v>1508</v>
      </c>
    </row>
    <row r="234" customFormat="false" ht="20.85" hidden="false" customHeight="false" outlineLevel="0" collapsed="false">
      <c r="A234" s="13" t="s">
        <v>1509</v>
      </c>
      <c r="B234" s="14" t="n">
        <v>45920</v>
      </c>
      <c r="C234" s="13" t="s">
        <v>1510</v>
      </c>
      <c r="D234" s="13" t="s">
        <v>1511</v>
      </c>
      <c r="E234" s="13" t="n">
        <v>1153</v>
      </c>
      <c r="F234" s="14" t="n">
        <v>45336</v>
      </c>
      <c r="G234" s="13" t="n">
        <f aca="false">B234-F234</f>
        <v>584</v>
      </c>
      <c r="H234" s="13" t="s">
        <v>1512</v>
      </c>
      <c r="I234" s="13" t="s">
        <v>339</v>
      </c>
      <c r="J234" s="13" t="s">
        <v>113</v>
      </c>
      <c r="K234" s="13" t="s">
        <v>114</v>
      </c>
      <c r="L234" s="15" t="n">
        <v>36</v>
      </c>
      <c r="M234" s="13" t="s">
        <v>185</v>
      </c>
      <c r="N234" s="13" t="s">
        <v>186</v>
      </c>
      <c r="O234" s="13" t="s">
        <v>117</v>
      </c>
      <c r="P234" s="13" t="s">
        <v>128</v>
      </c>
      <c r="Q234" s="13" t="s">
        <v>119</v>
      </c>
      <c r="R234" s="13" t="s">
        <v>120</v>
      </c>
      <c r="S234" s="13"/>
      <c r="T234" s="14"/>
      <c r="U234" s="13"/>
      <c r="V234" s="13"/>
      <c r="W234" s="14"/>
      <c r="X234" s="13"/>
      <c r="Y234" s="13"/>
      <c r="Z234" s="15"/>
      <c r="AA234" s="15" t="n">
        <v>22.1</v>
      </c>
      <c r="AB234" s="13" t="str">
        <f aca="false">IF(B234&lt;F234,"Y","")</f>
        <v/>
      </c>
      <c r="AC234" s="13" t="str">
        <f aca="false">IF(O234&lt;&gt;"Y","Y","")</f>
        <v/>
      </c>
      <c r="AD234" s="13" t="str">
        <f aca="false">IF(AND(M234="declined-prior-offer",S234=""),"Y","")</f>
        <v/>
      </c>
      <c r="AE234" s="13" t="str">
        <f aca="false">IF(OR(R234&lt;&gt;"MATCH",ISNUMBER(SEARCH("conflict",Q234))),"Y","")</f>
        <v/>
      </c>
      <c r="AF234" s="13" t="str">
        <f aca="false">IF(AND(ISNUMBER(Z234),ABS(Z234-AA234)&gt;0.001),"Y","")</f>
        <v/>
      </c>
      <c r="AG234" s="13" t="str">
        <f aca="false">IF(AND(W234&lt;&gt;"",Y234&lt;&gt;"ACCEPTED"),"Y","")</f>
        <v/>
      </c>
      <c r="AH234" s="13" t="str">
        <f aca="false">IF(COUNTIF(AB234:AG234,"Y")&gt;0,"EXCEPTION","NO EXCEPTION IDENTIFIED")</f>
        <v>NO EXCEPTION IDENTIFIED</v>
      </c>
      <c r="AI234" s="16" t="s">
        <v>156</v>
      </c>
      <c r="AJ234" s="16" t="s">
        <v>1513</v>
      </c>
    </row>
    <row r="235" customFormat="false" ht="20.85" hidden="false" customHeight="false" outlineLevel="0" collapsed="false">
      <c r="A235" s="9" t="s">
        <v>1514</v>
      </c>
      <c r="B235" s="10" t="n">
        <v>45920</v>
      </c>
      <c r="C235" s="9" t="s">
        <v>1515</v>
      </c>
      <c r="D235" s="9" t="s">
        <v>1516</v>
      </c>
      <c r="E235" s="9" t="n">
        <v>913</v>
      </c>
      <c r="F235" s="10" t="n">
        <v>45228</v>
      </c>
      <c r="G235" s="9" t="n">
        <f aca="false">B235-F235</f>
        <v>692</v>
      </c>
      <c r="H235" s="9" t="s">
        <v>1517</v>
      </c>
      <c r="I235" s="9" t="s">
        <v>1518</v>
      </c>
      <c r="J235" s="9" t="s">
        <v>145</v>
      </c>
      <c r="K235" s="9" t="s">
        <v>146</v>
      </c>
      <c r="L235" s="11" t="n">
        <v>24</v>
      </c>
      <c r="M235" s="9" t="s">
        <v>185</v>
      </c>
      <c r="N235" s="9" t="s">
        <v>186</v>
      </c>
      <c r="O235" s="9" t="s">
        <v>117</v>
      </c>
      <c r="P235" s="9" t="s">
        <v>118</v>
      </c>
      <c r="Q235" s="9" t="s">
        <v>119</v>
      </c>
      <c r="R235" s="9" t="s">
        <v>120</v>
      </c>
      <c r="S235" s="9"/>
      <c r="T235" s="10"/>
      <c r="U235" s="9"/>
      <c r="V235" s="9"/>
      <c r="W235" s="10"/>
      <c r="X235" s="9"/>
      <c r="Y235" s="9"/>
      <c r="Z235" s="11"/>
      <c r="AA235" s="11" t="n">
        <v>54.9</v>
      </c>
      <c r="AB235" s="9" t="str">
        <f aca="false">IF(B235&lt;F235,"Y","")</f>
        <v/>
      </c>
      <c r="AC235" s="9" t="str">
        <f aca="false">IF(O235&lt;&gt;"Y","Y","")</f>
        <v/>
      </c>
      <c r="AD235" s="9" t="str">
        <f aca="false">IF(AND(M235="declined-prior-offer",S235=""),"Y","")</f>
        <v/>
      </c>
      <c r="AE235" s="9" t="str">
        <f aca="false">IF(OR(R235&lt;&gt;"MATCH",ISNUMBER(SEARCH("conflict",Q235))),"Y","")</f>
        <v/>
      </c>
      <c r="AF235" s="9" t="str">
        <f aca="false">IF(AND(ISNUMBER(Z235),ABS(Z235-AA235)&gt;0.001),"Y","")</f>
        <v/>
      </c>
      <c r="AG235" s="9" t="str">
        <f aca="false">IF(AND(W235&lt;&gt;"",Y235&lt;&gt;"ACCEPTED"),"Y","")</f>
        <v/>
      </c>
      <c r="AH235" s="9" t="str">
        <f aca="false">IF(COUNTIF(AB235:AG235,"Y")&gt;0,"EXCEPTION","NO EXCEPTION IDENTIFIED")</f>
        <v>NO EXCEPTION IDENTIFIED</v>
      </c>
      <c r="AI235" s="12" t="s">
        <v>156</v>
      </c>
      <c r="AJ235" s="12" t="s">
        <v>1519</v>
      </c>
    </row>
    <row r="236" customFormat="false" ht="20.85" hidden="false" customHeight="false" outlineLevel="0" collapsed="false">
      <c r="A236" s="13" t="s">
        <v>1520</v>
      </c>
      <c r="B236" s="14" t="n">
        <v>45922</v>
      </c>
      <c r="C236" s="13" t="s">
        <v>1521</v>
      </c>
      <c r="D236" s="13" t="s">
        <v>1522</v>
      </c>
      <c r="E236" s="13" t="n">
        <v>2861</v>
      </c>
      <c r="F236" s="14" t="n">
        <v>46180</v>
      </c>
      <c r="G236" s="13" t="n">
        <f aca="false">B236-F236</f>
        <v>-258</v>
      </c>
      <c r="H236" s="13" t="s">
        <v>1523</v>
      </c>
      <c r="I236" s="13" t="s">
        <v>1524</v>
      </c>
      <c r="J236" s="13" t="s">
        <v>135</v>
      </c>
      <c r="K236" s="13" t="s">
        <v>114</v>
      </c>
      <c r="L236" s="15" t="n">
        <v>36</v>
      </c>
      <c r="M236" s="13" t="s">
        <v>136</v>
      </c>
      <c r="N236" s="13" t="s">
        <v>137</v>
      </c>
      <c r="O236" s="13" t="s">
        <v>117</v>
      </c>
      <c r="P236" s="13" t="s">
        <v>178</v>
      </c>
      <c r="Q236" s="13" t="s">
        <v>119</v>
      </c>
      <c r="R236" s="13" t="s">
        <v>120</v>
      </c>
      <c r="S236" s="13"/>
      <c r="T236" s="14"/>
      <c r="U236" s="13"/>
      <c r="V236" s="13"/>
      <c r="W236" s="14"/>
      <c r="X236" s="13"/>
      <c r="Y236" s="13"/>
      <c r="Z236" s="15"/>
      <c r="AA236" s="15" t="n">
        <v>49.2</v>
      </c>
      <c r="AB236" s="13" t="str">
        <f aca="false">IF(B236&lt;F236,"Y","")</f>
        <v>Y</v>
      </c>
      <c r="AC236" s="13" t="str">
        <f aca="false">IF(O236&lt;&gt;"Y","Y","")</f>
        <v/>
      </c>
      <c r="AD236" s="13" t="str">
        <f aca="false">IF(AND(M236="declined-prior-offer",S236=""),"Y","")</f>
        <v/>
      </c>
      <c r="AE236" s="13" t="str">
        <f aca="false">IF(OR(R236&lt;&gt;"MATCH",ISNUMBER(SEARCH("conflict",Q236))),"Y","")</f>
        <v/>
      </c>
      <c r="AF236" s="13" t="str">
        <f aca="false">IF(AND(ISNUMBER(Z236),ABS(Z236-AA236)&gt;0.001),"Y","")</f>
        <v/>
      </c>
      <c r="AG236" s="13" t="str">
        <f aca="false">IF(AND(W236&lt;&gt;"",Y236&lt;&gt;"ACCEPTED"),"Y","")</f>
        <v/>
      </c>
      <c r="AH236" s="13" t="str">
        <f aca="false">IF(COUNTIF(AB236:AG236,"Y")&gt;0,"EXCEPTION","NO EXCEPTION IDENTIFIED")</f>
        <v>EXCEPTION</v>
      </c>
      <c r="AI236" s="16" t="s">
        <v>121</v>
      </c>
      <c r="AJ236" s="16" t="s">
        <v>1525</v>
      </c>
    </row>
    <row r="237" customFormat="false" ht="20.85" hidden="false" customHeight="false" outlineLevel="0" collapsed="false">
      <c r="A237" s="9" t="s">
        <v>1526</v>
      </c>
      <c r="B237" s="10" t="n">
        <v>45923</v>
      </c>
      <c r="C237" s="9" t="s">
        <v>1527</v>
      </c>
      <c r="D237" s="9" t="s">
        <v>1528</v>
      </c>
      <c r="E237" s="9" t="n">
        <v>1445</v>
      </c>
      <c r="F237" s="10" t="n">
        <v>45472</v>
      </c>
      <c r="G237" s="9" t="n">
        <f aca="false">B237-F237</f>
        <v>451</v>
      </c>
      <c r="H237" s="9" t="s">
        <v>1529</v>
      </c>
      <c r="I237" s="9" t="s">
        <v>1530</v>
      </c>
      <c r="J237" s="9" t="s">
        <v>204</v>
      </c>
      <c r="K237" s="9" t="s">
        <v>146</v>
      </c>
      <c r="L237" s="11" t="n">
        <v>32</v>
      </c>
      <c r="M237" s="9" t="s">
        <v>115</v>
      </c>
      <c r="N237" s="9" t="s">
        <v>116</v>
      </c>
      <c r="O237" s="9" t="s">
        <v>117</v>
      </c>
      <c r="P237" s="9" t="s">
        <v>138</v>
      </c>
      <c r="Q237" s="9" t="s">
        <v>119</v>
      </c>
      <c r="R237" s="9" t="s">
        <v>120</v>
      </c>
      <c r="S237" s="9"/>
      <c r="T237" s="10"/>
      <c r="U237" s="9"/>
      <c r="V237" s="9"/>
      <c r="W237" s="10"/>
      <c r="X237" s="9"/>
      <c r="Y237" s="9"/>
      <c r="Z237" s="11"/>
      <c r="AA237" s="11" t="n">
        <v>39.4</v>
      </c>
      <c r="AB237" s="9" t="str">
        <f aca="false">IF(B237&lt;F237,"Y","")</f>
        <v/>
      </c>
      <c r="AC237" s="9" t="str">
        <f aca="false">IF(O237&lt;&gt;"Y","Y","")</f>
        <v/>
      </c>
      <c r="AD237" s="9" t="str">
        <f aca="false">IF(AND(M237="declined-prior-offer",S237=""),"Y","")</f>
        <v/>
      </c>
      <c r="AE237" s="9" t="str">
        <f aca="false">IF(OR(R237&lt;&gt;"MATCH",ISNUMBER(SEARCH("conflict",Q237))),"Y","")</f>
        <v/>
      </c>
      <c r="AF237" s="9" t="str">
        <f aca="false">IF(AND(ISNUMBER(Z237),ABS(Z237-AA237)&gt;0.001),"Y","")</f>
        <v/>
      </c>
      <c r="AG237" s="9" t="str">
        <f aca="false">IF(AND(W237&lt;&gt;"",Y237&lt;&gt;"ACCEPTED"),"Y","")</f>
        <v/>
      </c>
      <c r="AH237" s="9" t="str">
        <f aca="false">IF(COUNTIF(AB237:AG237,"Y")&gt;0,"EXCEPTION","NO EXCEPTION IDENTIFIED")</f>
        <v>NO EXCEPTION IDENTIFIED</v>
      </c>
      <c r="AI237" s="12" t="s">
        <v>156</v>
      </c>
      <c r="AJ237" s="12" t="s">
        <v>1531</v>
      </c>
    </row>
    <row r="238" customFormat="false" ht="20.85" hidden="false" customHeight="false" outlineLevel="0" collapsed="false">
      <c r="A238" s="13" t="s">
        <v>1532</v>
      </c>
      <c r="B238" s="14" t="n">
        <v>45932</v>
      </c>
      <c r="C238" s="13" t="s">
        <v>1533</v>
      </c>
      <c r="D238" s="13" t="s">
        <v>1534</v>
      </c>
      <c r="E238" s="13" t="n">
        <v>1676</v>
      </c>
      <c r="F238" s="14" t="n">
        <v>45573</v>
      </c>
      <c r="G238" s="13" t="n">
        <f aca="false">B238-F238</f>
        <v>359</v>
      </c>
      <c r="H238" s="13" t="s">
        <v>1535</v>
      </c>
      <c r="I238" s="13" t="s">
        <v>1536</v>
      </c>
      <c r="J238" s="13" t="s">
        <v>145</v>
      </c>
      <c r="K238" s="13" t="s">
        <v>146</v>
      </c>
      <c r="L238" s="15" t="n">
        <v>32</v>
      </c>
      <c r="M238" s="13" t="s">
        <v>115</v>
      </c>
      <c r="N238" s="13" t="s">
        <v>116</v>
      </c>
      <c r="O238" s="13" t="s">
        <v>117</v>
      </c>
      <c r="P238" s="13" t="s">
        <v>138</v>
      </c>
      <c r="Q238" s="13" t="s">
        <v>119</v>
      </c>
      <c r="R238" s="13" t="s">
        <v>120</v>
      </c>
      <c r="S238" s="13"/>
      <c r="T238" s="14"/>
      <c r="U238" s="13"/>
      <c r="V238" s="13"/>
      <c r="W238" s="14"/>
      <c r="X238" s="13"/>
      <c r="Y238" s="13"/>
      <c r="Z238" s="15"/>
      <c r="AA238" s="15" t="n">
        <v>34.1</v>
      </c>
      <c r="AB238" s="13" t="str">
        <f aca="false">IF(B238&lt;F238,"Y","")</f>
        <v/>
      </c>
      <c r="AC238" s="13" t="str">
        <f aca="false">IF(O238&lt;&gt;"Y","Y","")</f>
        <v/>
      </c>
      <c r="AD238" s="13" t="str">
        <f aca="false">IF(AND(M238="declined-prior-offer",S238=""),"Y","")</f>
        <v/>
      </c>
      <c r="AE238" s="13" t="str">
        <f aca="false">IF(OR(R238&lt;&gt;"MATCH",ISNUMBER(SEARCH("conflict",Q238))),"Y","")</f>
        <v/>
      </c>
      <c r="AF238" s="13" t="str">
        <f aca="false">IF(AND(ISNUMBER(Z238),ABS(Z238-AA238)&gt;0.001),"Y","")</f>
        <v/>
      </c>
      <c r="AG238" s="13" t="str">
        <f aca="false">IF(AND(W238&lt;&gt;"",Y238&lt;&gt;"ACCEPTED"),"Y","")</f>
        <v/>
      </c>
      <c r="AH238" s="13" t="str">
        <f aca="false">IF(COUNTIF(AB238:AG238,"Y")&gt;0,"EXCEPTION","NO EXCEPTION IDENTIFIED")</f>
        <v>NO EXCEPTION IDENTIFIED</v>
      </c>
      <c r="AI238" s="16" t="s">
        <v>156</v>
      </c>
      <c r="AJ238" s="16" t="s">
        <v>1537</v>
      </c>
    </row>
    <row r="239" customFormat="false" ht="20.85" hidden="false" customHeight="false" outlineLevel="0" collapsed="false">
      <c r="A239" s="9" t="s">
        <v>1538</v>
      </c>
      <c r="B239" s="10" t="n">
        <v>45933</v>
      </c>
      <c r="C239" s="9" t="s">
        <v>1539</v>
      </c>
      <c r="D239" s="9" t="s">
        <v>1540</v>
      </c>
      <c r="E239" s="9" t="n">
        <v>2750</v>
      </c>
      <c r="F239" s="10" t="n">
        <v>46090</v>
      </c>
      <c r="G239" s="9" t="n">
        <f aca="false">B239-F239</f>
        <v>-157</v>
      </c>
      <c r="H239" s="9" t="s">
        <v>1541</v>
      </c>
      <c r="I239" s="9" t="s">
        <v>1542</v>
      </c>
      <c r="J239" s="9" t="s">
        <v>155</v>
      </c>
      <c r="K239" s="9" t="s">
        <v>146</v>
      </c>
      <c r="L239" s="11" t="n">
        <v>60</v>
      </c>
      <c r="M239" s="9" t="s">
        <v>115</v>
      </c>
      <c r="N239" s="9" t="s">
        <v>116</v>
      </c>
      <c r="O239" s="9" t="s">
        <v>117</v>
      </c>
      <c r="P239" s="9" t="s">
        <v>138</v>
      </c>
      <c r="Q239" s="9" t="s">
        <v>119</v>
      </c>
      <c r="R239" s="9" t="s">
        <v>120</v>
      </c>
      <c r="S239" s="9"/>
      <c r="T239" s="10"/>
      <c r="U239" s="9"/>
      <c r="V239" s="9"/>
      <c r="W239" s="10"/>
      <c r="X239" s="9"/>
      <c r="Y239" s="9"/>
      <c r="Z239" s="11"/>
      <c r="AA239" s="11" t="n">
        <v>36.5</v>
      </c>
      <c r="AB239" s="9" t="str">
        <f aca="false">IF(B239&lt;F239,"Y","")</f>
        <v>Y</v>
      </c>
      <c r="AC239" s="9" t="str">
        <f aca="false">IF(O239&lt;&gt;"Y","Y","")</f>
        <v/>
      </c>
      <c r="AD239" s="9" t="str">
        <f aca="false">IF(AND(M239="declined-prior-offer",S239=""),"Y","")</f>
        <v/>
      </c>
      <c r="AE239" s="9" t="str">
        <f aca="false">IF(OR(R239&lt;&gt;"MATCH",ISNUMBER(SEARCH("conflict",Q239))),"Y","")</f>
        <v/>
      </c>
      <c r="AF239" s="9" t="str">
        <f aca="false">IF(AND(ISNUMBER(Z239),ABS(Z239-AA239)&gt;0.001),"Y","")</f>
        <v/>
      </c>
      <c r="AG239" s="9" t="str">
        <f aca="false">IF(AND(W239&lt;&gt;"",Y239&lt;&gt;"ACCEPTED"),"Y","")</f>
        <v/>
      </c>
      <c r="AH239" s="9" t="str">
        <f aca="false">IF(COUNTIF(AB239:AG239,"Y")&gt;0,"EXCEPTION","NO EXCEPTION IDENTIFIED")</f>
        <v>EXCEPTION</v>
      </c>
      <c r="AI239" s="12" t="s">
        <v>121</v>
      </c>
      <c r="AJ239" s="12" t="s">
        <v>1543</v>
      </c>
    </row>
    <row r="240" customFormat="false" ht="20.85" hidden="false" customHeight="false" outlineLevel="0" collapsed="false">
      <c r="A240" s="13" t="s">
        <v>1544</v>
      </c>
      <c r="B240" s="14" t="n">
        <v>45937</v>
      </c>
      <c r="C240" s="13" t="s">
        <v>1545</v>
      </c>
      <c r="D240" s="13" t="s">
        <v>1546</v>
      </c>
      <c r="E240" s="13" t="n">
        <v>2455</v>
      </c>
      <c r="F240" s="14" t="n">
        <v>45925</v>
      </c>
      <c r="G240" s="13" t="n">
        <f aca="false">B240-F240</f>
        <v>12</v>
      </c>
      <c r="H240" s="13" t="s">
        <v>1547</v>
      </c>
      <c r="I240" s="13" t="s">
        <v>1548</v>
      </c>
      <c r="J240" s="13" t="s">
        <v>204</v>
      </c>
      <c r="K240" s="13" t="s">
        <v>146</v>
      </c>
      <c r="L240" s="15" t="n">
        <v>32</v>
      </c>
      <c r="M240" s="13" t="s">
        <v>115</v>
      </c>
      <c r="N240" s="13" t="s">
        <v>116</v>
      </c>
      <c r="O240" s="13" t="s">
        <v>117</v>
      </c>
      <c r="P240" s="13" t="s">
        <v>118</v>
      </c>
      <c r="Q240" s="13" t="s">
        <v>119</v>
      </c>
      <c r="R240" s="13" t="s">
        <v>120</v>
      </c>
      <c r="S240" s="13"/>
      <c r="T240" s="14"/>
      <c r="U240" s="13"/>
      <c r="V240" s="13"/>
      <c r="W240" s="14" t="n">
        <v>45085</v>
      </c>
      <c r="X240" s="13" t="s">
        <v>1549</v>
      </c>
      <c r="Y240" s="13" t="s">
        <v>374</v>
      </c>
      <c r="Z240" s="15" t="n">
        <v>39</v>
      </c>
      <c r="AA240" s="15" t="n">
        <v>60.7</v>
      </c>
      <c r="AB240" s="13" t="str">
        <f aca="false">IF(B240&lt;F240,"Y","")</f>
        <v/>
      </c>
      <c r="AC240" s="13" t="str">
        <f aca="false">IF(O240&lt;&gt;"Y","Y","")</f>
        <v/>
      </c>
      <c r="AD240" s="13" t="str">
        <f aca="false">IF(AND(M240="declined-prior-offer",S240=""),"Y","")</f>
        <v/>
      </c>
      <c r="AE240" s="13" t="str">
        <f aca="false">IF(OR(R240&lt;&gt;"MATCH",ISNUMBER(SEARCH("conflict",Q240))),"Y","")</f>
        <v/>
      </c>
      <c r="AF240" s="13" t="str">
        <f aca="false">IF(AND(ISNUMBER(Z240),ABS(Z240-AA240)&gt;0.001),"Y","")</f>
        <v>Y</v>
      </c>
      <c r="AG240" s="13" t="str">
        <f aca="false">IF(AND(W240&lt;&gt;"",Y240&lt;&gt;"ACCEPTED"),"Y","")</f>
        <v/>
      </c>
      <c r="AH240" s="13" t="str">
        <f aca="false">IF(COUNTIF(AB240:AG240,"Y")&gt;0,"EXCEPTION","NO EXCEPTION IDENTIFIED")</f>
        <v>EXCEPTION</v>
      </c>
      <c r="AI240" s="16" t="s">
        <v>578</v>
      </c>
      <c r="AJ240" s="16" t="s">
        <v>1550</v>
      </c>
    </row>
    <row r="241" customFormat="false" ht="20.85" hidden="false" customHeight="false" outlineLevel="0" collapsed="false">
      <c r="A241" s="9" t="s">
        <v>1551</v>
      </c>
      <c r="B241" s="10" t="n">
        <v>45941</v>
      </c>
      <c r="C241" s="9" t="s">
        <v>225</v>
      </c>
      <c r="D241" s="9" t="s">
        <v>226</v>
      </c>
      <c r="E241" s="9" t="n">
        <v>89</v>
      </c>
      <c r="F241" s="10" t="n">
        <v>44700</v>
      </c>
      <c r="G241" s="9" t="n">
        <f aca="false">B241-F241</f>
        <v>1241</v>
      </c>
      <c r="H241" s="9" t="s">
        <v>1552</v>
      </c>
      <c r="I241" s="9" t="s">
        <v>1553</v>
      </c>
      <c r="J241" s="9" t="s">
        <v>204</v>
      </c>
      <c r="K241" s="9" t="s">
        <v>146</v>
      </c>
      <c r="L241" s="11" t="n">
        <v>24</v>
      </c>
      <c r="M241" s="9" t="s">
        <v>115</v>
      </c>
      <c r="N241" s="9" t="s">
        <v>116</v>
      </c>
      <c r="O241" s="9" t="s">
        <v>147</v>
      </c>
      <c r="P241" s="9" t="s">
        <v>178</v>
      </c>
      <c r="Q241" s="9" t="s">
        <v>119</v>
      </c>
      <c r="R241" s="9" t="s">
        <v>120</v>
      </c>
      <c r="S241" s="9" t="s">
        <v>1554</v>
      </c>
      <c r="T241" s="10" t="n">
        <v>45183</v>
      </c>
      <c r="U241" s="9" t="s">
        <v>843</v>
      </c>
      <c r="V241" s="9" t="s">
        <v>1501</v>
      </c>
      <c r="W241" s="10"/>
      <c r="X241" s="9"/>
      <c r="Y241" s="9"/>
      <c r="Z241" s="11"/>
      <c r="AA241" s="11" t="n">
        <v>54.3</v>
      </c>
      <c r="AB241" s="9" t="str">
        <f aca="false">IF(B241&lt;F241,"Y","")</f>
        <v/>
      </c>
      <c r="AC241" s="9" t="str">
        <f aca="false">IF(O241&lt;&gt;"Y","Y","")</f>
        <v>Y</v>
      </c>
      <c r="AD241" s="9" t="str">
        <f aca="false">IF(AND(M241="declined-prior-offer",S241=""),"Y","")</f>
        <v/>
      </c>
      <c r="AE241" s="9" t="str">
        <f aca="false">IF(OR(R241&lt;&gt;"MATCH",ISNUMBER(SEARCH("conflict",Q241))),"Y","")</f>
        <v/>
      </c>
      <c r="AF241" s="9" t="str">
        <f aca="false">IF(AND(ISNUMBER(Z241),ABS(Z241-AA241)&gt;0.001),"Y","")</f>
        <v/>
      </c>
      <c r="AG241" s="9" t="str">
        <f aca="false">IF(AND(W241&lt;&gt;"",Y241&lt;&gt;"ACCEPTED"),"Y","")</f>
        <v/>
      </c>
      <c r="AH241" s="9" t="str">
        <f aca="false">IF(COUNTIF(AB241:AG241,"Y")&gt;0,"EXCEPTION","NO EXCEPTION IDENTIFIED")</f>
        <v>EXCEPTION</v>
      </c>
      <c r="AI241" s="12" t="s">
        <v>831</v>
      </c>
      <c r="AJ241" s="12" t="s">
        <v>1555</v>
      </c>
    </row>
    <row r="242" customFormat="false" ht="20.85" hidden="false" customHeight="false" outlineLevel="0" collapsed="false">
      <c r="A242" s="13" t="s">
        <v>1556</v>
      </c>
      <c r="B242" s="14" t="n">
        <v>45943</v>
      </c>
      <c r="C242" s="13" t="s">
        <v>1557</v>
      </c>
      <c r="D242" s="13" t="s">
        <v>1558</v>
      </c>
      <c r="E242" s="13" t="n">
        <v>128</v>
      </c>
      <c r="F242" s="14" t="n">
        <v>44739</v>
      </c>
      <c r="G242" s="13" t="n">
        <f aca="false">B242-F242</f>
        <v>1204</v>
      </c>
      <c r="H242" s="13" t="s">
        <v>1559</v>
      </c>
      <c r="I242" s="13" t="s">
        <v>1560</v>
      </c>
      <c r="J242" s="13" t="s">
        <v>113</v>
      </c>
      <c r="K242" s="13" t="s">
        <v>114</v>
      </c>
      <c r="L242" s="15" t="n">
        <v>28</v>
      </c>
      <c r="M242" s="13" t="s">
        <v>169</v>
      </c>
      <c r="N242" s="13" t="s">
        <v>170</v>
      </c>
      <c r="O242" s="13" t="s">
        <v>117</v>
      </c>
      <c r="P242" s="13" t="s">
        <v>118</v>
      </c>
      <c r="Q242" s="13" t="s">
        <v>119</v>
      </c>
      <c r="R242" s="13" t="s">
        <v>120</v>
      </c>
      <c r="S242" s="13"/>
      <c r="T242" s="14"/>
      <c r="U242" s="13"/>
      <c r="V242" s="13"/>
      <c r="W242" s="14"/>
      <c r="X242" s="13"/>
      <c r="Y242" s="13"/>
      <c r="Z242" s="15"/>
      <c r="AA242" s="15" t="n">
        <v>18.9</v>
      </c>
      <c r="AB242" s="13" t="str">
        <f aca="false">IF(B242&lt;F242,"Y","")</f>
        <v/>
      </c>
      <c r="AC242" s="13" t="str">
        <f aca="false">IF(O242&lt;&gt;"Y","Y","")</f>
        <v/>
      </c>
      <c r="AD242" s="13" t="str">
        <f aca="false">IF(AND(M242="declined-prior-offer",S242=""),"Y","")</f>
        <v>Y</v>
      </c>
      <c r="AE242" s="13" t="str">
        <f aca="false">IF(OR(R242&lt;&gt;"MATCH",ISNUMBER(SEARCH("conflict",Q242))),"Y","")</f>
        <v/>
      </c>
      <c r="AF242" s="13" t="str">
        <f aca="false">IF(AND(ISNUMBER(Z242),ABS(Z242-AA242)&gt;0.001),"Y","")</f>
        <v/>
      </c>
      <c r="AG242" s="13" t="str">
        <f aca="false">IF(AND(W242&lt;&gt;"",Y242&lt;&gt;"ACCEPTED"),"Y","")</f>
        <v/>
      </c>
      <c r="AH242" s="13" t="str">
        <f aca="false">IF(COUNTIF(AB242:AG242,"Y")&gt;0,"EXCEPTION","NO EXCEPTION IDENTIFIED")</f>
        <v>EXCEPTION</v>
      </c>
      <c r="AI242" s="16" t="s">
        <v>229</v>
      </c>
      <c r="AJ242" s="16" t="s">
        <v>1561</v>
      </c>
    </row>
    <row r="243" customFormat="false" ht="20.85" hidden="false" customHeight="false" outlineLevel="0" collapsed="false">
      <c r="A243" s="9" t="s">
        <v>1562</v>
      </c>
      <c r="B243" s="10" t="n">
        <v>45943</v>
      </c>
      <c r="C243" s="9" t="s">
        <v>1563</v>
      </c>
      <c r="D243" s="9" t="s">
        <v>1564</v>
      </c>
      <c r="E243" s="9" t="n">
        <v>1711</v>
      </c>
      <c r="F243" s="10" t="n">
        <v>45592</v>
      </c>
      <c r="G243" s="9" t="n">
        <f aca="false">B243-F243</f>
        <v>351</v>
      </c>
      <c r="H243" s="9" t="s">
        <v>1565</v>
      </c>
      <c r="I243" s="9" t="s">
        <v>1105</v>
      </c>
      <c r="J243" s="9" t="s">
        <v>113</v>
      </c>
      <c r="K243" s="9" t="s">
        <v>114</v>
      </c>
      <c r="L243" s="11" t="n">
        <v>28</v>
      </c>
      <c r="M243" s="9" t="s">
        <v>169</v>
      </c>
      <c r="N243" s="9" t="s">
        <v>170</v>
      </c>
      <c r="O243" s="9" t="s">
        <v>117</v>
      </c>
      <c r="P243" s="9" t="s">
        <v>118</v>
      </c>
      <c r="Q243" s="9" t="s">
        <v>119</v>
      </c>
      <c r="R243" s="9" t="s">
        <v>120</v>
      </c>
      <c r="S243" s="9"/>
      <c r="T243" s="10"/>
      <c r="U243" s="9"/>
      <c r="V243" s="9"/>
      <c r="W243" s="10"/>
      <c r="X243" s="9"/>
      <c r="Y243" s="9"/>
      <c r="Z243" s="11"/>
      <c r="AA243" s="11" t="n">
        <v>55.4</v>
      </c>
      <c r="AB243" s="9" t="str">
        <f aca="false">IF(B243&lt;F243,"Y","")</f>
        <v/>
      </c>
      <c r="AC243" s="9" t="str">
        <f aca="false">IF(O243&lt;&gt;"Y","Y","")</f>
        <v/>
      </c>
      <c r="AD243" s="9" t="str">
        <f aca="false">IF(AND(M243="declined-prior-offer",S243=""),"Y","")</f>
        <v>Y</v>
      </c>
      <c r="AE243" s="9" t="str">
        <f aca="false">IF(OR(R243&lt;&gt;"MATCH",ISNUMBER(SEARCH("conflict",Q243))),"Y","")</f>
        <v/>
      </c>
      <c r="AF243" s="9" t="str">
        <f aca="false">IF(AND(ISNUMBER(Z243),ABS(Z243-AA243)&gt;0.001),"Y","")</f>
        <v/>
      </c>
      <c r="AG243" s="9" t="str">
        <f aca="false">IF(AND(W243&lt;&gt;"",Y243&lt;&gt;"ACCEPTED"),"Y","")</f>
        <v/>
      </c>
      <c r="AH243" s="9" t="str">
        <f aca="false">IF(COUNTIF(AB243:AG243,"Y")&gt;0,"EXCEPTION","NO EXCEPTION IDENTIFIED")</f>
        <v>EXCEPTION</v>
      </c>
      <c r="AI243" s="12" t="s">
        <v>229</v>
      </c>
      <c r="AJ243" s="12" t="s">
        <v>1566</v>
      </c>
    </row>
    <row r="244" customFormat="false" ht="20.85" hidden="false" customHeight="false" outlineLevel="0" collapsed="false">
      <c r="A244" s="13" t="s">
        <v>1567</v>
      </c>
      <c r="B244" s="14" t="n">
        <v>45943</v>
      </c>
      <c r="C244" s="13" t="s">
        <v>1568</v>
      </c>
      <c r="D244" s="13" t="s">
        <v>1569</v>
      </c>
      <c r="E244" s="13" t="n">
        <v>1448</v>
      </c>
      <c r="F244" s="14" t="n">
        <v>45475</v>
      </c>
      <c r="G244" s="13" t="n">
        <f aca="false">B244-F244</f>
        <v>468</v>
      </c>
      <c r="H244" s="13" t="s">
        <v>1570</v>
      </c>
      <c r="I244" s="13" t="s">
        <v>1571</v>
      </c>
      <c r="J244" s="13" t="s">
        <v>113</v>
      </c>
      <c r="K244" s="13" t="s">
        <v>114</v>
      </c>
      <c r="L244" s="15" t="n">
        <v>28</v>
      </c>
      <c r="M244" s="13" t="s">
        <v>115</v>
      </c>
      <c r="N244" s="13" t="s">
        <v>116</v>
      </c>
      <c r="O244" s="13" t="s">
        <v>117</v>
      </c>
      <c r="P244" s="13" t="s">
        <v>138</v>
      </c>
      <c r="Q244" s="13" t="s">
        <v>119</v>
      </c>
      <c r="R244" s="13" t="s">
        <v>120</v>
      </c>
      <c r="S244" s="13"/>
      <c r="T244" s="14"/>
      <c r="U244" s="13"/>
      <c r="V244" s="13"/>
      <c r="W244" s="14"/>
      <c r="X244" s="13"/>
      <c r="Y244" s="13"/>
      <c r="Z244" s="15"/>
      <c r="AA244" s="15" t="n">
        <v>46.1</v>
      </c>
      <c r="AB244" s="13" t="str">
        <f aca="false">IF(B244&lt;F244,"Y","")</f>
        <v/>
      </c>
      <c r="AC244" s="13" t="str">
        <f aca="false">IF(O244&lt;&gt;"Y","Y","")</f>
        <v/>
      </c>
      <c r="AD244" s="13" t="str">
        <f aca="false">IF(AND(M244="declined-prior-offer",S244=""),"Y","")</f>
        <v/>
      </c>
      <c r="AE244" s="13" t="str">
        <f aca="false">IF(OR(R244&lt;&gt;"MATCH",ISNUMBER(SEARCH("conflict",Q244))),"Y","")</f>
        <v/>
      </c>
      <c r="AF244" s="13" t="str">
        <f aca="false">IF(AND(ISNUMBER(Z244),ABS(Z244-AA244)&gt;0.001),"Y","")</f>
        <v/>
      </c>
      <c r="AG244" s="13" t="str">
        <f aca="false">IF(AND(W244&lt;&gt;"",Y244&lt;&gt;"ACCEPTED"),"Y","")</f>
        <v/>
      </c>
      <c r="AH244" s="13" t="str">
        <f aca="false">IF(COUNTIF(AB244:AG244,"Y")&gt;0,"EXCEPTION","NO EXCEPTION IDENTIFIED")</f>
        <v>NO EXCEPTION IDENTIFIED</v>
      </c>
      <c r="AI244" s="16" t="s">
        <v>156</v>
      </c>
      <c r="AJ244" s="16" t="s">
        <v>1572</v>
      </c>
    </row>
    <row r="245" customFormat="false" ht="20.85" hidden="false" customHeight="false" outlineLevel="0" collapsed="false">
      <c r="A245" s="9" t="s">
        <v>1573</v>
      </c>
      <c r="B245" s="10" t="n">
        <v>45953</v>
      </c>
      <c r="C245" s="9" t="s">
        <v>1574</v>
      </c>
      <c r="D245" s="9" t="s">
        <v>1575</v>
      </c>
      <c r="E245" s="9" t="n">
        <v>645</v>
      </c>
      <c r="F245" s="10" t="n">
        <v>45085</v>
      </c>
      <c r="G245" s="9" t="n">
        <f aca="false">B245-F245</f>
        <v>868</v>
      </c>
      <c r="H245" s="9" t="s">
        <v>1576</v>
      </c>
      <c r="I245" s="9" t="s">
        <v>1577</v>
      </c>
      <c r="J245" s="9" t="s">
        <v>155</v>
      </c>
      <c r="K245" s="9" t="s">
        <v>146</v>
      </c>
      <c r="L245" s="11" t="n">
        <v>32</v>
      </c>
      <c r="M245" s="9" t="s">
        <v>169</v>
      </c>
      <c r="N245" s="9" t="s">
        <v>170</v>
      </c>
      <c r="O245" s="9" t="s">
        <v>117</v>
      </c>
      <c r="P245" s="9" t="s">
        <v>118</v>
      </c>
      <c r="Q245" s="9" t="s">
        <v>119</v>
      </c>
      <c r="R245" s="9" t="s">
        <v>120</v>
      </c>
      <c r="S245" s="9" t="s">
        <v>1578</v>
      </c>
      <c r="T245" s="10" t="n">
        <v>45848</v>
      </c>
      <c r="U245" s="9" t="s">
        <v>1579</v>
      </c>
      <c r="V245" s="9" t="s">
        <v>1501</v>
      </c>
      <c r="W245" s="10"/>
      <c r="X245" s="9"/>
      <c r="Y245" s="9"/>
      <c r="Z245" s="11"/>
      <c r="AA245" s="11" t="n">
        <v>28.9</v>
      </c>
      <c r="AB245" s="9" t="str">
        <f aca="false">IF(B245&lt;F245,"Y","")</f>
        <v/>
      </c>
      <c r="AC245" s="9" t="str">
        <f aca="false">IF(O245&lt;&gt;"Y","Y","")</f>
        <v/>
      </c>
      <c r="AD245" s="9" t="str">
        <f aca="false">IF(AND(M245="declined-prior-offer",S245=""),"Y","")</f>
        <v/>
      </c>
      <c r="AE245" s="9" t="str">
        <f aca="false">IF(OR(R245&lt;&gt;"MATCH",ISNUMBER(SEARCH("conflict",Q245))),"Y","")</f>
        <v/>
      </c>
      <c r="AF245" s="9" t="str">
        <f aca="false">IF(AND(ISNUMBER(Z245),ABS(Z245-AA245)&gt;0.001),"Y","")</f>
        <v/>
      </c>
      <c r="AG245" s="9" t="str">
        <f aca="false">IF(AND(W245&lt;&gt;"",Y245&lt;&gt;"ACCEPTED"),"Y","")</f>
        <v/>
      </c>
      <c r="AH245" s="9" t="str">
        <f aca="false">IF(COUNTIF(AB245:AG245,"Y")&gt;0,"EXCEPTION","NO EXCEPTION IDENTIFIED")</f>
        <v>NO EXCEPTION IDENTIFIED</v>
      </c>
      <c r="AI245" s="12" t="s">
        <v>156</v>
      </c>
      <c r="AJ245" s="12" t="s">
        <v>1580</v>
      </c>
    </row>
    <row r="246" customFormat="false" ht="20.85" hidden="false" customHeight="false" outlineLevel="0" collapsed="false">
      <c r="A246" s="13" t="s">
        <v>1581</v>
      </c>
      <c r="B246" s="14" t="n">
        <v>45956</v>
      </c>
      <c r="C246" s="13" t="s">
        <v>1582</v>
      </c>
      <c r="D246" s="13" t="s">
        <v>1583</v>
      </c>
      <c r="E246" s="13" t="n">
        <v>1284</v>
      </c>
      <c r="F246" s="14" t="n">
        <v>45404</v>
      </c>
      <c r="G246" s="13" t="n">
        <f aca="false">B246-F246</f>
        <v>552</v>
      </c>
      <c r="H246" s="13" t="s">
        <v>1584</v>
      </c>
      <c r="I246" s="13" t="s">
        <v>1585</v>
      </c>
      <c r="J246" s="13" t="s">
        <v>204</v>
      </c>
      <c r="K246" s="13" t="s">
        <v>146</v>
      </c>
      <c r="L246" s="15" t="n">
        <v>32</v>
      </c>
      <c r="M246" s="13" t="s">
        <v>115</v>
      </c>
      <c r="N246" s="13" t="s">
        <v>116</v>
      </c>
      <c r="O246" s="13" t="s">
        <v>117</v>
      </c>
      <c r="P246" s="13" t="s">
        <v>118</v>
      </c>
      <c r="Q246" s="13" t="s">
        <v>119</v>
      </c>
      <c r="R246" s="13" t="s">
        <v>120</v>
      </c>
      <c r="S246" s="13"/>
      <c r="T246" s="14"/>
      <c r="U246" s="13"/>
      <c r="V246" s="13"/>
      <c r="W246" s="14"/>
      <c r="X246" s="13"/>
      <c r="Y246" s="13"/>
      <c r="Z246" s="15"/>
      <c r="AA246" s="15" t="n">
        <v>57.6</v>
      </c>
      <c r="AB246" s="13" t="str">
        <f aca="false">IF(B246&lt;F246,"Y","")</f>
        <v/>
      </c>
      <c r="AC246" s="13" t="str">
        <f aca="false">IF(O246&lt;&gt;"Y","Y","")</f>
        <v/>
      </c>
      <c r="AD246" s="13" t="str">
        <f aca="false">IF(AND(M246="declined-prior-offer",S246=""),"Y","")</f>
        <v/>
      </c>
      <c r="AE246" s="13" t="str">
        <f aca="false">IF(OR(R246&lt;&gt;"MATCH",ISNUMBER(SEARCH("conflict",Q246))),"Y","")</f>
        <v/>
      </c>
      <c r="AF246" s="13" t="str">
        <f aca="false">IF(AND(ISNUMBER(Z246),ABS(Z246-AA246)&gt;0.001),"Y","")</f>
        <v/>
      </c>
      <c r="AG246" s="13" t="str">
        <f aca="false">IF(AND(W246&lt;&gt;"",Y246&lt;&gt;"ACCEPTED"),"Y","")</f>
        <v/>
      </c>
      <c r="AH246" s="13" t="str">
        <f aca="false">IF(COUNTIF(AB246:AG246,"Y")&gt;0,"EXCEPTION","NO EXCEPTION IDENTIFIED")</f>
        <v>NO EXCEPTION IDENTIFIED</v>
      </c>
      <c r="AI246" s="16" t="s">
        <v>156</v>
      </c>
      <c r="AJ246" s="16" t="s">
        <v>1586</v>
      </c>
    </row>
    <row r="247" customFormat="false" ht="20.85" hidden="false" customHeight="false" outlineLevel="0" collapsed="false">
      <c r="A247" s="9" t="s">
        <v>1587</v>
      </c>
      <c r="B247" s="10" t="n">
        <v>45956</v>
      </c>
      <c r="C247" s="9" t="s">
        <v>438</v>
      </c>
      <c r="D247" s="9" t="s">
        <v>439</v>
      </c>
      <c r="E247" s="9" t="n">
        <v>2857</v>
      </c>
      <c r="F247" s="10" t="n">
        <v>46176</v>
      </c>
      <c r="G247" s="9" t="n">
        <f aca="false">B247-F247</f>
        <v>-220</v>
      </c>
      <c r="H247" s="9" t="s">
        <v>1588</v>
      </c>
      <c r="I247" s="9" t="s">
        <v>1589</v>
      </c>
      <c r="J247" s="9" t="s">
        <v>113</v>
      </c>
      <c r="K247" s="9" t="s">
        <v>114</v>
      </c>
      <c r="L247" s="11" t="n">
        <v>24</v>
      </c>
      <c r="M247" s="9" t="s">
        <v>136</v>
      </c>
      <c r="N247" s="9" t="s">
        <v>137</v>
      </c>
      <c r="O247" s="9" t="s">
        <v>117</v>
      </c>
      <c r="P247" s="9" t="s">
        <v>138</v>
      </c>
      <c r="Q247" s="9" t="s">
        <v>119</v>
      </c>
      <c r="R247" s="9" t="s">
        <v>120</v>
      </c>
      <c r="S247" s="9"/>
      <c r="T247" s="10"/>
      <c r="U247" s="9"/>
      <c r="V247" s="9"/>
      <c r="W247" s="10"/>
      <c r="X247" s="9"/>
      <c r="Y247" s="9"/>
      <c r="Z247" s="11"/>
      <c r="AA247" s="11" t="n">
        <v>45.5</v>
      </c>
      <c r="AB247" s="9" t="str">
        <f aca="false">IF(B247&lt;F247,"Y","")</f>
        <v>Y</v>
      </c>
      <c r="AC247" s="9" t="str">
        <f aca="false">IF(O247&lt;&gt;"Y","Y","")</f>
        <v/>
      </c>
      <c r="AD247" s="9" t="str">
        <f aca="false">IF(AND(M247="declined-prior-offer",S247=""),"Y","")</f>
        <v/>
      </c>
      <c r="AE247" s="9" t="str">
        <f aca="false">IF(OR(R247&lt;&gt;"MATCH",ISNUMBER(SEARCH("conflict",Q247))),"Y","")</f>
        <v/>
      </c>
      <c r="AF247" s="9" t="str">
        <f aca="false">IF(AND(ISNUMBER(Z247),ABS(Z247-AA247)&gt;0.001),"Y","")</f>
        <v/>
      </c>
      <c r="AG247" s="9" t="str">
        <f aca="false">IF(AND(W247&lt;&gt;"",Y247&lt;&gt;"ACCEPTED"),"Y","")</f>
        <v/>
      </c>
      <c r="AH247" s="9" t="str">
        <f aca="false">IF(COUNTIF(AB247:AG247,"Y")&gt;0,"EXCEPTION","NO EXCEPTION IDENTIFIED")</f>
        <v>EXCEPTION</v>
      </c>
      <c r="AI247" s="12" t="s">
        <v>121</v>
      </c>
      <c r="AJ247" s="12" t="s">
        <v>1590</v>
      </c>
    </row>
    <row r="248" customFormat="false" ht="20.85" hidden="false" customHeight="false" outlineLevel="0" collapsed="false">
      <c r="A248" s="13" t="s">
        <v>1591</v>
      </c>
      <c r="B248" s="14" t="n">
        <v>45958</v>
      </c>
      <c r="C248" s="13" t="s">
        <v>1592</v>
      </c>
      <c r="D248" s="13" t="s">
        <v>1593</v>
      </c>
      <c r="E248" s="13" t="n">
        <v>1187</v>
      </c>
      <c r="F248" s="14" t="n">
        <v>45358</v>
      </c>
      <c r="G248" s="13" t="n">
        <f aca="false">B248-F248</f>
        <v>600</v>
      </c>
      <c r="H248" s="13" t="s">
        <v>1594</v>
      </c>
      <c r="I248" s="13" t="s">
        <v>1595</v>
      </c>
      <c r="J248" s="13" t="s">
        <v>204</v>
      </c>
      <c r="K248" s="13" t="s">
        <v>146</v>
      </c>
      <c r="L248" s="15" t="n">
        <v>28</v>
      </c>
      <c r="M248" s="13" t="s">
        <v>115</v>
      </c>
      <c r="N248" s="13" t="s">
        <v>116</v>
      </c>
      <c r="O248" s="13" t="s">
        <v>117</v>
      </c>
      <c r="P248" s="13" t="s">
        <v>128</v>
      </c>
      <c r="Q248" s="13" t="s">
        <v>119</v>
      </c>
      <c r="R248" s="13" t="s">
        <v>120</v>
      </c>
      <c r="S248" s="13"/>
      <c r="T248" s="14"/>
      <c r="U248" s="13"/>
      <c r="V248" s="13"/>
      <c r="W248" s="14"/>
      <c r="X248" s="13"/>
      <c r="Y248" s="13"/>
      <c r="Z248" s="15"/>
      <c r="AA248" s="15" t="n">
        <v>54.9</v>
      </c>
      <c r="AB248" s="13" t="str">
        <f aca="false">IF(B248&lt;F248,"Y","")</f>
        <v/>
      </c>
      <c r="AC248" s="13" t="str">
        <f aca="false">IF(O248&lt;&gt;"Y","Y","")</f>
        <v/>
      </c>
      <c r="AD248" s="13" t="str">
        <f aca="false">IF(AND(M248="declined-prior-offer",S248=""),"Y","")</f>
        <v/>
      </c>
      <c r="AE248" s="13" t="str">
        <f aca="false">IF(OR(R248&lt;&gt;"MATCH",ISNUMBER(SEARCH("conflict",Q248))),"Y","")</f>
        <v/>
      </c>
      <c r="AF248" s="13" t="str">
        <f aca="false">IF(AND(ISNUMBER(Z248),ABS(Z248-AA248)&gt;0.001),"Y","")</f>
        <v/>
      </c>
      <c r="AG248" s="13" t="str">
        <f aca="false">IF(AND(W248&lt;&gt;"",Y248&lt;&gt;"ACCEPTED"),"Y","")</f>
        <v/>
      </c>
      <c r="AH248" s="13" t="str">
        <f aca="false">IF(COUNTIF(AB248:AG248,"Y")&gt;0,"EXCEPTION","NO EXCEPTION IDENTIFIED")</f>
        <v>NO EXCEPTION IDENTIFIED</v>
      </c>
      <c r="AI248" s="16" t="s">
        <v>156</v>
      </c>
      <c r="AJ248" s="16" t="s">
        <v>1596</v>
      </c>
    </row>
    <row r="249" customFormat="false" ht="20.85" hidden="false" customHeight="false" outlineLevel="0" collapsed="false">
      <c r="A249" s="9" t="s">
        <v>1597</v>
      </c>
      <c r="B249" s="10" t="n">
        <v>45978</v>
      </c>
      <c r="C249" s="9" t="s">
        <v>1598</v>
      </c>
      <c r="D249" s="9" t="s">
        <v>1599</v>
      </c>
      <c r="E249" s="9" t="n">
        <v>1404</v>
      </c>
      <c r="F249" s="10" t="n">
        <v>45452</v>
      </c>
      <c r="G249" s="9" t="n">
        <f aca="false">B249-F249</f>
        <v>526</v>
      </c>
      <c r="H249" s="9" t="s">
        <v>1600</v>
      </c>
      <c r="I249" s="9" t="s">
        <v>1601</v>
      </c>
      <c r="J249" s="9" t="s">
        <v>135</v>
      </c>
      <c r="K249" s="9" t="s">
        <v>114</v>
      </c>
      <c r="L249" s="11" t="n">
        <v>32</v>
      </c>
      <c r="M249" s="9" t="s">
        <v>136</v>
      </c>
      <c r="N249" s="9" t="s">
        <v>137</v>
      </c>
      <c r="O249" s="9" t="s">
        <v>117</v>
      </c>
      <c r="P249" s="9" t="s">
        <v>138</v>
      </c>
      <c r="Q249" s="9" t="s">
        <v>119</v>
      </c>
      <c r="R249" s="9" t="s">
        <v>120</v>
      </c>
      <c r="S249" s="9"/>
      <c r="T249" s="10"/>
      <c r="U249" s="9"/>
      <c r="V249" s="9"/>
      <c r="W249" s="10"/>
      <c r="X249" s="9"/>
      <c r="Y249" s="9"/>
      <c r="Z249" s="11"/>
      <c r="AA249" s="11" t="n">
        <v>44.8</v>
      </c>
      <c r="AB249" s="9" t="str">
        <f aca="false">IF(B249&lt;F249,"Y","")</f>
        <v/>
      </c>
      <c r="AC249" s="9" t="str">
        <f aca="false">IF(O249&lt;&gt;"Y","Y","")</f>
        <v/>
      </c>
      <c r="AD249" s="9" t="str">
        <f aca="false">IF(AND(M249="declined-prior-offer",S249=""),"Y","")</f>
        <v/>
      </c>
      <c r="AE249" s="9" t="str">
        <f aca="false">IF(OR(R249&lt;&gt;"MATCH",ISNUMBER(SEARCH("conflict",Q249))),"Y","")</f>
        <v/>
      </c>
      <c r="AF249" s="9" t="str">
        <f aca="false">IF(AND(ISNUMBER(Z249),ABS(Z249-AA249)&gt;0.001),"Y","")</f>
        <v/>
      </c>
      <c r="AG249" s="9" t="str">
        <f aca="false">IF(AND(W249&lt;&gt;"",Y249&lt;&gt;"ACCEPTED"),"Y","")</f>
        <v/>
      </c>
      <c r="AH249" s="9" t="str">
        <f aca="false">IF(COUNTIF(AB249:AG249,"Y")&gt;0,"EXCEPTION","NO EXCEPTION IDENTIFIED")</f>
        <v>NO EXCEPTION IDENTIFIED</v>
      </c>
      <c r="AI249" s="12" t="s">
        <v>156</v>
      </c>
      <c r="AJ249" s="12" t="s">
        <v>1602</v>
      </c>
    </row>
    <row r="250" customFormat="false" ht="20.85" hidden="false" customHeight="false" outlineLevel="0" collapsed="false">
      <c r="A250" s="13" t="s">
        <v>1603</v>
      </c>
      <c r="B250" s="14" t="n">
        <v>45988</v>
      </c>
      <c r="C250" s="13" t="s">
        <v>1063</v>
      </c>
      <c r="D250" s="13" t="s">
        <v>1064</v>
      </c>
      <c r="E250" s="13" t="n">
        <v>264</v>
      </c>
      <c r="F250" s="14" t="n">
        <v>44856</v>
      </c>
      <c r="G250" s="13" t="n">
        <f aca="false">B250-F250</f>
        <v>1132</v>
      </c>
      <c r="H250" s="13" t="s">
        <v>1604</v>
      </c>
      <c r="I250" s="13" t="s">
        <v>258</v>
      </c>
      <c r="J250" s="13" t="s">
        <v>204</v>
      </c>
      <c r="K250" s="13" t="s">
        <v>146</v>
      </c>
      <c r="L250" s="15" t="n">
        <v>28</v>
      </c>
      <c r="M250" s="13" t="s">
        <v>115</v>
      </c>
      <c r="N250" s="13" t="s">
        <v>116</v>
      </c>
      <c r="O250" s="13" t="s">
        <v>117</v>
      </c>
      <c r="P250" s="13" t="s">
        <v>178</v>
      </c>
      <c r="Q250" s="13" t="s">
        <v>119</v>
      </c>
      <c r="R250" s="13" t="s">
        <v>120</v>
      </c>
      <c r="S250" s="13"/>
      <c r="T250" s="14"/>
      <c r="U250" s="13"/>
      <c r="V250" s="13"/>
      <c r="W250" s="14"/>
      <c r="X250" s="13"/>
      <c r="Y250" s="13"/>
      <c r="Z250" s="15"/>
      <c r="AA250" s="15" t="n">
        <v>51.6</v>
      </c>
      <c r="AB250" s="13" t="str">
        <f aca="false">IF(B250&lt;F250,"Y","")</f>
        <v/>
      </c>
      <c r="AC250" s="13" t="str">
        <f aca="false">IF(O250&lt;&gt;"Y","Y","")</f>
        <v/>
      </c>
      <c r="AD250" s="13" t="str">
        <f aca="false">IF(AND(M250="declined-prior-offer",S250=""),"Y","")</f>
        <v/>
      </c>
      <c r="AE250" s="13" t="str">
        <f aca="false">IF(OR(R250&lt;&gt;"MATCH",ISNUMBER(SEARCH("conflict",Q250))),"Y","")</f>
        <v/>
      </c>
      <c r="AF250" s="13" t="str">
        <f aca="false">IF(AND(ISNUMBER(Z250),ABS(Z250-AA250)&gt;0.001),"Y","")</f>
        <v/>
      </c>
      <c r="AG250" s="13" t="str">
        <f aca="false">IF(AND(W250&lt;&gt;"",Y250&lt;&gt;"ACCEPTED"),"Y","")</f>
        <v/>
      </c>
      <c r="AH250" s="13" t="str">
        <f aca="false">IF(COUNTIF(AB250:AG250,"Y")&gt;0,"EXCEPTION","NO EXCEPTION IDENTIFIED")</f>
        <v>NO EXCEPTION IDENTIFIED</v>
      </c>
      <c r="AI250" s="16" t="s">
        <v>156</v>
      </c>
      <c r="AJ250" s="16" t="s">
        <v>1605</v>
      </c>
    </row>
    <row r="251" customFormat="false" ht="20.85" hidden="false" customHeight="false" outlineLevel="0" collapsed="false">
      <c r="A251" s="9" t="s">
        <v>1606</v>
      </c>
      <c r="B251" s="10" t="n">
        <v>46006</v>
      </c>
      <c r="C251" s="9" t="s">
        <v>1607</v>
      </c>
      <c r="D251" s="9" t="s">
        <v>1608</v>
      </c>
      <c r="E251" s="9" t="n">
        <v>776</v>
      </c>
      <c r="F251" s="10" t="n">
        <v>45158</v>
      </c>
      <c r="G251" s="9" t="n">
        <f aca="false">B251-F251</f>
        <v>848</v>
      </c>
      <c r="H251" s="9" t="s">
        <v>1609</v>
      </c>
      <c r="I251" s="9" t="s">
        <v>1610</v>
      </c>
      <c r="J251" s="9" t="s">
        <v>155</v>
      </c>
      <c r="K251" s="9" t="s">
        <v>146</v>
      </c>
      <c r="L251" s="11" t="n">
        <v>32</v>
      </c>
      <c r="M251" s="9" t="s">
        <v>136</v>
      </c>
      <c r="N251" s="9" t="s">
        <v>137</v>
      </c>
      <c r="O251" s="9" t="s">
        <v>117</v>
      </c>
      <c r="P251" s="9" t="s">
        <v>118</v>
      </c>
      <c r="Q251" s="9" t="s">
        <v>119</v>
      </c>
      <c r="R251" s="9" t="s">
        <v>120</v>
      </c>
      <c r="S251" s="9"/>
      <c r="T251" s="10"/>
      <c r="U251" s="9"/>
      <c r="V251" s="9"/>
      <c r="W251" s="10"/>
      <c r="X251" s="9"/>
      <c r="Y251" s="9"/>
      <c r="Z251" s="11"/>
      <c r="AA251" s="11" t="n">
        <v>33.3</v>
      </c>
      <c r="AB251" s="9" t="str">
        <f aca="false">IF(B251&lt;F251,"Y","")</f>
        <v/>
      </c>
      <c r="AC251" s="9" t="str">
        <f aca="false">IF(O251&lt;&gt;"Y","Y","")</f>
        <v/>
      </c>
      <c r="AD251" s="9" t="str">
        <f aca="false">IF(AND(M251="declined-prior-offer",S251=""),"Y","")</f>
        <v/>
      </c>
      <c r="AE251" s="9" t="str">
        <f aca="false">IF(OR(R251&lt;&gt;"MATCH",ISNUMBER(SEARCH("conflict",Q251))),"Y","")</f>
        <v/>
      </c>
      <c r="AF251" s="9" t="str">
        <f aca="false">IF(AND(ISNUMBER(Z251),ABS(Z251-AA251)&gt;0.001),"Y","")</f>
        <v/>
      </c>
      <c r="AG251" s="9" t="str">
        <f aca="false">IF(AND(W251&lt;&gt;"",Y251&lt;&gt;"ACCEPTED"),"Y","")</f>
        <v/>
      </c>
      <c r="AH251" s="9" t="str">
        <f aca="false">IF(COUNTIF(AB251:AG251,"Y")&gt;0,"EXCEPTION","NO EXCEPTION IDENTIFIED")</f>
        <v>NO EXCEPTION IDENTIFIED</v>
      </c>
      <c r="AI251" s="12" t="s">
        <v>156</v>
      </c>
      <c r="AJ251" s="12" t="s">
        <v>1611</v>
      </c>
    </row>
    <row r="252" customFormat="false" ht="20.85" hidden="false" customHeight="false" outlineLevel="0" collapsed="false">
      <c r="A252" s="13" t="s">
        <v>1612</v>
      </c>
      <c r="B252" s="14" t="n">
        <v>46017</v>
      </c>
      <c r="C252" s="13" t="s">
        <v>1613</v>
      </c>
      <c r="D252" s="13" t="s">
        <v>1614</v>
      </c>
      <c r="E252" s="13" t="n">
        <v>1991</v>
      </c>
      <c r="F252" s="14" t="n">
        <v>45710</v>
      </c>
      <c r="G252" s="13" t="n">
        <f aca="false">B252-F252</f>
        <v>307</v>
      </c>
      <c r="H252" s="13" t="s">
        <v>1615</v>
      </c>
      <c r="I252" s="13" t="s">
        <v>1616</v>
      </c>
      <c r="J252" s="13" t="s">
        <v>204</v>
      </c>
      <c r="K252" s="13" t="s">
        <v>146</v>
      </c>
      <c r="L252" s="15" t="n">
        <v>28</v>
      </c>
      <c r="M252" s="13" t="s">
        <v>115</v>
      </c>
      <c r="N252" s="13" t="s">
        <v>116</v>
      </c>
      <c r="O252" s="13" t="s">
        <v>117</v>
      </c>
      <c r="P252" s="13" t="s">
        <v>138</v>
      </c>
      <c r="Q252" s="13" t="s">
        <v>119</v>
      </c>
      <c r="R252" s="13" t="s">
        <v>120</v>
      </c>
      <c r="S252" s="13"/>
      <c r="T252" s="14"/>
      <c r="U252" s="13"/>
      <c r="V252" s="13"/>
      <c r="W252" s="14"/>
      <c r="X252" s="13"/>
      <c r="Y252" s="13"/>
      <c r="Z252" s="15"/>
      <c r="AA252" s="15" t="n">
        <v>33.5</v>
      </c>
      <c r="AB252" s="13" t="str">
        <f aca="false">IF(B252&lt;F252,"Y","")</f>
        <v/>
      </c>
      <c r="AC252" s="13" t="str">
        <f aca="false">IF(O252&lt;&gt;"Y","Y","")</f>
        <v/>
      </c>
      <c r="AD252" s="13" t="str">
        <f aca="false">IF(AND(M252="declined-prior-offer",S252=""),"Y","")</f>
        <v/>
      </c>
      <c r="AE252" s="13" t="str">
        <f aca="false">IF(OR(R252&lt;&gt;"MATCH",ISNUMBER(SEARCH("conflict",Q252))),"Y","")</f>
        <v/>
      </c>
      <c r="AF252" s="13" t="str">
        <f aca="false">IF(AND(ISNUMBER(Z252),ABS(Z252-AA252)&gt;0.001),"Y","")</f>
        <v/>
      </c>
      <c r="AG252" s="13" t="str">
        <f aca="false">IF(AND(W252&lt;&gt;"",Y252&lt;&gt;"ACCEPTED"),"Y","")</f>
        <v/>
      </c>
      <c r="AH252" s="13" t="str">
        <f aca="false">IF(COUNTIF(AB252:AG252,"Y")&gt;0,"EXCEPTION","NO EXCEPTION IDENTIFIED")</f>
        <v>NO EXCEPTION IDENTIFIED</v>
      </c>
      <c r="AI252" s="16" t="s">
        <v>156</v>
      </c>
      <c r="AJ252" s="16" t="s">
        <v>1617</v>
      </c>
    </row>
    <row r="253" customFormat="false" ht="20.85" hidden="false" customHeight="false" outlineLevel="0" collapsed="false">
      <c r="A253" s="9" t="s">
        <v>1618</v>
      </c>
      <c r="B253" s="10" t="n">
        <v>46023</v>
      </c>
      <c r="C253" s="9" t="s">
        <v>1619</v>
      </c>
      <c r="D253" s="9" t="s">
        <v>1620</v>
      </c>
      <c r="E253" s="9" t="n">
        <v>558</v>
      </c>
      <c r="F253" s="10" t="n">
        <v>45031</v>
      </c>
      <c r="G253" s="9" t="n">
        <f aca="false">B253-F253</f>
        <v>992</v>
      </c>
      <c r="H253" s="9" t="s">
        <v>1621</v>
      </c>
      <c r="I253" s="9" t="s">
        <v>1622</v>
      </c>
      <c r="J253" s="9" t="s">
        <v>145</v>
      </c>
      <c r="K253" s="9" t="s">
        <v>146</v>
      </c>
      <c r="L253" s="11" t="n">
        <v>36</v>
      </c>
      <c r="M253" s="9" t="s">
        <v>115</v>
      </c>
      <c r="N253" s="9" t="s">
        <v>116</v>
      </c>
      <c r="O253" s="9" t="s">
        <v>117</v>
      </c>
      <c r="P253" s="9" t="s">
        <v>138</v>
      </c>
      <c r="Q253" s="9" t="s">
        <v>119</v>
      </c>
      <c r="R253" s="9" t="s">
        <v>120</v>
      </c>
      <c r="S253" s="9"/>
      <c r="T253" s="10"/>
      <c r="U253" s="9"/>
      <c r="V253" s="9"/>
      <c r="W253" s="10"/>
      <c r="X253" s="9"/>
      <c r="Y253" s="9"/>
      <c r="Z253" s="11"/>
      <c r="AA253" s="11" t="n">
        <v>26.4</v>
      </c>
      <c r="AB253" s="9" t="str">
        <f aca="false">IF(B253&lt;F253,"Y","")</f>
        <v/>
      </c>
      <c r="AC253" s="9" t="str">
        <f aca="false">IF(O253&lt;&gt;"Y","Y","")</f>
        <v/>
      </c>
      <c r="AD253" s="9" t="str">
        <f aca="false">IF(AND(M253="declined-prior-offer",S253=""),"Y","")</f>
        <v/>
      </c>
      <c r="AE253" s="9" t="str">
        <f aca="false">IF(OR(R253&lt;&gt;"MATCH",ISNUMBER(SEARCH("conflict",Q253))),"Y","")</f>
        <v/>
      </c>
      <c r="AF253" s="9" t="str">
        <f aca="false">IF(AND(ISNUMBER(Z253),ABS(Z253-AA253)&gt;0.001),"Y","")</f>
        <v/>
      </c>
      <c r="AG253" s="9" t="str">
        <f aca="false">IF(AND(W253&lt;&gt;"",Y253&lt;&gt;"ACCEPTED"),"Y","")</f>
        <v/>
      </c>
      <c r="AH253" s="9" t="str">
        <f aca="false">IF(COUNTIF(AB253:AG253,"Y")&gt;0,"EXCEPTION","NO EXCEPTION IDENTIFIED")</f>
        <v>NO EXCEPTION IDENTIFIED</v>
      </c>
      <c r="AI253" s="12" t="s">
        <v>156</v>
      </c>
      <c r="AJ253" s="12" t="s">
        <v>1623</v>
      </c>
    </row>
    <row r="254" customFormat="false" ht="20.85" hidden="false" customHeight="false" outlineLevel="0" collapsed="false">
      <c r="A254" s="13" t="s">
        <v>1624</v>
      </c>
      <c r="B254" s="14" t="n">
        <v>46023</v>
      </c>
      <c r="C254" s="13" t="s">
        <v>1625</v>
      </c>
      <c r="D254" s="13" t="s">
        <v>1626</v>
      </c>
      <c r="E254" s="13" t="n">
        <v>2054</v>
      </c>
      <c r="F254" s="14" t="n">
        <v>45734</v>
      </c>
      <c r="G254" s="13" t="n">
        <f aca="false">B254-F254</f>
        <v>289</v>
      </c>
      <c r="H254" s="13" t="s">
        <v>1627</v>
      </c>
      <c r="I254" s="13" t="s">
        <v>1628</v>
      </c>
      <c r="J254" s="13" t="s">
        <v>135</v>
      </c>
      <c r="K254" s="13" t="s">
        <v>114</v>
      </c>
      <c r="L254" s="15" t="n">
        <v>28</v>
      </c>
      <c r="M254" s="13" t="s">
        <v>115</v>
      </c>
      <c r="N254" s="13" t="s">
        <v>116</v>
      </c>
      <c r="O254" s="13" t="s">
        <v>147</v>
      </c>
      <c r="P254" s="13" t="s">
        <v>118</v>
      </c>
      <c r="Q254" s="13" t="s">
        <v>119</v>
      </c>
      <c r="R254" s="13" t="s">
        <v>120</v>
      </c>
      <c r="S254" s="13"/>
      <c r="T254" s="14"/>
      <c r="U254" s="13"/>
      <c r="V254" s="13"/>
      <c r="W254" s="14" t="n">
        <v>44782</v>
      </c>
      <c r="X254" s="13" t="s">
        <v>1629</v>
      </c>
      <c r="Y254" s="13" t="s">
        <v>374</v>
      </c>
      <c r="Z254" s="15" t="n">
        <v>45.3</v>
      </c>
      <c r="AA254" s="15" t="n">
        <v>30.1</v>
      </c>
      <c r="AB254" s="13" t="str">
        <f aca="false">IF(B254&lt;F254,"Y","")</f>
        <v/>
      </c>
      <c r="AC254" s="13" t="str">
        <f aca="false">IF(O254&lt;&gt;"Y","Y","")</f>
        <v>Y</v>
      </c>
      <c r="AD254" s="13" t="str">
        <f aca="false">IF(AND(M254="declined-prior-offer",S254=""),"Y","")</f>
        <v/>
      </c>
      <c r="AE254" s="13" t="str">
        <f aca="false">IF(OR(R254&lt;&gt;"MATCH",ISNUMBER(SEARCH("conflict",Q254))),"Y","")</f>
        <v/>
      </c>
      <c r="AF254" s="13" t="str">
        <f aca="false">IF(AND(ISNUMBER(Z254),ABS(Z254-AA254)&gt;0.001),"Y","")</f>
        <v>Y</v>
      </c>
      <c r="AG254" s="13" t="str">
        <f aca="false">IF(AND(W254&lt;&gt;"",Y254&lt;&gt;"ACCEPTED"),"Y","")</f>
        <v/>
      </c>
      <c r="AH254" s="13" t="str">
        <f aca="false">IF(COUNTIF(AB254:AG254,"Y")&gt;0,"EXCEPTION","NO EXCEPTION IDENTIFIED")</f>
        <v>EXCEPTION</v>
      </c>
      <c r="AI254" s="16" t="s">
        <v>1630</v>
      </c>
      <c r="AJ254" s="16" t="s">
        <v>1631</v>
      </c>
    </row>
    <row r="255" customFormat="false" ht="20.85" hidden="false" customHeight="false" outlineLevel="0" collapsed="false">
      <c r="A255" s="9" t="s">
        <v>1632</v>
      </c>
      <c r="B255" s="10" t="n">
        <v>46035</v>
      </c>
      <c r="C255" s="9" t="s">
        <v>1633</v>
      </c>
      <c r="D255" s="9" t="s">
        <v>1634</v>
      </c>
      <c r="E255" s="9" t="n">
        <v>2011</v>
      </c>
      <c r="F255" s="10" t="n">
        <v>45718</v>
      </c>
      <c r="G255" s="9" t="n">
        <f aca="false">B255-F255</f>
        <v>317</v>
      </c>
      <c r="H255" s="9" t="s">
        <v>1635</v>
      </c>
      <c r="I255" s="9" t="s">
        <v>1636</v>
      </c>
      <c r="J255" s="9" t="s">
        <v>204</v>
      </c>
      <c r="K255" s="9" t="s">
        <v>146</v>
      </c>
      <c r="L255" s="11" t="n">
        <v>28</v>
      </c>
      <c r="M255" s="9" t="s">
        <v>115</v>
      </c>
      <c r="N255" s="9" t="s">
        <v>116</v>
      </c>
      <c r="O255" s="9" t="s">
        <v>117</v>
      </c>
      <c r="P255" s="9" t="s">
        <v>118</v>
      </c>
      <c r="Q255" s="9" t="s">
        <v>119</v>
      </c>
      <c r="R255" s="9" t="s">
        <v>120</v>
      </c>
      <c r="S255" s="9"/>
      <c r="T255" s="10"/>
      <c r="U255" s="9"/>
      <c r="V255" s="9"/>
      <c r="W255" s="10"/>
      <c r="X255" s="9"/>
      <c r="Y255" s="9"/>
      <c r="Z255" s="11"/>
      <c r="AA255" s="11" t="n">
        <v>22.5</v>
      </c>
      <c r="AB255" s="9" t="str">
        <f aca="false">IF(B255&lt;F255,"Y","")</f>
        <v/>
      </c>
      <c r="AC255" s="9" t="str">
        <f aca="false">IF(O255&lt;&gt;"Y","Y","")</f>
        <v/>
      </c>
      <c r="AD255" s="9" t="str">
        <f aca="false">IF(AND(M255="declined-prior-offer",S255=""),"Y","")</f>
        <v/>
      </c>
      <c r="AE255" s="9" t="str">
        <f aca="false">IF(OR(R255&lt;&gt;"MATCH",ISNUMBER(SEARCH("conflict",Q255))),"Y","")</f>
        <v/>
      </c>
      <c r="AF255" s="9" t="str">
        <f aca="false">IF(AND(ISNUMBER(Z255),ABS(Z255-AA255)&gt;0.001),"Y","")</f>
        <v/>
      </c>
      <c r="AG255" s="9" t="str">
        <f aca="false">IF(AND(W255&lt;&gt;"",Y255&lt;&gt;"ACCEPTED"),"Y","")</f>
        <v/>
      </c>
      <c r="AH255" s="9" t="str">
        <f aca="false">IF(COUNTIF(AB255:AG255,"Y")&gt;0,"EXCEPTION","NO EXCEPTION IDENTIFIED")</f>
        <v>NO EXCEPTION IDENTIFIED</v>
      </c>
      <c r="AI255" s="12" t="s">
        <v>156</v>
      </c>
      <c r="AJ255" s="12" t="s">
        <v>1637</v>
      </c>
    </row>
    <row r="256" customFormat="false" ht="20.85" hidden="false" customHeight="false" outlineLevel="0" collapsed="false">
      <c r="A256" s="13" t="s">
        <v>1638</v>
      </c>
      <c r="B256" s="14" t="n">
        <v>46035</v>
      </c>
      <c r="C256" s="13" t="s">
        <v>908</v>
      </c>
      <c r="D256" s="13" t="s">
        <v>909</v>
      </c>
      <c r="E256" s="13" t="n">
        <v>368</v>
      </c>
      <c r="F256" s="14" t="n">
        <v>44921</v>
      </c>
      <c r="G256" s="13" t="n">
        <f aca="false">B256-F256</f>
        <v>1114</v>
      </c>
      <c r="H256" s="13" t="s">
        <v>1639</v>
      </c>
      <c r="I256" s="13" t="s">
        <v>1640</v>
      </c>
      <c r="J256" s="13" t="s">
        <v>145</v>
      </c>
      <c r="K256" s="13" t="s">
        <v>146</v>
      </c>
      <c r="L256" s="15" t="n">
        <v>45</v>
      </c>
      <c r="M256" s="13" t="s">
        <v>185</v>
      </c>
      <c r="N256" s="13" t="s">
        <v>186</v>
      </c>
      <c r="O256" s="13" t="s">
        <v>117</v>
      </c>
      <c r="P256" s="13" t="s">
        <v>178</v>
      </c>
      <c r="Q256" s="13" t="s">
        <v>119</v>
      </c>
      <c r="R256" s="13" t="s">
        <v>120</v>
      </c>
      <c r="S256" s="13"/>
      <c r="T256" s="14"/>
      <c r="U256" s="13"/>
      <c r="V256" s="13"/>
      <c r="W256" s="14"/>
      <c r="X256" s="13"/>
      <c r="Y256" s="13"/>
      <c r="Z256" s="15"/>
      <c r="AA256" s="15" t="n">
        <v>23.7</v>
      </c>
      <c r="AB256" s="13" t="str">
        <f aca="false">IF(B256&lt;F256,"Y","")</f>
        <v/>
      </c>
      <c r="AC256" s="13" t="str">
        <f aca="false">IF(O256&lt;&gt;"Y","Y","")</f>
        <v/>
      </c>
      <c r="AD256" s="13" t="str">
        <f aca="false">IF(AND(M256="declined-prior-offer",S256=""),"Y","")</f>
        <v/>
      </c>
      <c r="AE256" s="13" t="str">
        <f aca="false">IF(OR(R256&lt;&gt;"MATCH",ISNUMBER(SEARCH("conflict",Q256))),"Y","")</f>
        <v/>
      </c>
      <c r="AF256" s="13" t="str">
        <f aca="false">IF(AND(ISNUMBER(Z256),ABS(Z256-AA256)&gt;0.001),"Y","")</f>
        <v/>
      </c>
      <c r="AG256" s="13" t="str">
        <f aca="false">IF(AND(W256&lt;&gt;"",Y256&lt;&gt;"ACCEPTED"),"Y","")</f>
        <v/>
      </c>
      <c r="AH256" s="13" t="str">
        <f aca="false">IF(COUNTIF(AB256:AG256,"Y")&gt;0,"EXCEPTION","NO EXCEPTION IDENTIFIED")</f>
        <v>NO EXCEPTION IDENTIFIED</v>
      </c>
      <c r="AI256" s="16" t="s">
        <v>156</v>
      </c>
      <c r="AJ256" s="16" t="s">
        <v>1641</v>
      </c>
    </row>
    <row r="257" customFormat="false" ht="20.85" hidden="false" customHeight="false" outlineLevel="0" collapsed="false">
      <c r="A257" s="9" t="s">
        <v>1642</v>
      </c>
      <c r="B257" s="10" t="n">
        <v>46043</v>
      </c>
      <c r="C257" s="9" t="s">
        <v>1643</v>
      </c>
      <c r="D257" s="9" t="s">
        <v>1644</v>
      </c>
      <c r="E257" s="9" t="n">
        <v>435</v>
      </c>
      <c r="F257" s="10" t="n">
        <v>44958</v>
      </c>
      <c r="G257" s="9" t="n">
        <f aca="false">B257-F257</f>
        <v>1085</v>
      </c>
      <c r="H257" s="9" t="s">
        <v>1645</v>
      </c>
      <c r="I257" s="9" t="s">
        <v>154</v>
      </c>
      <c r="J257" s="9" t="s">
        <v>155</v>
      </c>
      <c r="K257" s="9" t="s">
        <v>146</v>
      </c>
      <c r="L257" s="11" t="n">
        <v>70</v>
      </c>
      <c r="M257" s="9" t="s">
        <v>136</v>
      </c>
      <c r="N257" s="9" t="s">
        <v>137</v>
      </c>
      <c r="O257" s="9" t="s">
        <v>117</v>
      </c>
      <c r="P257" s="9" t="s">
        <v>128</v>
      </c>
      <c r="Q257" s="9" t="s">
        <v>119</v>
      </c>
      <c r="R257" s="9" t="s">
        <v>120</v>
      </c>
      <c r="S257" s="9"/>
      <c r="T257" s="10"/>
      <c r="U257" s="9"/>
      <c r="V257" s="9"/>
      <c r="W257" s="10"/>
      <c r="X257" s="9"/>
      <c r="Y257" s="9"/>
      <c r="Z257" s="11"/>
      <c r="AA257" s="11" t="n">
        <v>39.3</v>
      </c>
      <c r="AB257" s="9" t="str">
        <f aca="false">IF(B257&lt;F257,"Y","")</f>
        <v/>
      </c>
      <c r="AC257" s="9" t="str">
        <f aca="false">IF(O257&lt;&gt;"Y","Y","")</f>
        <v/>
      </c>
      <c r="AD257" s="9" t="str">
        <f aca="false">IF(AND(M257="declined-prior-offer",S257=""),"Y","")</f>
        <v/>
      </c>
      <c r="AE257" s="9" t="str">
        <f aca="false">IF(OR(R257&lt;&gt;"MATCH",ISNUMBER(SEARCH("conflict",Q257))),"Y","")</f>
        <v/>
      </c>
      <c r="AF257" s="9" t="str">
        <f aca="false">IF(AND(ISNUMBER(Z257),ABS(Z257-AA257)&gt;0.001),"Y","")</f>
        <v/>
      </c>
      <c r="AG257" s="9" t="str">
        <f aca="false">IF(AND(W257&lt;&gt;"",Y257&lt;&gt;"ACCEPTED"),"Y","")</f>
        <v/>
      </c>
      <c r="AH257" s="9" t="str">
        <f aca="false">IF(COUNTIF(AB257:AG257,"Y")&gt;0,"EXCEPTION","NO EXCEPTION IDENTIFIED")</f>
        <v>NO EXCEPTION IDENTIFIED</v>
      </c>
      <c r="AI257" s="12" t="s">
        <v>156</v>
      </c>
      <c r="AJ257" s="12" t="s">
        <v>1646</v>
      </c>
    </row>
    <row r="258" customFormat="false" ht="20.85" hidden="false" customHeight="false" outlineLevel="0" collapsed="false">
      <c r="A258" s="13" t="s">
        <v>1647</v>
      </c>
      <c r="B258" s="14" t="n">
        <v>46049</v>
      </c>
      <c r="C258" s="13" t="s">
        <v>1648</v>
      </c>
      <c r="D258" s="13" t="s">
        <v>1649</v>
      </c>
      <c r="E258" s="13" t="n">
        <v>2197</v>
      </c>
      <c r="F258" s="14" t="n">
        <v>45798</v>
      </c>
      <c r="G258" s="13" t="n">
        <f aca="false">B258-F258</f>
        <v>251</v>
      </c>
      <c r="H258" s="13" t="s">
        <v>1650</v>
      </c>
      <c r="I258" s="13" t="s">
        <v>1651</v>
      </c>
      <c r="J258" s="13" t="s">
        <v>113</v>
      </c>
      <c r="K258" s="13" t="s">
        <v>114</v>
      </c>
      <c r="L258" s="15" t="n">
        <v>24</v>
      </c>
      <c r="M258" s="13" t="s">
        <v>169</v>
      </c>
      <c r="N258" s="13" t="s">
        <v>170</v>
      </c>
      <c r="O258" s="13" t="s">
        <v>117</v>
      </c>
      <c r="P258" s="13" t="s">
        <v>178</v>
      </c>
      <c r="Q258" s="13" t="s">
        <v>119</v>
      </c>
      <c r="R258" s="13" t="s">
        <v>120</v>
      </c>
      <c r="S258" s="13"/>
      <c r="T258" s="14"/>
      <c r="U258" s="13"/>
      <c r="V258" s="13"/>
      <c r="W258" s="14"/>
      <c r="X258" s="13"/>
      <c r="Y258" s="13"/>
      <c r="Z258" s="15"/>
      <c r="AA258" s="15" t="n">
        <v>23</v>
      </c>
      <c r="AB258" s="13" t="str">
        <f aca="false">IF(B258&lt;F258,"Y","")</f>
        <v/>
      </c>
      <c r="AC258" s="13" t="str">
        <f aca="false">IF(O258&lt;&gt;"Y","Y","")</f>
        <v/>
      </c>
      <c r="AD258" s="13" t="str">
        <f aca="false">IF(AND(M258="declined-prior-offer",S258=""),"Y","")</f>
        <v>Y</v>
      </c>
      <c r="AE258" s="13" t="str">
        <f aca="false">IF(OR(R258&lt;&gt;"MATCH",ISNUMBER(SEARCH("conflict",Q258))),"Y","")</f>
        <v/>
      </c>
      <c r="AF258" s="13" t="str">
        <f aca="false">IF(AND(ISNUMBER(Z258),ABS(Z258-AA258)&gt;0.001),"Y","")</f>
        <v/>
      </c>
      <c r="AG258" s="13" t="str">
        <f aca="false">IF(AND(W258&lt;&gt;"",Y258&lt;&gt;"ACCEPTED"),"Y","")</f>
        <v/>
      </c>
      <c r="AH258" s="13" t="str">
        <f aca="false">IF(COUNTIF(AB258:AG258,"Y")&gt;0,"EXCEPTION","NO EXCEPTION IDENTIFIED")</f>
        <v>EXCEPTION</v>
      </c>
      <c r="AI258" s="16" t="s">
        <v>229</v>
      </c>
      <c r="AJ258" s="16" t="s">
        <v>1652</v>
      </c>
    </row>
    <row r="259" customFormat="false" ht="20.85" hidden="false" customHeight="false" outlineLevel="0" collapsed="false">
      <c r="A259" s="9" t="s">
        <v>1653</v>
      </c>
      <c r="B259" s="10" t="n">
        <v>46060</v>
      </c>
      <c r="C259" s="9" t="s">
        <v>330</v>
      </c>
      <c r="D259" s="9" t="s">
        <v>331</v>
      </c>
      <c r="E259" s="9" t="n">
        <v>2816</v>
      </c>
      <c r="F259" s="10" t="n">
        <v>46141</v>
      </c>
      <c r="G259" s="9" t="n">
        <f aca="false">B259-F259</f>
        <v>-81</v>
      </c>
      <c r="H259" s="9" t="s">
        <v>1654</v>
      </c>
      <c r="I259" s="9" t="s">
        <v>653</v>
      </c>
      <c r="J259" s="9" t="s">
        <v>145</v>
      </c>
      <c r="K259" s="9" t="s">
        <v>146</v>
      </c>
      <c r="L259" s="11" t="n">
        <v>32</v>
      </c>
      <c r="M259" s="9" t="s">
        <v>115</v>
      </c>
      <c r="N259" s="9" t="s">
        <v>116</v>
      </c>
      <c r="O259" s="9" t="s">
        <v>117</v>
      </c>
      <c r="P259" s="9" t="s">
        <v>138</v>
      </c>
      <c r="Q259" s="9" t="s">
        <v>119</v>
      </c>
      <c r="R259" s="9" t="s">
        <v>120</v>
      </c>
      <c r="S259" s="9"/>
      <c r="T259" s="10"/>
      <c r="U259" s="9"/>
      <c r="V259" s="9"/>
      <c r="W259" s="10"/>
      <c r="X259" s="9"/>
      <c r="Y259" s="9"/>
      <c r="Z259" s="11"/>
      <c r="AA259" s="11" t="n">
        <v>25.7</v>
      </c>
      <c r="AB259" s="9" t="str">
        <f aca="false">IF(B259&lt;F259,"Y","")</f>
        <v>Y</v>
      </c>
      <c r="AC259" s="9" t="str">
        <f aca="false">IF(O259&lt;&gt;"Y","Y","")</f>
        <v/>
      </c>
      <c r="AD259" s="9" t="str">
        <f aca="false">IF(AND(M259="declined-prior-offer",S259=""),"Y","")</f>
        <v/>
      </c>
      <c r="AE259" s="9" t="str">
        <f aca="false">IF(OR(R259&lt;&gt;"MATCH",ISNUMBER(SEARCH("conflict",Q259))),"Y","")</f>
        <v/>
      </c>
      <c r="AF259" s="9" t="str">
        <f aca="false">IF(AND(ISNUMBER(Z259),ABS(Z259-AA259)&gt;0.001),"Y","")</f>
        <v/>
      </c>
      <c r="AG259" s="9" t="str">
        <f aca="false">IF(AND(W259&lt;&gt;"",Y259&lt;&gt;"ACCEPTED"),"Y","")</f>
        <v/>
      </c>
      <c r="AH259" s="9" t="str">
        <f aca="false">IF(COUNTIF(AB259:AG259,"Y")&gt;0,"EXCEPTION","NO EXCEPTION IDENTIFIED")</f>
        <v>EXCEPTION</v>
      </c>
      <c r="AI259" s="12" t="s">
        <v>121</v>
      </c>
      <c r="AJ259" s="12" t="s">
        <v>1655</v>
      </c>
    </row>
    <row r="260" customFormat="false" ht="20.85" hidden="false" customHeight="false" outlineLevel="0" collapsed="false">
      <c r="A260" s="13" t="s">
        <v>1656</v>
      </c>
      <c r="B260" s="14" t="n">
        <v>46067</v>
      </c>
      <c r="C260" s="13" t="s">
        <v>1657</v>
      </c>
      <c r="D260" s="13" t="s">
        <v>1658</v>
      </c>
      <c r="E260" s="13" t="n">
        <v>605</v>
      </c>
      <c r="F260" s="14" t="n">
        <v>45066</v>
      </c>
      <c r="G260" s="13" t="n">
        <f aca="false">B260-F260</f>
        <v>1001</v>
      </c>
      <c r="H260" s="13" t="s">
        <v>1659</v>
      </c>
      <c r="I260" s="13" t="s">
        <v>1660</v>
      </c>
      <c r="J260" s="13" t="s">
        <v>135</v>
      </c>
      <c r="K260" s="13" t="s">
        <v>114</v>
      </c>
      <c r="L260" s="15" t="n">
        <v>40</v>
      </c>
      <c r="M260" s="13" t="s">
        <v>185</v>
      </c>
      <c r="N260" s="13" t="s">
        <v>186</v>
      </c>
      <c r="O260" s="13" t="s">
        <v>117</v>
      </c>
      <c r="P260" s="13" t="s">
        <v>178</v>
      </c>
      <c r="Q260" s="13" t="s">
        <v>119</v>
      </c>
      <c r="R260" s="13" t="s">
        <v>120</v>
      </c>
      <c r="S260" s="13" t="s">
        <v>1661</v>
      </c>
      <c r="T260" s="14" t="n">
        <v>44573</v>
      </c>
      <c r="U260" s="13" t="s">
        <v>1662</v>
      </c>
      <c r="V260" s="13" t="s">
        <v>1501</v>
      </c>
      <c r="W260" s="14"/>
      <c r="X260" s="13"/>
      <c r="Y260" s="13"/>
      <c r="Z260" s="15"/>
      <c r="AA260" s="15" t="n">
        <v>32.6</v>
      </c>
      <c r="AB260" s="13" t="str">
        <f aca="false">IF(B260&lt;F260,"Y","")</f>
        <v/>
      </c>
      <c r="AC260" s="13" t="str">
        <f aca="false">IF(O260&lt;&gt;"Y","Y","")</f>
        <v/>
      </c>
      <c r="AD260" s="13" t="str">
        <f aca="false">IF(AND(M260="declined-prior-offer",S260=""),"Y","")</f>
        <v/>
      </c>
      <c r="AE260" s="13" t="str">
        <f aca="false">IF(OR(R260&lt;&gt;"MATCH",ISNUMBER(SEARCH("conflict",Q260))),"Y","")</f>
        <v/>
      </c>
      <c r="AF260" s="13" t="str">
        <f aca="false">IF(AND(ISNUMBER(Z260),ABS(Z260-AA260)&gt;0.001),"Y","")</f>
        <v/>
      </c>
      <c r="AG260" s="13" t="str">
        <f aca="false">IF(AND(W260&lt;&gt;"",Y260&lt;&gt;"ACCEPTED"),"Y","")</f>
        <v/>
      </c>
      <c r="AH260" s="13" t="str">
        <f aca="false">IF(COUNTIF(AB260:AG260,"Y")&gt;0,"EXCEPTION","NO EXCEPTION IDENTIFIED")</f>
        <v>NO EXCEPTION IDENTIFIED</v>
      </c>
      <c r="AI260" s="16" t="s">
        <v>156</v>
      </c>
      <c r="AJ260" s="16" t="s">
        <v>1663</v>
      </c>
    </row>
    <row r="261" customFormat="false" ht="20.85" hidden="false" customHeight="false" outlineLevel="0" collapsed="false">
      <c r="A261" s="9" t="s">
        <v>1664</v>
      </c>
      <c r="B261" s="10" t="n">
        <v>46075</v>
      </c>
      <c r="C261" s="9" t="s">
        <v>1665</v>
      </c>
      <c r="D261" s="9" t="s">
        <v>1666</v>
      </c>
      <c r="E261" s="9" t="n">
        <v>2817</v>
      </c>
      <c r="F261" s="10" t="n">
        <v>46141</v>
      </c>
      <c r="G261" s="9" t="n">
        <f aca="false">B261-F261</f>
        <v>-66</v>
      </c>
      <c r="H261" s="9" t="s">
        <v>1667</v>
      </c>
      <c r="I261" s="9" t="s">
        <v>1668</v>
      </c>
      <c r="J261" s="9" t="s">
        <v>204</v>
      </c>
      <c r="K261" s="9" t="s">
        <v>146</v>
      </c>
      <c r="L261" s="11" t="n">
        <v>32</v>
      </c>
      <c r="M261" s="9" t="s">
        <v>115</v>
      </c>
      <c r="N261" s="9" t="s">
        <v>116</v>
      </c>
      <c r="O261" s="9" t="s">
        <v>117</v>
      </c>
      <c r="P261" s="9" t="s">
        <v>128</v>
      </c>
      <c r="Q261" s="9" t="s">
        <v>119</v>
      </c>
      <c r="R261" s="9" t="s">
        <v>120</v>
      </c>
      <c r="S261" s="9"/>
      <c r="T261" s="10"/>
      <c r="U261" s="9"/>
      <c r="V261" s="9"/>
      <c r="W261" s="10"/>
      <c r="X261" s="9"/>
      <c r="Y261" s="9"/>
      <c r="Z261" s="11"/>
      <c r="AA261" s="11" t="n">
        <v>38.5</v>
      </c>
      <c r="AB261" s="9" t="str">
        <f aca="false">IF(B261&lt;F261,"Y","")</f>
        <v>Y</v>
      </c>
      <c r="AC261" s="9" t="str">
        <f aca="false">IF(O261&lt;&gt;"Y","Y","")</f>
        <v/>
      </c>
      <c r="AD261" s="9" t="str">
        <f aca="false">IF(AND(M261="declined-prior-offer",S261=""),"Y","")</f>
        <v/>
      </c>
      <c r="AE261" s="9" t="str">
        <f aca="false">IF(OR(R261&lt;&gt;"MATCH",ISNUMBER(SEARCH("conflict",Q261))),"Y","")</f>
        <v/>
      </c>
      <c r="AF261" s="9" t="str">
        <f aca="false">IF(AND(ISNUMBER(Z261),ABS(Z261-AA261)&gt;0.001),"Y","")</f>
        <v/>
      </c>
      <c r="AG261" s="9" t="str">
        <f aca="false">IF(AND(W261&lt;&gt;"",Y261&lt;&gt;"ACCEPTED"),"Y","")</f>
        <v/>
      </c>
      <c r="AH261" s="9" t="str">
        <f aca="false">IF(COUNTIF(AB261:AG261,"Y")&gt;0,"EXCEPTION","NO EXCEPTION IDENTIFIED")</f>
        <v>EXCEPTION</v>
      </c>
      <c r="AI261" s="12" t="s">
        <v>121</v>
      </c>
      <c r="AJ261" s="12" t="s">
        <v>1669</v>
      </c>
    </row>
    <row r="262" customFormat="false" ht="20.85" hidden="false" customHeight="false" outlineLevel="0" collapsed="false">
      <c r="A262" s="13" t="s">
        <v>1670</v>
      </c>
      <c r="B262" s="14" t="n">
        <v>46075</v>
      </c>
      <c r="C262" s="13" t="s">
        <v>1671</v>
      </c>
      <c r="D262" s="13" t="s">
        <v>1672</v>
      </c>
      <c r="E262" s="13" t="n">
        <v>550</v>
      </c>
      <c r="F262" s="14" t="n">
        <v>45028</v>
      </c>
      <c r="G262" s="13" t="n">
        <f aca="false">B262-F262</f>
        <v>1047</v>
      </c>
      <c r="H262" s="13" t="s">
        <v>1673</v>
      </c>
      <c r="I262" s="13" t="s">
        <v>1177</v>
      </c>
      <c r="J262" s="13" t="s">
        <v>145</v>
      </c>
      <c r="K262" s="13" t="s">
        <v>146</v>
      </c>
      <c r="L262" s="15" t="n">
        <v>24</v>
      </c>
      <c r="M262" s="13" t="s">
        <v>115</v>
      </c>
      <c r="N262" s="13" t="s">
        <v>116</v>
      </c>
      <c r="O262" s="13" t="s">
        <v>117</v>
      </c>
      <c r="P262" s="13" t="s">
        <v>118</v>
      </c>
      <c r="Q262" s="13" t="s">
        <v>119</v>
      </c>
      <c r="R262" s="13" t="s">
        <v>120</v>
      </c>
      <c r="S262" s="13"/>
      <c r="T262" s="14"/>
      <c r="U262" s="13"/>
      <c r="V262" s="13"/>
      <c r="W262" s="14" t="n">
        <v>45474</v>
      </c>
      <c r="X262" s="13" t="s">
        <v>1674</v>
      </c>
      <c r="Y262" s="13" t="s">
        <v>374</v>
      </c>
      <c r="Z262" s="15" t="n">
        <v>43</v>
      </c>
      <c r="AA262" s="15" t="n">
        <v>41.8</v>
      </c>
      <c r="AB262" s="13" t="str">
        <f aca="false">IF(B262&lt;F262,"Y","")</f>
        <v/>
      </c>
      <c r="AC262" s="13" t="str">
        <f aca="false">IF(O262&lt;&gt;"Y","Y","")</f>
        <v/>
      </c>
      <c r="AD262" s="13" t="str">
        <f aca="false">IF(AND(M262="declined-prior-offer",S262=""),"Y","")</f>
        <v/>
      </c>
      <c r="AE262" s="13" t="str">
        <f aca="false">IF(OR(R262&lt;&gt;"MATCH",ISNUMBER(SEARCH("conflict",Q262))),"Y","")</f>
        <v/>
      </c>
      <c r="AF262" s="13" t="str">
        <f aca="false">IF(AND(ISNUMBER(Z262),ABS(Z262-AA262)&gt;0.001),"Y","")</f>
        <v>Y</v>
      </c>
      <c r="AG262" s="13" t="str">
        <f aca="false">IF(AND(W262&lt;&gt;"",Y262&lt;&gt;"ACCEPTED"),"Y","")</f>
        <v/>
      </c>
      <c r="AH262" s="13" t="str">
        <f aca="false">IF(COUNTIF(AB262:AG262,"Y")&gt;0,"EXCEPTION","NO EXCEPTION IDENTIFIED")</f>
        <v>EXCEPTION</v>
      </c>
      <c r="AI262" s="16" t="s">
        <v>578</v>
      </c>
      <c r="AJ262" s="16" t="s">
        <v>1675</v>
      </c>
    </row>
    <row r="263" customFormat="false" ht="20.85" hidden="false" customHeight="false" outlineLevel="0" collapsed="false">
      <c r="A263" s="9" t="s">
        <v>1676</v>
      </c>
      <c r="B263" s="10" t="n">
        <v>46075</v>
      </c>
      <c r="C263" s="9" t="s">
        <v>1677</v>
      </c>
      <c r="D263" s="9" t="s">
        <v>1678</v>
      </c>
      <c r="E263" s="9" t="n">
        <v>1930</v>
      </c>
      <c r="F263" s="10" t="n">
        <v>45681</v>
      </c>
      <c r="G263" s="9" t="n">
        <f aca="false">B263-F263</f>
        <v>394</v>
      </c>
      <c r="H263" s="9" t="s">
        <v>1679</v>
      </c>
      <c r="I263" s="9" t="s">
        <v>1680</v>
      </c>
      <c r="J263" s="9" t="s">
        <v>113</v>
      </c>
      <c r="K263" s="9" t="s">
        <v>114</v>
      </c>
      <c r="L263" s="11" t="n">
        <v>32</v>
      </c>
      <c r="M263" s="9" t="s">
        <v>169</v>
      </c>
      <c r="N263" s="9" t="s">
        <v>170</v>
      </c>
      <c r="O263" s="9" t="s">
        <v>117</v>
      </c>
      <c r="P263" s="9" t="s">
        <v>118</v>
      </c>
      <c r="Q263" s="9" t="s">
        <v>119</v>
      </c>
      <c r="R263" s="9" t="s">
        <v>120</v>
      </c>
      <c r="S263" s="9"/>
      <c r="T263" s="10"/>
      <c r="U263" s="9"/>
      <c r="V263" s="9"/>
      <c r="W263" s="10"/>
      <c r="X263" s="9"/>
      <c r="Y263" s="9"/>
      <c r="Z263" s="11"/>
      <c r="AA263" s="11" t="n">
        <v>33.7</v>
      </c>
      <c r="AB263" s="9" t="str">
        <f aca="false">IF(B263&lt;F263,"Y","")</f>
        <v/>
      </c>
      <c r="AC263" s="9" t="str">
        <f aca="false">IF(O263&lt;&gt;"Y","Y","")</f>
        <v/>
      </c>
      <c r="AD263" s="9" t="str">
        <f aca="false">IF(AND(M263="declined-prior-offer",S263=""),"Y","")</f>
        <v>Y</v>
      </c>
      <c r="AE263" s="9" t="str">
        <f aca="false">IF(OR(R263&lt;&gt;"MATCH",ISNUMBER(SEARCH("conflict",Q263))),"Y","")</f>
        <v/>
      </c>
      <c r="AF263" s="9" t="str">
        <f aca="false">IF(AND(ISNUMBER(Z263),ABS(Z263-AA263)&gt;0.001),"Y","")</f>
        <v/>
      </c>
      <c r="AG263" s="9" t="str">
        <f aca="false">IF(AND(W263&lt;&gt;"",Y263&lt;&gt;"ACCEPTED"),"Y","")</f>
        <v/>
      </c>
      <c r="AH263" s="9" t="str">
        <f aca="false">IF(COUNTIF(AB263:AG263,"Y")&gt;0,"EXCEPTION","NO EXCEPTION IDENTIFIED")</f>
        <v>EXCEPTION</v>
      </c>
      <c r="AI263" s="12" t="s">
        <v>229</v>
      </c>
      <c r="AJ263" s="12" t="s">
        <v>1681</v>
      </c>
    </row>
    <row r="264" customFormat="false" ht="20.85" hidden="false" customHeight="false" outlineLevel="0" collapsed="false">
      <c r="A264" s="13" t="s">
        <v>1682</v>
      </c>
      <c r="B264" s="14" t="n">
        <v>46080</v>
      </c>
      <c r="C264" s="13" t="s">
        <v>1683</v>
      </c>
      <c r="D264" s="13" t="s">
        <v>1684</v>
      </c>
      <c r="E264" s="13" t="n">
        <v>2653</v>
      </c>
      <c r="F264" s="14" t="n">
        <v>46033</v>
      </c>
      <c r="G264" s="13" t="n">
        <f aca="false">B264-F264</f>
        <v>47</v>
      </c>
      <c r="H264" s="13" t="s">
        <v>1685</v>
      </c>
      <c r="I264" s="13" t="s">
        <v>1686</v>
      </c>
      <c r="J264" s="13" t="s">
        <v>113</v>
      </c>
      <c r="K264" s="13" t="s">
        <v>114</v>
      </c>
      <c r="L264" s="15" t="n">
        <v>28</v>
      </c>
      <c r="M264" s="13" t="s">
        <v>115</v>
      </c>
      <c r="N264" s="13" t="s">
        <v>116</v>
      </c>
      <c r="O264" s="13" t="s">
        <v>117</v>
      </c>
      <c r="P264" s="13" t="s">
        <v>118</v>
      </c>
      <c r="Q264" s="13" t="s">
        <v>119</v>
      </c>
      <c r="R264" s="13" t="s">
        <v>120</v>
      </c>
      <c r="S264" s="13"/>
      <c r="T264" s="14"/>
      <c r="U264" s="13"/>
      <c r="V264" s="13"/>
      <c r="W264" s="14"/>
      <c r="X264" s="13"/>
      <c r="Y264" s="13"/>
      <c r="Z264" s="15"/>
      <c r="AA264" s="15" t="n">
        <v>57.9</v>
      </c>
      <c r="AB264" s="13" t="str">
        <f aca="false">IF(B264&lt;F264,"Y","")</f>
        <v/>
      </c>
      <c r="AC264" s="13" t="str">
        <f aca="false">IF(O264&lt;&gt;"Y","Y","")</f>
        <v/>
      </c>
      <c r="AD264" s="13" t="str">
        <f aca="false">IF(AND(M264="declined-prior-offer",S264=""),"Y","")</f>
        <v/>
      </c>
      <c r="AE264" s="13" t="str">
        <f aca="false">IF(OR(R264&lt;&gt;"MATCH",ISNUMBER(SEARCH("conflict",Q264))),"Y","")</f>
        <v/>
      </c>
      <c r="AF264" s="13" t="str">
        <f aca="false">IF(AND(ISNUMBER(Z264),ABS(Z264-AA264)&gt;0.001),"Y","")</f>
        <v/>
      </c>
      <c r="AG264" s="13" t="str">
        <f aca="false">IF(AND(W264&lt;&gt;"",Y264&lt;&gt;"ACCEPTED"),"Y","")</f>
        <v/>
      </c>
      <c r="AH264" s="13" t="str">
        <f aca="false">IF(COUNTIF(AB264:AG264,"Y")&gt;0,"EXCEPTION","NO EXCEPTION IDENTIFIED")</f>
        <v>NO EXCEPTION IDENTIFIED</v>
      </c>
      <c r="AI264" s="16" t="s">
        <v>156</v>
      </c>
      <c r="AJ264" s="16" t="s">
        <v>1687</v>
      </c>
    </row>
    <row r="265" customFormat="false" ht="20.85" hidden="false" customHeight="false" outlineLevel="0" collapsed="false">
      <c r="A265" s="9" t="s">
        <v>1688</v>
      </c>
      <c r="B265" s="10" t="n">
        <v>46093</v>
      </c>
      <c r="C265" s="9" t="s">
        <v>1689</v>
      </c>
      <c r="D265" s="9" t="s">
        <v>1690</v>
      </c>
      <c r="E265" s="9" t="n">
        <v>38</v>
      </c>
      <c r="F265" s="10" t="n">
        <v>44647</v>
      </c>
      <c r="G265" s="9" t="n">
        <f aca="false">B265-F265</f>
        <v>1446</v>
      </c>
      <c r="H265" s="9" t="s">
        <v>1691</v>
      </c>
      <c r="I265" s="9" t="s">
        <v>1692</v>
      </c>
      <c r="J265" s="9" t="s">
        <v>155</v>
      </c>
      <c r="K265" s="9" t="s">
        <v>146</v>
      </c>
      <c r="L265" s="11" t="n">
        <v>60</v>
      </c>
      <c r="M265" s="9" t="s">
        <v>136</v>
      </c>
      <c r="N265" s="9" t="s">
        <v>137</v>
      </c>
      <c r="O265" s="9" t="s">
        <v>117</v>
      </c>
      <c r="P265" s="9" t="s">
        <v>118</v>
      </c>
      <c r="Q265" s="9" t="s">
        <v>119</v>
      </c>
      <c r="R265" s="9" t="s">
        <v>120</v>
      </c>
      <c r="S265" s="9"/>
      <c r="T265" s="10"/>
      <c r="U265" s="9"/>
      <c r="V265" s="9"/>
      <c r="W265" s="10"/>
      <c r="X265" s="9"/>
      <c r="Y265" s="9"/>
      <c r="Z265" s="11"/>
      <c r="AA265" s="11" t="n">
        <v>48.4</v>
      </c>
      <c r="AB265" s="9" t="str">
        <f aca="false">IF(B265&lt;F265,"Y","")</f>
        <v/>
      </c>
      <c r="AC265" s="9" t="str">
        <f aca="false">IF(O265&lt;&gt;"Y","Y","")</f>
        <v/>
      </c>
      <c r="AD265" s="9" t="str">
        <f aca="false">IF(AND(M265="declined-prior-offer",S265=""),"Y","")</f>
        <v/>
      </c>
      <c r="AE265" s="9" t="str">
        <f aca="false">IF(OR(R265&lt;&gt;"MATCH",ISNUMBER(SEARCH("conflict",Q265))),"Y","")</f>
        <v/>
      </c>
      <c r="AF265" s="9" t="str">
        <f aca="false">IF(AND(ISNUMBER(Z265),ABS(Z265-AA265)&gt;0.001),"Y","")</f>
        <v/>
      </c>
      <c r="AG265" s="9" t="str">
        <f aca="false">IF(AND(W265&lt;&gt;"",Y265&lt;&gt;"ACCEPTED"),"Y","")</f>
        <v/>
      </c>
      <c r="AH265" s="9" t="str">
        <f aca="false">IF(COUNTIF(AB265:AG265,"Y")&gt;0,"EXCEPTION","NO EXCEPTION IDENTIFIED")</f>
        <v>NO EXCEPTION IDENTIFIED</v>
      </c>
      <c r="AI265" s="12" t="s">
        <v>156</v>
      </c>
      <c r="AJ265" s="12" t="s">
        <v>1693</v>
      </c>
    </row>
    <row r="266" customFormat="false" ht="20.85" hidden="false" customHeight="false" outlineLevel="0" collapsed="false">
      <c r="A266" s="13" t="s">
        <v>1694</v>
      </c>
      <c r="B266" s="14" t="n">
        <v>46094</v>
      </c>
      <c r="C266" s="13" t="s">
        <v>1695</v>
      </c>
      <c r="D266" s="13" t="s">
        <v>1696</v>
      </c>
      <c r="E266" s="13" t="n">
        <v>2279</v>
      </c>
      <c r="F266" s="14" t="n">
        <v>45841</v>
      </c>
      <c r="G266" s="13" t="n">
        <f aca="false">B266-F266</f>
        <v>253</v>
      </c>
      <c r="H266" s="13" t="s">
        <v>1697</v>
      </c>
      <c r="I266" s="13" t="s">
        <v>693</v>
      </c>
      <c r="J266" s="13" t="s">
        <v>145</v>
      </c>
      <c r="K266" s="13" t="s">
        <v>146</v>
      </c>
      <c r="L266" s="15" t="n">
        <v>24</v>
      </c>
      <c r="M266" s="13" t="s">
        <v>115</v>
      </c>
      <c r="N266" s="13" t="s">
        <v>116</v>
      </c>
      <c r="O266" s="13" t="s">
        <v>117</v>
      </c>
      <c r="P266" s="13" t="s">
        <v>128</v>
      </c>
      <c r="Q266" s="13" t="s">
        <v>119</v>
      </c>
      <c r="R266" s="13" t="s">
        <v>120</v>
      </c>
      <c r="S266" s="13"/>
      <c r="T266" s="14"/>
      <c r="U266" s="13"/>
      <c r="V266" s="13"/>
      <c r="W266" s="14"/>
      <c r="X266" s="13"/>
      <c r="Y266" s="13"/>
      <c r="Z266" s="15"/>
      <c r="AA266" s="15" t="n">
        <v>51.4</v>
      </c>
      <c r="AB266" s="13" t="str">
        <f aca="false">IF(B266&lt;F266,"Y","")</f>
        <v/>
      </c>
      <c r="AC266" s="13" t="str">
        <f aca="false">IF(O266&lt;&gt;"Y","Y","")</f>
        <v/>
      </c>
      <c r="AD266" s="13" t="str">
        <f aca="false">IF(AND(M266="declined-prior-offer",S266=""),"Y","")</f>
        <v/>
      </c>
      <c r="AE266" s="13" t="str">
        <f aca="false">IF(OR(R266&lt;&gt;"MATCH",ISNUMBER(SEARCH("conflict",Q266))),"Y","")</f>
        <v/>
      </c>
      <c r="AF266" s="13" t="str">
        <f aca="false">IF(AND(ISNUMBER(Z266),ABS(Z266-AA266)&gt;0.001),"Y","")</f>
        <v/>
      </c>
      <c r="AG266" s="13" t="str">
        <f aca="false">IF(AND(W266&lt;&gt;"",Y266&lt;&gt;"ACCEPTED"),"Y","")</f>
        <v/>
      </c>
      <c r="AH266" s="13" t="str">
        <f aca="false">IF(COUNTIF(AB266:AG266,"Y")&gt;0,"EXCEPTION","NO EXCEPTION IDENTIFIED")</f>
        <v>NO EXCEPTION IDENTIFIED</v>
      </c>
      <c r="AI266" s="16" t="s">
        <v>156</v>
      </c>
      <c r="AJ266" s="16" t="s">
        <v>1698</v>
      </c>
    </row>
    <row r="267" customFormat="false" ht="20.85" hidden="false" customHeight="false" outlineLevel="0" collapsed="false">
      <c r="A267" s="9" t="s">
        <v>1699</v>
      </c>
      <c r="B267" s="10" t="n">
        <v>46096</v>
      </c>
      <c r="C267" s="9" t="s">
        <v>1700</v>
      </c>
      <c r="D267" s="9" t="s">
        <v>1701</v>
      </c>
      <c r="E267" s="9" t="n">
        <v>1306</v>
      </c>
      <c r="F267" s="10" t="n">
        <v>45410</v>
      </c>
      <c r="G267" s="9" t="n">
        <f aca="false">B267-F267</f>
        <v>686</v>
      </c>
      <c r="H267" s="9" t="s">
        <v>1702</v>
      </c>
      <c r="I267" s="9" t="s">
        <v>1703</v>
      </c>
      <c r="J267" s="9" t="s">
        <v>204</v>
      </c>
      <c r="K267" s="9" t="s">
        <v>146</v>
      </c>
      <c r="L267" s="11" t="n">
        <v>28</v>
      </c>
      <c r="M267" s="9" t="s">
        <v>136</v>
      </c>
      <c r="N267" s="9" t="s">
        <v>137</v>
      </c>
      <c r="O267" s="9" t="s">
        <v>117</v>
      </c>
      <c r="P267" s="9" t="s">
        <v>128</v>
      </c>
      <c r="Q267" s="9" t="s">
        <v>119</v>
      </c>
      <c r="R267" s="9" t="s">
        <v>120</v>
      </c>
      <c r="S267" s="9"/>
      <c r="T267" s="10"/>
      <c r="U267" s="9"/>
      <c r="V267" s="9"/>
      <c r="W267" s="10"/>
      <c r="X267" s="9"/>
      <c r="Y267" s="9"/>
      <c r="Z267" s="11"/>
      <c r="AA267" s="11" t="n">
        <v>18.8</v>
      </c>
      <c r="AB267" s="9" t="str">
        <f aca="false">IF(B267&lt;F267,"Y","")</f>
        <v/>
      </c>
      <c r="AC267" s="9" t="str">
        <f aca="false">IF(O267&lt;&gt;"Y","Y","")</f>
        <v/>
      </c>
      <c r="AD267" s="9" t="str">
        <f aca="false">IF(AND(M267="declined-prior-offer",S267=""),"Y","")</f>
        <v/>
      </c>
      <c r="AE267" s="9" t="str">
        <f aca="false">IF(OR(R267&lt;&gt;"MATCH",ISNUMBER(SEARCH("conflict",Q267))),"Y","")</f>
        <v/>
      </c>
      <c r="AF267" s="9" t="str">
        <f aca="false">IF(AND(ISNUMBER(Z267),ABS(Z267-AA267)&gt;0.001),"Y","")</f>
        <v/>
      </c>
      <c r="AG267" s="9" t="str">
        <f aca="false">IF(AND(W267&lt;&gt;"",Y267&lt;&gt;"ACCEPTED"),"Y","")</f>
        <v/>
      </c>
      <c r="AH267" s="9" t="str">
        <f aca="false">IF(COUNTIF(AB267:AG267,"Y")&gt;0,"EXCEPTION","NO EXCEPTION IDENTIFIED")</f>
        <v>NO EXCEPTION IDENTIFIED</v>
      </c>
      <c r="AI267" s="12" t="s">
        <v>156</v>
      </c>
      <c r="AJ267" s="12" t="s">
        <v>1704</v>
      </c>
    </row>
    <row r="268" customFormat="false" ht="20.85" hidden="false" customHeight="false" outlineLevel="0" collapsed="false">
      <c r="A268" s="13" t="s">
        <v>1705</v>
      </c>
      <c r="B268" s="14" t="n">
        <v>46099</v>
      </c>
      <c r="C268" s="13" t="s">
        <v>1706</v>
      </c>
      <c r="D268" s="13" t="s">
        <v>1707</v>
      </c>
      <c r="E268" s="13" t="n">
        <v>1417</v>
      </c>
      <c r="F268" s="14" t="n">
        <v>45460</v>
      </c>
      <c r="G268" s="13" t="n">
        <f aca="false">B268-F268</f>
        <v>639</v>
      </c>
      <c r="H268" s="13" t="s">
        <v>1708</v>
      </c>
      <c r="I268" s="13" t="s">
        <v>1709</v>
      </c>
      <c r="J268" s="13" t="s">
        <v>155</v>
      </c>
      <c r="K268" s="13" t="s">
        <v>146</v>
      </c>
      <c r="L268" s="15" t="n">
        <v>80</v>
      </c>
      <c r="M268" s="13" t="s">
        <v>169</v>
      </c>
      <c r="N268" s="13" t="s">
        <v>170</v>
      </c>
      <c r="O268" s="13" t="s">
        <v>117</v>
      </c>
      <c r="P268" s="13" t="s">
        <v>118</v>
      </c>
      <c r="Q268" s="13" t="s">
        <v>119</v>
      </c>
      <c r="R268" s="13" t="s">
        <v>120</v>
      </c>
      <c r="S268" s="13"/>
      <c r="T268" s="14"/>
      <c r="U268" s="13"/>
      <c r="V268" s="13"/>
      <c r="W268" s="14"/>
      <c r="X268" s="13"/>
      <c r="Y268" s="13"/>
      <c r="Z268" s="15"/>
      <c r="AA268" s="15" t="n">
        <v>48.3</v>
      </c>
      <c r="AB268" s="13" t="str">
        <f aca="false">IF(B268&lt;F268,"Y","")</f>
        <v/>
      </c>
      <c r="AC268" s="13" t="str">
        <f aca="false">IF(O268&lt;&gt;"Y","Y","")</f>
        <v/>
      </c>
      <c r="AD268" s="13" t="str">
        <f aca="false">IF(AND(M268="declined-prior-offer",S268=""),"Y","")</f>
        <v>Y</v>
      </c>
      <c r="AE268" s="13" t="str">
        <f aca="false">IF(OR(R268&lt;&gt;"MATCH",ISNUMBER(SEARCH("conflict",Q268))),"Y","")</f>
        <v/>
      </c>
      <c r="AF268" s="13" t="str">
        <f aca="false">IF(AND(ISNUMBER(Z268),ABS(Z268-AA268)&gt;0.001),"Y","")</f>
        <v/>
      </c>
      <c r="AG268" s="13" t="str">
        <f aca="false">IF(AND(W268&lt;&gt;"",Y268&lt;&gt;"ACCEPTED"),"Y","")</f>
        <v/>
      </c>
      <c r="AH268" s="13" t="str">
        <f aca="false">IF(COUNTIF(AB268:AG268,"Y")&gt;0,"EXCEPTION","NO EXCEPTION IDENTIFIED")</f>
        <v>EXCEPTION</v>
      </c>
      <c r="AI268" s="16" t="s">
        <v>229</v>
      </c>
      <c r="AJ268" s="16" t="s">
        <v>1710</v>
      </c>
    </row>
    <row r="269" customFormat="false" ht="20.85" hidden="false" customHeight="false" outlineLevel="0" collapsed="false">
      <c r="A269" s="9" t="s">
        <v>1711</v>
      </c>
      <c r="B269" s="10" t="n">
        <v>46107</v>
      </c>
      <c r="C269" s="9" t="s">
        <v>1712</v>
      </c>
      <c r="D269" s="9" t="s">
        <v>1713</v>
      </c>
      <c r="E269" s="9" t="n">
        <v>139</v>
      </c>
      <c r="F269" s="10" t="n">
        <v>44750</v>
      </c>
      <c r="G269" s="9" t="n">
        <f aca="false">B269-F269</f>
        <v>1357</v>
      </c>
      <c r="H269" s="9" t="s">
        <v>1714</v>
      </c>
      <c r="I269" s="9" t="s">
        <v>1715</v>
      </c>
      <c r="J269" s="9" t="s">
        <v>155</v>
      </c>
      <c r="K269" s="9" t="s">
        <v>146</v>
      </c>
      <c r="L269" s="11" t="n">
        <v>32</v>
      </c>
      <c r="M269" s="9" t="s">
        <v>115</v>
      </c>
      <c r="N269" s="9" t="s">
        <v>116</v>
      </c>
      <c r="O269" s="9" t="s">
        <v>117</v>
      </c>
      <c r="P269" s="9" t="s">
        <v>138</v>
      </c>
      <c r="Q269" s="9" t="s">
        <v>119</v>
      </c>
      <c r="R269" s="9" t="s">
        <v>120</v>
      </c>
      <c r="S269" s="9"/>
      <c r="T269" s="10"/>
      <c r="U269" s="9"/>
      <c r="V269" s="9"/>
      <c r="W269" s="10"/>
      <c r="X269" s="9"/>
      <c r="Y269" s="9"/>
      <c r="Z269" s="11"/>
      <c r="AA269" s="11" t="n">
        <v>50.5</v>
      </c>
      <c r="AB269" s="9" t="str">
        <f aca="false">IF(B269&lt;F269,"Y","")</f>
        <v/>
      </c>
      <c r="AC269" s="9" t="str">
        <f aca="false">IF(O269&lt;&gt;"Y","Y","")</f>
        <v/>
      </c>
      <c r="AD269" s="9" t="str">
        <f aca="false">IF(AND(M269="declined-prior-offer",S269=""),"Y","")</f>
        <v/>
      </c>
      <c r="AE269" s="9" t="str">
        <f aca="false">IF(OR(R269&lt;&gt;"MATCH",ISNUMBER(SEARCH("conflict",Q269))),"Y","")</f>
        <v/>
      </c>
      <c r="AF269" s="9" t="str">
        <f aca="false">IF(AND(ISNUMBER(Z269),ABS(Z269-AA269)&gt;0.001),"Y","")</f>
        <v/>
      </c>
      <c r="AG269" s="9" t="str">
        <f aca="false">IF(AND(W269&lt;&gt;"",Y269&lt;&gt;"ACCEPTED"),"Y","")</f>
        <v/>
      </c>
      <c r="AH269" s="9" t="str">
        <f aca="false">IF(COUNTIF(AB269:AG269,"Y")&gt;0,"EXCEPTION","NO EXCEPTION IDENTIFIED")</f>
        <v>NO EXCEPTION IDENTIFIED</v>
      </c>
      <c r="AI269" s="12" t="s">
        <v>156</v>
      </c>
      <c r="AJ269" s="12" t="s">
        <v>1716</v>
      </c>
    </row>
    <row r="270" customFormat="false" ht="20.85" hidden="false" customHeight="false" outlineLevel="0" collapsed="false">
      <c r="A270" s="13" t="s">
        <v>1717</v>
      </c>
      <c r="B270" s="14" t="n">
        <v>46107</v>
      </c>
      <c r="C270" s="13" t="s">
        <v>1718</v>
      </c>
      <c r="D270" s="13" t="s">
        <v>1719</v>
      </c>
      <c r="E270" s="13" t="n">
        <v>2305</v>
      </c>
      <c r="F270" s="14" t="n">
        <v>45856</v>
      </c>
      <c r="G270" s="13" t="n">
        <f aca="false">B270-F270</f>
        <v>251</v>
      </c>
      <c r="H270" s="13" t="s">
        <v>1720</v>
      </c>
      <c r="I270" s="13" t="s">
        <v>1721</v>
      </c>
      <c r="J270" s="13" t="s">
        <v>155</v>
      </c>
      <c r="K270" s="13" t="s">
        <v>146</v>
      </c>
      <c r="L270" s="15" t="n">
        <v>45</v>
      </c>
      <c r="M270" s="13" t="s">
        <v>169</v>
      </c>
      <c r="N270" s="13" t="s">
        <v>170</v>
      </c>
      <c r="O270" s="13" t="s">
        <v>117</v>
      </c>
      <c r="P270" s="13" t="s">
        <v>138</v>
      </c>
      <c r="Q270" s="13" t="s">
        <v>119</v>
      </c>
      <c r="R270" s="13" t="s">
        <v>120</v>
      </c>
      <c r="S270" s="13" t="s">
        <v>1722</v>
      </c>
      <c r="T270" s="14" t="n">
        <v>45861</v>
      </c>
      <c r="U270" s="13" t="s">
        <v>1723</v>
      </c>
      <c r="V270" s="13" t="s">
        <v>1501</v>
      </c>
      <c r="W270" s="14"/>
      <c r="X270" s="13"/>
      <c r="Y270" s="13"/>
      <c r="Z270" s="15"/>
      <c r="AA270" s="15" t="n">
        <v>52.9</v>
      </c>
      <c r="AB270" s="13" t="str">
        <f aca="false">IF(B270&lt;F270,"Y","")</f>
        <v/>
      </c>
      <c r="AC270" s="13" t="str">
        <f aca="false">IF(O270&lt;&gt;"Y","Y","")</f>
        <v/>
      </c>
      <c r="AD270" s="13" t="str">
        <f aca="false">IF(AND(M270="declined-prior-offer",S270=""),"Y","")</f>
        <v/>
      </c>
      <c r="AE270" s="13" t="str">
        <f aca="false">IF(OR(R270&lt;&gt;"MATCH",ISNUMBER(SEARCH("conflict",Q270))),"Y","")</f>
        <v/>
      </c>
      <c r="AF270" s="13" t="str">
        <f aca="false">IF(AND(ISNUMBER(Z270),ABS(Z270-AA270)&gt;0.001),"Y","")</f>
        <v/>
      </c>
      <c r="AG270" s="13" t="str">
        <f aca="false">IF(AND(W270&lt;&gt;"",Y270&lt;&gt;"ACCEPTED"),"Y","")</f>
        <v/>
      </c>
      <c r="AH270" s="13" t="str">
        <f aca="false">IF(COUNTIF(AB270:AG270,"Y")&gt;0,"EXCEPTION","NO EXCEPTION IDENTIFIED")</f>
        <v>NO EXCEPTION IDENTIFIED</v>
      </c>
      <c r="AI270" s="16" t="s">
        <v>156</v>
      </c>
      <c r="AJ270" s="16" t="s">
        <v>1724</v>
      </c>
    </row>
    <row r="271" customFormat="false" ht="20.85" hidden="false" customHeight="false" outlineLevel="0" collapsed="false">
      <c r="A271" s="9" t="s">
        <v>1725</v>
      </c>
      <c r="B271" s="10" t="n">
        <v>46113</v>
      </c>
      <c r="C271" s="9" t="s">
        <v>1726</v>
      </c>
      <c r="D271" s="9" t="s">
        <v>1727</v>
      </c>
      <c r="E271" s="9" t="n">
        <v>84</v>
      </c>
      <c r="F271" s="10" t="n">
        <v>44695</v>
      </c>
      <c r="G271" s="9" t="n">
        <f aca="false">B271-F271</f>
        <v>1418</v>
      </c>
      <c r="H271" s="9" t="s">
        <v>1728</v>
      </c>
      <c r="I271" s="9" t="s">
        <v>1729</v>
      </c>
      <c r="J271" s="9" t="s">
        <v>204</v>
      </c>
      <c r="K271" s="9" t="s">
        <v>146</v>
      </c>
      <c r="L271" s="11" t="n">
        <v>32</v>
      </c>
      <c r="M271" s="9" t="s">
        <v>169</v>
      </c>
      <c r="N271" s="9" t="s">
        <v>170</v>
      </c>
      <c r="O271" s="9" t="s">
        <v>117</v>
      </c>
      <c r="P271" s="9" t="s">
        <v>178</v>
      </c>
      <c r="Q271" s="9" t="s">
        <v>119</v>
      </c>
      <c r="R271" s="9" t="s">
        <v>120</v>
      </c>
      <c r="S271" s="9"/>
      <c r="T271" s="10"/>
      <c r="U271" s="9"/>
      <c r="V271" s="9"/>
      <c r="W271" s="10"/>
      <c r="X271" s="9"/>
      <c r="Y271" s="9"/>
      <c r="Z271" s="11"/>
      <c r="AA271" s="11" t="n">
        <v>24.4</v>
      </c>
      <c r="AB271" s="9" t="str">
        <f aca="false">IF(B271&lt;F271,"Y","")</f>
        <v/>
      </c>
      <c r="AC271" s="9" t="str">
        <f aca="false">IF(O271&lt;&gt;"Y","Y","")</f>
        <v/>
      </c>
      <c r="AD271" s="9" t="str">
        <f aca="false">IF(AND(M271="declined-prior-offer",S271=""),"Y","")</f>
        <v>Y</v>
      </c>
      <c r="AE271" s="9" t="str">
        <f aca="false">IF(OR(R271&lt;&gt;"MATCH",ISNUMBER(SEARCH("conflict",Q271))),"Y","")</f>
        <v/>
      </c>
      <c r="AF271" s="9" t="str">
        <f aca="false">IF(AND(ISNUMBER(Z271),ABS(Z271-AA271)&gt;0.001),"Y","")</f>
        <v/>
      </c>
      <c r="AG271" s="9" t="str">
        <f aca="false">IF(AND(W271&lt;&gt;"",Y271&lt;&gt;"ACCEPTED"),"Y","")</f>
        <v/>
      </c>
      <c r="AH271" s="9" t="str">
        <f aca="false">IF(COUNTIF(AB271:AG271,"Y")&gt;0,"EXCEPTION","NO EXCEPTION IDENTIFIED")</f>
        <v>EXCEPTION</v>
      </c>
      <c r="AI271" s="12" t="s">
        <v>229</v>
      </c>
      <c r="AJ271" s="12" t="s">
        <v>1730</v>
      </c>
    </row>
    <row r="272" customFormat="false" ht="20.85" hidden="false" customHeight="false" outlineLevel="0" collapsed="false">
      <c r="A272" s="13" t="s">
        <v>1731</v>
      </c>
      <c r="B272" s="14" t="n">
        <v>46113</v>
      </c>
      <c r="C272" s="13" t="s">
        <v>1732</v>
      </c>
      <c r="D272" s="13" t="s">
        <v>1733</v>
      </c>
      <c r="E272" s="13" t="n">
        <v>1766</v>
      </c>
      <c r="F272" s="14" t="n">
        <v>45613</v>
      </c>
      <c r="G272" s="13" t="n">
        <f aca="false">B272-F272</f>
        <v>500</v>
      </c>
      <c r="H272" s="13" t="s">
        <v>1734</v>
      </c>
      <c r="I272" s="13" t="s">
        <v>1735</v>
      </c>
      <c r="J272" s="13" t="s">
        <v>204</v>
      </c>
      <c r="K272" s="13" t="s">
        <v>146</v>
      </c>
      <c r="L272" s="15" t="n">
        <v>36</v>
      </c>
      <c r="M272" s="13" t="s">
        <v>136</v>
      </c>
      <c r="N272" s="13" t="s">
        <v>137</v>
      </c>
      <c r="O272" s="13" t="s">
        <v>117</v>
      </c>
      <c r="P272" s="13" t="s">
        <v>128</v>
      </c>
      <c r="Q272" s="13" t="s">
        <v>119</v>
      </c>
      <c r="R272" s="13" t="s">
        <v>120</v>
      </c>
      <c r="S272" s="13"/>
      <c r="T272" s="14"/>
      <c r="U272" s="13"/>
      <c r="V272" s="13"/>
      <c r="W272" s="14"/>
      <c r="X272" s="13"/>
      <c r="Y272" s="13"/>
      <c r="Z272" s="15"/>
      <c r="AA272" s="15" t="n">
        <v>54.5</v>
      </c>
      <c r="AB272" s="13" t="str">
        <f aca="false">IF(B272&lt;F272,"Y","")</f>
        <v/>
      </c>
      <c r="AC272" s="13" t="str">
        <f aca="false">IF(O272&lt;&gt;"Y","Y","")</f>
        <v/>
      </c>
      <c r="AD272" s="13" t="str">
        <f aca="false">IF(AND(M272="declined-prior-offer",S272=""),"Y","")</f>
        <v/>
      </c>
      <c r="AE272" s="13" t="str">
        <f aca="false">IF(OR(R272&lt;&gt;"MATCH",ISNUMBER(SEARCH("conflict",Q272))),"Y","")</f>
        <v/>
      </c>
      <c r="AF272" s="13" t="str">
        <f aca="false">IF(AND(ISNUMBER(Z272),ABS(Z272-AA272)&gt;0.001),"Y","")</f>
        <v/>
      </c>
      <c r="AG272" s="13" t="str">
        <f aca="false">IF(AND(W272&lt;&gt;"",Y272&lt;&gt;"ACCEPTED"),"Y","")</f>
        <v/>
      </c>
      <c r="AH272" s="13" t="str">
        <f aca="false">IF(COUNTIF(AB272:AG272,"Y")&gt;0,"EXCEPTION","NO EXCEPTION IDENTIFIED")</f>
        <v>NO EXCEPTION IDENTIFIED</v>
      </c>
      <c r="AI272" s="16" t="s">
        <v>156</v>
      </c>
      <c r="AJ272" s="16" t="s">
        <v>1736</v>
      </c>
    </row>
    <row r="273" customFormat="false" ht="20.85" hidden="false" customHeight="false" outlineLevel="0" collapsed="false">
      <c r="A273" s="9" t="s">
        <v>1737</v>
      </c>
      <c r="B273" s="10" t="n">
        <v>46114</v>
      </c>
      <c r="C273" s="9" t="s">
        <v>1738</v>
      </c>
      <c r="D273" s="9" t="s">
        <v>1739</v>
      </c>
      <c r="E273" s="9" t="n">
        <v>288</v>
      </c>
      <c r="F273" s="10" t="n">
        <v>44877</v>
      </c>
      <c r="G273" s="9" t="n">
        <f aca="false">B273-F273</f>
        <v>1237</v>
      </c>
      <c r="H273" s="9" t="s">
        <v>1740</v>
      </c>
      <c r="I273" s="9" t="s">
        <v>1741</v>
      </c>
      <c r="J273" s="9" t="s">
        <v>135</v>
      </c>
      <c r="K273" s="9" t="s">
        <v>114</v>
      </c>
      <c r="L273" s="11" t="n">
        <v>24</v>
      </c>
      <c r="M273" s="9" t="s">
        <v>169</v>
      </c>
      <c r="N273" s="9" t="s">
        <v>170</v>
      </c>
      <c r="O273" s="9" t="s">
        <v>117</v>
      </c>
      <c r="P273" s="9" t="s">
        <v>128</v>
      </c>
      <c r="Q273" s="9" t="s">
        <v>119</v>
      </c>
      <c r="R273" s="9" t="s">
        <v>120</v>
      </c>
      <c r="S273" s="9" t="s">
        <v>1742</v>
      </c>
      <c r="T273" s="10" t="n">
        <v>44663</v>
      </c>
      <c r="U273" s="9" t="s">
        <v>471</v>
      </c>
      <c r="V273" s="9" t="s">
        <v>1501</v>
      </c>
      <c r="W273" s="10"/>
      <c r="X273" s="9"/>
      <c r="Y273" s="9"/>
      <c r="Z273" s="11"/>
      <c r="AA273" s="11" t="n">
        <v>34.4</v>
      </c>
      <c r="AB273" s="9" t="str">
        <f aca="false">IF(B273&lt;F273,"Y","")</f>
        <v/>
      </c>
      <c r="AC273" s="9" t="str">
        <f aca="false">IF(O273&lt;&gt;"Y","Y","")</f>
        <v/>
      </c>
      <c r="AD273" s="9" t="str">
        <f aca="false">IF(AND(M273="declined-prior-offer",S273=""),"Y","")</f>
        <v/>
      </c>
      <c r="AE273" s="9" t="str">
        <f aca="false">IF(OR(R273&lt;&gt;"MATCH",ISNUMBER(SEARCH("conflict",Q273))),"Y","")</f>
        <v/>
      </c>
      <c r="AF273" s="9" t="str">
        <f aca="false">IF(AND(ISNUMBER(Z273),ABS(Z273-AA273)&gt;0.001),"Y","")</f>
        <v/>
      </c>
      <c r="AG273" s="9" t="str">
        <f aca="false">IF(AND(W273&lt;&gt;"",Y273&lt;&gt;"ACCEPTED"),"Y","")</f>
        <v/>
      </c>
      <c r="AH273" s="9" t="str">
        <f aca="false">IF(COUNTIF(AB273:AG273,"Y")&gt;0,"EXCEPTION","NO EXCEPTION IDENTIFIED")</f>
        <v>NO EXCEPTION IDENTIFIED</v>
      </c>
      <c r="AI273" s="12" t="s">
        <v>156</v>
      </c>
      <c r="AJ273" s="12" t="s">
        <v>1743</v>
      </c>
    </row>
    <row r="274" customFormat="false" ht="20.85" hidden="false" customHeight="false" outlineLevel="0" collapsed="false">
      <c r="A274" s="13" t="s">
        <v>1744</v>
      </c>
      <c r="B274" s="14" t="n">
        <v>46116</v>
      </c>
      <c r="C274" s="13" t="s">
        <v>1745</v>
      </c>
      <c r="D274" s="13" t="s">
        <v>1746</v>
      </c>
      <c r="E274" s="13" t="n">
        <v>283</v>
      </c>
      <c r="F274" s="14" t="n">
        <v>44872</v>
      </c>
      <c r="G274" s="13" t="n">
        <f aca="false">B274-F274</f>
        <v>1244</v>
      </c>
      <c r="H274" s="13" t="s">
        <v>1747</v>
      </c>
      <c r="I274" s="13" t="s">
        <v>1748</v>
      </c>
      <c r="J274" s="13" t="s">
        <v>204</v>
      </c>
      <c r="K274" s="13" t="s">
        <v>146</v>
      </c>
      <c r="L274" s="15" t="n">
        <v>28</v>
      </c>
      <c r="M274" s="13" t="s">
        <v>115</v>
      </c>
      <c r="N274" s="13" t="s">
        <v>116</v>
      </c>
      <c r="O274" s="13" t="s">
        <v>117</v>
      </c>
      <c r="P274" s="13" t="s">
        <v>128</v>
      </c>
      <c r="Q274" s="13" t="s">
        <v>119</v>
      </c>
      <c r="R274" s="13" t="s">
        <v>120</v>
      </c>
      <c r="S274" s="13"/>
      <c r="T274" s="14"/>
      <c r="U274" s="13"/>
      <c r="V274" s="13"/>
      <c r="W274" s="14"/>
      <c r="X274" s="13"/>
      <c r="Y274" s="13"/>
      <c r="Z274" s="15"/>
      <c r="AA274" s="15" t="n">
        <v>46.6</v>
      </c>
      <c r="AB274" s="13" t="str">
        <f aca="false">IF(B274&lt;F274,"Y","")</f>
        <v/>
      </c>
      <c r="AC274" s="13" t="str">
        <f aca="false">IF(O274&lt;&gt;"Y","Y","")</f>
        <v/>
      </c>
      <c r="AD274" s="13" t="str">
        <f aca="false">IF(AND(M274="declined-prior-offer",S274=""),"Y","")</f>
        <v/>
      </c>
      <c r="AE274" s="13" t="str">
        <f aca="false">IF(OR(R274&lt;&gt;"MATCH",ISNUMBER(SEARCH("conflict",Q274))),"Y","")</f>
        <v/>
      </c>
      <c r="AF274" s="13" t="str">
        <f aca="false">IF(AND(ISNUMBER(Z274),ABS(Z274-AA274)&gt;0.001),"Y","")</f>
        <v/>
      </c>
      <c r="AG274" s="13" t="str">
        <f aca="false">IF(AND(W274&lt;&gt;"",Y274&lt;&gt;"ACCEPTED"),"Y","")</f>
        <v/>
      </c>
      <c r="AH274" s="13" t="str">
        <f aca="false">IF(COUNTIF(AB274:AG274,"Y")&gt;0,"EXCEPTION","NO EXCEPTION IDENTIFIED")</f>
        <v>NO EXCEPTION IDENTIFIED</v>
      </c>
      <c r="AI274" s="16" t="s">
        <v>156</v>
      </c>
      <c r="AJ274" s="16" t="s">
        <v>1749</v>
      </c>
    </row>
    <row r="275" customFormat="false" ht="20.85" hidden="false" customHeight="false" outlineLevel="0" collapsed="false">
      <c r="A275" s="9" t="s">
        <v>1750</v>
      </c>
      <c r="B275" s="10" t="n">
        <v>46117</v>
      </c>
      <c r="C275" s="9" t="s">
        <v>1751</v>
      </c>
      <c r="D275" s="9" t="s">
        <v>1752</v>
      </c>
      <c r="E275" s="9" t="n">
        <v>2306</v>
      </c>
      <c r="F275" s="10" t="n">
        <v>45857</v>
      </c>
      <c r="G275" s="9" t="n">
        <f aca="false">B275-F275</f>
        <v>260</v>
      </c>
      <c r="H275" s="9" t="s">
        <v>1753</v>
      </c>
      <c r="I275" s="9" t="s">
        <v>1754</v>
      </c>
      <c r="J275" s="9" t="s">
        <v>204</v>
      </c>
      <c r="K275" s="9" t="s">
        <v>146</v>
      </c>
      <c r="L275" s="11" t="n">
        <v>32</v>
      </c>
      <c r="M275" s="9" t="s">
        <v>169</v>
      </c>
      <c r="N275" s="9" t="s">
        <v>170</v>
      </c>
      <c r="O275" s="9" t="s">
        <v>117</v>
      </c>
      <c r="P275" s="9" t="s">
        <v>178</v>
      </c>
      <c r="Q275" s="9" t="s">
        <v>119</v>
      </c>
      <c r="R275" s="9" t="s">
        <v>120</v>
      </c>
      <c r="S275" s="9"/>
      <c r="T275" s="10"/>
      <c r="U275" s="9"/>
      <c r="V275" s="9"/>
      <c r="W275" s="10"/>
      <c r="X275" s="9"/>
      <c r="Y275" s="9"/>
      <c r="Z275" s="11"/>
      <c r="AA275" s="11" t="n">
        <v>58.4</v>
      </c>
      <c r="AB275" s="9" t="str">
        <f aca="false">IF(B275&lt;F275,"Y","")</f>
        <v/>
      </c>
      <c r="AC275" s="9" t="str">
        <f aca="false">IF(O275&lt;&gt;"Y","Y","")</f>
        <v/>
      </c>
      <c r="AD275" s="9" t="str">
        <f aca="false">IF(AND(M275="declined-prior-offer",S275=""),"Y","")</f>
        <v>Y</v>
      </c>
      <c r="AE275" s="9" t="str">
        <f aca="false">IF(OR(R275&lt;&gt;"MATCH",ISNUMBER(SEARCH("conflict",Q275))),"Y","")</f>
        <v/>
      </c>
      <c r="AF275" s="9" t="str">
        <f aca="false">IF(AND(ISNUMBER(Z275),ABS(Z275-AA275)&gt;0.001),"Y","")</f>
        <v/>
      </c>
      <c r="AG275" s="9" t="str">
        <f aca="false">IF(AND(W275&lt;&gt;"",Y275&lt;&gt;"ACCEPTED"),"Y","")</f>
        <v/>
      </c>
      <c r="AH275" s="9" t="str">
        <f aca="false">IF(COUNTIF(AB275:AG275,"Y")&gt;0,"EXCEPTION","NO EXCEPTION IDENTIFIED")</f>
        <v>EXCEPTION</v>
      </c>
      <c r="AI275" s="12" t="s">
        <v>229</v>
      </c>
      <c r="AJ275" s="12" t="s">
        <v>1755</v>
      </c>
    </row>
    <row r="276" customFormat="false" ht="20.85" hidden="false" customHeight="false" outlineLevel="0" collapsed="false">
      <c r="A276" s="13" t="s">
        <v>1756</v>
      </c>
      <c r="B276" s="14" t="n">
        <v>46117</v>
      </c>
      <c r="C276" s="13" t="s">
        <v>1757</v>
      </c>
      <c r="D276" s="13" t="s">
        <v>1758</v>
      </c>
      <c r="E276" s="13" t="n">
        <v>2088</v>
      </c>
      <c r="F276" s="14" t="n">
        <v>45750</v>
      </c>
      <c r="G276" s="13" t="n">
        <f aca="false">B276-F276</f>
        <v>367</v>
      </c>
      <c r="H276" s="13" t="s">
        <v>1759</v>
      </c>
      <c r="I276" s="13" t="s">
        <v>1760</v>
      </c>
      <c r="J276" s="13" t="s">
        <v>204</v>
      </c>
      <c r="K276" s="13" t="s">
        <v>146</v>
      </c>
      <c r="L276" s="15" t="n">
        <v>40</v>
      </c>
      <c r="M276" s="13" t="s">
        <v>169</v>
      </c>
      <c r="N276" s="13" t="s">
        <v>170</v>
      </c>
      <c r="O276" s="13" t="s">
        <v>117</v>
      </c>
      <c r="P276" s="13" t="s">
        <v>118</v>
      </c>
      <c r="Q276" s="13" t="s">
        <v>119</v>
      </c>
      <c r="R276" s="13" t="s">
        <v>120</v>
      </c>
      <c r="S276" s="13"/>
      <c r="T276" s="14"/>
      <c r="U276" s="13"/>
      <c r="V276" s="13"/>
      <c r="W276" s="14"/>
      <c r="X276" s="13"/>
      <c r="Y276" s="13"/>
      <c r="Z276" s="15"/>
      <c r="AA276" s="15" t="n">
        <v>52.8</v>
      </c>
      <c r="AB276" s="13" t="str">
        <f aca="false">IF(B276&lt;F276,"Y","")</f>
        <v/>
      </c>
      <c r="AC276" s="13" t="str">
        <f aca="false">IF(O276&lt;&gt;"Y","Y","")</f>
        <v/>
      </c>
      <c r="AD276" s="13" t="str">
        <f aca="false">IF(AND(M276="declined-prior-offer",S276=""),"Y","")</f>
        <v>Y</v>
      </c>
      <c r="AE276" s="13" t="str">
        <f aca="false">IF(OR(R276&lt;&gt;"MATCH",ISNUMBER(SEARCH("conflict",Q276))),"Y","")</f>
        <v/>
      </c>
      <c r="AF276" s="13" t="str">
        <f aca="false">IF(AND(ISNUMBER(Z276),ABS(Z276-AA276)&gt;0.001),"Y","")</f>
        <v/>
      </c>
      <c r="AG276" s="13" t="str">
        <f aca="false">IF(AND(W276&lt;&gt;"",Y276&lt;&gt;"ACCEPTED"),"Y","")</f>
        <v/>
      </c>
      <c r="AH276" s="13" t="str">
        <f aca="false">IF(COUNTIF(AB276:AG276,"Y")&gt;0,"EXCEPTION","NO EXCEPTION IDENTIFIED")</f>
        <v>EXCEPTION</v>
      </c>
      <c r="AI276" s="16" t="s">
        <v>229</v>
      </c>
      <c r="AJ276" s="16" t="s">
        <v>1761</v>
      </c>
    </row>
    <row r="277" customFormat="false" ht="20.85" hidden="false" customHeight="false" outlineLevel="0" collapsed="false">
      <c r="A277" s="9" t="s">
        <v>1762</v>
      </c>
      <c r="B277" s="10" t="n">
        <v>46118</v>
      </c>
      <c r="C277" s="9" t="s">
        <v>1763</v>
      </c>
      <c r="D277" s="9" t="s">
        <v>1764</v>
      </c>
      <c r="E277" s="9" t="n">
        <v>1353</v>
      </c>
      <c r="F277" s="10" t="n">
        <v>45431</v>
      </c>
      <c r="G277" s="9" t="n">
        <f aca="false">B277-F277</f>
        <v>687</v>
      </c>
      <c r="H277" s="9" t="s">
        <v>1765</v>
      </c>
      <c r="I277" s="9" t="s">
        <v>1766</v>
      </c>
      <c r="J277" s="9" t="s">
        <v>113</v>
      </c>
      <c r="K277" s="9" t="s">
        <v>114</v>
      </c>
      <c r="L277" s="11" t="n">
        <v>24</v>
      </c>
      <c r="M277" s="9" t="s">
        <v>185</v>
      </c>
      <c r="N277" s="9" t="s">
        <v>186</v>
      </c>
      <c r="O277" s="9" t="s">
        <v>117</v>
      </c>
      <c r="P277" s="9" t="s">
        <v>128</v>
      </c>
      <c r="Q277" s="9" t="s">
        <v>119</v>
      </c>
      <c r="R277" s="9" t="s">
        <v>120</v>
      </c>
      <c r="S277" s="9"/>
      <c r="T277" s="10"/>
      <c r="U277" s="9"/>
      <c r="V277" s="9"/>
      <c r="W277" s="10"/>
      <c r="X277" s="9"/>
      <c r="Y277" s="9"/>
      <c r="Z277" s="11"/>
      <c r="AA277" s="11" t="n">
        <v>48.5</v>
      </c>
      <c r="AB277" s="9" t="str">
        <f aca="false">IF(B277&lt;F277,"Y","")</f>
        <v/>
      </c>
      <c r="AC277" s="9" t="str">
        <f aca="false">IF(O277&lt;&gt;"Y","Y","")</f>
        <v/>
      </c>
      <c r="AD277" s="9" t="str">
        <f aca="false">IF(AND(M277="declined-prior-offer",S277=""),"Y","")</f>
        <v/>
      </c>
      <c r="AE277" s="9" t="str">
        <f aca="false">IF(OR(R277&lt;&gt;"MATCH",ISNUMBER(SEARCH("conflict",Q277))),"Y","")</f>
        <v/>
      </c>
      <c r="AF277" s="9" t="str">
        <f aca="false">IF(AND(ISNUMBER(Z277),ABS(Z277-AA277)&gt;0.001),"Y","")</f>
        <v/>
      </c>
      <c r="AG277" s="9" t="str">
        <f aca="false">IF(AND(W277&lt;&gt;"",Y277&lt;&gt;"ACCEPTED"),"Y","")</f>
        <v/>
      </c>
      <c r="AH277" s="9" t="str">
        <f aca="false">IF(COUNTIF(AB277:AG277,"Y")&gt;0,"EXCEPTION","NO EXCEPTION IDENTIFIED")</f>
        <v>NO EXCEPTION IDENTIFIED</v>
      </c>
      <c r="AI277" s="12" t="s">
        <v>156</v>
      </c>
      <c r="AJ277" s="12" t="s">
        <v>1767</v>
      </c>
    </row>
    <row r="278" customFormat="false" ht="20.85" hidden="false" customHeight="false" outlineLevel="0" collapsed="false">
      <c r="A278" s="13" t="s">
        <v>1768</v>
      </c>
      <c r="B278" s="14" t="n">
        <v>46119</v>
      </c>
      <c r="C278" s="13" t="s">
        <v>1769</v>
      </c>
      <c r="D278" s="13" t="s">
        <v>1770</v>
      </c>
      <c r="E278" s="13" t="n">
        <v>1639</v>
      </c>
      <c r="F278" s="14" t="n">
        <v>45559</v>
      </c>
      <c r="G278" s="13" t="n">
        <f aca="false">B278-F278</f>
        <v>560</v>
      </c>
      <c r="H278" s="13" t="s">
        <v>1771</v>
      </c>
      <c r="I278" s="13" t="s">
        <v>1772</v>
      </c>
      <c r="J278" s="13" t="s">
        <v>113</v>
      </c>
      <c r="K278" s="13" t="s">
        <v>114</v>
      </c>
      <c r="L278" s="15" t="n">
        <v>28</v>
      </c>
      <c r="M278" s="13" t="s">
        <v>115</v>
      </c>
      <c r="N278" s="13" t="s">
        <v>116</v>
      </c>
      <c r="O278" s="13" t="s">
        <v>117</v>
      </c>
      <c r="P278" s="13" t="s">
        <v>178</v>
      </c>
      <c r="Q278" s="13" t="s">
        <v>119</v>
      </c>
      <c r="R278" s="13" t="s">
        <v>120</v>
      </c>
      <c r="S278" s="13"/>
      <c r="T278" s="14"/>
      <c r="U278" s="13"/>
      <c r="V278" s="13"/>
      <c r="W278" s="14"/>
      <c r="X278" s="13"/>
      <c r="Y278" s="13"/>
      <c r="Z278" s="15"/>
      <c r="AA278" s="15" t="n">
        <v>29.3</v>
      </c>
      <c r="AB278" s="13" t="str">
        <f aca="false">IF(B278&lt;F278,"Y","")</f>
        <v/>
      </c>
      <c r="AC278" s="13" t="str">
        <f aca="false">IF(O278&lt;&gt;"Y","Y","")</f>
        <v/>
      </c>
      <c r="AD278" s="13" t="str">
        <f aca="false">IF(AND(M278="declined-prior-offer",S278=""),"Y","")</f>
        <v/>
      </c>
      <c r="AE278" s="13" t="str">
        <f aca="false">IF(OR(R278&lt;&gt;"MATCH",ISNUMBER(SEARCH("conflict",Q278))),"Y","")</f>
        <v/>
      </c>
      <c r="AF278" s="13" t="str">
        <f aca="false">IF(AND(ISNUMBER(Z278),ABS(Z278-AA278)&gt;0.001),"Y","")</f>
        <v/>
      </c>
      <c r="AG278" s="13" t="str">
        <f aca="false">IF(AND(W278&lt;&gt;"",Y278&lt;&gt;"ACCEPTED"),"Y","")</f>
        <v/>
      </c>
      <c r="AH278" s="13" t="str">
        <f aca="false">IF(COUNTIF(AB278:AG278,"Y")&gt;0,"EXCEPTION","NO EXCEPTION IDENTIFIED")</f>
        <v>NO EXCEPTION IDENTIFIED</v>
      </c>
      <c r="AI278" s="16" t="s">
        <v>156</v>
      </c>
      <c r="AJ278" s="16" t="s">
        <v>1773</v>
      </c>
    </row>
    <row r="279" customFormat="false" ht="20.85" hidden="false" customHeight="false" outlineLevel="0" collapsed="false">
      <c r="A279" s="9" t="s">
        <v>1774</v>
      </c>
      <c r="B279" s="10" t="n">
        <v>46124</v>
      </c>
      <c r="C279" s="9" t="s">
        <v>1775</v>
      </c>
      <c r="D279" s="9" t="s">
        <v>1776</v>
      </c>
      <c r="E279" s="9" t="n">
        <v>2139</v>
      </c>
      <c r="F279" s="10" t="n">
        <v>45776</v>
      </c>
      <c r="G279" s="9" t="n">
        <f aca="false">B279-F279</f>
        <v>348</v>
      </c>
      <c r="H279" s="9" t="s">
        <v>1777</v>
      </c>
      <c r="I279" s="9" t="s">
        <v>1778</v>
      </c>
      <c r="J279" s="9" t="s">
        <v>155</v>
      </c>
      <c r="K279" s="9" t="s">
        <v>146</v>
      </c>
      <c r="L279" s="11" t="n">
        <v>32</v>
      </c>
      <c r="M279" s="9" t="s">
        <v>169</v>
      </c>
      <c r="N279" s="9" t="s">
        <v>170</v>
      </c>
      <c r="O279" s="9" t="s">
        <v>117</v>
      </c>
      <c r="P279" s="9" t="s">
        <v>178</v>
      </c>
      <c r="Q279" s="9" t="s">
        <v>119</v>
      </c>
      <c r="R279" s="9" t="s">
        <v>120</v>
      </c>
      <c r="S279" s="9"/>
      <c r="T279" s="10"/>
      <c r="U279" s="9"/>
      <c r="V279" s="9"/>
      <c r="W279" s="10"/>
      <c r="X279" s="9"/>
      <c r="Y279" s="9"/>
      <c r="Z279" s="11"/>
      <c r="AA279" s="11" t="n">
        <v>22.7</v>
      </c>
      <c r="AB279" s="9" t="str">
        <f aca="false">IF(B279&lt;F279,"Y","")</f>
        <v/>
      </c>
      <c r="AC279" s="9" t="str">
        <f aca="false">IF(O279&lt;&gt;"Y","Y","")</f>
        <v/>
      </c>
      <c r="AD279" s="9" t="str">
        <f aca="false">IF(AND(M279="declined-prior-offer",S279=""),"Y","")</f>
        <v>Y</v>
      </c>
      <c r="AE279" s="9" t="str">
        <f aca="false">IF(OR(R279&lt;&gt;"MATCH",ISNUMBER(SEARCH("conflict",Q279))),"Y","")</f>
        <v/>
      </c>
      <c r="AF279" s="9" t="str">
        <f aca="false">IF(AND(ISNUMBER(Z279),ABS(Z279-AA279)&gt;0.001),"Y","")</f>
        <v/>
      </c>
      <c r="AG279" s="9" t="str">
        <f aca="false">IF(AND(W279&lt;&gt;"",Y279&lt;&gt;"ACCEPTED"),"Y","")</f>
        <v/>
      </c>
      <c r="AH279" s="9" t="str">
        <f aca="false">IF(COUNTIF(AB279:AG279,"Y")&gt;0,"EXCEPTION","NO EXCEPTION IDENTIFIED")</f>
        <v>EXCEPTION</v>
      </c>
      <c r="AI279" s="12" t="s">
        <v>229</v>
      </c>
      <c r="AJ279" s="12" t="s">
        <v>1779</v>
      </c>
    </row>
    <row r="280" customFormat="false" ht="20.85" hidden="false" customHeight="false" outlineLevel="0" collapsed="false">
      <c r="A280" s="13" t="s">
        <v>1780</v>
      </c>
      <c r="B280" s="14" t="n">
        <v>46125</v>
      </c>
      <c r="C280" s="13" t="s">
        <v>1781</v>
      </c>
      <c r="D280" s="13" t="s">
        <v>1782</v>
      </c>
      <c r="E280" s="13" t="n">
        <v>1120</v>
      </c>
      <c r="F280" s="14" t="n">
        <v>45322</v>
      </c>
      <c r="G280" s="13" t="n">
        <f aca="false">B280-F280</f>
        <v>803</v>
      </c>
      <c r="H280" s="13" t="s">
        <v>1783</v>
      </c>
      <c r="I280" s="13" t="s">
        <v>1784</v>
      </c>
      <c r="J280" s="13" t="s">
        <v>113</v>
      </c>
      <c r="K280" s="13" t="s">
        <v>114</v>
      </c>
      <c r="L280" s="15" t="n">
        <v>24</v>
      </c>
      <c r="M280" s="13" t="s">
        <v>115</v>
      </c>
      <c r="N280" s="13" t="s">
        <v>116</v>
      </c>
      <c r="O280" s="13" t="s">
        <v>117</v>
      </c>
      <c r="P280" s="13" t="s">
        <v>128</v>
      </c>
      <c r="Q280" s="13" t="s">
        <v>119</v>
      </c>
      <c r="R280" s="13" t="s">
        <v>120</v>
      </c>
      <c r="S280" s="13"/>
      <c r="T280" s="14"/>
      <c r="U280" s="13"/>
      <c r="V280" s="13"/>
      <c r="W280" s="14" t="n">
        <v>44851</v>
      </c>
      <c r="X280" s="13" t="s">
        <v>1785</v>
      </c>
      <c r="Y280" s="13" t="s">
        <v>374</v>
      </c>
      <c r="Z280" s="15" t="n">
        <v>42.6</v>
      </c>
      <c r="AA280" s="15" t="n">
        <v>26.7</v>
      </c>
      <c r="AB280" s="13" t="str">
        <f aca="false">IF(B280&lt;F280,"Y","")</f>
        <v/>
      </c>
      <c r="AC280" s="13" t="str">
        <f aca="false">IF(O280&lt;&gt;"Y","Y","")</f>
        <v/>
      </c>
      <c r="AD280" s="13" t="str">
        <f aca="false">IF(AND(M280="declined-prior-offer",S280=""),"Y","")</f>
        <v/>
      </c>
      <c r="AE280" s="13" t="str">
        <f aca="false">IF(OR(R280&lt;&gt;"MATCH",ISNUMBER(SEARCH("conflict",Q280))),"Y","")</f>
        <v/>
      </c>
      <c r="AF280" s="13" t="str">
        <f aca="false">IF(AND(ISNUMBER(Z280),ABS(Z280-AA280)&gt;0.001),"Y","")</f>
        <v>Y</v>
      </c>
      <c r="AG280" s="13" t="str">
        <f aca="false">IF(AND(W280&lt;&gt;"",Y280&lt;&gt;"ACCEPTED"),"Y","")</f>
        <v/>
      </c>
      <c r="AH280" s="13" t="str">
        <f aca="false">IF(COUNTIF(AB280:AG280,"Y")&gt;0,"EXCEPTION","NO EXCEPTION IDENTIFIED")</f>
        <v>EXCEPTION</v>
      </c>
      <c r="AI280" s="16" t="s">
        <v>578</v>
      </c>
      <c r="AJ280" s="16" t="s">
        <v>1786</v>
      </c>
    </row>
    <row r="281" customFormat="false" ht="20.85" hidden="false" customHeight="false" outlineLevel="0" collapsed="false">
      <c r="A281" s="9" t="s">
        <v>1787</v>
      </c>
      <c r="B281" s="10" t="n">
        <v>46129</v>
      </c>
      <c r="C281" s="9" t="s">
        <v>486</v>
      </c>
      <c r="D281" s="9" t="s">
        <v>487</v>
      </c>
      <c r="E281" s="9" t="n">
        <v>1706</v>
      </c>
      <c r="F281" s="10" t="n">
        <v>45590</v>
      </c>
      <c r="G281" s="9" t="n">
        <f aca="false">B281-F281</f>
        <v>539</v>
      </c>
      <c r="H281" s="9" t="s">
        <v>1788</v>
      </c>
      <c r="I281" s="9" t="s">
        <v>1789</v>
      </c>
      <c r="J281" s="9" t="s">
        <v>155</v>
      </c>
      <c r="K281" s="9" t="s">
        <v>146</v>
      </c>
      <c r="L281" s="11" t="n">
        <v>32</v>
      </c>
      <c r="M281" s="9" t="s">
        <v>136</v>
      </c>
      <c r="N281" s="9" t="s">
        <v>137</v>
      </c>
      <c r="O281" s="9" t="s">
        <v>117</v>
      </c>
      <c r="P281" s="9" t="s">
        <v>178</v>
      </c>
      <c r="Q281" s="9" t="s">
        <v>119</v>
      </c>
      <c r="R281" s="9" t="s">
        <v>120</v>
      </c>
      <c r="S281" s="9"/>
      <c r="T281" s="10"/>
      <c r="U281" s="9"/>
      <c r="V281" s="9"/>
      <c r="W281" s="10"/>
      <c r="X281" s="9"/>
      <c r="Y281" s="9"/>
      <c r="Z281" s="11"/>
      <c r="AA281" s="11" t="n">
        <v>47.7</v>
      </c>
      <c r="AB281" s="9" t="str">
        <f aca="false">IF(B281&lt;F281,"Y","")</f>
        <v/>
      </c>
      <c r="AC281" s="9" t="str">
        <f aca="false">IF(O281&lt;&gt;"Y","Y","")</f>
        <v/>
      </c>
      <c r="AD281" s="9" t="str">
        <f aca="false">IF(AND(M281="declined-prior-offer",S281=""),"Y","")</f>
        <v/>
      </c>
      <c r="AE281" s="9" t="str">
        <f aca="false">IF(OR(R281&lt;&gt;"MATCH",ISNUMBER(SEARCH("conflict",Q281))),"Y","")</f>
        <v/>
      </c>
      <c r="AF281" s="9" t="str">
        <f aca="false">IF(AND(ISNUMBER(Z281),ABS(Z281-AA281)&gt;0.001),"Y","")</f>
        <v/>
      </c>
      <c r="AG281" s="9" t="str">
        <f aca="false">IF(AND(W281&lt;&gt;"",Y281&lt;&gt;"ACCEPTED"),"Y","")</f>
        <v/>
      </c>
      <c r="AH281" s="9" t="str">
        <f aca="false">IF(COUNTIF(AB281:AG281,"Y")&gt;0,"EXCEPTION","NO EXCEPTION IDENTIFIED")</f>
        <v>NO EXCEPTION IDENTIFIED</v>
      </c>
      <c r="AI281" s="12" t="s">
        <v>156</v>
      </c>
      <c r="AJ281" s="12" t="s">
        <v>1790</v>
      </c>
    </row>
    <row r="282" customFormat="false" ht="20.85" hidden="false" customHeight="false" outlineLevel="0" collapsed="false">
      <c r="A282" s="13" t="s">
        <v>1791</v>
      </c>
      <c r="B282" s="14" t="n">
        <v>46131</v>
      </c>
      <c r="C282" s="13" t="s">
        <v>1792</v>
      </c>
      <c r="D282" s="13" t="s">
        <v>1793</v>
      </c>
      <c r="E282" s="13" t="n">
        <v>1504</v>
      </c>
      <c r="F282" s="14" t="n">
        <v>45502</v>
      </c>
      <c r="G282" s="13" t="n">
        <f aca="false">B282-F282</f>
        <v>629</v>
      </c>
      <c r="H282" s="13" t="s">
        <v>1794</v>
      </c>
      <c r="I282" s="13" t="s">
        <v>1795</v>
      </c>
      <c r="J282" s="13" t="s">
        <v>204</v>
      </c>
      <c r="K282" s="13" t="s">
        <v>146</v>
      </c>
      <c r="L282" s="15" t="n">
        <v>50</v>
      </c>
      <c r="M282" s="13" t="s">
        <v>136</v>
      </c>
      <c r="N282" s="13" t="s">
        <v>137</v>
      </c>
      <c r="O282" s="13" t="s">
        <v>117</v>
      </c>
      <c r="P282" s="13" t="s">
        <v>128</v>
      </c>
      <c r="Q282" s="13" t="s">
        <v>119</v>
      </c>
      <c r="R282" s="13" t="s">
        <v>120</v>
      </c>
      <c r="S282" s="13"/>
      <c r="T282" s="14"/>
      <c r="U282" s="13"/>
      <c r="V282" s="13"/>
      <c r="W282" s="14"/>
      <c r="X282" s="13"/>
      <c r="Y282" s="13"/>
      <c r="Z282" s="15"/>
      <c r="AA282" s="15" t="n">
        <v>33.2</v>
      </c>
      <c r="AB282" s="13" t="str">
        <f aca="false">IF(B282&lt;F282,"Y","")</f>
        <v/>
      </c>
      <c r="AC282" s="13" t="str">
        <f aca="false">IF(O282&lt;&gt;"Y","Y","")</f>
        <v/>
      </c>
      <c r="AD282" s="13" t="str">
        <f aca="false">IF(AND(M282="declined-prior-offer",S282=""),"Y","")</f>
        <v/>
      </c>
      <c r="AE282" s="13" t="str">
        <f aca="false">IF(OR(R282&lt;&gt;"MATCH",ISNUMBER(SEARCH("conflict",Q282))),"Y","")</f>
        <v/>
      </c>
      <c r="AF282" s="13" t="str">
        <f aca="false">IF(AND(ISNUMBER(Z282),ABS(Z282-AA282)&gt;0.001),"Y","")</f>
        <v/>
      </c>
      <c r="AG282" s="13" t="str">
        <f aca="false">IF(AND(W282&lt;&gt;"",Y282&lt;&gt;"ACCEPTED"),"Y","")</f>
        <v/>
      </c>
      <c r="AH282" s="13" t="str">
        <f aca="false">IF(COUNTIF(AB282:AG282,"Y")&gt;0,"EXCEPTION","NO EXCEPTION IDENTIFIED")</f>
        <v>NO EXCEPTION IDENTIFIED</v>
      </c>
      <c r="AI282" s="16" t="s">
        <v>156</v>
      </c>
      <c r="AJ282" s="16" t="s">
        <v>1796</v>
      </c>
    </row>
    <row r="283" customFormat="false" ht="20.85" hidden="false" customHeight="false" outlineLevel="0" collapsed="false">
      <c r="A283" s="9" t="s">
        <v>1797</v>
      </c>
      <c r="B283" s="10" t="n">
        <v>46144</v>
      </c>
      <c r="C283" s="9" t="s">
        <v>1798</v>
      </c>
      <c r="D283" s="9" t="s">
        <v>1799</v>
      </c>
      <c r="E283" s="9" t="n">
        <v>1671</v>
      </c>
      <c r="F283" s="10" t="n">
        <v>45572</v>
      </c>
      <c r="G283" s="9" t="n">
        <f aca="false">B283-F283</f>
        <v>572</v>
      </c>
      <c r="H283" s="9" t="s">
        <v>1800</v>
      </c>
      <c r="I283" s="9" t="s">
        <v>359</v>
      </c>
      <c r="J283" s="9" t="s">
        <v>113</v>
      </c>
      <c r="K283" s="9" t="s">
        <v>114</v>
      </c>
      <c r="L283" s="11" t="n">
        <v>32</v>
      </c>
      <c r="M283" s="9" t="s">
        <v>115</v>
      </c>
      <c r="N283" s="9" t="s">
        <v>116</v>
      </c>
      <c r="O283" s="9" t="s">
        <v>117</v>
      </c>
      <c r="P283" s="9" t="s">
        <v>178</v>
      </c>
      <c r="Q283" s="9" t="s">
        <v>119</v>
      </c>
      <c r="R283" s="9" t="s">
        <v>120</v>
      </c>
      <c r="S283" s="9"/>
      <c r="T283" s="10"/>
      <c r="U283" s="9"/>
      <c r="V283" s="9"/>
      <c r="W283" s="10"/>
      <c r="X283" s="9"/>
      <c r="Y283" s="9"/>
      <c r="Z283" s="11"/>
      <c r="AA283" s="11" t="n">
        <v>55.5</v>
      </c>
      <c r="AB283" s="9" t="str">
        <f aca="false">IF(B283&lt;F283,"Y","")</f>
        <v/>
      </c>
      <c r="AC283" s="9" t="str">
        <f aca="false">IF(O283&lt;&gt;"Y","Y","")</f>
        <v/>
      </c>
      <c r="AD283" s="9" t="str">
        <f aca="false">IF(AND(M283="declined-prior-offer",S283=""),"Y","")</f>
        <v/>
      </c>
      <c r="AE283" s="9" t="str">
        <f aca="false">IF(OR(R283&lt;&gt;"MATCH",ISNUMBER(SEARCH("conflict",Q283))),"Y","")</f>
        <v/>
      </c>
      <c r="AF283" s="9" t="str">
        <f aca="false">IF(AND(ISNUMBER(Z283),ABS(Z283-AA283)&gt;0.001),"Y","")</f>
        <v/>
      </c>
      <c r="AG283" s="9" t="str">
        <f aca="false">IF(AND(W283&lt;&gt;"",Y283&lt;&gt;"ACCEPTED"),"Y","")</f>
        <v/>
      </c>
      <c r="AH283" s="9" t="str">
        <f aca="false">IF(COUNTIF(AB283:AG283,"Y")&gt;0,"EXCEPTION","NO EXCEPTION IDENTIFIED")</f>
        <v>NO EXCEPTION IDENTIFIED</v>
      </c>
      <c r="AI283" s="12" t="s">
        <v>156</v>
      </c>
      <c r="AJ283" s="12" t="s">
        <v>1801</v>
      </c>
    </row>
    <row r="284" customFormat="false" ht="20.85" hidden="false" customHeight="false" outlineLevel="0" collapsed="false">
      <c r="A284" s="13" t="s">
        <v>1802</v>
      </c>
      <c r="B284" s="14" t="n">
        <v>46144</v>
      </c>
      <c r="C284" s="13" t="s">
        <v>1803</v>
      </c>
      <c r="D284" s="13" t="s">
        <v>1804</v>
      </c>
      <c r="E284" s="13" t="n">
        <v>2152</v>
      </c>
      <c r="F284" s="14" t="n">
        <v>45780</v>
      </c>
      <c r="G284" s="13" t="n">
        <f aca="false">B284-F284</f>
        <v>364</v>
      </c>
      <c r="H284" s="13" t="s">
        <v>1805</v>
      </c>
      <c r="I284" s="13" t="s">
        <v>489</v>
      </c>
      <c r="J284" s="13" t="s">
        <v>113</v>
      </c>
      <c r="K284" s="13" t="s">
        <v>114</v>
      </c>
      <c r="L284" s="15" t="n">
        <v>24</v>
      </c>
      <c r="M284" s="13" t="s">
        <v>185</v>
      </c>
      <c r="N284" s="13" t="s">
        <v>186</v>
      </c>
      <c r="O284" s="13" t="s">
        <v>117</v>
      </c>
      <c r="P284" s="13" t="s">
        <v>118</v>
      </c>
      <c r="Q284" s="13" t="s">
        <v>119</v>
      </c>
      <c r="R284" s="13" t="s">
        <v>120</v>
      </c>
      <c r="S284" s="13"/>
      <c r="T284" s="14"/>
      <c r="U284" s="13"/>
      <c r="V284" s="13"/>
      <c r="W284" s="14"/>
      <c r="X284" s="13"/>
      <c r="Y284" s="13"/>
      <c r="Z284" s="15"/>
      <c r="AA284" s="15" t="n">
        <v>38.9</v>
      </c>
      <c r="AB284" s="13" t="str">
        <f aca="false">IF(B284&lt;F284,"Y","")</f>
        <v/>
      </c>
      <c r="AC284" s="13" t="str">
        <f aca="false">IF(O284&lt;&gt;"Y","Y","")</f>
        <v/>
      </c>
      <c r="AD284" s="13" t="str">
        <f aca="false">IF(AND(M284="declined-prior-offer",S284=""),"Y","")</f>
        <v/>
      </c>
      <c r="AE284" s="13" t="str">
        <f aca="false">IF(OR(R284&lt;&gt;"MATCH",ISNUMBER(SEARCH("conflict",Q284))),"Y","")</f>
        <v/>
      </c>
      <c r="AF284" s="13" t="str">
        <f aca="false">IF(AND(ISNUMBER(Z284),ABS(Z284-AA284)&gt;0.001),"Y","")</f>
        <v/>
      </c>
      <c r="AG284" s="13" t="str">
        <f aca="false">IF(AND(W284&lt;&gt;"",Y284&lt;&gt;"ACCEPTED"),"Y","")</f>
        <v/>
      </c>
      <c r="AH284" s="13" t="str">
        <f aca="false">IF(COUNTIF(AB284:AG284,"Y")&gt;0,"EXCEPTION","NO EXCEPTION IDENTIFIED")</f>
        <v>NO EXCEPTION IDENTIFIED</v>
      </c>
      <c r="AI284" s="16" t="s">
        <v>156</v>
      </c>
      <c r="AJ284" s="16" t="s">
        <v>1806</v>
      </c>
    </row>
    <row r="285" customFormat="false" ht="20.85" hidden="false" customHeight="false" outlineLevel="0" collapsed="false">
      <c r="A285" s="9" t="s">
        <v>1807</v>
      </c>
      <c r="B285" s="10" t="n">
        <v>46148</v>
      </c>
      <c r="C285" s="9" t="s">
        <v>1808</v>
      </c>
      <c r="D285" s="9" t="s">
        <v>1809</v>
      </c>
      <c r="E285" s="9" t="n">
        <v>205</v>
      </c>
      <c r="F285" s="10" t="n">
        <v>44809</v>
      </c>
      <c r="G285" s="9" t="n">
        <f aca="false">B285-F285</f>
        <v>1339</v>
      </c>
      <c r="H285" s="9" t="s">
        <v>1810</v>
      </c>
      <c r="I285" s="9" t="s">
        <v>1811</v>
      </c>
      <c r="J285" s="9" t="s">
        <v>155</v>
      </c>
      <c r="K285" s="9" t="s">
        <v>146</v>
      </c>
      <c r="L285" s="11" t="n">
        <v>70</v>
      </c>
      <c r="M285" s="9" t="s">
        <v>185</v>
      </c>
      <c r="N285" s="9" t="s">
        <v>186</v>
      </c>
      <c r="O285" s="9" t="s">
        <v>117</v>
      </c>
      <c r="P285" s="9" t="s">
        <v>138</v>
      </c>
      <c r="Q285" s="9" t="s">
        <v>119</v>
      </c>
      <c r="R285" s="9" t="s">
        <v>120</v>
      </c>
      <c r="S285" s="9"/>
      <c r="T285" s="10"/>
      <c r="U285" s="9"/>
      <c r="V285" s="9"/>
      <c r="W285" s="10"/>
      <c r="X285" s="9"/>
      <c r="Y285" s="9"/>
      <c r="Z285" s="11"/>
      <c r="AA285" s="11" t="n">
        <v>31.1</v>
      </c>
      <c r="AB285" s="9" t="str">
        <f aca="false">IF(B285&lt;F285,"Y","")</f>
        <v/>
      </c>
      <c r="AC285" s="9" t="str">
        <f aca="false">IF(O285&lt;&gt;"Y","Y","")</f>
        <v/>
      </c>
      <c r="AD285" s="9" t="str">
        <f aca="false">IF(AND(M285="declined-prior-offer",S285=""),"Y","")</f>
        <v/>
      </c>
      <c r="AE285" s="9" t="str">
        <f aca="false">IF(OR(R285&lt;&gt;"MATCH",ISNUMBER(SEARCH("conflict",Q285))),"Y","")</f>
        <v/>
      </c>
      <c r="AF285" s="9" t="str">
        <f aca="false">IF(AND(ISNUMBER(Z285),ABS(Z285-AA285)&gt;0.001),"Y","")</f>
        <v/>
      </c>
      <c r="AG285" s="9" t="str">
        <f aca="false">IF(AND(W285&lt;&gt;"",Y285&lt;&gt;"ACCEPTED"),"Y","")</f>
        <v/>
      </c>
      <c r="AH285" s="9" t="str">
        <f aca="false">IF(COUNTIF(AB285:AG285,"Y")&gt;0,"EXCEPTION","NO EXCEPTION IDENTIFIED")</f>
        <v>NO EXCEPTION IDENTIFIED</v>
      </c>
      <c r="AI285" s="12" t="s">
        <v>156</v>
      </c>
      <c r="AJ285" s="12" t="s">
        <v>1812</v>
      </c>
    </row>
    <row r="286" customFormat="false" ht="20.85" hidden="false" customHeight="false" outlineLevel="0" collapsed="false">
      <c r="A286" s="13" t="s">
        <v>1813</v>
      </c>
      <c r="B286" s="14" t="n">
        <v>46150</v>
      </c>
      <c r="C286" s="13" t="s">
        <v>1814</v>
      </c>
      <c r="D286" s="13" t="s">
        <v>1815</v>
      </c>
      <c r="E286" s="13" t="n">
        <v>2896</v>
      </c>
      <c r="F286" s="14" t="n">
        <v>46208</v>
      </c>
      <c r="G286" s="13" t="n">
        <f aca="false">B286-F286</f>
        <v>-58</v>
      </c>
      <c r="H286" s="13" t="s">
        <v>1816</v>
      </c>
      <c r="I286" s="13" t="s">
        <v>411</v>
      </c>
      <c r="J286" s="13" t="s">
        <v>113</v>
      </c>
      <c r="K286" s="13" t="s">
        <v>114</v>
      </c>
      <c r="L286" s="15" t="n">
        <v>28</v>
      </c>
      <c r="M286" s="13" t="s">
        <v>115</v>
      </c>
      <c r="N286" s="13" t="s">
        <v>116</v>
      </c>
      <c r="O286" s="13" t="s">
        <v>147</v>
      </c>
      <c r="P286" s="13" t="s">
        <v>138</v>
      </c>
      <c r="Q286" s="13" t="s">
        <v>119</v>
      </c>
      <c r="R286" s="13" t="s">
        <v>120</v>
      </c>
      <c r="S286" s="13"/>
      <c r="T286" s="14"/>
      <c r="U286" s="13"/>
      <c r="V286" s="13"/>
      <c r="W286" s="14"/>
      <c r="X286" s="13"/>
      <c r="Y286" s="13"/>
      <c r="Z286" s="15"/>
      <c r="AA286" s="15" t="n">
        <v>24.3</v>
      </c>
      <c r="AB286" s="13" t="str">
        <f aca="false">IF(B286&lt;F286,"Y","")</f>
        <v>Y</v>
      </c>
      <c r="AC286" s="13" t="str">
        <f aca="false">IF(O286&lt;&gt;"Y","Y","")</f>
        <v>Y</v>
      </c>
      <c r="AD286" s="13" t="str">
        <f aca="false">IF(AND(M286="declined-prior-offer",S286=""),"Y","")</f>
        <v/>
      </c>
      <c r="AE286" s="13" t="str">
        <f aca="false">IF(OR(R286&lt;&gt;"MATCH",ISNUMBER(SEARCH("conflict",Q286))),"Y","")</f>
        <v/>
      </c>
      <c r="AF286" s="13" t="str">
        <f aca="false">IF(AND(ISNUMBER(Z286),ABS(Z286-AA286)&gt;0.001),"Y","")</f>
        <v/>
      </c>
      <c r="AG286" s="13" t="str">
        <f aca="false">IF(AND(W286&lt;&gt;"",Y286&lt;&gt;"ACCEPTED"),"Y","")</f>
        <v/>
      </c>
      <c r="AH286" s="13" t="str">
        <f aca="false">IF(COUNTIF(AB286:AG286,"Y")&gt;0,"EXCEPTION","NO EXCEPTION IDENTIFIED")</f>
        <v>EXCEPTION</v>
      </c>
      <c r="AI286" s="16" t="s">
        <v>148</v>
      </c>
      <c r="AJ286" s="16" t="s">
        <v>1817</v>
      </c>
    </row>
    <row r="287" customFormat="false" ht="20.85" hidden="false" customHeight="false" outlineLevel="0" collapsed="false">
      <c r="A287" s="9" t="s">
        <v>1818</v>
      </c>
      <c r="B287" s="10" t="n">
        <v>46151</v>
      </c>
      <c r="C287" s="9" t="s">
        <v>1819</v>
      </c>
      <c r="D287" s="9" t="s">
        <v>1820</v>
      </c>
      <c r="E287" s="9" t="n">
        <v>2754</v>
      </c>
      <c r="F287" s="10" t="n">
        <v>46094</v>
      </c>
      <c r="G287" s="9" t="n">
        <f aca="false">B287-F287</f>
        <v>57</v>
      </c>
      <c r="H287" s="9" t="s">
        <v>1821</v>
      </c>
      <c r="I287" s="9" t="s">
        <v>1822</v>
      </c>
      <c r="J287" s="9" t="s">
        <v>113</v>
      </c>
      <c r="K287" s="9" t="s">
        <v>114</v>
      </c>
      <c r="L287" s="11" t="n">
        <v>24</v>
      </c>
      <c r="M287" s="9" t="s">
        <v>136</v>
      </c>
      <c r="N287" s="9" t="s">
        <v>137</v>
      </c>
      <c r="O287" s="9" t="s">
        <v>117</v>
      </c>
      <c r="P287" s="9" t="s">
        <v>128</v>
      </c>
      <c r="Q287" s="9" t="s">
        <v>119</v>
      </c>
      <c r="R287" s="9" t="s">
        <v>120</v>
      </c>
      <c r="S287" s="9"/>
      <c r="T287" s="10"/>
      <c r="U287" s="9"/>
      <c r="V287" s="9"/>
      <c r="W287" s="10"/>
      <c r="X287" s="9"/>
      <c r="Y287" s="9"/>
      <c r="Z287" s="11"/>
      <c r="AA287" s="11" t="n">
        <v>20.5</v>
      </c>
      <c r="AB287" s="9" t="str">
        <f aca="false">IF(B287&lt;F287,"Y","")</f>
        <v/>
      </c>
      <c r="AC287" s="9" t="str">
        <f aca="false">IF(O287&lt;&gt;"Y","Y","")</f>
        <v/>
      </c>
      <c r="AD287" s="9" t="str">
        <f aca="false">IF(AND(M287="declined-prior-offer",S287=""),"Y","")</f>
        <v/>
      </c>
      <c r="AE287" s="9" t="str">
        <f aca="false">IF(OR(R287&lt;&gt;"MATCH",ISNUMBER(SEARCH("conflict",Q287))),"Y","")</f>
        <v/>
      </c>
      <c r="AF287" s="9" t="str">
        <f aca="false">IF(AND(ISNUMBER(Z287),ABS(Z287-AA287)&gt;0.001),"Y","")</f>
        <v/>
      </c>
      <c r="AG287" s="9" t="str">
        <f aca="false">IF(AND(W287&lt;&gt;"",Y287&lt;&gt;"ACCEPTED"),"Y","")</f>
        <v/>
      </c>
      <c r="AH287" s="9" t="str">
        <f aca="false">IF(COUNTIF(AB287:AG287,"Y")&gt;0,"EXCEPTION","NO EXCEPTION IDENTIFIED")</f>
        <v>NO EXCEPTION IDENTIFIED</v>
      </c>
      <c r="AI287" s="12" t="s">
        <v>156</v>
      </c>
      <c r="AJ287" s="12" t="s">
        <v>1823</v>
      </c>
    </row>
    <row r="288" customFormat="false" ht="20.85" hidden="false" customHeight="false" outlineLevel="0" collapsed="false">
      <c r="A288" s="13" t="s">
        <v>1824</v>
      </c>
      <c r="B288" s="14" t="n">
        <v>46152</v>
      </c>
      <c r="C288" s="13" t="s">
        <v>1825</v>
      </c>
      <c r="D288" s="13" t="s">
        <v>1826</v>
      </c>
      <c r="E288" s="13" t="n">
        <v>109</v>
      </c>
      <c r="F288" s="14" t="n">
        <v>44717</v>
      </c>
      <c r="G288" s="13" t="n">
        <f aca="false">B288-F288</f>
        <v>1435</v>
      </c>
      <c r="H288" s="13" t="s">
        <v>1827</v>
      </c>
      <c r="I288" s="13" t="s">
        <v>1828</v>
      </c>
      <c r="J288" s="13" t="s">
        <v>113</v>
      </c>
      <c r="K288" s="13" t="s">
        <v>114</v>
      </c>
      <c r="L288" s="15" t="n">
        <v>32</v>
      </c>
      <c r="M288" s="13" t="s">
        <v>185</v>
      </c>
      <c r="N288" s="13" t="s">
        <v>186</v>
      </c>
      <c r="O288" s="13" t="s">
        <v>117</v>
      </c>
      <c r="P288" s="13" t="s">
        <v>178</v>
      </c>
      <c r="Q288" s="13" t="s">
        <v>119</v>
      </c>
      <c r="R288" s="13" t="s">
        <v>120</v>
      </c>
      <c r="S288" s="13"/>
      <c r="T288" s="14"/>
      <c r="U288" s="13"/>
      <c r="V288" s="13"/>
      <c r="W288" s="14"/>
      <c r="X288" s="13"/>
      <c r="Y288" s="13"/>
      <c r="Z288" s="15"/>
      <c r="AA288" s="15" t="n">
        <v>43.9</v>
      </c>
      <c r="AB288" s="13" t="str">
        <f aca="false">IF(B288&lt;F288,"Y","")</f>
        <v/>
      </c>
      <c r="AC288" s="13" t="str">
        <f aca="false">IF(O288&lt;&gt;"Y","Y","")</f>
        <v/>
      </c>
      <c r="AD288" s="13" t="str">
        <f aca="false">IF(AND(M288="declined-prior-offer",S288=""),"Y","")</f>
        <v/>
      </c>
      <c r="AE288" s="13" t="str">
        <f aca="false">IF(OR(R288&lt;&gt;"MATCH",ISNUMBER(SEARCH("conflict",Q288))),"Y","")</f>
        <v/>
      </c>
      <c r="AF288" s="13" t="str">
        <f aca="false">IF(AND(ISNUMBER(Z288),ABS(Z288-AA288)&gt;0.001),"Y","")</f>
        <v/>
      </c>
      <c r="AG288" s="13" t="str">
        <f aca="false">IF(AND(W288&lt;&gt;"",Y288&lt;&gt;"ACCEPTED"),"Y","")</f>
        <v/>
      </c>
      <c r="AH288" s="13" t="str">
        <f aca="false">IF(COUNTIF(AB288:AG288,"Y")&gt;0,"EXCEPTION","NO EXCEPTION IDENTIFIED")</f>
        <v>NO EXCEPTION IDENTIFIED</v>
      </c>
      <c r="AI288" s="16" t="s">
        <v>156</v>
      </c>
      <c r="AJ288" s="16" t="s">
        <v>1829</v>
      </c>
    </row>
    <row r="289" customFormat="false" ht="20.85" hidden="false" customHeight="false" outlineLevel="0" collapsed="false">
      <c r="A289" s="9" t="s">
        <v>1830</v>
      </c>
      <c r="B289" s="10" t="n">
        <v>46153</v>
      </c>
      <c r="C289" s="9" t="s">
        <v>1831</v>
      </c>
      <c r="D289" s="9" t="s">
        <v>1832</v>
      </c>
      <c r="E289" s="9" t="n">
        <v>404</v>
      </c>
      <c r="F289" s="10" t="n">
        <v>44941</v>
      </c>
      <c r="G289" s="9" t="n">
        <f aca="false">B289-F289</f>
        <v>1212</v>
      </c>
      <c r="H289" s="9" t="s">
        <v>1833</v>
      </c>
      <c r="I289" s="9" t="s">
        <v>1834</v>
      </c>
      <c r="J289" s="9" t="s">
        <v>135</v>
      </c>
      <c r="K289" s="9" t="s">
        <v>114</v>
      </c>
      <c r="L289" s="11" t="n">
        <v>24</v>
      </c>
      <c r="M289" s="9" t="s">
        <v>136</v>
      </c>
      <c r="N289" s="9" t="s">
        <v>137</v>
      </c>
      <c r="O289" s="9" t="s">
        <v>117</v>
      </c>
      <c r="P289" s="9" t="s">
        <v>128</v>
      </c>
      <c r="Q289" s="9" t="s">
        <v>119</v>
      </c>
      <c r="R289" s="9" t="s">
        <v>120</v>
      </c>
      <c r="S289" s="9"/>
      <c r="T289" s="10"/>
      <c r="U289" s="9"/>
      <c r="V289" s="9"/>
      <c r="W289" s="10"/>
      <c r="X289" s="9"/>
      <c r="Y289" s="9"/>
      <c r="Z289" s="11"/>
      <c r="AA289" s="11" t="n">
        <v>56.6</v>
      </c>
      <c r="AB289" s="9" t="str">
        <f aca="false">IF(B289&lt;F289,"Y","")</f>
        <v/>
      </c>
      <c r="AC289" s="9" t="str">
        <f aca="false">IF(O289&lt;&gt;"Y","Y","")</f>
        <v/>
      </c>
      <c r="AD289" s="9" t="str">
        <f aca="false">IF(AND(M289="declined-prior-offer",S289=""),"Y","")</f>
        <v/>
      </c>
      <c r="AE289" s="9" t="str">
        <f aca="false">IF(OR(R289&lt;&gt;"MATCH",ISNUMBER(SEARCH("conflict",Q289))),"Y","")</f>
        <v/>
      </c>
      <c r="AF289" s="9" t="str">
        <f aca="false">IF(AND(ISNUMBER(Z289),ABS(Z289-AA289)&gt;0.001),"Y","")</f>
        <v/>
      </c>
      <c r="AG289" s="9" t="str">
        <f aca="false">IF(AND(W289&lt;&gt;"",Y289&lt;&gt;"ACCEPTED"),"Y","")</f>
        <v/>
      </c>
      <c r="AH289" s="9" t="str">
        <f aca="false">IF(COUNTIF(AB289:AG289,"Y")&gt;0,"EXCEPTION","NO EXCEPTION IDENTIFIED")</f>
        <v>NO EXCEPTION IDENTIFIED</v>
      </c>
      <c r="AI289" s="12" t="s">
        <v>156</v>
      </c>
      <c r="AJ289" s="12" t="s">
        <v>1835</v>
      </c>
    </row>
    <row r="290" customFormat="false" ht="20.85" hidden="false" customHeight="false" outlineLevel="0" collapsed="false">
      <c r="A290" s="13" t="s">
        <v>1836</v>
      </c>
      <c r="B290" s="14" t="n">
        <v>46156</v>
      </c>
      <c r="C290" s="13" t="s">
        <v>1837</v>
      </c>
      <c r="D290" s="13" t="s">
        <v>1838</v>
      </c>
      <c r="E290" s="13" t="n">
        <v>255</v>
      </c>
      <c r="F290" s="14" t="n">
        <v>44850</v>
      </c>
      <c r="G290" s="13" t="n">
        <f aca="false">B290-F290</f>
        <v>1306</v>
      </c>
      <c r="H290" s="13" t="s">
        <v>1839</v>
      </c>
      <c r="I290" s="13" t="s">
        <v>1840</v>
      </c>
      <c r="J290" s="13" t="s">
        <v>145</v>
      </c>
      <c r="K290" s="13" t="s">
        <v>146</v>
      </c>
      <c r="L290" s="15" t="n">
        <v>36</v>
      </c>
      <c r="M290" s="13" t="s">
        <v>136</v>
      </c>
      <c r="N290" s="13" t="s">
        <v>137</v>
      </c>
      <c r="O290" s="13" t="s">
        <v>117</v>
      </c>
      <c r="P290" s="13" t="s">
        <v>138</v>
      </c>
      <c r="Q290" s="13" t="s">
        <v>119</v>
      </c>
      <c r="R290" s="13" t="s">
        <v>120</v>
      </c>
      <c r="S290" s="13"/>
      <c r="T290" s="14"/>
      <c r="U290" s="13"/>
      <c r="V290" s="13"/>
      <c r="W290" s="14"/>
      <c r="X290" s="13"/>
      <c r="Y290" s="13"/>
      <c r="Z290" s="15"/>
      <c r="AA290" s="15" t="n">
        <v>23.6</v>
      </c>
      <c r="AB290" s="13" t="str">
        <f aca="false">IF(B290&lt;F290,"Y","")</f>
        <v/>
      </c>
      <c r="AC290" s="13" t="str">
        <f aca="false">IF(O290&lt;&gt;"Y","Y","")</f>
        <v/>
      </c>
      <c r="AD290" s="13" t="str">
        <f aca="false">IF(AND(M290="declined-prior-offer",S290=""),"Y","")</f>
        <v/>
      </c>
      <c r="AE290" s="13" t="str">
        <f aca="false">IF(OR(R290&lt;&gt;"MATCH",ISNUMBER(SEARCH("conflict",Q290))),"Y","")</f>
        <v/>
      </c>
      <c r="AF290" s="13" t="str">
        <f aca="false">IF(AND(ISNUMBER(Z290),ABS(Z290-AA290)&gt;0.001),"Y","")</f>
        <v/>
      </c>
      <c r="AG290" s="13" t="str">
        <f aca="false">IF(AND(W290&lt;&gt;"",Y290&lt;&gt;"ACCEPTED"),"Y","")</f>
        <v/>
      </c>
      <c r="AH290" s="13" t="str">
        <f aca="false">IF(COUNTIF(AB290:AG290,"Y")&gt;0,"EXCEPTION","NO EXCEPTION IDENTIFIED")</f>
        <v>NO EXCEPTION IDENTIFIED</v>
      </c>
      <c r="AI290" s="16" t="s">
        <v>156</v>
      </c>
      <c r="AJ290" s="16" t="s">
        <v>1841</v>
      </c>
    </row>
    <row r="291" customFormat="false" ht="20.85" hidden="false" customHeight="false" outlineLevel="0" collapsed="false">
      <c r="A291" s="9" t="s">
        <v>1842</v>
      </c>
      <c r="B291" s="10" t="n">
        <v>46160</v>
      </c>
      <c r="C291" s="9" t="s">
        <v>1843</v>
      </c>
      <c r="D291" s="9" t="s">
        <v>1844</v>
      </c>
      <c r="E291" s="9" t="n">
        <v>2607</v>
      </c>
      <c r="F291" s="10" t="n">
        <v>46010</v>
      </c>
      <c r="G291" s="9" t="n">
        <f aca="false">B291-F291</f>
        <v>150</v>
      </c>
      <c r="H291" s="9" t="s">
        <v>1845</v>
      </c>
      <c r="I291" s="9" t="s">
        <v>1846</v>
      </c>
      <c r="J291" s="9" t="s">
        <v>113</v>
      </c>
      <c r="K291" s="9" t="s">
        <v>114</v>
      </c>
      <c r="L291" s="11" t="n">
        <v>36</v>
      </c>
      <c r="M291" s="9" t="s">
        <v>136</v>
      </c>
      <c r="N291" s="9" t="s">
        <v>137</v>
      </c>
      <c r="O291" s="9" t="s">
        <v>117</v>
      </c>
      <c r="P291" s="9" t="s">
        <v>118</v>
      </c>
      <c r="Q291" s="9" t="s">
        <v>119</v>
      </c>
      <c r="R291" s="9" t="s">
        <v>120</v>
      </c>
      <c r="S291" s="9"/>
      <c r="T291" s="10"/>
      <c r="U291" s="9"/>
      <c r="V291" s="9"/>
      <c r="W291" s="10"/>
      <c r="X291" s="9"/>
      <c r="Y291" s="9"/>
      <c r="Z291" s="11"/>
      <c r="AA291" s="11" t="n">
        <v>39.4</v>
      </c>
      <c r="AB291" s="9" t="str">
        <f aca="false">IF(B291&lt;F291,"Y","")</f>
        <v/>
      </c>
      <c r="AC291" s="9" t="str">
        <f aca="false">IF(O291&lt;&gt;"Y","Y","")</f>
        <v/>
      </c>
      <c r="AD291" s="9" t="str">
        <f aca="false">IF(AND(M291="declined-prior-offer",S291=""),"Y","")</f>
        <v/>
      </c>
      <c r="AE291" s="9" t="str">
        <f aca="false">IF(OR(R291&lt;&gt;"MATCH",ISNUMBER(SEARCH("conflict",Q291))),"Y","")</f>
        <v/>
      </c>
      <c r="AF291" s="9" t="str">
        <f aca="false">IF(AND(ISNUMBER(Z291),ABS(Z291-AA291)&gt;0.001),"Y","")</f>
        <v/>
      </c>
      <c r="AG291" s="9" t="str">
        <f aca="false">IF(AND(W291&lt;&gt;"",Y291&lt;&gt;"ACCEPTED"),"Y","")</f>
        <v/>
      </c>
      <c r="AH291" s="9" t="str">
        <f aca="false">IF(COUNTIF(AB291:AG291,"Y")&gt;0,"EXCEPTION","NO EXCEPTION IDENTIFIED")</f>
        <v>NO EXCEPTION IDENTIFIED</v>
      </c>
      <c r="AI291" s="12" t="s">
        <v>156</v>
      </c>
      <c r="AJ291" s="12" t="s">
        <v>1847</v>
      </c>
    </row>
    <row r="292" customFormat="false" ht="20.85" hidden="false" customHeight="false" outlineLevel="0" collapsed="false">
      <c r="A292" s="13" t="s">
        <v>1848</v>
      </c>
      <c r="B292" s="14" t="n">
        <v>46160</v>
      </c>
      <c r="C292" s="13" t="s">
        <v>1849</v>
      </c>
      <c r="D292" s="13" t="s">
        <v>1850</v>
      </c>
      <c r="E292" s="13" t="n">
        <v>299</v>
      </c>
      <c r="F292" s="14" t="n">
        <v>44883</v>
      </c>
      <c r="G292" s="13" t="n">
        <f aca="false">B292-F292</f>
        <v>1277</v>
      </c>
      <c r="H292" s="13" t="s">
        <v>1851</v>
      </c>
      <c r="I292" s="13" t="s">
        <v>1054</v>
      </c>
      <c r="J292" s="13" t="s">
        <v>155</v>
      </c>
      <c r="K292" s="13" t="s">
        <v>146</v>
      </c>
      <c r="L292" s="15" t="n">
        <v>70</v>
      </c>
      <c r="M292" s="13" t="s">
        <v>136</v>
      </c>
      <c r="N292" s="13" t="s">
        <v>137</v>
      </c>
      <c r="O292" s="13" t="s">
        <v>117</v>
      </c>
      <c r="P292" s="13" t="s">
        <v>118</v>
      </c>
      <c r="Q292" s="13" t="s">
        <v>119</v>
      </c>
      <c r="R292" s="13" t="s">
        <v>120</v>
      </c>
      <c r="S292" s="13"/>
      <c r="T292" s="14"/>
      <c r="U292" s="13"/>
      <c r="V292" s="13"/>
      <c r="W292" s="14"/>
      <c r="X292" s="13"/>
      <c r="Y292" s="13"/>
      <c r="Z292" s="15"/>
      <c r="AA292" s="15" t="n">
        <v>55.9</v>
      </c>
      <c r="AB292" s="13" t="str">
        <f aca="false">IF(B292&lt;F292,"Y","")</f>
        <v/>
      </c>
      <c r="AC292" s="13" t="str">
        <f aca="false">IF(O292&lt;&gt;"Y","Y","")</f>
        <v/>
      </c>
      <c r="AD292" s="13" t="str">
        <f aca="false">IF(AND(M292="declined-prior-offer",S292=""),"Y","")</f>
        <v/>
      </c>
      <c r="AE292" s="13" t="str">
        <f aca="false">IF(OR(R292&lt;&gt;"MATCH",ISNUMBER(SEARCH("conflict",Q292))),"Y","")</f>
        <v/>
      </c>
      <c r="AF292" s="13" t="str">
        <f aca="false">IF(AND(ISNUMBER(Z292),ABS(Z292-AA292)&gt;0.001),"Y","")</f>
        <v/>
      </c>
      <c r="AG292" s="13" t="str">
        <f aca="false">IF(AND(W292&lt;&gt;"",Y292&lt;&gt;"ACCEPTED"),"Y","")</f>
        <v/>
      </c>
      <c r="AH292" s="13" t="str">
        <f aca="false">IF(COUNTIF(AB292:AG292,"Y")&gt;0,"EXCEPTION","NO EXCEPTION IDENTIFIED")</f>
        <v>NO EXCEPTION IDENTIFIED</v>
      </c>
      <c r="AI292" s="16" t="s">
        <v>156</v>
      </c>
      <c r="AJ292" s="16" t="s">
        <v>1852</v>
      </c>
    </row>
    <row r="293" customFormat="false" ht="20.85" hidden="false" customHeight="false" outlineLevel="0" collapsed="false">
      <c r="A293" s="9" t="s">
        <v>1853</v>
      </c>
      <c r="B293" s="10" t="n">
        <v>46166</v>
      </c>
      <c r="C293" s="9" t="s">
        <v>1854</v>
      </c>
      <c r="D293" s="9" t="s">
        <v>1855</v>
      </c>
      <c r="E293" s="9" t="n">
        <v>2247</v>
      </c>
      <c r="F293" s="10" t="n">
        <v>45828</v>
      </c>
      <c r="G293" s="9" t="n">
        <f aca="false">B293-F293</f>
        <v>338</v>
      </c>
      <c r="H293" s="9" t="s">
        <v>1856</v>
      </c>
      <c r="I293" s="9" t="s">
        <v>1741</v>
      </c>
      <c r="J293" s="9" t="s">
        <v>135</v>
      </c>
      <c r="K293" s="9" t="s">
        <v>114</v>
      </c>
      <c r="L293" s="11" t="n">
        <v>24</v>
      </c>
      <c r="M293" s="9" t="s">
        <v>115</v>
      </c>
      <c r="N293" s="9" t="s">
        <v>116</v>
      </c>
      <c r="O293" s="9" t="s">
        <v>117</v>
      </c>
      <c r="P293" s="9" t="s">
        <v>118</v>
      </c>
      <c r="Q293" s="9" t="s">
        <v>119</v>
      </c>
      <c r="R293" s="9" t="s">
        <v>120</v>
      </c>
      <c r="S293" s="9"/>
      <c r="T293" s="10"/>
      <c r="U293" s="9"/>
      <c r="V293" s="9"/>
      <c r="W293" s="10"/>
      <c r="X293" s="9"/>
      <c r="Y293" s="9"/>
      <c r="Z293" s="11"/>
      <c r="AA293" s="11" t="n">
        <v>33.5</v>
      </c>
      <c r="AB293" s="9" t="str">
        <f aca="false">IF(B293&lt;F293,"Y","")</f>
        <v/>
      </c>
      <c r="AC293" s="9" t="str">
        <f aca="false">IF(O293&lt;&gt;"Y","Y","")</f>
        <v/>
      </c>
      <c r="AD293" s="9" t="str">
        <f aca="false">IF(AND(M293="declined-prior-offer",S293=""),"Y","")</f>
        <v/>
      </c>
      <c r="AE293" s="9" t="str">
        <f aca="false">IF(OR(R293&lt;&gt;"MATCH",ISNUMBER(SEARCH("conflict",Q293))),"Y","")</f>
        <v/>
      </c>
      <c r="AF293" s="9" t="str">
        <f aca="false">IF(AND(ISNUMBER(Z293),ABS(Z293-AA293)&gt;0.001),"Y","")</f>
        <v/>
      </c>
      <c r="AG293" s="9" t="str">
        <f aca="false">IF(AND(W293&lt;&gt;"",Y293&lt;&gt;"ACCEPTED"),"Y","")</f>
        <v/>
      </c>
      <c r="AH293" s="9" t="str">
        <f aca="false">IF(COUNTIF(AB293:AG293,"Y")&gt;0,"EXCEPTION","NO EXCEPTION IDENTIFIED")</f>
        <v>NO EXCEPTION IDENTIFIED</v>
      </c>
      <c r="AI293" s="12" t="s">
        <v>156</v>
      </c>
      <c r="AJ293" s="12" t="s">
        <v>1857</v>
      </c>
    </row>
    <row r="294" customFormat="false" ht="20.85" hidden="false" customHeight="false" outlineLevel="0" collapsed="false">
      <c r="A294" s="13" t="s">
        <v>1858</v>
      </c>
      <c r="B294" s="14" t="n">
        <v>46175</v>
      </c>
      <c r="C294" s="13" t="s">
        <v>1859</v>
      </c>
      <c r="D294" s="13" t="s">
        <v>1860</v>
      </c>
      <c r="E294" s="13" t="n">
        <v>1315</v>
      </c>
      <c r="F294" s="14" t="n">
        <v>45412</v>
      </c>
      <c r="G294" s="13" t="n">
        <f aca="false">B294-F294</f>
        <v>763</v>
      </c>
      <c r="H294" s="13" t="s">
        <v>1861</v>
      </c>
      <c r="I294" s="13" t="s">
        <v>905</v>
      </c>
      <c r="J294" s="13" t="s">
        <v>204</v>
      </c>
      <c r="K294" s="13" t="s">
        <v>146</v>
      </c>
      <c r="L294" s="15" t="n">
        <v>28</v>
      </c>
      <c r="M294" s="13" t="s">
        <v>136</v>
      </c>
      <c r="N294" s="13" t="s">
        <v>137</v>
      </c>
      <c r="O294" s="13" t="s">
        <v>117</v>
      </c>
      <c r="P294" s="13" t="s">
        <v>128</v>
      </c>
      <c r="Q294" s="13" t="s">
        <v>119</v>
      </c>
      <c r="R294" s="13" t="s">
        <v>120</v>
      </c>
      <c r="S294" s="13"/>
      <c r="T294" s="14"/>
      <c r="U294" s="13"/>
      <c r="V294" s="13"/>
      <c r="W294" s="14"/>
      <c r="X294" s="13"/>
      <c r="Y294" s="13"/>
      <c r="Z294" s="15"/>
      <c r="AA294" s="15" t="n">
        <v>61.1</v>
      </c>
      <c r="AB294" s="13" t="str">
        <f aca="false">IF(B294&lt;F294,"Y","")</f>
        <v/>
      </c>
      <c r="AC294" s="13" t="str">
        <f aca="false">IF(O294&lt;&gt;"Y","Y","")</f>
        <v/>
      </c>
      <c r="AD294" s="13" t="str">
        <f aca="false">IF(AND(M294="declined-prior-offer",S294=""),"Y","")</f>
        <v/>
      </c>
      <c r="AE294" s="13" t="str">
        <f aca="false">IF(OR(R294&lt;&gt;"MATCH",ISNUMBER(SEARCH("conflict",Q294))),"Y","")</f>
        <v/>
      </c>
      <c r="AF294" s="13" t="str">
        <f aca="false">IF(AND(ISNUMBER(Z294),ABS(Z294-AA294)&gt;0.001),"Y","")</f>
        <v/>
      </c>
      <c r="AG294" s="13" t="str">
        <f aca="false">IF(AND(W294&lt;&gt;"",Y294&lt;&gt;"ACCEPTED"),"Y","")</f>
        <v/>
      </c>
      <c r="AH294" s="13" t="str">
        <f aca="false">IF(COUNTIF(AB294:AG294,"Y")&gt;0,"EXCEPTION","NO EXCEPTION IDENTIFIED")</f>
        <v>NO EXCEPTION IDENTIFIED</v>
      </c>
      <c r="AI294" s="16" t="s">
        <v>156</v>
      </c>
      <c r="AJ294" s="16" t="s">
        <v>1862</v>
      </c>
    </row>
    <row r="295" customFormat="false" ht="20.85" hidden="false" customHeight="false" outlineLevel="0" collapsed="false">
      <c r="A295" s="9" t="s">
        <v>1863</v>
      </c>
      <c r="B295" s="10" t="n">
        <v>46176</v>
      </c>
      <c r="C295" s="9" t="s">
        <v>1864</v>
      </c>
      <c r="D295" s="9" t="s">
        <v>1865</v>
      </c>
      <c r="E295" s="9" t="n">
        <v>2787</v>
      </c>
      <c r="F295" s="10" t="n">
        <v>46124</v>
      </c>
      <c r="G295" s="9" t="n">
        <f aca="false">B295-F295</f>
        <v>52</v>
      </c>
      <c r="H295" s="9" t="s">
        <v>1866</v>
      </c>
      <c r="I295" s="9" t="s">
        <v>1867</v>
      </c>
      <c r="J295" s="9" t="s">
        <v>155</v>
      </c>
      <c r="K295" s="9" t="s">
        <v>146</v>
      </c>
      <c r="L295" s="11" t="n">
        <v>24</v>
      </c>
      <c r="M295" s="9" t="s">
        <v>169</v>
      </c>
      <c r="N295" s="9" t="s">
        <v>170</v>
      </c>
      <c r="O295" s="9" t="s">
        <v>117</v>
      </c>
      <c r="P295" s="9" t="s">
        <v>178</v>
      </c>
      <c r="Q295" s="9" t="s">
        <v>119</v>
      </c>
      <c r="R295" s="9" t="s">
        <v>120</v>
      </c>
      <c r="S295" s="9"/>
      <c r="T295" s="10"/>
      <c r="U295" s="9"/>
      <c r="V295" s="9"/>
      <c r="W295" s="10" t="n">
        <v>46005</v>
      </c>
      <c r="X295" s="9" t="s">
        <v>1868</v>
      </c>
      <c r="Y295" s="9" t="s">
        <v>374</v>
      </c>
      <c r="Z295" s="11" t="n">
        <v>51</v>
      </c>
      <c r="AA295" s="11" t="n">
        <v>38.1</v>
      </c>
      <c r="AB295" s="9" t="str">
        <f aca="false">IF(B295&lt;F295,"Y","")</f>
        <v/>
      </c>
      <c r="AC295" s="9" t="str">
        <f aca="false">IF(O295&lt;&gt;"Y","Y","")</f>
        <v/>
      </c>
      <c r="AD295" s="9" t="str">
        <f aca="false">IF(AND(M295="declined-prior-offer",S295=""),"Y","")</f>
        <v>Y</v>
      </c>
      <c r="AE295" s="9" t="str">
        <f aca="false">IF(OR(R295&lt;&gt;"MATCH",ISNUMBER(SEARCH("conflict",Q295))),"Y","")</f>
        <v/>
      </c>
      <c r="AF295" s="9" t="str">
        <f aca="false">IF(AND(ISNUMBER(Z295),ABS(Z295-AA295)&gt;0.001),"Y","")</f>
        <v>Y</v>
      </c>
      <c r="AG295" s="9" t="str">
        <f aca="false">IF(AND(W295&lt;&gt;"",Y295&lt;&gt;"ACCEPTED"),"Y","")</f>
        <v/>
      </c>
      <c r="AH295" s="9" t="str">
        <f aca="false">IF(COUNTIF(AB295:AG295,"Y")&gt;0,"EXCEPTION","NO EXCEPTION IDENTIFIED")</f>
        <v>EXCEPTION</v>
      </c>
      <c r="AI295" s="12" t="s">
        <v>1869</v>
      </c>
      <c r="AJ295" s="12" t="s">
        <v>1870</v>
      </c>
    </row>
    <row r="296" customFormat="false" ht="20.85" hidden="false" customHeight="false" outlineLevel="0" collapsed="false">
      <c r="A296" s="13" t="s">
        <v>1871</v>
      </c>
      <c r="B296" s="14" t="n">
        <v>46177</v>
      </c>
      <c r="C296" s="13" t="s">
        <v>1872</v>
      </c>
      <c r="D296" s="13" t="s">
        <v>1873</v>
      </c>
      <c r="E296" s="13" t="n">
        <v>982</v>
      </c>
      <c r="F296" s="14" t="n">
        <v>45256</v>
      </c>
      <c r="G296" s="13" t="n">
        <f aca="false">B296-F296</f>
        <v>921</v>
      </c>
      <c r="H296" s="13" t="s">
        <v>1874</v>
      </c>
      <c r="I296" s="13" t="s">
        <v>1444</v>
      </c>
      <c r="J296" s="13" t="s">
        <v>155</v>
      </c>
      <c r="K296" s="13" t="s">
        <v>146</v>
      </c>
      <c r="L296" s="15" t="n">
        <v>80</v>
      </c>
      <c r="M296" s="13" t="s">
        <v>115</v>
      </c>
      <c r="N296" s="13" t="s">
        <v>116</v>
      </c>
      <c r="O296" s="13" t="s">
        <v>117</v>
      </c>
      <c r="P296" s="13" t="s">
        <v>118</v>
      </c>
      <c r="Q296" s="13" t="s">
        <v>119</v>
      </c>
      <c r="R296" s="13" t="s">
        <v>120</v>
      </c>
      <c r="S296" s="13"/>
      <c r="T296" s="14"/>
      <c r="U296" s="13"/>
      <c r="V296" s="13"/>
      <c r="W296" s="14"/>
      <c r="X296" s="13"/>
      <c r="Y296" s="13"/>
      <c r="Z296" s="15"/>
      <c r="AA296" s="15" t="n">
        <v>54.1</v>
      </c>
      <c r="AB296" s="13" t="str">
        <f aca="false">IF(B296&lt;F296,"Y","")</f>
        <v/>
      </c>
      <c r="AC296" s="13" t="str">
        <f aca="false">IF(O296&lt;&gt;"Y","Y","")</f>
        <v/>
      </c>
      <c r="AD296" s="13" t="str">
        <f aca="false">IF(AND(M296="declined-prior-offer",S296=""),"Y","")</f>
        <v/>
      </c>
      <c r="AE296" s="13" t="str">
        <f aca="false">IF(OR(R296&lt;&gt;"MATCH",ISNUMBER(SEARCH("conflict",Q296))),"Y","")</f>
        <v/>
      </c>
      <c r="AF296" s="13" t="str">
        <f aca="false">IF(AND(ISNUMBER(Z296),ABS(Z296-AA296)&gt;0.001),"Y","")</f>
        <v/>
      </c>
      <c r="AG296" s="13" t="str">
        <f aca="false">IF(AND(W296&lt;&gt;"",Y296&lt;&gt;"ACCEPTED"),"Y","")</f>
        <v/>
      </c>
      <c r="AH296" s="13" t="str">
        <f aca="false">IF(COUNTIF(AB296:AG296,"Y")&gt;0,"EXCEPTION","NO EXCEPTION IDENTIFIED")</f>
        <v>NO EXCEPTION IDENTIFIED</v>
      </c>
      <c r="AI296" s="16" t="s">
        <v>156</v>
      </c>
      <c r="AJ296" s="16" t="s">
        <v>1875</v>
      </c>
    </row>
    <row r="297" customFormat="false" ht="20.85" hidden="false" customHeight="false" outlineLevel="0" collapsed="false">
      <c r="A297" s="9" t="s">
        <v>1876</v>
      </c>
      <c r="B297" s="10" t="n">
        <v>46182</v>
      </c>
      <c r="C297" s="9" t="s">
        <v>1877</v>
      </c>
      <c r="D297" s="9" t="s">
        <v>1878</v>
      </c>
      <c r="E297" s="9" t="n">
        <v>954</v>
      </c>
      <c r="F297" s="10" t="n">
        <v>45241</v>
      </c>
      <c r="G297" s="9" t="n">
        <f aca="false">B297-F297</f>
        <v>941</v>
      </c>
      <c r="H297" s="9" t="s">
        <v>1879</v>
      </c>
      <c r="I297" s="9" t="s">
        <v>1880</v>
      </c>
      <c r="J297" s="9" t="s">
        <v>204</v>
      </c>
      <c r="K297" s="9" t="s">
        <v>146</v>
      </c>
      <c r="L297" s="11" t="n">
        <v>28</v>
      </c>
      <c r="M297" s="9" t="s">
        <v>185</v>
      </c>
      <c r="N297" s="9" t="s">
        <v>186</v>
      </c>
      <c r="O297" s="9" t="s">
        <v>117</v>
      </c>
      <c r="P297" s="9" t="s">
        <v>118</v>
      </c>
      <c r="Q297" s="9" t="s">
        <v>119</v>
      </c>
      <c r="R297" s="9" t="s">
        <v>120</v>
      </c>
      <c r="S297" s="9"/>
      <c r="T297" s="10"/>
      <c r="U297" s="9"/>
      <c r="V297" s="9"/>
      <c r="W297" s="10"/>
      <c r="X297" s="9"/>
      <c r="Y297" s="9"/>
      <c r="Z297" s="11"/>
      <c r="AA297" s="11" t="n">
        <v>42.9</v>
      </c>
      <c r="AB297" s="9" t="str">
        <f aca="false">IF(B297&lt;F297,"Y","")</f>
        <v/>
      </c>
      <c r="AC297" s="9" t="str">
        <f aca="false">IF(O297&lt;&gt;"Y","Y","")</f>
        <v/>
      </c>
      <c r="AD297" s="9" t="str">
        <f aca="false">IF(AND(M297="declined-prior-offer",S297=""),"Y","")</f>
        <v/>
      </c>
      <c r="AE297" s="9" t="str">
        <f aca="false">IF(OR(R297&lt;&gt;"MATCH",ISNUMBER(SEARCH("conflict",Q297))),"Y","")</f>
        <v/>
      </c>
      <c r="AF297" s="9" t="str">
        <f aca="false">IF(AND(ISNUMBER(Z297),ABS(Z297-AA297)&gt;0.001),"Y","")</f>
        <v/>
      </c>
      <c r="AG297" s="9" t="str">
        <f aca="false">IF(AND(W297&lt;&gt;"",Y297&lt;&gt;"ACCEPTED"),"Y","")</f>
        <v/>
      </c>
      <c r="AH297" s="9" t="str">
        <f aca="false">IF(COUNTIF(AB297:AG297,"Y")&gt;0,"EXCEPTION","NO EXCEPTION IDENTIFIED")</f>
        <v>NO EXCEPTION IDENTIFIED</v>
      </c>
      <c r="AI297" s="12" t="s">
        <v>156</v>
      </c>
      <c r="AJ297" s="12" t="s">
        <v>1881</v>
      </c>
    </row>
    <row r="298" customFormat="false" ht="20.85" hidden="false" customHeight="false" outlineLevel="0" collapsed="false">
      <c r="A298" s="13" t="s">
        <v>1882</v>
      </c>
      <c r="B298" s="14" t="n">
        <v>46193</v>
      </c>
      <c r="C298" s="13" t="s">
        <v>1883</v>
      </c>
      <c r="D298" s="13" t="s">
        <v>1884</v>
      </c>
      <c r="E298" s="13" t="n">
        <v>256</v>
      </c>
      <c r="F298" s="14" t="n">
        <v>44850</v>
      </c>
      <c r="G298" s="13" t="n">
        <f aca="false">B298-F298</f>
        <v>1343</v>
      </c>
      <c r="H298" s="13" t="s">
        <v>1885</v>
      </c>
      <c r="I298" s="13" t="s">
        <v>1886</v>
      </c>
      <c r="J298" s="13" t="s">
        <v>113</v>
      </c>
      <c r="K298" s="13" t="s">
        <v>114</v>
      </c>
      <c r="L298" s="15" t="n">
        <v>32</v>
      </c>
      <c r="M298" s="13" t="s">
        <v>136</v>
      </c>
      <c r="N298" s="13" t="s">
        <v>137</v>
      </c>
      <c r="O298" s="13" t="s">
        <v>117</v>
      </c>
      <c r="P298" s="13" t="s">
        <v>178</v>
      </c>
      <c r="Q298" s="13" t="s">
        <v>119</v>
      </c>
      <c r="R298" s="13" t="s">
        <v>120</v>
      </c>
      <c r="S298" s="13"/>
      <c r="T298" s="14"/>
      <c r="U298" s="13"/>
      <c r="V298" s="13"/>
      <c r="W298" s="14"/>
      <c r="X298" s="13"/>
      <c r="Y298" s="13"/>
      <c r="Z298" s="15"/>
      <c r="AA298" s="15" t="n">
        <v>37.7</v>
      </c>
      <c r="AB298" s="13" t="str">
        <f aca="false">IF(B298&lt;F298,"Y","")</f>
        <v/>
      </c>
      <c r="AC298" s="13" t="str">
        <f aca="false">IF(O298&lt;&gt;"Y","Y","")</f>
        <v/>
      </c>
      <c r="AD298" s="13" t="str">
        <f aca="false">IF(AND(M298="declined-prior-offer",S298=""),"Y","")</f>
        <v/>
      </c>
      <c r="AE298" s="13" t="str">
        <f aca="false">IF(OR(R298&lt;&gt;"MATCH",ISNUMBER(SEARCH("conflict",Q298))),"Y","")</f>
        <v/>
      </c>
      <c r="AF298" s="13" t="str">
        <f aca="false">IF(AND(ISNUMBER(Z298),ABS(Z298-AA298)&gt;0.001),"Y","")</f>
        <v/>
      </c>
      <c r="AG298" s="13" t="str">
        <f aca="false">IF(AND(W298&lt;&gt;"",Y298&lt;&gt;"ACCEPTED"),"Y","")</f>
        <v/>
      </c>
      <c r="AH298" s="13" t="str">
        <f aca="false">IF(COUNTIF(AB298:AG298,"Y")&gt;0,"EXCEPTION","NO EXCEPTION IDENTIFIED")</f>
        <v>NO EXCEPTION IDENTIFIED</v>
      </c>
      <c r="AI298" s="16" t="s">
        <v>156</v>
      </c>
      <c r="AJ298" s="16" t="s">
        <v>1887</v>
      </c>
    </row>
    <row r="299" customFormat="false" ht="20.85" hidden="false" customHeight="false" outlineLevel="0" collapsed="false">
      <c r="A299" s="9" t="s">
        <v>1888</v>
      </c>
      <c r="B299" s="10" t="n">
        <v>46194</v>
      </c>
      <c r="C299" s="9" t="s">
        <v>1889</v>
      </c>
      <c r="D299" s="9" t="s">
        <v>1890</v>
      </c>
      <c r="E299" s="9" t="n">
        <v>2078</v>
      </c>
      <c r="F299" s="10" t="n">
        <v>45748</v>
      </c>
      <c r="G299" s="9" t="n">
        <f aca="false">B299-F299</f>
        <v>446</v>
      </c>
      <c r="H299" s="9" t="s">
        <v>1891</v>
      </c>
      <c r="I299" s="9" t="s">
        <v>1892</v>
      </c>
      <c r="J299" s="9" t="s">
        <v>135</v>
      </c>
      <c r="K299" s="9" t="s">
        <v>114</v>
      </c>
      <c r="L299" s="11" t="n">
        <v>24</v>
      </c>
      <c r="M299" s="9" t="s">
        <v>169</v>
      </c>
      <c r="N299" s="9" t="s">
        <v>170</v>
      </c>
      <c r="O299" s="9" t="s">
        <v>117</v>
      </c>
      <c r="P299" s="9" t="s">
        <v>178</v>
      </c>
      <c r="Q299" s="9" t="s">
        <v>119</v>
      </c>
      <c r="R299" s="9" t="s">
        <v>120</v>
      </c>
      <c r="S299" s="9"/>
      <c r="T299" s="10"/>
      <c r="U299" s="9"/>
      <c r="V299" s="9"/>
      <c r="W299" s="10"/>
      <c r="X299" s="9"/>
      <c r="Y299" s="9"/>
      <c r="Z299" s="11"/>
      <c r="AA299" s="11" t="n">
        <v>50</v>
      </c>
      <c r="AB299" s="9" t="str">
        <f aca="false">IF(B299&lt;F299,"Y","")</f>
        <v/>
      </c>
      <c r="AC299" s="9" t="str">
        <f aca="false">IF(O299&lt;&gt;"Y","Y","")</f>
        <v/>
      </c>
      <c r="AD299" s="9" t="str">
        <f aca="false">IF(AND(M299="declined-prior-offer",S299=""),"Y","")</f>
        <v>Y</v>
      </c>
      <c r="AE299" s="9" t="str">
        <f aca="false">IF(OR(R299&lt;&gt;"MATCH",ISNUMBER(SEARCH("conflict",Q299))),"Y","")</f>
        <v/>
      </c>
      <c r="AF299" s="9" t="str">
        <f aca="false">IF(AND(ISNUMBER(Z299),ABS(Z299-AA299)&gt;0.001),"Y","")</f>
        <v/>
      </c>
      <c r="AG299" s="9" t="str">
        <f aca="false">IF(AND(W299&lt;&gt;"",Y299&lt;&gt;"ACCEPTED"),"Y","")</f>
        <v/>
      </c>
      <c r="AH299" s="9" t="str">
        <f aca="false">IF(COUNTIF(AB299:AG299,"Y")&gt;0,"EXCEPTION","NO EXCEPTION IDENTIFIED")</f>
        <v>EXCEPTION</v>
      </c>
      <c r="AI299" s="12" t="s">
        <v>229</v>
      </c>
      <c r="AJ299" s="12" t="s">
        <v>1893</v>
      </c>
    </row>
    <row r="300" customFormat="false" ht="20.85" hidden="false" customHeight="false" outlineLevel="0" collapsed="false">
      <c r="A300" s="13" t="s">
        <v>1894</v>
      </c>
      <c r="B300" s="14" t="n">
        <v>46195</v>
      </c>
      <c r="C300" s="13" t="s">
        <v>1895</v>
      </c>
      <c r="D300" s="13" t="s">
        <v>1896</v>
      </c>
      <c r="E300" s="13" t="n">
        <v>936</v>
      </c>
      <c r="F300" s="14" t="n">
        <v>45234</v>
      </c>
      <c r="G300" s="13" t="n">
        <f aca="false">B300-F300</f>
        <v>961</v>
      </c>
      <c r="H300" s="13" t="s">
        <v>1897</v>
      </c>
      <c r="I300" s="13" t="s">
        <v>1898</v>
      </c>
      <c r="J300" s="13" t="s">
        <v>135</v>
      </c>
      <c r="K300" s="13" t="s">
        <v>114</v>
      </c>
      <c r="L300" s="15" t="n">
        <v>40</v>
      </c>
      <c r="M300" s="13" t="s">
        <v>136</v>
      </c>
      <c r="N300" s="13" t="s">
        <v>137</v>
      </c>
      <c r="O300" s="13" t="s">
        <v>147</v>
      </c>
      <c r="P300" s="13" t="s">
        <v>138</v>
      </c>
      <c r="Q300" s="13" t="s">
        <v>119</v>
      </c>
      <c r="R300" s="13" t="s">
        <v>120</v>
      </c>
      <c r="S300" s="13"/>
      <c r="T300" s="14"/>
      <c r="U300" s="13"/>
      <c r="V300" s="13"/>
      <c r="W300" s="14"/>
      <c r="X300" s="13"/>
      <c r="Y300" s="13"/>
      <c r="Z300" s="15"/>
      <c r="AA300" s="15" t="n">
        <v>61</v>
      </c>
      <c r="AB300" s="13" t="str">
        <f aca="false">IF(B300&lt;F300,"Y","")</f>
        <v/>
      </c>
      <c r="AC300" s="13" t="str">
        <f aca="false">IF(O300&lt;&gt;"Y","Y","")</f>
        <v>Y</v>
      </c>
      <c r="AD300" s="13" t="str">
        <f aca="false">IF(AND(M300="declined-prior-offer",S300=""),"Y","")</f>
        <v/>
      </c>
      <c r="AE300" s="13" t="str">
        <f aca="false">IF(OR(R300&lt;&gt;"MATCH",ISNUMBER(SEARCH("conflict",Q300))),"Y","")</f>
        <v/>
      </c>
      <c r="AF300" s="13" t="str">
        <f aca="false">IF(AND(ISNUMBER(Z300),ABS(Z300-AA300)&gt;0.001),"Y","")</f>
        <v/>
      </c>
      <c r="AG300" s="13" t="str">
        <f aca="false">IF(AND(W300&lt;&gt;"",Y300&lt;&gt;"ACCEPTED"),"Y","")</f>
        <v/>
      </c>
      <c r="AH300" s="13" t="str">
        <f aca="false">IF(COUNTIF(AB300:AG300,"Y")&gt;0,"EXCEPTION","NO EXCEPTION IDENTIFIED")</f>
        <v>EXCEPTION</v>
      </c>
      <c r="AI300" s="16" t="s">
        <v>831</v>
      </c>
      <c r="AJ300" s="16" t="s">
        <v>1899</v>
      </c>
    </row>
    <row r="301" customFormat="false" ht="20.85" hidden="false" customHeight="false" outlineLevel="0" collapsed="false">
      <c r="A301" s="9" t="s">
        <v>1900</v>
      </c>
      <c r="B301" s="10" t="n">
        <v>46198</v>
      </c>
      <c r="C301" s="9" t="s">
        <v>1901</v>
      </c>
      <c r="D301" s="9" t="s">
        <v>858</v>
      </c>
      <c r="E301" s="9" t="n">
        <v>2690</v>
      </c>
      <c r="F301" s="10" t="n">
        <v>46054</v>
      </c>
      <c r="G301" s="9" t="n">
        <f aca="false">B301-F301</f>
        <v>144</v>
      </c>
      <c r="H301" s="9" t="s">
        <v>1902</v>
      </c>
      <c r="I301" s="9" t="s">
        <v>1903</v>
      </c>
      <c r="J301" s="9" t="s">
        <v>135</v>
      </c>
      <c r="K301" s="9" t="s">
        <v>114</v>
      </c>
      <c r="L301" s="11" t="n">
        <v>24</v>
      </c>
      <c r="M301" s="9" t="s">
        <v>115</v>
      </c>
      <c r="N301" s="9" t="s">
        <v>116</v>
      </c>
      <c r="O301" s="9" t="s">
        <v>117</v>
      </c>
      <c r="P301" s="9" t="s">
        <v>138</v>
      </c>
      <c r="Q301" s="9" t="s">
        <v>119</v>
      </c>
      <c r="R301" s="9" t="s">
        <v>120</v>
      </c>
      <c r="S301" s="9"/>
      <c r="T301" s="10"/>
      <c r="U301" s="9"/>
      <c r="V301" s="9"/>
      <c r="W301" s="10"/>
      <c r="X301" s="9"/>
      <c r="Y301" s="9"/>
      <c r="Z301" s="11"/>
      <c r="AA301" s="11" t="n">
        <v>46.8</v>
      </c>
      <c r="AB301" s="9" t="str">
        <f aca="false">IF(B301&lt;F301,"Y","")</f>
        <v/>
      </c>
      <c r="AC301" s="9" t="str">
        <f aca="false">IF(O301&lt;&gt;"Y","Y","")</f>
        <v/>
      </c>
      <c r="AD301" s="9" t="str">
        <f aca="false">IF(AND(M301="declined-prior-offer",S301=""),"Y","")</f>
        <v/>
      </c>
      <c r="AE301" s="9" t="str">
        <f aca="false">IF(OR(R301&lt;&gt;"MATCH",ISNUMBER(SEARCH("conflict",Q301))),"Y","")</f>
        <v/>
      </c>
      <c r="AF301" s="9" t="str">
        <f aca="false">IF(AND(ISNUMBER(Z301),ABS(Z301-AA301)&gt;0.001),"Y","")</f>
        <v/>
      </c>
      <c r="AG301" s="9" t="str">
        <f aca="false">IF(AND(W301&lt;&gt;"",Y301&lt;&gt;"ACCEPTED"),"Y","")</f>
        <v/>
      </c>
      <c r="AH301" s="9" t="str">
        <f aca="false">IF(COUNTIF(AB301:AG301,"Y")&gt;0,"EXCEPTION","NO EXCEPTION IDENTIFIED")</f>
        <v>NO EXCEPTION IDENTIFIED</v>
      </c>
      <c r="AI301" s="12" t="s">
        <v>156</v>
      </c>
      <c r="AJ301" s="12" t="s">
        <v>1904</v>
      </c>
    </row>
    <row r="302" customFormat="false" ht="20.85" hidden="false" customHeight="false" outlineLevel="0" collapsed="false">
      <c r="A302" s="13" t="s">
        <v>1905</v>
      </c>
      <c r="B302" s="14" t="n">
        <v>46198</v>
      </c>
      <c r="C302" s="13" t="s">
        <v>1420</v>
      </c>
      <c r="D302" s="13" t="s">
        <v>1421</v>
      </c>
      <c r="E302" s="13" t="n">
        <v>843</v>
      </c>
      <c r="F302" s="14" t="n">
        <v>45190</v>
      </c>
      <c r="G302" s="13" t="n">
        <f aca="false">B302-F302</f>
        <v>1008</v>
      </c>
      <c r="H302" s="13" t="s">
        <v>1906</v>
      </c>
      <c r="I302" s="13" t="s">
        <v>1907</v>
      </c>
      <c r="J302" s="13" t="s">
        <v>135</v>
      </c>
      <c r="K302" s="13" t="s">
        <v>114</v>
      </c>
      <c r="L302" s="15" t="n">
        <v>36</v>
      </c>
      <c r="M302" s="13" t="s">
        <v>136</v>
      </c>
      <c r="N302" s="13" t="s">
        <v>137</v>
      </c>
      <c r="O302" s="13" t="s">
        <v>117</v>
      </c>
      <c r="P302" s="13" t="s">
        <v>178</v>
      </c>
      <c r="Q302" s="13" t="s">
        <v>119</v>
      </c>
      <c r="R302" s="13" t="s">
        <v>120</v>
      </c>
      <c r="S302" s="13"/>
      <c r="T302" s="14"/>
      <c r="U302" s="13"/>
      <c r="V302" s="13"/>
      <c r="W302" s="14"/>
      <c r="X302" s="13"/>
      <c r="Y302" s="13"/>
      <c r="Z302" s="15"/>
      <c r="AA302" s="15" t="n">
        <v>44.8</v>
      </c>
      <c r="AB302" s="13" t="str">
        <f aca="false">IF(B302&lt;F302,"Y","")</f>
        <v/>
      </c>
      <c r="AC302" s="13" t="str">
        <f aca="false">IF(O302&lt;&gt;"Y","Y","")</f>
        <v/>
      </c>
      <c r="AD302" s="13" t="str">
        <f aca="false">IF(AND(M302="declined-prior-offer",S302=""),"Y","")</f>
        <v/>
      </c>
      <c r="AE302" s="13" t="str">
        <f aca="false">IF(OR(R302&lt;&gt;"MATCH",ISNUMBER(SEARCH("conflict",Q302))),"Y","")</f>
        <v/>
      </c>
      <c r="AF302" s="13" t="str">
        <f aca="false">IF(AND(ISNUMBER(Z302),ABS(Z302-AA302)&gt;0.001),"Y","")</f>
        <v/>
      </c>
      <c r="AG302" s="13" t="str">
        <f aca="false">IF(AND(W302&lt;&gt;"",Y302&lt;&gt;"ACCEPTED"),"Y","")</f>
        <v/>
      </c>
      <c r="AH302" s="13" t="str">
        <f aca="false">IF(COUNTIF(AB302:AG302,"Y")&gt;0,"EXCEPTION","NO EXCEPTION IDENTIFIED")</f>
        <v>NO EXCEPTION IDENTIFIED</v>
      </c>
      <c r="AI302" s="16" t="s">
        <v>156</v>
      </c>
      <c r="AJ302" s="16" t="s">
        <v>1908</v>
      </c>
    </row>
    <row r="303" customFormat="false" ht="20.85" hidden="false" customHeight="false" outlineLevel="0" collapsed="false">
      <c r="A303" s="9" t="s">
        <v>1909</v>
      </c>
      <c r="B303" s="10" t="n">
        <v>46201</v>
      </c>
      <c r="C303" s="9" t="s">
        <v>1910</v>
      </c>
      <c r="D303" s="9" t="s">
        <v>1911</v>
      </c>
      <c r="E303" s="9" t="n">
        <v>1098</v>
      </c>
      <c r="F303" s="10" t="n">
        <v>45311</v>
      </c>
      <c r="G303" s="9" t="n">
        <f aca="false">B303-F303</f>
        <v>890</v>
      </c>
      <c r="H303" s="9" t="s">
        <v>1912</v>
      </c>
      <c r="I303" s="9" t="s">
        <v>1913</v>
      </c>
      <c r="J303" s="9" t="s">
        <v>135</v>
      </c>
      <c r="K303" s="9" t="s">
        <v>114</v>
      </c>
      <c r="L303" s="11" t="n">
        <v>28</v>
      </c>
      <c r="M303" s="9" t="s">
        <v>115</v>
      </c>
      <c r="N303" s="9" t="s">
        <v>116</v>
      </c>
      <c r="O303" s="9" t="s">
        <v>117</v>
      </c>
      <c r="P303" s="9" t="s">
        <v>138</v>
      </c>
      <c r="Q303" s="9" t="s">
        <v>119</v>
      </c>
      <c r="R303" s="9" t="s">
        <v>120</v>
      </c>
      <c r="S303" s="9"/>
      <c r="T303" s="10"/>
      <c r="U303" s="9"/>
      <c r="V303" s="9"/>
      <c r="W303" s="10"/>
      <c r="X303" s="9"/>
      <c r="Y303" s="9"/>
      <c r="Z303" s="11"/>
      <c r="AA303" s="11" t="n">
        <v>27.5</v>
      </c>
      <c r="AB303" s="9" t="str">
        <f aca="false">IF(B303&lt;F303,"Y","")</f>
        <v/>
      </c>
      <c r="AC303" s="9" t="str">
        <f aca="false">IF(O303&lt;&gt;"Y","Y","")</f>
        <v/>
      </c>
      <c r="AD303" s="9" t="str">
        <f aca="false">IF(AND(M303="declined-prior-offer",S303=""),"Y","")</f>
        <v/>
      </c>
      <c r="AE303" s="9" t="str">
        <f aca="false">IF(OR(R303&lt;&gt;"MATCH",ISNUMBER(SEARCH("conflict",Q303))),"Y","")</f>
        <v/>
      </c>
      <c r="AF303" s="9" t="str">
        <f aca="false">IF(AND(ISNUMBER(Z303),ABS(Z303-AA303)&gt;0.001),"Y","")</f>
        <v/>
      </c>
      <c r="AG303" s="9" t="str">
        <f aca="false">IF(AND(W303&lt;&gt;"",Y303&lt;&gt;"ACCEPTED"),"Y","")</f>
        <v/>
      </c>
      <c r="AH303" s="9" t="str">
        <f aca="false">IF(COUNTIF(AB303:AG303,"Y")&gt;0,"EXCEPTION","NO EXCEPTION IDENTIFIED")</f>
        <v>NO EXCEPTION IDENTIFIED</v>
      </c>
      <c r="AI303" s="12" t="s">
        <v>156</v>
      </c>
      <c r="AJ303" s="12" t="s">
        <v>1914</v>
      </c>
    </row>
    <row r="304" customFormat="false" ht="20.85" hidden="false" customHeight="false" outlineLevel="0" collapsed="false">
      <c r="A304" s="13" t="s">
        <v>1915</v>
      </c>
      <c r="B304" s="14" t="n">
        <v>46205</v>
      </c>
      <c r="C304" s="13" t="s">
        <v>1916</v>
      </c>
      <c r="D304" s="13" t="s">
        <v>1917</v>
      </c>
      <c r="E304" s="13" t="n">
        <v>2260</v>
      </c>
      <c r="F304" s="14" t="n">
        <v>45834</v>
      </c>
      <c r="G304" s="13" t="n">
        <f aca="false">B304-F304</f>
        <v>371</v>
      </c>
      <c r="H304" s="13" t="s">
        <v>1918</v>
      </c>
      <c r="I304" s="13" t="s">
        <v>1919</v>
      </c>
      <c r="J304" s="13" t="s">
        <v>145</v>
      </c>
      <c r="K304" s="13" t="s">
        <v>146</v>
      </c>
      <c r="L304" s="15" t="n">
        <v>40</v>
      </c>
      <c r="M304" s="13" t="s">
        <v>185</v>
      </c>
      <c r="N304" s="13" t="s">
        <v>186</v>
      </c>
      <c r="O304" s="13" t="s">
        <v>117</v>
      </c>
      <c r="P304" s="13" t="s">
        <v>118</v>
      </c>
      <c r="Q304" s="13" t="s">
        <v>119</v>
      </c>
      <c r="R304" s="13" t="s">
        <v>120</v>
      </c>
      <c r="S304" s="13"/>
      <c r="T304" s="14"/>
      <c r="U304" s="13"/>
      <c r="V304" s="13"/>
      <c r="W304" s="14"/>
      <c r="X304" s="13"/>
      <c r="Y304" s="13"/>
      <c r="Z304" s="15"/>
      <c r="AA304" s="15" t="n">
        <v>58</v>
      </c>
      <c r="AB304" s="13" t="str">
        <f aca="false">IF(B304&lt;F304,"Y","")</f>
        <v/>
      </c>
      <c r="AC304" s="13" t="str">
        <f aca="false">IF(O304&lt;&gt;"Y","Y","")</f>
        <v/>
      </c>
      <c r="AD304" s="13" t="str">
        <f aca="false">IF(AND(M304="declined-prior-offer",S304=""),"Y","")</f>
        <v/>
      </c>
      <c r="AE304" s="13" t="str">
        <f aca="false">IF(OR(R304&lt;&gt;"MATCH",ISNUMBER(SEARCH("conflict",Q304))),"Y","")</f>
        <v/>
      </c>
      <c r="AF304" s="13" t="str">
        <f aca="false">IF(AND(ISNUMBER(Z304),ABS(Z304-AA304)&gt;0.001),"Y","")</f>
        <v/>
      </c>
      <c r="AG304" s="13" t="str">
        <f aca="false">IF(AND(W304&lt;&gt;"",Y304&lt;&gt;"ACCEPTED"),"Y","")</f>
        <v/>
      </c>
      <c r="AH304" s="13" t="str">
        <f aca="false">IF(COUNTIF(AB304:AG304,"Y")&gt;0,"EXCEPTION","NO EXCEPTION IDENTIFIED")</f>
        <v>NO EXCEPTION IDENTIFIED</v>
      </c>
      <c r="AI304" s="16" t="s">
        <v>156</v>
      </c>
      <c r="AJ304" s="16" t="s">
        <v>1920</v>
      </c>
    </row>
    <row r="305" customFormat="false" ht="20.85" hidden="false" customHeight="false" outlineLevel="0" collapsed="false">
      <c r="A305" s="9" t="s">
        <v>1921</v>
      </c>
      <c r="B305" s="10" t="n">
        <v>46206</v>
      </c>
      <c r="C305" s="9" t="s">
        <v>1922</v>
      </c>
      <c r="D305" s="9" t="s">
        <v>1923</v>
      </c>
      <c r="E305" s="9" t="n">
        <v>2397</v>
      </c>
      <c r="F305" s="10" t="n">
        <v>45892</v>
      </c>
      <c r="G305" s="9" t="n">
        <f aca="false">B305-F305</f>
        <v>314</v>
      </c>
      <c r="H305" s="9" t="s">
        <v>1924</v>
      </c>
      <c r="I305" s="9" t="s">
        <v>489</v>
      </c>
      <c r="J305" s="9" t="s">
        <v>113</v>
      </c>
      <c r="K305" s="9" t="s">
        <v>114</v>
      </c>
      <c r="L305" s="11" t="n">
        <v>24</v>
      </c>
      <c r="M305" s="9" t="s">
        <v>169</v>
      </c>
      <c r="N305" s="9" t="s">
        <v>170</v>
      </c>
      <c r="O305" s="9" t="s">
        <v>117</v>
      </c>
      <c r="P305" s="9" t="s">
        <v>178</v>
      </c>
      <c r="Q305" s="9" t="s">
        <v>119</v>
      </c>
      <c r="R305" s="9" t="s">
        <v>120</v>
      </c>
      <c r="S305" s="9"/>
      <c r="T305" s="10"/>
      <c r="U305" s="9"/>
      <c r="V305" s="9"/>
      <c r="W305" s="10"/>
      <c r="X305" s="9"/>
      <c r="Y305" s="9"/>
      <c r="Z305" s="11"/>
      <c r="AA305" s="11" t="n">
        <v>18.3</v>
      </c>
      <c r="AB305" s="9" t="str">
        <f aca="false">IF(B305&lt;F305,"Y","")</f>
        <v/>
      </c>
      <c r="AC305" s="9" t="str">
        <f aca="false">IF(O305&lt;&gt;"Y","Y","")</f>
        <v/>
      </c>
      <c r="AD305" s="9" t="str">
        <f aca="false">IF(AND(M305="declined-prior-offer",S305=""),"Y","")</f>
        <v>Y</v>
      </c>
      <c r="AE305" s="9" t="str">
        <f aca="false">IF(OR(R305&lt;&gt;"MATCH",ISNUMBER(SEARCH("conflict",Q305))),"Y","")</f>
        <v/>
      </c>
      <c r="AF305" s="9" t="str">
        <f aca="false">IF(AND(ISNUMBER(Z305),ABS(Z305-AA305)&gt;0.001),"Y","")</f>
        <v/>
      </c>
      <c r="AG305" s="9" t="str">
        <f aca="false">IF(AND(W305&lt;&gt;"",Y305&lt;&gt;"ACCEPTED"),"Y","")</f>
        <v/>
      </c>
      <c r="AH305" s="9" t="str">
        <f aca="false">IF(COUNTIF(AB305:AG305,"Y")&gt;0,"EXCEPTION","NO EXCEPTION IDENTIFIED")</f>
        <v>EXCEPTION</v>
      </c>
      <c r="AI305" s="12" t="s">
        <v>229</v>
      </c>
      <c r="AJ305" s="12" t="s">
        <v>1925</v>
      </c>
    </row>
    <row r="306" customFormat="false" ht="20.85" hidden="false" customHeight="false" outlineLevel="0" collapsed="false">
      <c r="A306" s="13" t="s">
        <v>1926</v>
      </c>
      <c r="B306" s="14" t="n">
        <v>46208</v>
      </c>
      <c r="C306" s="13" t="s">
        <v>1927</v>
      </c>
      <c r="D306" s="13" t="s">
        <v>1928</v>
      </c>
      <c r="E306" s="13" t="n">
        <v>2059</v>
      </c>
      <c r="F306" s="14" t="n">
        <v>45737</v>
      </c>
      <c r="G306" s="13" t="n">
        <f aca="false">B306-F306</f>
        <v>471</v>
      </c>
      <c r="H306" s="13" t="s">
        <v>1929</v>
      </c>
      <c r="I306" s="13" t="s">
        <v>1930</v>
      </c>
      <c r="J306" s="13" t="s">
        <v>155</v>
      </c>
      <c r="K306" s="13" t="s">
        <v>146</v>
      </c>
      <c r="L306" s="15" t="n">
        <v>28</v>
      </c>
      <c r="M306" s="13" t="s">
        <v>136</v>
      </c>
      <c r="N306" s="13" t="s">
        <v>137</v>
      </c>
      <c r="O306" s="13" t="s">
        <v>117</v>
      </c>
      <c r="P306" s="13" t="s">
        <v>138</v>
      </c>
      <c r="Q306" s="13" t="s">
        <v>119</v>
      </c>
      <c r="R306" s="13" t="s">
        <v>120</v>
      </c>
      <c r="S306" s="13"/>
      <c r="T306" s="14"/>
      <c r="U306" s="13"/>
      <c r="V306" s="13"/>
      <c r="W306" s="14"/>
      <c r="X306" s="13"/>
      <c r="Y306" s="13"/>
      <c r="Z306" s="15"/>
      <c r="AA306" s="15" t="n">
        <v>48.2</v>
      </c>
      <c r="AB306" s="13" t="str">
        <f aca="false">IF(B306&lt;F306,"Y","")</f>
        <v/>
      </c>
      <c r="AC306" s="13" t="str">
        <f aca="false">IF(O306&lt;&gt;"Y","Y","")</f>
        <v/>
      </c>
      <c r="AD306" s="13" t="str">
        <f aca="false">IF(AND(M306="declined-prior-offer",S306=""),"Y","")</f>
        <v/>
      </c>
      <c r="AE306" s="13" t="str">
        <f aca="false">IF(OR(R306&lt;&gt;"MATCH",ISNUMBER(SEARCH("conflict",Q306))),"Y","")</f>
        <v/>
      </c>
      <c r="AF306" s="13" t="str">
        <f aca="false">IF(AND(ISNUMBER(Z306),ABS(Z306-AA306)&gt;0.001),"Y","")</f>
        <v/>
      </c>
      <c r="AG306" s="13" t="str">
        <f aca="false">IF(AND(W306&lt;&gt;"",Y306&lt;&gt;"ACCEPTED"),"Y","")</f>
        <v/>
      </c>
      <c r="AH306" s="13" t="str">
        <f aca="false">IF(COUNTIF(AB306:AG306,"Y")&gt;0,"EXCEPTION","NO EXCEPTION IDENTIFIED")</f>
        <v>NO EXCEPTION IDENTIFIED</v>
      </c>
      <c r="AI306" s="16" t="s">
        <v>156</v>
      </c>
      <c r="AJ306" s="16" t="s">
        <v>1931</v>
      </c>
    </row>
    <row r="307" customFormat="false" ht="20.85" hidden="false" customHeight="false" outlineLevel="0" collapsed="false">
      <c r="A307" s="9" t="s">
        <v>1932</v>
      </c>
      <c r="B307" s="10" t="n">
        <v>46210</v>
      </c>
      <c r="C307" s="9" t="s">
        <v>1933</v>
      </c>
      <c r="D307" s="9" t="s">
        <v>1934</v>
      </c>
      <c r="E307" s="9" t="n">
        <v>1900</v>
      </c>
      <c r="F307" s="10" t="n">
        <v>45666</v>
      </c>
      <c r="G307" s="9" t="n">
        <f aca="false">B307-F307</f>
        <v>544</v>
      </c>
      <c r="H307" s="9" t="s">
        <v>1935</v>
      </c>
      <c r="I307" s="9" t="s">
        <v>1936</v>
      </c>
      <c r="J307" s="9" t="s">
        <v>155</v>
      </c>
      <c r="K307" s="9" t="s">
        <v>146</v>
      </c>
      <c r="L307" s="11" t="n">
        <v>24</v>
      </c>
      <c r="M307" s="9" t="s">
        <v>185</v>
      </c>
      <c r="N307" s="9" t="s">
        <v>186</v>
      </c>
      <c r="O307" s="9" t="s">
        <v>117</v>
      </c>
      <c r="P307" s="9" t="s">
        <v>128</v>
      </c>
      <c r="Q307" s="9" t="s">
        <v>119</v>
      </c>
      <c r="R307" s="9" t="s">
        <v>120</v>
      </c>
      <c r="S307" s="9"/>
      <c r="T307" s="10"/>
      <c r="U307" s="9"/>
      <c r="V307" s="9"/>
      <c r="W307" s="10"/>
      <c r="X307" s="9"/>
      <c r="Y307" s="9"/>
      <c r="Z307" s="11"/>
      <c r="AA307" s="11" t="n">
        <v>50</v>
      </c>
      <c r="AB307" s="9" t="str">
        <f aca="false">IF(B307&lt;F307,"Y","")</f>
        <v/>
      </c>
      <c r="AC307" s="9" t="str">
        <f aca="false">IF(O307&lt;&gt;"Y","Y","")</f>
        <v/>
      </c>
      <c r="AD307" s="9" t="str">
        <f aca="false">IF(AND(M307="declined-prior-offer",S307=""),"Y","")</f>
        <v/>
      </c>
      <c r="AE307" s="9" t="str">
        <f aca="false">IF(OR(R307&lt;&gt;"MATCH",ISNUMBER(SEARCH("conflict",Q307))),"Y","")</f>
        <v/>
      </c>
      <c r="AF307" s="9" t="str">
        <f aca="false">IF(AND(ISNUMBER(Z307),ABS(Z307-AA307)&gt;0.001),"Y","")</f>
        <v/>
      </c>
      <c r="AG307" s="9" t="str">
        <f aca="false">IF(AND(W307&lt;&gt;"",Y307&lt;&gt;"ACCEPTED"),"Y","")</f>
        <v/>
      </c>
      <c r="AH307" s="9" t="str">
        <f aca="false">IF(COUNTIF(AB307:AG307,"Y")&gt;0,"EXCEPTION","NO EXCEPTION IDENTIFIED")</f>
        <v>NO EXCEPTION IDENTIFIED</v>
      </c>
      <c r="AI307" s="12" t="s">
        <v>156</v>
      </c>
      <c r="AJ307" s="12" t="s">
        <v>1937</v>
      </c>
    </row>
    <row r="308" customFormat="false" ht="20.85" hidden="false" customHeight="false" outlineLevel="0" collapsed="false">
      <c r="A308" s="13" t="s">
        <v>1938</v>
      </c>
      <c r="B308" s="14" t="n">
        <v>46217</v>
      </c>
      <c r="C308" s="13" t="s">
        <v>1939</v>
      </c>
      <c r="D308" s="13" t="s">
        <v>1940</v>
      </c>
      <c r="E308" s="13" t="n">
        <v>1358</v>
      </c>
      <c r="F308" s="14" t="n">
        <v>45431</v>
      </c>
      <c r="G308" s="13" t="n">
        <f aca="false">B308-F308</f>
        <v>786</v>
      </c>
      <c r="H308" s="13" t="s">
        <v>1941</v>
      </c>
      <c r="I308" s="13" t="s">
        <v>1942</v>
      </c>
      <c r="J308" s="13" t="s">
        <v>113</v>
      </c>
      <c r="K308" s="13" t="s">
        <v>114</v>
      </c>
      <c r="L308" s="15" t="n">
        <v>32</v>
      </c>
      <c r="M308" s="13" t="s">
        <v>169</v>
      </c>
      <c r="N308" s="13" t="s">
        <v>170</v>
      </c>
      <c r="O308" s="13" t="s">
        <v>117</v>
      </c>
      <c r="P308" s="13" t="s">
        <v>178</v>
      </c>
      <c r="Q308" s="13" t="s">
        <v>119</v>
      </c>
      <c r="R308" s="13" t="s">
        <v>120</v>
      </c>
      <c r="S308" s="13"/>
      <c r="T308" s="14"/>
      <c r="U308" s="13"/>
      <c r="V308" s="13"/>
      <c r="W308" s="14"/>
      <c r="X308" s="13"/>
      <c r="Y308" s="13"/>
      <c r="Z308" s="15"/>
      <c r="AA308" s="15" t="n">
        <v>47</v>
      </c>
      <c r="AB308" s="13" t="str">
        <f aca="false">IF(B308&lt;F308,"Y","")</f>
        <v/>
      </c>
      <c r="AC308" s="13" t="str">
        <f aca="false">IF(O308&lt;&gt;"Y","Y","")</f>
        <v/>
      </c>
      <c r="AD308" s="13" t="str">
        <f aca="false">IF(AND(M308="declined-prior-offer",S308=""),"Y","")</f>
        <v>Y</v>
      </c>
      <c r="AE308" s="13" t="str">
        <f aca="false">IF(OR(R308&lt;&gt;"MATCH",ISNUMBER(SEARCH("conflict",Q308))),"Y","")</f>
        <v/>
      </c>
      <c r="AF308" s="13" t="str">
        <f aca="false">IF(AND(ISNUMBER(Z308),ABS(Z308-AA308)&gt;0.001),"Y","")</f>
        <v/>
      </c>
      <c r="AG308" s="13" t="str">
        <f aca="false">IF(AND(W308&lt;&gt;"",Y308&lt;&gt;"ACCEPTED"),"Y","")</f>
        <v/>
      </c>
      <c r="AH308" s="13" t="str">
        <f aca="false">IF(COUNTIF(AB308:AG308,"Y")&gt;0,"EXCEPTION","NO EXCEPTION IDENTIFIED")</f>
        <v>EXCEPTION</v>
      </c>
      <c r="AI308" s="16" t="s">
        <v>229</v>
      </c>
      <c r="AJ308" s="16" t="s">
        <v>1943</v>
      </c>
    </row>
    <row r="309" customFormat="false" ht="20.85" hidden="false" customHeight="false" outlineLevel="0" collapsed="false">
      <c r="A309" s="9" t="s">
        <v>1944</v>
      </c>
      <c r="B309" s="10" t="n">
        <v>46218</v>
      </c>
      <c r="C309" s="9" t="s">
        <v>1945</v>
      </c>
      <c r="D309" s="9" t="s">
        <v>1946</v>
      </c>
      <c r="E309" s="9" t="n">
        <v>1436</v>
      </c>
      <c r="F309" s="10" t="n">
        <v>45467</v>
      </c>
      <c r="G309" s="9" t="n">
        <f aca="false">B309-F309</f>
        <v>751</v>
      </c>
      <c r="H309" s="9" t="s">
        <v>1947</v>
      </c>
      <c r="I309" s="9" t="s">
        <v>1948</v>
      </c>
      <c r="J309" s="9" t="s">
        <v>204</v>
      </c>
      <c r="K309" s="9" t="s">
        <v>146</v>
      </c>
      <c r="L309" s="11" t="n">
        <v>32</v>
      </c>
      <c r="M309" s="9" t="s">
        <v>185</v>
      </c>
      <c r="N309" s="9" t="s">
        <v>186</v>
      </c>
      <c r="O309" s="9" t="s">
        <v>117</v>
      </c>
      <c r="P309" s="9" t="s">
        <v>178</v>
      </c>
      <c r="Q309" s="9" t="s">
        <v>119</v>
      </c>
      <c r="R309" s="9" t="s">
        <v>120</v>
      </c>
      <c r="S309" s="9"/>
      <c r="T309" s="10"/>
      <c r="U309" s="9"/>
      <c r="V309" s="9"/>
      <c r="W309" s="10"/>
      <c r="X309" s="9"/>
      <c r="Y309" s="9"/>
      <c r="Z309" s="11"/>
      <c r="AA309" s="11" t="n">
        <v>54.9</v>
      </c>
      <c r="AB309" s="9" t="str">
        <f aca="false">IF(B309&lt;F309,"Y","")</f>
        <v/>
      </c>
      <c r="AC309" s="9" t="str">
        <f aca="false">IF(O309&lt;&gt;"Y","Y","")</f>
        <v/>
      </c>
      <c r="AD309" s="9" t="str">
        <f aca="false">IF(AND(M309="declined-prior-offer",S309=""),"Y","")</f>
        <v/>
      </c>
      <c r="AE309" s="9" t="str">
        <f aca="false">IF(OR(R309&lt;&gt;"MATCH",ISNUMBER(SEARCH("conflict",Q309))),"Y","")</f>
        <v/>
      </c>
      <c r="AF309" s="9" t="str">
        <f aca="false">IF(AND(ISNUMBER(Z309),ABS(Z309-AA309)&gt;0.001),"Y","")</f>
        <v/>
      </c>
      <c r="AG309" s="9" t="str">
        <f aca="false">IF(AND(W309&lt;&gt;"",Y309&lt;&gt;"ACCEPTED"),"Y","")</f>
        <v/>
      </c>
      <c r="AH309" s="9" t="str">
        <f aca="false">IF(COUNTIF(AB309:AG309,"Y")&gt;0,"EXCEPTION","NO EXCEPTION IDENTIFIED")</f>
        <v>NO EXCEPTION IDENTIFIED</v>
      </c>
      <c r="AI309" s="12" t="s">
        <v>156</v>
      </c>
      <c r="AJ309" s="12" t="s">
        <v>1949</v>
      </c>
    </row>
    <row r="310" customFormat="false" ht="20.85" hidden="false" customHeight="false" outlineLevel="0" collapsed="false">
      <c r="A310" s="13" t="s">
        <v>1950</v>
      </c>
      <c r="B310" s="14" t="n">
        <v>46220</v>
      </c>
      <c r="C310" s="13" t="s">
        <v>887</v>
      </c>
      <c r="D310" s="13" t="s">
        <v>888</v>
      </c>
      <c r="E310" s="13" t="n">
        <v>1013</v>
      </c>
      <c r="F310" s="14" t="n">
        <v>45271</v>
      </c>
      <c r="G310" s="13" t="n">
        <f aca="false">B310-F310</f>
        <v>949</v>
      </c>
      <c r="H310" s="13" t="s">
        <v>1951</v>
      </c>
      <c r="I310" s="13" t="s">
        <v>1952</v>
      </c>
      <c r="J310" s="13" t="s">
        <v>204</v>
      </c>
      <c r="K310" s="13" t="s">
        <v>146</v>
      </c>
      <c r="L310" s="15" t="n">
        <v>24</v>
      </c>
      <c r="M310" s="13" t="s">
        <v>136</v>
      </c>
      <c r="N310" s="13" t="s">
        <v>137</v>
      </c>
      <c r="O310" s="13" t="s">
        <v>117</v>
      </c>
      <c r="P310" s="13" t="s">
        <v>138</v>
      </c>
      <c r="Q310" s="13" t="s">
        <v>119</v>
      </c>
      <c r="R310" s="13" t="s">
        <v>120</v>
      </c>
      <c r="S310" s="13"/>
      <c r="T310" s="14"/>
      <c r="U310" s="13"/>
      <c r="V310" s="13"/>
      <c r="W310" s="14"/>
      <c r="X310" s="13"/>
      <c r="Y310" s="13"/>
      <c r="Z310" s="15"/>
      <c r="AA310" s="15" t="n">
        <v>40.8</v>
      </c>
      <c r="AB310" s="13" t="str">
        <f aca="false">IF(B310&lt;F310,"Y","")</f>
        <v/>
      </c>
      <c r="AC310" s="13" t="str">
        <f aca="false">IF(O310&lt;&gt;"Y","Y","")</f>
        <v/>
      </c>
      <c r="AD310" s="13" t="str">
        <f aca="false">IF(AND(M310="declined-prior-offer",S310=""),"Y","")</f>
        <v/>
      </c>
      <c r="AE310" s="13" t="str">
        <f aca="false">IF(OR(R310&lt;&gt;"MATCH",ISNUMBER(SEARCH("conflict",Q310))),"Y","")</f>
        <v/>
      </c>
      <c r="AF310" s="13" t="str">
        <f aca="false">IF(AND(ISNUMBER(Z310),ABS(Z310-AA310)&gt;0.001),"Y","")</f>
        <v/>
      </c>
      <c r="AG310" s="13" t="str">
        <f aca="false">IF(AND(W310&lt;&gt;"",Y310&lt;&gt;"ACCEPTED"),"Y","")</f>
        <v/>
      </c>
      <c r="AH310" s="13" t="str">
        <f aca="false">IF(COUNTIF(AB310:AG310,"Y")&gt;0,"EXCEPTION","NO EXCEPTION IDENTIFIED")</f>
        <v>NO EXCEPTION IDENTIFIED</v>
      </c>
      <c r="AI310" s="16" t="s">
        <v>156</v>
      </c>
      <c r="AJ310" s="16" t="s">
        <v>1953</v>
      </c>
    </row>
    <row r="311" customFormat="false" ht="20.85" hidden="false" customHeight="false" outlineLevel="0" collapsed="false">
      <c r="A311" s="9" t="s">
        <v>1954</v>
      </c>
      <c r="B311" s="10" t="n">
        <v>46224</v>
      </c>
      <c r="C311" s="9" t="s">
        <v>1955</v>
      </c>
      <c r="D311" s="9" t="s">
        <v>1956</v>
      </c>
      <c r="E311" s="9" t="n">
        <v>2106</v>
      </c>
      <c r="F311" s="10" t="n">
        <v>45758</v>
      </c>
      <c r="G311" s="9" t="n">
        <f aca="false">B311-F311</f>
        <v>466</v>
      </c>
      <c r="H311" s="9" t="s">
        <v>1957</v>
      </c>
      <c r="I311" s="9" t="s">
        <v>1958</v>
      </c>
      <c r="J311" s="9" t="s">
        <v>113</v>
      </c>
      <c r="K311" s="9" t="s">
        <v>114</v>
      </c>
      <c r="L311" s="11" t="n">
        <v>24</v>
      </c>
      <c r="M311" s="9" t="s">
        <v>136</v>
      </c>
      <c r="N311" s="9" t="s">
        <v>137</v>
      </c>
      <c r="O311" s="9" t="s">
        <v>117</v>
      </c>
      <c r="P311" s="9" t="s">
        <v>178</v>
      </c>
      <c r="Q311" s="9" t="s">
        <v>119</v>
      </c>
      <c r="R311" s="9" t="s">
        <v>120</v>
      </c>
      <c r="S311" s="9"/>
      <c r="T311" s="10"/>
      <c r="U311" s="9"/>
      <c r="V311" s="9"/>
      <c r="W311" s="10"/>
      <c r="X311" s="9"/>
      <c r="Y311" s="9"/>
      <c r="Z311" s="11"/>
      <c r="AA311" s="11" t="n">
        <v>45.1</v>
      </c>
      <c r="AB311" s="9" t="str">
        <f aca="false">IF(B311&lt;F311,"Y","")</f>
        <v/>
      </c>
      <c r="AC311" s="9" t="str">
        <f aca="false">IF(O311&lt;&gt;"Y","Y","")</f>
        <v/>
      </c>
      <c r="AD311" s="9" t="str">
        <f aca="false">IF(AND(M311="declined-prior-offer",S311=""),"Y","")</f>
        <v/>
      </c>
      <c r="AE311" s="9" t="str">
        <f aca="false">IF(OR(R311&lt;&gt;"MATCH",ISNUMBER(SEARCH("conflict",Q311))),"Y","")</f>
        <v/>
      </c>
      <c r="AF311" s="9" t="str">
        <f aca="false">IF(AND(ISNUMBER(Z311),ABS(Z311-AA311)&gt;0.001),"Y","")</f>
        <v/>
      </c>
      <c r="AG311" s="9" t="str">
        <f aca="false">IF(AND(W311&lt;&gt;"",Y311&lt;&gt;"ACCEPTED"),"Y","")</f>
        <v/>
      </c>
      <c r="AH311" s="9" t="str">
        <f aca="false">IF(COUNTIF(AB311:AG311,"Y")&gt;0,"EXCEPTION","NO EXCEPTION IDENTIFIED")</f>
        <v>NO EXCEPTION IDENTIFIED</v>
      </c>
      <c r="AI311" s="12" t="s">
        <v>156</v>
      </c>
      <c r="AJ311" s="12" t="s">
        <v>1959</v>
      </c>
    </row>
    <row r="312" customFormat="false" ht="20.85" hidden="false" customHeight="false" outlineLevel="0" collapsed="false">
      <c r="A312" s="13" t="s">
        <v>1960</v>
      </c>
      <c r="B312" s="14" t="n">
        <v>46224</v>
      </c>
      <c r="C312" s="13" t="s">
        <v>1961</v>
      </c>
      <c r="D312" s="13" t="s">
        <v>1962</v>
      </c>
      <c r="E312" s="13" t="n">
        <v>722</v>
      </c>
      <c r="F312" s="14" t="n">
        <v>45127</v>
      </c>
      <c r="G312" s="13" t="n">
        <f aca="false">B312-F312</f>
        <v>1097</v>
      </c>
      <c r="H312" s="13" t="s">
        <v>1963</v>
      </c>
      <c r="I312" s="13" t="s">
        <v>1964</v>
      </c>
      <c r="J312" s="13" t="s">
        <v>135</v>
      </c>
      <c r="K312" s="13" t="s">
        <v>114</v>
      </c>
      <c r="L312" s="15" t="n">
        <v>28</v>
      </c>
      <c r="M312" s="13" t="s">
        <v>136</v>
      </c>
      <c r="N312" s="13" t="s">
        <v>137</v>
      </c>
      <c r="O312" s="13" t="s">
        <v>117</v>
      </c>
      <c r="P312" s="13" t="s">
        <v>118</v>
      </c>
      <c r="Q312" s="13" t="s">
        <v>119</v>
      </c>
      <c r="R312" s="13" t="s">
        <v>120</v>
      </c>
      <c r="S312" s="13"/>
      <c r="T312" s="14"/>
      <c r="U312" s="13"/>
      <c r="V312" s="13"/>
      <c r="W312" s="14"/>
      <c r="X312" s="13"/>
      <c r="Y312" s="13"/>
      <c r="Z312" s="15"/>
      <c r="AA312" s="15" t="n">
        <v>44.6</v>
      </c>
      <c r="AB312" s="13" t="str">
        <f aca="false">IF(B312&lt;F312,"Y","")</f>
        <v/>
      </c>
      <c r="AC312" s="13" t="str">
        <f aca="false">IF(O312&lt;&gt;"Y","Y","")</f>
        <v/>
      </c>
      <c r="AD312" s="13" t="str">
        <f aca="false">IF(AND(M312="declined-prior-offer",S312=""),"Y","")</f>
        <v/>
      </c>
      <c r="AE312" s="13" t="str">
        <f aca="false">IF(OR(R312&lt;&gt;"MATCH",ISNUMBER(SEARCH("conflict",Q312))),"Y","")</f>
        <v/>
      </c>
      <c r="AF312" s="13" t="str">
        <f aca="false">IF(AND(ISNUMBER(Z312),ABS(Z312-AA312)&gt;0.001),"Y","")</f>
        <v/>
      </c>
      <c r="AG312" s="13" t="str">
        <f aca="false">IF(AND(W312&lt;&gt;"",Y312&lt;&gt;"ACCEPTED"),"Y","")</f>
        <v/>
      </c>
      <c r="AH312" s="13" t="str">
        <f aca="false">IF(COUNTIF(AB312:AG312,"Y")&gt;0,"EXCEPTION","NO EXCEPTION IDENTIFIED")</f>
        <v>NO EXCEPTION IDENTIFIED</v>
      </c>
      <c r="AI312" s="16" t="s">
        <v>156</v>
      </c>
      <c r="AJ312" s="16" t="s">
        <v>1965</v>
      </c>
    </row>
    <row r="313" customFormat="false" ht="20.85" hidden="false" customHeight="false" outlineLevel="0" collapsed="false">
      <c r="A313" s="9" t="s">
        <v>1966</v>
      </c>
      <c r="B313" s="10" t="n">
        <v>46228</v>
      </c>
      <c r="C313" s="9" t="s">
        <v>1967</v>
      </c>
      <c r="D313" s="9" t="s">
        <v>1968</v>
      </c>
      <c r="E313" s="9" t="n">
        <v>2071</v>
      </c>
      <c r="F313" s="10" t="n">
        <v>45743</v>
      </c>
      <c r="G313" s="9" t="n">
        <f aca="false">B313-F313</f>
        <v>485</v>
      </c>
      <c r="H313" s="9" t="s">
        <v>1969</v>
      </c>
      <c r="I313" s="9" t="s">
        <v>1301</v>
      </c>
      <c r="J313" s="9" t="s">
        <v>204</v>
      </c>
      <c r="K313" s="9" t="s">
        <v>146</v>
      </c>
      <c r="L313" s="11" t="n">
        <v>24</v>
      </c>
      <c r="M313" s="9" t="s">
        <v>115</v>
      </c>
      <c r="N313" s="9" t="s">
        <v>116</v>
      </c>
      <c r="O313" s="9" t="s">
        <v>117</v>
      </c>
      <c r="P313" s="9" t="s">
        <v>138</v>
      </c>
      <c r="Q313" s="9" t="s">
        <v>119</v>
      </c>
      <c r="R313" s="9" t="s">
        <v>120</v>
      </c>
      <c r="S313" s="9" t="s">
        <v>1970</v>
      </c>
      <c r="T313" s="10" t="n">
        <v>45147</v>
      </c>
      <c r="U313" s="9" t="s">
        <v>1971</v>
      </c>
      <c r="V313" s="9" t="s">
        <v>516</v>
      </c>
      <c r="W313" s="10"/>
      <c r="X313" s="9"/>
      <c r="Y313" s="9"/>
      <c r="Z313" s="11"/>
      <c r="AA313" s="11" t="n">
        <v>21</v>
      </c>
      <c r="AB313" s="9" t="str">
        <f aca="false">IF(B313&lt;F313,"Y","")</f>
        <v/>
      </c>
      <c r="AC313" s="9" t="str">
        <f aca="false">IF(O313&lt;&gt;"Y","Y","")</f>
        <v/>
      </c>
      <c r="AD313" s="9" t="str">
        <f aca="false">IF(AND(M313="declined-prior-offer",S313=""),"Y","")</f>
        <v/>
      </c>
      <c r="AE313" s="9" t="str">
        <f aca="false">IF(OR(R313&lt;&gt;"MATCH",ISNUMBER(SEARCH("conflict",Q313))),"Y","")</f>
        <v/>
      </c>
      <c r="AF313" s="9" t="str">
        <f aca="false">IF(AND(ISNUMBER(Z313),ABS(Z313-AA313)&gt;0.001),"Y","")</f>
        <v/>
      </c>
      <c r="AG313" s="9" t="str">
        <f aca="false">IF(AND(W313&lt;&gt;"",Y313&lt;&gt;"ACCEPTED"),"Y","")</f>
        <v/>
      </c>
      <c r="AH313" s="9" t="str">
        <f aca="false">IF(COUNTIF(AB313:AG313,"Y")&gt;0,"EXCEPTION","NO EXCEPTION IDENTIFIED")</f>
        <v>NO EXCEPTION IDENTIFIED</v>
      </c>
      <c r="AI313" s="12" t="s">
        <v>156</v>
      </c>
      <c r="AJ313" s="12" t="s">
        <v>1972</v>
      </c>
    </row>
  </sheetData>
  <autoFilter ref="A4:AJ313"/>
  <mergeCells count="2">
    <mergeCell ref="A1:AJ1"/>
    <mergeCell ref="A2:AJ2"/>
  </mergeCells>
  <conditionalFormatting sqref="AH5:AH313">
    <cfRule type="cellIs" priority="2" operator="equal" aboveAverage="0" equalAverage="0" bottom="0" percent="0" rank="0" text="" dxfId="12">
      <formula>"EXCEPTION"</formula>
    </cfRule>
  </conditionalFormatting>
  <conditionalFormatting sqref="AB5:AG313">
    <cfRule type="cellIs" priority="3" operator="equal" aboveAverage="0" equalAverage="0" bottom="0" percent="0" rank="0" text="" dxfId="13">
      <formula>"Y"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&amp;CQueue audit | Sources in column AJ&amp;RPage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D88"/>
    <pageSetUpPr fitToPage="true"/>
  </sheetPr>
  <dimension ref="A1:AB10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8" min="7" style="0" width="22"/>
    <col collapsed="false" customWidth="true" hidden="false" outlineLevel="0" max="10" min="9" style="0" width="11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15"/>
    <col collapsed="false" customWidth="true" hidden="false" outlineLevel="0" max="20" min="20" style="0" width="21"/>
    <col collapsed="false" customWidth="true" hidden="false" outlineLevel="0" max="21" min="21" style="0" width="12"/>
    <col collapsed="false" customWidth="true" hidden="false" outlineLevel="0" max="23" min="22" style="0" width="11"/>
    <col collapsed="false" customWidth="true" hidden="false" outlineLevel="0" max="24" min="24" style="0" width="15"/>
    <col collapsed="false" customWidth="true" hidden="false" outlineLevel="0" max="26" min="25" style="0" width="16"/>
    <col collapsed="false" customWidth="true" hidden="false" outlineLevel="0" max="27" min="27" style="0" width="29"/>
    <col collapsed="false" customWidth="true" hidden="false" outlineLevel="0" max="28" min="28" style="0" width="58"/>
  </cols>
  <sheetData>
    <row r="1" customFormat="false" ht="33.75" hidden="false" customHeight="true" outlineLevel="0" collapsed="false">
      <c r="A1" s="1" t="s">
        <v>1973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30" hidden="false" customHeight="true" outlineLevel="0" collapsed="false">
      <c r="A2" s="2" t="s">
        <v>1974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 customFormat="false" ht="33.75" hidden="false" customHeight="true" outlineLevel="0" collapsed="false">
      <c r="A4" s="4" t="s">
        <v>1975</v>
      </c>
      <c r="B4" s="4" t="s">
        <v>81</v>
      </c>
      <c r="C4" s="4" t="s">
        <v>1976</v>
      </c>
      <c r="D4" s="4" t="s">
        <v>1977</v>
      </c>
      <c r="E4" s="4" t="s">
        <v>1978</v>
      </c>
      <c r="F4" s="4" t="s">
        <v>1979</v>
      </c>
      <c r="G4" s="4" t="s">
        <v>1980</v>
      </c>
      <c r="H4" s="4" t="s">
        <v>1981</v>
      </c>
      <c r="I4" s="4" t="s">
        <v>1982</v>
      </c>
      <c r="J4" s="4" t="s">
        <v>1983</v>
      </c>
      <c r="K4" s="4" t="s">
        <v>1984</v>
      </c>
      <c r="L4" s="4" t="s">
        <v>1985</v>
      </c>
      <c r="M4" s="4" t="s">
        <v>1986</v>
      </c>
      <c r="N4" s="4" t="s">
        <v>1987</v>
      </c>
      <c r="O4" s="4" t="s">
        <v>1988</v>
      </c>
      <c r="P4" s="4" t="s">
        <v>1989</v>
      </c>
      <c r="Q4" s="4" t="s">
        <v>1990</v>
      </c>
      <c r="R4" s="4" t="s">
        <v>1991</v>
      </c>
      <c r="S4" s="4" t="s">
        <v>1992</v>
      </c>
      <c r="T4" s="4" t="s">
        <v>1993</v>
      </c>
      <c r="U4" s="4" t="s">
        <v>1994</v>
      </c>
      <c r="V4" s="4" t="s">
        <v>1995</v>
      </c>
      <c r="W4" s="4" t="s">
        <v>1996</v>
      </c>
      <c r="X4" s="4" t="s">
        <v>1997</v>
      </c>
      <c r="Y4" s="4" t="s">
        <v>1998</v>
      </c>
      <c r="Z4" s="4" t="s">
        <v>1999</v>
      </c>
      <c r="AA4" s="4" t="s">
        <v>2000</v>
      </c>
      <c r="AB4" s="4" t="s">
        <v>107</v>
      </c>
    </row>
    <row r="5" customFormat="false" ht="15" hidden="false" customHeight="false" outlineLevel="0" collapsed="false">
      <c r="A5" s="9" t="s">
        <v>2001</v>
      </c>
      <c r="B5" s="9" t="s">
        <v>145</v>
      </c>
      <c r="C5" s="9" t="s">
        <v>146</v>
      </c>
      <c r="D5" s="9" t="s">
        <v>2002</v>
      </c>
      <c r="E5" s="9" t="s">
        <v>2003</v>
      </c>
      <c r="F5" s="9" t="s">
        <v>2004</v>
      </c>
      <c r="G5" s="9" t="s">
        <v>2005</v>
      </c>
      <c r="H5" s="9" t="s">
        <v>2006</v>
      </c>
      <c r="I5" s="11" t="n">
        <v>80</v>
      </c>
      <c r="J5" s="11" t="n">
        <v>29.3</v>
      </c>
      <c r="K5" s="11"/>
      <c r="L5" s="11"/>
      <c r="M5" s="11" t="n">
        <f aca="false">IF(ISNUMBER(L5),L5,J5)</f>
        <v>29.3</v>
      </c>
      <c r="N5" s="11" t="n">
        <f aca="false">ROUNDUP(M5,0)</f>
        <v>30</v>
      </c>
      <c r="O5" s="11" t="n">
        <f aca="false">MAX(I5,N5)</f>
        <v>80</v>
      </c>
      <c r="P5" s="11" t="n">
        <f aca="false">IF(C5="COVERED",MAX(0,O5-40),0)</f>
        <v>0</v>
      </c>
      <c r="Q5" s="11" t="n">
        <f aca="false">O5</f>
        <v>80</v>
      </c>
      <c r="R5" s="17" t="n">
        <f aca="false">IF(C5="COVERED",10.4,7.55)</f>
        <v>7.55</v>
      </c>
      <c r="S5" s="17" t="n">
        <f aca="false">Q5*R5</f>
        <v>604</v>
      </c>
      <c r="T5" s="9" t="s">
        <v>2007</v>
      </c>
      <c r="U5" s="10" t="n">
        <v>46235</v>
      </c>
      <c r="V5" s="9" t="n">
        <v>80</v>
      </c>
      <c r="W5" s="17" t="n">
        <v>7.55</v>
      </c>
      <c r="X5" s="17" t="n">
        <v>604</v>
      </c>
      <c r="Y5" s="17" t="n">
        <f aca="false">IF(ISNUMBER(X5),X5-S5,"")</f>
        <v>0</v>
      </c>
      <c r="Z5" s="17" t="n">
        <f aca="false">IF(ISNUMBER(X5),X5-S5,-S5)</f>
        <v>0</v>
      </c>
      <c r="AA5" s="9" t="str">
        <f aca="false">IF(NOT(ISNUMBER(X5)),"NO AUGUST POSTING IN EXPORT",IF(ABS(Y5)&gt;=0.005,"POSTED CHARGE MISMATCH",IF(P5&gt;0,"MATCH - COVERED ELIGIBILITY EXCEPTION","MATCH")))</f>
        <v>MATCH</v>
      </c>
      <c r="AB5" s="9" t="s">
        <v>2008</v>
      </c>
    </row>
    <row r="6" customFormat="false" ht="15" hidden="false" customHeight="false" outlineLevel="0" collapsed="false">
      <c r="A6" s="13" t="s">
        <v>2009</v>
      </c>
      <c r="B6" s="13" t="s">
        <v>145</v>
      </c>
      <c r="C6" s="13" t="s">
        <v>146</v>
      </c>
      <c r="D6" s="13" t="s">
        <v>2002</v>
      </c>
      <c r="E6" s="13" t="s">
        <v>2010</v>
      </c>
      <c r="F6" s="13" t="s">
        <v>2011</v>
      </c>
      <c r="G6" s="13" t="s">
        <v>2012</v>
      </c>
      <c r="H6" s="13" t="s">
        <v>2013</v>
      </c>
      <c r="I6" s="15" t="n">
        <v>24</v>
      </c>
      <c r="J6" s="15" t="n">
        <v>55.3</v>
      </c>
      <c r="K6" s="15"/>
      <c r="L6" s="15"/>
      <c r="M6" s="15" t="n">
        <f aca="false">IF(ISNUMBER(L6),L6,J6)</f>
        <v>55.3</v>
      </c>
      <c r="N6" s="15" t="n">
        <f aca="false">ROUNDUP(M6,0)</f>
        <v>56</v>
      </c>
      <c r="O6" s="15" t="n">
        <f aca="false">MAX(I6,N6)</f>
        <v>56</v>
      </c>
      <c r="P6" s="15" t="n">
        <f aca="false">IF(C6="COVERED",MAX(0,O6-40),0)</f>
        <v>0</v>
      </c>
      <c r="Q6" s="15" t="n">
        <f aca="false">O6</f>
        <v>56</v>
      </c>
      <c r="R6" s="18" t="n">
        <f aca="false">IF(C6="COVERED",10.4,7.55)</f>
        <v>7.55</v>
      </c>
      <c r="S6" s="18" t="n">
        <f aca="false">Q6*R6</f>
        <v>422.8</v>
      </c>
      <c r="T6" s="13" t="s">
        <v>2014</v>
      </c>
      <c r="U6" s="14" t="n">
        <v>46235</v>
      </c>
      <c r="V6" s="13" t="n">
        <v>56</v>
      </c>
      <c r="W6" s="18" t="n">
        <v>7.55</v>
      </c>
      <c r="X6" s="18" t="n">
        <v>422.8</v>
      </c>
      <c r="Y6" s="18" t="n">
        <f aca="false">IF(ISNUMBER(X6),X6-S6,"")</f>
        <v>0</v>
      </c>
      <c r="Z6" s="18" t="n">
        <f aca="false">IF(ISNUMBER(X6),X6-S6,-S6)</f>
        <v>0</v>
      </c>
      <c r="AA6" s="13" t="str">
        <f aca="false">IF(NOT(ISNUMBER(X6)),"NO AUGUST POSTING IN EXPORT",IF(ABS(Y6)&gt;=0.005,"POSTED CHARGE MISMATCH",IF(P6&gt;0,"MATCH - COVERED ELIGIBILITY EXCEPTION","MATCH")))</f>
        <v>MATCH</v>
      </c>
      <c r="AB6" s="13" t="s">
        <v>2015</v>
      </c>
    </row>
    <row r="7" customFormat="false" ht="15" hidden="false" customHeight="false" outlineLevel="0" collapsed="false">
      <c r="A7" s="9" t="s">
        <v>2016</v>
      </c>
      <c r="B7" s="9" t="s">
        <v>145</v>
      </c>
      <c r="C7" s="9" t="s">
        <v>146</v>
      </c>
      <c r="D7" s="9" t="s">
        <v>2002</v>
      </c>
      <c r="E7" s="9" t="s">
        <v>2017</v>
      </c>
      <c r="F7" s="9" t="s">
        <v>2018</v>
      </c>
      <c r="G7" s="9" t="s">
        <v>2019</v>
      </c>
      <c r="H7" s="9" t="s">
        <v>2020</v>
      </c>
      <c r="I7" s="11" t="n">
        <v>36</v>
      </c>
      <c r="J7" s="11" t="n">
        <v>42.6</v>
      </c>
      <c r="K7" s="11"/>
      <c r="L7" s="11"/>
      <c r="M7" s="11" t="n">
        <f aca="false">IF(ISNUMBER(L7),L7,J7)</f>
        <v>42.6</v>
      </c>
      <c r="N7" s="11" t="n">
        <f aca="false">ROUNDUP(M7,0)</f>
        <v>43</v>
      </c>
      <c r="O7" s="11" t="n">
        <f aca="false">MAX(I7,N7)</f>
        <v>43</v>
      </c>
      <c r="P7" s="11" t="n">
        <f aca="false">IF(C7="COVERED",MAX(0,O7-40),0)</f>
        <v>0</v>
      </c>
      <c r="Q7" s="11" t="n">
        <f aca="false">O7</f>
        <v>43</v>
      </c>
      <c r="R7" s="17" t="n">
        <f aca="false">IF(C7="COVERED",10.4,7.55)</f>
        <v>7.55</v>
      </c>
      <c r="S7" s="17" t="n">
        <f aca="false">Q7*R7</f>
        <v>324.65</v>
      </c>
      <c r="T7" s="9" t="s">
        <v>2021</v>
      </c>
      <c r="U7" s="10" t="n">
        <v>46235</v>
      </c>
      <c r="V7" s="9" t="n">
        <v>43</v>
      </c>
      <c r="W7" s="17" t="n">
        <v>7.55</v>
      </c>
      <c r="X7" s="17" t="n">
        <v>324.65</v>
      </c>
      <c r="Y7" s="17" t="n">
        <f aca="false">IF(ISNUMBER(X7),X7-S7,"")</f>
        <v>0</v>
      </c>
      <c r="Z7" s="17" t="n">
        <f aca="false">IF(ISNUMBER(X7),X7-S7,-S7)</f>
        <v>0</v>
      </c>
      <c r="AA7" s="9" t="str">
        <f aca="false">IF(NOT(ISNUMBER(X7)),"NO AUGUST POSTING IN EXPORT",IF(ABS(Y7)&gt;=0.005,"POSTED CHARGE MISMATCH",IF(P7&gt;0,"MATCH - COVERED ELIGIBILITY EXCEPTION","MATCH")))</f>
        <v>MATCH</v>
      </c>
      <c r="AB7" s="9" t="s">
        <v>2022</v>
      </c>
    </row>
    <row r="8" customFormat="false" ht="15" hidden="false" customHeight="false" outlineLevel="0" collapsed="false">
      <c r="A8" s="13" t="s">
        <v>2023</v>
      </c>
      <c r="B8" s="13" t="s">
        <v>145</v>
      </c>
      <c r="C8" s="13" t="s">
        <v>146</v>
      </c>
      <c r="D8" s="13" t="s">
        <v>2002</v>
      </c>
      <c r="E8" s="13" t="s">
        <v>2024</v>
      </c>
      <c r="F8" s="13" t="s">
        <v>2025</v>
      </c>
      <c r="G8" s="13" t="s">
        <v>2026</v>
      </c>
      <c r="H8" s="13" t="s">
        <v>2027</v>
      </c>
      <c r="I8" s="15" t="n">
        <v>36</v>
      </c>
      <c r="J8" s="15" t="n">
        <v>60.2</v>
      </c>
      <c r="K8" s="15"/>
      <c r="L8" s="15"/>
      <c r="M8" s="15" t="n">
        <f aca="false">IF(ISNUMBER(L8),L8,J8)</f>
        <v>60.2</v>
      </c>
      <c r="N8" s="15" t="n">
        <f aca="false">ROUNDUP(M8,0)</f>
        <v>61</v>
      </c>
      <c r="O8" s="15" t="n">
        <f aca="false">MAX(I8,N8)</f>
        <v>61</v>
      </c>
      <c r="P8" s="15" t="n">
        <f aca="false">IF(C8="COVERED",MAX(0,O8-40),0)</f>
        <v>0</v>
      </c>
      <c r="Q8" s="15" t="n">
        <f aca="false">O8</f>
        <v>61</v>
      </c>
      <c r="R8" s="18" t="n">
        <f aca="false">IF(C8="COVERED",10.4,7.55)</f>
        <v>7.55</v>
      </c>
      <c r="S8" s="18" t="n">
        <f aca="false">Q8*R8</f>
        <v>460.55</v>
      </c>
      <c r="T8" s="13" t="s">
        <v>2028</v>
      </c>
      <c r="U8" s="14" t="n">
        <v>46235</v>
      </c>
      <c r="V8" s="13" t="n">
        <v>61</v>
      </c>
      <c r="W8" s="18" t="n">
        <v>7.55</v>
      </c>
      <c r="X8" s="18" t="n">
        <v>460.55</v>
      </c>
      <c r="Y8" s="18" t="n">
        <f aca="false">IF(ISNUMBER(X8),X8-S8,"")</f>
        <v>0</v>
      </c>
      <c r="Z8" s="18" t="n">
        <f aca="false">IF(ISNUMBER(X8),X8-S8,-S8)</f>
        <v>0</v>
      </c>
      <c r="AA8" s="13" t="str">
        <f aca="false">IF(NOT(ISNUMBER(X8)),"NO AUGUST POSTING IN EXPORT",IF(ABS(Y8)&gt;=0.005,"POSTED CHARGE MISMATCH",IF(P8&gt;0,"MATCH - COVERED ELIGIBILITY EXCEPTION","MATCH")))</f>
        <v>MATCH</v>
      </c>
      <c r="AB8" s="13" t="s">
        <v>2029</v>
      </c>
    </row>
    <row r="9" customFormat="false" ht="15" hidden="false" customHeight="false" outlineLevel="0" collapsed="false">
      <c r="A9" s="9" t="s">
        <v>2030</v>
      </c>
      <c r="B9" s="9" t="s">
        <v>145</v>
      </c>
      <c r="C9" s="9" t="s">
        <v>146</v>
      </c>
      <c r="D9" s="9" t="s">
        <v>2002</v>
      </c>
      <c r="E9" s="9" t="s">
        <v>2031</v>
      </c>
      <c r="F9" s="9" t="s">
        <v>2032</v>
      </c>
      <c r="G9" s="9" t="s">
        <v>2033</v>
      </c>
      <c r="H9" s="9" t="s">
        <v>2034</v>
      </c>
      <c r="I9" s="11" t="n">
        <v>45</v>
      </c>
      <c r="J9" s="11" t="n">
        <v>47.5</v>
      </c>
      <c r="K9" s="11"/>
      <c r="L9" s="11"/>
      <c r="M9" s="11" t="n">
        <f aca="false">IF(ISNUMBER(L9),L9,J9)</f>
        <v>47.5</v>
      </c>
      <c r="N9" s="11" t="n">
        <f aca="false">ROUNDUP(M9,0)</f>
        <v>48</v>
      </c>
      <c r="O9" s="11" t="n">
        <f aca="false">MAX(I9,N9)</f>
        <v>48</v>
      </c>
      <c r="P9" s="11" t="n">
        <f aca="false">IF(C9="COVERED",MAX(0,O9-40),0)</f>
        <v>0</v>
      </c>
      <c r="Q9" s="11" t="n">
        <f aca="false">O9</f>
        <v>48</v>
      </c>
      <c r="R9" s="17" t="n">
        <f aca="false">IF(C9="COVERED",10.4,7.55)</f>
        <v>7.55</v>
      </c>
      <c r="S9" s="17" t="n">
        <f aca="false">Q9*R9</f>
        <v>362.4</v>
      </c>
      <c r="T9" s="9" t="s">
        <v>2035</v>
      </c>
      <c r="U9" s="10" t="n">
        <v>46235</v>
      </c>
      <c r="V9" s="9" t="n">
        <v>48</v>
      </c>
      <c r="W9" s="17" t="n">
        <v>7.55</v>
      </c>
      <c r="X9" s="17" t="n">
        <v>362.4</v>
      </c>
      <c r="Y9" s="17" t="n">
        <f aca="false">IF(ISNUMBER(X9),X9-S9,"")</f>
        <v>0</v>
      </c>
      <c r="Z9" s="17" t="n">
        <f aca="false">IF(ISNUMBER(X9),X9-S9,-S9)</f>
        <v>0</v>
      </c>
      <c r="AA9" s="9" t="str">
        <f aca="false">IF(NOT(ISNUMBER(X9)),"NO AUGUST POSTING IN EXPORT",IF(ABS(Y9)&gt;=0.005,"POSTED CHARGE MISMATCH",IF(P9&gt;0,"MATCH - COVERED ELIGIBILITY EXCEPTION","MATCH")))</f>
        <v>MATCH</v>
      </c>
      <c r="AB9" s="9" t="s">
        <v>2036</v>
      </c>
    </row>
    <row r="10" customFormat="false" ht="15" hidden="false" customHeight="false" outlineLevel="0" collapsed="false">
      <c r="A10" s="13" t="s">
        <v>589</v>
      </c>
      <c r="B10" s="13" t="s">
        <v>145</v>
      </c>
      <c r="C10" s="13" t="s">
        <v>146</v>
      </c>
      <c r="D10" s="13" t="s">
        <v>2002</v>
      </c>
      <c r="E10" s="13" t="s">
        <v>2037</v>
      </c>
      <c r="F10" s="13" t="s">
        <v>908</v>
      </c>
      <c r="G10" s="13" t="s">
        <v>909</v>
      </c>
      <c r="H10" s="13" t="s">
        <v>2038</v>
      </c>
      <c r="I10" s="15" t="n">
        <v>28</v>
      </c>
      <c r="J10" s="15" t="n">
        <v>23.7</v>
      </c>
      <c r="K10" s="15"/>
      <c r="L10" s="15"/>
      <c r="M10" s="15" t="n">
        <f aca="false">IF(ISNUMBER(L10),L10,J10)</f>
        <v>23.7</v>
      </c>
      <c r="N10" s="15" t="n">
        <f aca="false">ROUNDUP(M10,0)</f>
        <v>24</v>
      </c>
      <c r="O10" s="15" t="n">
        <f aca="false">MAX(I10,N10)</f>
        <v>28</v>
      </c>
      <c r="P10" s="15" t="n">
        <f aca="false">IF(C10="COVERED",MAX(0,O10-40),0)</f>
        <v>0</v>
      </c>
      <c r="Q10" s="15" t="n">
        <f aca="false">O10</f>
        <v>28</v>
      </c>
      <c r="R10" s="18" t="n">
        <f aca="false">IF(C10="COVERED",10.4,7.55)</f>
        <v>7.55</v>
      </c>
      <c r="S10" s="18" t="n">
        <f aca="false">Q10*R10</f>
        <v>211.4</v>
      </c>
      <c r="T10" s="13" t="s">
        <v>2039</v>
      </c>
      <c r="U10" s="14" t="n">
        <v>46235</v>
      </c>
      <c r="V10" s="13" t="n">
        <v>28</v>
      </c>
      <c r="W10" s="18" t="n">
        <v>7.55</v>
      </c>
      <c r="X10" s="18" t="n">
        <v>211.4</v>
      </c>
      <c r="Y10" s="18" t="n">
        <f aca="false">IF(ISNUMBER(X10),X10-S10,"")</f>
        <v>0</v>
      </c>
      <c r="Z10" s="18" t="n">
        <f aca="false">IF(ISNUMBER(X10),X10-S10,-S10)</f>
        <v>0</v>
      </c>
      <c r="AA10" s="13" t="str">
        <f aca="false">IF(NOT(ISNUMBER(X10)),"NO AUGUST POSTING IN EXPORT",IF(ABS(Y10)&gt;=0.005,"POSTED CHARGE MISMATCH",IF(P10&gt;0,"MATCH - COVERED ELIGIBILITY EXCEPTION","MATCH")))</f>
        <v>MATCH</v>
      </c>
      <c r="AB10" s="13" t="s">
        <v>2040</v>
      </c>
    </row>
    <row r="11" customFormat="false" ht="15" hidden="false" customHeight="false" outlineLevel="0" collapsed="false">
      <c r="A11" s="9" t="s">
        <v>2041</v>
      </c>
      <c r="B11" s="9" t="s">
        <v>145</v>
      </c>
      <c r="C11" s="9" t="s">
        <v>146</v>
      </c>
      <c r="D11" s="9" t="s">
        <v>2002</v>
      </c>
      <c r="E11" s="9" t="s">
        <v>2042</v>
      </c>
      <c r="F11" s="9" t="s">
        <v>2043</v>
      </c>
      <c r="G11" s="9" t="s">
        <v>2044</v>
      </c>
      <c r="H11" s="9" t="s">
        <v>2045</v>
      </c>
      <c r="I11" s="11" t="n">
        <v>40</v>
      </c>
      <c r="J11" s="11" t="n">
        <v>59.3</v>
      </c>
      <c r="K11" s="11"/>
      <c r="L11" s="11"/>
      <c r="M11" s="11" t="n">
        <f aca="false">IF(ISNUMBER(L11),L11,J11)</f>
        <v>59.3</v>
      </c>
      <c r="N11" s="11" t="n">
        <f aca="false">ROUNDUP(M11,0)</f>
        <v>60</v>
      </c>
      <c r="O11" s="11" t="n">
        <f aca="false">MAX(I11,N11)</f>
        <v>60</v>
      </c>
      <c r="P11" s="11" t="n">
        <f aca="false">IF(C11="COVERED",MAX(0,O11-40),0)</f>
        <v>0</v>
      </c>
      <c r="Q11" s="11" t="n">
        <f aca="false">O11</f>
        <v>60</v>
      </c>
      <c r="R11" s="17" t="n">
        <f aca="false">IF(C11="COVERED",10.4,7.55)</f>
        <v>7.55</v>
      </c>
      <c r="S11" s="17" t="n">
        <f aca="false">Q11*R11</f>
        <v>453</v>
      </c>
      <c r="T11" s="9" t="s">
        <v>2046</v>
      </c>
      <c r="U11" s="10" t="n">
        <v>46235</v>
      </c>
      <c r="V11" s="9" t="n">
        <v>60</v>
      </c>
      <c r="W11" s="17" t="n">
        <v>7.55</v>
      </c>
      <c r="X11" s="17" t="n">
        <v>453</v>
      </c>
      <c r="Y11" s="17" t="n">
        <f aca="false">IF(ISNUMBER(X11),X11-S11,"")</f>
        <v>0</v>
      </c>
      <c r="Z11" s="17" t="n">
        <f aca="false">IF(ISNUMBER(X11),X11-S11,-S11)</f>
        <v>0</v>
      </c>
      <c r="AA11" s="9" t="str">
        <f aca="false">IF(NOT(ISNUMBER(X11)),"NO AUGUST POSTING IN EXPORT",IF(ABS(Y11)&gt;=0.005,"POSTED CHARGE MISMATCH",IF(P11&gt;0,"MATCH - COVERED ELIGIBILITY EXCEPTION","MATCH")))</f>
        <v>MATCH</v>
      </c>
      <c r="AB11" s="9" t="s">
        <v>2047</v>
      </c>
    </row>
    <row r="12" customFormat="false" ht="15" hidden="false" customHeight="false" outlineLevel="0" collapsed="false">
      <c r="A12" s="13" t="s">
        <v>602</v>
      </c>
      <c r="B12" s="13" t="s">
        <v>145</v>
      </c>
      <c r="C12" s="13" t="s">
        <v>146</v>
      </c>
      <c r="D12" s="13" t="s">
        <v>2002</v>
      </c>
      <c r="E12" s="13" t="s">
        <v>2048</v>
      </c>
      <c r="F12" s="13" t="s">
        <v>2049</v>
      </c>
      <c r="G12" s="13" t="s">
        <v>2050</v>
      </c>
      <c r="H12" s="13" t="s">
        <v>2051</v>
      </c>
      <c r="I12" s="15" t="n">
        <v>60</v>
      </c>
      <c r="J12" s="15" t="n">
        <v>30.9</v>
      </c>
      <c r="K12" s="15"/>
      <c r="L12" s="15"/>
      <c r="M12" s="15" t="n">
        <f aca="false">IF(ISNUMBER(L12),L12,J12)</f>
        <v>30.9</v>
      </c>
      <c r="N12" s="15" t="n">
        <f aca="false">ROUNDUP(M12,0)</f>
        <v>31</v>
      </c>
      <c r="O12" s="15" t="n">
        <f aca="false">MAX(I12,N12)</f>
        <v>60</v>
      </c>
      <c r="P12" s="15" t="n">
        <f aca="false">IF(C12="COVERED",MAX(0,O12-40),0)</f>
        <v>0</v>
      </c>
      <c r="Q12" s="15" t="n">
        <f aca="false">O12</f>
        <v>60</v>
      </c>
      <c r="R12" s="18" t="n">
        <f aca="false">IF(C12="COVERED",10.4,7.55)</f>
        <v>7.55</v>
      </c>
      <c r="S12" s="18" t="n">
        <f aca="false">Q12*R12</f>
        <v>453</v>
      </c>
      <c r="T12" s="13" t="s">
        <v>2052</v>
      </c>
      <c r="U12" s="14" t="n">
        <v>46235</v>
      </c>
      <c r="V12" s="13" t="n">
        <v>60</v>
      </c>
      <c r="W12" s="18" t="n">
        <v>7.55</v>
      </c>
      <c r="X12" s="18" t="n">
        <v>453</v>
      </c>
      <c r="Y12" s="18" t="n">
        <f aca="false">IF(ISNUMBER(X12),X12-S12,"")</f>
        <v>0</v>
      </c>
      <c r="Z12" s="18" t="n">
        <f aca="false">IF(ISNUMBER(X12),X12-S12,-S12)</f>
        <v>0</v>
      </c>
      <c r="AA12" s="13" t="str">
        <f aca="false">IF(NOT(ISNUMBER(X12)),"NO AUGUST POSTING IN EXPORT",IF(ABS(Y12)&gt;=0.005,"POSTED CHARGE MISMATCH",IF(P12&gt;0,"MATCH - COVERED ELIGIBILITY EXCEPTION","MATCH")))</f>
        <v>MATCH</v>
      </c>
      <c r="AB12" s="13" t="s">
        <v>2053</v>
      </c>
    </row>
    <row r="13" customFormat="false" ht="15" hidden="false" customHeight="false" outlineLevel="0" collapsed="false">
      <c r="A13" s="9" t="s">
        <v>534</v>
      </c>
      <c r="B13" s="9" t="s">
        <v>145</v>
      </c>
      <c r="C13" s="9" t="s">
        <v>146</v>
      </c>
      <c r="D13" s="9" t="s">
        <v>2002</v>
      </c>
      <c r="E13" s="9" t="s">
        <v>2054</v>
      </c>
      <c r="F13" s="9" t="s">
        <v>2055</v>
      </c>
      <c r="G13" s="9" t="s">
        <v>2056</v>
      </c>
      <c r="H13" s="9" t="s">
        <v>2057</v>
      </c>
      <c r="I13" s="11" t="n">
        <v>28</v>
      </c>
      <c r="J13" s="11" t="n">
        <v>36.3</v>
      </c>
      <c r="K13" s="11"/>
      <c r="L13" s="11"/>
      <c r="M13" s="11" t="n">
        <f aca="false">IF(ISNUMBER(L13),L13,J13)</f>
        <v>36.3</v>
      </c>
      <c r="N13" s="11" t="n">
        <f aca="false">ROUNDUP(M13,0)</f>
        <v>37</v>
      </c>
      <c r="O13" s="11" t="n">
        <f aca="false">MAX(I13,N13)</f>
        <v>37</v>
      </c>
      <c r="P13" s="11" t="n">
        <f aca="false">IF(C13="COVERED",MAX(0,O13-40),0)</f>
        <v>0</v>
      </c>
      <c r="Q13" s="11" t="n">
        <f aca="false">O13</f>
        <v>37</v>
      </c>
      <c r="R13" s="17" t="n">
        <f aca="false">IF(C13="COVERED",10.4,7.55)</f>
        <v>7.55</v>
      </c>
      <c r="S13" s="17" t="n">
        <f aca="false">Q13*R13</f>
        <v>279.35</v>
      </c>
      <c r="T13" s="9" t="s">
        <v>2058</v>
      </c>
      <c r="U13" s="10" t="n">
        <v>46235</v>
      </c>
      <c r="V13" s="9" t="n">
        <v>37</v>
      </c>
      <c r="W13" s="17" t="n">
        <v>7.55</v>
      </c>
      <c r="X13" s="17" t="n">
        <v>279.35</v>
      </c>
      <c r="Y13" s="17" t="n">
        <f aca="false">IF(ISNUMBER(X13),X13-S13,"")</f>
        <v>0</v>
      </c>
      <c r="Z13" s="17" t="n">
        <f aca="false">IF(ISNUMBER(X13),X13-S13,-S13)</f>
        <v>0</v>
      </c>
      <c r="AA13" s="9" t="str">
        <f aca="false">IF(NOT(ISNUMBER(X13)),"NO AUGUST POSTING IN EXPORT",IF(ABS(Y13)&gt;=0.005,"POSTED CHARGE MISMATCH",IF(P13&gt;0,"MATCH - COVERED ELIGIBILITY EXCEPTION","MATCH")))</f>
        <v>MATCH</v>
      </c>
      <c r="AB13" s="9" t="s">
        <v>2059</v>
      </c>
    </row>
    <row r="14" customFormat="false" ht="15" hidden="false" customHeight="false" outlineLevel="0" collapsed="false">
      <c r="A14" s="13" t="s">
        <v>435</v>
      </c>
      <c r="B14" s="13" t="s">
        <v>145</v>
      </c>
      <c r="C14" s="13" t="s">
        <v>146</v>
      </c>
      <c r="D14" s="13" t="s">
        <v>2002</v>
      </c>
      <c r="E14" s="13" t="s">
        <v>2060</v>
      </c>
      <c r="F14" s="13" t="s">
        <v>1454</v>
      </c>
      <c r="G14" s="13" t="s">
        <v>1455</v>
      </c>
      <c r="H14" s="13" t="s">
        <v>2061</v>
      </c>
      <c r="I14" s="15" t="n">
        <v>28</v>
      </c>
      <c r="J14" s="15" t="n">
        <v>43.9</v>
      </c>
      <c r="K14" s="15"/>
      <c r="L14" s="15"/>
      <c r="M14" s="15" t="n">
        <f aca="false">IF(ISNUMBER(L14),L14,J14)</f>
        <v>43.9</v>
      </c>
      <c r="N14" s="15" t="n">
        <f aca="false">ROUNDUP(M14,0)</f>
        <v>44</v>
      </c>
      <c r="O14" s="15" t="n">
        <f aca="false">MAX(I14,N14)</f>
        <v>44</v>
      </c>
      <c r="P14" s="15" t="n">
        <f aca="false">IF(C14="COVERED",MAX(0,O14-40),0)</f>
        <v>0</v>
      </c>
      <c r="Q14" s="15" t="n">
        <f aca="false">O14</f>
        <v>44</v>
      </c>
      <c r="R14" s="18" t="n">
        <f aca="false">IF(C14="COVERED",10.4,7.55)</f>
        <v>7.55</v>
      </c>
      <c r="S14" s="18" t="n">
        <f aca="false">Q14*R14</f>
        <v>332.2</v>
      </c>
      <c r="T14" s="13" t="s">
        <v>2062</v>
      </c>
      <c r="U14" s="14" t="n">
        <v>46235</v>
      </c>
      <c r="V14" s="13" t="n">
        <v>44</v>
      </c>
      <c r="W14" s="18" t="n">
        <v>7.55</v>
      </c>
      <c r="X14" s="18" t="n">
        <v>332.2</v>
      </c>
      <c r="Y14" s="18" t="n">
        <f aca="false">IF(ISNUMBER(X14),X14-S14,"")</f>
        <v>0</v>
      </c>
      <c r="Z14" s="18" t="n">
        <f aca="false">IF(ISNUMBER(X14),X14-S14,-S14)</f>
        <v>0</v>
      </c>
      <c r="AA14" s="13" t="str">
        <f aca="false">IF(NOT(ISNUMBER(X14)),"NO AUGUST POSTING IN EXPORT",IF(ABS(Y14)&gt;=0.005,"POSTED CHARGE MISMATCH",IF(P14&gt;0,"MATCH - COVERED ELIGIBILITY EXCEPTION","MATCH")))</f>
        <v>MATCH</v>
      </c>
      <c r="AB14" s="13" t="s">
        <v>2063</v>
      </c>
    </row>
    <row r="15" customFormat="false" ht="15" hidden="false" customHeight="false" outlineLevel="0" collapsed="false">
      <c r="A15" s="9" t="s">
        <v>2064</v>
      </c>
      <c r="B15" s="9" t="s">
        <v>145</v>
      </c>
      <c r="C15" s="9" t="s">
        <v>146</v>
      </c>
      <c r="D15" s="9" t="s">
        <v>2002</v>
      </c>
      <c r="E15" s="9" t="s">
        <v>2065</v>
      </c>
      <c r="F15" s="9" t="s">
        <v>2066</v>
      </c>
      <c r="G15" s="9" t="s">
        <v>2067</v>
      </c>
      <c r="H15" s="9" t="s">
        <v>2068</v>
      </c>
      <c r="I15" s="11" t="n">
        <v>70</v>
      </c>
      <c r="J15" s="11" t="n">
        <v>38.7</v>
      </c>
      <c r="K15" s="11"/>
      <c r="L15" s="11"/>
      <c r="M15" s="11" t="n">
        <f aca="false">IF(ISNUMBER(L15),L15,J15)</f>
        <v>38.7</v>
      </c>
      <c r="N15" s="11" t="n">
        <f aca="false">ROUNDUP(M15,0)</f>
        <v>39</v>
      </c>
      <c r="O15" s="11" t="n">
        <f aca="false">MAX(I15,N15)</f>
        <v>70</v>
      </c>
      <c r="P15" s="11" t="n">
        <f aca="false">IF(C15="COVERED",MAX(0,O15-40),0)</f>
        <v>0</v>
      </c>
      <c r="Q15" s="11" t="n">
        <f aca="false">O15</f>
        <v>70</v>
      </c>
      <c r="R15" s="17" t="n">
        <f aca="false">IF(C15="COVERED",10.4,7.55)</f>
        <v>7.55</v>
      </c>
      <c r="S15" s="17" t="n">
        <f aca="false">Q15*R15</f>
        <v>528.5</v>
      </c>
      <c r="T15" s="9" t="s">
        <v>2069</v>
      </c>
      <c r="U15" s="10" t="n">
        <v>46235</v>
      </c>
      <c r="V15" s="9" t="n">
        <v>70</v>
      </c>
      <c r="W15" s="17" t="n">
        <v>7.55</v>
      </c>
      <c r="X15" s="17" t="n">
        <v>528.5</v>
      </c>
      <c r="Y15" s="17" t="n">
        <f aca="false">IF(ISNUMBER(X15),X15-S15,"")</f>
        <v>0</v>
      </c>
      <c r="Z15" s="17" t="n">
        <f aca="false">IF(ISNUMBER(X15),X15-S15,-S15)</f>
        <v>0</v>
      </c>
      <c r="AA15" s="9" t="str">
        <f aca="false">IF(NOT(ISNUMBER(X15)),"NO AUGUST POSTING IN EXPORT",IF(ABS(Y15)&gt;=0.005,"POSTED CHARGE MISMATCH",IF(P15&gt;0,"MATCH - COVERED ELIGIBILITY EXCEPTION","MATCH")))</f>
        <v>MATCH</v>
      </c>
      <c r="AB15" s="9" t="s">
        <v>2070</v>
      </c>
    </row>
    <row r="16" customFormat="false" ht="15" hidden="false" customHeight="false" outlineLevel="0" collapsed="false">
      <c r="A16" s="13" t="s">
        <v>2071</v>
      </c>
      <c r="B16" s="13" t="s">
        <v>145</v>
      </c>
      <c r="C16" s="13" t="s">
        <v>146</v>
      </c>
      <c r="D16" s="13" t="s">
        <v>2002</v>
      </c>
      <c r="E16" s="13" t="s">
        <v>2072</v>
      </c>
      <c r="F16" s="13" t="s">
        <v>2073</v>
      </c>
      <c r="G16" s="13" t="s">
        <v>2074</v>
      </c>
      <c r="H16" s="13" t="s">
        <v>2075</v>
      </c>
      <c r="I16" s="15" t="n">
        <v>45</v>
      </c>
      <c r="J16" s="15" t="n">
        <v>61.3</v>
      </c>
      <c r="K16" s="15"/>
      <c r="L16" s="15"/>
      <c r="M16" s="15" t="n">
        <f aca="false">IF(ISNUMBER(L16),L16,J16)</f>
        <v>61.3</v>
      </c>
      <c r="N16" s="15" t="n">
        <f aca="false">ROUNDUP(M16,0)</f>
        <v>62</v>
      </c>
      <c r="O16" s="15" t="n">
        <f aca="false">MAX(I16,N16)</f>
        <v>62</v>
      </c>
      <c r="P16" s="15" t="n">
        <f aca="false">IF(C16="COVERED",MAX(0,O16-40),0)</f>
        <v>0</v>
      </c>
      <c r="Q16" s="15" t="n">
        <f aca="false">O16</f>
        <v>62</v>
      </c>
      <c r="R16" s="18" t="n">
        <f aca="false">IF(C16="COVERED",10.4,7.55)</f>
        <v>7.55</v>
      </c>
      <c r="S16" s="18" t="n">
        <f aca="false">Q16*R16</f>
        <v>468.1</v>
      </c>
      <c r="T16" s="13" t="s">
        <v>2076</v>
      </c>
      <c r="U16" s="14" t="n">
        <v>46235</v>
      </c>
      <c r="V16" s="13" t="n">
        <v>62</v>
      </c>
      <c r="W16" s="18" t="n">
        <v>7.55</v>
      </c>
      <c r="X16" s="18" t="n">
        <v>468.1</v>
      </c>
      <c r="Y16" s="18" t="n">
        <f aca="false">IF(ISNUMBER(X16),X16-S16,"")</f>
        <v>0</v>
      </c>
      <c r="Z16" s="18" t="n">
        <f aca="false">IF(ISNUMBER(X16),X16-S16,-S16)</f>
        <v>0</v>
      </c>
      <c r="AA16" s="13" t="str">
        <f aca="false">IF(NOT(ISNUMBER(X16)),"NO AUGUST POSTING IN EXPORT",IF(ABS(Y16)&gt;=0.005,"POSTED CHARGE MISMATCH",IF(P16&gt;0,"MATCH - COVERED ELIGIBILITY EXCEPTION","MATCH")))</f>
        <v>MATCH</v>
      </c>
      <c r="AB16" s="13" t="s">
        <v>2077</v>
      </c>
    </row>
    <row r="17" customFormat="false" ht="15" hidden="false" customHeight="false" outlineLevel="0" collapsed="false">
      <c r="A17" s="9" t="s">
        <v>2078</v>
      </c>
      <c r="B17" s="9" t="s">
        <v>145</v>
      </c>
      <c r="C17" s="9" t="s">
        <v>146</v>
      </c>
      <c r="D17" s="9" t="s">
        <v>2002</v>
      </c>
      <c r="E17" s="9" t="s">
        <v>2079</v>
      </c>
      <c r="F17" s="9" t="s">
        <v>2080</v>
      </c>
      <c r="G17" s="9" t="s">
        <v>2081</v>
      </c>
      <c r="H17" s="9" t="s">
        <v>2082</v>
      </c>
      <c r="I17" s="11" t="n">
        <v>24</v>
      </c>
      <c r="J17" s="11" t="n">
        <v>41.6</v>
      </c>
      <c r="K17" s="11"/>
      <c r="L17" s="11"/>
      <c r="M17" s="11" t="n">
        <f aca="false">IF(ISNUMBER(L17),L17,J17)</f>
        <v>41.6</v>
      </c>
      <c r="N17" s="11" t="n">
        <f aca="false">ROUNDUP(M17,0)</f>
        <v>42</v>
      </c>
      <c r="O17" s="11" t="n">
        <f aca="false">MAX(I17,N17)</f>
        <v>42</v>
      </c>
      <c r="P17" s="11" t="n">
        <f aca="false">IF(C17="COVERED",MAX(0,O17-40),0)</f>
        <v>0</v>
      </c>
      <c r="Q17" s="11" t="n">
        <f aca="false">O17</f>
        <v>42</v>
      </c>
      <c r="R17" s="17" t="n">
        <f aca="false">IF(C17="COVERED",10.4,7.55)</f>
        <v>7.55</v>
      </c>
      <c r="S17" s="17" t="n">
        <f aca="false">Q17*R17</f>
        <v>317.1</v>
      </c>
      <c r="T17" s="9" t="s">
        <v>2083</v>
      </c>
      <c r="U17" s="10" t="n">
        <v>46235</v>
      </c>
      <c r="V17" s="9" t="n">
        <v>42</v>
      </c>
      <c r="W17" s="17" t="n">
        <v>7.55</v>
      </c>
      <c r="X17" s="17" t="n">
        <v>317.1</v>
      </c>
      <c r="Y17" s="17" t="n">
        <f aca="false">IF(ISNUMBER(X17),X17-S17,"")</f>
        <v>0</v>
      </c>
      <c r="Z17" s="17" t="n">
        <f aca="false">IF(ISNUMBER(X17),X17-S17,-S17)</f>
        <v>0</v>
      </c>
      <c r="AA17" s="9" t="str">
        <f aca="false">IF(NOT(ISNUMBER(X17)),"NO AUGUST POSTING IN EXPORT",IF(ABS(Y17)&gt;=0.005,"POSTED CHARGE MISMATCH",IF(P17&gt;0,"MATCH - COVERED ELIGIBILITY EXCEPTION","MATCH")))</f>
        <v>MATCH</v>
      </c>
      <c r="AB17" s="9" t="s">
        <v>2084</v>
      </c>
    </row>
    <row r="18" customFormat="false" ht="15" hidden="false" customHeight="false" outlineLevel="0" collapsed="false">
      <c r="A18" s="13" t="s">
        <v>2085</v>
      </c>
      <c r="B18" s="13" t="s">
        <v>145</v>
      </c>
      <c r="C18" s="13" t="s">
        <v>146</v>
      </c>
      <c r="D18" s="13" t="s">
        <v>2002</v>
      </c>
      <c r="E18" s="13" t="s">
        <v>2086</v>
      </c>
      <c r="F18" s="13" t="s">
        <v>2087</v>
      </c>
      <c r="G18" s="13" t="s">
        <v>2088</v>
      </c>
      <c r="H18" s="13" t="s">
        <v>2089</v>
      </c>
      <c r="I18" s="15" t="n">
        <v>32</v>
      </c>
      <c r="J18" s="15" t="n">
        <v>38.4</v>
      </c>
      <c r="K18" s="15"/>
      <c r="L18" s="15"/>
      <c r="M18" s="15" t="n">
        <f aca="false">IF(ISNUMBER(L18),L18,J18)</f>
        <v>38.4</v>
      </c>
      <c r="N18" s="15" t="n">
        <f aca="false">ROUNDUP(M18,0)</f>
        <v>39</v>
      </c>
      <c r="O18" s="15" t="n">
        <f aca="false">MAX(I18,N18)</f>
        <v>39</v>
      </c>
      <c r="P18" s="15" t="n">
        <f aca="false">IF(C18="COVERED",MAX(0,O18-40),0)</f>
        <v>0</v>
      </c>
      <c r="Q18" s="15" t="n">
        <f aca="false">O18</f>
        <v>39</v>
      </c>
      <c r="R18" s="18" t="n">
        <f aca="false">IF(C18="COVERED",10.4,7.55)</f>
        <v>7.55</v>
      </c>
      <c r="S18" s="18" t="n">
        <f aca="false">Q18*R18</f>
        <v>294.45</v>
      </c>
      <c r="T18" s="13" t="s">
        <v>2090</v>
      </c>
      <c r="U18" s="14" t="n">
        <v>46235</v>
      </c>
      <c r="V18" s="13" t="n">
        <v>39</v>
      </c>
      <c r="W18" s="18" t="n">
        <v>7.55</v>
      </c>
      <c r="X18" s="18" t="n">
        <v>294.45</v>
      </c>
      <c r="Y18" s="18" t="n">
        <f aca="false">IF(ISNUMBER(X18),X18-S18,"")</f>
        <v>0</v>
      </c>
      <c r="Z18" s="18" t="n">
        <f aca="false">IF(ISNUMBER(X18),X18-S18,-S18)</f>
        <v>0</v>
      </c>
      <c r="AA18" s="13" t="str">
        <f aca="false">IF(NOT(ISNUMBER(X18)),"NO AUGUST POSTING IN EXPORT",IF(ABS(Y18)&gt;=0.005,"POSTED CHARGE MISMATCH",IF(P18&gt;0,"MATCH - COVERED ELIGIBILITY EXCEPTION","MATCH")))</f>
        <v>MATCH</v>
      </c>
      <c r="AB18" s="13" t="s">
        <v>2091</v>
      </c>
    </row>
    <row r="19" customFormat="false" ht="15" hidden="false" customHeight="false" outlineLevel="0" collapsed="false">
      <c r="A19" s="9" t="s">
        <v>2092</v>
      </c>
      <c r="B19" s="9" t="s">
        <v>145</v>
      </c>
      <c r="C19" s="9" t="s">
        <v>146</v>
      </c>
      <c r="D19" s="9" t="s">
        <v>2002</v>
      </c>
      <c r="E19" s="9" t="s">
        <v>2093</v>
      </c>
      <c r="F19" s="9" t="s">
        <v>2094</v>
      </c>
      <c r="G19" s="9" t="s">
        <v>2095</v>
      </c>
      <c r="H19" s="9" t="s">
        <v>2096</v>
      </c>
      <c r="I19" s="11" t="n">
        <v>32</v>
      </c>
      <c r="J19" s="11" t="n">
        <v>25.7</v>
      </c>
      <c r="K19" s="11"/>
      <c r="L19" s="11"/>
      <c r="M19" s="11" t="n">
        <f aca="false">IF(ISNUMBER(L19),L19,J19)</f>
        <v>25.7</v>
      </c>
      <c r="N19" s="11" t="n">
        <f aca="false">ROUNDUP(M19,0)</f>
        <v>26</v>
      </c>
      <c r="O19" s="11" t="n">
        <f aca="false">MAX(I19,N19)</f>
        <v>32</v>
      </c>
      <c r="P19" s="11" t="n">
        <f aca="false">IF(C19="COVERED",MAX(0,O19-40),0)</f>
        <v>0</v>
      </c>
      <c r="Q19" s="11" t="n">
        <f aca="false">O19</f>
        <v>32</v>
      </c>
      <c r="R19" s="17" t="n">
        <f aca="false">IF(C19="COVERED",10.4,7.55)</f>
        <v>7.55</v>
      </c>
      <c r="S19" s="17" t="n">
        <f aca="false">Q19*R19</f>
        <v>241.6</v>
      </c>
      <c r="T19" s="9" t="s">
        <v>2097</v>
      </c>
      <c r="U19" s="10" t="n">
        <v>46235</v>
      </c>
      <c r="V19" s="9" t="n">
        <v>32</v>
      </c>
      <c r="W19" s="17" t="n">
        <v>7.55</v>
      </c>
      <c r="X19" s="17" t="n">
        <v>241.6</v>
      </c>
      <c r="Y19" s="17" t="n">
        <f aca="false">IF(ISNUMBER(X19),X19-S19,"")</f>
        <v>0</v>
      </c>
      <c r="Z19" s="17" t="n">
        <f aca="false">IF(ISNUMBER(X19),X19-S19,-S19)</f>
        <v>0</v>
      </c>
      <c r="AA19" s="9" t="str">
        <f aca="false">IF(NOT(ISNUMBER(X19)),"NO AUGUST POSTING IN EXPORT",IF(ABS(Y19)&gt;=0.005,"POSTED CHARGE MISMATCH",IF(P19&gt;0,"MATCH - COVERED ELIGIBILITY EXCEPTION","MATCH")))</f>
        <v>MATCH</v>
      </c>
      <c r="AB19" s="9" t="s">
        <v>2098</v>
      </c>
    </row>
    <row r="20" customFormat="false" ht="15" hidden="false" customHeight="false" outlineLevel="0" collapsed="false">
      <c r="A20" s="13" t="s">
        <v>989</v>
      </c>
      <c r="B20" s="13" t="s">
        <v>145</v>
      </c>
      <c r="C20" s="13" t="s">
        <v>146</v>
      </c>
      <c r="D20" s="13" t="s">
        <v>2002</v>
      </c>
      <c r="E20" s="13" t="s">
        <v>2099</v>
      </c>
      <c r="F20" s="13" t="s">
        <v>2100</v>
      </c>
      <c r="G20" s="13" t="s">
        <v>2101</v>
      </c>
      <c r="H20" s="13" t="s">
        <v>2082</v>
      </c>
      <c r="I20" s="15" t="n">
        <v>45</v>
      </c>
      <c r="J20" s="15" t="n">
        <v>48.3</v>
      </c>
      <c r="K20" s="15"/>
      <c r="L20" s="15"/>
      <c r="M20" s="15" t="n">
        <f aca="false">IF(ISNUMBER(L20),L20,J20)</f>
        <v>48.3</v>
      </c>
      <c r="N20" s="15" t="n">
        <f aca="false">ROUNDUP(M20,0)</f>
        <v>49</v>
      </c>
      <c r="O20" s="15" t="n">
        <f aca="false">MAX(I20,N20)</f>
        <v>49</v>
      </c>
      <c r="P20" s="15" t="n">
        <f aca="false">IF(C20="COVERED",MAX(0,O20-40),0)</f>
        <v>0</v>
      </c>
      <c r="Q20" s="15" t="n">
        <f aca="false">O20</f>
        <v>49</v>
      </c>
      <c r="R20" s="18" t="n">
        <f aca="false">IF(C20="COVERED",10.4,7.55)</f>
        <v>7.55</v>
      </c>
      <c r="S20" s="18" t="n">
        <f aca="false">Q20*R20</f>
        <v>369.95</v>
      </c>
      <c r="T20" s="13" t="s">
        <v>2102</v>
      </c>
      <c r="U20" s="14" t="n">
        <v>46235</v>
      </c>
      <c r="V20" s="13" t="n">
        <v>49</v>
      </c>
      <c r="W20" s="18" t="n">
        <v>7.55</v>
      </c>
      <c r="X20" s="18" t="n">
        <v>369.95</v>
      </c>
      <c r="Y20" s="18" t="n">
        <f aca="false">IF(ISNUMBER(X20),X20-S20,"")</f>
        <v>0</v>
      </c>
      <c r="Z20" s="18" t="n">
        <f aca="false">IF(ISNUMBER(X20),X20-S20,-S20)</f>
        <v>0</v>
      </c>
      <c r="AA20" s="13" t="str">
        <f aca="false">IF(NOT(ISNUMBER(X20)),"NO AUGUST POSTING IN EXPORT",IF(ABS(Y20)&gt;=0.005,"POSTED CHARGE MISMATCH",IF(P20&gt;0,"MATCH - COVERED ELIGIBILITY EXCEPTION","MATCH")))</f>
        <v>MATCH</v>
      </c>
      <c r="AB20" s="13" t="s">
        <v>2103</v>
      </c>
    </row>
    <row r="21" customFormat="false" ht="15" hidden="false" customHeight="false" outlineLevel="0" collapsed="false">
      <c r="A21" s="9" t="s">
        <v>513</v>
      </c>
      <c r="B21" s="9" t="s">
        <v>145</v>
      </c>
      <c r="C21" s="9" t="s">
        <v>146</v>
      </c>
      <c r="D21" s="9" t="s">
        <v>2002</v>
      </c>
      <c r="E21" s="9" t="s">
        <v>2104</v>
      </c>
      <c r="F21" s="9" t="s">
        <v>1706</v>
      </c>
      <c r="G21" s="9" t="s">
        <v>1707</v>
      </c>
      <c r="H21" s="9" t="s">
        <v>2105</v>
      </c>
      <c r="I21" s="11" t="n">
        <v>32</v>
      </c>
      <c r="J21" s="11" t="n">
        <v>48.3</v>
      </c>
      <c r="K21" s="11"/>
      <c r="L21" s="11"/>
      <c r="M21" s="11" t="n">
        <f aca="false">IF(ISNUMBER(L21),L21,J21)</f>
        <v>48.3</v>
      </c>
      <c r="N21" s="11" t="n">
        <f aca="false">ROUNDUP(M21,0)</f>
        <v>49</v>
      </c>
      <c r="O21" s="11" t="n">
        <f aca="false">MAX(I21,N21)</f>
        <v>49</v>
      </c>
      <c r="P21" s="11" t="n">
        <f aca="false">IF(C21="COVERED",MAX(0,O21-40),0)</f>
        <v>0</v>
      </c>
      <c r="Q21" s="11" t="n">
        <f aca="false">O21</f>
        <v>49</v>
      </c>
      <c r="R21" s="17" t="n">
        <f aca="false">IF(C21="COVERED",10.4,7.55)</f>
        <v>7.55</v>
      </c>
      <c r="S21" s="17" t="n">
        <f aca="false">Q21*R21</f>
        <v>369.95</v>
      </c>
      <c r="T21" s="9" t="s">
        <v>2106</v>
      </c>
      <c r="U21" s="10" t="n">
        <v>46235</v>
      </c>
      <c r="V21" s="9" t="n">
        <v>49</v>
      </c>
      <c r="W21" s="17" t="n">
        <v>7.55</v>
      </c>
      <c r="X21" s="17" t="n">
        <v>369.95</v>
      </c>
      <c r="Y21" s="17" t="n">
        <f aca="false">IF(ISNUMBER(X21),X21-S21,"")</f>
        <v>0</v>
      </c>
      <c r="Z21" s="17" t="n">
        <f aca="false">IF(ISNUMBER(X21),X21-S21,-S21)</f>
        <v>0</v>
      </c>
      <c r="AA21" s="9" t="str">
        <f aca="false">IF(NOT(ISNUMBER(X21)),"NO AUGUST POSTING IN EXPORT",IF(ABS(Y21)&gt;=0.005,"POSTED CHARGE MISMATCH",IF(P21&gt;0,"MATCH - COVERED ELIGIBILITY EXCEPTION","MATCH")))</f>
        <v>MATCH</v>
      </c>
      <c r="AB21" s="9" t="s">
        <v>2107</v>
      </c>
    </row>
    <row r="22" customFormat="false" ht="15" hidden="false" customHeight="false" outlineLevel="0" collapsed="false">
      <c r="A22" s="13" t="s">
        <v>2108</v>
      </c>
      <c r="B22" s="13" t="s">
        <v>145</v>
      </c>
      <c r="C22" s="13" t="s">
        <v>146</v>
      </c>
      <c r="D22" s="13" t="s">
        <v>2002</v>
      </c>
      <c r="E22" s="13" t="s">
        <v>2109</v>
      </c>
      <c r="F22" s="13" t="s">
        <v>2110</v>
      </c>
      <c r="G22" s="13" t="s">
        <v>2111</v>
      </c>
      <c r="H22" s="13" t="s">
        <v>2112</v>
      </c>
      <c r="I22" s="15" t="n">
        <v>80</v>
      </c>
      <c r="J22" s="15" t="n">
        <v>59.3</v>
      </c>
      <c r="K22" s="15"/>
      <c r="L22" s="15"/>
      <c r="M22" s="15" t="n">
        <f aca="false">IF(ISNUMBER(L22),L22,J22)</f>
        <v>59.3</v>
      </c>
      <c r="N22" s="15" t="n">
        <f aca="false">ROUNDUP(M22,0)</f>
        <v>60</v>
      </c>
      <c r="O22" s="15" t="n">
        <f aca="false">MAX(I22,N22)</f>
        <v>80</v>
      </c>
      <c r="P22" s="15" t="n">
        <f aca="false">IF(C22="COVERED",MAX(0,O22-40),0)</f>
        <v>0</v>
      </c>
      <c r="Q22" s="15" t="n">
        <f aca="false">O22</f>
        <v>80</v>
      </c>
      <c r="R22" s="18" t="n">
        <f aca="false">IF(C22="COVERED",10.4,7.55)</f>
        <v>7.55</v>
      </c>
      <c r="S22" s="18" t="n">
        <f aca="false">Q22*R22</f>
        <v>604</v>
      </c>
      <c r="T22" s="13" t="s">
        <v>2113</v>
      </c>
      <c r="U22" s="14" t="n">
        <v>46235</v>
      </c>
      <c r="V22" s="13" t="n">
        <v>80</v>
      </c>
      <c r="W22" s="18" t="n">
        <v>7.55</v>
      </c>
      <c r="X22" s="18" t="n">
        <v>604</v>
      </c>
      <c r="Y22" s="18" t="n">
        <f aca="false">IF(ISNUMBER(X22),X22-S22,"")</f>
        <v>0</v>
      </c>
      <c r="Z22" s="18" t="n">
        <f aca="false">IF(ISNUMBER(X22),X22-S22,-S22)</f>
        <v>0</v>
      </c>
      <c r="AA22" s="13" t="str">
        <f aca="false">IF(NOT(ISNUMBER(X22)),"NO AUGUST POSTING IN EXPORT",IF(ABS(Y22)&gt;=0.005,"POSTED CHARGE MISMATCH",IF(P22&gt;0,"MATCH - COVERED ELIGIBILITY EXCEPTION","MATCH")))</f>
        <v>MATCH</v>
      </c>
      <c r="AB22" s="13" t="s">
        <v>2114</v>
      </c>
    </row>
    <row r="23" customFormat="false" ht="15" hidden="false" customHeight="false" outlineLevel="0" collapsed="false">
      <c r="A23" s="9" t="s">
        <v>2115</v>
      </c>
      <c r="B23" s="9" t="s">
        <v>145</v>
      </c>
      <c r="C23" s="9" t="s">
        <v>146</v>
      </c>
      <c r="D23" s="9" t="s">
        <v>2002</v>
      </c>
      <c r="E23" s="9" t="s">
        <v>2116</v>
      </c>
      <c r="F23" s="9" t="s">
        <v>2117</v>
      </c>
      <c r="G23" s="9" t="s">
        <v>2118</v>
      </c>
      <c r="H23" s="9" t="s">
        <v>2119</v>
      </c>
      <c r="I23" s="11" t="n">
        <v>28</v>
      </c>
      <c r="J23" s="11" t="n">
        <v>37.9</v>
      </c>
      <c r="K23" s="11"/>
      <c r="L23" s="11"/>
      <c r="M23" s="11" t="n">
        <f aca="false">IF(ISNUMBER(L23),L23,J23)</f>
        <v>37.9</v>
      </c>
      <c r="N23" s="11" t="n">
        <f aca="false">ROUNDUP(M23,0)</f>
        <v>38</v>
      </c>
      <c r="O23" s="11" t="n">
        <f aca="false">MAX(I23,N23)</f>
        <v>38</v>
      </c>
      <c r="P23" s="11" t="n">
        <f aca="false">IF(C23="COVERED",MAX(0,O23-40),0)</f>
        <v>0</v>
      </c>
      <c r="Q23" s="11" t="n">
        <f aca="false">O23</f>
        <v>38</v>
      </c>
      <c r="R23" s="17" t="n">
        <f aca="false">IF(C23="COVERED",10.4,7.55)</f>
        <v>7.55</v>
      </c>
      <c r="S23" s="17" t="n">
        <f aca="false">Q23*R23</f>
        <v>286.9</v>
      </c>
      <c r="T23" s="9" t="s">
        <v>2120</v>
      </c>
      <c r="U23" s="10" t="n">
        <v>46235</v>
      </c>
      <c r="V23" s="9" t="n">
        <v>38</v>
      </c>
      <c r="W23" s="17" t="n">
        <v>7.55</v>
      </c>
      <c r="X23" s="17" t="n">
        <v>286.9</v>
      </c>
      <c r="Y23" s="17" t="n">
        <f aca="false">IF(ISNUMBER(X23),X23-S23,"")</f>
        <v>0</v>
      </c>
      <c r="Z23" s="17" t="n">
        <f aca="false">IF(ISNUMBER(X23),X23-S23,-S23)</f>
        <v>0</v>
      </c>
      <c r="AA23" s="9" t="str">
        <f aca="false">IF(NOT(ISNUMBER(X23)),"NO AUGUST POSTING IN EXPORT",IF(ABS(Y23)&gt;=0.005,"POSTED CHARGE MISMATCH",IF(P23&gt;0,"MATCH - COVERED ELIGIBILITY EXCEPTION","MATCH")))</f>
        <v>MATCH</v>
      </c>
      <c r="AB23" s="9" t="s">
        <v>2121</v>
      </c>
    </row>
    <row r="24" customFormat="false" ht="15" hidden="false" customHeight="false" outlineLevel="0" collapsed="false">
      <c r="A24" s="13" t="s">
        <v>2122</v>
      </c>
      <c r="B24" s="13" t="s">
        <v>145</v>
      </c>
      <c r="C24" s="13" t="s">
        <v>146</v>
      </c>
      <c r="D24" s="13" t="s">
        <v>2002</v>
      </c>
      <c r="E24" s="13" t="s">
        <v>2123</v>
      </c>
      <c r="F24" s="13" t="s">
        <v>330</v>
      </c>
      <c r="G24" s="13" t="s">
        <v>331</v>
      </c>
      <c r="H24" s="13" t="s">
        <v>2124</v>
      </c>
      <c r="I24" s="15" t="n">
        <v>70</v>
      </c>
      <c r="J24" s="15" t="n">
        <v>25.7</v>
      </c>
      <c r="K24" s="15"/>
      <c r="L24" s="15"/>
      <c r="M24" s="15" t="n">
        <f aca="false">IF(ISNUMBER(L24),L24,J24)</f>
        <v>25.7</v>
      </c>
      <c r="N24" s="15" t="n">
        <f aca="false">ROUNDUP(M24,0)</f>
        <v>26</v>
      </c>
      <c r="O24" s="15" t="n">
        <f aca="false">MAX(I24,N24)</f>
        <v>70</v>
      </c>
      <c r="P24" s="15" t="n">
        <f aca="false">IF(C24="COVERED",MAX(0,O24-40),0)</f>
        <v>0</v>
      </c>
      <c r="Q24" s="15" t="n">
        <f aca="false">O24</f>
        <v>70</v>
      </c>
      <c r="R24" s="18" t="n">
        <f aca="false">IF(C24="COVERED",10.4,7.55)</f>
        <v>7.55</v>
      </c>
      <c r="S24" s="18" t="n">
        <f aca="false">Q24*R24</f>
        <v>528.5</v>
      </c>
      <c r="T24" s="13" t="s">
        <v>2125</v>
      </c>
      <c r="U24" s="14" t="n">
        <v>46235</v>
      </c>
      <c r="V24" s="13" t="n">
        <v>70</v>
      </c>
      <c r="W24" s="18" t="n">
        <v>7.55</v>
      </c>
      <c r="X24" s="18" t="n">
        <v>528.5</v>
      </c>
      <c r="Y24" s="18" t="n">
        <f aca="false">IF(ISNUMBER(X24),X24-S24,"")</f>
        <v>0</v>
      </c>
      <c r="Z24" s="18" t="n">
        <f aca="false">IF(ISNUMBER(X24),X24-S24,-S24)</f>
        <v>0</v>
      </c>
      <c r="AA24" s="13" t="str">
        <f aca="false">IF(NOT(ISNUMBER(X24)),"NO AUGUST POSTING IN EXPORT",IF(ABS(Y24)&gt;=0.005,"POSTED CHARGE MISMATCH",IF(P24&gt;0,"MATCH - COVERED ELIGIBILITY EXCEPTION","MATCH")))</f>
        <v>MATCH</v>
      </c>
      <c r="AB24" s="13" t="s">
        <v>2126</v>
      </c>
    </row>
    <row r="25" customFormat="false" ht="15" hidden="false" customHeight="false" outlineLevel="0" collapsed="false">
      <c r="A25" s="9" t="s">
        <v>2127</v>
      </c>
      <c r="B25" s="9" t="s">
        <v>145</v>
      </c>
      <c r="C25" s="9" t="s">
        <v>146</v>
      </c>
      <c r="D25" s="9" t="s">
        <v>2002</v>
      </c>
      <c r="E25" s="9" t="s">
        <v>2128</v>
      </c>
      <c r="F25" s="9" t="s">
        <v>2129</v>
      </c>
      <c r="G25" s="9" t="s">
        <v>2130</v>
      </c>
      <c r="H25" s="9" t="s">
        <v>2131</v>
      </c>
      <c r="I25" s="11" t="n">
        <v>28</v>
      </c>
      <c r="J25" s="11" t="n">
        <v>44.4</v>
      </c>
      <c r="K25" s="11"/>
      <c r="L25" s="11"/>
      <c r="M25" s="11" t="n">
        <f aca="false">IF(ISNUMBER(L25),L25,J25)</f>
        <v>44.4</v>
      </c>
      <c r="N25" s="11" t="n">
        <f aca="false">ROUNDUP(M25,0)</f>
        <v>45</v>
      </c>
      <c r="O25" s="11" t="n">
        <f aca="false">MAX(I25,N25)</f>
        <v>45</v>
      </c>
      <c r="P25" s="11" t="n">
        <f aca="false">IF(C25="COVERED",MAX(0,O25-40),0)</f>
        <v>0</v>
      </c>
      <c r="Q25" s="11" t="n">
        <f aca="false">O25</f>
        <v>45</v>
      </c>
      <c r="R25" s="17" t="n">
        <f aca="false">IF(C25="COVERED",10.4,7.55)</f>
        <v>7.55</v>
      </c>
      <c r="S25" s="17" t="n">
        <f aca="false">Q25*R25</f>
        <v>339.75</v>
      </c>
      <c r="T25" s="9" t="s">
        <v>2132</v>
      </c>
      <c r="U25" s="10" t="n">
        <v>46235</v>
      </c>
      <c r="V25" s="9" t="n">
        <v>45</v>
      </c>
      <c r="W25" s="17" t="n">
        <v>7.55</v>
      </c>
      <c r="X25" s="17" t="n">
        <v>339.75</v>
      </c>
      <c r="Y25" s="17" t="n">
        <f aca="false">IF(ISNUMBER(X25),X25-S25,"")</f>
        <v>0</v>
      </c>
      <c r="Z25" s="17" t="n">
        <f aca="false">IF(ISNUMBER(X25),X25-S25,-S25)</f>
        <v>0</v>
      </c>
      <c r="AA25" s="9" t="str">
        <f aca="false">IF(NOT(ISNUMBER(X25)),"NO AUGUST POSTING IN EXPORT",IF(ABS(Y25)&gt;=0.005,"POSTED CHARGE MISMATCH",IF(P25&gt;0,"MATCH - COVERED ELIGIBILITY EXCEPTION","MATCH")))</f>
        <v>MATCH</v>
      </c>
      <c r="AB25" s="9" t="s">
        <v>2133</v>
      </c>
    </row>
    <row r="26" customFormat="false" ht="15" hidden="false" customHeight="false" outlineLevel="0" collapsed="false">
      <c r="A26" s="13" t="s">
        <v>1536</v>
      </c>
      <c r="B26" s="13" t="s">
        <v>145</v>
      </c>
      <c r="C26" s="13" t="s">
        <v>146</v>
      </c>
      <c r="D26" s="13" t="s">
        <v>2002</v>
      </c>
      <c r="E26" s="13" t="s">
        <v>2134</v>
      </c>
      <c r="F26" s="13" t="s">
        <v>2135</v>
      </c>
      <c r="G26" s="13" t="s">
        <v>2136</v>
      </c>
      <c r="H26" s="13" t="s">
        <v>2137</v>
      </c>
      <c r="I26" s="15" t="n">
        <v>32</v>
      </c>
      <c r="J26" s="15" t="n">
        <v>55.7</v>
      </c>
      <c r="K26" s="15"/>
      <c r="L26" s="15"/>
      <c r="M26" s="15" t="n">
        <f aca="false">IF(ISNUMBER(L26),L26,J26)</f>
        <v>55.7</v>
      </c>
      <c r="N26" s="15" t="n">
        <f aca="false">ROUNDUP(M26,0)</f>
        <v>56</v>
      </c>
      <c r="O26" s="15" t="n">
        <f aca="false">MAX(I26,N26)</f>
        <v>56</v>
      </c>
      <c r="P26" s="15" t="n">
        <f aca="false">IF(C26="COVERED",MAX(0,O26-40),0)</f>
        <v>0</v>
      </c>
      <c r="Q26" s="15" t="n">
        <f aca="false">O26</f>
        <v>56</v>
      </c>
      <c r="R26" s="18" t="n">
        <f aca="false">IF(C26="COVERED",10.4,7.55)</f>
        <v>7.55</v>
      </c>
      <c r="S26" s="18" t="n">
        <f aca="false">Q26*R26</f>
        <v>422.8</v>
      </c>
      <c r="T26" s="13" t="s">
        <v>2138</v>
      </c>
      <c r="U26" s="14" t="n">
        <v>46235</v>
      </c>
      <c r="V26" s="13" t="n">
        <v>56</v>
      </c>
      <c r="W26" s="18" t="n">
        <v>7.55</v>
      </c>
      <c r="X26" s="18" t="n">
        <v>422.8</v>
      </c>
      <c r="Y26" s="18" t="n">
        <f aca="false">IF(ISNUMBER(X26),X26-S26,"")</f>
        <v>0</v>
      </c>
      <c r="Z26" s="18" t="n">
        <f aca="false">IF(ISNUMBER(X26),X26-S26,-S26)</f>
        <v>0</v>
      </c>
      <c r="AA26" s="13" t="str">
        <f aca="false">IF(NOT(ISNUMBER(X26)),"NO AUGUST POSTING IN EXPORT",IF(ABS(Y26)&gt;=0.005,"POSTED CHARGE MISMATCH",IF(P26&gt;0,"MATCH - COVERED ELIGIBILITY EXCEPTION","MATCH")))</f>
        <v>MATCH</v>
      </c>
      <c r="AB26" s="13" t="s">
        <v>2139</v>
      </c>
    </row>
    <row r="27" customFormat="false" ht="15" hidden="false" customHeight="false" outlineLevel="0" collapsed="false">
      <c r="A27" s="9" t="s">
        <v>2140</v>
      </c>
      <c r="B27" s="9" t="s">
        <v>145</v>
      </c>
      <c r="C27" s="9" t="s">
        <v>146</v>
      </c>
      <c r="D27" s="9" t="s">
        <v>2002</v>
      </c>
      <c r="E27" s="9" t="s">
        <v>2141</v>
      </c>
      <c r="F27" s="9" t="s">
        <v>2142</v>
      </c>
      <c r="G27" s="9" t="s">
        <v>2143</v>
      </c>
      <c r="H27" s="9" t="s">
        <v>2144</v>
      </c>
      <c r="I27" s="11" t="n">
        <v>36</v>
      </c>
      <c r="J27" s="11" t="n">
        <v>39.3</v>
      </c>
      <c r="K27" s="11"/>
      <c r="L27" s="11"/>
      <c r="M27" s="11" t="n">
        <f aca="false">IF(ISNUMBER(L27),L27,J27)</f>
        <v>39.3</v>
      </c>
      <c r="N27" s="11" t="n">
        <f aca="false">ROUNDUP(M27,0)</f>
        <v>40</v>
      </c>
      <c r="O27" s="11" t="n">
        <f aca="false">MAX(I27,N27)</f>
        <v>40</v>
      </c>
      <c r="P27" s="11" t="n">
        <f aca="false">IF(C27="COVERED",MAX(0,O27-40),0)</f>
        <v>0</v>
      </c>
      <c r="Q27" s="11" t="n">
        <f aca="false">O27</f>
        <v>40</v>
      </c>
      <c r="R27" s="17" t="n">
        <f aca="false">IF(C27="COVERED",10.4,7.55)</f>
        <v>7.55</v>
      </c>
      <c r="S27" s="17" t="n">
        <f aca="false">Q27*R27</f>
        <v>302</v>
      </c>
      <c r="T27" s="9" t="s">
        <v>2145</v>
      </c>
      <c r="U27" s="10" t="n">
        <v>46235</v>
      </c>
      <c r="V27" s="9" t="n">
        <v>40</v>
      </c>
      <c r="W27" s="17" t="n">
        <v>7.55</v>
      </c>
      <c r="X27" s="17" t="n">
        <v>302</v>
      </c>
      <c r="Y27" s="17" t="n">
        <f aca="false">IF(ISNUMBER(X27),X27-S27,"")</f>
        <v>0</v>
      </c>
      <c r="Z27" s="17" t="n">
        <f aca="false">IF(ISNUMBER(X27),X27-S27,-S27)</f>
        <v>0</v>
      </c>
      <c r="AA27" s="9" t="str">
        <f aca="false">IF(NOT(ISNUMBER(X27)),"NO AUGUST POSTING IN EXPORT",IF(ABS(Y27)&gt;=0.005,"POSTED CHARGE MISMATCH",IF(P27&gt;0,"MATCH - COVERED ELIGIBILITY EXCEPTION","MATCH")))</f>
        <v>MATCH</v>
      </c>
      <c r="AB27" s="9" t="s">
        <v>2146</v>
      </c>
    </row>
    <row r="28" customFormat="false" ht="15" hidden="false" customHeight="false" outlineLevel="0" collapsed="false">
      <c r="A28" s="13" t="s">
        <v>2147</v>
      </c>
      <c r="B28" s="13" t="s">
        <v>145</v>
      </c>
      <c r="C28" s="13" t="s">
        <v>146</v>
      </c>
      <c r="D28" s="13" t="s">
        <v>2002</v>
      </c>
      <c r="E28" s="13" t="s">
        <v>2148</v>
      </c>
      <c r="F28" s="13" t="s">
        <v>2149</v>
      </c>
      <c r="G28" s="13" t="s">
        <v>2150</v>
      </c>
      <c r="H28" s="13" t="s">
        <v>2151</v>
      </c>
      <c r="I28" s="15" t="n">
        <v>32</v>
      </c>
      <c r="J28" s="15" t="n">
        <v>49.2</v>
      </c>
      <c r="K28" s="15"/>
      <c r="L28" s="15"/>
      <c r="M28" s="15" t="n">
        <f aca="false">IF(ISNUMBER(L28),L28,J28)</f>
        <v>49.2</v>
      </c>
      <c r="N28" s="15" t="n">
        <f aca="false">ROUNDUP(M28,0)</f>
        <v>50</v>
      </c>
      <c r="O28" s="15" t="n">
        <f aca="false">MAX(I28,N28)</f>
        <v>50</v>
      </c>
      <c r="P28" s="15" t="n">
        <f aca="false">IF(C28="COVERED",MAX(0,O28-40),0)</f>
        <v>0</v>
      </c>
      <c r="Q28" s="15" t="n">
        <f aca="false">O28</f>
        <v>50</v>
      </c>
      <c r="R28" s="18" t="n">
        <f aca="false">IF(C28="COVERED",10.4,7.55)</f>
        <v>7.55</v>
      </c>
      <c r="S28" s="18" t="n">
        <f aca="false">Q28*R28</f>
        <v>377.5</v>
      </c>
      <c r="T28" s="13" t="s">
        <v>2152</v>
      </c>
      <c r="U28" s="14" t="n">
        <v>46235</v>
      </c>
      <c r="V28" s="13" t="n">
        <v>50</v>
      </c>
      <c r="W28" s="18" t="n">
        <v>7.55</v>
      </c>
      <c r="X28" s="18" t="n">
        <v>377.5</v>
      </c>
      <c r="Y28" s="18" t="n">
        <f aca="false">IF(ISNUMBER(X28),X28-S28,"")</f>
        <v>0</v>
      </c>
      <c r="Z28" s="18" t="n">
        <f aca="false">IF(ISNUMBER(X28),X28-S28,-S28)</f>
        <v>0</v>
      </c>
      <c r="AA28" s="13" t="str">
        <f aca="false">IF(NOT(ISNUMBER(X28)),"NO AUGUST POSTING IN EXPORT",IF(ABS(Y28)&gt;=0.005,"POSTED CHARGE MISMATCH",IF(P28&gt;0,"MATCH - COVERED ELIGIBILITY EXCEPTION","MATCH")))</f>
        <v>MATCH</v>
      </c>
      <c r="AB28" s="13" t="s">
        <v>2153</v>
      </c>
    </row>
    <row r="29" customFormat="false" ht="15" hidden="false" customHeight="false" outlineLevel="0" collapsed="false">
      <c r="A29" s="9" t="s">
        <v>144</v>
      </c>
      <c r="B29" s="9" t="s">
        <v>145</v>
      </c>
      <c r="C29" s="9" t="s">
        <v>146</v>
      </c>
      <c r="D29" s="9" t="s">
        <v>2002</v>
      </c>
      <c r="E29" s="9" t="s">
        <v>2154</v>
      </c>
      <c r="F29" s="9" t="s">
        <v>1533</v>
      </c>
      <c r="G29" s="9" t="s">
        <v>1534</v>
      </c>
      <c r="H29" s="9" t="s">
        <v>2155</v>
      </c>
      <c r="I29" s="11" t="n">
        <v>28</v>
      </c>
      <c r="J29" s="11" t="n">
        <v>34.1</v>
      </c>
      <c r="K29" s="11"/>
      <c r="L29" s="11"/>
      <c r="M29" s="11" t="n">
        <f aca="false">IF(ISNUMBER(L29),L29,J29)</f>
        <v>34.1</v>
      </c>
      <c r="N29" s="11" t="n">
        <f aca="false">ROUNDUP(M29,0)</f>
        <v>35</v>
      </c>
      <c r="O29" s="11" t="n">
        <f aca="false">MAX(I29,N29)</f>
        <v>35</v>
      </c>
      <c r="P29" s="11" t="n">
        <f aca="false">IF(C29="COVERED",MAX(0,O29-40),0)</f>
        <v>0</v>
      </c>
      <c r="Q29" s="11" t="n">
        <f aca="false">O29</f>
        <v>35</v>
      </c>
      <c r="R29" s="17" t="n">
        <f aca="false">IF(C29="COVERED",10.4,7.55)</f>
        <v>7.55</v>
      </c>
      <c r="S29" s="17" t="n">
        <f aca="false">Q29*R29</f>
        <v>264.25</v>
      </c>
      <c r="T29" s="9" t="s">
        <v>2156</v>
      </c>
      <c r="U29" s="10" t="n">
        <v>46235</v>
      </c>
      <c r="V29" s="9" t="n">
        <v>35</v>
      </c>
      <c r="W29" s="17" t="n">
        <v>7.55</v>
      </c>
      <c r="X29" s="17" t="n">
        <v>264.25</v>
      </c>
      <c r="Y29" s="17" t="n">
        <f aca="false">IF(ISNUMBER(X29),X29-S29,"")</f>
        <v>0</v>
      </c>
      <c r="Z29" s="17" t="n">
        <f aca="false">IF(ISNUMBER(X29),X29-S29,-S29)</f>
        <v>0</v>
      </c>
      <c r="AA29" s="9" t="str">
        <f aca="false">IF(NOT(ISNUMBER(X29)),"NO AUGUST POSTING IN EXPORT",IF(ABS(Y29)&gt;=0.005,"POSTED CHARGE MISMATCH",IF(P29&gt;0,"MATCH - COVERED ELIGIBILITY EXCEPTION","MATCH")))</f>
        <v>MATCH</v>
      </c>
      <c r="AB29" s="9" t="s">
        <v>2157</v>
      </c>
    </row>
    <row r="30" customFormat="false" ht="15" hidden="false" customHeight="false" outlineLevel="0" collapsed="false">
      <c r="A30" s="13" t="s">
        <v>2158</v>
      </c>
      <c r="B30" s="13" t="s">
        <v>145</v>
      </c>
      <c r="C30" s="13" t="s">
        <v>146</v>
      </c>
      <c r="D30" s="13" t="s">
        <v>2002</v>
      </c>
      <c r="E30" s="13" t="s">
        <v>2159</v>
      </c>
      <c r="F30" s="13" t="s">
        <v>2160</v>
      </c>
      <c r="G30" s="13" t="s">
        <v>2161</v>
      </c>
      <c r="H30" s="13" t="s">
        <v>2162</v>
      </c>
      <c r="I30" s="15" t="n">
        <v>40</v>
      </c>
      <c r="J30" s="15" t="n">
        <v>21.1</v>
      </c>
      <c r="K30" s="15"/>
      <c r="L30" s="15"/>
      <c r="M30" s="15" t="n">
        <f aca="false">IF(ISNUMBER(L30),L30,J30)</f>
        <v>21.1</v>
      </c>
      <c r="N30" s="15" t="n">
        <f aca="false">ROUNDUP(M30,0)</f>
        <v>22</v>
      </c>
      <c r="O30" s="15" t="n">
        <f aca="false">MAX(I30,N30)</f>
        <v>40</v>
      </c>
      <c r="P30" s="15" t="n">
        <f aca="false">IF(C30="COVERED",MAX(0,O30-40),0)</f>
        <v>0</v>
      </c>
      <c r="Q30" s="15" t="n">
        <f aca="false">O30</f>
        <v>40</v>
      </c>
      <c r="R30" s="18" t="n">
        <f aca="false">IF(C30="COVERED",10.4,7.55)</f>
        <v>7.55</v>
      </c>
      <c r="S30" s="18" t="n">
        <f aca="false">Q30*R30</f>
        <v>302</v>
      </c>
      <c r="T30" s="13" t="s">
        <v>2163</v>
      </c>
      <c r="U30" s="14" t="n">
        <v>46235</v>
      </c>
      <c r="V30" s="13" t="n">
        <v>40</v>
      </c>
      <c r="W30" s="18" t="n">
        <v>7.55</v>
      </c>
      <c r="X30" s="18" t="n">
        <v>302</v>
      </c>
      <c r="Y30" s="18" t="n">
        <f aca="false">IF(ISNUMBER(X30),X30-S30,"")</f>
        <v>0</v>
      </c>
      <c r="Z30" s="18" t="n">
        <f aca="false">IF(ISNUMBER(X30),X30-S30,-S30)</f>
        <v>0</v>
      </c>
      <c r="AA30" s="13" t="str">
        <f aca="false">IF(NOT(ISNUMBER(X30)),"NO AUGUST POSTING IN EXPORT",IF(ABS(Y30)&gt;=0.005,"POSTED CHARGE MISMATCH",IF(P30&gt;0,"MATCH - COVERED ELIGIBILITY EXCEPTION","MATCH")))</f>
        <v>MATCH</v>
      </c>
      <c r="AB30" s="13" t="s">
        <v>2164</v>
      </c>
    </row>
    <row r="31" customFormat="false" ht="15" hidden="false" customHeight="false" outlineLevel="0" collapsed="false">
      <c r="A31" s="9" t="s">
        <v>2165</v>
      </c>
      <c r="B31" s="9" t="s">
        <v>145</v>
      </c>
      <c r="C31" s="9" t="s">
        <v>146</v>
      </c>
      <c r="D31" s="9" t="s">
        <v>2002</v>
      </c>
      <c r="E31" s="9" t="s">
        <v>2166</v>
      </c>
      <c r="F31" s="9" t="s">
        <v>2167</v>
      </c>
      <c r="G31" s="9" t="s">
        <v>2168</v>
      </c>
      <c r="H31" s="9" t="s">
        <v>2169</v>
      </c>
      <c r="I31" s="11" t="n">
        <v>24</v>
      </c>
      <c r="J31" s="11" t="n">
        <v>35.2</v>
      </c>
      <c r="K31" s="11"/>
      <c r="L31" s="11"/>
      <c r="M31" s="11" t="n">
        <f aca="false">IF(ISNUMBER(L31),L31,J31)</f>
        <v>35.2</v>
      </c>
      <c r="N31" s="11" t="n">
        <f aca="false">ROUNDUP(M31,0)</f>
        <v>36</v>
      </c>
      <c r="O31" s="11" t="n">
        <f aca="false">MAX(I31,N31)</f>
        <v>36</v>
      </c>
      <c r="P31" s="11" t="n">
        <f aca="false">IF(C31="COVERED",MAX(0,O31-40),0)</f>
        <v>0</v>
      </c>
      <c r="Q31" s="11" t="n">
        <f aca="false">O31</f>
        <v>36</v>
      </c>
      <c r="R31" s="17" t="n">
        <f aca="false">IF(C31="COVERED",10.4,7.55)</f>
        <v>7.55</v>
      </c>
      <c r="S31" s="17" t="n">
        <f aca="false">Q31*R31</f>
        <v>271.8</v>
      </c>
      <c r="T31" s="9" t="s">
        <v>2170</v>
      </c>
      <c r="U31" s="10" t="n">
        <v>46235</v>
      </c>
      <c r="V31" s="9" t="n">
        <v>36</v>
      </c>
      <c r="W31" s="17" t="n">
        <v>7.55</v>
      </c>
      <c r="X31" s="17" t="n">
        <v>271.8</v>
      </c>
      <c r="Y31" s="17" t="n">
        <f aca="false">IF(ISNUMBER(X31),X31-S31,"")</f>
        <v>0</v>
      </c>
      <c r="Z31" s="17" t="n">
        <f aca="false">IF(ISNUMBER(X31),X31-S31,-S31)</f>
        <v>0</v>
      </c>
      <c r="AA31" s="9" t="str">
        <f aca="false">IF(NOT(ISNUMBER(X31)),"NO AUGUST POSTING IN EXPORT",IF(ABS(Y31)&gt;=0.005,"POSTED CHARGE MISMATCH",IF(P31&gt;0,"MATCH - COVERED ELIGIBILITY EXCEPTION","MATCH")))</f>
        <v>MATCH</v>
      </c>
      <c r="AB31" s="9" t="s">
        <v>2171</v>
      </c>
    </row>
    <row r="32" customFormat="false" ht="15" hidden="false" customHeight="false" outlineLevel="0" collapsed="false">
      <c r="A32" s="13" t="s">
        <v>2172</v>
      </c>
      <c r="B32" s="13" t="s">
        <v>145</v>
      </c>
      <c r="C32" s="13" t="s">
        <v>146</v>
      </c>
      <c r="D32" s="13" t="s">
        <v>2002</v>
      </c>
      <c r="E32" s="13" t="s">
        <v>2173</v>
      </c>
      <c r="F32" s="13" t="s">
        <v>2174</v>
      </c>
      <c r="G32" s="13" t="s">
        <v>2175</v>
      </c>
      <c r="H32" s="13" t="s">
        <v>2176</v>
      </c>
      <c r="I32" s="15" t="n">
        <v>45</v>
      </c>
      <c r="J32" s="15" t="n">
        <v>42.1</v>
      </c>
      <c r="K32" s="15"/>
      <c r="L32" s="15"/>
      <c r="M32" s="15" t="n">
        <f aca="false">IF(ISNUMBER(L32),L32,J32)</f>
        <v>42.1</v>
      </c>
      <c r="N32" s="15" t="n">
        <f aca="false">ROUNDUP(M32,0)</f>
        <v>43</v>
      </c>
      <c r="O32" s="15" t="n">
        <f aca="false">MAX(I32,N32)</f>
        <v>45</v>
      </c>
      <c r="P32" s="15" t="n">
        <f aca="false">IF(C32="COVERED",MAX(0,O32-40),0)</f>
        <v>0</v>
      </c>
      <c r="Q32" s="15" t="n">
        <f aca="false">O32</f>
        <v>45</v>
      </c>
      <c r="R32" s="18" t="n">
        <f aca="false">IF(C32="COVERED",10.4,7.55)</f>
        <v>7.55</v>
      </c>
      <c r="S32" s="18" t="n">
        <f aca="false">Q32*R32</f>
        <v>339.75</v>
      </c>
      <c r="T32" s="13" t="s">
        <v>2177</v>
      </c>
      <c r="U32" s="14" t="n">
        <v>46235</v>
      </c>
      <c r="V32" s="13" t="n">
        <v>45</v>
      </c>
      <c r="W32" s="18" t="n">
        <v>7.55</v>
      </c>
      <c r="X32" s="18" t="n">
        <v>339.75</v>
      </c>
      <c r="Y32" s="18" t="n">
        <f aca="false">IF(ISNUMBER(X32),X32-S32,"")</f>
        <v>0</v>
      </c>
      <c r="Z32" s="18" t="n">
        <f aca="false">IF(ISNUMBER(X32),X32-S32,-S32)</f>
        <v>0</v>
      </c>
      <c r="AA32" s="13" t="str">
        <f aca="false">IF(NOT(ISNUMBER(X32)),"NO AUGUST POSTING IN EXPORT",IF(ABS(Y32)&gt;=0.005,"POSTED CHARGE MISMATCH",IF(P32&gt;0,"MATCH - COVERED ELIGIBILITY EXCEPTION","MATCH")))</f>
        <v>MATCH</v>
      </c>
      <c r="AB32" s="13" t="s">
        <v>2178</v>
      </c>
    </row>
    <row r="33" customFormat="false" ht="15" hidden="false" customHeight="false" outlineLevel="0" collapsed="false">
      <c r="A33" s="9" t="s">
        <v>2179</v>
      </c>
      <c r="B33" s="9" t="s">
        <v>145</v>
      </c>
      <c r="C33" s="9" t="s">
        <v>146</v>
      </c>
      <c r="D33" s="9" t="s">
        <v>2002</v>
      </c>
      <c r="E33" s="9" t="s">
        <v>2180</v>
      </c>
      <c r="F33" s="9" t="s">
        <v>2181</v>
      </c>
      <c r="G33" s="9" t="s">
        <v>2182</v>
      </c>
      <c r="H33" s="9" t="s">
        <v>2183</v>
      </c>
      <c r="I33" s="11" t="n">
        <v>32</v>
      </c>
      <c r="J33" s="11" t="n">
        <v>24.5</v>
      </c>
      <c r="K33" s="11"/>
      <c r="L33" s="11"/>
      <c r="M33" s="11" t="n">
        <f aca="false">IF(ISNUMBER(L33),L33,J33)</f>
        <v>24.5</v>
      </c>
      <c r="N33" s="11" t="n">
        <f aca="false">ROUNDUP(M33,0)</f>
        <v>25</v>
      </c>
      <c r="O33" s="11" t="n">
        <f aca="false">MAX(I33,N33)</f>
        <v>32</v>
      </c>
      <c r="P33" s="11" t="n">
        <f aca="false">IF(C33="COVERED",MAX(0,O33-40),0)</f>
        <v>0</v>
      </c>
      <c r="Q33" s="11" t="n">
        <f aca="false">O33</f>
        <v>32</v>
      </c>
      <c r="R33" s="17" t="n">
        <f aca="false">IF(C33="COVERED",10.4,7.55)</f>
        <v>7.55</v>
      </c>
      <c r="S33" s="17" t="n">
        <f aca="false">Q33*R33</f>
        <v>241.6</v>
      </c>
      <c r="T33" s="9" t="s">
        <v>2184</v>
      </c>
      <c r="U33" s="10" t="n">
        <v>46235</v>
      </c>
      <c r="V33" s="9" t="n">
        <v>32</v>
      </c>
      <c r="W33" s="17" t="n">
        <v>7.55</v>
      </c>
      <c r="X33" s="17" t="n">
        <v>241.6</v>
      </c>
      <c r="Y33" s="17" t="n">
        <f aca="false">IF(ISNUMBER(X33),X33-S33,"")</f>
        <v>0</v>
      </c>
      <c r="Z33" s="17" t="n">
        <f aca="false">IF(ISNUMBER(X33),X33-S33,-S33)</f>
        <v>0</v>
      </c>
      <c r="AA33" s="9" t="str">
        <f aca="false">IF(NOT(ISNUMBER(X33)),"NO AUGUST POSTING IN EXPORT",IF(ABS(Y33)&gt;=0.005,"POSTED CHARGE MISMATCH",IF(P33&gt;0,"MATCH - COVERED ELIGIBILITY EXCEPTION","MATCH")))</f>
        <v>MATCH</v>
      </c>
      <c r="AB33" s="9" t="s">
        <v>2185</v>
      </c>
    </row>
    <row r="34" customFormat="false" ht="15" hidden="false" customHeight="false" outlineLevel="0" collapsed="false">
      <c r="A34" s="13" t="s">
        <v>1268</v>
      </c>
      <c r="B34" s="13" t="s">
        <v>145</v>
      </c>
      <c r="C34" s="13" t="s">
        <v>146</v>
      </c>
      <c r="D34" s="13" t="s">
        <v>2002</v>
      </c>
      <c r="E34" s="13" t="s">
        <v>2186</v>
      </c>
      <c r="F34" s="13" t="s">
        <v>2187</v>
      </c>
      <c r="G34" s="13" t="s">
        <v>2188</v>
      </c>
      <c r="H34" s="13" t="s">
        <v>2189</v>
      </c>
      <c r="I34" s="15" t="n">
        <v>36</v>
      </c>
      <c r="J34" s="15" t="n">
        <v>30.4</v>
      </c>
      <c r="K34" s="15"/>
      <c r="L34" s="15"/>
      <c r="M34" s="15" t="n">
        <f aca="false">IF(ISNUMBER(L34),L34,J34)</f>
        <v>30.4</v>
      </c>
      <c r="N34" s="15" t="n">
        <f aca="false">ROUNDUP(M34,0)</f>
        <v>31</v>
      </c>
      <c r="O34" s="15" t="n">
        <f aca="false">MAX(I34,N34)</f>
        <v>36</v>
      </c>
      <c r="P34" s="15" t="n">
        <f aca="false">IF(C34="COVERED",MAX(0,O34-40),0)</f>
        <v>0</v>
      </c>
      <c r="Q34" s="15" t="n">
        <f aca="false">O34</f>
        <v>36</v>
      </c>
      <c r="R34" s="18" t="n">
        <f aca="false">IF(C34="COVERED",10.4,7.55)</f>
        <v>7.55</v>
      </c>
      <c r="S34" s="18" t="n">
        <f aca="false">Q34*R34</f>
        <v>271.8</v>
      </c>
      <c r="T34" s="13" t="s">
        <v>2190</v>
      </c>
      <c r="U34" s="14" t="n">
        <v>46235</v>
      </c>
      <c r="V34" s="13" t="n">
        <v>36</v>
      </c>
      <c r="W34" s="18" t="n">
        <v>7.55</v>
      </c>
      <c r="X34" s="18" t="n">
        <v>271.8</v>
      </c>
      <c r="Y34" s="18" t="n">
        <f aca="false">IF(ISNUMBER(X34),X34-S34,"")</f>
        <v>0</v>
      </c>
      <c r="Z34" s="18" t="n">
        <f aca="false">IF(ISNUMBER(X34),X34-S34,-S34)</f>
        <v>0</v>
      </c>
      <c r="AA34" s="13" t="str">
        <f aca="false">IF(NOT(ISNUMBER(X34)),"NO AUGUST POSTING IN EXPORT",IF(ABS(Y34)&gt;=0.005,"POSTED CHARGE MISMATCH",IF(P34&gt;0,"MATCH - COVERED ELIGIBILITY EXCEPTION","MATCH")))</f>
        <v>MATCH</v>
      </c>
      <c r="AB34" s="13" t="s">
        <v>2191</v>
      </c>
    </row>
    <row r="35" customFormat="false" ht="15" hidden="false" customHeight="false" outlineLevel="0" collapsed="false">
      <c r="A35" s="9" t="s">
        <v>2192</v>
      </c>
      <c r="B35" s="9" t="s">
        <v>145</v>
      </c>
      <c r="C35" s="9" t="s">
        <v>146</v>
      </c>
      <c r="D35" s="9" t="s">
        <v>2002</v>
      </c>
      <c r="E35" s="9" t="s">
        <v>2193</v>
      </c>
      <c r="F35" s="9" t="s">
        <v>2194</v>
      </c>
      <c r="G35" s="9" t="s">
        <v>2195</v>
      </c>
      <c r="H35" s="9" t="s">
        <v>2196</v>
      </c>
      <c r="I35" s="11" t="n">
        <v>24</v>
      </c>
      <c r="J35" s="11" t="n">
        <v>39.6</v>
      </c>
      <c r="K35" s="11"/>
      <c r="L35" s="11"/>
      <c r="M35" s="11" t="n">
        <f aca="false">IF(ISNUMBER(L35),L35,J35)</f>
        <v>39.6</v>
      </c>
      <c r="N35" s="11" t="n">
        <f aca="false">ROUNDUP(M35,0)</f>
        <v>40</v>
      </c>
      <c r="O35" s="11" t="n">
        <f aca="false">MAX(I35,N35)</f>
        <v>40</v>
      </c>
      <c r="P35" s="11" t="n">
        <f aca="false">IF(C35="COVERED",MAX(0,O35-40),0)</f>
        <v>0</v>
      </c>
      <c r="Q35" s="11" t="n">
        <f aca="false">O35</f>
        <v>40</v>
      </c>
      <c r="R35" s="17" t="n">
        <f aca="false">IF(C35="COVERED",10.4,7.55)</f>
        <v>7.55</v>
      </c>
      <c r="S35" s="17" t="n">
        <f aca="false">Q35*R35</f>
        <v>302</v>
      </c>
      <c r="T35" s="9" t="s">
        <v>2197</v>
      </c>
      <c r="U35" s="10" t="n">
        <v>46235</v>
      </c>
      <c r="V35" s="9" t="n">
        <v>40</v>
      </c>
      <c r="W35" s="17" t="n">
        <v>7.55</v>
      </c>
      <c r="X35" s="17" t="n">
        <v>302</v>
      </c>
      <c r="Y35" s="17" t="n">
        <f aca="false">IF(ISNUMBER(X35),X35-S35,"")</f>
        <v>0</v>
      </c>
      <c r="Z35" s="17" t="n">
        <f aca="false">IF(ISNUMBER(X35),X35-S35,-S35)</f>
        <v>0</v>
      </c>
      <c r="AA35" s="9" t="str">
        <f aca="false">IF(NOT(ISNUMBER(X35)),"NO AUGUST POSTING IN EXPORT",IF(ABS(Y35)&gt;=0.005,"POSTED CHARGE MISMATCH",IF(P35&gt;0,"MATCH - COVERED ELIGIBILITY EXCEPTION","MATCH")))</f>
        <v>MATCH</v>
      </c>
      <c r="AB35" s="9" t="s">
        <v>2198</v>
      </c>
    </row>
    <row r="36" customFormat="false" ht="15" hidden="false" customHeight="false" outlineLevel="0" collapsed="false">
      <c r="A36" s="13" t="s">
        <v>2199</v>
      </c>
      <c r="B36" s="13" t="s">
        <v>145</v>
      </c>
      <c r="C36" s="13" t="s">
        <v>146</v>
      </c>
      <c r="D36" s="13" t="s">
        <v>2002</v>
      </c>
      <c r="E36" s="13" t="s">
        <v>2200</v>
      </c>
      <c r="F36" s="13" t="s">
        <v>2201</v>
      </c>
      <c r="G36" s="13" t="s">
        <v>2202</v>
      </c>
      <c r="H36" s="13" t="s">
        <v>2203</v>
      </c>
      <c r="I36" s="15" t="n">
        <v>50</v>
      </c>
      <c r="J36" s="15" t="n">
        <v>41.5</v>
      </c>
      <c r="K36" s="15"/>
      <c r="L36" s="15"/>
      <c r="M36" s="15" t="n">
        <f aca="false">IF(ISNUMBER(L36),L36,J36)</f>
        <v>41.5</v>
      </c>
      <c r="N36" s="15" t="n">
        <f aca="false">ROUNDUP(M36,0)</f>
        <v>42</v>
      </c>
      <c r="O36" s="15" t="n">
        <f aca="false">MAX(I36,N36)</f>
        <v>50</v>
      </c>
      <c r="P36" s="15" t="n">
        <f aca="false">IF(C36="COVERED",MAX(0,O36-40),0)</f>
        <v>0</v>
      </c>
      <c r="Q36" s="15" t="n">
        <f aca="false">O36</f>
        <v>50</v>
      </c>
      <c r="R36" s="18" t="n">
        <f aca="false">IF(C36="COVERED",10.4,7.55)</f>
        <v>7.55</v>
      </c>
      <c r="S36" s="18" t="n">
        <f aca="false">Q36*R36</f>
        <v>377.5</v>
      </c>
      <c r="T36" s="13" t="s">
        <v>2204</v>
      </c>
      <c r="U36" s="14" t="n">
        <v>46235</v>
      </c>
      <c r="V36" s="13" t="n">
        <v>50</v>
      </c>
      <c r="W36" s="18" t="n">
        <v>7.55</v>
      </c>
      <c r="X36" s="18" t="n">
        <v>377.5</v>
      </c>
      <c r="Y36" s="18" t="n">
        <f aca="false">IF(ISNUMBER(X36),X36-S36,"")</f>
        <v>0</v>
      </c>
      <c r="Z36" s="18" t="n">
        <f aca="false">IF(ISNUMBER(X36),X36-S36,-S36)</f>
        <v>0</v>
      </c>
      <c r="AA36" s="13" t="str">
        <f aca="false">IF(NOT(ISNUMBER(X36)),"NO AUGUST POSTING IN EXPORT",IF(ABS(Y36)&gt;=0.005,"POSTED CHARGE MISMATCH",IF(P36&gt;0,"MATCH - COVERED ELIGIBILITY EXCEPTION","MATCH")))</f>
        <v>MATCH</v>
      </c>
      <c r="AB36" s="13" t="s">
        <v>2205</v>
      </c>
    </row>
    <row r="37" customFormat="false" ht="15" hidden="false" customHeight="false" outlineLevel="0" collapsed="false">
      <c r="A37" s="9" t="s">
        <v>2206</v>
      </c>
      <c r="B37" s="9" t="s">
        <v>145</v>
      </c>
      <c r="C37" s="9" t="s">
        <v>146</v>
      </c>
      <c r="D37" s="9" t="s">
        <v>2002</v>
      </c>
      <c r="E37" s="9" t="s">
        <v>2207</v>
      </c>
      <c r="F37" s="9" t="s">
        <v>2208</v>
      </c>
      <c r="G37" s="9" t="s">
        <v>2209</v>
      </c>
      <c r="H37" s="9" t="s">
        <v>2210</v>
      </c>
      <c r="I37" s="11" t="n">
        <v>32</v>
      </c>
      <c r="J37" s="11" t="n">
        <v>19.5</v>
      </c>
      <c r="K37" s="11"/>
      <c r="L37" s="11"/>
      <c r="M37" s="11" t="n">
        <f aca="false">IF(ISNUMBER(L37),L37,J37)</f>
        <v>19.5</v>
      </c>
      <c r="N37" s="11" t="n">
        <f aca="false">ROUNDUP(M37,0)</f>
        <v>20</v>
      </c>
      <c r="O37" s="11" t="n">
        <f aca="false">MAX(I37,N37)</f>
        <v>32</v>
      </c>
      <c r="P37" s="11" t="n">
        <f aca="false">IF(C37="COVERED",MAX(0,O37-40),0)</f>
        <v>0</v>
      </c>
      <c r="Q37" s="11" t="n">
        <f aca="false">O37</f>
        <v>32</v>
      </c>
      <c r="R37" s="17" t="n">
        <f aca="false">IF(C37="COVERED",10.4,7.55)</f>
        <v>7.55</v>
      </c>
      <c r="S37" s="17" t="n">
        <f aca="false">Q37*R37</f>
        <v>241.6</v>
      </c>
      <c r="T37" s="9" t="s">
        <v>2211</v>
      </c>
      <c r="U37" s="10" t="n">
        <v>46235</v>
      </c>
      <c r="V37" s="9" t="n">
        <v>32</v>
      </c>
      <c r="W37" s="17" t="n">
        <v>7.55</v>
      </c>
      <c r="X37" s="17" t="n">
        <v>241.6</v>
      </c>
      <c r="Y37" s="17" t="n">
        <f aca="false">IF(ISNUMBER(X37),X37-S37,"")</f>
        <v>0</v>
      </c>
      <c r="Z37" s="17" t="n">
        <f aca="false">IF(ISNUMBER(X37),X37-S37,-S37)</f>
        <v>0</v>
      </c>
      <c r="AA37" s="9" t="str">
        <f aca="false">IF(NOT(ISNUMBER(X37)),"NO AUGUST POSTING IN EXPORT",IF(ABS(Y37)&gt;=0.005,"POSTED CHARGE MISMATCH",IF(P37&gt;0,"MATCH - COVERED ELIGIBILITY EXCEPTION","MATCH")))</f>
        <v>MATCH</v>
      </c>
      <c r="AB37" s="9" t="s">
        <v>2212</v>
      </c>
    </row>
    <row r="38" customFormat="false" ht="15" hidden="false" customHeight="false" outlineLevel="0" collapsed="false">
      <c r="A38" s="13" t="s">
        <v>2213</v>
      </c>
      <c r="B38" s="13" t="s">
        <v>145</v>
      </c>
      <c r="C38" s="13" t="s">
        <v>146</v>
      </c>
      <c r="D38" s="13" t="s">
        <v>2002</v>
      </c>
      <c r="E38" s="13" t="s">
        <v>2214</v>
      </c>
      <c r="F38" s="13" t="s">
        <v>2215</v>
      </c>
      <c r="G38" s="13" t="s">
        <v>2216</v>
      </c>
      <c r="H38" s="13" t="s">
        <v>2217</v>
      </c>
      <c r="I38" s="15" t="n">
        <v>60</v>
      </c>
      <c r="J38" s="15" t="n">
        <v>23.2</v>
      </c>
      <c r="K38" s="15"/>
      <c r="L38" s="15"/>
      <c r="M38" s="15" t="n">
        <f aca="false">IF(ISNUMBER(L38),L38,J38)</f>
        <v>23.2</v>
      </c>
      <c r="N38" s="15" t="n">
        <f aca="false">ROUNDUP(M38,0)</f>
        <v>24</v>
      </c>
      <c r="O38" s="15" t="n">
        <f aca="false">MAX(I38,N38)</f>
        <v>60</v>
      </c>
      <c r="P38" s="15" t="n">
        <f aca="false">IF(C38="COVERED",MAX(0,O38-40),0)</f>
        <v>0</v>
      </c>
      <c r="Q38" s="15" t="n">
        <f aca="false">O38</f>
        <v>60</v>
      </c>
      <c r="R38" s="18" t="n">
        <f aca="false">IF(C38="COVERED",10.4,7.55)</f>
        <v>7.55</v>
      </c>
      <c r="S38" s="18" t="n">
        <f aca="false">Q38*R38</f>
        <v>453</v>
      </c>
      <c r="T38" s="13" t="s">
        <v>2218</v>
      </c>
      <c r="U38" s="14" t="n">
        <v>46235</v>
      </c>
      <c r="V38" s="13" t="n">
        <v>60</v>
      </c>
      <c r="W38" s="18" t="n">
        <v>7.55</v>
      </c>
      <c r="X38" s="18" t="n">
        <v>453</v>
      </c>
      <c r="Y38" s="18" t="n">
        <f aca="false">IF(ISNUMBER(X38),X38-S38,"")</f>
        <v>0</v>
      </c>
      <c r="Z38" s="18" t="n">
        <f aca="false">IF(ISNUMBER(X38),X38-S38,-S38)</f>
        <v>0</v>
      </c>
      <c r="AA38" s="13" t="str">
        <f aca="false">IF(NOT(ISNUMBER(X38)),"NO AUGUST POSTING IN EXPORT",IF(ABS(Y38)&gt;=0.005,"POSTED CHARGE MISMATCH",IF(P38&gt;0,"MATCH - COVERED ELIGIBILITY EXCEPTION","MATCH")))</f>
        <v>MATCH</v>
      </c>
      <c r="AB38" s="13" t="s">
        <v>2219</v>
      </c>
    </row>
    <row r="39" customFormat="false" ht="15" hidden="false" customHeight="false" outlineLevel="0" collapsed="false">
      <c r="A39" s="9" t="s">
        <v>2220</v>
      </c>
      <c r="B39" s="9" t="s">
        <v>145</v>
      </c>
      <c r="C39" s="9" t="s">
        <v>146</v>
      </c>
      <c r="D39" s="9" t="s">
        <v>2002</v>
      </c>
      <c r="E39" s="9" t="s">
        <v>2221</v>
      </c>
      <c r="F39" s="9" t="s">
        <v>2222</v>
      </c>
      <c r="G39" s="9" t="s">
        <v>2223</v>
      </c>
      <c r="H39" s="9" t="s">
        <v>2224</v>
      </c>
      <c r="I39" s="11" t="n">
        <v>32</v>
      </c>
      <c r="J39" s="11" t="n">
        <v>20.4</v>
      </c>
      <c r="K39" s="11"/>
      <c r="L39" s="11"/>
      <c r="M39" s="11" t="n">
        <f aca="false">IF(ISNUMBER(L39),L39,J39)</f>
        <v>20.4</v>
      </c>
      <c r="N39" s="11" t="n">
        <f aca="false">ROUNDUP(M39,0)</f>
        <v>21</v>
      </c>
      <c r="O39" s="11" t="n">
        <f aca="false">MAX(I39,N39)</f>
        <v>32</v>
      </c>
      <c r="P39" s="11" t="n">
        <f aca="false">IF(C39="COVERED",MAX(0,O39-40),0)</f>
        <v>0</v>
      </c>
      <c r="Q39" s="11" t="n">
        <f aca="false">O39</f>
        <v>32</v>
      </c>
      <c r="R39" s="17" t="n">
        <f aca="false">IF(C39="COVERED",10.4,7.55)</f>
        <v>7.55</v>
      </c>
      <c r="S39" s="17" t="n">
        <f aca="false">Q39*R39</f>
        <v>241.6</v>
      </c>
      <c r="T39" s="9" t="s">
        <v>2225</v>
      </c>
      <c r="U39" s="10" t="n">
        <v>46235</v>
      </c>
      <c r="V39" s="9" t="n">
        <v>32</v>
      </c>
      <c r="W39" s="17" t="n">
        <v>7.55</v>
      </c>
      <c r="X39" s="17" t="n">
        <v>241.6</v>
      </c>
      <c r="Y39" s="17" t="n">
        <f aca="false">IF(ISNUMBER(X39),X39-S39,"")</f>
        <v>0</v>
      </c>
      <c r="Z39" s="17" t="n">
        <f aca="false">IF(ISNUMBER(X39),X39-S39,-S39)</f>
        <v>0</v>
      </c>
      <c r="AA39" s="9" t="str">
        <f aca="false">IF(NOT(ISNUMBER(X39)),"NO AUGUST POSTING IN EXPORT",IF(ABS(Y39)&gt;=0.005,"POSTED CHARGE MISMATCH",IF(P39&gt;0,"MATCH - COVERED ELIGIBILITY EXCEPTION","MATCH")))</f>
        <v>MATCH</v>
      </c>
      <c r="AB39" s="9" t="s">
        <v>2226</v>
      </c>
    </row>
    <row r="40" customFormat="false" ht="15" hidden="false" customHeight="false" outlineLevel="0" collapsed="false">
      <c r="A40" s="13" t="s">
        <v>2227</v>
      </c>
      <c r="B40" s="13" t="s">
        <v>145</v>
      </c>
      <c r="C40" s="13" t="s">
        <v>146</v>
      </c>
      <c r="D40" s="13" t="s">
        <v>2002</v>
      </c>
      <c r="E40" s="13" t="s">
        <v>2228</v>
      </c>
      <c r="F40" s="13" t="s">
        <v>2229</v>
      </c>
      <c r="G40" s="13" t="s">
        <v>2230</v>
      </c>
      <c r="H40" s="13" t="s">
        <v>2231</v>
      </c>
      <c r="I40" s="15" t="n">
        <v>50</v>
      </c>
      <c r="J40" s="15" t="n">
        <v>42.6</v>
      </c>
      <c r="K40" s="15"/>
      <c r="L40" s="15"/>
      <c r="M40" s="15" t="n">
        <f aca="false">IF(ISNUMBER(L40),L40,J40)</f>
        <v>42.6</v>
      </c>
      <c r="N40" s="15" t="n">
        <f aca="false">ROUNDUP(M40,0)</f>
        <v>43</v>
      </c>
      <c r="O40" s="15" t="n">
        <f aca="false">MAX(I40,N40)</f>
        <v>50</v>
      </c>
      <c r="P40" s="15" t="n">
        <f aca="false">IF(C40="COVERED",MAX(0,O40-40),0)</f>
        <v>0</v>
      </c>
      <c r="Q40" s="15" t="n">
        <f aca="false">O40</f>
        <v>50</v>
      </c>
      <c r="R40" s="18" t="n">
        <f aca="false">IF(C40="COVERED",10.4,7.55)</f>
        <v>7.55</v>
      </c>
      <c r="S40" s="18" t="n">
        <f aca="false">Q40*R40</f>
        <v>377.5</v>
      </c>
      <c r="T40" s="13" t="s">
        <v>2232</v>
      </c>
      <c r="U40" s="14" t="n">
        <v>46235</v>
      </c>
      <c r="V40" s="13" t="n">
        <v>50</v>
      </c>
      <c r="W40" s="18" t="n">
        <v>7.55</v>
      </c>
      <c r="X40" s="18" t="n">
        <v>377.5</v>
      </c>
      <c r="Y40" s="18" t="n">
        <f aca="false">IF(ISNUMBER(X40),X40-S40,"")</f>
        <v>0</v>
      </c>
      <c r="Z40" s="18" t="n">
        <f aca="false">IF(ISNUMBER(X40),X40-S40,-S40)</f>
        <v>0</v>
      </c>
      <c r="AA40" s="13" t="str">
        <f aca="false">IF(NOT(ISNUMBER(X40)),"NO AUGUST POSTING IN EXPORT",IF(ABS(Y40)&gt;=0.005,"POSTED CHARGE MISMATCH",IF(P40&gt;0,"MATCH - COVERED ELIGIBILITY EXCEPTION","MATCH")))</f>
        <v>MATCH</v>
      </c>
      <c r="AB40" s="13" t="s">
        <v>2233</v>
      </c>
    </row>
    <row r="41" customFormat="false" ht="15" hidden="false" customHeight="false" outlineLevel="0" collapsed="false">
      <c r="A41" s="9" t="s">
        <v>2234</v>
      </c>
      <c r="B41" s="9" t="s">
        <v>145</v>
      </c>
      <c r="C41" s="9" t="s">
        <v>146</v>
      </c>
      <c r="D41" s="9" t="s">
        <v>2002</v>
      </c>
      <c r="E41" s="9" t="s">
        <v>2235</v>
      </c>
      <c r="F41" s="9" t="s">
        <v>629</v>
      </c>
      <c r="G41" s="9" t="s">
        <v>630</v>
      </c>
      <c r="H41" s="9" t="s">
        <v>2236</v>
      </c>
      <c r="I41" s="11" t="n">
        <v>32</v>
      </c>
      <c r="J41" s="11" t="n">
        <v>32.9</v>
      </c>
      <c r="K41" s="11"/>
      <c r="L41" s="11"/>
      <c r="M41" s="11" t="n">
        <f aca="false">IF(ISNUMBER(L41),L41,J41)</f>
        <v>32.9</v>
      </c>
      <c r="N41" s="11" t="n">
        <f aca="false">ROUNDUP(M41,0)</f>
        <v>33</v>
      </c>
      <c r="O41" s="11" t="n">
        <f aca="false">MAX(I41,N41)</f>
        <v>33</v>
      </c>
      <c r="P41" s="11" t="n">
        <f aca="false">IF(C41="COVERED",MAX(0,O41-40),0)</f>
        <v>0</v>
      </c>
      <c r="Q41" s="11" t="n">
        <f aca="false">O41</f>
        <v>33</v>
      </c>
      <c r="R41" s="17" t="n">
        <f aca="false">IF(C41="COVERED",10.4,7.55)</f>
        <v>7.55</v>
      </c>
      <c r="S41" s="17" t="n">
        <f aca="false">Q41*R41</f>
        <v>249.15</v>
      </c>
      <c r="T41" s="9" t="s">
        <v>2237</v>
      </c>
      <c r="U41" s="10" t="n">
        <v>46235</v>
      </c>
      <c r="V41" s="9" t="n">
        <v>33</v>
      </c>
      <c r="W41" s="17" t="n">
        <v>7.55</v>
      </c>
      <c r="X41" s="17" t="n">
        <v>249.15</v>
      </c>
      <c r="Y41" s="17" t="n">
        <f aca="false">IF(ISNUMBER(X41),X41-S41,"")</f>
        <v>0</v>
      </c>
      <c r="Z41" s="17" t="n">
        <f aca="false">IF(ISNUMBER(X41),X41-S41,-S41)</f>
        <v>0</v>
      </c>
      <c r="AA41" s="9" t="str">
        <f aca="false">IF(NOT(ISNUMBER(X41)),"NO AUGUST POSTING IN EXPORT",IF(ABS(Y41)&gt;=0.005,"POSTED CHARGE MISMATCH",IF(P41&gt;0,"MATCH - COVERED ELIGIBILITY EXCEPTION","MATCH")))</f>
        <v>MATCH</v>
      </c>
      <c r="AB41" s="9" t="s">
        <v>2238</v>
      </c>
    </row>
    <row r="42" customFormat="false" ht="15" hidden="false" customHeight="false" outlineLevel="0" collapsed="false">
      <c r="A42" s="13" t="s">
        <v>2239</v>
      </c>
      <c r="B42" s="13" t="s">
        <v>145</v>
      </c>
      <c r="C42" s="13" t="s">
        <v>146</v>
      </c>
      <c r="D42" s="13" t="s">
        <v>2002</v>
      </c>
      <c r="E42" s="13" t="s">
        <v>2240</v>
      </c>
      <c r="F42" s="13" t="s">
        <v>2241</v>
      </c>
      <c r="G42" s="13" t="s">
        <v>2242</v>
      </c>
      <c r="H42" s="13" t="s">
        <v>2243</v>
      </c>
      <c r="I42" s="15" t="n">
        <v>36</v>
      </c>
      <c r="J42" s="15" t="n">
        <v>23</v>
      </c>
      <c r="K42" s="15"/>
      <c r="L42" s="15"/>
      <c r="M42" s="15" t="n">
        <f aca="false">IF(ISNUMBER(L42),L42,J42)</f>
        <v>23</v>
      </c>
      <c r="N42" s="15" t="n">
        <f aca="false">ROUNDUP(M42,0)</f>
        <v>23</v>
      </c>
      <c r="O42" s="15" t="n">
        <f aca="false">MAX(I42,N42)</f>
        <v>36</v>
      </c>
      <c r="P42" s="15" t="n">
        <f aca="false">IF(C42="COVERED",MAX(0,O42-40),0)</f>
        <v>0</v>
      </c>
      <c r="Q42" s="15" t="n">
        <f aca="false">O42</f>
        <v>36</v>
      </c>
      <c r="R42" s="18" t="n">
        <f aca="false">IF(C42="COVERED",10.4,7.55)</f>
        <v>7.55</v>
      </c>
      <c r="S42" s="18" t="n">
        <f aca="false">Q42*R42</f>
        <v>271.8</v>
      </c>
      <c r="T42" s="13" t="s">
        <v>2244</v>
      </c>
      <c r="U42" s="14" t="n">
        <v>46235</v>
      </c>
      <c r="V42" s="13" t="n">
        <v>36</v>
      </c>
      <c r="W42" s="18" t="n">
        <v>7.55</v>
      </c>
      <c r="X42" s="18" t="n">
        <v>271.8</v>
      </c>
      <c r="Y42" s="18" t="n">
        <f aca="false">IF(ISNUMBER(X42),X42-S42,"")</f>
        <v>0</v>
      </c>
      <c r="Z42" s="18" t="n">
        <f aca="false">IF(ISNUMBER(X42),X42-S42,-S42)</f>
        <v>0</v>
      </c>
      <c r="AA42" s="13" t="str">
        <f aca="false">IF(NOT(ISNUMBER(X42)),"NO AUGUST POSTING IN EXPORT",IF(ABS(Y42)&gt;=0.005,"POSTED CHARGE MISMATCH",IF(P42&gt;0,"MATCH - COVERED ELIGIBILITY EXCEPTION","MATCH")))</f>
        <v>MATCH</v>
      </c>
      <c r="AB42" s="13" t="s">
        <v>2245</v>
      </c>
    </row>
    <row r="43" customFormat="false" ht="15" hidden="false" customHeight="false" outlineLevel="0" collapsed="false">
      <c r="A43" s="9" t="s">
        <v>2246</v>
      </c>
      <c r="B43" s="9" t="s">
        <v>145</v>
      </c>
      <c r="C43" s="9" t="s">
        <v>146</v>
      </c>
      <c r="D43" s="9" t="s">
        <v>2002</v>
      </c>
      <c r="E43" s="9" t="s">
        <v>2247</v>
      </c>
      <c r="F43" s="9" t="s">
        <v>2248</v>
      </c>
      <c r="G43" s="9" t="s">
        <v>2249</v>
      </c>
      <c r="H43" s="9" t="s">
        <v>2250</v>
      </c>
      <c r="I43" s="11" t="n">
        <v>70</v>
      </c>
      <c r="J43" s="11" t="n">
        <v>21.3</v>
      </c>
      <c r="K43" s="11"/>
      <c r="L43" s="11"/>
      <c r="M43" s="11" t="n">
        <f aca="false">IF(ISNUMBER(L43),L43,J43)</f>
        <v>21.3</v>
      </c>
      <c r="N43" s="11" t="n">
        <f aca="false">ROUNDUP(M43,0)</f>
        <v>22</v>
      </c>
      <c r="O43" s="11" t="n">
        <f aca="false">MAX(I43,N43)</f>
        <v>70</v>
      </c>
      <c r="P43" s="11" t="n">
        <f aca="false">IF(C43="COVERED",MAX(0,O43-40),0)</f>
        <v>0</v>
      </c>
      <c r="Q43" s="11" t="n">
        <f aca="false">O43</f>
        <v>70</v>
      </c>
      <c r="R43" s="17" t="n">
        <f aca="false">IF(C43="COVERED",10.4,7.55)</f>
        <v>7.55</v>
      </c>
      <c r="S43" s="17" t="n">
        <f aca="false">Q43*R43</f>
        <v>528.5</v>
      </c>
      <c r="T43" s="9" t="s">
        <v>2251</v>
      </c>
      <c r="U43" s="10" t="n">
        <v>46235</v>
      </c>
      <c r="V43" s="9" t="n">
        <v>70</v>
      </c>
      <c r="W43" s="17" t="n">
        <v>7.55</v>
      </c>
      <c r="X43" s="17" t="n">
        <v>528.5</v>
      </c>
      <c r="Y43" s="17" t="n">
        <f aca="false">IF(ISNUMBER(X43),X43-S43,"")</f>
        <v>0</v>
      </c>
      <c r="Z43" s="17" t="n">
        <f aca="false">IF(ISNUMBER(X43),X43-S43,-S43)</f>
        <v>0</v>
      </c>
      <c r="AA43" s="9" t="str">
        <f aca="false">IF(NOT(ISNUMBER(X43)),"NO AUGUST POSTING IN EXPORT",IF(ABS(Y43)&gt;=0.005,"POSTED CHARGE MISMATCH",IF(P43&gt;0,"MATCH - COVERED ELIGIBILITY EXCEPTION","MATCH")))</f>
        <v>MATCH</v>
      </c>
      <c r="AB43" s="9" t="s">
        <v>2252</v>
      </c>
    </row>
    <row r="44" customFormat="false" ht="15" hidden="false" customHeight="false" outlineLevel="0" collapsed="false">
      <c r="A44" s="13" t="s">
        <v>2253</v>
      </c>
      <c r="B44" s="13" t="s">
        <v>145</v>
      </c>
      <c r="C44" s="13" t="s">
        <v>146</v>
      </c>
      <c r="D44" s="13" t="s">
        <v>2002</v>
      </c>
      <c r="E44" s="13" t="s">
        <v>2254</v>
      </c>
      <c r="F44" s="13" t="s">
        <v>2255</v>
      </c>
      <c r="G44" s="13" t="s">
        <v>2256</v>
      </c>
      <c r="H44" s="13" t="s">
        <v>2257</v>
      </c>
      <c r="I44" s="15" t="n">
        <v>40</v>
      </c>
      <c r="J44" s="15" t="n">
        <v>22.1</v>
      </c>
      <c r="K44" s="15"/>
      <c r="L44" s="15"/>
      <c r="M44" s="15" t="n">
        <f aca="false">IF(ISNUMBER(L44),L44,J44)</f>
        <v>22.1</v>
      </c>
      <c r="N44" s="15" t="n">
        <f aca="false">ROUNDUP(M44,0)</f>
        <v>23</v>
      </c>
      <c r="O44" s="15" t="n">
        <f aca="false">MAX(I44,N44)</f>
        <v>40</v>
      </c>
      <c r="P44" s="15" t="n">
        <f aca="false">IF(C44="COVERED",MAX(0,O44-40),0)</f>
        <v>0</v>
      </c>
      <c r="Q44" s="15" t="n">
        <f aca="false">O44</f>
        <v>40</v>
      </c>
      <c r="R44" s="18" t="n">
        <f aca="false">IF(C44="COVERED",10.4,7.55)</f>
        <v>7.55</v>
      </c>
      <c r="S44" s="18" t="n">
        <f aca="false">Q44*R44</f>
        <v>302</v>
      </c>
      <c r="T44" s="13" t="s">
        <v>2258</v>
      </c>
      <c r="U44" s="14" t="n">
        <v>46235</v>
      </c>
      <c r="V44" s="13" t="n">
        <v>40</v>
      </c>
      <c r="W44" s="18" t="n">
        <v>7.55</v>
      </c>
      <c r="X44" s="18" t="n">
        <v>302</v>
      </c>
      <c r="Y44" s="18" t="n">
        <f aca="false">IF(ISNUMBER(X44),X44-S44,"")</f>
        <v>0</v>
      </c>
      <c r="Z44" s="18" t="n">
        <f aca="false">IF(ISNUMBER(X44),X44-S44,-S44)</f>
        <v>0</v>
      </c>
      <c r="AA44" s="13" t="str">
        <f aca="false">IF(NOT(ISNUMBER(X44)),"NO AUGUST POSTING IN EXPORT",IF(ABS(Y44)&gt;=0.005,"POSTED CHARGE MISMATCH",IF(P44&gt;0,"MATCH - COVERED ELIGIBILITY EXCEPTION","MATCH")))</f>
        <v>MATCH</v>
      </c>
      <c r="AB44" s="13" t="s">
        <v>2259</v>
      </c>
    </row>
    <row r="45" customFormat="false" ht="15" hidden="false" customHeight="false" outlineLevel="0" collapsed="false">
      <c r="A45" s="9" t="s">
        <v>2260</v>
      </c>
      <c r="B45" s="9" t="s">
        <v>145</v>
      </c>
      <c r="C45" s="9" t="s">
        <v>146</v>
      </c>
      <c r="D45" s="9" t="s">
        <v>2002</v>
      </c>
      <c r="E45" s="9" t="s">
        <v>2261</v>
      </c>
      <c r="F45" s="9" t="s">
        <v>2262</v>
      </c>
      <c r="G45" s="9" t="s">
        <v>2263</v>
      </c>
      <c r="H45" s="9" t="s">
        <v>2124</v>
      </c>
      <c r="I45" s="11" t="n">
        <v>28</v>
      </c>
      <c r="J45" s="11" t="n">
        <v>57.1</v>
      </c>
      <c r="K45" s="11"/>
      <c r="L45" s="11"/>
      <c r="M45" s="11" t="n">
        <f aca="false">IF(ISNUMBER(L45),L45,J45)</f>
        <v>57.1</v>
      </c>
      <c r="N45" s="11" t="n">
        <f aca="false">ROUNDUP(M45,0)</f>
        <v>58</v>
      </c>
      <c r="O45" s="11" t="n">
        <f aca="false">MAX(I45,N45)</f>
        <v>58</v>
      </c>
      <c r="P45" s="11" t="n">
        <f aca="false">IF(C45="COVERED",MAX(0,O45-40),0)</f>
        <v>0</v>
      </c>
      <c r="Q45" s="11" t="n">
        <f aca="false">O45</f>
        <v>58</v>
      </c>
      <c r="R45" s="17" t="n">
        <f aca="false">IF(C45="COVERED",10.4,7.55)</f>
        <v>7.55</v>
      </c>
      <c r="S45" s="17" t="n">
        <f aca="false">Q45*R45</f>
        <v>437.9</v>
      </c>
      <c r="T45" s="9" t="s">
        <v>2264</v>
      </c>
      <c r="U45" s="10" t="n">
        <v>46235</v>
      </c>
      <c r="V45" s="9" t="n">
        <v>58</v>
      </c>
      <c r="W45" s="17" t="n">
        <v>7.55</v>
      </c>
      <c r="X45" s="17" t="n">
        <v>437.9</v>
      </c>
      <c r="Y45" s="17" t="n">
        <f aca="false">IF(ISNUMBER(X45),X45-S45,"")</f>
        <v>0</v>
      </c>
      <c r="Z45" s="17" t="n">
        <f aca="false">IF(ISNUMBER(X45),X45-S45,-S45)</f>
        <v>0</v>
      </c>
      <c r="AA45" s="9" t="str">
        <f aca="false">IF(NOT(ISNUMBER(X45)),"NO AUGUST POSTING IN EXPORT",IF(ABS(Y45)&gt;=0.005,"POSTED CHARGE MISMATCH",IF(P45&gt;0,"MATCH - COVERED ELIGIBILITY EXCEPTION","MATCH")))</f>
        <v>MATCH</v>
      </c>
      <c r="AB45" s="9" t="s">
        <v>2265</v>
      </c>
    </row>
    <row r="46" customFormat="false" ht="15" hidden="false" customHeight="false" outlineLevel="0" collapsed="false">
      <c r="A46" s="13" t="s">
        <v>2266</v>
      </c>
      <c r="B46" s="13" t="s">
        <v>145</v>
      </c>
      <c r="C46" s="13" t="s">
        <v>146</v>
      </c>
      <c r="D46" s="13" t="s">
        <v>2002</v>
      </c>
      <c r="E46" s="13" t="s">
        <v>2267</v>
      </c>
      <c r="F46" s="13" t="s">
        <v>2268</v>
      </c>
      <c r="G46" s="13" t="s">
        <v>2269</v>
      </c>
      <c r="H46" s="13" t="s">
        <v>2270</v>
      </c>
      <c r="I46" s="15" t="n">
        <v>24</v>
      </c>
      <c r="J46" s="15" t="n">
        <v>29.3</v>
      </c>
      <c r="K46" s="15"/>
      <c r="L46" s="15"/>
      <c r="M46" s="15" t="n">
        <f aca="false">IF(ISNUMBER(L46),L46,J46)</f>
        <v>29.3</v>
      </c>
      <c r="N46" s="15" t="n">
        <f aca="false">ROUNDUP(M46,0)</f>
        <v>30</v>
      </c>
      <c r="O46" s="15" t="n">
        <f aca="false">MAX(I46,N46)</f>
        <v>30</v>
      </c>
      <c r="P46" s="15" t="n">
        <f aca="false">IF(C46="COVERED",MAX(0,O46-40),0)</f>
        <v>0</v>
      </c>
      <c r="Q46" s="15" t="n">
        <f aca="false">O46</f>
        <v>30</v>
      </c>
      <c r="R46" s="18" t="n">
        <f aca="false">IF(C46="COVERED",10.4,7.55)</f>
        <v>7.55</v>
      </c>
      <c r="S46" s="18" t="n">
        <f aca="false">Q46*R46</f>
        <v>226.5</v>
      </c>
      <c r="T46" s="13" t="s">
        <v>2271</v>
      </c>
      <c r="U46" s="14" t="n">
        <v>46235</v>
      </c>
      <c r="V46" s="13" t="n">
        <v>30</v>
      </c>
      <c r="W46" s="18" t="n">
        <v>7.55</v>
      </c>
      <c r="X46" s="18" t="n">
        <v>226.5</v>
      </c>
      <c r="Y46" s="18" t="n">
        <f aca="false">IF(ISNUMBER(X46),X46-S46,"")</f>
        <v>0</v>
      </c>
      <c r="Z46" s="18" t="n">
        <f aca="false">IF(ISNUMBER(X46),X46-S46,-S46)</f>
        <v>0</v>
      </c>
      <c r="AA46" s="13" t="str">
        <f aca="false">IF(NOT(ISNUMBER(X46)),"NO AUGUST POSTING IN EXPORT",IF(ABS(Y46)&gt;=0.005,"POSTED CHARGE MISMATCH",IF(P46&gt;0,"MATCH - COVERED ELIGIBILITY EXCEPTION","MATCH")))</f>
        <v>MATCH</v>
      </c>
      <c r="AB46" s="13" t="s">
        <v>2272</v>
      </c>
    </row>
    <row r="47" customFormat="false" ht="15" hidden="false" customHeight="false" outlineLevel="0" collapsed="false">
      <c r="A47" s="9" t="s">
        <v>2273</v>
      </c>
      <c r="B47" s="9" t="s">
        <v>145</v>
      </c>
      <c r="C47" s="9" t="s">
        <v>146</v>
      </c>
      <c r="D47" s="9" t="s">
        <v>2002</v>
      </c>
      <c r="E47" s="9" t="s">
        <v>2274</v>
      </c>
      <c r="F47" s="9" t="s">
        <v>2275</v>
      </c>
      <c r="G47" s="9" t="s">
        <v>2276</v>
      </c>
      <c r="H47" s="9" t="s">
        <v>2277</v>
      </c>
      <c r="I47" s="11" t="n">
        <v>36</v>
      </c>
      <c r="J47" s="11" t="n">
        <v>19</v>
      </c>
      <c r="K47" s="11"/>
      <c r="L47" s="11"/>
      <c r="M47" s="11" t="n">
        <f aca="false">IF(ISNUMBER(L47),L47,J47)</f>
        <v>19</v>
      </c>
      <c r="N47" s="11" t="n">
        <f aca="false">ROUNDUP(M47,0)</f>
        <v>19</v>
      </c>
      <c r="O47" s="11" t="n">
        <f aca="false">MAX(I47,N47)</f>
        <v>36</v>
      </c>
      <c r="P47" s="11" t="n">
        <f aca="false">IF(C47="COVERED",MAX(0,O47-40),0)</f>
        <v>0</v>
      </c>
      <c r="Q47" s="11" t="n">
        <f aca="false">O47</f>
        <v>36</v>
      </c>
      <c r="R47" s="17" t="n">
        <f aca="false">IF(C47="COVERED",10.4,7.55)</f>
        <v>7.55</v>
      </c>
      <c r="S47" s="17" t="n">
        <f aca="false">Q47*R47</f>
        <v>271.8</v>
      </c>
      <c r="T47" s="9" t="s">
        <v>2278</v>
      </c>
      <c r="U47" s="10" t="n">
        <v>46235</v>
      </c>
      <c r="V47" s="9" t="n">
        <v>36</v>
      </c>
      <c r="W47" s="17" t="n">
        <v>7.55</v>
      </c>
      <c r="X47" s="17" t="n">
        <v>271.8</v>
      </c>
      <c r="Y47" s="17" t="n">
        <f aca="false">IF(ISNUMBER(X47),X47-S47,"")</f>
        <v>0</v>
      </c>
      <c r="Z47" s="17" t="n">
        <f aca="false">IF(ISNUMBER(X47),X47-S47,-S47)</f>
        <v>0</v>
      </c>
      <c r="AA47" s="9" t="str">
        <f aca="false">IF(NOT(ISNUMBER(X47)),"NO AUGUST POSTING IN EXPORT",IF(ABS(Y47)&gt;=0.005,"POSTED CHARGE MISMATCH",IF(P47&gt;0,"MATCH - COVERED ELIGIBILITY EXCEPTION","MATCH")))</f>
        <v>MATCH</v>
      </c>
      <c r="AB47" s="9" t="s">
        <v>2279</v>
      </c>
    </row>
    <row r="48" customFormat="false" ht="15" hidden="false" customHeight="false" outlineLevel="0" collapsed="false">
      <c r="A48" s="13" t="s">
        <v>2280</v>
      </c>
      <c r="B48" s="13" t="s">
        <v>145</v>
      </c>
      <c r="C48" s="13" t="s">
        <v>146</v>
      </c>
      <c r="D48" s="13" t="s">
        <v>2002</v>
      </c>
      <c r="E48" s="13" t="s">
        <v>2281</v>
      </c>
      <c r="F48" s="13" t="s">
        <v>2282</v>
      </c>
      <c r="G48" s="13" t="s">
        <v>2283</v>
      </c>
      <c r="H48" s="13" t="s">
        <v>2144</v>
      </c>
      <c r="I48" s="15" t="n">
        <v>24</v>
      </c>
      <c r="J48" s="15" t="n">
        <v>49.6</v>
      </c>
      <c r="K48" s="15"/>
      <c r="L48" s="15"/>
      <c r="M48" s="15" t="n">
        <f aca="false">IF(ISNUMBER(L48),L48,J48)</f>
        <v>49.6</v>
      </c>
      <c r="N48" s="15" t="n">
        <f aca="false">ROUNDUP(M48,0)</f>
        <v>50</v>
      </c>
      <c r="O48" s="15" t="n">
        <f aca="false">MAX(I48,N48)</f>
        <v>50</v>
      </c>
      <c r="P48" s="15" t="n">
        <f aca="false">IF(C48="COVERED",MAX(0,O48-40),0)</f>
        <v>0</v>
      </c>
      <c r="Q48" s="15" t="n">
        <f aca="false">O48</f>
        <v>50</v>
      </c>
      <c r="R48" s="18" t="n">
        <f aca="false">IF(C48="COVERED",10.4,7.55)</f>
        <v>7.55</v>
      </c>
      <c r="S48" s="18" t="n">
        <f aca="false">Q48*R48</f>
        <v>377.5</v>
      </c>
      <c r="T48" s="13" t="s">
        <v>2284</v>
      </c>
      <c r="U48" s="14" t="n">
        <v>46235</v>
      </c>
      <c r="V48" s="13" t="n">
        <v>50</v>
      </c>
      <c r="W48" s="18" t="n">
        <v>7.55</v>
      </c>
      <c r="X48" s="18" t="n">
        <v>377.5</v>
      </c>
      <c r="Y48" s="18" t="n">
        <f aca="false">IF(ISNUMBER(X48),X48-S48,"")</f>
        <v>0</v>
      </c>
      <c r="Z48" s="18" t="n">
        <f aca="false">IF(ISNUMBER(X48),X48-S48,-S48)</f>
        <v>0</v>
      </c>
      <c r="AA48" s="13" t="str">
        <f aca="false">IF(NOT(ISNUMBER(X48)),"NO AUGUST POSTING IN EXPORT",IF(ABS(Y48)&gt;=0.005,"POSTED CHARGE MISMATCH",IF(P48&gt;0,"MATCH - COVERED ELIGIBILITY EXCEPTION","MATCH")))</f>
        <v>MATCH</v>
      </c>
      <c r="AB48" s="13" t="s">
        <v>2285</v>
      </c>
    </row>
    <row r="49" customFormat="false" ht="15" hidden="false" customHeight="false" outlineLevel="0" collapsed="false">
      <c r="A49" s="9" t="s">
        <v>2286</v>
      </c>
      <c r="B49" s="9" t="s">
        <v>145</v>
      </c>
      <c r="C49" s="9" t="s">
        <v>146</v>
      </c>
      <c r="D49" s="9" t="s">
        <v>2002</v>
      </c>
      <c r="E49" s="9" t="s">
        <v>2287</v>
      </c>
      <c r="F49" s="9" t="s">
        <v>2288</v>
      </c>
      <c r="G49" s="9" t="s">
        <v>2289</v>
      </c>
      <c r="H49" s="9" t="s">
        <v>2290</v>
      </c>
      <c r="I49" s="11" t="n">
        <v>40</v>
      </c>
      <c r="J49" s="11" t="n">
        <v>49.2</v>
      </c>
      <c r="K49" s="11"/>
      <c r="L49" s="11"/>
      <c r="M49" s="11" t="n">
        <f aca="false">IF(ISNUMBER(L49),L49,J49)</f>
        <v>49.2</v>
      </c>
      <c r="N49" s="11" t="n">
        <f aca="false">ROUNDUP(M49,0)</f>
        <v>50</v>
      </c>
      <c r="O49" s="11" t="n">
        <f aca="false">MAX(I49,N49)</f>
        <v>50</v>
      </c>
      <c r="P49" s="11" t="n">
        <f aca="false">IF(C49="COVERED",MAX(0,O49-40),0)</f>
        <v>0</v>
      </c>
      <c r="Q49" s="11" t="n">
        <f aca="false">O49</f>
        <v>50</v>
      </c>
      <c r="R49" s="17" t="n">
        <f aca="false">IF(C49="COVERED",10.4,7.55)</f>
        <v>7.55</v>
      </c>
      <c r="S49" s="17" t="n">
        <f aca="false">Q49*R49</f>
        <v>377.5</v>
      </c>
      <c r="T49" s="9" t="s">
        <v>2291</v>
      </c>
      <c r="U49" s="10" t="n">
        <v>46235</v>
      </c>
      <c r="V49" s="9" t="n">
        <v>50</v>
      </c>
      <c r="W49" s="17" t="n">
        <v>7.55</v>
      </c>
      <c r="X49" s="17" t="n">
        <v>377.5</v>
      </c>
      <c r="Y49" s="17" t="n">
        <f aca="false">IF(ISNUMBER(X49),X49-S49,"")</f>
        <v>0</v>
      </c>
      <c r="Z49" s="17" t="n">
        <f aca="false">IF(ISNUMBER(X49),X49-S49,-S49)</f>
        <v>0</v>
      </c>
      <c r="AA49" s="9" t="str">
        <f aca="false">IF(NOT(ISNUMBER(X49)),"NO AUGUST POSTING IN EXPORT",IF(ABS(Y49)&gt;=0.005,"POSTED CHARGE MISMATCH",IF(P49&gt;0,"MATCH - COVERED ELIGIBILITY EXCEPTION","MATCH")))</f>
        <v>MATCH</v>
      </c>
      <c r="AB49" s="9" t="s">
        <v>2292</v>
      </c>
    </row>
    <row r="50" customFormat="false" ht="15" hidden="false" customHeight="false" outlineLevel="0" collapsed="false">
      <c r="A50" s="13" t="s">
        <v>2293</v>
      </c>
      <c r="B50" s="13" t="s">
        <v>145</v>
      </c>
      <c r="C50" s="13" t="s">
        <v>146</v>
      </c>
      <c r="D50" s="13" t="s">
        <v>2002</v>
      </c>
      <c r="E50" s="13" t="s">
        <v>2294</v>
      </c>
      <c r="F50" s="13" t="s">
        <v>2295</v>
      </c>
      <c r="G50" s="13" t="s">
        <v>2296</v>
      </c>
      <c r="H50" s="13" t="s">
        <v>2297</v>
      </c>
      <c r="I50" s="15" t="n">
        <v>40</v>
      </c>
      <c r="J50" s="15" t="n">
        <v>29.4</v>
      </c>
      <c r="K50" s="15"/>
      <c r="L50" s="15"/>
      <c r="M50" s="15" t="n">
        <f aca="false">IF(ISNUMBER(L50),L50,J50)</f>
        <v>29.4</v>
      </c>
      <c r="N50" s="15" t="n">
        <f aca="false">ROUNDUP(M50,0)</f>
        <v>30</v>
      </c>
      <c r="O50" s="15" t="n">
        <f aca="false">MAX(I50,N50)</f>
        <v>40</v>
      </c>
      <c r="P50" s="15" t="n">
        <f aca="false">IF(C50="COVERED",MAX(0,O50-40),0)</f>
        <v>0</v>
      </c>
      <c r="Q50" s="15" t="n">
        <f aca="false">O50</f>
        <v>40</v>
      </c>
      <c r="R50" s="18" t="n">
        <f aca="false">IF(C50="COVERED",10.4,7.55)</f>
        <v>7.55</v>
      </c>
      <c r="S50" s="18" t="n">
        <f aca="false">Q50*R50</f>
        <v>302</v>
      </c>
      <c r="T50" s="13" t="s">
        <v>2298</v>
      </c>
      <c r="U50" s="14" t="n">
        <v>46235</v>
      </c>
      <c r="V50" s="13" t="n">
        <v>40</v>
      </c>
      <c r="W50" s="18" t="n">
        <v>7.55</v>
      </c>
      <c r="X50" s="18" t="n">
        <v>302</v>
      </c>
      <c r="Y50" s="18" t="n">
        <f aca="false">IF(ISNUMBER(X50),X50-S50,"")</f>
        <v>0</v>
      </c>
      <c r="Z50" s="18" t="n">
        <f aca="false">IF(ISNUMBER(X50),X50-S50,-S50)</f>
        <v>0</v>
      </c>
      <c r="AA50" s="13" t="str">
        <f aca="false">IF(NOT(ISNUMBER(X50)),"NO AUGUST POSTING IN EXPORT",IF(ABS(Y50)&gt;=0.005,"POSTED CHARGE MISMATCH",IF(P50&gt;0,"MATCH - COVERED ELIGIBILITY EXCEPTION","MATCH")))</f>
        <v>MATCH</v>
      </c>
      <c r="AB50" s="13" t="s">
        <v>2299</v>
      </c>
    </row>
    <row r="51" customFormat="false" ht="15" hidden="false" customHeight="false" outlineLevel="0" collapsed="false">
      <c r="A51" s="9" t="s">
        <v>241</v>
      </c>
      <c r="B51" s="9" t="s">
        <v>145</v>
      </c>
      <c r="C51" s="9" t="s">
        <v>146</v>
      </c>
      <c r="D51" s="9" t="s">
        <v>2002</v>
      </c>
      <c r="E51" s="9" t="s">
        <v>2300</v>
      </c>
      <c r="F51" s="9" t="s">
        <v>2301</v>
      </c>
      <c r="G51" s="9" t="s">
        <v>2302</v>
      </c>
      <c r="H51" s="9" t="s">
        <v>2303</v>
      </c>
      <c r="I51" s="11" t="n">
        <v>36</v>
      </c>
      <c r="J51" s="11" t="n">
        <v>39.1</v>
      </c>
      <c r="K51" s="11"/>
      <c r="L51" s="11"/>
      <c r="M51" s="11" t="n">
        <f aca="false">IF(ISNUMBER(L51),L51,J51)</f>
        <v>39.1</v>
      </c>
      <c r="N51" s="11" t="n">
        <f aca="false">ROUNDUP(M51,0)</f>
        <v>40</v>
      </c>
      <c r="O51" s="11" t="n">
        <f aca="false">MAX(I51,N51)</f>
        <v>40</v>
      </c>
      <c r="P51" s="11" t="n">
        <f aca="false">IF(C51="COVERED",MAX(0,O51-40),0)</f>
        <v>0</v>
      </c>
      <c r="Q51" s="11" t="n">
        <f aca="false">O51</f>
        <v>40</v>
      </c>
      <c r="R51" s="17" t="n">
        <f aca="false">IF(C51="COVERED",10.4,7.55)</f>
        <v>7.55</v>
      </c>
      <c r="S51" s="17" t="n">
        <f aca="false">Q51*R51</f>
        <v>302</v>
      </c>
      <c r="T51" s="9" t="s">
        <v>2304</v>
      </c>
      <c r="U51" s="10" t="n">
        <v>46235</v>
      </c>
      <c r="V51" s="9" t="n">
        <v>40</v>
      </c>
      <c r="W51" s="17" t="n">
        <v>7.55</v>
      </c>
      <c r="X51" s="17" t="n">
        <v>302</v>
      </c>
      <c r="Y51" s="17" t="n">
        <f aca="false">IF(ISNUMBER(X51),X51-S51,"")</f>
        <v>0</v>
      </c>
      <c r="Z51" s="17" t="n">
        <f aca="false">IF(ISNUMBER(X51),X51-S51,-S51)</f>
        <v>0</v>
      </c>
      <c r="AA51" s="9" t="str">
        <f aca="false">IF(NOT(ISNUMBER(X51)),"NO AUGUST POSTING IN EXPORT",IF(ABS(Y51)&gt;=0.005,"POSTED CHARGE MISMATCH",IF(P51&gt;0,"MATCH - COVERED ELIGIBILITY EXCEPTION","MATCH")))</f>
        <v>MATCH</v>
      </c>
      <c r="AB51" s="9" t="s">
        <v>2305</v>
      </c>
    </row>
    <row r="52" customFormat="false" ht="15" hidden="false" customHeight="false" outlineLevel="0" collapsed="false">
      <c r="A52" s="13" t="s">
        <v>2306</v>
      </c>
      <c r="B52" s="13" t="s">
        <v>145</v>
      </c>
      <c r="C52" s="13" t="s">
        <v>146</v>
      </c>
      <c r="D52" s="13" t="s">
        <v>2002</v>
      </c>
      <c r="E52" s="13" t="s">
        <v>2307</v>
      </c>
      <c r="F52" s="13" t="s">
        <v>2308</v>
      </c>
      <c r="G52" s="13" t="s">
        <v>2309</v>
      </c>
      <c r="H52" s="13" t="s">
        <v>2310</v>
      </c>
      <c r="I52" s="15" t="n">
        <v>40</v>
      </c>
      <c r="J52" s="15" t="n">
        <v>61.9</v>
      </c>
      <c r="K52" s="15"/>
      <c r="L52" s="15"/>
      <c r="M52" s="15" t="n">
        <f aca="false">IF(ISNUMBER(L52),L52,J52)</f>
        <v>61.9</v>
      </c>
      <c r="N52" s="15" t="n">
        <f aca="false">ROUNDUP(M52,0)</f>
        <v>62</v>
      </c>
      <c r="O52" s="15" t="n">
        <f aca="false">MAX(I52,N52)</f>
        <v>62</v>
      </c>
      <c r="P52" s="15" t="n">
        <f aca="false">IF(C52="COVERED",MAX(0,O52-40),0)</f>
        <v>0</v>
      </c>
      <c r="Q52" s="15" t="n">
        <f aca="false">O52</f>
        <v>62</v>
      </c>
      <c r="R52" s="18" t="n">
        <f aca="false">IF(C52="COVERED",10.4,7.55)</f>
        <v>7.55</v>
      </c>
      <c r="S52" s="18" t="n">
        <f aca="false">Q52*R52</f>
        <v>468.1</v>
      </c>
      <c r="T52" s="13" t="s">
        <v>2311</v>
      </c>
      <c r="U52" s="14" t="n">
        <v>46235</v>
      </c>
      <c r="V52" s="13" t="n">
        <v>62</v>
      </c>
      <c r="W52" s="18" t="n">
        <v>7.55</v>
      </c>
      <c r="X52" s="18" t="n">
        <v>468.1</v>
      </c>
      <c r="Y52" s="18" t="n">
        <f aca="false">IF(ISNUMBER(X52),X52-S52,"")</f>
        <v>0</v>
      </c>
      <c r="Z52" s="18" t="n">
        <f aca="false">IF(ISNUMBER(X52),X52-S52,-S52)</f>
        <v>0</v>
      </c>
      <c r="AA52" s="13" t="str">
        <f aca="false">IF(NOT(ISNUMBER(X52)),"NO AUGUST POSTING IN EXPORT",IF(ABS(Y52)&gt;=0.005,"POSTED CHARGE MISMATCH",IF(P52&gt;0,"MATCH - COVERED ELIGIBILITY EXCEPTION","MATCH")))</f>
        <v>MATCH</v>
      </c>
      <c r="AB52" s="13" t="s">
        <v>2312</v>
      </c>
    </row>
    <row r="53" customFormat="false" ht="15" hidden="false" customHeight="false" outlineLevel="0" collapsed="false">
      <c r="A53" s="9" t="s">
        <v>849</v>
      </c>
      <c r="B53" s="9" t="s">
        <v>145</v>
      </c>
      <c r="C53" s="9" t="s">
        <v>146</v>
      </c>
      <c r="D53" s="9" t="s">
        <v>2002</v>
      </c>
      <c r="E53" s="9" t="s">
        <v>2313</v>
      </c>
      <c r="F53" s="9" t="s">
        <v>2314</v>
      </c>
      <c r="G53" s="9" t="s">
        <v>2315</v>
      </c>
      <c r="H53" s="9" t="s">
        <v>2112</v>
      </c>
      <c r="I53" s="11" t="n">
        <v>50</v>
      </c>
      <c r="J53" s="11" t="n">
        <v>21</v>
      </c>
      <c r="K53" s="11"/>
      <c r="L53" s="11"/>
      <c r="M53" s="11" t="n">
        <f aca="false">IF(ISNUMBER(L53),L53,J53)</f>
        <v>21</v>
      </c>
      <c r="N53" s="11" t="n">
        <f aca="false">ROUNDUP(M53,0)</f>
        <v>21</v>
      </c>
      <c r="O53" s="11" t="n">
        <f aca="false">MAX(I53,N53)</f>
        <v>50</v>
      </c>
      <c r="P53" s="11" t="n">
        <f aca="false">IF(C53="COVERED",MAX(0,O53-40),0)</f>
        <v>0</v>
      </c>
      <c r="Q53" s="11" t="n">
        <f aca="false">O53</f>
        <v>50</v>
      </c>
      <c r="R53" s="17" t="n">
        <f aca="false">IF(C53="COVERED",10.4,7.55)</f>
        <v>7.55</v>
      </c>
      <c r="S53" s="17" t="n">
        <f aca="false">Q53*R53</f>
        <v>377.5</v>
      </c>
      <c r="T53" s="9" t="s">
        <v>2316</v>
      </c>
      <c r="U53" s="10" t="n">
        <v>46235</v>
      </c>
      <c r="V53" s="9" t="n">
        <v>50</v>
      </c>
      <c r="W53" s="17" t="n">
        <v>7.55</v>
      </c>
      <c r="X53" s="17" t="n">
        <v>377.5</v>
      </c>
      <c r="Y53" s="17" t="n">
        <f aca="false">IF(ISNUMBER(X53),X53-S53,"")</f>
        <v>0</v>
      </c>
      <c r="Z53" s="17" t="n">
        <f aca="false">IF(ISNUMBER(X53),X53-S53,-S53)</f>
        <v>0</v>
      </c>
      <c r="AA53" s="9" t="str">
        <f aca="false">IF(NOT(ISNUMBER(X53)),"NO AUGUST POSTING IN EXPORT",IF(ABS(Y53)&gt;=0.005,"POSTED CHARGE MISMATCH",IF(P53&gt;0,"MATCH - COVERED ELIGIBILITY EXCEPTION","MATCH")))</f>
        <v>MATCH</v>
      </c>
      <c r="AB53" s="9" t="s">
        <v>2317</v>
      </c>
    </row>
    <row r="54" customFormat="false" ht="15" hidden="false" customHeight="false" outlineLevel="0" collapsed="false">
      <c r="A54" s="13" t="s">
        <v>2318</v>
      </c>
      <c r="B54" s="13" t="s">
        <v>145</v>
      </c>
      <c r="C54" s="13" t="s">
        <v>146</v>
      </c>
      <c r="D54" s="13" t="s">
        <v>2002</v>
      </c>
      <c r="E54" s="13" t="s">
        <v>2319</v>
      </c>
      <c r="F54" s="13" t="s">
        <v>2320</v>
      </c>
      <c r="G54" s="13" t="s">
        <v>2321</v>
      </c>
      <c r="H54" s="13" t="s">
        <v>2322</v>
      </c>
      <c r="I54" s="15" t="n">
        <v>70</v>
      </c>
      <c r="J54" s="15" t="n">
        <v>19.3</v>
      </c>
      <c r="K54" s="15"/>
      <c r="L54" s="15"/>
      <c r="M54" s="15" t="n">
        <f aca="false">IF(ISNUMBER(L54),L54,J54)</f>
        <v>19.3</v>
      </c>
      <c r="N54" s="15" t="n">
        <f aca="false">ROUNDUP(M54,0)</f>
        <v>20</v>
      </c>
      <c r="O54" s="15" t="n">
        <f aca="false">MAX(I54,N54)</f>
        <v>70</v>
      </c>
      <c r="P54" s="15" t="n">
        <f aca="false">IF(C54="COVERED",MAX(0,O54-40),0)</f>
        <v>0</v>
      </c>
      <c r="Q54" s="15" t="n">
        <f aca="false">O54</f>
        <v>70</v>
      </c>
      <c r="R54" s="18" t="n">
        <f aca="false">IF(C54="COVERED",10.4,7.55)</f>
        <v>7.55</v>
      </c>
      <c r="S54" s="18" t="n">
        <f aca="false">Q54*R54</f>
        <v>528.5</v>
      </c>
      <c r="T54" s="13" t="s">
        <v>2323</v>
      </c>
      <c r="U54" s="14" t="n">
        <v>46235</v>
      </c>
      <c r="V54" s="13" t="n">
        <v>70</v>
      </c>
      <c r="W54" s="18" t="n">
        <v>7.55</v>
      </c>
      <c r="X54" s="18" t="n">
        <v>528.5</v>
      </c>
      <c r="Y54" s="18" t="n">
        <f aca="false">IF(ISNUMBER(X54),X54-S54,"")</f>
        <v>0</v>
      </c>
      <c r="Z54" s="18" t="n">
        <f aca="false">IF(ISNUMBER(X54),X54-S54,-S54)</f>
        <v>0</v>
      </c>
      <c r="AA54" s="13" t="str">
        <f aca="false">IF(NOT(ISNUMBER(X54)),"NO AUGUST POSTING IN EXPORT",IF(ABS(Y54)&gt;=0.005,"POSTED CHARGE MISMATCH",IF(P54&gt;0,"MATCH - COVERED ELIGIBILITY EXCEPTION","MATCH")))</f>
        <v>MATCH</v>
      </c>
      <c r="AB54" s="13" t="s">
        <v>2324</v>
      </c>
    </row>
    <row r="55" customFormat="false" ht="15" hidden="false" customHeight="false" outlineLevel="0" collapsed="false">
      <c r="A55" s="9" t="s">
        <v>2325</v>
      </c>
      <c r="B55" s="9" t="s">
        <v>145</v>
      </c>
      <c r="C55" s="9" t="s">
        <v>146</v>
      </c>
      <c r="D55" s="9" t="s">
        <v>2002</v>
      </c>
      <c r="E55" s="9" t="s">
        <v>2326</v>
      </c>
      <c r="F55" s="9" t="s">
        <v>2327</v>
      </c>
      <c r="G55" s="9" t="s">
        <v>2328</v>
      </c>
      <c r="H55" s="9" t="s">
        <v>2329</v>
      </c>
      <c r="I55" s="11" t="n">
        <v>28</v>
      </c>
      <c r="J55" s="11" t="n">
        <v>26.7</v>
      </c>
      <c r="K55" s="11"/>
      <c r="L55" s="11"/>
      <c r="M55" s="11" t="n">
        <f aca="false">IF(ISNUMBER(L55),L55,J55)</f>
        <v>26.7</v>
      </c>
      <c r="N55" s="11" t="n">
        <f aca="false">ROUNDUP(M55,0)</f>
        <v>27</v>
      </c>
      <c r="O55" s="11" t="n">
        <f aca="false">MAX(I55,N55)</f>
        <v>28</v>
      </c>
      <c r="P55" s="11" t="n">
        <f aca="false">IF(C55="COVERED",MAX(0,O55-40),0)</f>
        <v>0</v>
      </c>
      <c r="Q55" s="11" t="n">
        <f aca="false">O55</f>
        <v>28</v>
      </c>
      <c r="R55" s="17" t="n">
        <f aca="false">IF(C55="COVERED",10.4,7.55)</f>
        <v>7.55</v>
      </c>
      <c r="S55" s="17" t="n">
        <f aca="false">Q55*R55</f>
        <v>211.4</v>
      </c>
      <c r="T55" s="9" t="s">
        <v>2330</v>
      </c>
      <c r="U55" s="10" t="n">
        <v>46235</v>
      </c>
      <c r="V55" s="9" t="n">
        <v>28</v>
      </c>
      <c r="W55" s="17" t="n">
        <v>7.55</v>
      </c>
      <c r="X55" s="17" t="n">
        <v>211.4</v>
      </c>
      <c r="Y55" s="17" t="n">
        <f aca="false">IF(ISNUMBER(X55),X55-S55,"")</f>
        <v>0</v>
      </c>
      <c r="Z55" s="17" t="n">
        <f aca="false">IF(ISNUMBER(X55),X55-S55,-S55)</f>
        <v>0</v>
      </c>
      <c r="AA55" s="9" t="str">
        <f aca="false">IF(NOT(ISNUMBER(X55)),"NO AUGUST POSTING IN EXPORT",IF(ABS(Y55)&gt;=0.005,"POSTED CHARGE MISMATCH",IF(P55&gt;0,"MATCH - COVERED ELIGIBILITY EXCEPTION","MATCH")))</f>
        <v>MATCH</v>
      </c>
      <c r="AB55" s="9" t="s">
        <v>2331</v>
      </c>
    </row>
    <row r="56" customFormat="false" ht="15" hidden="false" customHeight="false" outlineLevel="0" collapsed="false">
      <c r="A56" s="13" t="s">
        <v>2332</v>
      </c>
      <c r="B56" s="13" t="s">
        <v>145</v>
      </c>
      <c r="C56" s="13" t="s">
        <v>146</v>
      </c>
      <c r="D56" s="13" t="s">
        <v>2002</v>
      </c>
      <c r="E56" s="13" t="s">
        <v>2333</v>
      </c>
      <c r="F56" s="13" t="s">
        <v>2334</v>
      </c>
      <c r="G56" s="13" t="s">
        <v>2335</v>
      </c>
      <c r="H56" s="13" t="s">
        <v>2336</v>
      </c>
      <c r="I56" s="15" t="n">
        <v>50</v>
      </c>
      <c r="J56" s="15" t="n">
        <v>43.4</v>
      </c>
      <c r="K56" s="15"/>
      <c r="L56" s="15"/>
      <c r="M56" s="15" t="n">
        <f aca="false">IF(ISNUMBER(L56),L56,J56)</f>
        <v>43.4</v>
      </c>
      <c r="N56" s="15" t="n">
        <f aca="false">ROUNDUP(M56,0)</f>
        <v>44</v>
      </c>
      <c r="O56" s="15" t="n">
        <f aca="false">MAX(I56,N56)</f>
        <v>50</v>
      </c>
      <c r="P56" s="15" t="n">
        <f aca="false">IF(C56="COVERED",MAX(0,O56-40),0)</f>
        <v>0</v>
      </c>
      <c r="Q56" s="15" t="n">
        <f aca="false">O56</f>
        <v>50</v>
      </c>
      <c r="R56" s="18" t="n">
        <f aca="false">IF(C56="COVERED",10.4,7.55)</f>
        <v>7.55</v>
      </c>
      <c r="S56" s="18" t="n">
        <f aca="false">Q56*R56</f>
        <v>377.5</v>
      </c>
      <c r="T56" s="13" t="s">
        <v>2337</v>
      </c>
      <c r="U56" s="14" t="n">
        <v>46235</v>
      </c>
      <c r="V56" s="13" t="n">
        <v>50</v>
      </c>
      <c r="W56" s="18" t="n">
        <v>7.55</v>
      </c>
      <c r="X56" s="18" t="n">
        <v>377.5</v>
      </c>
      <c r="Y56" s="18" t="n">
        <f aca="false">IF(ISNUMBER(X56),X56-S56,"")</f>
        <v>0</v>
      </c>
      <c r="Z56" s="18" t="n">
        <f aca="false">IF(ISNUMBER(X56),X56-S56,-S56)</f>
        <v>0</v>
      </c>
      <c r="AA56" s="13" t="str">
        <f aca="false">IF(NOT(ISNUMBER(X56)),"NO AUGUST POSTING IN EXPORT",IF(ABS(Y56)&gt;=0.005,"POSTED CHARGE MISMATCH",IF(P56&gt;0,"MATCH - COVERED ELIGIBILITY EXCEPTION","MATCH")))</f>
        <v>MATCH</v>
      </c>
      <c r="AB56" s="13" t="s">
        <v>2338</v>
      </c>
    </row>
    <row r="57" customFormat="false" ht="15" hidden="false" customHeight="false" outlineLevel="0" collapsed="false">
      <c r="A57" s="9" t="s">
        <v>2339</v>
      </c>
      <c r="B57" s="9" t="s">
        <v>145</v>
      </c>
      <c r="C57" s="9" t="s">
        <v>146</v>
      </c>
      <c r="D57" s="9" t="s">
        <v>2002</v>
      </c>
      <c r="E57" s="9" t="s">
        <v>2340</v>
      </c>
      <c r="F57" s="9" t="s">
        <v>2341</v>
      </c>
      <c r="G57" s="9" t="s">
        <v>2342</v>
      </c>
      <c r="H57" s="9" t="s">
        <v>2343</v>
      </c>
      <c r="I57" s="11" t="n">
        <v>32</v>
      </c>
      <c r="J57" s="11" t="n">
        <v>22.3</v>
      </c>
      <c r="K57" s="11"/>
      <c r="L57" s="11"/>
      <c r="M57" s="11" t="n">
        <f aca="false">IF(ISNUMBER(L57),L57,J57)</f>
        <v>22.3</v>
      </c>
      <c r="N57" s="11" t="n">
        <f aca="false">ROUNDUP(M57,0)</f>
        <v>23</v>
      </c>
      <c r="O57" s="11" t="n">
        <f aca="false">MAX(I57,N57)</f>
        <v>32</v>
      </c>
      <c r="P57" s="11" t="n">
        <f aca="false">IF(C57="COVERED",MAX(0,O57-40),0)</f>
        <v>0</v>
      </c>
      <c r="Q57" s="11" t="n">
        <f aca="false">O57</f>
        <v>32</v>
      </c>
      <c r="R57" s="17" t="n">
        <f aca="false">IF(C57="COVERED",10.4,7.55)</f>
        <v>7.55</v>
      </c>
      <c r="S57" s="17" t="n">
        <f aca="false">Q57*R57</f>
        <v>241.6</v>
      </c>
      <c r="T57" s="9" t="s">
        <v>2344</v>
      </c>
      <c r="U57" s="10" t="n">
        <v>46235</v>
      </c>
      <c r="V57" s="9" t="n">
        <v>32</v>
      </c>
      <c r="W57" s="17" t="n">
        <v>7.55</v>
      </c>
      <c r="X57" s="17" t="n">
        <v>241.6</v>
      </c>
      <c r="Y57" s="17" t="n">
        <f aca="false">IF(ISNUMBER(X57),X57-S57,"")</f>
        <v>0</v>
      </c>
      <c r="Z57" s="17" t="n">
        <f aca="false">IF(ISNUMBER(X57),X57-S57,-S57)</f>
        <v>0</v>
      </c>
      <c r="AA57" s="9" t="str">
        <f aca="false">IF(NOT(ISNUMBER(X57)),"NO AUGUST POSTING IN EXPORT",IF(ABS(Y57)&gt;=0.005,"POSTED CHARGE MISMATCH",IF(P57&gt;0,"MATCH - COVERED ELIGIBILITY EXCEPTION","MATCH")))</f>
        <v>MATCH</v>
      </c>
      <c r="AB57" s="9" t="s">
        <v>2345</v>
      </c>
    </row>
    <row r="58" customFormat="false" ht="15" hidden="false" customHeight="false" outlineLevel="0" collapsed="false">
      <c r="A58" s="13" t="s">
        <v>2346</v>
      </c>
      <c r="B58" s="13" t="s">
        <v>145</v>
      </c>
      <c r="C58" s="13" t="s">
        <v>146</v>
      </c>
      <c r="D58" s="13" t="s">
        <v>2002</v>
      </c>
      <c r="E58" s="13" t="s">
        <v>2347</v>
      </c>
      <c r="F58" s="13" t="s">
        <v>2348</v>
      </c>
      <c r="G58" s="13" t="s">
        <v>2349</v>
      </c>
      <c r="H58" s="13" t="s">
        <v>2350</v>
      </c>
      <c r="I58" s="15" t="n">
        <v>28</v>
      </c>
      <c r="J58" s="15" t="n">
        <v>30.1</v>
      </c>
      <c r="K58" s="15"/>
      <c r="L58" s="15"/>
      <c r="M58" s="15" t="n">
        <f aca="false">IF(ISNUMBER(L58),L58,J58)</f>
        <v>30.1</v>
      </c>
      <c r="N58" s="15" t="n">
        <f aca="false">ROUNDUP(M58,0)</f>
        <v>31</v>
      </c>
      <c r="O58" s="15" t="n">
        <f aca="false">MAX(I58,N58)</f>
        <v>31</v>
      </c>
      <c r="P58" s="15" t="n">
        <f aca="false">IF(C58="COVERED",MAX(0,O58-40),0)</f>
        <v>0</v>
      </c>
      <c r="Q58" s="15" t="n">
        <f aca="false">O58</f>
        <v>31</v>
      </c>
      <c r="R58" s="18" t="n">
        <f aca="false">IF(C58="COVERED",10.4,7.55)</f>
        <v>7.55</v>
      </c>
      <c r="S58" s="18" t="n">
        <f aca="false">Q58*R58</f>
        <v>234.05</v>
      </c>
      <c r="T58" s="13" t="s">
        <v>2351</v>
      </c>
      <c r="U58" s="14" t="n">
        <v>46235</v>
      </c>
      <c r="V58" s="13" t="n">
        <v>31</v>
      </c>
      <c r="W58" s="18" t="n">
        <v>7.55</v>
      </c>
      <c r="X58" s="18" t="n">
        <v>234.05</v>
      </c>
      <c r="Y58" s="18" t="n">
        <f aca="false">IF(ISNUMBER(X58),X58-S58,"")</f>
        <v>0</v>
      </c>
      <c r="Z58" s="18" t="n">
        <f aca="false">IF(ISNUMBER(X58),X58-S58,-S58)</f>
        <v>0</v>
      </c>
      <c r="AA58" s="13" t="str">
        <f aca="false">IF(NOT(ISNUMBER(X58)),"NO AUGUST POSTING IN EXPORT",IF(ABS(Y58)&gt;=0.005,"POSTED CHARGE MISMATCH",IF(P58&gt;0,"MATCH - COVERED ELIGIBILITY EXCEPTION","MATCH")))</f>
        <v>MATCH</v>
      </c>
      <c r="AB58" s="13" t="s">
        <v>2352</v>
      </c>
    </row>
    <row r="59" customFormat="false" ht="15" hidden="false" customHeight="false" outlineLevel="0" collapsed="false">
      <c r="A59" s="9" t="s">
        <v>2353</v>
      </c>
      <c r="B59" s="9" t="s">
        <v>145</v>
      </c>
      <c r="C59" s="9" t="s">
        <v>146</v>
      </c>
      <c r="D59" s="9" t="s">
        <v>2002</v>
      </c>
      <c r="E59" s="9" t="s">
        <v>2354</v>
      </c>
      <c r="F59" s="9" t="s">
        <v>2355</v>
      </c>
      <c r="G59" s="9" t="s">
        <v>2356</v>
      </c>
      <c r="H59" s="9" t="s">
        <v>2357</v>
      </c>
      <c r="I59" s="11" t="n">
        <v>50</v>
      </c>
      <c r="J59" s="11" t="n">
        <v>21.8</v>
      </c>
      <c r="K59" s="11"/>
      <c r="L59" s="11"/>
      <c r="M59" s="11" t="n">
        <f aca="false">IF(ISNUMBER(L59),L59,J59)</f>
        <v>21.8</v>
      </c>
      <c r="N59" s="11" t="n">
        <f aca="false">ROUNDUP(M59,0)</f>
        <v>22</v>
      </c>
      <c r="O59" s="11" t="n">
        <f aca="false">MAX(I59,N59)</f>
        <v>50</v>
      </c>
      <c r="P59" s="11" t="n">
        <f aca="false">IF(C59="COVERED",MAX(0,O59-40),0)</f>
        <v>0</v>
      </c>
      <c r="Q59" s="11" t="n">
        <f aca="false">O59</f>
        <v>50</v>
      </c>
      <c r="R59" s="17" t="n">
        <f aca="false">IF(C59="COVERED",10.4,7.55)</f>
        <v>7.55</v>
      </c>
      <c r="S59" s="17" t="n">
        <f aca="false">Q59*R59</f>
        <v>377.5</v>
      </c>
      <c r="T59" s="9" t="s">
        <v>2358</v>
      </c>
      <c r="U59" s="10" t="n">
        <v>46235</v>
      </c>
      <c r="V59" s="9" t="n">
        <v>50</v>
      </c>
      <c r="W59" s="17" t="n">
        <v>7.55</v>
      </c>
      <c r="X59" s="17" t="n">
        <v>377.5</v>
      </c>
      <c r="Y59" s="17" t="n">
        <f aca="false">IF(ISNUMBER(X59),X59-S59,"")</f>
        <v>0</v>
      </c>
      <c r="Z59" s="17" t="n">
        <f aca="false">IF(ISNUMBER(X59),X59-S59,-S59)</f>
        <v>0</v>
      </c>
      <c r="AA59" s="9" t="str">
        <f aca="false">IF(NOT(ISNUMBER(X59)),"NO AUGUST POSTING IN EXPORT",IF(ABS(Y59)&gt;=0.005,"POSTED CHARGE MISMATCH",IF(P59&gt;0,"MATCH - COVERED ELIGIBILITY EXCEPTION","MATCH")))</f>
        <v>MATCH</v>
      </c>
      <c r="AB59" s="9" t="s">
        <v>2359</v>
      </c>
    </row>
    <row r="60" customFormat="false" ht="15" hidden="false" customHeight="false" outlineLevel="0" collapsed="false">
      <c r="A60" s="13" t="s">
        <v>2360</v>
      </c>
      <c r="B60" s="13" t="s">
        <v>145</v>
      </c>
      <c r="C60" s="13" t="s">
        <v>146</v>
      </c>
      <c r="D60" s="13" t="s">
        <v>2002</v>
      </c>
      <c r="E60" s="13" t="s">
        <v>2361</v>
      </c>
      <c r="F60" s="13" t="s">
        <v>2362</v>
      </c>
      <c r="G60" s="13" t="s">
        <v>2363</v>
      </c>
      <c r="H60" s="13" t="s">
        <v>2364</v>
      </c>
      <c r="I60" s="15" t="n">
        <v>32</v>
      </c>
      <c r="J60" s="15" t="n">
        <v>32.5</v>
      </c>
      <c r="K60" s="15"/>
      <c r="L60" s="15"/>
      <c r="M60" s="15" t="n">
        <f aca="false">IF(ISNUMBER(L60),L60,J60)</f>
        <v>32.5</v>
      </c>
      <c r="N60" s="15" t="n">
        <f aca="false">ROUNDUP(M60,0)</f>
        <v>33</v>
      </c>
      <c r="O60" s="15" t="n">
        <f aca="false">MAX(I60,N60)</f>
        <v>33</v>
      </c>
      <c r="P60" s="15" t="n">
        <f aca="false">IF(C60="COVERED",MAX(0,O60-40),0)</f>
        <v>0</v>
      </c>
      <c r="Q60" s="15" t="n">
        <f aca="false">O60</f>
        <v>33</v>
      </c>
      <c r="R60" s="18" t="n">
        <f aca="false">IF(C60="COVERED",10.4,7.55)</f>
        <v>7.55</v>
      </c>
      <c r="S60" s="18" t="n">
        <f aca="false">Q60*R60</f>
        <v>249.15</v>
      </c>
      <c r="T60" s="13" t="s">
        <v>2365</v>
      </c>
      <c r="U60" s="14" t="n">
        <v>46235</v>
      </c>
      <c r="V60" s="13" t="n">
        <v>33</v>
      </c>
      <c r="W60" s="18" t="n">
        <v>7.55</v>
      </c>
      <c r="X60" s="18" t="n">
        <v>249.15</v>
      </c>
      <c r="Y60" s="18" t="n">
        <f aca="false">IF(ISNUMBER(X60),X60-S60,"")</f>
        <v>0</v>
      </c>
      <c r="Z60" s="18" t="n">
        <f aca="false">IF(ISNUMBER(X60),X60-S60,-S60)</f>
        <v>0</v>
      </c>
      <c r="AA60" s="13" t="str">
        <f aca="false">IF(NOT(ISNUMBER(X60)),"NO AUGUST POSTING IN EXPORT",IF(ABS(Y60)&gt;=0.005,"POSTED CHARGE MISMATCH",IF(P60&gt;0,"MATCH - COVERED ELIGIBILITY EXCEPTION","MATCH")))</f>
        <v>MATCH</v>
      </c>
      <c r="AB60" s="13" t="s">
        <v>2366</v>
      </c>
    </row>
    <row r="61" customFormat="false" ht="15" hidden="false" customHeight="false" outlineLevel="0" collapsed="false">
      <c r="A61" s="9" t="s">
        <v>2367</v>
      </c>
      <c r="B61" s="9" t="s">
        <v>145</v>
      </c>
      <c r="C61" s="9" t="s">
        <v>146</v>
      </c>
      <c r="D61" s="9" t="s">
        <v>2002</v>
      </c>
      <c r="E61" s="9" t="s">
        <v>2368</v>
      </c>
      <c r="F61" s="9" t="s">
        <v>2369</v>
      </c>
      <c r="G61" s="9" t="s">
        <v>2370</v>
      </c>
      <c r="H61" s="9" t="s">
        <v>2371</v>
      </c>
      <c r="I61" s="11" t="n">
        <v>24</v>
      </c>
      <c r="J61" s="11" t="n">
        <v>43.2</v>
      </c>
      <c r="K61" s="11"/>
      <c r="L61" s="11"/>
      <c r="M61" s="11" t="n">
        <f aca="false">IF(ISNUMBER(L61),L61,J61)</f>
        <v>43.2</v>
      </c>
      <c r="N61" s="11" t="n">
        <f aca="false">ROUNDUP(M61,0)</f>
        <v>44</v>
      </c>
      <c r="O61" s="11" t="n">
        <f aca="false">MAX(I61,N61)</f>
        <v>44</v>
      </c>
      <c r="P61" s="11" t="n">
        <f aca="false">IF(C61="COVERED",MAX(0,O61-40),0)</f>
        <v>0</v>
      </c>
      <c r="Q61" s="11" t="n">
        <f aca="false">O61</f>
        <v>44</v>
      </c>
      <c r="R61" s="17" t="n">
        <f aca="false">IF(C61="COVERED",10.4,7.55)</f>
        <v>7.55</v>
      </c>
      <c r="S61" s="17" t="n">
        <f aca="false">Q61*R61</f>
        <v>332.2</v>
      </c>
      <c r="T61" s="9" t="s">
        <v>2372</v>
      </c>
      <c r="U61" s="10" t="n">
        <v>46235</v>
      </c>
      <c r="V61" s="9" t="n">
        <v>44</v>
      </c>
      <c r="W61" s="17" t="n">
        <v>7.55</v>
      </c>
      <c r="X61" s="17" t="n">
        <v>332.2</v>
      </c>
      <c r="Y61" s="17" t="n">
        <f aca="false">IF(ISNUMBER(X61),X61-S61,"")</f>
        <v>0</v>
      </c>
      <c r="Z61" s="17" t="n">
        <f aca="false">IF(ISNUMBER(X61),X61-S61,-S61)</f>
        <v>0</v>
      </c>
      <c r="AA61" s="9" t="str">
        <f aca="false">IF(NOT(ISNUMBER(X61)),"NO AUGUST POSTING IN EXPORT",IF(ABS(Y61)&gt;=0.005,"POSTED CHARGE MISMATCH",IF(P61&gt;0,"MATCH - COVERED ELIGIBILITY EXCEPTION","MATCH")))</f>
        <v>MATCH</v>
      </c>
      <c r="AB61" s="9" t="s">
        <v>2373</v>
      </c>
    </row>
    <row r="62" customFormat="false" ht="15" hidden="false" customHeight="false" outlineLevel="0" collapsed="false">
      <c r="A62" s="13" t="s">
        <v>2374</v>
      </c>
      <c r="B62" s="13" t="s">
        <v>145</v>
      </c>
      <c r="C62" s="13" t="s">
        <v>146</v>
      </c>
      <c r="D62" s="13" t="s">
        <v>2002</v>
      </c>
      <c r="E62" s="13" t="s">
        <v>2375</v>
      </c>
      <c r="F62" s="13" t="s">
        <v>2376</v>
      </c>
      <c r="G62" s="13" t="s">
        <v>2377</v>
      </c>
      <c r="H62" s="13" t="s">
        <v>2378</v>
      </c>
      <c r="I62" s="15" t="n">
        <v>36</v>
      </c>
      <c r="J62" s="15" t="n">
        <v>60.1</v>
      </c>
      <c r="K62" s="15"/>
      <c r="L62" s="15"/>
      <c r="M62" s="15" t="n">
        <f aca="false">IF(ISNUMBER(L62),L62,J62)</f>
        <v>60.1</v>
      </c>
      <c r="N62" s="15" t="n">
        <f aca="false">ROUNDUP(M62,0)</f>
        <v>61</v>
      </c>
      <c r="O62" s="15" t="n">
        <f aca="false">MAX(I62,N62)</f>
        <v>61</v>
      </c>
      <c r="P62" s="15" t="n">
        <f aca="false">IF(C62="COVERED",MAX(0,O62-40),0)</f>
        <v>0</v>
      </c>
      <c r="Q62" s="15" t="n">
        <f aca="false">O62</f>
        <v>61</v>
      </c>
      <c r="R62" s="18" t="n">
        <f aca="false">IF(C62="COVERED",10.4,7.55)</f>
        <v>7.55</v>
      </c>
      <c r="S62" s="18" t="n">
        <f aca="false">Q62*R62</f>
        <v>460.55</v>
      </c>
      <c r="T62" s="13" t="s">
        <v>2379</v>
      </c>
      <c r="U62" s="14" t="n">
        <v>46235</v>
      </c>
      <c r="V62" s="13" t="n">
        <v>61</v>
      </c>
      <c r="W62" s="18" t="n">
        <v>7.55</v>
      </c>
      <c r="X62" s="18" t="n">
        <v>460.55</v>
      </c>
      <c r="Y62" s="18" t="n">
        <f aca="false">IF(ISNUMBER(X62),X62-S62,"")</f>
        <v>0</v>
      </c>
      <c r="Z62" s="18" t="n">
        <f aca="false">IF(ISNUMBER(X62),X62-S62,-S62)</f>
        <v>0</v>
      </c>
      <c r="AA62" s="13" t="str">
        <f aca="false">IF(NOT(ISNUMBER(X62)),"NO AUGUST POSTING IN EXPORT",IF(ABS(Y62)&gt;=0.005,"POSTED CHARGE MISMATCH",IF(P62&gt;0,"MATCH - COVERED ELIGIBILITY EXCEPTION","MATCH")))</f>
        <v>MATCH</v>
      </c>
      <c r="AB62" s="13" t="s">
        <v>2380</v>
      </c>
    </row>
    <row r="63" customFormat="false" ht="15" hidden="false" customHeight="false" outlineLevel="0" collapsed="false">
      <c r="A63" s="9" t="s">
        <v>2381</v>
      </c>
      <c r="B63" s="9" t="s">
        <v>145</v>
      </c>
      <c r="C63" s="9" t="s">
        <v>146</v>
      </c>
      <c r="D63" s="9" t="s">
        <v>2002</v>
      </c>
      <c r="E63" s="9" t="s">
        <v>2382</v>
      </c>
      <c r="F63" s="9" t="s">
        <v>2383</v>
      </c>
      <c r="G63" s="9" t="s">
        <v>2384</v>
      </c>
      <c r="H63" s="9" t="s">
        <v>2385</v>
      </c>
      <c r="I63" s="11" t="n">
        <v>36</v>
      </c>
      <c r="J63" s="11" t="n">
        <v>44.2</v>
      </c>
      <c r="K63" s="11"/>
      <c r="L63" s="11"/>
      <c r="M63" s="11" t="n">
        <f aca="false">IF(ISNUMBER(L63),L63,J63)</f>
        <v>44.2</v>
      </c>
      <c r="N63" s="11" t="n">
        <f aca="false">ROUNDUP(M63,0)</f>
        <v>45</v>
      </c>
      <c r="O63" s="11" t="n">
        <f aca="false">MAX(I63,N63)</f>
        <v>45</v>
      </c>
      <c r="P63" s="11" t="n">
        <f aca="false">IF(C63="COVERED",MAX(0,O63-40),0)</f>
        <v>0</v>
      </c>
      <c r="Q63" s="11" t="n">
        <f aca="false">O63</f>
        <v>45</v>
      </c>
      <c r="R63" s="17" t="n">
        <f aca="false">IF(C63="COVERED",10.4,7.55)</f>
        <v>7.55</v>
      </c>
      <c r="S63" s="17" t="n">
        <f aca="false">Q63*R63</f>
        <v>339.75</v>
      </c>
      <c r="T63" s="9" t="s">
        <v>2386</v>
      </c>
      <c r="U63" s="10" t="n">
        <v>46235</v>
      </c>
      <c r="V63" s="9" t="n">
        <v>45</v>
      </c>
      <c r="W63" s="17" t="n">
        <v>7.55</v>
      </c>
      <c r="X63" s="17" t="n">
        <v>339.75</v>
      </c>
      <c r="Y63" s="17" t="n">
        <f aca="false">IF(ISNUMBER(X63),X63-S63,"")</f>
        <v>0</v>
      </c>
      <c r="Z63" s="17" t="n">
        <f aca="false">IF(ISNUMBER(X63),X63-S63,-S63)</f>
        <v>0</v>
      </c>
      <c r="AA63" s="9" t="str">
        <f aca="false">IF(NOT(ISNUMBER(X63)),"NO AUGUST POSTING IN EXPORT",IF(ABS(Y63)&gt;=0.005,"POSTED CHARGE MISMATCH",IF(P63&gt;0,"MATCH - COVERED ELIGIBILITY EXCEPTION","MATCH")))</f>
        <v>MATCH</v>
      </c>
      <c r="AB63" s="9" t="s">
        <v>2387</v>
      </c>
    </row>
    <row r="64" customFormat="false" ht="15" hidden="false" customHeight="false" outlineLevel="0" collapsed="false">
      <c r="A64" s="13" t="s">
        <v>2388</v>
      </c>
      <c r="B64" s="13" t="s">
        <v>145</v>
      </c>
      <c r="C64" s="13" t="s">
        <v>146</v>
      </c>
      <c r="D64" s="13" t="s">
        <v>2002</v>
      </c>
      <c r="E64" s="13" t="s">
        <v>2389</v>
      </c>
      <c r="F64" s="13" t="s">
        <v>2390</v>
      </c>
      <c r="G64" s="13" t="s">
        <v>2391</v>
      </c>
      <c r="H64" s="13" t="s">
        <v>2336</v>
      </c>
      <c r="I64" s="15" t="n">
        <v>32</v>
      </c>
      <c r="J64" s="15" t="n">
        <v>37</v>
      </c>
      <c r="K64" s="15"/>
      <c r="L64" s="15"/>
      <c r="M64" s="15" t="n">
        <f aca="false">IF(ISNUMBER(L64),L64,J64)</f>
        <v>37</v>
      </c>
      <c r="N64" s="15" t="n">
        <f aca="false">ROUNDUP(M64,0)</f>
        <v>37</v>
      </c>
      <c r="O64" s="15" t="n">
        <f aca="false">MAX(I64,N64)</f>
        <v>37</v>
      </c>
      <c r="P64" s="15" t="n">
        <f aca="false">IF(C64="COVERED",MAX(0,O64-40),0)</f>
        <v>0</v>
      </c>
      <c r="Q64" s="15" t="n">
        <f aca="false">O64</f>
        <v>37</v>
      </c>
      <c r="R64" s="18" t="n">
        <f aca="false">IF(C64="COVERED",10.4,7.55)</f>
        <v>7.55</v>
      </c>
      <c r="S64" s="18" t="n">
        <f aca="false">Q64*R64</f>
        <v>279.35</v>
      </c>
      <c r="T64" s="13" t="s">
        <v>2392</v>
      </c>
      <c r="U64" s="14" t="n">
        <v>46235</v>
      </c>
      <c r="V64" s="13" t="n">
        <v>37</v>
      </c>
      <c r="W64" s="18" t="n">
        <v>7.55</v>
      </c>
      <c r="X64" s="18" t="n">
        <v>279.35</v>
      </c>
      <c r="Y64" s="18" t="n">
        <f aca="false">IF(ISNUMBER(X64),X64-S64,"")</f>
        <v>0</v>
      </c>
      <c r="Z64" s="18" t="n">
        <f aca="false">IF(ISNUMBER(X64),X64-S64,-S64)</f>
        <v>0</v>
      </c>
      <c r="AA64" s="13" t="str">
        <f aca="false">IF(NOT(ISNUMBER(X64)),"NO AUGUST POSTING IN EXPORT",IF(ABS(Y64)&gt;=0.005,"POSTED CHARGE MISMATCH",IF(P64&gt;0,"MATCH - COVERED ELIGIBILITY EXCEPTION","MATCH")))</f>
        <v>MATCH</v>
      </c>
      <c r="AB64" s="13" t="s">
        <v>2393</v>
      </c>
    </row>
    <row r="65" customFormat="false" ht="15" hidden="false" customHeight="false" outlineLevel="0" collapsed="false">
      <c r="A65" s="9" t="s">
        <v>1001</v>
      </c>
      <c r="B65" s="9" t="s">
        <v>145</v>
      </c>
      <c r="C65" s="9" t="s">
        <v>146</v>
      </c>
      <c r="D65" s="9" t="s">
        <v>2002</v>
      </c>
      <c r="E65" s="9" t="s">
        <v>2394</v>
      </c>
      <c r="F65" s="9" t="s">
        <v>2395</v>
      </c>
      <c r="G65" s="9" t="s">
        <v>2396</v>
      </c>
      <c r="H65" s="9" t="s">
        <v>2397</v>
      </c>
      <c r="I65" s="11" t="n">
        <v>70</v>
      </c>
      <c r="J65" s="11" t="n">
        <v>56.8</v>
      </c>
      <c r="K65" s="11"/>
      <c r="L65" s="11"/>
      <c r="M65" s="11" t="n">
        <f aca="false">IF(ISNUMBER(L65),L65,J65)</f>
        <v>56.8</v>
      </c>
      <c r="N65" s="11" t="n">
        <f aca="false">ROUNDUP(M65,0)</f>
        <v>57</v>
      </c>
      <c r="O65" s="11" t="n">
        <f aca="false">MAX(I65,N65)</f>
        <v>70</v>
      </c>
      <c r="P65" s="11" t="n">
        <f aca="false">IF(C65="COVERED",MAX(0,O65-40),0)</f>
        <v>0</v>
      </c>
      <c r="Q65" s="11" t="n">
        <f aca="false">O65</f>
        <v>70</v>
      </c>
      <c r="R65" s="17" t="n">
        <f aca="false">IF(C65="COVERED",10.4,7.55)</f>
        <v>7.55</v>
      </c>
      <c r="S65" s="17" t="n">
        <f aca="false">Q65*R65</f>
        <v>528.5</v>
      </c>
      <c r="T65" s="9" t="s">
        <v>2398</v>
      </c>
      <c r="U65" s="10" t="n">
        <v>46235</v>
      </c>
      <c r="V65" s="9" t="n">
        <v>70</v>
      </c>
      <c r="W65" s="17" t="n">
        <v>7.55</v>
      </c>
      <c r="X65" s="17" t="n">
        <v>528.5</v>
      </c>
      <c r="Y65" s="17" t="n">
        <f aca="false">IF(ISNUMBER(X65),X65-S65,"")</f>
        <v>0</v>
      </c>
      <c r="Z65" s="17" t="n">
        <f aca="false">IF(ISNUMBER(X65),X65-S65,-S65)</f>
        <v>0</v>
      </c>
      <c r="AA65" s="9" t="str">
        <f aca="false">IF(NOT(ISNUMBER(X65)),"NO AUGUST POSTING IN EXPORT",IF(ABS(Y65)&gt;=0.005,"POSTED CHARGE MISMATCH",IF(P65&gt;0,"MATCH - COVERED ELIGIBILITY EXCEPTION","MATCH")))</f>
        <v>MATCH</v>
      </c>
      <c r="AB65" s="9" t="s">
        <v>2399</v>
      </c>
    </row>
    <row r="66" customFormat="false" ht="15" hidden="false" customHeight="false" outlineLevel="0" collapsed="false">
      <c r="A66" s="13" t="s">
        <v>2400</v>
      </c>
      <c r="B66" s="13" t="s">
        <v>145</v>
      </c>
      <c r="C66" s="13" t="s">
        <v>146</v>
      </c>
      <c r="D66" s="13" t="s">
        <v>2002</v>
      </c>
      <c r="E66" s="13" t="s">
        <v>2401</v>
      </c>
      <c r="F66" s="13" t="s">
        <v>2402</v>
      </c>
      <c r="G66" s="13" t="s">
        <v>2403</v>
      </c>
      <c r="H66" s="13" t="s">
        <v>2404</v>
      </c>
      <c r="I66" s="15" t="n">
        <v>70</v>
      </c>
      <c r="J66" s="15" t="n">
        <v>18.7</v>
      </c>
      <c r="K66" s="15"/>
      <c r="L66" s="15"/>
      <c r="M66" s="15" t="n">
        <f aca="false">IF(ISNUMBER(L66),L66,J66)</f>
        <v>18.7</v>
      </c>
      <c r="N66" s="15" t="n">
        <f aca="false">ROUNDUP(M66,0)</f>
        <v>19</v>
      </c>
      <c r="O66" s="15" t="n">
        <f aca="false">MAX(I66,N66)</f>
        <v>70</v>
      </c>
      <c r="P66" s="15" t="n">
        <f aca="false">IF(C66="COVERED",MAX(0,O66-40),0)</f>
        <v>0</v>
      </c>
      <c r="Q66" s="15" t="n">
        <f aca="false">O66</f>
        <v>70</v>
      </c>
      <c r="R66" s="18" t="n">
        <f aca="false">IF(C66="COVERED",10.4,7.55)</f>
        <v>7.55</v>
      </c>
      <c r="S66" s="18" t="n">
        <f aca="false">Q66*R66</f>
        <v>528.5</v>
      </c>
      <c r="T66" s="13" t="s">
        <v>2405</v>
      </c>
      <c r="U66" s="14" t="n">
        <v>46235</v>
      </c>
      <c r="V66" s="13" t="n">
        <v>70</v>
      </c>
      <c r="W66" s="18" t="n">
        <v>7.55</v>
      </c>
      <c r="X66" s="18" t="n">
        <v>528.5</v>
      </c>
      <c r="Y66" s="18" t="n">
        <f aca="false">IF(ISNUMBER(X66),X66-S66,"")</f>
        <v>0</v>
      </c>
      <c r="Z66" s="18" t="n">
        <f aca="false">IF(ISNUMBER(X66),X66-S66,-S66)</f>
        <v>0</v>
      </c>
      <c r="AA66" s="13" t="str">
        <f aca="false">IF(NOT(ISNUMBER(X66)),"NO AUGUST POSTING IN EXPORT",IF(ABS(Y66)&gt;=0.005,"POSTED CHARGE MISMATCH",IF(P66&gt;0,"MATCH - COVERED ELIGIBILITY EXCEPTION","MATCH")))</f>
        <v>MATCH</v>
      </c>
      <c r="AB66" s="13" t="s">
        <v>2406</v>
      </c>
    </row>
    <row r="67" customFormat="false" ht="15" hidden="false" customHeight="false" outlineLevel="0" collapsed="false">
      <c r="A67" s="9" t="s">
        <v>2407</v>
      </c>
      <c r="B67" s="9" t="s">
        <v>145</v>
      </c>
      <c r="C67" s="9" t="s">
        <v>146</v>
      </c>
      <c r="D67" s="9" t="s">
        <v>2002</v>
      </c>
      <c r="E67" s="9" t="s">
        <v>2408</v>
      </c>
      <c r="F67" s="9" t="s">
        <v>2409</v>
      </c>
      <c r="G67" s="9" t="s">
        <v>2410</v>
      </c>
      <c r="H67" s="9" t="s">
        <v>2411</v>
      </c>
      <c r="I67" s="11" t="n">
        <v>28</v>
      </c>
      <c r="J67" s="11" t="n">
        <v>56.7</v>
      </c>
      <c r="K67" s="11"/>
      <c r="L67" s="11"/>
      <c r="M67" s="11" t="n">
        <f aca="false">IF(ISNUMBER(L67),L67,J67)</f>
        <v>56.7</v>
      </c>
      <c r="N67" s="11" t="n">
        <f aca="false">ROUNDUP(M67,0)</f>
        <v>57</v>
      </c>
      <c r="O67" s="11" t="n">
        <f aca="false">MAX(I67,N67)</f>
        <v>57</v>
      </c>
      <c r="P67" s="11" t="n">
        <f aca="false">IF(C67="COVERED",MAX(0,O67-40),0)</f>
        <v>0</v>
      </c>
      <c r="Q67" s="11" t="n">
        <f aca="false">O67</f>
        <v>57</v>
      </c>
      <c r="R67" s="17" t="n">
        <f aca="false">IF(C67="COVERED",10.4,7.55)</f>
        <v>7.55</v>
      </c>
      <c r="S67" s="17" t="n">
        <f aca="false">Q67*R67</f>
        <v>430.35</v>
      </c>
      <c r="T67" s="9" t="s">
        <v>2412</v>
      </c>
      <c r="U67" s="10" t="n">
        <v>46235</v>
      </c>
      <c r="V67" s="9" t="n">
        <v>57</v>
      </c>
      <c r="W67" s="17" t="n">
        <v>7.55</v>
      </c>
      <c r="X67" s="17" t="n">
        <v>430.35</v>
      </c>
      <c r="Y67" s="17" t="n">
        <f aca="false">IF(ISNUMBER(X67),X67-S67,"")</f>
        <v>0</v>
      </c>
      <c r="Z67" s="17" t="n">
        <f aca="false">IF(ISNUMBER(X67),X67-S67,-S67)</f>
        <v>0</v>
      </c>
      <c r="AA67" s="9" t="str">
        <f aca="false">IF(NOT(ISNUMBER(X67)),"NO AUGUST POSTING IN EXPORT",IF(ABS(Y67)&gt;=0.005,"POSTED CHARGE MISMATCH",IF(P67&gt;0,"MATCH - COVERED ELIGIBILITY EXCEPTION","MATCH")))</f>
        <v>MATCH</v>
      </c>
      <c r="AB67" s="9" t="s">
        <v>2413</v>
      </c>
    </row>
    <row r="68" customFormat="false" ht="15" hidden="false" customHeight="false" outlineLevel="0" collapsed="false">
      <c r="A68" s="13" t="s">
        <v>2414</v>
      </c>
      <c r="B68" s="13" t="s">
        <v>145</v>
      </c>
      <c r="C68" s="13" t="s">
        <v>146</v>
      </c>
      <c r="D68" s="13" t="s">
        <v>2002</v>
      </c>
      <c r="E68" s="13" t="s">
        <v>2415</v>
      </c>
      <c r="F68" s="13" t="s">
        <v>124</v>
      </c>
      <c r="G68" s="13" t="s">
        <v>125</v>
      </c>
      <c r="H68" s="13" t="s">
        <v>2416</v>
      </c>
      <c r="I68" s="15" t="n">
        <v>36</v>
      </c>
      <c r="J68" s="15" t="n">
        <v>50.2</v>
      </c>
      <c r="K68" s="15"/>
      <c r="L68" s="15"/>
      <c r="M68" s="15" t="n">
        <f aca="false">IF(ISNUMBER(L68),L68,J68)</f>
        <v>50.2</v>
      </c>
      <c r="N68" s="15" t="n">
        <f aca="false">ROUNDUP(M68,0)</f>
        <v>51</v>
      </c>
      <c r="O68" s="15" t="n">
        <f aca="false">MAX(I68,N68)</f>
        <v>51</v>
      </c>
      <c r="P68" s="15" t="n">
        <f aca="false">IF(C68="COVERED",MAX(0,O68-40),0)</f>
        <v>0</v>
      </c>
      <c r="Q68" s="15" t="n">
        <f aca="false">O68</f>
        <v>51</v>
      </c>
      <c r="R68" s="18" t="n">
        <f aca="false">IF(C68="COVERED",10.4,7.55)</f>
        <v>7.55</v>
      </c>
      <c r="S68" s="18" t="n">
        <f aca="false">Q68*R68</f>
        <v>385.05</v>
      </c>
      <c r="T68" s="13" t="s">
        <v>2417</v>
      </c>
      <c r="U68" s="14" t="n">
        <v>46235</v>
      </c>
      <c r="V68" s="13" t="n">
        <v>51</v>
      </c>
      <c r="W68" s="18" t="n">
        <v>7.55</v>
      </c>
      <c r="X68" s="18" t="n">
        <v>385.05</v>
      </c>
      <c r="Y68" s="18" t="n">
        <f aca="false">IF(ISNUMBER(X68),X68-S68,"")</f>
        <v>0</v>
      </c>
      <c r="Z68" s="18" t="n">
        <f aca="false">IF(ISNUMBER(X68),X68-S68,-S68)</f>
        <v>0</v>
      </c>
      <c r="AA68" s="13" t="str">
        <f aca="false">IF(NOT(ISNUMBER(X68)),"NO AUGUST POSTING IN EXPORT",IF(ABS(Y68)&gt;=0.005,"POSTED CHARGE MISMATCH",IF(P68&gt;0,"MATCH - COVERED ELIGIBILITY EXCEPTION","MATCH")))</f>
        <v>MATCH</v>
      </c>
      <c r="AB68" s="13" t="s">
        <v>2418</v>
      </c>
    </row>
    <row r="69" customFormat="false" ht="15" hidden="false" customHeight="false" outlineLevel="0" collapsed="false">
      <c r="A69" s="9" t="s">
        <v>953</v>
      </c>
      <c r="B69" s="9" t="s">
        <v>145</v>
      </c>
      <c r="C69" s="9" t="s">
        <v>146</v>
      </c>
      <c r="D69" s="9" t="s">
        <v>2002</v>
      </c>
      <c r="E69" s="9" t="s">
        <v>2419</v>
      </c>
      <c r="F69" s="9" t="s">
        <v>2420</v>
      </c>
      <c r="G69" s="9" t="s">
        <v>2421</v>
      </c>
      <c r="H69" s="9" t="s">
        <v>2422</v>
      </c>
      <c r="I69" s="11" t="n">
        <v>80</v>
      </c>
      <c r="J69" s="11" t="n">
        <v>19.3</v>
      </c>
      <c r="K69" s="11"/>
      <c r="L69" s="11"/>
      <c r="M69" s="11" t="n">
        <f aca="false">IF(ISNUMBER(L69),L69,J69)</f>
        <v>19.3</v>
      </c>
      <c r="N69" s="11" t="n">
        <f aca="false">ROUNDUP(M69,0)</f>
        <v>20</v>
      </c>
      <c r="O69" s="11" t="n">
        <f aca="false">MAX(I69,N69)</f>
        <v>80</v>
      </c>
      <c r="P69" s="11" t="n">
        <f aca="false">IF(C69="COVERED",MAX(0,O69-40),0)</f>
        <v>0</v>
      </c>
      <c r="Q69" s="11" t="n">
        <f aca="false">O69</f>
        <v>80</v>
      </c>
      <c r="R69" s="17" t="n">
        <f aca="false">IF(C69="COVERED",10.4,7.55)</f>
        <v>7.55</v>
      </c>
      <c r="S69" s="17" t="n">
        <f aca="false">Q69*R69</f>
        <v>604</v>
      </c>
      <c r="T69" s="9" t="s">
        <v>2423</v>
      </c>
      <c r="U69" s="10" t="n">
        <v>46235</v>
      </c>
      <c r="V69" s="9" t="n">
        <v>80</v>
      </c>
      <c r="W69" s="17" t="n">
        <v>7.55</v>
      </c>
      <c r="X69" s="17" t="n">
        <v>604</v>
      </c>
      <c r="Y69" s="17" t="n">
        <f aca="false">IF(ISNUMBER(X69),X69-S69,"")</f>
        <v>0</v>
      </c>
      <c r="Z69" s="17" t="n">
        <f aca="false">IF(ISNUMBER(X69),X69-S69,-S69)</f>
        <v>0</v>
      </c>
      <c r="AA69" s="9" t="str">
        <f aca="false">IF(NOT(ISNUMBER(X69)),"NO AUGUST POSTING IN EXPORT",IF(ABS(Y69)&gt;=0.005,"POSTED CHARGE MISMATCH",IF(P69&gt;0,"MATCH - COVERED ELIGIBILITY EXCEPTION","MATCH")))</f>
        <v>MATCH</v>
      </c>
      <c r="AB69" s="9" t="s">
        <v>2424</v>
      </c>
    </row>
    <row r="70" customFormat="false" ht="15" hidden="false" customHeight="false" outlineLevel="0" collapsed="false">
      <c r="A70" s="13" t="s">
        <v>2425</v>
      </c>
      <c r="B70" s="13" t="s">
        <v>145</v>
      </c>
      <c r="C70" s="13" t="s">
        <v>146</v>
      </c>
      <c r="D70" s="13" t="s">
        <v>2002</v>
      </c>
      <c r="E70" s="13" t="s">
        <v>2426</v>
      </c>
      <c r="F70" s="13" t="s">
        <v>2427</v>
      </c>
      <c r="G70" s="13" t="s">
        <v>2428</v>
      </c>
      <c r="H70" s="13" t="s">
        <v>2429</v>
      </c>
      <c r="I70" s="15" t="n">
        <v>28</v>
      </c>
      <c r="J70" s="15" t="n">
        <v>50.5</v>
      </c>
      <c r="K70" s="15"/>
      <c r="L70" s="15"/>
      <c r="M70" s="15" t="n">
        <f aca="false">IF(ISNUMBER(L70),L70,J70)</f>
        <v>50.5</v>
      </c>
      <c r="N70" s="15" t="n">
        <f aca="false">ROUNDUP(M70,0)</f>
        <v>51</v>
      </c>
      <c r="O70" s="15" t="n">
        <f aca="false">MAX(I70,N70)</f>
        <v>51</v>
      </c>
      <c r="P70" s="15" t="n">
        <f aca="false">IF(C70="COVERED",MAX(0,O70-40),0)</f>
        <v>0</v>
      </c>
      <c r="Q70" s="15" t="n">
        <f aca="false">O70</f>
        <v>51</v>
      </c>
      <c r="R70" s="18" t="n">
        <f aca="false">IF(C70="COVERED",10.4,7.55)</f>
        <v>7.55</v>
      </c>
      <c r="S70" s="18" t="n">
        <f aca="false">Q70*R70</f>
        <v>385.05</v>
      </c>
      <c r="T70" s="13" t="s">
        <v>2430</v>
      </c>
      <c r="U70" s="14" t="n">
        <v>46235</v>
      </c>
      <c r="V70" s="13" t="n">
        <v>51</v>
      </c>
      <c r="W70" s="18" t="n">
        <v>7.55</v>
      </c>
      <c r="X70" s="18" t="n">
        <v>385.05</v>
      </c>
      <c r="Y70" s="18" t="n">
        <f aca="false">IF(ISNUMBER(X70),X70-S70,"")</f>
        <v>0</v>
      </c>
      <c r="Z70" s="18" t="n">
        <f aca="false">IF(ISNUMBER(X70),X70-S70,-S70)</f>
        <v>0</v>
      </c>
      <c r="AA70" s="13" t="str">
        <f aca="false">IF(NOT(ISNUMBER(X70)),"NO AUGUST POSTING IN EXPORT",IF(ABS(Y70)&gt;=0.005,"POSTED CHARGE MISMATCH",IF(P70&gt;0,"MATCH - COVERED ELIGIBILITY EXCEPTION","MATCH")))</f>
        <v>MATCH</v>
      </c>
      <c r="AB70" s="13" t="s">
        <v>2431</v>
      </c>
    </row>
    <row r="71" customFormat="false" ht="15" hidden="false" customHeight="false" outlineLevel="0" collapsed="false">
      <c r="A71" s="9" t="s">
        <v>2432</v>
      </c>
      <c r="B71" s="9" t="s">
        <v>145</v>
      </c>
      <c r="C71" s="9" t="s">
        <v>146</v>
      </c>
      <c r="D71" s="9" t="s">
        <v>2002</v>
      </c>
      <c r="E71" s="9" t="s">
        <v>2433</v>
      </c>
      <c r="F71" s="9" t="s">
        <v>2434</v>
      </c>
      <c r="G71" s="9" t="s">
        <v>2435</v>
      </c>
      <c r="H71" s="9" t="s">
        <v>2436</v>
      </c>
      <c r="I71" s="11" t="n">
        <v>40</v>
      </c>
      <c r="J71" s="11" t="n">
        <v>31.6</v>
      </c>
      <c r="K71" s="11"/>
      <c r="L71" s="11"/>
      <c r="M71" s="11" t="n">
        <f aca="false">IF(ISNUMBER(L71),L71,J71)</f>
        <v>31.6</v>
      </c>
      <c r="N71" s="11" t="n">
        <f aca="false">ROUNDUP(M71,0)</f>
        <v>32</v>
      </c>
      <c r="O71" s="11" t="n">
        <f aca="false">MAX(I71,N71)</f>
        <v>40</v>
      </c>
      <c r="P71" s="11" t="n">
        <f aca="false">IF(C71="COVERED",MAX(0,O71-40),0)</f>
        <v>0</v>
      </c>
      <c r="Q71" s="11" t="n">
        <f aca="false">O71</f>
        <v>40</v>
      </c>
      <c r="R71" s="17" t="n">
        <f aca="false">IF(C71="COVERED",10.4,7.55)</f>
        <v>7.55</v>
      </c>
      <c r="S71" s="17" t="n">
        <f aca="false">Q71*R71</f>
        <v>302</v>
      </c>
      <c r="T71" s="9" t="s">
        <v>2437</v>
      </c>
      <c r="U71" s="10" t="n">
        <v>46235</v>
      </c>
      <c r="V71" s="9" t="n">
        <v>40</v>
      </c>
      <c r="W71" s="17" t="n">
        <v>7.55</v>
      </c>
      <c r="X71" s="17" t="n">
        <v>302</v>
      </c>
      <c r="Y71" s="17" t="n">
        <f aca="false">IF(ISNUMBER(X71),X71-S71,"")</f>
        <v>0</v>
      </c>
      <c r="Z71" s="17" t="n">
        <f aca="false">IF(ISNUMBER(X71),X71-S71,-S71)</f>
        <v>0</v>
      </c>
      <c r="AA71" s="9" t="str">
        <f aca="false">IF(NOT(ISNUMBER(X71)),"NO AUGUST POSTING IN EXPORT",IF(ABS(Y71)&gt;=0.005,"POSTED CHARGE MISMATCH",IF(P71&gt;0,"MATCH - COVERED ELIGIBILITY EXCEPTION","MATCH")))</f>
        <v>MATCH</v>
      </c>
      <c r="AB71" s="9" t="s">
        <v>2438</v>
      </c>
    </row>
    <row r="72" customFormat="false" ht="15" hidden="false" customHeight="false" outlineLevel="0" collapsed="false">
      <c r="A72" s="13" t="s">
        <v>2439</v>
      </c>
      <c r="B72" s="13" t="s">
        <v>145</v>
      </c>
      <c r="C72" s="13" t="s">
        <v>146</v>
      </c>
      <c r="D72" s="13" t="s">
        <v>2002</v>
      </c>
      <c r="E72" s="13" t="s">
        <v>2440</v>
      </c>
      <c r="F72" s="13" t="s">
        <v>2441</v>
      </c>
      <c r="G72" s="13" t="s">
        <v>2442</v>
      </c>
      <c r="H72" s="13" t="s">
        <v>2443</v>
      </c>
      <c r="I72" s="15" t="n">
        <v>50</v>
      </c>
      <c r="J72" s="15" t="n">
        <v>60</v>
      </c>
      <c r="K72" s="15"/>
      <c r="L72" s="15"/>
      <c r="M72" s="15" t="n">
        <f aca="false">IF(ISNUMBER(L72),L72,J72)</f>
        <v>60</v>
      </c>
      <c r="N72" s="15" t="n">
        <f aca="false">ROUNDUP(M72,0)</f>
        <v>60</v>
      </c>
      <c r="O72" s="15" t="n">
        <f aca="false">MAX(I72,N72)</f>
        <v>60</v>
      </c>
      <c r="P72" s="15" t="n">
        <f aca="false">IF(C72="COVERED",MAX(0,O72-40),0)</f>
        <v>0</v>
      </c>
      <c r="Q72" s="15" t="n">
        <f aca="false">O72</f>
        <v>60</v>
      </c>
      <c r="R72" s="18" t="n">
        <f aca="false">IF(C72="COVERED",10.4,7.55)</f>
        <v>7.55</v>
      </c>
      <c r="S72" s="18" t="n">
        <f aca="false">Q72*R72</f>
        <v>453</v>
      </c>
      <c r="T72" s="13" t="s">
        <v>2444</v>
      </c>
      <c r="U72" s="14" t="n">
        <v>46235</v>
      </c>
      <c r="V72" s="13" t="n">
        <v>60</v>
      </c>
      <c r="W72" s="18" t="n">
        <v>7.55</v>
      </c>
      <c r="X72" s="18" t="n">
        <v>453</v>
      </c>
      <c r="Y72" s="18" t="n">
        <f aca="false">IF(ISNUMBER(X72),X72-S72,"")</f>
        <v>0</v>
      </c>
      <c r="Z72" s="18" t="n">
        <f aca="false">IF(ISNUMBER(X72),X72-S72,-S72)</f>
        <v>0</v>
      </c>
      <c r="AA72" s="13" t="str">
        <f aca="false">IF(NOT(ISNUMBER(X72)),"NO AUGUST POSTING IN EXPORT",IF(ABS(Y72)&gt;=0.005,"POSTED CHARGE MISMATCH",IF(P72&gt;0,"MATCH - COVERED ELIGIBILITY EXCEPTION","MATCH")))</f>
        <v>MATCH</v>
      </c>
      <c r="AB72" s="13" t="s">
        <v>2445</v>
      </c>
    </row>
    <row r="73" customFormat="false" ht="15" hidden="false" customHeight="false" outlineLevel="0" collapsed="false">
      <c r="A73" s="9" t="s">
        <v>2446</v>
      </c>
      <c r="B73" s="9" t="s">
        <v>145</v>
      </c>
      <c r="C73" s="9" t="s">
        <v>146</v>
      </c>
      <c r="D73" s="9" t="s">
        <v>2002</v>
      </c>
      <c r="E73" s="9" t="s">
        <v>2447</v>
      </c>
      <c r="F73" s="9" t="s">
        <v>2448</v>
      </c>
      <c r="G73" s="9" t="s">
        <v>2449</v>
      </c>
      <c r="H73" s="9" t="s">
        <v>2450</v>
      </c>
      <c r="I73" s="11" t="n">
        <v>70</v>
      </c>
      <c r="J73" s="11" t="n">
        <v>31.8</v>
      </c>
      <c r="K73" s="11"/>
      <c r="L73" s="11"/>
      <c r="M73" s="11" t="n">
        <f aca="false">IF(ISNUMBER(L73),L73,J73)</f>
        <v>31.8</v>
      </c>
      <c r="N73" s="11" t="n">
        <f aca="false">ROUNDUP(M73,0)</f>
        <v>32</v>
      </c>
      <c r="O73" s="11" t="n">
        <f aca="false">MAX(I73,N73)</f>
        <v>70</v>
      </c>
      <c r="P73" s="11" t="n">
        <f aca="false">IF(C73="COVERED",MAX(0,O73-40),0)</f>
        <v>0</v>
      </c>
      <c r="Q73" s="11" t="n">
        <f aca="false">O73</f>
        <v>70</v>
      </c>
      <c r="R73" s="17" t="n">
        <f aca="false">IF(C73="COVERED",10.4,7.55)</f>
        <v>7.55</v>
      </c>
      <c r="S73" s="17" t="n">
        <f aca="false">Q73*R73</f>
        <v>528.5</v>
      </c>
      <c r="T73" s="9" t="s">
        <v>2451</v>
      </c>
      <c r="U73" s="10" t="n">
        <v>46235</v>
      </c>
      <c r="V73" s="9" t="n">
        <v>70</v>
      </c>
      <c r="W73" s="17" t="n">
        <v>7.55</v>
      </c>
      <c r="X73" s="17" t="n">
        <v>528.5</v>
      </c>
      <c r="Y73" s="17" t="n">
        <f aca="false">IF(ISNUMBER(X73),X73-S73,"")</f>
        <v>0</v>
      </c>
      <c r="Z73" s="17" t="n">
        <f aca="false">IF(ISNUMBER(X73),X73-S73,-S73)</f>
        <v>0</v>
      </c>
      <c r="AA73" s="9" t="str">
        <f aca="false">IF(NOT(ISNUMBER(X73)),"NO AUGUST POSTING IN EXPORT",IF(ABS(Y73)&gt;=0.005,"POSTED CHARGE MISMATCH",IF(P73&gt;0,"MATCH - COVERED ELIGIBILITY EXCEPTION","MATCH")))</f>
        <v>MATCH</v>
      </c>
      <c r="AB73" s="9" t="s">
        <v>2452</v>
      </c>
    </row>
    <row r="74" customFormat="false" ht="15" hidden="false" customHeight="false" outlineLevel="0" collapsed="false">
      <c r="A74" s="13" t="s">
        <v>2453</v>
      </c>
      <c r="B74" s="13" t="s">
        <v>145</v>
      </c>
      <c r="C74" s="13" t="s">
        <v>146</v>
      </c>
      <c r="D74" s="13" t="s">
        <v>2002</v>
      </c>
      <c r="E74" s="13" t="s">
        <v>2454</v>
      </c>
      <c r="F74" s="13" t="s">
        <v>2455</v>
      </c>
      <c r="G74" s="13" t="s">
        <v>2456</v>
      </c>
      <c r="H74" s="13" t="s">
        <v>2457</v>
      </c>
      <c r="I74" s="15" t="n">
        <v>24</v>
      </c>
      <c r="J74" s="15" t="n">
        <v>46.9</v>
      </c>
      <c r="K74" s="15"/>
      <c r="L74" s="15"/>
      <c r="M74" s="15" t="n">
        <f aca="false">IF(ISNUMBER(L74),L74,J74)</f>
        <v>46.9</v>
      </c>
      <c r="N74" s="15" t="n">
        <f aca="false">ROUNDUP(M74,0)</f>
        <v>47</v>
      </c>
      <c r="O74" s="15" t="n">
        <f aca="false">MAX(I74,N74)</f>
        <v>47</v>
      </c>
      <c r="P74" s="15" t="n">
        <f aca="false">IF(C74="COVERED",MAX(0,O74-40),0)</f>
        <v>0</v>
      </c>
      <c r="Q74" s="15" t="n">
        <f aca="false">O74</f>
        <v>47</v>
      </c>
      <c r="R74" s="18" t="n">
        <f aca="false">IF(C74="COVERED",10.4,7.55)</f>
        <v>7.55</v>
      </c>
      <c r="S74" s="18" t="n">
        <f aca="false">Q74*R74</f>
        <v>354.85</v>
      </c>
      <c r="T74" s="13" t="s">
        <v>2458</v>
      </c>
      <c r="U74" s="14" t="n">
        <v>46235</v>
      </c>
      <c r="V74" s="13" t="n">
        <v>47</v>
      </c>
      <c r="W74" s="18" t="n">
        <v>7.55</v>
      </c>
      <c r="X74" s="18" t="n">
        <v>354.85</v>
      </c>
      <c r="Y74" s="18" t="n">
        <f aca="false">IF(ISNUMBER(X74),X74-S74,"")</f>
        <v>0</v>
      </c>
      <c r="Z74" s="18" t="n">
        <f aca="false">IF(ISNUMBER(X74),X74-S74,-S74)</f>
        <v>0</v>
      </c>
      <c r="AA74" s="13" t="str">
        <f aca="false">IF(NOT(ISNUMBER(X74)),"NO AUGUST POSTING IN EXPORT",IF(ABS(Y74)&gt;=0.005,"POSTED CHARGE MISMATCH",IF(P74&gt;0,"MATCH - COVERED ELIGIBILITY EXCEPTION","MATCH")))</f>
        <v>MATCH</v>
      </c>
      <c r="AB74" s="13" t="s">
        <v>2459</v>
      </c>
    </row>
    <row r="75" customFormat="false" ht="15" hidden="false" customHeight="false" outlineLevel="0" collapsed="false">
      <c r="A75" s="9" t="s">
        <v>2460</v>
      </c>
      <c r="B75" s="9" t="s">
        <v>145</v>
      </c>
      <c r="C75" s="9" t="s">
        <v>146</v>
      </c>
      <c r="D75" s="9" t="s">
        <v>2002</v>
      </c>
      <c r="E75" s="9" t="s">
        <v>2461</v>
      </c>
      <c r="F75" s="9" t="s">
        <v>2462</v>
      </c>
      <c r="G75" s="9" t="s">
        <v>2463</v>
      </c>
      <c r="H75" s="9" t="s">
        <v>2464</v>
      </c>
      <c r="I75" s="11" t="n">
        <v>40</v>
      </c>
      <c r="J75" s="11" t="n">
        <v>29.4</v>
      </c>
      <c r="K75" s="11"/>
      <c r="L75" s="11"/>
      <c r="M75" s="11" t="n">
        <f aca="false">IF(ISNUMBER(L75),L75,J75)</f>
        <v>29.4</v>
      </c>
      <c r="N75" s="11" t="n">
        <f aca="false">ROUNDUP(M75,0)</f>
        <v>30</v>
      </c>
      <c r="O75" s="11" t="n">
        <f aca="false">MAX(I75,N75)</f>
        <v>40</v>
      </c>
      <c r="P75" s="11" t="n">
        <f aca="false">IF(C75="COVERED",MAX(0,O75-40),0)</f>
        <v>0</v>
      </c>
      <c r="Q75" s="11" t="n">
        <f aca="false">O75</f>
        <v>40</v>
      </c>
      <c r="R75" s="17" t="n">
        <f aca="false">IF(C75="COVERED",10.4,7.55)</f>
        <v>7.55</v>
      </c>
      <c r="S75" s="17" t="n">
        <f aca="false">Q75*R75</f>
        <v>302</v>
      </c>
      <c r="T75" s="9" t="s">
        <v>2465</v>
      </c>
      <c r="U75" s="10" t="n">
        <v>46235</v>
      </c>
      <c r="V75" s="9" t="n">
        <v>40</v>
      </c>
      <c r="W75" s="17" t="n">
        <v>7.55</v>
      </c>
      <c r="X75" s="17" t="n">
        <v>302</v>
      </c>
      <c r="Y75" s="17" t="n">
        <f aca="false">IF(ISNUMBER(X75),X75-S75,"")</f>
        <v>0</v>
      </c>
      <c r="Z75" s="17" t="n">
        <f aca="false">IF(ISNUMBER(X75),X75-S75,-S75)</f>
        <v>0</v>
      </c>
      <c r="AA75" s="9" t="str">
        <f aca="false">IF(NOT(ISNUMBER(X75)),"NO AUGUST POSTING IN EXPORT",IF(ABS(Y75)&gt;=0.005,"POSTED CHARGE MISMATCH",IF(P75&gt;0,"MATCH - COVERED ELIGIBILITY EXCEPTION","MATCH")))</f>
        <v>MATCH</v>
      </c>
      <c r="AB75" s="9" t="s">
        <v>2466</v>
      </c>
    </row>
    <row r="76" customFormat="false" ht="15" hidden="false" customHeight="false" outlineLevel="0" collapsed="false">
      <c r="A76" s="13" t="s">
        <v>2467</v>
      </c>
      <c r="B76" s="13" t="s">
        <v>145</v>
      </c>
      <c r="C76" s="13" t="s">
        <v>146</v>
      </c>
      <c r="D76" s="13" t="s">
        <v>2002</v>
      </c>
      <c r="E76" s="13" t="s">
        <v>2468</v>
      </c>
      <c r="F76" s="13" t="s">
        <v>1330</v>
      </c>
      <c r="G76" s="13" t="s">
        <v>1331</v>
      </c>
      <c r="H76" s="13" t="s">
        <v>2469</v>
      </c>
      <c r="I76" s="15" t="n">
        <v>45</v>
      </c>
      <c r="J76" s="15" t="n">
        <v>31.1</v>
      </c>
      <c r="K76" s="15"/>
      <c r="L76" s="15"/>
      <c r="M76" s="15" t="n">
        <f aca="false">IF(ISNUMBER(L76),L76,J76)</f>
        <v>31.1</v>
      </c>
      <c r="N76" s="15" t="n">
        <f aca="false">ROUNDUP(M76,0)</f>
        <v>32</v>
      </c>
      <c r="O76" s="15" t="n">
        <f aca="false">MAX(I76,N76)</f>
        <v>45</v>
      </c>
      <c r="P76" s="15" t="n">
        <f aca="false">IF(C76="COVERED",MAX(0,O76-40),0)</f>
        <v>0</v>
      </c>
      <c r="Q76" s="15" t="n">
        <f aca="false">O76</f>
        <v>45</v>
      </c>
      <c r="R76" s="18" t="n">
        <f aca="false">IF(C76="COVERED",10.4,7.55)</f>
        <v>7.55</v>
      </c>
      <c r="S76" s="18" t="n">
        <f aca="false">Q76*R76</f>
        <v>339.75</v>
      </c>
      <c r="T76" s="13" t="s">
        <v>2470</v>
      </c>
      <c r="U76" s="14" t="n">
        <v>46235</v>
      </c>
      <c r="V76" s="13" t="n">
        <v>45</v>
      </c>
      <c r="W76" s="18" t="n">
        <v>7.55</v>
      </c>
      <c r="X76" s="18" t="n">
        <v>339.75</v>
      </c>
      <c r="Y76" s="18" t="n">
        <f aca="false">IF(ISNUMBER(X76),X76-S76,"")</f>
        <v>0</v>
      </c>
      <c r="Z76" s="18" t="n">
        <f aca="false">IF(ISNUMBER(X76),X76-S76,-S76)</f>
        <v>0</v>
      </c>
      <c r="AA76" s="13" t="str">
        <f aca="false">IF(NOT(ISNUMBER(X76)),"NO AUGUST POSTING IN EXPORT",IF(ABS(Y76)&gt;=0.005,"POSTED CHARGE MISMATCH",IF(P76&gt;0,"MATCH - COVERED ELIGIBILITY EXCEPTION","MATCH")))</f>
        <v>MATCH</v>
      </c>
      <c r="AB76" s="13" t="s">
        <v>2471</v>
      </c>
    </row>
    <row r="77" customFormat="false" ht="15" hidden="false" customHeight="false" outlineLevel="0" collapsed="false">
      <c r="A77" s="9" t="s">
        <v>2472</v>
      </c>
      <c r="B77" s="9" t="s">
        <v>145</v>
      </c>
      <c r="C77" s="9" t="s">
        <v>146</v>
      </c>
      <c r="D77" s="9" t="s">
        <v>2002</v>
      </c>
      <c r="E77" s="9" t="s">
        <v>2473</v>
      </c>
      <c r="F77" s="9" t="s">
        <v>2474</v>
      </c>
      <c r="G77" s="9" t="s">
        <v>2475</v>
      </c>
      <c r="H77" s="9" t="s">
        <v>2476</v>
      </c>
      <c r="I77" s="11" t="n">
        <v>28</v>
      </c>
      <c r="J77" s="11" t="n">
        <v>59.4</v>
      </c>
      <c r="K77" s="11"/>
      <c r="L77" s="11"/>
      <c r="M77" s="11" t="n">
        <f aca="false">IF(ISNUMBER(L77),L77,J77)</f>
        <v>59.4</v>
      </c>
      <c r="N77" s="11" t="n">
        <f aca="false">ROUNDUP(M77,0)</f>
        <v>60</v>
      </c>
      <c r="O77" s="11" t="n">
        <f aca="false">MAX(I77,N77)</f>
        <v>60</v>
      </c>
      <c r="P77" s="11" t="n">
        <f aca="false">IF(C77="COVERED",MAX(0,O77-40),0)</f>
        <v>0</v>
      </c>
      <c r="Q77" s="11" t="n">
        <f aca="false">O77</f>
        <v>60</v>
      </c>
      <c r="R77" s="17" t="n">
        <f aca="false">IF(C77="COVERED",10.4,7.55)</f>
        <v>7.55</v>
      </c>
      <c r="S77" s="17" t="n">
        <f aca="false">Q77*R77</f>
        <v>453</v>
      </c>
      <c r="T77" s="9" t="s">
        <v>2477</v>
      </c>
      <c r="U77" s="10" t="n">
        <v>46235</v>
      </c>
      <c r="V77" s="9" t="n">
        <v>60</v>
      </c>
      <c r="W77" s="17" t="n">
        <v>7.55</v>
      </c>
      <c r="X77" s="17" t="n">
        <v>453</v>
      </c>
      <c r="Y77" s="17" t="n">
        <f aca="false">IF(ISNUMBER(X77),X77-S77,"")</f>
        <v>0</v>
      </c>
      <c r="Z77" s="17" t="n">
        <f aca="false">IF(ISNUMBER(X77),X77-S77,-S77)</f>
        <v>0</v>
      </c>
      <c r="AA77" s="9" t="str">
        <f aca="false">IF(NOT(ISNUMBER(X77)),"NO AUGUST POSTING IN EXPORT",IF(ABS(Y77)&gt;=0.005,"POSTED CHARGE MISMATCH",IF(P77&gt;0,"MATCH - COVERED ELIGIBILITY EXCEPTION","MATCH")))</f>
        <v>MATCH</v>
      </c>
      <c r="AB77" s="9" t="s">
        <v>2478</v>
      </c>
    </row>
    <row r="78" customFormat="false" ht="15" hidden="false" customHeight="false" outlineLevel="0" collapsed="false">
      <c r="A78" s="13" t="s">
        <v>2479</v>
      </c>
      <c r="B78" s="13" t="s">
        <v>145</v>
      </c>
      <c r="C78" s="13" t="s">
        <v>146</v>
      </c>
      <c r="D78" s="13" t="s">
        <v>2002</v>
      </c>
      <c r="E78" s="13" t="s">
        <v>2480</v>
      </c>
      <c r="F78" s="13" t="s">
        <v>1063</v>
      </c>
      <c r="G78" s="13" t="s">
        <v>1064</v>
      </c>
      <c r="H78" s="13" t="s">
        <v>2481</v>
      </c>
      <c r="I78" s="15" t="n">
        <v>70</v>
      </c>
      <c r="J78" s="15" t="n">
        <v>51.6</v>
      </c>
      <c r="K78" s="15"/>
      <c r="L78" s="15"/>
      <c r="M78" s="15" t="n">
        <f aca="false">IF(ISNUMBER(L78),L78,J78)</f>
        <v>51.6</v>
      </c>
      <c r="N78" s="15" t="n">
        <f aca="false">ROUNDUP(M78,0)</f>
        <v>52</v>
      </c>
      <c r="O78" s="15" t="n">
        <f aca="false">MAX(I78,N78)</f>
        <v>70</v>
      </c>
      <c r="P78" s="15" t="n">
        <f aca="false">IF(C78="COVERED",MAX(0,O78-40),0)</f>
        <v>0</v>
      </c>
      <c r="Q78" s="15" t="n">
        <f aca="false">O78</f>
        <v>70</v>
      </c>
      <c r="R78" s="18" t="n">
        <f aca="false">IF(C78="COVERED",10.4,7.55)</f>
        <v>7.55</v>
      </c>
      <c r="S78" s="18" t="n">
        <f aca="false">Q78*R78</f>
        <v>528.5</v>
      </c>
      <c r="T78" s="13" t="s">
        <v>2482</v>
      </c>
      <c r="U78" s="14" t="n">
        <v>46235</v>
      </c>
      <c r="V78" s="13" t="n">
        <v>70</v>
      </c>
      <c r="W78" s="18" t="n">
        <v>7.55</v>
      </c>
      <c r="X78" s="18" t="n">
        <v>528.5</v>
      </c>
      <c r="Y78" s="18" t="n">
        <f aca="false">IF(ISNUMBER(X78),X78-S78,"")</f>
        <v>0</v>
      </c>
      <c r="Z78" s="18" t="n">
        <f aca="false">IF(ISNUMBER(X78),X78-S78,-S78)</f>
        <v>0</v>
      </c>
      <c r="AA78" s="13" t="str">
        <f aca="false">IF(NOT(ISNUMBER(X78)),"NO AUGUST POSTING IN EXPORT",IF(ABS(Y78)&gt;=0.005,"POSTED CHARGE MISMATCH",IF(P78&gt;0,"MATCH - COVERED ELIGIBILITY EXCEPTION","MATCH")))</f>
        <v>MATCH</v>
      </c>
      <c r="AB78" s="13" t="s">
        <v>2483</v>
      </c>
    </row>
    <row r="79" customFormat="false" ht="15" hidden="false" customHeight="false" outlineLevel="0" collapsed="false">
      <c r="A79" s="9" t="s">
        <v>2484</v>
      </c>
      <c r="B79" s="9" t="s">
        <v>145</v>
      </c>
      <c r="C79" s="9" t="s">
        <v>146</v>
      </c>
      <c r="D79" s="9" t="s">
        <v>2002</v>
      </c>
      <c r="E79" s="9" t="s">
        <v>2485</v>
      </c>
      <c r="F79" s="9" t="s">
        <v>2486</v>
      </c>
      <c r="G79" s="9" t="s">
        <v>2487</v>
      </c>
      <c r="H79" s="9" t="s">
        <v>2329</v>
      </c>
      <c r="I79" s="11" t="n">
        <v>32</v>
      </c>
      <c r="J79" s="11" t="n">
        <v>44.8</v>
      </c>
      <c r="K79" s="11"/>
      <c r="L79" s="11"/>
      <c r="M79" s="11" t="n">
        <f aca="false">IF(ISNUMBER(L79),L79,J79)</f>
        <v>44.8</v>
      </c>
      <c r="N79" s="11" t="n">
        <f aca="false">ROUNDUP(M79,0)</f>
        <v>45</v>
      </c>
      <c r="O79" s="11" t="n">
        <f aca="false">MAX(I79,N79)</f>
        <v>45</v>
      </c>
      <c r="P79" s="11" t="n">
        <f aca="false">IF(C79="COVERED",MAX(0,O79-40),0)</f>
        <v>0</v>
      </c>
      <c r="Q79" s="11" t="n">
        <f aca="false">O79</f>
        <v>45</v>
      </c>
      <c r="R79" s="17" t="n">
        <f aca="false">IF(C79="COVERED",10.4,7.55)</f>
        <v>7.55</v>
      </c>
      <c r="S79" s="17" t="n">
        <f aca="false">Q79*R79</f>
        <v>339.75</v>
      </c>
      <c r="T79" s="9" t="s">
        <v>2488</v>
      </c>
      <c r="U79" s="10" t="n">
        <v>46235</v>
      </c>
      <c r="V79" s="9" t="n">
        <v>45</v>
      </c>
      <c r="W79" s="17" t="n">
        <v>7.55</v>
      </c>
      <c r="X79" s="17" t="n">
        <v>339.75</v>
      </c>
      <c r="Y79" s="17" t="n">
        <f aca="false">IF(ISNUMBER(X79),X79-S79,"")</f>
        <v>0</v>
      </c>
      <c r="Z79" s="17" t="n">
        <f aca="false">IF(ISNUMBER(X79),X79-S79,-S79)</f>
        <v>0</v>
      </c>
      <c r="AA79" s="9" t="str">
        <f aca="false">IF(NOT(ISNUMBER(X79)),"NO AUGUST POSTING IN EXPORT",IF(ABS(Y79)&gt;=0.005,"POSTED CHARGE MISMATCH",IF(P79&gt;0,"MATCH - COVERED ELIGIBILITY EXCEPTION","MATCH")))</f>
        <v>MATCH</v>
      </c>
      <c r="AB79" s="9" t="s">
        <v>2489</v>
      </c>
    </row>
    <row r="80" customFormat="false" ht="15" hidden="false" customHeight="false" outlineLevel="0" collapsed="false">
      <c r="A80" s="13" t="s">
        <v>2490</v>
      </c>
      <c r="B80" s="13" t="s">
        <v>145</v>
      </c>
      <c r="C80" s="13" t="s">
        <v>146</v>
      </c>
      <c r="D80" s="13" t="s">
        <v>2002</v>
      </c>
      <c r="E80" s="13" t="s">
        <v>2491</v>
      </c>
      <c r="F80" s="13" t="s">
        <v>2492</v>
      </c>
      <c r="G80" s="13" t="s">
        <v>2493</v>
      </c>
      <c r="H80" s="13" t="s">
        <v>2169</v>
      </c>
      <c r="I80" s="15" t="n">
        <v>70</v>
      </c>
      <c r="J80" s="15" t="n">
        <v>26.8</v>
      </c>
      <c r="K80" s="15"/>
      <c r="L80" s="15"/>
      <c r="M80" s="15" t="n">
        <f aca="false">IF(ISNUMBER(L80),L80,J80)</f>
        <v>26.8</v>
      </c>
      <c r="N80" s="15" t="n">
        <f aca="false">ROUNDUP(M80,0)</f>
        <v>27</v>
      </c>
      <c r="O80" s="15" t="n">
        <f aca="false">MAX(I80,N80)</f>
        <v>70</v>
      </c>
      <c r="P80" s="15" t="n">
        <f aca="false">IF(C80="COVERED",MAX(0,O80-40),0)</f>
        <v>0</v>
      </c>
      <c r="Q80" s="15" t="n">
        <f aca="false">O80</f>
        <v>70</v>
      </c>
      <c r="R80" s="18" t="n">
        <f aca="false">IF(C80="COVERED",10.4,7.55)</f>
        <v>7.55</v>
      </c>
      <c r="S80" s="18" t="n">
        <f aca="false">Q80*R80</f>
        <v>528.5</v>
      </c>
      <c r="T80" s="13" t="s">
        <v>2494</v>
      </c>
      <c r="U80" s="14" t="n">
        <v>46235</v>
      </c>
      <c r="V80" s="13" t="n">
        <v>70</v>
      </c>
      <c r="W80" s="18" t="n">
        <v>7.55</v>
      </c>
      <c r="X80" s="18" t="n">
        <v>528.5</v>
      </c>
      <c r="Y80" s="18" t="n">
        <f aca="false">IF(ISNUMBER(X80),X80-S80,"")</f>
        <v>0</v>
      </c>
      <c r="Z80" s="18" t="n">
        <f aca="false">IF(ISNUMBER(X80),X80-S80,-S80)</f>
        <v>0</v>
      </c>
      <c r="AA80" s="13" t="str">
        <f aca="false">IF(NOT(ISNUMBER(X80)),"NO AUGUST POSTING IN EXPORT",IF(ABS(Y80)&gt;=0.005,"POSTED CHARGE MISMATCH",IF(P80&gt;0,"MATCH - COVERED ELIGIBILITY EXCEPTION","MATCH")))</f>
        <v>MATCH</v>
      </c>
      <c r="AB80" s="13" t="s">
        <v>2495</v>
      </c>
    </row>
    <row r="81" customFormat="false" ht="15" hidden="false" customHeight="false" outlineLevel="0" collapsed="false">
      <c r="A81" s="9" t="s">
        <v>2496</v>
      </c>
      <c r="B81" s="9" t="s">
        <v>145</v>
      </c>
      <c r="C81" s="9" t="s">
        <v>146</v>
      </c>
      <c r="D81" s="9" t="s">
        <v>2002</v>
      </c>
      <c r="E81" s="9" t="s">
        <v>2497</v>
      </c>
      <c r="F81" s="9" t="s">
        <v>2498</v>
      </c>
      <c r="G81" s="9" t="s">
        <v>2499</v>
      </c>
      <c r="H81" s="9" t="s">
        <v>2500</v>
      </c>
      <c r="I81" s="11" t="n">
        <v>70</v>
      </c>
      <c r="J81" s="11" t="n">
        <v>42.5</v>
      </c>
      <c r="K81" s="11"/>
      <c r="L81" s="11"/>
      <c r="M81" s="11" t="n">
        <f aca="false">IF(ISNUMBER(L81),L81,J81)</f>
        <v>42.5</v>
      </c>
      <c r="N81" s="11" t="n">
        <f aca="false">ROUNDUP(M81,0)</f>
        <v>43</v>
      </c>
      <c r="O81" s="11" t="n">
        <f aca="false">MAX(I81,N81)</f>
        <v>70</v>
      </c>
      <c r="P81" s="11" t="n">
        <f aca="false">IF(C81="COVERED",MAX(0,O81-40),0)</f>
        <v>0</v>
      </c>
      <c r="Q81" s="11" t="n">
        <f aca="false">O81</f>
        <v>70</v>
      </c>
      <c r="R81" s="17" t="n">
        <f aca="false">IF(C81="COVERED",10.4,7.55)</f>
        <v>7.55</v>
      </c>
      <c r="S81" s="17" t="n">
        <f aca="false">Q81*R81</f>
        <v>528.5</v>
      </c>
      <c r="T81" s="9" t="s">
        <v>2501</v>
      </c>
      <c r="U81" s="10" t="n">
        <v>46235</v>
      </c>
      <c r="V81" s="9" t="n">
        <v>70</v>
      </c>
      <c r="W81" s="17" t="n">
        <v>7.55</v>
      </c>
      <c r="X81" s="17" t="n">
        <v>528.5</v>
      </c>
      <c r="Y81" s="17" t="n">
        <f aca="false">IF(ISNUMBER(X81),X81-S81,"")</f>
        <v>0</v>
      </c>
      <c r="Z81" s="17" t="n">
        <f aca="false">IF(ISNUMBER(X81),X81-S81,-S81)</f>
        <v>0</v>
      </c>
      <c r="AA81" s="9" t="str">
        <f aca="false">IF(NOT(ISNUMBER(X81)),"NO AUGUST POSTING IN EXPORT",IF(ABS(Y81)&gt;=0.005,"POSTED CHARGE MISMATCH",IF(P81&gt;0,"MATCH - COVERED ELIGIBILITY EXCEPTION","MATCH")))</f>
        <v>MATCH</v>
      </c>
      <c r="AB81" s="9" t="s">
        <v>2502</v>
      </c>
    </row>
    <row r="82" customFormat="false" ht="15" hidden="false" customHeight="false" outlineLevel="0" collapsed="false">
      <c r="A82" s="13" t="s">
        <v>2503</v>
      </c>
      <c r="B82" s="13" t="s">
        <v>145</v>
      </c>
      <c r="C82" s="13" t="s">
        <v>146</v>
      </c>
      <c r="D82" s="13" t="s">
        <v>2002</v>
      </c>
      <c r="E82" s="13" t="s">
        <v>2504</v>
      </c>
      <c r="F82" s="13" t="s">
        <v>2505</v>
      </c>
      <c r="G82" s="13" t="s">
        <v>2506</v>
      </c>
      <c r="H82" s="13" t="s">
        <v>2507</v>
      </c>
      <c r="I82" s="15" t="n">
        <v>70</v>
      </c>
      <c r="J82" s="15" t="n">
        <v>58.8</v>
      </c>
      <c r="K82" s="15"/>
      <c r="L82" s="15"/>
      <c r="M82" s="15" t="n">
        <f aca="false">IF(ISNUMBER(L82),L82,J82)</f>
        <v>58.8</v>
      </c>
      <c r="N82" s="15" t="n">
        <f aca="false">ROUNDUP(M82,0)</f>
        <v>59</v>
      </c>
      <c r="O82" s="15" t="n">
        <f aca="false">MAX(I82,N82)</f>
        <v>70</v>
      </c>
      <c r="P82" s="15" t="n">
        <f aca="false">IF(C82="COVERED",MAX(0,O82-40),0)</f>
        <v>0</v>
      </c>
      <c r="Q82" s="15" t="n">
        <f aca="false">O82</f>
        <v>70</v>
      </c>
      <c r="R82" s="18" t="n">
        <f aca="false">IF(C82="COVERED",10.4,7.55)</f>
        <v>7.55</v>
      </c>
      <c r="S82" s="18" t="n">
        <f aca="false">Q82*R82</f>
        <v>528.5</v>
      </c>
      <c r="T82" s="13" t="s">
        <v>2508</v>
      </c>
      <c r="U82" s="14" t="n">
        <v>46235</v>
      </c>
      <c r="V82" s="13" t="n">
        <v>70</v>
      </c>
      <c r="W82" s="18" t="n">
        <v>7.55</v>
      </c>
      <c r="X82" s="18" t="n">
        <v>528.5</v>
      </c>
      <c r="Y82" s="18" t="n">
        <f aca="false">IF(ISNUMBER(X82),X82-S82,"")</f>
        <v>0</v>
      </c>
      <c r="Z82" s="18" t="n">
        <f aca="false">IF(ISNUMBER(X82),X82-S82,-S82)</f>
        <v>0</v>
      </c>
      <c r="AA82" s="13" t="str">
        <f aca="false">IF(NOT(ISNUMBER(X82)),"NO AUGUST POSTING IN EXPORT",IF(ABS(Y82)&gt;=0.005,"POSTED CHARGE MISMATCH",IF(P82&gt;0,"MATCH - COVERED ELIGIBILITY EXCEPTION","MATCH")))</f>
        <v>MATCH</v>
      </c>
      <c r="AB82" s="13" t="s">
        <v>2509</v>
      </c>
    </row>
    <row r="83" customFormat="false" ht="15" hidden="false" customHeight="false" outlineLevel="0" collapsed="false">
      <c r="A83" s="9" t="s">
        <v>2510</v>
      </c>
      <c r="B83" s="9" t="s">
        <v>145</v>
      </c>
      <c r="C83" s="9" t="s">
        <v>146</v>
      </c>
      <c r="D83" s="9" t="s">
        <v>2002</v>
      </c>
      <c r="E83" s="9" t="s">
        <v>2511</v>
      </c>
      <c r="F83" s="9" t="s">
        <v>2512</v>
      </c>
      <c r="G83" s="9" t="s">
        <v>2513</v>
      </c>
      <c r="H83" s="9" t="s">
        <v>2514</v>
      </c>
      <c r="I83" s="11" t="n">
        <v>40</v>
      </c>
      <c r="J83" s="11" t="n">
        <v>20.6</v>
      </c>
      <c r="K83" s="11"/>
      <c r="L83" s="11"/>
      <c r="M83" s="11" t="n">
        <f aca="false">IF(ISNUMBER(L83),L83,J83)</f>
        <v>20.6</v>
      </c>
      <c r="N83" s="11" t="n">
        <f aca="false">ROUNDUP(M83,0)</f>
        <v>21</v>
      </c>
      <c r="O83" s="11" t="n">
        <f aca="false">MAX(I83,N83)</f>
        <v>40</v>
      </c>
      <c r="P83" s="11" t="n">
        <f aca="false">IF(C83="COVERED",MAX(0,O83-40),0)</f>
        <v>0</v>
      </c>
      <c r="Q83" s="11" t="n">
        <f aca="false">O83</f>
        <v>40</v>
      </c>
      <c r="R83" s="17" t="n">
        <f aca="false">IF(C83="COVERED",10.4,7.55)</f>
        <v>7.55</v>
      </c>
      <c r="S83" s="17" t="n">
        <f aca="false">Q83*R83</f>
        <v>302</v>
      </c>
      <c r="T83" s="9" t="s">
        <v>2515</v>
      </c>
      <c r="U83" s="10" t="n">
        <v>46235</v>
      </c>
      <c r="V83" s="9" t="n">
        <v>40</v>
      </c>
      <c r="W83" s="17" t="n">
        <v>7.55</v>
      </c>
      <c r="X83" s="17" t="n">
        <v>302</v>
      </c>
      <c r="Y83" s="17" t="n">
        <f aca="false">IF(ISNUMBER(X83),X83-S83,"")</f>
        <v>0</v>
      </c>
      <c r="Z83" s="17" t="n">
        <f aca="false">IF(ISNUMBER(X83),X83-S83,-S83)</f>
        <v>0</v>
      </c>
      <c r="AA83" s="9" t="str">
        <f aca="false">IF(NOT(ISNUMBER(X83)),"NO AUGUST POSTING IN EXPORT",IF(ABS(Y83)&gt;=0.005,"POSTED CHARGE MISMATCH",IF(P83&gt;0,"MATCH - COVERED ELIGIBILITY EXCEPTION","MATCH")))</f>
        <v>MATCH</v>
      </c>
      <c r="AB83" s="9" t="s">
        <v>2516</v>
      </c>
    </row>
    <row r="84" customFormat="false" ht="15" hidden="false" customHeight="false" outlineLevel="0" collapsed="false">
      <c r="A84" s="13" t="s">
        <v>1291</v>
      </c>
      <c r="B84" s="13" t="s">
        <v>145</v>
      </c>
      <c r="C84" s="13" t="s">
        <v>146</v>
      </c>
      <c r="D84" s="13" t="s">
        <v>2002</v>
      </c>
      <c r="E84" s="13" t="s">
        <v>2517</v>
      </c>
      <c r="F84" s="13" t="s">
        <v>2518</v>
      </c>
      <c r="G84" s="13" t="s">
        <v>2519</v>
      </c>
      <c r="H84" s="13" t="s">
        <v>2520</v>
      </c>
      <c r="I84" s="15" t="n">
        <v>24</v>
      </c>
      <c r="J84" s="15" t="n">
        <v>42.4</v>
      </c>
      <c r="K84" s="15"/>
      <c r="L84" s="15"/>
      <c r="M84" s="15" t="n">
        <f aca="false">IF(ISNUMBER(L84),L84,J84)</f>
        <v>42.4</v>
      </c>
      <c r="N84" s="15" t="n">
        <f aca="false">ROUNDUP(M84,0)</f>
        <v>43</v>
      </c>
      <c r="O84" s="15" t="n">
        <f aca="false">MAX(I84,N84)</f>
        <v>43</v>
      </c>
      <c r="P84" s="15" t="n">
        <f aca="false">IF(C84="COVERED",MAX(0,O84-40),0)</f>
        <v>0</v>
      </c>
      <c r="Q84" s="15" t="n">
        <f aca="false">O84</f>
        <v>43</v>
      </c>
      <c r="R84" s="18" t="n">
        <f aca="false">IF(C84="COVERED",10.4,7.55)</f>
        <v>7.55</v>
      </c>
      <c r="S84" s="18" t="n">
        <f aca="false">Q84*R84</f>
        <v>324.65</v>
      </c>
      <c r="T84" s="13" t="s">
        <v>2521</v>
      </c>
      <c r="U84" s="14" t="n">
        <v>46235</v>
      </c>
      <c r="V84" s="13" t="n">
        <v>43</v>
      </c>
      <c r="W84" s="18" t="n">
        <v>7.55</v>
      </c>
      <c r="X84" s="18" t="n">
        <v>324.65</v>
      </c>
      <c r="Y84" s="18" t="n">
        <f aca="false">IF(ISNUMBER(X84),X84-S84,"")</f>
        <v>0</v>
      </c>
      <c r="Z84" s="18" t="n">
        <f aca="false">IF(ISNUMBER(X84),X84-S84,-S84)</f>
        <v>0</v>
      </c>
      <c r="AA84" s="13" t="str">
        <f aca="false">IF(NOT(ISNUMBER(X84)),"NO AUGUST POSTING IN EXPORT",IF(ABS(Y84)&gt;=0.005,"POSTED CHARGE MISMATCH",IF(P84&gt;0,"MATCH - COVERED ELIGIBILITY EXCEPTION","MATCH")))</f>
        <v>MATCH</v>
      </c>
      <c r="AB84" s="13" t="s">
        <v>2522</v>
      </c>
    </row>
    <row r="85" customFormat="false" ht="15" hidden="false" customHeight="false" outlineLevel="0" collapsed="false">
      <c r="A85" s="9" t="s">
        <v>2523</v>
      </c>
      <c r="B85" s="9" t="s">
        <v>145</v>
      </c>
      <c r="C85" s="9" t="s">
        <v>146</v>
      </c>
      <c r="D85" s="9" t="s">
        <v>2002</v>
      </c>
      <c r="E85" s="9" t="s">
        <v>2524</v>
      </c>
      <c r="F85" s="9" t="s">
        <v>2525</v>
      </c>
      <c r="G85" s="9" t="s">
        <v>2526</v>
      </c>
      <c r="H85" s="9" t="s">
        <v>2527</v>
      </c>
      <c r="I85" s="11" t="n">
        <v>24</v>
      </c>
      <c r="J85" s="11" t="n">
        <v>33.7</v>
      </c>
      <c r="K85" s="11"/>
      <c r="L85" s="11"/>
      <c r="M85" s="11" t="n">
        <f aca="false">IF(ISNUMBER(L85),L85,J85)</f>
        <v>33.7</v>
      </c>
      <c r="N85" s="11" t="n">
        <f aca="false">ROUNDUP(M85,0)</f>
        <v>34</v>
      </c>
      <c r="O85" s="11" t="n">
        <f aca="false">MAX(I85,N85)</f>
        <v>34</v>
      </c>
      <c r="P85" s="11" t="n">
        <f aca="false">IF(C85="COVERED",MAX(0,O85-40),0)</f>
        <v>0</v>
      </c>
      <c r="Q85" s="11" t="n">
        <f aca="false">O85</f>
        <v>34</v>
      </c>
      <c r="R85" s="17" t="n">
        <f aca="false">IF(C85="COVERED",10.4,7.55)</f>
        <v>7.55</v>
      </c>
      <c r="S85" s="17" t="n">
        <f aca="false">Q85*R85</f>
        <v>256.7</v>
      </c>
      <c r="T85" s="9" t="s">
        <v>2528</v>
      </c>
      <c r="U85" s="10" t="n">
        <v>46235</v>
      </c>
      <c r="V85" s="9" t="n">
        <v>34</v>
      </c>
      <c r="W85" s="17" t="n">
        <v>7.55</v>
      </c>
      <c r="X85" s="17" t="n">
        <v>256.7</v>
      </c>
      <c r="Y85" s="17" t="n">
        <f aca="false">IF(ISNUMBER(X85),X85-S85,"")</f>
        <v>0</v>
      </c>
      <c r="Z85" s="17" t="n">
        <f aca="false">IF(ISNUMBER(X85),X85-S85,-S85)</f>
        <v>0</v>
      </c>
      <c r="AA85" s="9" t="str">
        <f aca="false">IF(NOT(ISNUMBER(X85)),"NO AUGUST POSTING IN EXPORT",IF(ABS(Y85)&gt;=0.005,"POSTED CHARGE MISMATCH",IF(P85&gt;0,"MATCH - COVERED ELIGIBILITY EXCEPTION","MATCH")))</f>
        <v>MATCH</v>
      </c>
      <c r="AB85" s="9" t="s">
        <v>2529</v>
      </c>
    </row>
    <row r="86" customFormat="false" ht="15" hidden="false" customHeight="false" outlineLevel="0" collapsed="false">
      <c r="A86" s="13" t="s">
        <v>2530</v>
      </c>
      <c r="B86" s="13" t="s">
        <v>145</v>
      </c>
      <c r="C86" s="13" t="s">
        <v>146</v>
      </c>
      <c r="D86" s="13" t="s">
        <v>2002</v>
      </c>
      <c r="E86" s="13" t="s">
        <v>2531</v>
      </c>
      <c r="F86" s="13" t="s">
        <v>2532</v>
      </c>
      <c r="G86" s="13" t="s">
        <v>2533</v>
      </c>
      <c r="H86" s="13" t="s">
        <v>2534</v>
      </c>
      <c r="I86" s="15" t="n">
        <v>28</v>
      </c>
      <c r="J86" s="15" t="n">
        <v>56.9</v>
      </c>
      <c r="K86" s="15"/>
      <c r="L86" s="15"/>
      <c r="M86" s="15" t="n">
        <f aca="false">IF(ISNUMBER(L86),L86,J86)</f>
        <v>56.9</v>
      </c>
      <c r="N86" s="15" t="n">
        <f aca="false">ROUNDUP(M86,0)</f>
        <v>57</v>
      </c>
      <c r="O86" s="15" t="n">
        <f aca="false">MAX(I86,N86)</f>
        <v>57</v>
      </c>
      <c r="P86" s="15" t="n">
        <f aca="false">IF(C86="COVERED",MAX(0,O86-40),0)</f>
        <v>0</v>
      </c>
      <c r="Q86" s="15" t="n">
        <f aca="false">O86</f>
        <v>57</v>
      </c>
      <c r="R86" s="18" t="n">
        <f aca="false">IF(C86="COVERED",10.4,7.55)</f>
        <v>7.55</v>
      </c>
      <c r="S86" s="18" t="n">
        <f aca="false">Q86*R86</f>
        <v>430.35</v>
      </c>
      <c r="T86" s="13" t="s">
        <v>2535</v>
      </c>
      <c r="U86" s="14" t="n">
        <v>46235</v>
      </c>
      <c r="V86" s="13" t="n">
        <v>57</v>
      </c>
      <c r="W86" s="18" t="n">
        <v>7.55</v>
      </c>
      <c r="X86" s="18" t="n">
        <v>430.35</v>
      </c>
      <c r="Y86" s="18" t="n">
        <f aca="false">IF(ISNUMBER(X86),X86-S86,"")</f>
        <v>0</v>
      </c>
      <c r="Z86" s="18" t="n">
        <f aca="false">IF(ISNUMBER(X86),X86-S86,-S86)</f>
        <v>0</v>
      </c>
      <c r="AA86" s="13" t="str">
        <f aca="false">IF(NOT(ISNUMBER(X86)),"NO AUGUST POSTING IN EXPORT",IF(ABS(Y86)&gt;=0.005,"POSTED CHARGE MISMATCH",IF(P86&gt;0,"MATCH - COVERED ELIGIBILITY EXCEPTION","MATCH")))</f>
        <v>MATCH</v>
      </c>
      <c r="AB86" s="13" t="s">
        <v>2536</v>
      </c>
    </row>
    <row r="87" customFormat="false" ht="15" hidden="false" customHeight="false" outlineLevel="0" collapsed="false">
      <c r="A87" s="9" t="s">
        <v>2537</v>
      </c>
      <c r="B87" s="9" t="s">
        <v>145</v>
      </c>
      <c r="C87" s="9" t="s">
        <v>146</v>
      </c>
      <c r="D87" s="9" t="s">
        <v>2002</v>
      </c>
      <c r="E87" s="9" t="s">
        <v>2538</v>
      </c>
      <c r="F87" s="9" t="s">
        <v>2539</v>
      </c>
      <c r="G87" s="9" t="s">
        <v>2540</v>
      </c>
      <c r="H87" s="9" t="s">
        <v>2541</v>
      </c>
      <c r="I87" s="11" t="n">
        <v>24</v>
      </c>
      <c r="J87" s="11" t="n">
        <v>58</v>
      </c>
      <c r="K87" s="11"/>
      <c r="L87" s="11"/>
      <c r="M87" s="11" t="n">
        <f aca="false">IF(ISNUMBER(L87),L87,J87)</f>
        <v>58</v>
      </c>
      <c r="N87" s="11" t="n">
        <f aca="false">ROUNDUP(M87,0)</f>
        <v>58</v>
      </c>
      <c r="O87" s="11" t="n">
        <f aca="false">MAX(I87,N87)</f>
        <v>58</v>
      </c>
      <c r="P87" s="11" t="n">
        <f aca="false">IF(C87="COVERED",MAX(0,O87-40),0)</f>
        <v>0</v>
      </c>
      <c r="Q87" s="11" t="n">
        <f aca="false">O87</f>
        <v>58</v>
      </c>
      <c r="R87" s="17" t="n">
        <f aca="false">IF(C87="COVERED",10.4,7.55)</f>
        <v>7.55</v>
      </c>
      <c r="S87" s="17" t="n">
        <f aca="false">Q87*R87</f>
        <v>437.9</v>
      </c>
      <c r="T87" s="9" t="s">
        <v>2542</v>
      </c>
      <c r="U87" s="10" t="n">
        <v>46235</v>
      </c>
      <c r="V87" s="9" t="n">
        <v>58</v>
      </c>
      <c r="W87" s="17" t="n">
        <v>7.55</v>
      </c>
      <c r="X87" s="17" t="n">
        <v>437.9</v>
      </c>
      <c r="Y87" s="17" t="n">
        <f aca="false">IF(ISNUMBER(X87),X87-S87,"")</f>
        <v>0</v>
      </c>
      <c r="Z87" s="17" t="n">
        <f aca="false">IF(ISNUMBER(X87),X87-S87,-S87)</f>
        <v>0</v>
      </c>
      <c r="AA87" s="9" t="str">
        <f aca="false">IF(NOT(ISNUMBER(X87)),"NO AUGUST POSTING IN EXPORT",IF(ABS(Y87)&gt;=0.005,"POSTED CHARGE MISMATCH",IF(P87&gt;0,"MATCH - COVERED ELIGIBILITY EXCEPTION","MATCH")))</f>
        <v>MATCH</v>
      </c>
      <c r="AB87" s="9" t="s">
        <v>2543</v>
      </c>
    </row>
    <row r="88" customFormat="false" ht="15" hidden="false" customHeight="false" outlineLevel="0" collapsed="false">
      <c r="A88" s="13" t="s">
        <v>2544</v>
      </c>
      <c r="B88" s="13" t="s">
        <v>145</v>
      </c>
      <c r="C88" s="13" t="s">
        <v>146</v>
      </c>
      <c r="D88" s="13" t="s">
        <v>2002</v>
      </c>
      <c r="E88" s="13" t="s">
        <v>2545</v>
      </c>
      <c r="F88" s="13" t="s">
        <v>1539</v>
      </c>
      <c r="G88" s="13" t="s">
        <v>1540</v>
      </c>
      <c r="H88" s="13" t="s">
        <v>2546</v>
      </c>
      <c r="I88" s="15" t="n">
        <v>45</v>
      </c>
      <c r="J88" s="15" t="n">
        <v>36.5</v>
      </c>
      <c r="K88" s="15"/>
      <c r="L88" s="15"/>
      <c r="M88" s="15" t="n">
        <f aca="false">IF(ISNUMBER(L88),L88,J88)</f>
        <v>36.5</v>
      </c>
      <c r="N88" s="15" t="n">
        <f aca="false">ROUNDUP(M88,0)</f>
        <v>37</v>
      </c>
      <c r="O88" s="15" t="n">
        <f aca="false">MAX(I88,N88)</f>
        <v>45</v>
      </c>
      <c r="P88" s="15" t="n">
        <f aca="false">IF(C88="COVERED",MAX(0,O88-40),0)</f>
        <v>0</v>
      </c>
      <c r="Q88" s="15" t="n">
        <f aca="false">O88</f>
        <v>45</v>
      </c>
      <c r="R88" s="18" t="n">
        <f aca="false">IF(C88="COVERED",10.4,7.55)</f>
        <v>7.55</v>
      </c>
      <c r="S88" s="18" t="n">
        <f aca="false">Q88*R88</f>
        <v>339.75</v>
      </c>
      <c r="T88" s="13" t="s">
        <v>2547</v>
      </c>
      <c r="U88" s="14" t="n">
        <v>46235</v>
      </c>
      <c r="V88" s="13" t="n">
        <v>45</v>
      </c>
      <c r="W88" s="18" t="n">
        <v>7.55</v>
      </c>
      <c r="X88" s="18" t="n">
        <v>339.75</v>
      </c>
      <c r="Y88" s="18" t="n">
        <f aca="false">IF(ISNUMBER(X88),X88-S88,"")</f>
        <v>0</v>
      </c>
      <c r="Z88" s="18" t="n">
        <f aca="false">IF(ISNUMBER(X88),X88-S88,-S88)</f>
        <v>0</v>
      </c>
      <c r="AA88" s="13" t="str">
        <f aca="false">IF(NOT(ISNUMBER(X88)),"NO AUGUST POSTING IN EXPORT",IF(ABS(Y88)&gt;=0.005,"POSTED CHARGE MISMATCH",IF(P88&gt;0,"MATCH - COVERED ELIGIBILITY EXCEPTION","MATCH")))</f>
        <v>MATCH</v>
      </c>
      <c r="AB88" s="13" t="s">
        <v>2548</v>
      </c>
    </row>
    <row r="89" customFormat="false" ht="15" hidden="false" customHeight="false" outlineLevel="0" collapsed="false">
      <c r="A89" s="9" t="s">
        <v>2549</v>
      </c>
      <c r="B89" s="9" t="s">
        <v>145</v>
      </c>
      <c r="C89" s="9" t="s">
        <v>146</v>
      </c>
      <c r="D89" s="9" t="s">
        <v>2002</v>
      </c>
      <c r="E89" s="9" t="s">
        <v>2550</v>
      </c>
      <c r="F89" s="9" t="s">
        <v>2551</v>
      </c>
      <c r="G89" s="9" t="s">
        <v>2552</v>
      </c>
      <c r="H89" s="9" t="s">
        <v>2553</v>
      </c>
      <c r="I89" s="11" t="n">
        <v>32</v>
      </c>
      <c r="J89" s="11" t="n">
        <v>21.8</v>
      </c>
      <c r="K89" s="11"/>
      <c r="L89" s="11"/>
      <c r="M89" s="11" t="n">
        <f aca="false">IF(ISNUMBER(L89),L89,J89)</f>
        <v>21.8</v>
      </c>
      <c r="N89" s="11" t="n">
        <f aca="false">ROUNDUP(M89,0)</f>
        <v>22</v>
      </c>
      <c r="O89" s="11" t="n">
        <f aca="false">MAX(I89,N89)</f>
        <v>32</v>
      </c>
      <c r="P89" s="11" t="n">
        <f aca="false">IF(C89="COVERED",MAX(0,O89-40),0)</f>
        <v>0</v>
      </c>
      <c r="Q89" s="11" t="n">
        <f aca="false">O89</f>
        <v>32</v>
      </c>
      <c r="R89" s="17" t="n">
        <f aca="false">IF(C89="COVERED",10.4,7.55)</f>
        <v>7.55</v>
      </c>
      <c r="S89" s="17" t="n">
        <f aca="false">Q89*R89</f>
        <v>241.6</v>
      </c>
      <c r="T89" s="9" t="s">
        <v>2554</v>
      </c>
      <c r="U89" s="10" t="n">
        <v>46235</v>
      </c>
      <c r="V89" s="9" t="n">
        <v>32</v>
      </c>
      <c r="W89" s="17" t="n">
        <v>7.55</v>
      </c>
      <c r="X89" s="17" t="n">
        <v>241.6</v>
      </c>
      <c r="Y89" s="17" t="n">
        <f aca="false">IF(ISNUMBER(X89),X89-S89,"")</f>
        <v>0</v>
      </c>
      <c r="Z89" s="17" t="n">
        <f aca="false">IF(ISNUMBER(X89),X89-S89,-S89)</f>
        <v>0</v>
      </c>
      <c r="AA89" s="9" t="str">
        <f aca="false">IF(NOT(ISNUMBER(X89)),"NO AUGUST POSTING IN EXPORT",IF(ABS(Y89)&gt;=0.005,"POSTED CHARGE MISMATCH",IF(P89&gt;0,"MATCH - COVERED ELIGIBILITY EXCEPTION","MATCH")))</f>
        <v>MATCH</v>
      </c>
      <c r="AB89" s="9" t="s">
        <v>2555</v>
      </c>
    </row>
    <row r="90" customFormat="false" ht="15" hidden="false" customHeight="false" outlineLevel="0" collapsed="false">
      <c r="A90" s="13" t="s">
        <v>1622</v>
      </c>
      <c r="B90" s="13" t="s">
        <v>145</v>
      </c>
      <c r="C90" s="13" t="s">
        <v>146</v>
      </c>
      <c r="D90" s="13" t="s">
        <v>2002</v>
      </c>
      <c r="E90" s="13" t="s">
        <v>2556</v>
      </c>
      <c r="F90" s="13" t="s">
        <v>348</v>
      </c>
      <c r="G90" s="13" t="s">
        <v>349</v>
      </c>
      <c r="H90" s="13" t="s">
        <v>2124</v>
      </c>
      <c r="I90" s="15" t="n">
        <v>36</v>
      </c>
      <c r="J90" s="15" t="n">
        <v>26.2</v>
      </c>
      <c r="K90" s="15"/>
      <c r="L90" s="15"/>
      <c r="M90" s="15" t="n">
        <f aca="false">IF(ISNUMBER(L90),L90,J90)</f>
        <v>26.2</v>
      </c>
      <c r="N90" s="15" t="n">
        <f aca="false">ROUNDUP(M90,0)</f>
        <v>27</v>
      </c>
      <c r="O90" s="15" t="n">
        <f aca="false">MAX(I90,N90)</f>
        <v>36</v>
      </c>
      <c r="P90" s="15" t="n">
        <f aca="false">IF(C90="COVERED",MAX(0,O90-40),0)</f>
        <v>0</v>
      </c>
      <c r="Q90" s="15" t="n">
        <f aca="false">O90</f>
        <v>36</v>
      </c>
      <c r="R90" s="18" t="n">
        <f aca="false">IF(C90="COVERED",10.4,7.55)</f>
        <v>7.55</v>
      </c>
      <c r="S90" s="18" t="n">
        <f aca="false">Q90*R90</f>
        <v>271.8</v>
      </c>
      <c r="T90" s="13" t="s">
        <v>2557</v>
      </c>
      <c r="U90" s="14" t="n">
        <v>46235</v>
      </c>
      <c r="V90" s="13" t="n">
        <v>36</v>
      </c>
      <c r="W90" s="18" t="n">
        <v>7.55</v>
      </c>
      <c r="X90" s="18" t="n">
        <v>271.8</v>
      </c>
      <c r="Y90" s="18" t="n">
        <f aca="false">IF(ISNUMBER(X90),X90-S90,"")</f>
        <v>0</v>
      </c>
      <c r="Z90" s="18" t="n">
        <f aca="false">IF(ISNUMBER(X90),X90-S90,-S90)</f>
        <v>0</v>
      </c>
      <c r="AA90" s="13" t="str">
        <f aca="false">IF(NOT(ISNUMBER(X90)),"NO AUGUST POSTING IN EXPORT",IF(ABS(Y90)&gt;=0.005,"POSTED CHARGE MISMATCH",IF(P90&gt;0,"MATCH - COVERED ELIGIBILITY EXCEPTION","MATCH")))</f>
        <v>MATCH</v>
      </c>
      <c r="AB90" s="13" t="s">
        <v>2558</v>
      </c>
    </row>
    <row r="91" customFormat="false" ht="15" hidden="false" customHeight="false" outlineLevel="0" collapsed="false">
      <c r="A91" s="9" t="s">
        <v>2559</v>
      </c>
      <c r="B91" s="9" t="s">
        <v>145</v>
      </c>
      <c r="C91" s="9" t="s">
        <v>146</v>
      </c>
      <c r="D91" s="9" t="s">
        <v>2002</v>
      </c>
      <c r="E91" s="9" t="s">
        <v>2560</v>
      </c>
      <c r="F91" s="9" t="s">
        <v>2561</v>
      </c>
      <c r="G91" s="9" t="s">
        <v>2562</v>
      </c>
      <c r="H91" s="9" t="s">
        <v>2563</v>
      </c>
      <c r="I91" s="11" t="n">
        <v>70</v>
      </c>
      <c r="J91" s="11" t="n">
        <v>37.2</v>
      </c>
      <c r="K91" s="11"/>
      <c r="L91" s="11"/>
      <c r="M91" s="11" t="n">
        <f aca="false">IF(ISNUMBER(L91),L91,J91)</f>
        <v>37.2</v>
      </c>
      <c r="N91" s="11" t="n">
        <f aca="false">ROUNDUP(M91,0)</f>
        <v>38</v>
      </c>
      <c r="O91" s="11" t="n">
        <f aca="false">MAX(I91,N91)</f>
        <v>70</v>
      </c>
      <c r="P91" s="11" t="n">
        <f aca="false">IF(C91="COVERED",MAX(0,O91-40),0)</f>
        <v>0</v>
      </c>
      <c r="Q91" s="11" t="n">
        <f aca="false">O91</f>
        <v>70</v>
      </c>
      <c r="R91" s="17" t="n">
        <f aca="false">IF(C91="COVERED",10.4,7.55)</f>
        <v>7.55</v>
      </c>
      <c r="S91" s="17" t="n">
        <f aca="false">Q91*R91</f>
        <v>528.5</v>
      </c>
      <c r="T91" s="9" t="s">
        <v>2564</v>
      </c>
      <c r="U91" s="10" t="n">
        <v>46235</v>
      </c>
      <c r="V91" s="9" t="n">
        <v>70</v>
      </c>
      <c r="W91" s="17" t="n">
        <v>7.55</v>
      </c>
      <c r="X91" s="17" t="n">
        <v>528.5</v>
      </c>
      <c r="Y91" s="17" t="n">
        <f aca="false">IF(ISNUMBER(X91),X91-S91,"")</f>
        <v>0</v>
      </c>
      <c r="Z91" s="17" t="n">
        <f aca="false">IF(ISNUMBER(X91),X91-S91,-S91)</f>
        <v>0</v>
      </c>
      <c r="AA91" s="9" t="str">
        <f aca="false">IF(NOT(ISNUMBER(X91)),"NO AUGUST POSTING IN EXPORT",IF(ABS(Y91)&gt;=0.005,"POSTED CHARGE MISMATCH",IF(P91&gt;0,"MATCH - COVERED ELIGIBILITY EXCEPTION","MATCH")))</f>
        <v>MATCH</v>
      </c>
      <c r="AB91" s="9" t="s">
        <v>2565</v>
      </c>
    </row>
    <row r="92" customFormat="false" ht="15" hidden="false" customHeight="false" outlineLevel="0" collapsed="false">
      <c r="A92" s="13" t="s">
        <v>2566</v>
      </c>
      <c r="B92" s="13" t="s">
        <v>145</v>
      </c>
      <c r="C92" s="13" t="s">
        <v>146</v>
      </c>
      <c r="D92" s="13" t="s">
        <v>2002</v>
      </c>
      <c r="E92" s="13" t="s">
        <v>2567</v>
      </c>
      <c r="F92" s="13" t="s">
        <v>2568</v>
      </c>
      <c r="G92" s="13" t="s">
        <v>2569</v>
      </c>
      <c r="H92" s="13" t="s">
        <v>2570</v>
      </c>
      <c r="I92" s="15" t="n">
        <v>45</v>
      </c>
      <c r="J92" s="15" t="n">
        <v>51.9</v>
      </c>
      <c r="K92" s="15"/>
      <c r="L92" s="15"/>
      <c r="M92" s="15" t="n">
        <f aca="false">IF(ISNUMBER(L92),L92,J92)</f>
        <v>51.9</v>
      </c>
      <c r="N92" s="15" t="n">
        <f aca="false">ROUNDUP(M92,0)</f>
        <v>52</v>
      </c>
      <c r="O92" s="15" t="n">
        <f aca="false">MAX(I92,N92)</f>
        <v>52</v>
      </c>
      <c r="P92" s="15" t="n">
        <f aca="false">IF(C92="COVERED",MAX(0,O92-40),0)</f>
        <v>0</v>
      </c>
      <c r="Q92" s="15" t="n">
        <f aca="false">O92</f>
        <v>52</v>
      </c>
      <c r="R92" s="18" t="n">
        <f aca="false">IF(C92="COVERED",10.4,7.55)</f>
        <v>7.55</v>
      </c>
      <c r="S92" s="18" t="n">
        <f aca="false">Q92*R92</f>
        <v>392.6</v>
      </c>
      <c r="T92" s="13" t="s">
        <v>2571</v>
      </c>
      <c r="U92" s="14" t="n">
        <v>46235</v>
      </c>
      <c r="V92" s="13" t="n">
        <v>52</v>
      </c>
      <c r="W92" s="18" t="n">
        <v>7.55</v>
      </c>
      <c r="X92" s="18" t="n">
        <v>392.6</v>
      </c>
      <c r="Y92" s="18" t="n">
        <f aca="false">IF(ISNUMBER(X92),X92-S92,"")</f>
        <v>0</v>
      </c>
      <c r="Z92" s="18" t="n">
        <f aca="false">IF(ISNUMBER(X92),X92-S92,-S92)</f>
        <v>0</v>
      </c>
      <c r="AA92" s="13" t="str">
        <f aca="false">IF(NOT(ISNUMBER(X92)),"NO AUGUST POSTING IN EXPORT",IF(ABS(Y92)&gt;=0.005,"POSTED CHARGE MISMATCH",IF(P92&gt;0,"MATCH - COVERED ELIGIBILITY EXCEPTION","MATCH")))</f>
        <v>MATCH</v>
      </c>
      <c r="AB92" s="13" t="s">
        <v>2572</v>
      </c>
    </row>
    <row r="93" customFormat="false" ht="15" hidden="false" customHeight="false" outlineLevel="0" collapsed="false">
      <c r="A93" s="9" t="s">
        <v>2573</v>
      </c>
      <c r="B93" s="9" t="s">
        <v>145</v>
      </c>
      <c r="C93" s="9" t="s">
        <v>146</v>
      </c>
      <c r="D93" s="9" t="s">
        <v>2002</v>
      </c>
      <c r="E93" s="9" t="s">
        <v>2574</v>
      </c>
      <c r="F93" s="9" t="s">
        <v>2575</v>
      </c>
      <c r="G93" s="9" t="s">
        <v>2576</v>
      </c>
      <c r="H93" s="9" t="s">
        <v>2577</v>
      </c>
      <c r="I93" s="11" t="n">
        <v>32</v>
      </c>
      <c r="J93" s="11" t="n">
        <v>46.4</v>
      </c>
      <c r="K93" s="11"/>
      <c r="L93" s="11"/>
      <c r="M93" s="11" t="n">
        <f aca="false">IF(ISNUMBER(L93),L93,J93)</f>
        <v>46.4</v>
      </c>
      <c r="N93" s="11" t="n">
        <f aca="false">ROUNDUP(M93,0)</f>
        <v>47</v>
      </c>
      <c r="O93" s="11" t="n">
        <f aca="false">MAX(I93,N93)</f>
        <v>47</v>
      </c>
      <c r="P93" s="11" t="n">
        <f aca="false">IF(C93="COVERED",MAX(0,O93-40),0)</f>
        <v>0</v>
      </c>
      <c r="Q93" s="11" t="n">
        <f aca="false">O93</f>
        <v>47</v>
      </c>
      <c r="R93" s="17" t="n">
        <f aca="false">IF(C93="COVERED",10.4,7.55)</f>
        <v>7.55</v>
      </c>
      <c r="S93" s="17" t="n">
        <f aca="false">Q93*R93</f>
        <v>354.85</v>
      </c>
      <c r="T93" s="9" t="s">
        <v>2578</v>
      </c>
      <c r="U93" s="10" t="n">
        <v>46235</v>
      </c>
      <c r="V93" s="9" t="n">
        <v>47</v>
      </c>
      <c r="W93" s="17" t="n">
        <v>7.55</v>
      </c>
      <c r="X93" s="17" t="n">
        <v>354.85</v>
      </c>
      <c r="Y93" s="17" t="n">
        <f aca="false">IF(ISNUMBER(X93),X93-S93,"")</f>
        <v>0</v>
      </c>
      <c r="Z93" s="17" t="n">
        <f aca="false">IF(ISNUMBER(X93),X93-S93,-S93)</f>
        <v>0</v>
      </c>
      <c r="AA93" s="9" t="str">
        <f aca="false">IF(NOT(ISNUMBER(X93)),"NO AUGUST POSTING IN EXPORT",IF(ABS(Y93)&gt;=0.005,"POSTED CHARGE MISMATCH",IF(P93&gt;0,"MATCH - COVERED ELIGIBILITY EXCEPTION","MATCH")))</f>
        <v>MATCH</v>
      </c>
      <c r="AB93" s="9" t="s">
        <v>2579</v>
      </c>
    </row>
    <row r="94" customFormat="false" ht="15" hidden="false" customHeight="false" outlineLevel="0" collapsed="false">
      <c r="A94" s="13" t="s">
        <v>2580</v>
      </c>
      <c r="B94" s="13" t="s">
        <v>145</v>
      </c>
      <c r="C94" s="13" t="s">
        <v>146</v>
      </c>
      <c r="D94" s="13" t="s">
        <v>2002</v>
      </c>
      <c r="E94" s="13" t="s">
        <v>2581</v>
      </c>
      <c r="F94" s="13" t="s">
        <v>2582</v>
      </c>
      <c r="G94" s="13" t="s">
        <v>2583</v>
      </c>
      <c r="H94" s="13" t="s">
        <v>2584</v>
      </c>
      <c r="I94" s="15" t="n">
        <v>36</v>
      </c>
      <c r="J94" s="15" t="n">
        <v>58.9</v>
      </c>
      <c r="K94" s="15"/>
      <c r="L94" s="15"/>
      <c r="M94" s="15" t="n">
        <f aca="false">IF(ISNUMBER(L94),L94,J94)</f>
        <v>58.9</v>
      </c>
      <c r="N94" s="15" t="n">
        <f aca="false">ROUNDUP(M94,0)</f>
        <v>59</v>
      </c>
      <c r="O94" s="15" t="n">
        <f aca="false">MAX(I94,N94)</f>
        <v>59</v>
      </c>
      <c r="P94" s="15" t="n">
        <f aca="false">IF(C94="COVERED",MAX(0,O94-40),0)</f>
        <v>0</v>
      </c>
      <c r="Q94" s="15" t="n">
        <f aca="false">O94</f>
        <v>59</v>
      </c>
      <c r="R94" s="18" t="n">
        <f aca="false">IF(C94="COVERED",10.4,7.55)</f>
        <v>7.55</v>
      </c>
      <c r="S94" s="18" t="n">
        <f aca="false">Q94*R94</f>
        <v>445.45</v>
      </c>
      <c r="T94" s="13" t="s">
        <v>2585</v>
      </c>
      <c r="U94" s="14" t="n">
        <v>46235</v>
      </c>
      <c r="V94" s="13" t="n">
        <v>59</v>
      </c>
      <c r="W94" s="18" t="n">
        <v>7.55</v>
      </c>
      <c r="X94" s="18" t="n">
        <v>445.45</v>
      </c>
      <c r="Y94" s="18" t="n">
        <f aca="false">IF(ISNUMBER(X94),X94-S94,"")</f>
        <v>0</v>
      </c>
      <c r="Z94" s="18" t="n">
        <f aca="false">IF(ISNUMBER(X94),X94-S94,-S94)</f>
        <v>0</v>
      </c>
      <c r="AA94" s="13" t="str">
        <f aca="false">IF(NOT(ISNUMBER(X94)),"NO AUGUST POSTING IN EXPORT",IF(ABS(Y94)&gt;=0.005,"POSTED CHARGE MISMATCH",IF(P94&gt;0,"MATCH - COVERED ELIGIBILITY EXCEPTION","MATCH")))</f>
        <v>MATCH</v>
      </c>
      <c r="AB94" s="13" t="s">
        <v>2586</v>
      </c>
    </row>
    <row r="95" customFormat="false" ht="15" hidden="false" customHeight="false" outlineLevel="0" collapsed="false">
      <c r="A95" s="9" t="s">
        <v>2587</v>
      </c>
      <c r="B95" s="9" t="s">
        <v>145</v>
      </c>
      <c r="C95" s="9" t="s">
        <v>146</v>
      </c>
      <c r="D95" s="9" t="s">
        <v>2002</v>
      </c>
      <c r="E95" s="9" t="s">
        <v>2588</v>
      </c>
      <c r="F95" s="9" t="s">
        <v>2589</v>
      </c>
      <c r="G95" s="9" t="s">
        <v>2590</v>
      </c>
      <c r="H95" s="9" t="s">
        <v>2591</v>
      </c>
      <c r="I95" s="11" t="n">
        <v>28</v>
      </c>
      <c r="J95" s="11" t="n">
        <v>54.2</v>
      </c>
      <c r="K95" s="11"/>
      <c r="L95" s="11"/>
      <c r="M95" s="11" t="n">
        <f aca="false">IF(ISNUMBER(L95),L95,J95)</f>
        <v>54.2</v>
      </c>
      <c r="N95" s="11" t="n">
        <f aca="false">ROUNDUP(M95,0)</f>
        <v>55</v>
      </c>
      <c r="O95" s="11" t="n">
        <f aca="false">MAX(I95,N95)</f>
        <v>55</v>
      </c>
      <c r="P95" s="11" t="n">
        <f aca="false">IF(C95="COVERED",MAX(0,O95-40),0)</f>
        <v>0</v>
      </c>
      <c r="Q95" s="11" t="n">
        <f aca="false">O95</f>
        <v>55</v>
      </c>
      <c r="R95" s="17" t="n">
        <f aca="false">IF(C95="COVERED",10.4,7.55)</f>
        <v>7.55</v>
      </c>
      <c r="S95" s="17" t="n">
        <f aca="false">Q95*R95</f>
        <v>415.25</v>
      </c>
      <c r="T95" s="9" t="s">
        <v>2592</v>
      </c>
      <c r="U95" s="10" t="n">
        <v>46235</v>
      </c>
      <c r="V95" s="9" t="n">
        <v>55</v>
      </c>
      <c r="W95" s="17" t="n">
        <v>7.55</v>
      </c>
      <c r="X95" s="17" t="n">
        <v>415.25</v>
      </c>
      <c r="Y95" s="17" t="n">
        <f aca="false">IF(ISNUMBER(X95),X95-S95,"")</f>
        <v>0</v>
      </c>
      <c r="Z95" s="17" t="n">
        <f aca="false">IF(ISNUMBER(X95),X95-S95,-S95)</f>
        <v>0</v>
      </c>
      <c r="AA95" s="9" t="str">
        <f aca="false">IF(NOT(ISNUMBER(X95)),"NO AUGUST POSTING IN EXPORT",IF(ABS(Y95)&gt;=0.005,"POSTED CHARGE MISMATCH",IF(P95&gt;0,"MATCH - COVERED ELIGIBILITY EXCEPTION","MATCH")))</f>
        <v>MATCH</v>
      </c>
      <c r="AB95" s="9" t="s">
        <v>2593</v>
      </c>
    </row>
    <row r="96" customFormat="false" ht="15" hidden="false" customHeight="false" outlineLevel="0" collapsed="false">
      <c r="A96" s="13" t="s">
        <v>2594</v>
      </c>
      <c r="B96" s="13" t="s">
        <v>145</v>
      </c>
      <c r="C96" s="13" t="s">
        <v>146</v>
      </c>
      <c r="D96" s="13" t="s">
        <v>2002</v>
      </c>
      <c r="E96" s="13" t="s">
        <v>2595</v>
      </c>
      <c r="F96" s="13" t="s">
        <v>2596</v>
      </c>
      <c r="G96" s="13" t="s">
        <v>2597</v>
      </c>
      <c r="H96" s="13" t="s">
        <v>2598</v>
      </c>
      <c r="I96" s="15" t="n">
        <v>32</v>
      </c>
      <c r="J96" s="15" t="n">
        <v>26.2</v>
      </c>
      <c r="K96" s="15"/>
      <c r="L96" s="15"/>
      <c r="M96" s="15" t="n">
        <f aca="false">IF(ISNUMBER(L96),L96,J96)</f>
        <v>26.2</v>
      </c>
      <c r="N96" s="15" t="n">
        <f aca="false">ROUNDUP(M96,0)</f>
        <v>27</v>
      </c>
      <c r="O96" s="15" t="n">
        <f aca="false">MAX(I96,N96)</f>
        <v>32</v>
      </c>
      <c r="P96" s="15" t="n">
        <f aca="false">IF(C96="COVERED",MAX(0,O96-40),0)</f>
        <v>0</v>
      </c>
      <c r="Q96" s="15" t="n">
        <f aca="false">O96</f>
        <v>32</v>
      </c>
      <c r="R96" s="18" t="n">
        <f aca="false">IF(C96="COVERED",10.4,7.55)</f>
        <v>7.55</v>
      </c>
      <c r="S96" s="18" t="n">
        <f aca="false">Q96*R96</f>
        <v>241.6</v>
      </c>
      <c r="T96" s="13" t="s">
        <v>2599</v>
      </c>
      <c r="U96" s="14" t="n">
        <v>46235</v>
      </c>
      <c r="V96" s="13" t="n">
        <v>32</v>
      </c>
      <c r="W96" s="18" t="n">
        <v>7.55</v>
      </c>
      <c r="X96" s="18" t="n">
        <v>241.6</v>
      </c>
      <c r="Y96" s="18" t="n">
        <f aca="false">IF(ISNUMBER(X96),X96-S96,"")</f>
        <v>0</v>
      </c>
      <c r="Z96" s="18" t="n">
        <f aca="false">IF(ISNUMBER(X96),X96-S96,-S96)</f>
        <v>0</v>
      </c>
      <c r="AA96" s="13" t="str">
        <f aca="false">IF(NOT(ISNUMBER(X96)),"NO AUGUST POSTING IN EXPORT",IF(ABS(Y96)&gt;=0.005,"POSTED CHARGE MISMATCH",IF(P96&gt;0,"MATCH - COVERED ELIGIBILITY EXCEPTION","MATCH")))</f>
        <v>MATCH</v>
      </c>
      <c r="AB96" s="13" t="s">
        <v>2600</v>
      </c>
    </row>
    <row r="97" customFormat="false" ht="15" hidden="false" customHeight="false" outlineLevel="0" collapsed="false">
      <c r="A97" s="9" t="s">
        <v>2601</v>
      </c>
      <c r="B97" s="9" t="s">
        <v>145</v>
      </c>
      <c r="C97" s="9" t="s">
        <v>146</v>
      </c>
      <c r="D97" s="9" t="s">
        <v>2002</v>
      </c>
      <c r="E97" s="9" t="s">
        <v>2602</v>
      </c>
      <c r="F97" s="9" t="s">
        <v>2603</v>
      </c>
      <c r="G97" s="9" t="s">
        <v>2604</v>
      </c>
      <c r="H97" s="9" t="s">
        <v>2605</v>
      </c>
      <c r="I97" s="11" t="n">
        <v>60</v>
      </c>
      <c r="J97" s="11" t="n">
        <v>37.4</v>
      </c>
      <c r="K97" s="11"/>
      <c r="L97" s="11"/>
      <c r="M97" s="11" t="n">
        <f aca="false">IF(ISNUMBER(L97),L97,J97)</f>
        <v>37.4</v>
      </c>
      <c r="N97" s="11" t="n">
        <f aca="false">ROUNDUP(M97,0)</f>
        <v>38</v>
      </c>
      <c r="O97" s="11" t="n">
        <f aca="false">MAX(I97,N97)</f>
        <v>60</v>
      </c>
      <c r="P97" s="11" t="n">
        <f aca="false">IF(C97="COVERED",MAX(0,O97-40),0)</f>
        <v>0</v>
      </c>
      <c r="Q97" s="11" t="n">
        <f aca="false">O97</f>
        <v>60</v>
      </c>
      <c r="R97" s="17" t="n">
        <f aca="false">IF(C97="COVERED",10.4,7.55)</f>
        <v>7.55</v>
      </c>
      <c r="S97" s="17" t="n">
        <f aca="false">Q97*R97</f>
        <v>453</v>
      </c>
      <c r="T97" s="9" t="s">
        <v>2606</v>
      </c>
      <c r="U97" s="10" t="n">
        <v>46235</v>
      </c>
      <c r="V97" s="9" t="n">
        <v>60</v>
      </c>
      <c r="W97" s="17" t="n">
        <v>7.55</v>
      </c>
      <c r="X97" s="17" t="n">
        <v>453</v>
      </c>
      <c r="Y97" s="17" t="n">
        <f aca="false">IF(ISNUMBER(X97),X97-S97,"")</f>
        <v>0</v>
      </c>
      <c r="Z97" s="17" t="n">
        <f aca="false">IF(ISNUMBER(X97),X97-S97,-S97)</f>
        <v>0</v>
      </c>
      <c r="AA97" s="9" t="str">
        <f aca="false">IF(NOT(ISNUMBER(X97)),"NO AUGUST POSTING IN EXPORT",IF(ABS(Y97)&gt;=0.005,"POSTED CHARGE MISMATCH",IF(P97&gt;0,"MATCH - COVERED ELIGIBILITY EXCEPTION","MATCH")))</f>
        <v>MATCH</v>
      </c>
      <c r="AB97" s="9" t="s">
        <v>2607</v>
      </c>
    </row>
    <row r="98" customFormat="false" ht="15" hidden="false" customHeight="false" outlineLevel="0" collapsed="false">
      <c r="A98" s="13" t="s">
        <v>2608</v>
      </c>
      <c r="B98" s="13" t="s">
        <v>145</v>
      </c>
      <c r="C98" s="13" t="s">
        <v>146</v>
      </c>
      <c r="D98" s="13" t="s">
        <v>2002</v>
      </c>
      <c r="E98" s="13" t="s">
        <v>2609</v>
      </c>
      <c r="F98" s="13" t="s">
        <v>2610</v>
      </c>
      <c r="G98" s="13" t="s">
        <v>2611</v>
      </c>
      <c r="H98" s="13" t="s">
        <v>2277</v>
      </c>
      <c r="I98" s="15" t="n">
        <v>70</v>
      </c>
      <c r="J98" s="15" t="n">
        <v>55.2</v>
      </c>
      <c r="K98" s="15"/>
      <c r="L98" s="15"/>
      <c r="M98" s="15" t="n">
        <f aca="false">IF(ISNUMBER(L98),L98,J98)</f>
        <v>55.2</v>
      </c>
      <c r="N98" s="15" t="n">
        <f aca="false">ROUNDUP(M98,0)</f>
        <v>56</v>
      </c>
      <c r="O98" s="15" t="n">
        <f aca="false">MAX(I98,N98)</f>
        <v>70</v>
      </c>
      <c r="P98" s="15" t="n">
        <f aca="false">IF(C98="COVERED",MAX(0,O98-40),0)</f>
        <v>0</v>
      </c>
      <c r="Q98" s="15" t="n">
        <f aca="false">O98</f>
        <v>70</v>
      </c>
      <c r="R98" s="18" t="n">
        <f aca="false">IF(C98="COVERED",10.4,7.55)</f>
        <v>7.55</v>
      </c>
      <c r="S98" s="18" t="n">
        <f aca="false">Q98*R98</f>
        <v>528.5</v>
      </c>
      <c r="T98" s="13" t="s">
        <v>2612</v>
      </c>
      <c r="U98" s="14" t="n">
        <v>46235</v>
      </c>
      <c r="V98" s="13" t="n">
        <v>70</v>
      </c>
      <c r="W98" s="18" t="n">
        <v>7.55</v>
      </c>
      <c r="X98" s="18" t="n">
        <v>528.5</v>
      </c>
      <c r="Y98" s="18" t="n">
        <f aca="false">IF(ISNUMBER(X98),X98-S98,"")</f>
        <v>0</v>
      </c>
      <c r="Z98" s="18" t="n">
        <f aca="false">IF(ISNUMBER(X98),X98-S98,-S98)</f>
        <v>0</v>
      </c>
      <c r="AA98" s="13" t="str">
        <f aca="false">IF(NOT(ISNUMBER(X98)),"NO AUGUST POSTING IN EXPORT",IF(ABS(Y98)&gt;=0.005,"POSTED CHARGE MISMATCH",IF(P98&gt;0,"MATCH - COVERED ELIGIBILITY EXCEPTION","MATCH")))</f>
        <v>MATCH</v>
      </c>
      <c r="AB98" s="13" t="s">
        <v>2613</v>
      </c>
    </row>
    <row r="99" customFormat="false" ht="15" hidden="false" customHeight="false" outlineLevel="0" collapsed="false">
      <c r="A99" s="9" t="s">
        <v>2614</v>
      </c>
      <c r="B99" s="9" t="s">
        <v>145</v>
      </c>
      <c r="C99" s="9" t="s">
        <v>146</v>
      </c>
      <c r="D99" s="9" t="s">
        <v>2002</v>
      </c>
      <c r="E99" s="9" t="s">
        <v>2615</v>
      </c>
      <c r="F99" s="9" t="s">
        <v>2616</v>
      </c>
      <c r="G99" s="9" t="s">
        <v>2617</v>
      </c>
      <c r="H99" s="9" t="s">
        <v>2618</v>
      </c>
      <c r="I99" s="11" t="n">
        <v>36</v>
      </c>
      <c r="J99" s="11" t="n">
        <v>59.7</v>
      </c>
      <c r="K99" s="11"/>
      <c r="L99" s="11"/>
      <c r="M99" s="11" t="n">
        <f aca="false">IF(ISNUMBER(L99),L99,J99)</f>
        <v>59.7</v>
      </c>
      <c r="N99" s="11" t="n">
        <f aca="false">ROUNDUP(M99,0)</f>
        <v>60</v>
      </c>
      <c r="O99" s="11" t="n">
        <f aca="false">MAX(I99,N99)</f>
        <v>60</v>
      </c>
      <c r="P99" s="11" t="n">
        <f aca="false">IF(C99="COVERED",MAX(0,O99-40),0)</f>
        <v>0</v>
      </c>
      <c r="Q99" s="11" t="n">
        <f aca="false">O99</f>
        <v>60</v>
      </c>
      <c r="R99" s="17" t="n">
        <f aca="false">IF(C99="COVERED",10.4,7.55)</f>
        <v>7.55</v>
      </c>
      <c r="S99" s="17" t="n">
        <f aca="false">Q99*R99</f>
        <v>453</v>
      </c>
      <c r="T99" s="9" t="s">
        <v>2619</v>
      </c>
      <c r="U99" s="10" t="n">
        <v>46235</v>
      </c>
      <c r="V99" s="9" t="n">
        <v>60</v>
      </c>
      <c r="W99" s="17" t="n">
        <v>7.55</v>
      </c>
      <c r="X99" s="17" t="n">
        <v>453</v>
      </c>
      <c r="Y99" s="17" t="n">
        <f aca="false">IF(ISNUMBER(X99),X99-S99,"")</f>
        <v>0</v>
      </c>
      <c r="Z99" s="17" t="n">
        <f aca="false">IF(ISNUMBER(X99),X99-S99,-S99)</f>
        <v>0</v>
      </c>
      <c r="AA99" s="9" t="str">
        <f aca="false">IF(NOT(ISNUMBER(X99)),"NO AUGUST POSTING IN EXPORT",IF(ABS(Y99)&gt;=0.005,"POSTED CHARGE MISMATCH",IF(P99&gt;0,"MATCH - COVERED ELIGIBILITY EXCEPTION","MATCH")))</f>
        <v>MATCH</v>
      </c>
      <c r="AB99" s="9" t="s">
        <v>2620</v>
      </c>
    </row>
    <row r="100" customFormat="false" ht="15" hidden="false" customHeight="false" outlineLevel="0" collapsed="false">
      <c r="A100" s="13" t="s">
        <v>2621</v>
      </c>
      <c r="B100" s="13" t="s">
        <v>145</v>
      </c>
      <c r="C100" s="13" t="s">
        <v>146</v>
      </c>
      <c r="D100" s="13" t="s">
        <v>2002</v>
      </c>
      <c r="E100" s="13" t="s">
        <v>2622</v>
      </c>
      <c r="F100" s="13" t="s">
        <v>2623</v>
      </c>
      <c r="G100" s="13" t="s">
        <v>2249</v>
      </c>
      <c r="H100" s="13" t="s">
        <v>2624</v>
      </c>
      <c r="I100" s="15" t="n">
        <v>28</v>
      </c>
      <c r="J100" s="15" t="n">
        <v>52.5</v>
      </c>
      <c r="K100" s="15"/>
      <c r="L100" s="15"/>
      <c r="M100" s="15" t="n">
        <f aca="false">IF(ISNUMBER(L100),L100,J100)</f>
        <v>52.5</v>
      </c>
      <c r="N100" s="15" t="n">
        <f aca="false">ROUNDUP(M100,0)</f>
        <v>53</v>
      </c>
      <c r="O100" s="15" t="n">
        <f aca="false">MAX(I100,N100)</f>
        <v>53</v>
      </c>
      <c r="P100" s="15" t="n">
        <f aca="false">IF(C100="COVERED",MAX(0,O100-40),0)</f>
        <v>0</v>
      </c>
      <c r="Q100" s="15" t="n">
        <f aca="false">O100</f>
        <v>53</v>
      </c>
      <c r="R100" s="18" t="n">
        <f aca="false">IF(C100="COVERED",10.4,7.55)</f>
        <v>7.55</v>
      </c>
      <c r="S100" s="18" t="n">
        <f aca="false">Q100*R100</f>
        <v>400.15</v>
      </c>
      <c r="T100" s="13" t="s">
        <v>2625</v>
      </c>
      <c r="U100" s="14" t="n">
        <v>46235</v>
      </c>
      <c r="V100" s="13" t="n">
        <v>53</v>
      </c>
      <c r="W100" s="18" t="n">
        <v>7.55</v>
      </c>
      <c r="X100" s="18" t="n">
        <v>400.15</v>
      </c>
      <c r="Y100" s="18" t="n">
        <f aca="false">IF(ISNUMBER(X100),X100-S100,"")</f>
        <v>0</v>
      </c>
      <c r="Z100" s="18" t="n">
        <f aca="false">IF(ISNUMBER(X100),X100-S100,-S100)</f>
        <v>0</v>
      </c>
      <c r="AA100" s="13" t="str">
        <f aca="false">IF(NOT(ISNUMBER(X100)),"NO AUGUST POSTING IN EXPORT",IF(ABS(Y100)&gt;=0.005,"POSTED CHARGE MISMATCH",IF(P100&gt;0,"MATCH - COVERED ELIGIBILITY EXCEPTION","MATCH")))</f>
        <v>MATCH</v>
      </c>
      <c r="AB100" s="13" t="s">
        <v>2626</v>
      </c>
    </row>
    <row r="101" customFormat="false" ht="15" hidden="false" customHeight="false" outlineLevel="0" collapsed="false">
      <c r="A101" s="9" t="s">
        <v>614</v>
      </c>
      <c r="B101" s="9" t="s">
        <v>145</v>
      </c>
      <c r="C101" s="9" t="s">
        <v>146</v>
      </c>
      <c r="D101" s="9" t="s">
        <v>2002</v>
      </c>
      <c r="E101" s="9" t="s">
        <v>2627</v>
      </c>
      <c r="F101" s="9" t="s">
        <v>2628</v>
      </c>
      <c r="G101" s="9" t="s">
        <v>2629</v>
      </c>
      <c r="H101" s="9" t="s">
        <v>2630</v>
      </c>
      <c r="I101" s="11" t="n">
        <v>28</v>
      </c>
      <c r="J101" s="11" t="n">
        <v>35.3</v>
      </c>
      <c r="K101" s="11"/>
      <c r="L101" s="11"/>
      <c r="M101" s="11" t="n">
        <f aca="false">IF(ISNUMBER(L101),L101,J101)</f>
        <v>35.3</v>
      </c>
      <c r="N101" s="11" t="n">
        <f aca="false">ROUNDUP(M101,0)</f>
        <v>36</v>
      </c>
      <c r="O101" s="11" t="n">
        <f aca="false">MAX(I101,N101)</f>
        <v>36</v>
      </c>
      <c r="P101" s="11" t="n">
        <f aca="false">IF(C101="COVERED",MAX(0,O101-40),0)</f>
        <v>0</v>
      </c>
      <c r="Q101" s="11" t="n">
        <f aca="false">O101</f>
        <v>36</v>
      </c>
      <c r="R101" s="17" t="n">
        <f aca="false">IF(C101="COVERED",10.4,7.55)</f>
        <v>7.55</v>
      </c>
      <c r="S101" s="17" t="n">
        <f aca="false">Q101*R101</f>
        <v>271.8</v>
      </c>
      <c r="T101" s="9" t="s">
        <v>2631</v>
      </c>
      <c r="U101" s="10" t="n">
        <v>46235</v>
      </c>
      <c r="V101" s="9" t="n">
        <v>36</v>
      </c>
      <c r="W101" s="17" t="n">
        <v>7.55</v>
      </c>
      <c r="X101" s="17" t="n">
        <v>271.8</v>
      </c>
      <c r="Y101" s="17" t="n">
        <f aca="false">IF(ISNUMBER(X101),X101-S101,"")</f>
        <v>0</v>
      </c>
      <c r="Z101" s="17" t="n">
        <f aca="false">IF(ISNUMBER(X101),X101-S101,-S101)</f>
        <v>0</v>
      </c>
      <c r="AA101" s="9" t="str">
        <f aca="false">IF(NOT(ISNUMBER(X101)),"NO AUGUST POSTING IN EXPORT",IF(ABS(Y101)&gt;=0.005,"POSTED CHARGE MISMATCH",IF(P101&gt;0,"MATCH - COVERED ELIGIBILITY EXCEPTION","MATCH")))</f>
        <v>MATCH</v>
      </c>
      <c r="AB101" s="9" t="s">
        <v>2632</v>
      </c>
    </row>
    <row r="102" customFormat="false" ht="15" hidden="false" customHeight="false" outlineLevel="0" collapsed="false">
      <c r="A102" s="13" t="s">
        <v>2633</v>
      </c>
      <c r="B102" s="13" t="s">
        <v>145</v>
      </c>
      <c r="C102" s="13" t="s">
        <v>146</v>
      </c>
      <c r="D102" s="13" t="s">
        <v>2002</v>
      </c>
      <c r="E102" s="13" t="s">
        <v>2634</v>
      </c>
      <c r="F102" s="13" t="s">
        <v>2635</v>
      </c>
      <c r="G102" s="13" t="s">
        <v>2636</v>
      </c>
      <c r="H102" s="13" t="s">
        <v>2637</v>
      </c>
      <c r="I102" s="15" t="n">
        <v>60</v>
      </c>
      <c r="J102" s="15" t="n">
        <v>43.8</v>
      </c>
      <c r="K102" s="15"/>
      <c r="L102" s="15"/>
      <c r="M102" s="15" t="n">
        <f aca="false">IF(ISNUMBER(L102),L102,J102)</f>
        <v>43.8</v>
      </c>
      <c r="N102" s="15" t="n">
        <f aca="false">ROUNDUP(M102,0)</f>
        <v>44</v>
      </c>
      <c r="O102" s="15" t="n">
        <f aca="false">MAX(I102,N102)</f>
        <v>60</v>
      </c>
      <c r="P102" s="15" t="n">
        <f aca="false">IF(C102="COVERED",MAX(0,O102-40),0)</f>
        <v>0</v>
      </c>
      <c r="Q102" s="15" t="n">
        <f aca="false">O102</f>
        <v>60</v>
      </c>
      <c r="R102" s="18" t="n">
        <f aca="false">IF(C102="COVERED",10.4,7.55)</f>
        <v>7.55</v>
      </c>
      <c r="S102" s="18" t="n">
        <f aca="false">Q102*R102</f>
        <v>453</v>
      </c>
      <c r="T102" s="13" t="s">
        <v>2638</v>
      </c>
      <c r="U102" s="14" t="n">
        <v>46235</v>
      </c>
      <c r="V102" s="13" t="n">
        <v>60</v>
      </c>
      <c r="W102" s="18" t="n">
        <v>7.55</v>
      </c>
      <c r="X102" s="18" t="n">
        <v>453</v>
      </c>
      <c r="Y102" s="18" t="n">
        <f aca="false">IF(ISNUMBER(X102),X102-S102,"")</f>
        <v>0</v>
      </c>
      <c r="Z102" s="18" t="n">
        <f aca="false">IF(ISNUMBER(X102),X102-S102,-S102)</f>
        <v>0</v>
      </c>
      <c r="AA102" s="13" t="str">
        <f aca="false">IF(NOT(ISNUMBER(X102)),"NO AUGUST POSTING IN EXPORT",IF(ABS(Y102)&gt;=0.005,"POSTED CHARGE MISMATCH",IF(P102&gt;0,"MATCH - COVERED ELIGIBILITY EXCEPTION","MATCH")))</f>
        <v>MATCH</v>
      </c>
      <c r="AB102" s="13" t="s">
        <v>2639</v>
      </c>
    </row>
    <row r="103" customFormat="false" ht="15" hidden="false" customHeight="false" outlineLevel="0" collapsed="false">
      <c r="A103" s="9" t="s">
        <v>2640</v>
      </c>
      <c r="B103" s="9" t="s">
        <v>145</v>
      </c>
      <c r="C103" s="9" t="s">
        <v>146</v>
      </c>
      <c r="D103" s="9" t="s">
        <v>2002</v>
      </c>
      <c r="E103" s="9" t="s">
        <v>2641</v>
      </c>
      <c r="F103" s="9" t="s">
        <v>2642</v>
      </c>
      <c r="G103" s="9" t="s">
        <v>2643</v>
      </c>
      <c r="H103" s="9" t="s">
        <v>2644</v>
      </c>
      <c r="I103" s="11" t="n">
        <v>24</v>
      </c>
      <c r="J103" s="11" t="n">
        <v>40.1</v>
      </c>
      <c r="K103" s="11"/>
      <c r="L103" s="11"/>
      <c r="M103" s="11" t="n">
        <f aca="false">IF(ISNUMBER(L103),L103,J103)</f>
        <v>40.1</v>
      </c>
      <c r="N103" s="11" t="n">
        <f aca="false">ROUNDUP(M103,0)</f>
        <v>41</v>
      </c>
      <c r="O103" s="11" t="n">
        <f aca="false">MAX(I103,N103)</f>
        <v>41</v>
      </c>
      <c r="P103" s="11" t="n">
        <f aca="false">IF(C103="COVERED",MAX(0,O103-40),0)</f>
        <v>0</v>
      </c>
      <c r="Q103" s="11" t="n">
        <f aca="false">O103</f>
        <v>41</v>
      </c>
      <c r="R103" s="17" t="n">
        <f aca="false">IF(C103="COVERED",10.4,7.55)</f>
        <v>7.55</v>
      </c>
      <c r="S103" s="17" t="n">
        <f aca="false">Q103*R103</f>
        <v>309.55</v>
      </c>
      <c r="T103" s="9" t="s">
        <v>2645</v>
      </c>
      <c r="U103" s="10" t="n">
        <v>46235</v>
      </c>
      <c r="V103" s="9" t="n">
        <v>41</v>
      </c>
      <c r="W103" s="17" t="n">
        <v>7.55</v>
      </c>
      <c r="X103" s="17" t="n">
        <v>309.55</v>
      </c>
      <c r="Y103" s="17" t="n">
        <f aca="false">IF(ISNUMBER(X103),X103-S103,"")</f>
        <v>0</v>
      </c>
      <c r="Z103" s="17" t="n">
        <f aca="false">IF(ISNUMBER(X103),X103-S103,-S103)</f>
        <v>0</v>
      </c>
      <c r="AA103" s="9" t="str">
        <f aca="false">IF(NOT(ISNUMBER(X103)),"NO AUGUST POSTING IN EXPORT",IF(ABS(Y103)&gt;=0.005,"POSTED CHARGE MISMATCH",IF(P103&gt;0,"MATCH - COVERED ELIGIBILITY EXCEPTION","MATCH")))</f>
        <v>MATCH</v>
      </c>
      <c r="AB103" s="9" t="s">
        <v>2646</v>
      </c>
    </row>
    <row r="104" customFormat="false" ht="15" hidden="false" customHeight="false" outlineLevel="0" collapsed="false">
      <c r="A104" s="13" t="s">
        <v>2647</v>
      </c>
      <c r="B104" s="13" t="s">
        <v>145</v>
      </c>
      <c r="C104" s="13" t="s">
        <v>146</v>
      </c>
      <c r="D104" s="13" t="s">
        <v>2002</v>
      </c>
      <c r="E104" s="13" t="s">
        <v>2648</v>
      </c>
      <c r="F104" s="13" t="s">
        <v>2649</v>
      </c>
      <c r="G104" s="13" t="s">
        <v>2650</v>
      </c>
      <c r="H104" s="13" t="s">
        <v>2651</v>
      </c>
      <c r="I104" s="15" t="n">
        <v>24</v>
      </c>
      <c r="J104" s="15" t="n">
        <v>50.2</v>
      </c>
      <c r="K104" s="15"/>
      <c r="L104" s="15"/>
      <c r="M104" s="15" t="n">
        <f aca="false">IF(ISNUMBER(L104),L104,J104)</f>
        <v>50.2</v>
      </c>
      <c r="N104" s="15" t="n">
        <f aca="false">ROUNDUP(M104,0)</f>
        <v>51</v>
      </c>
      <c r="O104" s="15" t="n">
        <f aca="false">MAX(I104,N104)</f>
        <v>51</v>
      </c>
      <c r="P104" s="15" t="n">
        <f aca="false">IF(C104="COVERED",MAX(0,O104-40),0)</f>
        <v>0</v>
      </c>
      <c r="Q104" s="15" t="n">
        <f aca="false">O104</f>
        <v>51</v>
      </c>
      <c r="R104" s="18" t="n">
        <f aca="false">IF(C104="COVERED",10.4,7.55)</f>
        <v>7.55</v>
      </c>
      <c r="S104" s="18" t="n">
        <f aca="false">Q104*R104</f>
        <v>385.05</v>
      </c>
      <c r="T104" s="13" t="s">
        <v>2652</v>
      </c>
      <c r="U104" s="14" t="n">
        <v>46235</v>
      </c>
      <c r="V104" s="13" t="n">
        <v>51</v>
      </c>
      <c r="W104" s="18" t="n">
        <v>7.55</v>
      </c>
      <c r="X104" s="18" t="n">
        <v>385.05</v>
      </c>
      <c r="Y104" s="18" t="n">
        <f aca="false">IF(ISNUMBER(X104),X104-S104,"")</f>
        <v>0</v>
      </c>
      <c r="Z104" s="18" t="n">
        <f aca="false">IF(ISNUMBER(X104),X104-S104,-S104)</f>
        <v>0</v>
      </c>
      <c r="AA104" s="13" t="str">
        <f aca="false">IF(NOT(ISNUMBER(X104)),"NO AUGUST POSTING IN EXPORT",IF(ABS(Y104)&gt;=0.005,"POSTED CHARGE MISMATCH",IF(P104&gt;0,"MATCH - COVERED ELIGIBILITY EXCEPTION","MATCH")))</f>
        <v>MATCH</v>
      </c>
      <c r="AB104" s="13" t="s">
        <v>2653</v>
      </c>
    </row>
    <row r="105" customFormat="false" ht="15" hidden="false" customHeight="false" outlineLevel="0" collapsed="false">
      <c r="A105" s="9" t="s">
        <v>2654</v>
      </c>
      <c r="B105" s="9" t="s">
        <v>145</v>
      </c>
      <c r="C105" s="9" t="s">
        <v>146</v>
      </c>
      <c r="D105" s="9" t="s">
        <v>2002</v>
      </c>
      <c r="E105" s="9" t="s">
        <v>2655</v>
      </c>
      <c r="F105" s="9" t="s">
        <v>1895</v>
      </c>
      <c r="G105" s="9" t="s">
        <v>1896</v>
      </c>
      <c r="H105" s="9" t="s">
        <v>2656</v>
      </c>
      <c r="I105" s="11" t="n">
        <v>24</v>
      </c>
      <c r="J105" s="11" t="n">
        <v>61</v>
      </c>
      <c r="K105" s="11"/>
      <c r="L105" s="11"/>
      <c r="M105" s="11" t="n">
        <f aca="false">IF(ISNUMBER(L105),L105,J105)</f>
        <v>61</v>
      </c>
      <c r="N105" s="11" t="n">
        <f aca="false">ROUNDUP(M105,0)</f>
        <v>61</v>
      </c>
      <c r="O105" s="11" t="n">
        <f aca="false">MAX(I105,N105)</f>
        <v>61</v>
      </c>
      <c r="P105" s="11" t="n">
        <f aca="false">IF(C105="COVERED",MAX(0,O105-40),0)</f>
        <v>0</v>
      </c>
      <c r="Q105" s="11" t="n">
        <f aca="false">O105</f>
        <v>61</v>
      </c>
      <c r="R105" s="17" t="n">
        <f aca="false">IF(C105="COVERED",10.4,7.55)</f>
        <v>7.55</v>
      </c>
      <c r="S105" s="17" t="n">
        <f aca="false">Q105*R105</f>
        <v>460.55</v>
      </c>
      <c r="T105" s="9" t="s">
        <v>2657</v>
      </c>
      <c r="U105" s="10" t="n">
        <v>46235</v>
      </c>
      <c r="V105" s="9" t="n">
        <v>61</v>
      </c>
      <c r="W105" s="17" t="n">
        <v>7.55</v>
      </c>
      <c r="X105" s="17" t="n">
        <v>460.55</v>
      </c>
      <c r="Y105" s="17" t="n">
        <f aca="false">IF(ISNUMBER(X105),X105-S105,"")</f>
        <v>0</v>
      </c>
      <c r="Z105" s="17" t="n">
        <f aca="false">IF(ISNUMBER(X105),X105-S105,-S105)</f>
        <v>0</v>
      </c>
      <c r="AA105" s="9" t="str">
        <f aca="false">IF(NOT(ISNUMBER(X105)),"NO AUGUST POSTING IN EXPORT",IF(ABS(Y105)&gt;=0.005,"POSTED CHARGE MISMATCH",IF(P105&gt;0,"MATCH - COVERED ELIGIBILITY EXCEPTION","MATCH")))</f>
        <v>MATCH</v>
      </c>
      <c r="AB105" s="9" t="s">
        <v>2658</v>
      </c>
    </row>
    <row r="106" customFormat="false" ht="15" hidden="false" customHeight="false" outlineLevel="0" collapsed="false">
      <c r="A106" s="13" t="s">
        <v>2659</v>
      </c>
      <c r="B106" s="13" t="s">
        <v>145</v>
      </c>
      <c r="C106" s="13" t="s">
        <v>146</v>
      </c>
      <c r="D106" s="13" t="s">
        <v>2002</v>
      </c>
      <c r="E106" s="13" t="s">
        <v>2660</v>
      </c>
      <c r="F106" s="13" t="s">
        <v>2661</v>
      </c>
      <c r="G106" s="13" t="s">
        <v>2662</v>
      </c>
      <c r="H106" s="13" t="s">
        <v>2663</v>
      </c>
      <c r="I106" s="15" t="n">
        <v>40</v>
      </c>
      <c r="J106" s="15" t="n">
        <v>30.5</v>
      </c>
      <c r="K106" s="15"/>
      <c r="L106" s="15"/>
      <c r="M106" s="15" t="n">
        <f aca="false">IF(ISNUMBER(L106),L106,J106)</f>
        <v>30.5</v>
      </c>
      <c r="N106" s="15" t="n">
        <f aca="false">ROUNDUP(M106,0)</f>
        <v>31</v>
      </c>
      <c r="O106" s="15" t="n">
        <f aca="false">MAX(I106,N106)</f>
        <v>40</v>
      </c>
      <c r="P106" s="15" t="n">
        <f aca="false">IF(C106="COVERED",MAX(0,O106-40),0)</f>
        <v>0</v>
      </c>
      <c r="Q106" s="15" t="n">
        <f aca="false">O106</f>
        <v>40</v>
      </c>
      <c r="R106" s="18" t="n">
        <f aca="false">IF(C106="COVERED",10.4,7.55)</f>
        <v>7.55</v>
      </c>
      <c r="S106" s="18" t="n">
        <f aca="false">Q106*R106</f>
        <v>302</v>
      </c>
      <c r="T106" s="13" t="s">
        <v>2664</v>
      </c>
      <c r="U106" s="14" t="n">
        <v>46235</v>
      </c>
      <c r="V106" s="13" t="n">
        <v>40</v>
      </c>
      <c r="W106" s="18" t="n">
        <v>7.55</v>
      </c>
      <c r="X106" s="18" t="n">
        <v>302</v>
      </c>
      <c r="Y106" s="18" t="n">
        <f aca="false">IF(ISNUMBER(X106),X106-S106,"")</f>
        <v>0</v>
      </c>
      <c r="Z106" s="18" t="n">
        <f aca="false">IF(ISNUMBER(X106),X106-S106,-S106)</f>
        <v>0</v>
      </c>
      <c r="AA106" s="13" t="str">
        <f aca="false">IF(NOT(ISNUMBER(X106)),"NO AUGUST POSTING IN EXPORT",IF(ABS(Y106)&gt;=0.005,"POSTED CHARGE MISMATCH",IF(P106&gt;0,"MATCH - COVERED ELIGIBILITY EXCEPTION","MATCH")))</f>
        <v>MATCH</v>
      </c>
      <c r="AB106" s="13" t="s">
        <v>2665</v>
      </c>
    </row>
    <row r="107" customFormat="false" ht="15" hidden="false" customHeight="false" outlineLevel="0" collapsed="false">
      <c r="A107" s="9" t="s">
        <v>2666</v>
      </c>
      <c r="B107" s="9" t="s">
        <v>145</v>
      </c>
      <c r="C107" s="9" t="s">
        <v>146</v>
      </c>
      <c r="D107" s="9" t="s">
        <v>2002</v>
      </c>
      <c r="E107" s="9" t="s">
        <v>2667</v>
      </c>
      <c r="F107" s="9" t="s">
        <v>2668</v>
      </c>
      <c r="G107" s="9" t="s">
        <v>2669</v>
      </c>
      <c r="H107" s="9" t="s">
        <v>2670</v>
      </c>
      <c r="I107" s="11" t="n">
        <v>24</v>
      </c>
      <c r="J107" s="11" t="n">
        <v>38.6</v>
      </c>
      <c r="K107" s="11"/>
      <c r="L107" s="11"/>
      <c r="M107" s="11" t="n">
        <f aca="false">IF(ISNUMBER(L107),L107,J107)</f>
        <v>38.6</v>
      </c>
      <c r="N107" s="11" t="n">
        <f aca="false">ROUNDUP(M107,0)</f>
        <v>39</v>
      </c>
      <c r="O107" s="11" t="n">
        <f aca="false">MAX(I107,N107)</f>
        <v>39</v>
      </c>
      <c r="P107" s="11" t="n">
        <f aca="false">IF(C107="COVERED",MAX(0,O107-40),0)</f>
        <v>0</v>
      </c>
      <c r="Q107" s="11" t="n">
        <f aca="false">O107</f>
        <v>39</v>
      </c>
      <c r="R107" s="17" t="n">
        <f aca="false">IF(C107="COVERED",10.4,7.55)</f>
        <v>7.55</v>
      </c>
      <c r="S107" s="17" t="n">
        <f aca="false">Q107*R107</f>
        <v>294.45</v>
      </c>
      <c r="T107" s="9" t="s">
        <v>2671</v>
      </c>
      <c r="U107" s="10" t="n">
        <v>46235</v>
      </c>
      <c r="V107" s="9" t="n">
        <v>39</v>
      </c>
      <c r="W107" s="17" t="n">
        <v>7.55</v>
      </c>
      <c r="X107" s="17" t="n">
        <v>294.45</v>
      </c>
      <c r="Y107" s="17" t="n">
        <f aca="false">IF(ISNUMBER(X107),X107-S107,"")</f>
        <v>0</v>
      </c>
      <c r="Z107" s="17" t="n">
        <f aca="false">IF(ISNUMBER(X107),X107-S107,-S107)</f>
        <v>0</v>
      </c>
      <c r="AA107" s="9" t="str">
        <f aca="false">IF(NOT(ISNUMBER(X107)),"NO AUGUST POSTING IN EXPORT",IF(ABS(Y107)&gt;=0.005,"POSTED CHARGE MISMATCH",IF(P107&gt;0,"MATCH - COVERED ELIGIBILITY EXCEPTION","MATCH")))</f>
        <v>MATCH</v>
      </c>
      <c r="AB107" s="9" t="s">
        <v>2672</v>
      </c>
    </row>
    <row r="108" customFormat="false" ht="15" hidden="false" customHeight="false" outlineLevel="0" collapsed="false">
      <c r="A108" s="13" t="s">
        <v>620</v>
      </c>
      <c r="B108" s="13" t="s">
        <v>145</v>
      </c>
      <c r="C108" s="13" t="s">
        <v>146</v>
      </c>
      <c r="D108" s="13" t="s">
        <v>2002</v>
      </c>
      <c r="E108" s="13" t="s">
        <v>2673</v>
      </c>
      <c r="F108" s="13" t="s">
        <v>2674</v>
      </c>
      <c r="G108" s="13" t="s">
        <v>2675</v>
      </c>
      <c r="H108" s="13" t="s">
        <v>2676</v>
      </c>
      <c r="I108" s="15" t="n">
        <v>50</v>
      </c>
      <c r="J108" s="15" t="n">
        <v>36.8</v>
      </c>
      <c r="K108" s="15"/>
      <c r="L108" s="15"/>
      <c r="M108" s="15" t="n">
        <f aca="false">IF(ISNUMBER(L108),L108,J108)</f>
        <v>36.8</v>
      </c>
      <c r="N108" s="15" t="n">
        <f aca="false">ROUNDUP(M108,0)</f>
        <v>37</v>
      </c>
      <c r="O108" s="15" t="n">
        <f aca="false">MAX(I108,N108)</f>
        <v>50</v>
      </c>
      <c r="P108" s="15" t="n">
        <f aca="false">IF(C108="COVERED",MAX(0,O108-40),0)</f>
        <v>0</v>
      </c>
      <c r="Q108" s="15" t="n">
        <f aca="false">O108</f>
        <v>50</v>
      </c>
      <c r="R108" s="18" t="n">
        <f aca="false">IF(C108="COVERED",10.4,7.55)</f>
        <v>7.55</v>
      </c>
      <c r="S108" s="18" t="n">
        <f aca="false">Q108*R108</f>
        <v>377.5</v>
      </c>
      <c r="T108" s="13" t="s">
        <v>2677</v>
      </c>
      <c r="U108" s="14" t="n">
        <v>46235</v>
      </c>
      <c r="V108" s="13" t="n">
        <v>50</v>
      </c>
      <c r="W108" s="18" t="n">
        <v>7.55</v>
      </c>
      <c r="X108" s="18" t="n">
        <v>377.5</v>
      </c>
      <c r="Y108" s="18" t="n">
        <f aca="false">IF(ISNUMBER(X108),X108-S108,"")</f>
        <v>0</v>
      </c>
      <c r="Z108" s="18" t="n">
        <f aca="false">IF(ISNUMBER(X108),X108-S108,-S108)</f>
        <v>0</v>
      </c>
      <c r="AA108" s="13" t="str">
        <f aca="false">IF(NOT(ISNUMBER(X108)),"NO AUGUST POSTING IN EXPORT",IF(ABS(Y108)&gt;=0.005,"POSTED CHARGE MISMATCH",IF(P108&gt;0,"MATCH - COVERED ELIGIBILITY EXCEPTION","MATCH")))</f>
        <v>MATCH</v>
      </c>
      <c r="AB108" s="13" t="s">
        <v>2678</v>
      </c>
    </row>
    <row r="109" customFormat="false" ht="15" hidden="false" customHeight="false" outlineLevel="0" collapsed="false">
      <c r="A109" s="9" t="s">
        <v>1137</v>
      </c>
      <c r="B109" s="9" t="s">
        <v>145</v>
      </c>
      <c r="C109" s="9" t="s">
        <v>146</v>
      </c>
      <c r="D109" s="9" t="s">
        <v>2002</v>
      </c>
      <c r="E109" s="9" t="s">
        <v>2679</v>
      </c>
      <c r="F109" s="9" t="s">
        <v>2680</v>
      </c>
      <c r="G109" s="9" t="s">
        <v>2681</v>
      </c>
      <c r="H109" s="9" t="s">
        <v>2682</v>
      </c>
      <c r="I109" s="11" t="n">
        <v>32</v>
      </c>
      <c r="J109" s="11" t="n">
        <v>53.2</v>
      </c>
      <c r="K109" s="11"/>
      <c r="L109" s="11"/>
      <c r="M109" s="11" t="n">
        <f aca="false">IF(ISNUMBER(L109),L109,J109)</f>
        <v>53.2</v>
      </c>
      <c r="N109" s="11" t="n">
        <f aca="false">ROUNDUP(M109,0)</f>
        <v>54</v>
      </c>
      <c r="O109" s="11" t="n">
        <f aca="false">MAX(I109,N109)</f>
        <v>54</v>
      </c>
      <c r="P109" s="11" t="n">
        <f aca="false">IF(C109="COVERED",MAX(0,O109-40),0)</f>
        <v>0</v>
      </c>
      <c r="Q109" s="11" t="n">
        <f aca="false">O109</f>
        <v>54</v>
      </c>
      <c r="R109" s="17" t="n">
        <f aca="false">IF(C109="COVERED",10.4,7.55)</f>
        <v>7.55</v>
      </c>
      <c r="S109" s="17" t="n">
        <f aca="false">Q109*R109</f>
        <v>407.7</v>
      </c>
      <c r="T109" s="9" t="s">
        <v>2683</v>
      </c>
      <c r="U109" s="10" t="n">
        <v>46235</v>
      </c>
      <c r="V109" s="9" t="n">
        <v>54</v>
      </c>
      <c r="W109" s="17" t="n">
        <v>7.55</v>
      </c>
      <c r="X109" s="17" t="n">
        <v>407.7</v>
      </c>
      <c r="Y109" s="17" t="n">
        <f aca="false">IF(ISNUMBER(X109),X109-S109,"")</f>
        <v>0</v>
      </c>
      <c r="Z109" s="17" t="n">
        <f aca="false">IF(ISNUMBER(X109),X109-S109,-S109)</f>
        <v>0</v>
      </c>
      <c r="AA109" s="9" t="str">
        <f aca="false">IF(NOT(ISNUMBER(X109)),"NO AUGUST POSTING IN EXPORT",IF(ABS(Y109)&gt;=0.005,"POSTED CHARGE MISMATCH",IF(P109&gt;0,"MATCH - COVERED ELIGIBILITY EXCEPTION","MATCH")))</f>
        <v>MATCH</v>
      </c>
      <c r="AB109" s="9" t="s">
        <v>2684</v>
      </c>
    </row>
    <row r="110" customFormat="false" ht="15" hidden="false" customHeight="false" outlineLevel="0" collapsed="false">
      <c r="A110" s="13" t="s">
        <v>2685</v>
      </c>
      <c r="B110" s="13" t="s">
        <v>145</v>
      </c>
      <c r="C110" s="13" t="s">
        <v>146</v>
      </c>
      <c r="D110" s="13" t="s">
        <v>2002</v>
      </c>
      <c r="E110" s="13" t="s">
        <v>2686</v>
      </c>
      <c r="F110" s="13" t="s">
        <v>2687</v>
      </c>
      <c r="G110" s="13" t="s">
        <v>2688</v>
      </c>
      <c r="H110" s="13" t="s">
        <v>2689</v>
      </c>
      <c r="I110" s="15" t="n">
        <v>24</v>
      </c>
      <c r="J110" s="15" t="n">
        <v>26.9</v>
      </c>
      <c r="K110" s="15"/>
      <c r="L110" s="15"/>
      <c r="M110" s="15" t="n">
        <f aca="false">IF(ISNUMBER(L110),L110,J110)</f>
        <v>26.9</v>
      </c>
      <c r="N110" s="15" t="n">
        <f aca="false">ROUNDUP(M110,0)</f>
        <v>27</v>
      </c>
      <c r="O110" s="15" t="n">
        <f aca="false">MAX(I110,N110)</f>
        <v>27</v>
      </c>
      <c r="P110" s="15" t="n">
        <f aca="false">IF(C110="COVERED",MAX(0,O110-40),0)</f>
        <v>0</v>
      </c>
      <c r="Q110" s="15" t="n">
        <f aca="false">O110</f>
        <v>27</v>
      </c>
      <c r="R110" s="18" t="n">
        <f aca="false">IF(C110="COVERED",10.4,7.55)</f>
        <v>7.55</v>
      </c>
      <c r="S110" s="18" t="n">
        <f aca="false">Q110*R110</f>
        <v>203.85</v>
      </c>
      <c r="T110" s="13" t="s">
        <v>2690</v>
      </c>
      <c r="U110" s="14" t="n">
        <v>46235</v>
      </c>
      <c r="V110" s="13" t="n">
        <v>27</v>
      </c>
      <c r="W110" s="18" t="n">
        <v>7.55</v>
      </c>
      <c r="X110" s="18" t="n">
        <v>203.85</v>
      </c>
      <c r="Y110" s="18" t="n">
        <f aca="false">IF(ISNUMBER(X110),X110-S110,"")</f>
        <v>0</v>
      </c>
      <c r="Z110" s="18" t="n">
        <f aca="false">IF(ISNUMBER(X110),X110-S110,-S110)</f>
        <v>0</v>
      </c>
      <c r="AA110" s="13" t="str">
        <f aca="false">IF(NOT(ISNUMBER(X110)),"NO AUGUST POSTING IN EXPORT",IF(ABS(Y110)&gt;=0.005,"POSTED CHARGE MISMATCH",IF(P110&gt;0,"MATCH - COVERED ELIGIBILITY EXCEPTION","MATCH")))</f>
        <v>MATCH</v>
      </c>
      <c r="AB110" s="13" t="s">
        <v>2691</v>
      </c>
    </row>
    <row r="111" customFormat="false" ht="15" hidden="false" customHeight="false" outlineLevel="0" collapsed="false">
      <c r="A111" s="9" t="s">
        <v>2692</v>
      </c>
      <c r="B111" s="9" t="s">
        <v>145</v>
      </c>
      <c r="C111" s="9" t="s">
        <v>146</v>
      </c>
      <c r="D111" s="9" t="s">
        <v>2002</v>
      </c>
      <c r="E111" s="9" t="s">
        <v>2693</v>
      </c>
      <c r="F111" s="9" t="s">
        <v>2694</v>
      </c>
      <c r="G111" s="9" t="s">
        <v>2695</v>
      </c>
      <c r="H111" s="9" t="s">
        <v>2350</v>
      </c>
      <c r="I111" s="11" t="n">
        <v>50</v>
      </c>
      <c r="J111" s="11" t="n">
        <v>38.3</v>
      </c>
      <c r="K111" s="11"/>
      <c r="L111" s="11"/>
      <c r="M111" s="11" t="n">
        <f aca="false">IF(ISNUMBER(L111),L111,J111)</f>
        <v>38.3</v>
      </c>
      <c r="N111" s="11" t="n">
        <f aca="false">ROUNDUP(M111,0)</f>
        <v>39</v>
      </c>
      <c r="O111" s="11" t="n">
        <f aca="false">MAX(I111,N111)</f>
        <v>50</v>
      </c>
      <c r="P111" s="11" t="n">
        <f aca="false">IF(C111="COVERED",MAX(0,O111-40),0)</f>
        <v>0</v>
      </c>
      <c r="Q111" s="11" t="n">
        <f aca="false">O111</f>
        <v>50</v>
      </c>
      <c r="R111" s="17" t="n">
        <f aca="false">IF(C111="COVERED",10.4,7.55)</f>
        <v>7.55</v>
      </c>
      <c r="S111" s="17" t="n">
        <f aca="false">Q111*R111</f>
        <v>377.5</v>
      </c>
      <c r="T111" s="9" t="s">
        <v>2696</v>
      </c>
      <c r="U111" s="10" t="n">
        <v>46235</v>
      </c>
      <c r="V111" s="9" t="n">
        <v>50</v>
      </c>
      <c r="W111" s="17" t="n">
        <v>7.55</v>
      </c>
      <c r="X111" s="17" t="n">
        <v>377.5</v>
      </c>
      <c r="Y111" s="17" t="n">
        <f aca="false">IF(ISNUMBER(X111),X111-S111,"")</f>
        <v>0</v>
      </c>
      <c r="Z111" s="17" t="n">
        <f aca="false">IF(ISNUMBER(X111),X111-S111,-S111)</f>
        <v>0</v>
      </c>
      <c r="AA111" s="9" t="str">
        <f aca="false">IF(NOT(ISNUMBER(X111)),"NO AUGUST POSTING IN EXPORT",IF(ABS(Y111)&gt;=0.005,"POSTED CHARGE MISMATCH",IF(P111&gt;0,"MATCH - COVERED ELIGIBILITY EXCEPTION","MATCH")))</f>
        <v>MATCH</v>
      </c>
      <c r="AB111" s="9" t="s">
        <v>2697</v>
      </c>
    </row>
    <row r="112" customFormat="false" ht="15" hidden="false" customHeight="false" outlineLevel="0" collapsed="false">
      <c r="A112" s="13" t="s">
        <v>1840</v>
      </c>
      <c r="B112" s="13" t="s">
        <v>145</v>
      </c>
      <c r="C112" s="13" t="s">
        <v>146</v>
      </c>
      <c r="D112" s="13" t="s">
        <v>2002</v>
      </c>
      <c r="E112" s="13" t="s">
        <v>2698</v>
      </c>
      <c r="F112" s="13" t="s">
        <v>581</v>
      </c>
      <c r="G112" s="13" t="s">
        <v>582</v>
      </c>
      <c r="H112" s="13" t="s">
        <v>2699</v>
      </c>
      <c r="I112" s="15" t="n">
        <v>36</v>
      </c>
      <c r="J112" s="15" t="n">
        <v>26.5</v>
      </c>
      <c r="K112" s="15"/>
      <c r="L112" s="15"/>
      <c r="M112" s="15" t="n">
        <f aca="false">IF(ISNUMBER(L112),L112,J112)</f>
        <v>26.5</v>
      </c>
      <c r="N112" s="15" t="n">
        <f aca="false">ROUNDUP(M112,0)</f>
        <v>27</v>
      </c>
      <c r="O112" s="15" t="n">
        <f aca="false">MAX(I112,N112)</f>
        <v>36</v>
      </c>
      <c r="P112" s="15" t="n">
        <f aca="false">IF(C112="COVERED",MAX(0,O112-40),0)</f>
        <v>0</v>
      </c>
      <c r="Q112" s="15" t="n">
        <f aca="false">O112</f>
        <v>36</v>
      </c>
      <c r="R112" s="18" t="n">
        <f aca="false">IF(C112="COVERED",10.4,7.55)</f>
        <v>7.55</v>
      </c>
      <c r="S112" s="18" t="n">
        <f aca="false">Q112*R112</f>
        <v>271.8</v>
      </c>
      <c r="T112" s="13" t="s">
        <v>2700</v>
      </c>
      <c r="U112" s="14" t="n">
        <v>46235</v>
      </c>
      <c r="V112" s="13" t="n">
        <v>36</v>
      </c>
      <c r="W112" s="18" t="n">
        <v>7.55</v>
      </c>
      <c r="X112" s="18" t="n">
        <v>271.8</v>
      </c>
      <c r="Y112" s="18" t="n">
        <f aca="false">IF(ISNUMBER(X112),X112-S112,"")</f>
        <v>0</v>
      </c>
      <c r="Z112" s="18" t="n">
        <f aca="false">IF(ISNUMBER(X112),X112-S112,-S112)</f>
        <v>0</v>
      </c>
      <c r="AA112" s="13" t="str">
        <f aca="false">IF(NOT(ISNUMBER(X112)),"NO AUGUST POSTING IN EXPORT",IF(ABS(Y112)&gt;=0.005,"POSTED CHARGE MISMATCH",IF(P112&gt;0,"MATCH - COVERED ELIGIBILITY EXCEPTION","MATCH")))</f>
        <v>MATCH</v>
      </c>
      <c r="AB112" s="13" t="s">
        <v>2701</v>
      </c>
    </row>
    <row r="113" customFormat="false" ht="15" hidden="false" customHeight="false" outlineLevel="0" collapsed="false">
      <c r="A113" s="9" t="s">
        <v>923</v>
      </c>
      <c r="B113" s="9" t="s">
        <v>145</v>
      </c>
      <c r="C113" s="9" t="s">
        <v>146</v>
      </c>
      <c r="D113" s="9" t="s">
        <v>2002</v>
      </c>
      <c r="E113" s="9" t="s">
        <v>2702</v>
      </c>
      <c r="F113" s="9" t="s">
        <v>2703</v>
      </c>
      <c r="G113" s="9" t="s">
        <v>2704</v>
      </c>
      <c r="H113" s="9" t="s">
        <v>2155</v>
      </c>
      <c r="I113" s="11" t="n">
        <v>24</v>
      </c>
      <c r="J113" s="11" t="n">
        <v>57.9</v>
      </c>
      <c r="K113" s="11"/>
      <c r="L113" s="11"/>
      <c r="M113" s="11" t="n">
        <f aca="false">IF(ISNUMBER(L113),L113,J113)</f>
        <v>57.9</v>
      </c>
      <c r="N113" s="11" t="n">
        <f aca="false">ROUNDUP(M113,0)</f>
        <v>58</v>
      </c>
      <c r="O113" s="11" t="n">
        <f aca="false">MAX(I113,N113)</f>
        <v>58</v>
      </c>
      <c r="P113" s="11" t="n">
        <f aca="false">IF(C113="COVERED",MAX(0,O113-40),0)</f>
        <v>0</v>
      </c>
      <c r="Q113" s="11" t="n">
        <f aca="false">O113</f>
        <v>58</v>
      </c>
      <c r="R113" s="17" t="n">
        <f aca="false">IF(C113="COVERED",10.4,7.55)</f>
        <v>7.55</v>
      </c>
      <c r="S113" s="17" t="n">
        <f aca="false">Q113*R113</f>
        <v>437.9</v>
      </c>
      <c r="T113" s="9" t="s">
        <v>2705</v>
      </c>
      <c r="U113" s="10" t="n">
        <v>46235</v>
      </c>
      <c r="V113" s="9" t="n">
        <v>58</v>
      </c>
      <c r="W113" s="17" t="n">
        <v>7.55</v>
      </c>
      <c r="X113" s="17" t="n">
        <v>437.9</v>
      </c>
      <c r="Y113" s="17" t="n">
        <f aca="false">IF(ISNUMBER(X113),X113-S113,"")</f>
        <v>0</v>
      </c>
      <c r="Z113" s="17" t="n">
        <f aca="false">IF(ISNUMBER(X113),X113-S113,-S113)</f>
        <v>0</v>
      </c>
      <c r="AA113" s="9" t="str">
        <f aca="false">IF(NOT(ISNUMBER(X113)),"NO AUGUST POSTING IN EXPORT",IF(ABS(Y113)&gt;=0.005,"POSTED CHARGE MISMATCH",IF(P113&gt;0,"MATCH - COVERED ELIGIBILITY EXCEPTION","MATCH")))</f>
        <v>MATCH</v>
      </c>
      <c r="AB113" s="9" t="s">
        <v>2706</v>
      </c>
    </row>
    <row r="114" customFormat="false" ht="15" hidden="false" customHeight="false" outlineLevel="0" collapsed="false">
      <c r="A114" s="13" t="s">
        <v>2707</v>
      </c>
      <c r="B114" s="13" t="s">
        <v>145</v>
      </c>
      <c r="C114" s="13" t="s">
        <v>146</v>
      </c>
      <c r="D114" s="13" t="s">
        <v>2002</v>
      </c>
      <c r="E114" s="13" t="s">
        <v>2708</v>
      </c>
      <c r="F114" s="13" t="s">
        <v>151</v>
      </c>
      <c r="G114" s="13" t="s">
        <v>152</v>
      </c>
      <c r="H114" s="13" t="s">
        <v>2709</v>
      </c>
      <c r="I114" s="15" t="n">
        <v>32</v>
      </c>
      <c r="J114" s="15" t="n">
        <v>19.2</v>
      </c>
      <c r="K114" s="15"/>
      <c r="L114" s="15"/>
      <c r="M114" s="15" t="n">
        <f aca="false">IF(ISNUMBER(L114),L114,J114)</f>
        <v>19.2</v>
      </c>
      <c r="N114" s="15" t="n">
        <f aca="false">ROUNDUP(M114,0)</f>
        <v>20</v>
      </c>
      <c r="O114" s="15" t="n">
        <f aca="false">MAX(I114,N114)</f>
        <v>32</v>
      </c>
      <c r="P114" s="15" t="n">
        <f aca="false">IF(C114="COVERED",MAX(0,O114-40),0)</f>
        <v>0</v>
      </c>
      <c r="Q114" s="15" t="n">
        <f aca="false">O114</f>
        <v>32</v>
      </c>
      <c r="R114" s="18" t="n">
        <f aca="false">IF(C114="COVERED",10.4,7.55)</f>
        <v>7.55</v>
      </c>
      <c r="S114" s="18" t="n">
        <f aca="false">Q114*R114</f>
        <v>241.6</v>
      </c>
      <c r="T114" s="13" t="s">
        <v>2710</v>
      </c>
      <c r="U114" s="14" t="n">
        <v>46235</v>
      </c>
      <c r="V114" s="13" t="n">
        <v>32</v>
      </c>
      <c r="W114" s="18" t="n">
        <v>7.55</v>
      </c>
      <c r="X114" s="18" t="n">
        <v>241.6</v>
      </c>
      <c r="Y114" s="18" t="n">
        <f aca="false">IF(ISNUMBER(X114),X114-S114,"")</f>
        <v>0</v>
      </c>
      <c r="Z114" s="18" t="n">
        <f aca="false">IF(ISNUMBER(X114),X114-S114,-S114)</f>
        <v>0</v>
      </c>
      <c r="AA114" s="13" t="str">
        <f aca="false">IF(NOT(ISNUMBER(X114)),"NO AUGUST POSTING IN EXPORT",IF(ABS(Y114)&gt;=0.005,"POSTED CHARGE MISMATCH",IF(P114&gt;0,"MATCH - COVERED ELIGIBILITY EXCEPTION","MATCH")))</f>
        <v>MATCH</v>
      </c>
      <c r="AB114" s="13" t="s">
        <v>2711</v>
      </c>
    </row>
    <row r="115" customFormat="false" ht="15" hidden="false" customHeight="false" outlineLevel="0" collapsed="false">
      <c r="A115" s="9" t="s">
        <v>2712</v>
      </c>
      <c r="B115" s="9" t="s">
        <v>145</v>
      </c>
      <c r="C115" s="9" t="s">
        <v>146</v>
      </c>
      <c r="D115" s="9" t="s">
        <v>2002</v>
      </c>
      <c r="E115" s="9" t="s">
        <v>2713</v>
      </c>
      <c r="F115" s="9" t="s">
        <v>2714</v>
      </c>
      <c r="G115" s="9" t="s">
        <v>2715</v>
      </c>
      <c r="H115" s="9" t="s">
        <v>2716</v>
      </c>
      <c r="I115" s="11" t="n">
        <v>24</v>
      </c>
      <c r="J115" s="11" t="n">
        <v>22.8</v>
      </c>
      <c r="K115" s="11"/>
      <c r="L115" s="11"/>
      <c r="M115" s="11" t="n">
        <f aca="false">IF(ISNUMBER(L115),L115,J115)</f>
        <v>22.8</v>
      </c>
      <c r="N115" s="11" t="n">
        <f aca="false">ROUNDUP(M115,0)</f>
        <v>23</v>
      </c>
      <c r="O115" s="11" t="n">
        <f aca="false">MAX(I115,N115)</f>
        <v>24</v>
      </c>
      <c r="P115" s="11" t="n">
        <f aca="false">IF(C115="COVERED",MAX(0,O115-40),0)</f>
        <v>0</v>
      </c>
      <c r="Q115" s="11" t="n">
        <f aca="false">O115</f>
        <v>24</v>
      </c>
      <c r="R115" s="17" t="n">
        <f aca="false">IF(C115="COVERED",10.4,7.55)</f>
        <v>7.55</v>
      </c>
      <c r="S115" s="17" t="n">
        <f aca="false">Q115*R115</f>
        <v>181.2</v>
      </c>
      <c r="T115" s="9" t="s">
        <v>2717</v>
      </c>
      <c r="U115" s="10" t="n">
        <v>46235</v>
      </c>
      <c r="V115" s="9" t="n">
        <v>24</v>
      </c>
      <c r="W115" s="17" t="n">
        <v>7.55</v>
      </c>
      <c r="X115" s="17" t="n">
        <v>181.2</v>
      </c>
      <c r="Y115" s="17" t="n">
        <f aca="false">IF(ISNUMBER(X115),X115-S115,"")</f>
        <v>0</v>
      </c>
      <c r="Z115" s="17" t="n">
        <f aca="false">IF(ISNUMBER(X115),X115-S115,-S115)</f>
        <v>0</v>
      </c>
      <c r="AA115" s="9" t="str">
        <f aca="false">IF(NOT(ISNUMBER(X115)),"NO AUGUST POSTING IN EXPORT",IF(ABS(Y115)&gt;=0.005,"POSTED CHARGE MISMATCH",IF(P115&gt;0,"MATCH - COVERED ELIGIBILITY EXCEPTION","MATCH")))</f>
        <v>MATCH</v>
      </c>
      <c r="AB115" s="9" t="s">
        <v>2718</v>
      </c>
    </row>
    <row r="116" customFormat="false" ht="15" hidden="false" customHeight="false" outlineLevel="0" collapsed="false">
      <c r="A116" s="13" t="s">
        <v>2719</v>
      </c>
      <c r="B116" s="13" t="s">
        <v>145</v>
      </c>
      <c r="C116" s="13" t="s">
        <v>146</v>
      </c>
      <c r="D116" s="13" t="s">
        <v>2002</v>
      </c>
      <c r="E116" s="13" t="s">
        <v>2720</v>
      </c>
      <c r="F116" s="13" t="s">
        <v>2721</v>
      </c>
      <c r="G116" s="13" t="s">
        <v>2722</v>
      </c>
      <c r="H116" s="13" t="s">
        <v>2723</v>
      </c>
      <c r="I116" s="15" t="n">
        <v>50</v>
      </c>
      <c r="J116" s="15" t="n">
        <v>26.9</v>
      </c>
      <c r="K116" s="15"/>
      <c r="L116" s="15"/>
      <c r="M116" s="15" t="n">
        <f aca="false">IF(ISNUMBER(L116),L116,J116)</f>
        <v>26.9</v>
      </c>
      <c r="N116" s="15" t="n">
        <f aca="false">ROUNDUP(M116,0)</f>
        <v>27</v>
      </c>
      <c r="O116" s="15" t="n">
        <f aca="false">MAX(I116,N116)</f>
        <v>50</v>
      </c>
      <c r="P116" s="15" t="n">
        <f aca="false">IF(C116="COVERED",MAX(0,O116-40),0)</f>
        <v>0</v>
      </c>
      <c r="Q116" s="15" t="n">
        <f aca="false">O116</f>
        <v>50</v>
      </c>
      <c r="R116" s="18" t="n">
        <f aca="false">IF(C116="COVERED",10.4,7.55)</f>
        <v>7.55</v>
      </c>
      <c r="S116" s="18" t="n">
        <f aca="false">Q116*R116</f>
        <v>377.5</v>
      </c>
      <c r="T116" s="13" t="s">
        <v>2724</v>
      </c>
      <c r="U116" s="14" t="n">
        <v>46235</v>
      </c>
      <c r="V116" s="13" t="n">
        <v>50</v>
      </c>
      <c r="W116" s="18" t="n">
        <v>7.55</v>
      </c>
      <c r="X116" s="18" t="n">
        <v>377.5</v>
      </c>
      <c r="Y116" s="18" t="n">
        <f aca="false">IF(ISNUMBER(X116),X116-S116,"")</f>
        <v>0</v>
      </c>
      <c r="Z116" s="18" t="n">
        <f aca="false">IF(ISNUMBER(X116),X116-S116,-S116)</f>
        <v>0</v>
      </c>
      <c r="AA116" s="13" t="str">
        <f aca="false">IF(NOT(ISNUMBER(X116)),"NO AUGUST POSTING IN EXPORT",IF(ABS(Y116)&gt;=0.005,"POSTED CHARGE MISMATCH",IF(P116&gt;0,"MATCH - COVERED ELIGIBILITY EXCEPTION","MATCH")))</f>
        <v>MATCH</v>
      </c>
      <c r="AB116" s="13" t="s">
        <v>2725</v>
      </c>
    </row>
    <row r="117" customFormat="false" ht="15" hidden="false" customHeight="false" outlineLevel="0" collapsed="false">
      <c r="A117" s="9" t="s">
        <v>2726</v>
      </c>
      <c r="B117" s="9" t="s">
        <v>145</v>
      </c>
      <c r="C117" s="9" t="s">
        <v>146</v>
      </c>
      <c r="D117" s="9" t="s">
        <v>2002</v>
      </c>
      <c r="E117" s="9" t="s">
        <v>2727</v>
      </c>
      <c r="F117" s="9" t="s">
        <v>2728</v>
      </c>
      <c r="G117" s="9" t="s">
        <v>2729</v>
      </c>
      <c r="H117" s="9" t="s">
        <v>2730</v>
      </c>
      <c r="I117" s="11" t="n">
        <v>24</v>
      </c>
      <c r="J117" s="11" t="n">
        <v>22</v>
      </c>
      <c r="K117" s="11"/>
      <c r="L117" s="11"/>
      <c r="M117" s="11" t="n">
        <f aca="false">IF(ISNUMBER(L117),L117,J117)</f>
        <v>22</v>
      </c>
      <c r="N117" s="11" t="n">
        <f aca="false">ROUNDUP(M117,0)</f>
        <v>22</v>
      </c>
      <c r="O117" s="11" t="n">
        <f aca="false">MAX(I117,N117)</f>
        <v>24</v>
      </c>
      <c r="P117" s="11" t="n">
        <f aca="false">IF(C117="COVERED",MAX(0,O117-40),0)</f>
        <v>0</v>
      </c>
      <c r="Q117" s="11" t="n">
        <f aca="false">O117</f>
        <v>24</v>
      </c>
      <c r="R117" s="17" t="n">
        <f aca="false">IF(C117="COVERED",10.4,7.55)</f>
        <v>7.55</v>
      </c>
      <c r="S117" s="17" t="n">
        <f aca="false">Q117*R117</f>
        <v>181.2</v>
      </c>
      <c r="T117" s="9" t="s">
        <v>2731</v>
      </c>
      <c r="U117" s="10" t="n">
        <v>46235</v>
      </c>
      <c r="V117" s="9" t="n">
        <v>24</v>
      </c>
      <c r="W117" s="17" t="n">
        <v>7.55</v>
      </c>
      <c r="X117" s="17" t="n">
        <v>181.2</v>
      </c>
      <c r="Y117" s="17" t="n">
        <f aca="false">IF(ISNUMBER(X117),X117-S117,"")</f>
        <v>0</v>
      </c>
      <c r="Z117" s="17" t="n">
        <f aca="false">IF(ISNUMBER(X117),X117-S117,-S117)</f>
        <v>0</v>
      </c>
      <c r="AA117" s="9" t="str">
        <f aca="false">IF(NOT(ISNUMBER(X117)),"NO AUGUST POSTING IN EXPORT",IF(ABS(Y117)&gt;=0.005,"POSTED CHARGE MISMATCH",IF(P117&gt;0,"MATCH - COVERED ELIGIBILITY EXCEPTION","MATCH")))</f>
        <v>MATCH</v>
      </c>
      <c r="AB117" s="9" t="s">
        <v>2732</v>
      </c>
    </row>
    <row r="118" customFormat="false" ht="15" hidden="false" customHeight="false" outlineLevel="0" collapsed="false">
      <c r="A118" s="13" t="s">
        <v>2733</v>
      </c>
      <c r="B118" s="13" t="s">
        <v>145</v>
      </c>
      <c r="C118" s="13" t="s">
        <v>146</v>
      </c>
      <c r="D118" s="13" t="s">
        <v>2002</v>
      </c>
      <c r="E118" s="13" t="s">
        <v>2734</v>
      </c>
      <c r="F118" s="13" t="s">
        <v>2735</v>
      </c>
      <c r="G118" s="13" t="s">
        <v>2736</v>
      </c>
      <c r="H118" s="13" t="s">
        <v>2737</v>
      </c>
      <c r="I118" s="15" t="n">
        <v>60</v>
      </c>
      <c r="J118" s="15" t="n">
        <v>35</v>
      </c>
      <c r="K118" s="15"/>
      <c r="L118" s="15"/>
      <c r="M118" s="15" t="n">
        <f aca="false">IF(ISNUMBER(L118),L118,J118)</f>
        <v>35</v>
      </c>
      <c r="N118" s="15" t="n">
        <f aca="false">ROUNDUP(M118,0)</f>
        <v>35</v>
      </c>
      <c r="O118" s="15" t="n">
        <f aca="false">MAX(I118,N118)</f>
        <v>60</v>
      </c>
      <c r="P118" s="15" t="n">
        <f aca="false">IF(C118="COVERED",MAX(0,O118-40),0)</f>
        <v>0</v>
      </c>
      <c r="Q118" s="15" t="n">
        <f aca="false">O118</f>
        <v>60</v>
      </c>
      <c r="R118" s="18" t="n">
        <f aca="false">IF(C118="COVERED",10.4,7.55)</f>
        <v>7.55</v>
      </c>
      <c r="S118" s="18" t="n">
        <f aca="false">Q118*R118</f>
        <v>453</v>
      </c>
      <c r="T118" s="13" t="s">
        <v>2738</v>
      </c>
      <c r="U118" s="14" t="n">
        <v>46235</v>
      </c>
      <c r="V118" s="13" t="n">
        <v>60</v>
      </c>
      <c r="W118" s="18" t="n">
        <v>7.55</v>
      </c>
      <c r="X118" s="18" t="n">
        <v>453</v>
      </c>
      <c r="Y118" s="18" t="n">
        <f aca="false">IF(ISNUMBER(X118),X118-S118,"")</f>
        <v>0</v>
      </c>
      <c r="Z118" s="18" t="n">
        <f aca="false">IF(ISNUMBER(X118),X118-S118,-S118)</f>
        <v>0</v>
      </c>
      <c r="AA118" s="13" t="str">
        <f aca="false">IF(NOT(ISNUMBER(X118)),"NO AUGUST POSTING IN EXPORT",IF(ABS(Y118)&gt;=0.005,"POSTED CHARGE MISMATCH",IF(P118&gt;0,"MATCH - COVERED ELIGIBILITY EXCEPTION","MATCH")))</f>
        <v>MATCH</v>
      </c>
      <c r="AB118" s="13" t="s">
        <v>2739</v>
      </c>
    </row>
    <row r="119" customFormat="false" ht="15" hidden="false" customHeight="false" outlineLevel="0" collapsed="false">
      <c r="A119" s="9" t="s">
        <v>2740</v>
      </c>
      <c r="B119" s="9" t="s">
        <v>145</v>
      </c>
      <c r="C119" s="9" t="s">
        <v>146</v>
      </c>
      <c r="D119" s="9" t="s">
        <v>2002</v>
      </c>
      <c r="E119" s="9" t="s">
        <v>2741</v>
      </c>
      <c r="F119" s="9" t="s">
        <v>2742</v>
      </c>
      <c r="G119" s="9" t="s">
        <v>2743</v>
      </c>
      <c r="H119" s="9" t="s">
        <v>2416</v>
      </c>
      <c r="I119" s="11" t="n">
        <v>40</v>
      </c>
      <c r="J119" s="11" t="n">
        <v>54.9</v>
      </c>
      <c r="K119" s="11"/>
      <c r="L119" s="11"/>
      <c r="M119" s="11" t="n">
        <f aca="false">IF(ISNUMBER(L119),L119,J119)</f>
        <v>54.9</v>
      </c>
      <c r="N119" s="11" t="n">
        <f aca="false">ROUNDUP(M119,0)</f>
        <v>55</v>
      </c>
      <c r="O119" s="11" t="n">
        <f aca="false">MAX(I119,N119)</f>
        <v>55</v>
      </c>
      <c r="P119" s="11" t="n">
        <f aca="false">IF(C119="COVERED",MAX(0,O119-40),0)</f>
        <v>0</v>
      </c>
      <c r="Q119" s="11" t="n">
        <f aca="false">O119</f>
        <v>55</v>
      </c>
      <c r="R119" s="17" t="n">
        <f aca="false">IF(C119="COVERED",10.4,7.55)</f>
        <v>7.55</v>
      </c>
      <c r="S119" s="17" t="n">
        <f aca="false">Q119*R119</f>
        <v>415.25</v>
      </c>
      <c r="T119" s="9" t="s">
        <v>2744</v>
      </c>
      <c r="U119" s="10" t="n">
        <v>46235</v>
      </c>
      <c r="V119" s="9" t="n">
        <v>55</v>
      </c>
      <c r="W119" s="17" t="n">
        <v>7.55</v>
      </c>
      <c r="X119" s="17" t="n">
        <v>415.25</v>
      </c>
      <c r="Y119" s="17" t="n">
        <f aca="false">IF(ISNUMBER(X119),X119-S119,"")</f>
        <v>0</v>
      </c>
      <c r="Z119" s="17" t="n">
        <f aca="false">IF(ISNUMBER(X119),X119-S119,-S119)</f>
        <v>0</v>
      </c>
      <c r="AA119" s="9" t="str">
        <f aca="false">IF(NOT(ISNUMBER(X119)),"NO AUGUST POSTING IN EXPORT",IF(ABS(Y119)&gt;=0.005,"POSTED CHARGE MISMATCH",IF(P119&gt;0,"MATCH - COVERED ELIGIBILITY EXCEPTION","MATCH")))</f>
        <v>MATCH</v>
      </c>
      <c r="AB119" s="9" t="s">
        <v>2745</v>
      </c>
    </row>
    <row r="120" customFormat="false" ht="15" hidden="false" customHeight="false" outlineLevel="0" collapsed="false">
      <c r="A120" s="13" t="s">
        <v>2746</v>
      </c>
      <c r="B120" s="13" t="s">
        <v>145</v>
      </c>
      <c r="C120" s="13" t="s">
        <v>146</v>
      </c>
      <c r="D120" s="13" t="s">
        <v>2002</v>
      </c>
      <c r="E120" s="13" t="s">
        <v>2747</v>
      </c>
      <c r="F120" s="13" t="s">
        <v>2748</v>
      </c>
      <c r="G120" s="13" t="s">
        <v>2749</v>
      </c>
      <c r="H120" s="13" t="s">
        <v>2750</v>
      </c>
      <c r="I120" s="15" t="n">
        <v>45</v>
      </c>
      <c r="J120" s="15" t="n">
        <v>53.8</v>
      </c>
      <c r="K120" s="15"/>
      <c r="L120" s="15"/>
      <c r="M120" s="15" t="n">
        <f aca="false">IF(ISNUMBER(L120),L120,J120)</f>
        <v>53.8</v>
      </c>
      <c r="N120" s="15" t="n">
        <f aca="false">ROUNDUP(M120,0)</f>
        <v>54</v>
      </c>
      <c r="O120" s="15" t="n">
        <f aca="false">MAX(I120,N120)</f>
        <v>54</v>
      </c>
      <c r="P120" s="15" t="n">
        <f aca="false">IF(C120="COVERED",MAX(0,O120-40),0)</f>
        <v>0</v>
      </c>
      <c r="Q120" s="15" t="n">
        <f aca="false">O120</f>
        <v>54</v>
      </c>
      <c r="R120" s="18" t="n">
        <f aca="false">IF(C120="COVERED",10.4,7.55)</f>
        <v>7.55</v>
      </c>
      <c r="S120" s="18" t="n">
        <f aca="false">Q120*R120</f>
        <v>407.7</v>
      </c>
      <c r="T120" s="13" t="s">
        <v>2751</v>
      </c>
      <c r="U120" s="14" t="n">
        <v>46235</v>
      </c>
      <c r="V120" s="13" t="n">
        <v>54</v>
      </c>
      <c r="W120" s="18" t="n">
        <v>7.55</v>
      </c>
      <c r="X120" s="18" t="n">
        <v>407.7</v>
      </c>
      <c r="Y120" s="18" t="n">
        <f aca="false">IF(ISNUMBER(X120),X120-S120,"")</f>
        <v>0</v>
      </c>
      <c r="Z120" s="18" t="n">
        <f aca="false">IF(ISNUMBER(X120),X120-S120,-S120)</f>
        <v>0</v>
      </c>
      <c r="AA120" s="13" t="str">
        <f aca="false">IF(NOT(ISNUMBER(X120)),"NO AUGUST POSTING IN EXPORT",IF(ABS(Y120)&gt;=0.005,"POSTED CHARGE MISMATCH",IF(P120&gt;0,"MATCH - COVERED ELIGIBILITY EXCEPTION","MATCH")))</f>
        <v>MATCH</v>
      </c>
      <c r="AB120" s="13" t="s">
        <v>2752</v>
      </c>
    </row>
    <row r="121" customFormat="false" ht="15" hidden="false" customHeight="false" outlineLevel="0" collapsed="false">
      <c r="A121" s="9" t="s">
        <v>884</v>
      </c>
      <c r="B121" s="9" t="s">
        <v>145</v>
      </c>
      <c r="C121" s="9" t="s">
        <v>146</v>
      </c>
      <c r="D121" s="9" t="s">
        <v>2002</v>
      </c>
      <c r="E121" s="9" t="s">
        <v>2753</v>
      </c>
      <c r="F121" s="9" t="s">
        <v>2754</v>
      </c>
      <c r="G121" s="9" t="s">
        <v>2755</v>
      </c>
      <c r="H121" s="9" t="s">
        <v>2756</v>
      </c>
      <c r="I121" s="11" t="n">
        <v>24</v>
      </c>
      <c r="J121" s="11" t="n">
        <v>40</v>
      </c>
      <c r="K121" s="11"/>
      <c r="L121" s="11"/>
      <c r="M121" s="11" t="n">
        <f aca="false">IF(ISNUMBER(L121),L121,J121)</f>
        <v>40</v>
      </c>
      <c r="N121" s="11" t="n">
        <f aca="false">ROUNDUP(M121,0)</f>
        <v>40</v>
      </c>
      <c r="O121" s="11" t="n">
        <f aca="false">MAX(I121,N121)</f>
        <v>40</v>
      </c>
      <c r="P121" s="11" t="n">
        <f aca="false">IF(C121="COVERED",MAX(0,O121-40),0)</f>
        <v>0</v>
      </c>
      <c r="Q121" s="11" t="n">
        <f aca="false">O121</f>
        <v>40</v>
      </c>
      <c r="R121" s="17" t="n">
        <f aca="false">IF(C121="COVERED",10.4,7.55)</f>
        <v>7.55</v>
      </c>
      <c r="S121" s="17" t="n">
        <f aca="false">Q121*R121</f>
        <v>302</v>
      </c>
      <c r="T121" s="9" t="s">
        <v>2757</v>
      </c>
      <c r="U121" s="10" t="n">
        <v>46235</v>
      </c>
      <c r="V121" s="9" t="n">
        <v>40</v>
      </c>
      <c r="W121" s="17" t="n">
        <v>7.55</v>
      </c>
      <c r="X121" s="17" t="n">
        <v>302</v>
      </c>
      <c r="Y121" s="17" t="n">
        <f aca="false">IF(ISNUMBER(X121),X121-S121,"")</f>
        <v>0</v>
      </c>
      <c r="Z121" s="17" t="n">
        <f aca="false">IF(ISNUMBER(X121),X121-S121,-S121)</f>
        <v>0</v>
      </c>
      <c r="AA121" s="9" t="str">
        <f aca="false">IF(NOT(ISNUMBER(X121)),"NO AUGUST POSTING IN EXPORT",IF(ABS(Y121)&gt;=0.005,"POSTED CHARGE MISMATCH",IF(P121&gt;0,"MATCH - COVERED ELIGIBILITY EXCEPTION","MATCH")))</f>
        <v>MATCH</v>
      </c>
      <c r="AB121" s="9" t="s">
        <v>2758</v>
      </c>
    </row>
    <row r="122" customFormat="false" ht="15" hidden="false" customHeight="false" outlineLevel="0" collapsed="false">
      <c r="A122" s="13" t="s">
        <v>830</v>
      </c>
      <c r="B122" s="13" t="s">
        <v>145</v>
      </c>
      <c r="C122" s="13" t="s">
        <v>146</v>
      </c>
      <c r="D122" s="13" t="s">
        <v>2002</v>
      </c>
      <c r="E122" s="13" t="s">
        <v>2759</v>
      </c>
      <c r="F122" s="13" t="s">
        <v>2760</v>
      </c>
      <c r="G122" s="13" t="s">
        <v>2761</v>
      </c>
      <c r="H122" s="13" t="s">
        <v>2762</v>
      </c>
      <c r="I122" s="15" t="n">
        <v>28</v>
      </c>
      <c r="J122" s="15" t="n">
        <v>42.7</v>
      </c>
      <c r="K122" s="15"/>
      <c r="L122" s="15"/>
      <c r="M122" s="15" t="n">
        <f aca="false">IF(ISNUMBER(L122),L122,J122)</f>
        <v>42.7</v>
      </c>
      <c r="N122" s="15" t="n">
        <f aca="false">ROUNDUP(M122,0)</f>
        <v>43</v>
      </c>
      <c r="O122" s="15" t="n">
        <f aca="false">MAX(I122,N122)</f>
        <v>43</v>
      </c>
      <c r="P122" s="15" t="n">
        <f aca="false">IF(C122="COVERED",MAX(0,O122-40),0)</f>
        <v>0</v>
      </c>
      <c r="Q122" s="15" t="n">
        <f aca="false">O122</f>
        <v>43</v>
      </c>
      <c r="R122" s="18" t="n">
        <f aca="false">IF(C122="COVERED",10.4,7.55)</f>
        <v>7.55</v>
      </c>
      <c r="S122" s="18" t="n">
        <f aca="false">Q122*R122</f>
        <v>324.65</v>
      </c>
      <c r="T122" s="13" t="s">
        <v>2763</v>
      </c>
      <c r="U122" s="14" t="n">
        <v>46235</v>
      </c>
      <c r="V122" s="13" t="n">
        <v>43</v>
      </c>
      <c r="W122" s="18" t="n">
        <v>7.55</v>
      </c>
      <c r="X122" s="18" t="n">
        <v>324.65</v>
      </c>
      <c r="Y122" s="18" t="n">
        <f aca="false">IF(ISNUMBER(X122),X122-S122,"")</f>
        <v>0</v>
      </c>
      <c r="Z122" s="18" t="n">
        <f aca="false">IF(ISNUMBER(X122),X122-S122,-S122)</f>
        <v>0</v>
      </c>
      <c r="AA122" s="13" t="str">
        <f aca="false">IF(NOT(ISNUMBER(X122)),"NO AUGUST POSTING IN EXPORT",IF(ABS(Y122)&gt;=0.005,"POSTED CHARGE MISMATCH",IF(P122&gt;0,"MATCH - COVERED ELIGIBILITY EXCEPTION","MATCH")))</f>
        <v>MATCH</v>
      </c>
      <c r="AB122" s="13" t="s">
        <v>2764</v>
      </c>
    </row>
    <row r="123" customFormat="false" ht="15" hidden="false" customHeight="false" outlineLevel="0" collapsed="false">
      <c r="A123" s="9" t="s">
        <v>1500</v>
      </c>
      <c r="B123" s="9" t="s">
        <v>145</v>
      </c>
      <c r="C123" s="9" t="s">
        <v>146</v>
      </c>
      <c r="D123" s="9" t="s">
        <v>2002</v>
      </c>
      <c r="E123" s="9" t="s">
        <v>2765</v>
      </c>
      <c r="F123" s="9" t="s">
        <v>2766</v>
      </c>
      <c r="G123" s="9" t="s">
        <v>2767</v>
      </c>
      <c r="H123" s="9" t="s">
        <v>2768</v>
      </c>
      <c r="I123" s="11" t="n">
        <v>28</v>
      </c>
      <c r="J123" s="11" t="n">
        <v>51.6</v>
      </c>
      <c r="K123" s="11"/>
      <c r="L123" s="11"/>
      <c r="M123" s="11" t="n">
        <f aca="false">IF(ISNUMBER(L123),L123,J123)</f>
        <v>51.6</v>
      </c>
      <c r="N123" s="11" t="n">
        <f aca="false">ROUNDUP(M123,0)</f>
        <v>52</v>
      </c>
      <c r="O123" s="11" t="n">
        <f aca="false">MAX(I123,N123)</f>
        <v>52</v>
      </c>
      <c r="P123" s="11" t="n">
        <f aca="false">IF(C123="COVERED",MAX(0,O123-40),0)</f>
        <v>0</v>
      </c>
      <c r="Q123" s="11" t="n">
        <f aca="false">O123</f>
        <v>52</v>
      </c>
      <c r="R123" s="17" t="n">
        <f aca="false">IF(C123="COVERED",10.4,7.55)</f>
        <v>7.55</v>
      </c>
      <c r="S123" s="17" t="n">
        <f aca="false">Q123*R123</f>
        <v>392.6</v>
      </c>
      <c r="T123" s="9" t="s">
        <v>2769</v>
      </c>
      <c r="U123" s="10" t="n">
        <v>46235</v>
      </c>
      <c r="V123" s="9" t="n">
        <v>52</v>
      </c>
      <c r="W123" s="17" t="n">
        <v>7.55</v>
      </c>
      <c r="X123" s="17" t="n">
        <v>392.6</v>
      </c>
      <c r="Y123" s="17" t="n">
        <f aca="false">IF(ISNUMBER(X123),X123-S123,"")</f>
        <v>0</v>
      </c>
      <c r="Z123" s="17" t="n">
        <f aca="false">IF(ISNUMBER(X123),X123-S123,-S123)</f>
        <v>0</v>
      </c>
      <c r="AA123" s="9" t="str">
        <f aca="false">IF(NOT(ISNUMBER(X123)),"NO AUGUST POSTING IN EXPORT",IF(ABS(Y123)&gt;=0.005,"POSTED CHARGE MISMATCH",IF(P123&gt;0,"MATCH - COVERED ELIGIBILITY EXCEPTION","MATCH")))</f>
        <v>MATCH</v>
      </c>
      <c r="AB123" s="9" t="s">
        <v>2770</v>
      </c>
    </row>
    <row r="124" customFormat="false" ht="15" hidden="false" customHeight="false" outlineLevel="0" collapsed="false">
      <c r="A124" s="13" t="s">
        <v>2771</v>
      </c>
      <c r="B124" s="13" t="s">
        <v>145</v>
      </c>
      <c r="C124" s="13" t="s">
        <v>146</v>
      </c>
      <c r="D124" s="13" t="s">
        <v>2002</v>
      </c>
      <c r="E124" s="13" t="s">
        <v>2772</v>
      </c>
      <c r="F124" s="13" t="s">
        <v>2773</v>
      </c>
      <c r="G124" s="13" t="s">
        <v>2774</v>
      </c>
      <c r="H124" s="13" t="s">
        <v>2584</v>
      </c>
      <c r="I124" s="15" t="n">
        <v>28</v>
      </c>
      <c r="J124" s="15" t="n">
        <v>50.3</v>
      </c>
      <c r="K124" s="15"/>
      <c r="L124" s="15"/>
      <c r="M124" s="15" t="n">
        <f aca="false">IF(ISNUMBER(L124),L124,J124)</f>
        <v>50.3</v>
      </c>
      <c r="N124" s="15" t="n">
        <f aca="false">ROUNDUP(M124,0)</f>
        <v>51</v>
      </c>
      <c r="O124" s="15" t="n">
        <f aca="false">MAX(I124,N124)</f>
        <v>51</v>
      </c>
      <c r="P124" s="15" t="n">
        <f aca="false">IF(C124="COVERED",MAX(0,O124-40),0)</f>
        <v>0</v>
      </c>
      <c r="Q124" s="15" t="n">
        <f aca="false">O124</f>
        <v>51</v>
      </c>
      <c r="R124" s="18" t="n">
        <f aca="false">IF(C124="COVERED",10.4,7.55)</f>
        <v>7.55</v>
      </c>
      <c r="S124" s="18" t="n">
        <f aca="false">Q124*R124</f>
        <v>385.05</v>
      </c>
      <c r="T124" s="13" t="s">
        <v>2775</v>
      </c>
      <c r="U124" s="14" t="n">
        <v>46235</v>
      </c>
      <c r="V124" s="13" t="n">
        <v>51</v>
      </c>
      <c r="W124" s="18" t="n">
        <v>7.55</v>
      </c>
      <c r="X124" s="18" t="n">
        <v>385.05</v>
      </c>
      <c r="Y124" s="18" t="n">
        <f aca="false">IF(ISNUMBER(X124),X124-S124,"")</f>
        <v>0</v>
      </c>
      <c r="Z124" s="18" t="n">
        <f aca="false">IF(ISNUMBER(X124),X124-S124,-S124)</f>
        <v>0</v>
      </c>
      <c r="AA124" s="13" t="str">
        <f aca="false">IF(NOT(ISNUMBER(X124)),"NO AUGUST POSTING IN EXPORT",IF(ABS(Y124)&gt;=0.005,"POSTED CHARGE MISMATCH",IF(P124&gt;0,"MATCH - COVERED ELIGIBILITY EXCEPTION","MATCH")))</f>
        <v>MATCH</v>
      </c>
      <c r="AB124" s="13" t="s">
        <v>2776</v>
      </c>
    </row>
    <row r="125" customFormat="false" ht="15" hidden="false" customHeight="false" outlineLevel="0" collapsed="false">
      <c r="A125" s="9" t="s">
        <v>2777</v>
      </c>
      <c r="B125" s="9" t="s">
        <v>145</v>
      </c>
      <c r="C125" s="9" t="s">
        <v>146</v>
      </c>
      <c r="D125" s="9" t="s">
        <v>2002</v>
      </c>
      <c r="E125" s="9" t="s">
        <v>2778</v>
      </c>
      <c r="F125" s="9" t="s">
        <v>2779</v>
      </c>
      <c r="G125" s="9" t="s">
        <v>1540</v>
      </c>
      <c r="H125" s="9" t="s">
        <v>2780</v>
      </c>
      <c r="I125" s="11" t="n">
        <v>24</v>
      </c>
      <c r="J125" s="11" t="n">
        <v>47</v>
      </c>
      <c r="K125" s="11"/>
      <c r="L125" s="11"/>
      <c r="M125" s="11" t="n">
        <f aca="false">IF(ISNUMBER(L125),L125,J125)</f>
        <v>47</v>
      </c>
      <c r="N125" s="11" t="n">
        <f aca="false">ROUNDUP(M125,0)</f>
        <v>47</v>
      </c>
      <c r="O125" s="11" t="n">
        <f aca="false">MAX(I125,N125)</f>
        <v>47</v>
      </c>
      <c r="P125" s="11" t="n">
        <f aca="false">IF(C125="COVERED",MAX(0,O125-40),0)</f>
        <v>0</v>
      </c>
      <c r="Q125" s="11" t="n">
        <f aca="false">O125</f>
        <v>47</v>
      </c>
      <c r="R125" s="17" t="n">
        <f aca="false">IF(C125="COVERED",10.4,7.55)</f>
        <v>7.55</v>
      </c>
      <c r="S125" s="17" t="n">
        <f aca="false">Q125*R125</f>
        <v>354.85</v>
      </c>
      <c r="T125" s="9" t="s">
        <v>2781</v>
      </c>
      <c r="U125" s="10" t="n">
        <v>46235</v>
      </c>
      <c r="V125" s="9" t="n">
        <v>47</v>
      </c>
      <c r="W125" s="17" t="n">
        <v>7.55</v>
      </c>
      <c r="X125" s="17" t="n">
        <v>354.85</v>
      </c>
      <c r="Y125" s="17" t="n">
        <f aca="false">IF(ISNUMBER(X125),X125-S125,"")</f>
        <v>0</v>
      </c>
      <c r="Z125" s="17" t="n">
        <f aca="false">IF(ISNUMBER(X125),X125-S125,-S125)</f>
        <v>0</v>
      </c>
      <c r="AA125" s="9" t="str">
        <f aca="false">IF(NOT(ISNUMBER(X125)),"NO AUGUST POSTING IN EXPORT",IF(ABS(Y125)&gt;=0.005,"POSTED CHARGE MISMATCH",IF(P125&gt;0,"MATCH - COVERED ELIGIBILITY EXCEPTION","MATCH")))</f>
        <v>MATCH</v>
      </c>
      <c r="AB125" s="9" t="s">
        <v>2782</v>
      </c>
    </row>
    <row r="126" customFormat="false" ht="15" hidden="false" customHeight="false" outlineLevel="0" collapsed="false">
      <c r="A126" s="13" t="s">
        <v>2783</v>
      </c>
      <c r="B126" s="13" t="s">
        <v>145</v>
      </c>
      <c r="C126" s="13" t="s">
        <v>146</v>
      </c>
      <c r="D126" s="13" t="s">
        <v>2002</v>
      </c>
      <c r="E126" s="13" t="s">
        <v>2784</v>
      </c>
      <c r="F126" s="13" t="s">
        <v>2785</v>
      </c>
      <c r="G126" s="13" t="s">
        <v>2786</v>
      </c>
      <c r="H126" s="13" t="s">
        <v>2787</v>
      </c>
      <c r="I126" s="15" t="n">
        <v>45</v>
      </c>
      <c r="J126" s="15" t="n">
        <v>53</v>
      </c>
      <c r="K126" s="15"/>
      <c r="L126" s="15"/>
      <c r="M126" s="15" t="n">
        <f aca="false">IF(ISNUMBER(L126),L126,J126)</f>
        <v>53</v>
      </c>
      <c r="N126" s="15" t="n">
        <f aca="false">ROUNDUP(M126,0)</f>
        <v>53</v>
      </c>
      <c r="O126" s="15" t="n">
        <f aca="false">MAX(I126,N126)</f>
        <v>53</v>
      </c>
      <c r="P126" s="15" t="n">
        <f aca="false">IF(C126="COVERED",MAX(0,O126-40),0)</f>
        <v>0</v>
      </c>
      <c r="Q126" s="15" t="n">
        <f aca="false">O126</f>
        <v>53</v>
      </c>
      <c r="R126" s="18" t="n">
        <f aca="false">IF(C126="COVERED",10.4,7.55)</f>
        <v>7.55</v>
      </c>
      <c r="S126" s="18" t="n">
        <f aca="false">Q126*R126</f>
        <v>400.15</v>
      </c>
      <c r="T126" s="13" t="s">
        <v>2788</v>
      </c>
      <c r="U126" s="14" t="n">
        <v>46235</v>
      </c>
      <c r="V126" s="13" t="n">
        <v>53</v>
      </c>
      <c r="W126" s="18" t="n">
        <v>7.55</v>
      </c>
      <c r="X126" s="18" t="n">
        <v>400.15</v>
      </c>
      <c r="Y126" s="18" t="n">
        <f aca="false">IF(ISNUMBER(X126),X126-S126,"")</f>
        <v>0</v>
      </c>
      <c r="Z126" s="18" t="n">
        <f aca="false">IF(ISNUMBER(X126),X126-S126,-S126)</f>
        <v>0</v>
      </c>
      <c r="AA126" s="13" t="str">
        <f aca="false">IF(NOT(ISNUMBER(X126)),"NO AUGUST POSTING IN EXPORT",IF(ABS(Y126)&gt;=0.005,"POSTED CHARGE MISMATCH",IF(P126&gt;0,"MATCH - COVERED ELIGIBILITY EXCEPTION","MATCH")))</f>
        <v>MATCH</v>
      </c>
      <c r="AB126" s="13" t="s">
        <v>2789</v>
      </c>
    </row>
    <row r="127" customFormat="false" ht="15" hidden="false" customHeight="false" outlineLevel="0" collapsed="false">
      <c r="A127" s="9" t="s">
        <v>2790</v>
      </c>
      <c r="B127" s="9" t="s">
        <v>145</v>
      </c>
      <c r="C127" s="9" t="s">
        <v>146</v>
      </c>
      <c r="D127" s="9" t="s">
        <v>2002</v>
      </c>
      <c r="E127" s="9" t="s">
        <v>2791</v>
      </c>
      <c r="F127" s="9" t="s">
        <v>2792</v>
      </c>
      <c r="G127" s="9" t="s">
        <v>2793</v>
      </c>
      <c r="H127" s="9" t="s">
        <v>2794</v>
      </c>
      <c r="I127" s="11" t="n">
        <v>45</v>
      </c>
      <c r="J127" s="11" t="n">
        <v>23.5</v>
      </c>
      <c r="K127" s="11"/>
      <c r="L127" s="11"/>
      <c r="M127" s="11" t="n">
        <f aca="false">IF(ISNUMBER(L127),L127,J127)</f>
        <v>23.5</v>
      </c>
      <c r="N127" s="11" t="n">
        <f aca="false">ROUNDUP(M127,0)</f>
        <v>24</v>
      </c>
      <c r="O127" s="11" t="n">
        <f aca="false">MAX(I127,N127)</f>
        <v>45</v>
      </c>
      <c r="P127" s="11" t="n">
        <f aca="false">IF(C127="COVERED",MAX(0,O127-40),0)</f>
        <v>0</v>
      </c>
      <c r="Q127" s="11" t="n">
        <f aca="false">O127</f>
        <v>45</v>
      </c>
      <c r="R127" s="17" t="n">
        <f aca="false">IF(C127="COVERED",10.4,7.55)</f>
        <v>7.55</v>
      </c>
      <c r="S127" s="17" t="n">
        <f aca="false">Q127*R127</f>
        <v>339.75</v>
      </c>
      <c r="T127" s="9" t="s">
        <v>2795</v>
      </c>
      <c r="U127" s="10" t="n">
        <v>46235</v>
      </c>
      <c r="V127" s="9" t="n">
        <v>45</v>
      </c>
      <c r="W127" s="17" t="n">
        <v>7.55</v>
      </c>
      <c r="X127" s="17" t="n">
        <v>339.75</v>
      </c>
      <c r="Y127" s="17" t="n">
        <f aca="false">IF(ISNUMBER(X127),X127-S127,"")</f>
        <v>0</v>
      </c>
      <c r="Z127" s="17" t="n">
        <f aca="false">IF(ISNUMBER(X127),X127-S127,-S127)</f>
        <v>0</v>
      </c>
      <c r="AA127" s="9" t="str">
        <f aca="false">IF(NOT(ISNUMBER(X127)),"NO AUGUST POSTING IN EXPORT",IF(ABS(Y127)&gt;=0.005,"POSTED CHARGE MISMATCH",IF(P127&gt;0,"MATCH - COVERED ELIGIBILITY EXCEPTION","MATCH")))</f>
        <v>MATCH</v>
      </c>
      <c r="AB127" s="9" t="s">
        <v>2796</v>
      </c>
    </row>
    <row r="128" customFormat="false" ht="15" hidden="false" customHeight="false" outlineLevel="0" collapsed="false">
      <c r="A128" s="13" t="s">
        <v>2797</v>
      </c>
      <c r="B128" s="13" t="s">
        <v>145</v>
      </c>
      <c r="C128" s="13" t="s">
        <v>146</v>
      </c>
      <c r="D128" s="13" t="s">
        <v>2002</v>
      </c>
      <c r="E128" s="13" t="s">
        <v>2798</v>
      </c>
      <c r="F128" s="13" t="s">
        <v>2799</v>
      </c>
      <c r="G128" s="13" t="s">
        <v>2800</v>
      </c>
      <c r="H128" s="13" t="s">
        <v>2801</v>
      </c>
      <c r="I128" s="15" t="n">
        <v>36</v>
      </c>
      <c r="J128" s="15" t="n">
        <v>42.6</v>
      </c>
      <c r="K128" s="15"/>
      <c r="L128" s="15"/>
      <c r="M128" s="15" t="n">
        <f aca="false">IF(ISNUMBER(L128),L128,J128)</f>
        <v>42.6</v>
      </c>
      <c r="N128" s="15" t="n">
        <f aca="false">ROUNDUP(M128,0)</f>
        <v>43</v>
      </c>
      <c r="O128" s="15" t="n">
        <f aca="false">MAX(I128,N128)</f>
        <v>43</v>
      </c>
      <c r="P128" s="15" t="n">
        <f aca="false">IF(C128="COVERED",MAX(0,O128-40),0)</f>
        <v>0</v>
      </c>
      <c r="Q128" s="15" t="n">
        <f aca="false">O128</f>
        <v>43</v>
      </c>
      <c r="R128" s="18" t="n">
        <f aca="false">IF(C128="COVERED",10.4,7.55)</f>
        <v>7.55</v>
      </c>
      <c r="S128" s="18" t="n">
        <f aca="false">Q128*R128</f>
        <v>324.65</v>
      </c>
      <c r="T128" s="13" t="s">
        <v>2802</v>
      </c>
      <c r="U128" s="14" t="n">
        <v>46235</v>
      </c>
      <c r="V128" s="13" t="n">
        <v>43</v>
      </c>
      <c r="W128" s="18" t="n">
        <v>7.55</v>
      </c>
      <c r="X128" s="18" t="n">
        <v>324.65</v>
      </c>
      <c r="Y128" s="18" t="n">
        <f aca="false">IF(ISNUMBER(X128),X128-S128,"")</f>
        <v>0</v>
      </c>
      <c r="Z128" s="18" t="n">
        <f aca="false">IF(ISNUMBER(X128),X128-S128,-S128)</f>
        <v>0</v>
      </c>
      <c r="AA128" s="13" t="str">
        <f aca="false">IF(NOT(ISNUMBER(X128)),"NO AUGUST POSTING IN EXPORT",IF(ABS(Y128)&gt;=0.005,"POSTED CHARGE MISMATCH",IF(P128&gt;0,"MATCH - COVERED ELIGIBILITY EXCEPTION","MATCH")))</f>
        <v>MATCH</v>
      </c>
      <c r="AB128" s="13" t="s">
        <v>2803</v>
      </c>
    </row>
    <row r="129" customFormat="false" ht="15" hidden="false" customHeight="false" outlineLevel="0" collapsed="false">
      <c r="A129" s="9" t="s">
        <v>2804</v>
      </c>
      <c r="B129" s="9" t="s">
        <v>145</v>
      </c>
      <c r="C129" s="9" t="s">
        <v>146</v>
      </c>
      <c r="D129" s="9" t="s">
        <v>2002</v>
      </c>
      <c r="E129" s="9" t="s">
        <v>2805</v>
      </c>
      <c r="F129" s="9" t="s">
        <v>2806</v>
      </c>
      <c r="G129" s="9" t="s">
        <v>2807</v>
      </c>
      <c r="H129" s="9" t="s">
        <v>2808</v>
      </c>
      <c r="I129" s="11" t="n">
        <v>70</v>
      </c>
      <c r="J129" s="11" t="n">
        <v>27</v>
      </c>
      <c r="K129" s="11"/>
      <c r="L129" s="11"/>
      <c r="M129" s="11" t="n">
        <f aca="false">IF(ISNUMBER(L129),L129,J129)</f>
        <v>27</v>
      </c>
      <c r="N129" s="11" t="n">
        <f aca="false">ROUNDUP(M129,0)</f>
        <v>27</v>
      </c>
      <c r="O129" s="11" t="n">
        <f aca="false">MAX(I129,N129)</f>
        <v>70</v>
      </c>
      <c r="P129" s="11" t="n">
        <f aca="false">IF(C129="COVERED",MAX(0,O129-40),0)</f>
        <v>0</v>
      </c>
      <c r="Q129" s="11" t="n">
        <f aca="false">O129</f>
        <v>70</v>
      </c>
      <c r="R129" s="17" t="n">
        <f aca="false">IF(C129="COVERED",10.4,7.55)</f>
        <v>7.55</v>
      </c>
      <c r="S129" s="17" t="n">
        <f aca="false">Q129*R129</f>
        <v>528.5</v>
      </c>
      <c r="T129" s="9" t="s">
        <v>2809</v>
      </c>
      <c r="U129" s="10" t="n">
        <v>46235</v>
      </c>
      <c r="V129" s="9" t="n">
        <v>70</v>
      </c>
      <c r="W129" s="17" t="n">
        <v>7.55</v>
      </c>
      <c r="X129" s="17" t="n">
        <v>528.5</v>
      </c>
      <c r="Y129" s="17" t="n">
        <f aca="false">IF(ISNUMBER(X129),X129-S129,"")</f>
        <v>0</v>
      </c>
      <c r="Z129" s="17" t="n">
        <f aca="false">IF(ISNUMBER(X129),X129-S129,-S129)</f>
        <v>0</v>
      </c>
      <c r="AA129" s="9" t="str">
        <f aca="false">IF(NOT(ISNUMBER(X129)),"NO AUGUST POSTING IN EXPORT",IF(ABS(Y129)&gt;=0.005,"POSTED CHARGE MISMATCH",IF(P129&gt;0,"MATCH - COVERED ELIGIBILITY EXCEPTION","MATCH")))</f>
        <v>MATCH</v>
      </c>
      <c r="AB129" s="9" t="s">
        <v>2810</v>
      </c>
    </row>
    <row r="130" customFormat="false" ht="15" hidden="false" customHeight="false" outlineLevel="0" collapsed="false">
      <c r="A130" s="13" t="s">
        <v>2811</v>
      </c>
      <c r="B130" s="13" t="s">
        <v>145</v>
      </c>
      <c r="C130" s="13" t="s">
        <v>146</v>
      </c>
      <c r="D130" s="13" t="s">
        <v>2002</v>
      </c>
      <c r="E130" s="13" t="s">
        <v>2812</v>
      </c>
      <c r="F130" s="13" t="s">
        <v>2813</v>
      </c>
      <c r="G130" s="13" t="s">
        <v>2814</v>
      </c>
      <c r="H130" s="13" t="s">
        <v>2162</v>
      </c>
      <c r="I130" s="15" t="n">
        <v>28</v>
      </c>
      <c r="J130" s="15" t="n">
        <v>27.3</v>
      </c>
      <c r="K130" s="15"/>
      <c r="L130" s="15"/>
      <c r="M130" s="15" t="n">
        <f aca="false">IF(ISNUMBER(L130),L130,J130)</f>
        <v>27.3</v>
      </c>
      <c r="N130" s="15" t="n">
        <f aca="false">ROUNDUP(M130,0)</f>
        <v>28</v>
      </c>
      <c r="O130" s="15" t="n">
        <f aca="false">MAX(I130,N130)</f>
        <v>28</v>
      </c>
      <c r="P130" s="15" t="n">
        <f aca="false">IF(C130="COVERED",MAX(0,O130-40),0)</f>
        <v>0</v>
      </c>
      <c r="Q130" s="15" t="n">
        <f aca="false">O130</f>
        <v>28</v>
      </c>
      <c r="R130" s="18" t="n">
        <f aca="false">IF(C130="COVERED",10.4,7.55)</f>
        <v>7.55</v>
      </c>
      <c r="S130" s="18" t="n">
        <f aca="false">Q130*R130</f>
        <v>211.4</v>
      </c>
      <c r="T130" s="13" t="s">
        <v>2815</v>
      </c>
      <c r="U130" s="14" t="n">
        <v>46235</v>
      </c>
      <c r="V130" s="13" t="n">
        <v>28</v>
      </c>
      <c r="W130" s="18" t="n">
        <v>7.55</v>
      </c>
      <c r="X130" s="18" t="n">
        <v>211.4</v>
      </c>
      <c r="Y130" s="18" t="n">
        <f aca="false">IF(ISNUMBER(X130),X130-S130,"")</f>
        <v>0</v>
      </c>
      <c r="Z130" s="18" t="n">
        <f aca="false">IF(ISNUMBER(X130),X130-S130,-S130)</f>
        <v>0</v>
      </c>
      <c r="AA130" s="13" t="str">
        <f aca="false">IF(NOT(ISNUMBER(X130)),"NO AUGUST POSTING IN EXPORT",IF(ABS(Y130)&gt;=0.005,"POSTED CHARGE MISMATCH",IF(P130&gt;0,"MATCH - COVERED ELIGIBILITY EXCEPTION","MATCH")))</f>
        <v>MATCH</v>
      </c>
      <c r="AB130" s="13" t="s">
        <v>2816</v>
      </c>
    </row>
    <row r="131" customFormat="false" ht="15" hidden="false" customHeight="false" outlineLevel="0" collapsed="false">
      <c r="A131" s="9" t="s">
        <v>2817</v>
      </c>
      <c r="B131" s="9" t="s">
        <v>145</v>
      </c>
      <c r="C131" s="9" t="s">
        <v>146</v>
      </c>
      <c r="D131" s="9" t="s">
        <v>2002</v>
      </c>
      <c r="E131" s="9" t="s">
        <v>2818</v>
      </c>
      <c r="F131" s="9" t="s">
        <v>2819</v>
      </c>
      <c r="G131" s="9" t="s">
        <v>2820</v>
      </c>
      <c r="H131" s="9" t="s">
        <v>2821</v>
      </c>
      <c r="I131" s="11" t="n">
        <v>80</v>
      </c>
      <c r="J131" s="11" t="n">
        <v>61.6</v>
      </c>
      <c r="K131" s="11"/>
      <c r="L131" s="11"/>
      <c r="M131" s="11" t="n">
        <f aca="false">IF(ISNUMBER(L131),L131,J131)</f>
        <v>61.6</v>
      </c>
      <c r="N131" s="11" t="n">
        <f aca="false">ROUNDUP(M131,0)</f>
        <v>62</v>
      </c>
      <c r="O131" s="11" t="n">
        <f aca="false">MAX(I131,N131)</f>
        <v>80</v>
      </c>
      <c r="P131" s="11" t="n">
        <f aca="false">IF(C131="COVERED",MAX(0,O131-40),0)</f>
        <v>0</v>
      </c>
      <c r="Q131" s="11" t="n">
        <f aca="false">O131</f>
        <v>80</v>
      </c>
      <c r="R131" s="17" t="n">
        <f aca="false">IF(C131="COVERED",10.4,7.55)</f>
        <v>7.55</v>
      </c>
      <c r="S131" s="17" t="n">
        <f aca="false">Q131*R131</f>
        <v>604</v>
      </c>
      <c r="T131" s="9" t="s">
        <v>2822</v>
      </c>
      <c r="U131" s="10" t="n">
        <v>46235</v>
      </c>
      <c r="V131" s="9" t="n">
        <v>80</v>
      </c>
      <c r="W131" s="17" t="n">
        <v>7.55</v>
      </c>
      <c r="X131" s="17" t="n">
        <v>604</v>
      </c>
      <c r="Y131" s="17" t="n">
        <f aca="false">IF(ISNUMBER(X131),X131-S131,"")</f>
        <v>0</v>
      </c>
      <c r="Z131" s="17" t="n">
        <f aca="false">IF(ISNUMBER(X131),X131-S131,-S131)</f>
        <v>0</v>
      </c>
      <c r="AA131" s="9" t="str">
        <f aca="false">IF(NOT(ISNUMBER(X131)),"NO AUGUST POSTING IN EXPORT",IF(ABS(Y131)&gt;=0.005,"POSTED CHARGE MISMATCH",IF(P131&gt;0,"MATCH - COVERED ELIGIBILITY EXCEPTION","MATCH")))</f>
        <v>MATCH</v>
      </c>
      <c r="AB131" s="9" t="s">
        <v>2823</v>
      </c>
    </row>
    <row r="132" customFormat="false" ht="15" hidden="false" customHeight="false" outlineLevel="0" collapsed="false">
      <c r="A132" s="13" t="s">
        <v>2824</v>
      </c>
      <c r="B132" s="13" t="s">
        <v>145</v>
      </c>
      <c r="C132" s="13" t="s">
        <v>146</v>
      </c>
      <c r="D132" s="13" t="s">
        <v>2002</v>
      </c>
      <c r="E132" s="13" t="s">
        <v>2825</v>
      </c>
      <c r="F132" s="13" t="s">
        <v>2826</v>
      </c>
      <c r="G132" s="13" t="s">
        <v>2827</v>
      </c>
      <c r="H132" s="13" t="s">
        <v>2828</v>
      </c>
      <c r="I132" s="15" t="n">
        <v>32</v>
      </c>
      <c r="J132" s="15" t="n">
        <v>61.8</v>
      </c>
      <c r="K132" s="15"/>
      <c r="L132" s="15"/>
      <c r="M132" s="15" t="n">
        <f aca="false">IF(ISNUMBER(L132),L132,J132)</f>
        <v>61.8</v>
      </c>
      <c r="N132" s="15" t="n">
        <f aca="false">ROUNDUP(M132,0)</f>
        <v>62</v>
      </c>
      <c r="O132" s="15" t="n">
        <f aca="false">MAX(I132,N132)</f>
        <v>62</v>
      </c>
      <c r="P132" s="15" t="n">
        <f aca="false">IF(C132="COVERED",MAX(0,O132-40),0)</f>
        <v>0</v>
      </c>
      <c r="Q132" s="15" t="n">
        <f aca="false">O132</f>
        <v>62</v>
      </c>
      <c r="R132" s="18" t="n">
        <f aca="false">IF(C132="COVERED",10.4,7.55)</f>
        <v>7.55</v>
      </c>
      <c r="S132" s="18" t="n">
        <f aca="false">Q132*R132</f>
        <v>468.1</v>
      </c>
      <c r="T132" s="13" t="s">
        <v>2829</v>
      </c>
      <c r="U132" s="14" t="n">
        <v>46235</v>
      </c>
      <c r="V132" s="13" t="n">
        <v>62</v>
      </c>
      <c r="W132" s="18" t="n">
        <v>7.55</v>
      </c>
      <c r="X132" s="18" t="n">
        <v>468.1</v>
      </c>
      <c r="Y132" s="18" t="n">
        <f aca="false">IF(ISNUMBER(X132),X132-S132,"")</f>
        <v>0</v>
      </c>
      <c r="Z132" s="18" t="n">
        <f aca="false">IF(ISNUMBER(X132),X132-S132,-S132)</f>
        <v>0</v>
      </c>
      <c r="AA132" s="13" t="str">
        <f aca="false">IF(NOT(ISNUMBER(X132)),"NO AUGUST POSTING IN EXPORT",IF(ABS(Y132)&gt;=0.005,"POSTED CHARGE MISMATCH",IF(P132&gt;0,"MATCH - COVERED ELIGIBILITY EXCEPTION","MATCH")))</f>
        <v>MATCH</v>
      </c>
      <c r="AB132" s="13" t="s">
        <v>2830</v>
      </c>
    </row>
    <row r="133" customFormat="false" ht="15" hidden="false" customHeight="false" outlineLevel="0" collapsed="false">
      <c r="A133" s="9" t="s">
        <v>729</v>
      </c>
      <c r="B133" s="9" t="s">
        <v>145</v>
      </c>
      <c r="C133" s="9" t="s">
        <v>146</v>
      </c>
      <c r="D133" s="9" t="s">
        <v>2002</v>
      </c>
      <c r="E133" s="9" t="s">
        <v>2831</v>
      </c>
      <c r="F133" s="9" t="s">
        <v>2832</v>
      </c>
      <c r="G133" s="9" t="s">
        <v>2833</v>
      </c>
      <c r="H133" s="9" t="s">
        <v>2834</v>
      </c>
      <c r="I133" s="11" t="n">
        <v>60</v>
      </c>
      <c r="J133" s="11" t="n">
        <v>47.3</v>
      </c>
      <c r="K133" s="11"/>
      <c r="L133" s="11"/>
      <c r="M133" s="11" t="n">
        <f aca="false">IF(ISNUMBER(L133),L133,J133)</f>
        <v>47.3</v>
      </c>
      <c r="N133" s="11" t="n">
        <f aca="false">ROUNDUP(M133,0)</f>
        <v>48</v>
      </c>
      <c r="O133" s="11" t="n">
        <f aca="false">MAX(I133,N133)</f>
        <v>60</v>
      </c>
      <c r="P133" s="11" t="n">
        <f aca="false">IF(C133="COVERED",MAX(0,O133-40),0)</f>
        <v>0</v>
      </c>
      <c r="Q133" s="11" t="n">
        <f aca="false">O133</f>
        <v>60</v>
      </c>
      <c r="R133" s="17" t="n">
        <f aca="false">IF(C133="COVERED",10.4,7.55)</f>
        <v>7.55</v>
      </c>
      <c r="S133" s="17" t="n">
        <f aca="false">Q133*R133</f>
        <v>453</v>
      </c>
      <c r="T133" s="9" t="s">
        <v>2835</v>
      </c>
      <c r="U133" s="10" t="n">
        <v>46235</v>
      </c>
      <c r="V133" s="9" t="n">
        <v>60</v>
      </c>
      <c r="W133" s="17" t="n">
        <v>7.55</v>
      </c>
      <c r="X133" s="17" t="n">
        <v>453</v>
      </c>
      <c r="Y133" s="17" t="n">
        <f aca="false">IF(ISNUMBER(X133),X133-S133,"")</f>
        <v>0</v>
      </c>
      <c r="Z133" s="17" t="n">
        <f aca="false">IF(ISNUMBER(X133),X133-S133,-S133)</f>
        <v>0</v>
      </c>
      <c r="AA133" s="9" t="str">
        <f aca="false">IF(NOT(ISNUMBER(X133)),"NO AUGUST POSTING IN EXPORT",IF(ABS(Y133)&gt;=0.005,"POSTED CHARGE MISMATCH",IF(P133&gt;0,"MATCH - COVERED ELIGIBILITY EXCEPTION","MATCH")))</f>
        <v>MATCH</v>
      </c>
      <c r="AB133" s="9" t="s">
        <v>2836</v>
      </c>
    </row>
    <row r="134" customFormat="false" ht="15" hidden="false" customHeight="false" outlineLevel="0" collapsed="false">
      <c r="A134" s="13" t="s">
        <v>2837</v>
      </c>
      <c r="B134" s="13" t="s">
        <v>145</v>
      </c>
      <c r="C134" s="13" t="s">
        <v>146</v>
      </c>
      <c r="D134" s="13" t="s">
        <v>2002</v>
      </c>
      <c r="E134" s="13" t="s">
        <v>2838</v>
      </c>
      <c r="F134" s="13" t="s">
        <v>2839</v>
      </c>
      <c r="G134" s="13" t="s">
        <v>2840</v>
      </c>
      <c r="H134" s="13" t="s">
        <v>2841</v>
      </c>
      <c r="I134" s="15" t="n">
        <v>45</v>
      </c>
      <c r="J134" s="15" t="n">
        <v>24</v>
      </c>
      <c r="K134" s="15"/>
      <c r="L134" s="15"/>
      <c r="M134" s="15" t="n">
        <f aca="false">IF(ISNUMBER(L134),L134,J134)</f>
        <v>24</v>
      </c>
      <c r="N134" s="15" t="n">
        <f aca="false">ROUNDUP(M134,0)</f>
        <v>24</v>
      </c>
      <c r="O134" s="15" t="n">
        <f aca="false">MAX(I134,N134)</f>
        <v>45</v>
      </c>
      <c r="P134" s="15" t="n">
        <f aca="false">IF(C134="COVERED",MAX(0,O134-40),0)</f>
        <v>0</v>
      </c>
      <c r="Q134" s="15" t="n">
        <f aca="false">O134</f>
        <v>45</v>
      </c>
      <c r="R134" s="18" t="n">
        <f aca="false">IF(C134="COVERED",10.4,7.55)</f>
        <v>7.55</v>
      </c>
      <c r="S134" s="18" t="n">
        <f aca="false">Q134*R134</f>
        <v>339.75</v>
      </c>
      <c r="T134" s="13" t="s">
        <v>2842</v>
      </c>
      <c r="U134" s="14" t="n">
        <v>46235</v>
      </c>
      <c r="V134" s="13" t="n">
        <v>45</v>
      </c>
      <c r="W134" s="18" t="n">
        <v>7.55</v>
      </c>
      <c r="X134" s="18" t="n">
        <v>339.75</v>
      </c>
      <c r="Y134" s="18" t="n">
        <f aca="false">IF(ISNUMBER(X134),X134-S134,"")</f>
        <v>0</v>
      </c>
      <c r="Z134" s="18" t="n">
        <f aca="false">IF(ISNUMBER(X134),X134-S134,-S134)</f>
        <v>0</v>
      </c>
      <c r="AA134" s="13" t="str">
        <f aca="false">IF(NOT(ISNUMBER(X134)),"NO AUGUST POSTING IN EXPORT",IF(ABS(Y134)&gt;=0.005,"POSTED CHARGE MISMATCH",IF(P134&gt;0,"MATCH - COVERED ELIGIBILITY EXCEPTION","MATCH")))</f>
        <v>MATCH</v>
      </c>
      <c r="AB134" s="13" t="s">
        <v>2843</v>
      </c>
    </row>
    <row r="135" customFormat="false" ht="15" hidden="false" customHeight="false" outlineLevel="0" collapsed="false">
      <c r="A135" s="9" t="s">
        <v>2844</v>
      </c>
      <c r="B135" s="9" t="s">
        <v>145</v>
      </c>
      <c r="C135" s="9" t="s">
        <v>146</v>
      </c>
      <c r="D135" s="9" t="s">
        <v>2002</v>
      </c>
      <c r="E135" s="9" t="s">
        <v>2845</v>
      </c>
      <c r="F135" s="9" t="s">
        <v>2846</v>
      </c>
      <c r="G135" s="9" t="s">
        <v>2847</v>
      </c>
      <c r="H135" s="9" t="s">
        <v>2546</v>
      </c>
      <c r="I135" s="11" t="n">
        <v>32</v>
      </c>
      <c r="J135" s="11" t="n">
        <v>51.2</v>
      </c>
      <c r="K135" s="11"/>
      <c r="L135" s="11"/>
      <c r="M135" s="11" t="n">
        <f aca="false">IF(ISNUMBER(L135),L135,J135)</f>
        <v>51.2</v>
      </c>
      <c r="N135" s="11" t="n">
        <f aca="false">ROUNDUP(M135,0)</f>
        <v>52</v>
      </c>
      <c r="O135" s="11" t="n">
        <f aca="false">MAX(I135,N135)</f>
        <v>52</v>
      </c>
      <c r="P135" s="11" t="n">
        <f aca="false">IF(C135="COVERED",MAX(0,O135-40),0)</f>
        <v>0</v>
      </c>
      <c r="Q135" s="11" t="n">
        <f aca="false">O135</f>
        <v>52</v>
      </c>
      <c r="R135" s="17" t="n">
        <f aca="false">IF(C135="COVERED",10.4,7.55)</f>
        <v>7.55</v>
      </c>
      <c r="S135" s="17" t="n">
        <f aca="false">Q135*R135</f>
        <v>392.6</v>
      </c>
      <c r="T135" s="9" t="s">
        <v>2848</v>
      </c>
      <c r="U135" s="10" t="n">
        <v>46235</v>
      </c>
      <c r="V135" s="9" t="n">
        <v>52</v>
      </c>
      <c r="W135" s="17" t="n">
        <v>7.55</v>
      </c>
      <c r="X135" s="17" t="n">
        <v>392.6</v>
      </c>
      <c r="Y135" s="17" t="n">
        <f aca="false">IF(ISNUMBER(X135),X135-S135,"")</f>
        <v>0</v>
      </c>
      <c r="Z135" s="17" t="n">
        <f aca="false">IF(ISNUMBER(X135),X135-S135,-S135)</f>
        <v>0</v>
      </c>
      <c r="AA135" s="9" t="str">
        <f aca="false">IF(NOT(ISNUMBER(X135)),"NO AUGUST POSTING IN EXPORT",IF(ABS(Y135)&gt;=0.005,"POSTED CHARGE MISMATCH",IF(P135&gt;0,"MATCH - COVERED ELIGIBILITY EXCEPTION","MATCH")))</f>
        <v>MATCH</v>
      </c>
      <c r="AB135" s="9" t="s">
        <v>2849</v>
      </c>
    </row>
    <row r="136" customFormat="false" ht="15" hidden="false" customHeight="false" outlineLevel="0" collapsed="false">
      <c r="A136" s="13" t="s">
        <v>1579</v>
      </c>
      <c r="B136" s="13" t="s">
        <v>145</v>
      </c>
      <c r="C136" s="13" t="s">
        <v>146</v>
      </c>
      <c r="D136" s="13" t="s">
        <v>2002</v>
      </c>
      <c r="E136" s="13" t="s">
        <v>2850</v>
      </c>
      <c r="F136" s="13" t="s">
        <v>2851</v>
      </c>
      <c r="G136" s="13" t="s">
        <v>2852</v>
      </c>
      <c r="H136" s="13" t="s">
        <v>2853</v>
      </c>
      <c r="I136" s="15" t="n">
        <v>32</v>
      </c>
      <c r="J136" s="15" t="n">
        <v>44.2</v>
      </c>
      <c r="K136" s="15"/>
      <c r="L136" s="15"/>
      <c r="M136" s="15" t="n">
        <f aca="false">IF(ISNUMBER(L136),L136,J136)</f>
        <v>44.2</v>
      </c>
      <c r="N136" s="15" t="n">
        <f aca="false">ROUNDUP(M136,0)</f>
        <v>45</v>
      </c>
      <c r="O136" s="15" t="n">
        <f aca="false">MAX(I136,N136)</f>
        <v>45</v>
      </c>
      <c r="P136" s="15" t="n">
        <f aca="false">IF(C136="COVERED",MAX(0,O136-40),0)</f>
        <v>0</v>
      </c>
      <c r="Q136" s="15" t="n">
        <f aca="false">O136</f>
        <v>45</v>
      </c>
      <c r="R136" s="18" t="n">
        <f aca="false">IF(C136="COVERED",10.4,7.55)</f>
        <v>7.55</v>
      </c>
      <c r="S136" s="18" t="n">
        <f aca="false">Q136*R136</f>
        <v>339.75</v>
      </c>
      <c r="T136" s="13" t="s">
        <v>2854</v>
      </c>
      <c r="U136" s="14" t="n">
        <v>46235</v>
      </c>
      <c r="V136" s="13" t="n">
        <v>45</v>
      </c>
      <c r="W136" s="18" t="n">
        <v>7.55</v>
      </c>
      <c r="X136" s="18" t="n">
        <v>339.75</v>
      </c>
      <c r="Y136" s="18" t="n">
        <f aca="false">IF(ISNUMBER(X136),X136-S136,"")</f>
        <v>0</v>
      </c>
      <c r="Z136" s="18" t="n">
        <f aca="false">IF(ISNUMBER(X136),X136-S136,-S136)</f>
        <v>0</v>
      </c>
      <c r="AA136" s="13" t="str">
        <f aca="false">IF(NOT(ISNUMBER(X136)),"NO AUGUST POSTING IN EXPORT",IF(ABS(Y136)&gt;=0.005,"POSTED CHARGE MISMATCH",IF(P136&gt;0,"MATCH - COVERED ELIGIBILITY EXCEPTION","MATCH")))</f>
        <v>MATCH</v>
      </c>
      <c r="AB136" s="13" t="s">
        <v>2855</v>
      </c>
    </row>
    <row r="137" customFormat="false" ht="15" hidden="false" customHeight="false" outlineLevel="0" collapsed="false">
      <c r="A137" s="9" t="s">
        <v>2856</v>
      </c>
      <c r="B137" s="9" t="s">
        <v>145</v>
      </c>
      <c r="C137" s="9" t="s">
        <v>146</v>
      </c>
      <c r="D137" s="9" t="s">
        <v>2002</v>
      </c>
      <c r="E137" s="9" t="s">
        <v>2857</v>
      </c>
      <c r="F137" s="9" t="s">
        <v>2858</v>
      </c>
      <c r="G137" s="9" t="s">
        <v>2859</v>
      </c>
      <c r="H137" s="9" t="s">
        <v>2860</v>
      </c>
      <c r="I137" s="11" t="n">
        <v>40</v>
      </c>
      <c r="J137" s="11" t="n">
        <v>50.3</v>
      </c>
      <c r="K137" s="11"/>
      <c r="L137" s="11"/>
      <c r="M137" s="11" t="n">
        <f aca="false">IF(ISNUMBER(L137),L137,J137)</f>
        <v>50.3</v>
      </c>
      <c r="N137" s="11" t="n">
        <f aca="false">ROUNDUP(M137,0)</f>
        <v>51</v>
      </c>
      <c r="O137" s="11" t="n">
        <f aca="false">MAX(I137,N137)</f>
        <v>51</v>
      </c>
      <c r="P137" s="11" t="n">
        <f aca="false">IF(C137="COVERED",MAX(0,O137-40),0)</f>
        <v>0</v>
      </c>
      <c r="Q137" s="11" t="n">
        <f aca="false">O137</f>
        <v>51</v>
      </c>
      <c r="R137" s="17" t="n">
        <f aca="false">IF(C137="COVERED",10.4,7.55)</f>
        <v>7.55</v>
      </c>
      <c r="S137" s="17" t="n">
        <f aca="false">Q137*R137</f>
        <v>385.05</v>
      </c>
      <c r="T137" s="9" t="s">
        <v>2861</v>
      </c>
      <c r="U137" s="10" t="n">
        <v>46235</v>
      </c>
      <c r="V137" s="9" t="n">
        <v>51</v>
      </c>
      <c r="W137" s="17" t="n">
        <v>7.55</v>
      </c>
      <c r="X137" s="17" t="n">
        <v>385.05</v>
      </c>
      <c r="Y137" s="17" t="n">
        <f aca="false">IF(ISNUMBER(X137),X137-S137,"")</f>
        <v>0</v>
      </c>
      <c r="Z137" s="17" t="n">
        <f aca="false">IF(ISNUMBER(X137),X137-S137,-S137)</f>
        <v>0</v>
      </c>
      <c r="AA137" s="9" t="str">
        <f aca="false">IF(NOT(ISNUMBER(X137)),"NO AUGUST POSTING IN EXPORT",IF(ABS(Y137)&gt;=0.005,"POSTED CHARGE MISMATCH",IF(P137&gt;0,"MATCH - COVERED ELIGIBILITY EXCEPTION","MATCH")))</f>
        <v>MATCH</v>
      </c>
      <c r="AB137" s="9" t="s">
        <v>2862</v>
      </c>
    </row>
    <row r="138" customFormat="false" ht="15" hidden="false" customHeight="false" outlineLevel="0" collapsed="false">
      <c r="A138" s="13" t="s">
        <v>2863</v>
      </c>
      <c r="B138" s="13" t="s">
        <v>145</v>
      </c>
      <c r="C138" s="13" t="s">
        <v>146</v>
      </c>
      <c r="D138" s="13" t="s">
        <v>2002</v>
      </c>
      <c r="E138" s="13" t="s">
        <v>2864</v>
      </c>
      <c r="F138" s="13" t="s">
        <v>2865</v>
      </c>
      <c r="G138" s="13" t="s">
        <v>2866</v>
      </c>
      <c r="H138" s="13" t="s">
        <v>2867</v>
      </c>
      <c r="I138" s="15" t="n">
        <v>36</v>
      </c>
      <c r="J138" s="15" t="n">
        <v>42.5</v>
      </c>
      <c r="K138" s="15"/>
      <c r="L138" s="15"/>
      <c r="M138" s="15" t="n">
        <f aca="false">IF(ISNUMBER(L138),L138,J138)</f>
        <v>42.5</v>
      </c>
      <c r="N138" s="15" t="n">
        <f aca="false">ROUNDUP(M138,0)</f>
        <v>43</v>
      </c>
      <c r="O138" s="15" t="n">
        <f aca="false">MAX(I138,N138)</f>
        <v>43</v>
      </c>
      <c r="P138" s="15" t="n">
        <f aca="false">IF(C138="COVERED",MAX(0,O138-40),0)</f>
        <v>0</v>
      </c>
      <c r="Q138" s="15" t="n">
        <f aca="false">O138</f>
        <v>43</v>
      </c>
      <c r="R138" s="18" t="n">
        <f aca="false">IF(C138="COVERED",10.4,7.55)</f>
        <v>7.55</v>
      </c>
      <c r="S138" s="18" t="n">
        <f aca="false">Q138*R138</f>
        <v>324.65</v>
      </c>
      <c r="T138" s="13" t="s">
        <v>2868</v>
      </c>
      <c r="U138" s="14" t="n">
        <v>46235</v>
      </c>
      <c r="V138" s="13" t="n">
        <v>43</v>
      </c>
      <c r="W138" s="18" t="n">
        <v>7.55</v>
      </c>
      <c r="X138" s="18" t="n">
        <v>324.65</v>
      </c>
      <c r="Y138" s="18" t="n">
        <f aca="false">IF(ISNUMBER(X138),X138-S138,"")</f>
        <v>0</v>
      </c>
      <c r="Z138" s="18" t="n">
        <f aca="false">IF(ISNUMBER(X138),X138-S138,-S138)</f>
        <v>0</v>
      </c>
      <c r="AA138" s="13" t="str">
        <f aca="false">IF(NOT(ISNUMBER(X138)),"NO AUGUST POSTING IN EXPORT",IF(ABS(Y138)&gt;=0.005,"POSTED CHARGE MISMATCH",IF(P138&gt;0,"MATCH - COVERED ELIGIBILITY EXCEPTION","MATCH")))</f>
        <v>MATCH</v>
      </c>
      <c r="AB138" s="13" t="s">
        <v>2869</v>
      </c>
    </row>
    <row r="139" customFormat="false" ht="15" hidden="false" customHeight="false" outlineLevel="0" collapsed="false">
      <c r="A139" s="9" t="s">
        <v>717</v>
      </c>
      <c r="B139" s="9" t="s">
        <v>145</v>
      </c>
      <c r="C139" s="9" t="s">
        <v>146</v>
      </c>
      <c r="D139" s="9" t="s">
        <v>2002</v>
      </c>
      <c r="E139" s="9" t="s">
        <v>2870</v>
      </c>
      <c r="F139" s="9" t="s">
        <v>2871</v>
      </c>
      <c r="G139" s="9" t="s">
        <v>2872</v>
      </c>
      <c r="H139" s="9" t="s">
        <v>2873</v>
      </c>
      <c r="I139" s="11" t="n">
        <v>50</v>
      </c>
      <c r="J139" s="11" t="n">
        <v>44.2</v>
      </c>
      <c r="K139" s="11"/>
      <c r="L139" s="11"/>
      <c r="M139" s="11" t="n">
        <f aca="false">IF(ISNUMBER(L139),L139,J139)</f>
        <v>44.2</v>
      </c>
      <c r="N139" s="11" t="n">
        <f aca="false">ROUNDUP(M139,0)</f>
        <v>45</v>
      </c>
      <c r="O139" s="11" t="n">
        <f aca="false">MAX(I139,N139)</f>
        <v>50</v>
      </c>
      <c r="P139" s="11" t="n">
        <f aca="false">IF(C139="COVERED",MAX(0,O139-40),0)</f>
        <v>0</v>
      </c>
      <c r="Q139" s="11" t="n">
        <f aca="false">O139</f>
        <v>50</v>
      </c>
      <c r="R139" s="17" t="n">
        <f aca="false">IF(C139="COVERED",10.4,7.55)</f>
        <v>7.55</v>
      </c>
      <c r="S139" s="17" t="n">
        <f aca="false">Q139*R139</f>
        <v>377.5</v>
      </c>
      <c r="T139" s="9" t="s">
        <v>2874</v>
      </c>
      <c r="U139" s="10" t="n">
        <v>46235</v>
      </c>
      <c r="V139" s="9" t="n">
        <v>50</v>
      </c>
      <c r="W139" s="17" t="n">
        <v>7.55</v>
      </c>
      <c r="X139" s="17" t="n">
        <v>377.5</v>
      </c>
      <c r="Y139" s="17" t="n">
        <f aca="false">IF(ISNUMBER(X139),X139-S139,"")</f>
        <v>0</v>
      </c>
      <c r="Z139" s="17" t="n">
        <f aca="false">IF(ISNUMBER(X139),X139-S139,-S139)</f>
        <v>0</v>
      </c>
      <c r="AA139" s="9" t="str">
        <f aca="false">IF(NOT(ISNUMBER(X139)),"NO AUGUST POSTING IN EXPORT",IF(ABS(Y139)&gt;=0.005,"POSTED CHARGE MISMATCH",IF(P139&gt;0,"MATCH - COVERED ELIGIBILITY EXCEPTION","MATCH")))</f>
        <v>MATCH</v>
      </c>
      <c r="AB139" s="9" t="s">
        <v>2875</v>
      </c>
    </row>
    <row r="140" customFormat="false" ht="15" hidden="false" customHeight="false" outlineLevel="0" collapsed="false">
      <c r="A140" s="13" t="s">
        <v>793</v>
      </c>
      <c r="B140" s="13" t="s">
        <v>145</v>
      </c>
      <c r="C140" s="13" t="s">
        <v>146</v>
      </c>
      <c r="D140" s="13" t="s">
        <v>2002</v>
      </c>
      <c r="E140" s="13" t="s">
        <v>2876</v>
      </c>
      <c r="F140" s="13" t="s">
        <v>1837</v>
      </c>
      <c r="G140" s="13" t="s">
        <v>1838</v>
      </c>
      <c r="H140" s="13" t="s">
        <v>2877</v>
      </c>
      <c r="I140" s="15" t="n">
        <v>28</v>
      </c>
      <c r="J140" s="15" t="n">
        <v>23.6</v>
      </c>
      <c r="K140" s="15"/>
      <c r="L140" s="15"/>
      <c r="M140" s="15" t="n">
        <f aca="false">IF(ISNUMBER(L140),L140,J140)</f>
        <v>23.6</v>
      </c>
      <c r="N140" s="15" t="n">
        <f aca="false">ROUNDUP(M140,0)</f>
        <v>24</v>
      </c>
      <c r="O140" s="15" t="n">
        <f aca="false">MAX(I140,N140)</f>
        <v>28</v>
      </c>
      <c r="P140" s="15" t="n">
        <f aca="false">IF(C140="COVERED",MAX(0,O140-40),0)</f>
        <v>0</v>
      </c>
      <c r="Q140" s="15" t="n">
        <f aca="false">O140</f>
        <v>28</v>
      </c>
      <c r="R140" s="18" t="n">
        <f aca="false">IF(C140="COVERED",10.4,7.55)</f>
        <v>7.55</v>
      </c>
      <c r="S140" s="18" t="n">
        <f aca="false">Q140*R140</f>
        <v>211.4</v>
      </c>
      <c r="T140" s="13" t="s">
        <v>2878</v>
      </c>
      <c r="U140" s="14" t="n">
        <v>46235</v>
      </c>
      <c r="V140" s="13" t="n">
        <v>28</v>
      </c>
      <c r="W140" s="18" t="n">
        <v>7.55</v>
      </c>
      <c r="X140" s="18" t="n">
        <v>211.4</v>
      </c>
      <c r="Y140" s="18" t="n">
        <f aca="false">IF(ISNUMBER(X140),X140-S140,"")</f>
        <v>0</v>
      </c>
      <c r="Z140" s="18" t="n">
        <f aca="false">IF(ISNUMBER(X140),X140-S140,-S140)</f>
        <v>0</v>
      </c>
      <c r="AA140" s="13" t="str">
        <f aca="false">IF(NOT(ISNUMBER(X140)),"NO AUGUST POSTING IN EXPORT",IF(ABS(Y140)&gt;=0.005,"POSTED CHARGE MISMATCH",IF(P140&gt;0,"MATCH - COVERED ELIGIBILITY EXCEPTION","MATCH")))</f>
        <v>MATCH</v>
      </c>
      <c r="AB140" s="13" t="s">
        <v>2879</v>
      </c>
    </row>
    <row r="141" customFormat="false" ht="15" hidden="false" customHeight="false" outlineLevel="0" collapsed="false">
      <c r="A141" s="9" t="s">
        <v>2880</v>
      </c>
      <c r="B141" s="9" t="s">
        <v>145</v>
      </c>
      <c r="C141" s="9" t="s">
        <v>146</v>
      </c>
      <c r="D141" s="9" t="s">
        <v>2002</v>
      </c>
      <c r="E141" s="9" t="s">
        <v>2881</v>
      </c>
      <c r="F141" s="9" t="s">
        <v>2882</v>
      </c>
      <c r="G141" s="9" t="s">
        <v>2883</v>
      </c>
      <c r="H141" s="9" t="s">
        <v>2884</v>
      </c>
      <c r="I141" s="11" t="n">
        <v>24</v>
      </c>
      <c r="J141" s="11" t="n">
        <v>27.6</v>
      </c>
      <c r="K141" s="11"/>
      <c r="L141" s="11"/>
      <c r="M141" s="11" t="n">
        <f aca="false">IF(ISNUMBER(L141),L141,J141)</f>
        <v>27.6</v>
      </c>
      <c r="N141" s="11" t="n">
        <f aca="false">ROUNDUP(M141,0)</f>
        <v>28</v>
      </c>
      <c r="O141" s="11" t="n">
        <f aca="false">MAX(I141,N141)</f>
        <v>28</v>
      </c>
      <c r="P141" s="11" t="n">
        <f aca="false">IF(C141="COVERED",MAX(0,O141-40),0)</f>
        <v>0</v>
      </c>
      <c r="Q141" s="11" t="n">
        <f aca="false">O141</f>
        <v>28</v>
      </c>
      <c r="R141" s="17" t="n">
        <f aca="false">IF(C141="COVERED",10.4,7.55)</f>
        <v>7.55</v>
      </c>
      <c r="S141" s="17" t="n">
        <f aca="false">Q141*R141</f>
        <v>211.4</v>
      </c>
      <c r="T141" s="9" t="s">
        <v>2885</v>
      </c>
      <c r="U141" s="10" t="n">
        <v>46235</v>
      </c>
      <c r="V141" s="9" t="n">
        <v>28</v>
      </c>
      <c r="W141" s="17" t="n">
        <v>7.55</v>
      </c>
      <c r="X141" s="17" t="n">
        <v>211.4</v>
      </c>
      <c r="Y141" s="17" t="n">
        <f aca="false">IF(ISNUMBER(X141),X141-S141,"")</f>
        <v>0</v>
      </c>
      <c r="Z141" s="17" t="n">
        <f aca="false">IF(ISNUMBER(X141),X141-S141,-S141)</f>
        <v>0</v>
      </c>
      <c r="AA141" s="9" t="str">
        <f aca="false">IF(NOT(ISNUMBER(X141)),"NO AUGUST POSTING IN EXPORT",IF(ABS(Y141)&gt;=0.005,"POSTED CHARGE MISMATCH",IF(P141&gt;0,"MATCH - COVERED ELIGIBILITY EXCEPTION","MATCH")))</f>
        <v>MATCH</v>
      </c>
      <c r="AB141" s="9" t="s">
        <v>2886</v>
      </c>
    </row>
    <row r="142" customFormat="false" ht="15" hidden="false" customHeight="false" outlineLevel="0" collapsed="false">
      <c r="A142" s="13" t="s">
        <v>2887</v>
      </c>
      <c r="B142" s="13" t="s">
        <v>145</v>
      </c>
      <c r="C142" s="13" t="s">
        <v>146</v>
      </c>
      <c r="D142" s="13" t="s">
        <v>2002</v>
      </c>
      <c r="E142" s="13" t="s">
        <v>2888</v>
      </c>
      <c r="F142" s="13" t="s">
        <v>2889</v>
      </c>
      <c r="G142" s="13" t="s">
        <v>2890</v>
      </c>
      <c r="H142" s="13" t="s">
        <v>2891</v>
      </c>
      <c r="I142" s="15" t="n">
        <v>32</v>
      </c>
      <c r="J142" s="15" t="n">
        <v>50.6</v>
      </c>
      <c r="K142" s="15"/>
      <c r="L142" s="15"/>
      <c r="M142" s="15" t="n">
        <f aca="false">IF(ISNUMBER(L142),L142,J142)</f>
        <v>50.6</v>
      </c>
      <c r="N142" s="15" t="n">
        <f aca="false">ROUNDUP(M142,0)</f>
        <v>51</v>
      </c>
      <c r="O142" s="15" t="n">
        <f aca="false">MAX(I142,N142)</f>
        <v>51</v>
      </c>
      <c r="P142" s="15" t="n">
        <f aca="false">IF(C142="COVERED",MAX(0,O142-40),0)</f>
        <v>0</v>
      </c>
      <c r="Q142" s="15" t="n">
        <f aca="false">O142</f>
        <v>51</v>
      </c>
      <c r="R142" s="18" t="n">
        <f aca="false">IF(C142="COVERED",10.4,7.55)</f>
        <v>7.55</v>
      </c>
      <c r="S142" s="18" t="n">
        <f aca="false">Q142*R142</f>
        <v>385.05</v>
      </c>
      <c r="T142" s="13" t="s">
        <v>2892</v>
      </c>
      <c r="U142" s="14" t="n">
        <v>46235</v>
      </c>
      <c r="V142" s="13" t="n">
        <v>51</v>
      </c>
      <c r="W142" s="18" t="n">
        <v>7.55</v>
      </c>
      <c r="X142" s="18" t="n">
        <v>385.05</v>
      </c>
      <c r="Y142" s="18" t="n">
        <f aca="false">IF(ISNUMBER(X142),X142-S142,"")</f>
        <v>0</v>
      </c>
      <c r="Z142" s="18" t="n">
        <f aca="false">IF(ISNUMBER(X142),X142-S142,-S142)</f>
        <v>0</v>
      </c>
      <c r="AA142" s="13" t="str">
        <f aca="false">IF(NOT(ISNUMBER(X142)),"NO AUGUST POSTING IN EXPORT",IF(ABS(Y142)&gt;=0.005,"POSTED CHARGE MISMATCH",IF(P142&gt;0,"MATCH - COVERED ELIGIBILITY EXCEPTION","MATCH")))</f>
        <v>MATCH</v>
      </c>
      <c r="AB142" s="13" t="s">
        <v>2893</v>
      </c>
    </row>
    <row r="143" customFormat="false" ht="15" hidden="false" customHeight="false" outlineLevel="0" collapsed="false">
      <c r="A143" s="9" t="s">
        <v>2894</v>
      </c>
      <c r="B143" s="9" t="s">
        <v>145</v>
      </c>
      <c r="C143" s="9" t="s">
        <v>146</v>
      </c>
      <c r="D143" s="9" t="s">
        <v>2002</v>
      </c>
      <c r="E143" s="9" t="s">
        <v>2895</v>
      </c>
      <c r="F143" s="9" t="s">
        <v>2896</v>
      </c>
      <c r="G143" s="9" t="s">
        <v>2897</v>
      </c>
      <c r="H143" s="9" t="s">
        <v>2898</v>
      </c>
      <c r="I143" s="11" t="n">
        <v>32</v>
      </c>
      <c r="J143" s="11" t="n">
        <v>32.3</v>
      </c>
      <c r="K143" s="11"/>
      <c r="L143" s="11"/>
      <c r="M143" s="11" t="n">
        <f aca="false">IF(ISNUMBER(L143),L143,J143)</f>
        <v>32.3</v>
      </c>
      <c r="N143" s="11" t="n">
        <f aca="false">ROUNDUP(M143,0)</f>
        <v>33</v>
      </c>
      <c r="O143" s="11" t="n">
        <f aca="false">MAX(I143,N143)</f>
        <v>33</v>
      </c>
      <c r="P143" s="11" t="n">
        <f aca="false">IF(C143="COVERED",MAX(0,O143-40),0)</f>
        <v>0</v>
      </c>
      <c r="Q143" s="11" t="n">
        <f aca="false">O143</f>
        <v>33</v>
      </c>
      <c r="R143" s="17" t="n">
        <f aca="false">IF(C143="COVERED",10.4,7.55)</f>
        <v>7.55</v>
      </c>
      <c r="S143" s="17" t="n">
        <f aca="false">Q143*R143</f>
        <v>249.15</v>
      </c>
      <c r="T143" s="9" t="s">
        <v>2899</v>
      </c>
      <c r="U143" s="10" t="n">
        <v>46235</v>
      </c>
      <c r="V143" s="9" t="n">
        <v>33</v>
      </c>
      <c r="W143" s="17" t="n">
        <v>7.55</v>
      </c>
      <c r="X143" s="17" t="n">
        <v>249.15</v>
      </c>
      <c r="Y143" s="17" t="n">
        <f aca="false">IF(ISNUMBER(X143),X143-S143,"")</f>
        <v>0</v>
      </c>
      <c r="Z143" s="17" t="n">
        <f aca="false">IF(ISNUMBER(X143),X143-S143,-S143)</f>
        <v>0</v>
      </c>
      <c r="AA143" s="9" t="str">
        <f aca="false">IF(NOT(ISNUMBER(X143)),"NO AUGUST POSTING IN EXPORT",IF(ABS(Y143)&gt;=0.005,"POSTED CHARGE MISMATCH",IF(P143&gt;0,"MATCH - COVERED ELIGIBILITY EXCEPTION","MATCH")))</f>
        <v>MATCH</v>
      </c>
      <c r="AB143" s="9" t="s">
        <v>2900</v>
      </c>
    </row>
    <row r="144" customFormat="false" ht="15" hidden="false" customHeight="false" outlineLevel="0" collapsed="false">
      <c r="A144" s="13" t="s">
        <v>2901</v>
      </c>
      <c r="B144" s="13" t="s">
        <v>145</v>
      </c>
      <c r="C144" s="13" t="s">
        <v>146</v>
      </c>
      <c r="D144" s="13" t="s">
        <v>2002</v>
      </c>
      <c r="E144" s="13" t="s">
        <v>2902</v>
      </c>
      <c r="F144" s="13" t="s">
        <v>2903</v>
      </c>
      <c r="G144" s="13" t="s">
        <v>2904</v>
      </c>
      <c r="H144" s="13" t="s">
        <v>2905</v>
      </c>
      <c r="I144" s="15" t="n">
        <v>50</v>
      </c>
      <c r="J144" s="15" t="n">
        <v>59.1</v>
      </c>
      <c r="K144" s="15"/>
      <c r="L144" s="15"/>
      <c r="M144" s="15" t="n">
        <f aca="false">IF(ISNUMBER(L144),L144,J144)</f>
        <v>59.1</v>
      </c>
      <c r="N144" s="15" t="n">
        <f aca="false">ROUNDUP(M144,0)</f>
        <v>60</v>
      </c>
      <c r="O144" s="15" t="n">
        <f aca="false">MAX(I144,N144)</f>
        <v>60</v>
      </c>
      <c r="P144" s="15" t="n">
        <f aca="false">IF(C144="COVERED",MAX(0,O144-40),0)</f>
        <v>0</v>
      </c>
      <c r="Q144" s="15" t="n">
        <f aca="false">O144</f>
        <v>60</v>
      </c>
      <c r="R144" s="18" t="n">
        <f aca="false">IF(C144="COVERED",10.4,7.55)</f>
        <v>7.55</v>
      </c>
      <c r="S144" s="18" t="n">
        <f aca="false">Q144*R144</f>
        <v>453</v>
      </c>
      <c r="T144" s="13" t="s">
        <v>2906</v>
      </c>
      <c r="U144" s="14" t="n">
        <v>46235</v>
      </c>
      <c r="V144" s="13" t="n">
        <v>60</v>
      </c>
      <c r="W144" s="18" t="n">
        <v>7.55</v>
      </c>
      <c r="X144" s="18" t="n">
        <v>453</v>
      </c>
      <c r="Y144" s="18" t="n">
        <f aca="false">IF(ISNUMBER(X144),X144-S144,"")</f>
        <v>0</v>
      </c>
      <c r="Z144" s="18" t="n">
        <f aca="false">IF(ISNUMBER(X144),X144-S144,-S144)</f>
        <v>0</v>
      </c>
      <c r="AA144" s="13" t="str">
        <f aca="false">IF(NOT(ISNUMBER(X144)),"NO AUGUST POSTING IN EXPORT",IF(ABS(Y144)&gt;=0.005,"POSTED CHARGE MISMATCH",IF(P144&gt;0,"MATCH - COVERED ELIGIBILITY EXCEPTION","MATCH")))</f>
        <v>MATCH</v>
      </c>
      <c r="AB144" s="13" t="s">
        <v>2907</v>
      </c>
    </row>
    <row r="145" customFormat="false" ht="15" hidden="false" customHeight="false" outlineLevel="0" collapsed="false">
      <c r="A145" s="9" t="s">
        <v>2908</v>
      </c>
      <c r="B145" s="9" t="s">
        <v>145</v>
      </c>
      <c r="C145" s="9" t="s">
        <v>146</v>
      </c>
      <c r="D145" s="9" t="s">
        <v>2002</v>
      </c>
      <c r="E145" s="9" t="s">
        <v>2909</v>
      </c>
      <c r="F145" s="9" t="s">
        <v>2910</v>
      </c>
      <c r="G145" s="9" t="s">
        <v>2911</v>
      </c>
      <c r="H145" s="9" t="s">
        <v>2912</v>
      </c>
      <c r="I145" s="11" t="n">
        <v>45</v>
      </c>
      <c r="J145" s="11" t="n">
        <v>49.1</v>
      </c>
      <c r="K145" s="11"/>
      <c r="L145" s="11"/>
      <c r="M145" s="11" t="n">
        <f aca="false">IF(ISNUMBER(L145),L145,J145)</f>
        <v>49.1</v>
      </c>
      <c r="N145" s="11" t="n">
        <f aca="false">ROUNDUP(M145,0)</f>
        <v>50</v>
      </c>
      <c r="O145" s="11" t="n">
        <f aca="false">MAX(I145,N145)</f>
        <v>50</v>
      </c>
      <c r="P145" s="11" t="n">
        <f aca="false">IF(C145="COVERED",MAX(0,O145-40),0)</f>
        <v>0</v>
      </c>
      <c r="Q145" s="11" t="n">
        <f aca="false">O145</f>
        <v>50</v>
      </c>
      <c r="R145" s="17" t="n">
        <f aca="false">IF(C145="COVERED",10.4,7.55)</f>
        <v>7.55</v>
      </c>
      <c r="S145" s="17" t="n">
        <f aca="false">Q145*R145</f>
        <v>377.5</v>
      </c>
      <c r="T145" s="9" t="s">
        <v>2913</v>
      </c>
      <c r="U145" s="10" t="n">
        <v>46235</v>
      </c>
      <c r="V145" s="9" t="n">
        <v>50</v>
      </c>
      <c r="W145" s="17" t="n">
        <v>7.55</v>
      </c>
      <c r="X145" s="17" t="n">
        <v>377.5</v>
      </c>
      <c r="Y145" s="17" t="n">
        <f aca="false">IF(ISNUMBER(X145),X145-S145,"")</f>
        <v>0</v>
      </c>
      <c r="Z145" s="17" t="n">
        <f aca="false">IF(ISNUMBER(X145),X145-S145,-S145)</f>
        <v>0</v>
      </c>
      <c r="AA145" s="9" t="str">
        <f aca="false">IF(NOT(ISNUMBER(X145)),"NO AUGUST POSTING IN EXPORT",IF(ABS(Y145)&gt;=0.005,"POSTED CHARGE MISMATCH",IF(P145&gt;0,"MATCH - COVERED ELIGIBILITY EXCEPTION","MATCH")))</f>
        <v>MATCH</v>
      </c>
      <c r="AB145" s="9" t="s">
        <v>2914</v>
      </c>
    </row>
    <row r="146" customFormat="false" ht="15" hidden="false" customHeight="false" outlineLevel="0" collapsed="false">
      <c r="A146" s="13" t="s">
        <v>1507</v>
      </c>
      <c r="B146" s="13" t="s">
        <v>145</v>
      </c>
      <c r="C146" s="13" t="s">
        <v>146</v>
      </c>
      <c r="D146" s="13" t="s">
        <v>2002</v>
      </c>
      <c r="E146" s="13" t="s">
        <v>2915</v>
      </c>
      <c r="F146" s="13" t="s">
        <v>2916</v>
      </c>
      <c r="G146" s="13" t="s">
        <v>2917</v>
      </c>
      <c r="H146" s="13" t="s">
        <v>2918</v>
      </c>
      <c r="I146" s="15" t="n">
        <v>28</v>
      </c>
      <c r="J146" s="15" t="n">
        <v>21.9</v>
      </c>
      <c r="K146" s="15"/>
      <c r="L146" s="15"/>
      <c r="M146" s="15" t="n">
        <f aca="false">IF(ISNUMBER(L146),L146,J146)</f>
        <v>21.9</v>
      </c>
      <c r="N146" s="15" t="n">
        <f aca="false">ROUNDUP(M146,0)</f>
        <v>22</v>
      </c>
      <c r="O146" s="15" t="n">
        <f aca="false">MAX(I146,N146)</f>
        <v>28</v>
      </c>
      <c r="P146" s="15" t="n">
        <f aca="false">IF(C146="COVERED",MAX(0,O146-40),0)</f>
        <v>0</v>
      </c>
      <c r="Q146" s="15" t="n">
        <f aca="false">O146</f>
        <v>28</v>
      </c>
      <c r="R146" s="18" t="n">
        <f aca="false">IF(C146="COVERED",10.4,7.55)</f>
        <v>7.55</v>
      </c>
      <c r="S146" s="18" t="n">
        <f aca="false">Q146*R146</f>
        <v>211.4</v>
      </c>
      <c r="T146" s="13" t="s">
        <v>2919</v>
      </c>
      <c r="U146" s="14" t="n">
        <v>46235</v>
      </c>
      <c r="V146" s="13" t="n">
        <v>28</v>
      </c>
      <c r="W146" s="18" t="n">
        <v>7.55</v>
      </c>
      <c r="X146" s="18" t="n">
        <v>211.4</v>
      </c>
      <c r="Y146" s="18" t="n">
        <f aca="false">IF(ISNUMBER(X146),X146-S146,"")</f>
        <v>0</v>
      </c>
      <c r="Z146" s="18" t="n">
        <f aca="false">IF(ISNUMBER(X146),X146-S146,-S146)</f>
        <v>0</v>
      </c>
      <c r="AA146" s="13" t="str">
        <f aca="false">IF(NOT(ISNUMBER(X146)),"NO AUGUST POSTING IN EXPORT",IF(ABS(Y146)&gt;=0.005,"POSTED CHARGE MISMATCH",IF(P146&gt;0,"MATCH - COVERED ELIGIBILITY EXCEPTION","MATCH")))</f>
        <v>MATCH</v>
      </c>
      <c r="AB146" s="13" t="s">
        <v>2920</v>
      </c>
    </row>
    <row r="147" customFormat="false" ht="15" hidden="false" customHeight="false" outlineLevel="0" collapsed="false">
      <c r="A147" s="9" t="s">
        <v>2921</v>
      </c>
      <c r="B147" s="9" t="s">
        <v>145</v>
      </c>
      <c r="C147" s="9" t="s">
        <v>146</v>
      </c>
      <c r="D147" s="9" t="s">
        <v>2002</v>
      </c>
      <c r="E147" s="9" t="s">
        <v>2922</v>
      </c>
      <c r="F147" s="9" t="s">
        <v>2923</v>
      </c>
      <c r="G147" s="9" t="s">
        <v>2924</v>
      </c>
      <c r="H147" s="9" t="s">
        <v>2925</v>
      </c>
      <c r="I147" s="11" t="n">
        <v>36</v>
      </c>
      <c r="J147" s="11" t="n">
        <v>39.5</v>
      </c>
      <c r="K147" s="11"/>
      <c r="L147" s="11"/>
      <c r="M147" s="11" t="n">
        <f aca="false">IF(ISNUMBER(L147),L147,J147)</f>
        <v>39.5</v>
      </c>
      <c r="N147" s="11" t="n">
        <f aca="false">ROUNDUP(M147,0)</f>
        <v>40</v>
      </c>
      <c r="O147" s="11" t="n">
        <f aca="false">MAX(I147,N147)</f>
        <v>40</v>
      </c>
      <c r="P147" s="11" t="n">
        <f aca="false">IF(C147="COVERED",MAX(0,O147-40),0)</f>
        <v>0</v>
      </c>
      <c r="Q147" s="11" t="n">
        <f aca="false">O147</f>
        <v>40</v>
      </c>
      <c r="R147" s="17" t="n">
        <f aca="false">IF(C147="COVERED",10.4,7.55)</f>
        <v>7.55</v>
      </c>
      <c r="S147" s="17" t="n">
        <f aca="false">Q147*R147</f>
        <v>302</v>
      </c>
      <c r="T147" s="9" t="s">
        <v>2926</v>
      </c>
      <c r="U147" s="10" t="n">
        <v>46235</v>
      </c>
      <c r="V147" s="9" t="n">
        <v>40</v>
      </c>
      <c r="W147" s="17" t="n">
        <v>7.55</v>
      </c>
      <c r="X147" s="17" t="n">
        <v>302</v>
      </c>
      <c r="Y147" s="17" t="n">
        <f aca="false">IF(ISNUMBER(X147),X147-S147,"")</f>
        <v>0</v>
      </c>
      <c r="Z147" s="17" t="n">
        <f aca="false">IF(ISNUMBER(X147),X147-S147,-S147)</f>
        <v>0</v>
      </c>
      <c r="AA147" s="9" t="str">
        <f aca="false">IF(NOT(ISNUMBER(X147)),"NO AUGUST POSTING IN EXPORT",IF(ABS(Y147)&gt;=0.005,"POSTED CHARGE MISMATCH",IF(P147&gt;0,"MATCH - COVERED ELIGIBILITY EXCEPTION","MATCH")))</f>
        <v>MATCH</v>
      </c>
      <c r="AB147" s="9" t="s">
        <v>2927</v>
      </c>
    </row>
    <row r="148" customFormat="false" ht="15" hidden="false" customHeight="false" outlineLevel="0" collapsed="false">
      <c r="A148" s="13" t="s">
        <v>2928</v>
      </c>
      <c r="B148" s="13" t="s">
        <v>145</v>
      </c>
      <c r="C148" s="13" t="s">
        <v>146</v>
      </c>
      <c r="D148" s="13" t="s">
        <v>2002</v>
      </c>
      <c r="E148" s="13" t="s">
        <v>2929</v>
      </c>
      <c r="F148" s="13" t="s">
        <v>2930</v>
      </c>
      <c r="G148" s="13" t="s">
        <v>2931</v>
      </c>
      <c r="H148" s="13" t="s">
        <v>2932</v>
      </c>
      <c r="I148" s="15" t="n">
        <v>60</v>
      </c>
      <c r="J148" s="15" t="n">
        <v>35.8</v>
      </c>
      <c r="K148" s="15"/>
      <c r="L148" s="15"/>
      <c r="M148" s="15" t="n">
        <f aca="false">IF(ISNUMBER(L148),L148,J148)</f>
        <v>35.8</v>
      </c>
      <c r="N148" s="15" t="n">
        <f aca="false">ROUNDUP(M148,0)</f>
        <v>36</v>
      </c>
      <c r="O148" s="15" t="n">
        <f aca="false">MAX(I148,N148)</f>
        <v>60</v>
      </c>
      <c r="P148" s="15" t="n">
        <f aca="false">IF(C148="COVERED",MAX(0,O148-40),0)</f>
        <v>0</v>
      </c>
      <c r="Q148" s="15" t="n">
        <f aca="false">O148</f>
        <v>60</v>
      </c>
      <c r="R148" s="18" t="n">
        <f aca="false">IF(C148="COVERED",10.4,7.55)</f>
        <v>7.55</v>
      </c>
      <c r="S148" s="18" t="n">
        <f aca="false">Q148*R148</f>
        <v>453</v>
      </c>
      <c r="T148" s="13" t="s">
        <v>2933</v>
      </c>
      <c r="U148" s="14" t="n">
        <v>46235</v>
      </c>
      <c r="V148" s="13" t="n">
        <v>60</v>
      </c>
      <c r="W148" s="18" t="n">
        <v>7.55</v>
      </c>
      <c r="X148" s="18" t="n">
        <v>453</v>
      </c>
      <c r="Y148" s="18" t="n">
        <f aca="false">IF(ISNUMBER(X148),X148-S148,"")</f>
        <v>0</v>
      </c>
      <c r="Z148" s="18" t="n">
        <f aca="false">IF(ISNUMBER(X148),X148-S148,-S148)</f>
        <v>0</v>
      </c>
      <c r="AA148" s="13" t="str">
        <f aca="false">IF(NOT(ISNUMBER(X148)),"NO AUGUST POSTING IN EXPORT",IF(ABS(Y148)&gt;=0.005,"POSTED CHARGE MISMATCH",IF(P148&gt;0,"MATCH - COVERED ELIGIBILITY EXCEPTION","MATCH")))</f>
        <v>MATCH</v>
      </c>
      <c r="AB148" s="13" t="s">
        <v>2934</v>
      </c>
    </row>
    <row r="149" customFormat="false" ht="15" hidden="false" customHeight="false" outlineLevel="0" collapsed="false">
      <c r="A149" s="9" t="s">
        <v>2935</v>
      </c>
      <c r="B149" s="9" t="s">
        <v>145</v>
      </c>
      <c r="C149" s="9" t="s">
        <v>146</v>
      </c>
      <c r="D149" s="9" t="s">
        <v>2002</v>
      </c>
      <c r="E149" s="9" t="s">
        <v>2936</v>
      </c>
      <c r="F149" s="9" t="s">
        <v>2937</v>
      </c>
      <c r="G149" s="9" t="s">
        <v>2938</v>
      </c>
      <c r="H149" s="9" t="s">
        <v>2939</v>
      </c>
      <c r="I149" s="11" t="n">
        <v>36</v>
      </c>
      <c r="J149" s="11" t="n">
        <v>51.1</v>
      </c>
      <c r="K149" s="11"/>
      <c r="L149" s="11"/>
      <c r="M149" s="11" t="n">
        <f aca="false">IF(ISNUMBER(L149),L149,J149)</f>
        <v>51.1</v>
      </c>
      <c r="N149" s="11" t="n">
        <f aca="false">ROUNDUP(M149,0)</f>
        <v>52</v>
      </c>
      <c r="O149" s="11" t="n">
        <f aca="false">MAX(I149,N149)</f>
        <v>52</v>
      </c>
      <c r="P149" s="11" t="n">
        <f aca="false">IF(C149="COVERED",MAX(0,O149-40),0)</f>
        <v>0</v>
      </c>
      <c r="Q149" s="11" t="n">
        <f aca="false">O149</f>
        <v>52</v>
      </c>
      <c r="R149" s="17" t="n">
        <f aca="false">IF(C149="COVERED",10.4,7.55)</f>
        <v>7.55</v>
      </c>
      <c r="S149" s="17" t="n">
        <f aca="false">Q149*R149</f>
        <v>392.6</v>
      </c>
      <c r="T149" s="9" t="s">
        <v>2940</v>
      </c>
      <c r="U149" s="10" t="n">
        <v>46235</v>
      </c>
      <c r="V149" s="9" t="n">
        <v>52</v>
      </c>
      <c r="W149" s="17" t="n">
        <v>7.55</v>
      </c>
      <c r="X149" s="17" t="n">
        <v>392.6</v>
      </c>
      <c r="Y149" s="17" t="n">
        <f aca="false">IF(ISNUMBER(X149),X149-S149,"")</f>
        <v>0</v>
      </c>
      <c r="Z149" s="17" t="n">
        <f aca="false">IF(ISNUMBER(X149),X149-S149,-S149)</f>
        <v>0</v>
      </c>
      <c r="AA149" s="9" t="str">
        <f aca="false">IF(NOT(ISNUMBER(X149)),"NO AUGUST POSTING IN EXPORT",IF(ABS(Y149)&gt;=0.005,"POSTED CHARGE MISMATCH",IF(P149&gt;0,"MATCH - COVERED ELIGIBILITY EXCEPTION","MATCH")))</f>
        <v>MATCH</v>
      </c>
      <c r="AB149" s="9" t="s">
        <v>2941</v>
      </c>
    </row>
    <row r="150" customFormat="false" ht="15" hidden="false" customHeight="false" outlineLevel="0" collapsed="false">
      <c r="A150" s="13" t="s">
        <v>2942</v>
      </c>
      <c r="B150" s="13" t="s">
        <v>145</v>
      </c>
      <c r="C150" s="13" t="s">
        <v>146</v>
      </c>
      <c r="D150" s="13" t="s">
        <v>2002</v>
      </c>
      <c r="E150" s="13" t="s">
        <v>2943</v>
      </c>
      <c r="F150" s="13" t="s">
        <v>2944</v>
      </c>
      <c r="G150" s="13" t="s">
        <v>2945</v>
      </c>
      <c r="H150" s="13" t="s">
        <v>2946</v>
      </c>
      <c r="I150" s="15" t="n">
        <v>40</v>
      </c>
      <c r="J150" s="15" t="n">
        <v>29.3</v>
      </c>
      <c r="K150" s="15"/>
      <c r="L150" s="15"/>
      <c r="M150" s="15" t="n">
        <f aca="false">IF(ISNUMBER(L150),L150,J150)</f>
        <v>29.3</v>
      </c>
      <c r="N150" s="15" t="n">
        <f aca="false">ROUNDUP(M150,0)</f>
        <v>30</v>
      </c>
      <c r="O150" s="15" t="n">
        <f aca="false">MAX(I150,N150)</f>
        <v>40</v>
      </c>
      <c r="P150" s="15" t="n">
        <f aca="false">IF(C150="COVERED",MAX(0,O150-40),0)</f>
        <v>0</v>
      </c>
      <c r="Q150" s="15" t="n">
        <f aca="false">O150</f>
        <v>40</v>
      </c>
      <c r="R150" s="18" t="n">
        <f aca="false">IF(C150="COVERED",10.4,7.55)</f>
        <v>7.55</v>
      </c>
      <c r="S150" s="18" t="n">
        <f aca="false">Q150*R150</f>
        <v>302</v>
      </c>
      <c r="T150" s="13" t="s">
        <v>2947</v>
      </c>
      <c r="U150" s="14" t="n">
        <v>46235</v>
      </c>
      <c r="V150" s="13" t="n">
        <v>40</v>
      </c>
      <c r="W150" s="18" t="n">
        <v>7.55</v>
      </c>
      <c r="X150" s="18" t="n">
        <v>302</v>
      </c>
      <c r="Y150" s="18" t="n">
        <f aca="false">IF(ISNUMBER(X150),X150-S150,"")</f>
        <v>0</v>
      </c>
      <c r="Z150" s="18" t="n">
        <f aca="false">IF(ISNUMBER(X150),X150-S150,-S150)</f>
        <v>0</v>
      </c>
      <c r="AA150" s="13" t="str">
        <f aca="false">IF(NOT(ISNUMBER(X150)),"NO AUGUST POSTING IN EXPORT",IF(ABS(Y150)&gt;=0.005,"POSTED CHARGE MISMATCH",IF(P150&gt;0,"MATCH - COVERED ELIGIBILITY EXCEPTION","MATCH")))</f>
        <v>MATCH</v>
      </c>
      <c r="AB150" s="13" t="s">
        <v>2948</v>
      </c>
    </row>
    <row r="151" customFormat="false" ht="15" hidden="false" customHeight="false" outlineLevel="0" collapsed="false">
      <c r="A151" s="9" t="s">
        <v>2949</v>
      </c>
      <c r="B151" s="9" t="s">
        <v>145</v>
      </c>
      <c r="C151" s="9" t="s">
        <v>146</v>
      </c>
      <c r="D151" s="9" t="s">
        <v>2002</v>
      </c>
      <c r="E151" s="9" t="s">
        <v>2950</v>
      </c>
      <c r="F151" s="9" t="s">
        <v>2951</v>
      </c>
      <c r="G151" s="9" t="s">
        <v>2952</v>
      </c>
      <c r="H151" s="9" t="s">
        <v>2953</v>
      </c>
      <c r="I151" s="11" t="n">
        <v>24</v>
      </c>
      <c r="J151" s="11" t="n">
        <v>46.9</v>
      </c>
      <c r="K151" s="11"/>
      <c r="L151" s="11"/>
      <c r="M151" s="11" t="n">
        <f aca="false">IF(ISNUMBER(L151),L151,J151)</f>
        <v>46.9</v>
      </c>
      <c r="N151" s="11" t="n">
        <f aca="false">ROUNDUP(M151,0)</f>
        <v>47</v>
      </c>
      <c r="O151" s="11" t="n">
        <f aca="false">MAX(I151,N151)</f>
        <v>47</v>
      </c>
      <c r="P151" s="11" t="n">
        <f aca="false">IF(C151="COVERED",MAX(0,O151-40),0)</f>
        <v>0</v>
      </c>
      <c r="Q151" s="11" t="n">
        <f aca="false">O151</f>
        <v>47</v>
      </c>
      <c r="R151" s="17" t="n">
        <f aca="false">IF(C151="COVERED",10.4,7.55)</f>
        <v>7.55</v>
      </c>
      <c r="S151" s="17" t="n">
        <f aca="false">Q151*R151</f>
        <v>354.85</v>
      </c>
      <c r="T151" s="9" t="s">
        <v>2954</v>
      </c>
      <c r="U151" s="10" t="n">
        <v>46235</v>
      </c>
      <c r="V151" s="9" t="n">
        <v>47</v>
      </c>
      <c r="W151" s="17" t="n">
        <v>7.55</v>
      </c>
      <c r="X151" s="17" t="n">
        <v>354.85</v>
      </c>
      <c r="Y151" s="17" t="n">
        <f aca="false">IF(ISNUMBER(X151),X151-S151,"")</f>
        <v>0</v>
      </c>
      <c r="Z151" s="17" t="n">
        <f aca="false">IF(ISNUMBER(X151),X151-S151,-S151)</f>
        <v>0</v>
      </c>
      <c r="AA151" s="9" t="str">
        <f aca="false">IF(NOT(ISNUMBER(X151)),"NO AUGUST POSTING IN EXPORT",IF(ABS(Y151)&gt;=0.005,"POSTED CHARGE MISMATCH",IF(P151&gt;0,"MATCH - COVERED ELIGIBILITY EXCEPTION","MATCH")))</f>
        <v>MATCH</v>
      </c>
      <c r="AB151" s="9" t="s">
        <v>2955</v>
      </c>
    </row>
    <row r="152" customFormat="false" ht="15" hidden="false" customHeight="false" outlineLevel="0" collapsed="false">
      <c r="A152" s="13" t="s">
        <v>2956</v>
      </c>
      <c r="B152" s="13" t="s">
        <v>145</v>
      </c>
      <c r="C152" s="13" t="s">
        <v>146</v>
      </c>
      <c r="D152" s="13" t="s">
        <v>2002</v>
      </c>
      <c r="E152" s="13" t="s">
        <v>2957</v>
      </c>
      <c r="F152" s="13" t="s">
        <v>2958</v>
      </c>
      <c r="G152" s="13" t="s">
        <v>2959</v>
      </c>
      <c r="H152" s="13" t="s">
        <v>2960</v>
      </c>
      <c r="I152" s="15" t="n">
        <v>32</v>
      </c>
      <c r="J152" s="15" t="n">
        <v>54.4</v>
      </c>
      <c r="K152" s="15"/>
      <c r="L152" s="15"/>
      <c r="M152" s="15" t="n">
        <f aca="false">IF(ISNUMBER(L152),L152,J152)</f>
        <v>54.4</v>
      </c>
      <c r="N152" s="15" t="n">
        <f aca="false">ROUNDUP(M152,0)</f>
        <v>55</v>
      </c>
      <c r="O152" s="15" t="n">
        <f aca="false">MAX(I152,N152)</f>
        <v>55</v>
      </c>
      <c r="P152" s="15" t="n">
        <f aca="false">IF(C152="COVERED",MAX(0,O152-40),0)</f>
        <v>0</v>
      </c>
      <c r="Q152" s="15" t="n">
        <f aca="false">O152</f>
        <v>55</v>
      </c>
      <c r="R152" s="18" t="n">
        <f aca="false">IF(C152="COVERED",10.4,7.55)</f>
        <v>7.55</v>
      </c>
      <c r="S152" s="18" t="n">
        <f aca="false">Q152*R152</f>
        <v>415.25</v>
      </c>
      <c r="T152" s="13" t="s">
        <v>2961</v>
      </c>
      <c r="U152" s="14" t="n">
        <v>46235</v>
      </c>
      <c r="V152" s="13" t="n">
        <v>55</v>
      </c>
      <c r="W152" s="18" t="n">
        <v>7.55</v>
      </c>
      <c r="X152" s="18" t="n">
        <v>415.25</v>
      </c>
      <c r="Y152" s="18" t="n">
        <f aca="false">IF(ISNUMBER(X152),X152-S152,"")</f>
        <v>0</v>
      </c>
      <c r="Z152" s="18" t="n">
        <f aca="false">IF(ISNUMBER(X152),X152-S152,-S152)</f>
        <v>0</v>
      </c>
      <c r="AA152" s="13" t="str">
        <f aca="false">IF(NOT(ISNUMBER(X152)),"NO AUGUST POSTING IN EXPORT",IF(ABS(Y152)&gt;=0.005,"POSTED CHARGE MISMATCH",IF(P152&gt;0,"MATCH - COVERED ELIGIBILITY EXCEPTION","MATCH")))</f>
        <v>MATCH</v>
      </c>
      <c r="AB152" s="13" t="s">
        <v>2962</v>
      </c>
    </row>
    <row r="153" customFormat="false" ht="15" hidden="false" customHeight="false" outlineLevel="0" collapsed="false">
      <c r="A153" s="9" t="s">
        <v>2963</v>
      </c>
      <c r="B153" s="9" t="s">
        <v>145</v>
      </c>
      <c r="C153" s="9" t="s">
        <v>146</v>
      </c>
      <c r="D153" s="9" t="s">
        <v>2002</v>
      </c>
      <c r="E153" s="9" t="s">
        <v>2964</v>
      </c>
      <c r="F153" s="9" t="s">
        <v>2965</v>
      </c>
      <c r="G153" s="9" t="s">
        <v>2966</v>
      </c>
      <c r="H153" s="9" t="s">
        <v>2137</v>
      </c>
      <c r="I153" s="11" t="n">
        <v>50</v>
      </c>
      <c r="J153" s="11" t="n">
        <v>53.3</v>
      </c>
      <c r="K153" s="11"/>
      <c r="L153" s="11"/>
      <c r="M153" s="11" t="n">
        <f aca="false">IF(ISNUMBER(L153),L153,J153)</f>
        <v>53.3</v>
      </c>
      <c r="N153" s="11" t="n">
        <f aca="false">ROUNDUP(M153,0)</f>
        <v>54</v>
      </c>
      <c r="O153" s="11" t="n">
        <f aca="false">MAX(I153,N153)</f>
        <v>54</v>
      </c>
      <c r="P153" s="11" t="n">
        <f aca="false">IF(C153="COVERED",MAX(0,O153-40),0)</f>
        <v>0</v>
      </c>
      <c r="Q153" s="11" t="n">
        <f aca="false">O153</f>
        <v>54</v>
      </c>
      <c r="R153" s="17" t="n">
        <f aca="false">IF(C153="COVERED",10.4,7.55)</f>
        <v>7.55</v>
      </c>
      <c r="S153" s="17" t="n">
        <f aca="false">Q153*R153</f>
        <v>407.7</v>
      </c>
      <c r="T153" s="9" t="s">
        <v>2967</v>
      </c>
      <c r="U153" s="10" t="n">
        <v>46235</v>
      </c>
      <c r="V153" s="9" t="n">
        <v>54</v>
      </c>
      <c r="W153" s="17" t="n">
        <v>7.55</v>
      </c>
      <c r="X153" s="17" t="n">
        <v>407.7</v>
      </c>
      <c r="Y153" s="17" t="n">
        <f aca="false">IF(ISNUMBER(X153),X153-S153,"")</f>
        <v>0</v>
      </c>
      <c r="Z153" s="17" t="n">
        <f aca="false">IF(ISNUMBER(X153),X153-S153,-S153)</f>
        <v>0</v>
      </c>
      <c r="AA153" s="9" t="str">
        <f aca="false">IF(NOT(ISNUMBER(X153)),"NO AUGUST POSTING IN EXPORT",IF(ABS(Y153)&gt;=0.005,"POSTED CHARGE MISMATCH",IF(P153&gt;0,"MATCH - COVERED ELIGIBILITY EXCEPTION","MATCH")))</f>
        <v>MATCH</v>
      </c>
      <c r="AB153" s="9" t="s">
        <v>2968</v>
      </c>
    </row>
    <row r="154" customFormat="false" ht="15" hidden="false" customHeight="false" outlineLevel="0" collapsed="false">
      <c r="A154" s="13" t="s">
        <v>2969</v>
      </c>
      <c r="B154" s="13" t="s">
        <v>145</v>
      </c>
      <c r="C154" s="13" t="s">
        <v>146</v>
      </c>
      <c r="D154" s="13" t="s">
        <v>2002</v>
      </c>
      <c r="E154" s="13" t="s">
        <v>2970</v>
      </c>
      <c r="F154" s="13" t="s">
        <v>2971</v>
      </c>
      <c r="G154" s="13" t="s">
        <v>2972</v>
      </c>
      <c r="H154" s="13" t="s">
        <v>2973</v>
      </c>
      <c r="I154" s="15" t="n">
        <v>70</v>
      </c>
      <c r="J154" s="15" t="n">
        <v>35.8</v>
      </c>
      <c r="K154" s="15"/>
      <c r="L154" s="15"/>
      <c r="M154" s="15" t="n">
        <f aca="false">IF(ISNUMBER(L154),L154,J154)</f>
        <v>35.8</v>
      </c>
      <c r="N154" s="15" t="n">
        <f aca="false">ROUNDUP(M154,0)</f>
        <v>36</v>
      </c>
      <c r="O154" s="15" t="n">
        <f aca="false">MAX(I154,N154)</f>
        <v>70</v>
      </c>
      <c r="P154" s="15" t="n">
        <f aca="false">IF(C154="COVERED",MAX(0,O154-40),0)</f>
        <v>0</v>
      </c>
      <c r="Q154" s="15" t="n">
        <f aca="false">O154</f>
        <v>70</v>
      </c>
      <c r="R154" s="18" t="n">
        <f aca="false">IF(C154="COVERED",10.4,7.55)</f>
        <v>7.55</v>
      </c>
      <c r="S154" s="18" t="n">
        <f aca="false">Q154*R154</f>
        <v>528.5</v>
      </c>
      <c r="T154" s="13" t="s">
        <v>2974</v>
      </c>
      <c r="U154" s="14" t="n">
        <v>46235</v>
      </c>
      <c r="V154" s="13" t="n">
        <v>70</v>
      </c>
      <c r="W154" s="18" t="n">
        <v>7.55</v>
      </c>
      <c r="X154" s="18" t="n">
        <v>528.5</v>
      </c>
      <c r="Y154" s="18" t="n">
        <f aca="false">IF(ISNUMBER(X154),X154-S154,"")</f>
        <v>0</v>
      </c>
      <c r="Z154" s="18" t="n">
        <f aca="false">IF(ISNUMBER(X154),X154-S154,-S154)</f>
        <v>0</v>
      </c>
      <c r="AA154" s="13" t="str">
        <f aca="false">IF(NOT(ISNUMBER(X154)),"NO AUGUST POSTING IN EXPORT",IF(ABS(Y154)&gt;=0.005,"POSTED CHARGE MISMATCH",IF(P154&gt;0,"MATCH - COVERED ELIGIBILITY EXCEPTION","MATCH")))</f>
        <v>MATCH</v>
      </c>
      <c r="AB154" s="13" t="s">
        <v>2975</v>
      </c>
    </row>
    <row r="155" customFormat="false" ht="15" hidden="false" customHeight="false" outlineLevel="0" collapsed="false">
      <c r="A155" s="9" t="s">
        <v>2976</v>
      </c>
      <c r="B155" s="9" t="s">
        <v>145</v>
      </c>
      <c r="C155" s="9" t="s">
        <v>146</v>
      </c>
      <c r="D155" s="9" t="s">
        <v>2002</v>
      </c>
      <c r="E155" s="9" t="s">
        <v>2977</v>
      </c>
      <c r="F155" s="9" t="s">
        <v>2978</v>
      </c>
      <c r="G155" s="9" t="s">
        <v>2979</v>
      </c>
      <c r="H155" s="9" t="s">
        <v>2980</v>
      </c>
      <c r="I155" s="11" t="n">
        <v>45</v>
      </c>
      <c r="J155" s="11" t="n">
        <v>22.3</v>
      </c>
      <c r="K155" s="11"/>
      <c r="L155" s="11"/>
      <c r="M155" s="11" t="n">
        <f aca="false">IF(ISNUMBER(L155),L155,J155)</f>
        <v>22.3</v>
      </c>
      <c r="N155" s="11" t="n">
        <f aca="false">ROUNDUP(M155,0)</f>
        <v>23</v>
      </c>
      <c r="O155" s="11" t="n">
        <f aca="false">MAX(I155,N155)</f>
        <v>45</v>
      </c>
      <c r="P155" s="11" t="n">
        <f aca="false">IF(C155="COVERED",MAX(0,O155-40),0)</f>
        <v>0</v>
      </c>
      <c r="Q155" s="11" t="n">
        <f aca="false">O155</f>
        <v>45</v>
      </c>
      <c r="R155" s="17" t="n">
        <f aca="false">IF(C155="COVERED",10.4,7.55)</f>
        <v>7.55</v>
      </c>
      <c r="S155" s="17" t="n">
        <f aca="false">Q155*R155</f>
        <v>339.75</v>
      </c>
      <c r="T155" s="9" t="s">
        <v>2981</v>
      </c>
      <c r="U155" s="10" t="n">
        <v>46235</v>
      </c>
      <c r="V155" s="9" t="n">
        <v>45</v>
      </c>
      <c r="W155" s="17" t="n">
        <v>7.55</v>
      </c>
      <c r="X155" s="17" t="n">
        <v>339.75</v>
      </c>
      <c r="Y155" s="17" t="n">
        <f aca="false">IF(ISNUMBER(X155),X155-S155,"")</f>
        <v>0</v>
      </c>
      <c r="Z155" s="17" t="n">
        <f aca="false">IF(ISNUMBER(X155),X155-S155,-S155)</f>
        <v>0</v>
      </c>
      <c r="AA155" s="9" t="str">
        <f aca="false">IF(NOT(ISNUMBER(X155)),"NO AUGUST POSTING IN EXPORT",IF(ABS(Y155)&gt;=0.005,"POSTED CHARGE MISMATCH",IF(P155&gt;0,"MATCH - COVERED ELIGIBILITY EXCEPTION","MATCH")))</f>
        <v>MATCH</v>
      </c>
      <c r="AB155" s="9" t="s">
        <v>2982</v>
      </c>
    </row>
    <row r="156" customFormat="false" ht="15" hidden="false" customHeight="false" outlineLevel="0" collapsed="false">
      <c r="A156" s="13" t="s">
        <v>2983</v>
      </c>
      <c r="B156" s="13" t="s">
        <v>145</v>
      </c>
      <c r="C156" s="13" t="s">
        <v>146</v>
      </c>
      <c r="D156" s="13" t="s">
        <v>2002</v>
      </c>
      <c r="E156" s="13" t="s">
        <v>2984</v>
      </c>
      <c r="F156" s="13" t="s">
        <v>2985</v>
      </c>
      <c r="G156" s="13" t="s">
        <v>2986</v>
      </c>
      <c r="H156" s="13" t="s">
        <v>2676</v>
      </c>
      <c r="I156" s="15" t="n">
        <v>70</v>
      </c>
      <c r="J156" s="15" t="n">
        <v>53.3</v>
      </c>
      <c r="K156" s="15"/>
      <c r="L156" s="15"/>
      <c r="M156" s="15" t="n">
        <f aca="false">IF(ISNUMBER(L156),L156,J156)</f>
        <v>53.3</v>
      </c>
      <c r="N156" s="15" t="n">
        <f aca="false">ROUNDUP(M156,0)</f>
        <v>54</v>
      </c>
      <c r="O156" s="15" t="n">
        <f aca="false">MAX(I156,N156)</f>
        <v>70</v>
      </c>
      <c r="P156" s="15" t="n">
        <f aca="false">IF(C156="COVERED",MAX(0,O156-40),0)</f>
        <v>0</v>
      </c>
      <c r="Q156" s="15" t="n">
        <f aca="false">O156</f>
        <v>70</v>
      </c>
      <c r="R156" s="18" t="n">
        <f aca="false">IF(C156="COVERED",10.4,7.55)</f>
        <v>7.55</v>
      </c>
      <c r="S156" s="18" t="n">
        <f aca="false">Q156*R156</f>
        <v>528.5</v>
      </c>
      <c r="T156" s="13" t="s">
        <v>2987</v>
      </c>
      <c r="U156" s="14" t="n">
        <v>46235</v>
      </c>
      <c r="V156" s="13" t="n">
        <v>70</v>
      </c>
      <c r="W156" s="18" t="n">
        <v>7.55</v>
      </c>
      <c r="X156" s="18" t="n">
        <v>528.5</v>
      </c>
      <c r="Y156" s="18" t="n">
        <f aca="false">IF(ISNUMBER(X156),X156-S156,"")</f>
        <v>0</v>
      </c>
      <c r="Z156" s="18" t="n">
        <f aca="false">IF(ISNUMBER(X156),X156-S156,-S156)</f>
        <v>0</v>
      </c>
      <c r="AA156" s="13" t="str">
        <f aca="false">IF(NOT(ISNUMBER(X156)),"NO AUGUST POSTING IN EXPORT",IF(ABS(Y156)&gt;=0.005,"POSTED CHARGE MISMATCH",IF(P156&gt;0,"MATCH - COVERED ELIGIBILITY EXCEPTION","MATCH")))</f>
        <v>MATCH</v>
      </c>
      <c r="AB156" s="13" t="s">
        <v>2988</v>
      </c>
    </row>
    <row r="157" customFormat="false" ht="15" hidden="false" customHeight="false" outlineLevel="0" collapsed="false">
      <c r="A157" s="9" t="s">
        <v>2989</v>
      </c>
      <c r="B157" s="9" t="s">
        <v>145</v>
      </c>
      <c r="C157" s="9" t="s">
        <v>146</v>
      </c>
      <c r="D157" s="9" t="s">
        <v>2002</v>
      </c>
      <c r="E157" s="9" t="s">
        <v>2990</v>
      </c>
      <c r="F157" s="9" t="s">
        <v>1277</v>
      </c>
      <c r="G157" s="9" t="s">
        <v>1278</v>
      </c>
      <c r="H157" s="9" t="s">
        <v>2196</v>
      </c>
      <c r="I157" s="11" t="n">
        <v>28</v>
      </c>
      <c r="J157" s="11" t="n">
        <v>56.4</v>
      </c>
      <c r="K157" s="11"/>
      <c r="L157" s="11"/>
      <c r="M157" s="11" t="n">
        <f aca="false">IF(ISNUMBER(L157),L157,J157)</f>
        <v>56.4</v>
      </c>
      <c r="N157" s="11" t="n">
        <f aca="false">ROUNDUP(M157,0)</f>
        <v>57</v>
      </c>
      <c r="O157" s="11" t="n">
        <f aca="false">MAX(I157,N157)</f>
        <v>57</v>
      </c>
      <c r="P157" s="11" t="n">
        <f aca="false">IF(C157="COVERED",MAX(0,O157-40),0)</f>
        <v>0</v>
      </c>
      <c r="Q157" s="11" t="n">
        <f aca="false">O157</f>
        <v>57</v>
      </c>
      <c r="R157" s="17" t="n">
        <f aca="false">IF(C157="COVERED",10.4,7.55)</f>
        <v>7.55</v>
      </c>
      <c r="S157" s="17" t="n">
        <f aca="false">Q157*R157</f>
        <v>430.35</v>
      </c>
      <c r="T157" s="9" t="s">
        <v>2991</v>
      </c>
      <c r="U157" s="10" t="n">
        <v>46235</v>
      </c>
      <c r="V157" s="9" t="n">
        <v>57</v>
      </c>
      <c r="W157" s="17" t="n">
        <v>7.55</v>
      </c>
      <c r="X157" s="17" t="n">
        <v>430.35</v>
      </c>
      <c r="Y157" s="17" t="n">
        <f aca="false">IF(ISNUMBER(X157),X157-S157,"")</f>
        <v>0</v>
      </c>
      <c r="Z157" s="17" t="n">
        <f aca="false">IF(ISNUMBER(X157),X157-S157,-S157)</f>
        <v>0</v>
      </c>
      <c r="AA157" s="9" t="str">
        <f aca="false">IF(NOT(ISNUMBER(X157)),"NO AUGUST POSTING IN EXPORT",IF(ABS(Y157)&gt;=0.005,"POSTED CHARGE MISMATCH",IF(P157&gt;0,"MATCH - COVERED ELIGIBILITY EXCEPTION","MATCH")))</f>
        <v>MATCH</v>
      </c>
      <c r="AB157" s="9" t="s">
        <v>2992</v>
      </c>
    </row>
    <row r="158" customFormat="false" ht="15" hidden="false" customHeight="false" outlineLevel="0" collapsed="false">
      <c r="A158" s="13" t="s">
        <v>653</v>
      </c>
      <c r="B158" s="13" t="s">
        <v>145</v>
      </c>
      <c r="C158" s="13" t="s">
        <v>146</v>
      </c>
      <c r="D158" s="13" t="s">
        <v>2002</v>
      </c>
      <c r="E158" s="13" t="s">
        <v>2993</v>
      </c>
      <c r="F158" s="13" t="s">
        <v>2994</v>
      </c>
      <c r="G158" s="13" t="s">
        <v>2995</v>
      </c>
      <c r="H158" s="13" t="s">
        <v>2768</v>
      </c>
      <c r="I158" s="15" t="n">
        <v>32</v>
      </c>
      <c r="J158" s="15" t="n">
        <v>22.4</v>
      </c>
      <c r="K158" s="15"/>
      <c r="L158" s="15"/>
      <c r="M158" s="15" t="n">
        <f aca="false">IF(ISNUMBER(L158),L158,J158)</f>
        <v>22.4</v>
      </c>
      <c r="N158" s="15" t="n">
        <f aca="false">ROUNDUP(M158,0)</f>
        <v>23</v>
      </c>
      <c r="O158" s="15" t="n">
        <f aca="false">MAX(I158,N158)</f>
        <v>32</v>
      </c>
      <c r="P158" s="15" t="n">
        <f aca="false">IF(C158="COVERED",MAX(0,O158-40),0)</f>
        <v>0</v>
      </c>
      <c r="Q158" s="15" t="n">
        <f aca="false">O158</f>
        <v>32</v>
      </c>
      <c r="R158" s="18" t="n">
        <f aca="false">IF(C158="COVERED",10.4,7.55)</f>
        <v>7.55</v>
      </c>
      <c r="S158" s="18" t="n">
        <f aca="false">Q158*R158</f>
        <v>241.6</v>
      </c>
      <c r="T158" s="13" t="s">
        <v>2996</v>
      </c>
      <c r="U158" s="14" t="n">
        <v>46235</v>
      </c>
      <c r="V158" s="13" t="n">
        <v>32</v>
      </c>
      <c r="W158" s="18" t="n">
        <v>7.55</v>
      </c>
      <c r="X158" s="18" t="n">
        <v>241.6</v>
      </c>
      <c r="Y158" s="18" t="n">
        <f aca="false">IF(ISNUMBER(X158),X158-S158,"")</f>
        <v>0</v>
      </c>
      <c r="Z158" s="18" t="n">
        <f aca="false">IF(ISNUMBER(X158),X158-S158,-S158)</f>
        <v>0</v>
      </c>
      <c r="AA158" s="13" t="str">
        <f aca="false">IF(NOT(ISNUMBER(X158)),"NO AUGUST POSTING IN EXPORT",IF(ABS(Y158)&gt;=0.005,"POSTED CHARGE MISMATCH",IF(P158&gt;0,"MATCH - COVERED ELIGIBILITY EXCEPTION","MATCH")))</f>
        <v>MATCH</v>
      </c>
      <c r="AB158" s="13" t="s">
        <v>2997</v>
      </c>
    </row>
    <row r="159" customFormat="false" ht="15" hidden="false" customHeight="false" outlineLevel="0" collapsed="false">
      <c r="A159" s="9" t="s">
        <v>2998</v>
      </c>
      <c r="B159" s="9" t="s">
        <v>145</v>
      </c>
      <c r="C159" s="9" t="s">
        <v>146</v>
      </c>
      <c r="D159" s="9" t="s">
        <v>2002</v>
      </c>
      <c r="E159" s="9" t="s">
        <v>2999</v>
      </c>
      <c r="F159" s="9" t="s">
        <v>3000</v>
      </c>
      <c r="G159" s="9" t="s">
        <v>3001</v>
      </c>
      <c r="H159" s="9" t="s">
        <v>3002</v>
      </c>
      <c r="I159" s="11" t="n">
        <v>28</v>
      </c>
      <c r="J159" s="11" t="n">
        <v>59</v>
      </c>
      <c r="K159" s="11"/>
      <c r="L159" s="11"/>
      <c r="M159" s="11" t="n">
        <f aca="false">IF(ISNUMBER(L159),L159,J159)</f>
        <v>59</v>
      </c>
      <c r="N159" s="11" t="n">
        <f aca="false">ROUNDUP(M159,0)</f>
        <v>59</v>
      </c>
      <c r="O159" s="11" t="n">
        <f aca="false">MAX(I159,N159)</f>
        <v>59</v>
      </c>
      <c r="P159" s="11" t="n">
        <f aca="false">IF(C159="COVERED",MAX(0,O159-40),0)</f>
        <v>0</v>
      </c>
      <c r="Q159" s="11" t="n">
        <f aca="false">O159</f>
        <v>59</v>
      </c>
      <c r="R159" s="17" t="n">
        <f aca="false">IF(C159="COVERED",10.4,7.55)</f>
        <v>7.55</v>
      </c>
      <c r="S159" s="17" t="n">
        <f aca="false">Q159*R159</f>
        <v>445.45</v>
      </c>
      <c r="T159" s="9" t="s">
        <v>3003</v>
      </c>
      <c r="U159" s="10" t="n">
        <v>46235</v>
      </c>
      <c r="V159" s="9" t="n">
        <v>59</v>
      </c>
      <c r="W159" s="17" t="n">
        <v>7.55</v>
      </c>
      <c r="X159" s="17" t="n">
        <v>445.45</v>
      </c>
      <c r="Y159" s="17" t="n">
        <f aca="false">IF(ISNUMBER(X159),X159-S159,"")</f>
        <v>0</v>
      </c>
      <c r="Z159" s="17" t="n">
        <f aca="false">IF(ISNUMBER(X159),X159-S159,-S159)</f>
        <v>0</v>
      </c>
      <c r="AA159" s="9" t="str">
        <f aca="false">IF(NOT(ISNUMBER(X159)),"NO AUGUST POSTING IN EXPORT",IF(ABS(Y159)&gt;=0.005,"POSTED CHARGE MISMATCH",IF(P159&gt;0,"MATCH - COVERED ELIGIBILITY EXCEPTION","MATCH")))</f>
        <v>MATCH</v>
      </c>
      <c r="AB159" s="9" t="s">
        <v>3004</v>
      </c>
    </row>
    <row r="160" customFormat="false" ht="15" hidden="false" customHeight="false" outlineLevel="0" collapsed="false">
      <c r="A160" s="13" t="s">
        <v>3005</v>
      </c>
      <c r="B160" s="13" t="s">
        <v>145</v>
      </c>
      <c r="C160" s="13" t="s">
        <v>146</v>
      </c>
      <c r="D160" s="13" t="s">
        <v>2002</v>
      </c>
      <c r="E160" s="13" t="s">
        <v>3006</v>
      </c>
      <c r="F160" s="13" t="s">
        <v>3007</v>
      </c>
      <c r="G160" s="13" t="s">
        <v>3008</v>
      </c>
      <c r="H160" s="13" t="s">
        <v>2416</v>
      </c>
      <c r="I160" s="15" t="n">
        <v>36</v>
      </c>
      <c r="J160" s="15" t="n">
        <v>33.5</v>
      </c>
      <c r="K160" s="15"/>
      <c r="L160" s="15"/>
      <c r="M160" s="15" t="n">
        <f aca="false">IF(ISNUMBER(L160),L160,J160)</f>
        <v>33.5</v>
      </c>
      <c r="N160" s="15" t="n">
        <f aca="false">ROUNDUP(M160,0)</f>
        <v>34</v>
      </c>
      <c r="O160" s="15" t="n">
        <f aca="false">MAX(I160,N160)</f>
        <v>36</v>
      </c>
      <c r="P160" s="15" t="n">
        <f aca="false">IF(C160="COVERED",MAX(0,O160-40),0)</f>
        <v>0</v>
      </c>
      <c r="Q160" s="15" t="n">
        <f aca="false">O160</f>
        <v>36</v>
      </c>
      <c r="R160" s="18" t="n">
        <f aca="false">IF(C160="COVERED",10.4,7.55)</f>
        <v>7.55</v>
      </c>
      <c r="S160" s="18" t="n">
        <f aca="false">Q160*R160</f>
        <v>271.8</v>
      </c>
      <c r="T160" s="13" t="s">
        <v>3009</v>
      </c>
      <c r="U160" s="14" t="n">
        <v>46235</v>
      </c>
      <c r="V160" s="13" t="n">
        <v>36</v>
      </c>
      <c r="W160" s="18" t="n">
        <v>7.55</v>
      </c>
      <c r="X160" s="18" t="n">
        <v>271.8</v>
      </c>
      <c r="Y160" s="18" t="n">
        <f aca="false">IF(ISNUMBER(X160),X160-S160,"")</f>
        <v>0</v>
      </c>
      <c r="Z160" s="18" t="n">
        <f aca="false">IF(ISNUMBER(X160),X160-S160,-S160)</f>
        <v>0</v>
      </c>
      <c r="AA160" s="13" t="str">
        <f aca="false">IF(NOT(ISNUMBER(X160)),"NO AUGUST POSTING IN EXPORT",IF(ABS(Y160)&gt;=0.005,"POSTED CHARGE MISMATCH",IF(P160&gt;0,"MATCH - COVERED ELIGIBILITY EXCEPTION","MATCH")))</f>
        <v>MATCH</v>
      </c>
      <c r="AB160" s="13" t="s">
        <v>3010</v>
      </c>
    </row>
    <row r="161" customFormat="false" ht="15" hidden="false" customHeight="false" outlineLevel="0" collapsed="false">
      <c r="A161" s="9" t="s">
        <v>640</v>
      </c>
      <c r="B161" s="9" t="s">
        <v>145</v>
      </c>
      <c r="C161" s="9" t="s">
        <v>146</v>
      </c>
      <c r="D161" s="9" t="s">
        <v>2002</v>
      </c>
      <c r="E161" s="9" t="s">
        <v>3011</v>
      </c>
      <c r="F161" s="9" t="s">
        <v>3012</v>
      </c>
      <c r="G161" s="9" t="s">
        <v>3013</v>
      </c>
      <c r="H161" s="9" t="s">
        <v>3014</v>
      </c>
      <c r="I161" s="11" t="n">
        <v>28</v>
      </c>
      <c r="J161" s="11" t="n">
        <v>29.3</v>
      </c>
      <c r="K161" s="11"/>
      <c r="L161" s="11"/>
      <c r="M161" s="11" t="n">
        <f aca="false">IF(ISNUMBER(L161),L161,J161)</f>
        <v>29.3</v>
      </c>
      <c r="N161" s="11" t="n">
        <f aca="false">ROUNDUP(M161,0)</f>
        <v>30</v>
      </c>
      <c r="O161" s="11" t="n">
        <f aca="false">MAX(I161,N161)</f>
        <v>30</v>
      </c>
      <c r="P161" s="11" t="n">
        <f aca="false">IF(C161="COVERED",MAX(0,O161-40),0)</f>
        <v>0</v>
      </c>
      <c r="Q161" s="11" t="n">
        <f aca="false">O161</f>
        <v>30</v>
      </c>
      <c r="R161" s="17" t="n">
        <f aca="false">IF(C161="COVERED",10.4,7.55)</f>
        <v>7.55</v>
      </c>
      <c r="S161" s="17" t="n">
        <f aca="false">Q161*R161</f>
        <v>226.5</v>
      </c>
      <c r="T161" s="9" t="s">
        <v>3015</v>
      </c>
      <c r="U161" s="10" t="n">
        <v>46235</v>
      </c>
      <c r="V161" s="9" t="n">
        <v>30</v>
      </c>
      <c r="W161" s="17" t="n">
        <v>7.55</v>
      </c>
      <c r="X161" s="17" t="n">
        <v>226.5</v>
      </c>
      <c r="Y161" s="17" t="n">
        <f aca="false">IF(ISNUMBER(X161),X161-S161,"")</f>
        <v>0</v>
      </c>
      <c r="Z161" s="17" t="n">
        <f aca="false">IF(ISNUMBER(X161),X161-S161,-S161)</f>
        <v>0</v>
      </c>
      <c r="AA161" s="9" t="str">
        <f aca="false">IF(NOT(ISNUMBER(X161)),"NO AUGUST POSTING IN EXPORT",IF(ABS(Y161)&gt;=0.005,"POSTED CHARGE MISMATCH",IF(P161&gt;0,"MATCH - COVERED ELIGIBILITY EXCEPTION","MATCH")))</f>
        <v>MATCH</v>
      </c>
      <c r="AB161" s="9" t="s">
        <v>3016</v>
      </c>
    </row>
    <row r="162" customFormat="false" ht="15" hidden="false" customHeight="false" outlineLevel="0" collapsed="false">
      <c r="A162" s="13" t="s">
        <v>3017</v>
      </c>
      <c r="B162" s="13" t="s">
        <v>145</v>
      </c>
      <c r="C162" s="13" t="s">
        <v>146</v>
      </c>
      <c r="D162" s="13" t="s">
        <v>2002</v>
      </c>
      <c r="E162" s="13" t="s">
        <v>3018</v>
      </c>
      <c r="F162" s="13" t="s">
        <v>3019</v>
      </c>
      <c r="G162" s="13" t="s">
        <v>3020</v>
      </c>
      <c r="H162" s="13" t="s">
        <v>2176</v>
      </c>
      <c r="I162" s="15" t="n">
        <v>80</v>
      </c>
      <c r="J162" s="15" t="n">
        <v>49.7</v>
      </c>
      <c r="K162" s="15"/>
      <c r="L162" s="15"/>
      <c r="M162" s="15" t="n">
        <f aca="false">IF(ISNUMBER(L162),L162,J162)</f>
        <v>49.7</v>
      </c>
      <c r="N162" s="15" t="n">
        <f aca="false">ROUNDUP(M162,0)</f>
        <v>50</v>
      </c>
      <c r="O162" s="15" t="n">
        <f aca="false">MAX(I162,N162)</f>
        <v>80</v>
      </c>
      <c r="P162" s="15" t="n">
        <f aca="false">IF(C162="COVERED",MAX(0,O162-40),0)</f>
        <v>0</v>
      </c>
      <c r="Q162" s="15" t="n">
        <f aca="false">O162</f>
        <v>80</v>
      </c>
      <c r="R162" s="18" t="n">
        <f aca="false">IF(C162="COVERED",10.4,7.55)</f>
        <v>7.55</v>
      </c>
      <c r="S162" s="18" t="n">
        <f aca="false">Q162*R162</f>
        <v>604</v>
      </c>
      <c r="T162" s="13" t="s">
        <v>3021</v>
      </c>
      <c r="U162" s="14" t="n">
        <v>46235</v>
      </c>
      <c r="V162" s="13" t="n">
        <v>80</v>
      </c>
      <c r="W162" s="18" t="n">
        <v>7.55</v>
      </c>
      <c r="X162" s="18" t="n">
        <v>604</v>
      </c>
      <c r="Y162" s="18" t="n">
        <f aca="false">IF(ISNUMBER(X162),X162-S162,"")</f>
        <v>0</v>
      </c>
      <c r="Z162" s="18" t="n">
        <f aca="false">IF(ISNUMBER(X162),X162-S162,-S162)</f>
        <v>0</v>
      </c>
      <c r="AA162" s="13" t="str">
        <f aca="false">IF(NOT(ISNUMBER(X162)),"NO AUGUST POSTING IN EXPORT",IF(ABS(Y162)&gt;=0.005,"POSTED CHARGE MISMATCH",IF(P162&gt;0,"MATCH - COVERED ELIGIBILITY EXCEPTION","MATCH")))</f>
        <v>MATCH</v>
      </c>
      <c r="AB162" s="13" t="s">
        <v>3022</v>
      </c>
    </row>
    <row r="163" customFormat="false" ht="15" hidden="false" customHeight="false" outlineLevel="0" collapsed="false">
      <c r="A163" s="9" t="s">
        <v>3023</v>
      </c>
      <c r="B163" s="9" t="s">
        <v>145</v>
      </c>
      <c r="C163" s="9" t="s">
        <v>146</v>
      </c>
      <c r="D163" s="9" t="s">
        <v>2002</v>
      </c>
      <c r="E163" s="9" t="s">
        <v>3024</v>
      </c>
      <c r="F163" s="9" t="s">
        <v>3025</v>
      </c>
      <c r="G163" s="9" t="s">
        <v>3026</v>
      </c>
      <c r="H163" s="9" t="s">
        <v>2231</v>
      </c>
      <c r="I163" s="11" t="n">
        <v>70</v>
      </c>
      <c r="J163" s="11" t="n">
        <v>58.3</v>
      </c>
      <c r="K163" s="11"/>
      <c r="L163" s="11"/>
      <c r="M163" s="11" t="n">
        <f aca="false">IF(ISNUMBER(L163),L163,J163)</f>
        <v>58.3</v>
      </c>
      <c r="N163" s="11" t="n">
        <f aca="false">ROUNDUP(M163,0)</f>
        <v>59</v>
      </c>
      <c r="O163" s="11" t="n">
        <f aca="false">MAX(I163,N163)</f>
        <v>70</v>
      </c>
      <c r="P163" s="11" t="n">
        <f aca="false">IF(C163="COVERED",MAX(0,O163-40),0)</f>
        <v>0</v>
      </c>
      <c r="Q163" s="11" t="n">
        <f aca="false">O163</f>
        <v>70</v>
      </c>
      <c r="R163" s="17" t="n">
        <f aca="false">IF(C163="COVERED",10.4,7.55)</f>
        <v>7.55</v>
      </c>
      <c r="S163" s="17" t="n">
        <f aca="false">Q163*R163</f>
        <v>528.5</v>
      </c>
      <c r="T163" s="9" t="s">
        <v>3027</v>
      </c>
      <c r="U163" s="10" t="n">
        <v>46235</v>
      </c>
      <c r="V163" s="9" t="n">
        <v>70</v>
      </c>
      <c r="W163" s="17" t="n">
        <v>7.55</v>
      </c>
      <c r="X163" s="17" t="n">
        <v>528.5</v>
      </c>
      <c r="Y163" s="17" t="n">
        <f aca="false">IF(ISNUMBER(X163),X163-S163,"")</f>
        <v>0</v>
      </c>
      <c r="Z163" s="17" t="n">
        <f aca="false">IF(ISNUMBER(X163),X163-S163,-S163)</f>
        <v>0</v>
      </c>
      <c r="AA163" s="9" t="str">
        <f aca="false">IF(NOT(ISNUMBER(X163)),"NO AUGUST POSTING IN EXPORT",IF(ABS(Y163)&gt;=0.005,"POSTED CHARGE MISMATCH",IF(P163&gt;0,"MATCH - COVERED ELIGIBILITY EXCEPTION","MATCH")))</f>
        <v>MATCH</v>
      </c>
      <c r="AB163" s="9" t="s">
        <v>3028</v>
      </c>
    </row>
    <row r="164" customFormat="false" ht="15" hidden="false" customHeight="false" outlineLevel="0" collapsed="false">
      <c r="A164" s="13" t="s">
        <v>3029</v>
      </c>
      <c r="B164" s="13" t="s">
        <v>145</v>
      </c>
      <c r="C164" s="13" t="s">
        <v>146</v>
      </c>
      <c r="D164" s="13" t="s">
        <v>2002</v>
      </c>
      <c r="E164" s="13" t="s">
        <v>3030</v>
      </c>
      <c r="F164" s="13" t="s">
        <v>3031</v>
      </c>
      <c r="G164" s="13" t="s">
        <v>3032</v>
      </c>
      <c r="H164" s="13" t="s">
        <v>2124</v>
      </c>
      <c r="I164" s="15" t="n">
        <v>28</v>
      </c>
      <c r="J164" s="15" t="n">
        <v>26.3</v>
      </c>
      <c r="K164" s="15"/>
      <c r="L164" s="15"/>
      <c r="M164" s="15" t="n">
        <f aca="false">IF(ISNUMBER(L164),L164,J164)</f>
        <v>26.3</v>
      </c>
      <c r="N164" s="15" t="n">
        <f aca="false">ROUNDUP(M164,0)</f>
        <v>27</v>
      </c>
      <c r="O164" s="15" t="n">
        <f aca="false">MAX(I164,N164)</f>
        <v>28</v>
      </c>
      <c r="P164" s="15" t="n">
        <f aca="false">IF(C164="COVERED",MAX(0,O164-40),0)</f>
        <v>0</v>
      </c>
      <c r="Q164" s="15" t="n">
        <f aca="false">O164</f>
        <v>28</v>
      </c>
      <c r="R164" s="18" t="n">
        <f aca="false">IF(C164="COVERED",10.4,7.55)</f>
        <v>7.55</v>
      </c>
      <c r="S164" s="18" t="n">
        <f aca="false">Q164*R164</f>
        <v>211.4</v>
      </c>
      <c r="T164" s="13" t="s">
        <v>3033</v>
      </c>
      <c r="U164" s="14" t="n">
        <v>46235</v>
      </c>
      <c r="V164" s="13" t="n">
        <v>28</v>
      </c>
      <c r="W164" s="18" t="n">
        <v>7.55</v>
      </c>
      <c r="X164" s="18" t="n">
        <v>211.4</v>
      </c>
      <c r="Y164" s="18" t="n">
        <f aca="false">IF(ISNUMBER(X164),X164-S164,"")</f>
        <v>0</v>
      </c>
      <c r="Z164" s="18" t="n">
        <f aca="false">IF(ISNUMBER(X164),X164-S164,-S164)</f>
        <v>0</v>
      </c>
      <c r="AA164" s="13" t="str">
        <f aca="false">IF(NOT(ISNUMBER(X164)),"NO AUGUST POSTING IN EXPORT",IF(ABS(Y164)&gt;=0.005,"POSTED CHARGE MISMATCH",IF(P164&gt;0,"MATCH - COVERED ELIGIBILITY EXCEPTION","MATCH")))</f>
        <v>MATCH</v>
      </c>
      <c r="AB164" s="13" t="s">
        <v>3034</v>
      </c>
    </row>
    <row r="165" customFormat="false" ht="15" hidden="false" customHeight="false" outlineLevel="0" collapsed="false">
      <c r="A165" s="9" t="s">
        <v>3035</v>
      </c>
      <c r="B165" s="9" t="s">
        <v>145</v>
      </c>
      <c r="C165" s="9" t="s">
        <v>146</v>
      </c>
      <c r="D165" s="9" t="s">
        <v>2002</v>
      </c>
      <c r="E165" s="9" t="s">
        <v>3036</v>
      </c>
      <c r="F165" s="9" t="s">
        <v>1069</v>
      </c>
      <c r="G165" s="9" t="s">
        <v>1070</v>
      </c>
      <c r="H165" s="9" t="s">
        <v>2624</v>
      </c>
      <c r="I165" s="11" t="n">
        <v>70</v>
      </c>
      <c r="J165" s="11" t="n">
        <v>61</v>
      </c>
      <c r="K165" s="11"/>
      <c r="L165" s="11"/>
      <c r="M165" s="11" t="n">
        <f aca="false">IF(ISNUMBER(L165),L165,J165)</f>
        <v>61</v>
      </c>
      <c r="N165" s="11" t="n">
        <f aca="false">ROUNDUP(M165,0)</f>
        <v>61</v>
      </c>
      <c r="O165" s="11" t="n">
        <f aca="false">MAX(I165,N165)</f>
        <v>70</v>
      </c>
      <c r="P165" s="11" t="n">
        <f aca="false">IF(C165="COVERED",MAX(0,O165-40),0)</f>
        <v>0</v>
      </c>
      <c r="Q165" s="11" t="n">
        <f aca="false">O165</f>
        <v>70</v>
      </c>
      <c r="R165" s="17" t="n">
        <f aca="false">IF(C165="COVERED",10.4,7.55)</f>
        <v>7.55</v>
      </c>
      <c r="S165" s="17" t="n">
        <f aca="false">Q165*R165</f>
        <v>528.5</v>
      </c>
      <c r="T165" s="9" t="s">
        <v>3037</v>
      </c>
      <c r="U165" s="10" t="n">
        <v>46235</v>
      </c>
      <c r="V165" s="9" t="n">
        <v>70</v>
      </c>
      <c r="W165" s="17" t="n">
        <v>7.55</v>
      </c>
      <c r="X165" s="17" t="n">
        <v>528.5</v>
      </c>
      <c r="Y165" s="17" t="n">
        <f aca="false">IF(ISNUMBER(X165),X165-S165,"")</f>
        <v>0</v>
      </c>
      <c r="Z165" s="17" t="n">
        <f aca="false">IF(ISNUMBER(X165),X165-S165,-S165)</f>
        <v>0</v>
      </c>
      <c r="AA165" s="9" t="str">
        <f aca="false">IF(NOT(ISNUMBER(X165)),"NO AUGUST POSTING IN EXPORT",IF(ABS(Y165)&gt;=0.005,"POSTED CHARGE MISMATCH",IF(P165&gt;0,"MATCH - COVERED ELIGIBILITY EXCEPTION","MATCH")))</f>
        <v>MATCH</v>
      </c>
      <c r="AB165" s="9" t="s">
        <v>3038</v>
      </c>
    </row>
    <row r="166" customFormat="false" ht="15" hidden="false" customHeight="false" outlineLevel="0" collapsed="false">
      <c r="A166" s="13" t="s">
        <v>3039</v>
      </c>
      <c r="B166" s="13" t="s">
        <v>145</v>
      </c>
      <c r="C166" s="13" t="s">
        <v>146</v>
      </c>
      <c r="D166" s="13" t="s">
        <v>2002</v>
      </c>
      <c r="E166" s="13" t="s">
        <v>3040</v>
      </c>
      <c r="F166" s="13" t="s">
        <v>3041</v>
      </c>
      <c r="G166" s="13" t="s">
        <v>3042</v>
      </c>
      <c r="H166" s="13" t="s">
        <v>3043</v>
      </c>
      <c r="I166" s="15" t="n">
        <v>28</v>
      </c>
      <c r="J166" s="15" t="n">
        <v>26.4</v>
      </c>
      <c r="K166" s="15"/>
      <c r="L166" s="15"/>
      <c r="M166" s="15" t="n">
        <f aca="false">IF(ISNUMBER(L166),L166,J166)</f>
        <v>26.4</v>
      </c>
      <c r="N166" s="15" t="n">
        <f aca="false">ROUNDUP(M166,0)</f>
        <v>27</v>
      </c>
      <c r="O166" s="15" t="n">
        <f aca="false">MAX(I166,N166)</f>
        <v>28</v>
      </c>
      <c r="P166" s="15" t="n">
        <f aca="false">IF(C166="COVERED",MAX(0,O166-40),0)</f>
        <v>0</v>
      </c>
      <c r="Q166" s="15" t="n">
        <f aca="false">O166</f>
        <v>28</v>
      </c>
      <c r="R166" s="18" t="n">
        <f aca="false">IF(C166="COVERED",10.4,7.55)</f>
        <v>7.55</v>
      </c>
      <c r="S166" s="18" t="n">
        <f aca="false">Q166*R166</f>
        <v>211.4</v>
      </c>
      <c r="T166" s="13" t="s">
        <v>3044</v>
      </c>
      <c r="U166" s="14" t="n">
        <v>46235</v>
      </c>
      <c r="V166" s="13" t="n">
        <v>28</v>
      </c>
      <c r="W166" s="18" t="n">
        <v>7.55</v>
      </c>
      <c r="X166" s="18" t="n">
        <v>211.4</v>
      </c>
      <c r="Y166" s="18" t="n">
        <f aca="false">IF(ISNUMBER(X166),X166-S166,"")</f>
        <v>0</v>
      </c>
      <c r="Z166" s="18" t="n">
        <f aca="false">IF(ISNUMBER(X166),X166-S166,-S166)</f>
        <v>0</v>
      </c>
      <c r="AA166" s="13" t="str">
        <f aca="false">IF(NOT(ISNUMBER(X166)),"NO AUGUST POSTING IN EXPORT",IF(ABS(Y166)&gt;=0.005,"POSTED CHARGE MISMATCH",IF(P166&gt;0,"MATCH - COVERED ELIGIBILITY EXCEPTION","MATCH")))</f>
        <v>MATCH</v>
      </c>
      <c r="AB166" s="13" t="s">
        <v>3045</v>
      </c>
    </row>
    <row r="167" customFormat="false" ht="15" hidden="false" customHeight="false" outlineLevel="0" collapsed="false">
      <c r="A167" s="9" t="s">
        <v>1640</v>
      </c>
      <c r="B167" s="9" t="s">
        <v>145</v>
      </c>
      <c r="C167" s="9" t="s">
        <v>146</v>
      </c>
      <c r="D167" s="9" t="s">
        <v>2002</v>
      </c>
      <c r="E167" s="9" t="s">
        <v>3046</v>
      </c>
      <c r="F167" s="9" t="s">
        <v>3047</v>
      </c>
      <c r="G167" s="9" t="s">
        <v>3048</v>
      </c>
      <c r="H167" s="9" t="s">
        <v>3049</v>
      </c>
      <c r="I167" s="11" t="n">
        <v>45</v>
      </c>
      <c r="J167" s="11" t="n">
        <v>54.3</v>
      </c>
      <c r="K167" s="11"/>
      <c r="L167" s="11"/>
      <c r="M167" s="11" t="n">
        <f aca="false">IF(ISNUMBER(L167),L167,J167)</f>
        <v>54.3</v>
      </c>
      <c r="N167" s="11" t="n">
        <f aca="false">ROUNDUP(M167,0)</f>
        <v>55</v>
      </c>
      <c r="O167" s="11" t="n">
        <f aca="false">MAX(I167,N167)</f>
        <v>55</v>
      </c>
      <c r="P167" s="11" t="n">
        <f aca="false">IF(C167="COVERED",MAX(0,O167-40),0)</f>
        <v>0</v>
      </c>
      <c r="Q167" s="11" t="n">
        <f aca="false">O167</f>
        <v>55</v>
      </c>
      <c r="R167" s="17" t="n">
        <f aca="false">IF(C167="COVERED",10.4,7.55)</f>
        <v>7.55</v>
      </c>
      <c r="S167" s="17" t="n">
        <f aca="false">Q167*R167</f>
        <v>415.25</v>
      </c>
      <c r="T167" s="9" t="s">
        <v>3050</v>
      </c>
      <c r="U167" s="10" t="n">
        <v>46235</v>
      </c>
      <c r="V167" s="9" t="n">
        <v>55</v>
      </c>
      <c r="W167" s="17" t="n">
        <v>7.55</v>
      </c>
      <c r="X167" s="17" t="n">
        <v>415.25</v>
      </c>
      <c r="Y167" s="17" t="n">
        <f aca="false">IF(ISNUMBER(X167),X167-S167,"")</f>
        <v>0</v>
      </c>
      <c r="Z167" s="17" t="n">
        <f aca="false">IF(ISNUMBER(X167),X167-S167,-S167)</f>
        <v>0</v>
      </c>
      <c r="AA167" s="9" t="str">
        <f aca="false">IF(NOT(ISNUMBER(X167)),"NO AUGUST POSTING IN EXPORT",IF(ABS(Y167)&gt;=0.005,"POSTED CHARGE MISMATCH",IF(P167&gt;0,"MATCH - COVERED ELIGIBILITY EXCEPTION","MATCH")))</f>
        <v>MATCH</v>
      </c>
      <c r="AB167" s="9" t="s">
        <v>3051</v>
      </c>
    </row>
    <row r="168" customFormat="false" ht="15" hidden="false" customHeight="false" outlineLevel="0" collapsed="false">
      <c r="A168" s="13" t="s">
        <v>540</v>
      </c>
      <c r="B168" s="13" t="s">
        <v>145</v>
      </c>
      <c r="C168" s="13" t="s">
        <v>146</v>
      </c>
      <c r="D168" s="13" t="s">
        <v>2002</v>
      </c>
      <c r="E168" s="13" t="s">
        <v>3052</v>
      </c>
      <c r="F168" s="13" t="s">
        <v>3053</v>
      </c>
      <c r="G168" s="13" t="s">
        <v>3054</v>
      </c>
      <c r="H168" s="13" t="s">
        <v>3055</v>
      </c>
      <c r="I168" s="15" t="n">
        <v>40</v>
      </c>
      <c r="J168" s="15" t="n">
        <v>30.1</v>
      </c>
      <c r="K168" s="15"/>
      <c r="L168" s="15"/>
      <c r="M168" s="15" t="n">
        <f aca="false">IF(ISNUMBER(L168),L168,J168)</f>
        <v>30.1</v>
      </c>
      <c r="N168" s="15" t="n">
        <f aca="false">ROUNDUP(M168,0)</f>
        <v>31</v>
      </c>
      <c r="O168" s="15" t="n">
        <f aca="false">MAX(I168,N168)</f>
        <v>40</v>
      </c>
      <c r="P168" s="15" t="n">
        <f aca="false">IF(C168="COVERED",MAX(0,O168-40),0)</f>
        <v>0</v>
      </c>
      <c r="Q168" s="15" t="n">
        <f aca="false">O168</f>
        <v>40</v>
      </c>
      <c r="R168" s="18" t="n">
        <f aca="false">IF(C168="COVERED",10.4,7.55)</f>
        <v>7.55</v>
      </c>
      <c r="S168" s="18" t="n">
        <f aca="false">Q168*R168</f>
        <v>302</v>
      </c>
      <c r="T168" s="13" t="s">
        <v>3056</v>
      </c>
      <c r="U168" s="14" t="n">
        <v>46235</v>
      </c>
      <c r="V168" s="13" t="n">
        <v>40</v>
      </c>
      <c r="W168" s="18" t="n">
        <v>7.55</v>
      </c>
      <c r="X168" s="18" t="n">
        <v>302</v>
      </c>
      <c r="Y168" s="18" t="n">
        <f aca="false">IF(ISNUMBER(X168),X168-S168,"")</f>
        <v>0</v>
      </c>
      <c r="Z168" s="18" t="n">
        <f aca="false">IF(ISNUMBER(X168),X168-S168,-S168)</f>
        <v>0</v>
      </c>
      <c r="AA168" s="13" t="str">
        <f aca="false">IF(NOT(ISNUMBER(X168)),"NO AUGUST POSTING IN EXPORT",IF(ABS(Y168)&gt;=0.005,"POSTED CHARGE MISMATCH",IF(P168&gt;0,"MATCH - COVERED ELIGIBILITY EXCEPTION","MATCH")))</f>
        <v>MATCH</v>
      </c>
      <c r="AB168" s="13" t="s">
        <v>3057</v>
      </c>
    </row>
    <row r="169" customFormat="false" ht="15" hidden="false" customHeight="false" outlineLevel="0" collapsed="false">
      <c r="A169" s="9" t="s">
        <v>1723</v>
      </c>
      <c r="B169" s="9" t="s">
        <v>145</v>
      </c>
      <c r="C169" s="9" t="s">
        <v>146</v>
      </c>
      <c r="D169" s="9" t="s">
        <v>2002</v>
      </c>
      <c r="E169" s="9" t="s">
        <v>3058</v>
      </c>
      <c r="F169" s="9" t="s">
        <v>3059</v>
      </c>
      <c r="G169" s="9" t="s">
        <v>3060</v>
      </c>
      <c r="H169" s="9" t="s">
        <v>3061</v>
      </c>
      <c r="I169" s="11" t="n">
        <v>50</v>
      </c>
      <c r="J169" s="11" t="n">
        <v>41.7</v>
      </c>
      <c r="K169" s="11"/>
      <c r="L169" s="11"/>
      <c r="M169" s="11" t="n">
        <f aca="false">IF(ISNUMBER(L169),L169,J169)</f>
        <v>41.7</v>
      </c>
      <c r="N169" s="11" t="n">
        <f aca="false">ROUNDUP(M169,0)</f>
        <v>42</v>
      </c>
      <c r="O169" s="11" t="n">
        <f aca="false">MAX(I169,N169)</f>
        <v>50</v>
      </c>
      <c r="P169" s="11" t="n">
        <f aca="false">IF(C169="COVERED",MAX(0,O169-40),0)</f>
        <v>0</v>
      </c>
      <c r="Q169" s="11" t="n">
        <f aca="false">O169</f>
        <v>50</v>
      </c>
      <c r="R169" s="17" t="n">
        <f aca="false">IF(C169="COVERED",10.4,7.55)</f>
        <v>7.55</v>
      </c>
      <c r="S169" s="17" t="n">
        <f aca="false">Q169*R169</f>
        <v>377.5</v>
      </c>
      <c r="T169" s="9" t="s">
        <v>3062</v>
      </c>
      <c r="U169" s="10" t="n">
        <v>46235</v>
      </c>
      <c r="V169" s="9" t="n">
        <v>50</v>
      </c>
      <c r="W169" s="17" t="n">
        <v>7.55</v>
      </c>
      <c r="X169" s="17" t="n">
        <v>377.5</v>
      </c>
      <c r="Y169" s="17" t="n">
        <f aca="false">IF(ISNUMBER(X169),X169-S169,"")</f>
        <v>0</v>
      </c>
      <c r="Z169" s="17" t="n">
        <f aca="false">IF(ISNUMBER(X169),X169-S169,-S169)</f>
        <v>0</v>
      </c>
      <c r="AA169" s="9" t="str">
        <f aca="false">IF(NOT(ISNUMBER(X169)),"NO AUGUST POSTING IN EXPORT",IF(ABS(Y169)&gt;=0.005,"POSTED CHARGE MISMATCH",IF(P169&gt;0,"MATCH - COVERED ELIGIBILITY EXCEPTION","MATCH")))</f>
        <v>MATCH</v>
      </c>
      <c r="AB169" s="9" t="s">
        <v>3063</v>
      </c>
    </row>
    <row r="170" customFormat="false" ht="15" hidden="false" customHeight="false" outlineLevel="0" collapsed="false">
      <c r="A170" s="13" t="s">
        <v>3064</v>
      </c>
      <c r="B170" s="13" t="s">
        <v>145</v>
      </c>
      <c r="C170" s="13" t="s">
        <v>146</v>
      </c>
      <c r="D170" s="13" t="s">
        <v>2002</v>
      </c>
      <c r="E170" s="13" t="s">
        <v>3065</v>
      </c>
      <c r="F170" s="13" t="s">
        <v>1527</v>
      </c>
      <c r="G170" s="13" t="s">
        <v>1528</v>
      </c>
      <c r="H170" s="13" t="s">
        <v>3066</v>
      </c>
      <c r="I170" s="15" t="n">
        <v>80</v>
      </c>
      <c r="J170" s="15" t="n">
        <v>39.4</v>
      </c>
      <c r="K170" s="15"/>
      <c r="L170" s="15"/>
      <c r="M170" s="15" t="n">
        <f aca="false">IF(ISNUMBER(L170),L170,J170)</f>
        <v>39.4</v>
      </c>
      <c r="N170" s="15" t="n">
        <f aca="false">ROUNDUP(M170,0)</f>
        <v>40</v>
      </c>
      <c r="O170" s="15" t="n">
        <f aca="false">MAX(I170,N170)</f>
        <v>80</v>
      </c>
      <c r="P170" s="15" t="n">
        <f aca="false">IF(C170="COVERED",MAX(0,O170-40),0)</f>
        <v>0</v>
      </c>
      <c r="Q170" s="15" t="n">
        <f aca="false">O170</f>
        <v>80</v>
      </c>
      <c r="R170" s="18" t="n">
        <f aca="false">IF(C170="COVERED",10.4,7.55)</f>
        <v>7.55</v>
      </c>
      <c r="S170" s="18" t="n">
        <f aca="false">Q170*R170</f>
        <v>604</v>
      </c>
      <c r="T170" s="13" t="s">
        <v>3067</v>
      </c>
      <c r="U170" s="14" t="n">
        <v>46235</v>
      </c>
      <c r="V170" s="13" t="n">
        <v>80</v>
      </c>
      <c r="W170" s="18" t="n">
        <v>7.55</v>
      </c>
      <c r="X170" s="18" t="n">
        <v>604</v>
      </c>
      <c r="Y170" s="18" t="n">
        <f aca="false">IF(ISNUMBER(X170),X170-S170,"")</f>
        <v>0</v>
      </c>
      <c r="Z170" s="18" t="n">
        <f aca="false">IF(ISNUMBER(X170),X170-S170,-S170)</f>
        <v>0</v>
      </c>
      <c r="AA170" s="13" t="str">
        <f aca="false">IF(NOT(ISNUMBER(X170)),"NO AUGUST POSTING IN EXPORT",IF(ABS(Y170)&gt;=0.005,"POSTED CHARGE MISMATCH",IF(P170&gt;0,"MATCH - COVERED ELIGIBILITY EXCEPTION","MATCH")))</f>
        <v>MATCH</v>
      </c>
      <c r="AB170" s="13" t="s">
        <v>3068</v>
      </c>
    </row>
    <row r="171" customFormat="false" ht="15" hidden="false" customHeight="false" outlineLevel="0" collapsed="false">
      <c r="A171" s="9" t="s">
        <v>3069</v>
      </c>
      <c r="B171" s="9" t="s">
        <v>145</v>
      </c>
      <c r="C171" s="9" t="s">
        <v>146</v>
      </c>
      <c r="D171" s="9" t="s">
        <v>2002</v>
      </c>
      <c r="E171" s="9" t="s">
        <v>3070</v>
      </c>
      <c r="F171" s="9" t="s">
        <v>3071</v>
      </c>
      <c r="G171" s="9" t="s">
        <v>3072</v>
      </c>
      <c r="H171" s="9" t="s">
        <v>3073</v>
      </c>
      <c r="I171" s="11" t="n">
        <v>24</v>
      </c>
      <c r="J171" s="11" t="n">
        <v>35.5</v>
      </c>
      <c r="K171" s="11"/>
      <c r="L171" s="11"/>
      <c r="M171" s="11" t="n">
        <f aca="false">IF(ISNUMBER(L171),L171,J171)</f>
        <v>35.5</v>
      </c>
      <c r="N171" s="11" t="n">
        <f aca="false">ROUNDUP(M171,0)</f>
        <v>36</v>
      </c>
      <c r="O171" s="11" t="n">
        <f aca="false">MAX(I171,N171)</f>
        <v>36</v>
      </c>
      <c r="P171" s="11" t="n">
        <f aca="false">IF(C171="COVERED",MAX(0,O171-40),0)</f>
        <v>0</v>
      </c>
      <c r="Q171" s="11" t="n">
        <f aca="false">O171</f>
        <v>36</v>
      </c>
      <c r="R171" s="17" t="n">
        <f aca="false">IF(C171="COVERED",10.4,7.55)</f>
        <v>7.55</v>
      </c>
      <c r="S171" s="17" t="n">
        <f aca="false">Q171*R171</f>
        <v>271.8</v>
      </c>
      <c r="T171" s="9" t="s">
        <v>3074</v>
      </c>
      <c r="U171" s="10" t="n">
        <v>46235</v>
      </c>
      <c r="V171" s="9" t="n">
        <v>36</v>
      </c>
      <c r="W171" s="17" t="n">
        <v>7.55</v>
      </c>
      <c r="X171" s="17" t="n">
        <v>271.8</v>
      </c>
      <c r="Y171" s="17" t="n">
        <f aca="false">IF(ISNUMBER(X171),X171-S171,"")</f>
        <v>0</v>
      </c>
      <c r="Z171" s="17" t="n">
        <f aca="false">IF(ISNUMBER(X171),X171-S171,-S171)</f>
        <v>0</v>
      </c>
      <c r="AA171" s="9" t="str">
        <f aca="false">IF(NOT(ISNUMBER(X171)),"NO AUGUST POSTING IN EXPORT",IF(ABS(Y171)&gt;=0.005,"POSTED CHARGE MISMATCH",IF(P171&gt;0,"MATCH - COVERED ELIGIBILITY EXCEPTION","MATCH")))</f>
        <v>MATCH</v>
      </c>
      <c r="AB171" s="9" t="s">
        <v>3075</v>
      </c>
    </row>
    <row r="172" customFormat="false" ht="15" hidden="false" customHeight="false" outlineLevel="0" collapsed="false">
      <c r="A172" s="13" t="s">
        <v>3076</v>
      </c>
      <c r="B172" s="13" t="s">
        <v>145</v>
      </c>
      <c r="C172" s="13" t="s">
        <v>146</v>
      </c>
      <c r="D172" s="13" t="s">
        <v>2002</v>
      </c>
      <c r="E172" s="13" t="s">
        <v>3077</v>
      </c>
      <c r="F172" s="13" t="s">
        <v>3078</v>
      </c>
      <c r="G172" s="13" t="s">
        <v>3079</v>
      </c>
      <c r="H172" s="13" t="s">
        <v>3080</v>
      </c>
      <c r="I172" s="15" t="n">
        <v>32</v>
      </c>
      <c r="J172" s="15" t="n">
        <v>54.1</v>
      </c>
      <c r="K172" s="15"/>
      <c r="L172" s="15"/>
      <c r="M172" s="15" t="n">
        <f aca="false">IF(ISNUMBER(L172),L172,J172)</f>
        <v>54.1</v>
      </c>
      <c r="N172" s="15" t="n">
        <f aca="false">ROUNDUP(M172,0)</f>
        <v>55</v>
      </c>
      <c r="O172" s="15" t="n">
        <f aca="false">MAX(I172,N172)</f>
        <v>55</v>
      </c>
      <c r="P172" s="15" t="n">
        <f aca="false">IF(C172="COVERED",MAX(0,O172-40),0)</f>
        <v>0</v>
      </c>
      <c r="Q172" s="15" t="n">
        <f aca="false">O172</f>
        <v>55</v>
      </c>
      <c r="R172" s="18" t="n">
        <f aca="false">IF(C172="COVERED",10.4,7.55)</f>
        <v>7.55</v>
      </c>
      <c r="S172" s="18" t="n">
        <f aca="false">Q172*R172</f>
        <v>415.25</v>
      </c>
      <c r="T172" s="13" t="s">
        <v>3081</v>
      </c>
      <c r="U172" s="14" t="n">
        <v>46235</v>
      </c>
      <c r="V172" s="13" t="n">
        <v>55</v>
      </c>
      <c r="W172" s="18" t="n">
        <v>7.55</v>
      </c>
      <c r="X172" s="18" t="n">
        <v>415.25</v>
      </c>
      <c r="Y172" s="18" t="n">
        <f aca="false">IF(ISNUMBER(X172),X172-S172,"")</f>
        <v>0</v>
      </c>
      <c r="Z172" s="18" t="n">
        <f aca="false">IF(ISNUMBER(X172),X172-S172,-S172)</f>
        <v>0</v>
      </c>
      <c r="AA172" s="13" t="str">
        <f aca="false">IF(NOT(ISNUMBER(X172)),"NO AUGUST POSTING IN EXPORT",IF(ABS(Y172)&gt;=0.005,"POSTED CHARGE MISMATCH",IF(P172&gt;0,"MATCH - COVERED ELIGIBILITY EXCEPTION","MATCH")))</f>
        <v>MATCH</v>
      </c>
      <c r="AB172" s="13" t="s">
        <v>3082</v>
      </c>
    </row>
    <row r="173" customFormat="false" ht="15" hidden="false" customHeight="false" outlineLevel="0" collapsed="false">
      <c r="A173" s="9" t="s">
        <v>1518</v>
      </c>
      <c r="B173" s="9" t="s">
        <v>145</v>
      </c>
      <c r="C173" s="9" t="s">
        <v>146</v>
      </c>
      <c r="D173" s="9" t="s">
        <v>2002</v>
      </c>
      <c r="E173" s="9" t="s">
        <v>3083</v>
      </c>
      <c r="F173" s="9" t="s">
        <v>3084</v>
      </c>
      <c r="G173" s="9" t="s">
        <v>3085</v>
      </c>
      <c r="H173" s="9" t="s">
        <v>3086</v>
      </c>
      <c r="I173" s="11" t="n">
        <v>24</v>
      </c>
      <c r="J173" s="11" t="n">
        <v>35</v>
      </c>
      <c r="K173" s="11"/>
      <c r="L173" s="11"/>
      <c r="M173" s="11" t="n">
        <f aca="false">IF(ISNUMBER(L173),L173,J173)</f>
        <v>35</v>
      </c>
      <c r="N173" s="11" t="n">
        <f aca="false">ROUNDUP(M173,0)</f>
        <v>35</v>
      </c>
      <c r="O173" s="11" t="n">
        <f aca="false">MAX(I173,N173)</f>
        <v>35</v>
      </c>
      <c r="P173" s="11" t="n">
        <f aca="false">IF(C173="COVERED",MAX(0,O173-40),0)</f>
        <v>0</v>
      </c>
      <c r="Q173" s="11" t="n">
        <f aca="false">O173</f>
        <v>35</v>
      </c>
      <c r="R173" s="17" t="n">
        <f aca="false">IF(C173="COVERED",10.4,7.55)</f>
        <v>7.55</v>
      </c>
      <c r="S173" s="17" t="n">
        <f aca="false">Q173*R173</f>
        <v>264.25</v>
      </c>
      <c r="T173" s="9" t="s">
        <v>3087</v>
      </c>
      <c r="U173" s="10" t="n">
        <v>46235</v>
      </c>
      <c r="V173" s="9" t="n">
        <v>35</v>
      </c>
      <c r="W173" s="17" t="n">
        <v>7.55</v>
      </c>
      <c r="X173" s="17" t="n">
        <v>264.25</v>
      </c>
      <c r="Y173" s="17" t="n">
        <f aca="false">IF(ISNUMBER(X173),X173-S173,"")</f>
        <v>0</v>
      </c>
      <c r="Z173" s="17" t="n">
        <f aca="false">IF(ISNUMBER(X173),X173-S173,-S173)</f>
        <v>0</v>
      </c>
      <c r="AA173" s="9" t="str">
        <f aca="false">IF(NOT(ISNUMBER(X173)),"NO AUGUST POSTING IN EXPORT",IF(ABS(Y173)&gt;=0.005,"POSTED CHARGE MISMATCH",IF(P173&gt;0,"MATCH - COVERED ELIGIBILITY EXCEPTION","MATCH")))</f>
        <v>MATCH</v>
      </c>
      <c r="AB173" s="9" t="s">
        <v>3088</v>
      </c>
    </row>
    <row r="174" customFormat="false" ht="15" hidden="false" customHeight="false" outlineLevel="0" collapsed="false">
      <c r="A174" s="13" t="s">
        <v>3089</v>
      </c>
      <c r="B174" s="13" t="s">
        <v>145</v>
      </c>
      <c r="C174" s="13" t="s">
        <v>146</v>
      </c>
      <c r="D174" s="13" t="s">
        <v>2002</v>
      </c>
      <c r="E174" s="13" t="s">
        <v>3090</v>
      </c>
      <c r="F174" s="13" t="s">
        <v>3091</v>
      </c>
      <c r="G174" s="13" t="s">
        <v>3092</v>
      </c>
      <c r="H174" s="13" t="s">
        <v>3093</v>
      </c>
      <c r="I174" s="15" t="n">
        <v>40</v>
      </c>
      <c r="J174" s="15" t="n">
        <v>28.5</v>
      </c>
      <c r="K174" s="15"/>
      <c r="L174" s="15"/>
      <c r="M174" s="15" t="n">
        <f aca="false">IF(ISNUMBER(L174),L174,J174)</f>
        <v>28.5</v>
      </c>
      <c r="N174" s="15" t="n">
        <f aca="false">ROUNDUP(M174,0)</f>
        <v>29</v>
      </c>
      <c r="O174" s="15" t="n">
        <f aca="false">MAX(I174,N174)</f>
        <v>40</v>
      </c>
      <c r="P174" s="15" t="n">
        <f aca="false">IF(C174="COVERED",MAX(0,O174-40),0)</f>
        <v>0</v>
      </c>
      <c r="Q174" s="15" t="n">
        <f aca="false">O174</f>
        <v>40</v>
      </c>
      <c r="R174" s="18" t="n">
        <f aca="false">IF(C174="COVERED",10.4,7.55)</f>
        <v>7.55</v>
      </c>
      <c r="S174" s="18" t="n">
        <f aca="false">Q174*R174</f>
        <v>302</v>
      </c>
      <c r="T174" s="13" t="s">
        <v>3094</v>
      </c>
      <c r="U174" s="14" t="n">
        <v>46235</v>
      </c>
      <c r="V174" s="13" t="n">
        <v>40</v>
      </c>
      <c r="W174" s="18" t="n">
        <v>7.55</v>
      </c>
      <c r="X174" s="18" t="n">
        <v>302</v>
      </c>
      <c r="Y174" s="18" t="n">
        <f aca="false">IF(ISNUMBER(X174),X174-S174,"")</f>
        <v>0</v>
      </c>
      <c r="Z174" s="18" t="n">
        <f aca="false">IF(ISNUMBER(X174),X174-S174,-S174)</f>
        <v>0</v>
      </c>
      <c r="AA174" s="13" t="str">
        <f aca="false">IF(NOT(ISNUMBER(X174)),"NO AUGUST POSTING IN EXPORT",IF(ABS(Y174)&gt;=0.005,"POSTED CHARGE MISMATCH",IF(P174&gt;0,"MATCH - COVERED ELIGIBILITY EXCEPTION","MATCH")))</f>
        <v>MATCH</v>
      </c>
      <c r="AB174" s="13" t="s">
        <v>3095</v>
      </c>
    </row>
    <row r="175" customFormat="false" ht="15" hidden="false" customHeight="false" outlineLevel="0" collapsed="false">
      <c r="A175" s="9" t="s">
        <v>3096</v>
      </c>
      <c r="B175" s="9" t="s">
        <v>145</v>
      </c>
      <c r="C175" s="9" t="s">
        <v>146</v>
      </c>
      <c r="D175" s="9" t="s">
        <v>2002</v>
      </c>
      <c r="E175" s="9" t="s">
        <v>3097</v>
      </c>
      <c r="F175" s="9" t="s">
        <v>3098</v>
      </c>
      <c r="G175" s="9" t="s">
        <v>3099</v>
      </c>
      <c r="H175" s="9" t="s">
        <v>3100</v>
      </c>
      <c r="I175" s="11" t="n">
        <v>60</v>
      </c>
      <c r="J175" s="11" t="n">
        <v>49.9</v>
      </c>
      <c r="K175" s="11"/>
      <c r="L175" s="11"/>
      <c r="M175" s="11" t="n">
        <f aca="false">IF(ISNUMBER(L175),L175,J175)</f>
        <v>49.9</v>
      </c>
      <c r="N175" s="11" t="n">
        <f aca="false">ROUNDUP(M175,0)</f>
        <v>50</v>
      </c>
      <c r="O175" s="11" t="n">
        <f aca="false">MAX(I175,N175)</f>
        <v>60</v>
      </c>
      <c r="P175" s="11" t="n">
        <f aca="false">IF(C175="COVERED",MAX(0,O175-40),0)</f>
        <v>0</v>
      </c>
      <c r="Q175" s="11" t="n">
        <f aca="false">O175</f>
        <v>60</v>
      </c>
      <c r="R175" s="17" t="n">
        <f aca="false">IF(C175="COVERED",10.4,7.55)</f>
        <v>7.55</v>
      </c>
      <c r="S175" s="17" t="n">
        <f aca="false">Q175*R175</f>
        <v>453</v>
      </c>
      <c r="T175" s="9" t="s">
        <v>3101</v>
      </c>
      <c r="U175" s="10" t="n">
        <v>46235</v>
      </c>
      <c r="V175" s="9" t="n">
        <v>60</v>
      </c>
      <c r="W175" s="17" t="n">
        <v>7.55</v>
      </c>
      <c r="X175" s="17" t="n">
        <v>453</v>
      </c>
      <c r="Y175" s="17" t="n">
        <f aca="false">IF(ISNUMBER(X175),X175-S175,"")</f>
        <v>0</v>
      </c>
      <c r="Z175" s="17" t="n">
        <f aca="false">IF(ISNUMBER(X175),X175-S175,-S175)</f>
        <v>0</v>
      </c>
      <c r="AA175" s="9" t="str">
        <f aca="false">IF(NOT(ISNUMBER(X175)),"NO AUGUST POSTING IN EXPORT",IF(ABS(Y175)&gt;=0.005,"POSTED CHARGE MISMATCH",IF(P175&gt;0,"MATCH - COVERED ELIGIBILITY EXCEPTION","MATCH")))</f>
        <v>MATCH</v>
      </c>
      <c r="AB175" s="9" t="s">
        <v>3102</v>
      </c>
    </row>
    <row r="176" customFormat="false" ht="15" hidden="false" customHeight="false" outlineLevel="0" collapsed="false">
      <c r="A176" s="13" t="s">
        <v>3103</v>
      </c>
      <c r="B176" s="13" t="s">
        <v>145</v>
      </c>
      <c r="C176" s="13" t="s">
        <v>146</v>
      </c>
      <c r="D176" s="13" t="s">
        <v>2002</v>
      </c>
      <c r="E176" s="13" t="s">
        <v>3104</v>
      </c>
      <c r="F176" s="13" t="s">
        <v>3105</v>
      </c>
      <c r="G176" s="13" t="s">
        <v>3106</v>
      </c>
      <c r="H176" s="13" t="s">
        <v>3107</v>
      </c>
      <c r="I176" s="15" t="n">
        <v>32</v>
      </c>
      <c r="J176" s="15" t="n">
        <v>54.2</v>
      </c>
      <c r="K176" s="15"/>
      <c r="L176" s="15"/>
      <c r="M176" s="15" t="n">
        <f aca="false">IF(ISNUMBER(L176),L176,J176)</f>
        <v>54.2</v>
      </c>
      <c r="N176" s="15" t="n">
        <f aca="false">ROUNDUP(M176,0)</f>
        <v>55</v>
      </c>
      <c r="O176" s="15" t="n">
        <f aca="false">MAX(I176,N176)</f>
        <v>55</v>
      </c>
      <c r="P176" s="15" t="n">
        <f aca="false">IF(C176="COVERED",MAX(0,O176-40),0)</f>
        <v>0</v>
      </c>
      <c r="Q176" s="15" t="n">
        <f aca="false">O176</f>
        <v>55</v>
      </c>
      <c r="R176" s="18" t="n">
        <f aca="false">IF(C176="COVERED",10.4,7.55)</f>
        <v>7.55</v>
      </c>
      <c r="S176" s="18" t="n">
        <f aca="false">Q176*R176</f>
        <v>415.25</v>
      </c>
      <c r="T176" s="13" t="s">
        <v>3108</v>
      </c>
      <c r="U176" s="14" t="n">
        <v>46235</v>
      </c>
      <c r="V176" s="13" t="n">
        <v>55</v>
      </c>
      <c r="W176" s="18" t="n">
        <v>7.55</v>
      </c>
      <c r="X176" s="18" t="n">
        <v>415.25</v>
      </c>
      <c r="Y176" s="18" t="n">
        <f aca="false">IF(ISNUMBER(X176),X176-S176,"")</f>
        <v>0</v>
      </c>
      <c r="Z176" s="18" t="n">
        <f aca="false">IF(ISNUMBER(X176),X176-S176,-S176)</f>
        <v>0</v>
      </c>
      <c r="AA176" s="13" t="str">
        <f aca="false">IF(NOT(ISNUMBER(X176)),"NO AUGUST POSTING IN EXPORT",IF(ABS(Y176)&gt;=0.005,"POSTED CHARGE MISMATCH",IF(P176&gt;0,"MATCH - COVERED ELIGIBILITY EXCEPTION","MATCH")))</f>
        <v>MATCH</v>
      </c>
      <c r="AB176" s="13" t="s">
        <v>3109</v>
      </c>
    </row>
    <row r="177" customFormat="false" ht="15" hidden="false" customHeight="false" outlineLevel="0" collapsed="false">
      <c r="A177" s="9" t="s">
        <v>3110</v>
      </c>
      <c r="B177" s="9" t="s">
        <v>145</v>
      </c>
      <c r="C177" s="9" t="s">
        <v>146</v>
      </c>
      <c r="D177" s="9" t="s">
        <v>2002</v>
      </c>
      <c r="E177" s="9" t="s">
        <v>3111</v>
      </c>
      <c r="F177" s="9" t="s">
        <v>3112</v>
      </c>
      <c r="G177" s="9" t="s">
        <v>3113</v>
      </c>
      <c r="H177" s="9" t="s">
        <v>3114</v>
      </c>
      <c r="I177" s="11" t="n">
        <v>28</v>
      </c>
      <c r="J177" s="11" t="n">
        <v>37.9</v>
      </c>
      <c r="K177" s="11"/>
      <c r="L177" s="11"/>
      <c r="M177" s="11" t="n">
        <f aca="false">IF(ISNUMBER(L177),L177,J177)</f>
        <v>37.9</v>
      </c>
      <c r="N177" s="11" t="n">
        <f aca="false">ROUNDUP(M177,0)</f>
        <v>38</v>
      </c>
      <c r="O177" s="11" t="n">
        <f aca="false">MAX(I177,N177)</f>
        <v>38</v>
      </c>
      <c r="P177" s="11" t="n">
        <f aca="false">IF(C177="COVERED",MAX(0,O177-40),0)</f>
        <v>0</v>
      </c>
      <c r="Q177" s="11" t="n">
        <f aca="false">O177</f>
        <v>38</v>
      </c>
      <c r="R177" s="17" t="n">
        <f aca="false">IF(C177="COVERED",10.4,7.55)</f>
        <v>7.55</v>
      </c>
      <c r="S177" s="17" t="n">
        <f aca="false">Q177*R177</f>
        <v>286.9</v>
      </c>
      <c r="T177" s="9" t="s">
        <v>3115</v>
      </c>
      <c r="U177" s="10" t="n">
        <v>46235</v>
      </c>
      <c r="V177" s="9" t="n">
        <v>38</v>
      </c>
      <c r="W177" s="17" t="n">
        <v>7.55</v>
      </c>
      <c r="X177" s="17" t="n">
        <v>286.9</v>
      </c>
      <c r="Y177" s="17" t="n">
        <f aca="false">IF(ISNUMBER(X177),X177-S177,"")</f>
        <v>0</v>
      </c>
      <c r="Z177" s="17" t="n">
        <f aca="false">IF(ISNUMBER(X177),X177-S177,-S177)</f>
        <v>0</v>
      </c>
      <c r="AA177" s="9" t="str">
        <f aca="false">IF(NOT(ISNUMBER(X177)),"NO AUGUST POSTING IN EXPORT",IF(ABS(Y177)&gt;=0.005,"POSTED CHARGE MISMATCH",IF(P177&gt;0,"MATCH - COVERED ELIGIBILITY EXCEPTION","MATCH")))</f>
        <v>MATCH</v>
      </c>
      <c r="AB177" s="9" t="s">
        <v>3116</v>
      </c>
    </row>
    <row r="178" customFormat="false" ht="15" hidden="false" customHeight="false" outlineLevel="0" collapsed="false">
      <c r="A178" s="13" t="s">
        <v>780</v>
      </c>
      <c r="B178" s="13" t="s">
        <v>145</v>
      </c>
      <c r="C178" s="13" t="s">
        <v>146</v>
      </c>
      <c r="D178" s="13" t="s">
        <v>2002</v>
      </c>
      <c r="E178" s="13" t="s">
        <v>3117</v>
      </c>
      <c r="F178" s="13" t="s">
        <v>1901</v>
      </c>
      <c r="G178" s="13" t="s">
        <v>858</v>
      </c>
      <c r="H178" s="13" t="s">
        <v>3118</v>
      </c>
      <c r="I178" s="15" t="n">
        <v>80</v>
      </c>
      <c r="J178" s="15" t="n">
        <v>46.8</v>
      </c>
      <c r="K178" s="15"/>
      <c r="L178" s="15"/>
      <c r="M178" s="15" t="n">
        <f aca="false">IF(ISNUMBER(L178),L178,J178)</f>
        <v>46.8</v>
      </c>
      <c r="N178" s="15" t="n">
        <f aca="false">ROUNDUP(M178,0)</f>
        <v>47</v>
      </c>
      <c r="O178" s="15" t="n">
        <f aca="false">MAX(I178,N178)</f>
        <v>80</v>
      </c>
      <c r="P178" s="15" t="n">
        <f aca="false">IF(C178="COVERED",MAX(0,O178-40),0)</f>
        <v>0</v>
      </c>
      <c r="Q178" s="15" t="n">
        <f aca="false">O178</f>
        <v>80</v>
      </c>
      <c r="R178" s="18" t="n">
        <f aca="false">IF(C178="COVERED",10.4,7.55)</f>
        <v>7.55</v>
      </c>
      <c r="S178" s="18" t="n">
        <f aca="false">Q178*R178</f>
        <v>604</v>
      </c>
      <c r="T178" s="13" t="s">
        <v>3119</v>
      </c>
      <c r="U178" s="14" t="n">
        <v>46235</v>
      </c>
      <c r="V178" s="13" t="n">
        <v>80</v>
      </c>
      <c r="W178" s="18" t="n">
        <v>7.55</v>
      </c>
      <c r="X178" s="18" t="n">
        <v>604</v>
      </c>
      <c r="Y178" s="18" t="n">
        <f aca="false">IF(ISNUMBER(X178),X178-S178,"")</f>
        <v>0</v>
      </c>
      <c r="Z178" s="18" t="n">
        <f aca="false">IF(ISNUMBER(X178),X178-S178,-S178)</f>
        <v>0</v>
      </c>
      <c r="AA178" s="13" t="str">
        <f aca="false">IF(NOT(ISNUMBER(X178)),"NO AUGUST POSTING IN EXPORT",IF(ABS(Y178)&gt;=0.005,"POSTED CHARGE MISMATCH",IF(P178&gt;0,"MATCH - COVERED ELIGIBILITY EXCEPTION","MATCH")))</f>
        <v>MATCH</v>
      </c>
      <c r="AB178" s="13" t="s">
        <v>3120</v>
      </c>
    </row>
    <row r="179" customFormat="false" ht="15" hidden="false" customHeight="false" outlineLevel="0" collapsed="false">
      <c r="A179" s="9" t="s">
        <v>3121</v>
      </c>
      <c r="B179" s="9" t="s">
        <v>145</v>
      </c>
      <c r="C179" s="9" t="s">
        <v>146</v>
      </c>
      <c r="D179" s="9" t="s">
        <v>2002</v>
      </c>
      <c r="E179" s="9" t="s">
        <v>3122</v>
      </c>
      <c r="F179" s="9" t="s">
        <v>3123</v>
      </c>
      <c r="G179" s="9" t="s">
        <v>3124</v>
      </c>
      <c r="H179" s="9" t="s">
        <v>3125</v>
      </c>
      <c r="I179" s="11" t="n">
        <v>24</v>
      </c>
      <c r="J179" s="11" t="n">
        <v>26.2</v>
      </c>
      <c r="K179" s="11"/>
      <c r="L179" s="11"/>
      <c r="M179" s="11" t="n">
        <f aca="false">IF(ISNUMBER(L179),L179,J179)</f>
        <v>26.2</v>
      </c>
      <c r="N179" s="11" t="n">
        <f aca="false">ROUNDUP(M179,0)</f>
        <v>27</v>
      </c>
      <c r="O179" s="11" t="n">
        <f aca="false">MAX(I179,N179)</f>
        <v>27</v>
      </c>
      <c r="P179" s="11" t="n">
        <f aca="false">IF(C179="COVERED",MAX(0,O179-40),0)</f>
        <v>0</v>
      </c>
      <c r="Q179" s="11" t="n">
        <f aca="false">O179</f>
        <v>27</v>
      </c>
      <c r="R179" s="17" t="n">
        <f aca="false">IF(C179="COVERED",10.4,7.55)</f>
        <v>7.55</v>
      </c>
      <c r="S179" s="17" t="n">
        <f aca="false">Q179*R179</f>
        <v>203.85</v>
      </c>
      <c r="T179" s="9" t="s">
        <v>3126</v>
      </c>
      <c r="U179" s="10" t="n">
        <v>46235</v>
      </c>
      <c r="V179" s="9" t="n">
        <v>27</v>
      </c>
      <c r="W179" s="17" t="n">
        <v>7.55</v>
      </c>
      <c r="X179" s="17" t="n">
        <v>203.85</v>
      </c>
      <c r="Y179" s="17" t="n">
        <f aca="false">IF(ISNUMBER(X179),X179-S179,"")</f>
        <v>0</v>
      </c>
      <c r="Z179" s="17" t="n">
        <f aca="false">IF(ISNUMBER(X179),X179-S179,-S179)</f>
        <v>0</v>
      </c>
      <c r="AA179" s="9" t="str">
        <f aca="false">IF(NOT(ISNUMBER(X179)),"NO AUGUST POSTING IN EXPORT",IF(ABS(Y179)&gt;=0.005,"POSTED CHARGE MISMATCH",IF(P179&gt;0,"MATCH - COVERED ELIGIBILITY EXCEPTION","MATCH")))</f>
        <v>MATCH</v>
      </c>
      <c r="AB179" s="9" t="s">
        <v>3127</v>
      </c>
    </row>
    <row r="180" customFormat="false" ht="15" hidden="false" customHeight="false" outlineLevel="0" collapsed="false">
      <c r="A180" s="13" t="s">
        <v>3128</v>
      </c>
      <c r="B180" s="13" t="s">
        <v>145</v>
      </c>
      <c r="C180" s="13" t="s">
        <v>146</v>
      </c>
      <c r="D180" s="13" t="s">
        <v>2002</v>
      </c>
      <c r="E180" s="13" t="s">
        <v>3129</v>
      </c>
      <c r="F180" s="13" t="s">
        <v>3130</v>
      </c>
      <c r="G180" s="13" t="s">
        <v>3131</v>
      </c>
      <c r="H180" s="13" t="s">
        <v>3132</v>
      </c>
      <c r="I180" s="15" t="n">
        <v>45</v>
      </c>
      <c r="J180" s="15" t="n">
        <v>38.3</v>
      </c>
      <c r="K180" s="15"/>
      <c r="L180" s="15"/>
      <c r="M180" s="15" t="n">
        <f aca="false">IF(ISNUMBER(L180),L180,J180)</f>
        <v>38.3</v>
      </c>
      <c r="N180" s="15" t="n">
        <f aca="false">ROUNDUP(M180,0)</f>
        <v>39</v>
      </c>
      <c r="O180" s="15" t="n">
        <f aca="false">MAX(I180,N180)</f>
        <v>45</v>
      </c>
      <c r="P180" s="15" t="n">
        <f aca="false">IF(C180="COVERED",MAX(0,O180-40),0)</f>
        <v>0</v>
      </c>
      <c r="Q180" s="15" t="n">
        <f aca="false">O180</f>
        <v>45</v>
      </c>
      <c r="R180" s="18" t="n">
        <f aca="false">IF(C180="COVERED",10.4,7.55)</f>
        <v>7.55</v>
      </c>
      <c r="S180" s="18" t="n">
        <f aca="false">Q180*R180</f>
        <v>339.75</v>
      </c>
      <c r="T180" s="13" t="s">
        <v>3133</v>
      </c>
      <c r="U180" s="14" t="n">
        <v>46235</v>
      </c>
      <c r="V180" s="13" t="n">
        <v>45</v>
      </c>
      <c r="W180" s="18" t="n">
        <v>7.55</v>
      </c>
      <c r="X180" s="18" t="n">
        <v>339.75</v>
      </c>
      <c r="Y180" s="18" t="n">
        <f aca="false">IF(ISNUMBER(X180),X180-S180,"")</f>
        <v>0</v>
      </c>
      <c r="Z180" s="18" t="n">
        <f aca="false">IF(ISNUMBER(X180),X180-S180,-S180)</f>
        <v>0</v>
      </c>
      <c r="AA180" s="13" t="str">
        <f aca="false">IF(NOT(ISNUMBER(X180)),"NO AUGUST POSTING IN EXPORT",IF(ABS(Y180)&gt;=0.005,"POSTED CHARGE MISMATCH",IF(P180&gt;0,"MATCH - COVERED ELIGIBILITY EXCEPTION","MATCH")))</f>
        <v>MATCH</v>
      </c>
      <c r="AB180" s="13" t="s">
        <v>3134</v>
      </c>
    </row>
    <row r="181" customFormat="false" ht="15" hidden="false" customHeight="false" outlineLevel="0" collapsed="false">
      <c r="A181" s="9" t="s">
        <v>3135</v>
      </c>
      <c r="B181" s="9" t="s">
        <v>145</v>
      </c>
      <c r="C181" s="9" t="s">
        <v>146</v>
      </c>
      <c r="D181" s="9" t="s">
        <v>2002</v>
      </c>
      <c r="E181" s="9" t="s">
        <v>3136</v>
      </c>
      <c r="F181" s="9" t="s">
        <v>3137</v>
      </c>
      <c r="G181" s="9" t="s">
        <v>3138</v>
      </c>
      <c r="H181" s="9" t="s">
        <v>3139</v>
      </c>
      <c r="I181" s="11" t="n">
        <v>45</v>
      </c>
      <c r="J181" s="11" t="n">
        <v>47</v>
      </c>
      <c r="K181" s="11"/>
      <c r="L181" s="11"/>
      <c r="M181" s="11" t="n">
        <f aca="false">IF(ISNUMBER(L181),L181,J181)</f>
        <v>47</v>
      </c>
      <c r="N181" s="11" t="n">
        <f aca="false">ROUNDUP(M181,0)</f>
        <v>47</v>
      </c>
      <c r="O181" s="11" t="n">
        <f aca="false">MAX(I181,N181)</f>
        <v>47</v>
      </c>
      <c r="P181" s="11" t="n">
        <f aca="false">IF(C181="COVERED",MAX(0,O181-40),0)</f>
        <v>0</v>
      </c>
      <c r="Q181" s="11" t="n">
        <f aca="false">O181</f>
        <v>47</v>
      </c>
      <c r="R181" s="17" t="n">
        <f aca="false">IF(C181="COVERED",10.4,7.55)</f>
        <v>7.55</v>
      </c>
      <c r="S181" s="17" t="n">
        <f aca="false">Q181*R181</f>
        <v>354.85</v>
      </c>
      <c r="T181" s="9" t="s">
        <v>3140</v>
      </c>
      <c r="U181" s="10" t="n">
        <v>46235</v>
      </c>
      <c r="V181" s="9" t="n">
        <v>47</v>
      </c>
      <c r="W181" s="17" t="n">
        <v>7.55</v>
      </c>
      <c r="X181" s="17" t="n">
        <v>354.85</v>
      </c>
      <c r="Y181" s="17" t="n">
        <f aca="false">IF(ISNUMBER(X181),X181-S181,"")</f>
        <v>0</v>
      </c>
      <c r="Z181" s="17" t="n">
        <f aca="false">IF(ISNUMBER(X181),X181-S181,-S181)</f>
        <v>0</v>
      </c>
      <c r="AA181" s="9" t="str">
        <f aca="false">IF(NOT(ISNUMBER(X181)),"NO AUGUST POSTING IN EXPORT",IF(ABS(Y181)&gt;=0.005,"POSTED CHARGE MISMATCH",IF(P181&gt;0,"MATCH - COVERED ELIGIBILITY EXCEPTION","MATCH")))</f>
        <v>MATCH</v>
      </c>
      <c r="AB181" s="9" t="s">
        <v>3141</v>
      </c>
    </row>
    <row r="182" customFormat="false" ht="15" hidden="false" customHeight="false" outlineLevel="0" collapsed="false">
      <c r="A182" s="13" t="s">
        <v>3142</v>
      </c>
      <c r="B182" s="13" t="s">
        <v>145</v>
      </c>
      <c r="C182" s="13" t="s">
        <v>146</v>
      </c>
      <c r="D182" s="13" t="s">
        <v>2002</v>
      </c>
      <c r="E182" s="13" t="s">
        <v>3143</v>
      </c>
      <c r="F182" s="13" t="s">
        <v>3144</v>
      </c>
      <c r="G182" s="13" t="s">
        <v>3145</v>
      </c>
      <c r="H182" s="13" t="s">
        <v>2350</v>
      </c>
      <c r="I182" s="15" t="n">
        <v>80</v>
      </c>
      <c r="J182" s="15" t="n">
        <v>58.9</v>
      </c>
      <c r="K182" s="15"/>
      <c r="L182" s="15"/>
      <c r="M182" s="15" t="n">
        <f aca="false">IF(ISNUMBER(L182),L182,J182)</f>
        <v>58.9</v>
      </c>
      <c r="N182" s="15" t="n">
        <f aca="false">ROUNDUP(M182,0)</f>
        <v>59</v>
      </c>
      <c r="O182" s="15" t="n">
        <f aca="false">MAX(I182,N182)</f>
        <v>80</v>
      </c>
      <c r="P182" s="15" t="n">
        <f aca="false">IF(C182="COVERED",MAX(0,O182-40),0)</f>
        <v>0</v>
      </c>
      <c r="Q182" s="15" t="n">
        <f aca="false">O182</f>
        <v>80</v>
      </c>
      <c r="R182" s="18" t="n">
        <f aca="false">IF(C182="COVERED",10.4,7.55)</f>
        <v>7.55</v>
      </c>
      <c r="S182" s="18" t="n">
        <f aca="false">Q182*R182</f>
        <v>604</v>
      </c>
      <c r="T182" s="13" t="s">
        <v>3146</v>
      </c>
      <c r="U182" s="14" t="n">
        <v>46235</v>
      </c>
      <c r="V182" s="13" t="n">
        <v>80</v>
      </c>
      <c r="W182" s="18" t="n">
        <v>7.55</v>
      </c>
      <c r="X182" s="18" t="n">
        <v>604</v>
      </c>
      <c r="Y182" s="18" t="n">
        <f aca="false">IF(ISNUMBER(X182),X182-S182,"")</f>
        <v>0</v>
      </c>
      <c r="Z182" s="18" t="n">
        <f aca="false">IF(ISNUMBER(X182),X182-S182,-S182)</f>
        <v>0</v>
      </c>
      <c r="AA182" s="13" t="str">
        <f aca="false">IF(NOT(ISNUMBER(X182)),"NO AUGUST POSTING IN EXPORT",IF(ABS(Y182)&gt;=0.005,"POSTED CHARGE MISMATCH",IF(P182&gt;0,"MATCH - COVERED ELIGIBILITY EXCEPTION","MATCH")))</f>
        <v>MATCH</v>
      </c>
      <c r="AB182" s="13" t="s">
        <v>3147</v>
      </c>
    </row>
    <row r="183" customFormat="false" ht="15" hidden="false" customHeight="false" outlineLevel="0" collapsed="false">
      <c r="A183" s="9" t="s">
        <v>3148</v>
      </c>
      <c r="B183" s="9" t="s">
        <v>145</v>
      </c>
      <c r="C183" s="9" t="s">
        <v>146</v>
      </c>
      <c r="D183" s="9" t="s">
        <v>2002</v>
      </c>
      <c r="E183" s="9" t="s">
        <v>3149</v>
      </c>
      <c r="F183" s="9" t="s">
        <v>3150</v>
      </c>
      <c r="G183" s="9" t="s">
        <v>3151</v>
      </c>
      <c r="H183" s="9" t="s">
        <v>3152</v>
      </c>
      <c r="I183" s="11" t="n">
        <v>40</v>
      </c>
      <c r="J183" s="11" t="n">
        <v>52</v>
      </c>
      <c r="K183" s="11"/>
      <c r="L183" s="11"/>
      <c r="M183" s="11" t="n">
        <f aca="false">IF(ISNUMBER(L183),L183,J183)</f>
        <v>52</v>
      </c>
      <c r="N183" s="11" t="n">
        <f aca="false">ROUNDUP(M183,0)</f>
        <v>52</v>
      </c>
      <c r="O183" s="11" t="n">
        <f aca="false">MAX(I183,N183)</f>
        <v>52</v>
      </c>
      <c r="P183" s="11" t="n">
        <f aca="false">IF(C183="COVERED",MAX(0,O183-40),0)</f>
        <v>0</v>
      </c>
      <c r="Q183" s="11" t="n">
        <f aca="false">O183</f>
        <v>52</v>
      </c>
      <c r="R183" s="17" t="n">
        <f aca="false">IF(C183="COVERED",10.4,7.55)</f>
        <v>7.55</v>
      </c>
      <c r="S183" s="17" t="n">
        <f aca="false">Q183*R183</f>
        <v>392.6</v>
      </c>
      <c r="T183" s="9" t="s">
        <v>3153</v>
      </c>
      <c r="U183" s="10" t="n">
        <v>46235</v>
      </c>
      <c r="V183" s="9" t="n">
        <v>52</v>
      </c>
      <c r="W183" s="17" t="n">
        <v>7.55</v>
      </c>
      <c r="X183" s="17" t="n">
        <v>392.6</v>
      </c>
      <c r="Y183" s="17" t="n">
        <f aca="false">IF(ISNUMBER(X183),X183-S183,"")</f>
        <v>0</v>
      </c>
      <c r="Z183" s="17" t="n">
        <f aca="false">IF(ISNUMBER(X183),X183-S183,-S183)</f>
        <v>0</v>
      </c>
      <c r="AA183" s="9" t="str">
        <f aca="false">IF(NOT(ISNUMBER(X183)),"NO AUGUST POSTING IN EXPORT",IF(ABS(Y183)&gt;=0.005,"POSTED CHARGE MISMATCH",IF(P183&gt;0,"MATCH - COVERED ELIGIBILITY EXCEPTION","MATCH")))</f>
        <v>MATCH</v>
      </c>
      <c r="AB183" s="9" t="s">
        <v>3154</v>
      </c>
    </row>
    <row r="184" customFormat="false" ht="15" hidden="false" customHeight="false" outlineLevel="0" collapsed="false">
      <c r="A184" s="13" t="s">
        <v>3155</v>
      </c>
      <c r="B184" s="13" t="s">
        <v>145</v>
      </c>
      <c r="C184" s="13" t="s">
        <v>146</v>
      </c>
      <c r="D184" s="13" t="s">
        <v>2002</v>
      </c>
      <c r="E184" s="13" t="s">
        <v>3156</v>
      </c>
      <c r="F184" s="13" t="s">
        <v>3157</v>
      </c>
      <c r="G184" s="13" t="s">
        <v>3158</v>
      </c>
      <c r="H184" s="13" t="s">
        <v>2520</v>
      </c>
      <c r="I184" s="15" t="n">
        <v>40</v>
      </c>
      <c r="J184" s="15" t="n">
        <v>34.8</v>
      </c>
      <c r="K184" s="15"/>
      <c r="L184" s="15"/>
      <c r="M184" s="15" t="n">
        <f aca="false">IF(ISNUMBER(L184),L184,J184)</f>
        <v>34.8</v>
      </c>
      <c r="N184" s="15" t="n">
        <f aca="false">ROUNDUP(M184,0)</f>
        <v>35</v>
      </c>
      <c r="O184" s="15" t="n">
        <f aca="false">MAX(I184,N184)</f>
        <v>40</v>
      </c>
      <c r="P184" s="15" t="n">
        <f aca="false">IF(C184="COVERED",MAX(0,O184-40),0)</f>
        <v>0</v>
      </c>
      <c r="Q184" s="15" t="n">
        <f aca="false">O184</f>
        <v>40</v>
      </c>
      <c r="R184" s="18" t="n">
        <f aca="false">IF(C184="COVERED",10.4,7.55)</f>
        <v>7.55</v>
      </c>
      <c r="S184" s="18" t="n">
        <f aca="false">Q184*R184</f>
        <v>302</v>
      </c>
      <c r="T184" s="13" t="s">
        <v>3159</v>
      </c>
      <c r="U184" s="14" t="n">
        <v>46235</v>
      </c>
      <c r="V184" s="13" t="n">
        <v>40</v>
      </c>
      <c r="W184" s="18" t="n">
        <v>7.55</v>
      </c>
      <c r="X184" s="18" t="n">
        <v>302</v>
      </c>
      <c r="Y184" s="18" t="n">
        <f aca="false">IF(ISNUMBER(X184),X184-S184,"")</f>
        <v>0</v>
      </c>
      <c r="Z184" s="18" t="n">
        <f aca="false">IF(ISNUMBER(X184),X184-S184,-S184)</f>
        <v>0</v>
      </c>
      <c r="AA184" s="13" t="str">
        <f aca="false">IF(NOT(ISNUMBER(X184)),"NO AUGUST POSTING IN EXPORT",IF(ABS(Y184)&gt;=0.005,"POSTED CHARGE MISMATCH",IF(P184&gt;0,"MATCH - COVERED ELIGIBILITY EXCEPTION","MATCH")))</f>
        <v>MATCH</v>
      </c>
      <c r="AB184" s="13" t="s">
        <v>3160</v>
      </c>
    </row>
    <row r="185" customFormat="false" ht="15" hidden="false" customHeight="false" outlineLevel="0" collapsed="false">
      <c r="A185" s="9" t="s">
        <v>1188</v>
      </c>
      <c r="B185" s="9" t="s">
        <v>145</v>
      </c>
      <c r="C185" s="9" t="s">
        <v>146</v>
      </c>
      <c r="D185" s="9" t="s">
        <v>2002</v>
      </c>
      <c r="E185" s="9" t="s">
        <v>3161</v>
      </c>
      <c r="F185" s="9" t="s">
        <v>3162</v>
      </c>
      <c r="G185" s="9" t="s">
        <v>3163</v>
      </c>
      <c r="H185" s="9" t="s">
        <v>2656</v>
      </c>
      <c r="I185" s="11" t="n">
        <v>45</v>
      </c>
      <c r="J185" s="11" t="n">
        <v>24.6</v>
      </c>
      <c r="K185" s="11"/>
      <c r="L185" s="11"/>
      <c r="M185" s="11" t="n">
        <f aca="false">IF(ISNUMBER(L185),L185,J185)</f>
        <v>24.6</v>
      </c>
      <c r="N185" s="11" t="n">
        <f aca="false">ROUNDUP(M185,0)</f>
        <v>25</v>
      </c>
      <c r="O185" s="11" t="n">
        <f aca="false">MAX(I185,N185)</f>
        <v>45</v>
      </c>
      <c r="P185" s="11" t="n">
        <f aca="false">IF(C185="COVERED",MAX(0,O185-40),0)</f>
        <v>0</v>
      </c>
      <c r="Q185" s="11" t="n">
        <f aca="false">O185</f>
        <v>45</v>
      </c>
      <c r="R185" s="17" t="n">
        <f aca="false">IF(C185="COVERED",10.4,7.55)</f>
        <v>7.55</v>
      </c>
      <c r="S185" s="17" t="n">
        <f aca="false">Q185*R185</f>
        <v>339.75</v>
      </c>
      <c r="T185" s="9" t="s">
        <v>3164</v>
      </c>
      <c r="U185" s="10" t="n">
        <v>46235</v>
      </c>
      <c r="V185" s="9" t="n">
        <v>45</v>
      </c>
      <c r="W185" s="17" t="n">
        <v>7.55</v>
      </c>
      <c r="X185" s="17" t="n">
        <v>339.75</v>
      </c>
      <c r="Y185" s="17" t="n">
        <f aca="false">IF(ISNUMBER(X185),X185-S185,"")</f>
        <v>0</v>
      </c>
      <c r="Z185" s="17" t="n">
        <f aca="false">IF(ISNUMBER(X185),X185-S185,-S185)</f>
        <v>0</v>
      </c>
      <c r="AA185" s="9" t="str">
        <f aca="false">IF(NOT(ISNUMBER(X185)),"NO AUGUST POSTING IN EXPORT",IF(ABS(Y185)&gt;=0.005,"POSTED CHARGE MISMATCH",IF(P185&gt;0,"MATCH - COVERED ELIGIBILITY EXCEPTION","MATCH")))</f>
        <v>MATCH</v>
      </c>
      <c r="AB185" s="9" t="s">
        <v>3165</v>
      </c>
    </row>
    <row r="186" customFormat="false" ht="15" hidden="false" customHeight="false" outlineLevel="0" collapsed="false">
      <c r="A186" s="13" t="s">
        <v>3166</v>
      </c>
      <c r="B186" s="13" t="s">
        <v>145</v>
      </c>
      <c r="C186" s="13" t="s">
        <v>146</v>
      </c>
      <c r="D186" s="13" t="s">
        <v>2002</v>
      </c>
      <c r="E186" s="13" t="s">
        <v>3167</v>
      </c>
      <c r="F186" s="13" t="s">
        <v>3168</v>
      </c>
      <c r="G186" s="13" t="s">
        <v>3169</v>
      </c>
      <c r="H186" s="13" t="s">
        <v>3139</v>
      </c>
      <c r="I186" s="15" t="n">
        <v>70</v>
      </c>
      <c r="J186" s="15" t="n">
        <v>53.7</v>
      </c>
      <c r="K186" s="15"/>
      <c r="L186" s="15"/>
      <c r="M186" s="15" t="n">
        <f aca="false">IF(ISNUMBER(L186),L186,J186)</f>
        <v>53.7</v>
      </c>
      <c r="N186" s="15" t="n">
        <f aca="false">ROUNDUP(M186,0)</f>
        <v>54</v>
      </c>
      <c r="O186" s="15" t="n">
        <f aca="false">MAX(I186,N186)</f>
        <v>70</v>
      </c>
      <c r="P186" s="15" t="n">
        <f aca="false">IF(C186="COVERED",MAX(0,O186-40),0)</f>
        <v>0</v>
      </c>
      <c r="Q186" s="15" t="n">
        <f aca="false">O186</f>
        <v>70</v>
      </c>
      <c r="R186" s="18" t="n">
        <f aca="false">IF(C186="COVERED",10.4,7.55)</f>
        <v>7.55</v>
      </c>
      <c r="S186" s="18" t="n">
        <f aca="false">Q186*R186</f>
        <v>528.5</v>
      </c>
      <c r="T186" s="13" t="s">
        <v>3170</v>
      </c>
      <c r="U186" s="14" t="n">
        <v>46235</v>
      </c>
      <c r="V186" s="13" t="n">
        <v>70</v>
      </c>
      <c r="W186" s="18" t="n">
        <v>7.55</v>
      </c>
      <c r="X186" s="18" t="n">
        <v>528.5</v>
      </c>
      <c r="Y186" s="18" t="n">
        <f aca="false">IF(ISNUMBER(X186),X186-S186,"")</f>
        <v>0</v>
      </c>
      <c r="Z186" s="18" t="n">
        <f aca="false">IF(ISNUMBER(X186),X186-S186,-S186)</f>
        <v>0</v>
      </c>
      <c r="AA186" s="13" t="str">
        <f aca="false">IF(NOT(ISNUMBER(X186)),"NO AUGUST POSTING IN EXPORT",IF(ABS(Y186)&gt;=0.005,"POSTED CHARGE MISMATCH",IF(P186&gt;0,"MATCH - COVERED ELIGIBILITY EXCEPTION","MATCH")))</f>
        <v>MATCH</v>
      </c>
      <c r="AB186" s="13" t="s">
        <v>3171</v>
      </c>
    </row>
    <row r="187" customFormat="false" ht="15" hidden="false" customHeight="false" outlineLevel="0" collapsed="false">
      <c r="A187" s="9" t="s">
        <v>3172</v>
      </c>
      <c r="B187" s="9" t="s">
        <v>145</v>
      </c>
      <c r="C187" s="9" t="s">
        <v>146</v>
      </c>
      <c r="D187" s="9" t="s">
        <v>2002</v>
      </c>
      <c r="E187" s="9" t="s">
        <v>3173</v>
      </c>
      <c r="F187" s="9" t="s">
        <v>3174</v>
      </c>
      <c r="G187" s="9" t="s">
        <v>3175</v>
      </c>
      <c r="H187" s="9" t="s">
        <v>2787</v>
      </c>
      <c r="I187" s="11" t="n">
        <v>60</v>
      </c>
      <c r="J187" s="11" t="n">
        <v>24</v>
      </c>
      <c r="K187" s="11"/>
      <c r="L187" s="11"/>
      <c r="M187" s="11" t="n">
        <f aca="false">IF(ISNUMBER(L187),L187,J187)</f>
        <v>24</v>
      </c>
      <c r="N187" s="11" t="n">
        <f aca="false">ROUNDUP(M187,0)</f>
        <v>24</v>
      </c>
      <c r="O187" s="11" t="n">
        <f aca="false">MAX(I187,N187)</f>
        <v>60</v>
      </c>
      <c r="P187" s="11" t="n">
        <f aca="false">IF(C187="COVERED",MAX(0,O187-40),0)</f>
        <v>0</v>
      </c>
      <c r="Q187" s="11" t="n">
        <f aca="false">O187</f>
        <v>60</v>
      </c>
      <c r="R187" s="17" t="n">
        <f aca="false">IF(C187="COVERED",10.4,7.55)</f>
        <v>7.55</v>
      </c>
      <c r="S187" s="17" t="n">
        <f aca="false">Q187*R187</f>
        <v>453</v>
      </c>
      <c r="T187" s="9" t="s">
        <v>3176</v>
      </c>
      <c r="U187" s="10" t="n">
        <v>46235</v>
      </c>
      <c r="V187" s="9" t="n">
        <v>60</v>
      </c>
      <c r="W187" s="17" t="n">
        <v>7.55</v>
      </c>
      <c r="X187" s="17" t="n">
        <v>453</v>
      </c>
      <c r="Y187" s="17" t="n">
        <f aca="false">IF(ISNUMBER(X187),X187-S187,"")</f>
        <v>0</v>
      </c>
      <c r="Z187" s="17" t="n">
        <f aca="false">IF(ISNUMBER(X187),X187-S187,-S187)</f>
        <v>0</v>
      </c>
      <c r="AA187" s="9" t="str">
        <f aca="false">IF(NOT(ISNUMBER(X187)),"NO AUGUST POSTING IN EXPORT",IF(ABS(Y187)&gt;=0.005,"POSTED CHARGE MISMATCH",IF(P187&gt;0,"MATCH - COVERED ELIGIBILITY EXCEPTION","MATCH")))</f>
        <v>MATCH</v>
      </c>
      <c r="AB187" s="9" t="s">
        <v>3177</v>
      </c>
    </row>
    <row r="188" customFormat="false" ht="15" hidden="false" customHeight="false" outlineLevel="0" collapsed="false">
      <c r="A188" s="13" t="s">
        <v>3178</v>
      </c>
      <c r="B188" s="13" t="s">
        <v>145</v>
      </c>
      <c r="C188" s="13" t="s">
        <v>146</v>
      </c>
      <c r="D188" s="13" t="s">
        <v>2002</v>
      </c>
      <c r="E188" s="13" t="s">
        <v>3179</v>
      </c>
      <c r="F188" s="13" t="s">
        <v>3180</v>
      </c>
      <c r="G188" s="13" t="s">
        <v>3181</v>
      </c>
      <c r="H188" s="13" t="s">
        <v>3182</v>
      </c>
      <c r="I188" s="15" t="n">
        <v>70</v>
      </c>
      <c r="J188" s="15" t="n">
        <v>47.4</v>
      </c>
      <c r="K188" s="15"/>
      <c r="L188" s="15"/>
      <c r="M188" s="15" t="n">
        <f aca="false">IF(ISNUMBER(L188),L188,J188)</f>
        <v>47.4</v>
      </c>
      <c r="N188" s="15" t="n">
        <f aca="false">ROUNDUP(M188,0)</f>
        <v>48</v>
      </c>
      <c r="O188" s="15" t="n">
        <f aca="false">MAX(I188,N188)</f>
        <v>70</v>
      </c>
      <c r="P188" s="15" t="n">
        <f aca="false">IF(C188="COVERED",MAX(0,O188-40),0)</f>
        <v>0</v>
      </c>
      <c r="Q188" s="15" t="n">
        <f aca="false">O188</f>
        <v>70</v>
      </c>
      <c r="R188" s="18" t="n">
        <f aca="false">IF(C188="COVERED",10.4,7.55)</f>
        <v>7.55</v>
      </c>
      <c r="S188" s="18" t="n">
        <f aca="false">Q188*R188</f>
        <v>528.5</v>
      </c>
      <c r="T188" s="13" t="s">
        <v>3183</v>
      </c>
      <c r="U188" s="14" t="n">
        <v>46235</v>
      </c>
      <c r="V188" s="13" t="n">
        <v>70</v>
      </c>
      <c r="W188" s="18" t="n">
        <v>7.55</v>
      </c>
      <c r="X188" s="18" t="n">
        <v>528.5</v>
      </c>
      <c r="Y188" s="18" t="n">
        <f aca="false">IF(ISNUMBER(X188),X188-S188,"")</f>
        <v>0</v>
      </c>
      <c r="Z188" s="18" t="n">
        <f aca="false">IF(ISNUMBER(X188),X188-S188,-S188)</f>
        <v>0</v>
      </c>
      <c r="AA188" s="13" t="str">
        <f aca="false">IF(NOT(ISNUMBER(X188)),"NO AUGUST POSTING IN EXPORT",IF(ABS(Y188)&gt;=0.005,"POSTED CHARGE MISMATCH",IF(P188&gt;0,"MATCH - COVERED ELIGIBILITY EXCEPTION","MATCH")))</f>
        <v>MATCH</v>
      </c>
      <c r="AB188" s="13" t="s">
        <v>3184</v>
      </c>
    </row>
    <row r="189" customFormat="false" ht="15" hidden="false" customHeight="false" outlineLevel="0" collapsed="false">
      <c r="A189" s="9" t="s">
        <v>3185</v>
      </c>
      <c r="B189" s="9" t="s">
        <v>145</v>
      </c>
      <c r="C189" s="9" t="s">
        <v>146</v>
      </c>
      <c r="D189" s="9" t="s">
        <v>2002</v>
      </c>
      <c r="E189" s="9" t="s">
        <v>3186</v>
      </c>
      <c r="F189" s="9" t="s">
        <v>3187</v>
      </c>
      <c r="G189" s="9" t="s">
        <v>3188</v>
      </c>
      <c r="H189" s="9" t="s">
        <v>3189</v>
      </c>
      <c r="I189" s="11" t="n">
        <v>32</v>
      </c>
      <c r="J189" s="11" t="n">
        <v>47.2</v>
      </c>
      <c r="K189" s="11"/>
      <c r="L189" s="11"/>
      <c r="M189" s="11" t="n">
        <f aca="false">IF(ISNUMBER(L189),L189,J189)</f>
        <v>47.2</v>
      </c>
      <c r="N189" s="11" t="n">
        <f aca="false">ROUNDUP(M189,0)</f>
        <v>48</v>
      </c>
      <c r="O189" s="11" t="n">
        <f aca="false">MAX(I189,N189)</f>
        <v>48</v>
      </c>
      <c r="P189" s="11" t="n">
        <f aca="false">IF(C189="COVERED",MAX(0,O189-40),0)</f>
        <v>0</v>
      </c>
      <c r="Q189" s="11" t="n">
        <f aca="false">O189</f>
        <v>48</v>
      </c>
      <c r="R189" s="17" t="n">
        <f aca="false">IF(C189="COVERED",10.4,7.55)</f>
        <v>7.55</v>
      </c>
      <c r="S189" s="17" t="n">
        <f aca="false">Q189*R189</f>
        <v>362.4</v>
      </c>
      <c r="T189" s="9" t="s">
        <v>3190</v>
      </c>
      <c r="U189" s="10" t="n">
        <v>46235</v>
      </c>
      <c r="V189" s="9" t="n">
        <v>48</v>
      </c>
      <c r="W189" s="17" t="n">
        <v>7.55</v>
      </c>
      <c r="X189" s="17" t="n">
        <v>362.4</v>
      </c>
      <c r="Y189" s="17" t="n">
        <f aca="false">IF(ISNUMBER(X189),X189-S189,"")</f>
        <v>0</v>
      </c>
      <c r="Z189" s="17" t="n">
        <f aca="false">IF(ISNUMBER(X189),X189-S189,-S189)</f>
        <v>0</v>
      </c>
      <c r="AA189" s="9" t="str">
        <f aca="false">IF(NOT(ISNUMBER(X189)),"NO AUGUST POSTING IN EXPORT",IF(ABS(Y189)&gt;=0.005,"POSTED CHARGE MISMATCH",IF(P189&gt;0,"MATCH - COVERED ELIGIBILITY EXCEPTION","MATCH")))</f>
        <v>MATCH</v>
      </c>
      <c r="AB189" s="9" t="s">
        <v>3191</v>
      </c>
    </row>
    <row r="190" customFormat="false" ht="15" hidden="false" customHeight="false" outlineLevel="0" collapsed="false">
      <c r="A190" s="13" t="s">
        <v>3192</v>
      </c>
      <c r="B190" s="13" t="s">
        <v>145</v>
      </c>
      <c r="C190" s="13" t="s">
        <v>146</v>
      </c>
      <c r="D190" s="13" t="s">
        <v>2002</v>
      </c>
      <c r="E190" s="13" t="s">
        <v>3193</v>
      </c>
      <c r="F190" s="13" t="s">
        <v>3194</v>
      </c>
      <c r="G190" s="13" t="s">
        <v>3195</v>
      </c>
      <c r="H190" s="13" t="s">
        <v>3196</v>
      </c>
      <c r="I190" s="15" t="n">
        <v>28</v>
      </c>
      <c r="J190" s="15" t="n">
        <v>25.3</v>
      </c>
      <c r="K190" s="15"/>
      <c r="L190" s="15"/>
      <c r="M190" s="15" t="n">
        <f aca="false">IF(ISNUMBER(L190),L190,J190)</f>
        <v>25.3</v>
      </c>
      <c r="N190" s="15" t="n">
        <f aca="false">ROUNDUP(M190,0)</f>
        <v>26</v>
      </c>
      <c r="O190" s="15" t="n">
        <f aca="false">MAX(I190,N190)</f>
        <v>28</v>
      </c>
      <c r="P190" s="15" t="n">
        <f aca="false">IF(C190="COVERED",MAX(0,O190-40),0)</f>
        <v>0</v>
      </c>
      <c r="Q190" s="15" t="n">
        <f aca="false">O190</f>
        <v>28</v>
      </c>
      <c r="R190" s="18" t="n">
        <f aca="false">IF(C190="COVERED",10.4,7.55)</f>
        <v>7.55</v>
      </c>
      <c r="S190" s="18" t="n">
        <f aca="false">Q190*R190</f>
        <v>211.4</v>
      </c>
      <c r="T190" s="13" t="s">
        <v>3197</v>
      </c>
      <c r="U190" s="14" t="n">
        <v>46235</v>
      </c>
      <c r="V190" s="13" t="n">
        <v>28</v>
      </c>
      <c r="W190" s="18" t="n">
        <v>7.55</v>
      </c>
      <c r="X190" s="18" t="n">
        <v>211.4</v>
      </c>
      <c r="Y190" s="18" t="n">
        <f aca="false">IF(ISNUMBER(X190),X190-S190,"")</f>
        <v>0</v>
      </c>
      <c r="Z190" s="18" t="n">
        <f aca="false">IF(ISNUMBER(X190),X190-S190,-S190)</f>
        <v>0</v>
      </c>
      <c r="AA190" s="13" t="str">
        <f aca="false">IF(NOT(ISNUMBER(X190)),"NO AUGUST POSTING IN EXPORT",IF(ABS(Y190)&gt;=0.005,"POSTED CHARGE MISMATCH",IF(P190&gt;0,"MATCH - COVERED ELIGIBILITY EXCEPTION","MATCH")))</f>
        <v>MATCH</v>
      </c>
      <c r="AB190" s="13" t="s">
        <v>3198</v>
      </c>
    </row>
    <row r="191" customFormat="false" ht="15" hidden="false" customHeight="false" outlineLevel="0" collapsed="false">
      <c r="A191" s="9" t="s">
        <v>3199</v>
      </c>
      <c r="B191" s="9" t="s">
        <v>145</v>
      </c>
      <c r="C191" s="9" t="s">
        <v>146</v>
      </c>
      <c r="D191" s="9" t="s">
        <v>2002</v>
      </c>
      <c r="E191" s="9" t="s">
        <v>3200</v>
      </c>
      <c r="F191" s="9" t="s">
        <v>3201</v>
      </c>
      <c r="G191" s="9" t="s">
        <v>3202</v>
      </c>
      <c r="H191" s="9" t="s">
        <v>3203</v>
      </c>
      <c r="I191" s="11" t="n">
        <v>50</v>
      </c>
      <c r="J191" s="11" t="n">
        <v>49.5</v>
      </c>
      <c r="K191" s="11"/>
      <c r="L191" s="11"/>
      <c r="M191" s="11" t="n">
        <f aca="false">IF(ISNUMBER(L191),L191,J191)</f>
        <v>49.5</v>
      </c>
      <c r="N191" s="11" t="n">
        <f aca="false">ROUNDUP(M191,0)</f>
        <v>50</v>
      </c>
      <c r="O191" s="11" t="n">
        <f aca="false">MAX(I191,N191)</f>
        <v>50</v>
      </c>
      <c r="P191" s="11" t="n">
        <f aca="false">IF(C191="COVERED",MAX(0,O191-40),0)</f>
        <v>0</v>
      </c>
      <c r="Q191" s="11" t="n">
        <f aca="false">O191</f>
        <v>50</v>
      </c>
      <c r="R191" s="17" t="n">
        <f aca="false">IF(C191="COVERED",10.4,7.55)</f>
        <v>7.55</v>
      </c>
      <c r="S191" s="17" t="n">
        <f aca="false">Q191*R191</f>
        <v>377.5</v>
      </c>
      <c r="T191" s="9" t="s">
        <v>3204</v>
      </c>
      <c r="U191" s="10" t="n">
        <v>46235</v>
      </c>
      <c r="V191" s="9" t="n">
        <v>50</v>
      </c>
      <c r="W191" s="17" t="n">
        <v>7.55</v>
      </c>
      <c r="X191" s="17" t="n">
        <v>377.5</v>
      </c>
      <c r="Y191" s="17" t="n">
        <f aca="false">IF(ISNUMBER(X191),X191-S191,"")</f>
        <v>0</v>
      </c>
      <c r="Z191" s="17" t="n">
        <f aca="false">IF(ISNUMBER(X191),X191-S191,-S191)</f>
        <v>0</v>
      </c>
      <c r="AA191" s="9" t="str">
        <f aca="false">IF(NOT(ISNUMBER(X191)),"NO AUGUST POSTING IN EXPORT",IF(ABS(Y191)&gt;=0.005,"POSTED CHARGE MISMATCH",IF(P191&gt;0,"MATCH - COVERED ELIGIBILITY EXCEPTION","MATCH")))</f>
        <v>MATCH</v>
      </c>
      <c r="AB191" s="9" t="s">
        <v>3205</v>
      </c>
    </row>
    <row r="192" customFormat="false" ht="15" hidden="false" customHeight="false" outlineLevel="0" collapsed="false">
      <c r="A192" s="13" t="s">
        <v>693</v>
      </c>
      <c r="B192" s="13" t="s">
        <v>145</v>
      </c>
      <c r="C192" s="13" t="s">
        <v>146</v>
      </c>
      <c r="D192" s="13" t="s">
        <v>2002</v>
      </c>
      <c r="E192" s="13" t="s">
        <v>3206</v>
      </c>
      <c r="F192" s="13" t="s">
        <v>3207</v>
      </c>
      <c r="G192" s="13" t="s">
        <v>3208</v>
      </c>
      <c r="H192" s="13" t="s">
        <v>3107</v>
      </c>
      <c r="I192" s="15" t="n">
        <v>24</v>
      </c>
      <c r="J192" s="15" t="n">
        <v>53.1</v>
      </c>
      <c r="K192" s="15"/>
      <c r="L192" s="15"/>
      <c r="M192" s="15" t="n">
        <f aca="false">IF(ISNUMBER(L192),L192,J192)</f>
        <v>53.1</v>
      </c>
      <c r="N192" s="15" t="n">
        <f aca="false">ROUNDUP(M192,0)</f>
        <v>54</v>
      </c>
      <c r="O192" s="15" t="n">
        <f aca="false">MAX(I192,N192)</f>
        <v>54</v>
      </c>
      <c r="P192" s="15" t="n">
        <f aca="false">IF(C192="COVERED",MAX(0,O192-40),0)</f>
        <v>0</v>
      </c>
      <c r="Q192" s="15" t="n">
        <f aca="false">O192</f>
        <v>54</v>
      </c>
      <c r="R192" s="18" t="n">
        <f aca="false">IF(C192="COVERED",10.4,7.55)</f>
        <v>7.55</v>
      </c>
      <c r="S192" s="18" t="n">
        <f aca="false">Q192*R192</f>
        <v>407.7</v>
      </c>
      <c r="T192" s="13" t="s">
        <v>3209</v>
      </c>
      <c r="U192" s="14" t="n">
        <v>46235</v>
      </c>
      <c r="V192" s="13" t="n">
        <v>54</v>
      </c>
      <c r="W192" s="18" t="n">
        <v>7.55</v>
      </c>
      <c r="X192" s="18" t="n">
        <v>407.7</v>
      </c>
      <c r="Y192" s="18" t="n">
        <f aca="false">IF(ISNUMBER(X192),X192-S192,"")</f>
        <v>0</v>
      </c>
      <c r="Z192" s="18" t="n">
        <f aca="false">IF(ISNUMBER(X192),X192-S192,-S192)</f>
        <v>0</v>
      </c>
      <c r="AA192" s="13" t="str">
        <f aca="false">IF(NOT(ISNUMBER(X192)),"NO AUGUST POSTING IN EXPORT",IF(ABS(Y192)&gt;=0.005,"POSTED CHARGE MISMATCH",IF(P192&gt;0,"MATCH - COVERED ELIGIBILITY EXCEPTION","MATCH")))</f>
        <v>MATCH</v>
      </c>
      <c r="AB192" s="13" t="s">
        <v>3210</v>
      </c>
    </row>
    <row r="193" customFormat="false" ht="15" hidden="false" customHeight="false" outlineLevel="0" collapsed="false">
      <c r="A193" s="9" t="s">
        <v>3211</v>
      </c>
      <c r="B193" s="9" t="s">
        <v>145</v>
      </c>
      <c r="C193" s="9" t="s">
        <v>146</v>
      </c>
      <c r="D193" s="9" t="s">
        <v>2002</v>
      </c>
      <c r="E193" s="9" t="s">
        <v>3212</v>
      </c>
      <c r="F193" s="9" t="s">
        <v>3213</v>
      </c>
      <c r="G193" s="9" t="s">
        <v>3214</v>
      </c>
      <c r="H193" s="9" t="s">
        <v>3215</v>
      </c>
      <c r="I193" s="11" t="n">
        <v>24</v>
      </c>
      <c r="J193" s="11" t="n">
        <v>48.6</v>
      </c>
      <c r="K193" s="11"/>
      <c r="L193" s="11"/>
      <c r="M193" s="11" t="n">
        <f aca="false">IF(ISNUMBER(L193),L193,J193)</f>
        <v>48.6</v>
      </c>
      <c r="N193" s="11" t="n">
        <f aca="false">ROUNDUP(M193,0)</f>
        <v>49</v>
      </c>
      <c r="O193" s="11" t="n">
        <f aca="false">MAX(I193,N193)</f>
        <v>49</v>
      </c>
      <c r="P193" s="11" t="n">
        <f aca="false">IF(C193="COVERED",MAX(0,O193-40),0)</f>
        <v>0</v>
      </c>
      <c r="Q193" s="11" t="n">
        <f aca="false">O193</f>
        <v>49</v>
      </c>
      <c r="R193" s="17" t="n">
        <f aca="false">IF(C193="COVERED",10.4,7.55)</f>
        <v>7.55</v>
      </c>
      <c r="S193" s="17" t="n">
        <f aca="false">Q193*R193</f>
        <v>369.95</v>
      </c>
      <c r="T193" s="9" t="s">
        <v>3216</v>
      </c>
      <c r="U193" s="10" t="n">
        <v>46235</v>
      </c>
      <c r="V193" s="9" t="n">
        <v>49</v>
      </c>
      <c r="W193" s="17" t="n">
        <v>7.55</v>
      </c>
      <c r="X193" s="17" t="n">
        <v>369.95</v>
      </c>
      <c r="Y193" s="17" t="n">
        <f aca="false">IF(ISNUMBER(X193),X193-S193,"")</f>
        <v>0</v>
      </c>
      <c r="Z193" s="17" t="n">
        <f aca="false">IF(ISNUMBER(X193),X193-S193,-S193)</f>
        <v>0</v>
      </c>
      <c r="AA193" s="9" t="str">
        <f aca="false">IF(NOT(ISNUMBER(X193)),"NO AUGUST POSTING IN EXPORT",IF(ABS(Y193)&gt;=0.005,"POSTED CHARGE MISMATCH",IF(P193&gt;0,"MATCH - COVERED ELIGIBILITY EXCEPTION","MATCH")))</f>
        <v>MATCH</v>
      </c>
      <c r="AB193" s="9" t="s">
        <v>3217</v>
      </c>
    </row>
    <row r="194" customFormat="false" ht="15" hidden="false" customHeight="false" outlineLevel="0" collapsed="false">
      <c r="A194" s="13" t="s">
        <v>3218</v>
      </c>
      <c r="B194" s="13" t="s">
        <v>145</v>
      </c>
      <c r="C194" s="13" t="s">
        <v>146</v>
      </c>
      <c r="D194" s="13" t="s">
        <v>2002</v>
      </c>
      <c r="E194" s="13" t="s">
        <v>3219</v>
      </c>
      <c r="F194" s="13" t="s">
        <v>3220</v>
      </c>
      <c r="G194" s="13" t="s">
        <v>3221</v>
      </c>
      <c r="H194" s="13" t="s">
        <v>3222</v>
      </c>
      <c r="I194" s="15" t="n">
        <v>24</v>
      </c>
      <c r="J194" s="15" t="n">
        <v>29.8</v>
      </c>
      <c r="K194" s="15"/>
      <c r="L194" s="15"/>
      <c r="M194" s="15" t="n">
        <f aca="false">IF(ISNUMBER(L194),L194,J194)</f>
        <v>29.8</v>
      </c>
      <c r="N194" s="15" t="n">
        <f aca="false">ROUNDUP(M194,0)</f>
        <v>30</v>
      </c>
      <c r="O194" s="15" t="n">
        <f aca="false">MAX(I194,N194)</f>
        <v>30</v>
      </c>
      <c r="P194" s="15" t="n">
        <f aca="false">IF(C194="COVERED",MAX(0,O194-40),0)</f>
        <v>0</v>
      </c>
      <c r="Q194" s="15" t="n">
        <f aca="false">O194</f>
        <v>30</v>
      </c>
      <c r="R194" s="18" t="n">
        <f aca="false">IF(C194="COVERED",10.4,7.55)</f>
        <v>7.55</v>
      </c>
      <c r="S194" s="18" t="n">
        <f aca="false">Q194*R194</f>
        <v>226.5</v>
      </c>
      <c r="T194" s="13" t="s">
        <v>3223</v>
      </c>
      <c r="U194" s="14" t="n">
        <v>46235</v>
      </c>
      <c r="V194" s="13" t="n">
        <v>30</v>
      </c>
      <c r="W194" s="18" t="n">
        <v>7.55</v>
      </c>
      <c r="X194" s="18" t="n">
        <v>226.5</v>
      </c>
      <c r="Y194" s="18" t="n">
        <f aca="false">IF(ISNUMBER(X194),X194-S194,"")</f>
        <v>0</v>
      </c>
      <c r="Z194" s="18" t="n">
        <f aca="false">IF(ISNUMBER(X194),X194-S194,-S194)</f>
        <v>0</v>
      </c>
      <c r="AA194" s="13" t="str">
        <f aca="false">IF(NOT(ISNUMBER(X194)),"NO AUGUST POSTING IN EXPORT",IF(ABS(Y194)&gt;=0.005,"POSTED CHARGE MISMATCH",IF(P194&gt;0,"MATCH - COVERED ELIGIBILITY EXCEPTION","MATCH")))</f>
        <v>MATCH</v>
      </c>
      <c r="AB194" s="13" t="s">
        <v>3224</v>
      </c>
    </row>
    <row r="195" customFormat="false" ht="15" hidden="false" customHeight="false" outlineLevel="0" collapsed="false">
      <c r="A195" s="9" t="s">
        <v>3225</v>
      </c>
      <c r="B195" s="9" t="s">
        <v>145</v>
      </c>
      <c r="C195" s="9" t="s">
        <v>146</v>
      </c>
      <c r="D195" s="9" t="s">
        <v>2002</v>
      </c>
      <c r="E195" s="9" t="s">
        <v>3226</v>
      </c>
      <c r="F195" s="9" t="s">
        <v>3227</v>
      </c>
      <c r="G195" s="9" t="s">
        <v>3228</v>
      </c>
      <c r="H195" s="9" t="s">
        <v>3229</v>
      </c>
      <c r="I195" s="11" t="n">
        <v>28</v>
      </c>
      <c r="J195" s="11" t="n">
        <v>61.3</v>
      </c>
      <c r="K195" s="11"/>
      <c r="L195" s="11"/>
      <c r="M195" s="11" t="n">
        <f aca="false">IF(ISNUMBER(L195),L195,J195)</f>
        <v>61.3</v>
      </c>
      <c r="N195" s="11" t="n">
        <f aca="false">ROUNDUP(M195,0)</f>
        <v>62</v>
      </c>
      <c r="O195" s="11" t="n">
        <f aca="false">MAX(I195,N195)</f>
        <v>62</v>
      </c>
      <c r="P195" s="11" t="n">
        <f aca="false">IF(C195="COVERED",MAX(0,O195-40),0)</f>
        <v>0</v>
      </c>
      <c r="Q195" s="11" t="n">
        <f aca="false">O195</f>
        <v>62</v>
      </c>
      <c r="R195" s="17" t="n">
        <f aca="false">IF(C195="COVERED",10.4,7.55)</f>
        <v>7.55</v>
      </c>
      <c r="S195" s="17" t="n">
        <f aca="false">Q195*R195</f>
        <v>468.1</v>
      </c>
      <c r="T195" s="9" t="s">
        <v>3230</v>
      </c>
      <c r="U195" s="10" t="n">
        <v>46235</v>
      </c>
      <c r="V195" s="9" t="n">
        <v>62</v>
      </c>
      <c r="W195" s="17" t="n">
        <v>7.55</v>
      </c>
      <c r="X195" s="17" t="n">
        <v>468.1</v>
      </c>
      <c r="Y195" s="17" t="n">
        <f aca="false">IF(ISNUMBER(X195),X195-S195,"")</f>
        <v>0</v>
      </c>
      <c r="Z195" s="17" t="n">
        <f aca="false">IF(ISNUMBER(X195),X195-S195,-S195)</f>
        <v>0</v>
      </c>
      <c r="AA195" s="9" t="str">
        <f aca="false">IF(NOT(ISNUMBER(X195)),"NO AUGUST POSTING IN EXPORT",IF(ABS(Y195)&gt;=0.005,"POSTED CHARGE MISMATCH",IF(P195&gt;0,"MATCH - COVERED ELIGIBILITY EXCEPTION","MATCH")))</f>
        <v>MATCH</v>
      </c>
      <c r="AB195" s="9" t="s">
        <v>3231</v>
      </c>
    </row>
    <row r="196" customFormat="false" ht="15" hidden="false" customHeight="false" outlineLevel="0" collapsed="false">
      <c r="A196" s="13" t="s">
        <v>3232</v>
      </c>
      <c r="B196" s="13" t="s">
        <v>145</v>
      </c>
      <c r="C196" s="13" t="s">
        <v>146</v>
      </c>
      <c r="D196" s="13" t="s">
        <v>2002</v>
      </c>
      <c r="E196" s="13" t="s">
        <v>3233</v>
      </c>
      <c r="F196" s="13" t="s">
        <v>3234</v>
      </c>
      <c r="G196" s="13" t="s">
        <v>3235</v>
      </c>
      <c r="H196" s="13" t="s">
        <v>3236</v>
      </c>
      <c r="I196" s="15" t="n">
        <v>40</v>
      </c>
      <c r="J196" s="15" t="n">
        <v>51.4</v>
      </c>
      <c r="K196" s="15"/>
      <c r="L196" s="15"/>
      <c r="M196" s="15" t="n">
        <f aca="false">IF(ISNUMBER(L196),L196,J196)</f>
        <v>51.4</v>
      </c>
      <c r="N196" s="15" t="n">
        <f aca="false">ROUNDUP(M196,0)</f>
        <v>52</v>
      </c>
      <c r="O196" s="15" t="n">
        <f aca="false">MAX(I196,N196)</f>
        <v>52</v>
      </c>
      <c r="P196" s="15" t="n">
        <f aca="false">IF(C196="COVERED",MAX(0,O196-40),0)</f>
        <v>0</v>
      </c>
      <c r="Q196" s="15" t="n">
        <f aca="false">O196</f>
        <v>52</v>
      </c>
      <c r="R196" s="18" t="n">
        <f aca="false">IF(C196="COVERED",10.4,7.55)</f>
        <v>7.55</v>
      </c>
      <c r="S196" s="18" t="n">
        <f aca="false">Q196*R196</f>
        <v>392.6</v>
      </c>
      <c r="T196" s="13" t="s">
        <v>3237</v>
      </c>
      <c r="U196" s="14" t="n">
        <v>46235</v>
      </c>
      <c r="V196" s="13" t="n">
        <v>52</v>
      </c>
      <c r="W196" s="18" t="n">
        <v>7.55</v>
      </c>
      <c r="X196" s="18" t="n">
        <v>392.6</v>
      </c>
      <c r="Y196" s="18" t="n">
        <f aca="false">IF(ISNUMBER(X196),X196-S196,"")</f>
        <v>0</v>
      </c>
      <c r="Z196" s="18" t="n">
        <f aca="false">IF(ISNUMBER(X196),X196-S196,-S196)</f>
        <v>0</v>
      </c>
      <c r="AA196" s="13" t="str">
        <f aca="false">IF(NOT(ISNUMBER(X196)),"NO AUGUST POSTING IN EXPORT",IF(ABS(Y196)&gt;=0.005,"POSTED CHARGE MISMATCH",IF(P196&gt;0,"MATCH - COVERED ELIGIBILITY EXCEPTION","MATCH")))</f>
        <v>MATCH</v>
      </c>
      <c r="AB196" s="13" t="s">
        <v>3238</v>
      </c>
    </row>
    <row r="197" customFormat="false" ht="15" hidden="false" customHeight="false" outlineLevel="0" collapsed="false">
      <c r="A197" s="9" t="s">
        <v>3239</v>
      </c>
      <c r="B197" s="9" t="s">
        <v>145</v>
      </c>
      <c r="C197" s="9" t="s">
        <v>146</v>
      </c>
      <c r="D197" s="9" t="s">
        <v>2002</v>
      </c>
      <c r="E197" s="9" t="s">
        <v>3240</v>
      </c>
      <c r="F197" s="9" t="s">
        <v>3241</v>
      </c>
      <c r="G197" s="9" t="s">
        <v>3242</v>
      </c>
      <c r="H197" s="9" t="s">
        <v>3243</v>
      </c>
      <c r="I197" s="11" t="n">
        <v>32</v>
      </c>
      <c r="J197" s="11" t="n">
        <v>61.9</v>
      </c>
      <c r="K197" s="11"/>
      <c r="L197" s="11"/>
      <c r="M197" s="11" t="n">
        <f aca="false">IF(ISNUMBER(L197),L197,J197)</f>
        <v>61.9</v>
      </c>
      <c r="N197" s="11" t="n">
        <f aca="false">ROUNDUP(M197,0)</f>
        <v>62</v>
      </c>
      <c r="O197" s="11" t="n">
        <f aca="false">MAX(I197,N197)</f>
        <v>62</v>
      </c>
      <c r="P197" s="11" t="n">
        <f aca="false">IF(C197="COVERED",MAX(0,O197-40),0)</f>
        <v>0</v>
      </c>
      <c r="Q197" s="11" t="n">
        <f aca="false">O197</f>
        <v>62</v>
      </c>
      <c r="R197" s="17" t="n">
        <f aca="false">IF(C197="COVERED",10.4,7.55)</f>
        <v>7.55</v>
      </c>
      <c r="S197" s="17" t="n">
        <f aca="false">Q197*R197</f>
        <v>468.1</v>
      </c>
      <c r="T197" s="9" t="s">
        <v>3244</v>
      </c>
      <c r="U197" s="10" t="n">
        <v>46235</v>
      </c>
      <c r="V197" s="9" t="n">
        <v>62</v>
      </c>
      <c r="W197" s="17" t="n">
        <v>7.55</v>
      </c>
      <c r="X197" s="17" t="n">
        <v>468.1</v>
      </c>
      <c r="Y197" s="17" t="n">
        <f aca="false">IF(ISNUMBER(X197),X197-S197,"")</f>
        <v>0</v>
      </c>
      <c r="Z197" s="17" t="n">
        <f aca="false">IF(ISNUMBER(X197),X197-S197,-S197)</f>
        <v>0</v>
      </c>
      <c r="AA197" s="9" t="str">
        <f aca="false">IF(NOT(ISNUMBER(X197)),"NO AUGUST POSTING IN EXPORT",IF(ABS(Y197)&gt;=0.005,"POSTED CHARGE MISMATCH",IF(P197&gt;0,"MATCH - COVERED ELIGIBILITY EXCEPTION","MATCH")))</f>
        <v>MATCH</v>
      </c>
      <c r="AB197" s="9" t="s">
        <v>3245</v>
      </c>
    </row>
    <row r="198" customFormat="false" ht="15" hidden="false" customHeight="false" outlineLevel="0" collapsed="false">
      <c r="A198" s="13" t="s">
        <v>3246</v>
      </c>
      <c r="B198" s="13" t="s">
        <v>145</v>
      </c>
      <c r="C198" s="13" t="s">
        <v>146</v>
      </c>
      <c r="D198" s="13" t="s">
        <v>2002</v>
      </c>
      <c r="E198" s="13" t="s">
        <v>3247</v>
      </c>
      <c r="F198" s="13" t="s">
        <v>3248</v>
      </c>
      <c r="G198" s="13" t="s">
        <v>3249</v>
      </c>
      <c r="H198" s="13" t="s">
        <v>3250</v>
      </c>
      <c r="I198" s="15" t="n">
        <v>28</v>
      </c>
      <c r="J198" s="15" t="n">
        <v>26.2</v>
      </c>
      <c r="K198" s="15"/>
      <c r="L198" s="15"/>
      <c r="M198" s="15" t="n">
        <f aca="false">IF(ISNUMBER(L198),L198,J198)</f>
        <v>26.2</v>
      </c>
      <c r="N198" s="15" t="n">
        <f aca="false">ROUNDUP(M198,0)</f>
        <v>27</v>
      </c>
      <c r="O198" s="15" t="n">
        <f aca="false">MAX(I198,N198)</f>
        <v>28</v>
      </c>
      <c r="P198" s="15" t="n">
        <f aca="false">IF(C198="COVERED",MAX(0,O198-40),0)</f>
        <v>0</v>
      </c>
      <c r="Q198" s="15" t="n">
        <f aca="false">O198</f>
        <v>28</v>
      </c>
      <c r="R198" s="18" t="n">
        <f aca="false">IF(C198="COVERED",10.4,7.55)</f>
        <v>7.55</v>
      </c>
      <c r="S198" s="18" t="n">
        <f aca="false">Q198*R198</f>
        <v>211.4</v>
      </c>
      <c r="T198" s="13" t="s">
        <v>3251</v>
      </c>
      <c r="U198" s="14" t="n">
        <v>46235</v>
      </c>
      <c r="V198" s="13" t="n">
        <v>28</v>
      </c>
      <c r="W198" s="18" t="n">
        <v>7.55</v>
      </c>
      <c r="X198" s="18" t="n">
        <v>211.4</v>
      </c>
      <c r="Y198" s="18" t="n">
        <f aca="false">IF(ISNUMBER(X198),X198-S198,"")</f>
        <v>0</v>
      </c>
      <c r="Z198" s="18" t="n">
        <f aca="false">IF(ISNUMBER(X198),X198-S198,-S198)</f>
        <v>0</v>
      </c>
      <c r="AA198" s="13" t="str">
        <f aca="false">IF(NOT(ISNUMBER(X198)),"NO AUGUST POSTING IN EXPORT",IF(ABS(Y198)&gt;=0.005,"POSTED CHARGE MISMATCH",IF(P198&gt;0,"MATCH - COVERED ELIGIBILITY EXCEPTION","MATCH")))</f>
        <v>MATCH</v>
      </c>
      <c r="AB198" s="13" t="s">
        <v>3252</v>
      </c>
    </row>
    <row r="199" customFormat="false" ht="15" hidden="false" customHeight="false" outlineLevel="0" collapsed="false">
      <c r="A199" s="9" t="s">
        <v>3253</v>
      </c>
      <c r="B199" s="9" t="s">
        <v>145</v>
      </c>
      <c r="C199" s="9" t="s">
        <v>146</v>
      </c>
      <c r="D199" s="9" t="s">
        <v>2002</v>
      </c>
      <c r="E199" s="9" t="s">
        <v>3254</v>
      </c>
      <c r="F199" s="9" t="s">
        <v>3255</v>
      </c>
      <c r="G199" s="9" t="s">
        <v>3256</v>
      </c>
      <c r="H199" s="9" t="s">
        <v>3257</v>
      </c>
      <c r="I199" s="11" t="n">
        <v>32</v>
      </c>
      <c r="J199" s="11" t="n">
        <v>40.6</v>
      </c>
      <c r="K199" s="11"/>
      <c r="L199" s="11"/>
      <c r="M199" s="11" t="n">
        <f aca="false">IF(ISNUMBER(L199),L199,J199)</f>
        <v>40.6</v>
      </c>
      <c r="N199" s="11" t="n">
        <f aca="false">ROUNDUP(M199,0)</f>
        <v>41</v>
      </c>
      <c r="O199" s="11" t="n">
        <f aca="false">MAX(I199,N199)</f>
        <v>41</v>
      </c>
      <c r="P199" s="11" t="n">
        <f aca="false">IF(C199="COVERED",MAX(0,O199-40),0)</f>
        <v>0</v>
      </c>
      <c r="Q199" s="11" t="n">
        <f aca="false">O199</f>
        <v>41</v>
      </c>
      <c r="R199" s="17" t="n">
        <f aca="false">IF(C199="COVERED",10.4,7.55)</f>
        <v>7.55</v>
      </c>
      <c r="S199" s="17" t="n">
        <f aca="false">Q199*R199</f>
        <v>309.55</v>
      </c>
      <c r="T199" s="9" t="s">
        <v>3258</v>
      </c>
      <c r="U199" s="10" t="n">
        <v>46235</v>
      </c>
      <c r="V199" s="9" t="n">
        <v>41</v>
      </c>
      <c r="W199" s="17" t="n">
        <v>7.55</v>
      </c>
      <c r="X199" s="17" t="n">
        <v>309.55</v>
      </c>
      <c r="Y199" s="17" t="n">
        <f aca="false">IF(ISNUMBER(X199),X199-S199,"")</f>
        <v>0</v>
      </c>
      <c r="Z199" s="17" t="n">
        <f aca="false">IF(ISNUMBER(X199),X199-S199,-S199)</f>
        <v>0</v>
      </c>
      <c r="AA199" s="9" t="str">
        <f aca="false">IF(NOT(ISNUMBER(X199)),"NO AUGUST POSTING IN EXPORT",IF(ABS(Y199)&gt;=0.005,"POSTED CHARGE MISMATCH",IF(P199&gt;0,"MATCH - COVERED ELIGIBILITY EXCEPTION","MATCH")))</f>
        <v>MATCH</v>
      </c>
      <c r="AB199" s="9" t="s">
        <v>3259</v>
      </c>
    </row>
    <row r="200" customFormat="false" ht="15" hidden="false" customHeight="false" outlineLevel="0" collapsed="false">
      <c r="A200" s="13" t="s">
        <v>3260</v>
      </c>
      <c r="B200" s="13" t="s">
        <v>145</v>
      </c>
      <c r="C200" s="13" t="s">
        <v>146</v>
      </c>
      <c r="D200" s="13" t="s">
        <v>2002</v>
      </c>
      <c r="E200" s="13" t="s">
        <v>3261</v>
      </c>
      <c r="F200" s="13" t="s">
        <v>3262</v>
      </c>
      <c r="G200" s="13" t="s">
        <v>3263</v>
      </c>
      <c r="H200" s="13" t="s">
        <v>3264</v>
      </c>
      <c r="I200" s="15" t="n">
        <v>45</v>
      </c>
      <c r="J200" s="15" t="n">
        <v>59.5</v>
      </c>
      <c r="K200" s="15"/>
      <c r="L200" s="15"/>
      <c r="M200" s="15" t="n">
        <f aca="false">IF(ISNUMBER(L200),L200,J200)</f>
        <v>59.5</v>
      </c>
      <c r="N200" s="15" t="n">
        <f aca="false">ROUNDUP(M200,0)</f>
        <v>60</v>
      </c>
      <c r="O200" s="15" t="n">
        <f aca="false">MAX(I200,N200)</f>
        <v>60</v>
      </c>
      <c r="P200" s="15" t="n">
        <f aca="false">IF(C200="COVERED",MAX(0,O200-40),0)</f>
        <v>0</v>
      </c>
      <c r="Q200" s="15" t="n">
        <f aca="false">O200</f>
        <v>60</v>
      </c>
      <c r="R200" s="18" t="n">
        <f aca="false">IF(C200="COVERED",10.4,7.55)</f>
        <v>7.55</v>
      </c>
      <c r="S200" s="18" t="n">
        <f aca="false">Q200*R200</f>
        <v>453</v>
      </c>
      <c r="T200" s="13" t="s">
        <v>3265</v>
      </c>
      <c r="U200" s="14" t="n">
        <v>46235</v>
      </c>
      <c r="V200" s="13" t="n">
        <v>60</v>
      </c>
      <c r="W200" s="18" t="n">
        <v>7.55</v>
      </c>
      <c r="X200" s="18" t="n">
        <v>453</v>
      </c>
      <c r="Y200" s="18" t="n">
        <f aca="false">IF(ISNUMBER(X200),X200-S200,"")</f>
        <v>0</v>
      </c>
      <c r="Z200" s="18" t="n">
        <f aca="false">IF(ISNUMBER(X200),X200-S200,-S200)</f>
        <v>0</v>
      </c>
      <c r="AA200" s="13" t="str">
        <f aca="false">IF(NOT(ISNUMBER(X200)),"NO AUGUST POSTING IN EXPORT",IF(ABS(Y200)&gt;=0.005,"POSTED CHARGE MISMATCH",IF(P200&gt;0,"MATCH - COVERED ELIGIBILITY EXCEPTION","MATCH")))</f>
        <v>MATCH</v>
      </c>
      <c r="AB200" s="13" t="s">
        <v>3266</v>
      </c>
    </row>
    <row r="201" customFormat="false" ht="15" hidden="false" customHeight="false" outlineLevel="0" collapsed="false">
      <c r="A201" s="9" t="s">
        <v>675</v>
      </c>
      <c r="B201" s="9" t="s">
        <v>145</v>
      </c>
      <c r="C201" s="9" t="s">
        <v>146</v>
      </c>
      <c r="D201" s="9" t="s">
        <v>2002</v>
      </c>
      <c r="E201" s="9" t="s">
        <v>3267</v>
      </c>
      <c r="F201" s="9" t="s">
        <v>1781</v>
      </c>
      <c r="G201" s="9" t="s">
        <v>1782</v>
      </c>
      <c r="H201" s="9" t="s">
        <v>3268</v>
      </c>
      <c r="I201" s="11" t="n">
        <v>28</v>
      </c>
      <c r="J201" s="11" t="n">
        <v>26.7</v>
      </c>
      <c r="K201" s="11"/>
      <c r="L201" s="11"/>
      <c r="M201" s="11" t="n">
        <f aca="false">IF(ISNUMBER(L201),L201,J201)</f>
        <v>26.7</v>
      </c>
      <c r="N201" s="11" t="n">
        <f aca="false">ROUNDUP(M201,0)</f>
        <v>27</v>
      </c>
      <c r="O201" s="11" t="n">
        <f aca="false">MAX(I201,N201)</f>
        <v>28</v>
      </c>
      <c r="P201" s="11" t="n">
        <f aca="false">IF(C201="COVERED",MAX(0,O201-40),0)</f>
        <v>0</v>
      </c>
      <c r="Q201" s="11" t="n">
        <f aca="false">O201</f>
        <v>28</v>
      </c>
      <c r="R201" s="17" t="n">
        <f aca="false">IF(C201="COVERED",10.4,7.55)</f>
        <v>7.55</v>
      </c>
      <c r="S201" s="17" t="n">
        <f aca="false">Q201*R201</f>
        <v>211.4</v>
      </c>
      <c r="T201" s="9" t="s">
        <v>3269</v>
      </c>
      <c r="U201" s="10" t="n">
        <v>46235</v>
      </c>
      <c r="V201" s="9" t="n">
        <v>28</v>
      </c>
      <c r="W201" s="17" t="n">
        <v>7.55</v>
      </c>
      <c r="X201" s="17" t="n">
        <v>211.4</v>
      </c>
      <c r="Y201" s="17" t="n">
        <f aca="false">IF(ISNUMBER(X201),X201-S201,"")</f>
        <v>0</v>
      </c>
      <c r="Z201" s="17" t="n">
        <f aca="false">IF(ISNUMBER(X201),X201-S201,-S201)</f>
        <v>0</v>
      </c>
      <c r="AA201" s="9" t="str">
        <f aca="false">IF(NOT(ISNUMBER(X201)),"NO AUGUST POSTING IN EXPORT",IF(ABS(Y201)&gt;=0.005,"POSTED CHARGE MISMATCH",IF(P201&gt;0,"MATCH - COVERED ELIGIBILITY EXCEPTION","MATCH")))</f>
        <v>MATCH</v>
      </c>
      <c r="AB201" s="9" t="s">
        <v>3270</v>
      </c>
    </row>
    <row r="202" customFormat="false" ht="15" hidden="false" customHeight="false" outlineLevel="0" collapsed="false">
      <c r="A202" s="13" t="s">
        <v>1280</v>
      </c>
      <c r="B202" s="13" t="s">
        <v>145</v>
      </c>
      <c r="C202" s="13" t="s">
        <v>146</v>
      </c>
      <c r="D202" s="13" t="s">
        <v>2002</v>
      </c>
      <c r="E202" s="13" t="s">
        <v>3271</v>
      </c>
      <c r="F202" s="13" t="s">
        <v>3272</v>
      </c>
      <c r="G202" s="13" t="s">
        <v>3273</v>
      </c>
      <c r="H202" s="13" t="s">
        <v>3274</v>
      </c>
      <c r="I202" s="15" t="n">
        <v>40</v>
      </c>
      <c r="J202" s="15" t="n">
        <v>34.4</v>
      </c>
      <c r="K202" s="15"/>
      <c r="L202" s="15"/>
      <c r="M202" s="15" t="n">
        <f aca="false">IF(ISNUMBER(L202),L202,J202)</f>
        <v>34.4</v>
      </c>
      <c r="N202" s="15" t="n">
        <f aca="false">ROUNDUP(M202,0)</f>
        <v>35</v>
      </c>
      <c r="O202" s="15" t="n">
        <f aca="false">MAX(I202,N202)</f>
        <v>40</v>
      </c>
      <c r="P202" s="15" t="n">
        <f aca="false">IF(C202="COVERED",MAX(0,O202-40),0)</f>
        <v>0</v>
      </c>
      <c r="Q202" s="15" t="n">
        <f aca="false">O202</f>
        <v>40</v>
      </c>
      <c r="R202" s="18" t="n">
        <f aca="false">IF(C202="COVERED",10.4,7.55)</f>
        <v>7.55</v>
      </c>
      <c r="S202" s="18" t="n">
        <f aca="false">Q202*R202</f>
        <v>302</v>
      </c>
      <c r="T202" s="13" t="s">
        <v>3275</v>
      </c>
      <c r="U202" s="14" t="n">
        <v>46235</v>
      </c>
      <c r="V202" s="13" t="n">
        <v>40</v>
      </c>
      <c r="W202" s="18" t="n">
        <v>7.55</v>
      </c>
      <c r="X202" s="18" t="n">
        <v>302</v>
      </c>
      <c r="Y202" s="18" t="n">
        <f aca="false">IF(ISNUMBER(X202),X202-S202,"")</f>
        <v>0</v>
      </c>
      <c r="Z202" s="18" t="n">
        <f aca="false">IF(ISNUMBER(X202),X202-S202,-S202)</f>
        <v>0</v>
      </c>
      <c r="AA202" s="13" t="str">
        <f aca="false">IF(NOT(ISNUMBER(X202)),"NO AUGUST POSTING IN EXPORT",IF(ABS(Y202)&gt;=0.005,"POSTED CHARGE MISMATCH",IF(P202&gt;0,"MATCH - COVERED ELIGIBILITY EXCEPTION","MATCH")))</f>
        <v>MATCH</v>
      </c>
      <c r="AB202" s="13" t="s">
        <v>3276</v>
      </c>
    </row>
    <row r="203" customFormat="false" ht="15" hidden="false" customHeight="false" outlineLevel="0" collapsed="false">
      <c r="A203" s="9" t="s">
        <v>3277</v>
      </c>
      <c r="B203" s="9" t="s">
        <v>145</v>
      </c>
      <c r="C203" s="9" t="s">
        <v>146</v>
      </c>
      <c r="D203" s="9" t="s">
        <v>2002</v>
      </c>
      <c r="E203" s="9" t="s">
        <v>3278</v>
      </c>
      <c r="F203" s="9" t="s">
        <v>3279</v>
      </c>
      <c r="G203" s="9" t="s">
        <v>3280</v>
      </c>
      <c r="H203" s="9" t="s">
        <v>3132</v>
      </c>
      <c r="I203" s="11" t="n">
        <v>32</v>
      </c>
      <c r="J203" s="11" t="n">
        <v>26.5</v>
      </c>
      <c r="K203" s="11"/>
      <c r="L203" s="11"/>
      <c r="M203" s="11" t="n">
        <f aca="false">IF(ISNUMBER(L203),L203,J203)</f>
        <v>26.5</v>
      </c>
      <c r="N203" s="11" t="n">
        <f aca="false">ROUNDUP(M203,0)</f>
        <v>27</v>
      </c>
      <c r="O203" s="11" t="n">
        <f aca="false">MAX(I203,N203)</f>
        <v>32</v>
      </c>
      <c r="P203" s="11" t="n">
        <f aca="false">IF(C203="COVERED",MAX(0,O203-40),0)</f>
        <v>0</v>
      </c>
      <c r="Q203" s="11" t="n">
        <f aca="false">O203</f>
        <v>32</v>
      </c>
      <c r="R203" s="17" t="n">
        <f aca="false">IF(C203="COVERED",10.4,7.55)</f>
        <v>7.55</v>
      </c>
      <c r="S203" s="17" t="n">
        <f aca="false">Q203*R203</f>
        <v>241.6</v>
      </c>
      <c r="T203" s="9" t="s">
        <v>3281</v>
      </c>
      <c r="U203" s="10" t="n">
        <v>46235</v>
      </c>
      <c r="V203" s="9" t="n">
        <v>32</v>
      </c>
      <c r="W203" s="17" t="n">
        <v>7.55</v>
      </c>
      <c r="X203" s="17" t="n">
        <v>241.6</v>
      </c>
      <c r="Y203" s="17" t="n">
        <f aca="false">IF(ISNUMBER(X203),X203-S203,"")</f>
        <v>0</v>
      </c>
      <c r="Z203" s="17" t="n">
        <f aca="false">IF(ISNUMBER(X203),X203-S203,-S203)</f>
        <v>0</v>
      </c>
      <c r="AA203" s="9" t="str">
        <f aca="false">IF(NOT(ISNUMBER(X203)),"NO AUGUST POSTING IN EXPORT",IF(ABS(Y203)&gt;=0.005,"POSTED CHARGE MISMATCH",IF(P203&gt;0,"MATCH - COVERED ELIGIBILITY EXCEPTION","MATCH")))</f>
        <v>MATCH</v>
      </c>
      <c r="AB203" s="9" t="s">
        <v>3282</v>
      </c>
    </row>
    <row r="204" customFormat="false" ht="15" hidden="false" customHeight="false" outlineLevel="0" collapsed="false">
      <c r="A204" s="13" t="s">
        <v>252</v>
      </c>
      <c r="B204" s="13" t="s">
        <v>145</v>
      </c>
      <c r="C204" s="13" t="s">
        <v>146</v>
      </c>
      <c r="D204" s="13" t="s">
        <v>2002</v>
      </c>
      <c r="E204" s="13" t="s">
        <v>3283</v>
      </c>
      <c r="F204" s="13" t="s">
        <v>3284</v>
      </c>
      <c r="G204" s="13" t="s">
        <v>3285</v>
      </c>
      <c r="H204" s="13" t="s">
        <v>3286</v>
      </c>
      <c r="I204" s="15" t="n">
        <v>32</v>
      </c>
      <c r="J204" s="15" t="n">
        <v>53.6</v>
      </c>
      <c r="K204" s="15"/>
      <c r="L204" s="15"/>
      <c r="M204" s="15" t="n">
        <f aca="false">IF(ISNUMBER(L204),L204,J204)</f>
        <v>53.6</v>
      </c>
      <c r="N204" s="15" t="n">
        <f aca="false">ROUNDUP(M204,0)</f>
        <v>54</v>
      </c>
      <c r="O204" s="15" t="n">
        <f aca="false">MAX(I204,N204)</f>
        <v>54</v>
      </c>
      <c r="P204" s="15" t="n">
        <f aca="false">IF(C204="COVERED",MAX(0,O204-40),0)</f>
        <v>0</v>
      </c>
      <c r="Q204" s="15" t="n">
        <f aca="false">O204</f>
        <v>54</v>
      </c>
      <c r="R204" s="18" t="n">
        <f aca="false">IF(C204="COVERED",10.4,7.55)</f>
        <v>7.55</v>
      </c>
      <c r="S204" s="18" t="n">
        <f aca="false">Q204*R204</f>
        <v>407.7</v>
      </c>
      <c r="T204" s="13" t="s">
        <v>3287</v>
      </c>
      <c r="U204" s="14" t="n">
        <v>46235</v>
      </c>
      <c r="V204" s="13" t="n">
        <v>54</v>
      </c>
      <c r="W204" s="18" t="n">
        <v>7.55</v>
      </c>
      <c r="X204" s="18" t="n">
        <v>407.7</v>
      </c>
      <c r="Y204" s="18" t="n">
        <f aca="false">IF(ISNUMBER(X204),X204-S204,"")</f>
        <v>0</v>
      </c>
      <c r="Z204" s="18" t="n">
        <f aca="false">IF(ISNUMBER(X204),X204-S204,-S204)</f>
        <v>0</v>
      </c>
      <c r="AA204" s="13" t="str">
        <f aca="false">IF(NOT(ISNUMBER(X204)),"NO AUGUST POSTING IN EXPORT",IF(ABS(Y204)&gt;=0.005,"POSTED CHARGE MISMATCH",IF(P204&gt;0,"MATCH - COVERED ELIGIBILITY EXCEPTION","MATCH")))</f>
        <v>MATCH</v>
      </c>
      <c r="AB204" s="13" t="s">
        <v>3288</v>
      </c>
    </row>
    <row r="205" customFormat="false" ht="15" hidden="false" customHeight="false" outlineLevel="0" collapsed="false">
      <c r="A205" s="9" t="s">
        <v>3289</v>
      </c>
      <c r="B205" s="9" t="s">
        <v>145</v>
      </c>
      <c r="C205" s="9" t="s">
        <v>146</v>
      </c>
      <c r="D205" s="9" t="s">
        <v>2002</v>
      </c>
      <c r="E205" s="9" t="s">
        <v>3290</v>
      </c>
      <c r="F205" s="9" t="s">
        <v>3291</v>
      </c>
      <c r="G205" s="9" t="s">
        <v>3292</v>
      </c>
      <c r="H205" s="9" t="s">
        <v>3293</v>
      </c>
      <c r="I205" s="11" t="n">
        <v>50</v>
      </c>
      <c r="J205" s="11" t="n">
        <v>19.8</v>
      </c>
      <c r="K205" s="11"/>
      <c r="L205" s="11"/>
      <c r="M205" s="11" t="n">
        <f aca="false">IF(ISNUMBER(L205),L205,J205)</f>
        <v>19.8</v>
      </c>
      <c r="N205" s="11" t="n">
        <f aca="false">ROUNDUP(M205,0)</f>
        <v>20</v>
      </c>
      <c r="O205" s="11" t="n">
        <f aca="false">MAX(I205,N205)</f>
        <v>50</v>
      </c>
      <c r="P205" s="11" t="n">
        <f aca="false">IF(C205="COVERED",MAX(0,O205-40),0)</f>
        <v>0</v>
      </c>
      <c r="Q205" s="11" t="n">
        <f aca="false">O205</f>
        <v>50</v>
      </c>
      <c r="R205" s="17" t="n">
        <f aca="false">IF(C205="COVERED",10.4,7.55)</f>
        <v>7.55</v>
      </c>
      <c r="S205" s="17" t="n">
        <f aca="false">Q205*R205</f>
        <v>377.5</v>
      </c>
      <c r="T205" s="9" t="s">
        <v>3294</v>
      </c>
      <c r="U205" s="10" t="n">
        <v>46235</v>
      </c>
      <c r="V205" s="9" t="n">
        <v>50</v>
      </c>
      <c r="W205" s="17" t="n">
        <v>7.55</v>
      </c>
      <c r="X205" s="17" t="n">
        <v>377.5</v>
      </c>
      <c r="Y205" s="17" t="n">
        <f aca="false">IF(ISNUMBER(X205),X205-S205,"")</f>
        <v>0</v>
      </c>
      <c r="Z205" s="17" t="n">
        <f aca="false">IF(ISNUMBER(X205),X205-S205,-S205)</f>
        <v>0</v>
      </c>
      <c r="AA205" s="9" t="str">
        <f aca="false">IF(NOT(ISNUMBER(X205)),"NO AUGUST POSTING IN EXPORT",IF(ABS(Y205)&gt;=0.005,"POSTED CHARGE MISMATCH",IF(P205&gt;0,"MATCH - COVERED ELIGIBILITY EXCEPTION","MATCH")))</f>
        <v>MATCH</v>
      </c>
      <c r="AB205" s="9" t="s">
        <v>3295</v>
      </c>
    </row>
    <row r="206" customFormat="false" ht="15" hidden="false" customHeight="false" outlineLevel="0" collapsed="false">
      <c r="A206" s="13" t="s">
        <v>3296</v>
      </c>
      <c r="B206" s="13" t="s">
        <v>145</v>
      </c>
      <c r="C206" s="13" t="s">
        <v>146</v>
      </c>
      <c r="D206" s="13" t="s">
        <v>2002</v>
      </c>
      <c r="E206" s="13" t="s">
        <v>3297</v>
      </c>
      <c r="F206" s="13" t="s">
        <v>3298</v>
      </c>
      <c r="G206" s="13" t="s">
        <v>3299</v>
      </c>
      <c r="H206" s="13" t="s">
        <v>2723</v>
      </c>
      <c r="I206" s="15" t="n">
        <v>32</v>
      </c>
      <c r="J206" s="15" t="n">
        <v>44.2</v>
      </c>
      <c r="K206" s="15"/>
      <c r="L206" s="15"/>
      <c r="M206" s="15" t="n">
        <f aca="false">IF(ISNUMBER(L206),L206,J206)</f>
        <v>44.2</v>
      </c>
      <c r="N206" s="15" t="n">
        <f aca="false">ROUNDUP(M206,0)</f>
        <v>45</v>
      </c>
      <c r="O206" s="15" t="n">
        <f aca="false">MAX(I206,N206)</f>
        <v>45</v>
      </c>
      <c r="P206" s="15" t="n">
        <f aca="false">IF(C206="COVERED",MAX(0,O206-40),0)</f>
        <v>0</v>
      </c>
      <c r="Q206" s="15" t="n">
        <f aca="false">O206</f>
        <v>45</v>
      </c>
      <c r="R206" s="18" t="n">
        <f aca="false">IF(C206="COVERED",10.4,7.55)</f>
        <v>7.55</v>
      </c>
      <c r="S206" s="18" t="n">
        <f aca="false">Q206*R206</f>
        <v>339.75</v>
      </c>
      <c r="T206" s="13" t="s">
        <v>3300</v>
      </c>
      <c r="U206" s="14" t="n">
        <v>46235</v>
      </c>
      <c r="V206" s="13" t="n">
        <v>45</v>
      </c>
      <c r="W206" s="18" t="n">
        <v>7.55</v>
      </c>
      <c r="X206" s="18" t="n">
        <v>339.75</v>
      </c>
      <c r="Y206" s="18" t="n">
        <f aca="false">IF(ISNUMBER(X206),X206-S206,"")</f>
        <v>0</v>
      </c>
      <c r="Z206" s="18" t="n">
        <f aca="false">IF(ISNUMBER(X206),X206-S206,-S206)</f>
        <v>0</v>
      </c>
      <c r="AA206" s="13" t="str">
        <f aca="false">IF(NOT(ISNUMBER(X206)),"NO AUGUST POSTING IN EXPORT",IF(ABS(Y206)&gt;=0.005,"POSTED CHARGE MISMATCH",IF(P206&gt;0,"MATCH - COVERED ELIGIBILITY EXCEPTION","MATCH")))</f>
        <v>MATCH</v>
      </c>
      <c r="AB206" s="13" t="s">
        <v>3301</v>
      </c>
    </row>
    <row r="207" customFormat="false" ht="15" hidden="false" customHeight="false" outlineLevel="0" collapsed="false">
      <c r="A207" s="9" t="s">
        <v>3302</v>
      </c>
      <c r="B207" s="9" t="s">
        <v>145</v>
      </c>
      <c r="C207" s="9" t="s">
        <v>146</v>
      </c>
      <c r="D207" s="9" t="s">
        <v>2002</v>
      </c>
      <c r="E207" s="9" t="s">
        <v>3303</v>
      </c>
      <c r="F207" s="9" t="s">
        <v>3304</v>
      </c>
      <c r="G207" s="9" t="s">
        <v>3305</v>
      </c>
      <c r="H207" s="9" t="s">
        <v>3306</v>
      </c>
      <c r="I207" s="11" t="n">
        <v>32</v>
      </c>
      <c r="J207" s="11" t="n">
        <v>40.1</v>
      </c>
      <c r="K207" s="11"/>
      <c r="L207" s="11"/>
      <c r="M207" s="11" t="n">
        <f aca="false">IF(ISNUMBER(L207),L207,J207)</f>
        <v>40.1</v>
      </c>
      <c r="N207" s="11" t="n">
        <f aca="false">ROUNDUP(M207,0)</f>
        <v>41</v>
      </c>
      <c r="O207" s="11" t="n">
        <f aca="false">MAX(I207,N207)</f>
        <v>41</v>
      </c>
      <c r="P207" s="11" t="n">
        <f aca="false">IF(C207="COVERED",MAX(0,O207-40),0)</f>
        <v>0</v>
      </c>
      <c r="Q207" s="11" t="n">
        <f aca="false">O207</f>
        <v>41</v>
      </c>
      <c r="R207" s="17" t="n">
        <f aca="false">IF(C207="COVERED",10.4,7.55)</f>
        <v>7.55</v>
      </c>
      <c r="S207" s="17" t="n">
        <f aca="false">Q207*R207</f>
        <v>309.55</v>
      </c>
      <c r="T207" s="9" t="s">
        <v>3307</v>
      </c>
      <c r="U207" s="10" t="n">
        <v>46235</v>
      </c>
      <c r="V207" s="9" t="n">
        <v>41</v>
      </c>
      <c r="W207" s="17" t="n">
        <v>7.55</v>
      </c>
      <c r="X207" s="17" t="n">
        <v>309.55</v>
      </c>
      <c r="Y207" s="17" t="n">
        <f aca="false">IF(ISNUMBER(X207),X207-S207,"")</f>
        <v>0</v>
      </c>
      <c r="Z207" s="17" t="n">
        <f aca="false">IF(ISNUMBER(X207),X207-S207,-S207)</f>
        <v>0</v>
      </c>
      <c r="AA207" s="9" t="str">
        <f aca="false">IF(NOT(ISNUMBER(X207)),"NO AUGUST POSTING IN EXPORT",IF(ABS(Y207)&gt;=0.005,"POSTED CHARGE MISMATCH",IF(P207&gt;0,"MATCH - COVERED ELIGIBILITY EXCEPTION","MATCH")))</f>
        <v>MATCH</v>
      </c>
      <c r="AB207" s="9" t="s">
        <v>3308</v>
      </c>
    </row>
    <row r="208" customFormat="false" ht="15" hidden="false" customHeight="false" outlineLevel="0" collapsed="false">
      <c r="A208" s="13" t="s">
        <v>3309</v>
      </c>
      <c r="B208" s="13" t="s">
        <v>145</v>
      </c>
      <c r="C208" s="13" t="s">
        <v>146</v>
      </c>
      <c r="D208" s="13" t="s">
        <v>2002</v>
      </c>
      <c r="E208" s="13" t="s">
        <v>3310</v>
      </c>
      <c r="F208" s="13" t="s">
        <v>3311</v>
      </c>
      <c r="G208" s="13" t="s">
        <v>3312</v>
      </c>
      <c r="H208" s="13" t="s">
        <v>3313</v>
      </c>
      <c r="I208" s="15" t="n">
        <v>45</v>
      </c>
      <c r="J208" s="15" t="n">
        <v>53</v>
      </c>
      <c r="K208" s="15"/>
      <c r="L208" s="15"/>
      <c r="M208" s="15" t="n">
        <f aca="false">IF(ISNUMBER(L208),L208,J208)</f>
        <v>53</v>
      </c>
      <c r="N208" s="15" t="n">
        <f aca="false">ROUNDUP(M208,0)</f>
        <v>53</v>
      </c>
      <c r="O208" s="15" t="n">
        <f aca="false">MAX(I208,N208)</f>
        <v>53</v>
      </c>
      <c r="P208" s="15" t="n">
        <f aca="false">IF(C208="COVERED",MAX(0,O208-40),0)</f>
        <v>0</v>
      </c>
      <c r="Q208" s="15" t="n">
        <f aca="false">O208</f>
        <v>53</v>
      </c>
      <c r="R208" s="18" t="n">
        <f aca="false">IF(C208="COVERED",10.4,7.55)</f>
        <v>7.55</v>
      </c>
      <c r="S208" s="18" t="n">
        <f aca="false">Q208*R208</f>
        <v>400.15</v>
      </c>
      <c r="T208" s="13" t="s">
        <v>3314</v>
      </c>
      <c r="U208" s="14" t="n">
        <v>46235</v>
      </c>
      <c r="V208" s="13" t="n">
        <v>53</v>
      </c>
      <c r="W208" s="18" t="n">
        <v>7.55</v>
      </c>
      <c r="X208" s="18" t="n">
        <v>400.15</v>
      </c>
      <c r="Y208" s="18" t="n">
        <f aca="false">IF(ISNUMBER(X208),X208-S208,"")</f>
        <v>0</v>
      </c>
      <c r="Z208" s="18" t="n">
        <f aca="false">IF(ISNUMBER(X208),X208-S208,-S208)</f>
        <v>0</v>
      </c>
      <c r="AA208" s="13" t="str">
        <f aca="false">IF(NOT(ISNUMBER(X208)),"NO AUGUST POSTING IN EXPORT",IF(ABS(Y208)&gt;=0.005,"POSTED CHARGE MISMATCH",IF(P208&gt;0,"MATCH - COVERED ELIGIBILITY EXCEPTION","MATCH")))</f>
        <v>MATCH</v>
      </c>
      <c r="AB208" s="13" t="s">
        <v>3315</v>
      </c>
    </row>
    <row r="209" customFormat="false" ht="15" hidden="false" customHeight="false" outlineLevel="0" collapsed="false">
      <c r="A209" s="9" t="s">
        <v>3316</v>
      </c>
      <c r="B209" s="9" t="s">
        <v>145</v>
      </c>
      <c r="C209" s="9" t="s">
        <v>146</v>
      </c>
      <c r="D209" s="9" t="s">
        <v>2002</v>
      </c>
      <c r="E209" s="9" t="s">
        <v>3317</v>
      </c>
      <c r="F209" s="9" t="s">
        <v>3318</v>
      </c>
      <c r="G209" s="9" t="s">
        <v>3319</v>
      </c>
      <c r="H209" s="9" t="s">
        <v>3320</v>
      </c>
      <c r="I209" s="11" t="n">
        <v>40</v>
      </c>
      <c r="J209" s="11" t="n">
        <v>21.2</v>
      </c>
      <c r="K209" s="11"/>
      <c r="L209" s="11"/>
      <c r="M209" s="11" t="n">
        <f aca="false">IF(ISNUMBER(L209),L209,J209)</f>
        <v>21.2</v>
      </c>
      <c r="N209" s="11" t="n">
        <f aca="false">ROUNDUP(M209,0)</f>
        <v>22</v>
      </c>
      <c r="O209" s="11" t="n">
        <f aca="false">MAX(I209,N209)</f>
        <v>40</v>
      </c>
      <c r="P209" s="11" t="n">
        <f aca="false">IF(C209="COVERED",MAX(0,O209-40),0)</f>
        <v>0</v>
      </c>
      <c r="Q209" s="11" t="n">
        <f aca="false">O209</f>
        <v>40</v>
      </c>
      <c r="R209" s="17" t="n">
        <f aca="false">IF(C209="COVERED",10.4,7.55)</f>
        <v>7.55</v>
      </c>
      <c r="S209" s="17" t="n">
        <f aca="false">Q209*R209</f>
        <v>302</v>
      </c>
      <c r="T209" s="9" t="s">
        <v>3321</v>
      </c>
      <c r="U209" s="10" t="n">
        <v>46235</v>
      </c>
      <c r="V209" s="9" t="n">
        <v>40</v>
      </c>
      <c r="W209" s="17" t="n">
        <v>7.55</v>
      </c>
      <c r="X209" s="17" t="n">
        <v>302</v>
      </c>
      <c r="Y209" s="17" t="n">
        <f aca="false">IF(ISNUMBER(X209),X209-S209,"")</f>
        <v>0</v>
      </c>
      <c r="Z209" s="17" t="n">
        <f aca="false">IF(ISNUMBER(X209),X209-S209,-S209)</f>
        <v>0</v>
      </c>
      <c r="AA209" s="9" t="str">
        <f aca="false">IF(NOT(ISNUMBER(X209)),"NO AUGUST POSTING IN EXPORT",IF(ABS(Y209)&gt;=0.005,"POSTED CHARGE MISMATCH",IF(P209&gt;0,"MATCH - COVERED ELIGIBILITY EXCEPTION","MATCH")))</f>
        <v>MATCH</v>
      </c>
      <c r="AB209" s="9" t="s">
        <v>3322</v>
      </c>
    </row>
    <row r="210" customFormat="false" ht="15" hidden="false" customHeight="false" outlineLevel="0" collapsed="false">
      <c r="A210" s="13" t="s">
        <v>3323</v>
      </c>
      <c r="B210" s="13" t="s">
        <v>145</v>
      </c>
      <c r="C210" s="13" t="s">
        <v>146</v>
      </c>
      <c r="D210" s="13" t="s">
        <v>2002</v>
      </c>
      <c r="E210" s="13" t="s">
        <v>3324</v>
      </c>
      <c r="F210" s="13" t="s">
        <v>3325</v>
      </c>
      <c r="G210" s="13" t="s">
        <v>3326</v>
      </c>
      <c r="H210" s="13" t="s">
        <v>2210</v>
      </c>
      <c r="I210" s="15" t="n">
        <v>40</v>
      </c>
      <c r="J210" s="15" t="n">
        <v>34.4</v>
      </c>
      <c r="K210" s="15"/>
      <c r="L210" s="15"/>
      <c r="M210" s="15" t="n">
        <f aca="false">IF(ISNUMBER(L210),L210,J210)</f>
        <v>34.4</v>
      </c>
      <c r="N210" s="15" t="n">
        <f aca="false">ROUNDUP(M210,0)</f>
        <v>35</v>
      </c>
      <c r="O210" s="15" t="n">
        <f aca="false">MAX(I210,N210)</f>
        <v>40</v>
      </c>
      <c r="P210" s="15" t="n">
        <f aca="false">IF(C210="COVERED",MAX(0,O210-40),0)</f>
        <v>0</v>
      </c>
      <c r="Q210" s="15" t="n">
        <f aca="false">O210</f>
        <v>40</v>
      </c>
      <c r="R210" s="18" t="n">
        <f aca="false">IF(C210="COVERED",10.4,7.55)</f>
        <v>7.55</v>
      </c>
      <c r="S210" s="18" t="n">
        <f aca="false">Q210*R210</f>
        <v>302</v>
      </c>
      <c r="T210" s="13" t="s">
        <v>3327</v>
      </c>
      <c r="U210" s="14" t="n">
        <v>46235</v>
      </c>
      <c r="V210" s="13" t="n">
        <v>40</v>
      </c>
      <c r="W210" s="18" t="n">
        <v>7.55</v>
      </c>
      <c r="X210" s="18" t="n">
        <v>302</v>
      </c>
      <c r="Y210" s="18" t="n">
        <f aca="false">IF(ISNUMBER(X210),X210-S210,"")</f>
        <v>0</v>
      </c>
      <c r="Z210" s="18" t="n">
        <f aca="false">IF(ISNUMBER(X210),X210-S210,-S210)</f>
        <v>0</v>
      </c>
      <c r="AA210" s="13" t="str">
        <f aca="false">IF(NOT(ISNUMBER(X210)),"NO AUGUST POSTING IN EXPORT",IF(ABS(Y210)&gt;=0.005,"POSTED CHARGE MISMATCH",IF(P210&gt;0,"MATCH - COVERED ELIGIBILITY EXCEPTION","MATCH")))</f>
        <v>MATCH</v>
      </c>
      <c r="AB210" s="13" t="s">
        <v>3328</v>
      </c>
    </row>
    <row r="211" customFormat="false" ht="15" hidden="false" customHeight="false" outlineLevel="0" collapsed="false">
      <c r="A211" s="9" t="s">
        <v>1177</v>
      </c>
      <c r="B211" s="9" t="s">
        <v>145</v>
      </c>
      <c r="C211" s="9" t="s">
        <v>146</v>
      </c>
      <c r="D211" s="9" t="s">
        <v>2002</v>
      </c>
      <c r="E211" s="9" t="s">
        <v>3329</v>
      </c>
      <c r="F211" s="9" t="s">
        <v>3330</v>
      </c>
      <c r="G211" s="9" t="s">
        <v>3331</v>
      </c>
      <c r="H211" s="9" t="s">
        <v>3332</v>
      </c>
      <c r="I211" s="11" t="n">
        <v>24</v>
      </c>
      <c r="J211" s="11" t="n">
        <v>20.7</v>
      </c>
      <c r="K211" s="11"/>
      <c r="L211" s="11"/>
      <c r="M211" s="11" t="n">
        <f aca="false">IF(ISNUMBER(L211),L211,J211)</f>
        <v>20.7</v>
      </c>
      <c r="N211" s="11" t="n">
        <f aca="false">ROUNDUP(M211,0)</f>
        <v>21</v>
      </c>
      <c r="O211" s="11" t="n">
        <f aca="false">MAX(I211,N211)</f>
        <v>24</v>
      </c>
      <c r="P211" s="11" t="n">
        <f aca="false">IF(C211="COVERED",MAX(0,O211-40),0)</f>
        <v>0</v>
      </c>
      <c r="Q211" s="11" t="n">
        <f aca="false">O211</f>
        <v>24</v>
      </c>
      <c r="R211" s="17" t="n">
        <f aca="false">IF(C211="COVERED",10.4,7.55)</f>
        <v>7.55</v>
      </c>
      <c r="S211" s="17" t="n">
        <f aca="false">Q211*R211</f>
        <v>181.2</v>
      </c>
      <c r="T211" s="9" t="s">
        <v>3333</v>
      </c>
      <c r="U211" s="10" t="n">
        <v>46235</v>
      </c>
      <c r="V211" s="9" t="n">
        <v>24</v>
      </c>
      <c r="W211" s="17" t="n">
        <v>7.55</v>
      </c>
      <c r="X211" s="17" t="n">
        <v>181.2</v>
      </c>
      <c r="Y211" s="17" t="n">
        <f aca="false">IF(ISNUMBER(X211),X211-S211,"")</f>
        <v>0</v>
      </c>
      <c r="Z211" s="17" t="n">
        <f aca="false">IF(ISNUMBER(X211),X211-S211,-S211)</f>
        <v>0</v>
      </c>
      <c r="AA211" s="9" t="str">
        <f aca="false">IF(NOT(ISNUMBER(X211)),"NO AUGUST POSTING IN EXPORT",IF(ABS(Y211)&gt;=0.005,"POSTED CHARGE MISMATCH",IF(P211&gt;0,"MATCH - COVERED ELIGIBILITY EXCEPTION","MATCH")))</f>
        <v>MATCH</v>
      </c>
      <c r="AB211" s="9" t="s">
        <v>3334</v>
      </c>
    </row>
    <row r="212" customFormat="false" ht="15" hidden="false" customHeight="false" outlineLevel="0" collapsed="false">
      <c r="A212" s="13" t="s">
        <v>3335</v>
      </c>
      <c r="B212" s="13" t="s">
        <v>145</v>
      </c>
      <c r="C212" s="13" t="s">
        <v>146</v>
      </c>
      <c r="D212" s="13" t="s">
        <v>2002</v>
      </c>
      <c r="E212" s="13" t="s">
        <v>3336</v>
      </c>
      <c r="F212" s="13" t="s">
        <v>573</v>
      </c>
      <c r="G212" s="13" t="s">
        <v>574</v>
      </c>
      <c r="H212" s="13" t="s">
        <v>3337</v>
      </c>
      <c r="I212" s="15" t="n">
        <v>28</v>
      </c>
      <c r="J212" s="15" t="n">
        <v>55.1</v>
      </c>
      <c r="K212" s="15"/>
      <c r="L212" s="15"/>
      <c r="M212" s="15" t="n">
        <f aca="false">IF(ISNUMBER(L212),L212,J212)</f>
        <v>55.1</v>
      </c>
      <c r="N212" s="15" t="n">
        <f aca="false">ROUNDUP(M212,0)</f>
        <v>56</v>
      </c>
      <c r="O212" s="15" t="n">
        <f aca="false">MAX(I212,N212)</f>
        <v>56</v>
      </c>
      <c r="P212" s="15" t="n">
        <f aca="false">IF(C212="COVERED",MAX(0,O212-40),0)</f>
        <v>0</v>
      </c>
      <c r="Q212" s="15" t="n">
        <f aca="false">O212</f>
        <v>56</v>
      </c>
      <c r="R212" s="18" t="n">
        <f aca="false">IF(C212="COVERED",10.4,7.55)</f>
        <v>7.55</v>
      </c>
      <c r="S212" s="18" t="n">
        <f aca="false">Q212*R212</f>
        <v>422.8</v>
      </c>
      <c r="T212" s="13" t="s">
        <v>3338</v>
      </c>
      <c r="U212" s="14" t="n">
        <v>46235</v>
      </c>
      <c r="V212" s="13" t="n">
        <v>56</v>
      </c>
      <c r="W212" s="18" t="n">
        <v>7.55</v>
      </c>
      <c r="X212" s="18" t="n">
        <v>422.8</v>
      </c>
      <c r="Y212" s="18" t="n">
        <f aca="false">IF(ISNUMBER(X212),X212-S212,"")</f>
        <v>0</v>
      </c>
      <c r="Z212" s="18" t="n">
        <f aca="false">IF(ISNUMBER(X212),X212-S212,-S212)</f>
        <v>0</v>
      </c>
      <c r="AA212" s="13" t="str">
        <f aca="false">IF(NOT(ISNUMBER(X212)),"NO AUGUST POSTING IN EXPORT",IF(ABS(Y212)&gt;=0.005,"POSTED CHARGE MISMATCH",IF(P212&gt;0,"MATCH - COVERED ELIGIBILITY EXCEPTION","MATCH")))</f>
        <v>MATCH</v>
      </c>
      <c r="AB212" s="13" t="s">
        <v>3339</v>
      </c>
    </row>
    <row r="213" customFormat="false" ht="15" hidden="false" customHeight="false" outlineLevel="0" collapsed="false">
      <c r="A213" s="9" t="s">
        <v>3340</v>
      </c>
      <c r="B213" s="9" t="s">
        <v>145</v>
      </c>
      <c r="C213" s="9" t="s">
        <v>146</v>
      </c>
      <c r="D213" s="9" t="s">
        <v>2002</v>
      </c>
      <c r="E213" s="9" t="s">
        <v>3341</v>
      </c>
      <c r="F213" s="9" t="s">
        <v>3342</v>
      </c>
      <c r="G213" s="9" t="s">
        <v>3343</v>
      </c>
      <c r="H213" s="9" t="s">
        <v>3344</v>
      </c>
      <c r="I213" s="11" t="n">
        <v>32</v>
      </c>
      <c r="J213" s="11" t="n">
        <v>61.8</v>
      </c>
      <c r="K213" s="11"/>
      <c r="L213" s="11"/>
      <c r="M213" s="11" t="n">
        <f aca="false">IF(ISNUMBER(L213),L213,J213)</f>
        <v>61.8</v>
      </c>
      <c r="N213" s="11" t="n">
        <f aca="false">ROUNDUP(M213,0)</f>
        <v>62</v>
      </c>
      <c r="O213" s="11" t="n">
        <f aca="false">MAX(I213,N213)</f>
        <v>62</v>
      </c>
      <c r="P213" s="11" t="n">
        <f aca="false">IF(C213="COVERED",MAX(0,O213-40),0)</f>
        <v>0</v>
      </c>
      <c r="Q213" s="11" t="n">
        <f aca="false">O213</f>
        <v>62</v>
      </c>
      <c r="R213" s="17" t="n">
        <f aca="false">IF(C213="COVERED",10.4,7.55)</f>
        <v>7.55</v>
      </c>
      <c r="S213" s="17" t="n">
        <f aca="false">Q213*R213</f>
        <v>468.1</v>
      </c>
      <c r="T213" s="9" t="s">
        <v>3345</v>
      </c>
      <c r="U213" s="10" t="n">
        <v>46235</v>
      </c>
      <c r="V213" s="9" t="n">
        <v>62</v>
      </c>
      <c r="W213" s="17" t="n">
        <v>7.55</v>
      </c>
      <c r="X213" s="17" t="n">
        <v>468.1</v>
      </c>
      <c r="Y213" s="17" t="n">
        <f aca="false">IF(ISNUMBER(X213),X213-S213,"")</f>
        <v>0</v>
      </c>
      <c r="Z213" s="17" t="n">
        <f aca="false">IF(ISNUMBER(X213),X213-S213,-S213)</f>
        <v>0</v>
      </c>
      <c r="AA213" s="9" t="str">
        <f aca="false">IF(NOT(ISNUMBER(X213)),"NO AUGUST POSTING IN EXPORT",IF(ABS(Y213)&gt;=0.005,"POSTED CHARGE MISMATCH",IF(P213&gt;0,"MATCH - COVERED ELIGIBILITY EXCEPTION","MATCH")))</f>
        <v>MATCH</v>
      </c>
      <c r="AB213" s="9" t="s">
        <v>3346</v>
      </c>
    </row>
    <row r="214" customFormat="false" ht="15" hidden="false" customHeight="false" outlineLevel="0" collapsed="false">
      <c r="A214" s="13" t="s">
        <v>3347</v>
      </c>
      <c r="B214" s="13" t="s">
        <v>145</v>
      </c>
      <c r="C214" s="13" t="s">
        <v>146</v>
      </c>
      <c r="D214" s="13" t="s">
        <v>2002</v>
      </c>
      <c r="E214" s="13" t="s">
        <v>3348</v>
      </c>
      <c r="F214" s="13" t="s">
        <v>3349</v>
      </c>
      <c r="G214" s="13" t="s">
        <v>3350</v>
      </c>
      <c r="H214" s="13" t="s">
        <v>3229</v>
      </c>
      <c r="I214" s="15" t="n">
        <v>28</v>
      </c>
      <c r="J214" s="15" t="n">
        <v>60.8</v>
      </c>
      <c r="K214" s="15"/>
      <c r="L214" s="15"/>
      <c r="M214" s="15" t="n">
        <f aca="false">IF(ISNUMBER(L214),L214,J214)</f>
        <v>60.8</v>
      </c>
      <c r="N214" s="15" t="n">
        <f aca="false">ROUNDUP(M214,0)</f>
        <v>61</v>
      </c>
      <c r="O214" s="15" t="n">
        <f aca="false">MAX(I214,N214)</f>
        <v>61</v>
      </c>
      <c r="P214" s="15" t="n">
        <f aca="false">IF(C214="COVERED",MAX(0,O214-40),0)</f>
        <v>0</v>
      </c>
      <c r="Q214" s="15" t="n">
        <f aca="false">O214</f>
        <v>61</v>
      </c>
      <c r="R214" s="18" t="n">
        <f aca="false">IF(C214="COVERED",10.4,7.55)</f>
        <v>7.55</v>
      </c>
      <c r="S214" s="18" t="n">
        <f aca="false">Q214*R214</f>
        <v>460.55</v>
      </c>
      <c r="T214" s="13" t="s">
        <v>3351</v>
      </c>
      <c r="U214" s="14" t="n">
        <v>46235</v>
      </c>
      <c r="V214" s="13" t="n">
        <v>61</v>
      </c>
      <c r="W214" s="18" t="n">
        <v>7.55</v>
      </c>
      <c r="X214" s="18" t="n">
        <v>460.55</v>
      </c>
      <c r="Y214" s="18" t="n">
        <f aca="false">IF(ISNUMBER(X214),X214-S214,"")</f>
        <v>0</v>
      </c>
      <c r="Z214" s="18" t="n">
        <f aca="false">IF(ISNUMBER(X214),X214-S214,-S214)</f>
        <v>0</v>
      </c>
      <c r="AA214" s="13" t="str">
        <f aca="false">IF(NOT(ISNUMBER(X214)),"NO AUGUST POSTING IN EXPORT",IF(ABS(Y214)&gt;=0.005,"POSTED CHARGE MISMATCH",IF(P214&gt;0,"MATCH - COVERED ELIGIBILITY EXCEPTION","MATCH")))</f>
        <v>MATCH</v>
      </c>
      <c r="AB214" s="13" t="s">
        <v>3352</v>
      </c>
    </row>
    <row r="215" customFormat="false" ht="15" hidden="false" customHeight="false" outlineLevel="0" collapsed="false">
      <c r="A215" s="9" t="s">
        <v>3353</v>
      </c>
      <c r="B215" s="9" t="s">
        <v>145</v>
      </c>
      <c r="C215" s="9" t="s">
        <v>146</v>
      </c>
      <c r="D215" s="9" t="s">
        <v>2002</v>
      </c>
      <c r="E215" s="9" t="s">
        <v>3354</v>
      </c>
      <c r="F215" s="9" t="s">
        <v>3355</v>
      </c>
      <c r="G215" s="9" t="s">
        <v>3356</v>
      </c>
      <c r="H215" s="9" t="s">
        <v>2689</v>
      </c>
      <c r="I215" s="11" t="n">
        <v>45</v>
      </c>
      <c r="J215" s="11" t="n">
        <v>50.6</v>
      </c>
      <c r="K215" s="11"/>
      <c r="L215" s="11"/>
      <c r="M215" s="11" t="n">
        <f aca="false">IF(ISNUMBER(L215),L215,J215)</f>
        <v>50.6</v>
      </c>
      <c r="N215" s="11" t="n">
        <f aca="false">ROUNDUP(M215,0)</f>
        <v>51</v>
      </c>
      <c r="O215" s="11" t="n">
        <f aca="false">MAX(I215,N215)</f>
        <v>51</v>
      </c>
      <c r="P215" s="11" t="n">
        <f aca="false">IF(C215="COVERED",MAX(0,O215-40),0)</f>
        <v>0</v>
      </c>
      <c r="Q215" s="11" t="n">
        <f aca="false">O215</f>
        <v>51</v>
      </c>
      <c r="R215" s="17" t="n">
        <f aca="false">IF(C215="COVERED",10.4,7.55)</f>
        <v>7.55</v>
      </c>
      <c r="S215" s="17" t="n">
        <f aca="false">Q215*R215</f>
        <v>385.05</v>
      </c>
      <c r="T215" s="9" t="s">
        <v>3357</v>
      </c>
      <c r="U215" s="10" t="n">
        <v>46235</v>
      </c>
      <c r="V215" s="9" t="n">
        <v>51</v>
      </c>
      <c r="W215" s="17" t="n">
        <v>7.55</v>
      </c>
      <c r="X215" s="17" t="n">
        <v>385.05</v>
      </c>
      <c r="Y215" s="17" t="n">
        <f aca="false">IF(ISNUMBER(X215),X215-S215,"")</f>
        <v>0</v>
      </c>
      <c r="Z215" s="17" t="n">
        <f aca="false">IF(ISNUMBER(X215),X215-S215,-S215)</f>
        <v>0</v>
      </c>
      <c r="AA215" s="9" t="str">
        <f aca="false">IF(NOT(ISNUMBER(X215)),"NO AUGUST POSTING IN EXPORT",IF(ABS(Y215)&gt;=0.005,"POSTED CHARGE MISMATCH",IF(P215&gt;0,"MATCH - COVERED ELIGIBILITY EXCEPTION","MATCH")))</f>
        <v>MATCH</v>
      </c>
      <c r="AB215" s="9" t="s">
        <v>3358</v>
      </c>
    </row>
    <row r="216" customFormat="false" ht="15" hidden="false" customHeight="false" outlineLevel="0" collapsed="false">
      <c r="A216" s="13" t="s">
        <v>772</v>
      </c>
      <c r="B216" s="13" t="s">
        <v>145</v>
      </c>
      <c r="C216" s="13" t="s">
        <v>146</v>
      </c>
      <c r="D216" s="13" t="s">
        <v>2002</v>
      </c>
      <c r="E216" s="13" t="s">
        <v>3359</v>
      </c>
      <c r="F216" s="13" t="s">
        <v>1152</v>
      </c>
      <c r="G216" s="13" t="s">
        <v>1153</v>
      </c>
      <c r="H216" s="13" t="s">
        <v>2429</v>
      </c>
      <c r="I216" s="15" t="n">
        <v>70</v>
      </c>
      <c r="J216" s="15" t="n">
        <v>57.5</v>
      </c>
      <c r="K216" s="15"/>
      <c r="L216" s="15"/>
      <c r="M216" s="15" t="n">
        <f aca="false">IF(ISNUMBER(L216),L216,J216)</f>
        <v>57.5</v>
      </c>
      <c r="N216" s="15" t="n">
        <f aca="false">ROUNDUP(M216,0)</f>
        <v>58</v>
      </c>
      <c r="O216" s="15" t="n">
        <f aca="false">MAX(I216,N216)</f>
        <v>70</v>
      </c>
      <c r="P216" s="15" t="n">
        <f aca="false">IF(C216="COVERED",MAX(0,O216-40),0)</f>
        <v>0</v>
      </c>
      <c r="Q216" s="15" t="n">
        <f aca="false">O216</f>
        <v>70</v>
      </c>
      <c r="R216" s="18" t="n">
        <f aca="false">IF(C216="COVERED",10.4,7.55)</f>
        <v>7.55</v>
      </c>
      <c r="S216" s="18" t="n">
        <f aca="false">Q216*R216</f>
        <v>528.5</v>
      </c>
      <c r="T216" s="13" t="s">
        <v>3360</v>
      </c>
      <c r="U216" s="14" t="n">
        <v>46235</v>
      </c>
      <c r="V216" s="13" t="n">
        <v>70</v>
      </c>
      <c r="W216" s="18" t="n">
        <v>7.55</v>
      </c>
      <c r="X216" s="18" t="n">
        <v>528.5</v>
      </c>
      <c r="Y216" s="18" t="n">
        <f aca="false">IF(ISNUMBER(X216),X216-S216,"")</f>
        <v>0</v>
      </c>
      <c r="Z216" s="18" t="n">
        <f aca="false">IF(ISNUMBER(X216),X216-S216,-S216)</f>
        <v>0</v>
      </c>
      <c r="AA216" s="13" t="str">
        <f aca="false">IF(NOT(ISNUMBER(X216)),"NO AUGUST POSTING IN EXPORT",IF(ABS(Y216)&gt;=0.005,"POSTED CHARGE MISMATCH",IF(P216&gt;0,"MATCH - COVERED ELIGIBILITY EXCEPTION","MATCH")))</f>
        <v>MATCH</v>
      </c>
      <c r="AB216" s="13" t="s">
        <v>3361</v>
      </c>
    </row>
    <row r="217" customFormat="false" ht="15" hidden="false" customHeight="false" outlineLevel="0" collapsed="false">
      <c r="A217" s="9" t="s">
        <v>1060</v>
      </c>
      <c r="B217" s="9" t="s">
        <v>145</v>
      </c>
      <c r="C217" s="9" t="s">
        <v>146</v>
      </c>
      <c r="D217" s="9" t="s">
        <v>2002</v>
      </c>
      <c r="E217" s="9" t="s">
        <v>3362</v>
      </c>
      <c r="F217" s="9" t="s">
        <v>1441</v>
      </c>
      <c r="G217" s="9" t="s">
        <v>1442</v>
      </c>
      <c r="H217" s="9" t="s">
        <v>3363</v>
      </c>
      <c r="I217" s="11" t="n">
        <v>32</v>
      </c>
      <c r="J217" s="11" t="n">
        <v>39</v>
      </c>
      <c r="K217" s="11"/>
      <c r="L217" s="11"/>
      <c r="M217" s="11" t="n">
        <f aca="false">IF(ISNUMBER(L217),L217,J217)</f>
        <v>39</v>
      </c>
      <c r="N217" s="11" t="n">
        <f aca="false">ROUNDUP(M217,0)</f>
        <v>39</v>
      </c>
      <c r="O217" s="11" t="n">
        <f aca="false">MAX(I217,N217)</f>
        <v>39</v>
      </c>
      <c r="P217" s="11" t="n">
        <f aca="false">IF(C217="COVERED",MAX(0,O217-40),0)</f>
        <v>0</v>
      </c>
      <c r="Q217" s="11" t="n">
        <f aca="false">O217</f>
        <v>39</v>
      </c>
      <c r="R217" s="17" t="n">
        <f aca="false">IF(C217="COVERED",10.4,7.55)</f>
        <v>7.55</v>
      </c>
      <c r="S217" s="17" t="n">
        <f aca="false">Q217*R217</f>
        <v>294.45</v>
      </c>
      <c r="T217" s="9" t="s">
        <v>3364</v>
      </c>
      <c r="U217" s="10" t="n">
        <v>46235</v>
      </c>
      <c r="V217" s="9" t="n">
        <v>39</v>
      </c>
      <c r="W217" s="17" t="n">
        <v>7.55</v>
      </c>
      <c r="X217" s="17" t="n">
        <v>294.45</v>
      </c>
      <c r="Y217" s="17" t="n">
        <f aca="false">IF(ISNUMBER(X217),X217-S217,"")</f>
        <v>0</v>
      </c>
      <c r="Z217" s="17" t="n">
        <f aca="false">IF(ISNUMBER(X217),X217-S217,-S217)</f>
        <v>0</v>
      </c>
      <c r="AA217" s="9" t="str">
        <f aca="false">IF(NOT(ISNUMBER(X217)),"NO AUGUST POSTING IN EXPORT",IF(ABS(Y217)&gt;=0.005,"POSTED CHARGE MISMATCH",IF(P217&gt;0,"MATCH - COVERED ELIGIBILITY EXCEPTION","MATCH")))</f>
        <v>MATCH</v>
      </c>
      <c r="AB217" s="9" t="s">
        <v>3365</v>
      </c>
    </row>
    <row r="218" customFormat="false" ht="15" hidden="false" customHeight="false" outlineLevel="0" collapsed="false">
      <c r="A218" s="13" t="s">
        <v>3366</v>
      </c>
      <c r="B218" s="13" t="s">
        <v>145</v>
      </c>
      <c r="C218" s="13" t="s">
        <v>146</v>
      </c>
      <c r="D218" s="13" t="s">
        <v>2002</v>
      </c>
      <c r="E218" s="13" t="s">
        <v>3367</v>
      </c>
      <c r="F218" s="13" t="s">
        <v>3368</v>
      </c>
      <c r="G218" s="13" t="s">
        <v>3369</v>
      </c>
      <c r="H218" s="13" t="s">
        <v>3370</v>
      </c>
      <c r="I218" s="15" t="n">
        <v>60</v>
      </c>
      <c r="J218" s="15" t="n">
        <v>26.5</v>
      </c>
      <c r="K218" s="15"/>
      <c r="L218" s="15"/>
      <c r="M218" s="15" t="n">
        <f aca="false">IF(ISNUMBER(L218),L218,J218)</f>
        <v>26.5</v>
      </c>
      <c r="N218" s="15" t="n">
        <f aca="false">ROUNDUP(M218,0)</f>
        <v>27</v>
      </c>
      <c r="O218" s="15" t="n">
        <f aca="false">MAX(I218,N218)</f>
        <v>60</v>
      </c>
      <c r="P218" s="15" t="n">
        <f aca="false">IF(C218="COVERED",MAX(0,O218-40),0)</f>
        <v>0</v>
      </c>
      <c r="Q218" s="15" t="n">
        <f aca="false">O218</f>
        <v>60</v>
      </c>
      <c r="R218" s="18" t="n">
        <f aca="false">IF(C218="COVERED",10.4,7.55)</f>
        <v>7.55</v>
      </c>
      <c r="S218" s="18" t="n">
        <f aca="false">Q218*R218</f>
        <v>453</v>
      </c>
      <c r="T218" s="13" t="s">
        <v>3371</v>
      </c>
      <c r="U218" s="14" t="n">
        <v>46235</v>
      </c>
      <c r="V218" s="13" t="n">
        <v>60</v>
      </c>
      <c r="W218" s="18" t="n">
        <v>7.55</v>
      </c>
      <c r="X218" s="18" t="n">
        <v>453</v>
      </c>
      <c r="Y218" s="18" t="n">
        <f aca="false">IF(ISNUMBER(X218),X218-S218,"")</f>
        <v>0</v>
      </c>
      <c r="Z218" s="18" t="n">
        <f aca="false">IF(ISNUMBER(X218),X218-S218,-S218)</f>
        <v>0</v>
      </c>
      <c r="AA218" s="13" t="str">
        <f aca="false">IF(NOT(ISNUMBER(X218)),"NO AUGUST POSTING IN EXPORT",IF(ABS(Y218)&gt;=0.005,"POSTED CHARGE MISMATCH",IF(P218&gt;0,"MATCH - COVERED ELIGIBILITY EXCEPTION","MATCH")))</f>
        <v>MATCH</v>
      </c>
      <c r="AB218" s="13" t="s">
        <v>3372</v>
      </c>
    </row>
    <row r="219" customFormat="false" ht="15" hidden="false" customHeight="false" outlineLevel="0" collapsed="false">
      <c r="A219" s="9" t="s">
        <v>3373</v>
      </c>
      <c r="B219" s="9" t="s">
        <v>145</v>
      </c>
      <c r="C219" s="9" t="s">
        <v>146</v>
      </c>
      <c r="D219" s="9" t="s">
        <v>2002</v>
      </c>
      <c r="E219" s="9" t="s">
        <v>3374</v>
      </c>
      <c r="F219" s="9" t="s">
        <v>3375</v>
      </c>
      <c r="G219" s="9" t="s">
        <v>3376</v>
      </c>
      <c r="H219" s="9" t="s">
        <v>3377</v>
      </c>
      <c r="I219" s="11" t="n">
        <v>24</v>
      </c>
      <c r="J219" s="11" t="n">
        <v>33.7</v>
      </c>
      <c r="K219" s="11"/>
      <c r="L219" s="11"/>
      <c r="M219" s="11" t="n">
        <f aca="false">IF(ISNUMBER(L219),L219,J219)</f>
        <v>33.7</v>
      </c>
      <c r="N219" s="11" t="n">
        <f aca="false">ROUNDUP(M219,0)</f>
        <v>34</v>
      </c>
      <c r="O219" s="11" t="n">
        <f aca="false">MAX(I219,N219)</f>
        <v>34</v>
      </c>
      <c r="P219" s="11" t="n">
        <f aca="false">IF(C219="COVERED",MAX(0,O219-40),0)</f>
        <v>0</v>
      </c>
      <c r="Q219" s="11" t="n">
        <f aca="false">O219</f>
        <v>34</v>
      </c>
      <c r="R219" s="17" t="n">
        <f aca="false">IF(C219="COVERED",10.4,7.55)</f>
        <v>7.55</v>
      </c>
      <c r="S219" s="17" t="n">
        <f aca="false">Q219*R219</f>
        <v>256.7</v>
      </c>
      <c r="T219" s="9" t="s">
        <v>3378</v>
      </c>
      <c r="U219" s="10" t="n">
        <v>46235</v>
      </c>
      <c r="V219" s="9" t="n">
        <v>34</v>
      </c>
      <c r="W219" s="17" t="n">
        <v>7.55</v>
      </c>
      <c r="X219" s="17" t="n">
        <v>256.7</v>
      </c>
      <c r="Y219" s="17" t="n">
        <f aca="false">IF(ISNUMBER(X219),X219-S219,"")</f>
        <v>0</v>
      </c>
      <c r="Z219" s="17" t="n">
        <f aca="false">IF(ISNUMBER(X219),X219-S219,-S219)</f>
        <v>0</v>
      </c>
      <c r="AA219" s="9" t="str">
        <f aca="false">IF(NOT(ISNUMBER(X219)),"NO AUGUST POSTING IN EXPORT",IF(ABS(Y219)&gt;=0.005,"POSTED CHARGE MISMATCH",IF(P219&gt;0,"MATCH - COVERED ELIGIBILITY EXCEPTION","MATCH")))</f>
        <v>MATCH</v>
      </c>
      <c r="AB219" s="9" t="s">
        <v>3379</v>
      </c>
    </row>
    <row r="220" customFormat="false" ht="15" hidden="false" customHeight="false" outlineLevel="0" collapsed="false">
      <c r="A220" s="13" t="s">
        <v>3380</v>
      </c>
      <c r="B220" s="13" t="s">
        <v>155</v>
      </c>
      <c r="C220" s="13" t="s">
        <v>146</v>
      </c>
      <c r="D220" s="13" t="s">
        <v>2002</v>
      </c>
      <c r="E220" s="13" t="s">
        <v>2010</v>
      </c>
      <c r="F220" s="13" t="s">
        <v>3381</v>
      </c>
      <c r="G220" s="13" t="s">
        <v>3382</v>
      </c>
      <c r="H220" s="13" t="s">
        <v>3383</v>
      </c>
      <c r="I220" s="15" t="n">
        <v>40</v>
      </c>
      <c r="J220" s="15" t="n">
        <v>43.8</v>
      </c>
      <c r="K220" s="15"/>
      <c r="L220" s="15"/>
      <c r="M220" s="15" t="n">
        <f aca="false">IF(ISNUMBER(L220),L220,J220)</f>
        <v>43.8</v>
      </c>
      <c r="N220" s="15" t="n">
        <f aca="false">ROUNDUP(M220,0)</f>
        <v>44</v>
      </c>
      <c r="O220" s="15" t="n">
        <f aca="false">MAX(I220,N220)</f>
        <v>44</v>
      </c>
      <c r="P220" s="15" t="n">
        <f aca="false">IF(C220="COVERED",MAX(0,O220-40),0)</f>
        <v>0</v>
      </c>
      <c r="Q220" s="15" t="n">
        <f aca="false">O220</f>
        <v>44</v>
      </c>
      <c r="R220" s="18" t="n">
        <f aca="false">IF(C220="COVERED",10.4,7.55)</f>
        <v>7.55</v>
      </c>
      <c r="S220" s="18" t="n">
        <f aca="false">Q220*R220</f>
        <v>332.2</v>
      </c>
      <c r="T220" s="13" t="s">
        <v>3384</v>
      </c>
      <c r="U220" s="14" t="n">
        <v>46235</v>
      </c>
      <c r="V220" s="13" t="n">
        <v>44</v>
      </c>
      <c r="W220" s="18" t="n">
        <v>7.55</v>
      </c>
      <c r="X220" s="18" t="n">
        <v>332.2</v>
      </c>
      <c r="Y220" s="18" t="n">
        <f aca="false">IF(ISNUMBER(X220),X220-S220,"")</f>
        <v>0</v>
      </c>
      <c r="Z220" s="18" t="n">
        <f aca="false">IF(ISNUMBER(X220),X220-S220,-S220)</f>
        <v>0</v>
      </c>
      <c r="AA220" s="13" t="str">
        <f aca="false">IF(NOT(ISNUMBER(X220)),"NO AUGUST POSTING IN EXPORT",IF(ABS(Y220)&gt;=0.005,"POSTED CHARGE MISMATCH",IF(P220&gt;0,"MATCH - COVERED ELIGIBILITY EXCEPTION","MATCH")))</f>
        <v>MATCH</v>
      </c>
      <c r="AB220" s="13" t="s">
        <v>3385</v>
      </c>
    </row>
    <row r="221" customFormat="false" ht="15" hidden="false" customHeight="false" outlineLevel="0" collapsed="false">
      <c r="A221" s="9" t="s">
        <v>1378</v>
      </c>
      <c r="B221" s="9" t="s">
        <v>155</v>
      </c>
      <c r="C221" s="9" t="s">
        <v>146</v>
      </c>
      <c r="D221" s="9" t="s">
        <v>2002</v>
      </c>
      <c r="E221" s="9" t="s">
        <v>2017</v>
      </c>
      <c r="F221" s="9" t="s">
        <v>3386</v>
      </c>
      <c r="G221" s="9" t="s">
        <v>3387</v>
      </c>
      <c r="H221" s="9" t="s">
        <v>3388</v>
      </c>
      <c r="I221" s="11" t="n">
        <v>45</v>
      </c>
      <c r="J221" s="11" t="n">
        <v>21.9</v>
      </c>
      <c r="K221" s="11"/>
      <c r="L221" s="11"/>
      <c r="M221" s="11" t="n">
        <f aca="false">IF(ISNUMBER(L221),L221,J221)</f>
        <v>21.9</v>
      </c>
      <c r="N221" s="11" t="n">
        <f aca="false">ROUNDUP(M221,0)</f>
        <v>22</v>
      </c>
      <c r="O221" s="11" t="n">
        <f aca="false">MAX(I221,N221)</f>
        <v>45</v>
      </c>
      <c r="P221" s="11" t="n">
        <f aca="false">IF(C221="COVERED",MAX(0,O221-40),0)</f>
        <v>0</v>
      </c>
      <c r="Q221" s="11" t="n">
        <f aca="false">O221</f>
        <v>45</v>
      </c>
      <c r="R221" s="17" t="n">
        <f aca="false">IF(C221="COVERED",10.4,7.55)</f>
        <v>7.55</v>
      </c>
      <c r="S221" s="17" t="n">
        <f aca="false">Q221*R221</f>
        <v>339.75</v>
      </c>
      <c r="T221" s="9" t="s">
        <v>3389</v>
      </c>
      <c r="U221" s="10" t="n">
        <v>46235</v>
      </c>
      <c r="V221" s="9" t="n">
        <v>45</v>
      </c>
      <c r="W221" s="17" t="n">
        <v>7.55</v>
      </c>
      <c r="X221" s="17" t="n">
        <v>339.75</v>
      </c>
      <c r="Y221" s="17" t="n">
        <f aca="false">IF(ISNUMBER(X221),X221-S221,"")</f>
        <v>0</v>
      </c>
      <c r="Z221" s="17" t="n">
        <f aca="false">IF(ISNUMBER(X221),X221-S221,-S221)</f>
        <v>0</v>
      </c>
      <c r="AA221" s="9" t="str">
        <f aca="false">IF(NOT(ISNUMBER(X221)),"NO AUGUST POSTING IN EXPORT",IF(ABS(Y221)&gt;=0.005,"POSTED CHARGE MISMATCH",IF(P221&gt;0,"MATCH - COVERED ELIGIBILITY EXCEPTION","MATCH")))</f>
        <v>MATCH</v>
      </c>
      <c r="AB221" s="9" t="s">
        <v>3390</v>
      </c>
    </row>
    <row r="222" customFormat="false" ht="15" hidden="false" customHeight="false" outlineLevel="0" collapsed="false">
      <c r="A222" s="13" t="s">
        <v>3391</v>
      </c>
      <c r="B222" s="13" t="s">
        <v>155</v>
      </c>
      <c r="C222" s="13" t="s">
        <v>146</v>
      </c>
      <c r="D222" s="13" t="s">
        <v>2002</v>
      </c>
      <c r="E222" s="13" t="s">
        <v>3392</v>
      </c>
      <c r="F222" s="13" t="s">
        <v>3393</v>
      </c>
      <c r="G222" s="13" t="s">
        <v>3394</v>
      </c>
      <c r="H222" s="13" t="s">
        <v>3395</v>
      </c>
      <c r="I222" s="15" t="n">
        <v>40</v>
      </c>
      <c r="J222" s="15" t="n">
        <v>49.6</v>
      </c>
      <c r="K222" s="15"/>
      <c r="L222" s="15"/>
      <c r="M222" s="15" t="n">
        <f aca="false">IF(ISNUMBER(L222),L222,J222)</f>
        <v>49.6</v>
      </c>
      <c r="N222" s="15" t="n">
        <f aca="false">ROUNDUP(M222,0)</f>
        <v>50</v>
      </c>
      <c r="O222" s="15" t="n">
        <f aca="false">MAX(I222,N222)</f>
        <v>50</v>
      </c>
      <c r="P222" s="15" t="n">
        <f aca="false">IF(C222="COVERED",MAX(0,O222-40),0)</f>
        <v>0</v>
      </c>
      <c r="Q222" s="15" t="n">
        <f aca="false">O222</f>
        <v>50</v>
      </c>
      <c r="R222" s="18" t="n">
        <f aca="false">IF(C222="COVERED",10.4,7.55)</f>
        <v>7.55</v>
      </c>
      <c r="S222" s="18" t="n">
        <f aca="false">Q222*R222</f>
        <v>377.5</v>
      </c>
      <c r="T222" s="13" t="s">
        <v>3396</v>
      </c>
      <c r="U222" s="14" t="n">
        <v>46235</v>
      </c>
      <c r="V222" s="13" t="n">
        <v>50</v>
      </c>
      <c r="W222" s="18" t="n">
        <v>7.55</v>
      </c>
      <c r="X222" s="18" t="n">
        <v>377.5</v>
      </c>
      <c r="Y222" s="18" t="n">
        <f aca="false">IF(ISNUMBER(X222),X222-S222,"")</f>
        <v>0</v>
      </c>
      <c r="Z222" s="18" t="n">
        <f aca="false">IF(ISNUMBER(X222),X222-S222,-S222)</f>
        <v>0</v>
      </c>
      <c r="AA222" s="13" t="str">
        <f aca="false">IF(NOT(ISNUMBER(X222)),"NO AUGUST POSTING IN EXPORT",IF(ABS(Y222)&gt;=0.005,"POSTED CHARGE MISMATCH",IF(P222&gt;0,"MATCH - COVERED ELIGIBILITY EXCEPTION","MATCH")))</f>
        <v>MATCH</v>
      </c>
      <c r="AB222" s="13" t="s">
        <v>3397</v>
      </c>
    </row>
    <row r="223" customFormat="false" ht="15" hidden="false" customHeight="false" outlineLevel="0" collapsed="false">
      <c r="A223" s="9" t="s">
        <v>1692</v>
      </c>
      <c r="B223" s="9" t="s">
        <v>155</v>
      </c>
      <c r="C223" s="9" t="s">
        <v>146</v>
      </c>
      <c r="D223" s="9" t="s">
        <v>2002</v>
      </c>
      <c r="E223" s="9" t="s">
        <v>2024</v>
      </c>
      <c r="F223" s="9" t="s">
        <v>3398</v>
      </c>
      <c r="G223" s="9" t="s">
        <v>3399</v>
      </c>
      <c r="H223" s="9" t="s">
        <v>3400</v>
      </c>
      <c r="I223" s="11" t="n">
        <v>60</v>
      </c>
      <c r="J223" s="11" t="n">
        <v>35.5</v>
      </c>
      <c r="K223" s="11"/>
      <c r="L223" s="11"/>
      <c r="M223" s="11" t="n">
        <f aca="false">IF(ISNUMBER(L223),L223,J223)</f>
        <v>35.5</v>
      </c>
      <c r="N223" s="11" t="n">
        <f aca="false">ROUNDUP(M223,0)</f>
        <v>36</v>
      </c>
      <c r="O223" s="11" t="n">
        <f aca="false">MAX(I223,N223)</f>
        <v>60</v>
      </c>
      <c r="P223" s="11" t="n">
        <f aca="false">IF(C223="COVERED",MAX(0,O223-40),0)</f>
        <v>0</v>
      </c>
      <c r="Q223" s="11" t="n">
        <f aca="false">O223</f>
        <v>60</v>
      </c>
      <c r="R223" s="17" t="n">
        <f aca="false">IF(C223="COVERED",10.4,7.55)</f>
        <v>7.55</v>
      </c>
      <c r="S223" s="17" t="n">
        <f aca="false">Q223*R223</f>
        <v>453</v>
      </c>
      <c r="T223" s="9" t="s">
        <v>3401</v>
      </c>
      <c r="U223" s="10" t="n">
        <v>46235</v>
      </c>
      <c r="V223" s="9" t="n">
        <v>60</v>
      </c>
      <c r="W223" s="17" t="n">
        <v>7.55</v>
      </c>
      <c r="X223" s="17" t="n">
        <v>453</v>
      </c>
      <c r="Y223" s="17" t="n">
        <f aca="false">IF(ISNUMBER(X223),X223-S223,"")</f>
        <v>0</v>
      </c>
      <c r="Z223" s="17" t="n">
        <f aca="false">IF(ISNUMBER(X223),X223-S223,-S223)</f>
        <v>0</v>
      </c>
      <c r="AA223" s="9" t="str">
        <f aca="false">IF(NOT(ISNUMBER(X223)),"NO AUGUST POSTING IN EXPORT",IF(ABS(Y223)&gt;=0.005,"POSTED CHARGE MISMATCH",IF(P223&gt;0,"MATCH - COVERED ELIGIBILITY EXCEPTION","MATCH")))</f>
        <v>MATCH</v>
      </c>
      <c r="AB223" s="9" t="s">
        <v>3402</v>
      </c>
    </row>
    <row r="224" customFormat="false" ht="15" hidden="false" customHeight="false" outlineLevel="0" collapsed="false">
      <c r="A224" s="13" t="s">
        <v>3403</v>
      </c>
      <c r="B224" s="13" t="s">
        <v>155</v>
      </c>
      <c r="C224" s="13" t="s">
        <v>146</v>
      </c>
      <c r="D224" s="13" t="s">
        <v>2002</v>
      </c>
      <c r="E224" s="13" t="s">
        <v>2031</v>
      </c>
      <c r="F224" s="13" t="s">
        <v>3404</v>
      </c>
      <c r="G224" s="13" t="s">
        <v>3405</v>
      </c>
      <c r="H224" s="13" t="s">
        <v>3406</v>
      </c>
      <c r="I224" s="15" t="n">
        <v>80</v>
      </c>
      <c r="J224" s="15" t="n">
        <v>40.5</v>
      </c>
      <c r="K224" s="15"/>
      <c r="L224" s="15"/>
      <c r="M224" s="15" t="n">
        <f aca="false">IF(ISNUMBER(L224),L224,J224)</f>
        <v>40.5</v>
      </c>
      <c r="N224" s="15" t="n">
        <f aca="false">ROUNDUP(M224,0)</f>
        <v>41</v>
      </c>
      <c r="O224" s="15" t="n">
        <f aca="false">MAX(I224,N224)</f>
        <v>80</v>
      </c>
      <c r="P224" s="15" t="n">
        <f aca="false">IF(C224="COVERED",MAX(0,O224-40),0)</f>
        <v>0</v>
      </c>
      <c r="Q224" s="15" t="n">
        <f aca="false">O224</f>
        <v>80</v>
      </c>
      <c r="R224" s="18" t="n">
        <f aca="false">IF(C224="COVERED",10.4,7.55)</f>
        <v>7.55</v>
      </c>
      <c r="S224" s="18" t="n">
        <f aca="false">Q224*R224</f>
        <v>604</v>
      </c>
      <c r="T224" s="13" t="s">
        <v>3407</v>
      </c>
      <c r="U224" s="14" t="n">
        <v>46235</v>
      </c>
      <c r="V224" s="13" t="n">
        <v>80</v>
      </c>
      <c r="W224" s="18" t="n">
        <v>7.55</v>
      </c>
      <c r="X224" s="18" t="n">
        <v>604</v>
      </c>
      <c r="Y224" s="18" t="n">
        <f aca="false">IF(ISNUMBER(X224),X224-S224,"")</f>
        <v>0</v>
      </c>
      <c r="Z224" s="18" t="n">
        <f aca="false">IF(ISNUMBER(X224),X224-S224,-S224)</f>
        <v>0</v>
      </c>
      <c r="AA224" s="13" t="str">
        <f aca="false">IF(NOT(ISNUMBER(X224)),"NO AUGUST POSTING IN EXPORT",IF(ABS(Y224)&gt;=0.005,"POSTED CHARGE MISMATCH",IF(P224&gt;0,"MATCH - COVERED ELIGIBILITY EXCEPTION","MATCH")))</f>
        <v>MATCH</v>
      </c>
      <c r="AB224" s="13" t="s">
        <v>3408</v>
      </c>
    </row>
    <row r="225" customFormat="false" ht="15" hidden="false" customHeight="false" outlineLevel="0" collapsed="false">
      <c r="A225" s="9" t="s">
        <v>3409</v>
      </c>
      <c r="B225" s="9" t="s">
        <v>155</v>
      </c>
      <c r="C225" s="9" t="s">
        <v>146</v>
      </c>
      <c r="D225" s="9" t="s">
        <v>2002</v>
      </c>
      <c r="E225" s="9" t="s">
        <v>2042</v>
      </c>
      <c r="F225" s="9" t="s">
        <v>3410</v>
      </c>
      <c r="G225" s="9" t="s">
        <v>3411</v>
      </c>
      <c r="H225" s="9" t="s">
        <v>3412</v>
      </c>
      <c r="I225" s="11" t="n">
        <v>32</v>
      </c>
      <c r="J225" s="11" t="n">
        <v>46.9</v>
      </c>
      <c r="K225" s="11"/>
      <c r="L225" s="11"/>
      <c r="M225" s="11" t="n">
        <f aca="false">IF(ISNUMBER(L225),L225,J225)</f>
        <v>46.9</v>
      </c>
      <c r="N225" s="11" t="n">
        <f aca="false">ROUNDUP(M225,0)</f>
        <v>47</v>
      </c>
      <c r="O225" s="11" t="n">
        <f aca="false">MAX(I225,N225)</f>
        <v>47</v>
      </c>
      <c r="P225" s="11" t="n">
        <f aca="false">IF(C225="COVERED",MAX(0,O225-40),0)</f>
        <v>0</v>
      </c>
      <c r="Q225" s="11" t="n">
        <f aca="false">O225</f>
        <v>47</v>
      </c>
      <c r="R225" s="17" t="n">
        <f aca="false">IF(C225="COVERED",10.4,7.55)</f>
        <v>7.55</v>
      </c>
      <c r="S225" s="17" t="n">
        <f aca="false">Q225*R225</f>
        <v>354.85</v>
      </c>
      <c r="T225" s="9" t="s">
        <v>3413</v>
      </c>
      <c r="U225" s="10" t="n">
        <v>46235</v>
      </c>
      <c r="V225" s="9" t="n">
        <v>47</v>
      </c>
      <c r="W225" s="17" t="n">
        <v>7.55</v>
      </c>
      <c r="X225" s="17" t="n">
        <v>354.85</v>
      </c>
      <c r="Y225" s="17" t="n">
        <f aca="false">IF(ISNUMBER(X225),X225-S225,"")</f>
        <v>0</v>
      </c>
      <c r="Z225" s="17" t="n">
        <f aca="false">IF(ISNUMBER(X225),X225-S225,-S225)</f>
        <v>0</v>
      </c>
      <c r="AA225" s="9" t="str">
        <f aca="false">IF(NOT(ISNUMBER(X225)),"NO AUGUST POSTING IN EXPORT",IF(ABS(Y225)&gt;=0.005,"POSTED CHARGE MISMATCH",IF(P225&gt;0,"MATCH - COVERED ELIGIBILITY EXCEPTION","MATCH")))</f>
        <v>MATCH</v>
      </c>
      <c r="AB225" s="9" t="s">
        <v>3414</v>
      </c>
    </row>
    <row r="226" customFormat="false" ht="15" hidden="false" customHeight="false" outlineLevel="0" collapsed="false">
      <c r="A226" s="13" t="s">
        <v>3415</v>
      </c>
      <c r="B226" s="13" t="s">
        <v>155</v>
      </c>
      <c r="C226" s="13" t="s">
        <v>146</v>
      </c>
      <c r="D226" s="13" t="s">
        <v>2002</v>
      </c>
      <c r="E226" s="13" t="s">
        <v>2048</v>
      </c>
      <c r="F226" s="13" t="s">
        <v>3416</v>
      </c>
      <c r="G226" s="13" t="s">
        <v>3417</v>
      </c>
      <c r="H226" s="13" t="s">
        <v>2973</v>
      </c>
      <c r="I226" s="15" t="n">
        <v>28</v>
      </c>
      <c r="J226" s="15" t="n">
        <v>55</v>
      </c>
      <c r="K226" s="15"/>
      <c r="L226" s="15"/>
      <c r="M226" s="15" t="n">
        <f aca="false">IF(ISNUMBER(L226),L226,J226)</f>
        <v>55</v>
      </c>
      <c r="N226" s="15" t="n">
        <f aca="false">ROUNDUP(M226,0)</f>
        <v>55</v>
      </c>
      <c r="O226" s="15" t="n">
        <f aca="false">MAX(I226,N226)</f>
        <v>55</v>
      </c>
      <c r="P226" s="15" t="n">
        <f aca="false">IF(C226="COVERED",MAX(0,O226-40),0)</f>
        <v>0</v>
      </c>
      <c r="Q226" s="15" t="n">
        <f aca="false">O226</f>
        <v>55</v>
      </c>
      <c r="R226" s="18" t="n">
        <f aca="false">IF(C226="COVERED",10.4,7.55)</f>
        <v>7.55</v>
      </c>
      <c r="S226" s="18" t="n">
        <f aca="false">Q226*R226</f>
        <v>415.25</v>
      </c>
      <c r="T226" s="13" t="s">
        <v>3418</v>
      </c>
      <c r="U226" s="14" t="n">
        <v>46235</v>
      </c>
      <c r="V226" s="13" t="n">
        <v>55</v>
      </c>
      <c r="W226" s="18" t="n">
        <v>7.55</v>
      </c>
      <c r="X226" s="18" t="n">
        <v>415.25</v>
      </c>
      <c r="Y226" s="18" t="n">
        <f aca="false">IF(ISNUMBER(X226),X226-S226,"")</f>
        <v>0</v>
      </c>
      <c r="Z226" s="18" t="n">
        <f aca="false">IF(ISNUMBER(X226),X226-S226,-S226)</f>
        <v>0</v>
      </c>
      <c r="AA226" s="13" t="str">
        <f aca="false">IF(NOT(ISNUMBER(X226)),"NO AUGUST POSTING IN EXPORT",IF(ABS(Y226)&gt;=0.005,"POSTED CHARGE MISMATCH",IF(P226&gt;0,"MATCH - COVERED ELIGIBILITY EXCEPTION","MATCH")))</f>
        <v>MATCH</v>
      </c>
      <c r="AB226" s="13" t="s">
        <v>3419</v>
      </c>
    </row>
    <row r="227" customFormat="false" ht="15" hidden="false" customHeight="false" outlineLevel="0" collapsed="false">
      <c r="A227" s="9" t="s">
        <v>3420</v>
      </c>
      <c r="B227" s="9" t="s">
        <v>155</v>
      </c>
      <c r="C227" s="9" t="s">
        <v>146</v>
      </c>
      <c r="D227" s="9" t="s">
        <v>2002</v>
      </c>
      <c r="E227" s="9" t="s">
        <v>2054</v>
      </c>
      <c r="F227" s="9" t="s">
        <v>3421</v>
      </c>
      <c r="G227" s="9" t="s">
        <v>3422</v>
      </c>
      <c r="H227" s="9" t="s">
        <v>3423</v>
      </c>
      <c r="I227" s="11" t="n">
        <v>80</v>
      </c>
      <c r="J227" s="11" t="n">
        <v>42.1</v>
      </c>
      <c r="K227" s="11"/>
      <c r="L227" s="11"/>
      <c r="M227" s="11" t="n">
        <f aca="false">IF(ISNUMBER(L227),L227,J227)</f>
        <v>42.1</v>
      </c>
      <c r="N227" s="11" t="n">
        <f aca="false">ROUNDUP(M227,0)</f>
        <v>43</v>
      </c>
      <c r="O227" s="11" t="n">
        <f aca="false">MAX(I227,N227)</f>
        <v>80</v>
      </c>
      <c r="P227" s="11" t="n">
        <f aca="false">IF(C227="COVERED",MAX(0,O227-40),0)</f>
        <v>0</v>
      </c>
      <c r="Q227" s="11" t="n">
        <f aca="false">O227</f>
        <v>80</v>
      </c>
      <c r="R227" s="17" t="n">
        <f aca="false">IF(C227="COVERED",10.4,7.55)</f>
        <v>7.55</v>
      </c>
      <c r="S227" s="17" t="n">
        <f aca="false">Q227*R227</f>
        <v>604</v>
      </c>
      <c r="T227" s="9" t="s">
        <v>3424</v>
      </c>
      <c r="U227" s="10" t="n">
        <v>46235</v>
      </c>
      <c r="V227" s="9" t="n">
        <v>80</v>
      </c>
      <c r="W227" s="17" t="n">
        <v>7.55</v>
      </c>
      <c r="X227" s="17" t="n">
        <v>604</v>
      </c>
      <c r="Y227" s="17" t="n">
        <f aca="false">IF(ISNUMBER(X227),X227-S227,"")</f>
        <v>0</v>
      </c>
      <c r="Z227" s="17" t="n">
        <f aca="false">IF(ISNUMBER(X227),X227-S227,-S227)</f>
        <v>0</v>
      </c>
      <c r="AA227" s="9" t="str">
        <f aca="false">IF(NOT(ISNUMBER(X227)),"NO AUGUST POSTING IN EXPORT",IF(ABS(Y227)&gt;=0.005,"POSTED CHARGE MISMATCH",IF(P227&gt;0,"MATCH - COVERED ELIGIBILITY EXCEPTION","MATCH")))</f>
        <v>MATCH</v>
      </c>
      <c r="AB227" s="9" t="s">
        <v>3425</v>
      </c>
    </row>
    <row r="228" customFormat="false" ht="15" hidden="false" customHeight="false" outlineLevel="0" collapsed="false">
      <c r="A228" s="13" t="s">
        <v>3426</v>
      </c>
      <c r="B228" s="13" t="s">
        <v>155</v>
      </c>
      <c r="C228" s="13" t="s">
        <v>146</v>
      </c>
      <c r="D228" s="13" t="s">
        <v>2002</v>
      </c>
      <c r="E228" s="13" t="s">
        <v>2060</v>
      </c>
      <c r="F228" s="13" t="s">
        <v>3427</v>
      </c>
      <c r="G228" s="13" t="s">
        <v>3428</v>
      </c>
      <c r="H228" s="13" t="s">
        <v>2176</v>
      </c>
      <c r="I228" s="15" t="n">
        <v>28</v>
      </c>
      <c r="J228" s="15" t="n">
        <v>59.8</v>
      </c>
      <c r="K228" s="15"/>
      <c r="L228" s="15"/>
      <c r="M228" s="15" t="n">
        <f aca="false">IF(ISNUMBER(L228),L228,J228)</f>
        <v>59.8</v>
      </c>
      <c r="N228" s="15" t="n">
        <f aca="false">ROUNDUP(M228,0)</f>
        <v>60</v>
      </c>
      <c r="O228" s="15" t="n">
        <f aca="false">MAX(I228,N228)</f>
        <v>60</v>
      </c>
      <c r="P228" s="15" t="n">
        <f aca="false">IF(C228="COVERED",MAX(0,O228-40),0)</f>
        <v>0</v>
      </c>
      <c r="Q228" s="15" t="n">
        <f aca="false">O228</f>
        <v>60</v>
      </c>
      <c r="R228" s="18" t="n">
        <f aca="false">IF(C228="COVERED",10.4,7.55)</f>
        <v>7.55</v>
      </c>
      <c r="S228" s="18" t="n">
        <f aca="false">Q228*R228</f>
        <v>453</v>
      </c>
      <c r="T228" s="13" t="s">
        <v>3429</v>
      </c>
      <c r="U228" s="14" t="n">
        <v>46235</v>
      </c>
      <c r="V228" s="13" t="n">
        <v>60</v>
      </c>
      <c r="W228" s="18" t="n">
        <v>7.55</v>
      </c>
      <c r="X228" s="18" t="n">
        <v>453</v>
      </c>
      <c r="Y228" s="18" t="n">
        <f aca="false">IF(ISNUMBER(X228),X228-S228,"")</f>
        <v>0</v>
      </c>
      <c r="Z228" s="18" t="n">
        <f aca="false">IF(ISNUMBER(X228),X228-S228,-S228)</f>
        <v>0</v>
      </c>
      <c r="AA228" s="13" t="str">
        <f aca="false">IF(NOT(ISNUMBER(X228)),"NO AUGUST POSTING IN EXPORT",IF(ABS(Y228)&gt;=0.005,"POSTED CHARGE MISMATCH",IF(P228&gt;0,"MATCH - COVERED ELIGIBILITY EXCEPTION","MATCH")))</f>
        <v>MATCH</v>
      </c>
      <c r="AB228" s="13" t="s">
        <v>3430</v>
      </c>
    </row>
    <row r="229" customFormat="false" ht="15" hidden="false" customHeight="false" outlineLevel="0" collapsed="false">
      <c r="A229" s="9" t="s">
        <v>3431</v>
      </c>
      <c r="B229" s="9" t="s">
        <v>155</v>
      </c>
      <c r="C229" s="9" t="s">
        <v>146</v>
      </c>
      <c r="D229" s="9" t="s">
        <v>2002</v>
      </c>
      <c r="E229" s="9" t="s">
        <v>2065</v>
      </c>
      <c r="F229" s="9" t="s">
        <v>3432</v>
      </c>
      <c r="G229" s="9" t="s">
        <v>3433</v>
      </c>
      <c r="H229" s="9" t="s">
        <v>3434</v>
      </c>
      <c r="I229" s="11" t="n">
        <v>32</v>
      </c>
      <c r="J229" s="11" t="n">
        <v>19.8</v>
      </c>
      <c r="K229" s="11"/>
      <c r="L229" s="11"/>
      <c r="M229" s="11" t="n">
        <f aca="false">IF(ISNUMBER(L229),L229,J229)</f>
        <v>19.8</v>
      </c>
      <c r="N229" s="11" t="n">
        <f aca="false">ROUNDUP(M229,0)</f>
        <v>20</v>
      </c>
      <c r="O229" s="11" t="n">
        <f aca="false">MAX(I229,N229)</f>
        <v>32</v>
      </c>
      <c r="P229" s="11" t="n">
        <f aca="false">IF(C229="COVERED",MAX(0,O229-40),0)</f>
        <v>0</v>
      </c>
      <c r="Q229" s="11" t="n">
        <f aca="false">O229</f>
        <v>32</v>
      </c>
      <c r="R229" s="17" t="n">
        <f aca="false">IF(C229="COVERED",10.4,7.55)</f>
        <v>7.55</v>
      </c>
      <c r="S229" s="17" t="n">
        <f aca="false">Q229*R229</f>
        <v>241.6</v>
      </c>
      <c r="T229" s="9" t="s">
        <v>3435</v>
      </c>
      <c r="U229" s="10" t="n">
        <v>46235</v>
      </c>
      <c r="V229" s="9" t="n">
        <v>32</v>
      </c>
      <c r="W229" s="17" t="n">
        <v>7.55</v>
      </c>
      <c r="X229" s="17" t="n">
        <v>241.6</v>
      </c>
      <c r="Y229" s="17" t="n">
        <f aca="false">IF(ISNUMBER(X229),X229-S229,"")</f>
        <v>0</v>
      </c>
      <c r="Z229" s="17" t="n">
        <f aca="false">IF(ISNUMBER(X229),X229-S229,-S229)</f>
        <v>0</v>
      </c>
      <c r="AA229" s="9" t="str">
        <f aca="false">IF(NOT(ISNUMBER(X229)),"NO AUGUST POSTING IN EXPORT",IF(ABS(Y229)&gt;=0.005,"POSTED CHARGE MISMATCH",IF(P229&gt;0,"MATCH - COVERED ELIGIBILITY EXCEPTION","MATCH")))</f>
        <v>MATCH</v>
      </c>
      <c r="AB229" s="9" t="s">
        <v>3436</v>
      </c>
    </row>
    <row r="230" customFormat="false" ht="15" hidden="false" customHeight="false" outlineLevel="0" collapsed="false">
      <c r="A230" s="13" t="s">
        <v>3437</v>
      </c>
      <c r="B230" s="13" t="s">
        <v>155</v>
      </c>
      <c r="C230" s="13" t="s">
        <v>146</v>
      </c>
      <c r="D230" s="13" t="s">
        <v>2002</v>
      </c>
      <c r="E230" s="13" t="s">
        <v>2072</v>
      </c>
      <c r="F230" s="13" t="s">
        <v>3438</v>
      </c>
      <c r="G230" s="13" t="s">
        <v>3439</v>
      </c>
      <c r="H230" s="13" t="s">
        <v>3440</v>
      </c>
      <c r="I230" s="15" t="n">
        <v>45</v>
      </c>
      <c r="J230" s="15" t="n">
        <v>45.1</v>
      </c>
      <c r="K230" s="15"/>
      <c r="L230" s="15"/>
      <c r="M230" s="15" t="n">
        <f aca="false">IF(ISNUMBER(L230),L230,J230)</f>
        <v>45.1</v>
      </c>
      <c r="N230" s="15" t="n">
        <f aca="false">ROUNDUP(M230,0)</f>
        <v>46</v>
      </c>
      <c r="O230" s="15" t="n">
        <f aca="false">MAX(I230,N230)</f>
        <v>46</v>
      </c>
      <c r="P230" s="15" t="n">
        <f aca="false">IF(C230="COVERED",MAX(0,O230-40),0)</f>
        <v>0</v>
      </c>
      <c r="Q230" s="15" t="n">
        <f aca="false">O230</f>
        <v>46</v>
      </c>
      <c r="R230" s="18" t="n">
        <f aca="false">IF(C230="COVERED",10.4,7.55)</f>
        <v>7.55</v>
      </c>
      <c r="S230" s="18" t="n">
        <f aca="false">Q230*R230</f>
        <v>347.3</v>
      </c>
      <c r="T230" s="13" t="s">
        <v>3441</v>
      </c>
      <c r="U230" s="14" t="n">
        <v>46235</v>
      </c>
      <c r="V230" s="13" t="n">
        <v>46</v>
      </c>
      <c r="W230" s="18" t="n">
        <v>7.55</v>
      </c>
      <c r="X230" s="18" t="n">
        <v>347.3</v>
      </c>
      <c r="Y230" s="18" t="n">
        <f aca="false">IF(ISNUMBER(X230),X230-S230,"")</f>
        <v>0</v>
      </c>
      <c r="Z230" s="18" t="n">
        <f aca="false">IF(ISNUMBER(X230),X230-S230,-S230)</f>
        <v>0</v>
      </c>
      <c r="AA230" s="13" t="str">
        <f aca="false">IF(NOT(ISNUMBER(X230)),"NO AUGUST POSTING IN EXPORT",IF(ABS(Y230)&gt;=0.005,"POSTED CHARGE MISMATCH",IF(P230&gt;0,"MATCH - COVERED ELIGIBILITY EXCEPTION","MATCH")))</f>
        <v>MATCH</v>
      </c>
      <c r="AB230" s="13" t="s">
        <v>3442</v>
      </c>
    </row>
    <row r="231" customFormat="false" ht="15" hidden="false" customHeight="false" outlineLevel="0" collapsed="false">
      <c r="A231" s="9" t="s">
        <v>3443</v>
      </c>
      <c r="B231" s="9" t="s">
        <v>155</v>
      </c>
      <c r="C231" s="9" t="s">
        <v>146</v>
      </c>
      <c r="D231" s="9" t="s">
        <v>2002</v>
      </c>
      <c r="E231" s="9" t="s">
        <v>2079</v>
      </c>
      <c r="F231" s="9" t="s">
        <v>3444</v>
      </c>
      <c r="G231" s="9" t="s">
        <v>3445</v>
      </c>
      <c r="H231" s="9" t="s">
        <v>3446</v>
      </c>
      <c r="I231" s="11" t="n">
        <v>24</v>
      </c>
      <c r="J231" s="11" t="n">
        <v>36.6</v>
      </c>
      <c r="K231" s="11"/>
      <c r="L231" s="11"/>
      <c r="M231" s="11" t="n">
        <f aca="false">IF(ISNUMBER(L231),L231,J231)</f>
        <v>36.6</v>
      </c>
      <c r="N231" s="11" t="n">
        <f aca="false">ROUNDUP(M231,0)</f>
        <v>37</v>
      </c>
      <c r="O231" s="11" t="n">
        <f aca="false">MAX(I231,N231)</f>
        <v>37</v>
      </c>
      <c r="P231" s="11" t="n">
        <f aca="false">IF(C231="COVERED",MAX(0,O231-40),0)</f>
        <v>0</v>
      </c>
      <c r="Q231" s="11" t="n">
        <f aca="false">O231</f>
        <v>37</v>
      </c>
      <c r="R231" s="17" t="n">
        <f aca="false">IF(C231="COVERED",10.4,7.55)</f>
        <v>7.55</v>
      </c>
      <c r="S231" s="17" t="n">
        <f aca="false">Q231*R231</f>
        <v>279.35</v>
      </c>
      <c r="T231" s="9" t="s">
        <v>3447</v>
      </c>
      <c r="U231" s="10" t="n">
        <v>46235</v>
      </c>
      <c r="V231" s="9" t="n">
        <v>37</v>
      </c>
      <c r="W231" s="17" t="n">
        <v>7.55</v>
      </c>
      <c r="X231" s="17" t="n">
        <v>279.35</v>
      </c>
      <c r="Y231" s="17" t="n">
        <f aca="false">IF(ISNUMBER(X231),X231-S231,"")</f>
        <v>0</v>
      </c>
      <c r="Z231" s="17" t="n">
        <f aca="false">IF(ISNUMBER(X231),X231-S231,-S231)</f>
        <v>0</v>
      </c>
      <c r="AA231" s="9" t="str">
        <f aca="false">IF(NOT(ISNUMBER(X231)),"NO AUGUST POSTING IN EXPORT",IF(ABS(Y231)&gt;=0.005,"POSTED CHARGE MISMATCH",IF(P231&gt;0,"MATCH - COVERED ELIGIBILITY EXCEPTION","MATCH")))</f>
        <v>MATCH</v>
      </c>
      <c r="AB231" s="9" t="s">
        <v>3448</v>
      </c>
    </row>
    <row r="232" customFormat="false" ht="15" hidden="false" customHeight="false" outlineLevel="0" collapsed="false">
      <c r="A232" s="13" t="s">
        <v>3449</v>
      </c>
      <c r="B232" s="13" t="s">
        <v>155</v>
      </c>
      <c r="C232" s="13" t="s">
        <v>146</v>
      </c>
      <c r="D232" s="13" t="s">
        <v>2002</v>
      </c>
      <c r="E232" s="13" t="s">
        <v>2086</v>
      </c>
      <c r="F232" s="13" t="s">
        <v>3450</v>
      </c>
      <c r="G232" s="13" t="s">
        <v>3451</v>
      </c>
      <c r="H232" s="13" t="s">
        <v>3452</v>
      </c>
      <c r="I232" s="15" t="n">
        <v>50</v>
      </c>
      <c r="J232" s="15" t="n">
        <v>26.4</v>
      </c>
      <c r="K232" s="15"/>
      <c r="L232" s="15"/>
      <c r="M232" s="15" t="n">
        <f aca="false">IF(ISNUMBER(L232),L232,J232)</f>
        <v>26.4</v>
      </c>
      <c r="N232" s="15" t="n">
        <f aca="false">ROUNDUP(M232,0)</f>
        <v>27</v>
      </c>
      <c r="O232" s="15" t="n">
        <f aca="false">MAX(I232,N232)</f>
        <v>50</v>
      </c>
      <c r="P232" s="15" t="n">
        <f aca="false">IF(C232="COVERED",MAX(0,O232-40),0)</f>
        <v>0</v>
      </c>
      <c r="Q232" s="15" t="n">
        <f aca="false">O232</f>
        <v>50</v>
      </c>
      <c r="R232" s="18" t="n">
        <f aca="false">IF(C232="COVERED",10.4,7.55)</f>
        <v>7.55</v>
      </c>
      <c r="S232" s="18" t="n">
        <f aca="false">Q232*R232</f>
        <v>377.5</v>
      </c>
      <c r="T232" s="13" t="s">
        <v>3453</v>
      </c>
      <c r="U232" s="14" t="n">
        <v>46235</v>
      </c>
      <c r="V232" s="13" t="n">
        <v>50</v>
      </c>
      <c r="W232" s="18" t="n">
        <v>7.55</v>
      </c>
      <c r="X232" s="18" t="n">
        <v>377.5</v>
      </c>
      <c r="Y232" s="18" t="n">
        <f aca="false">IF(ISNUMBER(X232),X232-S232,"")</f>
        <v>0</v>
      </c>
      <c r="Z232" s="18" t="n">
        <f aca="false">IF(ISNUMBER(X232),X232-S232,-S232)</f>
        <v>0</v>
      </c>
      <c r="AA232" s="13" t="str">
        <f aca="false">IF(NOT(ISNUMBER(X232)),"NO AUGUST POSTING IN EXPORT",IF(ABS(Y232)&gt;=0.005,"POSTED CHARGE MISMATCH",IF(P232&gt;0,"MATCH - COVERED ELIGIBILITY EXCEPTION","MATCH")))</f>
        <v>MATCH</v>
      </c>
      <c r="AB232" s="13" t="s">
        <v>3454</v>
      </c>
    </row>
    <row r="233" customFormat="false" ht="15" hidden="false" customHeight="false" outlineLevel="0" collapsed="false">
      <c r="A233" s="9" t="s">
        <v>177</v>
      </c>
      <c r="B233" s="9" t="s">
        <v>155</v>
      </c>
      <c r="C233" s="9" t="s">
        <v>146</v>
      </c>
      <c r="D233" s="9" t="s">
        <v>2002</v>
      </c>
      <c r="E233" s="9" t="s">
        <v>2093</v>
      </c>
      <c r="F233" s="9" t="s">
        <v>3455</v>
      </c>
      <c r="G233" s="9" t="s">
        <v>3456</v>
      </c>
      <c r="H233" s="9" t="s">
        <v>3457</v>
      </c>
      <c r="I233" s="11" t="n">
        <v>32</v>
      </c>
      <c r="J233" s="11" t="n">
        <v>49.4</v>
      </c>
      <c r="K233" s="11"/>
      <c r="L233" s="11"/>
      <c r="M233" s="11" t="n">
        <f aca="false">IF(ISNUMBER(L233),L233,J233)</f>
        <v>49.4</v>
      </c>
      <c r="N233" s="11" t="n">
        <f aca="false">ROUNDUP(M233,0)</f>
        <v>50</v>
      </c>
      <c r="O233" s="11" t="n">
        <f aca="false">MAX(I233,N233)</f>
        <v>50</v>
      </c>
      <c r="P233" s="11" t="n">
        <f aca="false">IF(C233="COVERED",MAX(0,O233-40),0)</f>
        <v>0</v>
      </c>
      <c r="Q233" s="11" t="n">
        <f aca="false">O233</f>
        <v>50</v>
      </c>
      <c r="R233" s="17" t="n">
        <f aca="false">IF(C233="COVERED",10.4,7.55)</f>
        <v>7.55</v>
      </c>
      <c r="S233" s="17" t="n">
        <f aca="false">Q233*R233</f>
        <v>377.5</v>
      </c>
      <c r="T233" s="9" t="s">
        <v>3458</v>
      </c>
      <c r="U233" s="10" t="n">
        <v>46235</v>
      </c>
      <c r="V233" s="9" t="n">
        <v>50</v>
      </c>
      <c r="W233" s="17" t="n">
        <v>7.55</v>
      </c>
      <c r="X233" s="17" t="n">
        <v>377.5</v>
      </c>
      <c r="Y233" s="17" t="n">
        <f aca="false">IF(ISNUMBER(X233),X233-S233,"")</f>
        <v>0</v>
      </c>
      <c r="Z233" s="17" t="n">
        <f aca="false">IF(ISNUMBER(X233),X233-S233,-S233)</f>
        <v>0</v>
      </c>
      <c r="AA233" s="9" t="str">
        <f aca="false">IF(NOT(ISNUMBER(X233)),"NO AUGUST POSTING IN EXPORT",IF(ABS(Y233)&gt;=0.005,"POSTED CHARGE MISMATCH",IF(P233&gt;0,"MATCH - COVERED ELIGIBILITY EXCEPTION","MATCH")))</f>
        <v>MATCH</v>
      </c>
      <c r="AB233" s="9" t="s">
        <v>3459</v>
      </c>
    </row>
    <row r="234" customFormat="false" ht="15" hidden="false" customHeight="false" outlineLevel="0" collapsed="false">
      <c r="A234" s="13" t="s">
        <v>3460</v>
      </c>
      <c r="B234" s="13" t="s">
        <v>155</v>
      </c>
      <c r="C234" s="13" t="s">
        <v>146</v>
      </c>
      <c r="D234" s="13" t="s">
        <v>2002</v>
      </c>
      <c r="E234" s="13" t="s">
        <v>3461</v>
      </c>
      <c r="F234" s="13" t="s">
        <v>3462</v>
      </c>
      <c r="G234" s="13" t="s">
        <v>3463</v>
      </c>
      <c r="H234" s="13" t="s">
        <v>3464</v>
      </c>
      <c r="I234" s="15" t="n">
        <v>50</v>
      </c>
      <c r="J234" s="15" t="n">
        <v>50</v>
      </c>
      <c r="K234" s="15"/>
      <c r="L234" s="15"/>
      <c r="M234" s="15" t="n">
        <f aca="false">IF(ISNUMBER(L234),L234,J234)</f>
        <v>50</v>
      </c>
      <c r="N234" s="15" t="n">
        <f aca="false">ROUNDUP(M234,0)</f>
        <v>50</v>
      </c>
      <c r="O234" s="15" t="n">
        <f aca="false">MAX(I234,N234)</f>
        <v>50</v>
      </c>
      <c r="P234" s="15" t="n">
        <f aca="false">IF(C234="COVERED",MAX(0,O234-40),0)</f>
        <v>0</v>
      </c>
      <c r="Q234" s="15" t="n">
        <f aca="false">O234</f>
        <v>50</v>
      </c>
      <c r="R234" s="18" t="n">
        <f aca="false">IF(C234="COVERED",10.4,7.55)</f>
        <v>7.55</v>
      </c>
      <c r="S234" s="18" t="n">
        <f aca="false">Q234*R234</f>
        <v>377.5</v>
      </c>
      <c r="T234" s="13" t="s">
        <v>3465</v>
      </c>
      <c r="U234" s="14" t="n">
        <v>46235</v>
      </c>
      <c r="V234" s="13" t="n">
        <v>50</v>
      </c>
      <c r="W234" s="18" t="n">
        <v>7.55</v>
      </c>
      <c r="X234" s="18" t="n">
        <v>377.5</v>
      </c>
      <c r="Y234" s="18" t="n">
        <f aca="false">IF(ISNUMBER(X234),X234-S234,"")</f>
        <v>0</v>
      </c>
      <c r="Z234" s="18" t="n">
        <f aca="false">IF(ISNUMBER(X234),X234-S234,-S234)</f>
        <v>0</v>
      </c>
      <c r="AA234" s="13" t="str">
        <f aca="false">IF(NOT(ISNUMBER(X234)),"NO AUGUST POSTING IN EXPORT",IF(ABS(Y234)&gt;=0.005,"POSTED CHARGE MISMATCH",IF(P234&gt;0,"MATCH - COVERED ELIGIBILITY EXCEPTION","MATCH")))</f>
        <v>MATCH</v>
      </c>
      <c r="AB234" s="13" t="s">
        <v>3466</v>
      </c>
    </row>
    <row r="235" customFormat="false" ht="15" hidden="false" customHeight="false" outlineLevel="0" collapsed="false">
      <c r="A235" s="9" t="s">
        <v>429</v>
      </c>
      <c r="B235" s="9" t="s">
        <v>155</v>
      </c>
      <c r="C235" s="9" t="s">
        <v>146</v>
      </c>
      <c r="D235" s="9" t="s">
        <v>2002</v>
      </c>
      <c r="E235" s="9" t="s">
        <v>2099</v>
      </c>
      <c r="F235" s="9" t="s">
        <v>3467</v>
      </c>
      <c r="G235" s="9" t="s">
        <v>3468</v>
      </c>
      <c r="H235" s="9" t="s">
        <v>2828</v>
      </c>
      <c r="I235" s="11" t="n">
        <v>60</v>
      </c>
      <c r="J235" s="11" t="n">
        <v>53.9</v>
      </c>
      <c r="K235" s="11"/>
      <c r="L235" s="11"/>
      <c r="M235" s="11" t="n">
        <f aca="false">IF(ISNUMBER(L235),L235,J235)</f>
        <v>53.9</v>
      </c>
      <c r="N235" s="11" t="n">
        <f aca="false">ROUNDUP(M235,0)</f>
        <v>54</v>
      </c>
      <c r="O235" s="11" t="n">
        <f aca="false">MAX(I235,N235)</f>
        <v>60</v>
      </c>
      <c r="P235" s="11" t="n">
        <f aca="false">IF(C235="COVERED",MAX(0,O235-40),0)</f>
        <v>0</v>
      </c>
      <c r="Q235" s="11" t="n">
        <f aca="false">O235</f>
        <v>60</v>
      </c>
      <c r="R235" s="17" t="n">
        <f aca="false">IF(C235="COVERED",10.4,7.55)</f>
        <v>7.55</v>
      </c>
      <c r="S235" s="17" t="n">
        <f aca="false">Q235*R235</f>
        <v>453</v>
      </c>
      <c r="T235" s="9" t="s">
        <v>3469</v>
      </c>
      <c r="U235" s="10" t="n">
        <v>46235</v>
      </c>
      <c r="V235" s="9" t="n">
        <v>60</v>
      </c>
      <c r="W235" s="17" t="n">
        <v>7.55</v>
      </c>
      <c r="X235" s="17" t="n">
        <v>453</v>
      </c>
      <c r="Y235" s="17" t="n">
        <f aca="false">IF(ISNUMBER(X235),X235-S235,"")</f>
        <v>0</v>
      </c>
      <c r="Z235" s="17" t="n">
        <f aca="false">IF(ISNUMBER(X235),X235-S235,-S235)</f>
        <v>0</v>
      </c>
      <c r="AA235" s="9" t="str">
        <f aca="false">IF(NOT(ISNUMBER(X235)),"NO AUGUST POSTING IN EXPORT",IF(ABS(Y235)&gt;=0.005,"POSTED CHARGE MISMATCH",IF(P235&gt;0,"MATCH - COVERED ELIGIBILITY EXCEPTION","MATCH")))</f>
        <v>MATCH</v>
      </c>
      <c r="AB235" s="9" t="s">
        <v>3470</v>
      </c>
    </row>
    <row r="236" customFormat="false" ht="15" hidden="false" customHeight="false" outlineLevel="0" collapsed="false">
      <c r="A236" s="13" t="s">
        <v>3471</v>
      </c>
      <c r="B236" s="13" t="s">
        <v>155</v>
      </c>
      <c r="C236" s="13" t="s">
        <v>146</v>
      </c>
      <c r="D236" s="13" t="s">
        <v>2002</v>
      </c>
      <c r="E236" s="13" t="s">
        <v>2104</v>
      </c>
      <c r="F236" s="13" t="s">
        <v>3472</v>
      </c>
      <c r="G236" s="13" t="s">
        <v>3473</v>
      </c>
      <c r="H236" s="13" t="s">
        <v>2155</v>
      </c>
      <c r="I236" s="15" t="n">
        <v>28</v>
      </c>
      <c r="J236" s="15" t="n">
        <v>37.9</v>
      </c>
      <c r="K236" s="15"/>
      <c r="L236" s="15"/>
      <c r="M236" s="15" t="n">
        <f aca="false">IF(ISNUMBER(L236),L236,J236)</f>
        <v>37.9</v>
      </c>
      <c r="N236" s="15" t="n">
        <f aca="false">ROUNDUP(M236,0)</f>
        <v>38</v>
      </c>
      <c r="O236" s="15" t="n">
        <f aca="false">MAX(I236,N236)</f>
        <v>38</v>
      </c>
      <c r="P236" s="15" t="n">
        <f aca="false">IF(C236="COVERED",MAX(0,O236-40),0)</f>
        <v>0</v>
      </c>
      <c r="Q236" s="15" t="n">
        <f aca="false">O236</f>
        <v>38</v>
      </c>
      <c r="R236" s="18" t="n">
        <f aca="false">IF(C236="COVERED",10.4,7.55)</f>
        <v>7.55</v>
      </c>
      <c r="S236" s="18" t="n">
        <f aca="false">Q236*R236</f>
        <v>286.9</v>
      </c>
      <c r="T236" s="13" t="s">
        <v>3474</v>
      </c>
      <c r="U236" s="14" t="n">
        <v>46235</v>
      </c>
      <c r="V236" s="13" t="n">
        <v>38</v>
      </c>
      <c r="W236" s="18" t="n">
        <v>7.55</v>
      </c>
      <c r="X236" s="18" t="n">
        <v>286.9</v>
      </c>
      <c r="Y236" s="18" t="n">
        <f aca="false">IF(ISNUMBER(X236),X236-S236,"")</f>
        <v>0</v>
      </c>
      <c r="Z236" s="18" t="n">
        <f aca="false">IF(ISNUMBER(X236),X236-S236,-S236)</f>
        <v>0</v>
      </c>
      <c r="AA236" s="13" t="str">
        <f aca="false">IF(NOT(ISNUMBER(X236)),"NO AUGUST POSTING IN EXPORT",IF(ABS(Y236)&gt;=0.005,"POSTED CHARGE MISMATCH",IF(P236&gt;0,"MATCH - COVERED ELIGIBILITY EXCEPTION","MATCH")))</f>
        <v>MATCH</v>
      </c>
      <c r="AB236" s="13" t="s">
        <v>3475</v>
      </c>
    </row>
    <row r="237" customFormat="false" ht="15" hidden="false" customHeight="false" outlineLevel="0" collapsed="false">
      <c r="A237" s="9" t="s">
        <v>3476</v>
      </c>
      <c r="B237" s="9" t="s">
        <v>155</v>
      </c>
      <c r="C237" s="9" t="s">
        <v>146</v>
      </c>
      <c r="D237" s="9" t="s">
        <v>2002</v>
      </c>
      <c r="E237" s="9" t="s">
        <v>2109</v>
      </c>
      <c r="F237" s="9" t="s">
        <v>3477</v>
      </c>
      <c r="G237" s="9" t="s">
        <v>3478</v>
      </c>
      <c r="H237" s="9" t="s">
        <v>3479</v>
      </c>
      <c r="I237" s="11" t="n">
        <v>32</v>
      </c>
      <c r="J237" s="11" t="n">
        <v>49.8</v>
      </c>
      <c r="K237" s="11"/>
      <c r="L237" s="11"/>
      <c r="M237" s="11" t="n">
        <f aca="false">IF(ISNUMBER(L237),L237,J237)</f>
        <v>49.8</v>
      </c>
      <c r="N237" s="11" t="n">
        <f aca="false">ROUNDUP(M237,0)</f>
        <v>50</v>
      </c>
      <c r="O237" s="11" t="n">
        <f aca="false">MAX(I237,N237)</f>
        <v>50</v>
      </c>
      <c r="P237" s="11" t="n">
        <f aca="false">IF(C237="COVERED",MAX(0,O237-40),0)</f>
        <v>0</v>
      </c>
      <c r="Q237" s="11" t="n">
        <f aca="false">O237</f>
        <v>50</v>
      </c>
      <c r="R237" s="17" t="n">
        <f aca="false">IF(C237="COVERED",10.4,7.55)</f>
        <v>7.55</v>
      </c>
      <c r="S237" s="17" t="n">
        <f aca="false">Q237*R237</f>
        <v>377.5</v>
      </c>
      <c r="T237" s="9" t="s">
        <v>3480</v>
      </c>
      <c r="U237" s="10" t="n">
        <v>46235</v>
      </c>
      <c r="V237" s="9" t="n">
        <v>50</v>
      </c>
      <c r="W237" s="17" t="n">
        <v>7.55</v>
      </c>
      <c r="X237" s="17" t="n">
        <v>377.5</v>
      </c>
      <c r="Y237" s="17" t="n">
        <f aca="false">IF(ISNUMBER(X237),X237-S237,"")</f>
        <v>0</v>
      </c>
      <c r="Z237" s="17" t="n">
        <f aca="false">IF(ISNUMBER(X237),X237-S237,-S237)</f>
        <v>0</v>
      </c>
      <c r="AA237" s="9" t="str">
        <f aca="false">IF(NOT(ISNUMBER(X237)),"NO AUGUST POSTING IN EXPORT",IF(ABS(Y237)&gt;=0.005,"POSTED CHARGE MISMATCH",IF(P237&gt;0,"MATCH - COVERED ELIGIBILITY EXCEPTION","MATCH")))</f>
        <v>MATCH</v>
      </c>
      <c r="AB237" s="9" t="s">
        <v>3481</v>
      </c>
    </row>
    <row r="238" customFormat="false" ht="15" hidden="false" customHeight="false" outlineLevel="0" collapsed="false">
      <c r="A238" s="13" t="s">
        <v>3482</v>
      </c>
      <c r="B238" s="13" t="s">
        <v>155</v>
      </c>
      <c r="C238" s="13" t="s">
        <v>146</v>
      </c>
      <c r="D238" s="13" t="s">
        <v>2002</v>
      </c>
      <c r="E238" s="13" t="s">
        <v>2116</v>
      </c>
      <c r="F238" s="13" t="s">
        <v>3483</v>
      </c>
      <c r="G238" s="13" t="s">
        <v>3484</v>
      </c>
      <c r="H238" s="13" t="s">
        <v>2918</v>
      </c>
      <c r="I238" s="15" t="n">
        <v>32</v>
      </c>
      <c r="J238" s="15" t="n">
        <v>40.7</v>
      </c>
      <c r="K238" s="15"/>
      <c r="L238" s="15"/>
      <c r="M238" s="15" t="n">
        <f aca="false">IF(ISNUMBER(L238),L238,J238)</f>
        <v>40.7</v>
      </c>
      <c r="N238" s="15" t="n">
        <f aca="false">ROUNDUP(M238,0)</f>
        <v>41</v>
      </c>
      <c r="O238" s="15" t="n">
        <f aca="false">MAX(I238,N238)</f>
        <v>41</v>
      </c>
      <c r="P238" s="15" t="n">
        <f aca="false">IF(C238="COVERED",MAX(0,O238-40),0)</f>
        <v>0</v>
      </c>
      <c r="Q238" s="15" t="n">
        <f aca="false">O238</f>
        <v>41</v>
      </c>
      <c r="R238" s="18" t="n">
        <f aca="false">IF(C238="COVERED",10.4,7.55)</f>
        <v>7.55</v>
      </c>
      <c r="S238" s="18" t="n">
        <f aca="false">Q238*R238</f>
        <v>309.55</v>
      </c>
      <c r="T238" s="13" t="s">
        <v>3485</v>
      </c>
      <c r="U238" s="14" t="n">
        <v>46235</v>
      </c>
      <c r="V238" s="13" t="n">
        <v>41</v>
      </c>
      <c r="W238" s="18" t="n">
        <v>7.55</v>
      </c>
      <c r="X238" s="18" t="n">
        <v>309.55</v>
      </c>
      <c r="Y238" s="18" t="n">
        <f aca="false">IF(ISNUMBER(X238),X238-S238,"")</f>
        <v>0</v>
      </c>
      <c r="Z238" s="18" t="n">
        <f aca="false">IF(ISNUMBER(X238),X238-S238,-S238)</f>
        <v>0</v>
      </c>
      <c r="AA238" s="13" t="str">
        <f aca="false">IF(NOT(ISNUMBER(X238)),"NO AUGUST POSTING IN EXPORT",IF(ABS(Y238)&gt;=0.005,"POSTED CHARGE MISMATCH",IF(P238&gt;0,"MATCH - COVERED ELIGIBILITY EXCEPTION","MATCH")))</f>
        <v>MATCH</v>
      </c>
      <c r="AB238" s="13" t="s">
        <v>3486</v>
      </c>
    </row>
    <row r="239" customFormat="false" ht="15" hidden="false" customHeight="false" outlineLevel="0" collapsed="false">
      <c r="A239" s="9" t="s">
        <v>3487</v>
      </c>
      <c r="B239" s="9" t="s">
        <v>155</v>
      </c>
      <c r="C239" s="9" t="s">
        <v>146</v>
      </c>
      <c r="D239" s="9" t="s">
        <v>2002</v>
      </c>
      <c r="E239" s="9" t="s">
        <v>2123</v>
      </c>
      <c r="F239" s="9" t="s">
        <v>3488</v>
      </c>
      <c r="G239" s="9" t="s">
        <v>3489</v>
      </c>
      <c r="H239" s="9" t="s">
        <v>3490</v>
      </c>
      <c r="I239" s="11" t="n">
        <v>32</v>
      </c>
      <c r="J239" s="11" t="n">
        <v>26.5</v>
      </c>
      <c r="K239" s="11"/>
      <c r="L239" s="11"/>
      <c r="M239" s="11" t="n">
        <f aca="false">IF(ISNUMBER(L239),L239,J239)</f>
        <v>26.5</v>
      </c>
      <c r="N239" s="11" t="n">
        <f aca="false">ROUNDUP(M239,0)</f>
        <v>27</v>
      </c>
      <c r="O239" s="11" t="n">
        <f aca="false">MAX(I239,N239)</f>
        <v>32</v>
      </c>
      <c r="P239" s="11" t="n">
        <f aca="false">IF(C239="COVERED",MAX(0,O239-40),0)</f>
        <v>0</v>
      </c>
      <c r="Q239" s="11" t="n">
        <f aca="false">O239</f>
        <v>32</v>
      </c>
      <c r="R239" s="17" t="n">
        <f aca="false">IF(C239="COVERED",10.4,7.55)</f>
        <v>7.55</v>
      </c>
      <c r="S239" s="17" t="n">
        <f aca="false">Q239*R239</f>
        <v>241.6</v>
      </c>
      <c r="T239" s="9" t="s">
        <v>3491</v>
      </c>
      <c r="U239" s="10" t="n">
        <v>46235</v>
      </c>
      <c r="V239" s="9" t="n">
        <v>32</v>
      </c>
      <c r="W239" s="17" t="n">
        <v>7.55</v>
      </c>
      <c r="X239" s="17" t="n">
        <v>241.6</v>
      </c>
      <c r="Y239" s="17" t="n">
        <f aca="false">IF(ISNUMBER(X239),X239-S239,"")</f>
        <v>0</v>
      </c>
      <c r="Z239" s="17" t="n">
        <f aca="false">IF(ISNUMBER(X239),X239-S239,-S239)</f>
        <v>0</v>
      </c>
      <c r="AA239" s="9" t="str">
        <f aca="false">IF(NOT(ISNUMBER(X239)),"NO AUGUST POSTING IN EXPORT",IF(ABS(Y239)&gt;=0.005,"POSTED CHARGE MISMATCH",IF(P239&gt;0,"MATCH - COVERED ELIGIBILITY EXCEPTION","MATCH")))</f>
        <v>MATCH</v>
      </c>
      <c r="AB239" s="9" t="s">
        <v>3492</v>
      </c>
    </row>
    <row r="240" customFormat="false" ht="15" hidden="false" customHeight="false" outlineLevel="0" collapsed="false">
      <c r="A240" s="13" t="s">
        <v>972</v>
      </c>
      <c r="B240" s="13" t="s">
        <v>155</v>
      </c>
      <c r="C240" s="13" t="s">
        <v>146</v>
      </c>
      <c r="D240" s="13" t="s">
        <v>2002</v>
      </c>
      <c r="E240" s="13" t="s">
        <v>2128</v>
      </c>
      <c r="F240" s="13" t="s">
        <v>3493</v>
      </c>
      <c r="G240" s="13" t="s">
        <v>3494</v>
      </c>
      <c r="H240" s="13" t="s">
        <v>3495</v>
      </c>
      <c r="I240" s="15" t="n">
        <v>80</v>
      </c>
      <c r="J240" s="15" t="n">
        <v>40.2</v>
      </c>
      <c r="K240" s="15"/>
      <c r="L240" s="15"/>
      <c r="M240" s="15" t="n">
        <f aca="false">IF(ISNUMBER(L240),L240,J240)</f>
        <v>40.2</v>
      </c>
      <c r="N240" s="15" t="n">
        <f aca="false">ROUNDUP(M240,0)</f>
        <v>41</v>
      </c>
      <c r="O240" s="15" t="n">
        <f aca="false">MAX(I240,N240)</f>
        <v>80</v>
      </c>
      <c r="P240" s="15" t="n">
        <f aca="false">IF(C240="COVERED",MAX(0,O240-40),0)</f>
        <v>0</v>
      </c>
      <c r="Q240" s="15" t="n">
        <f aca="false">O240</f>
        <v>80</v>
      </c>
      <c r="R240" s="18" t="n">
        <f aca="false">IF(C240="COVERED",10.4,7.55)</f>
        <v>7.55</v>
      </c>
      <c r="S240" s="18" t="n">
        <f aca="false">Q240*R240</f>
        <v>604</v>
      </c>
      <c r="T240" s="13" t="s">
        <v>3496</v>
      </c>
      <c r="U240" s="14" t="n">
        <v>46235</v>
      </c>
      <c r="V240" s="13" t="n">
        <v>80</v>
      </c>
      <c r="W240" s="18" t="n">
        <v>7.55</v>
      </c>
      <c r="X240" s="18" t="n">
        <v>604</v>
      </c>
      <c r="Y240" s="18" t="n">
        <f aca="false">IF(ISNUMBER(X240),X240-S240,"")</f>
        <v>0</v>
      </c>
      <c r="Z240" s="18" t="n">
        <f aca="false">IF(ISNUMBER(X240),X240-S240,-S240)</f>
        <v>0</v>
      </c>
      <c r="AA240" s="13" t="str">
        <f aca="false">IF(NOT(ISNUMBER(X240)),"NO AUGUST POSTING IN EXPORT",IF(ABS(Y240)&gt;=0.005,"POSTED CHARGE MISMATCH",IF(P240&gt;0,"MATCH - COVERED ELIGIBILITY EXCEPTION","MATCH")))</f>
        <v>MATCH</v>
      </c>
      <c r="AB240" s="13" t="s">
        <v>3497</v>
      </c>
    </row>
    <row r="241" customFormat="false" ht="15" hidden="false" customHeight="false" outlineLevel="0" collapsed="false">
      <c r="A241" s="9" t="s">
        <v>1125</v>
      </c>
      <c r="B241" s="9" t="s">
        <v>155</v>
      </c>
      <c r="C241" s="9" t="s">
        <v>146</v>
      </c>
      <c r="D241" s="9" t="s">
        <v>2002</v>
      </c>
      <c r="E241" s="9" t="s">
        <v>2141</v>
      </c>
      <c r="F241" s="9" t="s">
        <v>3498</v>
      </c>
      <c r="G241" s="9" t="s">
        <v>3499</v>
      </c>
      <c r="H241" s="9" t="s">
        <v>3500</v>
      </c>
      <c r="I241" s="11" t="n">
        <v>32</v>
      </c>
      <c r="J241" s="11" t="n">
        <v>36.5</v>
      </c>
      <c r="K241" s="11"/>
      <c r="L241" s="11"/>
      <c r="M241" s="11" t="n">
        <f aca="false">IF(ISNUMBER(L241),L241,J241)</f>
        <v>36.5</v>
      </c>
      <c r="N241" s="11" t="n">
        <f aca="false">ROUNDUP(M241,0)</f>
        <v>37</v>
      </c>
      <c r="O241" s="11" t="n">
        <f aca="false">MAX(I241,N241)</f>
        <v>37</v>
      </c>
      <c r="P241" s="11" t="n">
        <f aca="false">IF(C241="COVERED",MAX(0,O241-40),0)</f>
        <v>0</v>
      </c>
      <c r="Q241" s="11" t="n">
        <f aca="false">O241</f>
        <v>37</v>
      </c>
      <c r="R241" s="17" t="n">
        <f aca="false">IF(C241="COVERED",10.4,7.55)</f>
        <v>7.55</v>
      </c>
      <c r="S241" s="17" t="n">
        <f aca="false">Q241*R241</f>
        <v>279.35</v>
      </c>
      <c r="T241" s="9" t="s">
        <v>3501</v>
      </c>
      <c r="U241" s="10" t="n">
        <v>46235</v>
      </c>
      <c r="V241" s="9" t="n">
        <v>37</v>
      </c>
      <c r="W241" s="17" t="n">
        <v>7.55</v>
      </c>
      <c r="X241" s="17" t="n">
        <v>279.35</v>
      </c>
      <c r="Y241" s="17" t="n">
        <f aca="false">IF(ISNUMBER(X241),X241-S241,"")</f>
        <v>0</v>
      </c>
      <c r="Z241" s="17" t="n">
        <f aca="false">IF(ISNUMBER(X241),X241-S241,-S241)</f>
        <v>0</v>
      </c>
      <c r="AA241" s="9" t="str">
        <f aca="false">IF(NOT(ISNUMBER(X241)),"NO AUGUST POSTING IN EXPORT",IF(ABS(Y241)&gt;=0.005,"POSTED CHARGE MISMATCH",IF(P241&gt;0,"MATCH - COVERED ELIGIBILITY EXCEPTION","MATCH")))</f>
        <v>MATCH</v>
      </c>
      <c r="AB241" s="9" t="s">
        <v>3502</v>
      </c>
    </row>
    <row r="242" customFormat="false" ht="15" hidden="false" customHeight="false" outlineLevel="0" collapsed="false">
      <c r="A242" s="13" t="s">
        <v>3503</v>
      </c>
      <c r="B242" s="13" t="s">
        <v>155</v>
      </c>
      <c r="C242" s="13" t="s">
        <v>146</v>
      </c>
      <c r="D242" s="13" t="s">
        <v>2002</v>
      </c>
      <c r="E242" s="13" t="s">
        <v>2148</v>
      </c>
      <c r="F242" s="13" t="s">
        <v>3504</v>
      </c>
      <c r="G242" s="13" t="s">
        <v>3505</v>
      </c>
      <c r="H242" s="13" t="s">
        <v>3506</v>
      </c>
      <c r="I242" s="15" t="n">
        <v>80</v>
      </c>
      <c r="J242" s="15" t="n">
        <v>58.2</v>
      </c>
      <c r="K242" s="15"/>
      <c r="L242" s="15"/>
      <c r="M242" s="15" t="n">
        <f aca="false">IF(ISNUMBER(L242),L242,J242)</f>
        <v>58.2</v>
      </c>
      <c r="N242" s="15" t="n">
        <f aca="false">ROUNDUP(M242,0)</f>
        <v>59</v>
      </c>
      <c r="O242" s="15" t="n">
        <f aca="false">MAX(I242,N242)</f>
        <v>80</v>
      </c>
      <c r="P242" s="15" t="n">
        <f aca="false">IF(C242="COVERED",MAX(0,O242-40),0)</f>
        <v>0</v>
      </c>
      <c r="Q242" s="15" t="n">
        <f aca="false">O242</f>
        <v>80</v>
      </c>
      <c r="R242" s="18" t="n">
        <f aca="false">IF(C242="COVERED",10.4,7.55)</f>
        <v>7.55</v>
      </c>
      <c r="S242" s="18" t="n">
        <f aca="false">Q242*R242</f>
        <v>604</v>
      </c>
      <c r="T242" s="13" t="s">
        <v>3507</v>
      </c>
      <c r="U242" s="14" t="n">
        <v>46235</v>
      </c>
      <c r="V242" s="13" t="n">
        <v>80</v>
      </c>
      <c r="W242" s="18" t="n">
        <v>7.55</v>
      </c>
      <c r="X242" s="18" t="n">
        <v>604</v>
      </c>
      <c r="Y242" s="18" t="n">
        <f aca="false">IF(ISNUMBER(X242),X242-S242,"")</f>
        <v>0</v>
      </c>
      <c r="Z242" s="18" t="n">
        <f aca="false">IF(ISNUMBER(X242),X242-S242,-S242)</f>
        <v>0</v>
      </c>
      <c r="AA242" s="13" t="str">
        <f aca="false">IF(NOT(ISNUMBER(X242)),"NO AUGUST POSTING IN EXPORT",IF(ABS(Y242)&gt;=0.005,"POSTED CHARGE MISMATCH",IF(P242&gt;0,"MATCH - COVERED ELIGIBILITY EXCEPTION","MATCH")))</f>
        <v>MATCH</v>
      </c>
      <c r="AB242" s="13" t="s">
        <v>3508</v>
      </c>
    </row>
    <row r="243" customFormat="false" ht="15" hidden="false" customHeight="false" outlineLevel="0" collapsed="false">
      <c r="A243" s="9" t="s">
        <v>3509</v>
      </c>
      <c r="B243" s="9" t="s">
        <v>155</v>
      </c>
      <c r="C243" s="9" t="s">
        <v>146</v>
      </c>
      <c r="D243" s="9" t="s">
        <v>2002</v>
      </c>
      <c r="E243" s="9" t="s">
        <v>2159</v>
      </c>
      <c r="F243" s="9" t="s">
        <v>3510</v>
      </c>
      <c r="G243" s="9" t="s">
        <v>3511</v>
      </c>
      <c r="H243" s="9" t="s">
        <v>3512</v>
      </c>
      <c r="I243" s="11" t="n">
        <v>32</v>
      </c>
      <c r="J243" s="11" t="n">
        <v>25.1</v>
      </c>
      <c r="K243" s="11"/>
      <c r="L243" s="11"/>
      <c r="M243" s="11" t="n">
        <f aca="false">IF(ISNUMBER(L243),L243,J243)</f>
        <v>25.1</v>
      </c>
      <c r="N243" s="11" t="n">
        <f aca="false">ROUNDUP(M243,0)</f>
        <v>26</v>
      </c>
      <c r="O243" s="11" t="n">
        <f aca="false">MAX(I243,N243)</f>
        <v>32</v>
      </c>
      <c r="P243" s="11" t="n">
        <f aca="false">IF(C243="COVERED",MAX(0,O243-40),0)</f>
        <v>0</v>
      </c>
      <c r="Q243" s="11" t="n">
        <f aca="false">O243</f>
        <v>32</v>
      </c>
      <c r="R243" s="17" t="n">
        <f aca="false">IF(C243="COVERED",10.4,7.55)</f>
        <v>7.55</v>
      </c>
      <c r="S243" s="17" t="n">
        <f aca="false">Q243*R243</f>
        <v>241.6</v>
      </c>
      <c r="T243" s="9" t="s">
        <v>3513</v>
      </c>
      <c r="U243" s="10" t="n">
        <v>46235</v>
      </c>
      <c r="V243" s="9" t="n">
        <v>32</v>
      </c>
      <c r="W243" s="17" t="n">
        <v>7.55</v>
      </c>
      <c r="X243" s="17" t="n">
        <v>241.6</v>
      </c>
      <c r="Y243" s="17" t="n">
        <f aca="false">IF(ISNUMBER(X243),X243-S243,"")</f>
        <v>0</v>
      </c>
      <c r="Z243" s="17" t="n">
        <f aca="false">IF(ISNUMBER(X243),X243-S243,-S243)</f>
        <v>0</v>
      </c>
      <c r="AA243" s="9" t="str">
        <f aca="false">IF(NOT(ISNUMBER(X243)),"NO AUGUST POSTING IN EXPORT",IF(ABS(Y243)&gt;=0.005,"POSTED CHARGE MISMATCH",IF(P243&gt;0,"MATCH - COVERED ELIGIBILITY EXCEPTION","MATCH")))</f>
        <v>MATCH</v>
      </c>
      <c r="AB243" s="9" t="s">
        <v>3514</v>
      </c>
    </row>
    <row r="244" customFormat="false" ht="15" hidden="false" customHeight="false" outlineLevel="0" collapsed="false">
      <c r="A244" s="13" t="s">
        <v>3515</v>
      </c>
      <c r="B244" s="13" t="s">
        <v>155</v>
      </c>
      <c r="C244" s="13" t="s">
        <v>146</v>
      </c>
      <c r="D244" s="13" t="s">
        <v>2002</v>
      </c>
      <c r="E244" s="13" t="s">
        <v>3516</v>
      </c>
      <c r="F244" s="13" t="s">
        <v>3517</v>
      </c>
      <c r="G244" s="13" t="s">
        <v>3518</v>
      </c>
      <c r="H244" s="13" t="s">
        <v>3043</v>
      </c>
      <c r="I244" s="15" t="n">
        <v>50</v>
      </c>
      <c r="J244" s="15" t="n">
        <v>43.1</v>
      </c>
      <c r="K244" s="15"/>
      <c r="L244" s="15"/>
      <c r="M244" s="15" t="n">
        <f aca="false">IF(ISNUMBER(L244),L244,J244)</f>
        <v>43.1</v>
      </c>
      <c r="N244" s="15" t="n">
        <f aca="false">ROUNDUP(M244,0)</f>
        <v>44</v>
      </c>
      <c r="O244" s="15" t="n">
        <f aca="false">MAX(I244,N244)</f>
        <v>50</v>
      </c>
      <c r="P244" s="15" t="n">
        <f aca="false">IF(C244="COVERED",MAX(0,O244-40),0)</f>
        <v>0</v>
      </c>
      <c r="Q244" s="15" t="n">
        <f aca="false">O244</f>
        <v>50</v>
      </c>
      <c r="R244" s="18" t="n">
        <f aca="false">IF(C244="COVERED",10.4,7.55)</f>
        <v>7.55</v>
      </c>
      <c r="S244" s="18" t="n">
        <f aca="false">Q244*R244</f>
        <v>377.5</v>
      </c>
      <c r="T244" s="13" t="s">
        <v>3519</v>
      </c>
      <c r="U244" s="14" t="n">
        <v>46235</v>
      </c>
      <c r="V244" s="13" t="n">
        <v>50</v>
      </c>
      <c r="W244" s="18" t="n">
        <v>7.55</v>
      </c>
      <c r="X244" s="18" t="n">
        <v>377.5</v>
      </c>
      <c r="Y244" s="18" t="n">
        <f aca="false">IF(ISNUMBER(X244),X244-S244,"")</f>
        <v>0</v>
      </c>
      <c r="Z244" s="18" t="n">
        <f aca="false">IF(ISNUMBER(X244),X244-S244,-S244)</f>
        <v>0</v>
      </c>
      <c r="AA244" s="13" t="str">
        <f aca="false">IF(NOT(ISNUMBER(X244)),"NO AUGUST POSTING IN EXPORT",IF(ABS(Y244)&gt;=0.005,"POSTED CHARGE MISMATCH",IF(P244&gt;0,"MATCH - COVERED ELIGIBILITY EXCEPTION","MATCH")))</f>
        <v>MATCH</v>
      </c>
      <c r="AB244" s="13" t="s">
        <v>3520</v>
      </c>
    </row>
    <row r="245" customFormat="false" ht="15" hidden="false" customHeight="false" outlineLevel="0" collapsed="false">
      <c r="A245" s="9" t="s">
        <v>947</v>
      </c>
      <c r="B245" s="9" t="s">
        <v>155</v>
      </c>
      <c r="C245" s="9" t="s">
        <v>146</v>
      </c>
      <c r="D245" s="9" t="s">
        <v>2002</v>
      </c>
      <c r="E245" s="9" t="s">
        <v>2166</v>
      </c>
      <c r="F245" s="9" t="s">
        <v>3521</v>
      </c>
      <c r="G245" s="9" t="s">
        <v>3522</v>
      </c>
      <c r="H245" s="9" t="s">
        <v>3523</v>
      </c>
      <c r="I245" s="11" t="n">
        <v>24</v>
      </c>
      <c r="J245" s="11" t="n">
        <v>55.9</v>
      </c>
      <c r="K245" s="11"/>
      <c r="L245" s="11"/>
      <c r="M245" s="11" t="n">
        <f aca="false">IF(ISNUMBER(L245),L245,J245)</f>
        <v>55.9</v>
      </c>
      <c r="N245" s="11" t="n">
        <f aca="false">ROUNDUP(M245,0)</f>
        <v>56</v>
      </c>
      <c r="O245" s="11" t="n">
        <f aca="false">MAX(I245,N245)</f>
        <v>56</v>
      </c>
      <c r="P245" s="11" t="n">
        <f aca="false">IF(C245="COVERED",MAX(0,O245-40),0)</f>
        <v>0</v>
      </c>
      <c r="Q245" s="11" t="n">
        <f aca="false">O245</f>
        <v>56</v>
      </c>
      <c r="R245" s="17" t="n">
        <f aca="false">IF(C245="COVERED",10.4,7.55)</f>
        <v>7.55</v>
      </c>
      <c r="S245" s="17" t="n">
        <f aca="false">Q245*R245</f>
        <v>422.8</v>
      </c>
      <c r="T245" s="9" t="s">
        <v>3524</v>
      </c>
      <c r="U245" s="10" t="n">
        <v>46235</v>
      </c>
      <c r="V245" s="9" t="n">
        <v>56</v>
      </c>
      <c r="W245" s="17" t="n">
        <v>7.55</v>
      </c>
      <c r="X245" s="17" t="n">
        <v>422.8</v>
      </c>
      <c r="Y245" s="17" t="n">
        <f aca="false">IF(ISNUMBER(X245),X245-S245,"")</f>
        <v>0</v>
      </c>
      <c r="Z245" s="17" t="n">
        <f aca="false">IF(ISNUMBER(X245),X245-S245,-S245)</f>
        <v>0</v>
      </c>
      <c r="AA245" s="9" t="str">
        <f aca="false">IF(NOT(ISNUMBER(X245)),"NO AUGUST POSTING IN EXPORT",IF(ABS(Y245)&gt;=0.005,"POSTED CHARGE MISMATCH",IF(P245&gt;0,"MATCH - COVERED ELIGIBILITY EXCEPTION","MATCH")))</f>
        <v>MATCH</v>
      </c>
      <c r="AB245" s="9" t="s">
        <v>3525</v>
      </c>
    </row>
    <row r="246" customFormat="false" ht="15" hidden="false" customHeight="false" outlineLevel="0" collapsed="false">
      <c r="A246" s="13" t="s">
        <v>3526</v>
      </c>
      <c r="B246" s="13" t="s">
        <v>155</v>
      </c>
      <c r="C246" s="13" t="s">
        <v>146</v>
      </c>
      <c r="D246" s="13" t="s">
        <v>2002</v>
      </c>
      <c r="E246" s="13" t="s">
        <v>2173</v>
      </c>
      <c r="F246" s="13" t="s">
        <v>3527</v>
      </c>
      <c r="G246" s="13" t="s">
        <v>3528</v>
      </c>
      <c r="H246" s="13" t="s">
        <v>3523</v>
      </c>
      <c r="I246" s="15" t="n">
        <v>24</v>
      </c>
      <c r="J246" s="15" t="n">
        <v>52.2</v>
      </c>
      <c r="K246" s="15"/>
      <c r="L246" s="15"/>
      <c r="M246" s="15" t="n">
        <f aca="false">IF(ISNUMBER(L246),L246,J246)</f>
        <v>52.2</v>
      </c>
      <c r="N246" s="15" t="n">
        <f aca="false">ROUNDUP(M246,0)</f>
        <v>53</v>
      </c>
      <c r="O246" s="15" t="n">
        <f aca="false">MAX(I246,N246)</f>
        <v>53</v>
      </c>
      <c r="P246" s="15" t="n">
        <f aca="false">IF(C246="COVERED",MAX(0,O246-40),0)</f>
        <v>0</v>
      </c>
      <c r="Q246" s="15" t="n">
        <f aca="false">O246</f>
        <v>53</v>
      </c>
      <c r="R246" s="18" t="n">
        <f aca="false">IF(C246="COVERED",10.4,7.55)</f>
        <v>7.55</v>
      </c>
      <c r="S246" s="18" t="n">
        <f aca="false">Q246*R246</f>
        <v>400.15</v>
      </c>
      <c r="T246" s="13" t="s">
        <v>3529</v>
      </c>
      <c r="U246" s="14" t="n">
        <v>46235</v>
      </c>
      <c r="V246" s="13" t="n">
        <v>53</v>
      </c>
      <c r="W246" s="18" t="n">
        <v>7.55</v>
      </c>
      <c r="X246" s="18" t="n">
        <v>400.15</v>
      </c>
      <c r="Y246" s="18" t="n">
        <f aca="false">IF(ISNUMBER(X246),X246-S246,"")</f>
        <v>0</v>
      </c>
      <c r="Z246" s="18" t="n">
        <f aca="false">IF(ISNUMBER(X246),X246-S246,-S246)</f>
        <v>0</v>
      </c>
      <c r="AA246" s="13" t="str">
        <f aca="false">IF(NOT(ISNUMBER(X246)),"NO AUGUST POSTING IN EXPORT",IF(ABS(Y246)&gt;=0.005,"POSTED CHARGE MISMATCH",IF(P246&gt;0,"MATCH - COVERED ELIGIBILITY EXCEPTION","MATCH")))</f>
        <v>MATCH</v>
      </c>
      <c r="AB246" s="13" t="s">
        <v>3530</v>
      </c>
    </row>
    <row r="247" customFormat="false" ht="15" hidden="false" customHeight="false" outlineLevel="0" collapsed="false">
      <c r="A247" s="9" t="s">
        <v>3531</v>
      </c>
      <c r="B247" s="9" t="s">
        <v>155</v>
      </c>
      <c r="C247" s="9" t="s">
        <v>146</v>
      </c>
      <c r="D247" s="9" t="s">
        <v>2002</v>
      </c>
      <c r="E247" s="9" t="s">
        <v>2180</v>
      </c>
      <c r="F247" s="9" t="s">
        <v>3532</v>
      </c>
      <c r="G247" s="9" t="s">
        <v>3533</v>
      </c>
      <c r="H247" s="9" t="s">
        <v>3534</v>
      </c>
      <c r="I247" s="11" t="n">
        <v>24</v>
      </c>
      <c r="J247" s="11" t="n">
        <v>57.6</v>
      </c>
      <c r="K247" s="11"/>
      <c r="L247" s="11"/>
      <c r="M247" s="11" t="n">
        <f aca="false">IF(ISNUMBER(L247),L247,J247)</f>
        <v>57.6</v>
      </c>
      <c r="N247" s="11" t="n">
        <f aca="false">ROUNDUP(M247,0)</f>
        <v>58</v>
      </c>
      <c r="O247" s="11" t="n">
        <f aca="false">MAX(I247,N247)</f>
        <v>58</v>
      </c>
      <c r="P247" s="11" t="n">
        <f aca="false">IF(C247="COVERED",MAX(0,O247-40),0)</f>
        <v>0</v>
      </c>
      <c r="Q247" s="11" t="n">
        <f aca="false">O247</f>
        <v>58</v>
      </c>
      <c r="R247" s="17" t="n">
        <f aca="false">IF(C247="COVERED",10.4,7.55)</f>
        <v>7.55</v>
      </c>
      <c r="S247" s="17" t="n">
        <f aca="false">Q247*R247</f>
        <v>437.9</v>
      </c>
      <c r="T247" s="9" t="s">
        <v>3535</v>
      </c>
      <c r="U247" s="10" t="n">
        <v>46235</v>
      </c>
      <c r="V247" s="9" t="n">
        <v>58</v>
      </c>
      <c r="W247" s="17" t="n">
        <v>7.55</v>
      </c>
      <c r="X247" s="17" t="n">
        <v>437.9</v>
      </c>
      <c r="Y247" s="17" t="n">
        <f aca="false">IF(ISNUMBER(X247),X247-S247,"")</f>
        <v>0</v>
      </c>
      <c r="Z247" s="17" t="n">
        <f aca="false">IF(ISNUMBER(X247),X247-S247,-S247)</f>
        <v>0</v>
      </c>
      <c r="AA247" s="9" t="str">
        <f aca="false">IF(NOT(ISNUMBER(X247)),"NO AUGUST POSTING IN EXPORT",IF(ABS(Y247)&gt;=0.005,"POSTED CHARGE MISMATCH",IF(P247&gt;0,"MATCH - COVERED ELIGIBILITY EXCEPTION","MATCH")))</f>
        <v>MATCH</v>
      </c>
      <c r="AB247" s="9" t="s">
        <v>3536</v>
      </c>
    </row>
    <row r="248" customFormat="false" ht="15" hidden="false" customHeight="false" outlineLevel="0" collapsed="false">
      <c r="A248" s="13" t="s">
        <v>3537</v>
      </c>
      <c r="B248" s="13" t="s">
        <v>155</v>
      </c>
      <c r="C248" s="13" t="s">
        <v>146</v>
      </c>
      <c r="D248" s="13" t="s">
        <v>2002</v>
      </c>
      <c r="E248" s="13" t="s">
        <v>2186</v>
      </c>
      <c r="F248" s="13" t="s">
        <v>3538</v>
      </c>
      <c r="G248" s="13" t="s">
        <v>3539</v>
      </c>
      <c r="H248" s="13" t="s">
        <v>3540</v>
      </c>
      <c r="I248" s="15" t="n">
        <v>40</v>
      </c>
      <c r="J248" s="15" t="n">
        <v>36</v>
      </c>
      <c r="K248" s="15"/>
      <c r="L248" s="15"/>
      <c r="M248" s="15" t="n">
        <f aca="false">IF(ISNUMBER(L248),L248,J248)</f>
        <v>36</v>
      </c>
      <c r="N248" s="15" t="n">
        <f aca="false">ROUNDUP(M248,0)</f>
        <v>36</v>
      </c>
      <c r="O248" s="15" t="n">
        <f aca="false">MAX(I248,N248)</f>
        <v>40</v>
      </c>
      <c r="P248" s="15" t="n">
        <f aca="false">IF(C248="COVERED",MAX(0,O248-40),0)</f>
        <v>0</v>
      </c>
      <c r="Q248" s="15" t="n">
        <f aca="false">O248</f>
        <v>40</v>
      </c>
      <c r="R248" s="18" t="n">
        <f aca="false">IF(C248="COVERED",10.4,7.55)</f>
        <v>7.55</v>
      </c>
      <c r="S248" s="18" t="n">
        <f aca="false">Q248*R248</f>
        <v>302</v>
      </c>
      <c r="T248" s="13" t="s">
        <v>3541</v>
      </c>
      <c r="U248" s="14" t="n">
        <v>46235</v>
      </c>
      <c r="V248" s="13" t="n">
        <v>40</v>
      </c>
      <c r="W248" s="18" t="n">
        <v>7.55</v>
      </c>
      <c r="X248" s="18" t="n">
        <v>302</v>
      </c>
      <c r="Y248" s="18" t="n">
        <f aca="false">IF(ISNUMBER(X248),X248-S248,"")</f>
        <v>0</v>
      </c>
      <c r="Z248" s="18" t="n">
        <f aca="false">IF(ISNUMBER(X248),X248-S248,-S248)</f>
        <v>0</v>
      </c>
      <c r="AA248" s="13" t="str">
        <f aca="false">IF(NOT(ISNUMBER(X248)),"NO AUGUST POSTING IN EXPORT",IF(ABS(Y248)&gt;=0.005,"POSTED CHARGE MISMATCH",IF(P248&gt;0,"MATCH - COVERED ELIGIBILITY EXCEPTION","MATCH")))</f>
        <v>MATCH</v>
      </c>
      <c r="AB248" s="13" t="s">
        <v>3542</v>
      </c>
    </row>
    <row r="249" customFormat="false" ht="15" hidden="false" customHeight="false" outlineLevel="0" collapsed="false">
      <c r="A249" s="9" t="s">
        <v>3543</v>
      </c>
      <c r="B249" s="9" t="s">
        <v>155</v>
      </c>
      <c r="C249" s="9" t="s">
        <v>146</v>
      </c>
      <c r="D249" s="9" t="s">
        <v>2002</v>
      </c>
      <c r="E249" s="9" t="s">
        <v>2193</v>
      </c>
      <c r="F249" s="9" t="s">
        <v>3544</v>
      </c>
      <c r="G249" s="9" t="s">
        <v>3545</v>
      </c>
      <c r="H249" s="9" t="s">
        <v>3452</v>
      </c>
      <c r="I249" s="11" t="n">
        <v>40</v>
      </c>
      <c r="J249" s="11" t="n">
        <v>30.9</v>
      </c>
      <c r="K249" s="11"/>
      <c r="L249" s="11"/>
      <c r="M249" s="11" t="n">
        <f aca="false">IF(ISNUMBER(L249),L249,J249)</f>
        <v>30.9</v>
      </c>
      <c r="N249" s="11" t="n">
        <f aca="false">ROUNDUP(M249,0)</f>
        <v>31</v>
      </c>
      <c r="O249" s="11" t="n">
        <f aca="false">MAX(I249,N249)</f>
        <v>40</v>
      </c>
      <c r="P249" s="11" t="n">
        <f aca="false">IF(C249="COVERED",MAX(0,O249-40),0)</f>
        <v>0</v>
      </c>
      <c r="Q249" s="11" t="n">
        <f aca="false">O249</f>
        <v>40</v>
      </c>
      <c r="R249" s="17" t="n">
        <f aca="false">IF(C249="COVERED",10.4,7.55)</f>
        <v>7.55</v>
      </c>
      <c r="S249" s="17" t="n">
        <f aca="false">Q249*R249</f>
        <v>302</v>
      </c>
      <c r="T249" s="9" t="s">
        <v>3546</v>
      </c>
      <c r="U249" s="10" t="n">
        <v>46235</v>
      </c>
      <c r="V249" s="9" t="n">
        <v>40</v>
      </c>
      <c r="W249" s="17" t="n">
        <v>7.55</v>
      </c>
      <c r="X249" s="17" t="n">
        <v>302</v>
      </c>
      <c r="Y249" s="17" t="n">
        <f aca="false">IF(ISNUMBER(X249),X249-S249,"")</f>
        <v>0</v>
      </c>
      <c r="Z249" s="17" t="n">
        <f aca="false">IF(ISNUMBER(X249),X249-S249,-S249)</f>
        <v>0</v>
      </c>
      <c r="AA249" s="9" t="str">
        <f aca="false">IF(NOT(ISNUMBER(X249)),"NO AUGUST POSTING IN EXPORT",IF(ABS(Y249)&gt;=0.005,"POSTED CHARGE MISMATCH",IF(P249&gt;0,"MATCH - COVERED ELIGIBILITY EXCEPTION","MATCH")))</f>
        <v>MATCH</v>
      </c>
      <c r="AB249" s="9" t="s">
        <v>3547</v>
      </c>
    </row>
    <row r="250" customFormat="false" ht="15" hidden="false" customHeight="false" outlineLevel="0" collapsed="false">
      <c r="A250" s="13" t="s">
        <v>3548</v>
      </c>
      <c r="B250" s="13" t="s">
        <v>155</v>
      </c>
      <c r="C250" s="13" t="s">
        <v>146</v>
      </c>
      <c r="D250" s="13" t="s">
        <v>2002</v>
      </c>
      <c r="E250" s="13" t="s">
        <v>2200</v>
      </c>
      <c r="F250" s="13" t="s">
        <v>1775</v>
      </c>
      <c r="G250" s="13" t="s">
        <v>1776</v>
      </c>
      <c r="H250" s="13" t="s">
        <v>2469</v>
      </c>
      <c r="I250" s="15" t="n">
        <v>28</v>
      </c>
      <c r="J250" s="15" t="n">
        <v>22.7</v>
      </c>
      <c r="K250" s="15"/>
      <c r="L250" s="15"/>
      <c r="M250" s="15" t="n">
        <f aca="false">IF(ISNUMBER(L250),L250,J250)</f>
        <v>22.7</v>
      </c>
      <c r="N250" s="15" t="n">
        <f aca="false">ROUNDUP(M250,0)</f>
        <v>23</v>
      </c>
      <c r="O250" s="15" t="n">
        <f aca="false">MAX(I250,N250)</f>
        <v>28</v>
      </c>
      <c r="P250" s="15" t="n">
        <f aca="false">IF(C250="COVERED",MAX(0,O250-40),0)</f>
        <v>0</v>
      </c>
      <c r="Q250" s="15" t="n">
        <f aca="false">O250</f>
        <v>28</v>
      </c>
      <c r="R250" s="18" t="n">
        <f aca="false">IF(C250="COVERED",10.4,7.55)</f>
        <v>7.55</v>
      </c>
      <c r="S250" s="18" t="n">
        <f aca="false">Q250*R250</f>
        <v>211.4</v>
      </c>
      <c r="T250" s="13" t="s">
        <v>3549</v>
      </c>
      <c r="U250" s="14" t="n">
        <v>46235</v>
      </c>
      <c r="V250" s="13" t="n">
        <v>28</v>
      </c>
      <c r="W250" s="18" t="n">
        <v>7.55</v>
      </c>
      <c r="X250" s="18" t="n">
        <v>211.4</v>
      </c>
      <c r="Y250" s="18" t="n">
        <f aca="false">IF(ISNUMBER(X250),X250-S250,"")</f>
        <v>0</v>
      </c>
      <c r="Z250" s="18" t="n">
        <f aca="false">IF(ISNUMBER(X250),X250-S250,-S250)</f>
        <v>0</v>
      </c>
      <c r="AA250" s="13" t="str">
        <f aca="false">IF(NOT(ISNUMBER(X250)),"NO AUGUST POSTING IN EXPORT",IF(ABS(Y250)&gt;=0.005,"POSTED CHARGE MISMATCH",IF(P250&gt;0,"MATCH - COVERED ELIGIBILITY EXCEPTION","MATCH")))</f>
        <v>MATCH</v>
      </c>
      <c r="AB250" s="13" t="s">
        <v>3550</v>
      </c>
    </row>
    <row r="251" customFormat="false" ht="15" hidden="false" customHeight="false" outlineLevel="0" collapsed="false">
      <c r="A251" s="9" t="s">
        <v>3551</v>
      </c>
      <c r="B251" s="9" t="s">
        <v>155</v>
      </c>
      <c r="C251" s="9" t="s">
        <v>146</v>
      </c>
      <c r="D251" s="9" t="s">
        <v>2002</v>
      </c>
      <c r="E251" s="9" t="s">
        <v>2207</v>
      </c>
      <c r="F251" s="9" t="s">
        <v>3552</v>
      </c>
      <c r="G251" s="9" t="s">
        <v>3553</v>
      </c>
      <c r="H251" s="9" t="s">
        <v>3554</v>
      </c>
      <c r="I251" s="11" t="n">
        <v>60</v>
      </c>
      <c r="J251" s="11" t="n">
        <v>31.8</v>
      </c>
      <c r="K251" s="11"/>
      <c r="L251" s="11"/>
      <c r="M251" s="11" t="n">
        <f aca="false">IF(ISNUMBER(L251),L251,J251)</f>
        <v>31.8</v>
      </c>
      <c r="N251" s="11" t="n">
        <f aca="false">ROUNDUP(M251,0)</f>
        <v>32</v>
      </c>
      <c r="O251" s="11" t="n">
        <f aca="false">MAX(I251,N251)</f>
        <v>60</v>
      </c>
      <c r="P251" s="11" t="n">
        <f aca="false">IF(C251="COVERED",MAX(0,O251-40),0)</f>
        <v>0</v>
      </c>
      <c r="Q251" s="11" t="n">
        <f aca="false">O251</f>
        <v>60</v>
      </c>
      <c r="R251" s="17" t="n">
        <f aca="false">IF(C251="COVERED",10.4,7.55)</f>
        <v>7.55</v>
      </c>
      <c r="S251" s="17" t="n">
        <f aca="false">Q251*R251</f>
        <v>453</v>
      </c>
      <c r="T251" s="9" t="s">
        <v>3555</v>
      </c>
      <c r="U251" s="10" t="n">
        <v>46235</v>
      </c>
      <c r="V251" s="9" t="n">
        <v>60</v>
      </c>
      <c r="W251" s="17" t="n">
        <v>7.55</v>
      </c>
      <c r="X251" s="17" t="n">
        <v>453</v>
      </c>
      <c r="Y251" s="17" t="n">
        <f aca="false">IF(ISNUMBER(X251),X251-S251,"")</f>
        <v>0</v>
      </c>
      <c r="Z251" s="17" t="n">
        <f aca="false">IF(ISNUMBER(X251),X251-S251,-S251)</f>
        <v>0</v>
      </c>
      <c r="AA251" s="9" t="str">
        <f aca="false">IF(NOT(ISNUMBER(X251)),"NO AUGUST POSTING IN EXPORT",IF(ABS(Y251)&gt;=0.005,"POSTED CHARGE MISMATCH",IF(P251&gt;0,"MATCH - COVERED ELIGIBILITY EXCEPTION","MATCH")))</f>
        <v>MATCH</v>
      </c>
      <c r="AB251" s="9" t="s">
        <v>3556</v>
      </c>
    </row>
    <row r="252" customFormat="false" ht="15" hidden="false" customHeight="false" outlineLevel="0" collapsed="false">
      <c r="A252" s="13" t="s">
        <v>3557</v>
      </c>
      <c r="B252" s="13" t="s">
        <v>155</v>
      </c>
      <c r="C252" s="13" t="s">
        <v>146</v>
      </c>
      <c r="D252" s="13" t="s">
        <v>2002</v>
      </c>
      <c r="E252" s="13" t="s">
        <v>3558</v>
      </c>
      <c r="F252" s="13" t="s">
        <v>3559</v>
      </c>
      <c r="G252" s="13" t="s">
        <v>3560</v>
      </c>
      <c r="H252" s="13" t="s">
        <v>3561</v>
      </c>
      <c r="I252" s="15" t="n">
        <v>28</v>
      </c>
      <c r="J252" s="15" t="n">
        <v>28.3</v>
      </c>
      <c r="K252" s="15"/>
      <c r="L252" s="15"/>
      <c r="M252" s="15" t="n">
        <f aca="false">IF(ISNUMBER(L252),L252,J252)</f>
        <v>28.3</v>
      </c>
      <c r="N252" s="15" t="n">
        <f aca="false">ROUNDUP(M252,0)</f>
        <v>29</v>
      </c>
      <c r="O252" s="15" t="n">
        <f aca="false">MAX(I252,N252)</f>
        <v>29</v>
      </c>
      <c r="P252" s="15" t="n">
        <f aca="false">IF(C252="COVERED",MAX(0,O252-40),0)</f>
        <v>0</v>
      </c>
      <c r="Q252" s="15" t="n">
        <f aca="false">O252</f>
        <v>29</v>
      </c>
      <c r="R252" s="18" t="n">
        <f aca="false">IF(C252="COVERED",10.4,7.55)</f>
        <v>7.55</v>
      </c>
      <c r="S252" s="18" t="n">
        <f aca="false">Q252*R252</f>
        <v>218.95</v>
      </c>
      <c r="T252" s="13" t="s">
        <v>3562</v>
      </c>
      <c r="U252" s="14" t="n">
        <v>46235</v>
      </c>
      <c r="V252" s="13" t="n">
        <v>29</v>
      </c>
      <c r="W252" s="18" t="n">
        <v>7.55</v>
      </c>
      <c r="X252" s="18" t="n">
        <v>218.95</v>
      </c>
      <c r="Y252" s="18" t="n">
        <f aca="false">IF(ISNUMBER(X252),X252-S252,"")</f>
        <v>0</v>
      </c>
      <c r="Z252" s="18" t="n">
        <f aca="false">IF(ISNUMBER(X252),X252-S252,-S252)</f>
        <v>0</v>
      </c>
      <c r="AA252" s="13" t="str">
        <f aca="false">IF(NOT(ISNUMBER(X252)),"NO AUGUST POSTING IN EXPORT",IF(ABS(Y252)&gt;=0.005,"POSTED CHARGE MISMATCH",IF(P252&gt;0,"MATCH - COVERED ELIGIBILITY EXCEPTION","MATCH")))</f>
        <v>MATCH</v>
      </c>
      <c r="AB252" s="13" t="s">
        <v>3563</v>
      </c>
    </row>
    <row r="253" customFormat="false" ht="15" hidden="false" customHeight="false" outlineLevel="0" collapsed="false">
      <c r="A253" s="9" t="s">
        <v>1867</v>
      </c>
      <c r="B253" s="9" t="s">
        <v>155</v>
      </c>
      <c r="C253" s="9" t="s">
        <v>146</v>
      </c>
      <c r="D253" s="9" t="s">
        <v>2002</v>
      </c>
      <c r="E253" s="9" t="s">
        <v>2214</v>
      </c>
      <c r="F253" s="9" t="s">
        <v>3564</v>
      </c>
      <c r="G253" s="9" t="s">
        <v>3565</v>
      </c>
      <c r="H253" s="9" t="s">
        <v>2124</v>
      </c>
      <c r="I253" s="11" t="n">
        <v>24</v>
      </c>
      <c r="J253" s="11" t="n">
        <v>25.2</v>
      </c>
      <c r="K253" s="11"/>
      <c r="L253" s="11"/>
      <c r="M253" s="11" t="n">
        <f aca="false">IF(ISNUMBER(L253),L253,J253)</f>
        <v>25.2</v>
      </c>
      <c r="N253" s="11" t="n">
        <f aca="false">ROUNDUP(M253,0)</f>
        <v>26</v>
      </c>
      <c r="O253" s="11" t="n">
        <f aca="false">MAX(I253,N253)</f>
        <v>26</v>
      </c>
      <c r="P253" s="11" t="n">
        <f aca="false">IF(C253="COVERED",MAX(0,O253-40),0)</f>
        <v>0</v>
      </c>
      <c r="Q253" s="11" t="n">
        <f aca="false">O253</f>
        <v>26</v>
      </c>
      <c r="R253" s="17" t="n">
        <f aca="false">IF(C253="COVERED",10.4,7.55)</f>
        <v>7.55</v>
      </c>
      <c r="S253" s="17" t="n">
        <f aca="false">Q253*R253</f>
        <v>196.3</v>
      </c>
      <c r="T253" s="9" t="s">
        <v>3566</v>
      </c>
      <c r="U253" s="10" t="n">
        <v>46235</v>
      </c>
      <c r="V253" s="9" t="n">
        <v>26</v>
      </c>
      <c r="W253" s="17" t="n">
        <v>7.55</v>
      </c>
      <c r="X253" s="17" t="n">
        <v>196.3</v>
      </c>
      <c r="Y253" s="17" t="n">
        <f aca="false">IF(ISNUMBER(X253),X253-S253,"")</f>
        <v>0</v>
      </c>
      <c r="Z253" s="17" t="n">
        <f aca="false">IF(ISNUMBER(X253),X253-S253,-S253)</f>
        <v>0</v>
      </c>
      <c r="AA253" s="9" t="str">
        <f aca="false">IF(NOT(ISNUMBER(X253)),"NO AUGUST POSTING IN EXPORT",IF(ABS(Y253)&gt;=0.005,"POSTED CHARGE MISMATCH",IF(P253&gt;0,"MATCH - COVERED ELIGIBILITY EXCEPTION","MATCH")))</f>
        <v>MATCH</v>
      </c>
      <c r="AB253" s="9" t="s">
        <v>3567</v>
      </c>
    </row>
    <row r="254" customFormat="false" ht="15" hidden="false" customHeight="false" outlineLevel="0" collapsed="false">
      <c r="A254" s="13" t="s">
        <v>3568</v>
      </c>
      <c r="B254" s="13" t="s">
        <v>155</v>
      </c>
      <c r="C254" s="13" t="s">
        <v>146</v>
      </c>
      <c r="D254" s="13" t="s">
        <v>2002</v>
      </c>
      <c r="E254" s="13" t="s">
        <v>2221</v>
      </c>
      <c r="F254" s="13" t="s">
        <v>3569</v>
      </c>
      <c r="G254" s="13" t="s">
        <v>3570</v>
      </c>
      <c r="H254" s="13" t="s">
        <v>2867</v>
      </c>
      <c r="I254" s="15" t="n">
        <v>28</v>
      </c>
      <c r="J254" s="15" t="n">
        <v>33.7</v>
      </c>
      <c r="K254" s="15"/>
      <c r="L254" s="15"/>
      <c r="M254" s="15" t="n">
        <f aca="false">IF(ISNUMBER(L254),L254,J254)</f>
        <v>33.7</v>
      </c>
      <c r="N254" s="15" t="n">
        <f aca="false">ROUNDUP(M254,0)</f>
        <v>34</v>
      </c>
      <c r="O254" s="15" t="n">
        <f aca="false">MAX(I254,N254)</f>
        <v>34</v>
      </c>
      <c r="P254" s="15" t="n">
        <f aca="false">IF(C254="COVERED",MAX(0,O254-40),0)</f>
        <v>0</v>
      </c>
      <c r="Q254" s="15" t="n">
        <f aca="false">O254</f>
        <v>34</v>
      </c>
      <c r="R254" s="18" t="n">
        <f aca="false">IF(C254="COVERED",10.4,7.55)</f>
        <v>7.55</v>
      </c>
      <c r="S254" s="18" t="n">
        <f aca="false">Q254*R254</f>
        <v>256.7</v>
      </c>
      <c r="T254" s="13" t="s">
        <v>3571</v>
      </c>
      <c r="U254" s="14" t="n">
        <v>46235</v>
      </c>
      <c r="V254" s="13" t="n">
        <v>34</v>
      </c>
      <c r="W254" s="18" t="n">
        <v>7.55</v>
      </c>
      <c r="X254" s="18" t="n">
        <v>256.7</v>
      </c>
      <c r="Y254" s="18" t="n">
        <f aca="false">IF(ISNUMBER(X254),X254-S254,"")</f>
        <v>0</v>
      </c>
      <c r="Z254" s="18" t="n">
        <f aca="false">IF(ISNUMBER(X254),X254-S254,-S254)</f>
        <v>0</v>
      </c>
      <c r="AA254" s="13" t="str">
        <f aca="false">IF(NOT(ISNUMBER(X254)),"NO AUGUST POSTING IN EXPORT",IF(ABS(Y254)&gt;=0.005,"POSTED CHARGE MISMATCH",IF(P254&gt;0,"MATCH - COVERED ELIGIBILITY EXCEPTION","MATCH")))</f>
        <v>MATCH</v>
      </c>
      <c r="AB254" s="13" t="s">
        <v>3572</v>
      </c>
    </row>
    <row r="255" customFormat="false" ht="15" hidden="false" customHeight="false" outlineLevel="0" collapsed="false">
      <c r="A255" s="9" t="s">
        <v>1493</v>
      </c>
      <c r="B255" s="9" t="s">
        <v>155</v>
      </c>
      <c r="C255" s="9" t="s">
        <v>146</v>
      </c>
      <c r="D255" s="9" t="s">
        <v>2002</v>
      </c>
      <c r="E255" s="9" t="s">
        <v>2228</v>
      </c>
      <c r="F255" s="9" t="s">
        <v>3573</v>
      </c>
      <c r="G255" s="9" t="s">
        <v>3574</v>
      </c>
      <c r="H255" s="9" t="s">
        <v>3575</v>
      </c>
      <c r="I255" s="11" t="n">
        <v>80</v>
      </c>
      <c r="J255" s="11" t="n">
        <v>42.5</v>
      </c>
      <c r="K255" s="11"/>
      <c r="L255" s="11"/>
      <c r="M255" s="11" t="n">
        <f aca="false">IF(ISNUMBER(L255),L255,J255)</f>
        <v>42.5</v>
      </c>
      <c r="N255" s="11" t="n">
        <f aca="false">ROUNDUP(M255,0)</f>
        <v>43</v>
      </c>
      <c r="O255" s="11" t="n">
        <f aca="false">MAX(I255,N255)</f>
        <v>80</v>
      </c>
      <c r="P255" s="11" t="n">
        <f aca="false">IF(C255="COVERED",MAX(0,O255-40),0)</f>
        <v>0</v>
      </c>
      <c r="Q255" s="11" t="n">
        <f aca="false">O255</f>
        <v>80</v>
      </c>
      <c r="R255" s="17" t="n">
        <f aca="false">IF(C255="COVERED",10.4,7.55)</f>
        <v>7.55</v>
      </c>
      <c r="S255" s="17" t="n">
        <f aca="false">Q255*R255</f>
        <v>604</v>
      </c>
      <c r="T255" s="9" t="s">
        <v>3576</v>
      </c>
      <c r="U255" s="10" t="n">
        <v>46235</v>
      </c>
      <c r="V255" s="9" t="n">
        <v>80</v>
      </c>
      <c r="W255" s="17" t="n">
        <v>7.55</v>
      </c>
      <c r="X255" s="17" t="n">
        <v>604</v>
      </c>
      <c r="Y255" s="17" t="n">
        <f aca="false">IF(ISNUMBER(X255),X255-S255,"")</f>
        <v>0</v>
      </c>
      <c r="Z255" s="17" t="n">
        <f aca="false">IF(ISNUMBER(X255),X255-S255,-S255)</f>
        <v>0</v>
      </c>
      <c r="AA255" s="9" t="str">
        <f aca="false">IF(NOT(ISNUMBER(X255)),"NO AUGUST POSTING IN EXPORT",IF(ABS(Y255)&gt;=0.005,"POSTED CHARGE MISMATCH",IF(P255&gt;0,"MATCH - COVERED ELIGIBILITY EXCEPTION","MATCH")))</f>
        <v>MATCH</v>
      </c>
      <c r="AB255" s="9" t="s">
        <v>3577</v>
      </c>
    </row>
    <row r="256" customFormat="false" ht="15" hidden="false" customHeight="false" outlineLevel="0" collapsed="false">
      <c r="A256" s="13" t="s">
        <v>3578</v>
      </c>
      <c r="B256" s="13" t="s">
        <v>155</v>
      </c>
      <c r="C256" s="13" t="s">
        <v>146</v>
      </c>
      <c r="D256" s="13" t="s">
        <v>2002</v>
      </c>
      <c r="E256" s="13" t="s">
        <v>2235</v>
      </c>
      <c r="F256" s="13" t="s">
        <v>3579</v>
      </c>
      <c r="G256" s="13" t="s">
        <v>3580</v>
      </c>
      <c r="H256" s="13" t="s">
        <v>2841</v>
      </c>
      <c r="I256" s="15" t="n">
        <v>80</v>
      </c>
      <c r="J256" s="15" t="n">
        <v>58.7</v>
      </c>
      <c r="K256" s="15"/>
      <c r="L256" s="15"/>
      <c r="M256" s="15" t="n">
        <f aca="false">IF(ISNUMBER(L256),L256,J256)</f>
        <v>58.7</v>
      </c>
      <c r="N256" s="15" t="n">
        <f aca="false">ROUNDUP(M256,0)</f>
        <v>59</v>
      </c>
      <c r="O256" s="15" t="n">
        <f aca="false">MAX(I256,N256)</f>
        <v>80</v>
      </c>
      <c r="P256" s="15" t="n">
        <f aca="false">IF(C256="COVERED",MAX(0,O256-40),0)</f>
        <v>0</v>
      </c>
      <c r="Q256" s="15" t="n">
        <f aca="false">O256</f>
        <v>80</v>
      </c>
      <c r="R256" s="18" t="n">
        <f aca="false">IF(C256="COVERED",10.4,7.55)</f>
        <v>7.55</v>
      </c>
      <c r="S256" s="18" t="n">
        <f aca="false">Q256*R256</f>
        <v>604</v>
      </c>
      <c r="T256" s="13" t="s">
        <v>3581</v>
      </c>
      <c r="U256" s="14" t="n">
        <v>46235</v>
      </c>
      <c r="V256" s="13" t="n">
        <v>80</v>
      </c>
      <c r="W256" s="18" t="n">
        <v>7.55</v>
      </c>
      <c r="X256" s="18" t="n">
        <v>604</v>
      </c>
      <c r="Y256" s="18" t="n">
        <f aca="false">IF(ISNUMBER(X256),X256-S256,"")</f>
        <v>0</v>
      </c>
      <c r="Z256" s="18" t="n">
        <f aca="false">IF(ISNUMBER(X256),X256-S256,-S256)</f>
        <v>0</v>
      </c>
      <c r="AA256" s="13" t="str">
        <f aca="false">IF(NOT(ISNUMBER(X256)),"NO AUGUST POSTING IN EXPORT",IF(ABS(Y256)&gt;=0.005,"POSTED CHARGE MISMATCH",IF(P256&gt;0,"MATCH - COVERED ELIGIBILITY EXCEPTION","MATCH")))</f>
        <v>MATCH</v>
      </c>
      <c r="AB256" s="13" t="s">
        <v>3582</v>
      </c>
    </row>
    <row r="257" customFormat="false" ht="15" hidden="false" customHeight="false" outlineLevel="0" collapsed="false">
      <c r="A257" s="9" t="s">
        <v>1971</v>
      </c>
      <c r="B257" s="9" t="s">
        <v>155</v>
      </c>
      <c r="C257" s="9" t="s">
        <v>146</v>
      </c>
      <c r="D257" s="9" t="s">
        <v>2002</v>
      </c>
      <c r="E257" s="9" t="s">
        <v>2240</v>
      </c>
      <c r="F257" s="9" t="s">
        <v>3583</v>
      </c>
      <c r="G257" s="9" t="s">
        <v>3584</v>
      </c>
      <c r="H257" s="9" t="s">
        <v>3585</v>
      </c>
      <c r="I257" s="11" t="n">
        <v>60</v>
      </c>
      <c r="J257" s="11" t="n">
        <v>56.1</v>
      </c>
      <c r="K257" s="11"/>
      <c r="L257" s="11"/>
      <c r="M257" s="11" t="n">
        <f aca="false">IF(ISNUMBER(L257),L257,J257)</f>
        <v>56.1</v>
      </c>
      <c r="N257" s="11" t="n">
        <f aca="false">ROUNDUP(M257,0)</f>
        <v>57</v>
      </c>
      <c r="O257" s="11" t="n">
        <f aca="false">MAX(I257,N257)</f>
        <v>60</v>
      </c>
      <c r="P257" s="11" t="n">
        <f aca="false">IF(C257="COVERED",MAX(0,O257-40),0)</f>
        <v>0</v>
      </c>
      <c r="Q257" s="11" t="n">
        <f aca="false">O257</f>
        <v>60</v>
      </c>
      <c r="R257" s="17" t="n">
        <f aca="false">IF(C257="COVERED",10.4,7.55)</f>
        <v>7.55</v>
      </c>
      <c r="S257" s="17" t="n">
        <f aca="false">Q257*R257</f>
        <v>453</v>
      </c>
      <c r="T257" s="9" t="s">
        <v>3586</v>
      </c>
      <c r="U257" s="10" t="n">
        <v>46235</v>
      </c>
      <c r="V257" s="9" t="n">
        <v>60</v>
      </c>
      <c r="W257" s="17" t="n">
        <v>7.55</v>
      </c>
      <c r="X257" s="17" t="n">
        <v>453</v>
      </c>
      <c r="Y257" s="17" t="n">
        <f aca="false">IF(ISNUMBER(X257),X257-S257,"")</f>
        <v>0</v>
      </c>
      <c r="Z257" s="17" t="n">
        <f aca="false">IF(ISNUMBER(X257),X257-S257,-S257)</f>
        <v>0</v>
      </c>
      <c r="AA257" s="9" t="str">
        <f aca="false">IF(NOT(ISNUMBER(X257)),"NO AUGUST POSTING IN EXPORT",IF(ABS(Y257)&gt;=0.005,"POSTED CHARGE MISMATCH",IF(P257&gt;0,"MATCH - COVERED ELIGIBILITY EXCEPTION","MATCH")))</f>
        <v>MATCH</v>
      </c>
      <c r="AB257" s="9" t="s">
        <v>3587</v>
      </c>
    </row>
    <row r="258" customFormat="false" ht="15" hidden="false" customHeight="false" outlineLevel="0" collapsed="false">
      <c r="A258" s="13" t="s">
        <v>184</v>
      </c>
      <c r="B258" s="13" t="s">
        <v>155</v>
      </c>
      <c r="C258" s="13" t="s">
        <v>146</v>
      </c>
      <c r="D258" s="13" t="s">
        <v>2002</v>
      </c>
      <c r="E258" s="13" t="s">
        <v>2254</v>
      </c>
      <c r="F258" s="13" t="s">
        <v>1945</v>
      </c>
      <c r="G258" s="13" t="s">
        <v>1946</v>
      </c>
      <c r="H258" s="13" t="s">
        <v>3588</v>
      </c>
      <c r="I258" s="15" t="n">
        <v>60</v>
      </c>
      <c r="J258" s="15" t="n">
        <v>54.9</v>
      </c>
      <c r="K258" s="15"/>
      <c r="L258" s="15"/>
      <c r="M258" s="15" t="n">
        <f aca="false">IF(ISNUMBER(L258),L258,J258)</f>
        <v>54.9</v>
      </c>
      <c r="N258" s="15" t="n">
        <f aca="false">ROUNDUP(M258,0)</f>
        <v>55</v>
      </c>
      <c r="O258" s="15" t="n">
        <f aca="false">MAX(I258,N258)</f>
        <v>60</v>
      </c>
      <c r="P258" s="15" t="n">
        <f aca="false">IF(C258="COVERED",MAX(0,O258-40),0)</f>
        <v>0</v>
      </c>
      <c r="Q258" s="15" t="n">
        <f aca="false">O258</f>
        <v>60</v>
      </c>
      <c r="R258" s="18" t="n">
        <f aca="false">IF(C258="COVERED",10.4,7.55)</f>
        <v>7.55</v>
      </c>
      <c r="S258" s="18" t="n">
        <f aca="false">Q258*R258</f>
        <v>453</v>
      </c>
      <c r="T258" s="13" t="s">
        <v>3589</v>
      </c>
      <c r="U258" s="14" t="n">
        <v>46235</v>
      </c>
      <c r="V258" s="13" t="n">
        <v>60</v>
      </c>
      <c r="W258" s="18" t="n">
        <v>7.55</v>
      </c>
      <c r="X258" s="18" t="n">
        <v>453</v>
      </c>
      <c r="Y258" s="18" t="n">
        <f aca="false">IF(ISNUMBER(X258),X258-S258,"")</f>
        <v>0</v>
      </c>
      <c r="Z258" s="18" t="n">
        <f aca="false">IF(ISNUMBER(X258),X258-S258,-S258)</f>
        <v>0</v>
      </c>
      <c r="AA258" s="13" t="str">
        <f aca="false">IF(NOT(ISNUMBER(X258)),"NO AUGUST POSTING IN EXPORT",IF(ABS(Y258)&gt;=0.005,"POSTED CHARGE MISMATCH",IF(P258&gt;0,"MATCH - COVERED ELIGIBILITY EXCEPTION","MATCH")))</f>
        <v>MATCH</v>
      </c>
      <c r="AB258" s="13" t="s">
        <v>3590</v>
      </c>
    </row>
    <row r="259" customFormat="false" ht="15" hidden="false" customHeight="false" outlineLevel="0" collapsed="false">
      <c r="A259" s="9" t="s">
        <v>3591</v>
      </c>
      <c r="B259" s="9" t="s">
        <v>155</v>
      </c>
      <c r="C259" s="9" t="s">
        <v>146</v>
      </c>
      <c r="D259" s="9" t="s">
        <v>2002</v>
      </c>
      <c r="E259" s="9" t="s">
        <v>2261</v>
      </c>
      <c r="F259" s="9" t="s">
        <v>3592</v>
      </c>
      <c r="G259" s="9" t="s">
        <v>3593</v>
      </c>
      <c r="H259" s="9" t="s">
        <v>3594</v>
      </c>
      <c r="I259" s="11" t="n">
        <v>80</v>
      </c>
      <c r="J259" s="11" t="n">
        <v>31.6</v>
      </c>
      <c r="K259" s="11"/>
      <c r="L259" s="11"/>
      <c r="M259" s="11" t="n">
        <f aca="false">IF(ISNUMBER(L259),L259,J259)</f>
        <v>31.6</v>
      </c>
      <c r="N259" s="11" t="n">
        <f aca="false">ROUNDUP(M259,0)</f>
        <v>32</v>
      </c>
      <c r="O259" s="11" t="n">
        <f aca="false">MAX(I259,N259)</f>
        <v>80</v>
      </c>
      <c r="P259" s="11" t="n">
        <f aca="false">IF(C259="COVERED",MAX(0,O259-40),0)</f>
        <v>0</v>
      </c>
      <c r="Q259" s="11" t="n">
        <f aca="false">O259</f>
        <v>80</v>
      </c>
      <c r="R259" s="17" t="n">
        <f aca="false">IF(C259="COVERED",10.4,7.55)</f>
        <v>7.55</v>
      </c>
      <c r="S259" s="17" t="n">
        <f aca="false">Q259*R259</f>
        <v>604</v>
      </c>
      <c r="T259" s="9" t="s">
        <v>3595</v>
      </c>
      <c r="U259" s="10" t="n">
        <v>46235</v>
      </c>
      <c r="V259" s="9" t="n">
        <v>80</v>
      </c>
      <c r="W259" s="17" t="n">
        <v>7.55</v>
      </c>
      <c r="X259" s="17" t="n">
        <v>604</v>
      </c>
      <c r="Y259" s="17" t="n">
        <f aca="false">IF(ISNUMBER(X259),X259-S259,"")</f>
        <v>0</v>
      </c>
      <c r="Z259" s="17" t="n">
        <f aca="false">IF(ISNUMBER(X259),X259-S259,-S259)</f>
        <v>0</v>
      </c>
      <c r="AA259" s="9" t="str">
        <f aca="false">IF(NOT(ISNUMBER(X259)),"NO AUGUST POSTING IN EXPORT",IF(ABS(Y259)&gt;=0.005,"POSTED CHARGE MISMATCH",IF(P259&gt;0,"MATCH - COVERED ELIGIBILITY EXCEPTION","MATCH")))</f>
        <v>MATCH</v>
      </c>
      <c r="AB259" s="9" t="s">
        <v>3596</v>
      </c>
    </row>
    <row r="260" customFormat="false" ht="15" hidden="false" customHeight="false" outlineLevel="0" collapsed="false">
      <c r="A260" s="13" t="s">
        <v>3597</v>
      </c>
      <c r="B260" s="13" t="s">
        <v>155</v>
      </c>
      <c r="C260" s="13" t="s">
        <v>146</v>
      </c>
      <c r="D260" s="13" t="s">
        <v>2002</v>
      </c>
      <c r="E260" s="13" t="s">
        <v>2267</v>
      </c>
      <c r="F260" s="13" t="s">
        <v>3598</v>
      </c>
      <c r="G260" s="13" t="s">
        <v>3599</v>
      </c>
      <c r="H260" s="13" t="s">
        <v>3600</v>
      </c>
      <c r="I260" s="15" t="n">
        <v>60</v>
      </c>
      <c r="J260" s="15" t="n">
        <v>29.9</v>
      </c>
      <c r="K260" s="15"/>
      <c r="L260" s="15"/>
      <c r="M260" s="15" t="n">
        <f aca="false">IF(ISNUMBER(L260),L260,J260)</f>
        <v>29.9</v>
      </c>
      <c r="N260" s="15" t="n">
        <f aca="false">ROUNDUP(M260,0)</f>
        <v>30</v>
      </c>
      <c r="O260" s="15" t="n">
        <f aca="false">MAX(I260,N260)</f>
        <v>60</v>
      </c>
      <c r="P260" s="15" t="n">
        <f aca="false">IF(C260="COVERED",MAX(0,O260-40),0)</f>
        <v>0</v>
      </c>
      <c r="Q260" s="15" t="n">
        <f aca="false">O260</f>
        <v>60</v>
      </c>
      <c r="R260" s="18" t="n">
        <f aca="false">IF(C260="COVERED",10.4,7.55)</f>
        <v>7.55</v>
      </c>
      <c r="S260" s="18" t="n">
        <f aca="false">Q260*R260</f>
        <v>453</v>
      </c>
      <c r="T260" s="13" t="s">
        <v>3601</v>
      </c>
      <c r="U260" s="14" t="n">
        <v>46235</v>
      </c>
      <c r="V260" s="13" t="n">
        <v>60</v>
      </c>
      <c r="W260" s="18" t="n">
        <v>7.55</v>
      </c>
      <c r="X260" s="18" t="n">
        <v>453</v>
      </c>
      <c r="Y260" s="18" t="n">
        <f aca="false">IF(ISNUMBER(X260),X260-S260,"")</f>
        <v>0</v>
      </c>
      <c r="Z260" s="18" t="n">
        <f aca="false">IF(ISNUMBER(X260),X260-S260,-S260)</f>
        <v>0</v>
      </c>
      <c r="AA260" s="13" t="str">
        <f aca="false">IF(NOT(ISNUMBER(X260)),"NO AUGUST POSTING IN EXPORT",IF(ABS(Y260)&gt;=0.005,"POSTED CHARGE MISMATCH",IF(P260&gt;0,"MATCH - COVERED ELIGIBILITY EXCEPTION","MATCH")))</f>
        <v>MATCH</v>
      </c>
      <c r="AB260" s="13" t="s">
        <v>3602</v>
      </c>
    </row>
    <row r="261" customFormat="false" ht="15" hidden="false" customHeight="false" outlineLevel="0" collapsed="false">
      <c r="A261" s="9" t="s">
        <v>1930</v>
      </c>
      <c r="B261" s="9" t="s">
        <v>155</v>
      </c>
      <c r="C261" s="9" t="s">
        <v>146</v>
      </c>
      <c r="D261" s="9" t="s">
        <v>2002</v>
      </c>
      <c r="E261" s="9" t="s">
        <v>2274</v>
      </c>
      <c r="F261" s="9" t="s">
        <v>3603</v>
      </c>
      <c r="G261" s="9" t="s">
        <v>3604</v>
      </c>
      <c r="H261" s="9" t="s">
        <v>3605</v>
      </c>
      <c r="I261" s="11" t="n">
        <v>28</v>
      </c>
      <c r="J261" s="11" t="n">
        <v>45.5</v>
      </c>
      <c r="K261" s="11"/>
      <c r="L261" s="11"/>
      <c r="M261" s="11" t="n">
        <f aca="false">IF(ISNUMBER(L261),L261,J261)</f>
        <v>45.5</v>
      </c>
      <c r="N261" s="11" t="n">
        <f aca="false">ROUNDUP(M261,0)</f>
        <v>46</v>
      </c>
      <c r="O261" s="11" t="n">
        <f aca="false">MAX(I261,N261)</f>
        <v>46</v>
      </c>
      <c r="P261" s="11" t="n">
        <f aca="false">IF(C261="COVERED",MAX(0,O261-40),0)</f>
        <v>0</v>
      </c>
      <c r="Q261" s="11" t="n">
        <f aca="false">O261</f>
        <v>46</v>
      </c>
      <c r="R261" s="17" t="n">
        <f aca="false">IF(C261="COVERED",10.4,7.55)</f>
        <v>7.55</v>
      </c>
      <c r="S261" s="17" t="n">
        <f aca="false">Q261*R261</f>
        <v>347.3</v>
      </c>
      <c r="T261" s="9" t="s">
        <v>3606</v>
      </c>
      <c r="U261" s="10" t="n">
        <v>46235</v>
      </c>
      <c r="V261" s="9" t="n">
        <v>46</v>
      </c>
      <c r="W261" s="17" t="n">
        <v>7.55</v>
      </c>
      <c r="X261" s="17" t="n">
        <v>347.3</v>
      </c>
      <c r="Y261" s="17" t="n">
        <f aca="false">IF(ISNUMBER(X261),X261-S261,"")</f>
        <v>0</v>
      </c>
      <c r="Z261" s="17" t="n">
        <f aca="false">IF(ISNUMBER(X261),X261-S261,-S261)</f>
        <v>0</v>
      </c>
      <c r="AA261" s="9" t="str">
        <f aca="false">IF(NOT(ISNUMBER(X261)),"NO AUGUST POSTING IN EXPORT",IF(ABS(Y261)&gt;=0.005,"POSTED CHARGE MISMATCH",IF(P261&gt;0,"MATCH - COVERED ELIGIBILITY EXCEPTION","MATCH")))</f>
        <v>MATCH</v>
      </c>
      <c r="AB261" s="9" t="s">
        <v>3607</v>
      </c>
    </row>
    <row r="262" customFormat="false" ht="15" hidden="false" customHeight="false" outlineLevel="0" collapsed="false">
      <c r="A262" s="13" t="s">
        <v>495</v>
      </c>
      <c r="B262" s="13" t="s">
        <v>155</v>
      </c>
      <c r="C262" s="13" t="s">
        <v>146</v>
      </c>
      <c r="D262" s="13" t="s">
        <v>2002</v>
      </c>
      <c r="E262" s="13" t="s">
        <v>3608</v>
      </c>
      <c r="F262" s="13" t="s">
        <v>3609</v>
      </c>
      <c r="G262" s="13" t="s">
        <v>3610</v>
      </c>
      <c r="H262" s="13" t="s">
        <v>3611</v>
      </c>
      <c r="I262" s="15" t="n">
        <v>24</v>
      </c>
      <c r="J262" s="15" t="n">
        <v>32.4</v>
      </c>
      <c r="K262" s="15"/>
      <c r="L262" s="15"/>
      <c r="M262" s="15" t="n">
        <f aca="false">IF(ISNUMBER(L262),L262,J262)</f>
        <v>32.4</v>
      </c>
      <c r="N262" s="15" t="n">
        <f aca="false">ROUNDUP(M262,0)</f>
        <v>33</v>
      </c>
      <c r="O262" s="15" t="n">
        <f aca="false">MAX(I262,N262)</f>
        <v>33</v>
      </c>
      <c r="P262" s="15" t="n">
        <f aca="false">IF(C262="COVERED",MAX(0,O262-40),0)</f>
        <v>0</v>
      </c>
      <c r="Q262" s="15" t="n">
        <f aca="false">O262</f>
        <v>33</v>
      </c>
      <c r="R262" s="18" t="n">
        <f aca="false">IF(C262="COVERED",10.4,7.55)</f>
        <v>7.55</v>
      </c>
      <c r="S262" s="18" t="n">
        <f aca="false">Q262*R262</f>
        <v>249.15</v>
      </c>
      <c r="T262" s="13" t="s">
        <v>3612</v>
      </c>
      <c r="U262" s="14" t="n">
        <v>46235</v>
      </c>
      <c r="V262" s="13" t="n">
        <v>33</v>
      </c>
      <c r="W262" s="18" t="n">
        <v>7.55</v>
      </c>
      <c r="X262" s="18" t="n">
        <v>249.15</v>
      </c>
      <c r="Y262" s="18" t="n">
        <f aca="false">IF(ISNUMBER(X262),X262-S262,"")</f>
        <v>0</v>
      </c>
      <c r="Z262" s="18" t="n">
        <f aca="false">IF(ISNUMBER(X262),X262-S262,-S262)</f>
        <v>0</v>
      </c>
      <c r="AA262" s="13" t="str">
        <f aca="false">IF(NOT(ISNUMBER(X262)),"NO AUGUST POSTING IN EXPORT",IF(ABS(Y262)&gt;=0.005,"POSTED CHARGE MISMATCH",IF(P262&gt;0,"MATCH - COVERED ELIGIBILITY EXCEPTION","MATCH")))</f>
        <v>MATCH</v>
      </c>
      <c r="AB262" s="13" t="s">
        <v>3613</v>
      </c>
    </row>
    <row r="263" customFormat="false" ht="15" hidden="false" customHeight="false" outlineLevel="0" collapsed="false">
      <c r="A263" s="9" t="s">
        <v>3614</v>
      </c>
      <c r="B263" s="9" t="s">
        <v>155</v>
      </c>
      <c r="C263" s="9" t="s">
        <v>146</v>
      </c>
      <c r="D263" s="9" t="s">
        <v>2002</v>
      </c>
      <c r="E263" s="9" t="s">
        <v>2287</v>
      </c>
      <c r="F263" s="9" t="s">
        <v>3615</v>
      </c>
      <c r="G263" s="9" t="s">
        <v>3616</v>
      </c>
      <c r="H263" s="9" t="s">
        <v>3617</v>
      </c>
      <c r="I263" s="11" t="n">
        <v>28</v>
      </c>
      <c r="J263" s="11" t="n">
        <v>55.3</v>
      </c>
      <c r="K263" s="11"/>
      <c r="L263" s="11"/>
      <c r="M263" s="11" t="n">
        <f aca="false">IF(ISNUMBER(L263),L263,J263)</f>
        <v>55.3</v>
      </c>
      <c r="N263" s="11" t="n">
        <f aca="false">ROUNDUP(M263,0)</f>
        <v>56</v>
      </c>
      <c r="O263" s="11" t="n">
        <f aca="false">MAX(I263,N263)</f>
        <v>56</v>
      </c>
      <c r="P263" s="11" t="n">
        <f aca="false">IF(C263="COVERED",MAX(0,O263-40),0)</f>
        <v>0</v>
      </c>
      <c r="Q263" s="11" t="n">
        <f aca="false">O263</f>
        <v>56</v>
      </c>
      <c r="R263" s="17" t="n">
        <f aca="false">IF(C263="COVERED",10.4,7.55)</f>
        <v>7.55</v>
      </c>
      <c r="S263" s="17" t="n">
        <f aca="false">Q263*R263</f>
        <v>422.8</v>
      </c>
      <c r="T263" s="9" t="s">
        <v>3618</v>
      </c>
      <c r="U263" s="10" t="n">
        <v>46235</v>
      </c>
      <c r="V263" s="9" t="n">
        <v>56</v>
      </c>
      <c r="W263" s="17" t="n">
        <v>7.55</v>
      </c>
      <c r="X263" s="17" t="n">
        <v>422.8</v>
      </c>
      <c r="Y263" s="17" t="n">
        <f aca="false">IF(ISNUMBER(X263),X263-S263,"")</f>
        <v>0</v>
      </c>
      <c r="Z263" s="17" t="n">
        <f aca="false">IF(ISNUMBER(X263),X263-S263,-S263)</f>
        <v>0</v>
      </c>
      <c r="AA263" s="9" t="str">
        <f aca="false">IF(NOT(ISNUMBER(X263)),"NO AUGUST POSTING IN EXPORT",IF(ABS(Y263)&gt;=0.005,"POSTED CHARGE MISMATCH",IF(P263&gt;0,"MATCH - COVERED ELIGIBILITY EXCEPTION","MATCH")))</f>
        <v>MATCH</v>
      </c>
      <c r="AB263" s="9" t="s">
        <v>3619</v>
      </c>
    </row>
    <row r="264" customFormat="false" ht="15" hidden="false" customHeight="false" outlineLevel="0" collapsed="false">
      <c r="A264" s="13" t="s">
        <v>3620</v>
      </c>
      <c r="B264" s="13" t="s">
        <v>155</v>
      </c>
      <c r="C264" s="13" t="s">
        <v>146</v>
      </c>
      <c r="D264" s="13" t="s">
        <v>2002</v>
      </c>
      <c r="E264" s="13" t="s">
        <v>2294</v>
      </c>
      <c r="F264" s="13" t="s">
        <v>3621</v>
      </c>
      <c r="G264" s="13" t="s">
        <v>3622</v>
      </c>
      <c r="H264" s="13" t="s">
        <v>2821</v>
      </c>
      <c r="I264" s="15" t="n">
        <v>28</v>
      </c>
      <c r="J264" s="15" t="n">
        <v>29.9</v>
      </c>
      <c r="K264" s="15"/>
      <c r="L264" s="15"/>
      <c r="M264" s="15" t="n">
        <f aca="false">IF(ISNUMBER(L264),L264,J264)</f>
        <v>29.9</v>
      </c>
      <c r="N264" s="15" t="n">
        <f aca="false">ROUNDUP(M264,0)</f>
        <v>30</v>
      </c>
      <c r="O264" s="15" t="n">
        <f aca="false">MAX(I264,N264)</f>
        <v>30</v>
      </c>
      <c r="P264" s="15" t="n">
        <f aca="false">IF(C264="COVERED",MAX(0,O264-40),0)</f>
        <v>0</v>
      </c>
      <c r="Q264" s="15" t="n">
        <f aca="false">O264</f>
        <v>30</v>
      </c>
      <c r="R264" s="18" t="n">
        <f aca="false">IF(C264="COVERED",10.4,7.55)</f>
        <v>7.55</v>
      </c>
      <c r="S264" s="18" t="n">
        <f aca="false">Q264*R264</f>
        <v>226.5</v>
      </c>
      <c r="T264" s="13" t="s">
        <v>3623</v>
      </c>
      <c r="U264" s="14" t="n">
        <v>46235</v>
      </c>
      <c r="V264" s="13" t="n">
        <v>30</v>
      </c>
      <c r="W264" s="18" t="n">
        <v>7.55</v>
      </c>
      <c r="X264" s="18" t="n">
        <v>226.5</v>
      </c>
      <c r="Y264" s="18" t="n">
        <f aca="false">IF(ISNUMBER(X264),X264-S264,"")</f>
        <v>0</v>
      </c>
      <c r="Z264" s="18" t="n">
        <f aca="false">IF(ISNUMBER(X264),X264-S264,-S264)</f>
        <v>0</v>
      </c>
      <c r="AA264" s="13" t="str">
        <f aca="false">IF(NOT(ISNUMBER(X264)),"NO AUGUST POSTING IN EXPORT",IF(ABS(Y264)&gt;=0.005,"POSTED CHARGE MISMATCH",IF(P264&gt;0,"MATCH - COVERED ELIGIBILITY EXCEPTION","MATCH")))</f>
        <v>MATCH</v>
      </c>
      <c r="AB264" s="13" t="s">
        <v>3624</v>
      </c>
    </row>
    <row r="265" customFormat="false" ht="15" hidden="false" customHeight="false" outlineLevel="0" collapsed="false">
      <c r="A265" s="9" t="s">
        <v>3625</v>
      </c>
      <c r="B265" s="9" t="s">
        <v>155</v>
      </c>
      <c r="C265" s="9" t="s">
        <v>146</v>
      </c>
      <c r="D265" s="9" t="s">
        <v>2002</v>
      </c>
      <c r="E265" s="9" t="s">
        <v>2300</v>
      </c>
      <c r="F265" s="9" t="s">
        <v>3626</v>
      </c>
      <c r="G265" s="9" t="s">
        <v>3627</v>
      </c>
      <c r="H265" s="9" t="s">
        <v>3125</v>
      </c>
      <c r="I265" s="11" t="n">
        <v>32</v>
      </c>
      <c r="J265" s="11" t="n">
        <v>35.3</v>
      </c>
      <c r="K265" s="11"/>
      <c r="L265" s="11"/>
      <c r="M265" s="11" t="n">
        <f aca="false">IF(ISNUMBER(L265),L265,J265)</f>
        <v>35.3</v>
      </c>
      <c r="N265" s="11" t="n">
        <f aca="false">ROUNDUP(M265,0)</f>
        <v>36</v>
      </c>
      <c r="O265" s="11" t="n">
        <f aca="false">MAX(I265,N265)</f>
        <v>36</v>
      </c>
      <c r="P265" s="11" t="n">
        <f aca="false">IF(C265="COVERED",MAX(0,O265-40),0)</f>
        <v>0</v>
      </c>
      <c r="Q265" s="11" t="n">
        <f aca="false">O265</f>
        <v>36</v>
      </c>
      <c r="R265" s="17" t="n">
        <f aca="false">IF(C265="COVERED",10.4,7.55)</f>
        <v>7.55</v>
      </c>
      <c r="S265" s="17" t="n">
        <f aca="false">Q265*R265</f>
        <v>271.8</v>
      </c>
      <c r="T265" s="9" t="s">
        <v>3628</v>
      </c>
      <c r="U265" s="10" t="n">
        <v>46235</v>
      </c>
      <c r="V265" s="9" t="n">
        <v>36</v>
      </c>
      <c r="W265" s="17" t="n">
        <v>7.55</v>
      </c>
      <c r="X265" s="17" t="n">
        <v>271.8</v>
      </c>
      <c r="Y265" s="17" t="n">
        <f aca="false">IF(ISNUMBER(X265),X265-S265,"")</f>
        <v>0</v>
      </c>
      <c r="Z265" s="17" t="n">
        <f aca="false">IF(ISNUMBER(X265),X265-S265,-S265)</f>
        <v>0</v>
      </c>
      <c r="AA265" s="9" t="str">
        <f aca="false">IF(NOT(ISNUMBER(X265)),"NO AUGUST POSTING IN EXPORT",IF(ABS(Y265)&gt;=0.005,"POSTED CHARGE MISMATCH",IF(P265&gt;0,"MATCH - COVERED ELIGIBILITY EXCEPTION","MATCH")))</f>
        <v>MATCH</v>
      </c>
      <c r="AB265" s="9" t="s">
        <v>3629</v>
      </c>
    </row>
    <row r="266" customFormat="false" ht="15" hidden="false" customHeight="false" outlineLevel="0" collapsed="false">
      <c r="A266" s="13" t="s">
        <v>1444</v>
      </c>
      <c r="B266" s="13" t="s">
        <v>155</v>
      </c>
      <c r="C266" s="13" t="s">
        <v>146</v>
      </c>
      <c r="D266" s="13" t="s">
        <v>2002</v>
      </c>
      <c r="E266" s="13" t="s">
        <v>2307</v>
      </c>
      <c r="F266" s="13" t="s">
        <v>3630</v>
      </c>
      <c r="G266" s="13" t="s">
        <v>3631</v>
      </c>
      <c r="H266" s="13" t="s">
        <v>3575</v>
      </c>
      <c r="I266" s="15" t="n">
        <v>80</v>
      </c>
      <c r="J266" s="15" t="n">
        <v>60</v>
      </c>
      <c r="K266" s="15"/>
      <c r="L266" s="15"/>
      <c r="M266" s="15" t="n">
        <f aca="false">IF(ISNUMBER(L266),L266,J266)</f>
        <v>60</v>
      </c>
      <c r="N266" s="15" t="n">
        <f aca="false">ROUNDUP(M266,0)</f>
        <v>60</v>
      </c>
      <c r="O266" s="15" t="n">
        <f aca="false">MAX(I266,N266)</f>
        <v>80</v>
      </c>
      <c r="P266" s="15" t="n">
        <f aca="false">IF(C266="COVERED",MAX(0,O266-40),0)</f>
        <v>0</v>
      </c>
      <c r="Q266" s="15" t="n">
        <f aca="false">O266</f>
        <v>80</v>
      </c>
      <c r="R266" s="18" t="n">
        <f aca="false">IF(C266="COVERED",10.4,7.55)</f>
        <v>7.55</v>
      </c>
      <c r="S266" s="18" t="n">
        <f aca="false">Q266*R266</f>
        <v>604</v>
      </c>
      <c r="T266" s="13" t="s">
        <v>3632</v>
      </c>
      <c r="U266" s="14" t="n">
        <v>46235</v>
      </c>
      <c r="V266" s="13" t="n">
        <v>80</v>
      </c>
      <c r="W266" s="18" t="n">
        <v>7.55</v>
      </c>
      <c r="X266" s="18" t="n">
        <v>604</v>
      </c>
      <c r="Y266" s="18" t="n">
        <f aca="false">IF(ISNUMBER(X266),X266-S266,"")</f>
        <v>0</v>
      </c>
      <c r="Z266" s="18" t="n">
        <f aca="false">IF(ISNUMBER(X266),X266-S266,-S266)</f>
        <v>0</v>
      </c>
      <c r="AA266" s="13" t="str">
        <f aca="false">IF(NOT(ISNUMBER(X266)),"NO AUGUST POSTING IN EXPORT",IF(ABS(Y266)&gt;=0.005,"POSTED CHARGE MISMATCH",IF(P266&gt;0,"MATCH - COVERED ELIGIBILITY EXCEPTION","MATCH")))</f>
        <v>MATCH</v>
      </c>
      <c r="AB266" s="13" t="s">
        <v>3633</v>
      </c>
    </row>
    <row r="267" customFormat="false" ht="15" hidden="false" customHeight="false" outlineLevel="0" collapsed="false">
      <c r="A267" s="9" t="s">
        <v>228</v>
      </c>
      <c r="B267" s="9" t="s">
        <v>155</v>
      </c>
      <c r="C267" s="9" t="s">
        <v>146</v>
      </c>
      <c r="D267" s="9" t="s">
        <v>2002</v>
      </c>
      <c r="E267" s="9" t="s">
        <v>2313</v>
      </c>
      <c r="F267" s="9" t="s">
        <v>3634</v>
      </c>
      <c r="G267" s="9" t="s">
        <v>3635</v>
      </c>
      <c r="H267" s="9" t="s">
        <v>3636</v>
      </c>
      <c r="I267" s="11" t="n">
        <v>32</v>
      </c>
      <c r="J267" s="11" t="n">
        <v>46.9</v>
      </c>
      <c r="K267" s="11"/>
      <c r="L267" s="11"/>
      <c r="M267" s="11" t="n">
        <f aca="false">IF(ISNUMBER(L267),L267,J267)</f>
        <v>46.9</v>
      </c>
      <c r="N267" s="11" t="n">
        <f aca="false">ROUNDUP(M267,0)</f>
        <v>47</v>
      </c>
      <c r="O267" s="11" t="n">
        <f aca="false">MAX(I267,N267)</f>
        <v>47</v>
      </c>
      <c r="P267" s="11" t="n">
        <f aca="false">IF(C267="COVERED",MAX(0,O267-40),0)</f>
        <v>0</v>
      </c>
      <c r="Q267" s="11" t="n">
        <f aca="false">O267</f>
        <v>47</v>
      </c>
      <c r="R267" s="17" t="n">
        <f aca="false">IF(C267="COVERED",10.4,7.55)</f>
        <v>7.55</v>
      </c>
      <c r="S267" s="17" t="n">
        <f aca="false">Q267*R267</f>
        <v>354.85</v>
      </c>
      <c r="T267" s="9" t="s">
        <v>3637</v>
      </c>
      <c r="U267" s="10" t="n">
        <v>46235</v>
      </c>
      <c r="V267" s="9" t="n">
        <v>47</v>
      </c>
      <c r="W267" s="17" t="n">
        <v>7.55</v>
      </c>
      <c r="X267" s="17" t="n">
        <v>354.85</v>
      </c>
      <c r="Y267" s="17" t="n">
        <f aca="false">IF(ISNUMBER(X267),X267-S267,"")</f>
        <v>0</v>
      </c>
      <c r="Z267" s="17" t="n">
        <f aca="false">IF(ISNUMBER(X267),X267-S267,-S267)</f>
        <v>0</v>
      </c>
      <c r="AA267" s="9" t="str">
        <f aca="false">IF(NOT(ISNUMBER(X267)),"NO AUGUST POSTING IN EXPORT",IF(ABS(Y267)&gt;=0.005,"POSTED CHARGE MISMATCH",IF(P267&gt;0,"MATCH - COVERED ELIGIBILITY EXCEPTION","MATCH")))</f>
        <v>MATCH</v>
      </c>
      <c r="AB267" s="9" t="s">
        <v>3638</v>
      </c>
    </row>
    <row r="268" customFormat="false" ht="15" hidden="false" customHeight="false" outlineLevel="0" collapsed="false">
      <c r="A268" s="13" t="s">
        <v>3639</v>
      </c>
      <c r="B268" s="13" t="s">
        <v>155</v>
      </c>
      <c r="C268" s="13" t="s">
        <v>146</v>
      </c>
      <c r="D268" s="13" t="s">
        <v>2002</v>
      </c>
      <c r="E268" s="13" t="s">
        <v>2319</v>
      </c>
      <c r="F268" s="13" t="s">
        <v>3640</v>
      </c>
      <c r="G268" s="13" t="s">
        <v>3641</v>
      </c>
      <c r="H268" s="13" t="s">
        <v>2210</v>
      </c>
      <c r="I268" s="15" t="n">
        <v>32</v>
      </c>
      <c r="J268" s="15" t="n">
        <v>41.2</v>
      </c>
      <c r="K268" s="15"/>
      <c r="L268" s="15"/>
      <c r="M268" s="15" t="n">
        <f aca="false">IF(ISNUMBER(L268),L268,J268)</f>
        <v>41.2</v>
      </c>
      <c r="N268" s="15" t="n">
        <f aca="false">ROUNDUP(M268,0)</f>
        <v>42</v>
      </c>
      <c r="O268" s="15" t="n">
        <f aca="false">MAX(I268,N268)</f>
        <v>42</v>
      </c>
      <c r="P268" s="15" t="n">
        <f aca="false">IF(C268="COVERED",MAX(0,O268-40),0)</f>
        <v>0</v>
      </c>
      <c r="Q268" s="15" t="n">
        <f aca="false">O268</f>
        <v>42</v>
      </c>
      <c r="R268" s="18" t="n">
        <f aca="false">IF(C268="COVERED",10.4,7.55)</f>
        <v>7.55</v>
      </c>
      <c r="S268" s="18" t="n">
        <f aca="false">Q268*R268</f>
        <v>317.1</v>
      </c>
      <c r="T268" s="13" t="s">
        <v>3642</v>
      </c>
      <c r="U268" s="14" t="n">
        <v>46235</v>
      </c>
      <c r="V268" s="13" t="n">
        <v>42</v>
      </c>
      <c r="W268" s="18" t="n">
        <v>7.55</v>
      </c>
      <c r="X268" s="18" t="n">
        <v>317.1</v>
      </c>
      <c r="Y268" s="18" t="n">
        <f aca="false">IF(ISNUMBER(X268),X268-S268,"")</f>
        <v>0</v>
      </c>
      <c r="Z268" s="18" t="n">
        <f aca="false">IF(ISNUMBER(X268),X268-S268,-S268)</f>
        <v>0</v>
      </c>
      <c r="AA268" s="13" t="str">
        <f aca="false">IF(NOT(ISNUMBER(X268)),"NO AUGUST POSTING IN EXPORT",IF(ABS(Y268)&gt;=0.005,"POSTED CHARGE MISMATCH",IF(P268&gt;0,"MATCH - COVERED ELIGIBILITY EXCEPTION","MATCH")))</f>
        <v>MATCH</v>
      </c>
      <c r="AB268" s="13" t="s">
        <v>3643</v>
      </c>
    </row>
    <row r="269" customFormat="false" ht="15" hidden="false" customHeight="false" outlineLevel="0" collapsed="false">
      <c r="A269" s="9" t="s">
        <v>3644</v>
      </c>
      <c r="B269" s="9" t="s">
        <v>155</v>
      </c>
      <c r="C269" s="9" t="s">
        <v>146</v>
      </c>
      <c r="D269" s="9" t="s">
        <v>2002</v>
      </c>
      <c r="E269" s="9" t="s">
        <v>2326</v>
      </c>
      <c r="F269" s="9" t="s">
        <v>3645</v>
      </c>
      <c r="G269" s="9" t="s">
        <v>3646</v>
      </c>
      <c r="H269" s="9" t="s">
        <v>3647</v>
      </c>
      <c r="I269" s="11" t="n">
        <v>60</v>
      </c>
      <c r="J269" s="11" t="n">
        <v>51.5</v>
      </c>
      <c r="K269" s="11"/>
      <c r="L269" s="11"/>
      <c r="M269" s="11" t="n">
        <f aca="false">IF(ISNUMBER(L269),L269,J269)</f>
        <v>51.5</v>
      </c>
      <c r="N269" s="11" t="n">
        <f aca="false">ROUNDUP(M269,0)</f>
        <v>52</v>
      </c>
      <c r="O269" s="11" t="n">
        <f aca="false">MAX(I269,N269)</f>
        <v>60</v>
      </c>
      <c r="P269" s="11" t="n">
        <f aca="false">IF(C269="COVERED",MAX(0,O269-40),0)</f>
        <v>0</v>
      </c>
      <c r="Q269" s="11" t="n">
        <f aca="false">O269</f>
        <v>60</v>
      </c>
      <c r="R269" s="17" t="n">
        <f aca="false">IF(C269="COVERED",10.4,7.55)</f>
        <v>7.55</v>
      </c>
      <c r="S269" s="17" t="n">
        <f aca="false">Q269*R269</f>
        <v>453</v>
      </c>
      <c r="T269" s="9" t="s">
        <v>3648</v>
      </c>
      <c r="U269" s="10" t="n">
        <v>46235</v>
      </c>
      <c r="V269" s="9" t="n">
        <v>60</v>
      </c>
      <c r="W269" s="17" t="n">
        <v>7.55</v>
      </c>
      <c r="X269" s="17" t="n">
        <v>453</v>
      </c>
      <c r="Y269" s="17" t="n">
        <f aca="false">IF(ISNUMBER(X269),X269-S269,"")</f>
        <v>0</v>
      </c>
      <c r="Z269" s="17" t="n">
        <f aca="false">IF(ISNUMBER(X269),X269-S269,-S269)</f>
        <v>0</v>
      </c>
      <c r="AA269" s="9" t="str">
        <f aca="false">IF(NOT(ISNUMBER(X269)),"NO AUGUST POSTING IN EXPORT",IF(ABS(Y269)&gt;=0.005,"POSTED CHARGE MISMATCH",IF(P269&gt;0,"MATCH - COVERED ELIGIBILITY EXCEPTION","MATCH")))</f>
        <v>MATCH</v>
      </c>
      <c r="AB269" s="9" t="s">
        <v>3649</v>
      </c>
    </row>
    <row r="270" customFormat="false" ht="15" hidden="false" customHeight="false" outlineLevel="0" collapsed="false">
      <c r="A270" s="13" t="s">
        <v>3650</v>
      </c>
      <c r="B270" s="13" t="s">
        <v>155</v>
      </c>
      <c r="C270" s="13" t="s">
        <v>146</v>
      </c>
      <c r="D270" s="13" t="s">
        <v>2002</v>
      </c>
      <c r="E270" s="13" t="s">
        <v>2333</v>
      </c>
      <c r="F270" s="13" t="s">
        <v>3651</v>
      </c>
      <c r="G270" s="13" t="s">
        <v>3652</v>
      </c>
      <c r="H270" s="13" t="s">
        <v>2020</v>
      </c>
      <c r="I270" s="15" t="n">
        <v>40</v>
      </c>
      <c r="J270" s="15" t="n">
        <v>48.5</v>
      </c>
      <c r="K270" s="15"/>
      <c r="L270" s="15"/>
      <c r="M270" s="15" t="n">
        <f aca="false">IF(ISNUMBER(L270),L270,J270)</f>
        <v>48.5</v>
      </c>
      <c r="N270" s="15" t="n">
        <f aca="false">ROUNDUP(M270,0)</f>
        <v>49</v>
      </c>
      <c r="O270" s="15" t="n">
        <f aca="false">MAX(I270,N270)</f>
        <v>49</v>
      </c>
      <c r="P270" s="15" t="n">
        <f aca="false">IF(C270="COVERED",MAX(0,O270-40),0)</f>
        <v>0</v>
      </c>
      <c r="Q270" s="15" t="n">
        <f aca="false">O270</f>
        <v>49</v>
      </c>
      <c r="R270" s="18" t="n">
        <f aca="false">IF(C270="COVERED",10.4,7.55)</f>
        <v>7.55</v>
      </c>
      <c r="S270" s="18" t="n">
        <f aca="false">Q270*R270</f>
        <v>369.95</v>
      </c>
      <c r="T270" s="13" t="s">
        <v>3653</v>
      </c>
      <c r="U270" s="14" t="n">
        <v>46235</v>
      </c>
      <c r="V270" s="13" t="n">
        <v>49</v>
      </c>
      <c r="W270" s="18" t="n">
        <v>7.55</v>
      </c>
      <c r="X270" s="18" t="n">
        <v>369.95</v>
      </c>
      <c r="Y270" s="18" t="n">
        <f aca="false">IF(ISNUMBER(X270),X270-S270,"")</f>
        <v>0</v>
      </c>
      <c r="Z270" s="18" t="n">
        <f aca="false">IF(ISNUMBER(X270),X270-S270,-S270)</f>
        <v>0</v>
      </c>
      <c r="AA270" s="13" t="str">
        <f aca="false">IF(NOT(ISNUMBER(X270)),"NO AUGUST POSTING IN EXPORT",IF(ABS(Y270)&gt;=0.005,"POSTED CHARGE MISMATCH",IF(P270&gt;0,"MATCH - COVERED ELIGIBILITY EXCEPTION","MATCH")))</f>
        <v>MATCH</v>
      </c>
      <c r="AB270" s="13" t="s">
        <v>3654</v>
      </c>
    </row>
    <row r="271" customFormat="false" ht="15" hidden="false" customHeight="false" outlineLevel="0" collapsed="false">
      <c r="A271" s="9" t="s">
        <v>3655</v>
      </c>
      <c r="B271" s="9" t="s">
        <v>155</v>
      </c>
      <c r="C271" s="9" t="s">
        <v>146</v>
      </c>
      <c r="D271" s="9" t="s">
        <v>2002</v>
      </c>
      <c r="E271" s="9" t="s">
        <v>3656</v>
      </c>
      <c r="F271" s="9" t="s">
        <v>3657</v>
      </c>
      <c r="G271" s="9" t="s">
        <v>3658</v>
      </c>
      <c r="H271" s="9" t="s">
        <v>3506</v>
      </c>
      <c r="I271" s="11" t="n">
        <v>36</v>
      </c>
      <c r="J271" s="11" t="n">
        <v>20.4</v>
      </c>
      <c r="K271" s="11"/>
      <c r="L271" s="11"/>
      <c r="M271" s="11" t="n">
        <f aca="false">IF(ISNUMBER(L271),L271,J271)</f>
        <v>20.4</v>
      </c>
      <c r="N271" s="11" t="n">
        <f aca="false">ROUNDUP(M271,0)</f>
        <v>21</v>
      </c>
      <c r="O271" s="11" t="n">
        <f aca="false">MAX(I271,N271)</f>
        <v>36</v>
      </c>
      <c r="P271" s="11" t="n">
        <f aca="false">IF(C271="COVERED",MAX(0,O271-40),0)</f>
        <v>0</v>
      </c>
      <c r="Q271" s="11" t="n">
        <f aca="false">O271</f>
        <v>36</v>
      </c>
      <c r="R271" s="17" t="n">
        <f aca="false">IF(C271="COVERED",10.4,7.55)</f>
        <v>7.55</v>
      </c>
      <c r="S271" s="17" t="n">
        <f aca="false">Q271*R271</f>
        <v>271.8</v>
      </c>
      <c r="T271" s="9" t="s">
        <v>3659</v>
      </c>
      <c r="U271" s="10" t="n">
        <v>46235</v>
      </c>
      <c r="V271" s="9" t="n">
        <v>36</v>
      </c>
      <c r="W271" s="17" t="n">
        <v>7.55</v>
      </c>
      <c r="X271" s="17" t="n">
        <v>271.8</v>
      </c>
      <c r="Y271" s="17" t="n">
        <f aca="false">IF(ISNUMBER(X271),X271-S271,"")</f>
        <v>0</v>
      </c>
      <c r="Z271" s="17" t="n">
        <f aca="false">IF(ISNUMBER(X271),X271-S271,-S271)</f>
        <v>0</v>
      </c>
      <c r="AA271" s="9" t="str">
        <f aca="false">IF(NOT(ISNUMBER(X271)),"NO AUGUST POSTING IN EXPORT",IF(ABS(Y271)&gt;=0.005,"POSTED CHARGE MISMATCH",IF(P271&gt;0,"MATCH - COVERED ELIGIBILITY EXCEPTION","MATCH")))</f>
        <v>MATCH</v>
      </c>
      <c r="AB271" s="9" t="s">
        <v>3660</v>
      </c>
    </row>
    <row r="272" customFormat="false" ht="15" hidden="false" customHeight="false" outlineLevel="0" collapsed="false">
      <c r="A272" s="13" t="s">
        <v>3661</v>
      </c>
      <c r="B272" s="13" t="s">
        <v>155</v>
      </c>
      <c r="C272" s="13" t="s">
        <v>146</v>
      </c>
      <c r="D272" s="13" t="s">
        <v>2002</v>
      </c>
      <c r="E272" s="13" t="s">
        <v>2347</v>
      </c>
      <c r="F272" s="13" t="s">
        <v>3662</v>
      </c>
      <c r="G272" s="13" t="s">
        <v>3663</v>
      </c>
      <c r="H272" s="13" t="s">
        <v>3664</v>
      </c>
      <c r="I272" s="15" t="n">
        <v>70</v>
      </c>
      <c r="J272" s="15" t="n">
        <v>51.7</v>
      </c>
      <c r="K272" s="15"/>
      <c r="L272" s="15"/>
      <c r="M272" s="15" t="n">
        <f aca="false">IF(ISNUMBER(L272),L272,J272)</f>
        <v>51.7</v>
      </c>
      <c r="N272" s="15" t="n">
        <f aca="false">ROUNDUP(M272,0)</f>
        <v>52</v>
      </c>
      <c r="O272" s="15" t="n">
        <f aca="false">MAX(I272,N272)</f>
        <v>70</v>
      </c>
      <c r="P272" s="15" t="n">
        <f aca="false">IF(C272="COVERED",MAX(0,O272-40),0)</f>
        <v>0</v>
      </c>
      <c r="Q272" s="15" t="n">
        <f aca="false">O272</f>
        <v>70</v>
      </c>
      <c r="R272" s="18" t="n">
        <f aca="false">IF(C272="COVERED",10.4,7.55)</f>
        <v>7.55</v>
      </c>
      <c r="S272" s="18" t="n">
        <f aca="false">Q272*R272</f>
        <v>528.5</v>
      </c>
      <c r="T272" s="13" t="s">
        <v>3665</v>
      </c>
      <c r="U272" s="14" t="n">
        <v>46235</v>
      </c>
      <c r="V272" s="13" t="n">
        <v>70</v>
      </c>
      <c r="W272" s="18" t="n">
        <v>7.55</v>
      </c>
      <c r="X272" s="18" t="n">
        <v>528.5</v>
      </c>
      <c r="Y272" s="18" t="n">
        <f aca="false">IF(ISNUMBER(X272),X272-S272,"")</f>
        <v>0</v>
      </c>
      <c r="Z272" s="18" t="n">
        <f aca="false">IF(ISNUMBER(X272),X272-S272,-S272)</f>
        <v>0</v>
      </c>
      <c r="AA272" s="13" t="str">
        <f aca="false">IF(NOT(ISNUMBER(X272)),"NO AUGUST POSTING IN EXPORT",IF(ABS(Y272)&gt;=0.005,"POSTED CHARGE MISMATCH",IF(P272&gt;0,"MATCH - COVERED ELIGIBILITY EXCEPTION","MATCH")))</f>
        <v>MATCH</v>
      </c>
      <c r="AB272" s="13" t="s">
        <v>3666</v>
      </c>
    </row>
    <row r="273" customFormat="false" ht="15" hidden="false" customHeight="false" outlineLevel="0" collapsed="false">
      <c r="A273" s="9" t="s">
        <v>3667</v>
      </c>
      <c r="B273" s="9" t="s">
        <v>155</v>
      </c>
      <c r="C273" s="9" t="s">
        <v>146</v>
      </c>
      <c r="D273" s="9" t="s">
        <v>2002</v>
      </c>
      <c r="E273" s="9" t="s">
        <v>2354</v>
      </c>
      <c r="F273" s="9" t="s">
        <v>1545</v>
      </c>
      <c r="G273" s="9" t="s">
        <v>1546</v>
      </c>
      <c r="H273" s="9" t="s">
        <v>3668</v>
      </c>
      <c r="I273" s="11" t="n">
        <v>32</v>
      </c>
      <c r="J273" s="11" t="n">
        <v>60.7</v>
      </c>
      <c r="K273" s="11"/>
      <c r="L273" s="11"/>
      <c r="M273" s="11" t="n">
        <f aca="false">IF(ISNUMBER(L273),L273,J273)</f>
        <v>60.7</v>
      </c>
      <c r="N273" s="11" t="n">
        <f aca="false">ROUNDUP(M273,0)</f>
        <v>61</v>
      </c>
      <c r="O273" s="11" t="n">
        <f aca="false">MAX(I273,N273)</f>
        <v>61</v>
      </c>
      <c r="P273" s="11" t="n">
        <f aca="false">IF(C273="COVERED",MAX(0,O273-40),0)</f>
        <v>0</v>
      </c>
      <c r="Q273" s="11" t="n">
        <f aca="false">O273</f>
        <v>61</v>
      </c>
      <c r="R273" s="17" t="n">
        <f aca="false">IF(C273="COVERED",10.4,7.55)</f>
        <v>7.55</v>
      </c>
      <c r="S273" s="17" t="n">
        <f aca="false">Q273*R273</f>
        <v>460.55</v>
      </c>
      <c r="T273" s="9" t="s">
        <v>3669</v>
      </c>
      <c r="U273" s="10" t="n">
        <v>46235</v>
      </c>
      <c r="V273" s="9" t="n">
        <v>61</v>
      </c>
      <c r="W273" s="17" t="n">
        <v>7.55</v>
      </c>
      <c r="X273" s="17" t="n">
        <v>460.55</v>
      </c>
      <c r="Y273" s="17" t="n">
        <f aca="false">IF(ISNUMBER(X273),X273-S273,"")</f>
        <v>0</v>
      </c>
      <c r="Z273" s="17" t="n">
        <f aca="false">IF(ISNUMBER(X273),X273-S273,-S273)</f>
        <v>0</v>
      </c>
      <c r="AA273" s="9" t="str">
        <f aca="false">IF(NOT(ISNUMBER(X273)),"NO AUGUST POSTING IN EXPORT",IF(ABS(Y273)&gt;=0.005,"POSTED CHARGE MISMATCH",IF(P273&gt;0,"MATCH - COVERED ELIGIBILITY EXCEPTION","MATCH")))</f>
        <v>MATCH</v>
      </c>
      <c r="AB273" s="9" t="s">
        <v>3670</v>
      </c>
    </row>
    <row r="274" customFormat="false" ht="15" hidden="false" customHeight="false" outlineLevel="0" collapsed="false">
      <c r="A274" s="13" t="s">
        <v>3671</v>
      </c>
      <c r="B274" s="13" t="s">
        <v>155</v>
      </c>
      <c r="C274" s="13" t="s">
        <v>146</v>
      </c>
      <c r="D274" s="13" t="s">
        <v>2002</v>
      </c>
      <c r="E274" s="13" t="s">
        <v>2368</v>
      </c>
      <c r="F274" s="13" t="s">
        <v>1751</v>
      </c>
      <c r="G274" s="13" t="s">
        <v>1752</v>
      </c>
      <c r="H274" s="13" t="s">
        <v>3512</v>
      </c>
      <c r="I274" s="15" t="n">
        <v>32</v>
      </c>
      <c r="J274" s="15" t="n">
        <v>58.4</v>
      </c>
      <c r="K274" s="15"/>
      <c r="L274" s="15"/>
      <c r="M274" s="15" t="n">
        <f aca="false">IF(ISNUMBER(L274),L274,J274)</f>
        <v>58.4</v>
      </c>
      <c r="N274" s="15" t="n">
        <f aca="false">ROUNDUP(M274,0)</f>
        <v>59</v>
      </c>
      <c r="O274" s="15" t="n">
        <f aca="false">MAX(I274,N274)</f>
        <v>59</v>
      </c>
      <c r="P274" s="15" t="n">
        <f aca="false">IF(C274="COVERED",MAX(0,O274-40),0)</f>
        <v>0</v>
      </c>
      <c r="Q274" s="15" t="n">
        <f aca="false">O274</f>
        <v>59</v>
      </c>
      <c r="R274" s="18" t="n">
        <f aca="false">IF(C274="COVERED",10.4,7.55)</f>
        <v>7.55</v>
      </c>
      <c r="S274" s="18" t="n">
        <f aca="false">Q274*R274</f>
        <v>445.45</v>
      </c>
      <c r="T274" s="13" t="s">
        <v>3672</v>
      </c>
      <c r="U274" s="14" t="n">
        <v>46235</v>
      </c>
      <c r="V274" s="13" t="n">
        <v>59</v>
      </c>
      <c r="W274" s="18" t="n">
        <v>7.55</v>
      </c>
      <c r="X274" s="18" t="n">
        <v>445.45</v>
      </c>
      <c r="Y274" s="18" t="n">
        <f aca="false">IF(ISNUMBER(X274),X274-S274,"")</f>
        <v>0</v>
      </c>
      <c r="Z274" s="18" t="n">
        <f aca="false">IF(ISNUMBER(X274),X274-S274,-S274)</f>
        <v>0</v>
      </c>
      <c r="AA274" s="13" t="str">
        <f aca="false">IF(NOT(ISNUMBER(X274)),"NO AUGUST POSTING IN EXPORT",IF(ABS(Y274)&gt;=0.005,"POSTED CHARGE MISMATCH",IF(P274&gt;0,"MATCH - COVERED ELIGIBILITY EXCEPTION","MATCH")))</f>
        <v>MATCH</v>
      </c>
      <c r="AB274" s="13" t="s">
        <v>3673</v>
      </c>
    </row>
    <row r="275" customFormat="false" ht="15" hidden="false" customHeight="false" outlineLevel="0" collapsed="false">
      <c r="A275" s="9" t="s">
        <v>3674</v>
      </c>
      <c r="B275" s="9" t="s">
        <v>155</v>
      </c>
      <c r="C275" s="9" t="s">
        <v>146</v>
      </c>
      <c r="D275" s="9" t="s">
        <v>2002</v>
      </c>
      <c r="E275" s="9" t="s">
        <v>2375</v>
      </c>
      <c r="F275" s="9" t="s">
        <v>3675</v>
      </c>
      <c r="G275" s="9" t="s">
        <v>3676</v>
      </c>
      <c r="H275" s="9" t="s">
        <v>2527</v>
      </c>
      <c r="I275" s="11" t="n">
        <v>32</v>
      </c>
      <c r="J275" s="11" t="n">
        <v>25.6</v>
      </c>
      <c r="K275" s="11"/>
      <c r="L275" s="11"/>
      <c r="M275" s="11" t="n">
        <f aca="false">IF(ISNUMBER(L275),L275,J275)</f>
        <v>25.6</v>
      </c>
      <c r="N275" s="11" t="n">
        <f aca="false">ROUNDUP(M275,0)</f>
        <v>26</v>
      </c>
      <c r="O275" s="11" t="n">
        <f aca="false">MAX(I275,N275)</f>
        <v>32</v>
      </c>
      <c r="P275" s="11" t="n">
        <f aca="false">IF(C275="COVERED",MAX(0,O275-40),0)</f>
        <v>0</v>
      </c>
      <c r="Q275" s="11" t="n">
        <f aca="false">O275</f>
        <v>32</v>
      </c>
      <c r="R275" s="17" t="n">
        <f aca="false">IF(C275="COVERED",10.4,7.55)</f>
        <v>7.55</v>
      </c>
      <c r="S275" s="17" t="n">
        <f aca="false">Q275*R275</f>
        <v>241.6</v>
      </c>
      <c r="T275" s="9" t="s">
        <v>3677</v>
      </c>
      <c r="U275" s="10" t="n">
        <v>46235</v>
      </c>
      <c r="V275" s="9" t="n">
        <v>32</v>
      </c>
      <c r="W275" s="17" t="n">
        <v>7.55</v>
      </c>
      <c r="X275" s="17" t="n">
        <v>241.6</v>
      </c>
      <c r="Y275" s="17" t="n">
        <f aca="false">IF(ISNUMBER(X275),X275-S275,"")</f>
        <v>0</v>
      </c>
      <c r="Z275" s="17" t="n">
        <f aca="false">IF(ISNUMBER(X275),X275-S275,-S275)</f>
        <v>0</v>
      </c>
      <c r="AA275" s="9" t="str">
        <f aca="false">IF(NOT(ISNUMBER(X275)),"NO AUGUST POSTING IN EXPORT",IF(ABS(Y275)&gt;=0.005,"POSTED CHARGE MISMATCH",IF(P275&gt;0,"MATCH - COVERED ELIGIBILITY EXCEPTION","MATCH")))</f>
        <v>MATCH</v>
      </c>
      <c r="AB275" s="9" t="s">
        <v>3678</v>
      </c>
    </row>
    <row r="276" customFormat="false" ht="15" hidden="false" customHeight="false" outlineLevel="0" collapsed="false">
      <c r="A276" s="13" t="s">
        <v>3679</v>
      </c>
      <c r="B276" s="13" t="s">
        <v>155</v>
      </c>
      <c r="C276" s="13" t="s">
        <v>146</v>
      </c>
      <c r="D276" s="13" t="s">
        <v>2002</v>
      </c>
      <c r="E276" s="13" t="s">
        <v>2382</v>
      </c>
      <c r="F276" s="13" t="s">
        <v>3680</v>
      </c>
      <c r="G276" s="13" t="s">
        <v>3681</v>
      </c>
      <c r="H276" s="13" t="s">
        <v>2075</v>
      </c>
      <c r="I276" s="15" t="n">
        <v>32</v>
      </c>
      <c r="J276" s="15" t="n">
        <v>58.8</v>
      </c>
      <c r="K276" s="15"/>
      <c r="L276" s="15"/>
      <c r="M276" s="15" t="n">
        <f aca="false">IF(ISNUMBER(L276),L276,J276)</f>
        <v>58.8</v>
      </c>
      <c r="N276" s="15" t="n">
        <f aca="false">ROUNDUP(M276,0)</f>
        <v>59</v>
      </c>
      <c r="O276" s="15" t="n">
        <f aca="false">MAX(I276,N276)</f>
        <v>59</v>
      </c>
      <c r="P276" s="15" t="n">
        <f aca="false">IF(C276="COVERED",MAX(0,O276-40),0)</f>
        <v>0</v>
      </c>
      <c r="Q276" s="15" t="n">
        <f aca="false">O276</f>
        <v>59</v>
      </c>
      <c r="R276" s="18" t="n">
        <f aca="false">IF(C276="COVERED",10.4,7.55)</f>
        <v>7.55</v>
      </c>
      <c r="S276" s="18" t="n">
        <f aca="false">Q276*R276</f>
        <v>445.45</v>
      </c>
      <c r="T276" s="13" t="s">
        <v>3682</v>
      </c>
      <c r="U276" s="14" t="n">
        <v>46235</v>
      </c>
      <c r="V276" s="13" t="n">
        <v>59</v>
      </c>
      <c r="W276" s="18" t="n">
        <v>7.55</v>
      </c>
      <c r="X276" s="18" t="n">
        <v>445.45</v>
      </c>
      <c r="Y276" s="18" t="n">
        <f aca="false">IF(ISNUMBER(X276),X276-S276,"")</f>
        <v>0</v>
      </c>
      <c r="Z276" s="18" t="n">
        <f aca="false">IF(ISNUMBER(X276),X276-S276,-S276)</f>
        <v>0</v>
      </c>
      <c r="AA276" s="13" t="str">
        <f aca="false">IF(NOT(ISNUMBER(X276)),"NO AUGUST POSTING IN EXPORT",IF(ABS(Y276)&gt;=0.005,"POSTED CHARGE MISMATCH",IF(P276&gt;0,"MATCH - COVERED ELIGIBILITY EXCEPTION","MATCH")))</f>
        <v>MATCH</v>
      </c>
      <c r="AB276" s="13" t="s">
        <v>3683</v>
      </c>
    </row>
    <row r="277" customFormat="false" ht="15" hidden="false" customHeight="false" outlineLevel="0" collapsed="false">
      <c r="A277" s="9" t="s">
        <v>3684</v>
      </c>
      <c r="B277" s="9" t="s">
        <v>155</v>
      </c>
      <c r="C277" s="9" t="s">
        <v>146</v>
      </c>
      <c r="D277" s="9" t="s">
        <v>2002</v>
      </c>
      <c r="E277" s="9" t="s">
        <v>2389</v>
      </c>
      <c r="F277" s="9" t="s">
        <v>3685</v>
      </c>
      <c r="G277" s="9" t="s">
        <v>3686</v>
      </c>
      <c r="H277" s="9" t="s">
        <v>2481</v>
      </c>
      <c r="I277" s="11" t="n">
        <v>28</v>
      </c>
      <c r="J277" s="11" t="n">
        <v>32.1</v>
      </c>
      <c r="K277" s="11"/>
      <c r="L277" s="11"/>
      <c r="M277" s="11" t="n">
        <f aca="false">IF(ISNUMBER(L277),L277,J277)</f>
        <v>32.1</v>
      </c>
      <c r="N277" s="11" t="n">
        <f aca="false">ROUNDUP(M277,0)</f>
        <v>33</v>
      </c>
      <c r="O277" s="11" t="n">
        <f aca="false">MAX(I277,N277)</f>
        <v>33</v>
      </c>
      <c r="P277" s="11" t="n">
        <f aca="false">IF(C277="COVERED",MAX(0,O277-40),0)</f>
        <v>0</v>
      </c>
      <c r="Q277" s="11" t="n">
        <f aca="false">O277</f>
        <v>33</v>
      </c>
      <c r="R277" s="17" t="n">
        <f aca="false">IF(C277="COVERED",10.4,7.55)</f>
        <v>7.55</v>
      </c>
      <c r="S277" s="17" t="n">
        <f aca="false">Q277*R277</f>
        <v>249.15</v>
      </c>
      <c r="T277" s="9" t="s">
        <v>3687</v>
      </c>
      <c r="U277" s="10" t="n">
        <v>46235</v>
      </c>
      <c r="V277" s="9" t="n">
        <v>33</v>
      </c>
      <c r="W277" s="17" t="n">
        <v>7.55</v>
      </c>
      <c r="X277" s="17" t="n">
        <v>249.15</v>
      </c>
      <c r="Y277" s="17" t="n">
        <f aca="false">IF(ISNUMBER(X277),X277-S277,"")</f>
        <v>0</v>
      </c>
      <c r="Z277" s="17" t="n">
        <f aca="false">IF(ISNUMBER(X277),X277-S277,-S277)</f>
        <v>0</v>
      </c>
      <c r="AA277" s="9" t="str">
        <f aca="false">IF(NOT(ISNUMBER(X277)),"NO AUGUST POSTING IN EXPORT",IF(ABS(Y277)&gt;=0.005,"POSTED CHARGE MISMATCH",IF(P277&gt;0,"MATCH - COVERED ELIGIBILITY EXCEPTION","MATCH")))</f>
        <v>MATCH</v>
      </c>
      <c r="AB277" s="9" t="s">
        <v>3688</v>
      </c>
    </row>
    <row r="278" customFormat="false" ht="15" hidden="false" customHeight="false" outlineLevel="0" collapsed="false">
      <c r="A278" s="13" t="s">
        <v>3689</v>
      </c>
      <c r="B278" s="13" t="s">
        <v>155</v>
      </c>
      <c r="C278" s="13" t="s">
        <v>146</v>
      </c>
      <c r="D278" s="13" t="s">
        <v>2002</v>
      </c>
      <c r="E278" s="13" t="s">
        <v>3690</v>
      </c>
      <c r="F278" s="13" t="s">
        <v>3691</v>
      </c>
      <c r="G278" s="13" t="s">
        <v>3692</v>
      </c>
      <c r="H278" s="13" t="s">
        <v>3693</v>
      </c>
      <c r="I278" s="15" t="n">
        <v>36</v>
      </c>
      <c r="J278" s="15" t="n">
        <v>42.3</v>
      </c>
      <c r="K278" s="15"/>
      <c r="L278" s="15"/>
      <c r="M278" s="15" t="n">
        <f aca="false">IF(ISNUMBER(L278),L278,J278)</f>
        <v>42.3</v>
      </c>
      <c r="N278" s="15" t="n">
        <f aca="false">ROUNDUP(M278,0)</f>
        <v>43</v>
      </c>
      <c r="O278" s="15" t="n">
        <f aca="false">MAX(I278,N278)</f>
        <v>43</v>
      </c>
      <c r="P278" s="15" t="n">
        <f aca="false">IF(C278="COVERED",MAX(0,O278-40),0)</f>
        <v>0</v>
      </c>
      <c r="Q278" s="15" t="n">
        <f aca="false">O278</f>
        <v>43</v>
      </c>
      <c r="R278" s="18" t="n">
        <f aca="false">IF(C278="COVERED",10.4,7.55)</f>
        <v>7.55</v>
      </c>
      <c r="S278" s="18" t="n">
        <f aca="false">Q278*R278</f>
        <v>324.65</v>
      </c>
      <c r="T278" s="13" t="s">
        <v>3694</v>
      </c>
      <c r="U278" s="14" t="n">
        <v>46235</v>
      </c>
      <c r="V278" s="13" t="n">
        <v>43</v>
      </c>
      <c r="W278" s="18" t="n">
        <v>7.55</v>
      </c>
      <c r="X278" s="18" t="n">
        <v>324.65</v>
      </c>
      <c r="Y278" s="18" t="n">
        <f aca="false">IF(ISNUMBER(X278),X278-S278,"")</f>
        <v>0</v>
      </c>
      <c r="Z278" s="18" t="n">
        <f aca="false">IF(ISNUMBER(X278),X278-S278,-S278)</f>
        <v>0</v>
      </c>
      <c r="AA278" s="13" t="str">
        <f aca="false">IF(NOT(ISNUMBER(X278)),"NO AUGUST POSTING IN EXPORT",IF(ABS(Y278)&gt;=0.005,"POSTED CHARGE MISMATCH",IF(P278&gt;0,"MATCH - COVERED ELIGIBILITY EXCEPTION","MATCH")))</f>
        <v>MATCH</v>
      </c>
      <c r="AB278" s="13" t="s">
        <v>3695</v>
      </c>
    </row>
    <row r="279" customFormat="false" ht="15" hidden="false" customHeight="false" outlineLevel="0" collapsed="false">
      <c r="A279" s="9" t="s">
        <v>3696</v>
      </c>
      <c r="B279" s="9" t="s">
        <v>155</v>
      </c>
      <c r="C279" s="9" t="s">
        <v>146</v>
      </c>
      <c r="D279" s="9" t="s">
        <v>2002</v>
      </c>
      <c r="E279" s="9" t="s">
        <v>2401</v>
      </c>
      <c r="F279" s="9" t="s">
        <v>3697</v>
      </c>
      <c r="G279" s="9" t="s">
        <v>3698</v>
      </c>
      <c r="H279" s="9" t="s">
        <v>3699</v>
      </c>
      <c r="I279" s="11" t="n">
        <v>45</v>
      </c>
      <c r="J279" s="11" t="n">
        <v>58</v>
      </c>
      <c r="K279" s="11"/>
      <c r="L279" s="11"/>
      <c r="M279" s="11" t="n">
        <f aca="false">IF(ISNUMBER(L279),L279,J279)</f>
        <v>58</v>
      </c>
      <c r="N279" s="11" t="n">
        <f aca="false">ROUNDUP(M279,0)</f>
        <v>58</v>
      </c>
      <c r="O279" s="11" t="n">
        <f aca="false">MAX(I279,N279)</f>
        <v>58</v>
      </c>
      <c r="P279" s="11" t="n">
        <f aca="false">IF(C279="COVERED",MAX(0,O279-40),0)</f>
        <v>0</v>
      </c>
      <c r="Q279" s="11" t="n">
        <f aca="false">O279</f>
        <v>58</v>
      </c>
      <c r="R279" s="17" t="n">
        <f aca="false">IF(C279="COVERED",10.4,7.55)</f>
        <v>7.55</v>
      </c>
      <c r="S279" s="17" t="n">
        <f aca="false">Q279*R279</f>
        <v>437.9</v>
      </c>
      <c r="T279" s="9" t="s">
        <v>3700</v>
      </c>
      <c r="U279" s="10" t="n">
        <v>46235</v>
      </c>
      <c r="V279" s="9" t="n">
        <v>58</v>
      </c>
      <c r="W279" s="17" t="n">
        <v>7.55</v>
      </c>
      <c r="X279" s="17" t="n">
        <v>437.9</v>
      </c>
      <c r="Y279" s="17" t="n">
        <f aca="false">IF(ISNUMBER(X279),X279-S279,"")</f>
        <v>0</v>
      </c>
      <c r="Z279" s="17" t="n">
        <f aca="false">IF(ISNUMBER(X279),X279-S279,-S279)</f>
        <v>0</v>
      </c>
      <c r="AA279" s="9" t="str">
        <f aca="false">IF(NOT(ISNUMBER(X279)),"NO AUGUST POSTING IN EXPORT",IF(ABS(Y279)&gt;=0.005,"POSTED CHARGE MISMATCH",IF(P279&gt;0,"MATCH - COVERED ELIGIBILITY EXCEPTION","MATCH")))</f>
        <v>MATCH</v>
      </c>
      <c r="AB279" s="9" t="s">
        <v>3701</v>
      </c>
    </row>
    <row r="280" customFormat="false" ht="15" hidden="false" customHeight="false" outlineLevel="0" collapsed="false">
      <c r="A280" s="13" t="s">
        <v>3702</v>
      </c>
      <c r="B280" s="13" t="s">
        <v>155</v>
      </c>
      <c r="C280" s="13" t="s">
        <v>146</v>
      </c>
      <c r="D280" s="13" t="s">
        <v>2002</v>
      </c>
      <c r="E280" s="13" t="s">
        <v>2408</v>
      </c>
      <c r="F280" s="13" t="s">
        <v>3703</v>
      </c>
      <c r="G280" s="13" t="s">
        <v>3704</v>
      </c>
      <c r="H280" s="13" t="s">
        <v>2841</v>
      </c>
      <c r="I280" s="15" t="n">
        <v>45</v>
      </c>
      <c r="J280" s="15" t="n">
        <v>30.1</v>
      </c>
      <c r="K280" s="15"/>
      <c r="L280" s="15"/>
      <c r="M280" s="15" t="n">
        <f aca="false">IF(ISNUMBER(L280),L280,J280)</f>
        <v>30.1</v>
      </c>
      <c r="N280" s="15" t="n">
        <f aca="false">ROUNDUP(M280,0)</f>
        <v>31</v>
      </c>
      <c r="O280" s="15" t="n">
        <f aca="false">MAX(I280,N280)</f>
        <v>45</v>
      </c>
      <c r="P280" s="15" t="n">
        <f aca="false">IF(C280="COVERED",MAX(0,O280-40),0)</f>
        <v>0</v>
      </c>
      <c r="Q280" s="15" t="n">
        <f aca="false">O280</f>
        <v>45</v>
      </c>
      <c r="R280" s="18" t="n">
        <f aca="false">IF(C280="COVERED",10.4,7.55)</f>
        <v>7.55</v>
      </c>
      <c r="S280" s="18" t="n">
        <f aca="false">Q280*R280</f>
        <v>339.75</v>
      </c>
      <c r="T280" s="13" t="s">
        <v>3705</v>
      </c>
      <c r="U280" s="14" t="n">
        <v>46235</v>
      </c>
      <c r="V280" s="13" t="n">
        <v>45</v>
      </c>
      <c r="W280" s="18" t="n">
        <v>7.55</v>
      </c>
      <c r="X280" s="18" t="n">
        <v>339.75</v>
      </c>
      <c r="Y280" s="18" t="n">
        <f aca="false">IF(ISNUMBER(X280),X280-S280,"")</f>
        <v>0</v>
      </c>
      <c r="Z280" s="18" t="n">
        <f aca="false">IF(ISNUMBER(X280),X280-S280,-S280)</f>
        <v>0</v>
      </c>
      <c r="AA280" s="13" t="str">
        <f aca="false">IF(NOT(ISNUMBER(X280)),"NO AUGUST POSTING IN EXPORT",IF(ABS(Y280)&gt;=0.005,"POSTED CHARGE MISMATCH",IF(P280&gt;0,"MATCH - COVERED ELIGIBILITY EXCEPTION","MATCH")))</f>
        <v>MATCH</v>
      </c>
      <c r="AB280" s="13" t="s">
        <v>3706</v>
      </c>
    </row>
    <row r="281" customFormat="false" ht="15" hidden="false" customHeight="false" outlineLevel="0" collapsed="false">
      <c r="A281" s="9" t="s">
        <v>1709</v>
      </c>
      <c r="B281" s="9" t="s">
        <v>155</v>
      </c>
      <c r="C281" s="9" t="s">
        <v>146</v>
      </c>
      <c r="D281" s="9" t="s">
        <v>2002</v>
      </c>
      <c r="E281" s="9" t="s">
        <v>2415</v>
      </c>
      <c r="F281" s="9" t="s">
        <v>3707</v>
      </c>
      <c r="G281" s="9" t="s">
        <v>3708</v>
      </c>
      <c r="H281" s="9" t="s">
        <v>2527</v>
      </c>
      <c r="I281" s="11" t="n">
        <v>80</v>
      </c>
      <c r="J281" s="11" t="n">
        <v>54.2</v>
      </c>
      <c r="K281" s="11"/>
      <c r="L281" s="11"/>
      <c r="M281" s="11" t="n">
        <f aca="false">IF(ISNUMBER(L281),L281,J281)</f>
        <v>54.2</v>
      </c>
      <c r="N281" s="11" t="n">
        <f aca="false">ROUNDUP(M281,0)</f>
        <v>55</v>
      </c>
      <c r="O281" s="11" t="n">
        <f aca="false">MAX(I281,N281)</f>
        <v>80</v>
      </c>
      <c r="P281" s="11" t="n">
        <f aca="false">IF(C281="COVERED",MAX(0,O281-40),0)</f>
        <v>0</v>
      </c>
      <c r="Q281" s="11" t="n">
        <f aca="false">O281</f>
        <v>80</v>
      </c>
      <c r="R281" s="17" t="n">
        <f aca="false">IF(C281="COVERED",10.4,7.55)</f>
        <v>7.55</v>
      </c>
      <c r="S281" s="17" t="n">
        <f aca="false">Q281*R281</f>
        <v>604</v>
      </c>
      <c r="T281" s="9" t="s">
        <v>3709</v>
      </c>
      <c r="U281" s="10" t="n">
        <v>46235</v>
      </c>
      <c r="V281" s="9" t="n">
        <v>80</v>
      </c>
      <c r="W281" s="17" t="n">
        <v>7.55</v>
      </c>
      <c r="X281" s="17" t="n">
        <v>604</v>
      </c>
      <c r="Y281" s="17" t="n">
        <f aca="false">IF(ISNUMBER(X281),X281-S281,"")</f>
        <v>0</v>
      </c>
      <c r="Z281" s="17" t="n">
        <f aca="false">IF(ISNUMBER(X281),X281-S281,-S281)</f>
        <v>0</v>
      </c>
      <c r="AA281" s="9" t="str">
        <f aca="false">IF(NOT(ISNUMBER(X281)),"NO AUGUST POSTING IN EXPORT",IF(ABS(Y281)&gt;=0.005,"POSTED CHARGE MISMATCH",IF(P281&gt;0,"MATCH - COVERED ELIGIBILITY EXCEPTION","MATCH")))</f>
        <v>MATCH</v>
      </c>
      <c r="AB281" s="9" t="s">
        <v>3710</v>
      </c>
    </row>
    <row r="282" customFormat="false" ht="15" hidden="false" customHeight="false" outlineLevel="0" collapsed="false">
      <c r="A282" s="13" t="s">
        <v>1319</v>
      </c>
      <c r="B282" s="13" t="s">
        <v>155</v>
      </c>
      <c r="C282" s="13" t="s">
        <v>146</v>
      </c>
      <c r="D282" s="13" t="s">
        <v>2002</v>
      </c>
      <c r="E282" s="13" t="s">
        <v>2426</v>
      </c>
      <c r="F282" s="13" t="s">
        <v>3711</v>
      </c>
      <c r="G282" s="13" t="s">
        <v>3712</v>
      </c>
      <c r="H282" s="13" t="s">
        <v>3713</v>
      </c>
      <c r="I282" s="15" t="n">
        <v>45</v>
      </c>
      <c r="J282" s="15" t="n">
        <v>40.3</v>
      </c>
      <c r="K282" s="15"/>
      <c r="L282" s="15"/>
      <c r="M282" s="15" t="n">
        <f aca="false">IF(ISNUMBER(L282),L282,J282)</f>
        <v>40.3</v>
      </c>
      <c r="N282" s="15" t="n">
        <f aca="false">ROUNDUP(M282,0)</f>
        <v>41</v>
      </c>
      <c r="O282" s="15" t="n">
        <f aca="false">MAX(I282,N282)</f>
        <v>45</v>
      </c>
      <c r="P282" s="15" t="n">
        <f aca="false">IF(C282="COVERED",MAX(0,O282-40),0)</f>
        <v>0</v>
      </c>
      <c r="Q282" s="15" t="n">
        <f aca="false">O282</f>
        <v>45</v>
      </c>
      <c r="R282" s="18" t="n">
        <f aca="false">IF(C282="COVERED",10.4,7.55)</f>
        <v>7.55</v>
      </c>
      <c r="S282" s="18" t="n">
        <f aca="false">Q282*R282</f>
        <v>339.75</v>
      </c>
      <c r="T282" s="13" t="s">
        <v>3714</v>
      </c>
      <c r="U282" s="14" t="n">
        <v>46235</v>
      </c>
      <c r="V282" s="13" t="n">
        <v>45</v>
      </c>
      <c r="W282" s="18" t="n">
        <v>7.55</v>
      </c>
      <c r="X282" s="18" t="n">
        <v>339.75</v>
      </c>
      <c r="Y282" s="18" t="n">
        <f aca="false">IF(ISNUMBER(X282),X282-S282,"")</f>
        <v>0</v>
      </c>
      <c r="Z282" s="18" t="n">
        <f aca="false">IF(ISNUMBER(X282),X282-S282,-S282)</f>
        <v>0</v>
      </c>
      <c r="AA282" s="13" t="str">
        <f aca="false">IF(NOT(ISNUMBER(X282)),"NO AUGUST POSTING IN EXPORT",IF(ABS(Y282)&gt;=0.005,"POSTED CHARGE MISMATCH",IF(P282&gt;0,"MATCH - COVERED ELIGIBILITY EXCEPTION","MATCH")))</f>
        <v>MATCH</v>
      </c>
      <c r="AB282" s="13" t="s">
        <v>3715</v>
      </c>
    </row>
    <row r="283" customFormat="false" ht="15" hidden="false" customHeight="false" outlineLevel="0" collapsed="false">
      <c r="A283" s="9" t="s">
        <v>3716</v>
      </c>
      <c r="B283" s="9" t="s">
        <v>155</v>
      </c>
      <c r="C283" s="9" t="s">
        <v>146</v>
      </c>
      <c r="D283" s="9" t="s">
        <v>2002</v>
      </c>
      <c r="E283" s="9" t="s">
        <v>2433</v>
      </c>
      <c r="F283" s="9" t="s">
        <v>3717</v>
      </c>
      <c r="G283" s="9" t="s">
        <v>3718</v>
      </c>
      <c r="H283" s="9" t="s">
        <v>3719</v>
      </c>
      <c r="I283" s="11" t="n">
        <v>24</v>
      </c>
      <c r="J283" s="11" t="n">
        <v>33.6</v>
      </c>
      <c r="K283" s="11"/>
      <c r="L283" s="11"/>
      <c r="M283" s="11" t="n">
        <f aca="false">IF(ISNUMBER(L283),L283,J283)</f>
        <v>33.6</v>
      </c>
      <c r="N283" s="11" t="n">
        <f aca="false">ROUNDUP(M283,0)</f>
        <v>34</v>
      </c>
      <c r="O283" s="11" t="n">
        <f aca="false">MAX(I283,N283)</f>
        <v>34</v>
      </c>
      <c r="P283" s="11" t="n">
        <f aca="false">IF(C283="COVERED",MAX(0,O283-40),0)</f>
        <v>0</v>
      </c>
      <c r="Q283" s="11" t="n">
        <f aca="false">O283</f>
        <v>34</v>
      </c>
      <c r="R283" s="17" t="n">
        <f aca="false">IF(C283="COVERED",10.4,7.55)</f>
        <v>7.55</v>
      </c>
      <c r="S283" s="17" t="n">
        <f aca="false">Q283*R283</f>
        <v>256.7</v>
      </c>
      <c r="T283" s="9" t="s">
        <v>3720</v>
      </c>
      <c r="U283" s="10" t="n">
        <v>46235</v>
      </c>
      <c r="V283" s="9" t="n">
        <v>34</v>
      </c>
      <c r="W283" s="17" t="n">
        <v>7.55</v>
      </c>
      <c r="X283" s="17" t="n">
        <v>256.7</v>
      </c>
      <c r="Y283" s="17" t="n">
        <f aca="false">IF(ISNUMBER(X283),X283-S283,"")</f>
        <v>0</v>
      </c>
      <c r="Z283" s="17" t="n">
        <f aca="false">IF(ISNUMBER(X283),X283-S283,-S283)</f>
        <v>0</v>
      </c>
      <c r="AA283" s="9" t="str">
        <f aca="false">IF(NOT(ISNUMBER(X283)),"NO AUGUST POSTING IN EXPORT",IF(ABS(Y283)&gt;=0.005,"POSTED CHARGE MISMATCH",IF(P283&gt;0,"MATCH - COVERED ELIGIBILITY EXCEPTION","MATCH")))</f>
        <v>MATCH</v>
      </c>
      <c r="AB283" s="9" t="s">
        <v>3721</v>
      </c>
    </row>
    <row r="284" customFormat="false" ht="15" hidden="false" customHeight="false" outlineLevel="0" collapsed="false">
      <c r="A284" s="13" t="s">
        <v>3722</v>
      </c>
      <c r="B284" s="13" t="s">
        <v>155</v>
      </c>
      <c r="C284" s="13" t="s">
        <v>146</v>
      </c>
      <c r="D284" s="13" t="s">
        <v>2002</v>
      </c>
      <c r="E284" s="13" t="s">
        <v>2440</v>
      </c>
      <c r="F284" s="13" t="s">
        <v>3723</v>
      </c>
      <c r="G284" s="13" t="s">
        <v>3724</v>
      </c>
      <c r="H284" s="13" t="s">
        <v>3725</v>
      </c>
      <c r="I284" s="15" t="n">
        <v>32</v>
      </c>
      <c r="J284" s="15" t="n">
        <v>26.3</v>
      </c>
      <c r="K284" s="15"/>
      <c r="L284" s="15"/>
      <c r="M284" s="15" t="n">
        <f aca="false">IF(ISNUMBER(L284),L284,J284)</f>
        <v>26.3</v>
      </c>
      <c r="N284" s="15" t="n">
        <f aca="false">ROUNDUP(M284,0)</f>
        <v>27</v>
      </c>
      <c r="O284" s="15" t="n">
        <f aca="false">MAX(I284,N284)</f>
        <v>32</v>
      </c>
      <c r="P284" s="15" t="n">
        <f aca="false">IF(C284="COVERED",MAX(0,O284-40),0)</f>
        <v>0</v>
      </c>
      <c r="Q284" s="15" t="n">
        <f aca="false">O284</f>
        <v>32</v>
      </c>
      <c r="R284" s="18" t="n">
        <f aca="false">IF(C284="COVERED",10.4,7.55)</f>
        <v>7.55</v>
      </c>
      <c r="S284" s="18" t="n">
        <f aca="false">Q284*R284</f>
        <v>241.6</v>
      </c>
      <c r="T284" s="13" t="s">
        <v>3726</v>
      </c>
      <c r="U284" s="14" t="n">
        <v>46235</v>
      </c>
      <c r="V284" s="13" t="n">
        <v>32</v>
      </c>
      <c r="W284" s="18" t="n">
        <v>7.55</v>
      </c>
      <c r="X284" s="18" t="n">
        <v>241.6</v>
      </c>
      <c r="Y284" s="18" t="n">
        <f aca="false">IF(ISNUMBER(X284),X284-S284,"")</f>
        <v>0</v>
      </c>
      <c r="Z284" s="18" t="n">
        <f aca="false">IF(ISNUMBER(X284),X284-S284,-S284)</f>
        <v>0</v>
      </c>
      <c r="AA284" s="13" t="str">
        <f aca="false">IF(NOT(ISNUMBER(X284)),"NO AUGUST POSTING IN EXPORT",IF(ABS(Y284)&gt;=0.005,"POSTED CHARGE MISMATCH",IF(P284&gt;0,"MATCH - COVERED ELIGIBILITY EXCEPTION","MATCH")))</f>
        <v>MATCH</v>
      </c>
      <c r="AB284" s="13" t="s">
        <v>3727</v>
      </c>
    </row>
    <row r="285" customFormat="false" ht="15" hidden="false" customHeight="false" outlineLevel="0" collapsed="false">
      <c r="A285" s="9" t="s">
        <v>3728</v>
      </c>
      <c r="B285" s="9" t="s">
        <v>155</v>
      </c>
      <c r="C285" s="9" t="s">
        <v>146</v>
      </c>
      <c r="D285" s="9" t="s">
        <v>2002</v>
      </c>
      <c r="E285" s="9" t="s">
        <v>2447</v>
      </c>
      <c r="F285" s="9" t="s">
        <v>3729</v>
      </c>
      <c r="G285" s="9" t="s">
        <v>3730</v>
      </c>
      <c r="H285" s="9" t="s">
        <v>3055</v>
      </c>
      <c r="I285" s="11" t="n">
        <v>60</v>
      </c>
      <c r="J285" s="11" t="n">
        <v>38.1</v>
      </c>
      <c r="K285" s="11"/>
      <c r="L285" s="11"/>
      <c r="M285" s="11" t="n">
        <f aca="false">IF(ISNUMBER(L285),L285,J285)</f>
        <v>38.1</v>
      </c>
      <c r="N285" s="11" t="n">
        <f aca="false">ROUNDUP(M285,0)</f>
        <v>39</v>
      </c>
      <c r="O285" s="11" t="n">
        <f aca="false">MAX(I285,N285)</f>
        <v>60</v>
      </c>
      <c r="P285" s="11" t="n">
        <f aca="false">IF(C285="COVERED",MAX(0,O285-40),0)</f>
        <v>0</v>
      </c>
      <c r="Q285" s="11" t="n">
        <f aca="false">O285</f>
        <v>60</v>
      </c>
      <c r="R285" s="17" t="n">
        <f aca="false">IF(C285="COVERED",10.4,7.55)</f>
        <v>7.55</v>
      </c>
      <c r="S285" s="17" t="n">
        <f aca="false">Q285*R285</f>
        <v>453</v>
      </c>
      <c r="T285" s="9" t="s">
        <v>3731</v>
      </c>
      <c r="U285" s="10" t="n">
        <v>46235</v>
      </c>
      <c r="V285" s="9" t="n">
        <v>60</v>
      </c>
      <c r="W285" s="17" t="n">
        <v>7.55</v>
      </c>
      <c r="X285" s="17" t="n">
        <v>453</v>
      </c>
      <c r="Y285" s="17" t="n">
        <f aca="false">IF(ISNUMBER(X285),X285-S285,"")</f>
        <v>0</v>
      </c>
      <c r="Z285" s="17" t="n">
        <f aca="false">IF(ISNUMBER(X285),X285-S285,-S285)</f>
        <v>0</v>
      </c>
      <c r="AA285" s="9" t="str">
        <f aca="false">IF(NOT(ISNUMBER(X285)),"NO AUGUST POSTING IN EXPORT",IF(ABS(Y285)&gt;=0.005,"POSTED CHARGE MISMATCH",IF(P285&gt;0,"MATCH - COVERED ELIGIBILITY EXCEPTION","MATCH")))</f>
        <v>MATCH</v>
      </c>
      <c r="AB285" s="9" t="s">
        <v>3732</v>
      </c>
    </row>
    <row r="286" customFormat="false" ht="15" hidden="false" customHeight="false" outlineLevel="0" collapsed="false">
      <c r="A286" s="13" t="s">
        <v>3733</v>
      </c>
      <c r="B286" s="13" t="s">
        <v>155</v>
      </c>
      <c r="C286" s="13" t="s">
        <v>146</v>
      </c>
      <c r="D286" s="13" t="s">
        <v>2002</v>
      </c>
      <c r="E286" s="13" t="s">
        <v>2454</v>
      </c>
      <c r="F286" s="13" t="s">
        <v>3734</v>
      </c>
      <c r="G286" s="13" t="s">
        <v>3735</v>
      </c>
      <c r="H286" s="13" t="s">
        <v>3736</v>
      </c>
      <c r="I286" s="15" t="n">
        <v>45</v>
      </c>
      <c r="J286" s="15" t="n">
        <v>31.8</v>
      </c>
      <c r="K286" s="15"/>
      <c r="L286" s="15"/>
      <c r="M286" s="15" t="n">
        <f aca="false">IF(ISNUMBER(L286),L286,J286)</f>
        <v>31.8</v>
      </c>
      <c r="N286" s="15" t="n">
        <f aca="false">ROUNDUP(M286,0)</f>
        <v>32</v>
      </c>
      <c r="O286" s="15" t="n">
        <f aca="false">MAX(I286,N286)</f>
        <v>45</v>
      </c>
      <c r="P286" s="15" t="n">
        <f aca="false">IF(C286="COVERED",MAX(0,O286-40),0)</f>
        <v>0</v>
      </c>
      <c r="Q286" s="15" t="n">
        <f aca="false">O286</f>
        <v>45</v>
      </c>
      <c r="R286" s="18" t="n">
        <f aca="false">IF(C286="COVERED",10.4,7.55)</f>
        <v>7.55</v>
      </c>
      <c r="S286" s="18" t="n">
        <f aca="false">Q286*R286</f>
        <v>339.75</v>
      </c>
      <c r="T286" s="13" t="s">
        <v>3737</v>
      </c>
      <c r="U286" s="14" t="n">
        <v>46235</v>
      </c>
      <c r="V286" s="13" t="n">
        <v>45</v>
      </c>
      <c r="W286" s="18" t="n">
        <v>7.55</v>
      </c>
      <c r="X286" s="18" t="n">
        <v>339.75</v>
      </c>
      <c r="Y286" s="18" t="n">
        <f aca="false">IF(ISNUMBER(X286),X286-S286,"")</f>
        <v>0</v>
      </c>
      <c r="Z286" s="18" t="n">
        <f aca="false">IF(ISNUMBER(X286),X286-S286,-S286)</f>
        <v>0</v>
      </c>
      <c r="AA286" s="13" t="str">
        <f aca="false">IF(NOT(ISNUMBER(X286)),"NO AUGUST POSTING IN EXPORT",IF(ABS(Y286)&gt;=0.005,"POSTED CHARGE MISMATCH",IF(P286&gt;0,"MATCH - COVERED ELIGIBILITY EXCEPTION","MATCH")))</f>
        <v>MATCH</v>
      </c>
      <c r="AB286" s="13" t="s">
        <v>3738</v>
      </c>
    </row>
    <row r="287" customFormat="false" ht="15" hidden="false" customHeight="false" outlineLevel="0" collapsed="false">
      <c r="A287" s="9" t="s">
        <v>3739</v>
      </c>
      <c r="B287" s="9" t="s">
        <v>155</v>
      </c>
      <c r="C287" s="9" t="s">
        <v>146</v>
      </c>
      <c r="D287" s="9" t="s">
        <v>2002</v>
      </c>
      <c r="E287" s="9" t="s">
        <v>2461</v>
      </c>
      <c r="F287" s="9" t="s">
        <v>3740</v>
      </c>
      <c r="G287" s="9" t="s">
        <v>3741</v>
      </c>
      <c r="H287" s="9" t="s">
        <v>2231</v>
      </c>
      <c r="I287" s="11" t="n">
        <v>28</v>
      </c>
      <c r="J287" s="11" t="n">
        <v>61.4</v>
      </c>
      <c r="K287" s="11"/>
      <c r="L287" s="11"/>
      <c r="M287" s="11" t="n">
        <f aca="false">IF(ISNUMBER(L287),L287,J287)</f>
        <v>61.4</v>
      </c>
      <c r="N287" s="11" t="n">
        <f aca="false">ROUNDUP(M287,0)</f>
        <v>62</v>
      </c>
      <c r="O287" s="11" t="n">
        <f aca="false">MAX(I287,N287)</f>
        <v>62</v>
      </c>
      <c r="P287" s="11" t="n">
        <f aca="false">IF(C287="COVERED",MAX(0,O287-40),0)</f>
        <v>0</v>
      </c>
      <c r="Q287" s="11" t="n">
        <f aca="false">O287</f>
        <v>62</v>
      </c>
      <c r="R287" s="17" t="n">
        <f aca="false">IF(C287="COVERED",10.4,7.55)</f>
        <v>7.55</v>
      </c>
      <c r="S287" s="17" t="n">
        <f aca="false">Q287*R287</f>
        <v>468.1</v>
      </c>
      <c r="T287" s="9" t="s">
        <v>3742</v>
      </c>
      <c r="U287" s="10" t="n">
        <v>46235</v>
      </c>
      <c r="V287" s="9" t="n">
        <v>62</v>
      </c>
      <c r="W287" s="17" t="n">
        <v>7.55</v>
      </c>
      <c r="X287" s="17" t="n">
        <v>468.1</v>
      </c>
      <c r="Y287" s="17" t="n">
        <f aca="false">IF(ISNUMBER(X287),X287-S287,"")</f>
        <v>0</v>
      </c>
      <c r="Z287" s="17" t="n">
        <f aca="false">IF(ISNUMBER(X287),X287-S287,-S287)</f>
        <v>0</v>
      </c>
      <c r="AA287" s="9" t="str">
        <f aca="false">IF(NOT(ISNUMBER(X287)),"NO AUGUST POSTING IN EXPORT",IF(ABS(Y287)&gt;=0.005,"POSTED CHARGE MISMATCH",IF(P287&gt;0,"MATCH - COVERED ELIGIBILITY EXCEPTION","MATCH")))</f>
        <v>MATCH</v>
      </c>
      <c r="AB287" s="9" t="s">
        <v>3743</v>
      </c>
    </row>
    <row r="288" customFormat="false" ht="15" hidden="false" customHeight="false" outlineLevel="0" collapsed="false">
      <c r="A288" s="13" t="s">
        <v>3744</v>
      </c>
      <c r="B288" s="13" t="s">
        <v>155</v>
      </c>
      <c r="C288" s="13" t="s">
        <v>146</v>
      </c>
      <c r="D288" s="13" t="s">
        <v>2002</v>
      </c>
      <c r="E288" s="13" t="s">
        <v>2468</v>
      </c>
      <c r="F288" s="13" t="s">
        <v>3745</v>
      </c>
      <c r="G288" s="13" t="s">
        <v>3746</v>
      </c>
      <c r="H288" s="13" t="s">
        <v>3747</v>
      </c>
      <c r="I288" s="15" t="n">
        <v>45</v>
      </c>
      <c r="J288" s="15" t="n">
        <v>23.5</v>
      </c>
      <c r="K288" s="15"/>
      <c r="L288" s="15"/>
      <c r="M288" s="15" t="n">
        <f aca="false">IF(ISNUMBER(L288),L288,J288)</f>
        <v>23.5</v>
      </c>
      <c r="N288" s="15" t="n">
        <f aca="false">ROUNDUP(M288,0)</f>
        <v>24</v>
      </c>
      <c r="O288" s="15" t="n">
        <f aca="false">MAX(I288,N288)</f>
        <v>45</v>
      </c>
      <c r="P288" s="15" t="n">
        <f aca="false">IF(C288="COVERED",MAX(0,O288-40),0)</f>
        <v>0</v>
      </c>
      <c r="Q288" s="15" t="n">
        <f aca="false">O288</f>
        <v>45</v>
      </c>
      <c r="R288" s="18" t="n">
        <f aca="false">IF(C288="COVERED",10.4,7.55)</f>
        <v>7.55</v>
      </c>
      <c r="S288" s="18" t="n">
        <f aca="false">Q288*R288</f>
        <v>339.75</v>
      </c>
      <c r="T288" s="13" t="s">
        <v>3748</v>
      </c>
      <c r="U288" s="14" t="n">
        <v>46235</v>
      </c>
      <c r="V288" s="13" t="n">
        <v>45</v>
      </c>
      <c r="W288" s="18" t="n">
        <v>7.55</v>
      </c>
      <c r="X288" s="18" t="n">
        <v>339.75</v>
      </c>
      <c r="Y288" s="18" t="n">
        <f aca="false">IF(ISNUMBER(X288),X288-S288,"")</f>
        <v>0</v>
      </c>
      <c r="Z288" s="18" t="n">
        <f aca="false">IF(ISNUMBER(X288),X288-S288,-S288)</f>
        <v>0</v>
      </c>
      <c r="AA288" s="13" t="str">
        <f aca="false">IF(NOT(ISNUMBER(X288)),"NO AUGUST POSTING IN EXPORT",IF(ABS(Y288)&gt;=0.005,"POSTED CHARGE MISMATCH",IF(P288&gt;0,"MATCH - COVERED ELIGIBILITY EXCEPTION","MATCH")))</f>
        <v>MATCH</v>
      </c>
      <c r="AB288" s="13" t="s">
        <v>3749</v>
      </c>
    </row>
    <row r="289" customFormat="false" ht="15" hidden="false" customHeight="false" outlineLevel="0" collapsed="false">
      <c r="A289" s="9" t="s">
        <v>3750</v>
      </c>
      <c r="B289" s="9" t="s">
        <v>155</v>
      </c>
      <c r="C289" s="9" t="s">
        <v>146</v>
      </c>
      <c r="D289" s="9" t="s">
        <v>2002</v>
      </c>
      <c r="E289" s="9" t="s">
        <v>2473</v>
      </c>
      <c r="F289" s="9" t="s">
        <v>3751</v>
      </c>
      <c r="G289" s="9" t="s">
        <v>3752</v>
      </c>
      <c r="H289" s="9" t="s">
        <v>3753</v>
      </c>
      <c r="I289" s="11" t="n">
        <v>28</v>
      </c>
      <c r="J289" s="11" t="n">
        <v>21</v>
      </c>
      <c r="K289" s="11"/>
      <c r="L289" s="11"/>
      <c r="M289" s="11" t="n">
        <f aca="false">IF(ISNUMBER(L289),L289,J289)</f>
        <v>21</v>
      </c>
      <c r="N289" s="11" t="n">
        <f aca="false">ROUNDUP(M289,0)</f>
        <v>21</v>
      </c>
      <c r="O289" s="11" t="n">
        <f aca="false">MAX(I289,N289)</f>
        <v>28</v>
      </c>
      <c r="P289" s="11" t="n">
        <f aca="false">IF(C289="COVERED",MAX(0,O289-40),0)</f>
        <v>0</v>
      </c>
      <c r="Q289" s="11" t="n">
        <f aca="false">O289</f>
        <v>28</v>
      </c>
      <c r="R289" s="17" t="n">
        <f aca="false">IF(C289="COVERED",10.4,7.55)</f>
        <v>7.55</v>
      </c>
      <c r="S289" s="17" t="n">
        <f aca="false">Q289*R289</f>
        <v>211.4</v>
      </c>
      <c r="T289" s="9" t="s">
        <v>3754</v>
      </c>
      <c r="U289" s="10" t="n">
        <v>46235</v>
      </c>
      <c r="V289" s="9" t="n">
        <v>28</v>
      </c>
      <c r="W289" s="17" t="n">
        <v>7.55</v>
      </c>
      <c r="X289" s="17" t="n">
        <v>211.4</v>
      </c>
      <c r="Y289" s="17" t="n">
        <f aca="false">IF(ISNUMBER(X289),X289-S289,"")</f>
        <v>0</v>
      </c>
      <c r="Z289" s="17" t="n">
        <f aca="false">IF(ISNUMBER(X289),X289-S289,-S289)</f>
        <v>0</v>
      </c>
      <c r="AA289" s="9" t="str">
        <f aca="false">IF(NOT(ISNUMBER(X289)),"NO AUGUST POSTING IN EXPORT",IF(ABS(Y289)&gt;=0.005,"POSTED CHARGE MISMATCH",IF(P289&gt;0,"MATCH - COVERED ELIGIBILITY EXCEPTION","MATCH")))</f>
        <v>MATCH</v>
      </c>
      <c r="AB289" s="9" t="s">
        <v>3755</v>
      </c>
    </row>
    <row r="290" customFormat="false" ht="15" hidden="false" customHeight="false" outlineLevel="0" collapsed="false">
      <c r="A290" s="13" t="s">
        <v>3756</v>
      </c>
      <c r="B290" s="13" t="s">
        <v>155</v>
      </c>
      <c r="C290" s="13" t="s">
        <v>146</v>
      </c>
      <c r="D290" s="13" t="s">
        <v>2002</v>
      </c>
      <c r="E290" s="13" t="s">
        <v>2480</v>
      </c>
      <c r="F290" s="13" t="s">
        <v>3757</v>
      </c>
      <c r="G290" s="13" t="s">
        <v>3758</v>
      </c>
      <c r="H290" s="13" t="s">
        <v>3759</v>
      </c>
      <c r="I290" s="15" t="n">
        <v>45</v>
      </c>
      <c r="J290" s="15" t="n">
        <v>55.5</v>
      </c>
      <c r="K290" s="15"/>
      <c r="L290" s="15"/>
      <c r="M290" s="15" t="n">
        <f aca="false">IF(ISNUMBER(L290),L290,J290)</f>
        <v>55.5</v>
      </c>
      <c r="N290" s="15" t="n">
        <f aca="false">ROUNDUP(M290,0)</f>
        <v>56</v>
      </c>
      <c r="O290" s="15" t="n">
        <f aca="false">MAX(I290,N290)</f>
        <v>56</v>
      </c>
      <c r="P290" s="15" t="n">
        <f aca="false">IF(C290="COVERED",MAX(0,O290-40),0)</f>
        <v>0</v>
      </c>
      <c r="Q290" s="15" t="n">
        <f aca="false">O290</f>
        <v>56</v>
      </c>
      <c r="R290" s="18" t="n">
        <f aca="false">IF(C290="COVERED",10.4,7.55)</f>
        <v>7.55</v>
      </c>
      <c r="S290" s="18" t="n">
        <f aca="false">Q290*R290</f>
        <v>422.8</v>
      </c>
      <c r="T290" s="13" t="s">
        <v>3760</v>
      </c>
      <c r="U290" s="14" t="n">
        <v>46235</v>
      </c>
      <c r="V290" s="13" t="n">
        <v>56</v>
      </c>
      <c r="W290" s="18" t="n">
        <v>7.55</v>
      </c>
      <c r="X290" s="18" t="n">
        <v>422.8</v>
      </c>
      <c r="Y290" s="18" t="n">
        <f aca="false">IF(ISNUMBER(X290),X290-S290,"")</f>
        <v>0</v>
      </c>
      <c r="Z290" s="18" t="n">
        <f aca="false">IF(ISNUMBER(X290),X290-S290,-S290)</f>
        <v>0</v>
      </c>
      <c r="AA290" s="13" t="str">
        <f aca="false">IF(NOT(ISNUMBER(X290)),"NO AUGUST POSTING IN EXPORT",IF(ABS(Y290)&gt;=0.005,"POSTED CHARGE MISMATCH",IF(P290&gt;0,"MATCH - COVERED ELIGIBILITY EXCEPTION","MATCH")))</f>
        <v>MATCH</v>
      </c>
      <c r="AB290" s="13" t="s">
        <v>3761</v>
      </c>
    </row>
    <row r="291" customFormat="false" ht="15" hidden="false" customHeight="false" outlineLevel="0" collapsed="false">
      <c r="A291" s="9" t="s">
        <v>3762</v>
      </c>
      <c r="B291" s="9" t="s">
        <v>155</v>
      </c>
      <c r="C291" s="9" t="s">
        <v>146</v>
      </c>
      <c r="D291" s="9" t="s">
        <v>2002</v>
      </c>
      <c r="E291" s="9" t="s">
        <v>2485</v>
      </c>
      <c r="F291" s="9" t="s">
        <v>249</v>
      </c>
      <c r="G291" s="9" t="s">
        <v>250</v>
      </c>
      <c r="H291" s="9" t="s">
        <v>3763</v>
      </c>
      <c r="I291" s="11" t="n">
        <v>70</v>
      </c>
      <c r="J291" s="11" t="n">
        <v>40.2</v>
      </c>
      <c r="K291" s="11"/>
      <c r="L291" s="11"/>
      <c r="M291" s="11" t="n">
        <f aca="false">IF(ISNUMBER(L291),L291,J291)</f>
        <v>40.2</v>
      </c>
      <c r="N291" s="11" t="n">
        <f aca="false">ROUNDUP(M291,0)</f>
        <v>41</v>
      </c>
      <c r="O291" s="11" t="n">
        <f aca="false">MAX(I291,N291)</f>
        <v>70</v>
      </c>
      <c r="P291" s="11" t="n">
        <f aca="false">IF(C291="COVERED",MAX(0,O291-40),0)</f>
        <v>0</v>
      </c>
      <c r="Q291" s="11" t="n">
        <f aca="false">O291</f>
        <v>70</v>
      </c>
      <c r="R291" s="17" t="n">
        <f aca="false">IF(C291="COVERED",10.4,7.55)</f>
        <v>7.55</v>
      </c>
      <c r="S291" s="17" t="n">
        <f aca="false">Q291*R291</f>
        <v>528.5</v>
      </c>
      <c r="T291" s="9" t="s">
        <v>3764</v>
      </c>
      <c r="U291" s="10" t="n">
        <v>46235</v>
      </c>
      <c r="V291" s="9" t="n">
        <v>70</v>
      </c>
      <c r="W291" s="17" t="n">
        <v>7.55</v>
      </c>
      <c r="X291" s="17" t="n">
        <v>528.5</v>
      </c>
      <c r="Y291" s="17" t="n">
        <f aca="false">IF(ISNUMBER(X291),X291-S291,"")</f>
        <v>0</v>
      </c>
      <c r="Z291" s="17" t="n">
        <f aca="false">IF(ISNUMBER(X291),X291-S291,-S291)</f>
        <v>0</v>
      </c>
      <c r="AA291" s="9" t="str">
        <f aca="false">IF(NOT(ISNUMBER(X291)),"NO AUGUST POSTING IN EXPORT",IF(ABS(Y291)&gt;=0.005,"POSTED CHARGE MISMATCH",IF(P291&gt;0,"MATCH - COVERED ELIGIBILITY EXCEPTION","MATCH")))</f>
        <v>MATCH</v>
      </c>
      <c r="AB291" s="9" t="s">
        <v>3765</v>
      </c>
    </row>
    <row r="292" customFormat="false" ht="15" hidden="false" customHeight="false" outlineLevel="0" collapsed="false">
      <c r="A292" s="13" t="s">
        <v>3766</v>
      </c>
      <c r="B292" s="13" t="s">
        <v>155</v>
      </c>
      <c r="C292" s="13" t="s">
        <v>146</v>
      </c>
      <c r="D292" s="13" t="s">
        <v>2002</v>
      </c>
      <c r="E292" s="13" t="s">
        <v>2491</v>
      </c>
      <c r="F292" s="13" t="s">
        <v>3767</v>
      </c>
      <c r="G292" s="13" t="s">
        <v>3768</v>
      </c>
      <c r="H292" s="13" t="s">
        <v>3769</v>
      </c>
      <c r="I292" s="15" t="n">
        <v>32</v>
      </c>
      <c r="J292" s="15" t="n">
        <v>48.1</v>
      </c>
      <c r="K292" s="15"/>
      <c r="L292" s="15"/>
      <c r="M292" s="15" t="n">
        <f aca="false">IF(ISNUMBER(L292),L292,J292)</f>
        <v>48.1</v>
      </c>
      <c r="N292" s="15" t="n">
        <f aca="false">ROUNDUP(M292,0)</f>
        <v>49</v>
      </c>
      <c r="O292" s="15" t="n">
        <f aca="false">MAX(I292,N292)</f>
        <v>49</v>
      </c>
      <c r="P292" s="15" t="n">
        <f aca="false">IF(C292="COVERED",MAX(0,O292-40),0)</f>
        <v>0</v>
      </c>
      <c r="Q292" s="15" t="n">
        <f aca="false">O292</f>
        <v>49</v>
      </c>
      <c r="R292" s="18" t="n">
        <f aca="false">IF(C292="COVERED",10.4,7.55)</f>
        <v>7.55</v>
      </c>
      <c r="S292" s="18" t="n">
        <f aca="false">Q292*R292</f>
        <v>369.95</v>
      </c>
      <c r="T292" s="13" t="s">
        <v>3770</v>
      </c>
      <c r="U292" s="14" t="n">
        <v>46235</v>
      </c>
      <c r="V292" s="13" t="n">
        <v>49</v>
      </c>
      <c r="W292" s="18" t="n">
        <v>7.55</v>
      </c>
      <c r="X292" s="18" t="n">
        <v>369.95</v>
      </c>
      <c r="Y292" s="18" t="n">
        <f aca="false">IF(ISNUMBER(X292),X292-S292,"")</f>
        <v>0</v>
      </c>
      <c r="Z292" s="18" t="n">
        <f aca="false">IF(ISNUMBER(X292),X292-S292,-S292)</f>
        <v>0</v>
      </c>
      <c r="AA292" s="13" t="str">
        <f aca="false">IF(NOT(ISNUMBER(X292)),"NO AUGUST POSTING IN EXPORT",IF(ABS(Y292)&gt;=0.005,"POSTED CHARGE MISMATCH",IF(P292&gt;0,"MATCH - COVERED ELIGIBILITY EXCEPTION","MATCH")))</f>
        <v>MATCH</v>
      </c>
      <c r="AB292" s="13" t="s">
        <v>3771</v>
      </c>
    </row>
    <row r="293" customFormat="false" ht="15" hidden="false" customHeight="false" outlineLevel="0" collapsed="false">
      <c r="A293" s="9" t="s">
        <v>3772</v>
      </c>
      <c r="B293" s="9" t="s">
        <v>155</v>
      </c>
      <c r="C293" s="9" t="s">
        <v>146</v>
      </c>
      <c r="D293" s="9" t="s">
        <v>2002</v>
      </c>
      <c r="E293" s="9" t="s">
        <v>2497</v>
      </c>
      <c r="F293" s="9" t="s">
        <v>3773</v>
      </c>
      <c r="G293" s="9" t="s">
        <v>3774</v>
      </c>
      <c r="H293" s="9" t="s">
        <v>3775</v>
      </c>
      <c r="I293" s="11" t="n">
        <v>24</v>
      </c>
      <c r="J293" s="11" t="n">
        <v>35.1</v>
      </c>
      <c r="K293" s="11"/>
      <c r="L293" s="11"/>
      <c r="M293" s="11" t="n">
        <f aca="false">IF(ISNUMBER(L293),L293,J293)</f>
        <v>35.1</v>
      </c>
      <c r="N293" s="11" t="n">
        <f aca="false">ROUNDUP(M293,0)</f>
        <v>36</v>
      </c>
      <c r="O293" s="11" t="n">
        <f aca="false">MAX(I293,N293)</f>
        <v>36</v>
      </c>
      <c r="P293" s="11" t="n">
        <f aca="false">IF(C293="COVERED",MAX(0,O293-40),0)</f>
        <v>0</v>
      </c>
      <c r="Q293" s="11" t="n">
        <f aca="false">O293</f>
        <v>36</v>
      </c>
      <c r="R293" s="17" t="n">
        <f aca="false">IF(C293="COVERED",10.4,7.55)</f>
        <v>7.55</v>
      </c>
      <c r="S293" s="17" t="n">
        <f aca="false">Q293*R293</f>
        <v>271.8</v>
      </c>
      <c r="T293" s="9" t="s">
        <v>3776</v>
      </c>
      <c r="U293" s="10" t="n">
        <v>46235</v>
      </c>
      <c r="V293" s="9" t="n">
        <v>36</v>
      </c>
      <c r="W293" s="17" t="n">
        <v>7.55</v>
      </c>
      <c r="X293" s="17" t="n">
        <v>271.8</v>
      </c>
      <c r="Y293" s="17" t="n">
        <f aca="false">IF(ISNUMBER(X293),X293-S293,"")</f>
        <v>0</v>
      </c>
      <c r="Z293" s="17" t="n">
        <f aca="false">IF(ISNUMBER(X293),X293-S293,-S293)</f>
        <v>0</v>
      </c>
      <c r="AA293" s="9" t="str">
        <f aca="false">IF(NOT(ISNUMBER(X293)),"NO AUGUST POSTING IN EXPORT",IF(ABS(Y293)&gt;=0.005,"POSTED CHARGE MISMATCH",IF(P293&gt;0,"MATCH - COVERED ELIGIBILITY EXCEPTION","MATCH")))</f>
        <v>MATCH</v>
      </c>
      <c r="AB293" s="9" t="s">
        <v>3777</v>
      </c>
    </row>
    <row r="294" customFormat="false" ht="15" hidden="false" customHeight="false" outlineLevel="0" collapsed="false">
      <c r="A294" s="13" t="s">
        <v>3778</v>
      </c>
      <c r="B294" s="13" t="s">
        <v>155</v>
      </c>
      <c r="C294" s="13" t="s">
        <v>146</v>
      </c>
      <c r="D294" s="13" t="s">
        <v>2002</v>
      </c>
      <c r="E294" s="13" t="s">
        <v>2504</v>
      </c>
      <c r="F294" s="13" t="s">
        <v>3779</v>
      </c>
      <c r="G294" s="13" t="s">
        <v>3780</v>
      </c>
      <c r="H294" s="13" t="s">
        <v>3781</v>
      </c>
      <c r="I294" s="15" t="n">
        <v>60</v>
      </c>
      <c r="J294" s="15" t="n">
        <v>24.7</v>
      </c>
      <c r="K294" s="15"/>
      <c r="L294" s="15"/>
      <c r="M294" s="15" t="n">
        <f aca="false">IF(ISNUMBER(L294),L294,J294)</f>
        <v>24.7</v>
      </c>
      <c r="N294" s="15" t="n">
        <f aca="false">ROUNDUP(M294,0)</f>
        <v>25</v>
      </c>
      <c r="O294" s="15" t="n">
        <f aca="false">MAX(I294,N294)</f>
        <v>60</v>
      </c>
      <c r="P294" s="15" t="n">
        <f aca="false">IF(C294="COVERED",MAX(0,O294-40),0)</f>
        <v>0</v>
      </c>
      <c r="Q294" s="15" t="n">
        <f aca="false">O294</f>
        <v>60</v>
      </c>
      <c r="R294" s="18" t="n">
        <f aca="false">IF(C294="COVERED",10.4,7.55)</f>
        <v>7.55</v>
      </c>
      <c r="S294" s="18" t="n">
        <f aca="false">Q294*R294</f>
        <v>453</v>
      </c>
      <c r="T294" s="13" t="s">
        <v>3782</v>
      </c>
      <c r="U294" s="14" t="n">
        <v>46235</v>
      </c>
      <c r="V294" s="13" t="n">
        <v>60</v>
      </c>
      <c r="W294" s="18" t="n">
        <v>7.55</v>
      </c>
      <c r="X294" s="18" t="n">
        <v>453</v>
      </c>
      <c r="Y294" s="18" t="n">
        <f aca="false">IF(ISNUMBER(X294),X294-S294,"")</f>
        <v>0</v>
      </c>
      <c r="Z294" s="18" t="n">
        <f aca="false">IF(ISNUMBER(X294),X294-S294,-S294)</f>
        <v>0</v>
      </c>
      <c r="AA294" s="13" t="str">
        <f aca="false">IF(NOT(ISNUMBER(X294)),"NO AUGUST POSTING IN EXPORT",IF(ABS(Y294)&gt;=0.005,"POSTED CHARGE MISMATCH",IF(P294&gt;0,"MATCH - COVERED ELIGIBILITY EXCEPTION","MATCH")))</f>
        <v>MATCH</v>
      </c>
      <c r="AB294" s="13" t="s">
        <v>3783</v>
      </c>
    </row>
    <row r="295" customFormat="false" ht="15" hidden="false" customHeight="false" outlineLevel="0" collapsed="false">
      <c r="A295" s="9" t="s">
        <v>381</v>
      </c>
      <c r="B295" s="9" t="s">
        <v>155</v>
      </c>
      <c r="C295" s="9" t="s">
        <v>146</v>
      </c>
      <c r="D295" s="9" t="s">
        <v>2002</v>
      </c>
      <c r="E295" s="9" t="s">
        <v>2511</v>
      </c>
      <c r="F295" s="9" t="s">
        <v>3784</v>
      </c>
      <c r="G295" s="9" t="s">
        <v>3785</v>
      </c>
      <c r="H295" s="9" t="s">
        <v>3786</v>
      </c>
      <c r="I295" s="11" t="n">
        <v>45</v>
      </c>
      <c r="J295" s="11" t="n">
        <v>31.7</v>
      </c>
      <c r="K295" s="11"/>
      <c r="L295" s="11"/>
      <c r="M295" s="11" t="n">
        <f aca="false">IF(ISNUMBER(L295),L295,J295)</f>
        <v>31.7</v>
      </c>
      <c r="N295" s="11" t="n">
        <f aca="false">ROUNDUP(M295,0)</f>
        <v>32</v>
      </c>
      <c r="O295" s="11" t="n">
        <f aca="false">MAX(I295,N295)</f>
        <v>45</v>
      </c>
      <c r="P295" s="11" t="n">
        <f aca="false">IF(C295="COVERED",MAX(0,O295-40),0)</f>
        <v>0</v>
      </c>
      <c r="Q295" s="11" t="n">
        <f aca="false">O295</f>
        <v>45</v>
      </c>
      <c r="R295" s="17" t="n">
        <f aca="false">IF(C295="COVERED",10.4,7.55)</f>
        <v>7.55</v>
      </c>
      <c r="S295" s="17" t="n">
        <f aca="false">Q295*R295</f>
        <v>339.75</v>
      </c>
      <c r="T295" s="9" t="s">
        <v>3787</v>
      </c>
      <c r="U295" s="10" t="n">
        <v>46235</v>
      </c>
      <c r="V295" s="9" t="n">
        <v>45</v>
      </c>
      <c r="W295" s="17" t="n">
        <v>7.55</v>
      </c>
      <c r="X295" s="17" t="n">
        <v>339.75</v>
      </c>
      <c r="Y295" s="17" t="n">
        <f aca="false">IF(ISNUMBER(X295),X295-S295,"")</f>
        <v>0</v>
      </c>
      <c r="Z295" s="17" t="n">
        <f aca="false">IF(ISNUMBER(X295),X295-S295,-S295)</f>
        <v>0</v>
      </c>
      <c r="AA295" s="9" t="str">
        <f aca="false">IF(NOT(ISNUMBER(X295)),"NO AUGUST POSTING IN EXPORT",IF(ABS(Y295)&gt;=0.005,"POSTED CHARGE MISMATCH",IF(P295&gt;0,"MATCH - COVERED ELIGIBILITY EXCEPTION","MATCH")))</f>
        <v>MATCH</v>
      </c>
      <c r="AB295" s="9" t="s">
        <v>3788</v>
      </c>
    </row>
    <row r="296" customFormat="false" ht="15" hidden="false" customHeight="false" outlineLevel="0" collapsed="false">
      <c r="A296" s="13" t="s">
        <v>1936</v>
      </c>
      <c r="B296" s="13" t="s">
        <v>155</v>
      </c>
      <c r="C296" s="13" t="s">
        <v>146</v>
      </c>
      <c r="D296" s="13" t="s">
        <v>2002</v>
      </c>
      <c r="E296" s="13" t="s">
        <v>2517</v>
      </c>
      <c r="F296" s="13" t="s">
        <v>3789</v>
      </c>
      <c r="G296" s="13" t="s">
        <v>3790</v>
      </c>
      <c r="H296" s="13" t="s">
        <v>3791</v>
      </c>
      <c r="I296" s="15" t="n">
        <v>24</v>
      </c>
      <c r="J296" s="15" t="n">
        <v>47.9</v>
      </c>
      <c r="K296" s="15"/>
      <c r="L296" s="15"/>
      <c r="M296" s="15" t="n">
        <f aca="false">IF(ISNUMBER(L296),L296,J296)</f>
        <v>47.9</v>
      </c>
      <c r="N296" s="15" t="n">
        <f aca="false">ROUNDUP(M296,0)</f>
        <v>48</v>
      </c>
      <c r="O296" s="15" t="n">
        <f aca="false">MAX(I296,N296)</f>
        <v>48</v>
      </c>
      <c r="P296" s="15" t="n">
        <f aca="false">IF(C296="COVERED",MAX(0,O296-40),0)</f>
        <v>0</v>
      </c>
      <c r="Q296" s="15" t="n">
        <f aca="false">O296</f>
        <v>48</v>
      </c>
      <c r="R296" s="18" t="n">
        <f aca="false">IF(C296="COVERED",10.4,7.55)</f>
        <v>7.55</v>
      </c>
      <c r="S296" s="18" t="n">
        <f aca="false">Q296*R296</f>
        <v>362.4</v>
      </c>
      <c r="T296" s="13" t="s">
        <v>3792</v>
      </c>
      <c r="U296" s="14" t="n">
        <v>46235</v>
      </c>
      <c r="V296" s="13" t="n">
        <v>48</v>
      </c>
      <c r="W296" s="18" t="n">
        <v>7.55</v>
      </c>
      <c r="X296" s="18" t="n">
        <v>362.4</v>
      </c>
      <c r="Y296" s="18" t="n">
        <f aca="false">IF(ISNUMBER(X296),X296-S296,"")</f>
        <v>0</v>
      </c>
      <c r="Z296" s="18" t="n">
        <f aca="false">IF(ISNUMBER(X296),X296-S296,-S296)</f>
        <v>0</v>
      </c>
      <c r="AA296" s="13" t="str">
        <f aca="false">IF(NOT(ISNUMBER(X296)),"NO AUGUST POSTING IN EXPORT",IF(ABS(Y296)&gt;=0.005,"POSTED CHARGE MISMATCH",IF(P296&gt;0,"MATCH - COVERED ELIGIBILITY EXCEPTION","MATCH")))</f>
        <v>MATCH</v>
      </c>
      <c r="AB296" s="13" t="s">
        <v>3793</v>
      </c>
    </row>
    <row r="297" customFormat="false" ht="15" hidden="false" customHeight="false" outlineLevel="0" collapsed="false">
      <c r="A297" s="9" t="s">
        <v>3794</v>
      </c>
      <c r="B297" s="9" t="s">
        <v>155</v>
      </c>
      <c r="C297" s="9" t="s">
        <v>146</v>
      </c>
      <c r="D297" s="9" t="s">
        <v>2002</v>
      </c>
      <c r="E297" s="9" t="s">
        <v>2524</v>
      </c>
      <c r="F297" s="9" t="s">
        <v>3795</v>
      </c>
      <c r="G297" s="9" t="s">
        <v>3796</v>
      </c>
      <c r="H297" s="9" t="s">
        <v>2385</v>
      </c>
      <c r="I297" s="11" t="n">
        <v>32</v>
      </c>
      <c r="J297" s="11" t="n">
        <v>23.7</v>
      </c>
      <c r="K297" s="11"/>
      <c r="L297" s="11"/>
      <c r="M297" s="11" t="n">
        <f aca="false">IF(ISNUMBER(L297),L297,J297)</f>
        <v>23.7</v>
      </c>
      <c r="N297" s="11" t="n">
        <f aca="false">ROUNDUP(M297,0)</f>
        <v>24</v>
      </c>
      <c r="O297" s="11" t="n">
        <f aca="false">MAX(I297,N297)</f>
        <v>32</v>
      </c>
      <c r="P297" s="11" t="n">
        <f aca="false">IF(C297="COVERED",MAX(0,O297-40),0)</f>
        <v>0</v>
      </c>
      <c r="Q297" s="11" t="n">
        <f aca="false">O297</f>
        <v>32</v>
      </c>
      <c r="R297" s="17" t="n">
        <f aca="false">IF(C297="COVERED",10.4,7.55)</f>
        <v>7.55</v>
      </c>
      <c r="S297" s="17" t="n">
        <f aca="false">Q297*R297</f>
        <v>241.6</v>
      </c>
      <c r="T297" s="9" t="s">
        <v>3797</v>
      </c>
      <c r="U297" s="10" t="n">
        <v>46235</v>
      </c>
      <c r="V297" s="9" t="n">
        <v>32</v>
      </c>
      <c r="W297" s="17" t="n">
        <v>7.55</v>
      </c>
      <c r="X297" s="17" t="n">
        <v>241.6</v>
      </c>
      <c r="Y297" s="17" t="n">
        <f aca="false">IF(ISNUMBER(X297),X297-S297,"")</f>
        <v>0</v>
      </c>
      <c r="Z297" s="17" t="n">
        <f aca="false">IF(ISNUMBER(X297),X297-S297,-S297)</f>
        <v>0</v>
      </c>
      <c r="AA297" s="9" t="str">
        <f aca="false">IF(NOT(ISNUMBER(X297)),"NO AUGUST POSTING IN EXPORT",IF(ABS(Y297)&gt;=0.005,"POSTED CHARGE MISMATCH",IF(P297&gt;0,"MATCH - COVERED ELIGIBILITY EXCEPTION","MATCH")))</f>
        <v>MATCH</v>
      </c>
      <c r="AB297" s="9" t="s">
        <v>3798</v>
      </c>
    </row>
    <row r="298" customFormat="false" ht="15" hidden="false" customHeight="false" outlineLevel="0" collapsed="false">
      <c r="A298" s="13" t="s">
        <v>3799</v>
      </c>
      <c r="B298" s="13" t="s">
        <v>155</v>
      </c>
      <c r="C298" s="13" t="s">
        <v>146</v>
      </c>
      <c r="D298" s="13" t="s">
        <v>2002</v>
      </c>
      <c r="E298" s="13" t="s">
        <v>2531</v>
      </c>
      <c r="F298" s="13" t="s">
        <v>3800</v>
      </c>
      <c r="G298" s="13" t="s">
        <v>3801</v>
      </c>
      <c r="H298" s="13" t="s">
        <v>2231</v>
      </c>
      <c r="I298" s="15" t="n">
        <v>32</v>
      </c>
      <c r="J298" s="15" t="n">
        <v>52.8</v>
      </c>
      <c r="K298" s="15"/>
      <c r="L298" s="15"/>
      <c r="M298" s="15" t="n">
        <f aca="false">IF(ISNUMBER(L298),L298,J298)</f>
        <v>52.8</v>
      </c>
      <c r="N298" s="15" t="n">
        <f aca="false">ROUNDUP(M298,0)</f>
        <v>53</v>
      </c>
      <c r="O298" s="15" t="n">
        <f aca="false">MAX(I298,N298)</f>
        <v>53</v>
      </c>
      <c r="P298" s="15" t="n">
        <f aca="false">IF(C298="COVERED",MAX(0,O298-40),0)</f>
        <v>0</v>
      </c>
      <c r="Q298" s="15" t="n">
        <f aca="false">O298</f>
        <v>53</v>
      </c>
      <c r="R298" s="18" t="n">
        <f aca="false">IF(C298="COVERED",10.4,7.55)</f>
        <v>7.55</v>
      </c>
      <c r="S298" s="18" t="n">
        <f aca="false">Q298*R298</f>
        <v>400.15</v>
      </c>
      <c r="T298" s="13" t="s">
        <v>3802</v>
      </c>
      <c r="U298" s="14" t="n">
        <v>46235</v>
      </c>
      <c r="V298" s="13" t="n">
        <v>53</v>
      </c>
      <c r="W298" s="18" t="n">
        <v>7.55</v>
      </c>
      <c r="X298" s="18" t="n">
        <v>400.15</v>
      </c>
      <c r="Y298" s="18" t="n">
        <f aca="false">IF(ISNUMBER(X298),X298-S298,"")</f>
        <v>0</v>
      </c>
      <c r="Z298" s="18" t="n">
        <f aca="false">IF(ISNUMBER(X298),X298-S298,-S298)</f>
        <v>0</v>
      </c>
      <c r="AA298" s="13" t="str">
        <f aca="false">IF(NOT(ISNUMBER(X298)),"NO AUGUST POSTING IN EXPORT",IF(ABS(Y298)&gt;=0.005,"POSTED CHARGE MISMATCH",IF(P298&gt;0,"MATCH - COVERED ELIGIBILITY EXCEPTION","MATCH")))</f>
        <v>MATCH</v>
      </c>
      <c r="AB298" s="13" t="s">
        <v>3803</v>
      </c>
    </row>
    <row r="299" customFormat="false" ht="15" hidden="false" customHeight="false" outlineLevel="0" collapsed="false">
      <c r="A299" s="9" t="s">
        <v>3804</v>
      </c>
      <c r="B299" s="9" t="s">
        <v>155</v>
      </c>
      <c r="C299" s="9" t="s">
        <v>146</v>
      </c>
      <c r="D299" s="9" t="s">
        <v>2002</v>
      </c>
      <c r="E299" s="9" t="s">
        <v>2538</v>
      </c>
      <c r="F299" s="9" t="s">
        <v>3805</v>
      </c>
      <c r="G299" s="9" t="s">
        <v>3806</v>
      </c>
      <c r="H299" s="9" t="s">
        <v>3807</v>
      </c>
      <c r="I299" s="11" t="n">
        <v>24</v>
      </c>
      <c r="J299" s="11" t="n">
        <v>28.3</v>
      </c>
      <c r="K299" s="11"/>
      <c r="L299" s="11"/>
      <c r="M299" s="11" t="n">
        <f aca="false">IF(ISNUMBER(L299),L299,J299)</f>
        <v>28.3</v>
      </c>
      <c r="N299" s="11" t="n">
        <f aca="false">ROUNDUP(M299,0)</f>
        <v>29</v>
      </c>
      <c r="O299" s="11" t="n">
        <f aca="false">MAX(I299,N299)</f>
        <v>29</v>
      </c>
      <c r="P299" s="11" t="n">
        <f aca="false">IF(C299="COVERED",MAX(0,O299-40),0)</f>
        <v>0</v>
      </c>
      <c r="Q299" s="11" t="n">
        <f aca="false">O299</f>
        <v>29</v>
      </c>
      <c r="R299" s="17" t="n">
        <f aca="false">IF(C299="COVERED",10.4,7.55)</f>
        <v>7.55</v>
      </c>
      <c r="S299" s="17" t="n">
        <f aca="false">Q299*R299</f>
        <v>218.95</v>
      </c>
      <c r="T299" s="9" t="s">
        <v>3808</v>
      </c>
      <c r="U299" s="10" t="n">
        <v>46235</v>
      </c>
      <c r="V299" s="9" t="n">
        <v>29</v>
      </c>
      <c r="W299" s="17" t="n">
        <v>7.55</v>
      </c>
      <c r="X299" s="17" t="n">
        <v>218.95</v>
      </c>
      <c r="Y299" s="17" t="n">
        <f aca="false">IF(ISNUMBER(X299),X299-S299,"")</f>
        <v>0</v>
      </c>
      <c r="Z299" s="17" t="n">
        <f aca="false">IF(ISNUMBER(X299),X299-S299,-S299)</f>
        <v>0</v>
      </c>
      <c r="AA299" s="9" t="str">
        <f aca="false">IF(NOT(ISNUMBER(X299)),"NO AUGUST POSTING IN EXPORT",IF(ABS(Y299)&gt;=0.005,"POSTED CHARGE MISMATCH",IF(P299&gt;0,"MATCH - COVERED ELIGIBILITY EXCEPTION","MATCH")))</f>
        <v>MATCH</v>
      </c>
      <c r="AB299" s="9" t="s">
        <v>3809</v>
      </c>
    </row>
    <row r="300" customFormat="false" ht="15" hidden="false" customHeight="false" outlineLevel="0" collapsed="false">
      <c r="A300" s="13" t="s">
        <v>1610</v>
      </c>
      <c r="B300" s="13" t="s">
        <v>155</v>
      </c>
      <c r="C300" s="13" t="s">
        <v>146</v>
      </c>
      <c r="D300" s="13" t="s">
        <v>2002</v>
      </c>
      <c r="E300" s="13" t="s">
        <v>2545</v>
      </c>
      <c r="F300" s="13" t="s">
        <v>3810</v>
      </c>
      <c r="G300" s="13" t="s">
        <v>3811</v>
      </c>
      <c r="H300" s="13" t="s">
        <v>3812</v>
      </c>
      <c r="I300" s="15" t="n">
        <v>32</v>
      </c>
      <c r="J300" s="15" t="n">
        <v>27</v>
      </c>
      <c r="K300" s="15"/>
      <c r="L300" s="15"/>
      <c r="M300" s="15" t="n">
        <f aca="false">IF(ISNUMBER(L300),L300,J300)</f>
        <v>27</v>
      </c>
      <c r="N300" s="15" t="n">
        <f aca="false">ROUNDUP(M300,0)</f>
        <v>27</v>
      </c>
      <c r="O300" s="15" t="n">
        <f aca="false">MAX(I300,N300)</f>
        <v>32</v>
      </c>
      <c r="P300" s="15" t="n">
        <f aca="false">IF(C300="COVERED",MAX(0,O300-40),0)</f>
        <v>0</v>
      </c>
      <c r="Q300" s="15" t="n">
        <f aca="false">O300</f>
        <v>32</v>
      </c>
      <c r="R300" s="18" t="n">
        <f aca="false">IF(C300="COVERED",10.4,7.55)</f>
        <v>7.55</v>
      </c>
      <c r="S300" s="18" t="n">
        <f aca="false">Q300*R300</f>
        <v>241.6</v>
      </c>
      <c r="T300" s="13" t="s">
        <v>3813</v>
      </c>
      <c r="U300" s="14" t="n">
        <v>46235</v>
      </c>
      <c r="V300" s="13" t="n">
        <v>32</v>
      </c>
      <c r="W300" s="18" t="n">
        <v>7.55</v>
      </c>
      <c r="X300" s="18" t="n">
        <v>241.6</v>
      </c>
      <c r="Y300" s="18" t="n">
        <f aca="false">IF(ISNUMBER(X300),X300-S300,"")</f>
        <v>0</v>
      </c>
      <c r="Z300" s="18" t="n">
        <f aca="false">IF(ISNUMBER(X300),X300-S300,-S300)</f>
        <v>0</v>
      </c>
      <c r="AA300" s="13" t="str">
        <f aca="false">IF(NOT(ISNUMBER(X300)),"NO AUGUST POSTING IN EXPORT",IF(ABS(Y300)&gt;=0.005,"POSTED CHARGE MISMATCH",IF(P300&gt;0,"MATCH - COVERED ELIGIBILITY EXCEPTION","MATCH")))</f>
        <v>MATCH</v>
      </c>
      <c r="AB300" s="13" t="s">
        <v>3814</v>
      </c>
    </row>
    <row r="301" customFormat="false" ht="15" hidden="false" customHeight="false" outlineLevel="0" collapsed="false">
      <c r="A301" s="9" t="s">
        <v>3815</v>
      </c>
      <c r="B301" s="9" t="s">
        <v>155</v>
      </c>
      <c r="C301" s="9" t="s">
        <v>146</v>
      </c>
      <c r="D301" s="9" t="s">
        <v>2002</v>
      </c>
      <c r="E301" s="9" t="s">
        <v>2550</v>
      </c>
      <c r="F301" s="9" t="s">
        <v>3816</v>
      </c>
      <c r="G301" s="9" t="s">
        <v>3817</v>
      </c>
      <c r="H301" s="9" t="s">
        <v>3818</v>
      </c>
      <c r="I301" s="11" t="n">
        <v>28</v>
      </c>
      <c r="J301" s="11" t="n">
        <v>18.5</v>
      </c>
      <c r="K301" s="11"/>
      <c r="L301" s="11"/>
      <c r="M301" s="11" t="n">
        <f aca="false">IF(ISNUMBER(L301),L301,J301)</f>
        <v>18.5</v>
      </c>
      <c r="N301" s="11" t="n">
        <f aca="false">ROUNDUP(M301,0)</f>
        <v>19</v>
      </c>
      <c r="O301" s="11" t="n">
        <f aca="false">MAX(I301,N301)</f>
        <v>28</v>
      </c>
      <c r="P301" s="11" t="n">
        <f aca="false">IF(C301="COVERED",MAX(0,O301-40),0)</f>
        <v>0</v>
      </c>
      <c r="Q301" s="11" t="n">
        <f aca="false">O301</f>
        <v>28</v>
      </c>
      <c r="R301" s="17" t="n">
        <f aca="false">IF(C301="COVERED",10.4,7.55)</f>
        <v>7.55</v>
      </c>
      <c r="S301" s="17" t="n">
        <f aca="false">Q301*R301</f>
        <v>211.4</v>
      </c>
      <c r="T301" s="9" t="s">
        <v>3819</v>
      </c>
      <c r="U301" s="10" t="n">
        <v>46235</v>
      </c>
      <c r="V301" s="9" t="n">
        <v>28</v>
      </c>
      <c r="W301" s="17" t="n">
        <v>7.55</v>
      </c>
      <c r="X301" s="17" t="n">
        <v>211.4</v>
      </c>
      <c r="Y301" s="17" t="n">
        <f aca="false">IF(ISNUMBER(X301),X301-S301,"")</f>
        <v>0</v>
      </c>
      <c r="Z301" s="17" t="n">
        <f aca="false">IF(ISNUMBER(X301),X301-S301,-S301)</f>
        <v>0</v>
      </c>
      <c r="AA301" s="9" t="str">
        <f aca="false">IF(NOT(ISNUMBER(X301)),"NO AUGUST POSTING IN EXPORT",IF(ABS(Y301)&gt;=0.005,"POSTED CHARGE MISMATCH",IF(P301&gt;0,"MATCH - COVERED ELIGIBILITY EXCEPTION","MATCH")))</f>
        <v>MATCH</v>
      </c>
      <c r="AB301" s="9" t="s">
        <v>3820</v>
      </c>
    </row>
    <row r="302" customFormat="false" ht="15" hidden="false" customHeight="false" outlineLevel="0" collapsed="false">
      <c r="A302" s="13" t="s">
        <v>3821</v>
      </c>
      <c r="B302" s="13" t="s">
        <v>155</v>
      </c>
      <c r="C302" s="13" t="s">
        <v>146</v>
      </c>
      <c r="D302" s="13" t="s">
        <v>2002</v>
      </c>
      <c r="E302" s="13" t="s">
        <v>2556</v>
      </c>
      <c r="F302" s="13" t="s">
        <v>3822</v>
      </c>
      <c r="G302" s="13" t="s">
        <v>3823</v>
      </c>
      <c r="H302" s="13" t="s">
        <v>3824</v>
      </c>
      <c r="I302" s="15" t="n">
        <v>80</v>
      </c>
      <c r="J302" s="15" t="n">
        <v>46.6</v>
      </c>
      <c r="K302" s="15"/>
      <c r="L302" s="15"/>
      <c r="M302" s="15" t="n">
        <f aca="false">IF(ISNUMBER(L302),L302,J302)</f>
        <v>46.6</v>
      </c>
      <c r="N302" s="15" t="n">
        <f aca="false">ROUNDUP(M302,0)</f>
        <v>47</v>
      </c>
      <c r="O302" s="15" t="n">
        <f aca="false">MAX(I302,N302)</f>
        <v>80</v>
      </c>
      <c r="P302" s="15" t="n">
        <f aca="false">IF(C302="COVERED",MAX(0,O302-40),0)</f>
        <v>0</v>
      </c>
      <c r="Q302" s="15" t="n">
        <f aca="false">O302</f>
        <v>80</v>
      </c>
      <c r="R302" s="18" t="n">
        <f aca="false">IF(C302="COVERED",10.4,7.55)</f>
        <v>7.55</v>
      </c>
      <c r="S302" s="18" t="n">
        <f aca="false">Q302*R302</f>
        <v>604</v>
      </c>
      <c r="T302" s="13" t="s">
        <v>3825</v>
      </c>
      <c r="U302" s="14" t="n">
        <v>46235</v>
      </c>
      <c r="V302" s="13" t="n">
        <v>80</v>
      </c>
      <c r="W302" s="18" t="n">
        <v>7.55</v>
      </c>
      <c r="X302" s="18" t="n">
        <v>604</v>
      </c>
      <c r="Y302" s="18" t="n">
        <f aca="false">IF(ISNUMBER(X302),X302-S302,"")</f>
        <v>0</v>
      </c>
      <c r="Z302" s="18" t="n">
        <f aca="false">IF(ISNUMBER(X302),X302-S302,-S302)</f>
        <v>0</v>
      </c>
      <c r="AA302" s="13" t="str">
        <f aca="false">IF(NOT(ISNUMBER(X302)),"NO AUGUST POSTING IN EXPORT",IF(ABS(Y302)&gt;=0.005,"POSTED CHARGE MISMATCH",IF(P302&gt;0,"MATCH - COVERED ELIGIBILITY EXCEPTION","MATCH")))</f>
        <v>MATCH</v>
      </c>
      <c r="AB302" s="13" t="s">
        <v>3826</v>
      </c>
    </row>
    <row r="303" customFormat="false" ht="15" hidden="false" customHeight="false" outlineLevel="0" collapsed="false">
      <c r="A303" s="9" t="s">
        <v>3827</v>
      </c>
      <c r="B303" s="9" t="s">
        <v>155</v>
      </c>
      <c r="C303" s="9" t="s">
        <v>146</v>
      </c>
      <c r="D303" s="9" t="s">
        <v>2002</v>
      </c>
      <c r="E303" s="9" t="s">
        <v>3828</v>
      </c>
      <c r="F303" s="9" t="s">
        <v>3829</v>
      </c>
      <c r="G303" s="9" t="s">
        <v>3830</v>
      </c>
      <c r="H303" s="9" t="s">
        <v>3831</v>
      </c>
      <c r="I303" s="11" t="n">
        <v>80</v>
      </c>
      <c r="J303" s="11" t="n">
        <v>40.9</v>
      </c>
      <c r="K303" s="11"/>
      <c r="L303" s="11"/>
      <c r="M303" s="11" t="n">
        <f aca="false">IF(ISNUMBER(L303),L303,J303)</f>
        <v>40.9</v>
      </c>
      <c r="N303" s="11" t="n">
        <f aca="false">ROUNDUP(M303,0)</f>
        <v>41</v>
      </c>
      <c r="O303" s="11" t="n">
        <f aca="false">MAX(I303,N303)</f>
        <v>80</v>
      </c>
      <c r="P303" s="11" t="n">
        <f aca="false">IF(C303="COVERED",MAX(0,O303-40),0)</f>
        <v>0</v>
      </c>
      <c r="Q303" s="11" t="n">
        <f aca="false">O303</f>
        <v>80</v>
      </c>
      <c r="R303" s="17" t="n">
        <f aca="false">IF(C303="COVERED",10.4,7.55)</f>
        <v>7.55</v>
      </c>
      <c r="S303" s="17" t="n">
        <f aca="false">Q303*R303</f>
        <v>604</v>
      </c>
      <c r="T303" s="9" t="s">
        <v>3832</v>
      </c>
      <c r="U303" s="10" t="n">
        <v>46235</v>
      </c>
      <c r="V303" s="9" t="n">
        <v>80</v>
      </c>
      <c r="W303" s="17" t="n">
        <v>7.55</v>
      </c>
      <c r="X303" s="17" t="n">
        <v>604</v>
      </c>
      <c r="Y303" s="17" t="n">
        <f aca="false">IF(ISNUMBER(X303),X303-S303,"")</f>
        <v>0</v>
      </c>
      <c r="Z303" s="17" t="n">
        <f aca="false">IF(ISNUMBER(X303),X303-S303,-S303)</f>
        <v>0</v>
      </c>
      <c r="AA303" s="9" t="str">
        <f aca="false">IF(NOT(ISNUMBER(X303)),"NO AUGUST POSTING IN EXPORT",IF(ABS(Y303)&gt;=0.005,"POSTED CHARGE MISMATCH",IF(P303&gt;0,"MATCH - COVERED ELIGIBILITY EXCEPTION","MATCH")))</f>
        <v>MATCH</v>
      </c>
      <c r="AB303" s="9" t="s">
        <v>3833</v>
      </c>
    </row>
    <row r="304" customFormat="false" ht="15" hidden="false" customHeight="false" outlineLevel="0" collapsed="false">
      <c r="A304" s="13" t="s">
        <v>3834</v>
      </c>
      <c r="B304" s="13" t="s">
        <v>155</v>
      </c>
      <c r="C304" s="13" t="s">
        <v>146</v>
      </c>
      <c r="D304" s="13" t="s">
        <v>2002</v>
      </c>
      <c r="E304" s="13" t="s">
        <v>2560</v>
      </c>
      <c r="F304" s="13" t="s">
        <v>3835</v>
      </c>
      <c r="G304" s="13" t="s">
        <v>3836</v>
      </c>
      <c r="H304" s="13" t="s">
        <v>3837</v>
      </c>
      <c r="I304" s="15" t="n">
        <v>32</v>
      </c>
      <c r="J304" s="15" t="n">
        <v>42</v>
      </c>
      <c r="K304" s="15"/>
      <c r="L304" s="15"/>
      <c r="M304" s="15" t="n">
        <f aca="false">IF(ISNUMBER(L304),L304,J304)</f>
        <v>42</v>
      </c>
      <c r="N304" s="15" t="n">
        <f aca="false">ROUNDUP(M304,0)</f>
        <v>42</v>
      </c>
      <c r="O304" s="15" t="n">
        <f aca="false">MAX(I304,N304)</f>
        <v>42</v>
      </c>
      <c r="P304" s="15" t="n">
        <f aca="false">IF(C304="COVERED",MAX(0,O304-40),0)</f>
        <v>0</v>
      </c>
      <c r="Q304" s="15" t="n">
        <f aca="false">O304</f>
        <v>42</v>
      </c>
      <c r="R304" s="18" t="n">
        <f aca="false">IF(C304="COVERED",10.4,7.55)</f>
        <v>7.55</v>
      </c>
      <c r="S304" s="18" t="n">
        <f aca="false">Q304*R304</f>
        <v>317.1</v>
      </c>
      <c r="T304" s="13" t="s">
        <v>3838</v>
      </c>
      <c r="U304" s="14" t="n">
        <v>46235</v>
      </c>
      <c r="V304" s="13" t="n">
        <v>42</v>
      </c>
      <c r="W304" s="18" t="n">
        <v>7.55</v>
      </c>
      <c r="X304" s="18" t="n">
        <v>317.1</v>
      </c>
      <c r="Y304" s="18" t="n">
        <f aca="false">IF(ISNUMBER(X304),X304-S304,"")</f>
        <v>0</v>
      </c>
      <c r="Z304" s="18" t="n">
        <f aca="false">IF(ISNUMBER(X304),X304-S304,-S304)</f>
        <v>0</v>
      </c>
      <c r="AA304" s="13" t="str">
        <f aca="false">IF(NOT(ISNUMBER(X304)),"NO AUGUST POSTING IN EXPORT",IF(ABS(Y304)&gt;=0.005,"POSTED CHARGE MISMATCH",IF(P304&gt;0,"MATCH - COVERED ELIGIBILITY EXCEPTION","MATCH")))</f>
        <v>MATCH</v>
      </c>
      <c r="AB304" s="13" t="s">
        <v>3839</v>
      </c>
    </row>
    <row r="305" customFormat="false" ht="15" hidden="false" customHeight="false" outlineLevel="0" collapsed="false">
      <c r="A305" s="9" t="s">
        <v>3840</v>
      </c>
      <c r="B305" s="9" t="s">
        <v>155</v>
      </c>
      <c r="C305" s="9" t="s">
        <v>146</v>
      </c>
      <c r="D305" s="9" t="s">
        <v>2002</v>
      </c>
      <c r="E305" s="9" t="s">
        <v>3841</v>
      </c>
      <c r="F305" s="9" t="s">
        <v>3842</v>
      </c>
      <c r="G305" s="9" t="s">
        <v>3843</v>
      </c>
      <c r="H305" s="9" t="s">
        <v>3844</v>
      </c>
      <c r="I305" s="11" t="n">
        <v>40</v>
      </c>
      <c r="J305" s="11" t="n">
        <v>22.6</v>
      </c>
      <c r="K305" s="11"/>
      <c r="L305" s="11"/>
      <c r="M305" s="11" t="n">
        <f aca="false">IF(ISNUMBER(L305),L305,J305)</f>
        <v>22.6</v>
      </c>
      <c r="N305" s="11" t="n">
        <f aca="false">ROUNDUP(M305,0)</f>
        <v>23</v>
      </c>
      <c r="O305" s="11" t="n">
        <f aca="false">MAX(I305,N305)</f>
        <v>40</v>
      </c>
      <c r="P305" s="11" t="n">
        <f aca="false">IF(C305="COVERED",MAX(0,O305-40),0)</f>
        <v>0</v>
      </c>
      <c r="Q305" s="11" t="n">
        <f aca="false">O305</f>
        <v>40</v>
      </c>
      <c r="R305" s="17" t="n">
        <f aca="false">IF(C305="COVERED",10.4,7.55)</f>
        <v>7.55</v>
      </c>
      <c r="S305" s="17" t="n">
        <f aca="false">Q305*R305</f>
        <v>302</v>
      </c>
      <c r="T305" s="9" t="s">
        <v>3845</v>
      </c>
      <c r="U305" s="10" t="n">
        <v>46235</v>
      </c>
      <c r="V305" s="9" t="n">
        <v>40</v>
      </c>
      <c r="W305" s="17" t="n">
        <v>7.55</v>
      </c>
      <c r="X305" s="17" t="n">
        <v>302</v>
      </c>
      <c r="Y305" s="17" t="n">
        <f aca="false">IF(ISNUMBER(X305),X305-S305,"")</f>
        <v>0</v>
      </c>
      <c r="Z305" s="17" t="n">
        <f aca="false">IF(ISNUMBER(X305),X305-S305,-S305)</f>
        <v>0</v>
      </c>
      <c r="AA305" s="9" t="str">
        <f aca="false">IF(NOT(ISNUMBER(X305)),"NO AUGUST POSTING IN EXPORT",IF(ABS(Y305)&gt;=0.005,"POSTED CHARGE MISMATCH",IF(P305&gt;0,"MATCH - COVERED ELIGIBILITY EXCEPTION","MATCH")))</f>
        <v>MATCH</v>
      </c>
      <c r="AB305" s="9" t="s">
        <v>3846</v>
      </c>
    </row>
    <row r="306" customFormat="false" ht="15" hidden="false" customHeight="false" outlineLevel="0" collapsed="false">
      <c r="A306" s="13" t="s">
        <v>3847</v>
      </c>
      <c r="B306" s="13" t="s">
        <v>155</v>
      </c>
      <c r="C306" s="13" t="s">
        <v>146</v>
      </c>
      <c r="D306" s="13" t="s">
        <v>2002</v>
      </c>
      <c r="E306" s="13" t="s">
        <v>2574</v>
      </c>
      <c r="F306" s="13" t="s">
        <v>3848</v>
      </c>
      <c r="G306" s="13" t="s">
        <v>3849</v>
      </c>
      <c r="H306" s="13" t="s">
        <v>3850</v>
      </c>
      <c r="I306" s="15" t="n">
        <v>60</v>
      </c>
      <c r="J306" s="15" t="n">
        <v>36.5</v>
      </c>
      <c r="K306" s="15"/>
      <c r="L306" s="15"/>
      <c r="M306" s="15" t="n">
        <f aca="false">IF(ISNUMBER(L306),L306,J306)</f>
        <v>36.5</v>
      </c>
      <c r="N306" s="15" t="n">
        <f aca="false">ROUNDUP(M306,0)</f>
        <v>37</v>
      </c>
      <c r="O306" s="15" t="n">
        <f aca="false">MAX(I306,N306)</f>
        <v>60</v>
      </c>
      <c r="P306" s="15" t="n">
        <f aca="false">IF(C306="COVERED",MAX(0,O306-40),0)</f>
        <v>0</v>
      </c>
      <c r="Q306" s="15" t="n">
        <f aca="false">O306</f>
        <v>60</v>
      </c>
      <c r="R306" s="18" t="n">
        <f aca="false">IF(C306="COVERED",10.4,7.55)</f>
        <v>7.55</v>
      </c>
      <c r="S306" s="18" t="n">
        <f aca="false">Q306*R306</f>
        <v>453</v>
      </c>
      <c r="T306" s="13"/>
      <c r="U306" s="14"/>
      <c r="V306" s="13"/>
      <c r="W306" s="18"/>
      <c r="X306" s="18"/>
      <c r="Y306" s="18" t="str">
        <f aca="false">IF(ISNUMBER(X306),X306-S306,"")</f>
        <v/>
      </c>
      <c r="Z306" s="18" t="n">
        <f aca="false">IF(ISNUMBER(X306),X306-S306,-S306)</f>
        <v>-453</v>
      </c>
      <c r="AA306" s="13" t="str">
        <f aca="false">IF(NOT(ISNUMBER(X306)),"NO AUGUST POSTING IN EXPORT",IF(ABS(Y306)&gt;=0.005,"POSTED CHARGE MISMATCH",IF(P306&gt;0,"MATCH - COVERED ELIGIBILITY EXCEPTION","MATCH")))</f>
        <v>NO AUGUST POSTING IN EXPORT</v>
      </c>
      <c r="AB306" s="13" t="s">
        <v>3851</v>
      </c>
    </row>
    <row r="307" customFormat="false" ht="15" hidden="false" customHeight="false" outlineLevel="0" collapsed="false">
      <c r="A307" s="9" t="s">
        <v>3852</v>
      </c>
      <c r="B307" s="9" t="s">
        <v>155</v>
      </c>
      <c r="C307" s="9" t="s">
        <v>146</v>
      </c>
      <c r="D307" s="9" t="s">
        <v>2002</v>
      </c>
      <c r="E307" s="9" t="s">
        <v>2581</v>
      </c>
      <c r="F307" s="9" t="s">
        <v>3853</v>
      </c>
      <c r="G307" s="9" t="s">
        <v>3854</v>
      </c>
      <c r="H307" s="9" t="s">
        <v>3855</v>
      </c>
      <c r="I307" s="11" t="n">
        <v>32</v>
      </c>
      <c r="J307" s="11" t="n">
        <v>43.9</v>
      </c>
      <c r="K307" s="11"/>
      <c r="L307" s="11"/>
      <c r="M307" s="11" t="n">
        <f aca="false">IF(ISNUMBER(L307),L307,J307)</f>
        <v>43.9</v>
      </c>
      <c r="N307" s="11" t="n">
        <f aca="false">ROUNDUP(M307,0)</f>
        <v>44</v>
      </c>
      <c r="O307" s="11" t="n">
        <f aca="false">MAX(I307,N307)</f>
        <v>44</v>
      </c>
      <c r="P307" s="11" t="n">
        <f aca="false">IF(C307="COVERED",MAX(0,O307-40),0)</f>
        <v>0</v>
      </c>
      <c r="Q307" s="11" t="n">
        <f aca="false">O307</f>
        <v>44</v>
      </c>
      <c r="R307" s="17" t="n">
        <f aca="false">IF(C307="COVERED",10.4,7.55)</f>
        <v>7.55</v>
      </c>
      <c r="S307" s="17" t="n">
        <f aca="false">Q307*R307</f>
        <v>332.2</v>
      </c>
      <c r="T307" s="9"/>
      <c r="U307" s="10"/>
      <c r="V307" s="9"/>
      <c r="W307" s="17"/>
      <c r="X307" s="17"/>
      <c r="Y307" s="17" t="str">
        <f aca="false">IF(ISNUMBER(X307),X307-S307,"")</f>
        <v/>
      </c>
      <c r="Z307" s="17" t="n">
        <f aca="false">IF(ISNUMBER(X307),X307-S307,-S307)</f>
        <v>-332.2</v>
      </c>
      <c r="AA307" s="9" t="str">
        <f aca="false">IF(NOT(ISNUMBER(X307)),"NO AUGUST POSTING IN EXPORT",IF(ABS(Y307)&gt;=0.005,"POSTED CHARGE MISMATCH",IF(P307&gt;0,"MATCH - COVERED ELIGIBILITY EXCEPTION","MATCH")))</f>
        <v>NO AUGUST POSTING IN EXPORT</v>
      </c>
      <c r="AB307" s="9" t="s">
        <v>3856</v>
      </c>
    </row>
    <row r="308" customFormat="false" ht="15" hidden="false" customHeight="false" outlineLevel="0" collapsed="false">
      <c r="A308" s="13" t="s">
        <v>3857</v>
      </c>
      <c r="B308" s="13" t="s">
        <v>155</v>
      </c>
      <c r="C308" s="13" t="s">
        <v>146</v>
      </c>
      <c r="D308" s="13" t="s">
        <v>2002</v>
      </c>
      <c r="E308" s="13" t="s">
        <v>2588</v>
      </c>
      <c r="F308" s="13" t="s">
        <v>3858</v>
      </c>
      <c r="G308" s="13" t="s">
        <v>3859</v>
      </c>
      <c r="H308" s="13" t="s">
        <v>3860</v>
      </c>
      <c r="I308" s="15" t="n">
        <v>50</v>
      </c>
      <c r="J308" s="15" t="n">
        <v>25.2</v>
      </c>
      <c r="K308" s="15"/>
      <c r="L308" s="15"/>
      <c r="M308" s="15" t="n">
        <f aca="false">IF(ISNUMBER(L308),L308,J308)</f>
        <v>25.2</v>
      </c>
      <c r="N308" s="15" t="n">
        <f aca="false">ROUNDUP(M308,0)</f>
        <v>26</v>
      </c>
      <c r="O308" s="15" t="n">
        <f aca="false">MAX(I308,N308)</f>
        <v>50</v>
      </c>
      <c r="P308" s="15" t="n">
        <f aca="false">IF(C308="COVERED",MAX(0,O308-40),0)</f>
        <v>0</v>
      </c>
      <c r="Q308" s="15" t="n">
        <f aca="false">O308</f>
        <v>50</v>
      </c>
      <c r="R308" s="18" t="n">
        <f aca="false">IF(C308="COVERED",10.4,7.55)</f>
        <v>7.55</v>
      </c>
      <c r="S308" s="18" t="n">
        <f aca="false">Q308*R308</f>
        <v>377.5</v>
      </c>
      <c r="T308" s="13"/>
      <c r="U308" s="14"/>
      <c r="V308" s="13"/>
      <c r="W308" s="18"/>
      <c r="X308" s="18"/>
      <c r="Y308" s="18" t="str">
        <f aca="false">IF(ISNUMBER(X308),X308-S308,"")</f>
        <v/>
      </c>
      <c r="Z308" s="18" t="n">
        <f aca="false">IF(ISNUMBER(X308),X308-S308,-S308)</f>
        <v>-377.5</v>
      </c>
      <c r="AA308" s="13" t="str">
        <f aca="false">IF(NOT(ISNUMBER(X308)),"NO AUGUST POSTING IN EXPORT",IF(ABS(Y308)&gt;=0.005,"POSTED CHARGE MISMATCH",IF(P308&gt;0,"MATCH - COVERED ELIGIBILITY EXCEPTION","MATCH")))</f>
        <v>NO AUGUST POSTING IN EXPORT</v>
      </c>
      <c r="AB308" s="13" t="s">
        <v>3861</v>
      </c>
    </row>
    <row r="309" customFormat="false" ht="15" hidden="false" customHeight="false" outlineLevel="0" collapsed="false">
      <c r="A309" s="9" t="s">
        <v>3862</v>
      </c>
      <c r="B309" s="9" t="s">
        <v>155</v>
      </c>
      <c r="C309" s="9" t="s">
        <v>146</v>
      </c>
      <c r="D309" s="9" t="s">
        <v>2002</v>
      </c>
      <c r="E309" s="9" t="s">
        <v>2595</v>
      </c>
      <c r="F309" s="9" t="s">
        <v>225</v>
      </c>
      <c r="G309" s="9" t="s">
        <v>226</v>
      </c>
      <c r="H309" s="9" t="s">
        <v>3863</v>
      </c>
      <c r="I309" s="11" t="n">
        <v>60</v>
      </c>
      <c r="J309" s="11" t="n">
        <v>54.3</v>
      </c>
      <c r="K309" s="11"/>
      <c r="L309" s="11"/>
      <c r="M309" s="11" t="n">
        <f aca="false">IF(ISNUMBER(L309),L309,J309)</f>
        <v>54.3</v>
      </c>
      <c r="N309" s="11" t="n">
        <f aca="false">ROUNDUP(M309,0)</f>
        <v>55</v>
      </c>
      <c r="O309" s="11" t="n">
        <f aca="false">MAX(I309,N309)</f>
        <v>60</v>
      </c>
      <c r="P309" s="11" t="n">
        <f aca="false">IF(C309="COVERED",MAX(0,O309-40),0)</f>
        <v>0</v>
      </c>
      <c r="Q309" s="11" t="n">
        <f aca="false">O309</f>
        <v>60</v>
      </c>
      <c r="R309" s="17" t="n">
        <f aca="false">IF(C309="COVERED",10.4,7.55)</f>
        <v>7.55</v>
      </c>
      <c r="S309" s="17" t="n">
        <f aca="false">Q309*R309</f>
        <v>453</v>
      </c>
      <c r="T309" s="9"/>
      <c r="U309" s="10"/>
      <c r="V309" s="9"/>
      <c r="W309" s="17"/>
      <c r="X309" s="17"/>
      <c r="Y309" s="17" t="str">
        <f aca="false">IF(ISNUMBER(X309),X309-S309,"")</f>
        <v/>
      </c>
      <c r="Z309" s="17" t="n">
        <f aca="false">IF(ISNUMBER(X309),X309-S309,-S309)</f>
        <v>-453</v>
      </c>
      <c r="AA309" s="9" t="str">
        <f aca="false">IF(NOT(ISNUMBER(X309)),"NO AUGUST POSTING IN EXPORT",IF(ABS(Y309)&gt;=0.005,"POSTED CHARGE MISMATCH",IF(P309&gt;0,"MATCH - COVERED ELIGIBILITY EXCEPTION","MATCH")))</f>
        <v>NO AUGUST POSTING IN EXPORT</v>
      </c>
      <c r="AB309" s="9" t="s">
        <v>3864</v>
      </c>
    </row>
    <row r="310" customFormat="false" ht="15" hidden="false" customHeight="false" outlineLevel="0" collapsed="false">
      <c r="A310" s="13" t="s">
        <v>3865</v>
      </c>
      <c r="B310" s="13" t="s">
        <v>155</v>
      </c>
      <c r="C310" s="13" t="s">
        <v>146</v>
      </c>
      <c r="D310" s="13" t="s">
        <v>2002</v>
      </c>
      <c r="E310" s="13" t="s">
        <v>2602</v>
      </c>
      <c r="F310" s="13" t="s">
        <v>992</v>
      </c>
      <c r="G310" s="13" t="s">
        <v>993</v>
      </c>
      <c r="H310" s="13" t="s">
        <v>3866</v>
      </c>
      <c r="I310" s="15" t="n">
        <v>45</v>
      </c>
      <c r="J310" s="15" t="n">
        <v>25.2</v>
      </c>
      <c r="K310" s="15"/>
      <c r="L310" s="15"/>
      <c r="M310" s="15" t="n">
        <f aca="false">IF(ISNUMBER(L310),L310,J310)</f>
        <v>25.2</v>
      </c>
      <c r="N310" s="15" t="n">
        <f aca="false">ROUNDUP(M310,0)</f>
        <v>26</v>
      </c>
      <c r="O310" s="15" t="n">
        <f aca="false">MAX(I310,N310)</f>
        <v>45</v>
      </c>
      <c r="P310" s="15" t="n">
        <f aca="false">IF(C310="COVERED",MAX(0,O310-40),0)</f>
        <v>0</v>
      </c>
      <c r="Q310" s="15" t="n">
        <f aca="false">O310</f>
        <v>45</v>
      </c>
      <c r="R310" s="18" t="n">
        <f aca="false">IF(C310="COVERED",10.4,7.55)</f>
        <v>7.55</v>
      </c>
      <c r="S310" s="18" t="n">
        <f aca="false">Q310*R310</f>
        <v>339.75</v>
      </c>
      <c r="T310" s="13"/>
      <c r="U310" s="14"/>
      <c r="V310" s="13"/>
      <c r="W310" s="18"/>
      <c r="X310" s="18"/>
      <c r="Y310" s="18" t="str">
        <f aca="false">IF(ISNUMBER(X310),X310-S310,"")</f>
        <v/>
      </c>
      <c r="Z310" s="18" t="n">
        <f aca="false">IF(ISNUMBER(X310),X310-S310,-S310)</f>
        <v>-339.75</v>
      </c>
      <c r="AA310" s="13" t="str">
        <f aca="false">IF(NOT(ISNUMBER(X310)),"NO AUGUST POSTING IN EXPORT",IF(ABS(Y310)&gt;=0.005,"POSTED CHARGE MISMATCH",IF(P310&gt;0,"MATCH - COVERED ELIGIBILITY EXCEPTION","MATCH")))</f>
        <v>NO AUGUST POSTING IN EXPORT</v>
      </c>
      <c r="AB310" s="13" t="s">
        <v>3867</v>
      </c>
    </row>
    <row r="311" customFormat="false" ht="15" hidden="false" customHeight="false" outlineLevel="0" collapsed="false">
      <c r="A311" s="9" t="s">
        <v>3868</v>
      </c>
      <c r="B311" s="9" t="s">
        <v>155</v>
      </c>
      <c r="C311" s="9" t="s">
        <v>146</v>
      </c>
      <c r="D311" s="9" t="s">
        <v>2002</v>
      </c>
      <c r="E311" s="9" t="s">
        <v>2609</v>
      </c>
      <c r="F311" s="9" t="s">
        <v>3869</v>
      </c>
      <c r="G311" s="9" t="s">
        <v>3870</v>
      </c>
      <c r="H311" s="9" t="s">
        <v>3871</v>
      </c>
      <c r="I311" s="11" t="n">
        <v>24</v>
      </c>
      <c r="J311" s="11" t="n">
        <v>38.3</v>
      </c>
      <c r="K311" s="11"/>
      <c r="L311" s="11"/>
      <c r="M311" s="11" t="n">
        <f aca="false">IF(ISNUMBER(L311),L311,J311)</f>
        <v>38.3</v>
      </c>
      <c r="N311" s="11" t="n">
        <f aca="false">ROUNDUP(M311,0)</f>
        <v>39</v>
      </c>
      <c r="O311" s="11" t="n">
        <f aca="false">MAX(I311,N311)</f>
        <v>39</v>
      </c>
      <c r="P311" s="11" t="n">
        <f aca="false">IF(C311="COVERED",MAX(0,O311-40),0)</f>
        <v>0</v>
      </c>
      <c r="Q311" s="11" t="n">
        <f aca="false">O311</f>
        <v>39</v>
      </c>
      <c r="R311" s="17" t="n">
        <f aca="false">IF(C311="COVERED",10.4,7.55)</f>
        <v>7.55</v>
      </c>
      <c r="S311" s="17" t="n">
        <f aca="false">Q311*R311</f>
        <v>294.45</v>
      </c>
      <c r="T311" s="9"/>
      <c r="U311" s="10"/>
      <c r="V311" s="9"/>
      <c r="W311" s="17"/>
      <c r="X311" s="17"/>
      <c r="Y311" s="17" t="str">
        <f aca="false">IF(ISNUMBER(X311),X311-S311,"")</f>
        <v/>
      </c>
      <c r="Z311" s="17" t="n">
        <f aca="false">IF(ISNUMBER(X311),X311-S311,-S311)</f>
        <v>-294.45</v>
      </c>
      <c r="AA311" s="9" t="str">
        <f aca="false">IF(NOT(ISNUMBER(X311)),"NO AUGUST POSTING IN EXPORT",IF(ABS(Y311)&gt;=0.005,"POSTED CHARGE MISMATCH",IF(P311&gt;0,"MATCH - COVERED ELIGIBILITY EXCEPTION","MATCH")))</f>
        <v>NO AUGUST POSTING IN EXPORT</v>
      </c>
      <c r="AB311" s="9" t="s">
        <v>3872</v>
      </c>
    </row>
    <row r="312" customFormat="false" ht="15" hidden="false" customHeight="false" outlineLevel="0" collapsed="false">
      <c r="A312" s="13" t="s">
        <v>3873</v>
      </c>
      <c r="B312" s="13" t="s">
        <v>155</v>
      </c>
      <c r="C312" s="13" t="s">
        <v>146</v>
      </c>
      <c r="D312" s="13" t="s">
        <v>2002</v>
      </c>
      <c r="E312" s="13" t="s">
        <v>2615</v>
      </c>
      <c r="F312" s="13" t="s">
        <v>3874</v>
      </c>
      <c r="G312" s="13" t="s">
        <v>3875</v>
      </c>
      <c r="H312" s="13" t="s">
        <v>3876</v>
      </c>
      <c r="I312" s="15" t="n">
        <v>70</v>
      </c>
      <c r="J312" s="15" t="n">
        <v>25.9</v>
      </c>
      <c r="K312" s="15"/>
      <c r="L312" s="15"/>
      <c r="M312" s="15" t="n">
        <f aca="false">IF(ISNUMBER(L312),L312,J312)</f>
        <v>25.9</v>
      </c>
      <c r="N312" s="15" t="n">
        <f aca="false">ROUNDUP(M312,0)</f>
        <v>26</v>
      </c>
      <c r="O312" s="15" t="n">
        <f aca="false">MAX(I312,N312)</f>
        <v>70</v>
      </c>
      <c r="P312" s="15" t="n">
        <f aca="false">IF(C312="COVERED",MAX(0,O312-40),0)</f>
        <v>0</v>
      </c>
      <c r="Q312" s="15" t="n">
        <f aca="false">O312</f>
        <v>70</v>
      </c>
      <c r="R312" s="18" t="n">
        <f aca="false">IF(C312="COVERED",10.4,7.55)</f>
        <v>7.55</v>
      </c>
      <c r="S312" s="18" t="n">
        <f aca="false">Q312*R312</f>
        <v>528.5</v>
      </c>
      <c r="T312" s="13"/>
      <c r="U312" s="14"/>
      <c r="V312" s="13"/>
      <c r="W312" s="18"/>
      <c r="X312" s="18"/>
      <c r="Y312" s="18" t="str">
        <f aca="false">IF(ISNUMBER(X312),X312-S312,"")</f>
        <v/>
      </c>
      <c r="Z312" s="18" t="n">
        <f aca="false">IF(ISNUMBER(X312),X312-S312,-S312)</f>
        <v>-528.5</v>
      </c>
      <c r="AA312" s="13" t="str">
        <f aca="false">IF(NOT(ISNUMBER(X312)),"NO AUGUST POSTING IN EXPORT",IF(ABS(Y312)&gt;=0.005,"POSTED CHARGE MISMATCH",IF(P312&gt;0,"MATCH - COVERED ELIGIBILITY EXCEPTION","MATCH")))</f>
        <v>NO AUGUST POSTING IN EXPORT</v>
      </c>
      <c r="AB312" s="13" t="s">
        <v>3877</v>
      </c>
    </row>
    <row r="313" customFormat="false" ht="15" hidden="false" customHeight="false" outlineLevel="0" collapsed="false">
      <c r="A313" s="9" t="s">
        <v>1721</v>
      </c>
      <c r="B313" s="9" t="s">
        <v>155</v>
      </c>
      <c r="C313" s="9" t="s">
        <v>146</v>
      </c>
      <c r="D313" s="9" t="s">
        <v>2002</v>
      </c>
      <c r="E313" s="9" t="s">
        <v>3878</v>
      </c>
      <c r="F313" s="9" t="s">
        <v>3879</v>
      </c>
      <c r="G313" s="9" t="s">
        <v>3880</v>
      </c>
      <c r="H313" s="9" t="s">
        <v>2841</v>
      </c>
      <c r="I313" s="11" t="n">
        <v>45</v>
      </c>
      <c r="J313" s="11" t="n">
        <v>35.6</v>
      </c>
      <c r="K313" s="11"/>
      <c r="L313" s="11"/>
      <c r="M313" s="11" t="n">
        <f aca="false">IF(ISNUMBER(L313),L313,J313)</f>
        <v>35.6</v>
      </c>
      <c r="N313" s="11" t="n">
        <f aca="false">ROUNDUP(M313,0)</f>
        <v>36</v>
      </c>
      <c r="O313" s="11" t="n">
        <f aca="false">MAX(I313,N313)</f>
        <v>45</v>
      </c>
      <c r="P313" s="11" t="n">
        <f aca="false">IF(C313="COVERED",MAX(0,O313-40),0)</f>
        <v>0</v>
      </c>
      <c r="Q313" s="11" t="n">
        <f aca="false">O313</f>
        <v>45</v>
      </c>
      <c r="R313" s="17" t="n">
        <f aca="false">IF(C313="COVERED",10.4,7.55)</f>
        <v>7.55</v>
      </c>
      <c r="S313" s="17" t="n">
        <f aca="false">Q313*R313</f>
        <v>339.75</v>
      </c>
      <c r="T313" s="9"/>
      <c r="U313" s="10"/>
      <c r="V313" s="9"/>
      <c r="W313" s="17"/>
      <c r="X313" s="17"/>
      <c r="Y313" s="17" t="str">
        <f aca="false">IF(ISNUMBER(X313),X313-S313,"")</f>
        <v/>
      </c>
      <c r="Z313" s="17" t="n">
        <f aca="false">IF(ISNUMBER(X313),X313-S313,-S313)</f>
        <v>-339.75</v>
      </c>
      <c r="AA313" s="9" t="str">
        <f aca="false">IF(NOT(ISNUMBER(X313)),"NO AUGUST POSTING IN EXPORT",IF(ABS(Y313)&gt;=0.005,"POSTED CHARGE MISMATCH",IF(P313&gt;0,"MATCH - COVERED ELIGIBILITY EXCEPTION","MATCH")))</f>
        <v>NO AUGUST POSTING IN EXPORT</v>
      </c>
      <c r="AB313" s="9" t="s">
        <v>3881</v>
      </c>
    </row>
    <row r="314" customFormat="false" ht="15" hidden="false" customHeight="false" outlineLevel="0" collapsed="false">
      <c r="A314" s="13" t="s">
        <v>3882</v>
      </c>
      <c r="B314" s="13" t="s">
        <v>155</v>
      </c>
      <c r="C314" s="13" t="s">
        <v>146</v>
      </c>
      <c r="D314" s="13" t="s">
        <v>2002</v>
      </c>
      <c r="E314" s="13" t="s">
        <v>2627</v>
      </c>
      <c r="F314" s="13" t="s">
        <v>3883</v>
      </c>
      <c r="G314" s="13" t="s">
        <v>3884</v>
      </c>
      <c r="H314" s="13" t="s">
        <v>3286</v>
      </c>
      <c r="I314" s="15" t="n">
        <v>70</v>
      </c>
      <c r="J314" s="15" t="n">
        <v>28.7</v>
      </c>
      <c r="K314" s="15"/>
      <c r="L314" s="15"/>
      <c r="M314" s="15" t="n">
        <f aca="false">IF(ISNUMBER(L314),L314,J314)</f>
        <v>28.7</v>
      </c>
      <c r="N314" s="15" t="n">
        <f aca="false">ROUNDUP(M314,0)</f>
        <v>29</v>
      </c>
      <c r="O314" s="15" t="n">
        <f aca="false">MAX(I314,N314)</f>
        <v>70</v>
      </c>
      <c r="P314" s="15" t="n">
        <f aca="false">IF(C314="COVERED",MAX(0,O314-40),0)</f>
        <v>0</v>
      </c>
      <c r="Q314" s="15" t="n">
        <f aca="false">O314</f>
        <v>70</v>
      </c>
      <c r="R314" s="18" t="n">
        <f aca="false">IF(C314="COVERED",10.4,7.55)</f>
        <v>7.55</v>
      </c>
      <c r="S314" s="18" t="n">
        <f aca="false">Q314*R314</f>
        <v>528.5</v>
      </c>
      <c r="T314" s="13"/>
      <c r="U314" s="14"/>
      <c r="V314" s="13"/>
      <c r="W314" s="18"/>
      <c r="X314" s="18"/>
      <c r="Y314" s="18" t="str">
        <f aca="false">IF(ISNUMBER(X314),X314-S314,"")</f>
        <v/>
      </c>
      <c r="Z314" s="18" t="n">
        <f aca="false">IF(ISNUMBER(X314),X314-S314,-S314)</f>
        <v>-528.5</v>
      </c>
      <c r="AA314" s="13" t="str">
        <f aca="false">IF(NOT(ISNUMBER(X314)),"NO AUGUST POSTING IN EXPORT",IF(ABS(Y314)&gt;=0.005,"POSTED CHARGE MISMATCH",IF(P314&gt;0,"MATCH - COVERED ELIGIBILITY EXCEPTION","MATCH")))</f>
        <v>NO AUGUST POSTING IN EXPORT</v>
      </c>
      <c r="AB314" s="13" t="s">
        <v>3885</v>
      </c>
    </row>
    <row r="315" customFormat="false" ht="15" hidden="false" customHeight="false" outlineLevel="0" collapsed="false">
      <c r="A315" s="9" t="s">
        <v>3886</v>
      </c>
      <c r="B315" s="9" t="s">
        <v>155</v>
      </c>
      <c r="C315" s="9" t="s">
        <v>146</v>
      </c>
      <c r="D315" s="9" t="s">
        <v>2002</v>
      </c>
      <c r="E315" s="9" t="s">
        <v>2634</v>
      </c>
      <c r="F315" s="9" t="s">
        <v>3887</v>
      </c>
      <c r="G315" s="9" t="s">
        <v>3888</v>
      </c>
      <c r="H315" s="9" t="s">
        <v>3293</v>
      </c>
      <c r="I315" s="11" t="n">
        <v>32</v>
      </c>
      <c r="J315" s="11" t="n">
        <v>37</v>
      </c>
      <c r="K315" s="11"/>
      <c r="L315" s="11"/>
      <c r="M315" s="11" t="n">
        <f aca="false">IF(ISNUMBER(L315),L315,J315)</f>
        <v>37</v>
      </c>
      <c r="N315" s="11" t="n">
        <f aca="false">ROUNDUP(M315,0)</f>
        <v>37</v>
      </c>
      <c r="O315" s="11" t="n">
        <f aca="false">MAX(I315,N315)</f>
        <v>37</v>
      </c>
      <c r="P315" s="11" t="n">
        <f aca="false">IF(C315="COVERED",MAX(0,O315-40),0)</f>
        <v>0</v>
      </c>
      <c r="Q315" s="11" t="n">
        <f aca="false">O315</f>
        <v>37</v>
      </c>
      <c r="R315" s="17" t="n">
        <f aca="false">IF(C315="COVERED",10.4,7.55)</f>
        <v>7.55</v>
      </c>
      <c r="S315" s="17" t="n">
        <f aca="false">Q315*R315</f>
        <v>279.35</v>
      </c>
      <c r="T315" s="9"/>
      <c r="U315" s="10"/>
      <c r="V315" s="9"/>
      <c r="W315" s="17"/>
      <c r="X315" s="17"/>
      <c r="Y315" s="17" t="str">
        <f aca="false">IF(ISNUMBER(X315),X315-S315,"")</f>
        <v/>
      </c>
      <c r="Z315" s="17" t="n">
        <f aca="false">IF(ISNUMBER(X315),X315-S315,-S315)</f>
        <v>-279.35</v>
      </c>
      <c r="AA315" s="9" t="str">
        <f aca="false">IF(NOT(ISNUMBER(X315)),"NO AUGUST POSTING IN EXPORT",IF(ABS(Y315)&gt;=0.005,"POSTED CHARGE MISMATCH",IF(P315&gt;0,"MATCH - COVERED ELIGIBILITY EXCEPTION","MATCH")))</f>
        <v>NO AUGUST POSTING IN EXPORT</v>
      </c>
      <c r="AB315" s="9" t="s">
        <v>3889</v>
      </c>
    </row>
    <row r="316" customFormat="false" ht="15" hidden="false" customHeight="false" outlineLevel="0" collapsed="false">
      <c r="A316" s="13" t="s">
        <v>1789</v>
      </c>
      <c r="B316" s="13" t="s">
        <v>155</v>
      </c>
      <c r="C316" s="13" t="s">
        <v>146</v>
      </c>
      <c r="D316" s="13" t="s">
        <v>2002</v>
      </c>
      <c r="E316" s="13" t="s">
        <v>2641</v>
      </c>
      <c r="F316" s="13" t="s">
        <v>3890</v>
      </c>
      <c r="G316" s="13" t="s">
        <v>3891</v>
      </c>
      <c r="H316" s="13" t="s">
        <v>3892</v>
      </c>
      <c r="I316" s="15" t="n">
        <v>32</v>
      </c>
      <c r="J316" s="15" t="n">
        <v>51.6</v>
      </c>
      <c r="K316" s="15"/>
      <c r="L316" s="15"/>
      <c r="M316" s="15" t="n">
        <f aca="false">IF(ISNUMBER(L316),L316,J316)</f>
        <v>51.6</v>
      </c>
      <c r="N316" s="15" t="n">
        <f aca="false">ROUNDUP(M316,0)</f>
        <v>52</v>
      </c>
      <c r="O316" s="15" t="n">
        <f aca="false">MAX(I316,N316)</f>
        <v>52</v>
      </c>
      <c r="P316" s="15" t="n">
        <f aca="false">IF(C316="COVERED",MAX(0,O316-40),0)</f>
        <v>0</v>
      </c>
      <c r="Q316" s="15" t="n">
        <f aca="false">O316</f>
        <v>52</v>
      </c>
      <c r="R316" s="18" t="n">
        <f aca="false">IF(C316="COVERED",10.4,7.55)</f>
        <v>7.55</v>
      </c>
      <c r="S316" s="18" t="n">
        <f aca="false">Q316*R316</f>
        <v>392.6</v>
      </c>
      <c r="T316" s="13"/>
      <c r="U316" s="14"/>
      <c r="V316" s="13"/>
      <c r="W316" s="18"/>
      <c r="X316" s="18"/>
      <c r="Y316" s="18" t="str">
        <f aca="false">IF(ISNUMBER(X316),X316-S316,"")</f>
        <v/>
      </c>
      <c r="Z316" s="18" t="n">
        <f aca="false">IF(ISNUMBER(X316),X316-S316,-S316)</f>
        <v>-392.6</v>
      </c>
      <c r="AA316" s="13" t="str">
        <f aca="false">IF(NOT(ISNUMBER(X316)),"NO AUGUST POSTING IN EXPORT",IF(ABS(Y316)&gt;=0.005,"POSTED CHARGE MISMATCH",IF(P316&gt;0,"MATCH - COVERED ELIGIBILITY EXCEPTION","MATCH")))</f>
        <v>NO AUGUST POSTING IN EXPORT</v>
      </c>
      <c r="AB316" s="13" t="s">
        <v>3893</v>
      </c>
    </row>
    <row r="317" customFormat="false" ht="15" hidden="false" customHeight="false" outlineLevel="0" collapsed="false">
      <c r="A317" s="9" t="s">
        <v>3894</v>
      </c>
      <c r="B317" s="9" t="s">
        <v>155</v>
      </c>
      <c r="C317" s="9" t="s">
        <v>146</v>
      </c>
      <c r="D317" s="9" t="s">
        <v>2002</v>
      </c>
      <c r="E317" s="9" t="s">
        <v>2648</v>
      </c>
      <c r="F317" s="9" t="s">
        <v>3895</v>
      </c>
      <c r="G317" s="9" t="s">
        <v>3896</v>
      </c>
      <c r="H317" s="9" t="s">
        <v>3897</v>
      </c>
      <c r="I317" s="11" t="n">
        <v>40</v>
      </c>
      <c r="J317" s="11" t="n">
        <v>32.5</v>
      </c>
      <c r="K317" s="11"/>
      <c r="L317" s="11"/>
      <c r="M317" s="11" t="n">
        <f aca="false">IF(ISNUMBER(L317),L317,J317)</f>
        <v>32.5</v>
      </c>
      <c r="N317" s="11" t="n">
        <f aca="false">ROUNDUP(M317,0)</f>
        <v>33</v>
      </c>
      <c r="O317" s="11" t="n">
        <f aca="false">MAX(I317,N317)</f>
        <v>40</v>
      </c>
      <c r="P317" s="11" t="n">
        <f aca="false">IF(C317="COVERED",MAX(0,O317-40),0)</f>
        <v>0</v>
      </c>
      <c r="Q317" s="11" t="n">
        <f aca="false">O317</f>
        <v>40</v>
      </c>
      <c r="R317" s="17" t="n">
        <f aca="false">IF(C317="COVERED",10.4,7.55)</f>
        <v>7.55</v>
      </c>
      <c r="S317" s="17" t="n">
        <f aca="false">Q317*R317</f>
        <v>302</v>
      </c>
      <c r="T317" s="9"/>
      <c r="U317" s="10"/>
      <c r="V317" s="9"/>
      <c r="W317" s="17"/>
      <c r="X317" s="17"/>
      <c r="Y317" s="17" t="str">
        <f aca="false">IF(ISNUMBER(X317),X317-S317,"")</f>
        <v/>
      </c>
      <c r="Z317" s="17" t="n">
        <f aca="false">IF(ISNUMBER(X317),X317-S317,-S317)</f>
        <v>-302</v>
      </c>
      <c r="AA317" s="9" t="str">
        <f aca="false">IF(NOT(ISNUMBER(X317)),"NO AUGUST POSTING IN EXPORT",IF(ABS(Y317)&gt;=0.005,"POSTED CHARGE MISMATCH",IF(P317&gt;0,"MATCH - COVERED ELIGIBILITY EXCEPTION","MATCH")))</f>
        <v>NO AUGUST POSTING IN EXPORT</v>
      </c>
      <c r="AB317" s="9" t="s">
        <v>3898</v>
      </c>
    </row>
    <row r="318" customFormat="false" ht="15" hidden="false" customHeight="false" outlineLevel="0" collapsed="false">
      <c r="A318" s="13" t="s">
        <v>3899</v>
      </c>
      <c r="B318" s="13" t="s">
        <v>155</v>
      </c>
      <c r="C318" s="13" t="s">
        <v>146</v>
      </c>
      <c r="D318" s="13" t="s">
        <v>2002</v>
      </c>
      <c r="E318" s="13" t="s">
        <v>2655</v>
      </c>
      <c r="F318" s="13" t="s">
        <v>3900</v>
      </c>
      <c r="G318" s="13" t="s">
        <v>3901</v>
      </c>
      <c r="H318" s="13" t="s">
        <v>2162</v>
      </c>
      <c r="I318" s="15" t="n">
        <v>32</v>
      </c>
      <c r="J318" s="15" t="n">
        <v>18.1</v>
      </c>
      <c r="K318" s="15"/>
      <c r="L318" s="15"/>
      <c r="M318" s="15" t="n">
        <f aca="false">IF(ISNUMBER(L318),L318,J318)</f>
        <v>18.1</v>
      </c>
      <c r="N318" s="15" t="n">
        <f aca="false">ROUNDUP(M318,0)</f>
        <v>19</v>
      </c>
      <c r="O318" s="15" t="n">
        <f aca="false">MAX(I318,N318)</f>
        <v>32</v>
      </c>
      <c r="P318" s="15" t="n">
        <f aca="false">IF(C318="COVERED",MAX(0,O318-40),0)</f>
        <v>0</v>
      </c>
      <c r="Q318" s="15" t="n">
        <f aca="false">O318</f>
        <v>32</v>
      </c>
      <c r="R318" s="18" t="n">
        <f aca="false">IF(C318="COVERED",10.4,7.55)</f>
        <v>7.55</v>
      </c>
      <c r="S318" s="18" t="n">
        <f aca="false">Q318*R318</f>
        <v>241.6</v>
      </c>
      <c r="T318" s="13"/>
      <c r="U318" s="14"/>
      <c r="V318" s="13"/>
      <c r="W318" s="18"/>
      <c r="X318" s="18"/>
      <c r="Y318" s="18" t="str">
        <f aca="false">IF(ISNUMBER(X318),X318-S318,"")</f>
        <v/>
      </c>
      <c r="Z318" s="18" t="n">
        <f aca="false">IF(ISNUMBER(X318),X318-S318,-S318)</f>
        <v>-241.6</v>
      </c>
      <c r="AA318" s="13" t="str">
        <f aca="false">IF(NOT(ISNUMBER(X318)),"NO AUGUST POSTING IN EXPORT",IF(ABS(Y318)&gt;=0.005,"POSTED CHARGE MISMATCH",IF(P318&gt;0,"MATCH - COVERED ELIGIBILITY EXCEPTION","MATCH")))</f>
        <v>NO AUGUST POSTING IN EXPORT</v>
      </c>
      <c r="AB318" s="13" t="s">
        <v>3902</v>
      </c>
    </row>
    <row r="319" customFormat="false" ht="15" hidden="false" customHeight="false" outlineLevel="0" collapsed="false">
      <c r="A319" s="9" t="s">
        <v>3903</v>
      </c>
      <c r="B319" s="9" t="s">
        <v>155</v>
      </c>
      <c r="C319" s="9" t="s">
        <v>146</v>
      </c>
      <c r="D319" s="9" t="s">
        <v>2002</v>
      </c>
      <c r="E319" s="9" t="s">
        <v>2660</v>
      </c>
      <c r="F319" s="9" t="s">
        <v>3904</v>
      </c>
      <c r="G319" s="9" t="s">
        <v>3905</v>
      </c>
      <c r="H319" s="9" t="s">
        <v>3906</v>
      </c>
      <c r="I319" s="11" t="n">
        <v>70</v>
      </c>
      <c r="J319" s="11" t="n">
        <v>52.3</v>
      </c>
      <c r="K319" s="11"/>
      <c r="L319" s="11"/>
      <c r="M319" s="11" t="n">
        <f aca="false">IF(ISNUMBER(L319),L319,J319)</f>
        <v>52.3</v>
      </c>
      <c r="N319" s="11" t="n">
        <f aca="false">ROUNDUP(M319,0)</f>
        <v>53</v>
      </c>
      <c r="O319" s="11" t="n">
        <f aca="false">MAX(I319,N319)</f>
        <v>70</v>
      </c>
      <c r="P319" s="11" t="n">
        <f aca="false">IF(C319="COVERED",MAX(0,O319-40),0)</f>
        <v>0</v>
      </c>
      <c r="Q319" s="11" t="n">
        <f aca="false">O319</f>
        <v>70</v>
      </c>
      <c r="R319" s="17" t="n">
        <f aca="false">IF(C319="COVERED",10.4,7.55)</f>
        <v>7.55</v>
      </c>
      <c r="S319" s="17" t="n">
        <f aca="false">Q319*R319</f>
        <v>528.5</v>
      </c>
      <c r="T319" s="9"/>
      <c r="U319" s="10"/>
      <c r="V319" s="9"/>
      <c r="W319" s="17"/>
      <c r="X319" s="17"/>
      <c r="Y319" s="17" t="str">
        <f aca="false">IF(ISNUMBER(X319),X319-S319,"")</f>
        <v/>
      </c>
      <c r="Z319" s="17" t="n">
        <f aca="false">IF(ISNUMBER(X319),X319-S319,-S319)</f>
        <v>-528.5</v>
      </c>
      <c r="AA319" s="9" t="str">
        <f aca="false">IF(NOT(ISNUMBER(X319)),"NO AUGUST POSTING IN EXPORT",IF(ABS(Y319)&gt;=0.005,"POSTED CHARGE MISMATCH",IF(P319&gt;0,"MATCH - COVERED ELIGIBILITY EXCEPTION","MATCH")))</f>
        <v>NO AUGUST POSTING IN EXPORT</v>
      </c>
      <c r="AB319" s="9" t="s">
        <v>3907</v>
      </c>
    </row>
    <row r="320" customFormat="false" ht="15" hidden="false" customHeight="false" outlineLevel="0" collapsed="false">
      <c r="A320" s="13" t="s">
        <v>1171</v>
      </c>
      <c r="B320" s="13" t="s">
        <v>155</v>
      </c>
      <c r="C320" s="13" t="s">
        <v>146</v>
      </c>
      <c r="D320" s="13" t="s">
        <v>2002</v>
      </c>
      <c r="E320" s="13" t="s">
        <v>2667</v>
      </c>
      <c r="F320" s="13" t="s">
        <v>3908</v>
      </c>
      <c r="G320" s="13" t="s">
        <v>3909</v>
      </c>
      <c r="H320" s="13" t="s">
        <v>3495</v>
      </c>
      <c r="I320" s="15" t="n">
        <v>24</v>
      </c>
      <c r="J320" s="15" t="n">
        <v>46.9</v>
      </c>
      <c r="K320" s="15"/>
      <c r="L320" s="15"/>
      <c r="M320" s="15" t="n">
        <f aca="false">IF(ISNUMBER(L320),L320,J320)</f>
        <v>46.9</v>
      </c>
      <c r="N320" s="15" t="n">
        <f aca="false">ROUNDUP(M320,0)</f>
        <v>47</v>
      </c>
      <c r="O320" s="15" t="n">
        <f aca="false">MAX(I320,N320)</f>
        <v>47</v>
      </c>
      <c r="P320" s="15" t="n">
        <f aca="false">IF(C320="COVERED",MAX(0,O320-40),0)</f>
        <v>0</v>
      </c>
      <c r="Q320" s="15" t="n">
        <f aca="false">O320</f>
        <v>47</v>
      </c>
      <c r="R320" s="18" t="n">
        <f aca="false">IF(C320="COVERED",10.4,7.55)</f>
        <v>7.55</v>
      </c>
      <c r="S320" s="18" t="n">
        <f aca="false">Q320*R320</f>
        <v>354.85</v>
      </c>
      <c r="T320" s="13"/>
      <c r="U320" s="14"/>
      <c r="V320" s="13"/>
      <c r="W320" s="18"/>
      <c r="X320" s="18"/>
      <c r="Y320" s="18" t="str">
        <f aca="false">IF(ISNUMBER(X320),X320-S320,"")</f>
        <v/>
      </c>
      <c r="Z320" s="18" t="n">
        <f aca="false">IF(ISNUMBER(X320),X320-S320,-S320)</f>
        <v>-354.85</v>
      </c>
      <c r="AA320" s="13" t="str">
        <f aca="false">IF(NOT(ISNUMBER(X320)),"NO AUGUST POSTING IN EXPORT",IF(ABS(Y320)&gt;=0.005,"POSTED CHARGE MISMATCH",IF(P320&gt;0,"MATCH - COVERED ELIGIBILITY EXCEPTION","MATCH")))</f>
        <v>NO AUGUST POSTING IN EXPORT</v>
      </c>
      <c r="AB320" s="13" t="s">
        <v>3910</v>
      </c>
    </row>
    <row r="321" customFormat="false" ht="15" hidden="false" customHeight="false" outlineLevel="0" collapsed="false">
      <c r="A321" s="9" t="s">
        <v>3911</v>
      </c>
      <c r="B321" s="9" t="s">
        <v>155</v>
      </c>
      <c r="C321" s="9" t="s">
        <v>146</v>
      </c>
      <c r="D321" s="9" t="s">
        <v>2002</v>
      </c>
      <c r="E321" s="9" t="s">
        <v>2673</v>
      </c>
      <c r="F321" s="9" t="s">
        <v>3912</v>
      </c>
      <c r="G321" s="9" t="s">
        <v>3913</v>
      </c>
      <c r="H321" s="9" t="s">
        <v>3561</v>
      </c>
      <c r="I321" s="11" t="n">
        <v>80</v>
      </c>
      <c r="J321" s="11" t="n">
        <v>54.3</v>
      </c>
      <c r="K321" s="11"/>
      <c r="L321" s="11"/>
      <c r="M321" s="11" t="n">
        <f aca="false">IF(ISNUMBER(L321),L321,J321)</f>
        <v>54.3</v>
      </c>
      <c r="N321" s="11" t="n">
        <f aca="false">ROUNDUP(M321,0)</f>
        <v>55</v>
      </c>
      <c r="O321" s="11" t="n">
        <f aca="false">MAX(I321,N321)</f>
        <v>80</v>
      </c>
      <c r="P321" s="11" t="n">
        <f aca="false">IF(C321="COVERED",MAX(0,O321-40),0)</f>
        <v>0</v>
      </c>
      <c r="Q321" s="11" t="n">
        <f aca="false">O321</f>
        <v>80</v>
      </c>
      <c r="R321" s="17" t="n">
        <f aca="false">IF(C321="COVERED",10.4,7.55)</f>
        <v>7.55</v>
      </c>
      <c r="S321" s="17" t="n">
        <f aca="false">Q321*R321</f>
        <v>604</v>
      </c>
      <c r="T321" s="9"/>
      <c r="U321" s="10"/>
      <c r="V321" s="9"/>
      <c r="W321" s="17"/>
      <c r="X321" s="17"/>
      <c r="Y321" s="17" t="str">
        <f aca="false">IF(ISNUMBER(X321),X321-S321,"")</f>
        <v/>
      </c>
      <c r="Z321" s="17" t="n">
        <f aca="false">IF(ISNUMBER(X321),X321-S321,-S321)</f>
        <v>-604</v>
      </c>
      <c r="AA321" s="9" t="str">
        <f aca="false">IF(NOT(ISNUMBER(X321)),"NO AUGUST POSTING IN EXPORT",IF(ABS(Y321)&gt;=0.005,"POSTED CHARGE MISMATCH",IF(P321&gt;0,"MATCH - COVERED ELIGIBILITY EXCEPTION","MATCH")))</f>
        <v>NO AUGUST POSTING IN EXPORT</v>
      </c>
      <c r="AB321" s="9" t="s">
        <v>3914</v>
      </c>
    </row>
    <row r="322" customFormat="false" ht="15" hidden="false" customHeight="false" outlineLevel="0" collapsed="false">
      <c r="A322" s="13" t="s">
        <v>3915</v>
      </c>
      <c r="B322" s="13" t="s">
        <v>155</v>
      </c>
      <c r="C322" s="13" t="s">
        <v>146</v>
      </c>
      <c r="D322" s="13" t="s">
        <v>2002</v>
      </c>
      <c r="E322" s="13" t="s">
        <v>2679</v>
      </c>
      <c r="F322" s="13" t="s">
        <v>3916</v>
      </c>
      <c r="G322" s="13" t="s">
        <v>3917</v>
      </c>
      <c r="H322" s="13" t="s">
        <v>3918</v>
      </c>
      <c r="I322" s="15" t="n">
        <v>40</v>
      </c>
      <c r="J322" s="15" t="n">
        <v>33.7</v>
      </c>
      <c r="K322" s="15"/>
      <c r="L322" s="15"/>
      <c r="M322" s="15" t="n">
        <f aca="false">IF(ISNUMBER(L322),L322,J322)</f>
        <v>33.7</v>
      </c>
      <c r="N322" s="15" t="n">
        <f aca="false">ROUNDUP(M322,0)</f>
        <v>34</v>
      </c>
      <c r="O322" s="15" t="n">
        <f aca="false">MAX(I322,N322)</f>
        <v>40</v>
      </c>
      <c r="P322" s="15" t="n">
        <f aca="false">IF(C322="COVERED",MAX(0,O322-40),0)</f>
        <v>0</v>
      </c>
      <c r="Q322" s="15" t="n">
        <f aca="false">O322</f>
        <v>40</v>
      </c>
      <c r="R322" s="18" t="n">
        <f aca="false">IF(C322="COVERED",10.4,7.55)</f>
        <v>7.55</v>
      </c>
      <c r="S322" s="18" t="n">
        <f aca="false">Q322*R322</f>
        <v>302</v>
      </c>
      <c r="T322" s="13"/>
      <c r="U322" s="14"/>
      <c r="V322" s="13"/>
      <c r="W322" s="18"/>
      <c r="X322" s="18"/>
      <c r="Y322" s="18" t="str">
        <f aca="false">IF(ISNUMBER(X322),X322-S322,"")</f>
        <v/>
      </c>
      <c r="Z322" s="18" t="n">
        <f aca="false">IF(ISNUMBER(X322),X322-S322,-S322)</f>
        <v>-302</v>
      </c>
      <c r="AA322" s="13" t="str">
        <f aca="false">IF(NOT(ISNUMBER(X322)),"NO AUGUST POSTING IN EXPORT",IF(ABS(Y322)&gt;=0.005,"POSTED CHARGE MISMATCH",IF(P322&gt;0,"MATCH - COVERED ELIGIBILITY EXCEPTION","MATCH")))</f>
        <v>NO AUGUST POSTING IN EXPORT</v>
      </c>
      <c r="AB322" s="13" t="s">
        <v>3919</v>
      </c>
    </row>
    <row r="323" customFormat="false" ht="15" hidden="false" customHeight="false" outlineLevel="0" collapsed="false">
      <c r="A323" s="9" t="s">
        <v>3920</v>
      </c>
      <c r="B323" s="9" t="s">
        <v>155</v>
      </c>
      <c r="C323" s="9" t="s">
        <v>146</v>
      </c>
      <c r="D323" s="9" t="s">
        <v>2002</v>
      </c>
      <c r="E323" s="9" t="s">
        <v>2686</v>
      </c>
      <c r="F323" s="9" t="s">
        <v>3921</v>
      </c>
      <c r="G323" s="9" t="s">
        <v>3922</v>
      </c>
      <c r="H323" s="9" t="s">
        <v>3923</v>
      </c>
      <c r="I323" s="11" t="n">
        <v>70</v>
      </c>
      <c r="J323" s="11" t="n">
        <v>61.4</v>
      </c>
      <c r="K323" s="11"/>
      <c r="L323" s="11"/>
      <c r="M323" s="11" t="n">
        <f aca="false">IF(ISNUMBER(L323),L323,J323)</f>
        <v>61.4</v>
      </c>
      <c r="N323" s="11" t="n">
        <f aca="false">ROUNDUP(M323,0)</f>
        <v>62</v>
      </c>
      <c r="O323" s="11" t="n">
        <f aca="false">MAX(I323,N323)</f>
        <v>70</v>
      </c>
      <c r="P323" s="11" t="n">
        <f aca="false">IF(C323="COVERED",MAX(0,O323-40),0)</f>
        <v>0</v>
      </c>
      <c r="Q323" s="11" t="n">
        <f aca="false">O323</f>
        <v>70</v>
      </c>
      <c r="R323" s="17" t="n">
        <f aca="false">IF(C323="COVERED",10.4,7.55)</f>
        <v>7.55</v>
      </c>
      <c r="S323" s="17" t="n">
        <f aca="false">Q323*R323</f>
        <v>528.5</v>
      </c>
      <c r="T323" s="9"/>
      <c r="U323" s="10"/>
      <c r="V323" s="9"/>
      <c r="W323" s="17"/>
      <c r="X323" s="17"/>
      <c r="Y323" s="17" t="str">
        <f aca="false">IF(ISNUMBER(X323),X323-S323,"")</f>
        <v/>
      </c>
      <c r="Z323" s="17" t="n">
        <f aca="false">IF(ISNUMBER(X323),X323-S323,-S323)</f>
        <v>-528.5</v>
      </c>
      <c r="AA323" s="9" t="str">
        <f aca="false">IF(NOT(ISNUMBER(X323)),"NO AUGUST POSTING IN EXPORT",IF(ABS(Y323)&gt;=0.005,"POSTED CHARGE MISMATCH",IF(P323&gt;0,"MATCH - COVERED ELIGIBILITY EXCEPTION","MATCH")))</f>
        <v>NO AUGUST POSTING IN EXPORT</v>
      </c>
      <c r="AB323" s="9" t="s">
        <v>3924</v>
      </c>
    </row>
    <row r="324" customFormat="false" ht="15" hidden="false" customHeight="false" outlineLevel="0" collapsed="false">
      <c r="A324" s="13" t="s">
        <v>3925</v>
      </c>
      <c r="B324" s="13" t="s">
        <v>155</v>
      </c>
      <c r="C324" s="13" t="s">
        <v>146</v>
      </c>
      <c r="D324" s="13" t="s">
        <v>2002</v>
      </c>
      <c r="E324" s="13" t="s">
        <v>2693</v>
      </c>
      <c r="F324" s="13" t="s">
        <v>3926</v>
      </c>
      <c r="G324" s="13" t="s">
        <v>3927</v>
      </c>
      <c r="H324" s="13" t="s">
        <v>3928</v>
      </c>
      <c r="I324" s="15" t="n">
        <v>80</v>
      </c>
      <c r="J324" s="15" t="n">
        <v>19.9</v>
      </c>
      <c r="K324" s="15"/>
      <c r="L324" s="15"/>
      <c r="M324" s="15" t="n">
        <f aca="false">IF(ISNUMBER(L324),L324,J324)</f>
        <v>19.9</v>
      </c>
      <c r="N324" s="15" t="n">
        <f aca="false">ROUNDUP(M324,0)</f>
        <v>20</v>
      </c>
      <c r="O324" s="15" t="n">
        <f aca="false">MAX(I324,N324)</f>
        <v>80</v>
      </c>
      <c r="P324" s="15" t="n">
        <f aca="false">IF(C324="COVERED",MAX(0,O324-40),0)</f>
        <v>0</v>
      </c>
      <c r="Q324" s="15" t="n">
        <f aca="false">O324</f>
        <v>80</v>
      </c>
      <c r="R324" s="18" t="n">
        <f aca="false">IF(C324="COVERED",10.4,7.55)</f>
        <v>7.55</v>
      </c>
      <c r="S324" s="18" t="n">
        <f aca="false">Q324*R324</f>
        <v>604</v>
      </c>
      <c r="T324" s="13"/>
      <c r="U324" s="14"/>
      <c r="V324" s="13"/>
      <c r="W324" s="18"/>
      <c r="X324" s="18"/>
      <c r="Y324" s="18" t="str">
        <f aca="false">IF(ISNUMBER(X324),X324-S324,"")</f>
        <v/>
      </c>
      <c r="Z324" s="18" t="n">
        <f aca="false">IF(ISNUMBER(X324),X324-S324,-S324)</f>
        <v>-604</v>
      </c>
      <c r="AA324" s="13" t="str">
        <f aca="false">IF(NOT(ISNUMBER(X324)),"NO AUGUST POSTING IN EXPORT",IF(ABS(Y324)&gt;=0.005,"POSTED CHARGE MISMATCH",IF(P324&gt;0,"MATCH - COVERED ELIGIBILITY EXCEPTION","MATCH")))</f>
        <v>NO AUGUST POSTING IN EXPORT</v>
      </c>
      <c r="AB324" s="13" t="s">
        <v>3929</v>
      </c>
    </row>
    <row r="325" customFormat="false" ht="15" hidden="false" customHeight="false" outlineLevel="0" collapsed="false">
      <c r="A325" s="9" t="s">
        <v>878</v>
      </c>
      <c r="B325" s="9" t="s">
        <v>155</v>
      </c>
      <c r="C325" s="9" t="s">
        <v>146</v>
      </c>
      <c r="D325" s="9" t="s">
        <v>2002</v>
      </c>
      <c r="E325" s="9" t="s">
        <v>2698</v>
      </c>
      <c r="F325" s="9" t="s">
        <v>3930</v>
      </c>
      <c r="G325" s="9" t="s">
        <v>3931</v>
      </c>
      <c r="H325" s="9" t="s">
        <v>3932</v>
      </c>
      <c r="I325" s="11" t="n">
        <v>28</v>
      </c>
      <c r="J325" s="11" t="n">
        <v>46.7</v>
      </c>
      <c r="K325" s="11"/>
      <c r="L325" s="11"/>
      <c r="M325" s="11" t="n">
        <f aca="false">IF(ISNUMBER(L325),L325,J325)</f>
        <v>46.7</v>
      </c>
      <c r="N325" s="11" t="n">
        <f aca="false">ROUNDUP(M325,0)</f>
        <v>47</v>
      </c>
      <c r="O325" s="11" t="n">
        <f aca="false">MAX(I325,N325)</f>
        <v>47</v>
      </c>
      <c r="P325" s="11" t="n">
        <f aca="false">IF(C325="COVERED",MAX(0,O325-40),0)</f>
        <v>0</v>
      </c>
      <c r="Q325" s="11" t="n">
        <f aca="false">O325</f>
        <v>47</v>
      </c>
      <c r="R325" s="17" t="n">
        <f aca="false">IF(C325="COVERED",10.4,7.55)</f>
        <v>7.55</v>
      </c>
      <c r="S325" s="17" t="n">
        <f aca="false">Q325*R325</f>
        <v>354.85</v>
      </c>
      <c r="T325" s="9"/>
      <c r="U325" s="10"/>
      <c r="V325" s="9"/>
      <c r="W325" s="17"/>
      <c r="X325" s="17"/>
      <c r="Y325" s="17" t="str">
        <f aca="false">IF(ISNUMBER(X325),X325-S325,"")</f>
        <v/>
      </c>
      <c r="Z325" s="17" t="n">
        <f aca="false">IF(ISNUMBER(X325),X325-S325,-S325)</f>
        <v>-354.85</v>
      </c>
      <c r="AA325" s="9" t="str">
        <f aca="false">IF(NOT(ISNUMBER(X325)),"NO AUGUST POSTING IN EXPORT",IF(ABS(Y325)&gt;=0.005,"POSTED CHARGE MISMATCH",IF(P325&gt;0,"MATCH - COVERED ELIGIBILITY EXCEPTION","MATCH")))</f>
        <v>NO AUGUST POSTING IN EXPORT</v>
      </c>
      <c r="AB325" s="9" t="s">
        <v>3933</v>
      </c>
    </row>
    <row r="326" customFormat="false" ht="15" hidden="false" customHeight="false" outlineLevel="0" collapsed="false">
      <c r="A326" s="13" t="s">
        <v>3934</v>
      </c>
      <c r="B326" s="13" t="s">
        <v>155</v>
      </c>
      <c r="C326" s="13" t="s">
        <v>146</v>
      </c>
      <c r="D326" s="13" t="s">
        <v>2002</v>
      </c>
      <c r="E326" s="13" t="s">
        <v>2702</v>
      </c>
      <c r="F326" s="13" t="s">
        <v>3935</v>
      </c>
      <c r="G326" s="13" t="s">
        <v>3936</v>
      </c>
      <c r="H326" s="13" t="s">
        <v>3937</v>
      </c>
      <c r="I326" s="15" t="n">
        <v>28</v>
      </c>
      <c r="J326" s="15" t="n">
        <v>41.9</v>
      </c>
      <c r="K326" s="15"/>
      <c r="L326" s="15"/>
      <c r="M326" s="15" t="n">
        <f aca="false">IF(ISNUMBER(L326),L326,J326)</f>
        <v>41.9</v>
      </c>
      <c r="N326" s="15" t="n">
        <f aca="false">ROUNDUP(M326,0)</f>
        <v>42</v>
      </c>
      <c r="O326" s="15" t="n">
        <f aca="false">MAX(I326,N326)</f>
        <v>42</v>
      </c>
      <c r="P326" s="15" t="n">
        <f aca="false">IF(C326="COVERED",MAX(0,O326-40),0)</f>
        <v>0</v>
      </c>
      <c r="Q326" s="15" t="n">
        <f aca="false">O326</f>
        <v>42</v>
      </c>
      <c r="R326" s="18" t="n">
        <f aca="false">IF(C326="COVERED",10.4,7.55)</f>
        <v>7.55</v>
      </c>
      <c r="S326" s="18" t="n">
        <f aca="false">Q326*R326</f>
        <v>317.1</v>
      </c>
      <c r="T326" s="13"/>
      <c r="U326" s="14"/>
      <c r="V326" s="13"/>
      <c r="W326" s="18"/>
      <c r="X326" s="18"/>
      <c r="Y326" s="18" t="str">
        <f aca="false">IF(ISNUMBER(X326),X326-S326,"")</f>
        <v/>
      </c>
      <c r="Z326" s="18" t="n">
        <f aca="false">IF(ISNUMBER(X326),X326-S326,-S326)</f>
        <v>-317.1</v>
      </c>
      <c r="AA326" s="13" t="str">
        <f aca="false">IF(NOT(ISNUMBER(X326)),"NO AUGUST POSTING IN EXPORT",IF(ABS(Y326)&gt;=0.005,"POSTED CHARGE MISMATCH",IF(P326&gt;0,"MATCH - COVERED ELIGIBILITY EXCEPTION","MATCH")))</f>
        <v>NO AUGUST POSTING IN EXPORT</v>
      </c>
      <c r="AB326" s="13" t="s">
        <v>3938</v>
      </c>
    </row>
    <row r="327" customFormat="false" ht="15" hidden="false" customHeight="false" outlineLevel="0" collapsed="false">
      <c r="A327" s="9" t="s">
        <v>1778</v>
      </c>
      <c r="B327" s="9" t="s">
        <v>155</v>
      </c>
      <c r="C327" s="9" t="s">
        <v>146</v>
      </c>
      <c r="D327" s="9" t="s">
        <v>2002</v>
      </c>
      <c r="E327" s="9" t="s">
        <v>2713</v>
      </c>
      <c r="F327" s="9" t="s">
        <v>3939</v>
      </c>
      <c r="G327" s="9" t="s">
        <v>3940</v>
      </c>
      <c r="H327" s="9" t="s">
        <v>3388</v>
      </c>
      <c r="I327" s="11" t="n">
        <v>32</v>
      </c>
      <c r="J327" s="11" t="n">
        <v>19.1</v>
      </c>
      <c r="K327" s="11"/>
      <c r="L327" s="11"/>
      <c r="M327" s="11" t="n">
        <f aca="false">IF(ISNUMBER(L327),L327,J327)</f>
        <v>19.1</v>
      </c>
      <c r="N327" s="11" t="n">
        <f aca="false">ROUNDUP(M327,0)</f>
        <v>20</v>
      </c>
      <c r="O327" s="11" t="n">
        <f aca="false">MAX(I327,N327)</f>
        <v>32</v>
      </c>
      <c r="P327" s="11" t="n">
        <f aca="false">IF(C327="COVERED",MAX(0,O327-40),0)</f>
        <v>0</v>
      </c>
      <c r="Q327" s="11" t="n">
        <f aca="false">O327</f>
        <v>32</v>
      </c>
      <c r="R327" s="17" t="n">
        <f aca="false">IF(C327="COVERED",10.4,7.55)</f>
        <v>7.55</v>
      </c>
      <c r="S327" s="17" t="n">
        <f aca="false">Q327*R327</f>
        <v>241.6</v>
      </c>
      <c r="T327" s="9"/>
      <c r="U327" s="10"/>
      <c r="V327" s="9"/>
      <c r="W327" s="17"/>
      <c r="X327" s="17"/>
      <c r="Y327" s="17" t="str">
        <f aca="false">IF(ISNUMBER(X327),X327-S327,"")</f>
        <v/>
      </c>
      <c r="Z327" s="17" t="n">
        <f aca="false">IF(ISNUMBER(X327),X327-S327,-S327)</f>
        <v>-241.6</v>
      </c>
      <c r="AA327" s="9" t="str">
        <f aca="false">IF(NOT(ISNUMBER(X327)),"NO AUGUST POSTING IN EXPORT",IF(ABS(Y327)&gt;=0.005,"POSTED CHARGE MISMATCH",IF(P327&gt;0,"MATCH - COVERED ELIGIBILITY EXCEPTION","MATCH")))</f>
        <v>NO AUGUST POSTING IN EXPORT</v>
      </c>
      <c r="AB327" s="9" t="s">
        <v>3941</v>
      </c>
    </row>
    <row r="328" customFormat="false" ht="15" hidden="false" customHeight="false" outlineLevel="0" collapsed="false">
      <c r="A328" s="13" t="s">
        <v>3942</v>
      </c>
      <c r="B328" s="13" t="s">
        <v>155</v>
      </c>
      <c r="C328" s="13" t="s">
        <v>146</v>
      </c>
      <c r="D328" s="13" t="s">
        <v>2002</v>
      </c>
      <c r="E328" s="13" t="s">
        <v>2727</v>
      </c>
      <c r="F328" s="13" t="s">
        <v>3943</v>
      </c>
      <c r="G328" s="13" t="s">
        <v>3944</v>
      </c>
      <c r="H328" s="13" t="s">
        <v>2918</v>
      </c>
      <c r="I328" s="15" t="n">
        <v>70</v>
      </c>
      <c r="J328" s="15" t="n">
        <v>30.9</v>
      </c>
      <c r="K328" s="15"/>
      <c r="L328" s="15"/>
      <c r="M328" s="15" t="n">
        <f aca="false">IF(ISNUMBER(L328),L328,J328)</f>
        <v>30.9</v>
      </c>
      <c r="N328" s="15" t="n">
        <f aca="false">ROUNDUP(M328,0)</f>
        <v>31</v>
      </c>
      <c r="O328" s="15" t="n">
        <f aca="false">MAX(I328,N328)</f>
        <v>70</v>
      </c>
      <c r="P328" s="15" t="n">
        <f aca="false">IF(C328="COVERED",MAX(0,O328-40),0)</f>
        <v>0</v>
      </c>
      <c r="Q328" s="15" t="n">
        <f aca="false">O328</f>
        <v>70</v>
      </c>
      <c r="R328" s="18" t="n">
        <f aca="false">IF(C328="COVERED",10.4,7.55)</f>
        <v>7.55</v>
      </c>
      <c r="S328" s="18" t="n">
        <f aca="false">Q328*R328</f>
        <v>528.5</v>
      </c>
      <c r="T328" s="13"/>
      <c r="U328" s="14"/>
      <c r="V328" s="13"/>
      <c r="W328" s="18"/>
      <c r="X328" s="18"/>
      <c r="Y328" s="18" t="str">
        <f aca="false">IF(ISNUMBER(X328),X328-S328,"")</f>
        <v/>
      </c>
      <c r="Z328" s="18" t="n">
        <f aca="false">IF(ISNUMBER(X328),X328-S328,-S328)</f>
        <v>-528.5</v>
      </c>
      <c r="AA328" s="13" t="str">
        <f aca="false">IF(NOT(ISNUMBER(X328)),"NO AUGUST POSTING IN EXPORT",IF(ABS(Y328)&gt;=0.005,"POSTED CHARGE MISMATCH",IF(P328&gt;0,"MATCH - COVERED ELIGIBILITY EXCEPTION","MATCH")))</f>
        <v>NO AUGUST POSTING IN EXPORT</v>
      </c>
      <c r="AB328" s="13" t="s">
        <v>3945</v>
      </c>
    </row>
    <row r="329" customFormat="false" ht="15" hidden="false" customHeight="false" outlineLevel="0" collapsed="false">
      <c r="A329" s="9" t="s">
        <v>3946</v>
      </c>
      <c r="B329" s="9" t="s">
        <v>155</v>
      </c>
      <c r="C329" s="9" t="s">
        <v>146</v>
      </c>
      <c r="D329" s="9" t="s">
        <v>2002</v>
      </c>
      <c r="E329" s="9" t="s">
        <v>2734</v>
      </c>
      <c r="F329" s="9" t="s">
        <v>3947</v>
      </c>
      <c r="G329" s="9" t="s">
        <v>3948</v>
      </c>
      <c r="H329" s="9" t="s">
        <v>3540</v>
      </c>
      <c r="I329" s="11" t="n">
        <v>70</v>
      </c>
      <c r="J329" s="11" t="n">
        <v>41.2</v>
      </c>
      <c r="K329" s="11"/>
      <c r="L329" s="11"/>
      <c r="M329" s="11" t="n">
        <f aca="false">IF(ISNUMBER(L329),L329,J329)</f>
        <v>41.2</v>
      </c>
      <c r="N329" s="11" t="n">
        <f aca="false">ROUNDUP(M329,0)</f>
        <v>42</v>
      </c>
      <c r="O329" s="11" t="n">
        <f aca="false">MAX(I329,N329)</f>
        <v>70</v>
      </c>
      <c r="P329" s="11" t="n">
        <f aca="false">IF(C329="COVERED",MAX(0,O329-40),0)</f>
        <v>0</v>
      </c>
      <c r="Q329" s="11" t="n">
        <f aca="false">O329</f>
        <v>70</v>
      </c>
      <c r="R329" s="17" t="n">
        <f aca="false">IF(C329="COVERED",10.4,7.55)</f>
        <v>7.55</v>
      </c>
      <c r="S329" s="17" t="n">
        <f aca="false">Q329*R329</f>
        <v>528.5</v>
      </c>
      <c r="T329" s="9"/>
      <c r="U329" s="10"/>
      <c r="V329" s="9"/>
      <c r="W329" s="17"/>
      <c r="X329" s="17"/>
      <c r="Y329" s="17" t="str">
        <f aca="false">IF(ISNUMBER(X329),X329-S329,"")</f>
        <v/>
      </c>
      <c r="Z329" s="17" t="n">
        <f aca="false">IF(ISNUMBER(X329),X329-S329,-S329)</f>
        <v>-528.5</v>
      </c>
      <c r="AA329" s="9" t="str">
        <f aca="false">IF(NOT(ISNUMBER(X329)),"NO AUGUST POSTING IN EXPORT",IF(ABS(Y329)&gt;=0.005,"POSTED CHARGE MISMATCH",IF(P329&gt;0,"MATCH - COVERED ELIGIBILITY EXCEPTION","MATCH")))</f>
        <v>NO AUGUST POSTING IN EXPORT</v>
      </c>
      <c r="AB329" s="9" t="s">
        <v>3949</v>
      </c>
    </row>
    <row r="330" customFormat="false" ht="15" hidden="false" customHeight="false" outlineLevel="0" collapsed="false">
      <c r="A330" s="13" t="s">
        <v>3950</v>
      </c>
      <c r="B330" s="13" t="s">
        <v>155</v>
      </c>
      <c r="C330" s="13" t="s">
        <v>146</v>
      </c>
      <c r="D330" s="13" t="s">
        <v>2002</v>
      </c>
      <c r="E330" s="13" t="s">
        <v>2741</v>
      </c>
      <c r="F330" s="13" t="s">
        <v>3951</v>
      </c>
      <c r="G330" s="13" t="s">
        <v>3952</v>
      </c>
      <c r="H330" s="13" t="s">
        <v>2236</v>
      </c>
      <c r="I330" s="15" t="n">
        <v>24</v>
      </c>
      <c r="J330" s="15" t="n">
        <v>60.9</v>
      </c>
      <c r="K330" s="15"/>
      <c r="L330" s="15"/>
      <c r="M330" s="15" t="n">
        <f aca="false">IF(ISNUMBER(L330),L330,J330)</f>
        <v>60.9</v>
      </c>
      <c r="N330" s="15" t="n">
        <f aca="false">ROUNDUP(M330,0)</f>
        <v>61</v>
      </c>
      <c r="O330" s="15" t="n">
        <f aca="false">MAX(I330,N330)</f>
        <v>61</v>
      </c>
      <c r="P330" s="15" t="n">
        <f aca="false">IF(C330="COVERED",MAX(0,O330-40),0)</f>
        <v>0</v>
      </c>
      <c r="Q330" s="15" t="n">
        <f aca="false">O330</f>
        <v>61</v>
      </c>
      <c r="R330" s="18" t="n">
        <f aca="false">IF(C330="COVERED",10.4,7.55)</f>
        <v>7.55</v>
      </c>
      <c r="S330" s="18" t="n">
        <f aca="false">Q330*R330</f>
        <v>460.55</v>
      </c>
      <c r="T330" s="13"/>
      <c r="U330" s="14"/>
      <c r="V330" s="13"/>
      <c r="W330" s="18"/>
      <c r="X330" s="18"/>
      <c r="Y330" s="18" t="str">
        <f aca="false">IF(ISNUMBER(X330),X330-S330,"")</f>
        <v/>
      </c>
      <c r="Z330" s="18" t="n">
        <f aca="false">IF(ISNUMBER(X330),X330-S330,-S330)</f>
        <v>-460.55</v>
      </c>
      <c r="AA330" s="13" t="str">
        <f aca="false">IF(NOT(ISNUMBER(X330)),"NO AUGUST POSTING IN EXPORT",IF(ABS(Y330)&gt;=0.005,"POSTED CHARGE MISMATCH",IF(P330&gt;0,"MATCH - COVERED ELIGIBILITY EXCEPTION","MATCH")))</f>
        <v>NO AUGUST POSTING IN EXPORT</v>
      </c>
      <c r="AB330" s="13" t="s">
        <v>3953</v>
      </c>
    </row>
    <row r="331" customFormat="false" ht="15" hidden="false" customHeight="false" outlineLevel="0" collapsed="false">
      <c r="A331" s="9" t="s">
        <v>197</v>
      </c>
      <c r="B331" s="9" t="s">
        <v>155</v>
      </c>
      <c r="C331" s="9" t="s">
        <v>146</v>
      </c>
      <c r="D331" s="9" t="s">
        <v>2002</v>
      </c>
      <c r="E331" s="9" t="s">
        <v>2747</v>
      </c>
      <c r="F331" s="9" t="s">
        <v>3954</v>
      </c>
      <c r="G331" s="9" t="s">
        <v>3955</v>
      </c>
      <c r="H331" s="9" t="s">
        <v>3956</v>
      </c>
      <c r="I331" s="11" t="n">
        <v>60</v>
      </c>
      <c r="J331" s="11" t="n">
        <v>31.3</v>
      </c>
      <c r="K331" s="11"/>
      <c r="L331" s="11"/>
      <c r="M331" s="11" t="n">
        <f aca="false">IF(ISNUMBER(L331),L331,J331)</f>
        <v>31.3</v>
      </c>
      <c r="N331" s="11" t="n">
        <f aca="false">ROUNDUP(M331,0)</f>
        <v>32</v>
      </c>
      <c r="O331" s="11" t="n">
        <f aca="false">MAX(I331,N331)</f>
        <v>60</v>
      </c>
      <c r="P331" s="11" t="n">
        <f aca="false">IF(C331="COVERED",MAX(0,O331-40),0)</f>
        <v>0</v>
      </c>
      <c r="Q331" s="11" t="n">
        <f aca="false">O331</f>
        <v>60</v>
      </c>
      <c r="R331" s="17" t="n">
        <f aca="false">IF(C331="COVERED",10.4,7.55)</f>
        <v>7.55</v>
      </c>
      <c r="S331" s="17" t="n">
        <f aca="false">Q331*R331</f>
        <v>453</v>
      </c>
      <c r="T331" s="9"/>
      <c r="U331" s="10"/>
      <c r="V331" s="9"/>
      <c r="W331" s="17"/>
      <c r="X331" s="17"/>
      <c r="Y331" s="17" t="str">
        <f aca="false">IF(ISNUMBER(X331),X331-S331,"")</f>
        <v/>
      </c>
      <c r="Z331" s="17" t="n">
        <f aca="false">IF(ISNUMBER(X331),X331-S331,-S331)</f>
        <v>-453</v>
      </c>
      <c r="AA331" s="9" t="str">
        <f aca="false">IF(NOT(ISNUMBER(X331)),"NO AUGUST POSTING IN EXPORT",IF(ABS(Y331)&gt;=0.005,"POSTED CHARGE MISMATCH",IF(P331&gt;0,"MATCH - COVERED ELIGIBILITY EXCEPTION","MATCH")))</f>
        <v>NO AUGUST POSTING IN EXPORT</v>
      </c>
      <c r="AB331" s="9" t="s">
        <v>3957</v>
      </c>
    </row>
    <row r="332" customFormat="false" ht="15" hidden="false" customHeight="false" outlineLevel="0" collapsed="false">
      <c r="A332" s="13" t="s">
        <v>3958</v>
      </c>
      <c r="B332" s="13" t="s">
        <v>155</v>
      </c>
      <c r="C332" s="13" t="s">
        <v>146</v>
      </c>
      <c r="D332" s="13" t="s">
        <v>2002</v>
      </c>
      <c r="E332" s="13" t="s">
        <v>2753</v>
      </c>
      <c r="F332" s="13" t="s">
        <v>3959</v>
      </c>
      <c r="G332" s="13" t="s">
        <v>3960</v>
      </c>
      <c r="H332" s="13" t="s">
        <v>2290</v>
      </c>
      <c r="I332" s="15" t="n">
        <v>60</v>
      </c>
      <c r="J332" s="15" t="n">
        <v>29.8</v>
      </c>
      <c r="K332" s="15"/>
      <c r="L332" s="15"/>
      <c r="M332" s="15" t="n">
        <f aca="false">IF(ISNUMBER(L332),L332,J332)</f>
        <v>29.8</v>
      </c>
      <c r="N332" s="15" t="n">
        <f aca="false">ROUNDUP(M332,0)</f>
        <v>30</v>
      </c>
      <c r="O332" s="15" t="n">
        <f aca="false">MAX(I332,N332)</f>
        <v>60</v>
      </c>
      <c r="P332" s="15" t="n">
        <f aca="false">IF(C332="COVERED",MAX(0,O332-40),0)</f>
        <v>0</v>
      </c>
      <c r="Q332" s="15" t="n">
        <f aca="false">O332</f>
        <v>60</v>
      </c>
      <c r="R332" s="18" t="n">
        <f aca="false">IF(C332="COVERED",10.4,7.55)</f>
        <v>7.55</v>
      </c>
      <c r="S332" s="18" t="n">
        <f aca="false">Q332*R332</f>
        <v>453</v>
      </c>
      <c r="T332" s="13"/>
      <c r="U332" s="14"/>
      <c r="V332" s="13"/>
      <c r="W332" s="18"/>
      <c r="X332" s="18"/>
      <c r="Y332" s="18" t="str">
        <f aca="false">IF(ISNUMBER(X332),X332-S332,"")</f>
        <v/>
      </c>
      <c r="Z332" s="18" t="n">
        <f aca="false">IF(ISNUMBER(X332),X332-S332,-S332)</f>
        <v>-453</v>
      </c>
      <c r="AA332" s="13" t="str">
        <f aca="false">IF(NOT(ISNUMBER(X332)),"NO AUGUST POSTING IN EXPORT",IF(ABS(Y332)&gt;=0.005,"POSTED CHARGE MISMATCH",IF(P332&gt;0,"MATCH - COVERED ELIGIBILITY EXCEPTION","MATCH")))</f>
        <v>NO AUGUST POSTING IN EXPORT</v>
      </c>
      <c r="AB332" s="13" t="s">
        <v>3961</v>
      </c>
    </row>
    <row r="333" customFormat="false" ht="15" hidden="false" customHeight="false" outlineLevel="0" collapsed="false">
      <c r="A333" s="9" t="s">
        <v>3962</v>
      </c>
      <c r="B333" s="9" t="s">
        <v>155</v>
      </c>
      <c r="C333" s="9" t="s">
        <v>146</v>
      </c>
      <c r="D333" s="9" t="s">
        <v>2002</v>
      </c>
      <c r="E333" s="9" t="s">
        <v>2759</v>
      </c>
      <c r="F333" s="9" t="s">
        <v>3963</v>
      </c>
      <c r="G333" s="9" t="s">
        <v>3964</v>
      </c>
      <c r="H333" s="9" t="s">
        <v>3965</v>
      </c>
      <c r="I333" s="11" t="n">
        <v>70</v>
      </c>
      <c r="J333" s="11" t="n">
        <v>53.7</v>
      </c>
      <c r="K333" s="11"/>
      <c r="L333" s="11"/>
      <c r="M333" s="11" t="n">
        <f aca="false">IF(ISNUMBER(L333),L333,J333)</f>
        <v>53.7</v>
      </c>
      <c r="N333" s="11" t="n">
        <f aca="false">ROUNDUP(M333,0)</f>
        <v>54</v>
      </c>
      <c r="O333" s="11" t="n">
        <f aca="false">MAX(I333,N333)</f>
        <v>70</v>
      </c>
      <c r="P333" s="11" t="n">
        <f aca="false">IF(C333="COVERED",MAX(0,O333-40),0)</f>
        <v>0</v>
      </c>
      <c r="Q333" s="11" t="n">
        <f aca="false">O333</f>
        <v>70</v>
      </c>
      <c r="R333" s="17" t="n">
        <f aca="false">IF(C333="COVERED",10.4,7.55)</f>
        <v>7.55</v>
      </c>
      <c r="S333" s="17" t="n">
        <f aca="false">Q333*R333</f>
        <v>528.5</v>
      </c>
      <c r="T333" s="9"/>
      <c r="U333" s="10"/>
      <c r="V333" s="9"/>
      <c r="W333" s="17"/>
      <c r="X333" s="17"/>
      <c r="Y333" s="17" t="str">
        <f aca="false">IF(ISNUMBER(X333),X333-S333,"")</f>
        <v/>
      </c>
      <c r="Z333" s="17" t="n">
        <f aca="false">IF(ISNUMBER(X333),X333-S333,-S333)</f>
        <v>-528.5</v>
      </c>
      <c r="AA333" s="9" t="str">
        <f aca="false">IF(NOT(ISNUMBER(X333)),"NO AUGUST POSTING IN EXPORT",IF(ABS(Y333)&gt;=0.005,"POSTED CHARGE MISMATCH",IF(P333&gt;0,"MATCH - COVERED ELIGIBILITY EXCEPTION","MATCH")))</f>
        <v>NO AUGUST POSTING IN EXPORT</v>
      </c>
      <c r="AB333" s="9" t="s">
        <v>3966</v>
      </c>
    </row>
    <row r="334" customFormat="false" ht="15" hidden="false" customHeight="false" outlineLevel="0" collapsed="false">
      <c r="A334" s="13" t="s">
        <v>3967</v>
      </c>
      <c r="B334" s="13" t="s">
        <v>155</v>
      </c>
      <c r="C334" s="13" t="s">
        <v>146</v>
      </c>
      <c r="D334" s="13" t="s">
        <v>2002</v>
      </c>
      <c r="E334" s="13" t="s">
        <v>2765</v>
      </c>
      <c r="F334" s="13" t="s">
        <v>3968</v>
      </c>
      <c r="G334" s="13" t="s">
        <v>3969</v>
      </c>
      <c r="H334" s="13" t="s">
        <v>2411</v>
      </c>
      <c r="I334" s="15" t="n">
        <v>24</v>
      </c>
      <c r="J334" s="15" t="n">
        <v>28.3</v>
      </c>
      <c r="K334" s="15"/>
      <c r="L334" s="15"/>
      <c r="M334" s="15" t="n">
        <f aca="false">IF(ISNUMBER(L334),L334,J334)</f>
        <v>28.3</v>
      </c>
      <c r="N334" s="15" t="n">
        <f aca="false">ROUNDUP(M334,0)</f>
        <v>29</v>
      </c>
      <c r="O334" s="15" t="n">
        <f aca="false">MAX(I334,N334)</f>
        <v>29</v>
      </c>
      <c r="P334" s="15" t="n">
        <f aca="false">IF(C334="COVERED",MAX(0,O334-40),0)</f>
        <v>0</v>
      </c>
      <c r="Q334" s="15" t="n">
        <f aca="false">O334</f>
        <v>29</v>
      </c>
      <c r="R334" s="18" t="n">
        <f aca="false">IF(C334="COVERED",10.4,7.55)</f>
        <v>7.55</v>
      </c>
      <c r="S334" s="18" t="n">
        <f aca="false">Q334*R334</f>
        <v>218.95</v>
      </c>
      <c r="T334" s="13"/>
      <c r="U334" s="14"/>
      <c r="V334" s="13"/>
      <c r="W334" s="18"/>
      <c r="X334" s="18"/>
      <c r="Y334" s="18" t="str">
        <f aca="false">IF(ISNUMBER(X334),X334-S334,"")</f>
        <v/>
      </c>
      <c r="Z334" s="18" t="n">
        <f aca="false">IF(ISNUMBER(X334),X334-S334,-S334)</f>
        <v>-218.95</v>
      </c>
      <c r="AA334" s="13" t="str">
        <f aca="false">IF(NOT(ISNUMBER(X334)),"NO AUGUST POSTING IN EXPORT",IF(ABS(Y334)&gt;=0.005,"POSTED CHARGE MISMATCH",IF(P334&gt;0,"MATCH - COVERED ELIGIBILITY EXCEPTION","MATCH")))</f>
        <v>NO AUGUST POSTING IN EXPORT</v>
      </c>
      <c r="AB334" s="13" t="s">
        <v>3970</v>
      </c>
    </row>
    <row r="335" customFormat="false" ht="15" hidden="false" customHeight="false" outlineLevel="0" collapsed="false">
      <c r="A335" s="9" t="s">
        <v>288</v>
      </c>
      <c r="B335" s="9" t="s">
        <v>155</v>
      </c>
      <c r="C335" s="9" t="s">
        <v>146</v>
      </c>
      <c r="D335" s="9" t="s">
        <v>2002</v>
      </c>
      <c r="E335" s="9" t="s">
        <v>2772</v>
      </c>
      <c r="F335" s="9" t="s">
        <v>3971</v>
      </c>
      <c r="G335" s="9" t="s">
        <v>3972</v>
      </c>
      <c r="H335" s="9" t="s">
        <v>3664</v>
      </c>
      <c r="I335" s="11" t="n">
        <v>32</v>
      </c>
      <c r="J335" s="11" t="n">
        <v>41.9</v>
      </c>
      <c r="K335" s="11"/>
      <c r="L335" s="11"/>
      <c r="M335" s="11" t="n">
        <f aca="false">IF(ISNUMBER(L335),L335,J335)</f>
        <v>41.9</v>
      </c>
      <c r="N335" s="11" t="n">
        <f aca="false">ROUNDUP(M335,0)</f>
        <v>42</v>
      </c>
      <c r="O335" s="11" t="n">
        <f aca="false">MAX(I335,N335)</f>
        <v>42</v>
      </c>
      <c r="P335" s="11" t="n">
        <f aca="false">IF(C335="COVERED",MAX(0,O335-40),0)</f>
        <v>0</v>
      </c>
      <c r="Q335" s="11" t="n">
        <f aca="false">O335</f>
        <v>42</v>
      </c>
      <c r="R335" s="17" t="n">
        <f aca="false">IF(C335="COVERED",10.4,7.55)</f>
        <v>7.55</v>
      </c>
      <c r="S335" s="17" t="n">
        <f aca="false">Q335*R335</f>
        <v>317.1</v>
      </c>
      <c r="T335" s="9"/>
      <c r="U335" s="10"/>
      <c r="V335" s="9"/>
      <c r="W335" s="17"/>
      <c r="X335" s="17"/>
      <c r="Y335" s="17" t="str">
        <f aca="false">IF(ISNUMBER(X335),X335-S335,"")</f>
        <v/>
      </c>
      <c r="Z335" s="17" t="n">
        <f aca="false">IF(ISNUMBER(X335),X335-S335,-S335)</f>
        <v>-317.1</v>
      </c>
      <c r="AA335" s="9" t="str">
        <f aca="false">IF(NOT(ISNUMBER(X335)),"NO AUGUST POSTING IN EXPORT",IF(ABS(Y335)&gt;=0.005,"POSTED CHARGE MISMATCH",IF(P335&gt;0,"MATCH - COVERED ELIGIBILITY EXCEPTION","MATCH")))</f>
        <v>NO AUGUST POSTING IN EXPORT</v>
      </c>
      <c r="AB335" s="9" t="s">
        <v>3973</v>
      </c>
    </row>
    <row r="336" customFormat="false" ht="15" hidden="false" customHeight="false" outlineLevel="0" collapsed="false">
      <c r="A336" s="13" t="s">
        <v>3974</v>
      </c>
      <c r="B336" s="13" t="s">
        <v>155</v>
      </c>
      <c r="C336" s="13" t="s">
        <v>146</v>
      </c>
      <c r="D336" s="13" t="s">
        <v>2002</v>
      </c>
      <c r="E336" s="13" t="s">
        <v>3975</v>
      </c>
      <c r="F336" s="13" t="s">
        <v>3976</v>
      </c>
      <c r="G336" s="13" t="s">
        <v>3977</v>
      </c>
      <c r="H336" s="13" t="s">
        <v>2730</v>
      </c>
      <c r="I336" s="15" t="n">
        <v>32</v>
      </c>
      <c r="J336" s="15" t="n">
        <v>21</v>
      </c>
      <c r="K336" s="15"/>
      <c r="L336" s="15"/>
      <c r="M336" s="15" t="n">
        <f aca="false">IF(ISNUMBER(L336),L336,J336)</f>
        <v>21</v>
      </c>
      <c r="N336" s="15" t="n">
        <f aca="false">ROUNDUP(M336,0)</f>
        <v>21</v>
      </c>
      <c r="O336" s="15" t="n">
        <f aca="false">MAX(I336,N336)</f>
        <v>32</v>
      </c>
      <c r="P336" s="15" t="n">
        <f aca="false">IF(C336="COVERED",MAX(0,O336-40),0)</f>
        <v>0</v>
      </c>
      <c r="Q336" s="15" t="n">
        <f aca="false">O336</f>
        <v>32</v>
      </c>
      <c r="R336" s="18" t="n">
        <f aca="false">IF(C336="COVERED",10.4,7.55)</f>
        <v>7.55</v>
      </c>
      <c r="S336" s="18" t="n">
        <f aca="false">Q336*R336</f>
        <v>241.6</v>
      </c>
      <c r="T336" s="13"/>
      <c r="U336" s="14"/>
      <c r="V336" s="13"/>
      <c r="W336" s="18"/>
      <c r="X336" s="18"/>
      <c r="Y336" s="18" t="str">
        <f aca="false">IF(ISNUMBER(X336),X336-S336,"")</f>
        <v/>
      </c>
      <c r="Z336" s="18" t="n">
        <f aca="false">IF(ISNUMBER(X336),X336-S336,-S336)</f>
        <v>-241.6</v>
      </c>
      <c r="AA336" s="13" t="str">
        <f aca="false">IF(NOT(ISNUMBER(X336)),"NO AUGUST POSTING IN EXPORT",IF(ABS(Y336)&gt;=0.005,"POSTED CHARGE MISMATCH",IF(P336&gt;0,"MATCH - COVERED ELIGIBILITY EXCEPTION","MATCH")))</f>
        <v>NO AUGUST POSTING IN EXPORT</v>
      </c>
      <c r="AB336" s="13" t="s">
        <v>3978</v>
      </c>
    </row>
    <row r="337" customFormat="false" ht="15" hidden="false" customHeight="false" outlineLevel="0" collapsed="false">
      <c r="A337" s="9" t="s">
        <v>3979</v>
      </c>
      <c r="B337" s="9" t="s">
        <v>155</v>
      </c>
      <c r="C337" s="9" t="s">
        <v>146</v>
      </c>
      <c r="D337" s="9" t="s">
        <v>2002</v>
      </c>
      <c r="E337" s="9" t="s">
        <v>3980</v>
      </c>
      <c r="F337" s="9" t="s">
        <v>3981</v>
      </c>
      <c r="G337" s="9" t="s">
        <v>3982</v>
      </c>
      <c r="H337" s="9" t="s">
        <v>2546</v>
      </c>
      <c r="I337" s="11" t="n">
        <v>28</v>
      </c>
      <c r="J337" s="11" t="n">
        <v>30.7</v>
      </c>
      <c r="K337" s="11"/>
      <c r="L337" s="11"/>
      <c r="M337" s="11" t="n">
        <f aca="false">IF(ISNUMBER(L337),L337,J337)</f>
        <v>30.7</v>
      </c>
      <c r="N337" s="11" t="n">
        <f aca="false">ROUNDUP(M337,0)</f>
        <v>31</v>
      </c>
      <c r="O337" s="11" t="n">
        <f aca="false">MAX(I337,N337)</f>
        <v>31</v>
      </c>
      <c r="P337" s="11" t="n">
        <f aca="false">IF(C337="COVERED",MAX(0,O337-40),0)</f>
        <v>0</v>
      </c>
      <c r="Q337" s="11" t="n">
        <f aca="false">O337</f>
        <v>31</v>
      </c>
      <c r="R337" s="17" t="n">
        <f aca="false">IF(C337="COVERED",10.4,7.55)</f>
        <v>7.55</v>
      </c>
      <c r="S337" s="17" t="n">
        <f aca="false">Q337*R337</f>
        <v>234.05</v>
      </c>
      <c r="T337" s="9"/>
      <c r="U337" s="10"/>
      <c r="V337" s="9"/>
      <c r="W337" s="17"/>
      <c r="X337" s="17"/>
      <c r="Y337" s="17" t="str">
        <f aca="false">IF(ISNUMBER(X337),X337-S337,"")</f>
        <v/>
      </c>
      <c r="Z337" s="17" t="n">
        <f aca="false">IF(ISNUMBER(X337),X337-S337,-S337)</f>
        <v>-234.05</v>
      </c>
      <c r="AA337" s="9" t="str">
        <f aca="false">IF(NOT(ISNUMBER(X337)),"NO AUGUST POSTING IN EXPORT",IF(ABS(Y337)&gt;=0.005,"POSTED CHARGE MISMATCH",IF(P337&gt;0,"MATCH - COVERED ELIGIBILITY EXCEPTION","MATCH")))</f>
        <v>NO AUGUST POSTING IN EXPORT</v>
      </c>
      <c r="AB337" s="9" t="s">
        <v>3983</v>
      </c>
    </row>
    <row r="338" customFormat="false" ht="15" hidden="false" customHeight="false" outlineLevel="0" collapsed="false">
      <c r="A338" s="13" t="s">
        <v>3984</v>
      </c>
      <c r="B338" s="13" t="s">
        <v>155</v>
      </c>
      <c r="C338" s="13" t="s">
        <v>146</v>
      </c>
      <c r="D338" s="13" t="s">
        <v>2002</v>
      </c>
      <c r="E338" s="13" t="s">
        <v>2784</v>
      </c>
      <c r="F338" s="13" t="s">
        <v>3985</v>
      </c>
      <c r="G338" s="13" t="s">
        <v>3986</v>
      </c>
      <c r="H338" s="13" t="s">
        <v>3987</v>
      </c>
      <c r="I338" s="15" t="n">
        <v>32</v>
      </c>
      <c r="J338" s="15" t="n">
        <v>55.7</v>
      </c>
      <c r="K338" s="15"/>
      <c r="L338" s="15"/>
      <c r="M338" s="15" t="n">
        <f aca="false">IF(ISNUMBER(L338),L338,J338)</f>
        <v>55.7</v>
      </c>
      <c r="N338" s="15" t="n">
        <f aca="false">ROUNDUP(M338,0)</f>
        <v>56</v>
      </c>
      <c r="O338" s="15" t="n">
        <f aca="false">MAX(I338,N338)</f>
        <v>56</v>
      </c>
      <c r="P338" s="15" t="n">
        <f aca="false">IF(C338="COVERED",MAX(0,O338-40),0)</f>
        <v>0</v>
      </c>
      <c r="Q338" s="15" t="n">
        <f aca="false">O338</f>
        <v>56</v>
      </c>
      <c r="R338" s="18" t="n">
        <f aca="false">IF(C338="COVERED",10.4,7.55)</f>
        <v>7.55</v>
      </c>
      <c r="S338" s="18" t="n">
        <f aca="false">Q338*R338</f>
        <v>422.8</v>
      </c>
      <c r="T338" s="13"/>
      <c r="U338" s="14"/>
      <c r="V338" s="13"/>
      <c r="W338" s="18"/>
      <c r="X338" s="18"/>
      <c r="Y338" s="18" t="str">
        <f aca="false">IF(ISNUMBER(X338),X338-S338,"")</f>
        <v/>
      </c>
      <c r="Z338" s="18" t="n">
        <f aca="false">IF(ISNUMBER(X338),X338-S338,-S338)</f>
        <v>-422.8</v>
      </c>
      <c r="AA338" s="13" t="str">
        <f aca="false">IF(NOT(ISNUMBER(X338)),"NO AUGUST POSTING IN EXPORT",IF(ABS(Y338)&gt;=0.005,"POSTED CHARGE MISMATCH",IF(P338&gt;0,"MATCH - COVERED ELIGIBILITY EXCEPTION","MATCH")))</f>
        <v>NO AUGUST POSTING IN EXPORT</v>
      </c>
      <c r="AB338" s="13" t="s">
        <v>3988</v>
      </c>
    </row>
    <row r="339" customFormat="false" ht="15" hidden="false" customHeight="false" outlineLevel="0" collapsed="false">
      <c r="A339" s="9" t="s">
        <v>162</v>
      </c>
      <c r="B339" s="9" t="s">
        <v>155</v>
      </c>
      <c r="C339" s="9" t="s">
        <v>146</v>
      </c>
      <c r="D339" s="9" t="s">
        <v>2002</v>
      </c>
      <c r="E339" s="9" t="s">
        <v>2791</v>
      </c>
      <c r="F339" s="9" t="s">
        <v>1425</v>
      </c>
      <c r="G339" s="9" t="s">
        <v>1426</v>
      </c>
      <c r="H339" s="9" t="s">
        <v>2834</v>
      </c>
      <c r="I339" s="11" t="n">
        <v>24</v>
      </c>
      <c r="J339" s="11" t="n">
        <v>58.3</v>
      </c>
      <c r="K339" s="11"/>
      <c r="L339" s="11"/>
      <c r="M339" s="11" t="n">
        <f aca="false">IF(ISNUMBER(L339),L339,J339)</f>
        <v>58.3</v>
      </c>
      <c r="N339" s="11" t="n">
        <f aca="false">ROUNDUP(M339,0)</f>
        <v>59</v>
      </c>
      <c r="O339" s="11" t="n">
        <f aca="false">MAX(I339,N339)</f>
        <v>59</v>
      </c>
      <c r="P339" s="11" t="n">
        <f aca="false">IF(C339="COVERED",MAX(0,O339-40),0)</f>
        <v>0</v>
      </c>
      <c r="Q339" s="11" t="n">
        <f aca="false">O339</f>
        <v>59</v>
      </c>
      <c r="R339" s="17" t="n">
        <f aca="false">IF(C339="COVERED",10.4,7.55)</f>
        <v>7.55</v>
      </c>
      <c r="S339" s="17" t="n">
        <f aca="false">Q339*R339</f>
        <v>445.45</v>
      </c>
      <c r="T339" s="9"/>
      <c r="U339" s="10"/>
      <c r="V339" s="9"/>
      <c r="W339" s="17"/>
      <c r="X339" s="17"/>
      <c r="Y339" s="17" t="str">
        <f aca="false">IF(ISNUMBER(X339),X339-S339,"")</f>
        <v/>
      </c>
      <c r="Z339" s="17" t="n">
        <f aca="false">IF(ISNUMBER(X339),X339-S339,-S339)</f>
        <v>-445.45</v>
      </c>
      <c r="AA339" s="9" t="str">
        <f aca="false">IF(NOT(ISNUMBER(X339)),"NO AUGUST POSTING IN EXPORT",IF(ABS(Y339)&gt;=0.005,"POSTED CHARGE MISMATCH",IF(P339&gt;0,"MATCH - COVERED ELIGIBILITY EXCEPTION","MATCH")))</f>
        <v>NO AUGUST POSTING IN EXPORT</v>
      </c>
      <c r="AB339" s="9" t="s">
        <v>3989</v>
      </c>
    </row>
    <row r="340" customFormat="false" ht="15" hidden="false" customHeight="false" outlineLevel="0" collapsed="false">
      <c r="A340" s="13" t="s">
        <v>3990</v>
      </c>
      <c r="B340" s="13" t="s">
        <v>155</v>
      </c>
      <c r="C340" s="13" t="s">
        <v>146</v>
      </c>
      <c r="D340" s="13" t="s">
        <v>2002</v>
      </c>
      <c r="E340" s="13" t="s">
        <v>2805</v>
      </c>
      <c r="F340" s="13" t="s">
        <v>3991</v>
      </c>
      <c r="G340" s="13" t="s">
        <v>3992</v>
      </c>
      <c r="H340" s="13" t="s">
        <v>2912</v>
      </c>
      <c r="I340" s="15" t="n">
        <v>32</v>
      </c>
      <c r="J340" s="15" t="n">
        <v>50.2</v>
      </c>
      <c r="K340" s="15"/>
      <c r="L340" s="15"/>
      <c r="M340" s="15" t="n">
        <f aca="false">IF(ISNUMBER(L340),L340,J340)</f>
        <v>50.2</v>
      </c>
      <c r="N340" s="15" t="n">
        <f aca="false">ROUNDUP(M340,0)</f>
        <v>51</v>
      </c>
      <c r="O340" s="15" t="n">
        <f aca="false">MAX(I340,N340)</f>
        <v>51</v>
      </c>
      <c r="P340" s="15" t="n">
        <f aca="false">IF(C340="COVERED",MAX(0,O340-40),0)</f>
        <v>0</v>
      </c>
      <c r="Q340" s="15" t="n">
        <f aca="false">O340</f>
        <v>51</v>
      </c>
      <c r="R340" s="18" t="n">
        <f aca="false">IF(C340="COVERED",10.4,7.55)</f>
        <v>7.55</v>
      </c>
      <c r="S340" s="18" t="n">
        <f aca="false">Q340*R340</f>
        <v>385.05</v>
      </c>
      <c r="T340" s="13"/>
      <c r="U340" s="14"/>
      <c r="V340" s="13"/>
      <c r="W340" s="18"/>
      <c r="X340" s="18"/>
      <c r="Y340" s="18" t="str">
        <f aca="false">IF(ISNUMBER(X340),X340-S340,"")</f>
        <v/>
      </c>
      <c r="Z340" s="18" t="n">
        <f aca="false">IF(ISNUMBER(X340),X340-S340,-S340)</f>
        <v>-385.05</v>
      </c>
      <c r="AA340" s="13" t="str">
        <f aca="false">IF(NOT(ISNUMBER(X340)),"NO AUGUST POSTING IN EXPORT",IF(ABS(Y340)&gt;=0.005,"POSTED CHARGE MISMATCH",IF(P340&gt;0,"MATCH - COVERED ELIGIBILITY EXCEPTION","MATCH")))</f>
        <v>NO AUGUST POSTING IN EXPORT</v>
      </c>
      <c r="AB340" s="13" t="s">
        <v>3993</v>
      </c>
    </row>
    <row r="341" customFormat="false" ht="15" hidden="false" customHeight="false" outlineLevel="0" collapsed="false">
      <c r="A341" s="9" t="s">
        <v>3994</v>
      </c>
      <c r="B341" s="9" t="s">
        <v>155</v>
      </c>
      <c r="C341" s="9" t="s">
        <v>146</v>
      </c>
      <c r="D341" s="9" t="s">
        <v>2002</v>
      </c>
      <c r="E341" s="9" t="s">
        <v>2812</v>
      </c>
      <c r="F341" s="9" t="s">
        <v>3995</v>
      </c>
      <c r="G341" s="9" t="s">
        <v>3996</v>
      </c>
      <c r="H341" s="9" t="s">
        <v>3997</v>
      </c>
      <c r="I341" s="11" t="n">
        <v>24</v>
      </c>
      <c r="J341" s="11" t="n">
        <v>30.5</v>
      </c>
      <c r="K341" s="11"/>
      <c r="L341" s="11"/>
      <c r="M341" s="11" t="n">
        <f aca="false">IF(ISNUMBER(L341),L341,J341)</f>
        <v>30.5</v>
      </c>
      <c r="N341" s="11" t="n">
        <f aca="false">ROUNDUP(M341,0)</f>
        <v>31</v>
      </c>
      <c r="O341" s="11" t="n">
        <f aca="false">MAX(I341,N341)</f>
        <v>31</v>
      </c>
      <c r="P341" s="11" t="n">
        <f aca="false">IF(C341="COVERED",MAX(0,O341-40),0)</f>
        <v>0</v>
      </c>
      <c r="Q341" s="11" t="n">
        <f aca="false">O341</f>
        <v>31</v>
      </c>
      <c r="R341" s="17" t="n">
        <f aca="false">IF(C341="COVERED",10.4,7.55)</f>
        <v>7.55</v>
      </c>
      <c r="S341" s="17" t="n">
        <f aca="false">Q341*R341</f>
        <v>234.05</v>
      </c>
      <c r="T341" s="9"/>
      <c r="U341" s="10"/>
      <c r="V341" s="9"/>
      <c r="W341" s="17"/>
      <c r="X341" s="17"/>
      <c r="Y341" s="17" t="str">
        <f aca="false">IF(ISNUMBER(X341),X341-S341,"")</f>
        <v/>
      </c>
      <c r="Z341" s="17" t="n">
        <f aca="false">IF(ISNUMBER(X341),X341-S341,-S341)</f>
        <v>-234.05</v>
      </c>
      <c r="AA341" s="9" t="str">
        <f aca="false">IF(NOT(ISNUMBER(X341)),"NO AUGUST POSTING IN EXPORT",IF(ABS(Y341)&gt;=0.005,"POSTED CHARGE MISMATCH",IF(P341&gt;0,"MATCH - COVERED ELIGIBILITY EXCEPTION","MATCH")))</f>
        <v>NO AUGUST POSTING IN EXPORT</v>
      </c>
      <c r="AB341" s="9" t="s">
        <v>3998</v>
      </c>
    </row>
    <row r="342" customFormat="false" ht="15" hidden="false" customHeight="false" outlineLevel="0" collapsed="false">
      <c r="A342" s="13" t="s">
        <v>3999</v>
      </c>
      <c r="B342" s="13" t="s">
        <v>155</v>
      </c>
      <c r="C342" s="13" t="s">
        <v>146</v>
      </c>
      <c r="D342" s="13" t="s">
        <v>2002</v>
      </c>
      <c r="E342" s="13" t="s">
        <v>4000</v>
      </c>
      <c r="F342" s="13" t="s">
        <v>4001</v>
      </c>
      <c r="G342" s="13" t="s">
        <v>4002</v>
      </c>
      <c r="H342" s="13" t="s">
        <v>4003</v>
      </c>
      <c r="I342" s="15" t="n">
        <v>45</v>
      </c>
      <c r="J342" s="15" t="n">
        <v>28.6</v>
      </c>
      <c r="K342" s="15"/>
      <c r="L342" s="15"/>
      <c r="M342" s="15" t="n">
        <f aca="false">IF(ISNUMBER(L342),L342,J342)</f>
        <v>28.6</v>
      </c>
      <c r="N342" s="15" t="n">
        <f aca="false">ROUNDUP(M342,0)</f>
        <v>29</v>
      </c>
      <c r="O342" s="15" t="n">
        <f aca="false">MAX(I342,N342)</f>
        <v>45</v>
      </c>
      <c r="P342" s="15" t="n">
        <f aca="false">IF(C342="COVERED",MAX(0,O342-40),0)</f>
        <v>0</v>
      </c>
      <c r="Q342" s="15" t="n">
        <f aca="false">O342</f>
        <v>45</v>
      </c>
      <c r="R342" s="18" t="n">
        <f aca="false">IF(C342="COVERED",10.4,7.55)</f>
        <v>7.55</v>
      </c>
      <c r="S342" s="18" t="n">
        <f aca="false">Q342*R342</f>
        <v>339.75</v>
      </c>
      <c r="T342" s="13"/>
      <c r="U342" s="14"/>
      <c r="V342" s="13"/>
      <c r="W342" s="18"/>
      <c r="X342" s="18"/>
      <c r="Y342" s="18" t="str">
        <f aca="false">IF(ISNUMBER(X342),X342-S342,"")</f>
        <v/>
      </c>
      <c r="Z342" s="18" t="n">
        <f aca="false">IF(ISNUMBER(X342),X342-S342,-S342)</f>
        <v>-339.75</v>
      </c>
      <c r="AA342" s="13" t="str">
        <f aca="false">IF(NOT(ISNUMBER(X342)),"NO AUGUST POSTING IN EXPORT",IF(ABS(Y342)&gt;=0.005,"POSTED CHARGE MISMATCH",IF(P342&gt;0,"MATCH - COVERED ELIGIBILITY EXCEPTION","MATCH")))</f>
        <v>NO AUGUST POSTING IN EXPORT</v>
      </c>
      <c r="AB342" s="13" t="s">
        <v>4004</v>
      </c>
    </row>
    <row r="343" customFormat="false" ht="15" hidden="false" customHeight="false" outlineLevel="0" collapsed="false">
      <c r="A343" s="9" t="s">
        <v>1811</v>
      </c>
      <c r="B343" s="9" t="s">
        <v>155</v>
      </c>
      <c r="C343" s="9" t="s">
        <v>146</v>
      </c>
      <c r="D343" s="9" t="s">
        <v>2002</v>
      </c>
      <c r="E343" s="9" t="s">
        <v>4005</v>
      </c>
      <c r="F343" s="9" t="s">
        <v>4006</v>
      </c>
      <c r="G343" s="9" t="s">
        <v>4007</v>
      </c>
      <c r="H343" s="9" t="s">
        <v>2682</v>
      </c>
      <c r="I343" s="11" t="n">
        <v>70</v>
      </c>
      <c r="J343" s="11" t="n">
        <v>39.9</v>
      </c>
      <c r="K343" s="11"/>
      <c r="L343" s="11"/>
      <c r="M343" s="11" t="n">
        <f aca="false">IF(ISNUMBER(L343),L343,J343)</f>
        <v>39.9</v>
      </c>
      <c r="N343" s="11" t="n">
        <f aca="false">ROUNDUP(M343,0)</f>
        <v>40</v>
      </c>
      <c r="O343" s="11" t="n">
        <f aca="false">MAX(I343,N343)</f>
        <v>70</v>
      </c>
      <c r="P343" s="11" t="n">
        <f aca="false">IF(C343="COVERED",MAX(0,O343-40),0)</f>
        <v>0</v>
      </c>
      <c r="Q343" s="11" t="n">
        <f aca="false">O343</f>
        <v>70</v>
      </c>
      <c r="R343" s="17" t="n">
        <f aca="false">IF(C343="COVERED",10.4,7.55)</f>
        <v>7.55</v>
      </c>
      <c r="S343" s="17" t="n">
        <f aca="false">Q343*R343</f>
        <v>528.5</v>
      </c>
      <c r="T343" s="9"/>
      <c r="U343" s="10"/>
      <c r="V343" s="9"/>
      <c r="W343" s="17"/>
      <c r="X343" s="17"/>
      <c r="Y343" s="17" t="str">
        <f aca="false">IF(ISNUMBER(X343),X343-S343,"")</f>
        <v/>
      </c>
      <c r="Z343" s="17" t="n">
        <f aca="false">IF(ISNUMBER(X343),X343-S343,-S343)</f>
        <v>-528.5</v>
      </c>
      <c r="AA343" s="9" t="str">
        <f aca="false">IF(NOT(ISNUMBER(X343)),"NO AUGUST POSTING IN EXPORT",IF(ABS(Y343)&gt;=0.005,"POSTED CHARGE MISMATCH",IF(P343&gt;0,"MATCH - COVERED ELIGIBILITY EXCEPTION","MATCH")))</f>
        <v>NO AUGUST POSTING IN EXPORT</v>
      </c>
      <c r="AB343" s="9" t="s">
        <v>4008</v>
      </c>
    </row>
    <row r="344" customFormat="false" ht="15" hidden="false" customHeight="false" outlineLevel="0" collapsed="false">
      <c r="A344" s="13" t="s">
        <v>4009</v>
      </c>
      <c r="B344" s="13" t="s">
        <v>155</v>
      </c>
      <c r="C344" s="13" t="s">
        <v>146</v>
      </c>
      <c r="D344" s="13" t="s">
        <v>2002</v>
      </c>
      <c r="E344" s="13" t="s">
        <v>2818</v>
      </c>
      <c r="F344" s="13" t="s">
        <v>4010</v>
      </c>
      <c r="G344" s="13" t="s">
        <v>4011</v>
      </c>
      <c r="H344" s="13" t="s">
        <v>4012</v>
      </c>
      <c r="I344" s="15" t="n">
        <v>28</v>
      </c>
      <c r="J344" s="15" t="n">
        <v>36.1</v>
      </c>
      <c r="K344" s="15"/>
      <c r="L344" s="15"/>
      <c r="M344" s="15" t="n">
        <f aca="false">IF(ISNUMBER(L344),L344,J344)</f>
        <v>36.1</v>
      </c>
      <c r="N344" s="15" t="n">
        <f aca="false">ROUNDUP(M344,0)</f>
        <v>37</v>
      </c>
      <c r="O344" s="15" t="n">
        <f aca="false">MAX(I344,N344)</f>
        <v>37</v>
      </c>
      <c r="P344" s="15" t="n">
        <f aca="false">IF(C344="COVERED",MAX(0,O344-40),0)</f>
        <v>0</v>
      </c>
      <c r="Q344" s="15" t="n">
        <f aca="false">O344</f>
        <v>37</v>
      </c>
      <c r="R344" s="18" t="n">
        <f aca="false">IF(C344="COVERED",10.4,7.55)</f>
        <v>7.55</v>
      </c>
      <c r="S344" s="18" t="n">
        <f aca="false">Q344*R344</f>
        <v>279.35</v>
      </c>
      <c r="T344" s="13"/>
      <c r="U344" s="14"/>
      <c r="V344" s="13"/>
      <c r="W344" s="18"/>
      <c r="X344" s="18"/>
      <c r="Y344" s="18" t="str">
        <f aca="false">IF(ISNUMBER(X344),X344-S344,"")</f>
        <v/>
      </c>
      <c r="Z344" s="18" t="n">
        <f aca="false">IF(ISNUMBER(X344),X344-S344,-S344)</f>
        <v>-279.35</v>
      </c>
      <c r="AA344" s="13" t="str">
        <f aca="false">IF(NOT(ISNUMBER(X344)),"NO AUGUST POSTING IN EXPORT",IF(ABS(Y344)&gt;=0.005,"POSTED CHARGE MISMATCH",IF(P344&gt;0,"MATCH - COVERED ELIGIBILITY EXCEPTION","MATCH")))</f>
        <v>NO AUGUST POSTING IN EXPORT</v>
      </c>
      <c r="AB344" s="13" t="s">
        <v>4013</v>
      </c>
    </row>
    <row r="345" customFormat="false" ht="15" hidden="false" customHeight="false" outlineLevel="0" collapsed="false">
      <c r="A345" s="9" t="s">
        <v>1542</v>
      </c>
      <c r="B345" s="9" t="s">
        <v>155</v>
      </c>
      <c r="C345" s="9" t="s">
        <v>146</v>
      </c>
      <c r="D345" s="9" t="s">
        <v>2002</v>
      </c>
      <c r="E345" s="9" t="s">
        <v>4014</v>
      </c>
      <c r="F345" s="9" t="s">
        <v>4015</v>
      </c>
      <c r="G345" s="9" t="s">
        <v>4016</v>
      </c>
      <c r="H345" s="9" t="s">
        <v>2350</v>
      </c>
      <c r="I345" s="11" t="n">
        <v>60</v>
      </c>
      <c r="J345" s="11" t="n">
        <v>53.2</v>
      </c>
      <c r="K345" s="11"/>
      <c r="L345" s="11"/>
      <c r="M345" s="11" t="n">
        <f aca="false">IF(ISNUMBER(L345),L345,J345)</f>
        <v>53.2</v>
      </c>
      <c r="N345" s="11" t="n">
        <f aca="false">ROUNDUP(M345,0)</f>
        <v>54</v>
      </c>
      <c r="O345" s="11" t="n">
        <f aca="false">MAX(I345,N345)</f>
        <v>60</v>
      </c>
      <c r="P345" s="11" t="n">
        <f aca="false">IF(C345="COVERED",MAX(0,O345-40),0)</f>
        <v>0</v>
      </c>
      <c r="Q345" s="11" t="n">
        <f aca="false">O345</f>
        <v>60</v>
      </c>
      <c r="R345" s="17" t="n">
        <f aca="false">IF(C345="COVERED",10.4,7.55)</f>
        <v>7.55</v>
      </c>
      <c r="S345" s="17" t="n">
        <f aca="false">Q345*R345</f>
        <v>453</v>
      </c>
      <c r="T345" s="9"/>
      <c r="U345" s="10"/>
      <c r="V345" s="9"/>
      <c r="W345" s="17"/>
      <c r="X345" s="17"/>
      <c r="Y345" s="17" t="str">
        <f aca="false">IF(ISNUMBER(X345),X345-S345,"")</f>
        <v/>
      </c>
      <c r="Z345" s="17" t="n">
        <f aca="false">IF(ISNUMBER(X345),X345-S345,-S345)</f>
        <v>-453</v>
      </c>
      <c r="AA345" s="9" t="str">
        <f aca="false">IF(NOT(ISNUMBER(X345)),"NO AUGUST POSTING IN EXPORT",IF(ABS(Y345)&gt;=0.005,"POSTED CHARGE MISMATCH",IF(P345&gt;0,"MATCH - COVERED ELIGIBILITY EXCEPTION","MATCH")))</f>
        <v>NO AUGUST POSTING IN EXPORT</v>
      </c>
      <c r="AB345" s="9" t="s">
        <v>4017</v>
      </c>
    </row>
    <row r="346" customFormat="false" ht="15" hidden="false" customHeight="false" outlineLevel="0" collapsed="false">
      <c r="A346" s="13" t="s">
        <v>4018</v>
      </c>
      <c r="B346" s="13" t="s">
        <v>155</v>
      </c>
      <c r="C346" s="13" t="s">
        <v>146</v>
      </c>
      <c r="D346" s="13" t="s">
        <v>2002</v>
      </c>
      <c r="E346" s="13" t="s">
        <v>2825</v>
      </c>
      <c r="F346" s="13" t="s">
        <v>4019</v>
      </c>
      <c r="G346" s="13" t="s">
        <v>4020</v>
      </c>
      <c r="H346" s="13" t="s">
        <v>3871</v>
      </c>
      <c r="I346" s="15" t="n">
        <v>70</v>
      </c>
      <c r="J346" s="15" t="n">
        <v>34.2</v>
      </c>
      <c r="K346" s="15"/>
      <c r="L346" s="15"/>
      <c r="M346" s="15" t="n">
        <f aca="false">IF(ISNUMBER(L346),L346,J346)</f>
        <v>34.2</v>
      </c>
      <c r="N346" s="15" t="n">
        <f aca="false">ROUNDUP(M346,0)</f>
        <v>35</v>
      </c>
      <c r="O346" s="15" t="n">
        <f aca="false">MAX(I346,N346)</f>
        <v>70</v>
      </c>
      <c r="P346" s="15" t="n">
        <f aca="false">IF(C346="COVERED",MAX(0,O346-40),0)</f>
        <v>0</v>
      </c>
      <c r="Q346" s="15" t="n">
        <f aca="false">O346</f>
        <v>70</v>
      </c>
      <c r="R346" s="18" t="n">
        <f aca="false">IF(C346="COVERED",10.4,7.55)</f>
        <v>7.55</v>
      </c>
      <c r="S346" s="18" t="n">
        <f aca="false">Q346*R346</f>
        <v>528.5</v>
      </c>
      <c r="T346" s="13"/>
      <c r="U346" s="14"/>
      <c r="V346" s="13"/>
      <c r="W346" s="18"/>
      <c r="X346" s="18"/>
      <c r="Y346" s="18" t="str">
        <f aca="false">IF(ISNUMBER(X346),X346-S346,"")</f>
        <v/>
      </c>
      <c r="Z346" s="18" t="n">
        <f aca="false">IF(ISNUMBER(X346),X346-S346,-S346)</f>
        <v>-528.5</v>
      </c>
      <c r="AA346" s="13" t="str">
        <f aca="false">IF(NOT(ISNUMBER(X346)),"NO AUGUST POSTING IN EXPORT",IF(ABS(Y346)&gt;=0.005,"POSTED CHARGE MISMATCH",IF(P346&gt;0,"MATCH - COVERED ELIGIBILITY EXCEPTION","MATCH")))</f>
        <v>NO AUGUST POSTING IN EXPORT</v>
      </c>
      <c r="AB346" s="13" t="s">
        <v>4021</v>
      </c>
    </row>
    <row r="347" customFormat="false" ht="15" hidden="false" customHeight="false" outlineLevel="0" collapsed="false">
      <c r="A347" s="9" t="s">
        <v>4022</v>
      </c>
      <c r="B347" s="9" t="s">
        <v>155</v>
      </c>
      <c r="C347" s="9" t="s">
        <v>146</v>
      </c>
      <c r="D347" s="9" t="s">
        <v>2002</v>
      </c>
      <c r="E347" s="9" t="s">
        <v>2838</v>
      </c>
      <c r="F347" s="9" t="s">
        <v>4023</v>
      </c>
      <c r="G347" s="9" t="s">
        <v>4024</v>
      </c>
      <c r="H347" s="9" t="s">
        <v>4025</v>
      </c>
      <c r="I347" s="11" t="n">
        <v>32</v>
      </c>
      <c r="J347" s="11" t="n">
        <v>36.4</v>
      </c>
      <c r="K347" s="11"/>
      <c r="L347" s="11"/>
      <c r="M347" s="11" t="n">
        <f aca="false">IF(ISNUMBER(L347),L347,J347)</f>
        <v>36.4</v>
      </c>
      <c r="N347" s="11" t="n">
        <f aca="false">ROUNDUP(M347,0)</f>
        <v>37</v>
      </c>
      <c r="O347" s="11" t="n">
        <f aca="false">MAX(I347,N347)</f>
        <v>37</v>
      </c>
      <c r="P347" s="11" t="n">
        <f aca="false">IF(C347="COVERED",MAX(0,O347-40),0)</f>
        <v>0</v>
      </c>
      <c r="Q347" s="11" t="n">
        <f aca="false">O347</f>
        <v>37</v>
      </c>
      <c r="R347" s="17" t="n">
        <f aca="false">IF(C347="COVERED",10.4,7.55)</f>
        <v>7.55</v>
      </c>
      <c r="S347" s="17" t="n">
        <f aca="false">Q347*R347</f>
        <v>279.35</v>
      </c>
      <c r="T347" s="9"/>
      <c r="U347" s="10"/>
      <c r="V347" s="9"/>
      <c r="W347" s="17"/>
      <c r="X347" s="17"/>
      <c r="Y347" s="17" t="str">
        <f aca="false">IF(ISNUMBER(X347),X347-S347,"")</f>
        <v/>
      </c>
      <c r="Z347" s="17" t="n">
        <f aca="false">IF(ISNUMBER(X347),X347-S347,-S347)</f>
        <v>-279.35</v>
      </c>
      <c r="AA347" s="9" t="str">
        <f aca="false">IF(NOT(ISNUMBER(X347)),"NO AUGUST POSTING IN EXPORT",IF(ABS(Y347)&gt;=0.005,"POSTED CHARGE MISMATCH",IF(P347&gt;0,"MATCH - COVERED ELIGIBILITY EXCEPTION","MATCH")))</f>
        <v>NO AUGUST POSTING IN EXPORT</v>
      </c>
      <c r="AB347" s="9" t="s">
        <v>4026</v>
      </c>
    </row>
    <row r="348" customFormat="false" ht="15" hidden="false" customHeight="false" outlineLevel="0" collapsed="false">
      <c r="A348" s="13" t="s">
        <v>507</v>
      </c>
      <c r="B348" s="13" t="s">
        <v>155</v>
      </c>
      <c r="C348" s="13" t="s">
        <v>146</v>
      </c>
      <c r="D348" s="13" t="s">
        <v>2002</v>
      </c>
      <c r="E348" s="13" t="s">
        <v>2845</v>
      </c>
      <c r="F348" s="13" t="s">
        <v>4027</v>
      </c>
      <c r="G348" s="13" t="s">
        <v>4028</v>
      </c>
      <c r="H348" s="13" t="s">
        <v>3395</v>
      </c>
      <c r="I348" s="15" t="n">
        <v>32</v>
      </c>
      <c r="J348" s="15" t="n">
        <v>53.6</v>
      </c>
      <c r="K348" s="15"/>
      <c r="L348" s="15"/>
      <c r="M348" s="15" t="n">
        <f aca="false">IF(ISNUMBER(L348),L348,J348)</f>
        <v>53.6</v>
      </c>
      <c r="N348" s="15" t="n">
        <f aca="false">ROUNDUP(M348,0)</f>
        <v>54</v>
      </c>
      <c r="O348" s="15" t="n">
        <f aca="false">MAX(I348,N348)</f>
        <v>54</v>
      </c>
      <c r="P348" s="15" t="n">
        <f aca="false">IF(C348="COVERED",MAX(0,O348-40),0)</f>
        <v>0</v>
      </c>
      <c r="Q348" s="15" t="n">
        <f aca="false">O348</f>
        <v>54</v>
      </c>
      <c r="R348" s="18" t="n">
        <f aca="false">IF(C348="COVERED",10.4,7.55)</f>
        <v>7.55</v>
      </c>
      <c r="S348" s="18" t="n">
        <f aca="false">Q348*R348</f>
        <v>407.7</v>
      </c>
      <c r="T348" s="13"/>
      <c r="U348" s="14"/>
      <c r="V348" s="13"/>
      <c r="W348" s="18"/>
      <c r="X348" s="18"/>
      <c r="Y348" s="18" t="str">
        <f aca="false">IF(ISNUMBER(X348),X348-S348,"")</f>
        <v/>
      </c>
      <c r="Z348" s="18" t="n">
        <f aca="false">IF(ISNUMBER(X348),X348-S348,-S348)</f>
        <v>-407.7</v>
      </c>
      <c r="AA348" s="13" t="str">
        <f aca="false">IF(NOT(ISNUMBER(X348)),"NO AUGUST POSTING IN EXPORT",IF(ABS(Y348)&gt;=0.005,"POSTED CHARGE MISMATCH",IF(P348&gt;0,"MATCH - COVERED ELIGIBILITY EXCEPTION","MATCH")))</f>
        <v>NO AUGUST POSTING IN EXPORT</v>
      </c>
      <c r="AB348" s="13" t="s">
        <v>4029</v>
      </c>
    </row>
    <row r="349" customFormat="false" ht="15" hidden="false" customHeight="false" outlineLevel="0" collapsed="false">
      <c r="A349" s="9" t="s">
        <v>4030</v>
      </c>
      <c r="B349" s="9" t="s">
        <v>155</v>
      </c>
      <c r="C349" s="9" t="s">
        <v>146</v>
      </c>
      <c r="D349" s="9" t="s">
        <v>2002</v>
      </c>
      <c r="E349" s="9" t="s">
        <v>2850</v>
      </c>
      <c r="F349" s="9" t="s">
        <v>678</v>
      </c>
      <c r="G349" s="9" t="s">
        <v>679</v>
      </c>
      <c r="H349" s="9" t="s">
        <v>2867</v>
      </c>
      <c r="I349" s="11" t="n">
        <v>50</v>
      </c>
      <c r="J349" s="11" t="n">
        <v>43.6</v>
      </c>
      <c r="K349" s="11"/>
      <c r="L349" s="11"/>
      <c r="M349" s="11" t="n">
        <f aca="false">IF(ISNUMBER(L349),L349,J349)</f>
        <v>43.6</v>
      </c>
      <c r="N349" s="11" t="n">
        <f aca="false">ROUNDUP(M349,0)</f>
        <v>44</v>
      </c>
      <c r="O349" s="11" t="n">
        <f aca="false">MAX(I349,N349)</f>
        <v>50</v>
      </c>
      <c r="P349" s="11" t="n">
        <f aca="false">IF(C349="COVERED",MAX(0,O349-40),0)</f>
        <v>0</v>
      </c>
      <c r="Q349" s="11" t="n">
        <f aca="false">O349</f>
        <v>50</v>
      </c>
      <c r="R349" s="17" t="n">
        <f aca="false">IF(C349="COVERED",10.4,7.55)</f>
        <v>7.55</v>
      </c>
      <c r="S349" s="17" t="n">
        <f aca="false">Q349*R349</f>
        <v>377.5</v>
      </c>
      <c r="T349" s="9"/>
      <c r="U349" s="10"/>
      <c r="V349" s="9"/>
      <c r="W349" s="17"/>
      <c r="X349" s="17"/>
      <c r="Y349" s="17" t="str">
        <f aca="false">IF(ISNUMBER(X349),X349-S349,"")</f>
        <v/>
      </c>
      <c r="Z349" s="17" t="n">
        <f aca="false">IF(ISNUMBER(X349),X349-S349,-S349)</f>
        <v>-377.5</v>
      </c>
      <c r="AA349" s="9" t="str">
        <f aca="false">IF(NOT(ISNUMBER(X349)),"NO AUGUST POSTING IN EXPORT",IF(ABS(Y349)&gt;=0.005,"POSTED CHARGE MISMATCH",IF(P349&gt;0,"MATCH - COVERED ELIGIBILITY EXCEPTION","MATCH")))</f>
        <v>NO AUGUST POSTING IN EXPORT</v>
      </c>
      <c r="AB349" s="9" t="s">
        <v>4031</v>
      </c>
    </row>
    <row r="350" customFormat="false" ht="15" hidden="false" customHeight="false" outlineLevel="0" collapsed="false">
      <c r="A350" s="13" t="s">
        <v>638</v>
      </c>
      <c r="B350" s="13" t="s">
        <v>155</v>
      </c>
      <c r="C350" s="13" t="s">
        <v>146</v>
      </c>
      <c r="D350" s="13" t="s">
        <v>2002</v>
      </c>
      <c r="E350" s="13" t="s">
        <v>2857</v>
      </c>
      <c r="F350" s="13" t="s">
        <v>4032</v>
      </c>
      <c r="G350" s="13" t="s">
        <v>4033</v>
      </c>
      <c r="H350" s="13" t="s">
        <v>4034</v>
      </c>
      <c r="I350" s="15" t="n">
        <v>24</v>
      </c>
      <c r="J350" s="15" t="n">
        <v>58.6</v>
      </c>
      <c r="K350" s="15"/>
      <c r="L350" s="15"/>
      <c r="M350" s="15" t="n">
        <f aca="false">IF(ISNUMBER(L350),L350,J350)</f>
        <v>58.6</v>
      </c>
      <c r="N350" s="15" t="n">
        <f aca="false">ROUNDUP(M350,0)</f>
        <v>59</v>
      </c>
      <c r="O350" s="15" t="n">
        <f aca="false">MAX(I350,N350)</f>
        <v>59</v>
      </c>
      <c r="P350" s="15" t="n">
        <f aca="false">IF(C350="COVERED",MAX(0,O350-40),0)</f>
        <v>0</v>
      </c>
      <c r="Q350" s="15" t="n">
        <f aca="false">O350</f>
        <v>59</v>
      </c>
      <c r="R350" s="18" t="n">
        <f aca="false">IF(C350="COVERED",10.4,7.55)</f>
        <v>7.55</v>
      </c>
      <c r="S350" s="18" t="n">
        <f aca="false">Q350*R350</f>
        <v>445.45</v>
      </c>
      <c r="T350" s="13"/>
      <c r="U350" s="14"/>
      <c r="V350" s="13"/>
      <c r="W350" s="18"/>
      <c r="X350" s="18"/>
      <c r="Y350" s="18" t="str">
        <f aca="false">IF(ISNUMBER(X350),X350-S350,"")</f>
        <v/>
      </c>
      <c r="Z350" s="18" t="n">
        <f aca="false">IF(ISNUMBER(X350),X350-S350,-S350)</f>
        <v>-445.45</v>
      </c>
      <c r="AA350" s="13" t="str">
        <f aca="false">IF(NOT(ISNUMBER(X350)),"NO AUGUST POSTING IN EXPORT",IF(ABS(Y350)&gt;=0.005,"POSTED CHARGE MISMATCH",IF(P350&gt;0,"MATCH - COVERED ELIGIBILITY EXCEPTION","MATCH")))</f>
        <v>NO AUGUST POSTING IN EXPORT</v>
      </c>
      <c r="AB350" s="13" t="s">
        <v>4035</v>
      </c>
    </row>
    <row r="351" customFormat="false" ht="15" hidden="false" customHeight="false" outlineLevel="0" collapsed="false">
      <c r="A351" s="9" t="s">
        <v>4036</v>
      </c>
      <c r="B351" s="9" t="s">
        <v>155</v>
      </c>
      <c r="C351" s="9" t="s">
        <v>146</v>
      </c>
      <c r="D351" s="9" t="s">
        <v>2002</v>
      </c>
      <c r="E351" s="9" t="s">
        <v>2864</v>
      </c>
      <c r="F351" s="9" t="s">
        <v>4037</v>
      </c>
      <c r="G351" s="9" t="s">
        <v>4038</v>
      </c>
      <c r="H351" s="9" t="s">
        <v>4039</v>
      </c>
      <c r="I351" s="11" t="n">
        <v>80</v>
      </c>
      <c r="J351" s="11" t="n">
        <v>33.4</v>
      </c>
      <c r="K351" s="11"/>
      <c r="L351" s="11"/>
      <c r="M351" s="11" t="n">
        <f aca="false">IF(ISNUMBER(L351),L351,J351)</f>
        <v>33.4</v>
      </c>
      <c r="N351" s="11" t="n">
        <f aca="false">ROUNDUP(M351,0)</f>
        <v>34</v>
      </c>
      <c r="O351" s="11" t="n">
        <f aca="false">MAX(I351,N351)</f>
        <v>80</v>
      </c>
      <c r="P351" s="11" t="n">
        <f aca="false">IF(C351="COVERED",MAX(0,O351-40),0)</f>
        <v>0</v>
      </c>
      <c r="Q351" s="11" t="n">
        <f aca="false">O351</f>
        <v>80</v>
      </c>
      <c r="R351" s="17" t="n">
        <f aca="false">IF(C351="COVERED",10.4,7.55)</f>
        <v>7.55</v>
      </c>
      <c r="S351" s="17" t="n">
        <f aca="false">Q351*R351</f>
        <v>604</v>
      </c>
      <c r="T351" s="9"/>
      <c r="U351" s="10"/>
      <c r="V351" s="9"/>
      <c r="W351" s="17"/>
      <c r="X351" s="17"/>
      <c r="Y351" s="17" t="str">
        <f aca="false">IF(ISNUMBER(X351),X351-S351,"")</f>
        <v/>
      </c>
      <c r="Z351" s="17" t="n">
        <f aca="false">IF(ISNUMBER(X351),X351-S351,-S351)</f>
        <v>-604</v>
      </c>
      <c r="AA351" s="9" t="str">
        <f aca="false">IF(NOT(ISNUMBER(X351)),"NO AUGUST POSTING IN EXPORT",IF(ABS(Y351)&gt;=0.005,"POSTED CHARGE MISMATCH",IF(P351&gt;0,"MATCH - COVERED ELIGIBILITY EXCEPTION","MATCH")))</f>
        <v>NO AUGUST POSTING IN EXPORT</v>
      </c>
      <c r="AB351" s="9" t="s">
        <v>4040</v>
      </c>
    </row>
    <row r="352" customFormat="false" ht="15" hidden="false" customHeight="false" outlineLevel="0" collapsed="false">
      <c r="A352" s="13" t="s">
        <v>4041</v>
      </c>
      <c r="B352" s="13" t="s">
        <v>155</v>
      </c>
      <c r="C352" s="13" t="s">
        <v>146</v>
      </c>
      <c r="D352" s="13" t="s">
        <v>2002</v>
      </c>
      <c r="E352" s="13" t="s">
        <v>4042</v>
      </c>
      <c r="F352" s="13" t="s">
        <v>4043</v>
      </c>
      <c r="G352" s="13" t="s">
        <v>4044</v>
      </c>
      <c r="H352" s="13" t="s">
        <v>3320</v>
      </c>
      <c r="I352" s="15" t="n">
        <v>24</v>
      </c>
      <c r="J352" s="15" t="n">
        <v>39.3</v>
      </c>
      <c r="K352" s="15"/>
      <c r="L352" s="15"/>
      <c r="M352" s="15" t="n">
        <f aca="false">IF(ISNUMBER(L352),L352,J352)</f>
        <v>39.3</v>
      </c>
      <c r="N352" s="15" t="n">
        <f aca="false">ROUNDUP(M352,0)</f>
        <v>40</v>
      </c>
      <c r="O352" s="15" t="n">
        <f aca="false">MAX(I352,N352)</f>
        <v>40</v>
      </c>
      <c r="P352" s="15" t="n">
        <f aca="false">IF(C352="COVERED",MAX(0,O352-40),0)</f>
        <v>0</v>
      </c>
      <c r="Q352" s="15" t="n">
        <f aca="false">O352</f>
        <v>40</v>
      </c>
      <c r="R352" s="18" t="n">
        <f aca="false">IF(C352="COVERED",10.4,7.55)</f>
        <v>7.55</v>
      </c>
      <c r="S352" s="18" t="n">
        <f aca="false">Q352*R352</f>
        <v>302</v>
      </c>
      <c r="T352" s="13"/>
      <c r="U352" s="14"/>
      <c r="V352" s="13"/>
      <c r="W352" s="18"/>
      <c r="X352" s="18"/>
      <c r="Y352" s="18" t="str">
        <f aca="false">IF(ISNUMBER(X352),X352-S352,"")</f>
        <v/>
      </c>
      <c r="Z352" s="18" t="n">
        <f aca="false">IF(ISNUMBER(X352),X352-S352,-S352)</f>
        <v>-302</v>
      </c>
      <c r="AA352" s="13" t="str">
        <f aca="false">IF(NOT(ISNUMBER(X352)),"NO AUGUST POSTING IN EXPORT",IF(ABS(Y352)&gt;=0.005,"POSTED CHARGE MISMATCH",IF(P352&gt;0,"MATCH - COVERED ELIGIBILITY EXCEPTION","MATCH")))</f>
        <v>NO AUGUST POSTING IN EXPORT</v>
      </c>
      <c r="AB352" s="13" t="s">
        <v>4045</v>
      </c>
    </row>
    <row r="353" customFormat="false" ht="15" hidden="false" customHeight="false" outlineLevel="0" collapsed="false">
      <c r="A353" s="9" t="s">
        <v>154</v>
      </c>
      <c r="B353" s="9" t="s">
        <v>155</v>
      </c>
      <c r="C353" s="9" t="s">
        <v>146</v>
      </c>
      <c r="D353" s="9" t="s">
        <v>2002</v>
      </c>
      <c r="E353" s="9" t="s">
        <v>2870</v>
      </c>
      <c r="F353" s="9" t="s">
        <v>4046</v>
      </c>
      <c r="G353" s="9" t="s">
        <v>4047</v>
      </c>
      <c r="H353" s="9" t="s">
        <v>4048</v>
      </c>
      <c r="I353" s="11" t="n">
        <v>70</v>
      </c>
      <c r="J353" s="11" t="n">
        <v>28.7</v>
      </c>
      <c r="K353" s="11"/>
      <c r="L353" s="11"/>
      <c r="M353" s="11" t="n">
        <f aca="false">IF(ISNUMBER(L353),L353,J353)</f>
        <v>28.7</v>
      </c>
      <c r="N353" s="11" t="n">
        <f aca="false">ROUNDUP(M353,0)</f>
        <v>29</v>
      </c>
      <c r="O353" s="11" t="n">
        <f aca="false">MAX(I353,N353)</f>
        <v>70</v>
      </c>
      <c r="P353" s="11" t="n">
        <f aca="false">IF(C353="COVERED",MAX(0,O353-40),0)</f>
        <v>0</v>
      </c>
      <c r="Q353" s="11" t="n">
        <f aca="false">O353</f>
        <v>70</v>
      </c>
      <c r="R353" s="17" t="n">
        <f aca="false">IF(C353="COVERED",10.4,7.55)</f>
        <v>7.55</v>
      </c>
      <c r="S353" s="17" t="n">
        <f aca="false">Q353*R353</f>
        <v>528.5</v>
      </c>
      <c r="T353" s="9"/>
      <c r="U353" s="10"/>
      <c r="V353" s="9"/>
      <c r="W353" s="17"/>
      <c r="X353" s="17"/>
      <c r="Y353" s="17" t="str">
        <f aca="false">IF(ISNUMBER(X353),X353-S353,"")</f>
        <v/>
      </c>
      <c r="Z353" s="17" t="n">
        <f aca="false">IF(ISNUMBER(X353),X353-S353,-S353)</f>
        <v>-528.5</v>
      </c>
      <c r="AA353" s="9" t="str">
        <f aca="false">IF(NOT(ISNUMBER(X353)),"NO AUGUST POSTING IN EXPORT",IF(ABS(Y353)&gt;=0.005,"POSTED CHARGE MISMATCH",IF(P353&gt;0,"MATCH - COVERED ELIGIBILITY EXCEPTION","MATCH")))</f>
        <v>NO AUGUST POSTING IN EXPORT</v>
      </c>
      <c r="AB353" s="9" t="s">
        <v>4049</v>
      </c>
    </row>
    <row r="354" customFormat="false" ht="15" hidden="false" customHeight="false" outlineLevel="0" collapsed="false">
      <c r="A354" s="13" t="s">
        <v>4050</v>
      </c>
      <c r="B354" s="13" t="s">
        <v>155</v>
      </c>
      <c r="C354" s="13" t="s">
        <v>146</v>
      </c>
      <c r="D354" s="13" t="s">
        <v>2002</v>
      </c>
      <c r="E354" s="13" t="s">
        <v>2881</v>
      </c>
      <c r="F354" s="13" t="s">
        <v>4051</v>
      </c>
      <c r="G354" s="13" t="s">
        <v>4052</v>
      </c>
      <c r="H354" s="13" t="s">
        <v>4053</v>
      </c>
      <c r="I354" s="15" t="n">
        <v>36</v>
      </c>
      <c r="J354" s="15" t="n">
        <v>43.8</v>
      </c>
      <c r="K354" s="15"/>
      <c r="L354" s="15"/>
      <c r="M354" s="15" t="n">
        <f aca="false">IF(ISNUMBER(L354),L354,J354)</f>
        <v>43.8</v>
      </c>
      <c r="N354" s="15" t="n">
        <f aca="false">ROUNDUP(M354,0)</f>
        <v>44</v>
      </c>
      <c r="O354" s="15" t="n">
        <f aca="false">MAX(I354,N354)</f>
        <v>44</v>
      </c>
      <c r="P354" s="15" t="n">
        <f aca="false">IF(C354="COVERED",MAX(0,O354-40),0)</f>
        <v>0</v>
      </c>
      <c r="Q354" s="15" t="n">
        <f aca="false">O354</f>
        <v>44</v>
      </c>
      <c r="R354" s="18" t="n">
        <f aca="false">IF(C354="COVERED",10.4,7.55)</f>
        <v>7.55</v>
      </c>
      <c r="S354" s="18" t="n">
        <f aca="false">Q354*R354</f>
        <v>332.2</v>
      </c>
      <c r="T354" s="13"/>
      <c r="U354" s="14"/>
      <c r="V354" s="13"/>
      <c r="W354" s="18"/>
      <c r="X354" s="18"/>
      <c r="Y354" s="18" t="str">
        <f aca="false">IF(ISNUMBER(X354),X354-S354,"")</f>
        <v/>
      </c>
      <c r="Z354" s="18" t="n">
        <f aca="false">IF(ISNUMBER(X354),X354-S354,-S354)</f>
        <v>-332.2</v>
      </c>
      <c r="AA354" s="13" t="str">
        <f aca="false">IF(NOT(ISNUMBER(X354)),"NO AUGUST POSTING IN EXPORT",IF(ABS(Y354)&gt;=0.005,"POSTED CHARGE MISMATCH",IF(P354&gt;0,"MATCH - COVERED ELIGIBILITY EXCEPTION","MATCH")))</f>
        <v>NO AUGUST POSTING IN EXPORT</v>
      </c>
      <c r="AB354" s="13" t="s">
        <v>4054</v>
      </c>
    </row>
    <row r="355" customFormat="false" ht="15" hidden="false" customHeight="false" outlineLevel="0" collapsed="false">
      <c r="A355" s="9" t="s">
        <v>4055</v>
      </c>
      <c r="B355" s="9" t="s">
        <v>155</v>
      </c>
      <c r="C355" s="9" t="s">
        <v>146</v>
      </c>
      <c r="D355" s="9" t="s">
        <v>2002</v>
      </c>
      <c r="E355" s="9" t="s">
        <v>4056</v>
      </c>
      <c r="F355" s="9" t="s">
        <v>4057</v>
      </c>
      <c r="G355" s="9" t="s">
        <v>4058</v>
      </c>
      <c r="H355" s="9" t="s">
        <v>4059</v>
      </c>
      <c r="I355" s="11" t="n">
        <v>45</v>
      </c>
      <c r="J355" s="11" t="n">
        <v>40.5</v>
      </c>
      <c r="K355" s="11"/>
      <c r="L355" s="11"/>
      <c r="M355" s="11" t="n">
        <f aca="false">IF(ISNUMBER(L355),L355,J355)</f>
        <v>40.5</v>
      </c>
      <c r="N355" s="11" t="n">
        <f aca="false">ROUNDUP(M355,0)</f>
        <v>41</v>
      </c>
      <c r="O355" s="11" t="n">
        <f aca="false">MAX(I355,N355)</f>
        <v>45</v>
      </c>
      <c r="P355" s="11" t="n">
        <f aca="false">IF(C355="COVERED",MAX(0,O355-40),0)</f>
        <v>0</v>
      </c>
      <c r="Q355" s="11" t="n">
        <f aca="false">O355</f>
        <v>45</v>
      </c>
      <c r="R355" s="17" t="n">
        <f aca="false">IF(C355="COVERED",10.4,7.55)</f>
        <v>7.55</v>
      </c>
      <c r="S355" s="17" t="n">
        <f aca="false">Q355*R355</f>
        <v>339.75</v>
      </c>
      <c r="T355" s="9"/>
      <c r="U355" s="10"/>
      <c r="V355" s="9"/>
      <c r="W355" s="17"/>
      <c r="X355" s="17"/>
      <c r="Y355" s="17" t="str">
        <f aca="false">IF(ISNUMBER(X355),X355-S355,"")</f>
        <v/>
      </c>
      <c r="Z355" s="17" t="n">
        <f aca="false">IF(ISNUMBER(X355),X355-S355,-S355)</f>
        <v>-339.75</v>
      </c>
      <c r="AA355" s="9" t="str">
        <f aca="false">IF(NOT(ISNUMBER(X355)),"NO AUGUST POSTING IN EXPORT",IF(ABS(Y355)&gt;=0.005,"POSTED CHARGE MISMATCH",IF(P355&gt;0,"MATCH - COVERED ELIGIBILITY EXCEPTION","MATCH")))</f>
        <v>NO AUGUST POSTING IN EXPORT</v>
      </c>
      <c r="AB355" s="9" t="s">
        <v>4060</v>
      </c>
    </row>
    <row r="356" customFormat="false" ht="15" hidden="false" customHeight="false" outlineLevel="0" collapsed="false">
      <c r="A356" s="13" t="s">
        <v>4061</v>
      </c>
      <c r="B356" s="13" t="s">
        <v>155</v>
      </c>
      <c r="C356" s="13" t="s">
        <v>146</v>
      </c>
      <c r="D356" s="13" t="s">
        <v>2002</v>
      </c>
      <c r="E356" s="13" t="s">
        <v>2888</v>
      </c>
      <c r="F356" s="13" t="s">
        <v>1241</v>
      </c>
      <c r="G356" s="13" t="s">
        <v>1242</v>
      </c>
      <c r="H356" s="13" t="s">
        <v>4062</v>
      </c>
      <c r="I356" s="15" t="n">
        <v>45</v>
      </c>
      <c r="J356" s="15" t="n">
        <v>48.3</v>
      </c>
      <c r="K356" s="15"/>
      <c r="L356" s="15"/>
      <c r="M356" s="15" t="n">
        <f aca="false">IF(ISNUMBER(L356),L356,J356)</f>
        <v>48.3</v>
      </c>
      <c r="N356" s="15" t="n">
        <f aca="false">ROUNDUP(M356,0)</f>
        <v>49</v>
      </c>
      <c r="O356" s="15" t="n">
        <f aca="false">MAX(I356,N356)</f>
        <v>49</v>
      </c>
      <c r="P356" s="15" t="n">
        <f aca="false">IF(C356="COVERED",MAX(0,O356-40),0)</f>
        <v>0</v>
      </c>
      <c r="Q356" s="15" t="n">
        <f aca="false">O356</f>
        <v>49</v>
      </c>
      <c r="R356" s="18" t="n">
        <f aca="false">IF(C356="COVERED",10.4,7.55)</f>
        <v>7.55</v>
      </c>
      <c r="S356" s="18" t="n">
        <f aca="false">Q356*R356</f>
        <v>369.95</v>
      </c>
      <c r="T356" s="13"/>
      <c r="U356" s="14"/>
      <c r="V356" s="13"/>
      <c r="W356" s="18"/>
      <c r="X356" s="18"/>
      <c r="Y356" s="18" t="str">
        <f aca="false">IF(ISNUMBER(X356),X356-S356,"")</f>
        <v/>
      </c>
      <c r="Z356" s="18" t="n">
        <f aca="false">IF(ISNUMBER(X356),X356-S356,-S356)</f>
        <v>-369.95</v>
      </c>
      <c r="AA356" s="13" t="str">
        <f aca="false">IF(NOT(ISNUMBER(X356)),"NO AUGUST POSTING IN EXPORT",IF(ABS(Y356)&gt;=0.005,"POSTED CHARGE MISMATCH",IF(P356&gt;0,"MATCH - COVERED ELIGIBILITY EXCEPTION","MATCH")))</f>
        <v>NO AUGUST POSTING IN EXPORT</v>
      </c>
      <c r="AB356" s="13" t="s">
        <v>4063</v>
      </c>
    </row>
    <row r="357" customFormat="false" ht="15" hidden="false" customHeight="false" outlineLevel="0" collapsed="false">
      <c r="A357" s="9" t="s">
        <v>4064</v>
      </c>
      <c r="B357" s="9" t="s">
        <v>155</v>
      </c>
      <c r="C357" s="9" t="s">
        <v>146</v>
      </c>
      <c r="D357" s="9" t="s">
        <v>2002</v>
      </c>
      <c r="E357" s="9" t="s">
        <v>2895</v>
      </c>
      <c r="F357" s="9" t="s">
        <v>4065</v>
      </c>
      <c r="G357" s="9" t="s">
        <v>4066</v>
      </c>
      <c r="H357" s="9" t="s">
        <v>4067</v>
      </c>
      <c r="I357" s="11" t="n">
        <v>80</v>
      </c>
      <c r="J357" s="11" t="n">
        <v>45</v>
      </c>
      <c r="K357" s="11"/>
      <c r="L357" s="11"/>
      <c r="M357" s="11" t="n">
        <f aca="false">IF(ISNUMBER(L357),L357,J357)</f>
        <v>45</v>
      </c>
      <c r="N357" s="11" t="n">
        <f aca="false">ROUNDUP(M357,0)</f>
        <v>45</v>
      </c>
      <c r="O357" s="11" t="n">
        <f aca="false">MAX(I357,N357)</f>
        <v>80</v>
      </c>
      <c r="P357" s="11" t="n">
        <f aca="false">IF(C357="COVERED",MAX(0,O357-40),0)</f>
        <v>0</v>
      </c>
      <c r="Q357" s="11" t="n">
        <f aca="false">O357</f>
        <v>80</v>
      </c>
      <c r="R357" s="17" t="n">
        <f aca="false">IF(C357="COVERED",10.4,7.55)</f>
        <v>7.55</v>
      </c>
      <c r="S357" s="17" t="n">
        <f aca="false">Q357*R357</f>
        <v>604</v>
      </c>
      <c r="T357" s="9"/>
      <c r="U357" s="10"/>
      <c r="V357" s="9"/>
      <c r="W357" s="17"/>
      <c r="X357" s="17"/>
      <c r="Y357" s="17" t="str">
        <f aca="false">IF(ISNUMBER(X357),X357-S357,"")</f>
        <v/>
      </c>
      <c r="Z357" s="17" t="n">
        <f aca="false">IF(ISNUMBER(X357),X357-S357,-S357)</f>
        <v>-604</v>
      </c>
      <c r="AA357" s="9" t="str">
        <f aca="false">IF(NOT(ISNUMBER(X357)),"NO AUGUST POSTING IN EXPORT",IF(ABS(Y357)&gt;=0.005,"POSTED CHARGE MISMATCH",IF(P357&gt;0,"MATCH - COVERED ELIGIBILITY EXCEPTION","MATCH")))</f>
        <v>NO AUGUST POSTING IN EXPORT</v>
      </c>
      <c r="AB357" s="9" t="s">
        <v>4068</v>
      </c>
    </row>
    <row r="358" customFormat="false" ht="15" hidden="false" customHeight="false" outlineLevel="0" collapsed="false">
      <c r="A358" s="13" t="s">
        <v>4069</v>
      </c>
      <c r="B358" s="13" t="s">
        <v>155</v>
      </c>
      <c r="C358" s="13" t="s">
        <v>146</v>
      </c>
      <c r="D358" s="13" t="s">
        <v>2002</v>
      </c>
      <c r="E358" s="13" t="s">
        <v>2902</v>
      </c>
      <c r="F358" s="13" t="s">
        <v>4070</v>
      </c>
      <c r="G358" s="13" t="s">
        <v>4071</v>
      </c>
      <c r="H358" s="13" t="s">
        <v>4072</v>
      </c>
      <c r="I358" s="15" t="n">
        <v>28</v>
      </c>
      <c r="J358" s="15" t="n">
        <v>40.5</v>
      </c>
      <c r="K358" s="15"/>
      <c r="L358" s="15"/>
      <c r="M358" s="15" t="n">
        <f aca="false">IF(ISNUMBER(L358),L358,J358)</f>
        <v>40.5</v>
      </c>
      <c r="N358" s="15" t="n">
        <f aca="false">ROUNDUP(M358,0)</f>
        <v>41</v>
      </c>
      <c r="O358" s="15" t="n">
        <f aca="false">MAX(I358,N358)</f>
        <v>41</v>
      </c>
      <c r="P358" s="15" t="n">
        <f aca="false">IF(C358="COVERED",MAX(0,O358-40),0)</f>
        <v>0</v>
      </c>
      <c r="Q358" s="15" t="n">
        <f aca="false">O358</f>
        <v>41</v>
      </c>
      <c r="R358" s="18" t="n">
        <f aca="false">IF(C358="COVERED",10.4,7.55)</f>
        <v>7.55</v>
      </c>
      <c r="S358" s="18" t="n">
        <f aca="false">Q358*R358</f>
        <v>309.55</v>
      </c>
      <c r="T358" s="13"/>
      <c r="U358" s="14"/>
      <c r="V358" s="13"/>
      <c r="W358" s="18"/>
      <c r="X358" s="18"/>
      <c r="Y358" s="18" t="str">
        <f aca="false">IF(ISNUMBER(X358),X358-S358,"")</f>
        <v/>
      </c>
      <c r="Z358" s="18" t="n">
        <f aca="false">IF(ISNUMBER(X358),X358-S358,-S358)</f>
        <v>-309.55</v>
      </c>
      <c r="AA358" s="13" t="str">
        <f aca="false">IF(NOT(ISNUMBER(X358)),"NO AUGUST POSTING IN EXPORT",IF(ABS(Y358)&gt;=0.005,"POSTED CHARGE MISMATCH",IF(P358&gt;0,"MATCH - COVERED ELIGIBILITY EXCEPTION","MATCH")))</f>
        <v>NO AUGUST POSTING IN EXPORT</v>
      </c>
      <c r="AB358" s="13" t="s">
        <v>4073</v>
      </c>
    </row>
    <row r="359" customFormat="false" ht="15" hidden="false" customHeight="false" outlineLevel="0" collapsed="false">
      <c r="A359" s="9" t="s">
        <v>4074</v>
      </c>
      <c r="B359" s="9" t="s">
        <v>155</v>
      </c>
      <c r="C359" s="9" t="s">
        <v>146</v>
      </c>
      <c r="D359" s="9" t="s">
        <v>2002</v>
      </c>
      <c r="E359" s="9" t="s">
        <v>2909</v>
      </c>
      <c r="F359" s="9" t="s">
        <v>4075</v>
      </c>
      <c r="G359" s="9" t="s">
        <v>4076</v>
      </c>
      <c r="H359" s="9" t="s">
        <v>4077</v>
      </c>
      <c r="I359" s="11" t="n">
        <v>24</v>
      </c>
      <c r="J359" s="11" t="n">
        <v>34.6</v>
      </c>
      <c r="K359" s="11"/>
      <c r="L359" s="11"/>
      <c r="M359" s="11" t="n">
        <f aca="false">IF(ISNUMBER(L359),L359,J359)</f>
        <v>34.6</v>
      </c>
      <c r="N359" s="11" t="n">
        <f aca="false">ROUNDUP(M359,0)</f>
        <v>35</v>
      </c>
      <c r="O359" s="11" t="n">
        <f aca="false">MAX(I359,N359)</f>
        <v>35</v>
      </c>
      <c r="P359" s="11" t="n">
        <f aca="false">IF(C359="COVERED",MAX(0,O359-40),0)</f>
        <v>0</v>
      </c>
      <c r="Q359" s="11" t="n">
        <f aca="false">O359</f>
        <v>35</v>
      </c>
      <c r="R359" s="17" t="n">
        <f aca="false">IF(C359="COVERED",10.4,7.55)</f>
        <v>7.55</v>
      </c>
      <c r="S359" s="17" t="n">
        <f aca="false">Q359*R359</f>
        <v>264.25</v>
      </c>
      <c r="T359" s="9"/>
      <c r="U359" s="10"/>
      <c r="V359" s="9"/>
      <c r="W359" s="17"/>
      <c r="X359" s="17"/>
      <c r="Y359" s="17" t="str">
        <f aca="false">IF(ISNUMBER(X359),X359-S359,"")</f>
        <v/>
      </c>
      <c r="Z359" s="17" t="n">
        <f aca="false">IF(ISNUMBER(X359),X359-S359,-S359)</f>
        <v>-264.25</v>
      </c>
      <c r="AA359" s="9" t="str">
        <f aca="false">IF(NOT(ISNUMBER(X359)),"NO AUGUST POSTING IN EXPORT",IF(ABS(Y359)&gt;=0.005,"POSTED CHARGE MISMATCH",IF(P359&gt;0,"MATCH - COVERED ELIGIBILITY EXCEPTION","MATCH")))</f>
        <v>NO AUGUST POSTING IN EXPORT</v>
      </c>
      <c r="AB359" s="9" t="s">
        <v>4078</v>
      </c>
    </row>
    <row r="360" customFormat="false" ht="15" hidden="false" customHeight="false" outlineLevel="0" collapsed="false">
      <c r="A360" s="13" t="s">
        <v>4079</v>
      </c>
      <c r="B360" s="13" t="s">
        <v>155</v>
      </c>
      <c r="C360" s="13" t="s">
        <v>146</v>
      </c>
      <c r="D360" s="13" t="s">
        <v>2002</v>
      </c>
      <c r="E360" s="13" t="s">
        <v>2915</v>
      </c>
      <c r="F360" s="13" t="s">
        <v>4080</v>
      </c>
      <c r="G360" s="13" t="s">
        <v>4081</v>
      </c>
      <c r="H360" s="13" t="s">
        <v>2514</v>
      </c>
      <c r="I360" s="15" t="n">
        <v>24</v>
      </c>
      <c r="J360" s="15" t="n">
        <v>27.9</v>
      </c>
      <c r="K360" s="15"/>
      <c r="L360" s="15"/>
      <c r="M360" s="15" t="n">
        <f aca="false">IF(ISNUMBER(L360),L360,J360)</f>
        <v>27.9</v>
      </c>
      <c r="N360" s="15" t="n">
        <f aca="false">ROUNDUP(M360,0)</f>
        <v>28</v>
      </c>
      <c r="O360" s="15" t="n">
        <f aca="false">MAX(I360,N360)</f>
        <v>28</v>
      </c>
      <c r="P360" s="15" t="n">
        <f aca="false">IF(C360="COVERED",MAX(0,O360-40),0)</f>
        <v>0</v>
      </c>
      <c r="Q360" s="15" t="n">
        <f aca="false">O360</f>
        <v>28</v>
      </c>
      <c r="R360" s="18" t="n">
        <f aca="false">IF(C360="COVERED",10.4,7.55)</f>
        <v>7.55</v>
      </c>
      <c r="S360" s="18" t="n">
        <f aca="false">Q360*R360</f>
        <v>211.4</v>
      </c>
      <c r="T360" s="13"/>
      <c r="U360" s="14"/>
      <c r="V360" s="13"/>
      <c r="W360" s="18"/>
      <c r="X360" s="18"/>
      <c r="Y360" s="18" t="str">
        <f aca="false">IF(ISNUMBER(X360),X360-S360,"")</f>
        <v/>
      </c>
      <c r="Z360" s="18" t="n">
        <f aca="false">IF(ISNUMBER(X360),X360-S360,-S360)</f>
        <v>-211.4</v>
      </c>
      <c r="AA360" s="13" t="str">
        <f aca="false">IF(NOT(ISNUMBER(X360)),"NO AUGUST POSTING IN EXPORT",IF(ABS(Y360)&gt;=0.005,"POSTED CHARGE MISMATCH",IF(P360&gt;0,"MATCH - COVERED ELIGIBILITY EXCEPTION","MATCH")))</f>
        <v>NO AUGUST POSTING IN EXPORT</v>
      </c>
      <c r="AB360" s="13" t="s">
        <v>4082</v>
      </c>
    </row>
    <row r="361" customFormat="false" ht="15" hidden="false" customHeight="false" outlineLevel="0" collapsed="false">
      <c r="A361" s="9" t="s">
        <v>4083</v>
      </c>
      <c r="B361" s="9" t="s">
        <v>155</v>
      </c>
      <c r="C361" s="9" t="s">
        <v>146</v>
      </c>
      <c r="D361" s="9" t="s">
        <v>2002</v>
      </c>
      <c r="E361" s="9" t="s">
        <v>2922</v>
      </c>
      <c r="F361" s="9" t="s">
        <v>4084</v>
      </c>
      <c r="G361" s="9" t="s">
        <v>4085</v>
      </c>
      <c r="H361" s="9" t="s">
        <v>4086</v>
      </c>
      <c r="I361" s="11" t="n">
        <v>60</v>
      </c>
      <c r="J361" s="11" t="n">
        <v>49.7</v>
      </c>
      <c r="K361" s="11"/>
      <c r="L361" s="11"/>
      <c r="M361" s="11" t="n">
        <f aca="false">IF(ISNUMBER(L361),L361,J361)</f>
        <v>49.7</v>
      </c>
      <c r="N361" s="11" t="n">
        <f aca="false">ROUNDUP(M361,0)</f>
        <v>50</v>
      </c>
      <c r="O361" s="11" t="n">
        <f aca="false">MAX(I361,N361)</f>
        <v>60</v>
      </c>
      <c r="P361" s="11" t="n">
        <f aca="false">IF(C361="COVERED",MAX(0,O361-40),0)</f>
        <v>0</v>
      </c>
      <c r="Q361" s="11" t="n">
        <f aca="false">O361</f>
        <v>60</v>
      </c>
      <c r="R361" s="17" t="n">
        <f aca="false">IF(C361="COVERED",10.4,7.55)</f>
        <v>7.55</v>
      </c>
      <c r="S361" s="17" t="n">
        <f aca="false">Q361*R361</f>
        <v>453</v>
      </c>
      <c r="T361" s="9"/>
      <c r="U361" s="10"/>
      <c r="V361" s="9"/>
      <c r="W361" s="17"/>
      <c r="X361" s="17"/>
      <c r="Y361" s="17" t="str">
        <f aca="false">IF(ISNUMBER(X361),X361-S361,"")</f>
        <v/>
      </c>
      <c r="Z361" s="17" t="n">
        <f aca="false">IF(ISNUMBER(X361),X361-S361,-S361)</f>
        <v>-453</v>
      </c>
      <c r="AA361" s="9" t="str">
        <f aca="false">IF(NOT(ISNUMBER(X361)),"NO AUGUST POSTING IN EXPORT",IF(ABS(Y361)&gt;=0.005,"POSTED CHARGE MISMATCH",IF(P361&gt;0,"MATCH - COVERED ELIGIBILITY EXCEPTION","MATCH")))</f>
        <v>NO AUGUST POSTING IN EXPORT</v>
      </c>
      <c r="AB361" s="9" t="s">
        <v>4087</v>
      </c>
    </row>
    <row r="362" customFormat="false" ht="15" hidden="false" customHeight="false" outlineLevel="0" collapsed="false">
      <c r="A362" s="13" t="s">
        <v>459</v>
      </c>
      <c r="B362" s="13" t="s">
        <v>155</v>
      </c>
      <c r="C362" s="13" t="s">
        <v>146</v>
      </c>
      <c r="D362" s="13" t="s">
        <v>2002</v>
      </c>
      <c r="E362" s="13" t="s">
        <v>2936</v>
      </c>
      <c r="F362" s="13" t="s">
        <v>4088</v>
      </c>
      <c r="G362" s="13" t="s">
        <v>4089</v>
      </c>
      <c r="H362" s="13" t="s">
        <v>4059</v>
      </c>
      <c r="I362" s="15" t="n">
        <v>50</v>
      </c>
      <c r="J362" s="15" t="n">
        <v>42</v>
      </c>
      <c r="K362" s="15"/>
      <c r="L362" s="15"/>
      <c r="M362" s="15" t="n">
        <f aca="false">IF(ISNUMBER(L362),L362,J362)</f>
        <v>42</v>
      </c>
      <c r="N362" s="15" t="n">
        <f aca="false">ROUNDUP(M362,0)</f>
        <v>42</v>
      </c>
      <c r="O362" s="15" t="n">
        <f aca="false">MAX(I362,N362)</f>
        <v>50</v>
      </c>
      <c r="P362" s="15" t="n">
        <f aca="false">IF(C362="COVERED",MAX(0,O362-40),0)</f>
        <v>0</v>
      </c>
      <c r="Q362" s="15" t="n">
        <f aca="false">O362</f>
        <v>50</v>
      </c>
      <c r="R362" s="18" t="n">
        <f aca="false">IF(C362="COVERED",10.4,7.55)</f>
        <v>7.55</v>
      </c>
      <c r="S362" s="18" t="n">
        <f aca="false">Q362*R362</f>
        <v>377.5</v>
      </c>
      <c r="T362" s="13"/>
      <c r="U362" s="14"/>
      <c r="V362" s="13"/>
      <c r="W362" s="18"/>
      <c r="X362" s="18"/>
      <c r="Y362" s="18" t="str">
        <f aca="false">IF(ISNUMBER(X362),X362-S362,"")</f>
        <v/>
      </c>
      <c r="Z362" s="18" t="n">
        <f aca="false">IF(ISNUMBER(X362),X362-S362,-S362)</f>
        <v>-377.5</v>
      </c>
      <c r="AA362" s="13" t="str">
        <f aca="false">IF(NOT(ISNUMBER(X362)),"NO AUGUST POSTING IN EXPORT",IF(ABS(Y362)&gt;=0.005,"POSTED CHARGE MISMATCH",IF(P362&gt;0,"MATCH - COVERED ELIGIBILITY EXCEPTION","MATCH")))</f>
        <v>NO AUGUST POSTING IN EXPORT</v>
      </c>
      <c r="AB362" s="13" t="s">
        <v>4090</v>
      </c>
    </row>
    <row r="363" customFormat="false" ht="15" hidden="false" customHeight="false" outlineLevel="0" collapsed="false">
      <c r="A363" s="9" t="s">
        <v>4091</v>
      </c>
      <c r="B363" s="9" t="s">
        <v>155</v>
      </c>
      <c r="C363" s="9" t="s">
        <v>146</v>
      </c>
      <c r="D363" s="9" t="s">
        <v>2002</v>
      </c>
      <c r="E363" s="9" t="s">
        <v>2943</v>
      </c>
      <c r="F363" s="9" t="s">
        <v>4092</v>
      </c>
      <c r="G363" s="9" t="s">
        <v>4093</v>
      </c>
      <c r="H363" s="9" t="s">
        <v>2520</v>
      </c>
      <c r="I363" s="11" t="n">
        <v>50</v>
      </c>
      <c r="J363" s="11" t="n">
        <v>37.4</v>
      </c>
      <c r="K363" s="11"/>
      <c r="L363" s="11"/>
      <c r="M363" s="11" t="n">
        <f aca="false">IF(ISNUMBER(L363),L363,J363)</f>
        <v>37.4</v>
      </c>
      <c r="N363" s="11" t="n">
        <f aca="false">ROUNDUP(M363,0)</f>
        <v>38</v>
      </c>
      <c r="O363" s="11" t="n">
        <f aca="false">MAX(I363,N363)</f>
        <v>50</v>
      </c>
      <c r="P363" s="11" t="n">
        <f aca="false">IF(C363="COVERED",MAX(0,O363-40),0)</f>
        <v>0</v>
      </c>
      <c r="Q363" s="11" t="n">
        <f aca="false">O363</f>
        <v>50</v>
      </c>
      <c r="R363" s="17" t="n">
        <f aca="false">IF(C363="COVERED",10.4,7.55)</f>
        <v>7.55</v>
      </c>
      <c r="S363" s="17" t="n">
        <f aca="false">Q363*R363</f>
        <v>377.5</v>
      </c>
      <c r="T363" s="9"/>
      <c r="U363" s="10"/>
      <c r="V363" s="9"/>
      <c r="W363" s="17"/>
      <c r="X363" s="17"/>
      <c r="Y363" s="17" t="str">
        <f aca="false">IF(ISNUMBER(X363),X363-S363,"")</f>
        <v/>
      </c>
      <c r="Z363" s="17" t="n">
        <f aca="false">IF(ISNUMBER(X363),X363-S363,-S363)</f>
        <v>-377.5</v>
      </c>
      <c r="AA363" s="9" t="str">
        <f aca="false">IF(NOT(ISNUMBER(X363)),"NO AUGUST POSTING IN EXPORT",IF(ABS(Y363)&gt;=0.005,"POSTED CHARGE MISMATCH",IF(P363&gt;0,"MATCH - COVERED ELIGIBILITY EXCEPTION","MATCH")))</f>
        <v>NO AUGUST POSTING IN EXPORT</v>
      </c>
      <c r="AB363" s="9" t="s">
        <v>4094</v>
      </c>
    </row>
    <row r="364" customFormat="false" ht="15" hidden="false" customHeight="false" outlineLevel="0" collapsed="false">
      <c r="A364" s="13" t="s">
        <v>4095</v>
      </c>
      <c r="B364" s="13" t="s">
        <v>155</v>
      </c>
      <c r="C364" s="13" t="s">
        <v>146</v>
      </c>
      <c r="D364" s="13" t="s">
        <v>2002</v>
      </c>
      <c r="E364" s="13" t="s">
        <v>2950</v>
      </c>
      <c r="F364" s="13" t="s">
        <v>4096</v>
      </c>
      <c r="G364" s="13" t="s">
        <v>4097</v>
      </c>
      <c r="H364" s="13" t="s">
        <v>4098</v>
      </c>
      <c r="I364" s="15" t="n">
        <v>50</v>
      </c>
      <c r="J364" s="15" t="n">
        <v>59.7</v>
      </c>
      <c r="K364" s="15"/>
      <c r="L364" s="15"/>
      <c r="M364" s="15" t="n">
        <f aca="false">IF(ISNUMBER(L364),L364,J364)</f>
        <v>59.7</v>
      </c>
      <c r="N364" s="15" t="n">
        <f aca="false">ROUNDUP(M364,0)</f>
        <v>60</v>
      </c>
      <c r="O364" s="15" t="n">
        <f aca="false">MAX(I364,N364)</f>
        <v>60</v>
      </c>
      <c r="P364" s="15" t="n">
        <f aca="false">IF(C364="COVERED",MAX(0,O364-40),0)</f>
        <v>0</v>
      </c>
      <c r="Q364" s="15" t="n">
        <f aca="false">O364</f>
        <v>60</v>
      </c>
      <c r="R364" s="18" t="n">
        <f aca="false">IF(C364="COVERED",10.4,7.55)</f>
        <v>7.55</v>
      </c>
      <c r="S364" s="18" t="n">
        <f aca="false">Q364*R364</f>
        <v>453</v>
      </c>
      <c r="T364" s="13"/>
      <c r="U364" s="14"/>
      <c r="V364" s="13"/>
      <c r="W364" s="18"/>
      <c r="X364" s="18"/>
      <c r="Y364" s="18" t="str">
        <f aca="false">IF(ISNUMBER(X364),X364-S364,"")</f>
        <v/>
      </c>
      <c r="Z364" s="18" t="n">
        <f aca="false">IF(ISNUMBER(X364),X364-S364,-S364)</f>
        <v>-453</v>
      </c>
      <c r="AA364" s="13" t="str">
        <f aca="false">IF(NOT(ISNUMBER(X364)),"NO AUGUST POSTING IN EXPORT",IF(ABS(Y364)&gt;=0.005,"POSTED CHARGE MISMATCH",IF(P364&gt;0,"MATCH - COVERED ELIGIBILITY EXCEPTION","MATCH")))</f>
        <v>NO AUGUST POSTING IN EXPORT</v>
      </c>
      <c r="AB364" s="13" t="s">
        <v>4099</v>
      </c>
    </row>
    <row r="365" customFormat="false" ht="15" hidden="false" customHeight="false" outlineLevel="0" collapsed="false">
      <c r="A365" s="9" t="s">
        <v>4100</v>
      </c>
      <c r="B365" s="9" t="s">
        <v>155</v>
      </c>
      <c r="C365" s="9" t="s">
        <v>146</v>
      </c>
      <c r="D365" s="9" t="s">
        <v>2002</v>
      </c>
      <c r="E365" s="9" t="s">
        <v>2957</v>
      </c>
      <c r="F365" s="9" t="s">
        <v>4101</v>
      </c>
      <c r="G365" s="9" t="s">
        <v>4102</v>
      </c>
      <c r="H365" s="9" t="s">
        <v>4103</v>
      </c>
      <c r="I365" s="11" t="n">
        <v>32</v>
      </c>
      <c r="J365" s="11" t="n">
        <v>39.4</v>
      </c>
      <c r="K365" s="11"/>
      <c r="L365" s="11"/>
      <c r="M365" s="11" t="n">
        <f aca="false">IF(ISNUMBER(L365),L365,J365)</f>
        <v>39.4</v>
      </c>
      <c r="N365" s="11" t="n">
        <f aca="false">ROUNDUP(M365,0)</f>
        <v>40</v>
      </c>
      <c r="O365" s="11" t="n">
        <f aca="false">MAX(I365,N365)</f>
        <v>40</v>
      </c>
      <c r="P365" s="11" t="n">
        <f aca="false">IF(C365="COVERED",MAX(0,O365-40),0)</f>
        <v>0</v>
      </c>
      <c r="Q365" s="11" t="n">
        <f aca="false">O365</f>
        <v>40</v>
      </c>
      <c r="R365" s="17" t="n">
        <f aca="false">IF(C365="COVERED",10.4,7.55)</f>
        <v>7.55</v>
      </c>
      <c r="S365" s="17" t="n">
        <f aca="false">Q365*R365</f>
        <v>302</v>
      </c>
      <c r="T365" s="9"/>
      <c r="U365" s="10"/>
      <c r="V365" s="9"/>
      <c r="W365" s="17"/>
      <c r="X365" s="17"/>
      <c r="Y365" s="17" t="str">
        <f aca="false">IF(ISNUMBER(X365),X365-S365,"")</f>
        <v/>
      </c>
      <c r="Z365" s="17" t="n">
        <f aca="false">IF(ISNUMBER(X365),X365-S365,-S365)</f>
        <v>-302</v>
      </c>
      <c r="AA365" s="9" t="str">
        <f aca="false">IF(NOT(ISNUMBER(X365)),"NO AUGUST POSTING IN EXPORT",IF(ABS(Y365)&gt;=0.005,"POSTED CHARGE MISMATCH",IF(P365&gt;0,"MATCH - COVERED ELIGIBILITY EXCEPTION","MATCH")))</f>
        <v>NO AUGUST POSTING IN EXPORT</v>
      </c>
      <c r="AB365" s="9" t="s">
        <v>4104</v>
      </c>
    </row>
    <row r="366" customFormat="false" ht="15" hidden="false" customHeight="false" outlineLevel="0" collapsed="false">
      <c r="A366" s="13" t="s">
        <v>4105</v>
      </c>
      <c r="B366" s="13" t="s">
        <v>155</v>
      </c>
      <c r="C366" s="13" t="s">
        <v>146</v>
      </c>
      <c r="D366" s="13" t="s">
        <v>2002</v>
      </c>
      <c r="E366" s="13" t="s">
        <v>2964</v>
      </c>
      <c r="F366" s="13" t="s">
        <v>4106</v>
      </c>
      <c r="G366" s="13" t="s">
        <v>4107</v>
      </c>
      <c r="H366" s="13" t="s">
        <v>2131</v>
      </c>
      <c r="I366" s="15" t="n">
        <v>45</v>
      </c>
      <c r="J366" s="15" t="n">
        <v>37</v>
      </c>
      <c r="K366" s="15"/>
      <c r="L366" s="15"/>
      <c r="M366" s="15" t="n">
        <f aca="false">IF(ISNUMBER(L366),L366,J366)</f>
        <v>37</v>
      </c>
      <c r="N366" s="15" t="n">
        <f aca="false">ROUNDUP(M366,0)</f>
        <v>37</v>
      </c>
      <c r="O366" s="15" t="n">
        <f aca="false">MAX(I366,N366)</f>
        <v>45</v>
      </c>
      <c r="P366" s="15" t="n">
        <f aca="false">IF(C366="COVERED",MAX(0,O366-40),0)</f>
        <v>0</v>
      </c>
      <c r="Q366" s="15" t="n">
        <f aca="false">O366</f>
        <v>45</v>
      </c>
      <c r="R366" s="18" t="n">
        <f aca="false">IF(C366="COVERED",10.4,7.55)</f>
        <v>7.55</v>
      </c>
      <c r="S366" s="18" t="n">
        <f aca="false">Q366*R366</f>
        <v>339.75</v>
      </c>
      <c r="T366" s="13"/>
      <c r="U366" s="14"/>
      <c r="V366" s="13"/>
      <c r="W366" s="18"/>
      <c r="X366" s="18"/>
      <c r="Y366" s="18" t="str">
        <f aca="false">IF(ISNUMBER(X366),X366-S366,"")</f>
        <v/>
      </c>
      <c r="Z366" s="18" t="n">
        <f aca="false">IF(ISNUMBER(X366),X366-S366,-S366)</f>
        <v>-339.75</v>
      </c>
      <c r="AA366" s="13" t="str">
        <f aca="false">IF(NOT(ISNUMBER(X366)),"NO AUGUST POSTING IN EXPORT",IF(ABS(Y366)&gt;=0.005,"POSTED CHARGE MISMATCH",IF(P366&gt;0,"MATCH - COVERED ELIGIBILITY EXCEPTION","MATCH")))</f>
        <v>NO AUGUST POSTING IN EXPORT</v>
      </c>
      <c r="AB366" s="13" t="s">
        <v>4108</v>
      </c>
    </row>
    <row r="367" customFormat="false" ht="15" hidden="false" customHeight="false" outlineLevel="0" collapsed="false">
      <c r="A367" s="9" t="s">
        <v>4109</v>
      </c>
      <c r="B367" s="9" t="s">
        <v>155</v>
      </c>
      <c r="C367" s="9" t="s">
        <v>146</v>
      </c>
      <c r="D367" s="9" t="s">
        <v>2002</v>
      </c>
      <c r="E367" s="9" t="s">
        <v>2984</v>
      </c>
      <c r="F367" s="9" t="s">
        <v>4110</v>
      </c>
      <c r="G367" s="9" t="s">
        <v>4111</v>
      </c>
      <c r="H367" s="9" t="s">
        <v>4112</v>
      </c>
      <c r="I367" s="11" t="n">
        <v>45</v>
      </c>
      <c r="J367" s="11" t="n">
        <v>46.2</v>
      </c>
      <c r="K367" s="11"/>
      <c r="L367" s="11"/>
      <c r="M367" s="11" t="n">
        <f aca="false">IF(ISNUMBER(L367),L367,J367)</f>
        <v>46.2</v>
      </c>
      <c r="N367" s="11" t="n">
        <f aca="false">ROUNDUP(M367,0)</f>
        <v>47</v>
      </c>
      <c r="O367" s="11" t="n">
        <f aca="false">MAX(I367,N367)</f>
        <v>47</v>
      </c>
      <c r="P367" s="11" t="n">
        <f aca="false">IF(C367="COVERED",MAX(0,O367-40),0)</f>
        <v>0</v>
      </c>
      <c r="Q367" s="11" t="n">
        <f aca="false">O367</f>
        <v>47</v>
      </c>
      <c r="R367" s="17" t="n">
        <f aca="false">IF(C367="COVERED",10.4,7.55)</f>
        <v>7.55</v>
      </c>
      <c r="S367" s="17" t="n">
        <f aca="false">Q367*R367</f>
        <v>354.85</v>
      </c>
      <c r="T367" s="9"/>
      <c r="U367" s="10"/>
      <c r="V367" s="9"/>
      <c r="W367" s="17"/>
      <c r="X367" s="17"/>
      <c r="Y367" s="17" t="str">
        <f aca="false">IF(ISNUMBER(X367),X367-S367,"")</f>
        <v/>
      </c>
      <c r="Z367" s="17" t="n">
        <f aca="false">IF(ISNUMBER(X367),X367-S367,-S367)</f>
        <v>-354.85</v>
      </c>
      <c r="AA367" s="9" t="str">
        <f aca="false">IF(NOT(ISNUMBER(X367)),"NO AUGUST POSTING IN EXPORT",IF(ABS(Y367)&gt;=0.005,"POSTED CHARGE MISMATCH",IF(P367&gt;0,"MATCH - COVERED ELIGIBILITY EXCEPTION","MATCH")))</f>
        <v>NO AUGUST POSTING IN EXPORT</v>
      </c>
      <c r="AB367" s="9" t="s">
        <v>4113</v>
      </c>
    </row>
    <row r="368" customFormat="false" ht="15" hidden="false" customHeight="false" outlineLevel="0" collapsed="false">
      <c r="A368" s="13" t="s">
        <v>4114</v>
      </c>
      <c r="B368" s="13" t="s">
        <v>155</v>
      </c>
      <c r="C368" s="13" t="s">
        <v>146</v>
      </c>
      <c r="D368" s="13" t="s">
        <v>2002</v>
      </c>
      <c r="E368" s="13" t="s">
        <v>2990</v>
      </c>
      <c r="F368" s="13" t="s">
        <v>4115</v>
      </c>
      <c r="G368" s="13" t="s">
        <v>4116</v>
      </c>
      <c r="H368" s="13" t="s">
        <v>4117</v>
      </c>
      <c r="I368" s="15" t="n">
        <v>45</v>
      </c>
      <c r="J368" s="15" t="n">
        <v>59.8</v>
      </c>
      <c r="K368" s="15"/>
      <c r="L368" s="15"/>
      <c r="M368" s="15" t="n">
        <f aca="false">IF(ISNUMBER(L368),L368,J368)</f>
        <v>59.8</v>
      </c>
      <c r="N368" s="15" t="n">
        <f aca="false">ROUNDUP(M368,0)</f>
        <v>60</v>
      </c>
      <c r="O368" s="15" t="n">
        <f aca="false">MAX(I368,N368)</f>
        <v>60</v>
      </c>
      <c r="P368" s="15" t="n">
        <f aca="false">IF(C368="COVERED",MAX(0,O368-40),0)</f>
        <v>0</v>
      </c>
      <c r="Q368" s="15" t="n">
        <f aca="false">O368</f>
        <v>60</v>
      </c>
      <c r="R368" s="18" t="n">
        <f aca="false">IF(C368="COVERED",10.4,7.55)</f>
        <v>7.55</v>
      </c>
      <c r="S368" s="18" t="n">
        <f aca="false">Q368*R368</f>
        <v>453</v>
      </c>
      <c r="T368" s="13"/>
      <c r="U368" s="14"/>
      <c r="V368" s="13"/>
      <c r="W368" s="18"/>
      <c r="X368" s="18"/>
      <c r="Y368" s="18" t="str">
        <f aca="false">IF(ISNUMBER(X368),X368-S368,"")</f>
        <v/>
      </c>
      <c r="Z368" s="18" t="n">
        <f aca="false">IF(ISNUMBER(X368),X368-S368,-S368)</f>
        <v>-453</v>
      </c>
      <c r="AA368" s="13" t="str">
        <f aca="false">IF(NOT(ISNUMBER(X368)),"NO AUGUST POSTING IN EXPORT",IF(ABS(Y368)&gt;=0.005,"POSTED CHARGE MISMATCH",IF(P368&gt;0,"MATCH - COVERED ELIGIBILITY EXCEPTION","MATCH")))</f>
        <v>NO AUGUST POSTING IN EXPORT</v>
      </c>
      <c r="AB368" s="13" t="s">
        <v>4118</v>
      </c>
    </row>
    <row r="369" customFormat="false" ht="15" hidden="false" customHeight="false" outlineLevel="0" collapsed="false">
      <c r="A369" s="9" t="s">
        <v>4119</v>
      </c>
      <c r="B369" s="9" t="s">
        <v>155</v>
      </c>
      <c r="C369" s="9" t="s">
        <v>146</v>
      </c>
      <c r="D369" s="9" t="s">
        <v>2002</v>
      </c>
      <c r="E369" s="9" t="s">
        <v>2993</v>
      </c>
      <c r="F369" s="9" t="s">
        <v>4120</v>
      </c>
      <c r="G369" s="9" t="s">
        <v>4121</v>
      </c>
      <c r="H369" s="9" t="s">
        <v>4122</v>
      </c>
      <c r="I369" s="11" t="n">
        <v>40</v>
      </c>
      <c r="J369" s="11" t="n">
        <v>31.6</v>
      </c>
      <c r="K369" s="11"/>
      <c r="L369" s="11"/>
      <c r="M369" s="11" t="n">
        <f aca="false">IF(ISNUMBER(L369),L369,J369)</f>
        <v>31.6</v>
      </c>
      <c r="N369" s="11" t="n">
        <f aca="false">ROUNDUP(M369,0)</f>
        <v>32</v>
      </c>
      <c r="O369" s="11" t="n">
        <f aca="false">MAX(I369,N369)</f>
        <v>40</v>
      </c>
      <c r="P369" s="11" t="n">
        <f aca="false">IF(C369="COVERED",MAX(0,O369-40),0)</f>
        <v>0</v>
      </c>
      <c r="Q369" s="11" t="n">
        <f aca="false">O369</f>
        <v>40</v>
      </c>
      <c r="R369" s="17" t="n">
        <f aca="false">IF(C369="COVERED",10.4,7.55)</f>
        <v>7.55</v>
      </c>
      <c r="S369" s="17" t="n">
        <f aca="false">Q369*R369</f>
        <v>302</v>
      </c>
      <c r="T369" s="9"/>
      <c r="U369" s="10"/>
      <c r="V369" s="9"/>
      <c r="W369" s="17"/>
      <c r="X369" s="17"/>
      <c r="Y369" s="17" t="str">
        <f aca="false">IF(ISNUMBER(X369),X369-S369,"")</f>
        <v/>
      </c>
      <c r="Z369" s="17" t="n">
        <f aca="false">IF(ISNUMBER(X369),X369-S369,-S369)</f>
        <v>-302</v>
      </c>
      <c r="AA369" s="9" t="str">
        <f aca="false">IF(NOT(ISNUMBER(X369)),"NO AUGUST POSTING IN EXPORT",IF(ABS(Y369)&gt;=0.005,"POSTED CHARGE MISMATCH",IF(P369&gt;0,"MATCH - COVERED ELIGIBILITY EXCEPTION","MATCH")))</f>
        <v>NO AUGUST POSTING IN EXPORT</v>
      </c>
      <c r="AB369" s="9" t="s">
        <v>4123</v>
      </c>
    </row>
    <row r="370" customFormat="false" ht="15" hidden="false" customHeight="false" outlineLevel="0" collapsed="false">
      <c r="A370" s="13" t="s">
        <v>774</v>
      </c>
      <c r="B370" s="13" t="s">
        <v>155</v>
      </c>
      <c r="C370" s="13" t="s">
        <v>146</v>
      </c>
      <c r="D370" s="13" t="s">
        <v>2002</v>
      </c>
      <c r="E370" s="13" t="s">
        <v>2999</v>
      </c>
      <c r="F370" s="13" t="s">
        <v>4124</v>
      </c>
      <c r="G370" s="13" t="s">
        <v>4125</v>
      </c>
      <c r="H370" s="13" t="s">
        <v>4126</v>
      </c>
      <c r="I370" s="15" t="n">
        <v>28</v>
      </c>
      <c r="J370" s="15" t="n">
        <v>38.3</v>
      </c>
      <c r="K370" s="15"/>
      <c r="L370" s="15"/>
      <c r="M370" s="15" t="n">
        <f aca="false">IF(ISNUMBER(L370),L370,J370)</f>
        <v>38.3</v>
      </c>
      <c r="N370" s="15" t="n">
        <f aca="false">ROUNDUP(M370,0)</f>
        <v>39</v>
      </c>
      <c r="O370" s="15" t="n">
        <f aca="false">MAX(I370,N370)</f>
        <v>39</v>
      </c>
      <c r="P370" s="15" t="n">
        <f aca="false">IF(C370="COVERED",MAX(0,O370-40),0)</f>
        <v>0</v>
      </c>
      <c r="Q370" s="15" t="n">
        <f aca="false">O370</f>
        <v>39</v>
      </c>
      <c r="R370" s="18" t="n">
        <f aca="false">IF(C370="COVERED",10.4,7.55)</f>
        <v>7.55</v>
      </c>
      <c r="S370" s="18" t="n">
        <f aca="false">Q370*R370</f>
        <v>294.45</v>
      </c>
      <c r="T370" s="13"/>
      <c r="U370" s="14"/>
      <c r="V370" s="13"/>
      <c r="W370" s="18"/>
      <c r="X370" s="18"/>
      <c r="Y370" s="18" t="str">
        <f aca="false">IF(ISNUMBER(X370),X370-S370,"")</f>
        <v/>
      </c>
      <c r="Z370" s="18" t="n">
        <f aca="false">IF(ISNUMBER(X370),X370-S370,-S370)</f>
        <v>-294.45</v>
      </c>
      <c r="AA370" s="13" t="str">
        <f aca="false">IF(NOT(ISNUMBER(X370)),"NO AUGUST POSTING IN EXPORT",IF(ABS(Y370)&gt;=0.005,"POSTED CHARGE MISMATCH",IF(P370&gt;0,"MATCH - COVERED ELIGIBILITY EXCEPTION","MATCH")))</f>
        <v>NO AUGUST POSTING IN EXPORT</v>
      </c>
      <c r="AB370" s="13" t="s">
        <v>4127</v>
      </c>
    </row>
    <row r="371" customFormat="false" ht="15" hidden="false" customHeight="false" outlineLevel="0" collapsed="false">
      <c r="A371" s="9" t="s">
        <v>4128</v>
      </c>
      <c r="B371" s="9" t="s">
        <v>155</v>
      </c>
      <c r="C371" s="9" t="s">
        <v>146</v>
      </c>
      <c r="D371" s="9" t="s">
        <v>2002</v>
      </c>
      <c r="E371" s="9" t="s">
        <v>3006</v>
      </c>
      <c r="F371" s="9" t="s">
        <v>4129</v>
      </c>
      <c r="G371" s="9" t="s">
        <v>4130</v>
      </c>
      <c r="H371" s="9" t="s">
        <v>3575</v>
      </c>
      <c r="I371" s="11" t="n">
        <v>36</v>
      </c>
      <c r="J371" s="11" t="n">
        <v>55.4</v>
      </c>
      <c r="K371" s="11"/>
      <c r="L371" s="11"/>
      <c r="M371" s="11" t="n">
        <f aca="false">IF(ISNUMBER(L371),L371,J371)</f>
        <v>55.4</v>
      </c>
      <c r="N371" s="11" t="n">
        <f aca="false">ROUNDUP(M371,0)</f>
        <v>56</v>
      </c>
      <c r="O371" s="11" t="n">
        <f aca="false">MAX(I371,N371)</f>
        <v>56</v>
      </c>
      <c r="P371" s="11" t="n">
        <f aca="false">IF(C371="COVERED",MAX(0,O371-40),0)</f>
        <v>0</v>
      </c>
      <c r="Q371" s="11" t="n">
        <f aca="false">O371</f>
        <v>56</v>
      </c>
      <c r="R371" s="17" t="n">
        <f aca="false">IF(C371="COVERED",10.4,7.55)</f>
        <v>7.55</v>
      </c>
      <c r="S371" s="17" t="n">
        <f aca="false">Q371*R371</f>
        <v>422.8</v>
      </c>
      <c r="T371" s="9"/>
      <c r="U371" s="10"/>
      <c r="V371" s="9"/>
      <c r="W371" s="17"/>
      <c r="X371" s="17"/>
      <c r="Y371" s="17" t="str">
        <f aca="false">IF(ISNUMBER(X371),X371-S371,"")</f>
        <v/>
      </c>
      <c r="Z371" s="17" t="n">
        <f aca="false">IF(ISNUMBER(X371),X371-S371,-S371)</f>
        <v>-422.8</v>
      </c>
      <c r="AA371" s="9" t="str">
        <f aca="false">IF(NOT(ISNUMBER(X371)),"NO AUGUST POSTING IN EXPORT",IF(ABS(Y371)&gt;=0.005,"POSTED CHARGE MISMATCH",IF(P371&gt;0,"MATCH - COVERED ELIGIBILITY EXCEPTION","MATCH")))</f>
        <v>NO AUGUST POSTING IN EXPORT</v>
      </c>
      <c r="AB371" s="9" t="s">
        <v>4131</v>
      </c>
    </row>
    <row r="372" customFormat="false" ht="15" hidden="false" customHeight="false" outlineLevel="0" collapsed="false">
      <c r="A372" s="13" t="s">
        <v>4132</v>
      </c>
      <c r="B372" s="13" t="s">
        <v>155</v>
      </c>
      <c r="C372" s="13" t="s">
        <v>146</v>
      </c>
      <c r="D372" s="13" t="s">
        <v>2002</v>
      </c>
      <c r="E372" s="13" t="s">
        <v>3011</v>
      </c>
      <c r="F372" s="13" t="s">
        <v>4133</v>
      </c>
      <c r="G372" s="13" t="s">
        <v>4134</v>
      </c>
      <c r="H372" s="13" t="s">
        <v>4135</v>
      </c>
      <c r="I372" s="15" t="n">
        <v>45</v>
      </c>
      <c r="J372" s="15" t="n">
        <v>57.4</v>
      </c>
      <c r="K372" s="15"/>
      <c r="L372" s="15"/>
      <c r="M372" s="15" t="n">
        <f aca="false">IF(ISNUMBER(L372),L372,J372)</f>
        <v>57.4</v>
      </c>
      <c r="N372" s="15" t="n">
        <f aca="false">ROUNDUP(M372,0)</f>
        <v>58</v>
      </c>
      <c r="O372" s="15" t="n">
        <f aca="false">MAX(I372,N372)</f>
        <v>58</v>
      </c>
      <c r="P372" s="15" t="n">
        <f aca="false">IF(C372="COVERED",MAX(0,O372-40),0)</f>
        <v>0</v>
      </c>
      <c r="Q372" s="15" t="n">
        <f aca="false">O372</f>
        <v>58</v>
      </c>
      <c r="R372" s="18" t="n">
        <f aca="false">IF(C372="COVERED",10.4,7.55)</f>
        <v>7.55</v>
      </c>
      <c r="S372" s="18" t="n">
        <f aca="false">Q372*R372</f>
        <v>437.9</v>
      </c>
      <c r="T372" s="13"/>
      <c r="U372" s="14"/>
      <c r="V372" s="13"/>
      <c r="W372" s="18"/>
      <c r="X372" s="18"/>
      <c r="Y372" s="18" t="str">
        <f aca="false">IF(ISNUMBER(X372),X372-S372,"")</f>
        <v/>
      </c>
      <c r="Z372" s="18" t="n">
        <f aca="false">IF(ISNUMBER(X372),X372-S372,-S372)</f>
        <v>-437.9</v>
      </c>
      <c r="AA372" s="13" t="str">
        <f aca="false">IF(NOT(ISNUMBER(X372)),"NO AUGUST POSTING IN EXPORT",IF(ABS(Y372)&gt;=0.005,"POSTED CHARGE MISMATCH",IF(P372&gt;0,"MATCH - COVERED ELIGIBILITY EXCEPTION","MATCH")))</f>
        <v>NO AUGUST POSTING IN EXPORT</v>
      </c>
      <c r="AB372" s="13" t="s">
        <v>4136</v>
      </c>
    </row>
    <row r="373" customFormat="false" ht="15" hidden="false" customHeight="false" outlineLevel="0" collapsed="false">
      <c r="A373" s="9" t="s">
        <v>4137</v>
      </c>
      <c r="B373" s="9" t="s">
        <v>155</v>
      </c>
      <c r="C373" s="9" t="s">
        <v>146</v>
      </c>
      <c r="D373" s="9" t="s">
        <v>2002</v>
      </c>
      <c r="E373" s="9" t="s">
        <v>3018</v>
      </c>
      <c r="F373" s="9" t="s">
        <v>4138</v>
      </c>
      <c r="G373" s="9" t="s">
        <v>4139</v>
      </c>
      <c r="H373" s="9" t="s">
        <v>4140</v>
      </c>
      <c r="I373" s="11" t="n">
        <v>28</v>
      </c>
      <c r="J373" s="11" t="n">
        <v>43.1</v>
      </c>
      <c r="K373" s="11"/>
      <c r="L373" s="11"/>
      <c r="M373" s="11" t="n">
        <f aca="false">IF(ISNUMBER(L373),L373,J373)</f>
        <v>43.1</v>
      </c>
      <c r="N373" s="11" t="n">
        <f aca="false">ROUNDUP(M373,0)</f>
        <v>44</v>
      </c>
      <c r="O373" s="11" t="n">
        <f aca="false">MAX(I373,N373)</f>
        <v>44</v>
      </c>
      <c r="P373" s="11" t="n">
        <f aca="false">IF(C373="COVERED",MAX(0,O373-40),0)</f>
        <v>0</v>
      </c>
      <c r="Q373" s="11" t="n">
        <f aca="false">O373</f>
        <v>44</v>
      </c>
      <c r="R373" s="17" t="n">
        <f aca="false">IF(C373="COVERED",10.4,7.55)</f>
        <v>7.55</v>
      </c>
      <c r="S373" s="17" t="n">
        <f aca="false">Q373*R373</f>
        <v>332.2</v>
      </c>
      <c r="T373" s="9"/>
      <c r="U373" s="10"/>
      <c r="V373" s="9"/>
      <c r="W373" s="17"/>
      <c r="X373" s="17"/>
      <c r="Y373" s="17" t="str">
        <f aca="false">IF(ISNUMBER(X373),X373-S373,"")</f>
        <v/>
      </c>
      <c r="Z373" s="17" t="n">
        <f aca="false">IF(ISNUMBER(X373),X373-S373,-S373)</f>
        <v>-332.2</v>
      </c>
      <c r="AA373" s="9" t="str">
        <f aca="false">IF(NOT(ISNUMBER(X373)),"NO AUGUST POSTING IN EXPORT",IF(ABS(Y373)&gt;=0.005,"POSTED CHARGE MISMATCH",IF(P373&gt;0,"MATCH - COVERED ELIGIBILITY EXCEPTION","MATCH")))</f>
        <v>NO AUGUST POSTING IN EXPORT</v>
      </c>
      <c r="AB373" s="9" t="s">
        <v>4141</v>
      </c>
    </row>
    <row r="374" customFormat="false" ht="15" hidden="false" customHeight="false" outlineLevel="0" collapsed="false">
      <c r="A374" s="13" t="s">
        <v>4142</v>
      </c>
      <c r="B374" s="13" t="s">
        <v>155</v>
      </c>
      <c r="C374" s="13" t="s">
        <v>146</v>
      </c>
      <c r="D374" s="13" t="s">
        <v>2002</v>
      </c>
      <c r="E374" s="13" t="s">
        <v>3024</v>
      </c>
      <c r="F374" s="13" t="s">
        <v>4143</v>
      </c>
      <c r="G374" s="13" t="s">
        <v>4144</v>
      </c>
      <c r="H374" s="13" t="s">
        <v>2860</v>
      </c>
      <c r="I374" s="15" t="n">
        <v>70</v>
      </c>
      <c r="J374" s="15" t="n">
        <v>29.2</v>
      </c>
      <c r="K374" s="15"/>
      <c r="L374" s="15"/>
      <c r="M374" s="15" t="n">
        <f aca="false">IF(ISNUMBER(L374),L374,J374)</f>
        <v>29.2</v>
      </c>
      <c r="N374" s="15" t="n">
        <f aca="false">ROUNDUP(M374,0)</f>
        <v>30</v>
      </c>
      <c r="O374" s="15" t="n">
        <f aca="false">MAX(I374,N374)</f>
        <v>70</v>
      </c>
      <c r="P374" s="15" t="n">
        <f aca="false">IF(C374="COVERED",MAX(0,O374-40),0)</f>
        <v>0</v>
      </c>
      <c r="Q374" s="15" t="n">
        <f aca="false">O374</f>
        <v>70</v>
      </c>
      <c r="R374" s="18" t="n">
        <f aca="false">IF(C374="COVERED",10.4,7.55)</f>
        <v>7.55</v>
      </c>
      <c r="S374" s="18" t="n">
        <f aca="false">Q374*R374</f>
        <v>528.5</v>
      </c>
      <c r="T374" s="13"/>
      <c r="U374" s="14"/>
      <c r="V374" s="13"/>
      <c r="W374" s="18"/>
      <c r="X374" s="18"/>
      <c r="Y374" s="18" t="str">
        <f aca="false">IF(ISNUMBER(X374),X374-S374,"")</f>
        <v/>
      </c>
      <c r="Z374" s="18" t="n">
        <f aca="false">IF(ISNUMBER(X374),X374-S374,-S374)</f>
        <v>-528.5</v>
      </c>
      <c r="AA374" s="13" t="str">
        <f aca="false">IF(NOT(ISNUMBER(X374)),"NO AUGUST POSTING IN EXPORT",IF(ABS(Y374)&gt;=0.005,"POSTED CHARGE MISMATCH",IF(P374&gt;0,"MATCH - COVERED ELIGIBILITY EXCEPTION","MATCH")))</f>
        <v>NO AUGUST POSTING IN EXPORT</v>
      </c>
      <c r="AB374" s="13" t="s">
        <v>4145</v>
      </c>
    </row>
    <row r="375" customFormat="false" ht="15" hidden="false" customHeight="false" outlineLevel="0" collapsed="false">
      <c r="A375" s="9" t="s">
        <v>405</v>
      </c>
      <c r="B375" s="9" t="s">
        <v>155</v>
      </c>
      <c r="C375" s="9" t="s">
        <v>146</v>
      </c>
      <c r="D375" s="9" t="s">
        <v>2002</v>
      </c>
      <c r="E375" s="9" t="s">
        <v>3030</v>
      </c>
      <c r="F375" s="9" t="s">
        <v>920</v>
      </c>
      <c r="G375" s="9" t="s">
        <v>921</v>
      </c>
      <c r="H375" s="9" t="s">
        <v>3693</v>
      </c>
      <c r="I375" s="11" t="n">
        <v>70</v>
      </c>
      <c r="J375" s="11" t="n">
        <v>30.5</v>
      </c>
      <c r="K375" s="11"/>
      <c r="L375" s="11"/>
      <c r="M375" s="11" t="n">
        <f aca="false">IF(ISNUMBER(L375),L375,J375)</f>
        <v>30.5</v>
      </c>
      <c r="N375" s="11" t="n">
        <f aca="false">ROUNDUP(M375,0)</f>
        <v>31</v>
      </c>
      <c r="O375" s="11" t="n">
        <f aca="false">MAX(I375,N375)</f>
        <v>70</v>
      </c>
      <c r="P375" s="11" t="n">
        <f aca="false">IF(C375="COVERED",MAX(0,O375-40),0)</f>
        <v>0</v>
      </c>
      <c r="Q375" s="11" t="n">
        <f aca="false">O375</f>
        <v>70</v>
      </c>
      <c r="R375" s="17" t="n">
        <f aca="false">IF(C375="COVERED",10.4,7.55)</f>
        <v>7.55</v>
      </c>
      <c r="S375" s="17" t="n">
        <f aca="false">Q375*R375</f>
        <v>528.5</v>
      </c>
      <c r="T375" s="9"/>
      <c r="U375" s="10"/>
      <c r="V375" s="9"/>
      <c r="W375" s="17"/>
      <c r="X375" s="17"/>
      <c r="Y375" s="17" t="str">
        <f aca="false">IF(ISNUMBER(X375),X375-S375,"")</f>
        <v/>
      </c>
      <c r="Z375" s="17" t="n">
        <f aca="false">IF(ISNUMBER(X375),X375-S375,-S375)</f>
        <v>-528.5</v>
      </c>
      <c r="AA375" s="9" t="str">
        <f aca="false">IF(NOT(ISNUMBER(X375)),"NO AUGUST POSTING IN EXPORT",IF(ABS(Y375)&gt;=0.005,"POSTED CHARGE MISMATCH",IF(P375&gt;0,"MATCH - COVERED ELIGIBILITY EXCEPTION","MATCH")))</f>
        <v>NO AUGUST POSTING IN EXPORT</v>
      </c>
      <c r="AB375" s="9" t="s">
        <v>4146</v>
      </c>
    </row>
    <row r="376" customFormat="false" ht="15" hidden="false" customHeight="false" outlineLevel="0" collapsed="false">
      <c r="A376" s="13" t="s">
        <v>4147</v>
      </c>
      <c r="B376" s="13" t="s">
        <v>155</v>
      </c>
      <c r="C376" s="13" t="s">
        <v>146</v>
      </c>
      <c r="D376" s="13" t="s">
        <v>2002</v>
      </c>
      <c r="E376" s="13" t="s">
        <v>3036</v>
      </c>
      <c r="F376" s="13" t="s">
        <v>4148</v>
      </c>
      <c r="G376" s="13" t="s">
        <v>4149</v>
      </c>
      <c r="H376" s="13" t="s">
        <v>2277</v>
      </c>
      <c r="I376" s="15" t="n">
        <v>45</v>
      </c>
      <c r="J376" s="15" t="n">
        <v>34.6</v>
      </c>
      <c r="K376" s="15"/>
      <c r="L376" s="15"/>
      <c r="M376" s="15" t="n">
        <f aca="false">IF(ISNUMBER(L376),L376,J376)</f>
        <v>34.6</v>
      </c>
      <c r="N376" s="15" t="n">
        <f aca="false">ROUNDUP(M376,0)</f>
        <v>35</v>
      </c>
      <c r="O376" s="15" t="n">
        <f aca="false">MAX(I376,N376)</f>
        <v>45</v>
      </c>
      <c r="P376" s="15" t="n">
        <f aca="false">IF(C376="COVERED",MAX(0,O376-40),0)</f>
        <v>0</v>
      </c>
      <c r="Q376" s="15" t="n">
        <f aca="false">O376</f>
        <v>45</v>
      </c>
      <c r="R376" s="18" t="n">
        <f aca="false">IF(C376="COVERED",10.4,7.55)</f>
        <v>7.55</v>
      </c>
      <c r="S376" s="18" t="n">
        <f aca="false">Q376*R376</f>
        <v>339.75</v>
      </c>
      <c r="T376" s="13"/>
      <c r="U376" s="14"/>
      <c r="V376" s="13"/>
      <c r="W376" s="18"/>
      <c r="X376" s="18"/>
      <c r="Y376" s="18" t="str">
        <f aca="false">IF(ISNUMBER(X376),X376-S376,"")</f>
        <v/>
      </c>
      <c r="Z376" s="18" t="n">
        <f aca="false">IF(ISNUMBER(X376),X376-S376,-S376)</f>
        <v>-339.75</v>
      </c>
      <c r="AA376" s="13" t="str">
        <f aca="false">IF(NOT(ISNUMBER(X376)),"NO AUGUST POSTING IN EXPORT",IF(ABS(Y376)&gt;=0.005,"POSTED CHARGE MISMATCH",IF(P376&gt;0,"MATCH - COVERED ELIGIBILITY EXCEPTION","MATCH")))</f>
        <v>NO AUGUST POSTING IN EXPORT</v>
      </c>
      <c r="AB376" s="13" t="s">
        <v>4150</v>
      </c>
    </row>
    <row r="377" customFormat="false" ht="15" hidden="false" customHeight="false" outlineLevel="0" collapsed="false">
      <c r="A377" s="9" t="s">
        <v>4151</v>
      </c>
      <c r="B377" s="9" t="s">
        <v>155</v>
      </c>
      <c r="C377" s="9" t="s">
        <v>146</v>
      </c>
      <c r="D377" s="9" t="s">
        <v>2002</v>
      </c>
      <c r="E377" s="9" t="s">
        <v>3040</v>
      </c>
      <c r="F377" s="9" t="s">
        <v>690</v>
      </c>
      <c r="G377" s="9" t="s">
        <v>691</v>
      </c>
      <c r="H377" s="9" t="s">
        <v>4152</v>
      </c>
      <c r="I377" s="11" t="n">
        <v>28</v>
      </c>
      <c r="J377" s="11" t="n">
        <v>48.3</v>
      </c>
      <c r="K377" s="11"/>
      <c r="L377" s="11"/>
      <c r="M377" s="11" t="n">
        <f aca="false">IF(ISNUMBER(L377),L377,J377)</f>
        <v>48.3</v>
      </c>
      <c r="N377" s="11" t="n">
        <f aca="false">ROUNDUP(M377,0)</f>
        <v>49</v>
      </c>
      <c r="O377" s="11" t="n">
        <f aca="false">MAX(I377,N377)</f>
        <v>49</v>
      </c>
      <c r="P377" s="11" t="n">
        <f aca="false">IF(C377="COVERED",MAX(0,O377-40),0)</f>
        <v>0</v>
      </c>
      <c r="Q377" s="11" t="n">
        <f aca="false">O377</f>
        <v>49</v>
      </c>
      <c r="R377" s="17" t="n">
        <f aca="false">IF(C377="COVERED",10.4,7.55)</f>
        <v>7.55</v>
      </c>
      <c r="S377" s="17" t="n">
        <f aca="false">Q377*R377</f>
        <v>369.95</v>
      </c>
      <c r="T377" s="9"/>
      <c r="U377" s="10"/>
      <c r="V377" s="9"/>
      <c r="W377" s="17"/>
      <c r="X377" s="17"/>
      <c r="Y377" s="17" t="str">
        <f aca="false">IF(ISNUMBER(X377),X377-S377,"")</f>
        <v/>
      </c>
      <c r="Z377" s="17" t="n">
        <f aca="false">IF(ISNUMBER(X377),X377-S377,-S377)</f>
        <v>-369.95</v>
      </c>
      <c r="AA377" s="9" t="str">
        <f aca="false">IF(NOT(ISNUMBER(X377)),"NO AUGUST POSTING IN EXPORT",IF(ABS(Y377)&gt;=0.005,"POSTED CHARGE MISMATCH",IF(P377&gt;0,"MATCH - COVERED ELIGIBILITY EXCEPTION","MATCH")))</f>
        <v>NO AUGUST POSTING IN EXPORT</v>
      </c>
      <c r="AB377" s="9" t="s">
        <v>4153</v>
      </c>
    </row>
    <row r="378" customFormat="false" ht="15" hidden="false" customHeight="false" outlineLevel="0" collapsed="false">
      <c r="A378" s="13" t="s">
        <v>1072</v>
      </c>
      <c r="B378" s="13" t="s">
        <v>155</v>
      </c>
      <c r="C378" s="13" t="s">
        <v>146</v>
      </c>
      <c r="D378" s="13" t="s">
        <v>2002</v>
      </c>
      <c r="E378" s="13" t="s">
        <v>3046</v>
      </c>
      <c r="F378" s="13" t="s">
        <v>4154</v>
      </c>
      <c r="G378" s="13" t="s">
        <v>4155</v>
      </c>
      <c r="H378" s="13" t="s">
        <v>4156</v>
      </c>
      <c r="I378" s="15" t="n">
        <v>28</v>
      </c>
      <c r="J378" s="15" t="n">
        <v>48.7</v>
      </c>
      <c r="K378" s="15"/>
      <c r="L378" s="15"/>
      <c r="M378" s="15" t="n">
        <f aca="false">IF(ISNUMBER(L378),L378,J378)</f>
        <v>48.7</v>
      </c>
      <c r="N378" s="15" t="n">
        <f aca="false">ROUNDUP(M378,0)</f>
        <v>49</v>
      </c>
      <c r="O378" s="15" t="n">
        <f aca="false">MAX(I378,N378)</f>
        <v>49</v>
      </c>
      <c r="P378" s="15" t="n">
        <f aca="false">IF(C378="COVERED",MAX(0,O378-40),0)</f>
        <v>0</v>
      </c>
      <c r="Q378" s="15" t="n">
        <f aca="false">O378</f>
        <v>49</v>
      </c>
      <c r="R378" s="18" t="n">
        <f aca="false">IF(C378="COVERED",10.4,7.55)</f>
        <v>7.55</v>
      </c>
      <c r="S378" s="18" t="n">
        <f aca="false">Q378*R378</f>
        <v>369.95</v>
      </c>
      <c r="T378" s="13"/>
      <c r="U378" s="14"/>
      <c r="V378" s="13"/>
      <c r="W378" s="18"/>
      <c r="X378" s="18"/>
      <c r="Y378" s="18" t="str">
        <f aca="false">IF(ISNUMBER(X378),X378-S378,"")</f>
        <v/>
      </c>
      <c r="Z378" s="18" t="n">
        <f aca="false">IF(ISNUMBER(X378),X378-S378,-S378)</f>
        <v>-369.95</v>
      </c>
      <c r="AA378" s="13" t="str">
        <f aca="false">IF(NOT(ISNUMBER(X378)),"NO AUGUST POSTING IN EXPORT",IF(ABS(Y378)&gt;=0.005,"POSTED CHARGE MISMATCH",IF(P378&gt;0,"MATCH - COVERED ELIGIBILITY EXCEPTION","MATCH")))</f>
        <v>NO AUGUST POSTING IN EXPORT</v>
      </c>
      <c r="AB378" s="13" t="s">
        <v>4157</v>
      </c>
    </row>
    <row r="379" customFormat="false" ht="15" hidden="false" customHeight="false" outlineLevel="0" collapsed="false">
      <c r="A379" s="9" t="s">
        <v>1054</v>
      </c>
      <c r="B379" s="9" t="s">
        <v>155</v>
      </c>
      <c r="C379" s="9" t="s">
        <v>146</v>
      </c>
      <c r="D379" s="9" t="s">
        <v>2002</v>
      </c>
      <c r="E379" s="9" t="s">
        <v>3052</v>
      </c>
      <c r="F379" s="9" t="s">
        <v>4158</v>
      </c>
      <c r="G379" s="9" t="s">
        <v>4159</v>
      </c>
      <c r="H379" s="9" t="s">
        <v>4160</v>
      </c>
      <c r="I379" s="11" t="n">
        <v>70</v>
      </c>
      <c r="J379" s="11" t="n">
        <v>33.1</v>
      </c>
      <c r="K379" s="11"/>
      <c r="L379" s="11"/>
      <c r="M379" s="11" t="n">
        <f aca="false">IF(ISNUMBER(L379),L379,J379)</f>
        <v>33.1</v>
      </c>
      <c r="N379" s="11" t="n">
        <f aca="false">ROUNDUP(M379,0)</f>
        <v>34</v>
      </c>
      <c r="O379" s="11" t="n">
        <f aca="false">MAX(I379,N379)</f>
        <v>70</v>
      </c>
      <c r="P379" s="11" t="n">
        <f aca="false">IF(C379="COVERED",MAX(0,O379-40),0)</f>
        <v>0</v>
      </c>
      <c r="Q379" s="11" t="n">
        <f aca="false">O379</f>
        <v>70</v>
      </c>
      <c r="R379" s="17" t="n">
        <f aca="false">IF(C379="COVERED",10.4,7.55)</f>
        <v>7.55</v>
      </c>
      <c r="S379" s="17" t="n">
        <f aca="false">Q379*R379</f>
        <v>528.5</v>
      </c>
      <c r="T379" s="9"/>
      <c r="U379" s="10"/>
      <c r="V379" s="9"/>
      <c r="W379" s="17"/>
      <c r="X379" s="17"/>
      <c r="Y379" s="17" t="str">
        <f aca="false">IF(ISNUMBER(X379),X379-S379,"")</f>
        <v/>
      </c>
      <c r="Z379" s="17" t="n">
        <f aca="false">IF(ISNUMBER(X379),X379-S379,-S379)</f>
        <v>-528.5</v>
      </c>
      <c r="AA379" s="9" t="str">
        <f aca="false">IF(NOT(ISNUMBER(X379)),"NO AUGUST POSTING IN EXPORT",IF(ABS(Y379)&gt;=0.005,"POSTED CHARGE MISMATCH",IF(P379&gt;0,"MATCH - COVERED ELIGIBILITY EXCEPTION","MATCH")))</f>
        <v>NO AUGUST POSTING IN EXPORT</v>
      </c>
      <c r="AB379" s="9" t="s">
        <v>4161</v>
      </c>
    </row>
    <row r="380" customFormat="false" ht="15" hidden="false" customHeight="false" outlineLevel="0" collapsed="false">
      <c r="A380" s="13" t="s">
        <v>4162</v>
      </c>
      <c r="B380" s="13" t="s">
        <v>155</v>
      </c>
      <c r="C380" s="13" t="s">
        <v>146</v>
      </c>
      <c r="D380" s="13" t="s">
        <v>2002</v>
      </c>
      <c r="E380" s="13" t="s">
        <v>3065</v>
      </c>
      <c r="F380" s="13" t="s">
        <v>4163</v>
      </c>
      <c r="G380" s="13" t="s">
        <v>4164</v>
      </c>
      <c r="H380" s="13" t="s">
        <v>3725</v>
      </c>
      <c r="I380" s="15" t="n">
        <v>70</v>
      </c>
      <c r="J380" s="15" t="n">
        <v>55.9</v>
      </c>
      <c r="K380" s="15"/>
      <c r="L380" s="15"/>
      <c r="M380" s="15" t="n">
        <f aca="false">IF(ISNUMBER(L380),L380,J380)</f>
        <v>55.9</v>
      </c>
      <c r="N380" s="15" t="n">
        <f aca="false">ROUNDUP(M380,0)</f>
        <v>56</v>
      </c>
      <c r="O380" s="15" t="n">
        <f aca="false">MAX(I380,N380)</f>
        <v>70</v>
      </c>
      <c r="P380" s="15" t="n">
        <f aca="false">IF(C380="COVERED",MAX(0,O380-40),0)</f>
        <v>0</v>
      </c>
      <c r="Q380" s="15" t="n">
        <f aca="false">O380</f>
        <v>70</v>
      </c>
      <c r="R380" s="18" t="n">
        <f aca="false">IF(C380="COVERED",10.4,7.55)</f>
        <v>7.55</v>
      </c>
      <c r="S380" s="18" t="n">
        <f aca="false">Q380*R380</f>
        <v>528.5</v>
      </c>
      <c r="T380" s="13"/>
      <c r="U380" s="14"/>
      <c r="V380" s="13"/>
      <c r="W380" s="18"/>
      <c r="X380" s="18"/>
      <c r="Y380" s="18" t="str">
        <f aca="false">IF(ISNUMBER(X380),X380-S380,"")</f>
        <v/>
      </c>
      <c r="Z380" s="18" t="n">
        <f aca="false">IF(ISNUMBER(X380),X380-S380,-S380)</f>
        <v>-528.5</v>
      </c>
      <c r="AA380" s="13" t="str">
        <f aca="false">IF(NOT(ISNUMBER(X380)),"NO AUGUST POSTING IN EXPORT",IF(ABS(Y380)&gt;=0.005,"POSTED CHARGE MISMATCH",IF(P380&gt;0,"MATCH - COVERED ELIGIBILITY EXCEPTION","MATCH")))</f>
        <v>NO AUGUST POSTING IN EXPORT</v>
      </c>
      <c r="AB380" s="13" t="s">
        <v>4165</v>
      </c>
    </row>
    <row r="381" customFormat="false" ht="15" hidden="false" customHeight="false" outlineLevel="0" collapsed="false">
      <c r="A381" s="9" t="s">
        <v>4166</v>
      </c>
      <c r="B381" s="9" t="s">
        <v>155</v>
      </c>
      <c r="C381" s="9" t="s">
        <v>146</v>
      </c>
      <c r="D381" s="9" t="s">
        <v>2002</v>
      </c>
      <c r="E381" s="9" t="s">
        <v>3070</v>
      </c>
      <c r="F381" s="9" t="s">
        <v>4167</v>
      </c>
      <c r="G381" s="9" t="s">
        <v>4168</v>
      </c>
      <c r="H381" s="9" t="s">
        <v>3956</v>
      </c>
      <c r="I381" s="11" t="n">
        <v>60</v>
      </c>
      <c r="J381" s="11" t="n">
        <v>56.6</v>
      </c>
      <c r="K381" s="11"/>
      <c r="L381" s="11"/>
      <c r="M381" s="11" t="n">
        <f aca="false">IF(ISNUMBER(L381),L381,J381)</f>
        <v>56.6</v>
      </c>
      <c r="N381" s="11" t="n">
        <f aca="false">ROUNDUP(M381,0)</f>
        <v>57</v>
      </c>
      <c r="O381" s="11" t="n">
        <f aca="false">MAX(I381,N381)</f>
        <v>60</v>
      </c>
      <c r="P381" s="11" t="n">
        <f aca="false">IF(C381="COVERED",MAX(0,O381-40),0)</f>
        <v>0</v>
      </c>
      <c r="Q381" s="11" t="n">
        <f aca="false">O381</f>
        <v>60</v>
      </c>
      <c r="R381" s="17" t="n">
        <f aca="false">IF(C381="COVERED",10.4,7.55)</f>
        <v>7.55</v>
      </c>
      <c r="S381" s="17" t="n">
        <f aca="false">Q381*R381</f>
        <v>453</v>
      </c>
      <c r="T381" s="9"/>
      <c r="U381" s="10"/>
      <c r="V381" s="9"/>
      <c r="W381" s="17"/>
      <c r="X381" s="17"/>
      <c r="Y381" s="17" t="str">
        <f aca="false">IF(ISNUMBER(X381),X381-S381,"")</f>
        <v/>
      </c>
      <c r="Z381" s="17" t="n">
        <f aca="false">IF(ISNUMBER(X381),X381-S381,-S381)</f>
        <v>-453</v>
      </c>
      <c r="AA381" s="9" t="str">
        <f aca="false">IF(NOT(ISNUMBER(X381)),"NO AUGUST POSTING IN EXPORT",IF(ABS(Y381)&gt;=0.005,"POSTED CHARGE MISMATCH",IF(P381&gt;0,"MATCH - COVERED ELIGIBILITY EXCEPTION","MATCH")))</f>
        <v>NO AUGUST POSTING IN EXPORT</v>
      </c>
      <c r="AB381" s="9" t="s">
        <v>4169</v>
      </c>
    </row>
    <row r="382" customFormat="false" ht="15" hidden="false" customHeight="false" outlineLevel="0" collapsed="false">
      <c r="A382" s="13" t="s">
        <v>4170</v>
      </c>
      <c r="B382" s="13" t="s">
        <v>155</v>
      </c>
      <c r="C382" s="13" t="s">
        <v>146</v>
      </c>
      <c r="D382" s="13" t="s">
        <v>2002</v>
      </c>
      <c r="E382" s="13" t="s">
        <v>3077</v>
      </c>
      <c r="F382" s="13" t="s">
        <v>4171</v>
      </c>
      <c r="G382" s="13" t="s">
        <v>4172</v>
      </c>
      <c r="H382" s="13" t="s">
        <v>2577</v>
      </c>
      <c r="I382" s="15" t="n">
        <v>70</v>
      </c>
      <c r="J382" s="15" t="n">
        <v>56</v>
      </c>
      <c r="K382" s="15"/>
      <c r="L382" s="15"/>
      <c r="M382" s="15" t="n">
        <f aca="false">IF(ISNUMBER(L382),L382,J382)</f>
        <v>56</v>
      </c>
      <c r="N382" s="15" t="n">
        <f aca="false">ROUNDUP(M382,0)</f>
        <v>56</v>
      </c>
      <c r="O382" s="15" t="n">
        <f aca="false">MAX(I382,N382)</f>
        <v>70</v>
      </c>
      <c r="P382" s="15" t="n">
        <f aca="false">IF(C382="COVERED",MAX(0,O382-40),0)</f>
        <v>0</v>
      </c>
      <c r="Q382" s="15" t="n">
        <f aca="false">O382</f>
        <v>70</v>
      </c>
      <c r="R382" s="18" t="n">
        <f aca="false">IF(C382="COVERED",10.4,7.55)</f>
        <v>7.55</v>
      </c>
      <c r="S382" s="18" t="n">
        <f aca="false">Q382*R382</f>
        <v>528.5</v>
      </c>
      <c r="T382" s="13"/>
      <c r="U382" s="14"/>
      <c r="V382" s="13"/>
      <c r="W382" s="18"/>
      <c r="X382" s="18"/>
      <c r="Y382" s="18" t="str">
        <f aca="false">IF(ISNUMBER(X382),X382-S382,"")</f>
        <v/>
      </c>
      <c r="Z382" s="18" t="n">
        <f aca="false">IF(ISNUMBER(X382),X382-S382,-S382)</f>
        <v>-528.5</v>
      </c>
      <c r="AA382" s="13" t="str">
        <f aca="false">IF(NOT(ISNUMBER(X382)),"NO AUGUST POSTING IN EXPORT",IF(ABS(Y382)&gt;=0.005,"POSTED CHARGE MISMATCH",IF(P382&gt;0,"MATCH - COVERED ELIGIBILITY EXCEPTION","MATCH")))</f>
        <v>NO AUGUST POSTING IN EXPORT</v>
      </c>
      <c r="AB382" s="13" t="s">
        <v>4173</v>
      </c>
    </row>
    <row r="383" customFormat="false" ht="15" hidden="false" customHeight="false" outlineLevel="0" collapsed="false">
      <c r="A383" s="9" t="s">
        <v>4174</v>
      </c>
      <c r="B383" s="9" t="s">
        <v>155</v>
      </c>
      <c r="C383" s="9" t="s">
        <v>146</v>
      </c>
      <c r="D383" s="9" t="s">
        <v>2002</v>
      </c>
      <c r="E383" s="9" t="s">
        <v>3083</v>
      </c>
      <c r="F383" s="9" t="s">
        <v>4175</v>
      </c>
      <c r="G383" s="9" t="s">
        <v>4176</v>
      </c>
      <c r="H383" s="9" t="s">
        <v>2682</v>
      </c>
      <c r="I383" s="11" t="n">
        <v>24</v>
      </c>
      <c r="J383" s="11" t="n">
        <v>43.9</v>
      </c>
      <c r="K383" s="11"/>
      <c r="L383" s="11"/>
      <c r="M383" s="11" t="n">
        <f aca="false">IF(ISNUMBER(L383),L383,J383)</f>
        <v>43.9</v>
      </c>
      <c r="N383" s="11" t="n">
        <f aca="false">ROUNDUP(M383,0)</f>
        <v>44</v>
      </c>
      <c r="O383" s="11" t="n">
        <f aca="false">MAX(I383,N383)</f>
        <v>44</v>
      </c>
      <c r="P383" s="11" t="n">
        <f aca="false">IF(C383="COVERED",MAX(0,O383-40),0)</f>
        <v>0</v>
      </c>
      <c r="Q383" s="11" t="n">
        <f aca="false">O383</f>
        <v>44</v>
      </c>
      <c r="R383" s="17" t="n">
        <f aca="false">IF(C383="COVERED",10.4,7.55)</f>
        <v>7.55</v>
      </c>
      <c r="S383" s="17" t="n">
        <f aca="false">Q383*R383</f>
        <v>332.2</v>
      </c>
      <c r="T383" s="9"/>
      <c r="U383" s="10"/>
      <c r="V383" s="9"/>
      <c r="W383" s="17"/>
      <c r="X383" s="17"/>
      <c r="Y383" s="17" t="str">
        <f aca="false">IF(ISNUMBER(X383),X383-S383,"")</f>
        <v/>
      </c>
      <c r="Z383" s="17" t="n">
        <f aca="false">IF(ISNUMBER(X383),X383-S383,-S383)</f>
        <v>-332.2</v>
      </c>
      <c r="AA383" s="9" t="str">
        <f aca="false">IF(NOT(ISNUMBER(X383)),"NO AUGUST POSTING IN EXPORT",IF(ABS(Y383)&gt;=0.005,"POSTED CHARGE MISMATCH",IF(P383&gt;0,"MATCH - COVERED ELIGIBILITY EXCEPTION","MATCH")))</f>
        <v>NO AUGUST POSTING IN EXPORT</v>
      </c>
      <c r="AB383" s="9" t="s">
        <v>4177</v>
      </c>
    </row>
    <row r="384" customFormat="false" ht="15" hidden="false" customHeight="false" outlineLevel="0" collapsed="false">
      <c r="A384" s="13" t="s">
        <v>4178</v>
      </c>
      <c r="B384" s="13" t="s">
        <v>155</v>
      </c>
      <c r="C384" s="13" t="s">
        <v>146</v>
      </c>
      <c r="D384" s="13" t="s">
        <v>2002</v>
      </c>
      <c r="E384" s="13" t="s">
        <v>4179</v>
      </c>
      <c r="F384" s="13" t="s">
        <v>4180</v>
      </c>
      <c r="G384" s="13" t="s">
        <v>4181</v>
      </c>
      <c r="H384" s="13" t="s">
        <v>4182</v>
      </c>
      <c r="I384" s="15" t="n">
        <v>28</v>
      </c>
      <c r="J384" s="15" t="n">
        <v>57.9</v>
      </c>
      <c r="K384" s="15"/>
      <c r="L384" s="15"/>
      <c r="M384" s="15" t="n">
        <f aca="false">IF(ISNUMBER(L384),L384,J384)</f>
        <v>57.9</v>
      </c>
      <c r="N384" s="15" t="n">
        <f aca="false">ROUNDUP(M384,0)</f>
        <v>58</v>
      </c>
      <c r="O384" s="15" t="n">
        <f aca="false">MAX(I384,N384)</f>
        <v>58</v>
      </c>
      <c r="P384" s="15" t="n">
        <f aca="false">IF(C384="COVERED",MAX(0,O384-40),0)</f>
        <v>0</v>
      </c>
      <c r="Q384" s="15" t="n">
        <f aca="false">O384</f>
        <v>58</v>
      </c>
      <c r="R384" s="18" t="n">
        <f aca="false">IF(C384="COVERED",10.4,7.55)</f>
        <v>7.55</v>
      </c>
      <c r="S384" s="18" t="n">
        <f aca="false">Q384*R384</f>
        <v>437.9</v>
      </c>
      <c r="T384" s="13"/>
      <c r="U384" s="14"/>
      <c r="V384" s="13"/>
      <c r="W384" s="18"/>
      <c r="X384" s="18"/>
      <c r="Y384" s="18" t="str">
        <f aca="false">IF(ISNUMBER(X384),X384-S384,"")</f>
        <v/>
      </c>
      <c r="Z384" s="18" t="n">
        <f aca="false">IF(ISNUMBER(X384),X384-S384,-S384)</f>
        <v>-437.9</v>
      </c>
      <c r="AA384" s="13" t="str">
        <f aca="false">IF(NOT(ISNUMBER(X384)),"NO AUGUST POSTING IN EXPORT",IF(ABS(Y384)&gt;=0.005,"POSTED CHARGE MISMATCH",IF(P384&gt;0,"MATCH - COVERED ELIGIBILITY EXCEPTION","MATCH")))</f>
        <v>NO AUGUST POSTING IN EXPORT</v>
      </c>
      <c r="AB384" s="13" t="s">
        <v>4183</v>
      </c>
    </row>
    <row r="385" customFormat="false" ht="15" hidden="false" customHeight="false" outlineLevel="0" collapsed="false">
      <c r="A385" s="9" t="s">
        <v>4184</v>
      </c>
      <c r="B385" s="9" t="s">
        <v>155</v>
      </c>
      <c r="C385" s="9" t="s">
        <v>146</v>
      </c>
      <c r="D385" s="9" t="s">
        <v>2002</v>
      </c>
      <c r="E385" s="9" t="s">
        <v>3090</v>
      </c>
      <c r="F385" s="9" t="s">
        <v>4185</v>
      </c>
      <c r="G385" s="9" t="s">
        <v>4186</v>
      </c>
      <c r="H385" s="9" t="s">
        <v>4187</v>
      </c>
      <c r="I385" s="11" t="n">
        <v>24</v>
      </c>
      <c r="J385" s="11" t="n">
        <v>48.4</v>
      </c>
      <c r="K385" s="11"/>
      <c r="L385" s="11"/>
      <c r="M385" s="11" t="n">
        <f aca="false">IF(ISNUMBER(L385),L385,J385)</f>
        <v>48.4</v>
      </c>
      <c r="N385" s="11" t="n">
        <f aca="false">ROUNDUP(M385,0)</f>
        <v>49</v>
      </c>
      <c r="O385" s="11" t="n">
        <f aca="false">MAX(I385,N385)</f>
        <v>49</v>
      </c>
      <c r="P385" s="11" t="n">
        <f aca="false">IF(C385="COVERED",MAX(0,O385-40),0)</f>
        <v>0</v>
      </c>
      <c r="Q385" s="11" t="n">
        <f aca="false">O385</f>
        <v>49</v>
      </c>
      <c r="R385" s="17" t="n">
        <f aca="false">IF(C385="COVERED",10.4,7.55)</f>
        <v>7.55</v>
      </c>
      <c r="S385" s="17" t="n">
        <f aca="false">Q385*R385</f>
        <v>369.95</v>
      </c>
      <c r="T385" s="9"/>
      <c r="U385" s="10"/>
      <c r="V385" s="9"/>
      <c r="W385" s="17"/>
      <c r="X385" s="17"/>
      <c r="Y385" s="17" t="str">
        <f aca="false">IF(ISNUMBER(X385),X385-S385,"")</f>
        <v/>
      </c>
      <c r="Z385" s="17" t="n">
        <f aca="false">IF(ISNUMBER(X385),X385-S385,-S385)</f>
        <v>-369.95</v>
      </c>
      <c r="AA385" s="9" t="str">
        <f aca="false">IF(NOT(ISNUMBER(X385)),"NO AUGUST POSTING IN EXPORT",IF(ABS(Y385)&gt;=0.005,"POSTED CHARGE MISMATCH",IF(P385&gt;0,"MATCH - COVERED ELIGIBILITY EXCEPTION","MATCH")))</f>
        <v>NO AUGUST POSTING IN EXPORT</v>
      </c>
      <c r="AB385" s="9" t="s">
        <v>4188</v>
      </c>
    </row>
    <row r="386" customFormat="false" ht="15" hidden="false" customHeight="false" outlineLevel="0" collapsed="false">
      <c r="A386" s="13" t="s">
        <v>4189</v>
      </c>
      <c r="B386" s="13" t="s">
        <v>155</v>
      </c>
      <c r="C386" s="13" t="s">
        <v>146</v>
      </c>
      <c r="D386" s="13" t="s">
        <v>2002</v>
      </c>
      <c r="E386" s="13" t="s">
        <v>3097</v>
      </c>
      <c r="F386" s="13" t="s">
        <v>4190</v>
      </c>
      <c r="G386" s="13" t="s">
        <v>4191</v>
      </c>
      <c r="H386" s="13" t="s">
        <v>4192</v>
      </c>
      <c r="I386" s="15" t="n">
        <v>24</v>
      </c>
      <c r="J386" s="15" t="n">
        <v>27.3</v>
      </c>
      <c r="K386" s="15"/>
      <c r="L386" s="15"/>
      <c r="M386" s="15" t="n">
        <f aca="false">IF(ISNUMBER(L386),L386,J386)</f>
        <v>27.3</v>
      </c>
      <c r="N386" s="15" t="n">
        <f aca="false">ROUNDUP(M386,0)</f>
        <v>28</v>
      </c>
      <c r="O386" s="15" t="n">
        <f aca="false">MAX(I386,N386)</f>
        <v>28</v>
      </c>
      <c r="P386" s="15" t="n">
        <f aca="false">IF(C386="COVERED",MAX(0,O386-40),0)</f>
        <v>0</v>
      </c>
      <c r="Q386" s="15" t="n">
        <f aca="false">O386</f>
        <v>28</v>
      </c>
      <c r="R386" s="18" t="n">
        <f aca="false">IF(C386="COVERED",10.4,7.55)</f>
        <v>7.55</v>
      </c>
      <c r="S386" s="18" t="n">
        <f aca="false">Q386*R386</f>
        <v>211.4</v>
      </c>
      <c r="T386" s="13"/>
      <c r="U386" s="14"/>
      <c r="V386" s="13"/>
      <c r="W386" s="18"/>
      <c r="X386" s="18"/>
      <c r="Y386" s="18" t="str">
        <f aca="false">IF(ISNUMBER(X386),X386-S386,"")</f>
        <v/>
      </c>
      <c r="Z386" s="18" t="n">
        <f aca="false">IF(ISNUMBER(X386),X386-S386,-S386)</f>
        <v>-211.4</v>
      </c>
      <c r="AA386" s="13" t="str">
        <f aca="false">IF(NOT(ISNUMBER(X386)),"NO AUGUST POSTING IN EXPORT",IF(ABS(Y386)&gt;=0.005,"POSTED CHARGE MISMATCH",IF(P386&gt;0,"MATCH - COVERED ELIGIBILITY EXCEPTION","MATCH")))</f>
        <v>NO AUGUST POSTING IN EXPORT</v>
      </c>
      <c r="AB386" s="13" t="s">
        <v>4193</v>
      </c>
    </row>
    <row r="387" customFormat="false" ht="15" hidden="false" customHeight="false" outlineLevel="0" collapsed="false">
      <c r="A387" s="9" t="s">
        <v>860</v>
      </c>
      <c r="B387" s="9" t="s">
        <v>155</v>
      </c>
      <c r="C387" s="9" t="s">
        <v>146</v>
      </c>
      <c r="D387" s="9" t="s">
        <v>2002</v>
      </c>
      <c r="E387" s="9" t="s">
        <v>3104</v>
      </c>
      <c r="F387" s="9" t="s">
        <v>4194</v>
      </c>
      <c r="G387" s="9" t="s">
        <v>4195</v>
      </c>
      <c r="H387" s="9" t="s">
        <v>4067</v>
      </c>
      <c r="I387" s="11" t="n">
        <v>60</v>
      </c>
      <c r="J387" s="11" t="n">
        <v>29.8</v>
      </c>
      <c r="K387" s="11"/>
      <c r="L387" s="11"/>
      <c r="M387" s="11" t="n">
        <f aca="false">IF(ISNUMBER(L387),L387,J387)</f>
        <v>29.8</v>
      </c>
      <c r="N387" s="11" t="n">
        <f aca="false">ROUNDUP(M387,0)</f>
        <v>30</v>
      </c>
      <c r="O387" s="11" t="n">
        <f aca="false">MAX(I387,N387)</f>
        <v>60</v>
      </c>
      <c r="P387" s="11" t="n">
        <f aca="false">IF(C387="COVERED",MAX(0,O387-40),0)</f>
        <v>0</v>
      </c>
      <c r="Q387" s="11" t="n">
        <f aca="false">O387</f>
        <v>60</v>
      </c>
      <c r="R387" s="17" t="n">
        <f aca="false">IF(C387="COVERED",10.4,7.55)</f>
        <v>7.55</v>
      </c>
      <c r="S387" s="17" t="n">
        <f aca="false">Q387*R387</f>
        <v>453</v>
      </c>
      <c r="T387" s="9"/>
      <c r="U387" s="10"/>
      <c r="V387" s="9"/>
      <c r="W387" s="17"/>
      <c r="X387" s="17"/>
      <c r="Y387" s="17" t="str">
        <f aca="false">IF(ISNUMBER(X387),X387-S387,"")</f>
        <v/>
      </c>
      <c r="Z387" s="17" t="n">
        <f aca="false">IF(ISNUMBER(X387),X387-S387,-S387)</f>
        <v>-453</v>
      </c>
      <c r="AA387" s="9" t="str">
        <f aca="false">IF(NOT(ISNUMBER(X387)),"NO AUGUST POSTING IN EXPORT",IF(ABS(Y387)&gt;=0.005,"POSTED CHARGE MISMATCH",IF(P387&gt;0,"MATCH - COVERED ELIGIBILITY EXCEPTION","MATCH")))</f>
        <v>NO AUGUST POSTING IN EXPORT</v>
      </c>
      <c r="AB387" s="9" t="s">
        <v>4196</v>
      </c>
    </row>
    <row r="388" customFormat="false" ht="15" hidden="false" customHeight="false" outlineLevel="0" collapsed="false">
      <c r="A388" s="13" t="s">
        <v>4197</v>
      </c>
      <c r="B388" s="13" t="s">
        <v>155</v>
      </c>
      <c r="C388" s="13" t="s">
        <v>146</v>
      </c>
      <c r="D388" s="13" t="s">
        <v>2002</v>
      </c>
      <c r="E388" s="13" t="s">
        <v>3111</v>
      </c>
      <c r="F388" s="13" t="s">
        <v>4198</v>
      </c>
      <c r="G388" s="13" t="s">
        <v>4199</v>
      </c>
      <c r="H388" s="13" t="s">
        <v>4200</v>
      </c>
      <c r="I388" s="15" t="n">
        <v>24</v>
      </c>
      <c r="J388" s="15" t="n">
        <v>45.8</v>
      </c>
      <c r="K388" s="15"/>
      <c r="L388" s="15"/>
      <c r="M388" s="15" t="n">
        <f aca="false">IF(ISNUMBER(L388),L388,J388)</f>
        <v>45.8</v>
      </c>
      <c r="N388" s="15" t="n">
        <f aca="false">ROUNDUP(M388,0)</f>
        <v>46</v>
      </c>
      <c r="O388" s="15" t="n">
        <f aca="false">MAX(I388,N388)</f>
        <v>46</v>
      </c>
      <c r="P388" s="15" t="n">
        <f aca="false">IF(C388="COVERED",MAX(0,O388-40),0)</f>
        <v>0</v>
      </c>
      <c r="Q388" s="15" t="n">
        <f aca="false">O388</f>
        <v>46</v>
      </c>
      <c r="R388" s="18" t="n">
        <f aca="false">IF(C388="COVERED",10.4,7.55)</f>
        <v>7.55</v>
      </c>
      <c r="S388" s="18" t="n">
        <f aca="false">Q388*R388</f>
        <v>347.3</v>
      </c>
      <c r="T388" s="13"/>
      <c r="U388" s="14"/>
      <c r="V388" s="13"/>
      <c r="W388" s="18"/>
      <c r="X388" s="18"/>
      <c r="Y388" s="18" t="str">
        <f aca="false">IF(ISNUMBER(X388),X388-S388,"")</f>
        <v/>
      </c>
      <c r="Z388" s="18" t="n">
        <f aca="false">IF(ISNUMBER(X388),X388-S388,-S388)</f>
        <v>-347.3</v>
      </c>
      <c r="AA388" s="13" t="str">
        <f aca="false">IF(NOT(ISNUMBER(X388)),"NO AUGUST POSTING IN EXPORT",IF(ABS(Y388)&gt;=0.005,"POSTED CHARGE MISMATCH",IF(P388&gt;0,"MATCH - COVERED ELIGIBILITY EXCEPTION","MATCH")))</f>
        <v>NO AUGUST POSTING IN EXPORT</v>
      </c>
      <c r="AB388" s="13" t="s">
        <v>4201</v>
      </c>
    </row>
    <row r="389" customFormat="false" ht="15" hidden="false" customHeight="false" outlineLevel="0" collapsed="false">
      <c r="A389" s="9" t="s">
        <v>1099</v>
      </c>
      <c r="B389" s="9" t="s">
        <v>155</v>
      </c>
      <c r="C389" s="9" t="s">
        <v>146</v>
      </c>
      <c r="D389" s="9" t="s">
        <v>2002</v>
      </c>
      <c r="E389" s="9" t="s">
        <v>3117</v>
      </c>
      <c r="F389" s="9" t="s">
        <v>4202</v>
      </c>
      <c r="G389" s="9" t="s">
        <v>4203</v>
      </c>
      <c r="H389" s="9" t="s">
        <v>4204</v>
      </c>
      <c r="I389" s="11" t="n">
        <v>36</v>
      </c>
      <c r="J389" s="11" t="n">
        <v>59.7</v>
      </c>
      <c r="K389" s="11"/>
      <c r="L389" s="11"/>
      <c r="M389" s="11" t="n">
        <f aca="false">IF(ISNUMBER(L389),L389,J389)</f>
        <v>59.7</v>
      </c>
      <c r="N389" s="11" t="n">
        <f aca="false">ROUNDUP(M389,0)</f>
        <v>60</v>
      </c>
      <c r="O389" s="11" t="n">
        <f aca="false">MAX(I389,N389)</f>
        <v>60</v>
      </c>
      <c r="P389" s="11" t="n">
        <f aca="false">IF(C389="COVERED",MAX(0,O389-40),0)</f>
        <v>0</v>
      </c>
      <c r="Q389" s="11" t="n">
        <f aca="false">O389</f>
        <v>60</v>
      </c>
      <c r="R389" s="17" t="n">
        <f aca="false">IF(C389="COVERED",10.4,7.55)</f>
        <v>7.55</v>
      </c>
      <c r="S389" s="17" t="n">
        <f aca="false">Q389*R389</f>
        <v>453</v>
      </c>
      <c r="T389" s="9"/>
      <c r="U389" s="10"/>
      <c r="V389" s="9"/>
      <c r="W389" s="17"/>
      <c r="X389" s="17"/>
      <c r="Y389" s="17" t="str">
        <f aca="false">IF(ISNUMBER(X389),X389-S389,"")</f>
        <v/>
      </c>
      <c r="Z389" s="17" t="n">
        <f aca="false">IF(ISNUMBER(X389),X389-S389,-S389)</f>
        <v>-453</v>
      </c>
      <c r="AA389" s="9" t="str">
        <f aca="false">IF(NOT(ISNUMBER(X389)),"NO AUGUST POSTING IN EXPORT",IF(ABS(Y389)&gt;=0.005,"POSTED CHARGE MISMATCH",IF(P389&gt;0,"MATCH - COVERED ELIGIBILITY EXCEPTION","MATCH")))</f>
        <v>NO AUGUST POSTING IN EXPORT</v>
      </c>
      <c r="AB389" s="9" t="s">
        <v>4205</v>
      </c>
    </row>
    <row r="390" customFormat="false" ht="15" hidden="false" customHeight="false" outlineLevel="0" collapsed="false">
      <c r="A390" s="13" t="s">
        <v>4206</v>
      </c>
      <c r="B390" s="13" t="s">
        <v>155</v>
      </c>
      <c r="C390" s="13" t="s">
        <v>146</v>
      </c>
      <c r="D390" s="13" t="s">
        <v>2002</v>
      </c>
      <c r="E390" s="13" t="s">
        <v>3122</v>
      </c>
      <c r="F390" s="13" t="s">
        <v>4207</v>
      </c>
      <c r="G390" s="13" t="s">
        <v>4208</v>
      </c>
      <c r="H390" s="13" t="s">
        <v>3786</v>
      </c>
      <c r="I390" s="15" t="n">
        <v>36</v>
      </c>
      <c r="J390" s="15" t="n">
        <v>59.9</v>
      </c>
      <c r="K390" s="15"/>
      <c r="L390" s="15"/>
      <c r="M390" s="15" t="n">
        <f aca="false">IF(ISNUMBER(L390),L390,J390)</f>
        <v>59.9</v>
      </c>
      <c r="N390" s="15" t="n">
        <f aca="false">ROUNDUP(M390,0)</f>
        <v>60</v>
      </c>
      <c r="O390" s="15" t="n">
        <f aca="false">MAX(I390,N390)</f>
        <v>60</v>
      </c>
      <c r="P390" s="15" t="n">
        <f aca="false">IF(C390="COVERED",MAX(0,O390-40),0)</f>
        <v>0</v>
      </c>
      <c r="Q390" s="15" t="n">
        <f aca="false">O390</f>
        <v>60</v>
      </c>
      <c r="R390" s="18" t="n">
        <f aca="false">IF(C390="COVERED",10.4,7.55)</f>
        <v>7.55</v>
      </c>
      <c r="S390" s="18" t="n">
        <f aca="false">Q390*R390</f>
        <v>453</v>
      </c>
      <c r="T390" s="13"/>
      <c r="U390" s="14"/>
      <c r="V390" s="13"/>
      <c r="W390" s="18"/>
      <c r="X390" s="18"/>
      <c r="Y390" s="18" t="str">
        <f aca="false">IF(ISNUMBER(X390),X390-S390,"")</f>
        <v/>
      </c>
      <c r="Z390" s="18" t="n">
        <f aca="false">IF(ISNUMBER(X390),X390-S390,-S390)</f>
        <v>-453</v>
      </c>
      <c r="AA390" s="13" t="str">
        <f aca="false">IF(NOT(ISNUMBER(X390)),"NO AUGUST POSTING IN EXPORT",IF(ABS(Y390)&gt;=0.005,"POSTED CHARGE MISMATCH",IF(P390&gt;0,"MATCH - COVERED ELIGIBILITY EXCEPTION","MATCH")))</f>
        <v>NO AUGUST POSTING IN EXPORT</v>
      </c>
      <c r="AB390" s="13" t="s">
        <v>4209</v>
      </c>
    </row>
    <row r="391" customFormat="false" ht="15" hidden="false" customHeight="false" outlineLevel="0" collapsed="false">
      <c r="A391" s="9" t="s">
        <v>4210</v>
      </c>
      <c r="B391" s="9" t="s">
        <v>155</v>
      </c>
      <c r="C391" s="9" t="s">
        <v>146</v>
      </c>
      <c r="D391" s="9" t="s">
        <v>2002</v>
      </c>
      <c r="E391" s="9" t="s">
        <v>3129</v>
      </c>
      <c r="F391" s="9" t="s">
        <v>4211</v>
      </c>
      <c r="G391" s="9" t="s">
        <v>4212</v>
      </c>
      <c r="H391" s="9" t="s">
        <v>4213</v>
      </c>
      <c r="I391" s="11" t="n">
        <v>32</v>
      </c>
      <c r="J391" s="11" t="n">
        <v>49.7</v>
      </c>
      <c r="K391" s="11"/>
      <c r="L391" s="11"/>
      <c r="M391" s="11" t="n">
        <f aca="false">IF(ISNUMBER(L391),L391,J391)</f>
        <v>49.7</v>
      </c>
      <c r="N391" s="11" t="n">
        <f aca="false">ROUNDUP(M391,0)</f>
        <v>50</v>
      </c>
      <c r="O391" s="11" t="n">
        <f aca="false">MAX(I391,N391)</f>
        <v>50</v>
      </c>
      <c r="P391" s="11" t="n">
        <f aca="false">IF(C391="COVERED",MAX(0,O391-40),0)</f>
        <v>0</v>
      </c>
      <c r="Q391" s="11" t="n">
        <f aca="false">O391</f>
        <v>50</v>
      </c>
      <c r="R391" s="17" t="n">
        <f aca="false">IF(C391="COVERED",10.4,7.55)</f>
        <v>7.55</v>
      </c>
      <c r="S391" s="17" t="n">
        <f aca="false">Q391*R391</f>
        <v>377.5</v>
      </c>
      <c r="T391" s="9"/>
      <c r="U391" s="10"/>
      <c r="V391" s="9"/>
      <c r="W391" s="17"/>
      <c r="X391" s="17"/>
      <c r="Y391" s="17" t="str">
        <f aca="false">IF(ISNUMBER(X391),X391-S391,"")</f>
        <v/>
      </c>
      <c r="Z391" s="17" t="n">
        <f aca="false">IF(ISNUMBER(X391),X391-S391,-S391)</f>
        <v>-377.5</v>
      </c>
      <c r="AA391" s="9" t="str">
        <f aca="false">IF(NOT(ISNUMBER(X391)),"NO AUGUST POSTING IN EXPORT",IF(ABS(Y391)&gt;=0.005,"POSTED CHARGE MISMATCH",IF(P391&gt;0,"MATCH - COVERED ELIGIBILITY EXCEPTION","MATCH")))</f>
        <v>NO AUGUST POSTING IN EXPORT</v>
      </c>
      <c r="AB391" s="9" t="s">
        <v>4214</v>
      </c>
    </row>
    <row r="392" customFormat="false" ht="15" hidden="false" customHeight="false" outlineLevel="0" collapsed="false">
      <c r="A392" s="13" t="s">
        <v>270</v>
      </c>
      <c r="B392" s="13" t="s">
        <v>155</v>
      </c>
      <c r="C392" s="13" t="s">
        <v>146</v>
      </c>
      <c r="D392" s="13" t="s">
        <v>2002</v>
      </c>
      <c r="E392" s="13" t="s">
        <v>3136</v>
      </c>
      <c r="F392" s="13" t="s">
        <v>4215</v>
      </c>
      <c r="G392" s="13" t="s">
        <v>4216</v>
      </c>
      <c r="H392" s="13" t="s">
        <v>4217</v>
      </c>
      <c r="I392" s="15" t="n">
        <v>50</v>
      </c>
      <c r="J392" s="15" t="n">
        <v>38.9</v>
      </c>
      <c r="K392" s="15"/>
      <c r="L392" s="15"/>
      <c r="M392" s="15" t="n">
        <f aca="false">IF(ISNUMBER(L392),L392,J392)</f>
        <v>38.9</v>
      </c>
      <c r="N392" s="15" t="n">
        <f aca="false">ROUNDUP(M392,0)</f>
        <v>39</v>
      </c>
      <c r="O392" s="15" t="n">
        <f aca="false">MAX(I392,N392)</f>
        <v>50</v>
      </c>
      <c r="P392" s="15" t="n">
        <f aca="false">IF(C392="COVERED",MAX(0,O392-40),0)</f>
        <v>0</v>
      </c>
      <c r="Q392" s="15" t="n">
        <f aca="false">O392</f>
        <v>50</v>
      </c>
      <c r="R392" s="18" t="n">
        <f aca="false">IF(C392="COVERED",10.4,7.55)</f>
        <v>7.55</v>
      </c>
      <c r="S392" s="18" t="n">
        <f aca="false">Q392*R392</f>
        <v>377.5</v>
      </c>
      <c r="T392" s="13"/>
      <c r="U392" s="14"/>
      <c r="V392" s="13"/>
      <c r="W392" s="18"/>
      <c r="X392" s="18"/>
      <c r="Y392" s="18" t="str">
        <f aca="false">IF(ISNUMBER(X392),X392-S392,"")</f>
        <v/>
      </c>
      <c r="Z392" s="18" t="n">
        <f aca="false">IF(ISNUMBER(X392),X392-S392,-S392)</f>
        <v>-377.5</v>
      </c>
      <c r="AA392" s="13" t="str">
        <f aca="false">IF(NOT(ISNUMBER(X392)),"NO AUGUST POSTING IN EXPORT",IF(ABS(Y392)&gt;=0.005,"POSTED CHARGE MISMATCH",IF(P392&gt;0,"MATCH - COVERED ELIGIBILITY EXCEPTION","MATCH")))</f>
        <v>NO AUGUST POSTING IN EXPORT</v>
      </c>
      <c r="AB392" s="13" t="s">
        <v>4218</v>
      </c>
    </row>
    <row r="393" customFormat="false" ht="15" hidden="false" customHeight="false" outlineLevel="0" collapsed="false">
      <c r="A393" s="9" t="s">
        <v>4219</v>
      </c>
      <c r="B393" s="9" t="s">
        <v>155</v>
      </c>
      <c r="C393" s="9" t="s">
        <v>146</v>
      </c>
      <c r="D393" s="9" t="s">
        <v>2002</v>
      </c>
      <c r="E393" s="9" t="s">
        <v>3143</v>
      </c>
      <c r="F393" s="9" t="s">
        <v>4220</v>
      </c>
      <c r="G393" s="9" t="s">
        <v>4221</v>
      </c>
      <c r="H393" s="9" t="s">
        <v>2189</v>
      </c>
      <c r="I393" s="11" t="n">
        <v>45</v>
      </c>
      <c r="J393" s="11" t="n">
        <v>53.3</v>
      </c>
      <c r="K393" s="11"/>
      <c r="L393" s="11"/>
      <c r="M393" s="11" t="n">
        <f aca="false">IF(ISNUMBER(L393),L393,J393)</f>
        <v>53.3</v>
      </c>
      <c r="N393" s="11" t="n">
        <f aca="false">ROUNDUP(M393,0)</f>
        <v>54</v>
      </c>
      <c r="O393" s="11" t="n">
        <f aca="false">MAX(I393,N393)</f>
        <v>54</v>
      </c>
      <c r="P393" s="11" t="n">
        <f aca="false">IF(C393="COVERED",MAX(0,O393-40),0)</f>
        <v>0</v>
      </c>
      <c r="Q393" s="11" t="n">
        <f aca="false">O393</f>
        <v>54</v>
      </c>
      <c r="R393" s="17" t="n">
        <f aca="false">IF(C393="COVERED",10.4,7.55)</f>
        <v>7.55</v>
      </c>
      <c r="S393" s="17" t="n">
        <f aca="false">Q393*R393</f>
        <v>407.7</v>
      </c>
      <c r="T393" s="9"/>
      <c r="U393" s="10"/>
      <c r="V393" s="9"/>
      <c r="W393" s="17"/>
      <c r="X393" s="17"/>
      <c r="Y393" s="17" t="str">
        <f aca="false">IF(ISNUMBER(X393),X393-S393,"")</f>
        <v/>
      </c>
      <c r="Z393" s="17" t="n">
        <f aca="false">IF(ISNUMBER(X393),X393-S393,-S393)</f>
        <v>-407.7</v>
      </c>
      <c r="AA393" s="9" t="str">
        <f aca="false">IF(NOT(ISNUMBER(X393)),"NO AUGUST POSTING IN EXPORT",IF(ABS(Y393)&gt;=0.005,"POSTED CHARGE MISMATCH",IF(P393&gt;0,"MATCH - COVERED ELIGIBILITY EXCEPTION","MATCH")))</f>
        <v>NO AUGUST POSTING IN EXPORT</v>
      </c>
      <c r="AB393" s="9" t="s">
        <v>4222</v>
      </c>
    </row>
    <row r="394" customFormat="false" ht="15" hidden="false" customHeight="false" outlineLevel="0" collapsed="false">
      <c r="A394" s="13" t="s">
        <v>4223</v>
      </c>
      <c r="B394" s="13" t="s">
        <v>155</v>
      </c>
      <c r="C394" s="13" t="s">
        <v>146</v>
      </c>
      <c r="D394" s="13" t="s">
        <v>2002</v>
      </c>
      <c r="E394" s="13" t="s">
        <v>3149</v>
      </c>
      <c r="F394" s="13" t="s">
        <v>4224</v>
      </c>
      <c r="G394" s="13" t="s">
        <v>4225</v>
      </c>
      <c r="H394" s="13" t="s">
        <v>4226</v>
      </c>
      <c r="I394" s="15" t="n">
        <v>45</v>
      </c>
      <c r="J394" s="15" t="n">
        <v>25.5</v>
      </c>
      <c r="K394" s="15"/>
      <c r="L394" s="15"/>
      <c r="M394" s="15" t="n">
        <f aca="false">IF(ISNUMBER(L394),L394,J394)</f>
        <v>25.5</v>
      </c>
      <c r="N394" s="15" t="n">
        <f aca="false">ROUNDUP(M394,0)</f>
        <v>26</v>
      </c>
      <c r="O394" s="15" t="n">
        <f aca="false">MAX(I394,N394)</f>
        <v>45</v>
      </c>
      <c r="P394" s="15" t="n">
        <f aca="false">IF(C394="COVERED",MAX(0,O394-40),0)</f>
        <v>0</v>
      </c>
      <c r="Q394" s="15" t="n">
        <f aca="false">O394</f>
        <v>45</v>
      </c>
      <c r="R394" s="18" t="n">
        <f aca="false">IF(C394="COVERED",10.4,7.55)</f>
        <v>7.55</v>
      </c>
      <c r="S394" s="18" t="n">
        <f aca="false">Q394*R394</f>
        <v>339.75</v>
      </c>
      <c r="T394" s="13"/>
      <c r="U394" s="14"/>
      <c r="V394" s="13"/>
      <c r="W394" s="18"/>
      <c r="X394" s="18"/>
      <c r="Y394" s="18" t="str">
        <f aca="false">IF(ISNUMBER(X394),X394-S394,"")</f>
        <v/>
      </c>
      <c r="Z394" s="18" t="n">
        <f aca="false">IF(ISNUMBER(X394),X394-S394,-S394)</f>
        <v>-339.75</v>
      </c>
      <c r="AA394" s="13" t="str">
        <f aca="false">IF(NOT(ISNUMBER(X394)),"NO AUGUST POSTING IN EXPORT",IF(ABS(Y394)&gt;=0.005,"POSTED CHARGE MISMATCH",IF(P394&gt;0,"MATCH - COVERED ELIGIBILITY EXCEPTION","MATCH")))</f>
        <v>NO AUGUST POSTING IN EXPORT</v>
      </c>
      <c r="AB394" s="13" t="s">
        <v>4227</v>
      </c>
    </row>
    <row r="395" customFormat="false" ht="15" hidden="false" customHeight="false" outlineLevel="0" collapsed="false">
      <c r="A395" s="9" t="s">
        <v>1149</v>
      </c>
      <c r="B395" s="9" t="s">
        <v>155</v>
      </c>
      <c r="C395" s="9" t="s">
        <v>146</v>
      </c>
      <c r="D395" s="9" t="s">
        <v>2002</v>
      </c>
      <c r="E395" s="9" t="s">
        <v>3156</v>
      </c>
      <c r="F395" s="9" t="s">
        <v>4228</v>
      </c>
      <c r="G395" s="9" t="s">
        <v>4229</v>
      </c>
      <c r="H395" s="9" t="s">
        <v>4230</v>
      </c>
      <c r="I395" s="11" t="n">
        <v>24</v>
      </c>
      <c r="J395" s="11" t="n">
        <v>50.9</v>
      </c>
      <c r="K395" s="11"/>
      <c r="L395" s="11"/>
      <c r="M395" s="11" t="n">
        <f aca="false">IF(ISNUMBER(L395),L395,J395)</f>
        <v>50.9</v>
      </c>
      <c r="N395" s="11" t="n">
        <f aca="false">ROUNDUP(M395,0)</f>
        <v>51</v>
      </c>
      <c r="O395" s="11" t="n">
        <f aca="false">MAX(I395,N395)</f>
        <v>51</v>
      </c>
      <c r="P395" s="11" t="n">
        <f aca="false">IF(C395="COVERED",MAX(0,O395-40),0)</f>
        <v>0</v>
      </c>
      <c r="Q395" s="11" t="n">
        <f aca="false">O395</f>
        <v>51</v>
      </c>
      <c r="R395" s="17" t="n">
        <f aca="false">IF(C395="COVERED",10.4,7.55)</f>
        <v>7.55</v>
      </c>
      <c r="S395" s="17" t="n">
        <f aca="false">Q395*R395</f>
        <v>385.05</v>
      </c>
      <c r="T395" s="9"/>
      <c r="U395" s="10"/>
      <c r="V395" s="9"/>
      <c r="W395" s="17"/>
      <c r="X395" s="17"/>
      <c r="Y395" s="17" t="str">
        <f aca="false">IF(ISNUMBER(X395),X395-S395,"")</f>
        <v/>
      </c>
      <c r="Z395" s="17" t="n">
        <f aca="false">IF(ISNUMBER(X395),X395-S395,-S395)</f>
        <v>-385.05</v>
      </c>
      <c r="AA395" s="9" t="str">
        <f aca="false">IF(NOT(ISNUMBER(X395)),"NO AUGUST POSTING IN EXPORT",IF(ABS(Y395)&gt;=0.005,"POSTED CHARGE MISMATCH",IF(P395&gt;0,"MATCH - COVERED ELIGIBILITY EXCEPTION","MATCH")))</f>
        <v>NO AUGUST POSTING IN EXPORT</v>
      </c>
      <c r="AB395" s="9" t="s">
        <v>4231</v>
      </c>
    </row>
    <row r="396" customFormat="false" ht="15" hidden="false" customHeight="false" outlineLevel="0" collapsed="false">
      <c r="A396" s="13" t="s">
        <v>4232</v>
      </c>
      <c r="B396" s="13" t="s">
        <v>155</v>
      </c>
      <c r="C396" s="13" t="s">
        <v>146</v>
      </c>
      <c r="D396" s="13" t="s">
        <v>2002</v>
      </c>
      <c r="E396" s="13" t="s">
        <v>3161</v>
      </c>
      <c r="F396" s="13" t="s">
        <v>4233</v>
      </c>
      <c r="G396" s="13" t="s">
        <v>4234</v>
      </c>
      <c r="H396" s="13" t="s">
        <v>2898</v>
      </c>
      <c r="I396" s="15" t="n">
        <v>40</v>
      </c>
      <c r="J396" s="15" t="n">
        <v>29</v>
      </c>
      <c r="K396" s="15"/>
      <c r="L396" s="15"/>
      <c r="M396" s="15" t="n">
        <f aca="false">IF(ISNUMBER(L396),L396,J396)</f>
        <v>29</v>
      </c>
      <c r="N396" s="15" t="n">
        <f aca="false">ROUNDUP(M396,0)</f>
        <v>29</v>
      </c>
      <c r="O396" s="15" t="n">
        <f aca="false">MAX(I396,N396)</f>
        <v>40</v>
      </c>
      <c r="P396" s="15" t="n">
        <f aca="false">IF(C396="COVERED",MAX(0,O396-40),0)</f>
        <v>0</v>
      </c>
      <c r="Q396" s="15" t="n">
        <f aca="false">O396</f>
        <v>40</v>
      </c>
      <c r="R396" s="18" t="n">
        <f aca="false">IF(C396="COVERED",10.4,7.55)</f>
        <v>7.55</v>
      </c>
      <c r="S396" s="18" t="n">
        <f aca="false">Q396*R396</f>
        <v>302</v>
      </c>
      <c r="T396" s="13"/>
      <c r="U396" s="14"/>
      <c r="V396" s="13"/>
      <c r="W396" s="18"/>
      <c r="X396" s="18"/>
      <c r="Y396" s="18" t="str">
        <f aca="false">IF(ISNUMBER(X396),X396-S396,"")</f>
        <v/>
      </c>
      <c r="Z396" s="18" t="n">
        <f aca="false">IF(ISNUMBER(X396),X396-S396,-S396)</f>
        <v>-302</v>
      </c>
      <c r="AA396" s="13" t="str">
        <f aca="false">IF(NOT(ISNUMBER(X396)),"NO AUGUST POSTING IN EXPORT",IF(ABS(Y396)&gt;=0.005,"POSTED CHARGE MISMATCH",IF(P396&gt;0,"MATCH - COVERED ELIGIBILITY EXCEPTION","MATCH")))</f>
        <v>NO AUGUST POSTING IN EXPORT</v>
      </c>
      <c r="AB396" s="13" t="s">
        <v>4235</v>
      </c>
    </row>
    <row r="397" customFormat="false" ht="15" hidden="false" customHeight="false" outlineLevel="0" collapsed="false">
      <c r="A397" s="9" t="s">
        <v>1345</v>
      </c>
      <c r="B397" s="9" t="s">
        <v>155</v>
      </c>
      <c r="C397" s="9" t="s">
        <v>146</v>
      </c>
      <c r="D397" s="9" t="s">
        <v>2002</v>
      </c>
      <c r="E397" s="9" t="s">
        <v>3167</v>
      </c>
      <c r="F397" s="9" t="s">
        <v>4236</v>
      </c>
      <c r="G397" s="9" t="s">
        <v>4237</v>
      </c>
      <c r="H397" s="9" t="s">
        <v>3043</v>
      </c>
      <c r="I397" s="11" t="n">
        <v>50</v>
      </c>
      <c r="J397" s="11" t="n">
        <v>25.9</v>
      </c>
      <c r="K397" s="11"/>
      <c r="L397" s="11"/>
      <c r="M397" s="11" t="n">
        <f aca="false">IF(ISNUMBER(L397),L397,J397)</f>
        <v>25.9</v>
      </c>
      <c r="N397" s="11" t="n">
        <f aca="false">ROUNDUP(M397,0)</f>
        <v>26</v>
      </c>
      <c r="O397" s="11" t="n">
        <f aca="false">MAX(I397,N397)</f>
        <v>50</v>
      </c>
      <c r="P397" s="11" t="n">
        <f aca="false">IF(C397="COVERED",MAX(0,O397-40),0)</f>
        <v>0</v>
      </c>
      <c r="Q397" s="11" t="n">
        <f aca="false">O397</f>
        <v>50</v>
      </c>
      <c r="R397" s="17" t="n">
        <f aca="false">IF(C397="COVERED",10.4,7.55)</f>
        <v>7.55</v>
      </c>
      <c r="S397" s="17" t="n">
        <f aca="false">Q397*R397</f>
        <v>377.5</v>
      </c>
      <c r="T397" s="9"/>
      <c r="U397" s="10"/>
      <c r="V397" s="9"/>
      <c r="W397" s="17"/>
      <c r="X397" s="17"/>
      <c r="Y397" s="17" t="str">
        <f aca="false">IF(ISNUMBER(X397),X397-S397,"")</f>
        <v/>
      </c>
      <c r="Z397" s="17" t="n">
        <f aca="false">IF(ISNUMBER(X397),X397-S397,-S397)</f>
        <v>-377.5</v>
      </c>
      <c r="AA397" s="9" t="str">
        <f aca="false">IF(NOT(ISNUMBER(X397)),"NO AUGUST POSTING IN EXPORT",IF(ABS(Y397)&gt;=0.005,"POSTED CHARGE MISMATCH",IF(P397&gt;0,"MATCH - COVERED ELIGIBILITY EXCEPTION","MATCH")))</f>
        <v>NO AUGUST POSTING IN EXPORT</v>
      </c>
      <c r="AB397" s="9" t="s">
        <v>4238</v>
      </c>
    </row>
    <row r="398" customFormat="false" ht="15" hidden="false" customHeight="false" outlineLevel="0" collapsed="false">
      <c r="A398" s="13" t="s">
        <v>4239</v>
      </c>
      <c r="B398" s="13" t="s">
        <v>155</v>
      </c>
      <c r="C398" s="13" t="s">
        <v>146</v>
      </c>
      <c r="D398" s="13" t="s">
        <v>2002</v>
      </c>
      <c r="E398" s="13" t="s">
        <v>3173</v>
      </c>
      <c r="F398" s="13" t="s">
        <v>4240</v>
      </c>
      <c r="G398" s="13" t="s">
        <v>4241</v>
      </c>
      <c r="H398" s="13" t="s">
        <v>4242</v>
      </c>
      <c r="I398" s="15" t="n">
        <v>32</v>
      </c>
      <c r="J398" s="15" t="n">
        <v>36.5</v>
      </c>
      <c r="K398" s="15"/>
      <c r="L398" s="15"/>
      <c r="M398" s="15" t="n">
        <f aca="false">IF(ISNUMBER(L398),L398,J398)</f>
        <v>36.5</v>
      </c>
      <c r="N398" s="15" t="n">
        <f aca="false">ROUNDUP(M398,0)</f>
        <v>37</v>
      </c>
      <c r="O398" s="15" t="n">
        <f aca="false">MAX(I398,N398)</f>
        <v>37</v>
      </c>
      <c r="P398" s="15" t="n">
        <f aca="false">IF(C398="COVERED",MAX(0,O398-40),0)</f>
        <v>0</v>
      </c>
      <c r="Q398" s="15" t="n">
        <f aca="false">O398</f>
        <v>37</v>
      </c>
      <c r="R398" s="18" t="n">
        <f aca="false">IF(C398="COVERED",10.4,7.55)</f>
        <v>7.55</v>
      </c>
      <c r="S398" s="18" t="n">
        <f aca="false">Q398*R398</f>
        <v>279.35</v>
      </c>
      <c r="T398" s="13"/>
      <c r="U398" s="14"/>
      <c r="V398" s="13"/>
      <c r="W398" s="18"/>
      <c r="X398" s="18"/>
      <c r="Y398" s="18" t="str">
        <f aca="false">IF(ISNUMBER(X398),X398-S398,"")</f>
        <v/>
      </c>
      <c r="Z398" s="18" t="n">
        <f aca="false">IF(ISNUMBER(X398),X398-S398,-S398)</f>
        <v>-279.35</v>
      </c>
      <c r="AA398" s="13" t="str">
        <f aca="false">IF(NOT(ISNUMBER(X398)),"NO AUGUST POSTING IN EXPORT",IF(ABS(Y398)&gt;=0.005,"POSTED CHARGE MISMATCH",IF(P398&gt;0,"MATCH - COVERED ELIGIBILITY EXCEPTION","MATCH")))</f>
        <v>NO AUGUST POSTING IN EXPORT</v>
      </c>
      <c r="AB398" s="13" t="s">
        <v>4243</v>
      </c>
    </row>
    <row r="399" customFormat="false" ht="15" hidden="false" customHeight="false" outlineLevel="0" collapsed="false">
      <c r="A399" s="9" t="s">
        <v>4244</v>
      </c>
      <c r="B399" s="9" t="s">
        <v>155</v>
      </c>
      <c r="C399" s="9" t="s">
        <v>146</v>
      </c>
      <c r="D399" s="9" t="s">
        <v>2002</v>
      </c>
      <c r="E399" s="9" t="s">
        <v>3179</v>
      </c>
      <c r="F399" s="9" t="s">
        <v>4245</v>
      </c>
      <c r="G399" s="9" t="s">
        <v>4246</v>
      </c>
      <c r="H399" s="9" t="s">
        <v>4247</v>
      </c>
      <c r="I399" s="11" t="n">
        <v>32</v>
      </c>
      <c r="J399" s="11" t="n">
        <v>59</v>
      </c>
      <c r="K399" s="11"/>
      <c r="L399" s="11"/>
      <c r="M399" s="11" t="n">
        <f aca="false">IF(ISNUMBER(L399),L399,J399)</f>
        <v>59</v>
      </c>
      <c r="N399" s="11" t="n">
        <f aca="false">ROUNDUP(M399,0)</f>
        <v>59</v>
      </c>
      <c r="O399" s="11" t="n">
        <f aca="false">MAX(I399,N399)</f>
        <v>59</v>
      </c>
      <c r="P399" s="11" t="n">
        <f aca="false">IF(C399="COVERED",MAX(0,O399-40),0)</f>
        <v>0</v>
      </c>
      <c r="Q399" s="11" t="n">
        <f aca="false">O399</f>
        <v>59</v>
      </c>
      <c r="R399" s="17" t="n">
        <f aca="false">IF(C399="COVERED",10.4,7.55)</f>
        <v>7.55</v>
      </c>
      <c r="S399" s="17" t="n">
        <f aca="false">Q399*R399</f>
        <v>445.45</v>
      </c>
      <c r="T399" s="9"/>
      <c r="U399" s="10"/>
      <c r="V399" s="9"/>
      <c r="W399" s="17"/>
      <c r="X399" s="17"/>
      <c r="Y399" s="17" t="str">
        <f aca="false">IF(ISNUMBER(X399),X399-S399,"")</f>
        <v/>
      </c>
      <c r="Z399" s="17" t="n">
        <f aca="false">IF(ISNUMBER(X399),X399-S399,-S399)</f>
        <v>-445.45</v>
      </c>
      <c r="AA399" s="9" t="str">
        <f aca="false">IF(NOT(ISNUMBER(X399)),"NO AUGUST POSTING IN EXPORT",IF(ABS(Y399)&gt;=0.005,"POSTED CHARGE MISMATCH",IF(P399&gt;0,"MATCH - COVERED ELIGIBILITY EXCEPTION","MATCH")))</f>
        <v>NO AUGUST POSTING IN EXPORT</v>
      </c>
      <c r="AB399" s="9" t="s">
        <v>4248</v>
      </c>
    </row>
    <row r="400" customFormat="false" ht="15" hidden="false" customHeight="false" outlineLevel="0" collapsed="false">
      <c r="A400" s="13" t="s">
        <v>4249</v>
      </c>
      <c r="B400" s="13" t="s">
        <v>155</v>
      </c>
      <c r="C400" s="13" t="s">
        <v>146</v>
      </c>
      <c r="D400" s="13" t="s">
        <v>2002</v>
      </c>
      <c r="E400" s="13" t="s">
        <v>3186</v>
      </c>
      <c r="F400" s="13" t="s">
        <v>200</v>
      </c>
      <c r="G400" s="13" t="s">
        <v>201</v>
      </c>
      <c r="H400" s="13" t="s">
        <v>3561</v>
      </c>
      <c r="I400" s="15" t="n">
        <v>28</v>
      </c>
      <c r="J400" s="15" t="n">
        <v>53.1</v>
      </c>
      <c r="K400" s="15"/>
      <c r="L400" s="15"/>
      <c r="M400" s="15" t="n">
        <f aca="false">IF(ISNUMBER(L400),L400,J400)</f>
        <v>53.1</v>
      </c>
      <c r="N400" s="15" t="n">
        <f aca="false">ROUNDUP(M400,0)</f>
        <v>54</v>
      </c>
      <c r="O400" s="15" t="n">
        <f aca="false">MAX(I400,N400)</f>
        <v>54</v>
      </c>
      <c r="P400" s="15" t="n">
        <f aca="false">IF(C400="COVERED",MAX(0,O400-40),0)</f>
        <v>0</v>
      </c>
      <c r="Q400" s="15" t="n">
        <f aca="false">O400</f>
        <v>54</v>
      </c>
      <c r="R400" s="18" t="n">
        <f aca="false">IF(C400="COVERED",10.4,7.55)</f>
        <v>7.55</v>
      </c>
      <c r="S400" s="18" t="n">
        <f aca="false">Q400*R400</f>
        <v>407.7</v>
      </c>
      <c r="T400" s="13"/>
      <c r="U400" s="14"/>
      <c r="V400" s="13"/>
      <c r="W400" s="18"/>
      <c r="X400" s="18"/>
      <c r="Y400" s="18" t="str">
        <f aca="false">IF(ISNUMBER(X400),X400-S400,"")</f>
        <v/>
      </c>
      <c r="Z400" s="18" t="n">
        <f aca="false">IF(ISNUMBER(X400),X400-S400,-S400)</f>
        <v>-407.7</v>
      </c>
      <c r="AA400" s="13" t="str">
        <f aca="false">IF(NOT(ISNUMBER(X400)),"NO AUGUST POSTING IN EXPORT",IF(ABS(Y400)&gt;=0.005,"POSTED CHARGE MISMATCH",IF(P400&gt;0,"MATCH - COVERED ELIGIBILITY EXCEPTION","MATCH")))</f>
        <v>NO AUGUST POSTING IN EXPORT</v>
      </c>
      <c r="AB400" s="13" t="s">
        <v>4250</v>
      </c>
    </row>
    <row r="401" customFormat="false" ht="15" hidden="false" customHeight="false" outlineLevel="0" collapsed="false">
      <c r="A401" s="9" t="s">
        <v>4251</v>
      </c>
      <c r="B401" s="9" t="s">
        <v>155</v>
      </c>
      <c r="C401" s="9" t="s">
        <v>146</v>
      </c>
      <c r="D401" s="9" t="s">
        <v>2002</v>
      </c>
      <c r="E401" s="9" t="s">
        <v>3193</v>
      </c>
      <c r="F401" s="9" t="s">
        <v>4252</v>
      </c>
      <c r="G401" s="9" t="s">
        <v>4253</v>
      </c>
      <c r="H401" s="9" t="s">
        <v>4254</v>
      </c>
      <c r="I401" s="11" t="n">
        <v>24</v>
      </c>
      <c r="J401" s="11" t="n">
        <v>45.4</v>
      </c>
      <c r="K401" s="11"/>
      <c r="L401" s="11"/>
      <c r="M401" s="11" t="n">
        <f aca="false">IF(ISNUMBER(L401),L401,J401)</f>
        <v>45.4</v>
      </c>
      <c r="N401" s="11" t="n">
        <f aca="false">ROUNDUP(M401,0)</f>
        <v>46</v>
      </c>
      <c r="O401" s="11" t="n">
        <f aca="false">MAX(I401,N401)</f>
        <v>46</v>
      </c>
      <c r="P401" s="11" t="n">
        <f aca="false">IF(C401="COVERED",MAX(0,O401-40),0)</f>
        <v>0</v>
      </c>
      <c r="Q401" s="11" t="n">
        <f aca="false">O401</f>
        <v>46</v>
      </c>
      <c r="R401" s="17" t="n">
        <f aca="false">IF(C401="COVERED",10.4,7.55)</f>
        <v>7.55</v>
      </c>
      <c r="S401" s="17" t="n">
        <f aca="false">Q401*R401</f>
        <v>347.3</v>
      </c>
      <c r="T401" s="9"/>
      <c r="U401" s="10"/>
      <c r="V401" s="9"/>
      <c r="W401" s="17"/>
      <c r="X401" s="17"/>
      <c r="Y401" s="17" t="str">
        <f aca="false">IF(ISNUMBER(X401),X401-S401,"")</f>
        <v/>
      </c>
      <c r="Z401" s="17" t="n">
        <f aca="false">IF(ISNUMBER(X401),X401-S401,-S401)</f>
        <v>-347.3</v>
      </c>
      <c r="AA401" s="9" t="str">
        <f aca="false">IF(NOT(ISNUMBER(X401)),"NO AUGUST POSTING IN EXPORT",IF(ABS(Y401)&gt;=0.005,"POSTED CHARGE MISMATCH",IF(P401&gt;0,"MATCH - COVERED ELIGIBILITY EXCEPTION","MATCH")))</f>
        <v>NO AUGUST POSTING IN EXPORT</v>
      </c>
      <c r="AB401" s="9" t="s">
        <v>4255</v>
      </c>
    </row>
    <row r="402" customFormat="false" ht="15" hidden="false" customHeight="false" outlineLevel="0" collapsed="false">
      <c r="A402" s="13" t="s">
        <v>1384</v>
      </c>
      <c r="B402" s="13" t="s">
        <v>155</v>
      </c>
      <c r="C402" s="13" t="s">
        <v>146</v>
      </c>
      <c r="D402" s="13" t="s">
        <v>2002</v>
      </c>
      <c r="E402" s="13" t="s">
        <v>3200</v>
      </c>
      <c r="F402" s="13" t="s">
        <v>4256</v>
      </c>
      <c r="G402" s="13" t="s">
        <v>4257</v>
      </c>
      <c r="H402" s="13" t="s">
        <v>4258</v>
      </c>
      <c r="I402" s="15" t="n">
        <v>32</v>
      </c>
      <c r="J402" s="15" t="n">
        <v>55.2</v>
      </c>
      <c r="K402" s="15"/>
      <c r="L402" s="15"/>
      <c r="M402" s="15" t="n">
        <f aca="false">IF(ISNUMBER(L402),L402,J402)</f>
        <v>55.2</v>
      </c>
      <c r="N402" s="15" t="n">
        <f aca="false">ROUNDUP(M402,0)</f>
        <v>56</v>
      </c>
      <c r="O402" s="15" t="n">
        <f aca="false">MAX(I402,N402)</f>
        <v>56</v>
      </c>
      <c r="P402" s="15" t="n">
        <f aca="false">IF(C402="COVERED",MAX(0,O402-40),0)</f>
        <v>0</v>
      </c>
      <c r="Q402" s="15" t="n">
        <f aca="false">O402</f>
        <v>56</v>
      </c>
      <c r="R402" s="18" t="n">
        <f aca="false">IF(C402="COVERED",10.4,7.55)</f>
        <v>7.55</v>
      </c>
      <c r="S402" s="18" t="n">
        <f aca="false">Q402*R402</f>
        <v>422.8</v>
      </c>
      <c r="T402" s="13"/>
      <c r="U402" s="14"/>
      <c r="V402" s="13"/>
      <c r="W402" s="18"/>
      <c r="X402" s="18"/>
      <c r="Y402" s="18" t="str">
        <f aca="false">IF(ISNUMBER(X402),X402-S402,"")</f>
        <v/>
      </c>
      <c r="Z402" s="18" t="n">
        <f aca="false">IF(ISNUMBER(X402),X402-S402,-S402)</f>
        <v>-422.8</v>
      </c>
      <c r="AA402" s="13" t="str">
        <f aca="false">IF(NOT(ISNUMBER(X402)),"NO AUGUST POSTING IN EXPORT",IF(ABS(Y402)&gt;=0.005,"POSTED CHARGE MISMATCH",IF(P402&gt;0,"MATCH - COVERED ELIGIBILITY EXCEPTION","MATCH")))</f>
        <v>NO AUGUST POSTING IN EXPORT</v>
      </c>
      <c r="AB402" s="13" t="s">
        <v>4259</v>
      </c>
    </row>
    <row r="403" customFormat="false" ht="15" hidden="false" customHeight="false" outlineLevel="0" collapsed="false">
      <c r="A403" s="9" t="s">
        <v>4260</v>
      </c>
      <c r="B403" s="9" t="s">
        <v>155</v>
      </c>
      <c r="C403" s="9" t="s">
        <v>146</v>
      </c>
      <c r="D403" s="9" t="s">
        <v>2002</v>
      </c>
      <c r="E403" s="9" t="s">
        <v>3206</v>
      </c>
      <c r="F403" s="9" t="s">
        <v>4261</v>
      </c>
      <c r="G403" s="9" t="s">
        <v>4262</v>
      </c>
      <c r="H403" s="9" t="s">
        <v>4112</v>
      </c>
      <c r="I403" s="11" t="n">
        <v>24</v>
      </c>
      <c r="J403" s="11" t="n">
        <v>61.5</v>
      </c>
      <c r="K403" s="11"/>
      <c r="L403" s="11"/>
      <c r="M403" s="11" t="n">
        <f aca="false">IF(ISNUMBER(L403),L403,J403)</f>
        <v>61.5</v>
      </c>
      <c r="N403" s="11" t="n">
        <f aca="false">ROUNDUP(M403,0)</f>
        <v>62</v>
      </c>
      <c r="O403" s="11" t="n">
        <f aca="false">MAX(I403,N403)</f>
        <v>62</v>
      </c>
      <c r="P403" s="11" t="n">
        <f aca="false">IF(C403="COVERED",MAX(0,O403-40),0)</f>
        <v>0</v>
      </c>
      <c r="Q403" s="11" t="n">
        <f aca="false">O403</f>
        <v>62</v>
      </c>
      <c r="R403" s="17" t="n">
        <f aca="false">IF(C403="COVERED",10.4,7.55)</f>
        <v>7.55</v>
      </c>
      <c r="S403" s="17" t="n">
        <f aca="false">Q403*R403</f>
        <v>468.1</v>
      </c>
      <c r="T403" s="9"/>
      <c r="U403" s="10"/>
      <c r="V403" s="9"/>
      <c r="W403" s="17"/>
      <c r="X403" s="17"/>
      <c r="Y403" s="17" t="str">
        <f aca="false">IF(ISNUMBER(X403),X403-S403,"")</f>
        <v/>
      </c>
      <c r="Z403" s="17" t="n">
        <f aca="false">IF(ISNUMBER(X403),X403-S403,-S403)</f>
        <v>-468.1</v>
      </c>
      <c r="AA403" s="9" t="str">
        <f aca="false">IF(NOT(ISNUMBER(X403)),"NO AUGUST POSTING IN EXPORT",IF(ABS(Y403)&gt;=0.005,"POSTED CHARGE MISMATCH",IF(P403&gt;0,"MATCH - COVERED ELIGIBILITY EXCEPTION","MATCH")))</f>
        <v>NO AUGUST POSTING IN EXPORT</v>
      </c>
      <c r="AB403" s="9" t="s">
        <v>4263</v>
      </c>
    </row>
    <row r="404" customFormat="false" ht="15" hidden="false" customHeight="false" outlineLevel="0" collapsed="false">
      <c r="A404" s="13" t="s">
        <v>4264</v>
      </c>
      <c r="B404" s="13" t="s">
        <v>155</v>
      </c>
      <c r="C404" s="13" t="s">
        <v>146</v>
      </c>
      <c r="D404" s="13" t="s">
        <v>2002</v>
      </c>
      <c r="E404" s="13" t="s">
        <v>3212</v>
      </c>
      <c r="F404" s="13" t="s">
        <v>498</v>
      </c>
      <c r="G404" s="13" t="s">
        <v>499</v>
      </c>
      <c r="H404" s="13" t="s">
        <v>2553</v>
      </c>
      <c r="I404" s="15" t="n">
        <v>24</v>
      </c>
      <c r="J404" s="15" t="n">
        <v>56.4</v>
      </c>
      <c r="K404" s="15"/>
      <c r="L404" s="15"/>
      <c r="M404" s="15" t="n">
        <f aca="false">IF(ISNUMBER(L404),L404,J404)</f>
        <v>56.4</v>
      </c>
      <c r="N404" s="15" t="n">
        <f aca="false">ROUNDUP(M404,0)</f>
        <v>57</v>
      </c>
      <c r="O404" s="15" t="n">
        <f aca="false">MAX(I404,N404)</f>
        <v>57</v>
      </c>
      <c r="P404" s="15" t="n">
        <f aca="false">IF(C404="COVERED",MAX(0,O404-40),0)</f>
        <v>0</v>
      </c>
      <c r="Q404" s="15" t="n">
        <f aca="false">O404</f>
        <v>57</v>
      </c>
      <c r="R404" s="18" t="n">
        <f aca="false">IF(C404="COVERED",10.4,7.55)</f>
        <v>7.55</v>
      </c>
      <c r="S404" s="18" t="n">
        <f aca="false">Q404*R404</f>
        <v>430.35</v>
      </c>
      <c r="T404" s="13"/>
      <c r="U404" s="14"/>
      <c r="V404" s="13"/>
      <c r="W404" s="18"/>
      <c r="X404" s="18"/>
      <c r="Y404" s="18" t="str">
        <f aca="false">IF(ISNUMBER(X404),X404-S404,"")</f>
        <v/>
      </c>
      <c r="Z404" s="18" t="n">
        <f aca="false">IF(ISNUMBER(X404),X404-S404,-S404)</f>
        <v>-430.35</v>
      </c>
      <c r="AA404" s="13" t="str">
        <f aca="false">IF(NOT(ISNUMBER(X404)),"NO AUGUST POSTING IN EXPORT",IF(ABS(Y404)&gt;=0.005,"POSTED CHARGE MISMATCH",IF(P404&gt;0,"MATCH - COVERED ELIGIBILITY EXCEPTION","MATCH")))</f>
        <v>NO AUGUST POSTING IN EXPORT</v>
      </c>
      <c r="AB404" s="13" t="s">
        <v>4265</v>
      </c>
    </row>
    <row r="405" customFormat="false" ht="15" hidden="false" customHeight="false" outlineLevel="0" collapsed="false">
      <c r="A405" s="9" t="s">
        <v>4266</v>
      </c>
      <c r="B405" s="9" t="s">
        <v>155</v>
      </c>
      <c r="C405" s="9" t="s">
        <v>146</v>
      </c>
      <c r="D405" s="9" t="s">
        <v>2002</v>
      </c>
      <c r="E405" s="9" t="s">
        <v>3219</v>
      </c>
      <c r="F405" s="9" t="s">
        <v>4267</v>
      </c>
      <c r="G405" s="9" t="s">
        <v>4268</v>
      </c>
      <c r="H405" s="9" t="s">
        <v>4269</v>
      </c>
      <c r="I405" s="11" t="n">
        <v>50</v>
      </c>
      <c r="J405" s="11" t="n">
        <v>61.6</v>
      </c>
      <c r="K405" s="11"/>
      <c r="L405" s="11"/>
      <c r="M405" s="11" t="n">
        <f aca="false">IF(ISNUMBER(L405),L405,J405)</f>
        <v>61.6</v>
      </c>
      <c r="N405" s="11" t="n">
        <f aca="false">ROUNDUP(M405,0)</f>
        <v>62</v>
      </c>
      <c r="O405" s="11" t="n">
        <f aca="false">MAX(I405,N405)</f>
        <v>62</v>
      </c>
      <c r="P405" s="11" t="n">
        <f aca="false">IF(C405="COVERED",MAX(0,O405-40),0)</f>
        <v>0</v>
      </c>
      <c r="Q405" s="11" t="n">
        <f aca="false">O405</f>
        <v>62</v>
      </c>
      <c r="R405" s="17" t="n">
        <f aca="false">IF(C405="COVERED",10.4,7.55)</f>
        <v>7.55</v>
      </c>
      <c r="S405" s="17" t="n">
        <f aca="false">Q405*R405</f>
        <v>468.1</v>
      </c>
      <c r="T405" s="9"/>
      <c r="U405" s="10"/>
      <c r="V405" s="9"/>
      <c r="W405" s="17"/>
      <c r="X405" s="17"/>
      <c r="Y405" s="17" t="str">
        <f aca="false">IF(ISNUMBER(X405),X405-S405,"")</f>
        <v/>
      </c>
      <c r="Z405" s="17" t="n">
        <f aca="false">IF(ISNUMBER(X405),X405-S405,-S405)</f>
        <v>-468.1</v>
      </c>
      <c r="AA405" s="9" t="str">
        <f aca="false">IF(NOT(ISNUMBER(X405)),"NO AUGUST POSTING IN EXPORT",IF(ABS(Y405)&gt;=0.005,"POSTED CHARGE MISMATCH",IF(P405&gt;0,"MATCH - COVERED ELIGIBILITY EXCEPTION","MATCH")))</f>
        <v>NO AUGUST POSTING IN EXPORT</v>
      </c>
      <c r="AB405" s="9" t="s">
        <v>4270</v>
      </c>
    </row>
    <row r="406" customFormat="false" ht="15" hidden="false" customHeight="false" outlineLevel="0" collapsed="false">
      <c r="A406" s="13" t="s">
        <v>4271</v>
      </c>
      <c r="B406" s="13" t="s">
        <v>155</v>
      </c>
      <c r="C406" s="13" t="s">
        <v>146</v>
      </c>
      <c r="D406" s="13" t="s">
        <v>2002</v>
      </c>
      <c r="E406" s="13" t="s">
        <v>3226</v>
      </c>
      <c r="F406" s="13" t="s">
        <v>4272</v>
      </c>
      <c r="G406" s="13" t="s">
        <v>4273</v>
      </c>
      <c r="H406" s="13" t="s">
        <v>2464</v>
      </c>
      <c r="I406" s="15" t="n">
        <v>36</v>
      </c>
      <c r="J406" s="15" t="n">
        <v>53.5</v>
      </c>
      <c r="K406" s="15"/>
      <c r="L406" s="15"/>
      <c r="M406" s="15" t="n">
        <f aca="false">IF(ISNUMBER(L406),L406,J406)</f>
        <v>53.5</v>
      </c>
      <c r="N406" s="15" t="n">
        <f aca="false">ROUNDUP(M406,0)</f>
        <v>54</v>
      </c>
      <c r="O406" s="15" t="n">
        <f aca="false">MAX(I406,N406)</f>
        <v>54</v>
      </c>
      <c r="P406" s="15" t="n">
        <f aca="false">IF(C406="COVERED",MAX(0,O406-40),0)</f>
        <v>0</v>
      </c>
      <c r="Q406" s="15" t="n">
        <f aca="false">O406</f>
        <v>54</v>
      </c>
      <c r="R406" s="18" t="n">
        <f aca="false">IF(C406="COVERED",10.4,7.55)</f>
        <v>7.55</v>
      </c>
      <c r="S406" s="18" t="n">
        <f aca="false">Q406*R406</f>
        <v>407.7</v>
      </c>
      <c r="T406" s="13"/>
      <c r="U406" s="14"/>
      <c r="V406" s="13"/>
      <c r="W406" s="18"/>
      <c r="X406" s="18"/>
      <c r="Y406" s="18" t="str">
        <f aca="false">IF(ISNUMBER(X406),X406-S406,"")</f>
        <v/>
      </c>
      <c r="Z406" s="18" t="n">
        <f aca="false">IF(ISNUMBER(X406),X406-S406,-S406)</f>
        <v>-407.7</v>
      </c>
      <c r="AA406" s="13" t="str">
        <f aca="false">IF(NOT(ISNUMBER(X406)),"NO AUGUST POSTING IN EXPORT",IF(ABS(Y406)&gt;=0.005,"POSTED CHARGE MISMATCH",IF(P406&gt;0,"MATCH - COVERED ELIGIBILITY EXCEPTION","MATCH")))</f>
        <v>NO AUGUST POSTING IN EXPORT</v>
      </c>
      <c r="AB406" s="13" t="s">
        <v>4274</v>
      </c>
    </row>
    <row r="407" customFormat="false" ht="15" hidden="false" customHeight="false" outlineLevel="0" collapsed="false">
      <c r="A407" s="9" t="s">
        <v>4275</v>
      </c>
      <c r="B407" s="9" t="s">
        <v>155</v>
      </c>
      <c r="C407" s="9" t="s">
        <v>146</v>
      </c>
      <c r="D407" s="9" t="s">
        <v>2002</v>
      </c>
      <c r="E407" s="9" t="s">
        <v>3233</v>
      </c>
      <c r="F407" s="9" t="s">
        <v>4276</v>
      </c>
      <c r="G407" s="9" t="s">
        <v>4277</v>
      </c>
      <c r="H407" s="9" t="s">
        <v>4278</v>
      </c>
      <c r="I407" s="11" t="n">
        <v>28</v>
      </c>
      <c r="J407" s="11" t="n">
        <v>35.7</v>
      </c>
      <c r="K407" s="11"/>
      <c r="L407" s="11"/>
      <c r="M407" s="11" t="n">
        <f aca="false">IF(ISNUMBER(L407),L407,J407)</f>
        <v>35.7</v>
      </c>
      <c r="N407" s="11" t="n">
        <f aca="false">ROUNDUP(M407,0)</f>
        <v>36</v>
      </c>
      <c r="O407" s="11" t="n">
        <f aca="false">MAX(I407,N407)</f>
        <v>36</v>
      </c>
      <c r="P407" s="11" t="n">
        <f aca="false">IF(C407="COVERED",MAX(0,O407-40),0)</f>
        <v>0</v>
      </c>
      <c r="Q407" s="11" t="n">
        <f aca="false">O407</f>
        <v>36</v>
      </c>
      <c r="R407" s="17" t="n">
        <f aca="false">IF(C407="COVERED",10.4,7.55)</f>
        <v>7.55</v>
      </c>
      <c r="S407" s="17" t="n">
        <f aca="false">Q407*R407</f>
        <v>271.8</v>
      </c>
      <c r="T407" s="9"/>
      <c r="U407" s="10"/>
      <c r="V407" s="9"/>
      <c r="W407" s="17"/>
      <c r="X407" s="17"/>
      <c r="Y407" s="17" t="str">
        <f aca="false">IF(ISNUMBER(X407),X407-S407,"")</f>
        <v/>
      </c>
      <c r="Z407" s="17" t="n">
        <f aca="false">IF(ISNUMBER(X407),X407-S407,-S407)</f>
        <v>-271.8</v>
      </c>
      <c r="AA407" s="9" t="str">
        <f aca="false">IF(NOT(ISNUMBER(X407)),"NO AUGUST POSTING IN EXPORT",IF(ABS(Y407)&gt;=0.005,"POSTED CHARGE MISMATCH",IF(P407&gt;0,"MATCH - COVERED ELIGIBILITY EXCEPTION","MATCH")))</f>
        <v>NO AUGUST POSTING IN EXPORT</v>
      </c>
      <c r="AB407" s="9" t="s">
        <v>4279</v>
      </c>
    </row>
    <row r="408" customFormat="false" ht="15" hidden="false" customHeight="false" outlineLevel="0" collapsed="false">
      <c r="A408" s="13" t="s">
        <v>4280</v>
      </c>
      <c r="B408" s="13" t="s">
        <v>155</v>
      </c>
      <c r="C408" s="13" t="s">
        <v>146</v>
      </c>
      <c r="D408" s="13" t="s">
        <v>2002</v>
      </c>
      <c r="E408" s="13" t="s">
        <v>3240</v>
      </c>
      <c r="F408" s="13" t="s">
        <v>4281</v>
      </c>
      <c r="G408" s="13" t="s">
        <v>4282</v>
      </c>
      <c r="H408" s="13" t="s">
        <v>4140</v>
      </c>
      <c r="I408" s="15" t="n">
        <v>32</v>
      </c>
      <c r="J408" s="15" t="n">
        <v>46.7</v>
      </c>
      <c r="K408" s="15"/>
      <c r="L408" s="15"/>
      <c r="M408" s="15" t="n">
        <f aca="false">IF(ISNUMBER(L408),L408,J408)</f>
        <v>46.7</v>
      </c>
      <c r="N408" s="15" t="n">
        <f aca="false">ROUNDUP(M408,0)</f>
        <v>47</v>
      </c>
      <c r="O408" s="15" t="n">
        <f aca="false">MAX(I408,N408)</f>
        <v>47</v>
      </c>
      <c r="P408" s="15" t="n">
        <f aca="false">IF(C408="COVERED",MAX(0,O408-40),0)</f>
        <v>0</v>
      </c>
      <c r="Q408" s="15" t="n">
        <f aca="false">O408</f>
        <v>47</v>
      </c>
      <c r="R408" s="18" t="n">
        <f aca="false">IF(C408="COVERED",10.4,7.55)</f>
        <v>7.55</v>
      </c>
      <c r="S408" s="18" t="n">
        <f aca="false">Q408*R408</f>
        <v>354.85</v>
      </c>
      <c r="T408" s="13"/>
      <c r="U408" s="14"/>
      <c r="V408" s="13"/>
      <c r="W408" s="18"/>
      <c r="X408" s="18"/>
      <c r="Y408" s="18" t="str">
        <f aca="false">IF(ISNUMBER(X408),X408-S408,"")</f>
        <v/>
      </c>
      <c r="Z408" s="18" t="n">
        <f aca="false">IF(ISNUMBER(X408),X408-S408,-S408)</f>
        <v>-354.85</v>
      </c>
      <c r="AA408" s="13" t="str">
        <f aca="false">IF(NOT(ISNUMBER(X408)),"NO AUGUST POSTING IN EXPORT",IF(ABS(Y408)&gt;=0.005,"POSTED CHARGE MISMATCH",IF(P408&gt;0,"MATCH - COVERED ELIGIBILITY EXCEPTION","MATCH")))</f>
        <v>NO AUGUST POSTING IN EXPORT</v>
      </c>
      <c r="AB408" s="13" t="s">
        <v>4283</v>
      </c>
    </row>
    <row r="409" customFormat="false" ht="15" hidden="false" customHeight="false" outlineLevel="0" collapsed="false">
      <c r="A409" s="9" t="s">
        <v>4284</v>
      </c>
      <c r="B409" s="9" t="s">
        <v>155</v>
      </c>
      <c r="C409" s="9" t="s">
        <v>146</v>
      </c>
      <c r="D409" s="9" t="s">
        <v>2002</v>
      </c>
      <c r="E409" s="9" t="s">
        <v>3247</v>
      </c>
      <c r="F409" s="9" t="s">
        <v>4285</v>
      </c>
      <c r="G409" s="9" t="s">
        <v>4286</v>
      </c>
      <c r="H409" s="9" t="s">
        <v>2527</v>
      </c>
      <c r="I409" s="11" t="n">
        <v>70</v>
      </c>
      <c r="J409" s="11" t="n">
        <v>47.4</v>
      </c>
      <c r="K409" s="11"/>
      <c r="L409" s="11"/>
      <c r="M409" s="11" t="n">
        <f aca="false">IF(ISNUMBER(L409),L409,J409)</f>
        <v>47.4</v>
      </c>
      <c r="N409" s="11" t="n">
        <f aca="false">ROUNDUP(M409,0)</f>
        <v>48</v>
      </c>
      <c r="O409" s="11" t="n">
        <f aca="false">MAX(I409,N409)</f>
        <v>70</v>
      </c>
      <c r="P409" s="11" t="n">
        <f aca="false">IF(C409="COVERED",MAX(0,O409-40),0)</f>
        <v>0</v>
      </c>
      <c r="Q409" s="11" t="n">
        <f aca="false">O409</f>
        <v>70</v>
      </c>
      <c r="R409" s="17" t="n">
        <f aca="false">IF(C409="COVERED",10.4,7.55)</f>
        <v>7.55</v>
      </c>
      <c r="S409" s="17" t="n">
        <f aca="false">Q409*R409</f>
        <v>528.5</v>
      </c>
      <c r="T409" s="9"/>
      <c r="U409" s="10"/>
      <c r="V409" s="9"/>
      <c r="W409" s="17"/>
      <c r="X409" s="17"/>
      <c r="Y409" s="17" t="str">
        <f aca="false">IF(ISNUMBER(X409),X409-S409,"")</f>
        <v/>
      </c>
      <c r="Z409" s="17" t="n">
        <f aca="false">IF(ISNUMBER(X409),X409-S409,-S409)</f>
        <v>-528.5</v>
      </c>
      <c r="AA409" s="9" t="str">
        <f aca="false">IF(NOT(ISNUMBER(X409)),"NO AUGUST POSTING IN EXPORT",IF(ABS(Y409)&gt;=0.005,"POSTED CHARGE MISMATCH",IF(P409&gt;0,"MATCH - COVERED ELIGIBILITY EXCEPTION","MATCH")))</f>
        <v>NO AUGUST POSTING IN EXPORT</v>
      </c>
      <c r="AB409" s="9" t="s">
        <v>4287</v>
      </c>
    </row>
    <row r="410" customFormat="false" ht="15" hidden="false" customHeight="false" outlineLevel="0" collapsed="false">
      <c r="A410" s="13" t="s">
        <v>4288</v>
      </c>
      <c r="B410" s="13" t="s">
        <v>155</v>
      </c>
      <c r="C410" s="13" t="s">
        <v>146</v>
      </c>
      <c r="D410" s="13" t="s">
        <v>2002</v>
      </c>
      <c r="E410" s="13" t="s">
        <v>3254</v>
      </c>
      <c r="F410" s="13" t="s">
        <v>1034</v>
      </c>
      <c r="G410" s="13" t="s">
        <v>1035</v>
      </c>
      <c r="H410" s="13" t="s">
        <v>4289</v>
      </c>
      <c r="I410" s="15" t="n">
        <v>70</v>
      </c>
      <c r="J410" s="15" t="n">
        <v>26.3</v>
      </c>
      <c r="K410" s="15"/>
      <c r="L410" s="15"/>
      <c r="M410" s="15" t="n">
        <f aca="false">IF(ISNUMBER(L410),L410,J410)</f>
        <v>26.3</v>
      </c>
      <c r="N410" s="15" t="n">
        <f aca="false">ROUNDUP(M410,0)</f>
        <v>27</v>
      </c>
      <c r="O410" s="15" t="n">
        <f aca="false">MAX(I410,N410)</f>
        <v>70</v>
      </c>
      <c r="P410" s="15" t="n">
        <f aca="false">IF(C410="COVERED",MAX(0,O410-40),0)</f>
        <v>0</v>
      </c>
      <c r="Q410" s="15" t="n">
        <f aca="false">O410</f>
        <v>70</v>
      </c>
      <c r="R410" s="18" t="n">
        <f aca="false">IF(C410="COVERED",10.4,7.55)</f>
        <v>7.55</v>
      </c>
      <c r="S410" s="18" t="n">
        <f aca="false">Q410*R410</f>
        <v>528.5</v>
      </c>
      <c r="T410" s="13"/>
      <c r="U410" s="14"/>
      <c r="V410" s="13"/>
      <c r="W410" s="18"/>
      <c r="X410" s="18"/>
      <c r="Y410" s="18" t="str">
        <f aca="false">IF(ISNUMBER(X410),X410-S410,"")</f>
        <v/>
      </c>
      <c r="Z410" s="18" t="n">
        <f aca="false">IF(ISNUMBER(X410),X410-S410,-S410)</f>
        <v>-528.5</v>
      </c>
      <c r="AA410" s="13" t="str">
        <f aca="false">IF(NOT(ISNUMBER(X410)),"NO AUGUST POSTING IN EXPORT",IF(ABS(Y410)&gt;=0.005,"POSTED CHARGE MISMATCH",IF(P410&gt;0,"MATCH - COVERED ELIGIBILITY EXCEPTION","MATCH")))</f>
        <v>NO AUGUST POSTING IN EXPORT</v>
      </c>
      <c r="AB410" s="13" t="s">
        <v>4290</v>
      </c>
    </row>
    <row r="411" customFormat="false" ht="15" hidden="false" customHeight="false" outlineLevel="0" collapsed="false">
      <c r="A411" s="9" t="s">
        <v>4291</v>
      </c>
      <c r="B411" s="9" t="s">
        <v>155</v>
      </c>
      <c r="C411" s="9" t="s">
        <v>146</v>
      </c>
      <c r="D411" s="9" t="s">
        <v>2002</v>
      </c>
      <c r="E411" s="9" t="s">
        <v>3261</v>
      </c>
      <c r="F411" s="9" t="s">
        <v>4292</v>
      </c>
      <c r="G411" s="9" t="s">
        <v>4293</v>
      </c>
      <c r="H411" s="9" t="s">
        <v>2618</v>
      </c>
      <c r="I411" s="11" t="n">
        <v>32</v>
      </c>
      <c r="J411" s="11" t="n">
        <v>47.2</v>
      </c>
      <c r="K411" s="11"/>
      <c r="L411" s="11"/>
      <c r="M411" s="11" t="n">
        <f aca="false">IF(ISNUMBER(L411),L411,J411)</f>
        <v>47.2</v>
      </c>
      <c r="N411" s="11" t="n">
        <f aca="false">ROUNDUP(M411,0)</f>
        <v>48</v>
      </c>
      <c r="O411" s="11" t="n">
        <f aca="false">MAX(I411,N411)</f>
        <v>48</v>
      </c>
      <c r="P411" s="11" t="n">
        <f aca="false">IF(C411="COVERED",MAX(0,O411-40),0)</f>
        <v>0</v>
      </c>
      <c r="Q411" s="11" t="n">
        <f aca="false">O411</f>
        <v>48</v>
      </c>
      <c r="R411" s="17" t="n">
        <f aca="false">IF(C411="COVERED",10.4,7.55)</f>
        <v>7.55</v>
      </c>
      <c r="S411" s="17" t="n">
        <f aca="false">Q411*R411</f>
        <v>362.4</v>
      </c>
      <c r="T411" s="9"/>
      <c r="U411" s="10"/>
      <c r="V411" s="9"/>
      <c r="W411" s="17"/>
      <c r="X411" s="17"/>
      <c r="Y411" s="17" t="str">
        <f aca="false">IF(ISNUMBER(X411),X411-S411,"")</f>
        <v/>
      </c>
      <c r="Z411" s="17" t="n">
        <f aca="false">IF(ISNUMBER(X411),X411-S411,-S411)</f>
        <v>-362.4</v>
      </c>
      <c r="AA411" s="9" t="str">
        <f aca="false">IF(NOT(ISNUMBER(X411)),"NO AUGUST POSTING IN EXPORT",IF(ABS(Y411)&gt;=0.005,"POSTED CHARGE MISMATCH",IF(P411&gt;0,"MATCH - COVERED ELIGIBILITY EXCEPTION","MATCH")))</f>
        <v>NO AUGUST POSTING IN EXPORT</v>
      </c>
      <c r="AB411" s="9" t="s">
        <v>4294</v>
      </c>
    </row>
    <row r="412" customFormat="false" ht="15" hidden="false" customHeight="false" outlineLevel="0" collapsed="false">
      <c r="A412" s="13" t="s">
        <v>4295</v>
      </c>
      <c r="B412" s="13" t="s">
        <v>155</v>
      </c>
      <c r="C412" s="13" t="s">
        <v>146</v>
      </c>
      <c r="D412" s="13" t="s">
        <v>2002</v>
      </c>
      <c r="E412" s="13" t="s">
        <v>3267</v>
      </c>
      <c r="F412" s="13" t="s">
        <v>4296</v>
      </c>
      <c r="G412" s="13" t="s">
        <v>4297</v>
      </c>
      <c r="H412" s="13" t="s">
        <v>4298</v>
      </c>
      <c r="I412" s="15" t="n">
        <v>60</v>
      </c>
      <c r="J412" s="15" t="n">
        <v>36.7</v>
      </c>
      <c r="K412" s="15"/>
      <c r="L412" s="15"/>
      <c r="M412" s="15" t="n">
        <f aca="false">IF(ISNUMBER(L412),L412,J412)</f>
        <v>36.7</v>
      </c>
      <c r="N412" s="15" t="n">
        <f aca="false">ROUNDUP(M412,0)</f>
        <v>37</v>
      </c>
      <c r="O412" s="15" t="n">
        <f aca="false">MAX(I412,N412)</f>
        <v>60</v>
      </c>
      <c r="P412" s="15" t="n">
        <f aca="false">IF(C412="COVERED",MAX(0,O412-40),0)</f>
        <v>0</v>
      </c>
      <c r="Q412" s="15" t="n">
        <f aca="false">O412</f>
        <v>60</v>
      </c>
      <c r="R412" s="18" t="n">
        <f aca="false">IF(C412="COVERED",10.4,7.55)</f>
        <v>7.55</v>
      </c>
      <c r="S412" s="18" t="n">
        <f aca="false">Q412*R412</f>
        <v>453</v>
      </c>
      <c r="T412" s="13"/>
      <c r="U412" s="14"/>
      <c r="V412" s="13"/>
      <c r="W412" s="18"/>
      <c r="X412" s="18"/>
      <c r="Y412" s="18" t="str">
        <f aca="false">IF(ISNUMBER(X412),X412-S412,"")</f>
        <v/>
      </c>
      <c r="Z412" s="18" t="n">
        <f aca="false">IF(ISNUMBER(X412),X412-S412,-S412)</f>
        <v>-453</v>
      </c>
      <c r="AA412" s="13" t="str">
        <f aca="false">IF(NOT(ISNUMBER(X412)),"NO AUGUST POSTING IN EXPORT",IF(ABS(Y412)&gt;=0.005,"POSTED CHARGE MISMATCH",IF(P412&gt;0,"MATCH - COVERED ELIGIBILITY EXCEPTION","MATCH")))</f>
        <v>NO AUGUST POSTING IN EXPORT</v>
      </c>
      <c r="AB412" s="13" t="s">
        <v>4299</v>
      </c>
    </row>
    <row r="413" customFormat="false" ht="15" hidden="false" customHeight="false" outlineLevel="0" collapsed="false">
      <c r="A413" s="9" t="s">
        <v>477</v>
      </c>
      <c r="B413" s="9" t="s">
        <v>155</v>
      </c>
      <c r="C413" s="9" t="s">
        <v>146</v>
      </c>
      <c r="D413" s="9" t="s">
        <v>2002</v>
      </c>
      <c r="E413" s="9" t="s">
        <v>3271</v>
      </c>
      <c r="F413" s="9" t="s">
        <v>4300</v>
      </c>
      <c r="G413" s="9" t="s">
        <v>4301</v>
      </c>
      <c r="H413" s="9" t="s">
        <v>3264</v>
      </c>
      <c r="I413" s="11" t="n">
        <v>24</v>
      </c>
      <c r="J413" s="11" t="n">
        <v>19</v>
      </c>
      <c r="K413" s="11"/>
      <c r="L413" s="11"/>
      <c r="M413" s="11" t="n">
        <f aca="false">IF(ISNUMBER(L413),L413,J413)</f>
        <v>19</v>
      </c>
      <c r="N413" s="11" t="n">
        <f aca="false">ROUNDUP(M413,0)</f>
        <v>19</v>
      </c>
      <c r="O413" s="11" t="n">
        <f aca="false">MAX(I413,N413)</f>
        <v>24</v>
      </c>
      <c r="P413" s="11" t="n">
        <f aca="false">IF(C413="COVERED",MAX(0,O413-40),0)</f>
        <v>0</v>
      </c>
      <c r="Q413" s="11" t="n">
        <f aca="false">O413</f>
        <v>24</v>
      </c>
      <c r="R413" s="17" t="n">
        <f aca="false">IF(C413="COVERED",10.4,7.55)</f>
        <v>7.55</v>
      </c>
      <c r="S413" s="17" t="n">
        <f aca="false">Q413*R413</f>
        <v>181.2</v>
      </c>
      <c r="T413" s="9"/>
      <c r="U413" s="10"/>
      <c r="V413" s="9"/>
      <c r="W413" s="17"/>
      <c r="X413" s="17"/>
      <c r="Y413" s="17" t="str">
        <f aca="false">IF(ISNUMBER(X413),X413-S413,"")</f>
        <v/>
      </c>
      <c r="Z413" s="17" t="n">
        <f aca="false">IF(ISNUMBER(X413),X413-S413,-S413)</f>
        <v>-181.2</v>
      </c>
      <c r="AA413" s="9" t="str">
        <f aca="false">IF(NOT(ISNUMBER(X413)),"NO AUGUST POSTING IN EXPORT",IF(ABS(Y413)&gt;=0.005,"POSTED CHARGE MISMATCH",IF(P413&gt;0,"MATCH - COVERED ELIGIBILITY EXCEPTION","MATCH")))</f>
        <v>NO AUGUST POSTING IN EXPORT</v>
      </c>
      <c r="AB413" s="9" t="s">
        <v>4302</v>
      </c>
    </row>
    <row r="414" customFormat="false" ht="15" hidden="false" customHeight="false" outlineLevel="0" collapsed="false">
      <c r="A414" s="13" t="s">
        <v>4303</v>
      </c>
      <c r="B414" s="13" t="s">
        <v>155</v>
      </c>
      <c r="C414" s="13" t="s">
        <v>146</v>
      </c>
      <c r="D414" s="13" t="s">
        <v>2002</v>
      </c>
      <c r="E414" s="13" t="s">
        <v>4304</v>
      </c>
      <c r="F414" s="13" t="s">
        <v>4305</v>
      </c>
      <c r="G414" s="13" t="s">
        <v>4306</v>
      </c>
      <c r="H414" s="13" t="s">
        <v>2303</v>
      </c>
      <c r="I414" s="15" t="n">
        <v>36</v>
      </c>
      <c r="J414" s="15" t="n">
        <v>25.8</v>
      </c>
      <c r="K414" s="15"/>
      <c r="L414" s="15"/>
      <c r="M414" s="15" t="n">
        <f aca="false">IF(ISNUMBER(L414),L414,J414)</f>
        <v>25.8</v>
      </c>
      <c r="N414" s="15" t="n">
        <f aca="false">ROUNDUP(M414,0)</f>
        <v>26</v>
      </c>
      <c r="O414" s="15" t="n">
        <f aca="false">MAX(I414,N414)</f>
        <v>36</v>
      </c>
      <c r="P414" s="15" t="n">
        <f aca="false">IF(C414="COVERED",MAX(0,O414-40),0)</f>
        <v>0</v>
      </c>
      <c r="Q414" s="15" t="n">
        <f aca="false">O414</f>
        <v>36</v>
      </c>
      <c r="R414" s="18" t="n">
        <f aca="false">IF(C414="COVERED",10.4,7.55)</f>
        <v>7.55</v>
      </c>
      <c r="S414" s="18" t="n">
        <f aca="false">Q414*R414</f>
        <v>271.8</v>
      </c>
      <c r="T414" s="13"/>
      <c r="U414" s="14"/>
      <c r="V414" s="13"/>
      <c r="W414" s="18"/>
      <c r="X414" s="18"/>
      <c r="Y414" s="18" t="str">
        <f aca="false">IF(ISNUMBER(X414),X414-S414,"")</f>
        <v/>
      </c>
      <c r="Z414" s="18" t="n">
        <f aca="false">IF(ISNUMBER(X414),X414-S414,-S414)</f>
        <v>-271.8</v>
      </c>
      <c r="AA414" s="13" t="str">
        <f aca="false">IF(NOT(ISNUMBER(X414)),"NO AUGUST POSTING IN EXPORT",IF(ABS(Y414)&gt;=0.005,"POSTED CHARGE MISMATCH",IF(P414&gt;0,"MATCH - COVERED ELIGIBILITY EXCEPTION","MATCH")))</f>
        <v>NO AUGUST POSTING IN EXPORT</v>
      </c>
      <c r="AB414" s="13" t="s">
        <v>4307</v>
      </c>
    </row>
    <row r="415" customFormat="false" ht="15" hidden="false" customHeight="false" outlineLevel="0" collapsed="false">
      <c r="A415" s="9" t="s">
        <v>4308</v>
      </c>
      <c r="B415" s="9" t="s">
        <v>155</v>
      </c>
      <c r="C415" s="9" t="s">
        <v>146</v>
      </c>
      <c r="D415" s="9" t="s">
        <v>2002</v>
      </c>
      <c r="E415" s="9" t="s">
        <v>3278</v>
      </c>
      <c r="F415" s="9" t="s">
        <v>4309</v>
      </c>
      <c r="G415" s="9" t="s">
        <v>4310</v>
      </c>
      <c r="H415" s="9" t="s">
        <v>4311</v>
      </c>
      <c r="I415" s="11" t="n">
        <v>32</v>
      </c>
      <c r="J415" s="11" t="n">
        <v>58.4</v>
      </c>
      <c r="K415" s="11"/>
      <c r="L415" s="11"/>
      <c r="M415" s="11" t="n">
        <f aca="false">IF(ISNUMBER(L415),L415,J415)</f>
        <v>58.4</v>
      </c>
      <c r="N415" s="11" t="n">
        <f aca="false">ROUNDUP(M415,0)</f>
        <v>59</v>
      </c>
      <c r="O415" s="11" t="n">
        <f aca="false">MAX(I415,N415)</f>
        <v>59</v>
      </c>
      <c r="P415" s="11" t="n">
        <f aca="false">IF(C415="COVERED",MAX(0,O415-40),0)</f>
        <v>0</v>
      </c>
      <c r="Q415" s="11" t="n">
        <f aca="false">O415</f>
        <v>59</v>
      </c>
      <c r="R415" s="17" t="n">
        <f aca="false">IF(C415="COVERED",10.4,7.55)</f>
        <v>7.55</v>
      </c>
      <c r="S415" s="17" t="n">
        <f aca="false">Q415*R415</f>
        <v>445.45</v>
      </c>
      <c r="T415" s="9"/>
      <c r="U415" s="10"/>
      <c r="V415" s="9"/>
      <c r="W415" s="17"/>
      <c r="X415" s="17"/>
      <c r="Y415" s="17" t="str">
        <f aca="false">IF(ISNUMBER(X415),X415-S415,"")</f>
        <v/>
      </c>
      <c r="Z415" s="17" t="n">
        <f aca="false">IF(ISNUMBER(X415),X415-S415,-S415)</f>
        <v>-445.45</v>
      </c>
      <c r="AA415" s="9" t="str">
        <f aca="false">IF(NOT(ISNUMBER(X415)),"NO AUGUST POSTING IN EXPORT",IF(ABS(Y415)&gt;=0.005,"POSTED CHARGE MISMATCH",IF(P415&gt;0,"MATCH - COVERED ELIGIBILITY EXCEPTION","MATCH")))</f>
        <v>NO AUGUST POSTING IN EXPORT</v>
      </c>
      <c r="AB415" s="9" t="s">
        <v>4312</v>
      </c>
    </row>
    <row r="416" customFormat="false" ht="15" hidden="false" customHeight="false" outlineLevel="0" collapsed="false">
      <c r="A416" s="13" t="s">
        <v>4313</v>
      </c>
      <c r="B416" s="13" t="s">
        <v>155</v>
      </c>
      <c r="C416" s="13" t="s">
        <v>146</v>
      </c>
      <c r="D416" s="13" t="s">
        <v>2002</v>
      </c>
      <c r="E416" s="13" t="s">
        <v>4314</v>
      </c>
      <c r="F416" s="13" t="s">
        <v>4315</v>
      </c>
      <c r="G416" s="13" t="s">
        <v>4316</v>
      </c>
      <c r="H416" s="13" t="s">
        <v>4103</v>
      </c>
      <c r="I416" s="15" t="n">
        <v>32</v>
      </c>
      <c r="J416" s="15" t="n">
        <v>31.4</v>
      </c>
      <c r="K416" s="15"/>
      <c r="L416" s="15"/>
      <c r="M416" s="15" t="n">
        <f aca="false">IF(ISNUMBER(L416),L416,J416)</f>
        <v>31.4</v>
      </c>
      <c r="N416" s="15" t="n">
        <f aca="false">ROUNDUP(M416,0)</f>
        <v>32</v>
      </c>
      <c r="O416" s="15" t="n">
        <f aca="false">MAX(I416,N416)</f>
        <v>32</v>
      </c>
      <c r="P416" s="15" t="n">
        <f aca="false">IF(C416="COVERED",MAX(0,O416-40),0)</f>
        <v>0</v>
      </c>
      <c r="Q416" s="15" t="n">
        <f aca="false">O416</f>
        <v>32</v>
      </c>
      <c r="R416" s="18" t="n">
        <f aca="false">IF(C416="COVERED",10.4,7.55)</f>
        <v>7.55</v>
      </c>
      <c r="S416" s="18" t="n">
        <f aca="false">Q416*R416</f>
        <v>241.6</v>
      </c>
      <c r="T416" s="13"/>
      <c r="U416" s="14"/>
      <c r="V416" s="13"/>
      <c r="W416" s="18"/>
      <c r="X416" s="18"/>
      <c r="Y416" s="18" t="str">
        <f aca="false">IF(ISNUMBER(X416),X416-S416,"")</f>
        <v/>
      </c>
      <c r="Z416" s="18" t="n">
        <f aca="false">IF(ISNUMBER(X416),X416-S416,-S416)</f>
        <v>-241.6</v>
      </c>
      <c r="AA416" s="13" t="str">
        <f aca="false">IF(NOT(ISNUMBER(X416)),"NO AUGUST POSTING IN EXPORT",IF(ABS(Y416)&gt;=0.005,"POSTED CHARGE MISMATCH",IF(P416&gt;0,"MATCH - COVERED ELIGIBILITY EXCEPTION","MATCH")))</f>
        <v>NO AUGUST POSTING IN EXPORT</v>
      </c>
      <c r="AB416" s="13" t="s">
        <v>4317</v>
      </c>
    </row>
    <row r="417" customFormat="false" ht="15" hidden="false" customHeight="false" outlineLevel="0" collapsed="false">
      <c r="A417" s="9" t="s">
        <v>4318</v>
      </c>
      <c r="B417" s="9" t="s">
        <v>155</v>
      </c>
      <c r="C417" s="9" t="s">
        <v>146</v>
      </c>
      <c r="D417" s="9" t="s">
        <v>2002</v>
      </c>
      <c r="E417" s="9" t="s">
        <v>3283</v>
      </c>
      <c r="F417" s="9" t="s">
        <v>4319</v>
      </c>
      <c r="G417" s="9" t="s">
        <v>4320</v>
      </c>
      <c r="H417" s="9" t="s">
        <v>3775</v>
      </c>
      <c r="I417" s="11" t="n">
        <v>60</v>
      </c>
      <c r="J417" s="11" t="n">
        <v>29.1</v>
      </c>
      <c r="K417" s="11"/>
      <c r="L417" s="11"/>
      <c r="M417" s="11" t="n">
        <f aca="false">IF(ISNUMBER(L417),L417,J417)</f>
        <v>29.1</v>
      </c>
      <c r="N417" s="11" t="n">
        <f aca="false">ROUNDUP(M417,0)</f>
        <v>30</v>
      </c>
      <c r="O417" s="11" t="n">
        <f aca="false">MAX(I417,N417)</f>
        <v>60</v>
      </c>
      <c r="P417" s="11" t="n">
        <f aca="false">IF(C417="COVERED",MAX(0,O417-40),0)</f>
        <v>0</v>
      </c>
      <c r="Q417" s="11" t="n">
        <f aca="false">O417</f>
        <v>60</v>
      </c>
      <c r="R417" s="17" t="n">
        <f aca="false">IF(C417="COVERED",10.4,7.55)</f>
        <v>7.55</v>
      </c>
      <c r="S417" s="17" t="n">
        <f aca="false">Q417*R417</f>
        <v>453</v>
      </c>
      <c r="T417" s="9"/>
      <c r="U417" s="10"/>
      <c r="V417" s="9"/>
      <c r="W417" s="17"/>
      <c r="X417" s="17"/>
      <c r="Y417" s="17" t="str">
        <f aca="false">IF(ISNUMBER(X417),X417-S417,"")</f>
        <v/>
      </c>
      <c r="Z417" s="17" t="n">
        <f aca="false">IF(ISNUMBER(X417),X417-S417,-S417)</f>
        <v>-453</v>
      </c>
      <c r="AA417" s="9" t="str">
        <f aca="false">IF(NOT(ISNUMBER(X417)),"NO AUGUST POSTING IN EXPORT",IF(ABS(Y417)&gt;=0.005,"POSTED CHARGE MISMATCH",IF(P417&gt;0,"MATCH - COVERED ELIGIBILITY EXCEPTION","MATCH")))</f>
        <v>NO AUGUST POSTING IN EXPORT</v>
      </c>
      <c r="AB417" s="9" t="s">
        <v>4321</v>
      </c>
    </row>
    <row r="418" customFormat="false" ht="15" hidden="false" customHeight="false" outlineLevel="0" collapsed="false">
      <c r="A418" s="13" t="s">
        <v>387</v>
      </c>
      <c r="B418" s="13" t="s">
        <v>155</v>
      </c>
      <c r="C418" s="13" t="s">
        <v>146</v>
      </c>
      <c r="D418" s="13" t="s">
        <v>2002</v>
      </c>
      <c r="E418" s="13" t="s">
        <v>3290</v>
      </c>
      <c r="F418" s="13" t="s">
        <v>4322</v>
      </c>
      <c r="G418" s="13" t="s">
        <v>4323</v>
      </c>
      <c r="H418" s="13" t="s">
        <v>4324</v>
      </c>
      <c r="I418" s="15" t="n">
        <v>60</v>
      </c>
      <c r="J418" s="15" t="n">
        <v>58.3</v>
      </c>
      <c r="K418" s="15"/>
      <c r="L418" s="15"/>
      <c r="M418" s="15" t="n">
        <f aca="false">IF(ISNUMBER(L418),L418,J418)</f>
        <v>58.3</v>
      </c>
      <c r="N418" s="15" t="n">
        <f aca="false">ROUNDUP(M418,0)</f>
        <v>59</v>
      </c>
      <c r="O418" s="15" t="n">
        <f aca="false">MAX(I418,N418)</f>
        <v>60</v>
      </c>
      <c r="P418" s="15" t="n">
        <f aca="false">IF(C418="COVERED",MAX(0,O418-40),0)</f>
        <v>0</v>
      </c>
      <c r="Q418" s="15" t="n">
        <f aca="false">O418</f>
        <v>60</v>
      </c>
      <c r="R418" s="18" t="n">
        <f aca="false">IF(C418="COVERED",10.4,7.55)</f>
        <v>7.55</v>
      </c>
      <c r="S418" s="18" t="n">
        <f aca="false">Q418*R418</f>
        <v>453</v>
      </c>
      <c r="T418" s="13"/>
      <c r="U418" s="14"/>
      <c r="V418" s="13"/>
      <c r="W418" s="18"/>
      <c r="X418" s="18"/>
      <c r="Y418" s="18" t="str">
        <f aca="false">IF(ISNUMBER(X418),X418-S418,"")</f>
        <v/>
      </c>
      <c r="Z418" s="18" t="n">
        <f aca="false">IF(ISNUMBER(X418),X418-S418,-S418)</f>
        <v>-453</v>
      </c>
      <c r="AA418" s="13" t="str">
        <f aca="false">IF(NOT(ISNUMBER(X418)),"NO AUGUST POSTING IN EXPORT",IF(ABS(Y418)&gt;=0.005,"POSTED CHARGE MISMATCH",IF(P418&gt;0,"MATCH - COVERED ELIGIBILITY EXCEPTION","MATCH")))</f>
        <v>NO AUGUST POSTING IN EXPORT</v>
      </c>
      <c r="AB418" s="13" t="s">
        <v>4325</v>
      </c>
    </row>
    <row r="419" customFormat="false" ht="15" hidden="false" customHeight="false" outlineLevel="0" collapsed="false">
      <c r="A419" s="9" t="s">
        <v>4326</v>
      </c>
      <c r="B419" s="9" t="s">
        <v>155</v>
      </c>
      <c r="C419" s="9" t="s">
        <v>146</v>
      </c>
      <c r="D419" s="9" t="s">
        <v>2002</v>
      </c>
      <c r="E419" s="9" t="s">
        <v>4327</v>
      </c>
      <c r="F419" s="9" t="s">
        <v>998</v>
      </c>
      <c r="G419" s="9" t="s">
        <v>999</v>
      </c>
      <c r="H419" s="9" t="s">
        <v>4328</v>
      </c>
      <c r="I419" s="11" t="n">
        <v>45</v>
      </c>
      <c r="J419" s="11" t="n">
        <v>47.5</v>
      </c>
      <c r="K419" s="11"/>
      <c r="L419" s="11"/>
      <c r="M419" s="11" t="n">
        <f aca="false">IF(ISNUMBER(L419),L419,J419)</f>
        <v>47.5</v>
      </c>
      <c r="N419" s="11" t="n">
        <f aca="false">ROUNDUP(M419,0)</f>
        <v>48</v>
      </c>
      <c r="O419" s="11" t="n">
        <f aca="false">MAX(I419,N419)</f>
        <v>48</v>
      </c>
      <c r="P419" s="11" t="n">
        <f aca="false">IF(C419="COVERED",MAX(0,O419-40),0)</f>
        <v>0</v>
      </c>
      <c r="Q419" s="11" t="n">
        <f aca="false">O419</f>
        <v>48</v>
      </c>
      <c r="R419" s="17" t="n">
        <f aca="false">IF(C419="COVERED",10.4,7.55)</f>
        <v>7.55</v>
      </c>
      <c r="S419" s="17" t="n">
        <f aca="false">Q419*R419</f>
        <v>362.4</v>
      </c>
      <c r="T419" s="9"/>
      <c r="U419" s="10"/>
      <c r="V419" s="9"/>
      <c r="W419" s="17"/>
      <c r="X419" s="17"/>
      <c r="Y419" s="17" t="str">
        <f aca="false">IF(ISNUMBER(X419),X419-S419,"")</f>
        <v/>
      </c>
      <c r="Z419" s="17" t="n">
        <f aca="false">IF(ISNUMBER(X419),X419-S419,-S419)</f>
        <v>-362.4</v>
      </c>
      <c r="AA419" s="9" t="str">
        <f aca="false">IF(NOT(ISNUMBER(X419)),"NO AUGUST POSTING IN EXPORT",IF(ABS(Y419)&gt;=0.005,"POSTED CHARGE MISMATCH",IF(P419&gt;0,"MATCH - COVERED ELIGIBILITY EXCEPTION","MATCH")))</f>
        <v>NO AUGUST POSTING IN EXPORT</v>
      </c>
      <c r="AB419" s="9" t="s">
        <v>4329</v>
      </c>
    </row>
    <row r="420" customFormat="false" ht="15" hidden="false" customHeight="false" outlineLevel="0" collapsed="false">
      <c r="A420" s="13" t="s">
        <v>4330</v>
      </c>
      <c r="B420" s="13" t="s">
        <v>155</v>
      </c>
      <c r="C420" s="13" t="s">
        <v>146</v>
      </c>
      <c r="D420" s="13" t="s">
        <v>2002</v>
      </c>
      <c r="E420" s="13" t="s">
        <v>3297</v>
      </c>
      <c r="F420" s="13" t="s">
        <v>4331</v>
      </c>
      <c r="G420" s="13" t="s">
        <v>4332</v>
      </c>
      <c r="H420" s="13" t="s">
        <v>4333</v>
      </c>
      <c r="I420" s="15" t="n">
        <v>45</v>
      </c>
      <c r="J420" s="15" t="n">
        <v>27.2</v>
      </c>
      <c r="K420" s="15"/>
      <c r="L420" s="15"/>
      <c r="M420" s="15" t="n">
        <f aca="false">IF(ISNUMBER(L420),L420,J420)</f>
        <v>27.2</v>
      </c>
      <c r="N420" s="15" t="n">
        <f aca="false">ROUNDUP(M420,0)</f>
        <v>28</v>
      </c>
      <c r="O420" s="15" t="n">
        <f aca="false">MAX(I420,N420)</f>
        <v>45</v>
      </c>
      <c r="P420" s="15" t="n">
        <f aca="false">IF(C420="COVERED",MAX(0,O420-40),0)</f>
        <v>0</v>
      </c>
      <c r="Q420" s="15" t="n">
        <f aca="false">O420</f>
        <v>45</v>
      </c>
      <c r="R420" s="18" t="n">
        <f aca="false">IF(C420="COVERED",10.4,7.55)</f>
        <v>7.55</v>
      </c>
      <c r="S420" s="18" t="n">
        <f aca="false">Q420*R420</f>
        <v>339.75</v>
      </c>
      <c r="T420" s="13"/>
      <c r="U420" s="14"/>
      <c r="V420" s="13"/>
      <c r="W420" s="18"/>
      <c r="X420" s="18"/>
      <c r="Y420" s="18" t="str">
        <f aca="false">IF(ISNUMBER(X420),X420-S420,"")</f>
        <v/>
      </c>
      <c r="Z420" s="18" t="n">
        <f aca="false">IF(ISNUMBER(X420),X420-S420,-S420)</f>
        <v>-339.75</v>
      </c>
      <c r="AA420" s="13" t="str">
        <f aca="false">IF(NOT(ISNUMBER(X420)),"NO AUGUST POSTING IN EXPORT",IF(ABS(Y420)&gt;=0.005,"POSTED CHARGE MISMATCH",IF(P420&gt;0,"MATCH - COVERED ELIGIBILITY EXCEPTION","MATCH")))</f>
        <v>NO AUGUST POSTING IN EXPORT</v>
      </c>
      <c r="AB420" s="13" t="s">
        <v>4334</v>
      </c>
    </row>
    <row r="421" customFormat="false" ht="15" hidden="false" customHeight="false" outlineLevel="0" collapsed="false">
      <c r="A421" s="9" t="s">
        <v>4335</v>
      </c>
      <c r="B421" s="9" t="s">
        <v>155</v>
      </c>
      <c r="C421" s="9" t="s">
        <v>146</v>
      </c>
      <c r="D421" s="9" t="s">
        <v>2002</v>
      </c>
      <c r="E421" s="9" t="s">
        <v>3303</v>
      </c>
      <c r="F421" s="9" t="s">
        <v>4336</v>
      </c>
      <c r="G421" s="9" t="s">
        <v>4337</v>
      </c>
      <c r="H421" s="9" t="s">
        <v>3412</v>
      </c>
      <c r="I421" s="11" t="n">
        <v>80</v>
      </c>
      <c r="J421" s="11" t="n">
        <v>51.7</v>
      </c>
      <c r="K421" s="11"/>
      <c r="L421" s="11"/>
      <c r="M421" s="11" t="n">
        <f aca="false">IF(ISNUMBER(L421),L421,J421)</f>
        <v>51.7</v>
      </c>
      <c r="N421" s="11" t="n">
        <f aca="false">ROUNDUP(M421,0)</f>
        <v>52</v>
      </c>
      <c r="O421" s="11" t="n">
        <f aca="false">MAX(I421,N421)</f>
        <v>80</v>
      </c>
      <c r="P421" s="11" t="n">
        <f aca="false">IF(C421="COVERED",MAX(0,O421-40),0)</f>
        <v>0</v>
      </c>
      <c r="Q421" s="11" t="n">
        <f aca="false">O421</f>
        <v>80</v>
      </c>
      <c r="R421" s="17" t="n">
        <f aca="false">IF(C421="COVERED",10.4,7.55)</f>
        <v>7.55</v>
      </c>
      <c r="S421" s="17" t="n">
        <f aca="false">Q421*R421</f>
        <v>604</v>
      </c>
      <c r="T421" s="9"/>
      <c r="U421" s="10"/>
      <c r="V421" s="9"/>
      <c r="W421" s="17"/>
      <c r="X421" s="17"/>
      <c r="Y421" s="17" t="str">
        <f aca="false">IF(ISNUMBER(X421),X421-S421,"")</f>
        <v/>
      </c>
      <c r="Z421" s="17" t="n">
        <f aca="false">IF(ISNUMBER(X421),X421-S421,-S421)</f>
        <v>-604</v>
      </c>
      <c r="AA421" s="9" t="str">
        <f aca="false">IF(NOT(ISNUMBER(X421)),"NO AUGUST POSTING IN EXPORT",IF(ABS(Y421)&gt;=0.005,"POSTED CHARGE MISMATCH",IF(P421&gt;0,"MATCH - COVERED ELIGIBILITY EXCEPTION","MATCH")))</f>
        <v>NO AUGUST POSTING IN EXPORT</v>
      </c>
      <c r="AB421" s="9" t="s">
        <v>4338</v>
      </c>
    </row>
    <row r="422" customFormat="false" ht="15" hidden="false" customHeight="false" outlineLevel="0" collapsed="false">
      <c r="A422" s="13" t="s">
        <v>785</v>
      </c>
      <c r="B422" s="13" t="s">
        <v>155</v>
      </c>
      <c r="C422" s="13" t="s">
        <v>146</v>
      </c>
      <c r="D422" s="13" t="s">
        <v>2002</v>
      </c>
      <c r="E422" s="13" t="s">
        <v>3310</v>
      </c>
      <c r="F422" s="13" t="s">
        <v>4339</v>
      </c>
      <c r="G422" s="13" t="s">
        <v>4340</v>
      </c>
      <c r="H422" s="13" t="s">
        <v>4341</v>
      </c>
      <c r="I422" s="15" t="n">
        <v>80</v>
      </c>
      <c r="J422" s="15" t="n">
        <v>48</v>
      </c>
      <c r="K422" s="15"/>
      <c r="L422" s="15"/>
      <c r="M422" s="15" t="n">
        <f aca="false">IF(ISNUMBER(L422),L422,J422)</f>
        <v>48</v>
      </c>
      <c r="N422" s="15" t="n">
        <f aca="false">ROUNDUP(M422,0)</f>
        <v>48</v>
      </c>
      <c r="O422" s="15" t="n">
        <f aca="false">MAX(I422,N422)</f>
        <v>80</v>
      </c>
      <c r="P422" s="15" t="n">
        <f aca="false">IF(C422="COVERED",MAX(0,O422-40),0)</f>
        <v>0</v>
      </c>
      <c r="Q422" s="15" t="n">
        <f aca="false">O422</f>
        <v>80</v>
      </c>
      <c r="R422" s="18" t="n">
        <f aca="false">IF(C422="COVERED",10.4,7.55)</f>
        <v>7.55</v>
      </c>
      <c r="S422" s="18" t="n">
        <f aca="false">Q422*R422</f>
        <v>604</v>
      </c>
      <c r="T422" s="13"/>
      <c r="U422" s="14"/>
      <c r="V422" s="13"/>
      <c r="W422" s="18"/>
      <c r="X422" s="18"/>
      <c r="Y422" s="18" t="str">
        <f aca="false">IF(ISNUMBER(X422),X422-S422,"")</f>
        <v/>
      </c>
      <c r="Z422" s="18" t="n">
        <f aca="false">IF(ISNUMBER(X422),X422-S422,-S422)</f>
        <v>-604</v>
      </c>
      <c r="AA422" s="13" t="str">
        <f aca="false">IF(NOT(ISNUMBER(X422)),"NO AUGUST POSTING IN EXPORT",IF(ABS(Y422)&gt;=0.005,"POSTED CHARGE MISMATCH",IF(P422&gt;0,"MATCH - COVERED ELIGIBILITY EXCEPTION","MATCH")))</f>
        <v>NO AUGUST POSTING IN EXPORT</v>
      </c>
      <c r="AB422" s="13" t="s">
        <v>4342</v>
      </c>
    </row>
    <row r="423" customFormat="false" ht="15" hidden="false" customHeight="false" outlineLevel="0" collapsed="false">
      <c r="A423" s="9" t="s">
        <v>843</v>
      </c>
      <c r="B423" s="9" t="s">
        <v>155</v>
      </c>
      <c r="C423" s="9" t="s">
        <v>146</v>
      </c>
      <c r="D423" s="9" t="s">
        <v>2002</v>
      </c>
      <c r="E423" s="9" t="s">
        <v>3317</v>
      </c>
      <c r="F423" s="9" t="s">
        <v>4343</v>
      </c>
      <c r="G423" s="9" t="s">
        <v>4344</v>
      </c>
      <c r="H423" s="9" t="s">
        <v>3831</v>
      </c>
      <c r="I423" s="11" t="n">
        <v>60</v>
      </c>
      <c r="J423" s="11" t="n">
        <v>27.1</v>
      </c>
      <c r="K423" s="11"/>
      <c r="L423" s="11"/>
      <c r="M423" s="11" t="n">
        <f aca="false">IF(ISNUMBER(L423),L423,J423)</f>
        <v>27.1</v>
      </c>
      <c r="N423" s="11" t="n">
        <f aca="false">ROUNDUP(M423,0)</f>
        <v>28</v>
      </c>
      <c r="O423" s="11" t="n">
        <f aca="false">MAX(I423,N423)</f>
        <v>60</v>
      </c>
      <c r="P423" s="11" t="n">
        <f aca="false">IF(C423="COVERED",MAX(0,O423-40),0)</f>
        <v>0</v>
      </c>
      <c r="Q423" s="11" t="n">
        <f aca="false">O423</f>
        <v>60</v>
      </c>
      <c r="R423" s="17" t="n">
        <f aca="false">IF(C423="COVERED",10.4,7.55)</f>
        <v>7.55</v>
      </c>
      <c r="S423" s="17" t="n">
        <f aca="false">Q423*R423</f>
        <v>453</v>
      </c>
      <c r="T423" s="9"/>
      <c r="U423" s="10"/>
      <c r="V423" s="9"/>
      <c r="W423" s="17"/>
      <c r="X423" s="17"/>
      <c r="Y423" s="17" t="str">
        <f aca="false">IF(ISNUMBER(X423),X423-S423,"")</f>
        <v/>
      </c>
      <c r="Z423" s="17" t="n">
        <f aca="false">IF(ISNUMBER(X423),X423-S423,-S423)</f>
        <v>-453</v>
      </c>
      <c r="AA423" s="9" t="str">
        <f aca="false">IF(NOT(ISNUMBER(X423)),"NO AUGUST POSTING IN EXPORT",IF(ABS(Y423)&gt;=0.005,"POSTED CHARGE MISMATCH",IF(P423&gt;0,"MATCH - COVERED ELIGIBILITY EXCEPTION","MATCH")))</f>
        <v>NO AUGUST POSTING IN EXPORT</v>
      </c>
      <c r="AB423" s="9" t="s">
        <v>4345</v>
      </c>
    </row>
    <row r="424" customFormat="false" ht="15" hidden="false" customHeight="false" outlineLevel="0" collapsed="false">
      <c r="A424" s="13" t="s">
        <v>4346</v>
      </c>
      <c r="B424" s="13" t="s">
        <v>155</v>
      </c>
      <c r="C424" s="13" t="s">
        <v>146</v>
      </c>
      <c r="D424" s="13" t="s">
        <v>2002</v>
      </c>
      <c r="E424" s="13" t="s">
        <v>3324</v>
      </c>
      <c r="F424" s="13" t="s">
        <v>4347</v>
      </c>
      <c r="G424" s="13" t="s">
        <v>4348</v>
      </c>
      <c r="H424" s="13" t="s">
        <v>4349</v>
      </c>
      <c r="I424" s="15" t="n">
        <v>32</v>
      </c>
      <c r="J424" s="15" t="n">
        <v>30.6</v>
      </c>
      <c r="K424" s="15"/>
      <c r="L424" s="15"/>
      <c r="M424" s="15" t="n">
        <f aca="false">IF(ISNUMBER(L424),L424,J424)</f>
        <v>30.6</v>
      </c>
      <c r="N424" s="15" t="n">
        <f aca="false">ROUNDUP(M424,0)</f>
        <v>31</v>
      </c>
      <c r="O424" s="15" t="n">
        <f aca="false">MAX(I424,N424)</f>
        <v>32</v>
      </c>
      <c r="P424" s="15" t="n">
        <f aca="false">IF(C424="COVERED",MAX(0,O424-40),0)</f>
        <v>0</v>
      </c>
      <c r="Q424" s="15" t="n">
        <f aca="false">O424</f>
        <v>32</v>
      </c>
      <c r="R424" s="18" t="n">
        <f aca="false">IF(C424="COVERED",10.4,7.55)</f>
        <v>7.55</v>
      </c>
      <c r="S424" s="18" t="n">
        <f aca="false">Q424*R424</f>
        <v>241.6</v>
      </c>
      <c r="T424" s="13"/>
      <c r="U424" s="14"/>
      <c r="V424" s="13"/>
      <c r="W424" s="18"/>
      <c r="X424" s="18"/>
      <c r="Y424" s="18" t="str">
        <f aca="false">IF(ISNUMBER(X424),X424-S424,"")</f>
        <v/>
      </c>
      <c r="Z424" s="18" t="n">
        <f aca="false">IF(ISNUMBER(X424),X424-S424,-S424)</f>
        <v>-241.6</v>
      </c>
      <c r="AA424" s="13" t="str">
        <f aca="false">IF(NOT(ISNUMBER(X424)),"NO AUGUST POSTING IN EXPORT",IF(ABS(Y424)&gt;=0.005,"POSTED CHARGE MISMATCH",IF(P424&gt;0,"MATCH - COVERED ELIGIBILITY EXCEPTION","MATCH")))</f>
        <v>NO AUGUST POSTING IN EXPORT</v>
      </c>
      <c r="AB424" s="13" t="s">
        <v>4350</v>
      </c>
    </row>
    <row r="425" customFormat="false" ht="15" hidden="false" customHeight="false" outlineLevel="0" collapsed="false">
      <c r="A425" s="9" t="s">
        <v>4351</v>
      </c>
      <c r="B425" s="9" t="s">
        <v>155</v>
      </c>
      <c r="C425" s="9" t="s">
        <v>146</v>
      </c>
      <c r="D425" s="9" t="s">
        <v>2002</v>
      </c>
      <c r="E425" s="9" t="s">
        <v>3329</v>
      </c>
      <c r="F425" s="9" t="s">
        <v>4352</v>
      </c>
      <c r="G425" s="9" t="s">
        <v>4353</v>
      </c>
      <c r="H425" s="9" t="s">
        <v>3636</v>
      </c>
      <c r="I425" s="11" t="n">
        <v>70</v>
      </c>
      <c r="J425" s="11" t="n">
        <v>50.8</v>
      </c>
      <c r="K425" s="11"/>
      <c r="L425" s="11"/>
      <c r="M425" s="11" t="n">
        <f aca="false">IF(ISNUMBER(L425),L425,J425)</f>
        <v>50.8</v>
      </c>
      <c r="N425" s="11" t="n">
        <f aca="false">ROUNDUP(M425,0)</f>
        <v>51</v>
      </c>
      <c r="O425" s="11" t="n">
        <f aca="false">MAX(I425,N425)</f>
        <v>70</v>
      </c>
      <c r="P425" s="11" t="n">
        <f aca="false">IF(C425="COVERED",MAX(0,O425-40),0)</f>
        <v>0</v>
      </c>
      <c r="Q425" s="11" t="n">
        <f aca="false">O425</f>
        <v>70</v>
      </c>
      <c r="R425" s="17" t="n">
        <f aca="false">IF(C425="COVERED",10.4,7.55)</f>
        <v>7.55</v>
      </c>
      <c r="S425" s="17" t="n">
        <f aca="false">Q425*R425</f>
        <v>528.5</v>
      </c>
      <c r="T425" s="9"/>
      <c r="U425" s="10"/>
      <c r="V425" s="9"/>
      <c r="W425" s="17"/>
      <c r="X425" s="17"/>
      <c r="Y425" s="17" t="str">
        <f aca="false">IF(ISNUMBER(X425),X425-S425,"")</f>
        <v/>
      </c>
      <c r="Z425" s="17" t="n">
        <f aca="false">IF(ISNUMBER(X425),X425-S425,-S425)</f>
        <v>-528.5</v>
      </c>
      <c r="AA425" s="9" t="str">
        <f aca="false">IF(NOT(ISNUMBER(X425)),"NO AUGUST POSTING IN EXPORT",IF(ABS(Y425)&gt;=0.005,"POSTED CHARGE MISMATCH",IF(P425&gt;0,"MATCH - COVERED ELIGIBILITY EXCEPTION","MATCH")))</f>
        <v>NO AUGUST POSTING IN EXPORT</v>
      </c>
      <c r="AB425" s="9" t="s">
        <v>4354</v>
      </c>
    </row>
    <row r="426" customFormat="false" ht="15" hidden="false" customHeight="false" outlineLevel="0" collapsed="false">
      <c r="A426" s="13" t="s">
        <v>4355</v>
      </c>
      <c r="B426" s="13" t="s">
        <v>155</v>
      </c>
      <c r="C426" s="13" t="s">
        <v>146</v>
      </c>
      <c r="D426" s="13" t="s">
        <v>2002</v>
      </c>
      <c r="E426" s="13" t="s">
        <v>3336</v>
      </c>
      <c r="F426" s="13" t="s">
        <v>4356</v>
      </c>
      <c r="G426" s="13" t="s">
        <v>4357</v>
      </c>
      <c r="H426" s="13" t="s">
        <v>4358</v>
      </c>
      <c r="I426" s="15" t="n">
        <v>24</v>
      </c>
      <c r="J426" s="15" t="n">
        <v>31.6</v>
      </c>
      <c r="K426" s="15"/>
      <c r="L426" s="15"/>
      <c r="M426" s="15" t="n">
        <f aca="false">IF(ISNUMBER(L426),L426,J426)</f>
        <v>31.6</v>
      </c>
      <c r="N426" s="15" t="n">
        <f aca="false">ROUNDUP(M426,0)</f>
        <v>32</v>
      </c>
      <c r="O426" s="15" t="n">
        <f aca="false">MAX(I426,N426)</f>
        <v>32</v>
      </c>
      <c r="P426" s="15" t="n">
        <f aca="false">IF(C426="COVERED",MAX(0,O426-40),0)</f>
        <v>0</v>
      </c>
      <c r="Q426" s="15" t="n">
        <f aca="false">O426</f>
        <v>32</v>
      </c>
      <c r="R426" s="18" t="n">
        <f aca="false">IF(C426="COVERED",10.4,7.55)</f>
        <v>7.55</v>
      </c>
      <c r="S426" s="18" t="n">
        <f aca="false">Q426*R426</f>
        <v>241.6</v>
      </c>
      <c r="T426" s="13"/>
      <c r="U426" s="14"/>
      <c r="V426" s="13"/>
      <c r="W426" s="18"/>
      <c r="X426" s="18"/>
      <c r="Y426" s="18" t="str">
        <f aca="false">IF(ISNUMBER(X426),X426-S426,"")</f>
        <v/>
      </c>
      <c r="Z426" s="18" t="n">
        <f aca="false">IF(ISNUMBER(X426),X426-S426,-S426)</f>
        <v>-241.6</v>
      </c>
      <c r="AA426" s="13" t="str">
        <f aca="false">IF(NOT(ISNUMBER(X426)),"NO AUGUST POSTING IN EXPORT",IF(ABS(Y426)&gt;=0.005,"POSTED CHARGE MISMATCH",IF(P426&gt;0,"MATCH - COVERED ELIGIBILITY EXCEPTION","MATCH")))</f>
        <v>NO AUGUST POSTING IN EXPORT</v>
      </c>
      <c r="AB426" s="13" t="s">
        <v>4359</v>
      </c>
    </row>
    <row r="427" customFormat="false" ht="15" hidden="false" customHeight="false" outlineLevel="0" collapsed="false">
      <c r="A427" s="9" t="s">
        <v>1339</v>
      </c>
      <c r="B427" s="9" t="s">
        <v>155</v>
      </c>
      <c r="C427" s="9" t="s">
        <v>146</v>
      </c>
      <c r="D427" s="9" t="s">
        <v>2002</v>
      </c>
      <c r="E427" s="9" t="s">
        <v>3341</v>
      </c>
      <c r="F427" s="9" t="s">
        <v>4360</v>
      </c>
      <c r="G427" s="9" t="s">
        <v>4361</v>
      </c>
      <c r="H427" s="9" t="s">
        <v>2303</v>
      </c>
      <c r="I427" s="11" t="n">
        <v>32</v>
      </c>
      <c r="J427" s="11" t="n">
        <v>22.5</v>
      </c>
      <c r="K427" s="11"/>
      <c r="L427" s="11"/>
      <c r="M427" s="11" t="n">
        <f aca="false">IF(ISNUMBER(L427),L427,J427)</f>
        <v>22.5</v>
      </c>
      <c r="N427" s="11" t="n">
        <f aca="false">ROUNDUP(M427,0)</f>
        <v>23</v>
      </c>
      <c r="O427" s="11" t="n">
        <f aca="false">MAX(I427,N427)</f>
        <v>32</v>
      </c>
      <c r="P427" s="11" t="n">
        <f aca="false">IF(C427="COVERED",MAX(0,O427-40),0)</f>
        <v>0</v>
      </c>
      <c r="Q427" s="11" t="n">
        <f aca="false">O427</f>
        <v>32</v>
      </c>
      <c r="R427" s="17" t="n">
        <f aca="false">IF(C427="COVERED",10.4,7.55)</f>
        <v>7.55</v>
      </c>
      <c r="S427" s="17" t="n">
        <f aca="false">Q427*R427</f>
        <v>241.6</v>
      </c>
      <c r="T427" s="9"/>
      <c r="U427" s="10"/>
      <c r="V427" s="9"/>
      <c r="W427" s="17"/>
      <c r="X427" s="17"/>
      <c r="Y427" s="17" t="str">
        <f aca="false">IF(ISNUMBER(X427),X427-S427,"")</f>
        <v/>
      </c>
      <c r="Z427" s="17" t="n">
        <f aca="false">IF(ISNUMBER(X427),X427-S427,-S427)</f>
        <v>-241.6</v>
      </c>
      <c r="AA427" s="9" t="str">
        <f aca="false">IF(NOT(ISNUMBER(X427)),"NO AUGUST POSTING IN EXPORT",IF(ABS(Y427)&gt;=0.005,"POSTED CHARGE MISMATCH",IF(P427&gt;0,"MATCH - COVERED ELIGIBILITY EXCEPTION","MATCH")))</f>
        <v>NO AUGUST POSTING IN EXPORT</v>
      </c>
      <c r="AB427" s="9" t="s">
        <v>4362</v>
      </c>
    </row>
    <row r="428" customFormat="false" ht="15" hidden="false" customHeight="false" outlineLevel="0" collapsed="false">
      <c r="A428" s="13" t="s">
        <v>4363</v>
      </c>
      <c r="B428" s="13" t="s">
        <v>155</v>
      </c>
      <c r="C428" s="13" t="s">
        <v>146</v>
      </c>
      <c r="D428" s="13" t="s">
        <v>2002</v>
      </c>
      <c r="E428" s="13" t="s">
        <v>3348</v>
      </c>
      <c r="F428" s="13" t="s">
        <v>261</v>
      </c>
      <c r="G428" s="13" t="s">
        <v>262</v>
      </c>
      <c r="H428" s="13" t="s">
        <v>2780</v>
      </c>
      <c r="I428" s="15" t="n">
        <v>24</v>
      </c>
      <c r="J428" s="15" t="n">
        <v>51</v>
      </c>
      <c r="K428" s="15"/>
      <c r="L428" s="15"/>
      <c r="M428" s="15" t="n">
        <f aca="false">IF(ISNUMBER(L428),L428,J428)</f>
        <v>51</v>
      </c>
      <c r="N428" s="15" t="n">
        <f aca="false">ROUNDUP(M428,0)</f>
        <v>51</v>
      </c>
      <c r="O428" s="15" t="n">
        <f aca="false">MAX(I428,N428)</f>
        <v>51</v>
      </c>
      <c r="P428" s="15" t="n">
        <f aca="false">IF(C428="COVERED",MAX(0,O428-40),0)</f>
        <v>0</v>
      </c>
      <c r="Q428" s="15" t="n">
        <f aca="false">O428</f>
        <v>51</v>
      </c>
      <c r="R428" s="18" t="n">
        <f aca="false">IF(C428="COVERED",10.4,7.55)</f>
        <v>7.55</v>
      </c>
      <c r="S428" s="18" t="n">
        <f aca="false">Q428*R428</f>
        <v>385.05</v>
      </c>
      <c r="T428" s="13"/>
      <c r="U428" s="14"/>
      <c r="V428" s="13"/>
      <c r="W428" s="18"/>
      <c r="X428" s="18"/>
      <c r="Y428" s="18" t="str">
        <f aca="false">IF(ISNUMBER(X428),X428-S428,"")</f>
        <v/>
      </c>
      <c r="Z428" s="18" t="n">
        <f aca="false">IF(ISNUMBER(X428),X428-S428,-S428)</f>
        <v>-385.05</v>
      </c>
      <c r="AA428" s="13" t="str">
        <f aca="false">IF(NOT(ISNUMBER(X428)),"NO AUGUST POSTING IN EXPORT",IF(ABS(Y428)&gt;=0.005,"POSTED CHARGE MISMATCH",IF(P428&gt;0,"MATCH - COVERED ELIGIBILITY EXCEPTION","MATCH")))</f>
        <v>NO AUGUST POSTING IN EXPORT</v>
      </c>
      <c r="AB428" s="13" t="s">
        <v>4364</v>
      </c>
    </row>
    <row r="429" customFormat="false" ht="15" hidden="false" customHeight="false" outlineLevel="0" collapsed="false">
      <c r="A429" s="9" t="s">
        <v>4365</v>
      </c>
      <c r="B429" s="9" t="s">
        <v>155</v>
      </c>
      <c r="C429" s="9" t="s">
        <v>146</v>
      </c>
      <c r="D429" s="9" t="s">
        <v>2002</v>
      </c>
      <c r="E429" s="9" t="s">
        <v>3354</v>
      </c>
      <c r="F429" s="9" t="s">
        <v>4366</v>
      </c>
      <c r="G429" s="9" t="s">
        <v>4367</v>
      </c>
      <c r="H429" s="9" t="s">
        <v>3585</v>
      </c>
      <c r="I429" s="11" t="n">
        <v>45</v>
      </c>
      <c r="J429" s="11" t="n">
        <v>42.1</v>
      </c>
      <c r="K429" s="11"/>
      <c r="L429" s="11"/>
      <c r="M429" s="11" t="n">
        <f aca="false">IF(ISNUMBER(L429),L429,J429)</f>
        <v>42.1</v>
      </c>
      <c r="N429" s="11" t="n">
        <f aca="false">ROUNDUP(M429,0)</f>
        <v>43</v>
      </c>
      <c r="O429" s="11" t="n">
        <f aca="false">MAX(I429,N429)</f>
        <v>45</v>
      </c>
      <c r="P429" s="11" t="n">
        <f aca="false">IF(C429="COVERED",MAX(0,O429-40),0)</f>
        <v>0</v>
      </c>
      <c r="Q429" s="11" t="n">
        <f aca="false">O429</f>
        <v>45</v>
      </c>
      <c r="R429" s="17" t="n">
        <f aca="false">IF(C429="COVERED",10.4,7.55)</f>
        <v>7.55</v>
      </c>
      <c r="S429" s="17" t="n">
        <f aca="false">Q429*R429</f>
        <v>339.75</v>
      </c>
      <c r="T429" s="9"/>
      <c r="U429" s="10"/>
      <c r="V429" s="9"/>
      <c r="W429" s="17"/>
      <c r="X429" s="17"/>
      <c r="Y429" s="17" t="str">
        <f aca="false">IF(ISNUMBER(X429),X429-S429,"")</f>
        <v/>
      </c>
      <c r="Z429" s="17" t="n">
        <f aca="false">IF(ISNUMBER(X429),X429-S429,-S429)</f>
        <v>-339.75</v>
      </c>
      <c r="AA429" s="9" t="str">
        <f aca="false">IF(NOT(ISNUMBER(X429)),"NO AUGUST POSTING IN EXPORT",IF(ABS(Y429)&gt;=0.005,"POSTED CHARGE MISMATCH",IF(P429&gt;0,"MATCH - COVERED ELIGIBILITY EXCEPTION","MATCH")))</f>
        <v>NO AUGUST POSTING IN EXPORT</v>
      </c>
      <c r="AB429" s="9" t="s">
        <v>4368</v>
      </c>
    </row>
    <row r="430" customFormat="false" ht="15" hidden="false" customHeight="false" outlineLevel="0" collapsed="false">
      <c r="A430" s="13" t="s">
        <v>1577</v>
      </c>
      <c r="B430" s="13" t="s">
        <v>155</v>
      </c>
      <c r="C430" s="13" t="s">
        <v>146</v>
      </c>
      <c r="D430" s="13" t="s">
        <v>2002</v>
      </c>
      <c r="E430" s="13" t="s">
        <v>4369</v>
      </c>
      <c r="F430" s="13" t="s">
        <v>4370</v>
      </c>
      <c r="G430" s="13" t="s">
        <v>4371</v>
      </c>
      <c r="H430" s="13" t="s">
        <v>4372</v>
      </c>
      <c r="I430" s="15" t="n">
        <v>32</v>
      </c>
      <c r="J430" s="15" t="n">
        <v>19.8</v>
      </c>
      <c r="K430" s="15"/>
      <c r="L430" s="15"/>
      <c r="M430" s="15" t="n">
        <f aca="false">IF(ISNUMBER(L430),L430,J430)</f>
        <v>19.8</v>
      </c>
      <c r="N430" s="15" t="n">
        <f aca="false">ROUNDUP(M430,0)</f>
        <v>20</v>
      </c>
      <c r="O430" s="15" t="n">
        <f aca="false">MAX(I430,N430)</f>
        <v>32</v>
      </c>
      <c r="P430" s="15" t="n">
        <f aca="false">IF(C430="COVERED",MAX(0,O430-40),0)</f>
        <v>0</v>
      </c>
      <c r="Q430" s="15" t="n">
        <f aca="false">O430</f>
        <v>32</v>
      </c>
      <c r="R430" s="18" t="n">
        <f aca="false">IF(C430="COVERED",10.4,7.55)</f>
        <v>7.55</v>
      </c>
      <c r="S430" s="18" t="n">
        <f aca="false">Q430*R430</f>
        <v>241.6</v>
      </c>
      <c r="T430" s="13"/>
      <c r="U430" s="14"/>
      <c r="V430" s="13"/>
      <c r="W430" s="18"/>
      <c r="X430" s="18"/>
      <c r="Y430" s="18" t="str">
        <f aca="false">IF(ISNUMBER(X430),X430-S430,"")</f>
        <v/>
      </c>
      <c r="Z430" s="18" t="n">
        <f aca="false">IF(ISNUMBER(X430),X430-S430,-S430)</f>
        <v>-241.6</v>
      </c>
      <c r="AA430" s="13" t="str">
        <f aca="false">IF(NOT(ISNUMBER(X430)),"NO AUGUST POSTING IN EXPORT",IF(ABS(Y430)&gt;=0.005,"POSTED CHARGE MISMATCH",IF(P430&gt;0,"MATCH - COVERED ELIGIBILITY EXCEPTION","MATCH")))</f>
        <v>NO AUGUST POSTING IN EXPORT</v>
      </c>
      <c r="AB430" s="13" t="s">
        <v>4373</v>
      </c>
    </row>
    <row r="431" customFormat="false" ht="15" hidden="false" customHeight="false" outlineLevel="0" collapsed="false">
      <c r="A431" s="9" t="s">
        <v>4374</v>
      </c>
      <c r="B431" s="9" t="s">
        <v>155</v>
      </c>
      <c r="C431" s="9" t="s">
        <v>146</v>
      </c>
      <c r="D431" s="9" t="s">
        <v>2002</v>
      </c>
      <c r="E431" s="9" t="s">
        <v>3359</v>
      </c>
      <c r="F431" s="9" t="s">
        <v>4375</v>
      </c>
      <c r="G431" s="9" t="s">
        <v>4376</v>
      </c>
      <c r="H431" s="9" t="s">
        <v>4377</v>
      </c>
      <c r="I431" s="11" t="n">
        <v>45</v>
      </c>
      <c r="J431" s="11" t="n">
        <v>28.5</v>
      </c>
      <c r="K431" s="11"/>
      <c r="L431" s="11"/>
      <c r="M431" s="11" t="n">
        <f aca="false">IF(ISNUMBER(L431),L431,J431)</f>
        <v>28.5</v>
      </c>
      <c r="N431" s="11" t="n">
        <f aca="false">ROUNDUP(M431,0)</f>
        <v>29</v>
      </c>
      <c r="O431" s="11" t="n">
        <f aca="false">MAX(I431,N431)</f>
        <v>45</v>
      </c>
      <c r="P431" s="11" t="n">
        <f aca="false">IF(C431="COVERED",MAX(0,O431-40),0)</f>
        <v>0</v>
      </c>
      <c r="Q431" s="11" t="n">
        <f aca="false">O431</f>
        <v>45</v>
      </c>
      <c r="R431" s="17" t="n">
        <f aca="false">IF(C431="COVERED",10.4,7.55)</f>
        <v>7.55</v>
      </c>
      <c r="S431" s="17" t="n">
        <f aca="false">Q431*R431</f>
        <v>339.75</v>
      </c>
      <c r="T431" s="9"/>
      <c r="U431" s="10"/>
      <c r="V431" s="9"/>
      <c r="W431" s="17"/>
      <c r="X431" s="17"/>
      <c r="Y431" s="17" t="str">
        <f aca="false">IF(ISNUMBER(X431),X431-S431,"")</f>
        <v/>
      </c>
      <c r="Z431" s="17" t="n">
        <f aca="false">IF(ISNUMBER(X431),X431-S431,-S431)</f>
        <v>-339.75</v>
      </c>
      <c r="AA431" s="9" t="str">
        <f aca="false">IF(NOT(ISNUMBER(X431)),"NO AUGUST POSTING IN EXPORT",IF(ABS(Y431)&gt;=0.005,"POSTED CHARGE MISMATCH",IF(P431&gt;0,"MATCH - COVERED ELIGIBILITY EXCEPTION","MATCH")))</f>
        <v>NO AUGUST POSTING IN EXPORT</v>
      </c>
      <c r="AB431" s="9" t="s">
        <v>4378</v>
      </c>
    </row>
    <row r="432" customFormat="false" ht="15" hidden="false" customHeight="false" outlineLevel="0" collapsed="false">
      <c r="A432" s="13" t="s">
        <v>4379</v>
      </c>
      <c r="B432" s="13" t="s">
        <v>155</v>
      </c>
      <c r="C432" s="13" t="s">
        <v>146</v>
      </c>
      <c r="D432" s="13" t="s">
        <v>2002</v>
      </c>
      <c r="E432" s="13" t="s">
        <v>3367</v>
      </c>
      <c r="F432" s="13" t="s">
        <v>4380</v>
      </c>
      <c r="G432" s="13" t="s">
        <v>4381</v>
      </c>
      <c r="H432" s="13" t="s">
        <v>2290</v>
      </c>
      <c r="I432" s="15" t="n">
        <v>28</v>
      </c>
      <c r="J432" s="15" t="n">
        <v>35</v>
      </c>
      <c r="K432" s="15"/>
      <c r="L432" s="15"/>
      <c r="M432" s="15" t="n">
        <f aca="false">IF(ISNUMBER(L432),L432,J432)</f>
        <v>35</v>
      </c>
      <c r="N432" s="15" t="n">
        <f aca="false">ROUNDUP(M432,0)</f>
        <v>35</v>
      </c>
      <c r="O432" s="15" t="n">
        <f aca="false">MAX(I432,N432)</f>
        <v>35</v>
      </c>
      <c r="P432" s="15" t="n">
        <f aca="false">IF(C432="COVERED",MAX(0,O432-40),0)</f>
        <v>0</v>
      </c>
      <c r="Q432" s="15" t="n">
        <f aca="false">O432</f>
        <v>35</v>
      </c>
      <c r="R432" s="18" t="n">
        <f aca="false">IF(C432="COVERED",10.4,7.55)</f>
        <v>7.55</v>
      </c>
      <c r="S432" s="18" t="n">
        <f aca="false">Q432*R432</f>
        <v>264.25</v>
      </c>
      <c r="T432" s="13"/>
      <c r="U432" s="14"/>
      <c r="V432" s="13"/>
      <c r="W432" s="18"/>
      <c r="X432" s="18"/>
      <c r="Y432" s="18" t="str">
        <f aca="false">IF(ISNUMBER(X432),X432-S432,"")</f>
        <v/>
      </c>
      <c r="Z432" s="18" t="n">
        <f aca="false">IF(ISNUMBER(X432),X432-S432,-S432)</f>
        <v>-264.25</v>
      </c>
      <c r="AA432" s="13" t="str">
        <f aca="false">IF(NOT(ISNUMBER(X432)),"NO AUGUST POSTING IN EXPORT",IF(ABS(Y432)&gt;=0.005,"POSTED CHARGE MISMATCH",IF(P432&gt;0,"MATCH - COVERED ELIGIBILITY EXCEPTION","MATCH")))</f>
        <v>NO AUGUST POSTING IN EXPORT</v>
      </c>
      <c r="AB432" s="13" t="s">
        <v>4382</v>
      </c>
    </row>
    <row r="433" customFormat="false" ht="15" hidden="false" customHeight="false" outlineLevel="0" collapsed="false">
      <c r="A433" s="9" t="s">
        <v>4383</v>
      </c>
      <c r="B433" s="9" t="s">
        <v>113</v>
      </c>
      <c r="C433" s="9" t="s">
        <v>114</v>
      </c>
      <c r="D433" s="9" t="s">
        <v>2002</v>
      </c>
      <c r="E433" s="9" t="s">
        <v>2003</v>
      </c>
      <c r="F433" s="9" t="s">
        <v>4384</v>
      </c>
      <c r="G433" s="9" t="s">
        <v>4385</v>
      </c>
      <c r="H433" s="9" t="s">
        <v>4386</v>
      </c>
      <c r="I433" s="11" t="n">
        <v>24</v>
      </c>
      <c r="J433" s="11" t="n">
        <v>51</v>
      </c>
      <c r="K433" s="11"/>
      <c r="L433" s="11"/>
      <c r="M433" s="11" t="n">
        <f aca="false">IF(ISNUMBER(L433),L433,J433)</f>
        <v>51</v>
      </c>
      <c r="N433" s="11" t="n">
        <f aca="false">ROUNDUP(M433,0)</f>
        <v>51</v>
      </c>
      <c r="O433" s="11" t="n">
        <f aca="false">MAX(I433,N433)</f>
        <v>51</v>
      </c>
      <c r="P433" s="11" t="n">
        <f aca="false">IF(C433="COVERED",MAX(0,O433-40),0)</f>
        <v>11</v>
      </c>
      <c r="Q433" s="11" t="n">
        <f aca="false">O433</f>
        <v>51</v>
      </c>
      <c r="R433" s="17" t="n">
        <f aca="false">IF(C433="COVERED",10.4,7.55)</f>
        <v>10.4</v>
      </c>
      <c r="S433" s="17" t="n">
        <f aca="false">Q433*R433</f>
        <v>530.4</v>
      </c>
      <c r="T433" s="9" t="s">
        <v>4387</v>
      </c>
      <c r="U433" s="10" t="n">
        <v>46235</v>
      </c>
      <c r="V433" s="9" t="n">
        <v>51</v>
      </c>
      <c r="W433" s="17" t="n">
        <v>10.4</v>
      </c>
      <c r="X433" s="17" t="n">
        <v>530.4</v>
      </c>
      <c r="Y433" s="17" t="n">
        <f aca="false">IF(ISNUMBER(X433),X433-S433,"")</f>
        <v>0</v>
      </c>
      <c r="Z433" s="17" t="n">
        <f aca="false">IF(ISNUMBER(X433),X433-S433,-S433)</f>
        <v>0</v>
      </c>
      <c r="AA433" s="9" t="str">
        <f aca="false">IF(NOT(ISNUMBER(X433)),"NO AUGUST POSTING IN EXPORT",IF(ABS(Y433)&gt;=0.005,"POSTED CHARGE MISMATCH",IF(P433&gt;0,"MATCH - COVERED ELIGIBILITY EXCEPTION","MATCH")))</f>
        <v>MATCH - COVERED ELIGIBILITY EXCEPTION</v>
      </c>
      <c r="AB433" s="9" t="s">
        <v>4388</v>
      </c>
    </row>
    <row r="434" customFormat="false" ht="15" hidden="false" customHeight="false" outlineLevel="0" collapsed="false">
      <c r="A434" s="13" t="s">
        <v>1119</v>
      </c>
      <c r="B434" s="13" t="s">
        <v>113</v>
      </c>
      <c r="C434" s="13" t="s">
        <v>114</v>
      </c>
      <c r="D434" s="13" t="s">
        <v>2002</v>
      </c>
      <c r="E434" s="13" t="s">
        <v>2010</v>
      </c>
      <c r="F434" s="13" t="s">
        <v>4389</v>
      </c>
      <c r="G434" s="13" t="s">
        <v>4390</v>
      </c>
      <c r="H434" s="13" t="s">
        <v>4391</v>
      </c>
      <c r="I434" s="15" t="n">
        <v>40</v>
      </c>
      <c r="J434" s="15" t="n">
        <v>21.9</v>
      </c>
      <c r="K434" s="15"/>
      <c r="L434" s="15"/>
      <c r="M434" s="15" t="n">
        <f aca="false">IF(ISNUMBER(L434),L434,J434)</f>
        <v>21.9</v>
      </c>
      <c r="N434" s="15" t="n">
        <f aca="false">ROUNDUP(M434,0)</f>
        <v>22</v>
      </c>
      <c r="O434" s="15" t="n">
        <f aca="false">MAX(I434,N434)</f>
        <v>40</v>
      </c>
      <c r="P434" s="15" t="n">
        <f aca="false">IF(C434="COVERED",MAX(0,O434-40),0)</f>
        <v>0</v>
      </c>
      <c r="Q434" s="15" t="n">
        <f aca="false">O434</f>
        <v>40</v>
      </c>
      <c r="R434" s="18" t="n">
        <f aca="false">IF(C434="COVERED",10.4,7.55)</f>
        <v>10.4</v>
      </c>
      <c r="S434" s="18" t="n">
        <f aca="false">Q434*R434</f>
        <v>416</v>
      </c>
      <c r="T434" s="13" t="s">
        <v>4392</v>
      </c>
      <c r="U434" s="14" t="n">
        <v>46235</v>
      </c>
      <c r="V434" s="13" t="n">
        <v>40</v>
      </c>
      <c r="W434" s="18" t="n">
        <v>10.4</v>
      </c>
      <c r="X434" s="18" t="n">
        <v>416</v>
      </c>
      <c r="Y434" s="18" t="n">
        <f aca="false">IF(ISNUMBER(X434),X434-S434,"")</f>
        <v>0</v>
      </c>
      <c r="Z434" s="18" t="n">
        <f aca="false">IF(ISNUMBER(X434),X434-S434,-S434)</f>
        <v>0</v>
      </c>
      <c r="AA434" s="13" t="str">
        <f aca="false">IF(NOT(ISNUMBER(X434)),"NO AUGUST POSTING IN EXPORT",IF(ABS(Y434)&gt;=0.005,"POSTED CHARGE MISMATCH",IF(P434&gt;0,"MATCH - COVERED ELIGIBILITY EXCEPTION","MATCH")))</f>
        <v>MATCH</v>
      </c>
      <c r="AB434" s="13" t="s">
        <v>4393</v>
      </c>
    </row>
    <row r="435" customFormat="false" ht="15" hidden="false" customHeight="false" outlineLevel="0" collapsed="false">
      <c r="A435" s="9" t="s">
        <v>4394</v>
      </c>
      <c r="B435" s="9" t="s">
        <v>113</v>
      </c>
      <c r="C435" s="9" t="s">
        <v>114</v>
      </c>
      <c r="D435" s="9" t="s">
        <v>2002</v>
      </c>
      <c r="E435" s="9" t="s">
        <v>2017</v>
      </c>
      <c r="F435" s="9" t="s">
        <v>4395</v>
      </c>
      <c r="G435" s="9" t="s">
        <v>4396</v>
      </c>
      <c r="H435" s="9" t="s">
        <v>4397</v>
      </c>
      <c r="I435" s="11" t="n">
        <v>28</v>
      </c>
      <c r="J435" s="11" t="n">
        <v>32.7</v>
      </c>
      <c r="K435" s="11"/>
      <c r="L435" s="11"/>
      <c r="M435" s="11" t="n">
        <f aca="false">IF(ISNUMBER(L435),L435,J435)</f>
        <v>32.7</v>
      </c>
      <c r="N435" s="11" t="n">
        <f aca="false">ROUNDUP(M435,0)</f>
        <v>33</v>
      </c>
      <c r="O435" s="11" t="n">
        <f aca="false">MAX(I435,N435)</f>
        <v>33</v>
      </c>
      <c r="P435" s="11" t="n">
        <f aca="false">IF(C435="COVERED",MAX(0,O435-40),0)</f>
        <v>0</v>
      </c>
      <c r="Q435" s="11" t="n">
        <f aca="false">O435</f>
        <v>33</v>
      </c>
      <c r="R435" s="17" t="n">
        <f aca="false">IF(C435="COVERED",10.4,7.55)</f>
        <v>10.4</v>
      </c>
      <c r="S435" s="17" t="n">
        <f aca="false">Q435*R435</f>
        <v>343.2</v>
      </c>
      <c r="T435" s="9" t="s">
        <v>4398</v>
      </c>
      <c r="U435" s="10" t="n">
        <v>46235</v>
      </c>
      <c r="V435" s="9" t="n">
        <v>33</v>
      </c>
      <c r="W435" s="17" t="n">
        <v>10.4</v>
      </c>
      <c r="X435" s="17" t="n">
        <v>343.2</v>
      </c>
      <c r="Y435" s="17" t="n">
        <f aca="false">IF(ISNUMBER(X435),X435-S435,"")</f>
        <v>0</v>
      </c>
      <c r="Z435" s="17" t="n">
        <f aca="false">IF(ISNUMBER(X435),X435-S435,-S435)</f>
        <v>0</v>
      </c>
      <c r="AA435" s="9" t="str">
        <f aca="false">IF(NOT(ISNUMBER(X435)),"NO AUGUST POSTING IN EXPORT",IF(ABS(Y435)&gt;=0.005,"POSTED CHARGE MISMATCH",IF(P435&gt;0,"MATCH - COVERED ELIGIBILITY EXCEPTION","MATCH")))</f>
        <v>MATCH</v>
      </c>
      <c r="AB435" s="9" t="s">
        <v>4399</v>
      </c>
    </row>
    <row r="436" customFormat="false" ht="15" hidden="false" customHeight="false" outlineLevel="0" collapsed="false">
      <c r="A436" s="13" t="s">
        <v>489</v>
      </c>
      <c r="B436" s="13" t="s">
        <v>113</v>
      </c>
      <c r="C436" s="13" t="s">
        <v>114</v>
      </c>
      <c r="D436" s="13" t="s">
        <v>2002</v>
      </c>
      <c r="E436" s="13" t="s">
        <v>3392</v>
      </c>
      <c r="F436" s="13" t="s">
        <v>4400</v>
      </c>
      <c r="G436" s="13" t="s">
        <v>4401</v>
      </c>
      <c r="H436" s="13" t="s">
        <v>4402</v>
      </c>
      <c r="I436" s="15" t="n">
        <v>24</v>
      </c>
      <c r="J436" s="15" t="n">
        <v>42.8</v>
      </c>
      <c r="K436" s="15"/>
      <c r="L436" s="15"/>
      <c r="M436" s="15" t="n">
        <f aca="false">IF(ISNUMBER(L436),L436,J436)</f>
        <v>42.8</v>
      </c>
      <c r="N436" s="15" t="n">
        <f aca="false">ROUNDUP(M436,0)</f>
        <v>43</v>
      </c>
      <c r="O436" s="15" t="n">
        <f aca="false">MAX(I436,N436)</f>
        <v>43</v>
      </c>
      <c r="P436" s="15" t="n">
        <f aca="false">IF(C436="COVERED",MAX(0,O436-40),0)</f>
        <v>3</v>
      </c>
      <c r="Q436" s="15" t="n">
        <f aca="false">O436</f>
        <v>43</v>
      </c>
      <c r="R436" s="18" t="n">
        <f aca="false">IF(C436="COVERED",10.4,7.55)</f>
        <v>10.4</v>
      </c>
      <c r="S436" s="18" t="n">
        <f aca="false">Q436*R436</f>
        <v>447.2</v>
      </c>
      <c r="T436" s="13" t="s">
        <v>4403</v>
      </c>
      <c r="U436" s="14" t="n">
        <v>46235</v>
      </c>
      <c r="V436" s="13" t="n">
        <v>43</v>
      </c>
      <c r="W436" s="18" t="n">
        <v>10.4</v>
      </c>
      <c r="X436" s="18" t="n">
        <v>447.2</v>
      </c>
      <c r="Y436" s="18" t="n">
        <f aca="false">IF(ISNUMBER(X436),X436-S436,"")</f>
        <v>0</v>
      </c>
      <c r="Z436" s="18" t="n">
        <f aca="false">IF(ISNUMBER(X436),X436-S436,-S436)</f>
        <v>0</v>
      </c>
      <c r="AA436" s="13" t="str">
        <f aca="false">IF(NOT(ISNUMBER(X436)),"NO AUGUST POSTING IN EXPORT",IF(ABS(Y436)&gt;=0.005,"POSTED CHARGE MISMATCH",IF(P436&gt;0,"MATCH - COVERED ELIGIBILITY EXCEPTION","MATCH")))</f>
        <v>MATCH - COVERED ELIGIBILITY EXCEPTION</v>
      </c>
      <c r="AB436" s="13" t="s">
        <v>4404</v>
      </c>
    </row>
    <row r="437" customFormat="false" ht="15" hidden="false" customHeight="false" outlineLevel="0" collapsed="false">
      <c r="A437" s="9" t="s">
        <v>4405</v>
      </c>
      <c r="B437" s="9" t="s">
        <v>113</v>
      </c>
      <c r="C437" s="9" t="s">
        <v>114</v>
      </c>
      <c r="D437" s="9" t="s">
        <v>2002</v>
      </c>
      <c r="E437" s="9" t="s">
        <v>2024</v>
      </c>
      <c r="F437" s="9" t="s">
        <v>4406</v>
      </c>
      <c r="G437" s="9" t="s">
        <v>4407</v>
      </c>
      <c r="H437" s="9" t="s">
        <v>2500</v>
      </c>
      <c r="I437" s="11" t="n">
        <v>36</v>
      </c>
      <c r="J437" s="11" t="n">
        <v>39</v>
      </c>
      <c r="K437" s="11"/>
      <c r="L437" s="11"/>
      <c r="M437" s="11" t="n">
        <f aca="false">IF(ISNUMBER(L437),L437,J437)</f>
        <v>39</v>
      </c>
      <c r="N437" s="11" t="n">
        <f aca="false">ROUNDUP(M437,0)</f>
        <v>39</v>
      </c>
      <c r="O437" s="11" t="n">
        <f aca="false">MAX(I437,N437)</f>
        <v>39</v>
      </c>
      <c r="P437" s="11" t="n">
        <f aca="false">IF(C437="COVERED",MAX(0,O437-40),0)</f>
        <v>0</v>
      </c>
      <c r="Q437" s="11" t="n">
        <f aca="false">O437</f>
        <v>39</v>
      </c>
      <c r="R437" s="17" t="n">
        <f aca="false">IF(C437="COVERED",10.4,7.55)</f>
        <v>10.4</v>
      </c>
      <c r="S437" s="17" t="n">
        <f aca="false">Q437*R437</f>
        <v>405.6</v>
      </c>
      <c r="T437" s="9" t="s">
        <v>4408</v>
      </c>
      <c r="U437" s="10" t="n">
        <v>46235</v>
      </c>
      <c r="V437" s="9" t="n">
        <v>39</v>
      </c>
      <c r="W437" s="17" t="n">
        <v>10.4</v>
      </c>
      <c r="X437" s="17" t="n">
        <v>405.6</v>
      </c>
      <c r="Y437" s="17" t="n">
        <f aca="false">IF(ISNUMBER(X437),X437-S437,"")</f>
        <v>0</v>
      </c>
      <c r="Z437" s="17" t="n">
        <f aca="false">IF(ISNUMBER(X437),X437-S437,-S437)</f>
        <v>0</v>
      </c>
      <c r="AA437" s="9" t="str">
        <f aca="false">IF(NOT(ISNUMBER(X437)),"NO AUGUST POSTING IN EXPORT",IF(ABS(Y437)&gt;=0.005,"POSTED CHARGE MISMATCH",IF(P437&gt;0,"MATCH - COVERED ELIGIBILITY EXCEPTION","MATCH")))</f>
        <v>MATCH</v>
      </c>
      <c r="AB437" s="9" t="s">
        <v>4409</v>
      </c>
    </row>
    <row r="438" customFormat="false" ht="15" hidden="false" customHeight="false" outlineLevel="0" collapsed="false">
      <c r="A438" s="13" t="s">
        <v>4410</v>
      </c>
      <c r="B438" s="13" t="s">
        <v>113</v>
      </c>
      <c r="C438" s="13" t="s">
        <v>114</v>
      </c>
      <c r="D438" s="13" t="s">
        <v>2002</v>
      </c>
      <c r="E438" s="13" t="s">
        <v>2031</v>
      </c>
      <c r="F438" s="13" t="s">
        <v>4411</v>
      </c>
      <c r="G438" s="13" t="s">
        <v>4412</v>
      </c>
      <c r="H438" s="13" t="s">
        <v>4413</v>
      </c>
      <c r="I438" s="15" t="n">
        <v>24</v>
      </c>
      <c r="J438" s="15" t="n">
        <v>39</v>
      </c>
      <c r="K438" s="15"/>
      <c r="L438" s="15"/>
      <c r="M438" s="15" t="n">
        <f aca="false">IF(ISNUMBER(L438),L438,J438)</f>
        <v>39</v>
      </c>
      <c r="N438" s="15" t="n">
        <f aca="false">ROUNDUP(M438,0)</f>
        <v>39</v>
      </c>
      <c r="O438" s="15" t="n">
        <f aca="false">MAX(I438,N438)</f>
        <v>39</v>
      </c>
      <c r="P438" s="15" t="n">
        <f aca="false">IF(C438="COVERED",MAX(0,O438-40),0)</f>
        <v>0</v>
      </c>
      <c r="Q438" s="15" t="n">
        <f aca="false">O438</f>
        <v>39</v>
      </c>
      <c r="R438" s="18" t="n">
        <f aca="false">IF(C438="COVERED",10.4,7.55)</f>
        <v>10.4</v>
      </c>
      <c r="S438" s="18" t="n">
        <f aca="false">Q438*R438</f>
        <v>405.6</v>
      </c>
      <c r="T438" s="13" t="s">
        <v>4414</v>
      </c>
      <c r="U438" s="14" t="n">
        <v>46235</v>
      </c>
      <c r="V438" s="13" t="n">
        <v>39</v>
      </c>
      <c r="W438" s="18" t="n">
        <v>10.4</v>
      </c>
      <c r="X438" s="18" t="n">
        <v>405.6</v>
      </c>
      <c r="Y438" s="18" t="n">
        <f aca="false">IF(ISNUMBER(X438),X438-S438,"")</f>
        <v>0</v>
      </c>
      <c r="Z438" s="18" t="n">
        <f aca="false">IF(ISNUMBER(X438),X438-S438,-S438)</f>
        <v>0</v>
      </c>
      <c r="AA438" s="13" t="str">
        <f aca="false">IF(NOT(ISNUMBER(X438)),"NO AUGUST POSTING IN EXPORT",IF(ABS(Y438)&gt;=0.005,"POSTED CHARGE MISMATCH",IF(P438&gt;0,"MATCH - COVERED ELIGIBILITY EXCEPTION","MATCH")))</f>
        <v>MATCH</v>
      </c>
      <c r="AB438" s="13" t="s">
        <v>4415</v>
      </c>
    </row>
    <row r="439" customFormat="false" ht="15" hidden="false" customHeight="false" outlineLevel="0" collapsed="false">
      <c r="A439" s="9" t="s">
        <v>4416</v>
      </c>
      <c r="B439" s="9" t="s">
        <v>113</v>
      </c>
      <c r="C439" s="9" t="s">
        <v>114</v>
      </c>
      <c r="D439" s="9" t="s">
        <v>2002</v>
      </c>
      <c r="E439" s="9" t="s">
        <v>2037</v>
      </c>
      <c r="F439" s="9" t="s">
        <v>1396</v>
      </c>
      <c r="G439" s="9" t="s">
        <v>1397</v>
      </c>
      <c r="H439" s="9" t="s">
        <v>4417</v>
      </c>
      <c r="I439" s="11" t="n">
        <v>24</v>
      </c>
      <c r="J439" s="11" t="n">
        <v>30.4</v>
      </c>
      <c r="K439" s="11"/>
      <c r="L439" s="11"/>
      <c r="M439" s="11" t="n">
        <f aca="false">IF(ISNUMBER(L439),L439,J439)</f>
        <v>30.4</v>
      </c>
      <c r="N439" s="11" t="n">
        <f aca="false">ROUNDUP(M439,0)</f>
        <v>31</v>
      </c>
      <c r="O439" s="11" t="n">
        <f aca="false">MAX(I439,N439)</f>
        <v>31</v>
      </c>
      <c r="P439" s="11" t="n">
        <f aca="false">IF(C439="COVERED",MAX(0,O439-40),0)</f>
        <v>0</v>
      </c>
      <c r="Q439" s="11" t="n">
        <f aca="false">O439</f>
        <v>31</v>
      </c>
      <c r="R439" s="17" t="n">
        <f aca="false">IF(C439="COVERED",10.4,7.55)</f>
        <v>10.4</v>
      </c>
      <c r="S439" s="17" t="n">
        <f aca="false">Q439*R439</f>
        <v>322.4</v>
      </c>
      <c r="T439" s="9" t="s">
        <v>4418</v>
      </c>
      <c r="U439" s="10" t="n">
        <v>46235</v>
      </c>
      <c r="V439" s="9" t="n">
        <v>31</v>
      </c>
      <c r="W439" s="17" t="n">
        <v>10.4</v>
      </c>
      <c r="X439" s="17" t="n">
        <v>322.4</v>
      </c>
      <c r="Y439" s="17" t="n">
        <f aca="false">IF(ISNUMBER(X439),X439-S439,"")</f>
        <v>0</v>
      </c>
      <c r="Z439" s="17" t="n">
        <f aca="false">IF(ISNUMBER(X439),X439-S439,-S439)</f>
        <v>0</v>
      </c>
      <c r="AA439" s="9" t="str">
        <f aca="false">IF(NOT(ISNUMBER(X439)),"NO AUGUST POSTING IN EXPORT",IF(ABS(Y439)&gt;=0.005,"POSTED CHARGE MISMATCH",IF(P439&gt;0,"MATCH - COVERED ELIGIBILITY EXCEPTION","MATCH")))</f>
        <v>MATCH</v>
      </c>
      <c r="AB439" s="9" t="s">
        <v>4419</v>
      </c>
    </row>
    <row r="440" customFormat="false" ht="15" hidden="false" customHeight="false" outlineLevel="0" collapsed="false">
      <c r="A440" s="13" t="s">
        <v>4420</v>
      </c>
      <c r="B440" s="13" t="s">
        <v>113</v>
      </c>
      <c r="C440" s="13" t="s">
        <v>114</v>
      </c>
      <c r="D440" s="13" t="s">
        <v>2002</v>
      </c>
      <c r="E440" s="13" t="s">
        <v>2042</v>
      </c>
      <c r="F440" s="13" t="s">
        <v>4421</v>
      </c>
      <c r="G440" s="13" t="s">
        <v>4422</v>
      </c>
      <c r="H440" s="13" t="s">
        <v>3236</v>
      </c>
      <c r="I440" s="15" t="n">
        <v>32</v>
      </c>
      <c r="J440" s="15" t="n">
        <v>23.4</v>
      </c>
      <c r="K440" s="15"/>
      <c r="L440" s="15"/>
      <c r="M440" s="15" t="n">
        <f aca="false">IF(ISNUMBER(L440),L440,J440)</f>
        <v>23.4</v>
      </c>
      <c r="N440" s="15" t="n">
        <f aca="false">ROUNDUP(M440,0)</f>
        <v>24</v>
      </c>
      <c r="O440" s="15" t="n">
        <f aca="false">MAX(I440,N440)</f>
        <v>32</v>
      </c>
      <c r="P440" s="15" t="n">
        <f aca="false">IF(C440="COVERED",MAX(0,O440-40),0)</f>
        <v>0</v>
      </c>
      <c r="Q440" s="15" t="n">
        <f aca="false">O440</f>
        <v>32</v>
      </c>
      <c r="R440" s="18" t="n">
        <f aca="false">IF(C440="COVERED",10.4,7.55)</f>
        <v>10.4</v>
      </c>
      <c r="S440" s="18" t="n">
        <f aca="false">Q440*R440</f>
        <v>332.8</v>
      </c>
      <c r="T440" s="13" t="s">
        <v>4423</v>
      </c>
      <c r="U440" s="14" t="n">
        <v>46235</v>
      </c>
      <c r="V440" s="13" t="n">
        <v>32</v>
      </c>
      <c r="W440" s="18" t="n">
        <v>10.4</v>
      </c>
      <c r="X440" s="18" t="n">
        <v>332.8</v>
      </c>
      <c r="Y440" s="18" t="n">
        <f aca="false">IF(ISNUMBER(X440),X440-S440,"")</f>
        <v>0</v>
      </c>
      <c r="Z440" s="18" t="n">
        <f aca="false">IF(ISNUMBER(X440),X440-S440,-S440)</f>
        <v>0</v>
      </c>
      <c r="AA440" s="13" t="str">
        <f aca="false">IF(NOT(ISNUMBER(X440)),"NO AUGUST POSTING IN EXPORT",IF(ABS(Y440)&gt;=0.005,"POSTED CHARGE MISMATCH",IF(P440&gt;0,"MATCH - COVERED ELIGIBILITY EXCEPTION","MATCH")))</f>
        <v>MATCH</v>
      </c>
      <c r="AB440" s="13" t="s">
        <v>4424</v>
      </c>
    </row>
    <row r="441" customFormat="false" ht="15" hidden="false" customHeight="false" outlineLevel="0" collapsed="false">
      <c r="A441" s="9" t="s">
        <v>4425</v>
      </c>
      <c r="B441" s="9" t="s">
        <v>113</v>
      </c>
      <c r="C441" s="9" t="s">
        <v>114</v>
      </c>
      <c r="D441" s="9" t="s">
        <v>2002</v>
      </c>
      <c r="E441" s="9" t="s">
        <v>2048</v>
      </c>
      <c r="F441" s="9" t="s">
        <v>4426</v>
      </c>
      <c r="G441" s="9" t="s">
        <v>4427</v>
      </c>
      <c r="H441" s="9" t="s">
        <v>3824</v>
      </c>
      <c r="I441" s="11" t="n">
        <v>32</v>
      </c>
      <c r="J441" s="11" t="n">
        <v>20.8</v>
      </c>
      <c r="K441" s="11"/>
      <c r="L441" s="11"/>
      <c r="M441" s="11" t="n">
        <f aca="false">IF(ISNUMBER(L441),L441,J441)</f>
        <v>20.8</v>
      </c>
      <c r="N441" s="11" t="n">
        <f aca="false">ROUNDUP(M441,0)</f>
        <v>21</v>
      </c>
      <c r="O441" s="11" t="n">
        <f aca="false">MAX(I441,N441)</f>
        <v>32</v>
      </c>
      <c r="P441" s="11" t="n">
        <f aca="false">IF(C441="COVERED",MAX(0,O441-40),0)</f>
        <v>0</v>
      </c>
      <c r="Q441" s="11" t="n">
        <f aca="false">O441</f>
        <v>32</v>
      </c>
      <c r="R441" s="17" t="n">
        <f aca="false">IF(C441="COVERED",10.4,7.55)</f>
        <v>10.4</v>
      </c>
      <c r="S441" s="17" t="n">
        <f aca="false">Q441*R441</f>
        <v>332.8</v>
      </c>
      <c r="T441" s="9" t="s">
        <v>4428</v>
      </c>
      <c r="U441" s="10" t="n">
        <v>46235</v>
      </c>
      <c r="V441" s="9" t="n">
        <v>32</v>
      </c>
      <c r="W441" s="17" t="n">
        <v>10.4</v>
      </c>
      <c r="X441" s="17" t="n">
        <v>332.8</v>
      </c>
      <c r="Y441" s="17" t="n">
        <f aca="false">IF(ISNUMBER(X441),X441-S441,"")</f>
        <v>0</v>
      </c>
      <c r="Z441" s="17" t="n">
        <f aca="false">IF(ISNUMBER(X441),X441-S441,-S441)</f>
        <v>0</v>
      </c>
      <c r="AA441" s="9" t="str">
        <f aca="false">IF(NOT(ISNUMBER(X441)),"NO AUGUST POSTING IN EXPORT",IF(ABS(Y441)&gt;=0.005,"POSTED CHARGE MISMATCH",IF(P441&gt;0,"MATCH - COVERED ELIGIBILITY EXCEPTION","MATCH")))</f>
        <v>MATCH</v>
      </c>
      <c r="AB441" s="9" t="s">
        <v>4429</v>
      </c>
    </row>
    <row r="442" customFormat="false" ht="15" hidden="false" customHeight="false" outlineLevel="0" collapsed="false">
      <c r="A442" s="13" t="s">
        <v>4430</v>
      </c>
      <c r="B442" s="13" t="s">
        <v>113</v>
      </c>
      <c r="C442" s="13" t="s">
        <v>114</v>
      </c>
      <c r="D442" s="13" t="s">
        <v>2002</v>
      </c>
      <c r="E442" s="13" t="s">
        <v>2054</v>
      </c>
      <c r="F442" s="13" t="s">
        <v>4431</v>
      </c>
      <c r="G442" s="13" t="s">
        <v>4432</v>
      </c>
      <c r="H442" s="13" t="s">
        <v>4433</v>
      </c>
      <c r="I442" s="15" t="n">
        <v>28</v>
      </c>
      <c r="J442" s="15" t="n">
        <v>26</v>
      </c>
      <c r="K442" s="15"/>
      <c r="L442" s="15"/>
      <c r="M442" s="15" t="n">
        <f aca="false">IF(ISNUMBER(L442),L442,J442)</f>
        <v>26</v>
      </c>
      <c r="N442" s="15" t="n">
        <f aca="false">ROUNDUP(M442,0)</f>
        <v>26</v>
      </c>
      <c r="O442" s="15" t="n">
        <f aca="false">MAX(I442,N442)</f>
        <v>28</v>
      </c>
      <c r="P442" s="15" t="n">
        <f aca="false">IF(C442="COVERED",MAX(0,O442-40),0)</f>
        <v>0</v>
      </c>
      <c r="Q442" s="15" t="n">
        <f aca="false">O442</f>
        <v>28</v>
      </c>
      <c r="R442" s="18" t="n">
        <f aca="false">IF(C442="COVERED",10.4,7.55)</f>
        <v>10.4</v>
      </c>
      <c r="S442" s="18" t="n">
        <f aca="false">Q442*R442</f>
        <v>291.2</v>
      </c>
      <c r="T442" s="13" t="s">
        <v>4434</v>
      </c>
      <c r="U442" s="14" t="n">
        <v>46235</v>
      </c>
      <c r="V442" s="13" t="n">
        <v>28</v>
      </c>
      <c r="W442" s="18" t="n">
        <v>10.4</v>
      </c>
      <c r="X442" s="18" t="n">
        <v>291.2</v>
      </c>
      <c r="Y442" s="18" t="n">
        <f aca="false">IF(ISNUMBER(X442),X442-S442,"")</f>
        <v>0</v>
      </c>
      <c r="Z442" s="18" t="n">
        <f aca="false">IF(ISNUMBER(X442),X442-S442,-S442)</f>
        <v>0</v>
      </c>
      <c r="AA442" s="13" t="str">
        <f aca="false">IF(NOT(ISNUMBER(X442)),"NO AUGUST POSTING IN EXPORT",IF(ABS(Y442)&gt;=0.005,"POSTED CHARGE MISMATCH",IF(P442&gt;0,"MATCH - COVERED ELIGIBILITY EXCEPTION","MATCH")))</f>
        <v>MATCH</v>
      </c>
      <c r="AB442" s="13" t="s">
        <v>4435</v>
      </c>
    </row>
    <row r="443" customFormat="false" ht="15" hidden="false" customHeight="false" outlineLevel="0" collapsed="false">
      <c r="A443" s="9" t="s">
        <v>1662</v>
      </c>
      <c r="B443" s="9" t="s">
        <v>113</v>
      </c>
      <c r="C443" s="9" t="s">
        <v>114</v>
      </c>
      <c r="D443" s="9" t="s">
        <v>2002</v>
      </c>
      <c r="E443" s="9" t="s">
        <v>2060</v>
      </c>
      <c r="F443" s="9" t="s">
        <v>821</v>
      </c>
      <c r="G443" s="9" t="s">
        <v>822</v>
      </c>
      <c r="H443" s="9" t="s">
        <v>4436</v>
      </c>
      <c r="I443" s="11" t="n">
        <v>40</v>
      </c>
      <c r="J443" s="11" t="n">
        <v>53.5</v>
      </c>
      <c r="K443" s="11"/>
      <c r="L443" s="11"/>
      <c r="M443" s="11" t="n">
        <f aca="false">IF(ISNUMBER(L443),L443,J443)</f>
        <v>53.5</v>
      </c>
      <c r="N443" s="11" t="n">
        <f aca="false">ROUNDUP(M443,0)</f>
        <v>54</v>
      </c>
      <c r="O443" s="11" t="n">
        <f aca="false">MAX(I443,N443)</f>
        <v>54</v>
      </c>
      <c r="P443" s="11" t="n">
        <f aca="false">IF(C443="COVERED",MAX(0,O443-40),0)</f>
        <v>14</v>
      </c>
      <c r="Q443" s="11" t="n">
        <f aca="false">O443</f>
        <v>54</v>
      </c>
      <c r="R443" s="17" t="n">
        <f aca="false">IF(C443="COVERED",10.4,7.55)</f>
        <v>10.4</v>
      </c>
      <c r="S443" s="17" t="n">
        <f aca="false">Q443*R443</f>
        <v>561.6</v>
      </c>
      <c r="T443" s="9" t="s">
        <v>4437</v>
      </c>
      <c r="U443" s="10" t="n">
        <v>46235</v>
      </c>
      <c r="V443" s="9" t="n">
        <v>54</v>
      </c>
      <c r="W443" s="17" t="n">
        <v>10.4</v>
      </c>
      <c r="X443" s="17" t="n">
        <v>561.6</v>
      </c>
      <c r="Y443" s="17" t="n">
        <f aca="false">IF(ISNUMBER(X443),X443-S443,"")</f>
        <v>0</v>
      </c>
      <c r="Z443" s="17" t="n">
        <f aca="false">IF(ISNUMBER(X443),X443-S443,-S443)</f>
        <v>0</v>
      </c>
      <c r="AA443" s="9" t="str">
        <f aca="false">IF(NOT(ISNUMBER(X443)),"NO AUGUST POSTING IN EXPORT",IF(ABS(Y443)&gt;=0.005,"POSTED CHARGE MISMATCH",IF(P443&gt;0,"MATCH - COVERED ELIGIBILITY EXCEPTION","MATCH")))</f>
        <v>MATCH - COVERED ELIGIBILITY EXCEPTION</v>
      </c>
      <c r="AB443" s="9" t="s">
        <v>4438</v>
      </c>
    </row>
    <row r="444" customFormat="false" ht="15" hidden="false" customHeight="false" outlineLevel="0" collapsed="false">
      <c r="A444" s="13" t="s">
        <v>339</v>
      </c>
      <c r="B444" s="13" t="s">
        <v>113</v>
      </c>
      <c r="C444" s="13" t="s">
        <v>114</v>
      </c>
      <c r="D444" s="13" t="s">
        <v>2002</v>
      </c>
      <c r="E444" s="13" t="s">
        <v>2072</v>
      </c>
      <c r="F444" s="13" t="s">
        <v>4439</v>
      </c>
      <c r="G444" s="13" t="s">
        <v>4440</v>
      </c>
      <c r="H444" s="13" t="s">
        <v>4062</v>
      </c>
      <c r="I444" s="15" t="n">
        <v>36</v>
      </c>
      <c r="J444" s="15" t="n">
        <v>26</v>
      </c>
      <c r="K444" s="15"/>
      <c r="L444" s="15"/>
      <c r="M444" s="15" t="n">
        <f aca="false">IF(ISNUMBER(L444),L444,J444)</f>
        <v>26</v>
      </c>
      <c r="N444" s="15" t="n">
        <f aca="false">ROUNDUP(M444,0)</f>
        <v>26</v>
      </c>
      <c r="O444" s="15" t="n">
        <f aca="false">MAX(I444,N444)</f>
        <v>36</v>
      </c>
      <c r="P444" s="15" t="n">
        <f aca="false">IF(C444="COVERED",MAX(0,O444-40),0)</f>
        <v>0</v>
      </c>
      <c r="Q444" s="15" t="n">
        <f aca="false">O444</f>
        <v>36</v>
      </c>
      <c r="R444" s="18" t="n">
        <f aca="false">IF(C444="COVERED",10.4,7.55)</f>
        <v>10.4</v>
      </c>
      <c r="S444" s="18" t="n">
        <f aca="false">Q444*R444</f>
        <v>374.4</v>
      </c>
      <c r="T444" s="13" t="s">
        <v>4441</v>
      </c>
      <c r="U444" s="14" t="n">
        <v>46235</v>
      </c>
      <c r="V444" s="13" t="n">
        <v>36</v>
      </c>
      <c r="W444" s="18" t="n">
        <v>10.4</v>
      </c>
      <c r="X444" s="18" t="n">
        <v>374.4</v>
      </c>
      <c r="Y444" s="18" t="n">
        <f aca="false">IF(ISNUMBER(X444),X444-S444,"")</f>
        <v>0</v>
      </c>
      <c r="Z444" s="18" t="n">
        <f aca="false">IF(ISNUMBER(X444),X444-S444,-S444)</f>
        <v>0</v>
      </c>
      <c r="AA444" s="13" t="str">
        <f aca="false">IF(NOT(ISNUMBER(X444)),"NO AUGUST POSTING IN EXPORT",IF(ABS(Y444)&gt;=0.005,"POSTED CHARGE MISMATCH",IF(P444&gt;0,"MATCH - COVERED ELIGIBILITY EXCEPTION","MATCH")))</f>
        <v>MATCH</v>
      </c>
      <c r="AB444" s="13" t="s">
        <v>4442</v>
      </c>
    </row>
    <row r="445" customFormat="false" ht="15" hidden="false" customHeight="false" outlineLevel="0" collapsed="false">
      <c r="A445" s="9" t="s">
        <v>671</v>
      </c>
      <c r="B445" s="9" t="s">
        <v>113</v>
      </c>
      <c r="C445" s="9" t="s">
        <v>114</v>
      </c>
      <c r="D445" s="9" t="s">
        <v>2002</v>
      </c>
      <c r="E445" s="9" t="s">
        <v>2079</v>
      </c>
      <c r="F445" s="9" t="s">
        <v>4443</v>
      </c>
      <c r="G445" s="9" t="s">
        <v>4444</v>
      </c>
      <c r="H445" s="9" t="s">
        <v>4053</v>
      </c>
      <c r="I445" s="11" t="n">
        <v>24</v>
      </c>
      <c r="J445" s="11" t="n">
        <v>28.2</v>
      </c>
      <c r="K445" s="11"/>
      <c r="L445" s="11"/>
      <c r="M445" s="11" t="n">
        <f aca="false">IF(ISNUMBER(L445),L445,J445)</f>
        <v>28.2</v>
      </c>
      <c r="N445" s="11" t="n">
        <f aca="false">ROUNDUP(M445,0)</f>
        <v>29</v>
      </c>
      <c r="O445" s="11" t="n">
        <f aca="false">MAX(I445,N445)</f>
        <v>29</v>
      </c>
      <c r="P445" s="11" t="n">
        <f aca="false">IF(C445="COVERED",MAX(0,O445-40),0)</f>
        <v>0</v>
      </c>
      <c r="Q445" s="11" t="n">
        <f aca="false">O445</f>
        <v>29</v>
      </c>
      <c r="R445" s="17" t="n">
        <f aca="false">IF(C445="COVERED",10.4,7.55)</f>
        <v>10.4</v>
      </c>
      <c r="S445" s="17" t="n">
        <f aca="false">Q445*R445</f>
        <v>301.6</v>
      </c>
      <c r="T445" s="9" t="s">
        <v>4445</v>
      </c>
      <c r="U445" s="10" t="n">
        <v>46235</v>
      </c>
      <c r="V445" s="9" t="n">
        <v>29</v>
      </c>
      <c r="W445" s="17" t="n">
        <v>10.4</v>
      </c>
      <c r="X445" s="17" t="n">
        <v>301.6</v>
      </c>
      <c r="Y445" s="17" t="n">
        <f aca="false">IF(ISNUMBER(X445),X445-S445,"")</f>
        <v>0</v>
      </c>
      <c r="Z445" s="17" t="n">
        <f aca="false">IF(ISNUMBER(X445),X445-S445,-S445)</f>
        <v>0</v>
      </c>
      <c r="AA445" s="9" t="str">
        <f aca="false">IF(NOT(ISNUMBER(X445)),"NO AUGUST POSTING IN EXPORT",IF(ABS(Y445)&gt;=0.005,"POSTED CHARGE MISMATCH",IF(P445&gt;0,"MATCH - COVERED ELIGIBILITY EXCEPTION","MATCH")))</f>
        <v>MATCH</v>
      </c>
      <c r="AB445" s="9" t="s">
        <v>4446</v>
      </c>
    </row>
    <row r="446" customFormat="false" ht="15" hidden="false" customHeight="false" outlineLevel="0" collapsed="false">
      <c r="A446" s="13" t="s">
        <v>4447</v>
      </c>
      <c r="B446" s="13" t="s">
        <v>113</v>
      </c>
      <c r="C446" s="13" t="s">
        <v>114</v>
      </c>
      <c r="D446" s="13" t="s">
        <v>2002</v>
      </c>
      <c r="E446" s="13" t="s">
        <v>2086</v>
      </c>
      <c r="F446" s="13" t="s">
        <v>4448</v>
      </c>
      <c r="G446" s="13" t="s">
        <v>4449</v>
      </c>
      <c r="H446" s="13" t="s">
        <v>4450</v>
      </c>
      <c r="I446" s="15" t="n">
        <v>28</v>
      </c>
      <c r="J446" s="15" t="n">
        <v>18.8</v>
      </c>
      <c r="K446" s="15"/>
      <c r="L446" s="15"/>
      <c r="M446" s="15" t="n">
        <f aca="false">IF(ISNUMBER(L446),L446,J446)</f>
        <v>18.8</v>
      </c>
      <c r="N446" s="15" t="n">
        <f aca="false">ROUNDUP(M446,0)</f>
        <v>19</v>
      </c>
      <c r="O446" s="15" t="n">
        <f aca="false">MAX(I446,N446)</f>
        <v>28</v>
      </c>
      <c r="P446" s="15" t="n">
        <f aca="false">IF(C446="COVERED",MAX(0,O446-40),0)</f>
        <v>0</v>
      </c>
      <c r="Q446" s="15" t="n">
        <f aca="false">O446</f>
        <v>28</v>
      </c>
      <c r="R446" s="18" t="n">
        <f aca="false">IF(C446="COVERED",10.4,7.55)</f>
        <v>10.4</v>
      </c>
      <c r="S446" s="18" t="n">
        <f aca="false">Q446*R446</f>
        <v>291.2</v>
      </c>
      <c r="T446" s="13" t="s">
        <v>4451</v>
      </c>
      <c r="U446" s="14" t="n">
        <v>46235</v>
      </c>
      <c r="V446" s="13" t="n">
        <v>28</v>
      </c>
      <c r="W446" s="18" t="n">
        <v>10.4</v>
      </c>
      <c r="X446" s="18" t="n">
        <v>291.2</v>
      </c>
      <c r="Y446" s="18" t="n">
        <f aca="false">IF(ISNUMBER(X446),X446-S446,"")</f>
        <v>0</v>
      </c>
      <c r="Z446" s="18" t="n">
        <f aca="false">IF(ISNUMBER(X446),X446-S446,-S446)</f>
        <v>0</v>
      </c>
      <c r="AA446" s="13" t="str">
        <f aca="false">IF(NOT(ISNUMBER(X446)),"NO AUGUST POSTING IN EXPORT",IF(ABS(Y446)&gt;=0.005,"POSTED CHARGE MISMATCH",IF(P446&gt;0,"MATCH - COVERED ELIGIBILITY EXCEPTION","MATCH")))</f>
        <v>MATCH</v>
      </c>
      <c r="AB446" s="13" t="s">
        <v>4452</v>
      </c>
    </row>
    <row r="447" customFormat="false" ht="15" hidden="false" customHeight="false" outlineLevel="0" collapsed="false">
      <c r="A447" s="9" t="s">
        <v>4453</v>
      </c>
      <c r="B447" s="9" t="s">
        <v>113</v>
      </c>
      <c r="C447" s="9" t="s">
        <v>114</v>
      </c>
      <c r="D447" s="9" t="s">
        <v>2002</v>
      </c>
      <c r="E447" s="9" t="s">
        <v>2093</v>
      </c>
      <c r="F447" s="9" t="s">
        <v>4454</v>
      </c>
      <c r="G447" s="9" t="s">
        <v>4455</v>
      </c>
      <c r="H447" s="9" t="s">
        <v>4456</v>
      </c>
      <c r="I447" s="11" t="n">
        <v>28</v>
      </c>
      <c r="J447" s="11" t="n">
        <v>19.2</v>
      </c>
      <c r="K447" s="11"/>
      <c r="L447" s="11"/>
      <c r="M447" s="11" t="n">
        <f aca="false">IF(ISNUMBER(L447),L447,J447)</f>
        <v>19.2</v>
      </c>
      <c r="N447" s="11" t="n">
        <f aca="false">ROUNDUP(M447,0)</f>
        <v>20</v>
      </c>
      <c r="O447" s="11" t="n">
        <f aca="false">MAX(I447,N447)</f>
        <v>28</v>
      </c>
      <c r="P447" s="11" t="n">
        <f aca="false">IF(C447="COVERED",MAX(0,O447-40),0)</f>
        <v>0</v>
      </c>
      <c r="Q447" s="11" t="n">
        <f aca="false">O447</f>
        <v>28</v>
      </c>
      <c r="R447" s="17" t="n">
        <f aca="false">IF(C447="COVERED",10.4,7.55)</f>
        <v>10.4</v>
      </c>
      <c r="S447" s="17" t="n">
        <f aca="false">Q447*R447</f>
        <v>291.2</v>
      </c>
      <c r="T447" s="9" t="s">
        <v>4457</v>
      </c>
      <c r="U447" s="10" t="n">
        <v>46235</v>
      </c>
      <c r="V447" s="9" t="n">
        <v>28</v>
      </c>
      <c r="W447" s="17" t="n">
        <v>10.4</v>
      </c>
      <c r="X447" s="17" t="n">
        <v>291.2</v>
      </c>
      <c r="Y447" s="17" t="n">
        <f aca="false">IF(ISNUMBER(X447),X447-S447,"")</f>
        <v>0</v>
      </c>
      <c r="Z447" s="17" t="n">
        <f aca="false">IF(ISNUMBER(X447),X447-S447,-S447)</f>
        <v>0</v>
      </c>
      <c r="AA447" s="9" t="str">
        <f aca="false">IF(NOT(ISNUMBER(X447)),"NO AUGUST POSTING IN EXPORT",IF(ABS(Y447)&gt;=0.005,"POSTED CHARGE MISMATCH",IF(P447&gt;0,"MATCH - COVERED ELIGIBILITY EXCEPTION","MATCH")))</f>
        <v>MATCH</v>
      </c>
      <c r="AB447" s="9" t="s">
        <v>4458</v>
      </c>
    </row>
    <row r="448" customFormat="false" ht="15" hidden="false" customHeight="false" outlineLevel="0" collapsed="false">
      <c r="A448" s="13" t="s">
        <v>4459</v>
      </c>
      <c r="B448" s="13" t="s">
        <v>113</v>
      </c>
      <c r="C448" s="13" t="s">
        <v>114</v>
      </c>
      <c r="D448" s="13" t="s">
        <v>2002</v>
      </c>
      <c r="E448" s="13" t="s">
        <v>3461</v>
      </c>
      <c r="F448" s="13" t="s">
        <v>4460</v>
      </c>
      <c r="G448" s="13" t="s">
        <v>4461</v>
      </c>
      <c r="H448" s="13" t="s">
        <v>4462</v>
      </c>
      <c r="I448" s="15" t="n">
        <v>32</v>
      </c>
      <c r="J448" s="15" t="n">
        <v>28.7</v>
      </c>
      <c r="K448" s="15"/>
      <c r="L448" s="15"/>
      <c r="M448" s="15" t="n">
        <f aca="false">IF(ISNUMBER(L448),L448,J448)</f>
        <v>28.7</v>
      </c>
      <c r="N448" s="15" t="n">
        <f aca="false">ROUNDUP(M448,0)</f>
        <v>29</v>
      </c>
      <c r="O448" s="15" t="n">
        <f aca="false">MAX(I448,N448)</f>
        <v>32</v>
      </c>
      <c r="P448" s="15" t="n">
        <f aca="false">IF(C448="COVERED",MAX(0,O448-40),0)</f>
        <v>0</v>
      </c>
      <c r="Q448" s="15" t="n">
        <f aca="false">O448</f>
        <v>32</v>
      </c>
      <c r="R448" s="18" t="n">
        <f aca="false">IF(C448="COVERED",10.4,7.55)</f>
        <v>10.4</v>
      </c>
      <c r="S448" s="18" t="n">
        <f aca="false">Q448*R448</f>
        <v>332.8</v>
      </c>
      <c r="T448" s="13" t="s">
        <v>4463</v>
      </c>
      <c r="U448" s="14" t="n">
        <v>46235</v>
      </c>
      <c r="V448" s="13" t="n">
        <v>32</v>
      </c>
      <c r="W448" s="18" t="n">
        <v>10.4</v>
      </c>
      <c r="X448" s="18" t="n">
        <v>332.8</v>
      </c>
      <c r="Y448" s="18" t="n">
        <f aca="false">IF(ISNUMBER(X448),X448-S448,"")</f>
        <v>0</v>
      </c>
      <c r="Z448" s="18" t="n">
        <f aca="false">IF(ISNUMBER(X448),X448-S448,-S448)</f>
        <v>0</v>
      </c>
      <c r="AA448" s="13" t="str">
        <f aca="false">IF(NOT(ISNUMBER(X448)),"NO AUGUST POSTING IN EXPORT",IF(ABS(Y448)&gt;=0.005,"POSTED CHARGE MISMATCH",IF(P448&gt;0,"MATCH - COVERED ELIGIBILITY EXCEPTION","MATCH")))</f>
        <v>MATCH</v>
      </c>
      <c r="AB448" s="13" t="s">
        <v>4464</v>
      </c>
    </row>
    <row r="449" customFormat="false" ht="15" hidden="false" customHeight="false" outlineLevel="0" collapsed="false">
      <c r="A449" s="9" t="s">
        <v>4465</v>
      </c>
      <c r="B449" s="9" t="s">
        <v>113</v>
      </c>
      <c r="C449" s="9" t="s">
        <v>114</v>
      </c>
      <c r="D449" s="9" t="s">
        <v>2002</v>
      </c>
      <c r="E449" s="9" t="s">
        <v>2099</v>
      </c>
      <c r="F449" s="9" t="s">
        <v>4466</v>
      </c>
      <c r="G449" s="9" t="s">
        <v>4467</v>
      </c>
      <c r="H449" s="9" t="s">
        <v>2801</v>
      </c>
      <c r="I449" s="11" t="n">
        <v>24</v>
      </c>
      <c r="J449" s="11" t="n">
        <v>22.1</v>
      </c>
      <c r="K449" s="11"/>
      <c r="L449" s="11"/>
      <c r="M449" s="11" t="n">
        <f aca="false">IF(ISNUMBER(L449),L449,J449)</f>
        <v>22.1</v>
      </c>
      <c r="N449" s="11" t="n">
        <f aca="false">ROUNDUP(M449,0)</f>
        <v>23</v>
      </c>
      <c r="O449" s="11" t="n">
        <f aca="false">MAX(I449,N449)</f>
        <v>24</v>
      </c>
      <c r="P449" s="11" t="n">
        <f aca="false">IF(C449="COVERED",MAX(0,O449-40),0)</f>
        <v>0</v>
      </c>
      <c r="Q449" s="11" t="n">
        <f aca="false">O449</f>
        <v>24</v>
      </c>
      <c r="R449" s="17" t="n">
        <f aca="false">IF(C449="COVERED",10.4,7.55)</f>
        <v>10.4</v>
      </c>
      <c r="S449" s="17" t="n">
        <f aca="false">Q449*R449</f>
        <v>249.6</v>
      </c>
      <c r="T449" s="9" t="s">
        <v>4468</v>
      </c>
      <c r="U449" s="10" t="n">
        <v>46235</v>
      </c>
      <c r="V449" s="9" t="n">
        <v>24</v>
      </c>
      <c r="W449" s="17" t="n">
        <v>10.4</v>
      </c>
      <c r="X449" s="17" t="n">
        <v>249.6</v>
      </c>
      <c r="Y449" s="17" t="n">
        <f aca="false">IF(ISNUMBER(X449),X449-S449,"")</f>
        <v>0</v>
      </c>
      <c r="Z449" s="17" t="n">
        <f aca="false">IF(ISNUMBER(X449),X449-S449,-S449)</f>
        <v>0</v>
      </c>
      <c r="AA449" s="9" t="str">
        <f aca="false">IF(NOT(ISNUMBER(X449)),"NO AUGUST POSTING IN EXPORT",IF(ABS(Y449)&gt;=0.005,"POSTED CHARGE MISMATCH",IF(P449&gt;0,"MATCH - COVERED ELIGIBILITY EXCEPTION","MATCH")))</f>
        <v>MATCH</v>
      </c>
      <c r="AB449" s="9" t="s">
        <v>4469</v>
      </c>
    </row>
    <row r="450" customFormat="false" ht="15" hidden="false" customHeight="false" outlineLevel="0" collapsed="false">
      <c r="A450" s="13" t="s">
        <v>4470</v>
      </c>
      <c r="B450" s="13" t="s">
        <v>113</v>
      </c>
      <c r="C450" s="13" t="s">
        <v>114</v>
      </c>
      <c r="D450" s="13" t="s">
        <v>2002</v>
      </c>
      <c r="E450" s="13" t="s">
        <v>2104</v>
      </c>
      <c r="F450" s="13" t="s">
        <v>4471</v>
      </c>
      <c r="G450" s="13" t="s">
        <v>4472</v>
      </c>
      <c r="H450" s="13" t="s">
        <v>4324</v>
      </c>
      <c r="I450" s="15" t="n">
        <v>24</v>
      </c>
      <c r="J450" s="15" t="n">
        <v>43.5</v>
      </c>
      <c r="K450" s="15"/>
      <c r="L450" s="15"/>
      <c r="M450" s="15" t="n">
        <f aca="false">IF(ISNUMBER(L450),L450,J450)</f>
        <v>43.5</v>
      </c>
      <c r="N450" s="15" t="n">
        <f aca="false">ROUNDUP(M450,0)</f>
        <v>44</v>
      </c>
      <c r="O450" s="15" t="n">
        <f aca="false">MAX(I450,N450)</f>
        <v>44</v>
      </c>
      <c r="P450" s="15" t="n">
        <f aca="false">IF(C450="COVERED",MAX(0,O450-40),0)</f>
        <v>4</v>
      </c>
      <c r="Q450" s="15" t="n">
        <f aca="false">O450</f>
        <v>44</v>
      </c>
      <c r="R450" s="18" t="n">
        <f aca="false">IF(C450="COVERED",10.4,7.55)</f>
        <v>10.4</v>
      </c>
      <c r="S450" s="18" t="n">
        <f aca="false">Q450*R450</f>
        <v>457.6</v>
      </c>
      <c r="T450" s="13" t="s">
        <v>4473</v>
      </c>
      <c r="U450" s="14" t="n">
        <v>46235</v>
      </c>
      <c r="V450" s="13" t="n">
        <v>44</v>
      </c>
      <c r="W450" s="18" t="n">
        <v>10.4</v>
      </c>
      <c r="X450" s="18" t="n">
        <v>457.6</v>
      </c>
      <c r="Y450" s="18" t="n">
        <f aca="false">IF(ISNUMBER(X450),X450-S450,"")</f>
        <v>0</v>
      </c>
      <c r="Z450" s="18" t="n">
        <f aca="false">IF(ISNUMBER(X450),X450-S450,-S450)</f>
        <v>0</v>
      </c>
      <c r="AA450" s="13" t="str">
        <f aca="false">IF(NOT(ISNUMBER(X450)),"NO AUGUST POSTING IN EXPORT",IF(ABS(Y450)&gt;=0.005,"POSTED CHARGE MISMATCH",IF(P450&gt;0,"MATCH - COVERED ELIGIBILITY EXCEPTION","MATCH")))</f>
        <v>MATCH - COVERED ELIGIBILITY EXCEPTION</v>
      </c>
      <c r="AB450" s="13" t="s">
        <v>4474</v>
      </c>
    </row>
    <row r="451" customFormat="false" ht="15" hidden="false" customHeight="false" outlineLevel="0" collapsed="false">
      <c r="A451" s="9" t="s">
        <v>4475</v>
      </c>
      <c r="B451" s="9" t="s">
        <v>113</v>
      </c>
      <c r="C451" s="9" t="s">
        <v>114</v>
      </c>
      <c r="D451" s="9" t="s">
        <v>2002</v>
      </c>
      <c r="E451" s="9" t="s">
        <v>2109</v>
      </c>
      <c r="F451" s="9" t="s">
        <v>4476</v>
      </c>
      <c r="G451" s="9" t="s">
        <v>4477</v>
      </c>
      <c r="H451" s="9" t="s">
        <v>4478</v>
      </c>
      <c r="I451" s="11" t="n">
        <v>32</v>
      </c>
      <c r="J451" s="11" t="n">
        <v>30.8</v>
      </c>
      <c r="K451" s="11"/>
      <c r="L451" s="11"/>
      <c r="M451" s="11" t="n">
        <f aca="false">IF(ISNUMBER(L451),L451,J451)</f>
        <v>30.8</v>
      </c>
      <c r="N451" s="11" t="n">
        <f aca="false">ROUNDUP(M451,0)</f>
        <v>31</v>
      </c>
      <c r="O451" s="11" t="n">
        <f aca="false">MAX(I451,N451)</f>
        <v>32</v>
      </c>
      <c r="P451" s="11" t="n">
        <f aca="false">IF(C451="COVERED",MAX(0,O451-40),0)</f>
        <v>0</v>
      </c>
      <c r="Q451" s="11" t="n">
        <f aca="false">O451</f>
        <v>32</v>
      </c>
      <c r="R451" s="17" t="n">
        <f aca="false">IF(C451="COVERED",10.4,7.55)</f>
        <v>10.4</v>
      </c>
      <c r="S451" s="17" t="n">
        <f aca="false">Q451*R451</f>
        <v>332.8</v>
      </c>
      <c r="T451" s="9" t="s">
        <v>4479</v>
      </c>
      <c r="U451" s="10" t="n">
        <v>46235</v>
      </c>
      <c r="V451" s="9" t="n">
        <v>32</v>
      </c>
      <c r="W451" s="17" t="n">
        <v>10.4</v>
      </c>
      <c r="X451" s="17" t="n">
        <v>332.8</v>
      </c>
      <c r="Y451" s="17" t="n">
        <f aca="false">IF(ISNUMBER(X451),X451-S451,"")</f>
        <v>0</v>
      </c>
      <c r="Z451" s="17" t="n">
        <f aca="false">IF(ISNUMBER(X451),X451-S451,-S451)</f>
        <v>0</v>
      </c>
      <c r="AA451" s="9" t="str">
        <f aca="false">IF(NOT(ISNUMBER(X451)),"NO AUGUST POSTING IN EXPORT",IF(ABS(Y451)&gt;=0.005,"POSTED CHARGE MISMATCH",IF(P451&gt;0,"MATCH - COVERED ELIGIBILITY EXCEPTION","MATCH")))</f>
        <v>MATCH</v>
      </c>
      <c r="AB451" s="9" t="s">
        <v>4480</v>
      </c>
    </row>
    <row r="452" customFormat="false" ht="15" hidden="false" customHeight="false" outlineLevel="0" collapsed="false">
      <c r="A452" s="13" t="s">
        <v>372</v>
      </c>
      <c r="B452" s="13" t="s">
        <v>113</v>
      </c>
      <c r="C452" s="13" t="s">
        <v>114</v>
      </c>
      <c r="D452" s="13" t="s">
        <v>2002</v>
      </c>
      <c r="E452" s="13" t="s">
        <v>2116</v>
      </c>
      <c r="F452" s="13" t="s">
        <v>4481</v>
      </c>
      <c r="G452" s="13" t="s">
        <v>4482</v>
      </c>
      <c r="H452" s="13" t="s">
        <v>4483</v>
      </c>
      <c r="I452" s="15" t="n">
        <v>32</v>
      </c>
      <c r="J452" s="15" t="n">
        <v>51.3</v>
      </c>
      <c r="K452" s="15"/>
      <c r="L452" s="15"/>
      <c r="M452" s="15" t="n">
        <f aca="false">IF(ISNUMBER(L452),L452,J452)</f>
        <v>51.3</v>
      </c>
      <c r="N452" s="15" t="n">
        <f aca="false">ROUNDUP(M452,0)</f>
        <v>52</v>
      </c>
      <c r="O452" s="15" t="n">
        <f aca="false">MAX(I452,N452)</f>
        <v>52</v>
      </c>
      <c r="P452" s="15" t="n">
        <f aca="false">IF(C452="COVERED",MAX(0,O452-40),0)</f>
        <v>12</v>
      </c>
      <c r="Q452" s="15" t="n">
        <f aca="false">O452</f>
        <v>52</v>
      </c>
      <c r="R452" s="18" t="n">
        <f aca="false">IF(C452="COVERED",10.4,7.55)</f>
        <v>10.4</v>
      </c>
      <c r="S452" s="18" t="n">
        <f aca="false">Q452*R452</f>
        <v>540.8</v>
      </c>
      <c r="T452" s="13" t="s">
        <v>4484</v>
      </c>
      <c r="U452" s="14" t="n">
        <v>46235</v>
      </c>
      <c r="V452" s="13" t="n">
        <v>52</v>
      </c>
      <c r="W452" s="18" t="n">
        <v>10.4</v>
      </c>
      <c r="X452" s="18" t="n">
        <v>540.8</v>
      </c>
      <c r="Y452" s="18" t="n">
        <f aca="false">IF(ISNUMBER(X452),X452-S452,"")</f>
        <v>0</v>
      </c>
      <c r="Z452" s="18" t="n">
        <f aca="false">IF(ISNUMBER(X452),X452-S452,-S452)</f>
        <v>0</v>
      </c>
      <c r="AA452" s="13" t="str">
        <f aca="false">IF(NOT(ISNUMBER(X452)),"NO AUGUST POSTING IN EXPORT",IF(ABS(Y452)&gt;=0.005,"POSTED CHARGE MISMATCH",IF(P452&gt;0,"MATCH - COVERED ELIGIBILITY EXCEPTION","MATCH")))</f>
        <v>MATCH - COVERED ELIGIBILITY EXCEPTION</v>
      </c>
      <c r="AB452" s="13" t="s">
        <v>4485</v>
      </c>
    </row>
    <row r="453" customFormat="false" ht="15" hidden="false" customHeight="false" outlineLevel="0" collapsed="false">
      <c r="A453" s="9" t="s">
        <v>4486</v>
      </c>
      <c r="B453" s="9" t="s">
        <v>113</v>
      </c>
      <c r="C453" s="9" t="s">
        <v>114</v>
      </c>
      <c r="D453" s="9" t="s">
        <v>2002</v>
      </c>
      <c r="E453" s="9" t="s">
        <v>2123</v>
      </c>
      <c r="F453" s="9" t="s">
        <v>4487</v>
      </c>
      <c r="G453" s="9" t="s">
        <v>4488</v>
      </c>
      <c r="H453" s="9" t="s">
        <v>4489</v>
      </c>
      <c r="I453" s="11" t="n">
        <v>36</v>
      </c>
      <c r="J453" s="11" t="n">
        <v>48.2</v>
      </c>
      <c r="K453" s="11"/>
      <c r="L453" s="11"/>
      <c r="M453" s="11" t="n">
        <f aca="false">IF(ISNUMBER(L453),L453,J453)</f>
        <v>48.2</v>
      </c>
      <c r="N453" s="11" t="n">
        <f aca="false">ROUNDUP(M453,0)</f>
        <v>49</v>
      </c>
      <c r="O453" s="11" t="n">
        <f aca="false">MAX(I453,N453)</f>
        <v>49</v>
      </c>
      <c r="P453" s="11" t="n">
        <f aca="false">IF(C453="COVERED",MAX(0,O453-40),0)</f>
        <v>9</v>
      </c>
      <c r="Q453" s="11" t="n">
        <f aca="false">O453</f>
        <v>49</v>
      </c>
      <c r="R453" s="17" t="n">
        <f aca="false">IF(C453="COVERED",10.4,7.55)</f>
        <v>10.4</v>
      </c>
      <c r="S453" s="17" t="n">
        <f aca="false">Q453*R453</f>
        <v>509.6</v>
      </c>
      <c r="T453" s="9" t="s">
        <v>4490</v>
      </c>
      <c r="U453" s="10" t="n">
        <v>46235</v>
      </c>
      <c r="V453" s="9" t="n">
        <v>49</v>
      </c>
      <c r="W453" s="17" t="n">
        <v>10.4</v>
      </c>
      <c r="X453" s="17" t="n">
        <v>509.6</v>
      </c>
      <c r="Y453" s="17" t="n">
        <f aca="false">IF(ISNUMBER(X453),X453-S453,"")</f>
        <v>0</v>
      </c>
      <c r="Z453" s="17" t="n">
        <f aca="false">IF(ISNUMBER(X453),X453-S453,-S453)</f>
        <v>0</v>
      </c>
      <c r="AA453" s="9" t="str">
        <f aca="false">IF(NOT(ISNUMBER(X453)),"NO AUGUST POSTING IN EXPORT",IF(ABS(Y453)&gt;=0.005,"POSTED CHARGE MISMATCH",IF(P453&gt;0,"MATCH - COVERED ELIGIBILITY EXCEPTION","MATCH")))</f>
        <v>MATCH - COVERED ELIGIBILITY EXCEPTION</v>
      </c>
      <c r="AB453" s="9" t="s">
        <v>4491</v>
      </c>
    </row>
    <row r="454" customFormat="false" ht="15" hidden="false" customHeight="false" outlineLevel="0" collapsed="false">
      <c r="A454" s="13" t="s">
        <v>4492</v>
      </c>
      <c r="B454" s="13" t="s">
        <v>113</v>
      </c>
      <c r="C454" s="13" t="s">
        <v>114</v>
      </c>
      <c r="D454" s="13" t="s">
        <v>2002</v>
      </c>
      <c r="E454" s="13" t="s">
        <v>2128</v>
      </c>
      <c r="F454" s="13" t="s">
        <v>1016</v>
      </c>
      <c r="G454" s="13" t="s">
        <v>1017</v>
      </c>
      <c r="H454" s="13" t="s">
        <v>4493</v>
      </c>
      <c r="I454" s="15" t="n">
        <v>32</v>
      </c>
      <c r="J454" s="15" t="n">
        <v>25.3</v>
      </c>
      <c r="K454" s="15"/>
      <c r="L454" s="15"/>
      <c r="M454" s="15" t="n">
        <f aca="false">IF(ISNUMBER(L454),L454,J454)</f>
        <v>25.3</v>
      </c>
      <c r="N454" s="15" t="n">
        <f aca="false">ROUNDUP(M454,0)</f>
        <v>26</v>
      </c>
      <c r="O454" s="15" t="n">
        <f aca="false">MAX(I454,N454)</f>
        <v>32</v>
      </c>
      <c r="P454" s="15" t="n">
        <f aca="false">IF(C454="COVERED",MAX(0,O454-40),0)</f>
        <v>0</v>
      </c>
      <c r="Q454" s="15" t="n">
        <f aca="false">O454</f>
        <v>32</v>
      </c>
      <c r="R454" s="18" t="n">
        <f aca="false">IF(C454="COVERED",10.4,7.55)</f>
        <v>10.4</v>
      </c>
      <c r="S454" s="18" t="n">
        <f aca="false">Q454*R454</f>
        <v>332.8</v>
      </c>
      <c r="T454" s="13" t="s">
        <v>4494</v>
      </c>
      <c r="U454" s="14" t="n">
        <v>46235</v>
      </c>
      <c r="V454" s="13" t="n">
        <v>32</v>
      </c>
      <c r="W454" s="18" t="n">
        <v>10.4</v>
      </c>
      <c r="X454" s="18" t="n">
        <v>332.8</v>
      </c>
      <c r="Y454" s="18" t="n">
        <f aca="false">IF(ISNUMBER(X454),X454-S454,"")</f>
        <v>0</v>
      </c>
      <c r="Z454" s="18" t="n">
        <f aca="false">IF(ISNUMBER(X454),X454-S454,-S454)</f>
        <v>0</v>
      </c>
      <c r="AA454" s="13" t="str">
        <f aca="false">IF(NOT(ISNUMBER(X454)),"NO AUGUST POSTING IN EXPORT",IF(ABS(Y454)&gt;=0.005,"POSTED CHARGE MISMATCH",IF(P454&gt;0,"MATCH - COVERED ELIGIBILITY EXCEPTION","MATCH")))</f>
        <v>MATCH</v>
      </c>
      <c r="AB454" s="13" t="s">
        <v>4495</v>
      </c>
    </row>
    <row r="455" customFormat="false" ht="15" hidden="false" customHeight="false" outlineLevel="0" collapsed="false">
      <c r="A455" s="9" t="s">
        <v>1333</v>
      </c>
      <c r="B455" s="9" t="s">
        <v>113</v>
      </c>
      <c r="C455" s="9" t="s">
        <v>114</v>
      </c>
      <c r="D455" s="9" t="s">
        <v>2002</v>
      </c>
      <c r="E455" s="9" t="s">
        <v>2134</v>
      </c>
      <c r="F455" s="9" t="s">
        <v>4496</v>
      </c>
      <c r="G455" s="9" t="s">
        <v>4497</v>
      </c>
      <c r="H455" s="9" t="s">
        <v>2270</v>
      </c>
      <c r="I455" s="11" t="n">
        <v>28</v>
      </c>
      <c r="J455" s="11" t="n">
        <v>38.8</v>
      </c>
      <c r="K455" s="11"/>
      <c r="L455" s="11"/>
      <c r="M455" s="11" t="n">
        <f aca="false">IF(ISNUMBER(L455),L455,J455)</f>
        <v>38.8</v>
      </c>
      <c r="N455" s="11" t="n">
        <f aca="false">ROUNDUP(M455,0)</f>
        <v>39</v>
      </c>
      <c r="O455" s="11" t="n">
        <f aca="false">MAX(I455,N455)</f>
        <v>39</v>
      </c>
      <c r="P455" s="11" t="n">
        <f aca="false">IF(C455="COVERED",MAX(0,O455-40),0)</f>
        <v>0</v>
      </c>
      <c r="Q455" s="11" t="n">
        <f aca="false">O455</f>
        <v>39</v>
      </c>
      <c r="R455" s="17" t="n">
        <f aca="false">IF(C455="COVERED",10.4,7.55)</f>
        <v>10.4</v>
      </c>
      <c r="S455" s="17" t="n">
        <f aca="false">Q455*R455</f>
        <v>405.6</v>
      </c>
      <c r="T455" s="9" t="s">
        <v>4498</v>
      </c>
      <c r="U455" s="10" t="n">
        <v>46235</v>
      </c>
      <c r="V455" s="9" t="n">
        <v>39</v>
      </c>
      <c r="W455" s="17" t="n">
        <v>10.4</v>
      </c>
      <c r="X455" s="17" t="n">
        <v>405.6</v>
      </c>
      <c r="Y455" s="17" t="n">
        <f aca="false">IF(ISNUMBER(X455),X455-S455,"")</f>
        <v>0</v>
      </c>
      <c r="Z455" s="17" t="n">
        <f aca="false">IF(ISNUMBER(X455),X455-S455,-S455)</f>
        <v>0</v>
      </c>
      <c r="AA455" s="9" t="str">
        <f aca="false">IF(NOT(ISNUMBER(X455)),"NO AUGUST POSTING IN EXPORT",IF(ABS(Y455)&gt;=0.005,"POSTED CHARGE MISMATCH",IF(P455&gt;0,"MATCH - COVERED ELIGIBILITY EXCEPTION","MATCH")))</f>
        <v>MATCH</v>
      </c>
      <c r="AB455" s="9" t="s">
        <v>4499</v>
      </c>
    </row>
    <row r="456" customFormat="false" ht="15" hidden="false" customHeight="false" outlineLevel="0" collapsed="false">
      <c r="A456" s="13" t="s">
        <v>4500</v>
      </c>
      <c r="B456" s="13" t="s">
        <v>113</v>
      </c>
      <c r="C456" s="13" t="s">
        <v>114</v>
      </c>
      <c r="D456" s="13" t="s">
        <v>2002</v>
      </c>
      <c r="E456" s="13" t="s">
        <v>2141</v>
      </c>
      <c r="F456" s="13" t="s">
        <v>4501</v>
      </c>
      <c r="G456" s="13" t="s">
        <v>4502</v>
      </c>
      <c r="H456" s="13" t="s">
        <v>3080</v>
      </c>
      <c r="I456" s="15" t="n">
        <v>36</v>
      </c>
      <c r="J456" s="15" t="n">
        <v>51.3</v>
      </c>
      <c r="K456" s="15"/>
      <c r="L456" s="15"/>
      <c r="M456" s="15" t="n">
        <f aca="false">IF(ISNUMBER(L456),L456,J456)</f>
        <v>51.3</v>
      </c>
      <c r="N456" s="15" t="n">
        <f aca="false">ROUNDUP(M456,0)</f>
        <v>52</v>
      </c>
      <c r="O456" s="15" t="n">
        <f aca="false">MAX(I456,N456)</f>
        <v>52</v>
      </c>
      <c r="P456" s="15" t="n">
        <f aca="false">IF(C456="COVERED",MAX(0,O456-40),0)</f>
        <v>12</v>
      </c>
      <c r="Q456" s="15" t="n">
        <f aca="false">O456</f>
        <v>52</v>
      </c>
      <c r="R456" s="18" t="n">
        <f aca="false">IF(C456="COVERED",10.4,7.55)</f>
        <v>10.4</v>
      </c>
      <c r="S456" s="18" t="n">
        <f aca="false">Q456*R456</f>
        <v>540.8</v>
      </c>
      <c r="T456" s="13" t="s">
        <v>4503</v>
      </c>
      <c r="U456" s="14" t="n">
        <v>46235</v>
      </c>
      <c r="V456" s="13" t="n">
        <v>52</v>
      </c>
      <c r="W456" s="18" t="n">
        <v>10.4</v>
      </c>
      <c r="X456" s="18" t="n">
        <v>540.8</v>
      </c>
      <c r="Y456" s="18" t="n">
        <f aca="false">IF(ISNUMBER(X456),X456-S456,"")</f>
        <v>0</v>
      </c>
      <c r="Z456" s="18" t="n">
        <f aca="false">IF(ISNUMBER(X456),X456-S456,-S456)</f>
        <v>0</v>
      </c>
      <c r="AA456" s="13" t="str">
        <f aca="false">IF(NOT(ISNUMBER(X456)),"NO AUGUST POSTING IN EXPORT",IF(ABS(Y456)&gt;=0.005,"POSTED CHARGE MISMATCH",IF(P456&gt;0,"MATCH - COVERED ELIGIBILITY EXCEPTION","MATCH")))</f>
        <v>MATCH - COVERED ELIGIBILITY EXCEPTION</v>
      </c>
      <c r="AB456" s="13" t="s">
        <v>4504</v>
      </c>
    </row>
    <row r="457" customFormat="false" ht="15" hidden="false" customHeight="false" outlineLevel="0" collapsed="false">
      <c r="A457" s="9" t="s">
        <v>4505</v>
      </c>
      <c r="B457" s="9" t="s">
        <v>113</v>
      </c>
      <c r="C457" s="9" t="s">
        <v>114</v>
      </c>
      <c r="D457" s="9" t="s">
        <v>2002</v>
      </c>
      <c r="E457" s="9" t="s">
        <v>2148</v>
      </c>
      <c r="F457" s="9" t="s">
        <v>4506</v>
      </c>
      <c r="G457" s="9" t="s">
        <v>4507</v>
      </c>
      <c r="H457" s="9" t="s">
        <v>4508</v>
      </c>
      <c r="I457" s="11" t="n">
        <v>36</v>
      </c>
      <c r="J457" s="11" t="n">
        <v>37.5</v>
      </c>
      <c r="K457" s="11"/>
      <c r="L457" s="11"/>
      <c r="M457" s="11" t="n">
        <f aca="false">IF(ISNUMBER(L457),L457,J457)</f>
        <v>37.5</v>
      </c>
      <c r="N457" s="11" t="n">
        <f aca="false">ROUNDUP(M457,0)</f>
        <v>38</v>
      </c>
      <c r="O457" s="11" t="n">
        <f aca="false">MAX(I457,N457)</f>
        <v>38</v>
      </c>
      <c r="P457" s="11" t="n">
        <f aca="false">IF(C457="COVERED",MAX(0,O457-40),0)</f>
        <v>0</v>
      </c>
      <c r="Q457" s="11" t="n">
        <f aca="false">O457</f>
        <v>38</v>
      </c>
      <c r="R457" s="17" t="n">
        <f aca="false">IF(C457="COVERED",10.4,7.55)</f>
        <v>10.4</v>
      </c>
      <c r="S457" s="17" t="n">
        <f aca="false">Q457*R457</f>
        <v>395.2</v>
      </c>
      <c r="T457" s="9" t="s">
        <v>4509</v>
      </c>
      <c r="U457" s="10" t="n">
        <v>46235</v>
      </c>
      <c r="V457" s="9" t="n">
        <v>38</v>
      </c>
      <c r="W457" s="17" t="n">
        <v>10.4</v>
      </c>
      <c r="X457" s="17" t="n">
        <v>395.2</v>
      </c>
      <c r="Y457" s="17" t="n">
        <f aca="false">IF(ISNUMBER(X457),X457-S457,"")</f>
        <v>0</v>
      </c>
      <c r="Z457" s="17" t="n">
        <f aca="false">IF(ISNUMBER(X457),X457-S457,-S457)</f>
        <v>0</v>
      </c>
      <c r="AA457" s="9" t="str">
        <f aca="false">IF(NOT(ISNUMBER(X457)),"NO AUGUST POSTING IN EXPORT",IF(ABS(Y457)&gt;=0.005,"POSTED CHARGE MISMATCH",IF(P457&gt;0,"MATCH - COVERED ELIGIBILITY EXCEPTION","MATCH")))</f>
        <v>MATCH</v>
      </c>
      <c r="AB457" s="9" t="s">
        <v>4510</v>
      </c>
    </row>
    <row r="458" customFormat="false" ht="15" hidden="false" customHeight="false" outlineLevel="0" collapsed="false">
      <c r="A458" s="13" t="s">
        <v>754</v>
      </c>
      <c r="B458" s="13" t="s">
        <v>113</v>
      </c>
      <c r="C458" s="13" t="s">
        <v>114</v>
      </c>
      <c r="D458" s="13" t="s">
        <v>2002</v>
      </c>
      <c r="E458" s="13" t="s">
        <v>2154</v>
      </c>
      <c r="F458" s="13" t="s">
        <v>4511</v>
      </c>
      <c r="G458" s="13" t="s">
        <v>4512</v>
      </c>
      <c r="H458" s="13" t="s">
        <v>2082</v>
      </c>
      <c r="I458" s="15" t="n">
        <v>28</v>
      </c>
      <c r="J458" s="15" t="n">
        <v>28.3</v>
      </c>
      <c r="K458" s="15"/>
      <c r="L458" s="15"/>
      <c r="M458" s="15" t="n">
        <f aca="false">IF(ISNUMBER(L458),L458,J458)</f>
        <v>28.3</v>
      </c>
      <c r="N458" s="15" t="n">
        <f aca="false">ROUNDUP(M458,0)</f>
        <v>29</v>
      </c>
      <c r="O458" s="15" t="n">
        <f aca="false">MAX(I458,N458)</f>
        <v>29</v>
      </c>
      <c r="P458" s="15" t="n">
        <f aca="false">IF(C458="COVERED",MAX(0,O458-40),0)</f>
        <v>0</v>
      </c>
      <c r="Q458" s="15" t="n">
        <f aca="false">O458</f>
        <v>29</v>
      </c>
      <c r="R458" s="18" t="n">
        <f aca="false">IF(C458="COVERED",10.4,7.55)</f>
        <v>10.4</v>
      </c>
      <c r="S458" s="18" t="n">
        <f aca="false">Q458*R458</f>
        <v>301.6</v>
      </c>
      <c r="T458" s="13" t="s">
        <v>4513</v>
      </c>
      <c r="U458" s="14" t="n">
        <v>46235</v>
      </c>
      <c r="V458" s="13" t="n">
        <v>29</v>
      </c>
      <c r="W458" s="18" t="n">
        <v>10.4</v>
      </c>
      <c r="X458" s="18" t="n">
        <v>301.6</v>
      </c>
      <c r="Y458" s="18" t="n">
        <f aca="false">IF(ISNUMBER(X458),X458-S458,"")</f>
        <v>0</v>
      </c>
      <c r="Z458" s="18" t="n">
        <f aca="false">IF(ISNUMBER(X458),X458-S458,-S458)</f>
        <v>0</v>
      </c>
      <c r="AA458" s="13" t="str">
        <f aca="false">IF(NOT(ISNUMBER(X458)),"NO AUGUST POSTING IN EXPORT",IF(ABS(Y458)&gt;=0.005,"POSTED CHARGE MISMATCH",IF(P458&gt;0,"MATCH - COVERED ELIGIBILITY EXCEPTION","MATCH")))</f>
        <v>MATCH</v>
      </c>
      <c r="AB458" s="13" t="s">
        <v>4514</v>
      </c>
    </row>
    <row r="459" customFormat="false" ht="15" hidden="false" customHeight="false" outlineLevel="0" collapsed="false">
      <c r="A459" s="9" t="s">
        <v>235</v>
      </c>
      <c r="B459" s="9" t="s">
        <v>113</v>
      </c>
      <c r="C459" s="9" t="s">
        <v>114</v>
      </c>
      <c r="D459" s="9" t="s">
        <v>2002</v>
      </c>
      <c r="E459" s="9" t="s">
        <v>2159</v>
      </c>
      <c r="F459" s="9" t="s">
        <v>4515</v>
      </c>
      <c r="G459" s="9" t="s">
        <v>4516</v>
      </c>
      <c r="H459" s="9" t="s">
        <v>4204</v>
      </c>
      <c r="I459" s="11" t="n">
        <v>28</v>
      </c>
      <c r="J459" s="11" t="n">
        <v>35.6</v>
      </c>
      <c r="K459" s="11"/>
      <c r="L459" s="11"/>
      <c r="M459" s="11" t="n">
        <f aca="false">IF(ISNUMBER(L459),L459,J459)</f>
        <v>35.6</v>
      </c>
      <c r="N459" s="11" t="n">
        <f aca="false">ROUNDUP(M459,0)</f>
        <v>36</v>
      </c>
      <c r="O459" s="11" t="n">
        <f aca="false">MAX(I459,N459)</f>
        <v>36</v>
      </c>
      <c r="P459" s="11" t="n">
        <f aca="false">IF(C459="COVERED",MAX(0,O459-40),0)</f>
        <v>0</v>
      </c>
      <c r="Q459" s="11" t="n">
        <f aca="false">O459</f>
        <v>36</v>
      </c>
      <c r="R459" s="17" t="n">
        <f aca="false">IF(C459="COVERED",10.4,7.55)</f>
        <v>10.4</v>
      </c>
      <c r="S459" s="17" t="n">
        <f aca="false">Q459*R459</f>
        <v>374.4</v>
      </c>
      <c r="T459" s="9" t="s">
        <v>4517</v>
      </c>
      <c r="U459" s="10" t="n">
        <v>46235</v>
      </c>
      <c r="V459" s="9" t="n">
        <v>36</v>
      </c>
      <c r="W459" s="17" t="n">
        <v>10.4</v>
      </c>
      <c r="X459" s="17" t="n">
        <v>374.4</v>
      </c>
      <c r="Y459" s="17" t="n">
        <f aca="false">IF(ISNUMBER(X459),X459-S459,"")</f>
        <v>0</v>
      </c>
      <c r="Z459" s="17" t="n">
        <f aca="false">IF(ISNUMBER(X459),X459-S459,-S459)</f>
        <v>0</v>
      </c>
      <c r="AA459" s="9" t="str">
        <f aca="false">IF(NOT(ISNUMBER(X459)),"NO AUGUST POSTING IN EXPORT",IF(ABS(Y459)&gt;=0.005,"POSTED CHARGE MISMATCH",IF(P459&gt;0,"MATCH - COVERED ELIGIBILITY EXCEPTION","MATCH")))</f>
        <v>MATCH</v>
      </c>
      <c r="AB459" s="9" t="s">
        <v>4518</v>
      </c>
    </row>
    <row r="460" customFormat="false" ht="15" hidden="false" customHeight="false" outlineLevel="0" collapsed="false">
      <c r="A460" s="13" t="s">
        <v>4519</v>
      </c>
      <c r="B460" s="13" t="s">
        <v>113</v>
      </c>
      <c r="C460" s="13" t="s">
        <v>114</v>
      </c>
      <c r="D460" s="13" t="s">
        <v>2002</v>
      </c>
      <c r="E460" s="13" t="s">
        <v>3516</v>
      </c>
      <c r="F460" s="13" t="s">
        <v>4520</v>
      </c>
      <c r="G460" s="13" t="s">
        <v>4521</v>
      </c>
      <c r="H460" s="13" t="s">
        <v>4522</v>
      </c>
      <c r="I460" s="15" t="n">
        <v>40</v>
      </c>
      <c r="J460" s="15" t="n">
        <v>23</v>
      </c>
      <c r="K460" s="15"/>
      <c r="L460" s="15"/>
      <c r="M460" s="15" t="n">
        <f aca="false">IF(ISNUMBER(L460),L460,J460)</f>
        <v>23</v>
      </c>
      <c r="N460" s="15" t="n">
        <f aca="false">ROUNDUP(M460,0)</f>
        <v>23</v>
      </c>
      <c r="O460" s="15" t="n">
        <f aca="false">MAX(I460,N460)</f>
        <v>40</v>
      </c>
      <c r="P460" s="15" t="n">
        <f aca="false">IF(C460="COVERED",MAX(0,O460-40),0)</f>
        <v>0</v>
      </c>
      <c r="Q460" s="15" t="n">
        <f aca="false">O460</f>
        <v>40</v>
      </c>
      <c r="R460" s="18" t="n">
        <f aca="false">IF(C460="COVERED",10.4,7.55)</f>
        <v>10.4</v>
      </c>
      <c r="S460" s="18" t="n">
        <f aca="false">Q460*R460</f>
        <v>416</v>
      </c>
      <c r="T460" s="13" t="s">
        <v>4523</v>
      </c>
      <c r="U460" s="14" t="n">
        <v>46235</v>
      </c>
      <c r="V460" s="13" t="n">
        <v>40</v>
      </c>
      <c r="W460" s="18" t="n">
        <v>10.4</v>
      </c>
      <c r="X460" s="18" t="n">
        <v>416</v>
      </c>
      <c r="Y460" s="18" t="n">
        <f aca="false">IF(ISNUMBER(X460),X460-S460,"")</f>
        <v>0</v>
      </c>
      <c r="Z460" s="18" t="n">
        <f aca="false">IF(ISNUMBER(X460),X460-S460,-S460)</f>
        <v>0</v>
      </c>
      <c r="AA460" s="13" t="str">
        <f aca="false">IF(NOT(ISNUMBER(X460)),"NO AUGUST POSTING IN EXPORT",IF(ABS(Y460)&gt;=0.005,"POSTED CHARGE MISMATCH",IF(P460&gt;0,"MATCH - COVERED ELIGIBILITY EXCEPTION","MATCH")))</f>
        <v>MATCH</v>
      </c>
      <c r="AB460" s="13" t="s">
        <v>4524</v>
      </c>
    </row>
    <row r="461" customFormat="false" ht="15" hidden="false" customHeight="false" outlineLevel="0" collapsed="false">
      <c r="A461" s="9" t="s">
        <v>4525</v>
      </c>
      <c r="B461" s="9" t="s">
        <v>113</v>
      </c>
      <c r="C461" s="9" t="s">
        <v>114</v>
      </c>
      <c r="D461" s="9" t="s">
        <v>2002</v>
      </c>
      <c r="E461" s="9" t="s">
        <v>2166</v>
      </c>
      <c r="F461" s="9" t="s">
        <v>1140</v>
      </c>
      <c r="G461" s="9" t="s">
        <v>1141</v>
      </c>
      <c r="H461" s="9" t="s">
        <v>2169</v>
      </c>
      <c r="I461" s="11" t="n">
        <v>24</v>
      </c>
      <c r="J461" s="11" t="n">
        <v>41.4</v>
      </c>
      <c r="K461" s="11"/>
      <c r="L461" s="11"/>
      <c r="M461" s="11" t="n">
        <f aca="false">IF(ISNUMBER(L461),L461,J461)</f>
        <v>41.4</v>
      </c>
      <c r="N461" s="11" t="n">
        <f aca="false">ROUNDUP(M461,0)</f>
        <v>42</v>
      </c>
      <c r="O461" s="11" t="n">
        <f aca="false">MAX(I461,N461)</f>
        <v>42</v>
      </c>
      <c r="P461" s="11" t="n">
        <f aca="false">IF(C461="COVERED",MAX(0,O461-40),0)</f>
        <v>2</v>
      </c>
      <c r="Q461" s="11" t="n">
        <f aca="false">O461</f>
        <v>42</v>
      </c>
      <c r="R461" s="17" t="n">
        <f aca="false">IF(C461="COVERED",10.4,7.55)</f>
        <v>10.4</v>
      </c>
      <c r="S461" s="17" t="n">
        <f aca="false">Q461*R461</f>
        <v>436.8</v>
      </c>
      <c r="T461" s="9" t="s">
        <v>4526</v>
      </c>
      <c r="U461" s="10" t="n">
        <v>46235</v>
      </c>
      <c r="V461" s="9" t="n">
        <v>42</v>
      </c>
      <c r="W461" s="17" t="n">
        <v>10.4</v>
      </c>
      <c r="X461" s="17" t="n">
        <v>436.8</v>
      </c>
      <c r="Y461" s="17" t="n">
        <f aca="false">IF(ISNUMBER(X461),X461-S461,"")</f>
        <v>0</v>
      </c>
      <c r="Z461" s="17" t="n">
        <f aca="false">IF(ISNUMBER(X461),X461-S461,-S461)</f>
        <v>0</v>
      </c>
      <c r="AA461" s="9" t="str">
        <f aca="false">IF(NOT(ISNUMBER(X461)),"NO AUGUST POSTING IN EXPORT",IF(ABS(Y461)&gt;=0.005,"POSTED CHARGE MISMATCH",IF(P461&gt;0,"MATCH - COVERED ELIGIBILITY EXCEPTION","MATCH")))</f>
        <v>MATCH - COVERED ELIGIBILITY EXCEPTION</v>
      </c>
      <c r="AB461" s="9" t="s">
        <v>4527</v>
      </c>
    </row>
    <row r="462" customFormat="false" ht="15" hidden="false" customHeight="false" outlineLevel="0" collapsed="false">
      <c r="A462" s="13" t="s">
        <v>1326</v>
      </c>
      <c r="B462" s="13" t="s">
        <v>113</v>
      </c>
      <c r="C462" s="13" t="s">
        <v>114</v>
      </c>
      <c r="D462" s="13" t="s">
        <v>2002</v>
      </c>
      <c r="E462" s="13" t="s">
        <v>2180</v>
      </c>
      <c r="F462" s="13" t="s">
        <v>4528</v>
      </c>
      <c r="G462" s="13" t="s">
        <v>4529</v>
      </c>
      <c r="H462" s="13" t="s">
        <v>4530</v>
      </c>
      <c r="I462" s="15" t="n">
        <v>32</v>
      </c>
      <c r="J462" s="15" t="n">
        <v>35.9</v>
      </c>
      <c r="K462" s="15"/>
      <c r="L462" s="15"/>
      <c r="M462" s="15" t="n">
        <f aca="false">IF(ISNUMBER(L462),L462,J462)</f>
        <v>35.9</v>
      </c>
      <c r="N462" s="15" t="n">
        <f aca="false">ROUNDUP(M462,0)</f>
        <v>36</v>
      </c>
      <c r="O462" s="15" t="n">
        <f aca="false">MAX(I462,N462)</f>
        <v>36</v>
      </c>
      <c r="P462" s="15" t="n">
        <f aca="false">IF(C462="COVERED",MAX(0,O462-40),0)</f>
        <v>0</v>
      </c>
      <c r="Q462" s="15" t="n">
        <f aca="false">O462</f>
        <v>36</v>
      </c>
      <c r="R462" s="18" t="n">
        <f aca="false">IF(C462="COVERED",10.4,7.55)</f>
        <v>10.4</v>
      </c>
      <c r="S462" s="18" t="n">
        <f aca="false">Q462*R462</f>
        <v>374.4</v>
      </c>
      <c r="T462" s="13" t="s">
        <v>4531</v>
      </c>
      <c r="U462" s="14" t="n">
        <v>46235</v>
      </c>
      <c r="V462" s="13" t="n">
        <v>36</v>
      </c>
      <c r="W462" s="18" t="n">
        <v>10.4</v>
      </c>
      <c r="X462" s="18" t="n">
        <v>374.4</v>
      </c>
      <c r="Y462" s="18" t="n">
        <f aca="false">IF(ISNUMBER(X462),X462-S462,"")</f>
        <v>0</v>
      </c>
      <c r="Z462" s="18" t="n">
        <f aca="false">IF(ISNUMBER(X462),X462-S462,-S462)</f>
        <v>0</v>
      </c>
      <c r="AA462" s="13" t="str">
        <f aca="false">IF(NOT(ISNUMBER(X462)),"NO AUGUST POSTING IN EXPORT",IF(ABS(Y462)&gt;=0.005,"POSTED CHARGE MISMATCH",IF(P462&gt;0,"MATCH - COVERED ELIGIBILITY EXCEPTION","MATCH")))</f>
        <v>MATCH</v>
      </c>
      <c r="AB462" s="13" t="s">
        <v>4532</v>
      </c>
    </row>
    <row r="463" customFormat="false" ht="15" hidden="false" customHeight="false" outlineLevel="0" collapsed="false">
      <c r="A463" s="9" t="s">
        <v>4533</v>
      </c>
      <c r="B463" s="9" t="s">
        <v>113</v>
      </c>
      <c r="C463" s="9" t="s">
        <v>114</v>
      </c>
      <c r="D463" s="9" t="s">
        <v>2002</v>
      </c>
      <c r="E463" s="9" t="s">
        <v>2186</v>
      </c>
      <c r="F463" s="9" t="s">
        <v>4534</v>
      </c>
      <c r="G463" s="9" t="s">
        <v>4535</v>
      </c>
      <c r="H463" s="9" t="s">
        <v>4341</v>
      </c>
      <c r="I463" s="11" t="n">
        <v>32</v>
      </c>
      <c r="J463" s="11" t="n">
        <v>19.8</v>
      </c>
      <c r="K463" s="11"/>
      <c r="L463" s="11"/>
      <c r="M463" s="11" t="n">
        <f aca="false">IF(ISNUMBER(L463),L463,J463)</f>
        <v>19.8</v>
      </c>
      <c r="N463" s="11" t="n">
        <f aca="false">ROUNDUP(M463,0)</f>
        <v>20</v>
      </c>
      <c r="O463" s="11" t="n">
        <f aca="false">MAX(I463,N463)</f>
        <v>32</v>
      </c>
      <c r="P463" s="11" t="n">
        <f aca="false">IF(C463="COVERED",MAX(0,O463-40),0)</f>
        <v>0</v>
      </c>
      <c r="Q463" s="11" t="n">
        <f aca="false">O463</f>
        <v>32</v>
      </c>
      <c r="R463" s="17" t="n">
        <f aca="false">IF(C463="COVERED",10.4,7.55)</f>
        <v>10.4</v>
      </c>
      <c r="S463" s="17" t="n">
        <f aca="false">Q463*R463</f>
        <v>332.8</v>
      </c>
      <c r="T463" s="9" t="s">
        <v>4536</v>
      </c>
      <c r="U463" s="10" t="n">
        <v>46235</v>
      </c>
      <c r="V463" s="9" t="n">
        <v>32</v>
      </c>
      <c r="W463" s="17" t="n">
        <v>10.4</v>
      </c>
      <c r="X463" s="17" t="n">
        <v>332.8</v>
      </c>
      <c r="Y463" s="17" t="n">
        <f aca="false">IF(ISNUMBER(X463),X463-S463,"")</f>
        <v>0</v>
      </c>
      <c r="Z463" s="17" t="n">
        <f aca="false">IF(ISNUMBER(X463),X463-S463,-S463)</f>
        <v>0</v>
      </c>
      <c r="AA463" s="9" t="str">
        <f aca="false">IF(NOT(ISNUMBER(X463)),"NO AUGUST POSTING IN EXPORT",IF(ABS(Y463)&gt;=0.005,"POSTED CHARGE MISMATCH",IF(P463&gt;0,"MATCH - COVERED ELIGIBILITY EXCEPTION","MATCH")))</f>
        <v>MATCH</v>
      </c>
      <c r="AB463" s="9" t="s">
        <v>4537</v>
      </c>
    </row>
    <row r="464" customFormat="false" ht="15" hidden="false" customHeight="false" outlineLevel="0" collapsed="false">
      <c r="A464" s="13" t="s">
        <v>4538</v>
      </c>
      <c r="B464" s="13" t="s">
        <v>113</v>
      </c>
      <c r="C464" s="13" t="s">
        <v>114</v>
      </c>
      <c r="D464" s="13" t="s">
        <v>2002</v>
      </c>
      <c r="E464" s="13" t="s">
        <v>2193</v>
      </c>
      <c r="F464" s="13" t="s">
        <v>1209</v>
      </c>
      <c r="G464" s="13" t="s">
        <v>1210</v>
      </c>
      <c r="H464" s="13" t="s">
        <v>4539</v>
      </c>
      <c r="I464" s="15" t="n">
        <v>40</v>
      </c>
      <c r="J464" s="15" t="n">
        <v>24.8</v>
      </c>
      <c r="K464" s="15"/>
      <c r="L464" s="15"/>
      <c r="M464" s="15" t="n">
        <f aca="false">IF(ISNUMBER(L464),L464,J464)</f>
        <v>24.8</v>
      </c>
      <c r="N464" s="15" t="n">
        <f aca="false">ROUNDUP(M464,0)</f>
        <v>25</v>
      </c>
      <c r="O464" s="15" t="n">
        <f aca="false">MAX(I464,N464)</f>
        <v>40</v>
      </c>
      <c r="P464" s="15" t="n">
        <f aca="false">IF(C464="COVERED",MAX(0,O464-40),0)</f>
        <v>0</v>
      </c>
      <c r="Q464" s="15" t="n">
        <f aca="false">O464</f>
        <v>40</v>
      </c>
      <c r="R464" s="18" t="n">
        <f aca="false">IF(C464="COVERED",10.4,7.55)</f>
        <v>10.4</v>
      </c>
      <c r="S464" s="18" t="n">
        <f aca="false">Q464*R464</f>
        <v>416</v>
      </c>
      <c r="T464" s="13" t="s">
        <v>4540</v>
      </c>
      <c r="U464" s="14" t="n">
        <v>46235</v>
      </c>
      <c r="V464" s="13" t="n">
        <v>40</v>
      </c>
      <c r="W464" s="18" t="n">
        <v>10.4</v>
      </c>
      <c r="X464" s="18" t="n">
        <v>416</v>
      </c>
      <c r="Y464" s="18" t="n">
        <f aca="false">IF(ISNUMBER(X464),X464-S464,"")</f>
        <v>0</v>
      </c>
      <c r="Z464" s="18" t="n">
        <f aca="false">IF(ISNUMBER(X464),X464-S464,-S464)</f>
        <v>0</v>
      </c>
      <c r="AA464" s="13" t="str">
        <f aca="false">IF(NOT(ISNUMBER(X464)),"NO AUGUST POSTING IN EXPORT",IF(ABS(Y464)&gt;=0.005,"POSTED CHARGE MISMATCH",IF(P464&gt;0,"MATCH - COVERED ELIGIBILITY EXCEPTION","MATCH")))</f>
        <v>MATCH</v>
      </c>
      <c r="AB464" s="13" t="s">
        <v>4541</v>
      </c>
    </row>
    <row r="465" customFormat="false" ht="15" hidden="false" customHeight="false" outlineLevel="0" collapsed="false">
      <c r="A465" s="9" t="s">
        <v>4542</v>
      </c>
      <c r="B465" s="9" t="s">
        <v>113</v>
      </c>
      <c r="C465" s="9" t="s">
        <v>114</v>
      </c>
      <c r="D465" s="9" t="s">
        <v>2002</v>
      </c>
      <c r="E465" s="9" t="s">
        <v>2207</v>
      </c>
      <c r="F465" s="9" t="s">
        <v>4543</v>
      </c>
      <c r="G465" s="9" t="s">
        <v>4544</v>
      </c>
      <c r="H465" s="9" t="s">
        <v>4545</v>
      </c>
      <c r="I465" s="11" t="n">
        <v>24</v>
      </c>
      <c r="J465" s="11" t="n">
        <v>57.4</v>
      </c>
      <c r="K465" s="11"/>
      <c r="L465" s="11"/>
      <c r="M465" s="11" t="n">
        <f aca="false">IF(ISNUMBER(L465),L465,J465)</f>
        <v>57.4</v>
      </c>
      <c r="N465" s="11" t="n">
        <f aca="false">ROUNDUP(M465,0)</f>
        <v>58</v>
      </c>
      <c r="O465" s="11" t="n">
        <f aca="false">MAX(I465,N465)</f>
        <v>58</v>
      </c>
      <c r="P465" s="11" t="n">
        <f aca="false">IF(C465="COVERED",MAX(0,O465-40),0)</f>
        <v>18</v>
      </c>
      <c r="Q465" s="11" t="n">
        <f aca="false">O465</f>
        <v>58</v>
      </c>
      <c r="R465" s="17" t="n">
        <f aca="false">IF(C465="COVERED",10.4,7.55)</f>
        <v>10.4</v>
      </c>
      <c r="S465" s="17" t="n">
        <f aca="false">Q465*R465</f>
        <v>603.2</v>
      </c>
      <c r="T465" s="9" t="s">
        <v>4546</v>
      </c>
      <c r="U465" s="10" t="n">
        <v>46235</v>
      </c>
      <c r="V465" s="9" t="n">
        <v>58</v>
      </c>
      <c r="W465" s="17" t="n">
        <v>10.4</v>
      </c>
      <c r="X465" s="17" t="n">
        <v>603.2</v>
      </c>
      <c r="Y465" s="17" t="n">
        <f aca="false">IF(ISNUMBER(X465),X465-S465,"")</f>
        <v>0</v>
      </c>
      <c r="Z465" s="17" t="n">
        <f aca="false">IF(ISNUMBER(X465),X465-S465,-S465)</f>
        <v>0</v>
      </c>
      <c r="AA465" s="9" t="str">
        <f aca="false">IF(NOT(ISNUMBER(X465)),"NO AUGUST POSTING IN EXPORT",IF(ABS(Y465)&gt;=0.005,"POSTED CHARGE MISMATCH",IF(P465&gt;0,"MATCH - COVERED ELIGIBILITY EXCEPTION","MATCH")))</f>
        <v>MATCH - COVERED ELIGIBILITY EXCEPTION</v>
      </c>
      <c r="AB465" s="9" t="s">
        <v>4547</v>
      </c>
    </row>
    <row r="466" customFormat="false" ht="15" hidden="false" customHeight="false" outlineLevel="0" collapsed="false">
      <c r="A466" s="13" t="s">
        <v>4548</v>
      </c>
      <c r="B466" s="13" t="s">
        <v>113</v>
      </c>
      <c r="C466" s="13" t="s">
        <v>114</v>
      </c>
      <c r="D466" s="13" t="s">
        <v>2002</v>
      </c>
      <c r="E466" s="13" t="s">
        <v>3558</v>
      </c>
      <c r="F466" s="13" t="s">
        <v>4549</v>
      </c>
      <c r="G466" s="13" t="s">
        <v>4550</v>
      </c>
      <c r="H466" s="13" t="s">
        <v>3452</v>
      </c>
      <c r="I466" s="15" t="n">
        <v>40</v>
      </c>
      <c r="J466" s="15" t="n">
        <v>49.7</v>
      </c>
      <c r="K466" s="15"/>
      <c r="L466" s="15"/>
      <c r="M466" s="15" t="n">
        <f aca="false">IF(ISNUMBER(L466),L466,J466)</f>
        <v>49.7</v>
      </c>
      <c r="N466" s="15" t="n">
        <f aca="false">ROUNDUP(M466,0)</f>
        <v>50</v>
      </c>
      <c r="O466" s="15" t="n">
        <f aca="false">MAX(I466,N466)</f>
        <v>50</v>
      </c>
      <c r="P466" s="15" t="n">
        <f aca="false">IF(C466="COVERED",MAX(0,O466-40),0)</f>
        <v>10</v>
      </c>
      <c r="Q466" s="15" t="n">
        <f aca="false">O466</f>
        <v>50</v>
      </c>
      <c r="R466" s="18" t="n">
        <f aca="false">IF(C466="COVERED",10.4,7.55)</f>
        <v>10.4</v>
      </c>
      <c r="S466" s="18" t="n">
        <f aca="false">Q466*R466</f>
        <v>520</v>
      </c>
      <c r="T466" s="13" t="s">
        <v>4551</v>
      </c>
      <c r="U466" s="14" t="n">
        <v>46235</v>
      </c>
      <c r="V466" s="13" t="n">
        <v>50</v>
      </c>
      <c r="W466" s="18" t="n">
        <v>10.4</v>
      </c>
      <c r="X466" s="18" t="n">
        <v>520</v>
      </c>
      <c r="Y466" s="18" t="n">
        <f aca="false">IF(ISNUMBER(X466),X466-S466,"")</f>
        <v>0</v>
      </c>
      <c r="Z466" s="18" t="n">
        <f aca="false">IF(ISNUMBER(X466),X466-S466,-S466)</f>
        <v>0</v>
      </c>
      <c r="AA466" s="13" t="str">
        <f aca="false">IF(NOT(ISNUMBER(X466)),"NO AUGUST POSTING IN EXPORT",IF(ABS(Y466)&gt;=0.005,"POSTED CHARGE MISMATCH",IF(P466&gt;0,"MATCH - COVERED ELIGIBILITY EXCEPTION","MATCH")))</f>
        <v>MATCH - COVERED ELIGIBILITY EXCEPTION</v>
      </c>
      <c r="AB466" s="13" t="s">
        <v>4552</v>
      </c>
    </row>
    <row r="467" customFormat="false" ht="15" hidden="false" customHeight="false" outlineLevel="0" collapsed="false">
      <c r="A467" s="9" t="s">
        <v>4553</v>
      </c>
      <c r="B467" s="9" t="s">
        <v>113</v>
      </c>
      <c r="C467" s="9" t="s">
        <v>114</v>
      </c>
      <c r="D467" s="9" t="s">
        <v>2002</v>
      </c>
      <c r="E467" s="9" t="s">
        <v>2214</v>
      </c>
      <c r="F467" s="9" t="s">
        <v>4554</v>
      </c>
      <c r="G467" s="9" t="s">
        <v>4555</v>
      </c>
      <c r="H467" s="9" t="s">
        <v>4556</v>
      </c>
      <c r="I467" s="11" t="n">
        <v>28</v>
      </c>
      <c r="J467" s="11" t="n">
        <v>31</v>
      </c>
      <c r="K467" s="11"/>
      <c r="L467" s="11"/>
      <c r="M467" s="11" t="n">
        <f aca="false">IF(ISNUMBER(L467),L467,J467)</f>
        <v>31</v>
      </c>
      <c r="N467" s="11" t="n">
        <f aca="false">ROUNDUP(M467,0)</f>
        <v>31</v>
      </c>
      <c r="O467" s="11" t="n">
        <f aca="false">MAX(I467,N467)</f>
        <v>31</v>
      </c>
      <c r="P467" s="11" t="n">
        <f aca="false">IF(C467="COVERED",MAX(0,O467-40),0)</f>
        <v>0</v>
      </c>
      <c r="Q467" s="11" t="n">
        <f aca="false">O467</f>
        <v>31</v>
      </c>
      <c r="R467" s="17" t="n">
        <f aca="false">IF(C467="COVERED",10.4,7.55)</f>
        <v>10.4</v>
      </c>
      <c r="S467" s="17" t="n">
        <f aca="false">Q467*R467</f>
        <v>322.4</v>
      </c>
      <c r="T467" s="9" t="s">
        <v>4557</v>
      </c>
      <c r="U467" s="10" t="n">
        <v>46235</v>
      </c>
      <c r="V467" s="9" t="n">
        <v>31</v>
      </c>
      <c r="W467" s="17" t="n">
        <v>10.4</v>
      </c>
      <c r="X467" s="17" t="n">
        <v>322.4</v>
      </c>
      <c r="Y467" s="17" t="n">
        <f aca="false">IF(ISNUMBER(X467),X467-S467,"")</f>
        <v>0</v>
      </c>
      <c r="Z467" s="17" t="n">
        <f aca="false">IF(ISNUMBER(X467),X467-S467,-S467)</f>
        <v>0</v>
      </c>
      <c r="AA467" s="9" t="str">
        <f aca="false">IF(NOT(ISNUMBER(X467)),"NO AUGUST POSTING IN EXPORT",IF(ABS(Y467)&gt;=0.005,"POSTED CHARGE MISMATCH",IF(P467&gt;0,"MATCH - COVERED ELIGIBILITY EXCEPTION","MATCH")))</f>
        <v>MATCH</v>
      </c>
      <c r="AB467" s="9" t="s">
        <v>4558</v>
      </c>
    </row>
    <row r="468" customFormat="false" ht="15" hidden="false" customHeight="false" outlineLevel="0" collapsed="false">
      <c r="A468" s="13" t="s">
        <v>1105</v>
      </c>
      <c r="B468" s="13" t="s">
        <v>113</v>
      </c>
      <c r="C468" s="13" t="s">
        <v>114</v>
      </c>
      <c r="D468" s="13" t="s">
        <v>2002</v>
      </c>
      <c r="E468" s="13" t="s">
        <v>2221</v>
      </c>
      <c r="F468" s="13" t="s">
        <v>4559</v>
      </c>
      <c r="G468" s="13" t="s">
        <v>4560</v>
      </c>
      <c r="H468" s="13" t="s">
        <v>2520</v>
      </c>
      <c r="I468" s="15" t="n">
        <v>28</v>
      </c>
      <c r="J468" s="15" t="n">
        <v>26.3</v>
      </c>
      <c r="K468" s="15"/>
      <c r="L468" s="15"/>
      <c r="M468" s="15" t="n">
        <f aca="false">IF(ISNUMBER(L468),L468,J468)</f>
        <v>26.3</v>
      </c>
      <c r="N468" s="15" t="n">
        <f aca="false">ROUNDUP(M468,0)</f>
        <v>27</v>
      </c>
      <c r="O468" s="15" t="n">
        <f aca="false">MAX(I468,N468)</f>
        <v>28</v>
      </c>
      <c r="P468" s="15" t="n">
        <f aca="false">IF(C468="COVERED",MAX(0,O468-40),0)</f>
        <v>0</v>
      </c>
      <c r="Q468" s="15" t="n">
        <f aca="false">O468</f>
        <v>28</v>
      </c>
      <c r="R468" s="18" t="n">
        <f aca="false">IF(C468="COVERED",10.4,7.55)</f>
        <v>10.4</v>
      </c>
      <c r="S468" s="18" t="n">
        <f aca="false">Q468*R468</f>
        <v>291.2</v>
      </c>
      <c r="T468" s="13" t="s">
        <v>4561</v>
      </c>
      <c r="U468" s="14" t="n">
        <v>46235</v>
      </c>
      <c r="V468" s="13" t="n">
        <v>28</v>
      </c>
      <c r="W468" s="18" t="n">
        <v>10.4</v>
      </c>
      <c r="X468" s="18" t="n">
        <v>291.2</v>
      </c>
      <c r="Y468" s="18" t="n">
        <f aca="false">IF(ISNUMBER(X468),X468-S468,"")</f>
        <v>0</v>
      </c>
      <c r="Z468" s="18" t="n">
        <f aca="false">IF(ISNUMBER(X468),X468-S468,-S468)</f>
        <v>0</v>
      </c>
      <c r="AA468" s="13" t="str">
        <f aca="false">IF(NOT(ISNUMBER(X468)),"NO AUGUST POSTING IN EXPORT",IF(ABS(Y468)&gt;=0.005,"POSTED CHARGE MISMATCH",IF(P468&gt;0,"MATCH - COVERED ELIGIBILITY EXCEPTION","MATCH")))</f>
        <v>MATCH</v>
      </c>
      <c r="AB468" s="13" t="s">
        <v>4562</v>
      </c>
    </row>
    <row r="469" customFormat="false" ht="15" hidden="false" customHeight="false" outlineLevel="0" collapsed="false">
      <c r="A469" s="9" t="s">
        <v>899</v>
      </c>
      <c r="B469" s="9" t="s">
        <v>113</v>
      </c>
      <c r="C469" s="9" t="s">
        <v>114</v>
      </c>
      <c r="D469" s="9" t="s">
        <v>2002</v>
      </c>
      <c r="E469" s="9" t="s">
        <v>2228</v>
      </c>
      <c r="F469" s="9" t="s">
        <v>4563</v>
      </c>
      <c r="G469" s="9" t="s">
        <v>4564</v>
      </c>
      <c r="H469" s="9" t="s">
        <v>3490</v>
      </c>
      <c r="I469" s="11" t="n">
        <v>32</v>
      </c>
      <c r="J469" s="11" t="n">
        <v>57</v>
      </c>
      <c r="K469" s="11"/>
      <c r="L469" s="11"/>
      <c r="M469" s="11" t="n">
        <f aca="false">IF(ISNUMBER(L469),L469,J469)</f>
        <v>57</v>
      </c>
      <c r="N469" s="11" t="n">
        <f aca="false">ROUNDUP(M469,0)</f>
        <v>57</v>
      </c>
      <c r="O469" s="11" t="n">
        <f aca="false">MAX(I469,N469)</f>
        <v>57</v>
      </c>
      <c r="P469" s="11" t="n">
        <f aca="false">IF(C469="COVERED",MAX(0,O469-40),0)</f>
        <v>17</v>
      </c>
      <c r="Q469" s="11" t="n">
        <f aca="false">O469</f>
        <v>57</v>
      </c>
      <c r="R469" s="17" t="n">
        <f aca="false">IF(C469="COVERED",10.4,7.55)</f>
        <v>10.4</v>
      </c>
      <c r="S469" s="17" t="n">
        <f aca="false">Q469*R469</f>
        <v>592.8</v>
      </c>
      <c r="T469" s="9" t="s">
        <v>4565</v>
      </c>
      <c r="U469" s="10" t="n">
        <v>46235</v>
      </c>
      <c r="V469" s="9" t="n">
        <v>57</v>
      </c>
      <c r="W469" s="17" t="n">
        <v>10.4</v>
      </c>
      <c r="X469" s="17" t="n">
        <v>592.8</v>
      </c>
      <c r="Y469" s="17" t="n">
        <f aca="false">IF(ISNUMBER(X469),X469-S469,"")</f>
        <v>0</v>
      </c>
      <c r="Z469" s="17" t="n">
        <f aca="false">IF(ISNUMBER(X469),X469-S469,-S469)</f>
        <v>0</v>
      </c>
      <c r="AA469" s="9" t="str">
        <f aca="false">IF(NOT(ISNUMBER(X469)),"NO AUGUST POSTING IN EXPORT",IF(ABS(Y469)&gt;=0.005,"POSTED CHARGE MISMATCH",IF(P469&gt;0,"MATCH - COVERED ELIGIBILITY EXCEPTION","MATCH")))</f>
        <v>MATCH - COVERED ELIGIBILITY EXCEPTION</v>
      </c>
      <c r="AB469" s="9" t="s">
        <v>4566</v>
      </c>
    </row>
    <row r="470" customFormat="false" ht="15" hidden="false" customHeight="false" outlineLevel="0" collapsed="false">
      <c r="A470" s="13" t="s">
        <v>4567</v>
      </c>
      <c r="B470" s="13" t="s">
        <v>113</v>
      </c>
      <c r="C470" s="13" t="s">
        <v>114</v>
      </c>
      <c r="D470" s="13" t="s">
        <v>2002</v>
      </c>
      <c r="E470" s="13" t="s">
        <v>2235</v>
      </c>
      <c r="F470" s="13" t="s">
        <v>4568</v>
      </c>
      <c r="G470" s="13" t="s">
        <v>4569</v>
      </c>
      <c r="H470" s="13" t="s">
        <v>4570</v>
      </c>
      <c r="I470" s="15" t="n">
        <v>40</v>
      </c>
      <c r="J470" s="15" t="n">
        <v>58.7</v>
      </c>
      <c r="K470" s="15"/>
      <c r="L470" s="15"/>
      <c r="M470" s="15" t="n">
        <f aca="false">IF(ISNUMBER(L470),L470,J470)</f>
        <v>58.7</v>
      </c>
      <c r="N470" s="15" t="n">
        <f aca="false">ROUNDUP(M470,0)</f>
        <v>59</v>
      </c>
      <c r="O470" s="15" t="n">
        <f aca="false">MAX(I470,N470)</f>
        <v>59</v>
      </c>
      <c r="P470" s="15" t="n">
        <f aca="false">IF(C470="COVERED",MAX(0,O470-40),0)</f>
        <v>19</v>
      </c>
      <c r="Q470" s="15" t="n">
        <f aca="false">O470</f>
        <v>59</v>
      </c>
      <c r="R470" s="18" t="n">
        <f aca="false">IF(C470="COVERED",10.4,7.55)</f>
        <v>10.4</v>
      </c>
      <c r="S470" s="18" t="n">
        <f aca="false">Q470*R470</f>
        <v>613.6</v>
      </c>
      <c r="T470" s="13" t="s">
        <v>4571</v>
      </c>
      <c r="U470" s="14" t="n">
        <v>46235</v>
      </c>
      <c r="V470" s="13" t="n">
        <v>59</v>
      </c>
      <c r="W470" s="18" t="n">
        <v>10.4</v>
      </c>
      <c r="X470" s="18" t="n">
        <v>613.6</v>
      </c>
      <c r="Y470" s="18" t="n">
        <f aca="false">IF(ISNUMBER(X470),X470-S470,"")</f>
        <v>0</v>
      </c>
      <c r="Z470" s="18" t="n">
        <f aca="false">IF(ISNUMBER(X470),X470-S470,-S470)</f>
        <v>0</v>
      </c>
      <c r="AA470" s="13" t="str">
        <f aca="false">IF(NOT(ISNUMBER(X470)),"NO AUGUST POSTING IN EXPORT",IF(ABS(Y470)&gt;=0.005,"POSTED CHARGE MISMATCH",IF(P470&gt;0,"MATCH - COVERED ELIGIBILITY EXCEPTION","MATCH")))</f>
        <v>MATCH - COVERED ELIGIBILITY EXCEPTION</v>
      </c>
      <c r="AB470" s="13" t="s">
        <v>4572</v>
      </c>
    </row>
    <row r="471" customFormat="false" ht="15" hidden="false" customHeight="false" outlineLevel="0" collapsed="false">
      <c r="A471" s="9" t="s">
        <v>4573</v>
      </c>
      <c r="B471" s="9" t="s">
        <v>113</v>
      </c>
      <c r="C471" s="9" t="s">
        <v>114</v>
      </c>
      <c r="D471" s="9" t="s">
        <v>2002</v>
      </c>
      <c r="E471" s="9" t="s">
        <v>2240</v>
      </c>
      <c r="F471" s="9" t="s">
        <v>4574</v>
      </c>
      <c r="G471" s="9" t="s">
        <v>4575</v>
      </c>
      <c r="H471" s="9" t="s">
        <v>4576</v>
      </c>
      <c r="I471" s="11" t="n">
        <v>24</v>
      </c>
      <c r="J471" s="11" t="n">
        <v>41.6</v>
      </c>
      <c r="K471" s="11"/>
      <c r="L471" s="11"/>
      <c r="M471" s="11" t="n">
        <f aca="false">IF(ISNUMBER(L471),L471,J471)</f>
        <v>41.6</v>
      </c>
      <c r="N471" s="11" t="n">
        <f aca="false">ROUNDUP(M471,0)</f>
        <v>42</v>
      </c>
      <c r="O471" s="11" t="n">
        <f aca="false">MAX(I471,N471)</f>
        <v>42</v>
      </c>
      <c r="P471" s="11" t="n">
        <f aca="false">IF(C471="COVERED",MAX(0,O471-40),0)</f>
        <v>2</v>
      </c>
      <c r="Q471" s="11" t="n">
        <f aca="false">O471</f>
        <v>42</v>
      </c>
      <c r="R471" s="17" t="n">
        <f aca="false">IF(C471="COVERED",10.4,7.55)</f>
        <v>10.4</v>
      </c>
      <c r="S471" s="17" t="n">
        <f aca="false">Q471*R471</f>
        <v>436.8</v>
      </c>
      <c r="T471" s="9" t="s">
        <v>4577</v>
      </c>
      <c r="U471" s="10" t="n">
        <v>46235</v>
      </c>
      <c r="V471" s="9" t="n">
        <v>42</v>
      </c>
      <c r="W471" s="17" t="n">
        <v>10.4</v>
      </c>
      <c r="X471" s="17" t="n">
        <v>436.8</v>
      </c>
      <c r="Y471" s="17" t="n">
        <f aca="false">IF(ISNUMBER(X471),X471-S471,"")</f>
        <v>0</v>
      </c>
      <c r="Z471" s="17" t="n">
        <f aca="false">IF(ISNUMBER(X471),X471-S471,-S471)</f>
        <v>0</v>
      </c>
      <c r="AA471" s="9" t="str">
        <f aca="false">IF(NOT(ISNUMBER(X471)),"NO AUGUST POSTING IN EXPORT",IF(ABS(Y471)&gt;=0.005,"POSTED CHARGE MISMATCH",IF(P471&gt;0,"MATCH - COVERED ELIGIBILITY EXCEPTION","MATCH")))</f>
        <v>MATCH - COVERED ELIGIBILITY EXCEPTION</v>
      </c>
      <c r="AB471" s="9" t="s">
        <v>4578</v>
      </c>
    </row>
    <row r="472" customFormat="false" ht="15" hidden="false" customHeight="false" outlineLevel="0" collapsed="false">
      <c r="A472" s="13" t="s">
        <v>423</v>
      </c>
      <c r="B472" s="13" t="s">
        <v>113</v>
      </c>
      <c r="C472" s="13" t="s">
        <v>114</v>
      </c>
      <c r="D472" s="13" t="s">
        <v>2002</v>
      </c>
      <c r="E472" s="13" t="s">
        <v>2247</v>
      </c>
      <c r="F472" s="13" t="s">
        <v>4579</v>
      </c>
      <c r="G472" s="13" t="s">
        <v>4580</v>
      </c>
      <c r="H472" s="13" t="s">
        <v>4581</v>
      </c>
      <c r="I472" s="15" t="n">
        <v>28</v>
      </c>
      <c r="J472" s="15" t="n">
        <v>46.9</v>
      </c>
      <c r="K472" s="15"/>
      <c r="L472" s="15"/>
      <c r="M472" s="15" t="n">
        <f aca="false">IF(ISNUMBER(L472),L472,J472)</f>
        <v>46.9</v>
      </c>
      <c r="N472" s="15" t="n">
        <f aca="false">ROUNDUP(M472,0)</f>
        <v>47</v>
      </c>
      <c r="O472" s="15" t="n">
        <f aca="false">MAX(I472,N472)</f>
        <v>47</v>
      </c>
      <c r="P472" s="15" t="n">
        <f aca="false">IF(C472="COVERED",MAX(0,O472-40),0)</f>
        <v>7</v>
      </c>
      <c r="Q472" s="15" t="n">
        <f aca="false">O472</f>
        <v>47</v>
      </c>
      <c r="R472" s="18" t="n">
        <f aca="false">IF(C472="COVERED",10.4,7.55)</f>
        <v>10.4</v>
      </c>
      <c r="S472" s="18" t="n">
        <f aca="false">Q472*R472</f>
        <v>488.8</v>
      </c>
      <c r="T472" s="13" t="s">
        <v>4582</v>
      </c>
      <c r="U472" s="14" t="n">
        <v>46235</v>
      </c>
      <c r="V472" s="13" t="n">
        <v>47</v>
      </c>
      <c r="W472" s="18" t="n">
        <v>10.4</v>
      </c>
      <c r="X472" s="18" t="n">
        <v>488.8</v>
      </c>
      <c r="Y472" s="18" t="n">
        <f aca="false">IF(ISNUMBER(X472),X472-S472,"")</f>
        <v>0</v>
      </c>
      <c r="Z472" s="18" t="n">
        <f aca="false">IF(ISNUMBER(X472),X472-S472,-S472)</f>
        <v>0</v>
      </c>
      <c r="AA472" s="13" t="str">
        <f aca="false">IF(NOT(ISNUMBER(X472)),"NO AUGUST POSTING IN EXPORT",IF(ABS(Y472)&gt;=0.005,"POSTED CHARGE MISMATCH",IF(P472&gt;0,"MATCH - COVERED ELIGIBILITY EXCEPTION","MATCH")))</f>
        <v>MATCH - COVERED ELIGIBILITY EXCEPTION</v>
      </c>
      <c r="AB472" s="13" t="s">
        <v>4583</v>
      </c>
    </row>
    <row r="473" customFormat="false" ht="15" hidden="false" customHeight="false" outlineLevel="0" collapsed="false">
      <c r="A473" s="9" t="s">
        <v>411</v>
      </c>
      <c r="B473" s="9" t="s">
        <v>113</v>
      </c>
      <c r="C473" s="9" t="s">
        <v>114</v>
      </c>
      <c r="D473" s="9" t="s">
        <v>2002</v>
      </c>
      <c r="E473" s="9" t="s">
        <v>2254</v>
      </c>
      <c r="F473" s="9" t="s">
        <v>4584</v>
      </c>
      <c r="G473" s="9" t="s">
        <v>4585</v>
      </c>
      <c r="H473" s="9" t="s">
        <v>4530</v>
      </c>
      <c r="I473" s="11" t="n">
        <v>28</v>
      </c>
      <c r="J473" s="11" t="n">
        <v>45.1</v>
      </c>
      <c r="K473" s="11"/>
      <c r="L473" s="11"/>
      <c r="M473" s="11" t="n">
        <f aca="false">IF(ISNUMBER(L473),L473,J473)</f>
        <v>45.1</v>
      </c>
      <c r="N473" s="11" t="n">
        <f aca="false">ROUNDUP(M473,0)</f>
        <v>46</v>
      </c>
      <c r="O473" s="11" t="n">
        <f aca="false">MAX(I473,N473)</f>
        <v>46</v>
      </c>
      <c r="P473" s="11" t="n">
        <f aca="false">IF(C473="COVERED",MAX(0,O473-40),0)</f>
        <v>6</v>
      </c>
      <c r="Q473" s="11" t="n">
        <f aca="false">O473</f>
        <v>46</v>
      </c>
      <c r="R473" s="17" t="n">
        <f aca="false">IF(C473="COVERED",10.4,7.55)</f>
        <v>10.4</v>
      </c>
      <c r="S473" s="17" t="n">
        <f aca="false">Q473*R473</f>
        <v>478.4</v>
      </c>
      <c r="T473" s="9" t="s">
        <v>4586</v>
      </c>
      <c r="U473" s="10" t="n">
        <v>46235</v>
      </c>
      <c r="V473" s="9" t="n">
        <v>46</v>
      </c>
      <c r="W473" s="17" t="n">
        <v>10.4</v>
      </c>
      <c r="X473" s="17" t="n">
        <v>478.4</v>
      </c>
      <c r="Y473" s="17" t="n">
        <f aca="false">IF(ISNUMBER(X473),X473-S473,"")</f>
        <v>0</v>
      </c>
      <c r="Z473" s="17" t="n">
        <f aca="false">IF(ISNUMBER(X473),X473-S473,-S473)</f>
        <v>0</v>
      </c>
      <c r="AA473" s="9" t="str">
        <f aca="false">IF(NOT(ISNUMBER(X473)),"NO AUGUST POSTING IN EXPORT",IF(ABS(Y473)&gt;=0.005,"POSTED CHARGE MISMATCH",IF(P473&gt;0,"MATCH - COVERED ELIGIBILITY EXCEPTION","MATCH")))</f>
        <v>MATCH - COVERED ELIGIBILITY EXCEPTION</v>
      </c>
      <c r="AB473" s="9" t="s">
        <v>4587</v>
      </c>
    </row>
    <row r="474" customFormat="false" ht="15" hidden="false" customHeight="false" outlineLevel="0" collapsed="false">
      <c r="A474" s="13" t="s">
        <v>4588</v>
      </c>
      <c r="B474" s="13" t="s">
        <v>113</v>
      </c>
      <c r="C474" s="13" t="s">
        <v>114</v>
      </c>
      <c r="D474" s="13" t="s">
        <v>2002</v>
      </c>
      <c r="E474" s="13" t="s">
        <v>2261</v>
      </c>
      <c r="F474" s="13" t="s">
        <v>4589</v>
      </c>
      <c r="G474" s="13" t="s">
        <v>4590</v>
      </c>
      <c r="H474" s="13" t="s">
        <v>3512</v>
      </c>
      <c r="I474" s="15" t="n">
        <v>24</v>
      </c>
      <c r="J474" s="15" t="n">
        <v>57.8</v>
      </c>
      <c r="K474" s="15"/>
      <c r="L474" s="15"/>
      <c r="M474" s="15" t="n">
        <f aca="false">IF(ISNUMBER(L474),L474,J474)</f>
        <v>57.8</v>
      </c>
      <c r="N474" s="15" t="n">
        <f aca="false">ROUNDUP(M474,0)</f>
        <v>58</v>
      </c>
      <c r="O474" s="15" t="n">
        <f aca="false">MAX(I474,N474)</f>
        <v>58</v>
      </c>
      <c r="P474" s="15" t="n">
        <f aca="false">IF(C474="COVERED",MAX(0,O474-40),0)</f>
        <v>18</v>
      </c>
      <c r="Q474" s="15" t="n">
        <f aca="false">O474</f>
        <v>58</v>
      </c>
      <c r="R474" s="18" t="n">
        <f aca="false">IF(C474="COVERED",10.4,7.55)</f>
        <v>10.4</v>
      </c>
      <c r="S474" s="18" t="n">
        <f aca="false">Q474*R474</f>
        <v>603.2</v>
      </c>
      <c r="T474" s="13" t="s">
        <v>4591</v>
      </c>
      <c r="U474" s="14" t="n">
        <v>46235</v>
      </c>
      <c r="V474" s="13" t="n">
        <v>58</v>
      </c>
      <c r="W474" s="18" t="n">
        <v>10.4</v>
      </c>
      <c r="X474" s="18" t="n">
        <v>603.2</v>
      </c>
      <c r="Y474" s="18" t="n">
        <f aca="false">IF(ISNUMBER(X474),X474-S474,"")</f>
        <v>0</v>
      </c>
      <c r="Z474" s="18" t="n">
        <f aca="false">IF(ISNUMBER(X474),X474-S474,-S474)</f>
        <v>0</v>
      </c>
      <c r="AA474" s="13" t="str">
        <f aca="false">IF(NOT(ISNUMBER(X474)),"NO AUGUST POSTING IN EXPORT",IF(ABS(Y474)&gt;=0.005,"POSTED CHARGE MISMATCH",IF(P474&gt;0,"MATCH - COVERED ELIGIBILITY EXCEPTION","MATCH")))</f>
        <v>MATCH - COVERED ELIGIBILITY EXCEPTION</v>
      </c>
      <c r="AB474" s="13" t="s">
        <v>4592</v>
      </c>
    </row>
    <row r="475" customFormat="false" ht="15" hidden="false" customHeight="false" outlineLevel="0" collapsed="false">
      <c r="A475" s="9" t="s">
        <v>4593</v>
      </c>
      <c r="B475" s="9" t="s">
        <v>113</v>
      </c>
      <c r="C475" s="9" t="s">
        <v>114</v>
      </c>
      <c r="D475" s="9" t="s">
        <v>2002</v>
      </c>
      <c r="E475" s="9" t="s">
        <v>2267</v>
      </c>
      <c r="F475" s="9" t="s">
        <v>4594</v>
      </c>
      <c r="G475" s="9" t="s">
        <v>4595</v>
      </c>
      <c r="H475" s="9" t="s">
        <v>4596</v>
      </c>
      <c r="I475" s="11" t="n">
        <v>36</v>
      </c>
      <c r="J475" s="11" t="n">
        <v>25.5</v>
      </c>
      <c r="K475" s="11"/>
      <c r="L475" s="11"/>
      <c r="M475" s="11" t="n">
        <f aca="false">IF(ISNUMBER(L475),L475,J475)</f>
        <v>25.5</v>
      </c>
      <c r="N475" s="11" t="n">
        <f aca="false">ROUNDUP(M475,0)</f>
        <v>26</v>
      </c>
      <c r="O475" s="11" t="n">
        <f aca="false">MAX(I475,N475)</f>
        <v>36</v>
      </c>
      <c r="P475" s="11" t="n">
        <f aca="false">IF(C475="COVERED",MAX(0,O475-40),0)</f>
        <v>0</v>
      </c>
      <c r="Q475" s="11" t="n">
        <f aca="false">O475</f>
        <v>36</v>
      </c>
      <c r="R475" s="17" t="n">
        <f aca="false">IF(C475="COVERED",10.4,7.55)</f>
        <v>10.4</v>
      </c>
      <c r="S475" s="17" t="n">
        <f aca="false">Q475*R475</f>
        <v>374.4</v>
      </c>
      <c r="T475" s="9" t="s">
        <v>4597</v>
      </c>
      <c r="U475" s="10" t="n">
        <v>46235</v>
      </c>
      <c r="V475" s="9" t="n">
        <v>36</v>
      </c>
      <c r="W475" s="17" t="n">
        <v>10.4</v>
      </c>
      <c r="X475" s="17" t="n">
        <v>374.4</v>
      </c>
      <c r="Y475" s="17" t="n">
        <f aca="false">IF(ISNUMBER(X475),X475-S475,"")</f>
        <v>0</v>
      </c>
      <c r="Z475" s="17" t="n">
        <f aca="false">IF(ISNUMBER(X475),X475-S475,-S475)</f>
        <v>0</v>
      </c>
      <c r="AA475" s="9" t="str">
        <f aca="false">IF(NOT(ISNUMBER(X475)),"NO AUGUST POSTING IN EXPORT",IF(ABS(Y475)&gt;=0.005,"POSTED CHARGE MISMATCH",IF(P475&gt;0,"MATCH - COVERED ELIGIBILITY EXCEPTION","MATCH")))</f>
        <v>MATCH</v>
      </c>
      <c r="AB475" s="9" t="s">
        <v>4598</v>
      </c>
    </row>
    <row r="476" customFormat="false" ht="15" hidden="false" customHeight="false" outlineLevel="0" collapsed="false">
      <c r="A476" s="13" t="s">
        <v>4599</v>
      </c>
      <c r="B476" s="13" t="s">
        <v>113</v>
      </c>
      <c r="C476" s="13" t="s">
        <v>114</v>
      </c>
      <c r="D476" s="13" t="s">
        <v>2002</v>
      </c>
      <c r="E476" s="13" t="s">
        <v>2274</v>
      </c>
      <c r="F476" s="13" t="s">
        <v>4600</v>
      </c>
      <c r="G476" s="13" t="s">
        <v>4601</v>
      </c>
      <c r="H476" s="13" t="s">
        <v>2329</v>
      </c>
      <c r="I476" s="15" t="n">
        <v>24</v>
      </c>
      <c r="J476" s="15" t="n">
        <v>49.8</v>
      </c>
      <c r="K476" s="15"/>
      <c r="L476" s="15"/>
      <c r="M476" s="15" t="n">
        <f aca="false">IF(ISNUMBER(L476),L476,J476)</f>
        <v>49.8</v>
      </c>
      <c r="N476" s="15" t="n">
        <f aca="false">ROUNDUP(M476,0)</f>
        <v>50</v>
      </c>
      <c r="O476" s="15" t="n">
        <f aca="false">MAX(I476,N476)</f>
        <v>50</v>
      </c>
      <c r="P476" s="15" t="n">
        <f aca="false">IF(C476="COVERED",MAX(0,O476-40),0)</f>
        <v>10</v>
      </c>
      <c r="Q476" s="15" t="n">
        <f aca="false">O476</f>
        <v>50</v>
      </c>
      <c r="R476" s="18" t="n">
        <f aca="false">IF(C476="COVERED",10.4,7.55)</f>
        <v>10.4</v>
      </c>
      <c r="S476" s="18" t="n">
        <f aca="false">Q476*R476</f>
        <v>520</v>
      </c>
      <c r="T476" s="13" t="s">
        <v>4602</v>
      </c>
      <c r="U476" s="14" t="n">
        <v>46235</v>
      </c>
      <c r="V476" s="13" t="n">
        <v>50</v>
      </c>
      <c r="W476" s="18" t="n">
        <v>10.4</v>
      </c>
      <c r="X476" s="18" t="n">
        <v>520</v>
      </c>
      <c r="Y476" s="18" t="n">
        <f aca="false">IF(ISNUMBER(X476),X476-S476,"")</f>
        <v>0</v>
      </c>
      <c r="Z476" s="18" t="n">
        <f aca="false">IF(ISNUMBER(X476),X476-S476,-S476)</f>
        <v>0</v>
      </c>
      <c r="AA476" s="13" t="str">
        <f aca="false">IF(NOT(ISNUMBER(X476)),"NO AUGUST POSTING IN EXPORT",IF(ABS(Y476)&gt;=0.005,"POSTED CHARGE MISMATCH",IF(P476&gt;0,"MATCH - COVERED ELIGIBILITY EXCEPTION","MATCH")))</f>
        <v>MATCH - COVERED ELIGIBILITY EXCEPTION</v>
      </c>
      <c r="AB476" s="13" t="s">
        <v>4603</v>
      </c>
    </row>
    <row r="477" customFormat="false" ht="15" hidden="false" customHeight="false" outlineLevel="0" collapsed="false">
      <c r="A477" s="9" t="s">
        <v>4604</v>
      </c>
      <c r="B477" s="9" t="s">
        <v>113</v>
      </c>
      <c r="C477" s="9" t="s">
        <v>114</v>
      </c>
      <c r="D477" s="9" t="s">
        <v>2002</v>
      </c>
      <c r="E477" s="9" t="s">
        <v>2281</v>
      </c>
      <c r="F477" s="9" t="s">
        <v>4605</v>
      </c>
      <c r="G477" s="9" t="s">
        <v>4606</v>
      </c>
      <c r="H477" s="9" t="s">
        <v>4607</v>
      </c>
      <c r="I477" s="11" t="n">
        <v>40</v>
      </c>
      <c r="J477" s="11" t="n">
        <v>26.7</v>
      </c>
      <c r="K477" s="11"/>
      <c r="L477" s="11"/>
      <c r="M477" s="11" t="n">
        <f aca="false">IF(ISNUMBER(L477),L477,J477)</f>
        <v>26.7</v>
      </c>
      <c r="N477" s="11" t="n">
        <f aca="false">ROUNDUP(M477,0)</f>
        <v>27</v>
      </c>
      <c r="O477" s="11" t="n">
        <f aca="false">MAX(I477,N477)</f>
        <v>40</v>
      </c>
      <c r="P477" s="11" t="n">
        <f aca="false">IF(C477="COVERED",MAX(0,O477-40),0)</f>
        <v>0</v>
      </c>
      <c r="Q477" s="11" t="n">
        <f aca="false">O477</f>
        <v>40</v>
      </c>
      <c r="R477" s="17" t="n">
        <f aca="false">IF(C477="COVERED",10.4,7.55)</f>
        <v>10.4</v>
      </c>
      <c r="S477" s="17" t="n">
        <f aca="false">Q477*R477</f>
        <v>416</v>
      </c>
      <c r="T477" s="9" t="s">
        <v>4608</v>
      </c>
      <c r="U477" s="10" t="n">
        <v>46235</v>
      </c>
      <c r="V477" s="9" t="n">
        <v>40</v>
      </c>
      <c r="W477" s="17" t="n">
        <v>10.4</v>
      </c>
      <c r="X477" s="17" t="n">
        <v>416</v>
      </c>
      <c r="Y477" s="17" t="n">
        <f aca="false">IF(ISNUMBER(X477),X477-S477,"")</f>
        <v>0</v>
      </c>
      <c r="Z477" s="17" t="n">
        <f aca="false">IF(ISNUMBER(X477),X477-S477,-S477)</f>
        <v>0</v>
      </c>
      <c r="AA477" s="9" t="str">
        <f aca="false">IF(NOT(ISNUMBER(X477)),"NO AUGUST POSTING IN EXPORT",IF(ABS(Y477)&gt;=0.005,"POSTED CHARGE MISMATCH",IF(P477&gt;0,"MATCH - COVERED ELIGIBILITY EXCEPTION","MATCH")))</f>
        <v>MATCH</v>
      </c>
      <c r="AB477" s="9" t="s">
        <v>4609</v>
      </c>
    </row>
    <row r="478" customFormat="false" ht="15" hidden="false" customHeight="false" outlineLevel="0" collapsed="false">
      <c r="A478" s="13" t="s">
        <v>4610</v>
      </c>
      <c r="B478" s="13" t="s">
        <v>113</v>
      </c>
      <c r="C478" s="13" t="s">
        <v>114</v>
      </c>
      <c r="D478" s="13" t="s">
        <v>2002</v>
      </c>
      <c r="E478" s="13" t="s">
        <v>3608</v>
      </c>
      <c r="F478" s="13" t="s">
        <v>4611</v>
      </c>
      <c r="G478" s="13" t="s">
        <v>4612</v>
      </c>
      <c r="H478" s="13" t="s">
        <v>2618</v>
      </c>
      <c r="I478" s="15" t="n">
        <v>28</v>
      </c>
      <c r="J478" s="15" t="n">
        <v>18.4</v>
      </c>
      <c r="K478" s="15"/>
      <c r="L478" s="15"/>
      <c r="M478" s="15" t="n">
        <f aca="false">IF(ISNUMBER(L478),L478,J478)</f>
        <v>18.4</v>
      </c>
      <c r="N478" s="15" t="n">
        <f aca="false">ROUNDUP(M478,0)</f>
        <v>19</v>
      </c>
      <c r="O478" s="15" t="n">
        <f aca="false">MAX(I478,N478)</f>
        <v>28</v>
      </c>
      <c r="P478" s="15" t="n">
        <f aca="false">IF(C478="COVERED",MAX(0,O478-40),0)</f>
        <v>0</v>
      </c>
      <c r="Q478" s="15" t="n">
        <f aca="false">O478</f>
        <v>28</v>
      </c>
      <c r="R478" s="18" t="n">
        <f aca="false">IF(C478="COVERED",10.4,7.55)</f>
        <v>10.4</v>
      </c>
      <c r="S478" s="18" t="n">
        <f aca="false">Q478*R478</f>
        <v>291.2</v>
      </c>
      <c r="T478" s="13" t="s">
        <v>4613</v>
      </c>
      <c r="U478" s="14" t="n">
        <v>46235</v>
      </c>
      <c r="V478" s="13" t="n">
        <v>28</v>
      </c>
      <c r="W478" s="18" t="n">
        <v>10.4</v>
      </c>
      <c r="X478" s="18" t="n">
        <v>291.2</v>
      </c>
      <c r="Y478" s="18" t="n">
        <f aca="false">IF(ISNUMBER(X478),X478-S478,"")</f>
        <v>0</v>
      </c>
      <c r="Z478" s="18" t="n">
        <f aca="false">IF(ISNUMBER(X478),X478-S478,-S478)</f>
        <v>0</v>
      </c>
      <c r="AA478" s="13" t="str">
        <f aca="false">IF(NOT(ISNUMBER(X478)),"NO AUGUST POSTING IN EXPORT",IF(ABS(Y478)&gt;=0.005,"POSTED CHARGE MISMATCH",IF(P478&gt;0,"MATCH - COVERED ELIGIBILITY EXCEPTION","MATCH")))</f>
        <v>MATCH</v>
      </c>
      <c r="AB478" s="13" t="s">
        <v>4614</v>
      </c>
    </row>
    <row r="479" customFormat="false" ht="15" hidden="false" customHeight="false" outlineLevel="0" collapsed="false">
      <c r="A479" s="9" t="s">
        <v>4615</v>
      </c>
      <c r="B479" s="9" t="s">
        <v>113</v>
      </c>
      <c r="C479" s="9" t="s">
        <v>114</v>
      </c>
      <c r="D479" s="9" t="s">
        <v>2002</v>
      </c>
      <c r="E479" s="9" t="s">
        <v>2287</v>
      </c>
      <c r="F479" s="9" t="s">
        <v>4616</v>
      </c>
      <c r="G479" s="9" t="s">
        <v>4617</v>
      </c>
      <c r="H479" s="9" t="s">
        <v>2270</v>
      </c>
      <c r="I479" s="11" t="n">
        <v>32</v>
      </c>
      <c r="J479" s="11" t="n">
        <v>37.3</v>
      </c>
      <c r="K479" s="11"/>
      <c r="L479" s="11"/>
      <c r="M479" s="11" t="n">
        <f aca="false">IF(ISNUMBER(L479),L479,J479)</f>
        <v>37.3</v>
      </c>
      <c r="N479" s="11" t="n">
        <f aca="false">ROUNDUP(M479,0)</f>
        <v>38</v>
      </c>
      <c r="O479" s="11" t="n">
        <f aca="false">MAX(I479,N479)</f>
        <v>38</v>
      </c>
      <c r="P479" s="11" t="n">
        <f aca="false">IF(C479="COVERED",MAX(0,O479-40),0)</f>
        <v>0</v>
      </c>
      <c r="Q479" s="11" t="n">
        <f aca="false">O479</f>
        <v>38</v>
      </c>
      <c r="R479" s="17" t="n">
        <f aca="false">IF(C479="COVERED",10.4,7.55)</f>
        <v>10.4</v>
      </c>
      <c r="S479" s="17" t="n">
        <f aca="false">Q479*R479</f>
        <v>395.2</v>
      </c>
      <c r="T479" s="9" t="s">
        <v>4618</v>
      </c>
      <c r="U479" s="10" t="n">
        <v>46235</v>
      </c>
      <c r="V479" s="9" t="n">
        <v>38</v>
      </c>
      <c r="W479" s="17" t="n">
        <v>10.4</v>
      </c>
      <c r="X479" s="17" t="n">
        <v>395.2</v>
      </c>
      <c r="Y479" s="17" t="n">
        <f aca="false">IF(ISNUMBER(X479),X479-S479,"")</f>
        <v>0</v>
      </c>
      <c r="Z479" s="17" t="n">
        <f aca="false">IF(ISNUMBER(X479),X479-S479,-S479)</f>
        <v>0</v>
      </c>
      <c r="AA479" s="9" t="str">
        <f aca="false">IF(NOT(ISNUMBER(X479)),"NO AUGUST POSTING IN EXPORT",IF(ABS(Y479)&gt;=0.005,"POSTED CHARGE MISMATCH",IF(P479&gt;0,"MATCH - COVERED ELIGIBILITY EXCEPTION","MATCH")))</f>
        <v>MATCH</v>
      </c>
      <c r="AB479" s="9" t="s">
        <v>4619</v>
      </c>
    </row>
    <row r="480" customFormat="false" ht="15" hidden="false" customHeight="false" outlineLevel="0" collapsed="false">
      <c r="A480" s="13" t="s">
        <v>1031</v>
      </c>
      <c r="B480" s="13" t="s">
        <v>113</v>
      </c>
      <c r="C480" s="13" t="s">
        <v>114</v>
      </c>
      <c r="D480" s="13" t="s">
        <v>2002</v>
      </c>
      <c r="E480" s="13" t="s">
        <v>2294</v>
      </c>
      <c r="F480" s="13" t="s">
        <v>4620</v>
      </c>
      <c r="G480" s="13" t="s">
        <v>4621</v>
      </c>
      <c r="H480" s="13" t="s">
        <v>3818</v>
      </c>
      <c r="I480" s="15" t="n">
        <v>32</v>
      </c>
      <c r="J480" s="15" t="n">
        <v>54</v>
      </c>
      <c r="K480" s="15"/>
      <c r="L480" s="15"/>
      <c r="M480" s="15" t="n">
        <f aca="false">IF(ISNUMBER(L480),L480,J480)</f>
        <v>54</v>
      </c>
      <c r="N480" s="15" t="n">
        <f aca="false">ROUNDUP(M480,0)</f>
        <v>54</v>
      </c>
      <c r="O480" s="15" t="n">
        <f aca="false">MAX(I480,N480)</f>
        <v>54</v>
      </c>
      <c r="P480" s="15" t="n">
        <f aca="false">IF(C480="COVERED",MAX(0,O480-40),0)</f>
        <v>14</v>
      </c>
      <c r="Q480" s="15" t="n">
        <f aca="false">O480</f>
        <v>54</v>
      </c>
      <c r="R480" s="18" t="n">
        <f aca="false">IF(C480="COVERED",10.4,7.55)</f>
        <v>10.4</v>
      </c>
      <c r="S480" s="18" t="n">
        <f aca="false">Q480*R480</f>
        <v>561.6</v>
      </c>
      <c r="T480" s="13" t="s">
        <v>4622</v>
      </c>
      <c r="U480" s="14" t="n">
        <v>46235</v>
      </c>
      <c r="V480" s="13" t="n">
        <v>54</v>
      </c>
      <c r="W480" s="18" t="n">
        <v>10.4</v>
      </c>
      <c r="X480" s="18" t="n">
        <v>561.6</v>
      </c>
      <c r="Y480" s="18" t="n">
        <f aca="false">IF(ISNUMBER(X480),X480-S480,"")</f>
        <v>0</v>
      </c>
      <c r="Z480" s="18" t="n">
        <f aca="false">IF(ISNUMBER(X480),X480-S480,-S480)</f>
        <v>0</v>
      </c>
      <c r="AA480" s="13" t="str">
        <f aca="false">IF(NOT(ISNUMBER(X480)),"NO AUGUST POSTING IN EXPORT",IF(ABS(Y480)&gt;=0.005,"POSTED CHARGE MISMATCH",IF(P480&gt;0,"MATCH - COVERED ELIGIBILITY EXCEPTION","MATCH")))</f>
        <v>MATCH - COVERED ELIGIBILITY EXCEPTION</v>
      </c>
      <c r="AB480" s="13" t="s">
        <v>4623</v>
      </c>
    </row>
    <row r="481" customFormat="false" ht="15" hidden="false" customHeight="false" outlineLevel="0" collapsed="false">
      <c r="A481" s="9" t="s">
        <v>4624</v>
      </c>
      <c r="B481" s="9" t="s">
        <v>113</v>
      </c>
      <c r="C481" s="9" t="s">
        <v>114</v>
      </c>
      <c r="D481" s="9" t="s">
        <v>2002</v>
      </c>
      <c r="E481" s="9" t="s">
        <v>2307</v>
      </c>
      <c r="F481" s="9" t="s">
        <v>4625</v>
      </c>
      <c r="G481" s="9" t="s">
        <v>4626</v>
      </c>
      <c r="H481" s="9" t="s">
        <v>4627</v>
      </c>
      <c r="I481" s="11" t="n">
        <v>32</v>
      </c>
      <c r="J481" s="11" t="n">
        <v>19.4</v>
      </c>
      <c r="K481" s="11"/>
      <c r="L481" s="11"/>
      <c r="M481" s="11" t="n">
        <f aca="false">IF(ISNUMBER(L481),L481,J481)</f>
        <v>19.4</v>
      </c>
      <c r="N481" s="11" t="n">
        <f aca="false">ROUNDUP(M481,0)</f>
        <v>20</v>
      </c>
      <c r="O481" s="11" t="n">
        <f aca="false">MAX(I481,N481)</f>
        <v>32</v>
      </c>
      <c r="P481" s="11" t="n">
        <f aca="false">IF(C481="COVERED",MAX(0,O481-40),0)</f>
        <v>0</v>
      </c>
      <c r="Q481" s="11" t="n">
        <f aca="false">O481</f>
        <v>32</v>
      </c>
      <c r="R481" s="17" t="n">
        <f aca="false">IF(C481="COVERED",10.4,7.55)</f>
        <v>10.4</v>
      </c>
      <c r="S481" s="17" t="n">
        <f aca="false">Q481*R481</f>
        <v>332.8</v>
      </c>
      <c r="T481" s="9" t="s">
        <v>4628</v>
      </c>
      <c r="U481" s="10" t="n">
        <v>46235</v>
      </c>
      <c r="V481" s="9" t="n">
        <v>32</v>
      </c>
      <c r="W481" s="17" t="n">
        <v>10.4</v>
      </c>
      <c r="X481" s="17" t="n">
        <v>332.8</v>
      </c>
      <c r="Y481" s="17" t="n">
        <f aca="false">IF(ISNUMBER(X481),X481-S481,"")</f>
        <v>0</v>
      </c>
      <c r="Z481" s="17" t="n">
        <f aca="false">IF(ISNUMBER(X481),X481-S481,-S481)</f>
        <v>0</v>
      </c>
      <c r="AA481" s="9" t="str">
        <f aca="false">IF(NOT(ISNUMBER(X481)),"NO AUGUST POSTING IN EXPORT",IF(ABS(Y481)&gt;=0.005,"POSTED CHARGE MISMATCH",IF(P481&gt;0,"MATCH - COVERED ELIGIBILITY EXCEPTION","MATCH")))</f>
        <v>MATCH</v>
      </c>
      <c r="AB481" s="9" t="s">
        <v>4629</v>
      </c>
    </row>
    <row r="482" customFormat="false" ht="15" hidden="false" customHeight="false" outlineLevel="0" collapsed="false">
      <c r="A482" s="13" t="s">
        <v>4630</v>
      </c>
      <c r="B482" s="13" t="s">
        <v>113</v>
      </c>
      <c r="C482" s="13" t="s">
        <v>114</v>
      </c>
      <c r="D482" s="13" t="s">
        <v>2002</v>
      </c>
      <c r="E482" s="13" t="s">
        <v>2313</v>
      </c>
      <c r="F482" s="13" t="s">
        <v>4631</v>
      </c>
      <c r="G482" s="13" t="s">
        <v>4632</v>
      </c>
      <c r="H482" s="13" t="s">
        <v>2020</v>
      </c>
      <c r="I482" s="15" t="n">
        <v>32</v>
      </c>
      <c r="J482" s="15" t="n">
        <v>54.1</v>
      </c>
      <c r="K482" s="15"/>
      <c r="L482" s="15"/>
      <c r="M482" s="15" t="n">
        <f aca="false">IF(ISNUMBER(L482),L482,J482)</f>
        <v>54.1</v>
      </c>
      <c r="N482" s="15" t="n">
        <f aca="false">ROUNDUP(M482,0)</f>
        <v>55</v>
      </c>
      <c r="O482" s="15" t="n">
        <f aca="false">MAX(I482,N482)</f>
        <v>55</v>
      </c>
      <c r="P482" s="15" t="n">
        <f aca="false">IF(C482="COVERED",MAX(0,O482-40),0)</f>
        <v>15</v>
      </c>
      <c r="Q482" s="15" t="n">
        <f aca="false">O482</f>
        <v>55</v>
      </c>
      <c r="R482" s="18" t="n">
        <f aca="false">IF(C482="COVERED",10.4,7.55)</f>
        <v>10.4</v>
      </c>
      <c r="S482" s="18" t="n">
        <f aca="false">Q482*R482</f>
        <v>572</v>
      </c>
      <c r="T482" s="13" t="s">
        <v>4633</v>
      </c>
      <c r="U482" s="14" t="n">
        <v>46235</v>
      </c>
      <c r="V482" s="13" t="n">
        <v>55</v>
      </c>
      <c r="W482" s="18" t="n">
        <v>10.4</v>
      </c>
      <c r="X482" s="18" t="n">
        <v>572</v>
      </c>
      <c r="Y482" s="18" t="n">
        <f aca="false">IF(ISNUMBER(X482),X482-S482,"")</f>
        <v>0</v>
      </c>
      <c r="Z482" s="18" t="n">
        <f aca="false">IF(ISNUMBER(X482),X482-S482,-S482)</f>
        <v>0</v>
      </c>
      <c r="AA482" s="13" t="str">
        <f aca="false">IF(NOT(ISNUMBER(X482)),"NO AUGUST POSTING IN EXPORT",IF(ABS(Y482)&gt;=0.005,"POSTED CHARGE MISMATCH",IF(P482&gt;0,"MATCH - COVERED ELIGIBILITY EXCEPTION","MATCH")))</f>
        <v>MATCH - COVERED ELIGIBILITY EXCEPTION</v>
      </c>
      <c r="AB482" s="13" t="s">
        <v>4634</v>
      </c>
    </row>
    <row r="483" customFormat="false" ht="15" hidden="false" customHeight="false" outlineLevel="0" collapsed="false">
      <c r="A483" s="9" t="s">
        <v>723</v>
      </c>
      <c r="B483" s="9" t="s">
        <v>113</v>
      </c>
      <c r="C483" s="9" t="s">
        <v>114</v>
      </c>
      <c r="D483" s="9" t="s">
        <v>2002</v>
      </c>
      <c r="E483" s="9" t="s">
        <v>2319</v>
      </c>
      <c r="F483" s="9" t="s">
        <v>4635</v>
      </c>
      <c r="G483" s="9" t="s">
        <v>4636</v>
      </c>
      <c r="H483" s="9" t="s">
        <v>4637</v>
      </c>
      <c r="I483" s="11" t="n">
        <v>36</v>
      </c>
      <c r="J483" s="11" t="n">
        <v>60.7</v>
      </c>
      <c r="K483" s="11"/>
      <c r="L483" s="11"/>
      <c r="M483" s="11" t="n">
        <f aca="false">IF(ISNUMBER(L483),L483,J483)</f>
        <v>60.7</v>
      </c>
      <c r="N483" s="11" t="n">
        <f aca="false">ROUNDUP(M483,0)</f>
        <v>61</v>
      </c>
      <c r="O483" s="11" t="n">
        <f aca="false">MAX(I483,N483)</f>
        <v>61</v>
      </c>
      <c r="P483" s="11" t="n">
        <f aca="false">IF(C483="COVERED",MAX(0,O483-40),0)</f>
        <v>21</v>
      </c>
      <c r="Q483" s="11" t="n">
        <f aca="false">O483</f>
        <v>61</v>
      </c>
      <c r="R483" s="17" t="n">
        <f aca="false">IF(C483="COVERED",10.4,7.55)</f>
        <v>10.4</v>
      </c>
      <c r="S483" s="17" t="n">
        <f aca="false">Q483*R483</f>
        <v>634.4</v>
      </c>
      <c r="T483" s="9" t="s">
        <v>4638</v>
      </c>
      <c r="U483" s="10" t="n">
        <v>46235</v>
      </c>
      <c r="V483" s="9" t="n">
        <v>61</v>
      </c>
      <c r="W483" s="17" t="n">
        <v>10.4</v>
      </c>
      <c r="X483" s="17" t="n">
        <v>634.4</v>
      </c>
      <c r="Y483" s="17" t="n">
        <f aca="false">IF(ISNUMBER(X483),X483-S483,"")</f>
        <v>0</v>
      </c>
      <c r="Z483" s="17" t="n">
        <f aca="false">IF(ISNUMBER(X483),X483-S483,-S483)</f>
        <v>0</v>
      </c>
      <c r="AA483" s="9" t="str">
        <f aca="false">IF(NOT(ISNUMBER(X483)),"NO AUGUST POSTING IN EXPORT",IF(ABS(Y483)&gt;=0.005,"POSTED CHARGE MISMATCH",IF(P483&gt;0,"MATCH - COVERED ELIGIBILITY EXCEPTION","MATCH")))</f>
        <v>MATCH - COVERED ELIGIBILITY EXCEPTION</v>
      </c>
      <c r="AB483" s="9" t="s">
        <v>4639</v>
      </c>
    </row>
    <row r="484" customFormat="false" ht="15" hidden="false" customHeight="false" outlineLevel="0" collapsed="false">
      <c r="A484" s="13" t="s">
        <v>4640</v>
      </c>
      <c r="B484" s="13" t="s">
        <v>113</v>
      </c>
      <c r="C484" s="13" t="s">
        <v>114</v>
      </c>
      <c r="D484" s="13" t="s">
        <v>2002</v>
      </c>
      <c r="E484" s="13" t="s">
        <v>2333</v>
      </c>
      <c r="F484" s="13" t="s">
        <v>4641</v>
      </c>
      <c r="G484" s="13" t="s">
        <v>4642</v>
      </c>
      <c r="H484" s="13" t="s">
        <v>4643</v>
      </c>
      <c r="I484" s="15" t="n">
        <v>40</v>
      </c>
      <c r="J484" s="15" t="n">
        <v>42.3</v>
      </c>
      <c r="K484" s="15"/>
      <c r="L484" s="15"/>
      <c r="M484" s="15" t="n">
        <f aca="false">IF(ISNUMBER(L484),L484,J484)</f>
        <v>42.3</v>
      </c>
      <c r="N484" s="15" t="n">
        <f aca="false">ROUNDUP(M484,0)</f>
        <v>43</v>
      </c>
      <c r="O484" s="15" t="n">
        <f aca="false">MAX(I484,N484)</f>
        <v>43</v>
      </c>
      <c r="P484" s="15" t="n">
        <f aca="false">IF(C484="COVERED",MAX(0,O484-40),0)</f>
        <v>3</v>
      </c>
      <c r="Q484" s="15" t="n">
        <f aca="false">O484</f>
        <v>43</v>
      </c>
      <c r="R484" s="18" t="n">
        <f aca="false">IF(C484="COVERED",10.4,7.55)</f>
        <v>10.4</v>
      </c>
      <c r="S484" s="18" t="n">
        <f aca="false">Q484*R484</f>
        <v>447.2</v>
      </c>
      <c r="T484" s="13" t="s">
        <v>4644</v>
      </c>
      <c r="U484" s="14" t="n">
        <v>46235</v>
      </c>
      <c r="V484" s="13" t="n">
        <v>43</v>
      </c>
      <c r="W484" s="18" t="n">
        <v>10.4</v>
      </c>
      <c r="X484" s="18" t="n">
        <v>447.2</v>
      </c>
      <c r="Y484" s="18" t="n">
        <f aca="false">IF(ISNUMBER(X484),X484-S484,"")</f>
        <v>0</v>
      </c>
      <c r="Z484" s="18" t="n">
        <f aca="false">IF(ISNUMBER(X484),X484-S484,-S484)</f>
        <v>0</v>
      </c>
      <c r="AA484" s="13" t="str">
        <f aca="false">IF(NOT(ISNUMBER(X484)),"NO AUGUST POSTING IN EXPORT",IF(ABS(Y484)&gt;=0.005,"POSTED CHARGE MISMATCH",IF(P484&gt;0,"MATCH - COVERED ELIGIBILITY EXCEPTION","MATCH")))</f>
        <v>MATCH - COVERED ELIGIBILITY EXCEPTION</v>
      </c>
      <c r="AB484" s="13" t="s">
        <v>4645</v>
      </c>
    </row>
    <row r="485" customFormat="false" ht="15" hidden="false" customHeight="false" outlineLevel="0" collapsed="false">
      <c r="A485" s="9" t="s">
        <v>4646</v>
      </c>
      <c r="B485" s="9" t="s">
        <v>113</v>
      </c>
      <c r="C485" s="9" t="s">
        <v>114</v>
      </c>
      <c r="D485" s="9" t="s">
        <v>2002</v>
      </c>
      <c r="E485" s="9" t="s">
        <v>2340</v>
      </c>
      <c r="F485" s="9" t="s">
        <v>4647</v>
      </c>
      <c r="G485" s="9" t="s">
        <v>4648</v>
      </c>
      <c r="H485" s="9" t="s">
        <v>4649</v>
      </c>
      <c r="I485" s="11" t="n">
        <v>24</v>
      </c>
      <c r="J485" s="11" t="n">
        <v>23.9</v>
      </c>
      <c r="K485" s="11"/>
      <c r="L485" s="11"/>
      <c r="M485" s="11" t="n">
        <f aca="false">IF(ISNUMBER(L485),L485,J485)</f>
        <v>23.9</v>
      </c>
      <c r="N485" s="11" t="n">
        <f aca="false">ROUNDUP(M485,0)</f>
        <v>24</v>
      </c>
      <c r="O485" s="11" t="n">
        <f aca="false">MAX(I485,N485)</f>
        <v>24</v>
      </c>
      <c r="P485" s="11" t="n">
        <f aca="false">IF(C485="COVERED",MAX(0,O485-40),0)</f>
        <v>0</v>
      </c>
      <c r="Q485" s="11" t="n">
        <f aca="false">O485</f>
        <v>24</v>
      </c>
      <c r="R485" s="17" t="n">
        <f aca="false">IF(C485="COVERED",10.4,7.55)</f>
        <v>10.4</v>
      </c>
      <c r="S485" s="17" t="n">
        <f aca="false">Q485*R485</f>
        <v>249.6</v>
      </c>
      <c r="T485" s="9" t="s">
        <v>4650</v>
      </c>
      <c r="U485" s="10" t="n">
        <v>46235</v>
      </c>
      <c r="V485" s="9" t="n">
        <v>24</v>
      </c>
      <c r="W485" s="17" t="n">
        <v>10.4</v>
      </c>
      <c r="X485" s="17" t="n">
        <v>249.6</v>
      </c>
      <c r="Y485" s="17" t="n">
        <f aca="false">IF(ISNUMBER(X485),X485-S485,"")</f>
        <v>0</v>
      </c>
      <c r="Z485" s="17" t="n">
        <f aca="false">IF(ISNUMBER(X485),X485-S485,-S485)</f>
        <v>0</v>
      </c>
      <c r="AA485" s="9" t="str">
        <f aca="false">IF(NOT(ISNUMBER(X485)),"NO AUGUST POSTING IN EXPORT",IF(ABS(Y485)&gt;=0.005,"POSTED CHARGE MISMATCH",IF(P485&gt;0,"MATCH - COVERED ELIGIBILITY EXCEPTION","MATCH")))</f>
        <v>MATCH</v>
      </c>
      <c r="AB485" s="9" t="s">
        <v>4651</v>
      </c>
    </row>
    <row r="486" customFormat="false" ht="15" hidden="false" customHeight="false" outlineLevel="0" collapsed="false">
      <c r="A486" s="13" t="s">
        <v>1784</v>
      </c>
      <c r="B486" s="13" t="s">
        <v>113</v>
      </c>
      <c r="C486" s="13" t="s">
        <v>114</v>
      </c>
      <c r="D486" s="13" t="s">
        <v>2002</v>
      </c>
      <c r="E486" s="13" t="s">
        <v>2347</v>
      </c>
      <c r="F486" s="13" t="s">
        <v>4652</v>
      </c>
      <c r="G486" s="13" t="s">
        <v>4653</v>
      </c>
      <c r="H486" s="13" t="s">
        <v>3932</v>
      </c>
      <c r="I486" s="15" t="n">
        <v>24</v>
      </c>
      <c r="J486" s="15" t="n">
        <v>31.1</v>
      </c>
      <c r="K486" s="15"/>
      <c r="L486" s="15"/>
      <c r="M486" s="15" t="n">
        <f aca="false">IF(ISNUMBER(L486),L486,J486)</f>
        <v>31.1</v>
      </c>
      <c r="N486" s="15" t="n">
        <f aca="false">ROUNDUP(M486,0)</f>
        <v>32</v>
      </c>
      <c r="O486" s="15" t="n">
        <f aca="false">MAX(I486,N486)</f>
        <v>32</v>
      </c>
      <c r="P486" s="15" t="n">
        <f aca="false">IF(C486="COVERED",MAX(0,O486-40),0)</f>
        <v>0</v>
      </c>
      <c r="Q486" s="15" t="n">
        <f aca="false">O486</f>
        <v>32</v>
      </c>
      <c r="R486" s="18" t="n">
        <f aca="false">IF(C486="COVERED",10.4,7.55)</f>
        <v>10.4</v>
      </c>
      <c r="S486" s="18" t="n">
        <f aca="false">Q486*R486</f>
        <v>332.8</v>
      </c>
      <c r="T486" s="13" t="s">
        <v>4654</v>
      </c>
      <c r="U486" s="14" t="n">
        <v>46235</v>
      </c>
      <c r="V486" s="13" t="n">
        <v>32</v>
      </c>
      <c r="W486" s="18" t="n">
        <v>10.4</v>
      </c>
      <c r="X486" s="18" t="n">
        <v>332.8</v>
      </c>
      <c r="Y486" s="18" t="n">
        <f aca="false">IF(ISNUMBER(X486),X486-S486,"")</f>
        <v>0</v>
      </c>
      <c r="Z486" s="18" t="n">
        <f aca="false">IF(ISNUMBER(X486),X486-S486,-S486)</f>
        <v>0</v>
      </c>
      <c r="AA486" s="13" t="str">
        <f aca="false">IF(NOT(ISNUMBER(X486)),"NO AUGUST POSTING IN EXPORT",IF(ABS(Y486)&gt;=0.005,"POSTED CHARGE MISMATCH",IF(P486&gt;0,"MATCH - COVERED ELIGIBILITY EXCEPTION","MATCH")))</f>
        <v>MATCH</v>
      </c>
      <c r="AB486" s="13" t="s">
        <v>4655</v>
      </c>
    </row>
    <row r="487" customFormat="false" ht="15" hidden="false" customHeight="false" outlineLevel="0" collapsed="false">
      <c r="A487" s="9" t="s">
        <v>4656</v>
      </c>
      <c r="B487" s="9" t="s">
        <v>113</v>
      </c>
      <c r="C487" s="9" t="s">
        <v>114</v>
      </c>
      <c r="D487" s="9" t="s">
        <v>2002</v>
      </c>
      <c r="E487" s="9" t="s">
        <v>2354</v>
      </c>
      <c r="F487" s="9" t="s">
        <v>4657</v>
      </c>
      <c r="G487" s="9" t="s">
        <v>4658</v>
      </c>
      <c r="H487" s="9" t="s">
        <v>4493</v>
      </c>
      <c r="I487" s="11" t="n">
        <v>32</v>
      </c>
      <c r="J487" s="11" t="n">
        <v>24.8</v>
      </c>
      <c r="K487" s="11"/>
      <c r="L487" s="11"/>
      <c r="M487" s="11" t="n">
        <f aca="false">IF(ISNUMBER(L487),L487,J487)</f>
        <v>24.8</v>
      </c>
      <c r="N487" s="11" t="n">
        <f aca="false">ROUNDUP(M487,0)</f>
        <v>25</v>
      </c>
      <c r="O487" s="11" t="n">
        <f aca="false">MAX(I487,N487)</f>
        <v>32</v>
      </c>
      <c r="P487" s="11" t="n">
        <f aca="false">IF(C487="COVERED",MAX(0,O487-40),0)</f>
        <v>0</v>
      </c>
      <c r="Q487" s="11" t="n">
        <f aca="false">O487</f>
        <v>32</v>
      </c>
      <c r="R487" s="17" t="n">
        <f aca="false">IF(C487="COVERED",10.4,7.55)</f>
        <v>10.4</v>
      </c>
      <c r="S487" s="17" t="n">
        <f aca="false">Q487*R487</f>
        <v>332.8</v>
      </c>
      <c r="T487" s="9" t="s">
        <v>4659</v>
      </c>
      <c r="U487" s="10" t="n">
        <v>46235</v>
      </c>
      <c r="V487" s="9" t="n">
        <v>32</v>
      </c>
      <c r="W487" s="17" t="n">
        <v>10.4</v>
      </c>
      <c r="X487" s="17" t="n">
        <v>332.8</v>
      </c>
      <c r="Y487" s="17" t="n">
        <f aca="false">IF(ISNUMBER(X487),X487-S487,"")</f>
        <v>0</v>
      </c>
      <c r="Z487" s="17" t="n">
        <f aca="false">IF(ISNUMBER(X487),X487-S487,-S487)</f>
        <v>0</v>
      </c>
      <c r="AA487" s="9" t="str">
        <f aca="false">IF(NOT(ISNUMBER(X487)),"NO AUGUST POSTING IN EXPORT",IF(ABS(Y487)&gt;=0.005,"POSTED CHARGE MISMATCH",IF(P487&gt;0,"MATCH - COVERED ELIGIBILITY EXCEPTION","MATCH")))</f>
        <v>MATCH</v>
      </c>
      <c r="AB487" s="9" t="s">
        <v>4660</v>
      </c>
    </row>
    <row r="488" customFormat="false" ht="15" hidden="false" customHeight="false" outlineLevel="0" collapsed="false">
      <c r="A488" s="13" t="s">
        <v>4661</v>
      </c>
      <c r="B488" s="13" t="s">
        <v>113</v>
      </c>
      <c r="C488" s="13" t="s">
        <v>114</v>
      </c>
      <c r="D488" s="13" t="s">
        <v>2002</v>
      </c>
      <c r="E488" s="13" t="s">
        <v>2361</v>
      </c>
      <c r="F488" s="13" t="s">
        <v>4662</v>
      </c>
      <c r="G488" s="13" t="s">
        <v>4663</v>
      </c>
      <c r="H488" s="13" t="s">
        <v>3837</v>
      </c>
      <c r="I488" s="15" t="n">
        <v>32</v>
      </c>
      <c r="J488" s="15" t="n">
        <v>26.3</v>
      </c>
      <c r="K488" s="15"/>
      <c r="L488" s="15"/>
      <c r="M488" s="15" t="n">
        <f aca="false">IF(ISNUMBER(L488),L488,J488)</f>
        <v>26.3</v>
      </c>
      <c r="N488" s="15" t="n">
        <f aca="false">ROUNDUP(M488,0)</f>
        <v>27</v>
      </c>
      <c r="O488" s="15" t="n">
        <f aca="false">MAX(I488,N488)</f>
        <v>32</v>
      </c>
      <c r="P488" s="15" t="n">
        <f aca="false">IF(C488="COVERED",MAX(0,O488-40),0)</f>
        <v>0</v>
      </c>
      <c r="Q488" s="15" t="n">
        <f aca="false">O488</f>
        <v>32</v>
      </c>
      <c r="R488" s="18" t="n">
        <f aca="false">IF(C488="COVERED",10.4,7.55)</f>
        <v>10.4</v>
      </c>
      <c r="S488" s="18" t="n">
        <f aca="false">Q488*R488</f>
        <v>332.8</v>
      </c>
      <c r="T488" s="13" t="s">
        <v>4664</v>
      </c>
      <c r="U488" s="14" t="n">
        <v>46235</v>
      </c>
      <c r="V488" s="13" t="n">
        <v>32</v>
      </c>
      <c r="W488" s="18" t="n">
        <v>10.4</v>
      </c>
      <c r="X488" s="18" t="n">
        <v>332.8</v>
      </c>
      <c r="Y488" s="18" t="n">
        <f aca="false">IF(ISNUMBER(X488),X488-S488,"")</f>
        <v>0</v>
      </c>
      <c r="Z488" s="18" t="n">
        <f aca="false">IF(ISNUMBER(X488),X488-S488,-S488)</f>
        <v>0</v>
      </c>
      <c r="AA488" s="13" t="str">
        <f aca="false">IF(NOT(ISNUMBER(X488)),"NO AUGUST POSTING IN EXPORT",IF(ABS(Y488)&gt;=0.005,"POSTED CHARGE MISMATCH",IF(P488&gt;0,"MATCH - COVERED ELIGIBILITY EXCEPTION","MATCH")))</f>
        <v>MATCH</v>
      </c>
      <c r="AB488" s="13" t="s">
        <v>4665</v>
      </c>
    </row>
    <row r="489" customFormat="false" ht="15" hidden="false" customHeight="false" outlineLevel="0" collapsed="false">
      <c r="A489" s="9" t="s">
        <v>4666</v>
      </c>
      <c r="B489" s="9" t="s">
        <v>113</v>
      </c>
      <c r="C489" s="9" t="s">
        <v>114</v>
      </c>
      <c r="D489" s="9" t="s">
        <v>2002</v>
      </c>
      <c r="E489" s="9" t="s">
        <v>2368</v>
      </c>
      <c r="F489" s="9" t="s">
        <v>4667</v>
      </c>
      <c r="G489" s="9" t="s">
        <v>4668</v>
      </c>
      <c r="H489" s="9" t="s">
        <v>2089</v>
      </c>
      <c r="I489" s="11" t="n">
        <v>24</v>
      </c>
      <c r="J489" s="11" t="n">
        <v>31.6</v>
      </c>
      <c r="K489" s="11"/>
      <c r="L489" s="11"/>
      <c r="M489" s="11" t="n">
        <f aca="false">IF(ISNUMBER(L489),L489,J489)</f>
        <v>31.6</v>
      </c>
      <c r="N489" s="11" t="n">
        <f aca="false">ROUNDUP(M489,0)</f>
        <v>32</v>
      </c>
      <c r="O489" s="11" t="n">
        <f aca="false">MAX(I489,N489)</f>
        <v>32</v>
      </c>
      <c r="P489" s="11" t="n">
        <f aca="false">IF(C489="COVERED",MAX(0,O489-40),0)</f>
        <v>0</v>
      </c>
      <c r="Q489" s="11" t="n">
        <f aca="false">O489</f>
        <v>32</v>
      </c>
      <c r="R489" s="17" t="n">
        <f aca="false">IF(C489="COVERED",10.4,7.55)</f>
        <v>10.4</v>
      </c>
      <c r="S489" s="17" t="n">
        <f aca="false">Q489*R489</f>
        <v>332.8</v>
      </c>
      <c r="T489" s="9" t="s">
        <v>4669</v>
      </c>
      <c r="U489" s="10" t="n">
        <v>46235</v>
      </c>
      <c r="V489" s="9" t="n">
        <v>32</v>
      </c>
      <c r="W489" s="17" t="n">
        <v>10.4</v>
      </c>
      <c r="X489" s="17" t="n">
        <v>332.8</v>
      </c>
      <c r="Y489" s="17" t="n">
        <f aca="false">IF(ISNUMBER(X489),X489-S489,"")</f>
        <v>0</v>
      </c>
      <c r="Z489" s="17" t="n">
        <f aca="false">IF(ISNUMBER(X489),X489-S489,-S489)</f>
        <v>0</v>
      </c>
      <c r="AA489" s="9" t="str">
        <f aca="false">IF(NOT(ISNUMBER(X489)),"NO AUGUST POSTING IN EXPORT",IF(ABS(Y489)&gt;=0.005,"POSTED CHARGE MISMATCH",IF(P489&gt;0,"MATCH - COVERED ELIGIBILITY EXCEPTION","MATCH")))</f>
        <v>MATCH</v>
      </c>
      <c r="AB489" s="9" t="s">
        <v>4670</v>
      </c>
    </row>
    <row r="490" customFormat="false" ht="15" hidden="false" customHeight="false" outlineLevel="0" collapsed="false">
      <c r="A490" s="13" t="s">
        <v>1223</v>
      </c>
      <c r="B490" s="13" t="s">
        <v>113</v>
      </c>
      <c r="C490" s="13" t="s">
        <v>114</v>
      </c>
      <c r="D490" s="13" t="s">
        <v>2002</v>
      </c>
      <c r="E490" s="13" t="s">
        <v>2375</v>
      </c>
      <c r="F490" s="13" t="s">
        <v>4671</v>
      </c>
      <c r="G490" s="13" t="s">
        <v>4672</v>
      </c>
      <c r="H490" s="13" t="s">
        <v>4230</v>
      </c>
      <c r="I490" s="15" t="n">
        <v>40</v>
      </c>
      <c r="J490" s="15" t="n">
        <v>53.5</v>
      </c>
      <c r="K490" s="15"/>
      <c r="L490" s="15"/>
      <c r="M490" s="15" t="n">
        <f aca="false">IF(ISNUMBER(L490),L490,J490)</f>
        <v>53.5</v>
      </c>
      <c r="N490" s="15" t="n">
        <f aca="false">ROUNDUP(M490,0)</f>
        <v>54</v>
      </c>
      <c r="O490" s="15" t="n">
        <f aca="false">MAX(I490,N490)</f>
        <v>54</v>
      </c>
      <c r="P490" s="15" t="n">
        <f aca="false">IF(C490="COVERED",MAX(0,O490-40),0)</f>
        <v>14</v>
      </c>
      <c r="Q490" s="15" t="n">
        <f aca="false">O490</f>
        <v>54</v>
      </c>
      <c r="R490" s="18" t="n">
        <f aca="false">IF(C490="COVERED",10.4,7.55)</f>
        <v>10.4</v>
      </c>
      <c r="S490" s="18" t="n">
        <f aca="false">Q490*R490</f>
        <v>561.6</v>
      </c>
      <c r="T490" s="13" t="s">
        <v>4673</v>
      </c>
      <c r="U490" s="14" t="n">
        <v>46235</v>
      </c>
      <c r="V490" s="13" t="n">
        <v>54</v>
      </c>
      <c r="W490" s="18" t="n">
        <v>10.4</v>
      </c>
      <c r="X490" s="18" t="n">
        <v>561.6</v>
      </c>
      <c r="Y490" s="18" t="n">
        <f aca="false">IF(ISNUMBER(X490),X490-S490,"")</f>
        <v>0</v>
      </c>
      <c r="Z490" s="18" t="n">
        <f aca="false">IF(ISNUMBER(X490),X490-S490,-S490)</f>
        <v>0</v>
      </c>
      <c r="AA490" s="13" t="str">
        <f aca="false">IF(NOT(ISNUMBER(X490)),"NO AUGUST POSTING IN EXPORT",IF(ABS(Y490)&gt;=0.005,"POSTED CHARGE MISMATCH",IF(P490&gt;0,"MATCH - COVERED ELIGIBILITY EXCEPTION","MATCH")))</f>
        <v>MATCH - COVERED ELIGIBILITY EXCEPTION</v>
      </c>
      <c r="AB490" s="13" t="s">
        <v>4674</v>
      </c>
    </row>
    <row r="491" customFormat="false" ht="15" hidden="false" customHeight="false" outlineLevel="0" collapsed="false">
      <c r="A491" s="9" t="s">
        <v>112</v>
      </c>
      <c r="B491" s="9" t="s">
        <v>113</v>
      </c>
      <c r="C491" s="9" t="s">
        <v>114</v>
      </c>
      <c r="D491" s="9" t="s">
        <v>2002</v>
      </c>
      <c r="E491" s="9" t="s">
        <v>2382</v>
      </c>
      <c r="F491" s="9" t="s">
        <v>1128</v>
      </c>
      <c r="G491" s="9" t="s">
        <v>1129</v>
      </c>
      <c r="H491" s="9" t="s">
        <v>2534</v>
      </c>
      <c r="I491" s="11" t="n">
        <v>40</v>
      </c>
      <c r="J491" s="11" t="n">
        <v>22.7</v>
      </c>
      <c r="K491" s="11"/>
      <c r="L491" s="11"/>
      <c r="M491" s="11" t="n">
        <f aca="false">IF(ISNUMBER(L491),L491,J491)</f>
        <v>22.7</v>
      </c>
      <c r="N491" s="11" t="n">
        <f aca="false">ROUNDUP(M491,0)</f>
        <v>23</v>
      </c>
      <c r="O491" s="11" t="n">
        <f aca="false">MAX(I491,N491)</f>
        <v>40</v>
      </c>
      <c r="P491" s="11" t="n">
        <f aca="false">IF(C491="COVERED",MAX(0,O491-40),0)</f>
        <v>0</v>
      </c>
      <c r="Q491" s="11" t="n">
        <f aca="false">O491</f>
        <v>40</v>
      </c>
      <c r="R491" s="17" t="n">
        <f aca="false">IF(C491="COVERED",10.4,7.55)</f>
        <v>10.4</v>
      </c>
      <c r="S491" s="17" t="n">
        <f aca="false">Q491*R491</f>
        <v>416</v>
      </c>
      <c r="T491" s="9" t="s">
        <v>4675</v>
      </c>
      <c r="U491" s="10" t="n">
        <v>46235</v>
      </c>
      <c r="V491" s="9" t="n">
        <v>40</v>
      </c>
      <c r="W491" s="17" t="n">
        <v>10.4</v>
      </c>
      <c r="X491" s="17" t="n">
        <v>416</v>
      </c>
      <c r="Y491" s="17" t="n">
        <f aca="false">IF(ISNUMBER(X491),X491-S491,"")</f>
        <v>0</v>
      </c>
      <c r="Z491" s="17" t="n">
        <f aca="false">IF(ISNUMBER(X491),X491-S491,-S491)</f>
        <v>0</v>
      </c>
      <c r="AA491" s="9" t="str">
        <f aca="false">IF(NOT(ISNUMBER(X491)),"NO AUGUST POSTING IN EXPORT",IF(ABS(Y491)&gt;=0.005,"POSTED CHARGE MISMATCH",IF(P491&gt;0,"MATCH - COVERED ELIGIBILITY EXCEPTION","MATCH")))</f>
        <v>MATCH</v>
      </c>
      <c r="AB491" s="9" t="s">
        <v>4676</v>
      </c>
    </row>
    <row r="492" customFormat="false" ht="15" hidden="false" customHeight="false" outlineLevel="0" collapsed="false">
      <c r="A492" s="13" t="s">
        <v>4677</v>
      </c>
      <c r="B492" s="13" t="s">
        <v>113</v>
      </c>
      <c r="C492" s="13" t="s">
        <v>114</v>
      </c>
      <c r="D492" s="13" t="s">
        <v>2002</v>
      </c>
      <c r="E492" s="13" t="s">
        <v>2389</v>
      </c>
      <c r="F492" s="13" t="s">
        <v>4678</v>
      </c>
      <c r="G492" s="13" t="s">
        <v>4679</v>
      </c>
      <c r="H492" s="13" t="s">
        <v>3049</v>
      </c>
      <c r="I492" s="15" t="n">
        <v>32</v>
      </c>
      <c r="J492" s="15" t="n">
        <v>34.5</v>
      </c>
      <c r="K492" s="15"/>
      <c r="L492" s="15"/>
      <c r="M492" s="15" t="n">
        <f aca="false">IF(ISNUMBER(L492),L492,J492)</f>
        <v>34.5</v>
      </c>
      <c r="N492" s="15" t="n">
        <f aca="false">ROUNDUP(M492,0)</f>
        <v>35</v>
      </c>
      <c r="O492" s="15" t="n">
        <f aca="false">MAX(I492,N492)</f>
        <v>35</v>
      </c>
      <c r="P492" s="15" t="n">
        <f aca="false">IF(C492="COVERED",MAX(0,O492-40),0)</f>
        <v>0</v>
      </c>
      <c r="Q492" s="15" t="n">
        <f aca="false">O492</f>
        <v>35</v>
      </c>
      <c r="R492" s="18" t="n">
        <f aca="false">IF(C492="COVERED",10.4,7.55)</f>
        <v>10.4</v>
      </c>
      <c r="S492" s="18" t="n">
        <f aca="false">Q492*R492</f>
        <v>364</v>
      </c>
      <c r="T492" s="13" t="s">
        <v>4680</v>
      </c>
      <c r="U492" s="14" t="n">
        <v>46235</v>
      </c>
      <c r="V492" s="13" t="n">
        <v>35</v>
      </c>
      <c r="W492" s="18" t="n">
        <v>10.4</v>
      </c>
      <c r="X492" s="18" t="n">
        <v>364</v>
      </c>
      <c r="Y492" s="18" t="n">
        <f aca="false">IF(ISNUMBER(X492),X492-S492,"")</f>
        <v>0</v>
      </c>
      <c r="Z492" s="18" t="n">
        <f aca="false">IF(ISNUMBER(X492),X492-S492,-S492)</f>
        <v>0</v>
      </c>
      <c r="AA492" s="13" t="str">
        <f aca="false">IF(NOT(ISNUMBER(X492)),"NO AUGUST POSTING IN EXPORT",IF(ABS(Y492)&gt;=0.005,"POSTED CHARGE MISMATCH",IF(P492&gt;0,"MATCH - COVERED ELIGIBILITY EXCEPTION","MATCH")))</f>
        <v>MATCH</v>
      </c>
      <c r="AB492" s="13" t="s">
        <v>4681</v>
      </c>
    </row>
    <row r="493" customFormat="false" ht="15" hidden="false" customHeight="false" outlineLevel="0" collapsed="false">
      <c r="A493" s="9" t="s">
        <v>4682</v>
      </c>
      <c r="B493" s="9" t="s">
        <v>113</v>
      </c>
      <c r="C493" s="9" t="s">
        <v>114</v>
      </c>
      <c r="D493" s="9" t="s">
        <v>2002</v>
      </c>
      <c r="E493" s="9" t="s">
        <v>3690</v>
      </c>
      <c r="F493" s="9" t="s">
        <v>1214</v>
      </c>
      <c r="G493" s="9" t="s">
        <v>1215</v>
      </c>
      <c r="H493" s="9" t="s">
        <v>3114</v>
      </c>
      <c r="I493" s="11" t="n">
        <v>24</v>
      </c>
      <c r="J493" s="11" t="n">
        <v>53.4</v>
      </c>
      <c r="K493" s="11"/>
      <c r="L493" s="11"/>
      <c r="M493" s="11" t="n">
        <f aca="false">IF(ISNUMBER(L493),L493,J493)</f>
        <v>53.4</v>
      </c>
      <c r="N493" s="11" t="n">
        <f aca="false">ROUNDUP(M493,0)</f>
        <v>54</v>
      </c>
      <c r="O493" s="11" t="n">
        <f aca="false">MAX(I493,N493)</f>
        <v>54</v>
      </c>
      <c r="P493" s="11" t="n">
        <f aca="false">IF(C493="COVERED",MAX(0,O493-40),0)</f>
        <v>14</v>
      </c>
      <c r="Q493" s="11" t="n">
        <f aca="false">O493</f>
        <v>54</v>
      </c>
      <c r="R493" s="17" t="n">
        <f aca="false">IF(C493="COVERED",10.4,7.55)</f>
        <v>10.4</v>
      </c>
      <c r="S493" s="17" t="n">
        <f aca="false">Q493*R493</f>
        <v>561.6</v>
      </c>
      <c r="T493" s="9" t="s">
        <v>4683</v>
      </c>
      <c r="U493" s="10" t="n">
        <v>46235</v>
      </c>
      <c r="V493" s="9" t="n">
        <v>54</v>
      </c>
      <c r="W493" s="17" t="n">
        <v>10.4</v>
      </c>
      <c r="X493" s="17" t="n">
        <v>561.6</v>
      </c>
      <c r="Y493" s="17" t="n">
        <f aca="false">IF(ISNUMBER(X493),X493-S493,"")</f>
        <v>0</v>
      </c>
      <c r="Z493" s="17" t="n">
        <f aca="false">IF(ISNUMBER(X493),X493-S493,-S493)</f>
        <v>0</v>
      </c>
      <c r="AA493" s="9" t="str">
        <f aca="false">IF(NOT(ISNUMBER(X493)),"NO AUGUST POSTING IN EXPORT",IF(ABS(Y493)&gt;=0.005,"POSTED CHARGE MISMATCH",IF(P493&gt;0,"MATCH - COVERED ELIGIBILITY EXCEPTION","MATCH")))</f>
        <v>MATCH - COVERED ELIGIBILITY EXCEPTION</v>
      </c>
      <c r="AB493" s="9" t="s">
        <v>4684</v>
      </c>
    </row>
    <row r="494" customFormat="false" ht="15" hidden="false" customHeight="false" outlineLevel="0" collapsed="false">
      <c r="A494" s="13" t="s">
        <v>4685</v>
      </c>
      <c r="B494" s="13" t="s">
        <v>113</v>
      </c>
      <c r="C494" s="13" t="s">
        <v>114</v>
      </c>
      <c r="D494" s="13" t="s">
        <v>2002</v>
      </c>
      <c r="E494" s="13" t="s">
        <v>2401</v>
      </c>
      <c r="F494" s="13" t="s">
        <v>4686</v>
      </c>
      <c r="G494" s="13" t="s">
        <v>4687</v>
      </c>
      <c r="H494" s="13" t="s">
        <v>3512</v>
      </c>
      <c r="I494" s="15" t="n">
        <v>28</v>
      </c>
      <c r="J494" s="15" t="n">
        <v>34.2</v>
      </c>
      <c r="K494" s="15"/>
      <c r="L494" s="15"/>
      <c r="M494" s="15" t="n">
        <f aca="false">IF(ISNUMBER(L494),L494,J494)</f>
        <v>34.2</v>
      </c>
      <c r="N494" s="15" t="n">
        <f aca="false">ROUNDUP(M494,0)</f>
        <v>35</v>
      </c>
      <c r="O494" s="15" t="n">
        <f aca="false">MAX(I494,N494)</f>
        <v>35</v>
      </c>
      <c r="P494" s="15" t="n">
        <f aca="false">IF(C494="COVERED",MAX(0,O494-40),0)</f>
        <v>0</v>
      </c>
      <c r="Q494" s="15" t="n">
        <f aca="false">O494</f>
        <v>35</v>
      </c>
      <c r="R494" s="18" t="n">
        <f aca="false">IF(C494="COVERED",10.4,7.55)</f>
        <v>10.4</v>
      </c>
      <c r="S494" s="18" t="n">
        <f aca="false">Q494*R494</f>
        <v>364</v>
      </c>
      <c r="T494" s="13" t="s">
        <v>4688</v>
      </c>
      <c r="U494" s="14" t="n">
        <v>46235</v>
      </c>
      <c r="V494" s="13" t="n">
        <v>35</v>
      </c>
      <c r="W494" s="18" t="n">
        <v>10.4</v>
      </c>
      <c r="X494" s="18" t="n">
        <v>364</v>
      </c>
      <c r="Y494" s="18" t="n">
        <f aca="false">IF(ISNUMBER(X494),X494-S494,"")</f>
        <v>0</v>
      </c>
      <c r="Z494" s="18" t="n">
        <f aca="false">IF(ISNUMBER(X494),X494-S494,-S494)</f>
        <v>0</v>
      </c>
      <c r="AA494" s="13" t="str">
        <f aca="false">IF(NOT(ISNUMBER(X494)),"NO AUGUST POSTING IN EXPORT",IF(ABS(Y494)&gt;=0.005,"POSTED CHARGE MISMATCH",IF(P494&gt;0,"MATCH - COVERED ELIGIBILITY EXCEPTION","MATCH")))</f>
        <v>MATCH</v>
      </c>
      <c r="AB494" s="13" t="s">
        <v>4689</v>
      </c>
    </row>
    <row r="495" customFormat="false" ht="15" hidden="false" customHeight="false" outlineLevel="0" collapsed="false">
      <c r="A495" s="9" t="s">
        <v>4690</v>
      </c>
      <c r="B495" s="9" t="s">
        <v>113</v>
      </c>
      <c r="C495" s="9" t="s">
        <v>114</v>
      </c>
      <c r="D495" s="9" t="s">
        <v>2002</v>
      </c>
      <c r="E495" s="9" t="s">
        <v>2408</v>
      </c>
      <c r="F495" s="9" t="s">
        <v>4691</v>
      </c>
      <c r="G495" s="9" t="s">
        <v>4692</v>
      </c>
      <c r="H495" s="9" t="s">
        <v>2481</v>
      </c>
      <c r="I495" s="11" t="n">
        <v>24</v>
      </c>
      <c r="J495" s="11" t="n">
        <v>57.4</v>
      </c>
      <c r="K495" s="11"/>
      <c r="L495" s="11"/>
      <c r="M495" s="11" t="n">
        <f aca="false">IF(ISNUMBER(L495),L495,J495)</f>
        <v>57.4</v>
      </c>
      <c r="N495" s="11" t="n">
        <f aca="false">ROUNDUP(M495,0)</f>
        <v>58</v>
      </c>
      <c r="O495" s="11" t="n">
        <f aca="false">MAX(I495,N495)</f>
        <v>58</v>
      </c>
      <c r="P495" s="11" t="n">
        <f aca="false">IF(C495="COVERED",MAX(0,O495-40),0)</f>
        <v>18</v>
      </c>
      <c r="Q495" s="11" t="n">
        <f aca="false">O495</f>
        <v>58</v>
      </c>
      <c r="R495" s="17" t="n">
        <f aca="false">IF(C495="COVERED",10.4,7.55)</f>
        <v>10.4</v>
      </c>
      <c r="S495" s="17" t="n">
        <f aca="false">Q495*R495</f>
        <v>603.2</v>
      </c>
      <c r="T495" s="9" t="s">
        <v>4693</v>
      </c>
      <c r="U495" s="10" t="n">
        <v>46235</v>
      </c>
      <c r="V495" s="9" t="n">
        <v>58</v>
      </c>
      <c r="W495" s="17" t="n">
        <v>10.4</v>
      </c>
      <c r="X495" s="17" t="n">
        <v>603.2</v>
      </c>
      <c r="Y495" s="17" t="n">
        <f aca="false">IF(ISNUMBER(X495),X495-S495,"")</f>
        <v>0</v>
      </c>
      <c r="Z495" s="17" t="n">
        <f aca="false">IF(ISNUMBER(X495),X495-S495,-S495)</f>
        <v>0</v>
      </c>
      <c r="AA495" s="9" t="str">
        <f aca="false">IF(NOT(ISNUMBER(X495)),"NO AUGUST POSTING IN EXPORT",IF(ABS(Y495)&gt;=0.005,"POSTED CHARGE MISMATCH",IF(P495&gt;0,"MATCH - COVERED ELIGIBILITY EXCEPTION","MATCH")))</f>
        <v>MATCH - COVERED ELIGIBILITY EXCEPTION</v>
      </c>
      <c r="AB495" s="9" t="s">
        <v>4694</v>
      </c>
    </row>
    <row r="496" customFormat="false" ht="15" hidden="false" customHeight="false" outlineLevel="0" collapsed="false">
      <c r="A496" s="13" t="s">
        <v>4695</v>
      </c>
      <c r="B496" s="13" t="s">
        <v>113</v>
      </c>
      <c r="C496" s="13" t="s">
        <v>114</v>
      </c>
      <c r="D496" s="13" t="s">
        <v>2002</v>
      </c>
      <c r="E496" s="13" t="s">
        <v>2415</v>
      </c>
      <c r="F496" s="13" t="s">
        <v>4696</v>
      </c>
      <c r="G496" s="13" t="s">
        <v>4697</v>
      </c>
      <c r="H496" s="13" t="s">
        <v>2853</v>
      </c>
      <c r="I496" s="15" t="n">
        <v>24</v>
      </c>
      <c r="J496" s="15" t="n">
        <v>48.5</v>
      </c>
      <c r="K496" s="15"/>
      <c r="L496" s="15"/>
      <c r="M496" s="15" t="n">
        <f aca="false">IF(ISNUMBER(L496),L496,J496)</f>
        <v>48.5</v>
      </c>
      <c r="N496" s="15" t="n">
        <f aca="false">ROUNDUP(M496,0)</f>
        <v>49</v>
      </c>
      <c r="O496" s="15" t="n">
        <f aca="false">MAX(I496,N496)</f>
        <v>49</v>
      </c>
      <c r="P496" s="15" t="n">
        <f aca="false">IF(C496="COVERED",MAX(0,O496-40),0)</f>
        <v>9</v>
      </c>
      <c r="Q496" s="15" t="n">
        <f aca="false">O496</f>
        <v>49</v>
      </c>
      <c r="R496" s="18" t="n">
        <f aca="false">IF(C496="COVERED",10.4,7.55)</f>
        <v>10.4</v>
      </c>
      <c r="S496" s="18" t="n">
        <f aca="false">Q496*R496</f>
        <v>509.6</v>
      </c>
      <c r="T496" s="13" t="s">
        <v>4698</v>
      </c>
      <c r="U496" s="14" t="n">
        <v>46235</v>
      </c>
      <c r="V496" s="13" t="n">
        <v>49</v>
      </c>
      <c r="W496" s="18" t="n">
        <v>10.4</v>
      </c>
      <c r="X496" s="18" t="n">
        <v>509.6</v>
      </c>
      <c r="Y496" s="18" t="n">
        <f aca="false">IF(ISNUMBER(X496),X496-S496,"")</f>
        <v>0</v>
      </c>
      <c r="Z496" s="18" t="n">
        <f aca="false">IF(ISNUMBER(X496),X496-S496,-S496)</f>
        <v>0</v>
      </c>
      <c r="AA496" s="13" t="str">
        <f aca="false">IF(NOT(ISNUMBER(X496)),"NO AUGUST POSTING IN EXPORT",IF(ABS(Y496)&gt;=0.005,"POSTED CHARGE MISMATCH",IF(P496&gt;0,"MATCH - COVERED ELIGIBILITY EXCEPTION","MATCH")))</f>
        <v>MATCH - COVERED ELIGIBILITY EXCEPTION</v>
      </c>
      <c r="AB496" s="13" t="s">
        <v>4699</v>
      </c>
    </row>
    <row r="497" customFormat="false" ht="15" hidden="false" customHeight="false" outlineLevel="0" collapsed="false">
      <c r="A497" s="9" t="s">
        <v>917</v>
      </c>
      <c r="B497" s="9" t="s">
        <v>113</v>
      </c>
      <c r="C497" s="9" t="s">
        <v>114</v>
      </c>
      <c r="D497" s="9" t="s">
        <v>2002</v>
      </c>
      <c r="E497" s="9" t="s">
        <v>2419</v>
      </c>
      <c r="F497" s="9" t="s">
        <v>4700</v>
      </c>
      <c r="G497" s="9" t="s">
        <v>4701</v>
      </c>
      <c r="H497" s="9" t="s">
        <v>3055</v>
      </c>
      <c r="I497" s="11" t="n">
        <v>32</v>
      </c>
      <c r="J497" s="11" t="n">
        <v>44.5</v>
      </c>
      <c r="K497" s="11"/>
      <c r="L497" s="11"/>
      <c r="M497" s="11" t="n">
        <f aca="false">IF(ISNUMBER(L497),L497,J497)</f>
        <v>44.5</v>
      </c>
      <c r="N497" s="11" t="n">
        <f aca="false">ROUNDUP(M497,0)</f>
        <v>45</v>
      </c>
      <c r="O497" s="11" t="n">
        <f aca="false">MAX(I497,N497)</f>
        <v>45</v>
      </c>
      <c r="P497" s="11" t="n">
        <f aca="false">IF(C497="COVERED",MAX(0,O497-40),0)</f>
        <v>5</v>
      </c>
      <c r="Q497" s="11" t="n">
        <f aca="false">O497</f>
        <v>45</v>
      </c>
      <c r="R497" s="17" t="n">
        <f aca="false">IF(C497="COVERED",10.4,7.55)</f>
        <v>10.4</v>
      </c>
      <c r="S497" s="17" t="n">
        <f aca="false">Q497*R497</f>
        <v>468</v>
      </c>
      <c r="T497" s="9" t="s">
        <v>4702</v>
      </c>
      <c r="U497" s="10" t="n">
        <v>46235</v>
      </c>
      <c r="V497" s="9" t="n">
        <v>45</v>
      </c>
      <c r="W497" s="17" t="n">
        <v>10.4</v>
      </c>
      <c r="X497" s="17" t="n">
        <v>468</v>
      </c>
      <c r="Y497" s="17" t="n">
        <f aca="false">IF(ISNUMBER(X497),X497-S497,"")</f>
        <v>0</v>
      </c>
      <c r="Z497" s="17" t="n">
        <f aca="false">IF(ISNUMBER(X497),X497-S497,-S497)</f>
        <v>0</v>
      </c>
      <c r="AA497" s="9" t="str">
        <f aca="false">IF(NOT(ISNUMBER(X497)),"NO AUGUST POSTING IN EXPORT",IF(ABS(Y497)&gt;=0.005,"POSTED CHARGE MISMATCH",IF(P497&gt;0,"MATCH - COVERED ELIGIBILITY EXCEPTION","MATCH")))</f>
        <v>MATCH - COVERED ELIGIBILITY EXCEPTION</v>
      </c>
      <c r="AB497" s="9" t="s">
        <v>4703</v>
      </c>
    </row>
    <row r="498" customFormat="false" ht="15" hidden="false" customHeight="false" outlineLevel="0" collapsed="false">
      <c r="A498" s="13" t="s">
        <v>345</v>
      </c>
      <c r="B498" s="13" t="s">
        <v>113</v>
      </c>
      <c r="C498" s="13" t="s">
        <v>114</v>
      </c>
      <c r="D498" s="13" t="s">
        <v>2002</v>
      </c>
      <c r="E498" s="13" t="s">
        <v>2433</v>
      </c>
      <c r="F498" s="13" t="s">
        <v>4704</v>
      </c>
      <c r="G498" s="13" t="s">
        <v>4705</v>
      </c>
      <c r="H498" s="13" t="s">
        <v>2322</v>
      </c>
      <c r="I498" s="15" t="n">
        <v>28</v>
      </c>
      <c r="J498" s="15" t="n">
        <v>36.5</v>
      </c>
      <c r="K498" s="15"/>
      <c r="L498" s="15"/>
      <c r="M498" s="15" t="n">
        <f aca="false">IF(ISNUMBER(L498),L498,J498)</f>
        <v>36.5</v>
      </c>
      <c r="N498" s="15" t="n">
        <f aca="false">ROUNDUP(M498,0)</f>
        <v>37</v>
      </c>
      <c r="O498" s="15" t="n">
        <f aca="false">MAX(I498,N498)</f>
        <v>37</v>
      </c>
      <c r="P498" s="15" t="n">
        <f aca="false">IF(C498="COVERED",MAX(0,O498-40),0)</f>
        <v>0</v>
      </c>
      <c r="Q498" s="15" t="n">
        <f aca="false">O498</f>
        <v>37</v>
      </c>
      <c r="R498" s="18" t="n">
        <f aca="false">IF(C498="COVERED",10.4,7.55)</f>
        <v>10.4</v>
      </c>
      <c r="S498" s="18" t="n">
        <f aca="false">Q498*R498</f>
        <v>384.8</v>
      </c>
      <c r="T498" s="13" t="s">
        <v>4706</v>
      </c>
      <c r="U498" s="14" t="n">
        <v>46235</v>
      </c>
      <c r="V498" s="13" t="n">
        <v>37</v>
      </c>
      <c r="W498" s="18" t="n">
        <v>10.4</v>
      </c>
      <c r="X498" s="18" t="n">
        <v>384.8</v>
      </c>
      <c r="Y498" s="18" t="n">
        <f aca="false">IF(ISNUMBER(X498),X498-S498,"")</f>
        <v>0</v>
      </c>
      <c r="Z498" s="18" t="n">
        <f aca="false">IF(ISNUMBER(X498),X498-S498,-S498)</f>
        <v>0</v>
      </c>
      <c r="AA498" s="13" t="str">
        <f aca="false">IF(NOT(ISNUMBER(X498)),"NO AUGUST POSTING IN EXPORT",IF(ABS(Y498)&gt;=0.005,"POSTED CHARGE MISMATCH",IF(P498&gt;0,"MATCH - COVERED ELIGIBILITY EXCEPTION","MATCH")))</f>
        <v>MATCH</v>
      </c>
      <c r="AB498" s="13" t="s">
        <v>4707</v>
      </c>
    </row>
    <row r="499" customFormat="false" ht="15" hidden="false" customHeight="false" outlineLevel="0" collapsed="false">
      <c r="A499" s="9" t="s">
        <v>4708</v>
      </c>
      <c r="B499" s="9" t="s">
        <v>113</v>
      </c>
      <c r="C499" s="9" t="s">
        <v>114</v>
      </c>
      <c r="D499" s="9" t="s">
        <v>2002</v>
      </c>
      <c r="E499" s="9" t="s">
        <v>2440</v>
      </c>
      <c r="F499" s="9" t="s">
        <v>4709</v>
      </c>
      <c r="G499" s="9" t="s">
        <v>4710</v>
      </c>
      <c r="H499" s="9" t="s">
        <v>3118</v>
      </c>
      <c r="I499" s="11" t="n">
        <v>24</v>
      </c>
      <c r="J499" s="11" t="n">
        <v>46.9</v>
      </c>
      <c r="K499" s="11"/>
      <c r="L499" s="11"/>
      <c r="M499" s="11" t="n">
        <f aca="false">IF(ISNUMBER(L499),L499,J499)</f>
        <v>46.9</v>
      </c>
      <c r="N499" s="11" t="n">
        <f aca="false">ROUNDUP(M499,0)</f>
        <v>47</v>
      </c>
      <c r="O499" s="11" t="n">
        <f aca="false">MAX(I499,N499)</f>
        <v>47</v>
      </c>
      <c r="P499" s="11" t="n">
        <f aca="false">IF(C499="COVERED",MAX(0,O499-40),0)</f>
        <v>7</v>
      </c>
      <c r="Q499" s="11" t="n">
        <f aca="false">O499</f>
        <v>47</v>
      </c>
      <c r="R499" s="17" t="n">
        <f aca="false">IF(C499="COVERED",10.4,7.55)</f>
        <v>10.4</v>
      </c>
      <c r="S499" s="17" t="n">
        <f aca="false">Q499*R499</f>
        <v>488.8</v>
      </c>
      <c r="T499" s="9" t="s">
        <v>4711</v>
      </c>
      <c r="U499" s="10" t="n">
        <v>46235</v>
      </c>
      <c r="V499" s="9" t="n">
        <v>47</v>
      </c>
      <c r="W499" s="17" t="n">
        <v>10.4</v>
      </c>
      <c r="X499" s="17" t="n">
        <v>488.8</v>
      </c>
      <c r="Y499" s="17" t="n">
        <f aca="false">IF(ISNUMBER(X499),X499-S499,"")</f>
        <v>0</v>
      </c>
      <c r="Z499" s="17" t="n">
        <f aca="false">IF(ISNUMBER(X499),X499-S499,-S499)</f>
        <v>0</v>
      </c>
      <c r="AA499" s="9" t="str">
        <f aca="false">IF(NOT(ISNUMBER(X499)),"NO AUGUST POSTING IN EXPORT",IF(ABS(Y499)&gt;=0.005,"POSTED CHARGE MISMATCH",IF(P499&gt;0,"MATCH - COVERED ELIGIBILITY EXCEPTION","MATCH")))</f>
        <v>MATCH - COVERED ELIGIBILITY EXCEPTION</v>
      </c>
      <c r="AB499" s="9" t="s">
        <v>4712</v>
      </c>
    </row>
    <row r="500" customFormat="false" ht="15" hidden="false" customHeight="false" outlineLevel="0" collapsed="false">
      <c r="A500" s="13" t="s">
        <v>4713</v>
      </c>
      <c r="B500" s="13" t="s">
        <v>113</v>
      </c>
      <c r="C500" s="13" t="s">
        <v>114</v>
      </c>
      <c r="D500" s="13" t="s">
        <v>2002</v>
      </c>
      <c r="E500" s="13" t="s">
        <v>2447</v>
      </c>
      <c r="F500" s="13" t="s">
        <v>4714</v>
      </c>
      <c r="G500" s="13" t="s">
        <v>4715</v>
      </c>
      <c r="H500" s="13" t="s">
        <v>4716</v>
      </c>
      <c r="I500" s="15" t="n">
        <v>24</v>
      </c>
      <c r="J500" s="15" t="n">
        <v>27.2</v>
      </c>
      <c r="K500" s="15"/>
      <c r="L500" s="15"/>
      <c r="M500" s="15" t="n">
        <f aca="false">IF(ISNUMBER(L500),L500,J500)</f>
        <v>27.2</v>
      </c>
      <c r="N500" s="15" t="n">
        <f aca="false">ROUNDUP(M500,0)</f>
        <v>28</v>
      </c>
      <c r="O500" s="15" t="n">
        <f aca="false">MAX(I500,N500)</f>
        <v>28</v>
      </c>
      <c r="P500" s="15" t="n">
        <f aca="false">IF(C500="COVERED",MAX(0,O500-40),0)</f>
        <v>0</v>
      </c>
      <c r="Q500" s="15" t="n">
        <f aca="false">O500</f>
        <v>28</v>
      </c>
      <c r="R500" s="18" t="n">
        <f aca="false">IF(C500="COVERED",10.4,7.55)</f>
        <v>10.4</v>
      </c>
      <c r="S500" s="18" t="n">
        <f aca="false">Q500*R500</f>
        <v>291.2</v>
      </c>
      <c r="T500" s="13" t="s">
        <v>4717</v>
      </c>
      <c r="U500" s="14" t="n">
        <v>46235</v>
      </c>
      <c r="V500" s="13" t="n">
        <v>28</v>
      </c>
      <c r="W500" s="18" t="n">
        <v>10.4</v>
      </c>
      <c r="X500" s="18" t="n">
        <v>291.2</v>
      </c>
      <c r="Y500" s="18" t="n">
        <f aca="false">IF(ISNUMBER(X500),X500-S500,"")</f>
        <v>0</v>
      </c>
      <c r="Z500" s="18" t="n">
        <f aca="false">IF(ISNUMBER(X500),X500-S500,-S500)</f>
        <v>0</v>
      </c>
      <c r="AA500" s="13" t="str">
        <f aca="false">IF(NOT(ISNUMBER(X500)),"NO AUGUST POSTING IN EXPORT",IF(ABS(Y500)&gt;=0.005,"POSTED CHARGE MISMATCH",IF(P500&gt;0,"MATCH - COVERED ELIGIBILITY EXCEPTION","MATCH")))</f>
        <v>MATCH</v>
      </c>
      <c r="AB500" s="13" t="s">
        <v>4718</v>
      </c>
    </row>
    <row r="501" customFormat="false" ht="15" hidden="false" customHeight="false" outlineLevel="0" collapsed="false">
      <c r="A501" s="9" t="s">
        <v>4719</v>
      </c>
      <c r="B501" s="9" t="s">
        <v>113</v>
      </c>
      <c r="C501" s="9" t="s">
        <v>114</v>
      </c>
      <c r="D501" s="9" t="s">
        <v>2002</v>
      </c>
      <c r="E501" s="9" t="s">
        <v>2454</v>
      </c>
      <c r="F501" s="9" t="s">
        <v>4720</v>
      </c>
      <c r="G501" s="9" t="s">
        <v>3511</v>
      </c>
      <c r="H501" s="9" t="s">
        <v>4721</v>
      </c>
      <c r="I501" s="11" t="n">
        <v>24</v>
      </c>
      <c r="J501" s="11" t="n">
        <v>34.5</v>
      </c>
      <c r="K501" s="11"/>
      <c r="L501" s="11"/>
      <c r="M501" s="11" t="n">
        <f aca="false">IF(ISNUMBER(L501),L501,J501)</f>
        <v>34.5</v>
      </c>
      <c r="N501" s="11" t="n">
        <f aca="false">ROUNDUP(M501,0)</f>
        <v>35</v>
      </c>
      <c r="O501" s="11" t="n">
        <f aca="false">MAX(I501,N501)</f>
        <v>35</v>
      </c>
      <c r="P501" s="11" t="n">
        <f aca="false">IF(C501="COVERED",MAX(0,O501-40),0)</f>
        <v>0</v>
      </c>
      <c r="Q501" s="11" t="n">
        <f aca="false">O501</f>
        <v>35</v>
      </c>
      <c r="R501" s="17" t="n">
        <f aca="false">IF(C501="COVERED",10.4,7.55)</f>
        <v>10.4</v>
      </c>
      <c r="S501" s="17" t="n">
        <f aca="false">Q501*R501</f>
        <v>364</v>
      </c>
      <c r="T501" s="9" t="s">
        <v>4722</v>
      </c>
      <c r="U501" s="10" t="n">
        <v>46235</v>
      </c>
      <c r="V501" s="9" t="n">
        <v>35</v>
      </c>
      <c r="W501" s="17" t="n">
        <v>10.4</v>
      </c>
      <c r="X501" s="17" t="n">
        <v>364</v>
      </c>
      <c r="Y501" s="17" t="n">
        <f aca="false">IF(ISNUMBER(X501),X501-S501,"")</f>
        <v>0</v>
      </c>
      <c r="Z501" s="17" t="n">
        <f aca="false">IF(ISNUMBER(X501),X501-S501,-S501)</f>
        <v>0</v>
      </c>
      <c r="AA501" s="9" t="str">
        <f aca="false">IF(NOT(ISNUMBER(X501)),"NO AUGUST POSTING IN EXPORT",IF(ABS(Y501)&gt;=0.005,"POSTED CHARGE MISMATCH",IF(P501&gt;0,"MATCH - COVERED ELIGIBILITY EXCEPTION","MATCH")))</f>
        <v>MATCH</v>
      </c>
      <c r="AB501" s="9" t="s">
        <v>4723</v>
      </c>
    </row>
    <row r="502" customFormat="false" ht="15" hidden="false" customHeight="false" outlineLevel="0" collapsed="false">
      <c r="A502" s="13" t="s">
        <v>4724</v>
      </c>
      <c r="B502" s="13" t="s">
        <v>113</v>
      </c>
      <c r="C502" s="13" t="s">
        <v>114</v>
      </c>
      <c r="D502" s="13" t="s">
        <v>2002</v>
      </c>
      <c r="E502" s="13" t="s">
        <v>2461</v>
      </c>
      <c r="F502" s="13" t="s">
        <v>4725</v>
      </c>
      <c r="G502" s="13" t="s">
        <v>4726</v>
      </c>
      <c r="H502" s="13" t="s">
        <v>2699</v>
      </c>
      <c r="I502" s="15" t="n">
        <v>24</v>
      </c>
      <c r="J502" s="15" t="n">
        <v>59.6</v>
      </c>
      <c r="K502" s="15"/>
      <c r="L502" s="15"/>
      <c r="M502" s="15" t="n">
        <f aca="false">IF(ISNUMBER(L502),L502,J502)</f>
        <v>59.6</v>
      </c>
      <c r="N502" s="15" t="n">
        <f aca="false">ROUNDUP(M502,0)</f>
        <v>60</v>
      </c>
      <c r="O502" s="15" t="n">
        <f aca="false">MAX(I502,N502)</f>
        <v>60</v>
      </c>
      <c r="P502" s="15" t="n">
        <f aca="false">IF(C502="COVERED",MAX(0,O502-40),0)</f>
        <v>20</v>
      </c>
      <c r="Q502" s="15" t="n">
        <f aca="false">O502</f>
        <v>60</v>
      </c>
      <c r="R502" s="18" t="n">
        <f aca="false">IF(C502="COVERED",10.4,7.55)</f>
        <v>10.4</v>
      </c>
      <c r="S502" s="18" t="n">
        <f aca="false">Q502*R502</f>
        <v>624</v>
      </c>
      <c r="T502" s="13" t="s">
        <v>4727</v>
      </c>
      <c r="U502" s="14" t="n">
        <v>46235</v>
      </c>
      <c r="V502" s="13" t="n">
        <v>60</v>
      </c>
      <c r="W502" s="18" t="n">
        <v>10.4</v>
      </c>
      <c r="X502" s="18" t="n">
        <v>624</v>
      </c>
      <c r="Y502" s="18" t="n">
        <f aca="false">IF(ISNUMBER(X502),X502-S502,"")</f>
        <v>0</v>
      </c>
      <c r="Z502" s="18" t="n">
        <f aca="false">IF(ISNUMBER(X502),X502-S502,-S502)</f>
        <v>0</v>
      </c>
      <c r="AA502" s="13" t="str">
        <f aca="false">IF(NOT(ISNUMBER(X502)),"NO AUGUST POSTING IN EXPORT",IF(ABS(Y502)&gt;=0.005,"POSTED CHARGE MISMATCH",IF(P502&gt;0,"MATCH - COVERED ELIGIBILITY EXCEPTION","MATCH")))</f>
        <v>MATCH - COVERED ELIGIBILITY EXCEPTION</v>
      </c>
      <c r="AB502" s="13" t="s">
        <v>4728</v>
      </c>
    </row>
    <row r="503" customFormat="false" ht="15" hidden="false" customHeight="false" outlineLevel="0" collapsed="false">
      <c r="A503" s="9" t="s">
        <v>4729</v>
      </c>
      <c r="B503" s="9" t="s">
        <v>113</v>
      </c>
      <c r="C503" s="9" t="s">
        <v>114</v>
      </c>
      <c r="D503" s="9" t="s">
        <v>2002</v>
      </c>
      <c r="E503" s="9" t="s">
        <v>2468</v>
      </c>
      <c r="F503" s="9" t="s">
        <v>4730</v>
      </c>
      <c r="G503" s="9" t="s">
        <v>4731</v>
      </c>
      <c r="H503" s="9" t="s">
        <v>4732</v>
      </c>
      <c r="I503" s="11" t="n">
        <v>28</v>
      </c>
      <c r="J503" s="11" t="n">
        <v>38.4</v>
      </c>
      <c r="K503" s="11"/>
      <c r="L503" s="11"/>
      <c r="M503" s="11" t="n">
        <f aca="false">IF(ISNUMBER(L503),L503,J503)</f>
        <v>38.4</v>
      </c>
      <c r="N503" s="11" t="n">
        <f aca="false">ROUNDUP(M503,0)</f>
        <v>39</v>
      </c>
      <c r="O503" s="11" t="n">
        <f aca="false">MAX(I503,N503)</f>
        <v>39</v>
      </c>
      <c r="P503" s="11" t="n">
        <f aca="false">IF(C503="COVERED",MAX(0,O503-40),0)</f>
        <v>0</v>
      </c>
      <c r="Q503" s="11" t="n">
        <f aca="false">O503</f>
        <v>39</v>
      </c>
      <c r="R503" s="17" t="n">
        <f aca="false">IF(C503="COVERED",10.4,7.55)</f>
        <v>10.4</v>
      </c>
      <c r="S503" s="17" t="n">
        <f aca="false">Q503*R503</f>
        <v>405.6</v>
      </c>
      <c r="T503" s="9" t="s">
        <v>4733</v>
      </c>
      <c r="U503" s="10" t="n">
        <v>46235</v>
      </c>
      <c r="V503" s="9" t="n">
        <v>39</v>
      </c>
      <c r="W503" s="17" t="n">
        <v>10.4</v>
      </c>
      <c r="X503" s="17" t="n">
        <v>405.6</v>
      </c>
      <c r="Y503" s="17" t="n">
        <f aca="false">IF(ISNUMBER(X503),X503-S503,"")</f>
        <v>0</v>
      </c>
      <c r="Z503" s="17" t="n">
        <f aca="false">IF(ISNUMBER(X503),X503-S503,-S503)</f>
        <v>0</v>
      </c>
      <c r="AA503" s="9" t="str">
        <f aca="false">IF(NOT(ISNUMBER(X503)),"NO AUGUST POSTING IN EXPORT",IF(ABS(Y503)&gt;=0.005,"POSTED CHARGE MISMATCH",IF(P503&gt;0,"MATCH - COVERED ELIGIBILITY EXCEPTION","MATCH")))</f>
        <v>MATCH</v>
      </c>
      <c r="AB503" s="9" t="s">
        <v>4734</v>
      </c>
    </row>
    <row r="504" customFormat="false" ht="15" hidden="false" customHeight="false" outlineLevel="0" collapsed="false">
      <c r="A504" s="13" t="s">
        <v>4735</v>
      </c>
      <c r="B504" s="13" t="s">
        <v>113</v>
      </c>
      <c r="C504" s="13" t="s">
        <v>114</v>
      </c>
      <c r="D504" s="13" t="s">
        <v>2002</v>
      </c>
      <c r="E504" s="13" t="s">
        <v>2473</v>
      </c>
      <c r="F504" s="13" t="s">
        <v>4736</v>
      </c>
      <c r="G504" s="13" t="s">
        <v>4737</v>
      </c>
      <c r="H504" s="13" t="s">
        <v>4716</v>
      </c>
      <c r="I504" s="15" t="n">
        <v>40</v>
      </c>
      <c r="J504" s="15" t="n">
        <v>23.9</v>
      </c>
      <c r="K504" s="15"/>
      <c r="L504" s="15"/>
      <c r="M504" s="15" t="n">
        <f aca="false">IF(ISNUMBER(L504),L504,J504)</f>
        <v>23.9</v>
      </c>
      <c r="N504" s="15" t="n">
        <f aca="false">ROUNDUP(M504,0)</f>
        <v>24</v>
      </c>
      <c r="O504" s="15" t="n">
        <f aca="false">MAX(I504,N504)</f>
        <v>40</v>
      </c>
      <c r="P504" s="15" t="n">
        <f aca="false">IF(C504="COVERED",MAX(0,O504-40),0)</f>
        <v>0</v>
      </c>
      <c r="Q504" s="15" t="n">
        <f aca="false">O504</f>
        <v>40</v>
      </c>
      <c r="R504" s="18" t="n">
        <f aca="false">IF(C504="COVERED",10.4,7.55)</f>
        <v>10.4</v>
      </c>
      <c r="S504" s="18" t="n">
        <f aca="false">Q504*R504</f>
        <v>416</v>
      </c>
      <c r="T504" s="13" t="s">
        <v>4738</v>
      </c>
      <c r="U504" s="14" t="n">
        <v>46235</v>
      </c>
      <c r="V504" s="13" t="n">
        <v>40</v>
      </c>
      <c r="W504" s="18" t="n">
        <v>10.4</v>
      </c>
      <c r="X504" s="18" t="n">
        <v>416</v>
      </c>
      <c r="Y504" s="18" t="n">
        <f aca="false">IF(ISNUMBER(X504),X504-S504,"")</f>
        <v>0</v>
      </c>
      <c r="Z504" s="18" t="n">
        <f aca="false">IF(ISNUMBER(X504),X504-S504,-S504)</f>
        <v>0</v>
      </c>
      <c r="AA504" s="13" t="str">
        <f aca="false">IF(NOT(ISNUMBER(X504)),"NO AUGUST POSTING IN EXPORT",IF(ABS(Y504)&gt;=0.005,"POSTED CHARGE MISMATCH",IF(P504&gt;0,"MATCH - COVERED ELIGIBILITY EXCEPTION","MATCH")))</f>
        <v>MATCH</v>
      </c>
      <c r="AB504" s="13" t="s">
        <v>4739</v>
      </c>
    </row>
    <row r="505" customFormat="false" ht="15" hidden="false" customHeight="false" outlineLevel="0" collapsed="false">
      <c r="A505" s="9" t="s">
        <v>4740</v>
      </c>
      <c r="B505" s="9" t="s">
        <v>113</v>
      </c>
      <c r="C505" s="9" t="s">
        <v>114</v>
      </c>
      <c r="D505" s="9" t="s">
        <v>2002</v>
      </c>
      <c r="E505" s="9" t="s">
        <v>2480</v>
      </c>
      <c r="F505" s="9" t="s">
        <v>4741</v>
      </c>
      <c r="G505" s="9" t="s">
        <v>4742</v>
      </c>
      <c r="H505" s="9" t="s">
        <v>4743</v>
      </c>
      <c r="I505" s="11" t="n">
        <v>32</v>
      </c>
      <c r="J505" s="11" t="n">
        <v>48.1</v>
      </c>
      <c r="K505" s="11"/>
      <c r="L505" s="11"/>
      <c r="M505" s="11" t="n">
        <f aca="false">IF(ISNUMBER(L505),L505,J505)</f>
        <v>48.1</v>
      </c>
      <c r="N505" s="11" t="n">
        <f aca="false">ROUNDUP(M505,0)</f>
        <v>49</v>
      </c>
      <c r="O505" s="11" t="n">
        <f aca="false">MAX(I505,N505)</f>
        <v>49</v>
      </c>
      <c r="P505" s="11" t="n">
        <f aca="false">IF(C505="COVERED",MAX(0,O505-40),0)</f>
        <v>9</v>
      </c>
      <c r="Q505" s="11" t="n">
        <f aca="false">O505</f>
        <v>49</v>
      </c>
      <c r="R505" s="17" t="n">
        <f aca="false">IF(C505="COVERED",10.4,7.55)</f>
        <v>10.4</v>
      </c>
      <c r="S505" s="17" t="n">
        <f aca="false">Q505*R505</f>
        <v>509.6</v>
      </c>
      <c r="T505" s="9" t="s">
        <v>4744</v>
      </c>
      <c r="U505" s="10" t="n">
        <v>46235</v>
      </c>
      <c r="V505" s="9" t="n">
        <v>49</v>
      </c>
      <c r="W505" s="17" t="n">
        <v>10.4</v>
      </c>
      <c r="X505" s="17" t="n">
        <v>509.6</v>
      </c>
      <c r="Y505" s="17" t="n">
        <f aca="false">IF(ISNUMBER(X505),X505-S505,"")</f>
        <v>0</v>
      </c>
      <c r="Z505" s="17" t="n">
        <f aca="false">IF(ISNUMBER(X505),X505-S505,-S505)</f>
        <v>0</v>
      </c>
      <c r="AA505" s="9" t="str">
        <f aca="false">IF(NOT(ISNUMBER(X505)),"NO AUGUST POSTING IN EXPORT",IF(ABS(Y505)&gt;=0.005,"POSTED CHARGE MISMATCH",IF(P505&gt;0,"MATCH - COVERED ELIGIBILITY EXCEPTION","MATCH")))</f>
        <v>MATCH - COVERED ELIGIBILITY EXCEPTION</v>
      </c>
      <c r="AB505" s="9" t="s">
        <v>4745</v>
      </c>
    </row>
    <row r="506" customFormat="false" ht="15" hidden="false" customHeight="false" outlineLevel="0" collapsed="false">
      <c r="A506" s="13" t="s">
        <v>4746</v>
      </c>
      <c r="B506" s="13" t="s">
        <v>113</v>
      </c>
      <c r="C506" s="13" t="s">
        <v>114</v>
      </c>
      <c r="D506" s="13" t="s">
        <v>2002</v>
      </c>
      <c r="E506" s="13" t="s">
        <v>2485</v>
      </c>
      <c r="F506" s="13" t="s">
        <v>4747</v>
      </c>
      <c r="G506" s="13" t="s">
        <v>4748</v>
      </c>
      <c r="H506" s="13" t="s">
        <v>4213</v>
      </c>
      <c r="I506" s="15" t="n">
        <v>24</v>
      </c>
      <c r="J506" s="15" t="n">
        <v>39.7</v>
      </c>
      <c r="K506" s="15"/>
      <c r="L506" s="15"/>
      <c r="M506" s="15" t="n">
        <f aca="false">IF(ISNUMBER(L506),L506,J506)</f>
        <v>39.7</v>
      </c>
      <c r="N506" s="15" t="n">
        <f aca="false">ROUNDUP(M506,0)</f>
        <v>40</v>
      </c>
      <c r="O506" s="15" t="n">
        <f aca="false">MAX(I506,N506)</f>
        <v>40</v>
      </c>
      <c r="P506" s="15" t="n">
        <f aca="false">IF(C506="COVERED",MAX(0,O506-40),0)</f>
        <v>0</v>
      </c>
      <c r="Q506" s="15" t="n">
        <f aca="false">O506</f>
        <v>40</v>
      </c>
      <c r="R506" s="18" t="n">
        <f aca="false">IF(C506="COVERED",10.4,7.55)</f>
        <v>10.4</v>
      </c>
      <c r="S506" s="18" t="n">
        <f aca="false">Q506*R506</f>
        <v>416</v>
      </c>
      <c r="T506" s="13" t="s">
        <v>4749</v>
      </c>
      <c r="U506" s="14" t="n">
        <v>46235</v>
      </c>
      <c r="V506" s="13" t="n">
        <v>40</v>
      </c>
      <c r="W506" s="18" t="n">
        <v>10.4</v>
      </c>
      <c r="X506" s="18" t="n">
        <v>416</v>
      </c>
      <c r="Y506" s="18" t="n">
        <f aca="false">IF(ISNUMBER(X506),X506-S506,"")</f>
        <v>0</v>
      </c>
      <c r="Z506" s="18" t="n">
        <f aca="false">IF(ISNUMBER(X506),X506-S506,-S506)</f>
        <v>0</v>
      </c>
      <c r="AA506" s="13" t="str">
        <f aca="false">IF(NOT(ISNUMBER(X506)),"NO AUGUST POSTING IN EXPORT",IF(ABS(Y506)&gt;=0.005,"POSTED CHARGE MISMATCH",IF(P506&gt;0,"MATCH - COVERED ELIGIBILITY EXCEPTION","MATCH")))</f>
        <v>MATCH</v>
      </c>
      <c r="AB506" s="13" t="s">
        <v>4750</v>
      </c>
    </row>
    <row r="507" customFormat="false" ht="15" hidden="false" customHeight="false" outlineLevel="0" collapsed="false">
      <c r="A507" s="9" t="s">
        <v>4751</v>
      </c>
      <c r="B507" s="9" t="s">
        <v>113</v>
      </c>
      <c r="C507" s="9" t="s">
        <v>114</v>
      </c>
      <c r="D507" s="9" t="s">
        <v>2002</v>
      </c>
      <c r="E507" s="9" t="s">
        <v>2491</v>
      </c>
      <c r="F507" s="9" t="s">
        <v>4752</v>
      </c>
      <c r="G507" s="9" t="s">
        <v>4753</v>
      </c>
      <c r="H507" s="9" t="s">
        <v>2481</v>
      </c>
      <c r="I507" s="11" t="n">
        <v>24</v>
      </c>
      <c r="J507" s="11" t="n">
        <v>24.6</v>
      </c>
      <c r="K507" s="11"/>
      <c r="L507" s="11"/>
      <c r="M507" s="11" t="n">
        <f aca="false">IF(ISNUMBER(L507),L507,J507)</f>
        <v>24.6</v>
      </c>
      <c r="N507" s="11" t="n">
        <f aca="false">ROUNDUP(M507,0)</f>
        <v>25</v>
      </c>
      <c r="O507" s="11" t="n">
        <f aca="false">MAX(I507,N507)</f>
        <v>25</v>
      </c>
      <c r="P507" s="11" t="n">
        <f aca="false">IF(C507="COVERED",MAX(0,O507-40),0)</f>
        <v>0</v>
      </c>
      <c r="Q507" s="11" t="n">
        <f aca="false">O507</f>
        <v>25</v>
      </c>
      <c r="R507" s="17" t="n">
        <f aca="false">IF(C507="COVERED",10.4,7.55)</f>
        <v>10.4</v>
      </c>
      <c r="S507" s="17" t="n">
        <f aca="false">Q507*R507</f>
        <v>260</v>
      </c>
      <c r="T507" s="9" t="s">
        <v>4754</v>
      </c>
      <c r="U507" s="10" t="n">
        <v>46235</v>
      </c>
      <c r="V507" s="9" t="n">
        <v>25</v>
      </c>
      <c r="W507" s="17" t="n">
        <v>10.4</v>
      </c>
      <c r="X507" s="17" t="n">
        <v>260</v>
      </c>
      <c r="Y507" s="17" t="n">
        <f aca="false">IF(ISNUMBER(X507),X507-S507,"")</f>
        <v>0</v>
      </c>
      <c r="Z507" s="17" t="n">
        <f aca="false">IF(ISNUMBER(X507),X507-S507,-S507)</f>
        <v>0</v>
      </c>
      <c r="AA507" s="9" t="str">
        <f aca="false">IF(NOT(ISNUMBER(X507)),"NO AUGUST POSTING IN EXPORT",IF(ABS(Y507)&gt;=0.005,"POSTED CHARGE MISMATCH",IF(P507&gt;0,"MATCH - COVERED ELIGIBILITY EXCEPTION","MATCH")))</f>
        <v>MATCH</v>
      </c>
      <c r="AB507" s="9" t="s">
        <v>4755</v>
      </c>
    </row>
    <row r="508" customFormat="false" ht="15" hidden="false" customHeight="false" outlineLevel="0" collapsed="false">
      <c r="A508" s="13" t="s">
        <v>564</v>
      </c>
      <c r="B508" s="13" t="s">
        <v>113</v>
      </c>
      <c r="C508" s="13" t="s">
        <v>114</v>
      </c>
      <c r="D508" s="13" t="s">
        <v>2002</v>
      </c>
      <c r="E508" s="13" t="s">
        <v>2497</v>
      </c>
      <c r="F508" s="13" t="s">
        <v>4756</v>
      </c>
      <c r="G508" s="13" t="s">
        <v>4757</v>
      </c>
      <c r="H508" s="13" t="s">
        <v>3725</v>
      </c>
      <c r="I508" s="15" t="n">
        <v>32</v>
      </c>
      <c r="J508" s="15" t="n">
        <v>41.2</v>
      </c>
      <c r="K508" s="15"/>
      <c r="L508" s="15"/>
      <c r="M508" s="15" t="n">
        <f aca="false">IF(ISNUMBER(L508),L508,J508)</f>
        <v>41.2</v>
      </c>
      <c r="N508" s="15" t="n">
        <f aca="false">ROUNDUP(M508,0)</f>
        <v>42</v>
      </c>
      <c r="O508" s="15" t="n">
        <f aca="false">MAX(I508,N508)</f>
        <v>42</v>
      </c>
      <c r="P508" s="15" t="n">
        <f aca="false">IF(C508="COVERED",MAX(0,O508-40),0)</f>
        <v>2</v>
      </c>
      <c r="Q508" s="15" t="n">
        <f aca="false">O508</f>
        <v>42</v>
      </c>
      <c r="R508" s="18" t="n">
        <f aca="false">IF(C508="COVERED",10.4,7.55)</f>
        <v>10.4</v>
      </c>
      <c r="S508" s="18" t="n">
        <f aca="false">Q508*R508</f>
        <v>436.8</v>
      </c>
      <c r="T508" s="13" t="s">
        <v>4758</v>
      </c>
      <c r="U508" s="14" t="n">
        <v>46235</v>
      </c>
      <c r="V508" s="13" t="n">
        <v>42</v>
      </c>
      <c r="W508" s="18" t="n">
        <v>10.4</v>
      </c>
      <c r="X508" s="18" t="n">
        <v>436.8</v>
      </c>
      <c r="Y508" s="18" t="n">
        <f aca="false">IF(ISNUMBER(X508),X508-S508,"")</f>
        <v>0</v>
      </c>
      <c r="Z508" s="18" t="n">
        <f aca="false">IF(ISNUMBER(X508),X508-S508,-S508)</f>
        <v>0</v>
      </c>
      <c r="AA508" s="13" t="str">
        <f aca="false">IF(NOT(ISNUMBER(X508)),"NO AUGUST POSTING IN EXPORT",IF(ABS(Y508)&gt;=0.005,"POSTED CHARGE MISMATCH",IF(P508&gt;0,"MATCH - COVERED ELIGIBILITY EXCEPTION","MATCH")))</f>
        <v>MATCH - COVERED ELIGIBILITY EXCEPTION</v>
      </c>
      <c r="AB508" s="13" t="s">
        <v>4759</v>
      </c>
    </row>
    <row r="509" customFormat="false" ht="15" hidden="false" customHeight="false" outlineLevel="0" collapsed="false">
      <c r="A509" s="9" t="s">
        <v>1450</v>
      </c>
      <c r="B509" s="9" t="s">
        <v>113</v>
      </c>
      <c r="C509" s="9" t="s">
        <v>114</v>
      </c>
      <c r="D509" s="9" t="s">
        <v>2002</v>
      </c>
      <c r="E509" s="9" t="s">
        <v>2504</v>
      </c>
      <c r="F509" s="9" t="s">
        <v>4760</v>
      </c>
      <c r="G509" s="9" t="s">
        <v>4761</v>
      </c>
      <c r="H509" s="9" t="s">
        <v>4258</v>
      </c>
      <c r="I509" s="11" t="n">
        <v>28</v>
      </c>
      <c r="J509" s="11" t="n">
        <v>23.7</v>
      </c>
      <c r="K509" s="11"/>
      <c r="L509" s="11"/>
      <c r="M509" s="11" t="n">
        <f aca="false">IF(ISNUMBER(L509),L509,J509)</f>
        <v>23.7</v>
      </c>
      <c r="N509" s="11" t="n">
        <f aca="false">ROUNDUP(M509,0)</f>
        <v>24</v>
      </c>
      <c r="O509" s="11" t="n">
        <f aca="false">MAX(I509,N509)</f>
        <v>28</v>
      </c>
      <c r="P509" s="11" t="n">
        <f aca="false">IF(C509="COVERED",MAX(0,O509-40),0)</f>
        <v>0</v>
      </c>
      <c r="Q509" s="11" t="n">
        <f aca="false">O509</f>
        <v>28</v>
      </c>
      <c r="R509" s="17" t="n">
        <f aca="false">IF(C509="COVERED",10.4,7.55)</f>
        <v>10.4</v>
      </c>
      <c r="S509" s="17" t="n">
        <f aca="false">Q509*R509</f>
        <v>291.2</v>
      </c>
      <c r="T509" s="9" t="s">
        <v>4762</v>
      </c>
      <c r="U509" s="10" t="n">
        <v>46235</v>
      </c>
      <c r="V509" s="9" t="n">
        <v>28</v>
      </c>
      <c r="W509" s="17" t="n">
        <v>10.4</v>
      </c>
      <c r="X509" s="17" t="n">
        <v>291.2</v>
      </c>
      <c r="Y509" s="17" t="n">
        <f aca="false">IF(ISNUMBER(X509),X509-S509,"")</f>
        <v>0</v>
      </c>
      <c r="Z509" s="17" t="n">
        <f aca="false">IF(ISNUMBER(X509),X509-S509,-S509)</f>
        <v>0</v>
      </c>
      <c r="AA509" s="9" t="str">
        <f aca="false">IF(NOT(ISNUMBER(X509)),"NO AUGUST POSTING IN EXPORT",IF(ABS(Y509)&gt;=0.005,"POSTED CHARGE MISMATCH",IF(P509&gt;0,"MATCH - COVERED ELIGIBILITY EXCEPTION","MATCH")))</f>
        <v>MATCH</v>
      </c>
      <c r="AB509" s="9" t="s">
        <v>4763</v>
      </c>
    </row>
    <row r="510" customFormat="false" ht="15" hidden="false" customHeight="false" outlineLevel="0" collapsed="false">
      <c r="A510" s="13" t="s">
        <v>4764</v>
      </c>
      <c r="B510" s="13" t="s">
        <v>113</v>
      </c>
      <c r="C510" s="13" t="s">
        <v>114</v>
      </c>
      <c r="D510" s="13" t="s">
        <v>2002</v>
      </c>
      <c r="E510" s="13" t="s">
        <v>2517</v>
      </c>
      <c r="F510" s="13" t="s">
        <v>4765</v>
      </c>
      <c r="G510" s="13" t="s">
        <v>4766</v>
      </c>
      <c r="H510" s="13" t="s">
        <v>3495</v>
      </c>
      <c r="I510" s="15" t="n">
        <v>24</v>
      </c>
      <c r="J510" s="15" t="n">
        <v>35.9</v>
      </c>
      <c r="K510" s="15"/>
      <c r="L510" s="15"/>
      <c r="M510" s="15" t="n">
        <f aca="false">IF(ISNUMBER(L510),L510,J510)</f>
        <v>35.9</v>
      </c>
      <c r="N510" s="15" t="n">
        <f aca="false">ROUNDUP(M510,0)</f>
        <v>36</v>
      </c>
      <c r="O510" s="15" t="n">
        <f aca="false">MAX(I510,N510)</f>
        <v>36</v>
      </c>
      <c r="P510" s="15" t="n">
        <f aca="false">IF(C510="COVERED",MAX(0,O510-40),0)</f>
        <v>0</v>
      </c>
      <c r="Q510" s="15" t="n">
        <f aca="false">O510</f>
        <v>36</v>
      </c>
      <c r="R510" s="18" t="n">
        <f aca="false">IF(C510="COVERED",10.4,7.55)</f>
        <v>10.4</v>
      </c>
      <c r="S510" s="18" t="n">
        <f aca="false">Q510*R510</f>
        <v>374.4</v>
      </c>
      <c r="T510" s="13" t="s">
        <v>4767</v>
      </c>
      <c r="U510" s="14" t="n">
        <v>46235</v>
      </c>
      <c r="V510" s="13" t="n">
        <v>36</v>
      </c>
      <c r="W510" s="18" t="n">
        <v>10.4</v>
      </c>
      <c r="X510" s="18" t="n">
        <v>374.4</v>
      </c>
      <c r="Y510" s="18" t="n">
        <f aca="false">IF(ISNUMBER(X510),X510-S510,"")</f>
        <v>0</v>
      </c>
      <c r="Z510" s="18" t="n">
        <f aca="false">IF(ISNUMBER(X510),X510-S510,-S510)</f>
        <v>0</v>
      </c>
      <c r="AA510" s="13" t="str">
        <f aca="false">IF(NOT(ISNUMBER(X510)),"NO AUGUST POSTING IN EXPORT",IF(ABS(Y510)&gt;=0.005,"POSTED CHARGE MISMATCH",IF(P510&gt;0,"MATCH - COVERED ELIGIBILITY EXCEPTION","MATCH")))</f>
        <v>MATCH</v>
      </c>
      <c r="AB510" s="13" t="s">
        <v>4768</v>
      </c>
    </row>
    <row r="511" customFormat="false" ht="15" hidden="false" customHeight="false" outlineLevel="0" collapsed="false">
      <c r="A511" s="9" t="s">
        <v>681</v>
      </c>
      <c r="B511" s="9" t="s">
        <v>113</v>
      </c>
      <c r="C511" s="9" t="s">
        <v>114</v>
      </c>
      <c r="D511" s="9" t="s">
        <v>2002</v>
      </c>
      <c r="E511" s="9" t="s">
        <v>2524</v>
      </c>
      <c r="F511" s="9" t="s">
        <v>4769</v>
      </c>
      <c r="G511" s="9" t="s">
        <v>4770</v>
      </c>
      <c r="H511" s="9" t="s">
        <v>4067</v>
      </c>
      <c r="I511" s="11" t="n">
        <v>24</v>
      </c>
      <c r="J511" s="11" t="n">
        <v>47.8</v>
      </c>
      <c r="K511" s="11"/>
      <c r="L511" s="11"/>
      <c r="M511" s="11" t="n">
        <f aca="false">IF(ISNUMBER(L511),L511,J511)</f>
        <v>47.8</v>
      </c>
      <c r="N511" s="11" t="n">
        <f aca="false">ROUNDUP(M511,0)</f>
        <v>48</v>
      </c>
      <c r="O511" s="11" t="n">
        <f aca="false">MAX(I511,N511)</f>
        <v>48</v>
      </c>
      <c r="P511" s="11" t="n">
        <f aca="false">IF(C511="COVERED",MAX(0,O511-40),0)</f>
        <v>8</v>
      </c>
      <c r="Q511" s="11" t="n">
        <f aca="false">O511</f>
        <v>48</v>
      </c>
      <c r="R511" s="17" t="n">
        <f aca="false">IF(C511="COVERED",10.4,7.55)</f>
        <v>10.4</v>
      </c>
      <c r="S511" s="17" t="n">
        <f aca="false">Q511*R511</f>
        <v>499.2</v>
      </c>
      <c r="T511" s="9" t="s">
        <v>4771</v>
      </c>
      <c r="U511" s="10" t="n">
        <v>46235</v>
      </c>
      <c r="V511" s="9" t="n">
        <v>48</v>
      </c>
      <c r="W511" s="17" t="n">
        <v>10.4</v>
      </c>
      <c r="X511" s="17" t="n">
        <v>499.2</v>
      </c>
      <c r="Y511" s="17" t="n">
        <f aca="false">IF(ISNUMBER(X511),X511-S511,"")</f>
        <v>0</v>
      </c>
      <c r="Z511" s="17" t="n">
        <f aca="false">IF(ISNUMBER(X511),X511-S511,-S511)</f>
        <v>0</v>
      </c>
      <c r="AA511" s="9" t="str">
        <f aca="false">IF(NOT(ISNUMBER(X511)),"NO AUGUST POSTING IN EXPORT",IF(ABS(Y511)&gt;=0.005,"POSTED CHARGE MISMATCH",IF(P511&gt;0,"MATCH - COVERED ELIGIBILITY EXCEPTION","MATCH")))</f>
        <v>MATCH - COVERED ELIGIBILITY EXCEPTION</v>
      </c>
      <c r="AB511" s="9" t="s">
        <v>4772</v>
      </c>
    </row>
    <row r="512" customFormat="false" ht="15" hidden="false" customHeight="false" outlineLevel="0" collapsed="false">
      <c r="A512" s="13" t="s">
        <v>4773</v>
      </c>
      <c r="B512" s="13" t="s">
        <v>113</v>
      </c>
      <c r="C512" s="13" t="s">
        <v>114</v>
      </c>
      <c r="D512" s="13" t="s">
        <v>2002</v>
      </c>
      <c r="E512" s="13" t="s">
        <v>2531</v>
      </c>
      <c r="F512" s="13" t="s">
        <v>4774</v>
      </c>
      <c r="G512" s="13" t="s">
        <v>4775</v>
      </c>
      <c r="H512" s="13" t="s">
        <v>4776</v>
      </c>
      <c r="I512" s="15" t="n">
        <v>40</v>
      </c>
      <c r="J512" s="15" t="n">
        <v>60.9</v>
      </c>
      <c r="K512" s="15"/>
      <c r="L512" s="15"/>
      <c r="M512" s="15" t="n">
        <f aca="false">IF(ISNUMBER(L512),L512,J512)</f>
        <v>60.9</v>
      </c>
      <c r="N512" s="15" t="n">
        <f aca="false">ROUNDUP(M512,0)</f>
        <v>61</v>
      </c>
      <c r="O512" s="15" t="n">
        <f aca="false">MAX(I512,N512)</f>
        <v>61</v>
      </c>
      <c r="P512" s="15" t="n">
        <f aca="false">IF(C512="COVERED",MAX(0,O512-40),0)</f>
        <v>21</v>
      </c>
      <c r="Q512" s="15" t="n">
        <f aca="false">O512</f>
        <v>61</v>
      </c>
      <c r="R512" s="18" t="n">
        <f aca="false">IF(C512="COVERED",10.4,7.55)</f>
        <v>10.4</v>
      </c>
      <c r="S512" s="18" t="n">
        <f aca="false">Q512*R512</f>
        <v>634.4</v>
      </c>
      <c r="T512" s="13" t="s">
        <v>4777</v>
      </c>
      <c r="U512" s="14" t="n">
        <v>46235</v>
      </c>
      <c r="V512" s="13" t="n">
        <v>61</v>
      </c>
      <c r="W512" s="18" t="n">
        <v>10.4</v>
      </c>
      <c r="X512" s="18" t="n">
        <v>634.4</v>
      </c>
      <c r="Y512" s="18" t="n">
        <f aca="false">IF(ISNUMBER(X512),X512-S512,"")</f>
        <v>0</v>
      </c>
      <c r="Z512" s="18" t="n">
        <f aca="false">IF(ISNUMBER(X512),X512-S512,-S512)</f>
        <v>0</v>
      </c>
      <c r="AA512" s="13" t="str">
        <f aca="false">IF(NOT(ISNUMBER(X512)),"NO AUGUST POSTING IN EXPORT",IF(ABS(Y512)&gt;=0.005,"POSTED CHARGE MISMATCH",IF(P512&gt;0,"MATCH - COVERED ELIGIBILITY EXCEPTION","MATCH")))</f>
        <v>MATCH - COVERED ELIGIBILITY EXCEPTION</v>
      </c>
      <c r="AB512" s="13" t="s">
        <v>4778</v>
      </c>
    </row>
    <row r="513" customFormat="false" ht="15" hidden="false" customHeight="false" outlineLevel="0" collapsed="false">
      <c r="A513" s="9" t="s">
        <v>4779</v>
      </c>
      <c r="B513" s="9" t="s">
        <v>113</v>
      </c>
      <c r="C513" s="9" t="s">
        <v>114</v>
      </c>
      <c r="D513" s="9" t="s">
        <v>2002</v>
      </c>
      <c r="E513" s="9" t="s">
        <v>2538</v>
      </c>
      <c r="F513" s="9" t="s">
        <v>4780</v>
      </c>
      <c r="G513" s="9" t="s">
        <v>4781</v>
      </c>
      <c r="H513" s="9" t="s">
        <v>2068</v>
      </c>
      <c r="I513" s="11" t="n">
        <v>24</v>
      </c>
      <c r="J513" s="11" t="n">
        <v>43.7</v>
      </c>
      <c r="K513" s="11"/>
      <c r="L513" s="11"/>
      <c r="M513" s="11" t="n">
        <f aca="false">IF(ISNUMBER(L513),L513,J513)</f>
        <v>43.7</v>
      </c>
      <c r="N513" s="11" t="n">
        <f aca="false">ROUNDUP(M513,0)</f>
        <v>44</v>
      </c>
      <c r="O513" s="11" t="n">
        <f aca="false">MAX(I513,N513)</f>
        <v>44</v>
      </c>
      <c r="P513" s="11" t="n">
        <f aca="false">IF(C513="COVERED",MAX(0,O513-40),0)</f>
        <v>4</v>
      </c>
      <c r="Q513" s="11" t="n">
        <f aca="false">O513</f>
        <v>44</v>
      </c>
      <c r="R513" s="17" t="n">
        <f aca="false">IF(C513="COVERED",10.4,7.55)</f>
        <v>10.4</v>
      </c>
      <c r="S513" s="17" t="n">
        <f aca="false">Q513*R513</f>
        <v>457.6</v>
      </c>
      <c r="T513" s="9" t="s">
        <v>4782</v>
      </c>
      <c r="U513" s="10" t="n">
        <v>46235</v>
      </c>
      <c r="V513" s="9" t="n">
        <v>44</v>
      </c>
      <c r="W513" s="17" t="n">
        <v>10.4</v>
      </c>
      <c r="X513" s="17" t="n">
        <v>457.6</v>
      </c>
      <c r="Y513" s="17" t="n">
        <f aca="false">IF(ISNUMBER(X513),X513-S513,"")</f>
        <v>0</v>
      </c>
      <c r="Z513" s="17" t="n">
        <f aca="false">IF(ISNUMBER(X513),X513-S513,-S513)</f>
        <v>0</v>
      </c>
      <c r="AA513" s="9" t="str">
        <f aca="false">IF(NOT(ISNUMBER(X513)),"NO AUGUST POSTING IN EXPORT",IF(ABS(Y513)&gt;=0.005,"POSTED CHARGE MISMATCH",IF(P513&gt;0,"MATCH - COVERED ELIGIBILITY EXCEPTION","MATCH")))</f>
        <v>MATCH - COVERED ELIGIBILITY EXCEPTION</v>
      </c>
      <c r="AB513" s="9" t="s">
        <v>4783</v>
      </c>
    </row>
    <row r="514" customFormat="false" ht="15" hidden="false" customHeight="false" outlineLevel="0" collapsed="false">
      <c r="A514" s="13" t="s">
        <v>4784</v>
      </c>
      <c r="B514" s="13" t="s">
        <v>113</v>
      </c>
      <c r="C514" s="13" t="s">
        <v>114</v>
      </c>
      <c r="D514" s="13" t="s">
        <v>2002</v>
      </c>
      <c r="E514" s="13" t="s">
        <v>2545</v>
      </c>
      <c r="F514" s="13" t="s">
        <v>4785</v>
      </c>
      <c r="G514" s="13" t="s">
        <v>4786</v>
      </c>
      <c r="H514" s="13" t="s">
        <v>4493</v>
      </c>
      <c r="I514" s="15" t="n">
        <v>24</v>
      </c>
      <c r="J514" s="15" t="n">
        <v>44.4</v>
      </c>
      <c r="K514" s="15"/>
      <c r="L514" s="15"/>
      <c r="M514" s="15" t="n">
        <f aca="false">IF(ISNUMBER(L514),L514,J514)</f>
        <v>44.4</v>
      </c>
      <c r="N514" s="15" t="n">
        <f aca="false">ROUNDUP(M514,0)</f>
        <v>45</v>
      </c>
      <c r="O514" s="15" t="n">
        <f aca="false">MAX(I514,N514)</f>
        <v>45</v>
      </c>
      <c r="P514" s="15" t="n">
        <f aca="false">IF(C514="COVERED",MAX(0,O514-40),0)</f>
        <v>5</v>
      </c>
      <c r="Q514" s="15" t="n">
        <f aca="false">O514</f>
        <v>45</v>
      </c>
      <c r="R514" s="18" t="n">
        <f aca="false">IF(C514="COVERED",10.4,7.55)</f>
        <v>10.4</v>
      </c>
      <c r="S514" s="18" t="n">
        <f aca="false">Q514*R514</f>
        <v>468</v>
      </c>
      <c r="T514" s="13" t="s">
        <v>4787</v>
      </c>
      <c r="U514" s="14" t="n">
        <v>46235</v>
      </c>
      <c r="V514" s="13" t="n">
        <v>45</v>
      </c>
      <c r="W514" s="18" t="n">
        <v>10.4</v>
      </c>
      <c r="X514" s="18" t="n">
        <v>468</v>
      </c>
      <c r="Y514" s="18" t="n">
        <f aca="false">IF(ISNUMBER(X514),X514-S514,"")</f>
        <v>0</v>
      </c>
      <c r="Z514" s="18" t="n">
        <f aca="false">IF(ISNUMBER(X514),X514-S514,-S514)</f>
        <v>0</v>
      </c>
      <c r="AA514" s="13" t="str">
        <f aca="false">IF(NOT(ISNUMBER(X514)),"NO AUGUST POSTING IN EXPORT",IF(ABS(Y514)&gt;=0.005,"POSTED CHARGE MISMATCH",IF(P514&gt;0,"MATCH - COVERED ELIGIBILITY EXCEPTION","MATCH")))</f>
        <v>MATCH - COVERED ELIGIBILITY EXCEPTION</v>
      </c>
      <c r="AB514" s="13" t="s">
        <v>4788</v>
      </c>
    </row>
    <row r="515" customFormat="false" ht="15" hidden="false" customHeight="false" outlineLevel="0" collapsed="false">
      <c r="A515" s="9" t="s">
        <v>4789</v>
      </c>
      <c r="B515" s="9" t="s">
        <v>113</v>
      </c>
      <c r="C515" s="9" t="s">
        <v>114</v>
      </c>
      <c r="D515" s="9" t="s">
        <v>2002</v>
      </c>
      <c r="E515" s="9" t="s">
        <v>2550</v>
      </c>
      <c r="F515" s="9" t="s">
        <v>1116</v>
      </c>
      <c r="G515" s="9" t="s">
        <v>1117</v>
      </c>
      <c r="H515" s="9" t="s">
        <v>3781</v>
      </c>
      <c r="I515" s="11" t="n">
        <v>36</v>
      </c>
      <c r="J515" s="11" t="n">
        <v>28.9</v>
      </c>
      <c r="K515" s="11"/>
      <c r="L515" s="11"/>
      <c r="M515" s="11" t="n">
        <f aca="false">IF(ISNUMBER(L515),L515,J515)</f>
        <v>28.9</v>
      </c>
      <c r="N515" s="11" t="n">
        <f aca="false">ROUNDUP(M515,0)</f>
        <v>29</v>
      </c>
      <c r="O515" s="11" t="n">
        <f aca="false">MAX(I515,N515)</f>
        <v>36</v>
      </c>
      <c r="P515" s="11" t="n">
        <f aca="false">IF(C515="COVERED",MAX(0,O515-40),0)</f>
        <v>0</v>
      </c>
      <c r="Q515" s="11" t="n">
        <f aca="false">O515</f>
        <v>36</v>
      </c>
      <c r="R515" s="17" t="n">
        <f aca="false">IF(C515="COVERED",10.4,7.55)</f>
        <v>10.4</v>
      </c>
      <c r="S515" s="17" t="n">
        <f aca="false">Q515*R515</f>
        <v>374.4</v>
      </c>
      <c r="T515" s="9" t="s">
        <v>4790</v>
      </c>
      <c r="U515" s="10" t="n">
        <v>46235</v>
      </c>
      <c r="V515" s="9" t="n">
        <v>36</v>
      </c>
      <c r="W515" s="17" t="n">
        <v>10.4</v>
      </c>
      <c r="X515" s="17" t="n">
        <v>374.4</v>
      </c>
      <c r="Y515" s="17" t="n">
        <f aca="false">IF(ISNUMBER(X515),X515-S515,"")</f>
        <v>0</v>
      </c>
      <c r="Z515" s="17" t="n">
        <f aca="false">IF(ISNUMBER(X515),X515-S515,-S515)</f>
        <v>0</v>
      </c>
      <c r="AA515" s="9" t="str">
        <f aca="false">IF(NOT(ISNUMBER(X515)),"NO AUGUST POSTING IN EXPORT",IF(ABS(Y515)&gt;=0.005,"POSTED CHARGE MISMATCH",IF(P515&gt;0,"MATCH - COVERED ELIGIBILITY EXCEPTION","MATCH")))</f>
        <v>MATCH</v>
      </c>
      <c r="AB515" s="9" t="s">
        <v>4791</v>
      </c>
    </row>
    <row r="516" customFormat="false" ht="15" hidden="false" customHeight="false" outlineLevel="0" collapsed="false">
      <c r="A516" s="13" t="s">
        <v>4792</v>
      </c>
      <c r="B516" s="13" t="s">
        <v>113</v>
      </c>
      <c r="C516" s="13" t="s">
        <v>114</v>
      </c>
      <c r="D516" s="13" t="s">
        <v>2002</v>
      </c>
      <c r="E516" s="13" t="s">
        <v>2556</v>
      </c>
      <c r="F516" s="13" t="s">
        <v>4793</v>
      </c>
      <c r="G516" s="13" t="s">
        <v>4794</v>
      </c>
      <c r="H516" s="13" t="s">
        <v>4182</v>
      </c>
      <c r="I516" s="15" t="n">
        <v>28</v>
      </c>
      <c r="J516" s="15" t="n">
        <v>25.1</v>
      </c>
      <c r="K516" s="15"/>
      <c r="L516" s="15"/>
      <c r="M516" s="15" t="n">
        <f aca="false">IF(ISNUMBER(L516),L516,J516)</f>
        <v>25.1</v>
      </c>
      <c r="N516" s="15" t="n">
        <f aca="false">ROUNDUP(M516,0)</f>
        <v>26</v>
      </c>
      <c r="O516" s="15" t="n">
        <f aca="false">MAX(I516,N516)</f>
        <v>28</v>
      </c>
      <c r="P516" s="15" t="n">
        <f aca="false">IF(C516="COVERED",MAX(0,O516-40),0)</f>
        <v>0</v>
      </c>
      <c r="Q516" s="15" t="n">
        <f aca="false">O516</f>
        <v>28</v>
      </c>
      <c r="R516" s="18" t="n">
        <f aca="false">IF(C516="COVERED",10.4,7.55)</f>
        <v>10.4</v>
      </c>
      <c r="S516" s="18" t="n">
        <f aca="false">Q516*R516</f>
        <v>291.2</v>
      </c>
      <c r="T516" s="13" t="s">
        <v>4795</v>
      </c>
      <c r="U516" s="14" t="n">
        <v>46235</v>
      </c>
      <c r="V516" s="13" t="n">
        <v>28</v>
      </c>
      <c r="W516" s="18" t="n">
        <v>10.4</v>
      </c>
      <c r="X516" s="18" t="n">
        <v>291.2</v>
      </c>
      <c r="Y516" s="18" t="n">
        <f aca="false">IF(ISNUMBER(X516),X516-S516,"")</f>
        <v>0</v>
      </c>
      <c r="Z516" s="18" t="n">
        <f aca="false">IF(ISNUMBER(X516),X516-S516,-S516)</f>
        <v>0</v>
      </c>
      <c r="AA516" s="13" t="str">
        <f aca="false">IF(NOT(ISNUMBER(X516)),"NO AUGUST POSTING IN EXPORT",IF(ABS(Y516)&gt;=0.005,"POSTED CHARGE MISMATCH",IF(P516&gt;0,"MATCH - COVERED ELIGIBILITY EXCEPTION","MATCH")))</f>
        <v>MATCH</v>
      </c>
      <c r="AB516" s="13" t="s">
        <v>4796</v>
      </c>
    </row>
    <row r="517" customFormat="false" ht="15" hidden="false" customHeight="false" outlineLevel="0" collapsed="false">
      <c r="A517" s="9" t="s">
        <v>4797</v>
      </c>
      <c r="B517" s="9" t="s">
        <v>113</v>
      </c>
      <c r="C517" s="9" t="s">
        <v>114</v>
      </c>
      <c r="D517" s="9" t="s">
        <v>2002</v>
      </c>
      <c r="E517" s="9" t="s">
        <v>3828</v>
      </c>
      <c r="F517" s="9" t="s">
        <v>4798</v>
      </c>
      <c r="G517" s="9" t="s">
        <v>4799</v>
      </c>
      <c r="H517" s="9" t="s">
        <v>2027</v>
      </c>
      <c r="I517" s="11" t="n">
        <v>32</v>
      </c>
      <c r="J517" s="11" t="n">
        <v>33.5</v>
      </c>
      <c r="K517" s="11"/>
      <c r="L517" s="11"/>
      <c r="M517" s="11" t="n">
        <f aca="false">IF(ISNUMBER(L517),L517,J517)</f>
        <v>33.5</v>
      </c>
      <c r="N517" s="11" t="n">
        <f aca="false">ROUNDUP(M517,0)</f>
        <v>34</v>
      </c>
      <c r="O517" s="11" t="n">
        <f aca="false">MAX(I517,N517)</f>
        <v>34</v>
      </c>
      <c r="P517" s="11" t="n">
        <f aca="false">IF(C517="COVERED",MAX(0,O517-40),0)</f>
        <v>0</v>
      </c>
      <c r="Q517" s="11" t="n">
        <f aca="false">O517</f>
        <v>34</v>
      </c>
      <c r="R517" s="17" t="n">
        <f aca="false">IF(C517="COVERED",10.4,7.55)</f>
        <v>10.4</v>
      </c>
      <c r="S517" s="17" t="n">
        <f aca="false">Q517*R517</f>
        <v>353.6</v>
      </c>
      <c r="T517" s="9" t="s">
        <v>4800</v>
      </c>
      <c r="U517" s="10" t="n">
        <v>46235</v>
      </c>
      <c r="V517" s="9" t="n">
        <v>34</v>
      </c>
      <c r="W517" s="17" t="n">
        <v>10.4</v>
      </c>
      <c r="X517" s="17" t="n">
        <v>353.6</v>
      </c>
      <c r="Y517" s="17" t="n">
        <f aca="false">IF(ISNUMBER(X517),X517-S517,"")</f>
        <v>0</v>
      </c>
      <c r="Z517" s="17" t="n">
        <f aca="false">IF(ISNUMBER(X517),X517-S517,-S517)</f>
        <v>0</v>
      </c>
      <c r="AA517" s="9" t="str">
        <f aca="false">IF(NOT(ISNUMBER(X517)),"NO AUGUST POSTING IN EXPORT",IF(ABS(Y517)&gt;=0.005,"POSTED CHARGE MISMATCH",IF(P517&gt;0,"MATCH - COVERED ELIGIBILITY EXCEPTION","MATCH")))</f>
        <v>MATCH</v>
      </c>
      <c r="AB517" s="9" t="s">
        <v>4801</v>
      </c>
    </row>
    <row r="518" customFormat="false" ht="15" hidden="false" customHeight="false" outlineLevel="0" collapsed="false">
      <c r="A518" s="13" t="s">
        <v>4802</v>
      </c>
      <c r="B518" s="13" t="s">
        <v>113</v>
      </c>
      <c r="C518" s="13" t="s">
        <v>114</v>
      </c>
      <c r="D518" s="13" t="s">
        <v>2002</v>
      </c>
      <c r="E518" s="13" t="s">
        <v>2560</v>
      </c>
      <c r="F518" s="13" t="s">
        <v>4803</v>
      </c>
      <c r="G518" s="13" t="s">
        <v>4804</v>
      </c>
      <c r="H518" s="13" t="s">
        <v>4805</v>
      </c>
      <c r="I518" s="15" t="n">
        <v>40</v>
      </c>
      <c r="J518" s="15" t="n">
        <v>34.6</v>
      </c>
      <c r="K518" s="15"/>
      <c r="L518" s="15"/>
      <c r="M518" s="15" t="n">
        <f aca="false">IF(ISNUMBER(L518),L518,J518)</f>
        <v>34.6</v>
      </c>
      <c r="N518" s="15" t="n">
        <f aca="false">ROUNDUP(M518,0)</f>
        <v>35</v>
      </c>
      <c r="O518" s="15" t="n">
        <f aca="false">MAX(I518,N518)</f>
        <v>40</v>
      </c>
      <c r="P518" s="15" t="n">
        <f aca="false">IF(C518="COVERED",MAX(0,O518-40),0)</f>
        <v>0</v>
      </c>
      <c r="Q518" s="15" t="n">
        <f aca="false">O518</f>
        <v>40</v>
      </c>
      <c r="R518" s="18" t="n">
        <f aca="false">IF(C518="COVERED",10.4,7.55)</f>
        <v>10.4</v>
      </c>
      <c r="S518" s="18" t="n">
        <f aca="false">Q518*R518</f>
        <v>416</v>
      </c>
      <c r="T518" s="13" t="s">
        <v>4806</v>
      </c>
      <c r="U518" s="14" t="n">
        <v>46235</v>
      </c>
      <c r="V518" s="13" t="n">
        <v>40</v>
      </c>
      <c r="W518" s="18" t="n">
        <v>10.4</v>
      </c>
      <c r="X518" s="18" t="n">
        <v>416</v>
      </c>
      <c r="Y518" s="18" t="n">
        <f aca="false">IF(ISNUMBER(X518),X518-S518,"")</f>
        <v>0</v>
      </c>
      <c r="Z518" s="18" t="n">
        <f aca="false">IF(ISNUMBER(X518),X518-S518,-S518)</f>
        <v>0</v>
      </c>
      <c r="AA518" s="13" t="str">
        <f aca="false">IF(NOT(ISNUMBER(X518)),"NO AUGUST POSTING IN EXPORT",IF(ABS(Y518)&gt;=0.005,"POSTED CHARGE MISMATCH",IF(P518&gt;0,"MATCH - COVERED ELIGIBILITY EXCEPTION","MATCH")))</f>
        <v>MATCH</v>
      </c>
      <c r="AB518" s="13" t="s">
        <v>4807</v>
      </c>
    </row>
    <row r="519" customFormat="false" ht="15" hidden="false" customHeight="false" outlineLevel="0" collapsed="false">
      <c r="A519" s="9" t="s">
        <v>4808</v>
      </c>
      <c r="B519" s="9" t="s">
        <v>113</v>
      </c>
      <c r="C519" s="9" t="s">
        <v>114</v>
      </c>
      <c r="D519" s="9" t="s">
        <v>2002</v>
      </c>
      <c r="E519" s="9" t="s">
        <v>2567</v>
      </c>
      <c r="F519" s="9" t="s">
        <v>4809</v>
      </c>
      <c r="G519" s="9" t="s">
        <v>4810</v>
      </c>
      <c r="H519" s="9" t="s">
        <v>4187</v>
      </c>
      <c r="I519" s="11" t="n">
        <v>28</v>
      </c>
      <c r="J519" s="11" t="n">
        <v>28.5</v>
      </c>
      <c r="K519" s="11"/>
      <c r="L519" s="11"/>
      <c r="M519" s="11" t="n">
        <f aca="false">IF(ISNUMBER(L519),L519,J519)</f>
        <v>28.5</v>
      </c>
      <c r="N519" s="11" t="n">
        <f aca="false">ROUNDUP(M519,0)</f>
        <v>29</v>
      </c>
      <c r="O519" s="11" t="n">
        <f aca="false">MAX(I519,N519)</f>
        <v>29</v>
      </c>
      <c r="P519" s="11" t="n">
        <f aca="false">IF(C519="COVERED",MAX(0,O519-40),0)</f>
        <v>0</v>
      </c>
      <c r="Q519" s="11" t="n">
        <f aca="false">O519</f>
        <v>29</v>
      </c>
      <c r="R519" s="17" t="n">
        <f aca="false">IF(C519="COVERED",10.4,7.55)</f>
        <v>10.4</v>
      </c>
      <c r="S519" s="17" t="n">
        <f aca="false">Q519*R519</f>
        <v>301.6</v>
      </c>
      <c r="T519" s="9" t="s">
        <v>4811</v>
      </c>
      <c r="U519" s="10" t="n">
        <v>46235</v>
      </c>
      <c r="V519" s="9" t="n">
        <v>29</v>
      </c>
      <c r="W519" s="17" t="n">
        <v>10.4</v>
      </c>
      <c r="X519" s="17" t="n">
        <v>301.6</v>
      </c>
      <c r="Y519" s="17" t="n">
        <f aca="false">IF(ISNUMBER(X519),X519-S519,"")</f>
        <v>0</v>
      </c>
      <c r="Z519" s="17" t="n">
        <f aca="false">IF(ISNUMBER(X519),X519-S519,-S519)</f>
        <v>0</v>
      </c>
      <c r="AA519" s="9" t="str">
        <f aca="false">IF(NOT(ISNUMBER(X519)),"NO AUGUST POSTING IN EXPORT",IF(ABS(Y519)&gt;=0.005,"POSTED CHARGE MISMATCH",IF(P519&gt;0,"MATCH - COVERED ELIGIBILITY EXCEPTION","MATCH")))</f>
        <v>MATCH</v>
      </c>
      <c r="AB519" s="9" t="s">
        <v>4812</v>
      </c>
    </row>
    <row r="520" customFormat="false" ht="15" hidden="false" customHeight="false" outlineLevel="0" collapsed="false">
      <c r="A520" s="13" t="s">
        <v>4813</v>
      </c>
      <c r="B520" s="13" t="s">
        <v>113</v>
      </c>
      <c r="C520" s="13" t="s">
        <v>114</v>
      </c>
      <c r="D520" s="13" t="s">
        <v>2002</v>
      </c>
      <c r="E520" s="13" t="s">
        <v>2574</v>
      </c>
      <c r="F520" s="13" t="s">
        <v>4814</v>
      </c>
      <c r="G520" s="13" t="s">
        <v>4815</v>
      </c>
      <c r="H520" s="13" t="s">
        <v>4816</v>
      </c>
      <c r="I520" s="15" t="n">
        <v>32</v>
      </c>
      <c r="J520" s="15" t="n">
        <v>53.6</v>
      </c>
      <c r="K520" s="15"/>
      <c r="L520" s="15"/>
      <c r="M520" s="15" t="n">
        <f aca="false">IF(ISNUMBER(L520),L520,J520)</f>
        <v>53.6</v>
      </c>
      <c r="N520" s="15" t="n">
        <f aca="false">ROUNDUP(M520,0)</f>
        <v>54</v>
      </c>
      <c r="O520" s="15" t="n">
        <f aca="false">MAX(I520,N520)</f>
        <v>54</v>
      </c>
      <c r="P520" s="15" t="n">
        <f aca="false">IF(C520="COVERED",MAX(0,O520-40),0)</f>
        <v>14</v>
      </c>
      <c r="Q520" s="15" t="n">
        <f aca="false">O520</f>
        <v>54</v>
      </c>
      <c r="R520" s="18" t="n">
        <f aca="false">IF(C520="COVERED",10.4,7.55)</f>
        <v>10.4</v>
      </c>
      <c r="S520" s="18" t="n">
        <f aca="false">Q520*R520</f>
        <v>561.6</v>
      </c>
      <c r="T520" s="13" t="s">
        <v>4817</v>
      </c>
      <c r="U520" s="14" t="n">
        <v>46235</v>
      </c>
      <c r="V520" s="13" t="n">
        <v>54</v>
      </c>
      <c r="W520" s="18" t="n">
        <v>10.4</v>
      </c>
      <c r="X520" s="18" t="n">
        <v>561.6</v>
      </c>
      <c r="Y520" s="18" t="n">
        <f aca="false">IF(ISNUMBER(X520),X520-S520,"")</f>
        <v>0</v>
      </c>
      <c r="Z520" s="18" t="n">
        <f aca="false">IF(ISNUMBER(X520),X520-S520,-S520)</f>
        <v>0</v>
      </c>
      <c r="AA520" s="13" t="str">
        <f aca="false">IF(NOT(ISNUMBER(X520)),"NO AUGUST POSTING IN EXPORT",IF(ABS(Y520)&gt;=0.005,"POSTED CHARGE MISMATCH",IF(P520&gt;0,"MATCH - COVERED ELIGIBILITY EXCEPTION","MATCH")))</f>
        <v>MATCH - COVERED ELIGIBILITY EXCEPTION</v>
      </c>
      <c r="AB520" s="13" t="s">
        <v>4818</v>
      </c>
    </row>
    <row r="521" customFormat="false" ht="15" hidden="false" customHeight="false" outlineLevel="0" collapsed="false">
      <c r="A521" s="9" t="s">
        <v>4819</v>
      </c>
      <c r="B521" s="9" t="s">
        <v>113</v>
      </c>
      <c r="C521" s="9" t="s">
        <v>114</v>
      </c>
      <c r="D521" s="9" t="s">
        <v>2002</v>
      </c>
      <c r="E521" s="9" t="s">
        <v>2581</v>
      </c>
      <c r="F521" s="9" t="s">
        <v>4820</v>
      </c>
      <c r="G521" s="9" t="s">
        <v>4821</v>
      </c>
      <c r="H521" s="9" t="s">
        <v>4822</v>
      </c>
      <c r="I521" s="11" t="n">
        <v>24</v>
      </c>
      <c r="J521" s="11" t="n">
        <v>34</v>
      </c>
      <c r="K521" s="11"/>
      <c r="L521" s="11"/>
      <c r="M521" s="11" t="n">
        <f aca="false">IF(ISNUMBER(L521),L521,J521)</f>
        <v>34</v>
      </c>
      <c r="N521" s="11" t="n">
        <f aca="false">ROUNDUP(M521,0)</f>
        <v>34</v>
      </c>
      <c r="O521" s="11" t="n">
        <f aca="false">MAX(I521,N521)</f>
        <v>34</v>
      </c>
      <c r="P521" s="11" t="n">
        <f aca="false">IF(C521="COVERED",MAX(0,O521-40),0)</f>
        <v>0</v>
      </c>
      <c r="Q521" s="11" t="n">
        <f aca="false">O521</f>
        <v>34</v>
      </c>
      <c r="R521" s="17" t="n">
        <f aca="false">IF(C521="COVERED",10.4,7.55)</f>
        <v>10.4</v>
      </c>
      <c r="S521" s="17" t="n">
        <f aca="false">Q521*R521</f>
        <v>353.6</v>
      </c>
      <c r="T521" s="9" t="s">
        <v>4823</v>
      </c>
      <c r="U521" s="10" t="n">
        <v>46235</v>
      </c>
      <c r="V521" s="9" t="n">
        <v>34</v>
      </c>
      <c r="W521" s="17" t="n">
        <v>10.4</v>
      </c>
      <c r="X521" s="17" t="n">
        <v>353.6</v>
      </c>
      <c r="Y521" s="17" t="n">
        <f aca="false">IF(ISNUMBER(X521),X521-S521,"")</f>
        <v>0</v>
      </c>
      <c r="Z521" s="17" t="n">
        <f aca="false">IF(ISNUMBER(X521),X521-S521,-S521)</f>
        <v>0</v>
      </c>
      <c r="AA521" s="9" t="str">
        <f aca="false">IF(NOT(ISNUMBER(X521)),"NO AUGUST POSTING IN EXPORT",IF(ABS(Y521)&gt;=0.005,"POSTED CHARGE MISMATCH",IF(P521&gt;0,"MATCH - COVERED ELIGIBILITY EXCEPTION","MATCH")))</f>
        <v>MATCH</v>
      </c>
      <c r="AB521" s="9" t="s">
        <v>4824</v>
      </c>
    </row>
    <row r="522" customFormat="false" ht="15" hidden="false" customHeight="false" outlineLevel="0" collapsed="false">
      <c r="A522" s="13" t="s">
        <v>1560</v>
      </c>
      <c r="B522" s="13" t="s">
        <v>113</v>
      </c>
      <c r="C522" s="13" t="s">
        <v>114</v>
      </c>
      <c r="D522" s="13" t="s">
        <v>2002</v>
      </c>
      <c r="E522" s="13" t="s">
        <v>2588</v>
      </c>
      <c r="F522" s="13" t="s">
        <v>4825</v>
      </c>
      <c r="G522" s="13" t="s">
        <v>4826</v>
      </c>
      <c r="H522" s="13" t="s">
        <v>3182</v>
      </c>
      <c r="I522" s="15" t="n">
        <v>28</v>
      </c>
      <c r="J522" s="15" t="n">
        <v>57.8</v>
      </c>
      <c r="K522" s="15"/>
      <c r="L522" s="15"/>
      <c r="M522" s="15" t="n">
        <f aca="false">IF(ISNUMBER(L522),L522,J522)</f>
        <v>57.8</v>
      </c>
      <c r="N522" s="15" t="n">
        <f aca="false">ROUNDUP(M522,0)</f>
        <v>58</v>
      </c>
      <c r="O522" s="15" t="n">
        <f aca="false">MAX(I522,N522)</f>
        <v>58</v>
      </c>
      <c r="P522" s="15" t="n">
        <f aca="false">IF(C522="COVERED",MAX(0,O522-40),0)</f>
        <v>18</v>
      </c>
      <c r="Q522" s="15" t="n">
        <f aca="false">O522</f>
        <v>58</v>
      </c>
      <c r="R522" s="18" t="n">
        <f aca="false">IF(C522="COVERED",10.4,7.55)</f>
        <v>10.4</v>
      </c>
      <c r="S522" s="18" t="n">
        <f aca="false">Q522*R522</f>
        <v>603.2</v>
      </c>
      <c r="T522" s="13" t="s">
        <v>4827</v>
      </c>
      <c r="U522" s="14" t="n">
        <v>46235</v>
      </c>
      <c r="V522" s="13" t="n">
        <v>58</v>
      </c>
      <c r="W522" s="18" t="n">
        <v>10.4</v>
      </c>
      <c r="X522" s="18" t="n">
        <v>603.2</v>
      </c>
      <c r="Y522" s="18" t="n">
        <f aca="false">IF(ISNUMBER(X522),X522-S522,"")</f>
        <v>0</v>
      </c>
      <c r="Z522" s="18" t="n">
        <f aca="false">IF(ISNUMBER(X522),X522-S522,-S522)</f>
        <v>0</v>
      </c>
      <c r="AA522" s="13" t="str">
        <f aca="false">IF(NOT(ISNUMBER(X522)),"NO AUGUST POSTING IN EXPORT",IF(ABS(Y522)&gt;=0.005,"POSTED CHARGE MISMATCH",IF(P522&gt;0,"MATCH - COVERED ELIGIBILITY EXCEPTION","MATCH")))</f>
        <v>MATCH - COVERED ELIGIBILITY EXCEPTION</v>
      </c>
      <c r="AB522" s="13" t="s">
        <v>4828</v>
      </c>
    </row>
    <row r="523" customFormat="false" ht="15" hidden="false" customHeight="false" outlineLevel="0" collapsed="false">
      <c r="A523" s="9" t="s">
        <v>4829</v>
      </c>
      <c r="B523" s="9" t="s">
        <v>113</v>
      </c>
      <c r="C523" s="9" t="s">
        <v>114</v>
      </c>
      <c r="D523" s="9" t="s">
        <v>2002</v>
      </c>
      <c r="E523" s="9" t="s">
        <v>2595</v>
      </c>
      <c r="F523" s="9" t="s">
        <v>4830</v>
      </c>
      <c r="G523" s="9" t="s">
        <v>4831</v>
      </c>
      <c r="H523" s="9" t="s">
        <v>3747</v>
      </c>
      <c r="I523" s="11" t="n">
        <v>28</v>
      </c>
      <c r="J523" s="11" t="n">
        <v>57.9</v>
      </c>
      <c r="K523" s="11"/>
      <c r="L523" s="11"/>
      <c r="M523" s="11" t="n">
        <f aca="false">IF(ISNUMBER(L523),L523,J523)</f>
        <v>57.9</v>
      </c>
      <c r="N523" s="11" t="n">
        <f aca="false">ROUNDUP(M523,0)</f>
        <v>58</v>
      </c>
      <c r="O523" s="11" t="n">
        <f aca="false">MAX(I523,N523)</f>
        <v>58</v>
      </c>
      <c r="P523" s="11" t="n">
        <f aca="false">IF(C523="COVERED",MAX(0,O523-40),0)</f>
        <v>18</v>
      </c>
      <c r="Q523" s="11" t="n">
        <f aca="false">O523</f>
        <v>58</v>
      </c>
      <c r="R523" s="17" t="n">
        <f aca="false">IF(C523="COVERED",10.4,7.55)</f>
        <v>10.4</v>
      </c>
      <c r="S523" s="17" t="n">
        <f aca="false">Q523*R523</f>
        <v>603.2</v>
      </c>
      <c r="T523" s="9" t="s">
        <v>4832</v>
      </c>
      <c r="U523" s="10" t="n">
        <v>46235</v>
      </c>
      <c r="V523" s="9" t="n">
        <v>58</v>
      </c>
      <c r="W523" s="17" t="n">
        <v>10.4</v>
      </c>
      <c r="X523" s="17" t="n">
        <v>603.2</v>
      </c>
      <c r="Y523" s="17" t="n">
        <f aca="false">IF(ISNUMBER(X523),X523-S523,"")</f>
        <v>0</v>
      </c>
      <c r="Z523" s="17" t="n">
        <f aca="false">IF(ISNUMBER(X523),X523-S523,-S523)</f>
        <v>0</v>
      </c>
      <c r="AA523" s="9" t="str">
        <f aca="false">IF(NOT(ISNUMBER(X523)),"NO AUGUST POSTING IN EXPORT",IF(ABS(Y523)&gt;=0.005,"POSTED CHARGE MISMATCH",IF(P523&gt;0,"MATCH - COVERED ELIGIBILITY EXCEPTION","MATCH")))</f>
        <v>MATCH - COVERED ELIGIBILITY EXCEPTION</v>
      </c>
      <c r="AB523" s="9" t="s">
        <v>4833</v>
      </c>
    </row>
    <row r="524" customFormat="false" ht="15" hidden="false" customHeight="false" outlineLevel="0" collapsed="false">
      <c r="A524" s="13" t="s">
        <v>4834</v>
      </c>
      <c r="B524" s="13" t="s">
        <v>113</v>
      </c>
      <c r="C524" s="13" t="s">
        <v>114</v>
      </c>
      <c r="D524" s="13" t="s">
        <v>2002</v>
      </c>
      <c r="E524" s="13" t="s">
        <v>2602</v>
      </c>
      <c r="F524" s="13" t="s">
        <v>4835</v>
      </c>
      <c r="G524" s="13" t="s">
        <v>4836</v>
      </c>
      <c r="H524" s="13" t="s">
        <v>4837</v>
      </c>
      <c r="I524" s="15" t="n">
        <v>24</v>
      </c>
      <c r="J524" s="15" t="n">
        <v>46.7</v>
      </c>
      <c r="K524" s="15"/>
      <c r="L524" s="15"/>
      <c r="M524" s="15" t="n">
        <f aca="false">IF(ISNUMBER(L524),L524,J524)</f>
        <v>46.7</v>
      </c>
      <c r="N524" s="15" t="n">
        <f aca="false">ROUNDUP(M524,0)</f>
        <v>47</v>
      </c>
      <c r="O524" s="15" t="n">
        <f aca="false">MAX(I524,N524)</f>
        <v>47</v>
      </c>
      <c r="P524" s="15" t="n">
        <f aca="false">IF(C524="COVERED",MAX(0,O524-40),0)</f>
        <v>7</v>
      </c>
      <c r="Q524" s="15" t="n">
        <f aca="false">O524</f>
        <v>47</v>
      </c>
      <c r="R524" s="18" t="n">
        <f aca="false">IF(C524="COVERED",10.4,7.55)</f>
        <v>10.4</v>
      </c>
      <c r="S524" s="18" t="n">
        <f aca="false">Q524*R524</f>
        <v>488.8</v>
      </c>
      <c r="T524" s="13" t="s">
        <v>4838</v>
      </c>
      <c r="U524" s="14" t="n">
        <v>46235</v>
      </c>
      <c r="V524" s="13" t="n">
        <v>47</v>
      </c>
      <c r="W524" s="18" t="n">
        <v>10.4</v>
      </c>
      <c r="X524" s="18" t="n">
        <v>488.8</v>
      </c>
      <c r="Y524" s="18" t="n">
        <f aca="false">IF(ISNUMBER(X524),X524-S524,"")</f>
        <v>0</v>
      </c>
      <c r="Z524" s="18" t="n">
        <f aca="false">IF(ISNUMBER(X524),X524-S524,-S524)</f>
        <v>0</v>
      </c>
      <c r="AA524" s="13" t="str">
        <f aca="false">IF(NOT(ISNUMBER(X524)),"NO AUGUST POSTING IN EXPORT",IF(ABS(Y524)&gt;=0.005,"POSTED CHARGE MISMATCH",IF(P524&gt;0,"MATCH - COVERED ELIGIBILITY EXCEPTION","MATCH")))</f>
        <v>MATCH - COVERED ELIGIBILITY EXCEPTION</v>
      </c>
      <c r="AB524" s="13" t="s">
        <v>4839</v>
      </c>
    </row>
    <row r="525" customFormat="false" ht="15" hidden="false" customHeight="false" outlineLevel="0" collapsed="false">
      <c r="A525" s="9" t="s">
        <v>4840</v>
      </c>
      <c r="B525" s="9" t="s">
        <v>113</v>
      </c>
      <c r="C525" s="9" t="s">
        <v>114</v>
      </c>
      <c r="D525" s="9" t="s">
        <v>2002</v>
      </c>
      <c r="E525" s="9" t="s">
        <v>2609</v>
      </c>
      <c r="F525" s="9" t="s">
        <v>1436</v>
      </c>
      <c r="G525" s="9" t="s">
        <v>1437</v>
      </c>
      <c r="H525" s="9" t="s">
        <v>3377</v>
      </c>
      <c r="I525" s="11" t="n">
        <v>32</v>
      </c>
      <c r="J525" s="11" t="n">
        <v>41</v>
      </c>
      <c r="K525" s="11"/>
      <c r="L525" s="11"/>
      <c r="M525" s="11" t="n">
        <f aca="false">IF(ISNUMBER(L525),L525,J525)</f>
        <v>41</v>
      </c>
      <c r="N525" s="11" t="n">
        <f aca="false">ROUNDUP(M525,0)</f>
        <v>41</v>
      </c>
      <c r="O525" s="11" t="n">
        <f aca="false">MAX(I525,N525)</f>
        <v>41</v>
      </c>
      <c r="P525" s="11" t="n">
        <f aca="false">IF(C525="COVERED",MAX(0,O525-40),0)</f>
        <v>1</v>
      </c>
      <c r="Q525" s="11" t="n">
        <f aca="false">O525</f>
        <v>41</v>
      </c>
      <c r="R525" s="17" t="n">
        <f aca="false">IF(C525="COVERED",10.4,7.55)</f>
        <v>10.4</v>
      </c>
      <c r="S525" s="17" t="n">
        <f aca="false">Q525*R525</f>
        <v>426.4</v>
      </c>
      <c r="T525" s="9" t="s">
        <v>4841</v>
      </c>
      <c r="U525" s="10" t="n">
        <v>46235</v>
      </c>
      <c r="V525" s="9" t="n">
        <v>41</v>
      </c>
      <c r="W525" s="17" t="n">
        <v>10.4</v>
      </c>
      <c r="X525" s="17" t="n">
        <v>426.4</v>
      </c>
      <c r="Y525" s="17" t="n">
        <f aca="false">IF(ISNUMBER(X525),X525-S525,"")</f>
        <v>0</v>
      </c>
      <c r="Z525" s="17" t="n">
        <f aca="false">IF(ISNUMBER(X525),X525-S525,-S525)</f>
        <v>0</v>
      </c>
      <c r="AA525" s="9" t="str">
        <f aca="false">IF(NOT(ISNUMBER(X525)),"NO AUGUST POSTING IN EXPORT",IF(ABS(Y525)&gt;=0.005,"POSTED CHARGE MISMATCH",IF(P525&gt;0,"MATCH - COVERED ELIGIBILITY EXCEPTION","MATCH")))</f>
        <v>MATCH - COVERED ELIGIBILITY EXCEPTION</v>
      </c>
      <c r="AB525" s="9" t="s">
        <v>4842</v>
      </c>
    </row>
    <row r="526" customFormat="false" ht="15" hidden="false" customHeight="false" outlineLevel="0" collapsed="false">
      <c r="A526" s="13" t="s">
        <v>4843</v>
      </c>
      <c r="B526" s="13" t="s">
        <v>113</v>
      </c>
      <c r="C526" s="13" t="s">
        <v>114</v>
      </c>
      <c r="D526" s="13" t="s">
        <v>2002</v>
      </c>
      <c r="E526" s="13" t="s">
        <v>2615</v>
      </c>
      <c r="F526" s="13" t="s">
        <v>4844</v>
      </c>
      <c r="G526" s="13" t="s">
        <v>4845</v>
      </c>
      <c r="H526" s="13" t="s">
        <v>3189</v>
      </c>
      <c r="I526" s="15" t="n">
        <v>24</v>
      </c>
      <c r="J526" s="15" t="n">
        <v>56.6</v>
      </c>
      <c r="K526" s="15"/>
      <c r="L526" s="15"/>
      <c r="M526" s="15" t="n">
        <f aca="false">IF(ISNUMBER(L526),L526,J526)</f>
        <v>56.6</v>
      </c>
      <c r="N526" s="15" t="n">
        <f aca="false">ROUNDUP(M526,0)</f>
        <v>57</v>
      </c>
      <c r="O526" s="15" t="n">
        <f aca="false">MAX(I526,N526)</f>
        <v>57</v>
      </c>
      <c r="P526" s="15" t="n">
        <f aca="false">IF(C526="COVERED",MAX(0,O526-40),0)</f>
        <v>17</v>
      </c>
      <c r="Q526" s="15" t="n">
        <f aca="false">O526</f>
        <v>57</v>
      </c>
      <c r="R526" s="18" t="n">
        <f aca="false">IF(C526="COVERED",10.4,7.55)</f>
        <v>10.4</v>
      </c>
      <c r="S526" s="18" t="n">
        <f aca="false">Q526*R526</f>
        <v>592.8</v>
      </c>
      <c r="T526" s="13" t="s">
        <v>4846</v>
      </c>
      <c r="U526" s="14" t="n">
        <v>46235</v>
      </c>
      <c r="V526" s="13" t="n">
        <v>57</v>
      </c>
      <c r="W526" s="18" t="n">
        <v>10.4</v>
      </c>
      <c r="X526" s="18" t="n">
        <v>592.8</v>
      </c>
      <c r="Y526" s="18" t="n">
        <f aca="false">IF(ISNUMBER(X526),X526-S526,"")</f>
        <v>0</v>
      </c>
      <c r="Z526" s="18" t="n">
        <f aca="false">IF(ISNUMBER(X526),X526-S526,-S526)</f>
        <v>0</v>
      </c>
      <c r="AA526" s="13" t="str">
        <f aca="false">IF(NOT(ISNUMBER(X526)),"NO AUGUST POSTING IN EXPORT",IF(ABS(Y526)&gt;=0.005,"POSTED CHARGE MISMATCH",IF(P526&gt;0,"MATCH - COVERED ELIGIBILITY EXCEPTION","MATCH")))</f>
        <v>MATCH - COVERED ELIGIBILITY EXCEPTION</v>
      </c>
      <c r="AB526" s="13" t="s">
        <v>4847</v>
      </c>
    </row>
    <row r="527" customFormat="false" ht="15" hidden="false" customHeight="false" outlineLevel="0" collapsed="false">
      <c r="A527" s="9" t="s">
        <v>4848</v>
      </c>
      <c r="B527" s="9" t="s">
        <v>113</v>
      </c>
      <c r="C527" s="9" t="s">
        <v>114</v>
      </c>
      <c r="D527" s="9" t="s">
        <v>2002</v>
      </c>
      <c r="E527" s="9" t="s">
        <v>3878</v>
      </c>
      <c r="F527" s="9" t="s">
        <v>4849</v>
      </c>
      <c r="G527" s="9" t="s">
        <v>4850</v>
      </c>
      <c r="H527" s="9" t="s">
        <v>2257</v>
      </c>
      <c r="I527" s="11" t="n">
        <v>32</v>
      </c>
      <c r="J527" s="11" t="n">
        <v>50</v>
      </c>
      <c r="K527" s="11"/>
      <c r="L527" s="11"/>
      <c r="M527" s="11" t="n">
        <f aca="false">IF(ISNUMBER(L527),L527,J527)</f>
        <v>50</v>
      </c>
      <c r="N527" s="11" t="n">
        <f aca="false">ROUNDUP(M527,0)</f>
        <v>50</v>
      </c>
      <c r="O527" s="11" t="n">
        <f aca="false">MAX(I527,N527)</f>
        <v>50</v>
      </c>
      <c r="P527" s="11" t="n">
        <f aca="false">IF(C527="COVERED",MAX(0,O527-40),0)</f>
        <v>10</v>
      </c>
      <c r="Q527" s="11" t="n">
        <f aca="false">O527</f>
        <v>50</v>
      </c>
      <c r="R527" s="17" t="n">
        <f aca="false">IF(C527="COVERED",10.4,7.55)</f>
        <v>10.4</v>
      </c>
      <c r="S527" s="17" t="n">
        <f aca="false">Q527*R527</f>
        <v>520</v>
      </c>
      <c r="T527" s="9" t="s">
        <v>4851</v>
      </c>
      <c r="U527" s="10" t="n">
        <v>46235</v>
      </c>
      <c r="V527" s="9" t="n">
        <v>50</v>
      </c>
      <c r="W527" s="17" t="n">
        <v>10.4</v>
      </c>
      <c r="X527" s="17" t="n">
        <v>520</v>
      </c>
      <c r="Y527" s="17" t="n">
        <f aca="false">IF(ISNUMBER(X527),X527-S527,"")</f>
        <v>0</v>
      </c>
      <c r="Z527" s="17" t="n">
        <f aca="false">IF(ISNUMBER(X527),X527-S527,-S527)</f>
        <v>0</v>
      </c>
      <c r="AA527" s="9" t="str">
        <f aca="false">IF(NOT(ISNUMBER(X527)),"NO AUGUST POSTING IN EXPORT",IF(ABS(Y527)&gt;=0.005,"POSTED CHARGE MISMATCH",IF(P527&gt;0,"MATCH - COVERED ELIGIBILITY EXCEPTION","MATCH")))</f>
        <v>MATCH - COVERED ELIGIBILITY EXCEPTION</v>
      </c>
      <c r="AB527" s="9" t="s">
        <v>4852</v>
      </c>
    </row>
    <row r="528" customFormat="false" ht="15" hidden="false" customHeight="false" outlineLevel="0" collapsed="false">
      <c r="A528" s="13" t="s">
        <v>4853</v>
      </c>
      <c r="B528" s="13" t="s">
        <v>113</v>
      </c>
      <c r="C528" s="13" t="s">
        <v>114</v>
      </c>
      <c r="D528" s="13" t="s">
        <v>2002</v>
      </c>
      <c r="E528" s="13" t="s">
        <v>2622</v>
      </c>
      <c r="F528" s="13" t="s">
        <v>4854</v>
      </c>
      <c r="G528" s="13" t="s">
        <v>4855</v>
      </c>
      <c r="H528" s="13" t="s">
        <v>4856</v>
      </c>
      <c r="I528" s="15" t="n">
        <v>36</v>
      </c>
      <c r="J528" s="15" t="n">
        <v>58.7</v>
      </c>
      <c r="K528" s="15"/>
      <c r="L528" s="15"/>
      <c r="M528" s="15" t="n">
        <f aca="false">IF(ISNUMBER(L528),L528,J528)</f>
        <v>58.7</v>
      </c>
      <c r="N528" s="15" t="n">
        <f aca="false">ROUNDUP(M528,0)</f>
        <v>59</v>
      </c>
      <c r="O528" s="15" t="n">
        <f aca="false">MAX(I528,N528)</f>
        <v>59</v>
      </c>
      <c r="P528" s="15" t="n">
        <f aca="false">IF(C528="COVERED",MAX(0,O528-40),0)</f>
        <v>19</v>
      </c>
      <c r="Q528" s="15" t="n">
        <f aca="false">O528</f>
        <v>59</v>
      </c>
      <c r="R528" s="18" t="n">
        <f aca="false">IF(C528="COVERED",10.4,7.55)</f>
        <v>10.4</v>
      </c>
      <c r="S528" s="18" t="n">
        <f aca="false">Q528*R528</f>
        <v>613.6</v>
      </c>
      <c r="T528" s="13" t="s">
        <v>4857</v>
      </c>
      <c r="U528" s="14" t="n">
        <v>46235</v>
      </c>
      <c r="V528" s="13" t="n">
        <v>59</v>
      </c>
      <c r="W528" s="18" t="n">
        <v>10.4</v>
      </c>
      <c r="X528" s="18" t="n">
        <v>613.6</v>
      </c>
      <c r="Y528" s="18" t="n">
        <f aca="false">IF(ISNUMBER(X528),X528-S528,"")</f>
        <v>0</v>
      </c>
      <c r="Z528" s="18" t="n">
        <f aca="false">IF(ISNUMBER(X528),X528-S528,-S528)</f>
        <v>0</v>
      </c>
      <c r="AA528" s="13" t="str">
        <f aca="false">IF(NOT(ISNUMBER(X528)),"NO AUGUST POSTING IN EXPORT",IF(ABS(Y528)&gt;=0.005,"POSTED CHARGE MISMATCH",IF(P528&gt;0,"MATCH - COVERED ELIGIBILITY EXCEPTION","MATCH")))</f>
        <v>MATCH - COVERED ELIGIBILITY EXCEPTION</v>
      </c>
      <c r="AB528" s="13" t="s">
        <v>4858</v>
      </c>
    </row>
    <row r="529" customFormat="false" ht="15" hidden="false" customHeight="false" outlineLevel="0" collapsed="false">
      <c r="A529" s="9" t="s">
        <v>4859</v>
      </c>
      <c r="B529" s="9" t="s">
        <v>113</v>
      </c>
      <c r="C529" s="9" t="s">
        <v>114</v>
      </c>
      <c r="D529" s="9" t="s">
        <v>2002</v>
      </c>
      <c r="E529" s="9" t="s">
        <v>2627</v>
      </c>
      <c r="F529" s="9" t="s">
        <v>4860</v>
      </c>
      <c r="G529" s="9" t="s">
        <v>4861</v>
      </c>
      <c r="H529" s="9" t="s">
        <v>3093</v>
      </c>
      <c r="I529" s="11" t="n">
        <v>40</v>
      </c>
      <c r="J529" s="11" t="n">
        <v>23.7</v>
      </c>
      <c r="K529" s="11"/>
      <c r="L529" s="11"/>
      <c r="M529" s="11" t="n">
        <f aca="false">IF(ISNUMBER(L529),L529,J529)</f>
        <v>23.7</v>
      </c>
      <c r="N529" s="11" t="n">
        <f aca="false">ROUNDUP(M529,0)</f>
        <v>24</v>
      </c>
      <c r="O529" s="11" t="n">
        <f aca="false">MAX(I529,N529)</f>
        <v>40</v>
      </c>
      <c r="P529" s="11" t="n">
        <f aca="false">IF(C529="COVERED",MAX(0,O529-40),0)</f>
        <v>0</v>
      </c>
      <c r="Q529" s="11" t="n">
        <f aca="false">O529</f>
        <v>40</v>
      </c>
      <c r="R529" s="17" t="n">
        <f aca="false">IF(C529="COVERED",10.4,7.55)</f>
        <v>10.4</v>
      </c>
      <c r="S529" s="17" t="n">
        <f aca="false">Q529*R529</f>
        <v>416</v>
      </c>
      <c r="T529" s="9" t="s">
        <v>4862</v>
      </c>
      <c r="U529" s="10" t="n">
        <v>46235</v>
      </c>
      <c r="V529" s="9" t="n">
        <v>40</v>
      </c>
      <c r="W529" s="17" t="n">
        <v>10.4</v>
      </c>
      <c r="X529" s="17" t="n">
        <v>416</v>
      </c>
      <c r="Y529" s="17" t="n">
        <f aca="false">IF(ISNUMBER(X529),X529-S529,"")</f>
        <v>0</v>
      </c>
      <c r="Z529" s="17" t="n">
        <f aca="false">IF(ISNUMBER(X529),X529-S529,-S529)</f>
        <v>0</v>
      </c>
      <c r="AA529" s="9" t="str">
        <f aca="false">IF(NOT(ISNUMBER(X529)),"NO AUGUST POSTING IN EXPORT",IF(ABS(Y529)&gt;=0.005,"POSTED CHARGE MISMATCH",IF(P529&gt;0,"MATCH - COVERED ELIGIBILITY EXCEPTION","MATCH")))</f>
        <v>MATCH</v>
      </c>
      <c r="AB529" s="9" t="s">
        <v>4863</v>
      </c>
    </row>
    <row r="530" customFormat="false" ht="15" hidden="false" customHeight="false" outlineLevel="0" collapsed="false">
      <c r="A530" s="13" t="s">
        <v>4864</v>
      </c>
      <c r="B530" s="13" t="s">
        <v>113</v>
      </c>
      <c r="C530" s="13" t="s">
        <v>114</v>
      </c>
      <c r="D530" s="13" t="s">
        <v>2002</v>
      </c>
      <c r="E530" s="13" t="s">
        <v>2634</v>
      </c>
      <c r="F530" s="13" t="s">
        <v>4865</v>
      </c>
      <c r="G530" s="13" t="s">
        <v>4866</v>
      </c>
      <c r="H530" s="13" t="s">
        <v>4856</v>
      </c>
      <c r="I530" s="15" t="n">
        <v>40</v>
      </c>
      <c r="J530" s="15" t="n">
        <v>19</v>
      </c>
      <c r="K530" s="15"/>
      <c r="L530" s="15"/>
      <c r="M530" s="15" t="n">
        <f aca="false">IF(ISNUMBER(L530),L530,J530)</f>
        <v>19</v>
      </c>
      <c r="N530" s="15" t="n">
        <f aca="false">ROUNDUP(M530,0)</f>
        <v>19</v>
      </c>
      <c r="O530" s="15" t="n">
        <f aca="false">MAX(I530,N530)</f>
        <v>40</v>
      </c>
      <c r="P530" s="15" t="n">
        <f aca="false">IF(C530="COVERED",MAX(0,O530-40),0)</f>
        <v>0</v>
      </c>
      <c r="Q530" s="15" t="n">
        <f aca="false">O530</f>
        <v>40</v>
      </c>
      <c r="R530" s="18" t="n">
        <f aca="false">IF(C530="COVERED",10.4,7.55)</f>
        <v>10.4</v>
      </c>
      <c r="S530" s="18" t="n">
        <f aca="false">Q530*R530</f>
        <v>416</v>
      </c>
      <c r="T530" s="13" t="s">
        <v>4867</v>
      </c>
      <c r="U530" s="14" t="n">
        <v>46235</v>
      </c>
      <c r="V530" s="13" t="n">
        <v>40</v>
      </c>
      <c r="W530" s="18" t="n">
        <v>10.4</v>
      </c>
      <c r="X530" s="18" t="n">
        <v>416</v>
      </c>
      <c r="Y530" s="18" t="n">
        <f aca="false">IF(ISNUMBER(X530),X530-S530,"")</f>
        <v>0</v>
      </c>
      <c r="Z530" s="18" t="n">
        <f aca="false">IF(ISNUMBER(X530),X530-S530,-S530)</f>
        <v>0</v>
      </c>
      <c r="AA530" s="13" t="str">
        <f aca="false">IF(NOT(ISNUMBER(X530)),"NO AUGUST POSTING IN EXPORT",IF(ABS(Y530)&gt;=0.005,"POSTED CHARGE MISMATCH",IF(P530&gt;0,"MATCH - COVERED ELIGIBILITY EXCEPTION","MATCH")))</f>
        <v>MATCH</v>
      </c>
      <c r="AB530" s="13" t="s">
        <v>4868</v>
      </c>
    </row>
    <row r="531" customFormat="false" ht="15" hidden="false" customHeight="false" outlineLevel="0" collapsed="false">
      <c r="A531" s="9" t="s">
        <v>978</v>
      </c>
      <c r="B531" s="9" t="s">
        <v>113</v>
      </c>
      <c r="C531" s="9" t="s">
        <v>114</v>
      </c>
      <c r="D531" s="9" t="s">
        <v>2002</v>
      </c>
      <c r="E531" s="9" t="s">
        <v>2641</v>
      </c>
      <c r="F531" s="9" t="s">
        <v>4869</v>
      </c>
      <c r="G531" s="9" t="s">
        <v>4870</v>
      </c>
      <c r="H531" s="9" t="s">
        <v>4871</v>
      </c>
      <c r="I531" s="11" t="n">
        <v>24</v>
      </c>
      <c r="J531" s="11" t="n">
        <v>40.2</v>
      </c>
      <c r="K531" s="11"/>
      <c r="L531" s="11"/>
      <c r="M531" s="11" t="n">
        <f aca="false">IF(ISNUMBER(L531),L531,J531)</f>
        <v>40.2</v>
      </c>
      <c r="N531" s="11" t="n">
        <f aca="false">ROUNDUP(M531,0)</f>
        <v>41</v>
      </c>
      <c r="O531" s="11" t="n">
        <f aca="false">MAX(I531,N531)</f>
        <v>41</v>
      </c>
      <c r="P531" s="11" t="n">
        <f aca="false">IF(C531="COVERED",MAX(0,O531-40),0)</f>
        <v>1</v>
      </c>
      <c r="Q531" s="11" t="n">
        <f aca="false">O531</f>
        <v>41</v>
      </c>
      <c r="R531" s="17" t="n">
        <f aca="false">IF(C531="COVERED",10.4,7.55)</f>
        <v>10.4</v>
      </c>
      <c r="S531" s="17" t="n">
        <f aca="false">Q531*R531</f>
        <v>426.4</v>
      </c>
      <c r="T531" s="9" t="s">
        <v>4872</v>
      </c>
      <c r="U531" s="10" t="n">
        <v>46235</v>
      </c>
      <c r="V531" s="9" t="n">
        <v>41</v>
      </c>
      <c r="W531" s="17" t="n">
        <v>10.4</v>
      </c>
      <c r="X531" s="17" t="n">
        <v>426.4</v>
      </c>
      <c r="Y531" s="17" t="n">
        <f aca="false">IF(ISNUMBER(X531),X531-S531,"")</f>
        <v>0</v>
      </c>
      <c r="Z531" s="17" t="n">
        <f aca="false">IF(ISNUMBER(X531),X531-S531,-S531)</f>
        <v>0</v>
      </c>
      <c r="AA531" s="9" t="str">
        <f aca="false">IF(NOT(ISNUMBER(X531)),"NO AUGUST POSTING IN EXPORT",IF(ABS(Y531)&gt;=0.005,"POSTED CHARGE MISMATCH",IF(P531&gt;0,"MATCH - COVERED ELIGIBILITY EXCEPTION","MATCH")))</f>
        <v>MATCH - COVERED ELIGIBILITY EXCEPTION</v>
      </c>
      <c r="AB531" s="9" t="s">
        <v>4873</v>
      </c>
    </row>
    <row r="532" customFormat="false" ht="15" hidden="false" customHeight="false" outlineLevel="0" collapsed="false">
      <c r="A532" s="13" t="s">
        <v>1462</v>
      </c>
      <c r="B532" s="13" t="s">
        <v>113</v>
      </c>
      <c r="C532" s="13" t="s">
        <v>114</v>
      </c>
      <c r="D532" s="13" t="s">
        <v>2002</v>
      </c>
      <c r="E532" s="13" t="s">
        <v>2648</v>
      </c>
      <c r="F532" s="13" t="s">
        <v>4874</v>
      </c>
      <c r="G532" s="13" t="s">
        <v>4875</v>
      </c>
      <c r="H532" s="13" t="s">
        <v>3759</v>
      </c>
      <c r="I532" s="15" t="n">
        <v>28</v>
      </c>
      <c r="J532" s="15" t="n">
        <v>23.3</v>
      </c>
      <c r="K532" s="15"/>
      <c r="L532" s="15"/>
      <c r="M532" s="15" t="n">
        <f aca="false">IF(ISNUMBER(L532),L532,J532)</f>
        <v>23.3</v>
      </c>
      <c r="N532" s="15" t="n">
        <f aca="false">ROUNDUP(M532,0)</f>
        <v>24</v>
      </c>
      <c r="O532" s="15" t="n">
        <f aca="false">MAX(I532,N532)</f>
        <v>28</v>
      </c>
      <c r="P532" s="15" t="n">
        <f aca="false">IF(C532="COVERED",MAX(0,O532-40),0)</f>
        <v>0</v>
      </c>
      <c r="Q532" s="15" t="n">
        <f aca="false">O532</f>
        <v>28</v>
      </c>
      <c r="R532" s="18" t="n">
        <f aca="false">IF(C532="COVERED",10.4,7.55)</f>
        <v>10.4</v>
      </c>
      <c r="S532" s="18" t="n">
        <f aca="false">Q532*R532</f>
        <v>291.2</v>
      </c>
      <c r="T532" s="13" t="s">
        <v>4876</v>
      </c>
      <c r="U532" s="14" t="n">
        <v>46235</v>
      </c>
      <c r="V532" s="13" t="n">
        <v>28</v>
      </c>
      <c r="W532" s="18" t="n">
        <v>10.4</v>
      </c>
      <c r="X532" s="18" t="n">
        <v>291.2</v>
      </c>
      <c r="Y532" s="18" t="n">
        <f aca="false">IF(ISNUMBER(X532),X532-S532,"")</f>
        <v>0</v>
      </c>
      <c r="Z532" s="18" t="n">
        <f aca="false">IF(ISNUMBER(X532),X532-S532,-S532)</f>
        <v>0</v>
      </c>
      <c r="AA532" s="13" t="str">
        <f aca="false">IF(NOT(ISNUMBER(X532)),"NO AUGUST POSTING IN EXPORT",IF(ABS(Y532)&gt;=0.005,"POSTED CHARGE MISMATCH",IF(P532&gt;0,"MATCH - COVERED ELIGIBILITY EXCEPTION","MATCH")))</f>
        <v>MATCH</v>
      </c>
      <c r="AB532" s="13" t="s">
        <v>4877</v>
      </c>
    </row>
    <row r="533" customFormat="false" ht="15" hidden="false" customHeight="false" outlineLevel="0" collapsed="false">
      <c r="A533" s="9" t="s">
        <v>528</v>
      </c>
      <c r="B533" s="9" t="s">
        <v>113</v>
      </c>
      <c r="C533" s="9" t="s">
        <v>114</v>
      </c>
      <c r="D533" s="9" t="s">
        <v>2002</v>
      </c>
      <c r="E533" s="9" t="s">
        <v>2660</v>
      </c>
      <c r="F533" s="9" t="s">
        <v>4878</v>
      </c>
      <c r="G533" s="9" t="s">
        <v>4879</v>
      </c>
      <c r="H533" s="9" t="s">
        <v>4880</v>
      </c>
      <c r="I533" s="11" t="n">
        <v>40</v>
      </c>
      <c r="J533" s="11" t="n">
        <v>18.9</v>
      </c>
      <c r="K533" s="11"/>
      <c r="L533" s="11"/>
      <c r="M533" s="11" t="n">
        <f aca="false">IF(ISNUMBER(L533),L533,J533)</f>
        <v>18.9</v>
      </c>
      <c r="N533" s="11" t="n">
        <f aca="false">ROUNDUP(M533,0)</f>
        <v>19</v>
      </c>
      <c r="O533" s="11" t="n">
        <f aca="false">MAX(I533,N533)</f>
        <v>40</v>
      </c>
      <c r="P533" s="11" t="n">
        <f aca="false">IF(C533="COVERED",MAX(0,O533-40),0)</f>
        <v>0</v>
      </c>
      <c r="Q533" s="11" t="n">
        <f aca="false">O533</f>
        <v>40</v>
      </c>
      <c r="R533" s="17" t="n">
        <f aca="false">IF(C533="COVERED",10.4,7.55)</f>
        <v>10.4</v>
      </c>
      <c r="S533" s="17" t="n">
        <f aca="false">Q533*R533</f>
        <v>416</v>
      </c>
      <c r="T533" s="9" t="s">
        <v>4881</v>
      </c>
      <c r="U533" s="10" t="n">
        <v>46235</v>
      </c>
      <c r="V533" s="9" t="n">
        <v>40</v>
      </c>
      <c r="W533" s="17" t="n">
        <v>10.4</v>
      </c>
      <c r="X533" s="17" t="n">
        <v>416</v>
      </c>
      <c r="Y533" s="17" t="n">
        <f aca="false">IF(ISNUMBER(X533),X533-S533,"")</f>
        <v>0</v>
      </c>
      <c r="Z533" s="17" t="n">
        <f aca="false">IF(ISNUMBER(X533),X533-S533,-S533)</f>
        <v>0</v>
      </c>
      <c r="AA533" s="9" t="str">
        <f aca="false">IF(NOT(ISNUMBER(X533)),"NO AUGUST POSTING IN EXPORT",IF(ABS(Y533)&gt;=0.005,"POSTED CHARGE MISMATCH",IF(P533&gt;0,"MATCH - COVERED ELIGIBILITY EXCEPTION","MATCH")))</f>
        <v>MATCH</v>
      </c>
      <c r="AB533" s="9" t="s">
        <v>4882</v>
      </c>
    </row>
    <row r="534" customFormat="false" ht="15" hidden="false" customHeight="false" outlineLevel="0" collapsed="false">
      <c r="A534" s="13" t="s">
        <v>4883</v>
      </c>
      <c r="B534" s="13" t="s">
        <v>113</v>
      </c>
      <c r="C534" s="13" t="s">
        <v>114</v>
      </c>
      <c r="D534" s="13" t="s">
        <v>2002</v>
      </c>
      <c r="E534" s="13" t="s">
        <v>2667</v>
      </c>
      <c r="F534" s="13" t="s">
        <v>4884</v>
      </c>
      <c r="G534" s="13" t="s">
        <v>4885</v>
      </c>
      <c r="H534" s="13" t="s">
        <v>4328</v>
      </c>
      <c r="I534" s="15" t="n">
        <v>36</v>
      </c>
      <c r="J534" s="15" t="n">
        <v>55</v>
      </c>
      <c r="K534" s="15"/>
      <c r="L534" s="15"/>
      <c r="M534" s="15" t="n">
        <f aca="false">IF(ISNUMBER(L534),L534,J534)</f>
        <v>55</v>
      </c>
      <c r="N534" s="15" t="n">
        <f aca="false">ROUNDUP(M534,0)</f>
        <v>55</v>
      </c>
      <c r="O534" s="15" t="n">
        <f aca="false">MAX(I534,N534)</f>
        <v>55</v>
      </c>
      <c r="P534" s="15" t="n">
        <f aca="false">IF(C534="COVERED",MAX(0,O534-40),0)</f>
        <v>15</v>
      </c>
      <c r="Q534" s="15" t="n">
        <f aca="false">O534</f>
        <v>55</v>
      </c>
      <c r="R534" s="18" t="n">
        <f aca="false">IF(C534="COVERED",10.4,7.55)</f>
        <v>10.4</v>
      </c>
      <c r="S534" s="18" t="n">
        <f aca="false">Q534*R534</f>
        <v>572</v>
      </c>
      <c r="T534" s="13" t="s">
        <v>4886</v>
      </c>
      <c r="U534" s="14" t="n">
        <v>46235</v>
      </c>
      <c r="V534" s="13" t="n">
        <v>55</v>
      </c>
      <c r="W534" s="18" t="n">
        <v>10.4</v>
      </c>
      <c r="X534" s="18" t="n">
        <v>572</v>
      </c>
      <c r="Y534" s="18" t="n">
        <f aca="false">IF(ISNUMBER(X534),X534-S534,"")</f>
        <v>0</v>
      </c>
      <c r="Z534" s="18" t="n">
        <f aca="false">IF(ISNUMBER(X534),X534-S534,-S534)</f>
        <v>0</v>
      </c>
      <c r="AA534" s="13" t="str">
        <f aca="false">IF(NOT(ISNUMBER(X534)),"NO AUGUST POSTING IN EXPORT",IF(ABS(Y534)&gt;=0.005,"POSTED CHARGE MISMATCH",IF(P534&gt;0,"MATCH - COVERED ELIGIBILITY EXCEPTION","MATCH")))</f>
        <v>MATCH - COVERED ELIGIBILITY EXCEPTION</v>
      </c>
      <c r="AB534" s="13" t="s">
        <v>4887</v>
      </c>
    </row>
    <row r="535" customFormat="false" ht="15" hidden="false" customHeight="false" outlineLevel="0" collapsed="false">
      <c r="A535" s="9" t="s">
        <v>4888</v>
      </c>
      <c r="B535" s="9" t="s">
        <v>113</v>
      </c>
      <c r="C535" s="9" t="s">
        <v>114</v>
      </c>
      <c r="D535" s="9" t="s">
        <v>2002</v>
      </c>
      <c r="E535" s="9" t="s">
        <v>2673</v>
      </c>
      <c r="F535" s="9" t="s">
        <v>4889</v>
      </c>
      <c r="G535" s="9" t="s">
        <v>4890</v>
      </c>
      <c r="H535" s="9" t="s">
        <v>4891</v>
      </c>
      <c r="I535" s="11" t="n">
        <v>36</v>
      </c>
      <c r="J535" s="11" t="n">
        <v>34.6</v>
      </c>
      <c r="K535" s="11"/>
      <c r="L535" s="11"/>
      <c r="M535" s="11" t="n">
        <f aca="false">IF(ISNUMBER(L535),L535,J535)</f>
        <v>34.6</v>
      </c>
      <c r="N535" s="11" t="n">
        <f aca="false">ROUNDUP(M535,0)</f>
        <v>35</v>
      </c>
      <c r="O535" s="11" t="n">
        <f aca="false">MAX(I535,N535)</f>
        <v>36</v>
      </c>
      <c r="P535" s="11" t="n">
        <f aca="false">IF(C535="COVERED",MAX(0,O535-40),0)</f>
        <v>0</v>
      </c>
      <c r="Q535" s="11" t="n">
        <f aca="false">O535</f>
        <v>36</v>
      </c>
      <c r="R535" s="17" t="n">
        <f aca="false">IF(C535="COVERED",10.4,7.55)</f>
        <v>10.4</v>
      </c>
      <c r="S535" s="17" t="n">
        <f aca="false">Q535*R535</f>
        <v>374.4</v>
      </c>
      <c r="T535" s="9" t="s">
        <v>4892</v>
      </c>
      <c r="U535" s="10" t="n">
        <v>46235</v>
      </c>
      <c r="V535" s="9" t="n">
        <v>36</v>
      </c>
      <c r="W535" s="17" t="n">
        <v>10.4</v>
      </c>
      <c r="X535" s="17" t="n">
        <v>374.4</v>
      </c>
      <c r="Y535" s="17" t="n">
        <f aca="false">IF(ISNUMBER(X535),X535-S535,"")</f>
        <v>0</v>
      </c>
      <c r="Z535" s="17" t="n">
        <f aca="false">IF(ISNUMBER(X535),X535-S535,-S535)</f>
        <v>0</v>
      </c>
      <c r="AA535" s="9" t="str">
        <f aca="false">IF(NOT(ISNUMBER(X535)),"NO AUGUST POSTING IN EXPORT",IF(ABS(Y535)&gt;=0.005,"POSTED CHARGE MISMATCH",IF(P535&gt;0,"MATCH - COVERED ELIGIBILITY EXCEPTION","MATCH")))</f>
        <v>MATCH</v>
      </c>
      <c r="AB535" s="9" t="s">
        <v>4893</v>
      </c>
    </row>
    <row r="536" customFormat="false" ht="15" hidden="false" customHeight="false" outlineLevel="0" collapsed="false">
      <c r="A536" s="13" t="s">
        <v>4894</v>
      </c>
      <c r="B536" s="13" t="s">
        <v>113</v>
      </c>
      <c r="C536" s="13" t="s">
        <v>114</v>
      </c>
      <c r="D536" s="13" t="s">
        <v>2002</v>
      </c>
      <c r="E536" s="13" t="s">
        <v>2679</v>
      </c>
      <c r="F536" s="13" t="s">
        <v>312</v>
      </c>
      <c r="G536" s="13" t="s">
        <v>313</v>
      </c>
      <c r="H536" s="13" t="s">
        <v>4895</v>
      </c>
      <c r="I536" s="15" t="n">
        <v>32</v>
      </c>
      <c r="J536" s="15" t="n">
        <v>36.5</v>
      </c>
      <c r="K536" s="15"/>
      <c r="L536" s="15"/>
      <c r="M536" s="15" t="n">
        <f aca="false">IF(ISNUMBER(L536),L536,J536)</f>
        <v>36.5</v>
      </c>
      <c r="N536" s="15" t="n">
        <f aca="false">ROUNDUP(M536,0)</f>
        <v>37</v>
      </c>
      <c r="O536" s="15" t="n">
        <f aca="false">MAX(I536,N536)</f>
        <v>37</v>
      </c>
      <c r="P536" s="15" t="n">
        <f aca="false">IF(C536="COVERED",MAX(0,O536-40),0)</f>
        <v>0</v>
      </c>
      <c r="Q536" s="15" t="n">
        <f aca="false">O536</f>
        <v>37</v>
      </c>
      <c r="R536" s="18" t="n">
        <f aca="false">IF(C536="COVERED",10.4,7.55)</f>
        <v>10.4</v>
      </c>
      <c r="S536" s="18" t="n">
        <f aca="false">Q536*R536</f>
        <v>384.8</v>
      </c>
      <c r="T536" s="13" t="s">
        <v>4896</v>
      </c>
      <c r="U536" s="14" t="n">
        <v>46235</v>
      </c>
      <c r="V536" s="13" t="n">
        <v>37</v>
      </c>
      <c r="W536" s="18" t="n">
        <v>10.4</v>
      </c>
      <c r="X536" s="18" t="n">
        <v>384.8</v>
      </c>
      <c r="Y536" s="18" t="n">
        <f aca="false">IF(ISNUMBER(X536),X536-S536,"")</f>
        <v>0</v>
      </c>
      <c r="Z536" s="18" t="n">
        <f aca="false">IF(ISNUMBER(X536),X536-S536,-S536)</f>
        <v>0</v>
      </c>
      <c r="AA536" s="13" t="str">
        <f aca="false">IF(NOT(ISNUMBER(X536)),"NO AUGUST POSTING IN EXPORT",IF(ABS(Y536)&gt;=0.005,"POSTED CHARGE MISMATCH",IF(P536&gt;0,"MATCH - COVERED ELIGIBILITY EXCEPTION","MATCH")))</f>
        <v>MATCH</v>
      </c>
      <c r="AB536" s="13" t="s">
        <v>4897</v>
      </c>
    </row>
    <row r="537" customFormat="false" ht="15" hidden="false" customHeight="false" outlineLevel="0" collapsed="false">
      <c r="A537" s="9" t="s">
        <v>447</v>
      </c>
      <c r="B537" s="9" t="s">
        <v>113</v>
      </c>
      <c r="C537" s="9" t="s">
        <v>114</v>
      </c>
      <c r="D537" s="9" t="s">
        <v>2002</v>
      </c>
      <c r="E537" s="9" t="s">
        <v>2686</v>
      </c>
      <c r="F537" s="9" t="s">
        <v>4898</v>
      </c>
      <c r="G537" s="9" t="s">
        <v>4899</v>
      </c>
      <c r="H537" s="9" t="s">
        <v>2618</v>
      </c>
      <c r="I537" s="11" t="n">
        <v>32</v>
      </c>
      <c r="J537" s="11" t="n">
        <v>38.5</v>
      </c>
      <c r="K537" s="11"/>
      <c r="L537" s="11"/>
      <c r="M537" s="11" t="n">
        <f aca="false">IF(ISNUMBER(L537),L537,J537)</f>
        <v>38.5</v>
      </c>
      <c r="N537" s="11" t="n">
        <f aca="false">ROUNDUP(M537,0)</f>
        <v>39</v>
      </c>
      <c r="O537" s="11" t="n">
        <f aca="false">MAX(I537,N537)</f>
        <v>39</v>
      </c>
      <c r="P537" s="11" t="n">
        <f aca="false">IF(C537="COVERED",MAX(0,O537-40),0)</f>
        <v>0</v>
      </c>
      <c r="Q537" s="11" t="n">
        <f aca="false">O537</f>
        <v>39</v>
      </c>
      <c r="R537" s="17" t="n">
        <f aca="false">IF(C537="COVERED",10.4,7.55)</f>
        <v>10.4</v>
      </c>
      <c r="S537" s="17" t="n">
        <f aca="false">Q537*R537</f>
        <v>405.6</v>
      </c>
      <c r="T537" s="9" t="s">
        <v>4900</v>
      </c>
      <c r="U537" s="10" t="n">
        <v>46235</v>
      </c>
      <c r="V537" s="9" t="n">
        <v>39</v>
      </c>
      <c r="W537" s="17" t="n">
        <v>10.4</v>
      </c>
      <c r="X537" s="17" t="n">
        <v>405.6</v>
      </c>
      <c r="Y537" s="17" t="n">
        <f aca="false">IF(ISNUMBER(X537),X537-S537,"")</f>
        <v>0</v>
      </c>
      <c r="Z537" s="17" t="n">
        <f aca="false">IF(ISNUMBER(X537),X537-S537,-S537)</f>
        <v>0</v>
      </c>
      <c r="AA537" s="9" t="str">
        <f aca="false">IF(NOT(ISNUMBER(X537)),"NO AUGUST POSTING IN EXPORT",IF(ABS(Y537)&gt;=0.005,"POSTED CHARGE MISMATCH",IF(P537&gt;0,"MATCH - COVERED ELIGIBILITY EXCEPTION","MATCH")))</f>
        <v>MATCH</v>
      </c>
      <c r="AB537" s="9" t="s">
        <v>4901</v>
      </c>
    </row>
    <row r="538" customFormat="false" ht="15" hidden="false" customHeight="false" outlineLevel="0" collapsed="false">
      <c r="A538" s="13" t="s">
        <v>4902</v>
      </c>
      <c r="B538" s="13" t="s">
        <v>113</v>
      </c>
      <c r="C538" s="13" t="s">
        <v>114</v>
      </c>
      <c r="D538" s="13" t="s">
        <v>2002</v>
      </c>
      <c r="E538" s="13" t="s">
        <v>2693</v>
      </c>
      <c r="F538" s="13" t="s">
        <v>4903</v>
      </c>
      <c r="G538" s="13" t="s">
        <v>4904</v>
      </c>
      <c r="H538" s="13" t="s">
        <v>3781</v>
      </c>
      <c r="I538" s="15" t="n">
        <v>40</v>
      </c>
      <c r="J538" s="15" t="n">
        <v>39.5</v>
      </c>
      <c r="K538" s="15"/>
      <c r="L538" s="15"/>
      <c r="M538" s="15" t="n">
        <f aca="false">IF(ISNUMBER(L538),L538,J538)</f>
        <v>39.5</v>
      </c>
      <c r="N538" s="15" t="n">
        <f aca="false">ROUNDUP(M538,0)</f>
        <v>40</v>
      </c>
      <c r="O538" s="15" t="n">
        <f aca="false">MAX(I538,N538)</f>
        <v>40</v>
      </c>
      <c r="P538" s="15" t="n">
        <f aca="false">IF(C538="COVERED",MAX(0,O538-40),0)</f>
        <v>0</v>
      </c>
      <c r="Q538" s="15" t="n">
        <f aca="false">O538</f>
        <v>40</v>
      </c>
      <c r="R538" s="18" t="n">
        <f aca="false">IF(C538="COVERED",10.4,7.55)</f>
        <v>10.4</v>
      </c>
      <c r="S538" s="18" t="n">
        <f aca="false">Q538*R538</f>
        <v>416</v>
      </c>
      <c r="T538" s="13" t="s">
        <v>4905</v>
      </c>
      <c r="U538" s="14" t="n">
        <v>46235</v>
      </c>
      <c r="V538" s="13" t="n">
        <v>40</v>
      </c>
      <c r="W538" s="18" t="n">
        <v>10.4</v>
      </c>
      <c r="X538" s="18" t="n">
        <v>416</v>
      </c>
      <c r="Y538" s="18" t="n">
        <f aca="false">IF(ISNUMBER(X538),X538-S538,"")</f>
        <v>0</v>
      </c>
      <c r="Z538" s="18" t="n">
        <f aca="false">IF(ISNUMBER(X538),X538-S538,-S538)</f>
        <v>0</v>
      </c>
      <c r="AA538" s="13" t="str">
        <f aca="false">IF(NOT(ISNUMBER(X538)),"NO AUGUST POSTING IN EXPORT",IF(ABS(Y538)&gt;=0.005,"POSTED CHARGE MISMATCH",IF(P538&gt;0,"MATCH - COVERED ELIGIBILITY EXCEPTION","MATCH")))</f>
        <v>MATCH</v>
      </c>
      <c r="AB538" s="13" t="s">
        <v>4906</v>
      </c>
    </row>
    <row r="539" customFormat="false" ht="15" hidden="false" customHeight="false" outlineLevel="0" collapsed="false">
      <c r="A539" s="9" t="s">
        <v>4907</v>
      </c>
      <c r="B539" s="9" t="s">
        <v>113</v>
      </c>
      <c r="C539" s="9" t="s">
        <v>114</v>
      </c>
      <c r="D539" s="9" t="s">
        <v>2002</v>
      </c>
      <c r="E539" s="9" t="s">
        <v>2698</v>
      </c>
      <c r="F539" s="9" t="s">
        <v>4908</v>
      </c>
      <c r="G539" s="9" t="s">
        <v>4909</v>
      </c>
      <c r="H539" s="9" t="s">
        <v>3617</v>
      </c>
      <c r="I539" s="11" t="n">
        <v>40</v>
      </c>
      <c r="J539" s="11" t="n">
        <v>60.6</v>
      </c>
      <c r="K539" s="11"/>
      <c r="L539" s="11"/>
      <c r="M539" s="11" t="n">
        <f aca="false">IF(ISNUMBER(L539),L539,J539)</f>
        <v>60.6</v>
      </c>
      <c r="N539" s="11" t="n">
        <f aca="false">ROUNDUP(M539,0)</f>
        <v>61</v>
      </c>
      <c r="O539" s="11" t="n">
        <f aca="false">MAX(I539,N539)</f>
        <v>61</v>
      </c>
      <c r="P539" s="11" t="n">
        <f aca="false">IF(C539="COVERED",MAX(0,O539-40),0)</f>
        <v>21</v>
      </c>
      <c r="Q539" s="11" t="n">
        <f aca="false">O539</f>
        <v>61</v>
      </c>
      <c r="R539" s="17" t="n">
        <f aca="false">IF(C539="COVERED",10.4,7.55)</f>
        <v>10.4</v>
      </c>
      <c r="S539" s="17" t="n">
        <f aca="false">Q539*R539</f>
        <v>634.4</v>
      </c>
      <c r="T539" s="9" t="s">
        <v>4910</v>
      </c>
      <c r="U539" s="10" t="n">
        <v>46235</v>
      </c>
      <c r="V539" s="9" t="n">
        <v>61</v>
      </c>
      <c r="W539" s="17" t="n">
        <v>10.4</v>
      </c>
      <c r="X539" s="17" t="n">
        <v>634.4</v>
      </c>
      <c r="Y539" s="17" t="n">
        <f aca="false">IF(ISNUMBER(X539),X539-S539,"")</f>
        <v>0</v>
      </c>
      <c r="Z539" s="17" t="n">
        <f aca="false">IF(ISNUMBER(X539),X539-S539,-S539)</f>
        <v>0</v>
      </c>
      <c r="AA539" s="9" t="str">
        <f aca="false">IF(NOT(ISNUMBER(X539)),"NO AUGUST POSTING IN EXPORT",IF(ABS(Y539)&gt;=0.005,"POSTED CHARGE MISMATCH",IF(P539&gt;0,"MATCH - COVERED ELIGIBILITY EXCEPTION","MATCH")))</f>
        <v>MATCH - COVERED ELIGIBILITY EXCEPTION</v>
      </c>
      <c r="AB539" s="9" t="s">
        <v>4911</v>
      </c>
    </row>
    <row r="540" customFormat="false" ht="15" hidden="false" customHeight="false" outlineLevel="0" collapsed="false">
      <c r="A540" s="13" t="s">
        <v>4912</v>
      </c>
      <c r="B540" s="13" t="s">
        <v>113</v>
      </c>
      <c r="C540" s="13" t="s">
        <v>114</v>
      </c>
      <c r="D540" s="13" t="s">
        <v>2002</v>
      </c>
      <c r="E540" s="13" t="s">
        <v>2702</v>
      </c>
      <c r="F540" s="13" t="s">
        <v>4913</v>
      </c>
      <c r="G540" s="13" t="s">
        <v>4914</v>
      </c>
      <c r="H540" s="13" t="s">
        <v>4915</v>
      </c>
      <c r="I540" s="15" t="n">
        <v>24</v>
      </c>
      <c r="J540" s="15" t="n">
        <v>24.2</v>
      </c>
      <c r="K540" s="15"/>
      <c r="L540" s="15"/>
      <c r="M540" s="15" t="n">
        <f aca="false">IF(ISNUMBER(L540),L540,J540)</f>
        <v>24.2</v>
      </c>
      <c r="N540" s="15" t="n">
        <f aca="false">ROUNDUP(M540,0)</f>
        <v>25</v>
      </c>
      <c r="O540" s="15" t="n">
        <f aca="false">MAX(I540,N540)</f>
        <v>25</v>
      </c>
      <c r="P540" s="15" t="n">
        <f aca="false">IF(C540="COVERED",MAX(0,O540-40),0)</f>
        <v>0</v>
      </c>
      <c r="Q540" s="15" t="n">
        <f aca="false">O540</f>
        <v>25</v>
      </c>
      <c r="R540" s="18" t="n">
        <f aca="false">IF(C540="COVERED",10.4,7.55)</f>
        <v>10.4</v>
      </c>
      <c r="S540" s="18" t="n">
        <f aca="false">Q540*R540</f>
        <v>260</v>
      </c>
      <c r="T540" s="13" t="s">
        <v>4916</v>
      </c>
      <c r="U540" s="14" t="n">
        <v>46235</v>
      </c>
      <c r="V540" s="13" t="n">
        <v>25</v>
      </c>
      <c r="W540" s="18" t="n">
        <v>10.4</v>
      </c>
      <c r="X540" s="18" t="n">
        <v>260</v>
      </c>
      <c r="Y540" s="18" t="n">
        <f aca="false">IF(ISNUMBER(X540),X540-S540,"")</f>
        <v>0</v>
      </c>
      <c r="Z540" s="18" t="n">
        <f aca="false">IF(ISNUMBER(X540),X540-S540,-S540)</f>
        <v>0</v>
      </c>
      <c r="AA540" s="13" t="str">
        <f aca="false">IF(NOT(ISNUMBER(X540)),"NO AUGUST POSTING IN EXPORT",IF(ABS(Y540)&gt;=0.005,"POSTED CHARGE MISMATCH",IF(P540&gt;0,"MATCH - COVERED ELIGIBILITY EXCEPTION","MATCH")))</f>
        <v>MATCH</v>
      </c>
      <c r="AB540" s="13" t="s">
        <v>4917</v>
      </c>
    </row>
    <row r="541" customFormat="false" ht="15" hidden="false" customHeight="false" outlineLevel="0" collapsed="false">
      <c r="A541" s="9" t="s">
        <v>4918</v>
      </c>
      <c r="B541" s="9" t="s">
        <v>113</v>
      </c>
      <c r="C541" s="9" t="s">
        <v>114</v>
      </c>
      <c r="D541" s="9" t="s">
        <v>2002</v>
      </c>
      <c r="E541" s="9" t="s">
        <v>2708</v>
      </c>
      <c r="F541" s="9" t="s">
        <v>4919</v>
      </c>
      <c r="G541" s="9" t="s">
        <v>4920</v>
      </c>
      <c r="H541" s="9" t="s">
        <v>4921</v>
      </c>
      <c r="I541" s="11" t="n">
        <v>28</v>
      </c>
      <c r="J541" s="11" t="n">
        <v>24.6</v>
      </c>
      <c r="K541" s="11"/>
      <c r="L541" s="11"/>
      <c r="M541" s="11" t="n">
        <f aca="false">IF(ISNUMBER(L541),L541,J541)</f>
        <v>24.6</v>
      </c>
      <c r="N541" s="11" t="n">
        <f aca="false">ROUNDUP(M541,0)</f>
        <v>25</v>
      </c>
      <c r="O541" s="11" t="n">
        <f aca="false">MAX(I541,N541)</f>
        <v>28</v>
      </c>
      <c r="P541" s="11" t="n">
        <f aca="false">IF(C541="COVERED",MAX(0,O541-40),0)</f>
        <v>0</v>
      </c>
      <c r="Q541" s="11" t="n">
        <f aca="false">O541</f>
        <v>28</v>
      </c>
      <c r="R541" s="17" t="n">
        <f aca="false">IF(C541="COVERED",10.4,7.55)</f>
        <v>10.4</v>
      </c>
      <c r="S541" s="17" t="n">
        <f aca="false">Q541*R541</f>
        <v>291.2</v>
      </c>
      <c r="T541" s="9" t="s">
        <v>4922</v>
      </c>
      <c r="U541" s="10" t="n">
        <v>46235</v>
      </c>
      <c r="V541" s="9" t="n">
        <v>28</v>
      </c>
      <c r="W541" s="17" t="n">
        <v>10.4</v>
      </c>
      <c r="X541" s="17" t="n">
        <v>291.2</v>
      </c>
      <c r="Y541" s="17" t="n">
        <f aca="false">IF(ISNUMBER(X541),X541-S541,"")</f>
        <v>0</v>
      </c>
      <c r="Z541" s="17" t="n">
        <f aca="false">IF(ISNUMBER(X541),X541-S541,-S541)</f>
        <v>0</v>
      </c>
      <c r="AA541" s="9" t="str">
        <f aca="false">IF(NOT(ISNUMBER(X541)),"NO AUGUST POSTING IN EXPORT",IF(ABS(Y541)&gt;=0.005,"POSTED CHARGE MISMATCH",IF(P541&gt;0,"MATCH - COVERED ELIGIBILITY EXCEPTION","MATCH")))</f>
        <v>MATCH</v>
      </c>
      <c r="AB541" s="9" t="s">
        <v>4923</v>
      </c>
    </row>
    <row r="542" customFormat="false" ht="15" hidden="false" customHeight="false" outlineLevel="0" collapsed="false">
      <c r="A542" s="13" t="s">
        <v>1766</v>
      </c>
      <c r="B542" s="13" t="s">
        <v>113</v>
      </c>
      <c r="C542" s="13" t="s">
        <v>114</v>
      </c>
      <c r="D542" s="13" t="s">
        <v>2002</v>
      </c>
      <c r="E542" s="13" t="s">
        <v>2713</v>
      </c>
      <c r="F542" s="13" t="s">
        <v>1769</v>
      </c>
      <c r="G542" s="13" t="s">
        <v>1770</v>
      </c>
      <c r="H542" s="13" t="s">
        <v>4053</v>
      </c>
      <c r="I542" s="15" t="n">
        <v>24</v>
      </c>
      <c r="J542" s="15" t="n">
        <v>29.3</v>
      </c>
      <c r="K542" s="15"/>
      <c r="L542" s="15"/>
      <c r="M542" s="15" t="n">
        <f aca="false">IF(ISNUMBER(L542),L542,J542)</f>
        <v>29.3</v>
      </c>
      <c r="N542" s="15" t="n">
        <f aca="false">ROUNDUP(M542,0)</f>
        <v>30</v>
      </c>
      <c r="O542" s="15" t="n">
        <f aca="false">MAX(I542,N542)</f>
        <v>30</v>
      </c>
      <c r="P542" s="15" t="n">
        <f aca="false">IF(C542="COVERED",MAX(0,O542-40),0)</f>
        <v>0</v>
      </c>
      <c r="Q542" s="15" t="n">
        <f aca="false">O542</f>
        <v>30</v>
      </c>
      <c r="R542" s="18" t="n">
        <f aca="false">IF(C542="COVERED",10.4,7.55)</f>
        <v>10.4</v>
      </c>
      <c r="S542" s="18" t="n">
        <f aca="false">Q542*R542</f>
        <v>312</v>
      </c>
      <c r="T542" s="13" t="s">
        <v>4924</v>
      </c>
      <c r="U542" s="14" t="n">
        <v>46235</v>
      </c>
      <c r="V542" s="13" t="n">
        <v>30</v>
      </c>
      <c r="W542" s="18" t="n">
        <v>10.4</v>
      </c>
      <c r="X542" s="18" t="n">
        <v>312</v>
      </c>
      <c r="Y542" s="18" t="n">
        <f aca="false">IF(ISNUMBER(X542),X542-S542,"")</f>
        <v>0</v>
      </c>
      <c r="Z542" s="18" t="n">
        <f aca="false">IF(ISNUMBER(X542),X542-S542,-S542)</f>
        <v>0</v>
      </c>
      <c r="AA542" s="13" t="str">
        <f aca="false">IF(NOT(ISNUMBER(X542)),"NO AUGUST POSTING IN EXPORT",IF(ABS(Y542)&gt;=0.005,"POSTED CHARGE MISMATCH",IF(P542&gt;0,"MATCH - COVERED ELIGIBILITY EXCEPTION","MATCH")))</f>
        <v>MATCH</v>
      </c>
      <c r="AB542" s="13" t="s">
        <v>4925</v>
      </c>
    </row>
    <row r="543" customFormat="false" ht="15" hidden="false" customHeight="false" outlineLevel="0" collapsed="false">
      <c r="A543" s="9" t="s">
        <v>4926</v>
      </c>
      <c r="B543" s="9" t="s">
        <v>113</v>
      </c>
      <c r="C543" s="9" t="s">
        <v>114</v>
      </c>
      <c r="D543" s="9" t="s">
        <v>2002</v>
      </c>
      <c r="E543" s="9" t="s">
        <v>2720</v>
      </c>
      <c r="F543" s="9" t="s">
        <v>4927</v>
      </c>
      <c r="G543" s="9" t="s">
        <v>4928</v>
      </c>
      <c r="H543" s="9" t="s">
        <v>4929</v>
      </c>
      <c r="I543" s="11" t="n">
        <v>36</v>
      </c>
      <c r="J543" s="11" t="n">
        <v>57.7</v>
      </c>
      <c r="K543" s="11"/>
      <c r="L543" s="11"/>
      <c r="M543" s="11" t="n">
        <f aca="false">IF(ISNUMBER(L543),L543,J543)</f>
        <v>57.7</v>
      </c>
      <c r="N543" s="11" t="n">
        <f aca="false">ROUNDUP(M543,0)</f>
        <v>58</v>
      </c>
      <c r="O543" s="11" t="n">
        <f aca="false">MAX(I543,N543)</f>
        <v>58</v>
      </c>
      <c r="P543" s="11" t="n">
        <f aca="false">IF(C543="COVERED",MAX(0,O543-40),0)</f>
        <v>18</v>
      </c>
      <c r="Q543" s="11" t="n">
        <f aca="false">O543</f>
        <v>58</v>
      </c>
      <c r="R543" s="17" t="n">
        <f aca="false">IF(C543="COVERED",10.4,7.55)</f>
        <v>10.4</v>
      </c>
      <c r="S543" s="17" t="n">
        <f aca="false">Q543*R543</f>
        <v>603.2</v>
      </c>
      <c r="T543" s="9" t="s">
        <v>4930</v>
      </c>
      <c r="U543" s="10" t="n">
        <v>46235</v>
      </c>
      <c r="V543" s="9" t="n">
        <v>58</v>
      </c>
      <c r="W543" s="17" t="n">
        <v>10.4</v>
      </c>
      <c r="X543" s="17" t="n">
        <v>603.2</v>
      </c>
      <c r="Y543" s="17" t="n">
        <f aca="false">IF(ISNUMBER(X543),X543-S543,"")</f>
        <v>0</v>
      </c>
      <c r="Z543" s="17" t="n">
        <f aca="false">IF(ISNUMBER(X543),X543-S543,-S543)</f>
        <v>0</v>
      </c>
      <c r="AA543" s="9" t="str">
        <f aca="false">IF(NOT(ISNUMBER(X543)),"NO AUGUST POSTING IN EXPORT",IF(ABS(Y543)&gt;=0.005,"POSTED CHARGE MISMATCH",IF(P543&gt;0,"MATCH - COVERED ELIGIBILITY EXCEPTION","MATCH")))</f>
        <v>MATCH - COVERED ELIGIBILITY EXCEPTION</v>
      </c>
      <c r="AB543" s="9" t="s">
        <v>4931</v>
      </c>
    </row>
    <row r="544" customFormat="false" ht="15" hidden="false" customHeight="false" outlineLevel="0" collapsed="false">
      <c r="A544" s="13" t="s">
        <v>4932</v>
      </c>
      <c r="B544" s="13" t="s">
        <v>113</v>
      </c>
      <c r="C544" s="13" t="s">
        <v>114</v>
      </c>
      <c r="D544" s="13" t="s">
        <v>2002</v>
      </c>
      <c r="E544" s="13" t="s">
        <v>2727</v>
      </c>
      <c r="F544" s="13" t="s">
        <v>4933</v>
      </c>
      <c r="G544" s="13" t="s">
        <v>4934</v>
      </c>
      <c r="H544" s="13" t="s">
        <v>4391</v>
      </c>
      <c r="I544" s="15" t="n">
        <v>28</v>
      </c>
      <c r="J544" s="15" t="n">
        <v>32.2</v>
      </c>
      <c r="K544" s="15"/>
      <c r="L544" s="15"/>
      <c r="M544" s="15" t="n">
        <f aca="false">IF(ISNUMBER(L544),L544,J544)</f>
        <v>32.2</v>
      </c>
      <c r="N544" s="15" t="n">
        <f aca="false">ROUNDUP(M544,0)</f>
        <v>33</v>
      </c>
      <c r="O544" s="15" t="n">
        <f aca="false">MAX(I544,N544)</f>
        <v>33</v>
      </c>
      <c r="P544" s="15" t="n">
        <f aca="false">IF(C544="COVERED",MAX(0,O544-40),0)</f>
        <v>0</v>
      </c>
      <c r="Q544" s="15" t="n">
        <f aca="false">O544</f>
        <v>33</v>
      </c>
      <c r="R544" s="18" t="n">
        <f aca="false">IF(C544="COVERED",10.4,7.55)</f>
        <v>10.4</v>
      </c>
      <c r="S544" s="18" t="n">
        <f aca="false">Q544*R544</f>
        <v>343.2</v>
      </c>
      <c r="T544" s="13" t="s">
        <v>4935</v>
      </c>
      <c r="U544" s="14" t="n">
        <v>46235</v>
      </c>
      <c r="V544" s="13" t="n">
        <v>33</v>
      </c>
      <c r="W544" s="18" t="n">
        <v>10.4</v>
      </c>
      <c r="X544" s="18" t="n">
        <v>343.2</v>
      </c>
      <c r="Y544" s="18" t="n">
        <f aca="false">IF(ISNUMBER(X544),X544-S544,"")</f>
        <v>0</v>
      </c>
      <c r="Z544" s="18" t="n">
        <f aca="false">IF(ISNUMBER(X544),X544-S544,-S544)</f>
        <v>0</v>
      </c>
      <c r="AA544" s="13" t="str">
        <f aca="false">IF(NOT(ISNUMBER(X544)),"NO AUGUST POSTING IN EXPORT",IF(ABS(Y544)&gt;=0.005,"POSTED CHARGE MISMATCH",IF(P544&gt;0,"MATCH - COVERED ELIGIBILITY EXCEPTION","MATCH")))</f>
        <v>MATCH</v>
      </c>
      <c r="AB544" s="13" t="s">
        <v>4936</v>
      </c>
    </row>
    <row r="545" customFormat="false" ht="15" hidden="false" customHeight="false" outlineLevel="0" collapsed="false">
      <c r="A545" s="9" t="s">
        <v>626</v>
      </c>
      <c r="B545" s="9" t="s">
        <v>113</v>
      </c>
      <c r="C545" s="9" t="s">
        <v>114</v>
      </c>
      <c r="D545" s="9" t="s">
        <v>2002</v>
      </c>
      <c r="E545" s="9" t="s">
        <v>2734</v>
      </c>
      <c r="F545" s="9" t="s">
        <v>4937</v>
      </c>
      <c r="G545" s="9" t="s">
        <v>4938</v>
      </c>
      <c r="H545" s="9" t="s">
        <v>4822</v>
      </c>
      <c r="I545" s="11" t="n">
        <v>40</v>
      </c>
      <c r="J545" s="11" t="n">
        <v>51</v>
      </c>
      <c r="K545" s="11"/>
      <c r="L545" s="11"/>
      <c r="M545" s="11" t="n">
        <f aca="false">IF(ISNUMBER(L545),L545,J545)</f>
        <v>51</v>
      </c>
      <c r="N545" s="11" t="n">
        <f aca="false">ROUNDUP(M545,0)</f>
        <v>51</v>
      </c>
      <c r="O545" s="11" t="n">
        <f aca="false">MAX(I545,N545)</f>
        <v>51</v>
      </c>
      <c r="P545" s="11" t="n">
        <f aca="false">IF(C545="COVERED",MAX(0,O545-40),0)</f>
        <v>11</v>
      </c>
      <c r="Q545" s="11" t="n">
        <f aca="false">O545</f>
        <v>51</v>
      </c>
      <c r="R545" s="17" t="n">
        <f aca="false">IF(C545="COVERED",10.4,7.55)</f>
        <v>10.4</v>
      </c>
      <c r="S545" s="17" t="n">
        <f aca="false">Q545*R545</f>
        <v>530.4</v>
      </c>
      <c r="T545" s="9" t="s">
        <v>4939</v>
      </c>
      <c r="U545" s="10" t="n">
        <v>46235</v>
      </c>
      <c r="V545" s="9" t="n">
        <v>51</v>
      </c>
      <c r="W545" s="17" t="n">
        <v>10.4</v>
      </c>
      <c r="X545" s="17" t="n">
        <v>530.4</v>
      </c>
      <c r="Y545" s="17" t="n">
        <f aca="false">IF(ISNUMBER(X545),X545-S545,"")</f>
        <v>0</v>
      </c>
      <c r="Z545" s="17" t="n">
        <f aca="false">IF(ISNUMBER(X545),X545-S545,-S545)</f>
        <v>0</v>
      </c>
      <c r="AA545" s="9" t="str">
        <f aca="false">IF(NOT(ISNUMBER(X545)),"NO AUGUST POSTING IN EXPORT",IF(ABS(Y545)&gt;=0.005,"POSTED CHARGE MISMATCH",IF(P545&gt;0,"MATCH - COVERED ELIGIBILITY EXCEPTION","MATCH")))</f>
        <v>MATCH - COVERED ELIGIBILITY EXCEPTION</v>
      </c>
      <c r="AB545" s="9" t="s">
        <v>4940</v>
      </c>
    </row>
    <row r="546" customFormat="false" ht="15" hidden="false" customHeight="false" outlineLevel="0" collapsed="false">
      <c r="A546" s="13" t="s">
        <v>4941</v>
      </c>
      <c r="B546" s="13" t="s">
        <v>113</v>
      </c>
      <c r="C546" s="13" t="s">
        <v>114</v>
      </c>
      <c r="D546" s="13" t="s">
        <v>2002</v>
      </c>
      <c r="E546" s="13" t="s">
        <v>2741</v>
      </c>
      <c r="F546" s="13" t="s">
        <v>4942</v>
      </c>
      <c r="G546" s="13" t="s">
        <v>4943</v>
      </c>
      <c r="H546" s="13" t="s">
        <v>4086</v>
      </c>
      <c r="I546" s="15" t="n">
        <v>24</v>
      </c>
      <c r="J546" s="15" t="n">
        <v>50.9</v>
      </c>
      <c r="K546" s="15"/>
      <c r="L546" s="15"/>
      <c r="M546" s="15" t="n">
        <f aca="false">IF(ISNUMBER(L546),L546,J546)</f>
        <v>50.9</v>
      </c>
      <c r="N546" s="15" t="n">
        <f aca="false">ROUNDUP(M546,0)</f>
        <v>51</v>
      </c>
      <c r="O546" s="15" t="n">
        <f aca="false">MAX(I546,N546)</f>
        <v>51</v>
      </c>
      <c r="P546" s="15" t="n">
        <f aca="false">IF(C546="COVERED",MAX(0,O546-40),0)</f>
        <v>11</v>
      </c>
      <c r="Q546" s="15" t="n">
        <f aca="false">O546</f>
        <v>51</v>
      </c>
      <c r="R546" s="18" t="n">
        <f aca="false">IF(C546="COVERED",10.4,7.55)</f>
        <v>10.4</v>
      </c>
      <c r="S546" s="18" t="n">
        <f aca="false">Q546*R546</f>
        <v>530.4</v>
      </c>
      <c r="T546" s="13" t="s">
        <v>4944</v>
      </c>
      <c r="U546" s="14" t="n">
        <v>46235</v>
      </c>
      <c r="V546" s="13" t="n">
        <v>51</v>
      </c>
      <c r="W546" s="18" t="n">
        <v>10.4</v>
      </c>
      <c r="X546" s="18" t="n">
        <v>530.4</v>
      </c>
      <c r="Y546" s="18" t="n">
        <f aca="false">IF(ISNUMBER(X546),X546-S546,"")</f>
        <v>0</v>
      </c>
      <c r="Z546" s="18" t="n">
        <f aca="false">IF(ISNUMBER(X546),X546-S546,-S546)</f>
        <v>0</v>
      </c>
      <c r="AA546" s="13" t="str">
        <f aca="false">IF(NOT(ISNUMBER(X546)),"NO AUGUST POSTING IN EXPORT",IF(ABS(Y546)&gt;=0.005,"POSTED CHARGE MISMATCH",IF(P546&gt;0,"MATCH - COVERED ELIGIBILITY EXCEPTION","MATCH")))</f>
        <v>MATCH - COVERED ELIGIBILITY EXCEPTION</v>
      </c>
      <c r="AB546" s="13" t="s">
        <v>4945</v>
      </c>
    </row>
    <row r="547" customFormat="false" ht="15" hidden="false" customHeight="false" outlineLevel="0" collapsed="false">
      <c r="A547" s="9" t="s">
        <v>4946</v>
      </c>
      <c r="B547" s="9" t="s">
        <v>113</v>
      </c>
      <c r="C547" s="9" t="s">
        <v>114</v>
      </c>
      <c r="D547" s="9" t="s">
        <v>2002</v>
      </c>
      <c r="E547" s="9" t="s">
        <v>2747</v>
      </c>
      <c r="F547" s="9" t="s">
        <v>4947</v>
      </c>
      <c r="G547" s="9" t="s">
        <v>4948</v>
      </c>
      <c r="H547" s="9" t="s">
        <v>3897</v>
      </c>
      <c r="I547" s="11" t="n">
        <v>24</v>
      </c>
      <c r="J547" s="11" t="n">
        <v>61.2</v>
      </c>
      <c r="K547" s="11"/>
      <c r="L547" s="11"/>
      <c r="M547" s="11" t="n">
        <f aca="false">IF(ISNUMBER(L547),L547,J547)</f>
        <v>61.2</v>
      </c>
      <c r="N547" s="11" t="n">
        <f aca="false">ROUNDUP(M547,0)</f>
        <v>62</v>
      </c>
      <c r="O547" s="11" t="n">
        <f aca="false">MAX(I547,N547)</f>
        <v>62</v>
      </c>
      <c r="P547" s="11" t="n">
        <f aca="false">IF(C547="COVERED",MAX(0,O547-40),0)</f>
        <v>22</v>
      </c>
      <c r="Q547" s="11" t="n">
        <f aca="false">O547</f>
        <v>62</v>
      </c>
      <c r="R547" s="17" t="n">
        <f aca="false">IF(C547="COVERED",10.4,7.55)</f>
        <v>10.4</v>
      </c>
      <c r="S547" s="17" t="n">
        <f aca="false">Q547*R547</f>
        <v>644.8</v>
      </c>
      <c r="T547" s="9" t="s">
        <v>4949</v>
      </c>
      <c r="U547" s="10" t="n">
        <v>46235</v>
      </c>
      <c r="V547" s="9" t="n">
        <v>62</v>
      </c>
      <c r="W547" s="17" t="n">
        <v>10.4</v>
      </c>
      <c r="X547" s="17" t="n">
        <v>644.8</v>
      </c>
      <c r="Y547" s="17" t="n">
        <f aca="false">IF(ISNUMBER(X547),X547-S547,"")</f>
        <v>0</v>
      </c>
      <c r="Z547" s="17" t="n">
        <f aca="false">IF(ISNUMBER(X547),X547-S547,-S547)</f>
        <v>0</v>
      </c>
      <c r="AA547" s="9" t="str">
        <f aca="false">IF(NOT(ISNUMBER(X547)),"NO AUGUST POSTING IN EXPORT",IF(ABS(Y547)&gt;=0.005,"POSTED CHARGE MISMATCH",IF(P547&gt;0,"MATCH - COVERED ELIGIBILITY EXCEPTION","MATCH")))</f>
        <v>MATCH - COVERED ELIGIBILITY EXCEPTION</v>
      </c>
      <c r="AB547" s="9" t="s">
        <v>4950</v>
      </c>
    </row>
    <row r="548" customFormat="false" ht="15" hidden="false" customHeight="false" outlineLevel="0" collapsed="false">
      <c r="A548" s="13" t="s">
        <v>4951</v>
      </c>
      <c r="B548" s="13" t="s">
        <v>113</v>
      </c>
      <c r="C548" s="13" t="s">
        <v>114</v>
      </c>
      <c r="D548" s="13" t="s">
        <v>2002</v>
      </c>
      <c r="E548" s="13" t="s">
        <v>2753</v>
      </c>
      <c r="F548" s="13" t="s">
        <v>4952</v>
      </c>
      <c r="G548" s="13" t="s">
        <v>4953</v>
      </c>
      <c r="H548" s="13" t="s">
        <v>2075</v>
      </c>
      <c r="I548" s="15" t="n">
        <v>40</v>
      </c>
      <c r="J548" s="15" t="n">
        <v>30.7</v>
      </c>
      <c r="K548" s="15"/>
      <c r="L548" s="15"/>
      <c r="M548" s="15" t="n">
        <f aca="false">IF(ISNUMBER(L548),L548,J548)</f>
        <v>30.7</v>
      </c>
      <c r="N548" s="15" t="n">
        <f aca="false">ROUNDUP(M548,0)</f>
        <v>31</v>
      </c>
      <c r="O548" s="15" t="n">
        <f aca="false">MAX(I548,N548)</f>
        <v>40</v>
      </c>
      <c r="P548" s="15" t="n">
        <f aca="false">IF(C548="COVERED",MAX(0,O548-40),0)</f>
        <v>0</v>
      </c>
      <c r="Q548" s="15" t="n">
        <f aca="false">O548</f>
        <v>40</v>
      </c>
      <c r="R548" s="18" t="n">
        <f aca="false">IF(C548="COVERED",10.4,7.55)</f>
        <v>10.4</v>
      </c>
      <c r="S548" s="18" t="n">
        <f aca="false">Q548*R548</f>
        <v>416</v>
      </c>
      <c r="T548" s="13" t="s">
        <v>4954</v>
      </c>
      <c r="U548" s="14" t="n">
        <v>46235</v>
      </c>
      <c r="V548" s="13" t="n">
        <v>40</v>
      </c>
      <c r="W548" s="18" t="n">
        <v>10.4</v>
      </c>
      <c r="X548" s="18" t="n">
        <v>416</v>
      </c>
      <c r="Y548" s="18" t="n">
        <f aca="false">IF(ISNUMBER(X548),X548-S548,"")</f>
        <v>0</v>
      </c>
      <c r="Z548" s="18" t="n">
        <f aca="false">IF(ISNUMBER(X548),X548-S548,-S548)</f>
        <v>0</v>
      </c>
      <c r="AA548" s="13" t="str">
        <f aca="false">IF(NOT(ISNUMBER(X548)),"NO AUGUST POSTING IN EXPORT",IF(ABS(Y548)&gt;=0.005,"POSTED CHARGE MISMATCH",IF(P548&gt;0,"MATCH - COVERED ELIGIBILITY EXCEPTION","MATCH")))</f>
        <v>MATCH</v>
      </c>
      <c r="AB548" s="13" t="s">
        <v>4955</v>
      </c>
    </row>
    <row r="549" customFormat="false" ht="15" hidden="false" customHeight="false" outlineLevel="0" collapsed="false">
      <c r="A549" s="9" t="s">
        <v>4956</v>
      </c>
      <c r="B549" s="9" t="s">
        <v>113</v>
      </c>
      <c r="C549" s="9" t="s">
        <v>114</v>
      </c>
      <c r="D549" s="9" t="s">
        <v>2002</v>
      </c>
      <c r="E549" s="9" t="s">
        <v>2759</v>
      </c>
      <c r="F549" s="9" t="s">
        <v>4957</v>
      </c>
      <c r="G549" s="9" t="s">
        <v>4958</v>
      </c>
      <c r="H549" s="9" t="s">
        <v>4637</v>
      </c>
      <c r="I549" s="11" t="n">
        <v>28</v>
      </c>
      <c r="J549" s="11" t="n">
        <v>22.6</v>
      </c>
      <c r="K549" s="11"/>
      <c r="L549" s="11"/>
      <c r="M549" s="11" t="n">
        <f aca="false">IF(ISNUMBER(L549),L549,J549)</f>
        <v>22.6</v>
      </c>
      <c r="N549" s="11" t="n">
        <f aca="false">ROUNDUP(M549,0)</f>
        <v>23</v>
      </c>
      <c r="O549" s="11" t="n">
        <f aca="false">MAX(I549,N549)</f>
        <v>28</v>
      </c>
      <c r="P549" s="11" t="n">
        <f aca="false">IF(C549="COVERED",MAX(0,O549-40),0)</f>
        <v>0</v>
      </c>
      <c r="Q549" s="11" t="n">
        <f aca="false">O549</f>
        <v>28</v>
      </c>
      <c r="R549" s="17" t="n">
        <f aca="false">IF(C549="COVERED",10.4,7.55)</f>
        <v>10.4</v>
      </c>
      <c r="S549" s="17" t="n">
        <f aca="false">Q549*R549</f>
        <v>291.2</v>
      </c>
      <c r="T549" s="9" t="s">
        <v>4959</v>
      </c>
      <c r="U549" s="10" t="n">
        <v>46235</v>
      </c>
      <c r="V549" s="9" t="n">
        <v>28</v>
      </c>
      <c r="W549" s="17" t="n">
        <v>10.4</v>
      </c>
      <c r="X549" s="17" t="n">
        <v>291.2</v>
      </c>
      <c r="Y549" s="17" t="n">
        <f aca="false">IF(ISNUMBER(X549),X549-S549,"")</f>
        <v>0</v>
      </c>
      <c r="Z549" s="17" t="n">
        <f aca="false">IF(ISNUMBER(X549),X549-S549,-S549)</f>
        <v>0</v>
      </c>
      <c r="AA549" s="9" t="str">
        <f aca="false">IF(NOT(ISNUMBER(X549)),"NO AUGUST POSTING IN EXPORT",IF(ABS(Y549)&gt;=0.005,"POSTED CHARGE MISMATCH",IF(P549&gt;0,"MATCH - COVERED ELIGIBILITY EXCEPTION","MATCH")))</f>
        <v>MATCH</v>
      </c>
      <c r="AB549" s="9" t="s">
        <v>4960</v>
      </c>
    </row>
    <row r="550" customFormat="false" ht="15" hidden="false" customHeight="false" outlineLevel="0" collapsed="false">
      <c r="A550" s="13" t="s">
        <v>1958</v>
      </c>
      <c r="B550" s="13" t="s">
        <v>113</v>
      </c>
      <c r="C550" s="13" t="s">
        <v>114</v>
      </c>
      <c r="D550" s="13" t="s">
        <v>2002</v>
      </c>
      <c r="E550" s="13" t="s">
        <v>2765</v>
      </c>
      <c r="F550" s="13" t="s">
        <v>4961</v>
      </c>
      <c r="G550" s="13" t="s">
        <v>4962</v>
      </c>
      <c r="H550" s="13" t="s">
        <v>2939</v>
      </c>
      <c r="I550" s="15" t="n">
        <v>24</v>
      </c>
      <c r="J550" s="15" t="n">
        <v>37.3</v>
      </c>
      <c r="K550" s="15"/>
      <c r="L550" s="15"/>
      <c r="M550" s="15" t="n">
        <f aca="false">IF(ISNUMBER(L550),L550,J550)</f>
        <v>37.3</v>
      </c>
      <c r="N550" s="15" t="n">
        <f aca="false">ROUNDUP(M550,0)</f>
        <v>38</v>
      </c>
      <c r="O550" s="15" t="n">
        <f aca="false">MAX(I550,N550)</f>
        <v>38</v>
      </c>
      <c r="P550" s="15" t="n">
        <f aca="false">IF(C550="COVERED",MAX(0,O550-40),0)</f>
        <v>0</v>
      </c>
      <c r="Q550" s="15" t="n">
        <f aca="false">O550</f>
        <v>38</v>
      </c>
      <c r="R550" s="18" t="n">
        <f aca="false">IF(C550="COVERED",10.4,7.55)</f>
        <v>10.4</v>
      </c>
      <c r="S550" s="18" t="n">
        <f aca="false">Q550*R550</f>
        <v>395.2</v>
      </c>
      <c r="T550" s="13" t="s">
        <v>4963</v>
      </c>
      <c r="U550" s="14" t="n">
        <v>46235</v>
      </c>
      <c r="V550" s="13" t="n">
        <v>38</v>
      </c>
      <c r="W550" s="18" t="n">
        <v>10.4</v>
      </c>
      <c r="X550" s="18" t="n">
        <v>395.2</v>
      </c>
      <c r="Y550" s="18" t="n">
        <f aca="false">IF(ISNUMBER(X550),X550-S550,"")</f>
        <v>0</v>
      </c>
      <c r="Z550" s="18" t="n">
        <f aca="false">IF(ISNUMBER(X550),X550-S550,-S550)</f>
        <v>0</v>
      </c>
      <c r="AA550" s="13" t="str">
        <f aca="false">IF(NOT(ISNUMBER(X550)),"NO AUGUST POSTING IN EXPORT",IF(ABS(Y550)&gt;=0.005,"POSTED CHARGE MISMATCH",IF(P550&gt;0,"MATCH - COVERED ELIGIBILITY EXCEPTION","MATCH")))</f>
        <v>MATCH</v>
      </c>
      <c r="AB550" s="13" t="s">
        <v>4964</v>
      </c>
    </row>
    <row r="551" customFormat="false" ht="15" hidden="false" customHeight="false" outlineLevel="0" collapsed="false">
      <c r="A551" s="9" t="s">
        <v>4965</v>
      </c>
      <c r="B551" s="9" t="s">
        <v>113</v>
      </c>
      <c r="C551" s="9" t="s">
        <v>114</v>
      </c>
      <c r="D551" s="9" t="s">
        <v>2002</v>
      </c>
      <c r="E551" s="9" t="s">
        <v>2772</v>
      </c>
      <c r="F551" s="9" t="s">
        <v>4966</v>
      </c>
      <c r="G551" s="9" t="s">
        <v>4967</v>
      </c>
      <c r="H551" s="9" t="s">
        <v>4968</v>
      </c>
      <c r="I551" s="11" t="n">
        <v>28</v>
      </c>
      <c r="J551" s="11" t="n">
        <v>34.5</v>
      </c>
      <c r="K551" s="11"/>
      <c r="L551" s="11"/>
      <c r="M551" s="11" t="n">
        <f aca="false">IF(ISNUMBER(L551),L551,J551)</f>
        <v>34.5</v>
      </c>
      <c r="N551" s="11" t="n">
        <f aca="false">ROUNDUP(M551,0)</f>
        <v>35</v>
      </c>
      <c r="O551" s="11" t="n">
        <f aca="false">MAX(I551,N551)</f>
        <v>35</v>
      </c>
      <c r="P551" s="11" t="n">
        <f aca="false">IF(C551="COVERED",MAX(0,O551-40),0)</f>
        <v>0</v>
      </c>
      <c r="Q551" s="11" t="n">
        <f aca="false">O551</f>
        <v>35</v>
      </c>
      <c r="R551" s="17" t="n">
        <f aca="false">IF(C551="COVERED",10.4,7.55)</f>
        <v>10.4</v>
      </c>
      <c r="S551" s="17" t="n">
        <f aca="false">Q551*R551</f>
        <v>364</v>
      </c>
      <c r="T551" s="9" t="s">
        <v>4969</v>
      </c>
      <c r="U551" s="10" t="n">
        <v>46235</v>
      </c>
      <c r="V551" s="9" t="n">
        <v>35</v>
      </c>
      <c r="W551" s="17" t="n">
        <v>10.4</v>
      </c>
      <c r="X551" s="17" t="n">
        <v>364</v>
      </c>
      <c r="Y551" s="17" t="n">
        <f aca="false">IF(ISNUMBER(X551),X551-S551,"")</f>
        <v>0</v>
      </c>
      <c r="Z551" s="17" t="n">
        <f aca="false">IF(ISNUMBER(X551),X551-S551,-S551)</f>
        <v>0</v>
      </c>
      <c r="AA551" s="9" t="str">
        <f aca="false">IF(NOT(ISNUMBER(X551)),"NO AUGUST POSTING IN EXPORT",IF(ABS(Y551)&gt;=0.005,"POSTED CHARGE MISMATCH",IF(P551&gt;0,"MATCH - COVERED ELIGIBILITY EXCEPTION","MATCH")))</f>
        <v>MATCH</v>
      </c>
      <c r="AB551" s="9" t="s">
        <v>4970</v>
      </c>
    </row>
    <row r="552" customFormat="false" ht="15" hidden="false" customHeight="false" outlineLevel="0" collapsed="false">
      <c r="A552" s="13" t="s">
        <v>4971</v>
      </c>
      <c r="B552" s="13" t="s">
        <v>113</v>
      </c>
      <c r="C552" s="13" t="s">
        <v>114</v>
      </c>
      <c r="D552" s="13" t="s">
        <v>2002</v>
      </c>
      <c r="E552" s="13" t="s">
        <v>2778</v>
      </c>
      <c r="F552" s="13" t="s">
        <v>4972</v>
      </c>
      <c r="G552" s="13" t="s">
        <v>4973</v>
      </c>
      <c r="H552" s="13" t="s">
        <v>4581</v>
      </c>
      <c r="I552" s="15" t="n">
        <v>24</v>
      </c>
      <c r="J552" s="15" t="n">
        <v>60.7</v>
      </c>
      <c r="K552" s="15"/>
      <c r="L552" s="15"/>
      <c r="M552" s="15" t="n">
        <f aca="false">IF(ISNUMBER(L552),L552,J552)</f>
        <v>60.7</v>
      </c>
      <c r="N552" s="15" t="n">
        <f aca="false">ROUNDUP(M552,0)</f>
        <v>61</v>
      </c>
      <c r="O552" s="15" t="n">
        <f aca="false">MAX(I552,N552)</f>
        <v>61</v>
      </c>
      <c r="P552" s="15" t="n">
        <f aca="false">IF(C552="COVERED",MAX(0,O552-40),0)</f>
        <v>21</v>
      </c>
      <c r="Q552" s="15" t="n">
        <f aca="false">O552</f>
        <v>61</v>
      </c>
      <c r="R552" s="18" t="n">
        <f aca="false">IF(C552="COVERED",10.4,7.55)</f>
        <v>10.4</v>
      </c>
      <c r="S552" s="18" t="n">
        <f aca="false">Q552*R552</f>
        <v>634.4</v>
      </c>
      <c r="T552" s="13" t="s">
        <v>4974</v>
      </c>
      <c r="U552" s="14" t="n">
        <v>46235</v>
      </c>
      <c r="V552" s="13" t="n">
        <v>61</v>
      </c>
      <c r="W552" s="18" t="n">
        <v>10.4</v>
      </c>
      <c r="X552" s="18" t="n">
        <v>634.4</v>
      </c>
      <c r="Y552" s="18" t="n">
        <f aca="false">IF(ISNUMBER(X552),X552-S552,"")</f>
        <v>0</v>
      </c>
      <c r="Z552" s="18" t="n">
        <f aca="false">IF(ISNUMBER(X552),X552-S552,-S552)</f>
        <v>0</v>
      </c>
      <c r="AA552" s="13" t="str">
        <f aca="false">IF(NOT(ISNUMBER(X552)),"NO AUGUST POSTING IN EXPORT",IF(ABS(Y552)&gt;=0.005,"POSTED CHARGE MISMATCH",IF(P552&gt;0,"MATCH - COVERED ELIGIBILITY EXCEPTION","MATCH")))</f>
        <v>MATCH - COVERED ELIGIBILITY EXCEPTION</v>
      </c>
      <c r="AB552" s="13" t="s">
        <v>4975</v>
      </c>
    </row>
    <row r="553" customFormat="false" ht="15" hidden="false" customHeight="false" outlineLevel="0" collapsed="false">
      <c r="A553" s="9" t="s">
        <v>4976</v>
      </c>
      <c r="B553" s="9" t="s">
        <v>113</v>
      </c>
      <c r="C553" s="9" t="s">
        <v>114</v>
      </c>
      <c r="D553" s="9" t="s">
        <v>2002</v>
      </c>
      <c r="E553" s="9" t="s">
        <v>3975</v>
      </c>
      <c r="F553" s="9" t="s">
        <v>4977</v>
      </c>
      <c r="G553" s="9" t="s">
        <v>4978</v>
      </c>
      <c r="H553" s="9" t="s">
        <v>4192</v>
      </c>
      <c r="I553" s="11" t="n">
        <v>32</v>
      </c>
      <c r="J553" s="11" t="n">
        <v>18.6</v>
      </c>
      <c r="K553" s="11"/>
      <c r="L553" s="11"/>
      <c r="M553" s="11" t="n">
        <f aca="false">IF(ISNUMBER(L553),L553,J553)</f>
        <v>18.6</v>
      </c>
      <c r="N553" s="11" t="n">
        <f aca="false">ROUNDUP(M553,0)</f>
        <v>19</v>
      </c>
      <c r="O553" s="11" t="n">
        <f aca="false">MAX(I553,N553)</f>
        <v>32</v>
      </c>
      <c r="P553" s="11" t="n">
        <f aca="false">IF(C553="COVERED",MAX(0,O553-40),0)</f>
        <v>0</v>
      </c>
      <c r="Q553" s="11" t="n">
        <f aca="false">O553</f>
        <v>32</v>
      </c>
      <c r="R553" s="17" t="n">
        <f aca="false">IF(C553="COVERED",10.4,7.55)</f>
        <v>10.4</v>
      </c>
      <c r="S553" s="17" t="n">
        <f aca="false">Q553*R553</f>
        <v>332.8</v>
      </c>
      <c r="T553" s="9" t="s">
        <v>4979</v>
      </c>
      <c r="U553" s="10" t="n">
        <v>46235</v>
      </c>
      <c r="V553" s="9" t="n">
        <v>32</v>
      </c>
      <c r="W553" s="17" t="n">
        <v>10.4</v>
      </c>
      <c r="X553" s="17" t="n">
        <v>332.8</v>
      </c>
      <c r="Y553" s="17" t="n">
        <f aca="false">IF(ISNUMBER(X553),X553-S553,"")</f>
        <v>0</v>
      </c>
      <c r="Z553" s="17" t="n">
        <f aca="false">IF(ISNUMBER(X553),X553-S553,-S553)</f>
        <v>0</v>
      </c>
      <c r="AA553" s="9" t="str">
        <f aca="false">IF(NOT(ISNUMBER(X553)),"NO AUGUST POSTING IN EXPORT",IF(ABS(Y553)&gt;=0.005,"POSTED CHARGE MISMATCH",IF(P553&gt;0,"MATCH - COVERED ELIGIBILITY EXCEPTION","MATCH")))</f>
        <v>MATCH</v>
      </c>
      <c r="AB553" s="9" t="s">
        <v>4980</v>
      </c>
    </row>
    <row r="554" customFormat="false" ht="15" hidden="false" customHeight="false" outlineLevel="0" collapsed="false">
      <c r="A554" s="13" t="s">
        <v>4981</v>
      </c>
      <c r="B554" s="13" t="s">
        <v>113</v>
      </c>
      <c r="C554" s="13" t="s">
        <v>114</v>
      </c>
      <c r="D554" s="13" t="s">
        <v>2002</v>
      </c>
      <c r="E554" s="13" t="s">
        <v>3980</v>
      </c>
      <c r="F554" s="13" t="s">
        <v>4982</v>
      </c>
      <c r="G554" s="13" t="s">
        <v>4983</v>
      </c>
      <c r="H554" s="13" t="s">
        <v>3850</v>
      </c>
      <c r="I554" s="15" t="n">
        <v>24</v>
      </c>
      <c r="J554" s="15" t="n">
        <v>52.8</v>
      </c>
      <c r="K554" s="15"/>
      <c r="L554" s="15"/>
      <c r="M554" s="15" t="n">
        <f aca="false">IF(ISNUMBER(L554),L554,J554)</f>
        <v>52.8</v>
      </c>
      <c r="N554" s="15" t="n">
        <f aca="false">ROUNDUP(M554,0)</f>
        <v>53</v>
      </c>
      <c r="O554" s="15" t="n">
        <f aca="false">MAX(I554,N554)</f>
        <v>53</v>
      </c>
      <c r="P554" s="15" t="n">
        <f aca="false">IF(C554="COVERED",MAX(0,O554-40),0)</f>
        <v>13</v>
      </c>
      <c r="Q554" s="15" t="n">
        <f aca="false">O554</f>
        <v>53</v>
      </c>
      <c r="R554" s="18" t="n">
        <f aca="false">IF(C554="COVERED",10.4,7.55)</f>
        <v>10.4</v>
      </c>
      <c r="S554" s="18" t="n">
        <f aca="false">Q554*R554</f>
        <v>551.2</v>
      </c>
      <c r="T554" s="13" t="s">
        <v>4984</v>
      </c>
      <c r="U554" s="14" t="n">
        <v>46235</v>
      </c>
      <c r="V554" s="13" t="n">
        <v>53</v>
      </c>
      <c r="W554" s="18" t="n">
        <v>10.4</v>
      </c>
      <c r="X554" s="18" t="n">
        <v>551.2</v>
      </c>
      <c r="Y554" s="18" t="n">
        <f aca="false">IF(ISNUMBER(X554),X554-S554,"")</f>
        <v>0</v>
      </c>
      <c r="Z554" s="18" t="n">
        <f aca="false">IF(ISNUMBER(X554),X554-S554,-S554)</f>
        <v>0</v>
      </c>
      <c r="AA554" s="13" t="str">
        <f aca="false">IF(NOT(ISNUMBER(X554)),"NO AUGUST POSTING IN EXPORT",IF(ABS(Y554)&gt;=0.005,"POSTED CHARGE MISMATCH",IF(P554&gt;0,"MATCH - COVERED ELIGIBILITY EXCEPTION","MATCH")))</f>
        <v>MATCH - COVERED ELIGIBILITY EXCEPTION</v>
      </c>
      <c r="AB554" s="13" t="s">
        <v>4985</v>
      </c>
    </row>
    <row r="555" customFormat="false" ht="15" hidden="false" customHeight="false" outlineLevel="0" collapsed="false">
      <c r="A555" s="9" t="s">
        <v>1686</v>
      </c>
      <c r="B555" s="9" t="s">
        <v>113</v>
      </c>
      <c r="C555" s="9" t="s">
        <v>114</v>
      </c>
      <c r="D555" s="9" t="s">
        <v>2002</v>
      </c>
      <c r="E555" s="9" t="s">
        <v>2784</v>
      </c>
      <c r="F555" s="9" t="s">
        <v>4986</v>
      </c>
      <c r="G555" s="9" t="s">
        <v>4987</v>
      </c>
      <c r="H555" s="9" t="s">
        <v>3043</v>
      </c>
      <c r="I555" s="11" t="n">
        <v>28</v>
      </c>
      <c r="J555" s="11" t="n">
        <v>18.7</v>
      </c>
      <c r="K555" s="11"/>
      <c r="L555" s="11"/>
      <c r="M555" s="11" t="n">
        <f aca="false">IF(ISNUMBER(L555),L555,J555)</f>
        <v>18.7</v>
      </c>
      <c r="N555" s="11" t="n">
        <f aca="false">ROUNDUP(M555,0)</f>
        <v>19</v>
      </c>
      <c r="O555" s="11" t="n">
        <f aca="false">MAX(I555,N555)</f>
        <v>28</v>
      </c>
      <c r="P555" s="11" t="n">
        <f aca="false">IF(C555="COVERED",MAX(0,O555-40),0)</f>
        <v>0</v>
      </c>
      <c r="Q555" s="11" t="n">
        <f aca="false">O555</f>
        <v>28</v>
      </c>
      <c r="R555" s="17" t="n">
        <f aca="false">IF(C555="COVERED",10.4,7.55)</f>
        <v>10.4</v>
      </c>
      <c r="S555" s="17" t="n">
        <f aca="false">Q555*R555</f>
        <v>291.2</v>
      </c>
      <c r="T555" s="9" t="s">
        <v>4988</v>
      </c>
      <c r="U555" s="10" t="n">
        <v>46235</v>
      </c>
      <c r="V555" s="9" t="n">
        <v>28</v>
      </c>
      <c r="W555" s="17" t="n">
        <v>10.4</v>
      </c>
      <c r="X555" s="17" t="n">
        <v>291.2</v>
      </c>
      <c r="Y555" s="17" t="n">
        <f aca="false">IF(ISNUMBER(X555),X555-S555,"")</f>
        <v>0</v>
      </c>
      <c r="Z555" s="17" t="n">
        <f aca="false">IF(ISNUMBER(X555),X555-S555,-S555)</f>
        <v>0</v>
      </c>
      <c r="AA555" s="9" t="str">
        <f aca="false">IF(NOT(ISNUMBER(X555)),"NO AUGUST POSTING IN EXPORT",IF(ABS(Y555)&gt;=0.005,"POSTED CHARGE MISMATCH",IF(P555&gt;0,"MATCH - COVERED ELIGIBILITY EXCEPTION","MATCH")))</f>
        <v>MATCH</v>
      </c>
      <c r="AB555" s="9" t="s">
        <v>4989</v>
      </c>
    </row>
    <row r="556" customFormat="false" ht="15" hidden="false" customHeight="false" outlineLevel="0" collapsed="false">
      <c r="A556" s="13" t="s">
        <v>4990</v>
      </c>
      <c r="B556" s="13" t="s">
        <v>113</v>
      </c>
      <c r="C556" s="13" t="s">
        <v>114</v>
      </c>
      <c r="D556" s="13" t="s">
        <v>2002</v>
      </c>
      <c r="E556" s="13" t="s">
        <v>2791</v>
      </c>
      <c r="F556" s="13" t="s">
        <v>4991</v>
      </c>
      <c r="G556" s="13" t="s">
        <v>4992</v>
      </c>
      <c r="H556" s="13" t="s">
        <v>2144</v>
      </c>
      <c r="I556" s="15" t="n">
        <v>36</v>
      </c>
      <c r="J556" s="15" t="n">
        <v>37.5</v>
      </c>
      <c r="K556" s="15"/>
      <c r="L556" s="15"/>
      <c r="M556" s="15" t="n">
        <f aca="false">IF(ISNUMBER(L556),L556,J556)</f>
        <v>37.5</v>
      </c>
      <c r="N556" s="15" t="n">
        <f aca="false">ROUNDUP(M556,0)</f>
        <v>38</v>
      </c>
      <c r="O556" s="15" t="n">
        <f aca="false">MAX(I556,N556)</f>
        <v>38</v>
      </c>
      <c r="P556" s="15" t="n">
        <f aca="false">IF(C556="COVERED",MAX(0,O556-40),0)</f>
        <v>0</v>
      </c>
      <c r="Q556" s="15" t="n">
        <f aca="false">O556</f>
        <v>38</v>
      </c>
      <c r="R556" s="18" t="n">
        <f aca="false">IF(C556="COVERED",10.4,7.55)</f>
        <v>10.4</v>
      </c>
      <c r="S556" s="18" t="n">
        <f aca="false">Q556*R556</f>
        <v>395.2</v>
      </c>
      <c r="T556" s="13" t="s">
        <v>4993</v>
      </c>
      <c r="U556" s="14" t="n">
        <v>46235</v>
      </c>
      <c r="V556" s="13" t="n">
        <v>38</v>
      </c>
      <c r="W556" s="18" t="n">
        <v>10.4</v>
      </c>
      <c r="X556" s="18" t="n">
        <v>395.2</v>
      </c>
      <c r="Y556" s="18" t="n">
        <f aca="false">IF(ISNUMBER(X556),X556-S556,"")</f>
        <v>0</v>
      </c>
      <c r="Z556" s="18" t="n">
        <f aca="false">IF(ISNUMBER(X556),X556-S556,-S556)</f>
        <v>0</v>
      </c>
      <c r="AA556" s="13" t="str">
        <f aca="false">IF(NOT(ISNUMBER(X556)),"NO AUGUST POSTING IN EXPORT",IF(ABS(Y556)&gt;=0.005,"POSTED CHARGE MISMATCH",IF(P556&gt;0,"MATCH - COVERED ELIGIBILITY EXCEPTION","MATCH")))</f>
        <v>MATCH</v>
      </c>
      <c r="AB556" s="13" t="s">
        <v>4994</v>
      </c>
    </row>
    <row r="557" customFormat="false" ht="15" hidden="false" customHeight="false" outlineLevel="0" collapsed="false">
      <c r="A557" s="9" t="s">
        <v>1363</v>
      </c>
      <c r="B557" s="9" t="s">
        <v>113</v>
      </c>
      <c r="C557" s="9" t="s">
        <v>114</v>
      </c>
      <c r="D557" s="9" t="s">
        <v>2002</v>
      </c>
      <c r="E557" s="9" t="s">
        <v>2798</v>
      </c>
      <c r="F557" s="9" t="s">
        <v>4995</v>
      </c>
      <c r="G557" s="9" t="s">
        <v>4996</v>
      </c>
      <c r="H557" s="9" t="s">
        <v>4929</v>
      </c>
      <c r="I557" s="11" t="n">
        <v>24</v>
      </c>
      <c r="J557" s="11" t="n">
        <v>51.4</v>
      </c>
      <c r="K557" s="11"/>
      <c r="L557" s="11"/>
      <c r="M557" s="11" t="n">
        <f aca="false">IF(ISNUMBER(L557),L557,J557)</f>
        <v>51.4</v>
      </c>
      <c r="N557" s="11" t="n">
        <f aca="false">ROUNDUP(M557,0)</f>
        <v>52</v>
      </c>
      <c r="O557" s="11" t="n">
        <f aca="false">MAX(I557,N557)</f>
        <v>52</v>
      </c>
      <c r="P557" s="11" t="n">
        <f aca="false">IF(C557="COVERED",MAX(0,O557-40),0)</f>
        <v>12</v>
      </c>
      <c r="Q557" s="11" t="n">
        <f aca="false">O557</f>
        <v>52</v>
      </c>
      <c r="R557" s="17" t="n">
        <f aca="false">IF(C557="COVERED",10.4,7.55)</f>
        <v>10.4</v>
      </c>
      <c r="S557" s="17" t="n">
        <f aca="false">Q557*R557</f>
        <v>540.8</v>
      </c>
      <c r="T557" s="9" t="s">
        <v>4997</v>
      </c>
      <c r="U557" s="10" t="n">
        <v>46235</v>
      </c>
      <c r="V557" s="9" t="n">
        <v>52</v>
      </c>
      <c r="W557" s="17" t="n">
        <v>10.4</v>
      </c>
      <c r="X557" s="17" t="n">
        <v>540.8</v>
      </c>
      <c r="Y557" s="17" t="n">
        <f aca="false">IF(ISNUMBER(X557),X557-S557,"")</f>
        <v>0</v>
      </c>
      <c r="Z557" s="17" t="n">
        <f aca="false">IF(ISNUMBER(X557),X557-S557,-S557)</f>
        <v>0</v>
      </c>
      <c r="AA557" s="9" t="str">
        <f aca="false">IF(NOT(ISNUMBER(X557)),"NO AUGUST POSTING IN EXPORT",IF(ABS(Y557)&gt;=0.005,"POSTED CHARGE MISMATCH",IF(P557&gt;0,"MATCH - COVERED ELIGIBILITY EXCEPTION","MATCH")))</f>
        <v>MATCH - COVERED ELIGIBILITY EXCEPTION</v>
      </c>
      <c r="AB557" s="9" t="s">
        <v>4998</v>
      </c>
    </row>
    <row r="558" customFormat="false" ht="15" hidden="false" customHeight="false" outlineLevel="0" collapsed="false">
      <c r="A558" s="13" t="s">
        <v>4999</v>
      </c>
      <c r="B558" s="13" t="s">
        <v>113</v>
      </c>
      <c r="C558" s="13" t="s">
        <v>114</v>
      </c>
      <c r="D558" s="13" t="s">
        <v>2002</v>
      </c>
      <c r="E558" s="13" t="s">
        <v>2805</v>
      </c>
      <c r="F558" s="13" t="s">
        <v>5000</v>
      </c>
      <c r="G558" s="13" t="s">
        <v>5001</v>
      </c>
      <c r="H558" s="13" t="s">
        <v>3855</v>
      </c>
      <c r="I558" s="15" t="n">
        <v>28</v>
      </c>
      <c r="J558" s="15" t="n">
        <v>35.6</v>
      </c>
      <c r="K558" s="15"/>
      <c r="L558" s="15"/>
      <c r="M558" s="15" t="n">
        <f aca="false">IF(ISNUMBER(L558),L558,J558)</f>
        <v>35.6</v>
      </c>
      <c r="N558" s="15" t="n">
        <f aca="false">ROUNDUP(M558,0)</f>
        <v>36</v>
      </c>
      <c r="O558" s="15" t="n">
        <f aca="false">MAX(I558,N558)</f>
        <v>36</v>
      </c>
      <c r="P558" s="15" t="n">
        <f aca="false">IF(C558="COVERED",MAX(0,O558-40),0)</f>
        <v>0</v>
      </c>
      <c r="Q558" s="15" t="n">
        <f aca="false">O558</f>
        <v>36</v>
      </c>
      <c r="R558" s="18" t="n">
        <f aca="false">IF(C558="COVERED",10.4,7.55)</f>
        <v>10.4</v>
      </c>
      <c r="S558" s="18" t="n">
        <f aca="false">Q558*R558</f>
        <v>374.4</v>
      </c>
      <c r="T558" s="13" t="s">
        <v>5002</v>
      </c>
      <c r="U558" s="14" t="n">
        <v>46235</v>
      </c>
      <c r="V558" s="13" t="n">
        <v>36</v>
      </c>
      <c r="W558" s="18" t="n">
        <v>10.4</v>
      </c>
      <c r="X558" s="18" t="n">
        <v>374.4</v>
      </c>
      <c r="Y558" s="18" t="n">
        <f aca="false">IF(ISNUMBER(X558),X558-S558,"")</f>
        <v>0</v>
      </c>
      <c r="Z558" s="18" t="n">
        <f aca="false">IF(ISNUMBER(X558),X558-S558,-S558)</f>
        <v>0</v>
      </c>
      <c r="AA558" s="13" t="str">
        <f aca="false">IF(NOT(ISNUMBER(X558)),"NO AUGUST POSTING IN EXPORT",IF(ABS(Y558)&gt;=0.005,"POSTED CHARGE MISMATCH",IF(P558&gt;0,"MATCH - COVERED ELIGIBILITY EXCEPTION","MATCH")))</f>
        <v>MATCH</v>
      </c>
      <c r="AB558" s="13" t="s">
        <v>5003</v>
      </c>
    </row>
    <row r="559" customFormat="false" ht="15" hidden="false" customHeight="false" outlineLevel="0" collapsed="false">
      <c r="A559" s="9" t="s">
        <v>5004</v>
      </c>
      <c r="B559" s="9" t="s">
        <v>113</v>
      </c>
      <c r="C559" s="9" t="s">
        <v>114</v>
      </c>
      <c r="D559" s="9" t="s">
        <v>2002</v>
      </c>
      <c r="E559" s="9" t="s">
        <v>2812</v>
      </c>
      <c r="F559" s="9" t="s">
        <v>5005</v>
      </c>
      <c r="G559" s="9" t="s">
        <v>5006</v>
      </c>
      <c r="H559" s="9" t="s">
        <v>5007</v>
      </c>
      <c r="I559" s="11" t="n">
        <v>32</v>
      </c>
      <c r="J559" s="11" t="n">
        <v>30.1</v>
      </c>
      <c r="K559" s="11"/>
      <c r="L559" s="11"/>
      <c r="M559" s="11" t="n">
        <f aca="false">IF(ISNUMBER(L559),L559,J559)</f>
        <v>30.1</v>
      </c>
      <c r="N559" s="11" t="n">
        <f aca="false">ROUNDUP(M559,0)</f>
        <v>31</v>
      </c>
      <c r="O559" s="11" t="n">
        <f aca="false">MAX(I559,N559)</f>
        <v>32</v>
      </c>
      <c r="P559" s="11" t="n">
        <f aca="false">IF(C559="COVERED",MAX(0,O559-40),0)</f>
        <v>0</v>
      </c>
      <c r="Q559" s="11" t="n">
        <f aca="false">O559</f>
        <v>32</v>
      </c>
      <c r="R559" s="17" t="n">
        <f aca="false">IF(C559="COVERED",10.4,7.55)</f>
        <v>10.4</v>
      </c>
      <c r="S559" s="17" t="n">
        <f aca="false">Q559*R559</f>
        <v>332.8</v>
      </c>
      <c r="T559" s="9" t="s">
        <v>5008</v>
      </c>
      <c r="U559" s="10" t="n">
        <v>46235</v>
      </c>
      <c r="V559" s="9" t="n">
        <v>32</v>
      </c>
      <c r="W559" s="17" t="n">
        <v>10.4</v>
      </c>
      <c r="X559" s="17" t="n">
        <v>332.8</v>
      </c>
      <c r="Y559" s="17" t="n">
        <f aca="false">IF(ISNUMBER(X559),X559-S559,"")</f>
        <v>0</v>
      </c>
      <c r="Z559" s="17" t="n">
        <f aca="false">IF(ISNUMBER(X559),X559-S559,-S559)</f>
        <v>0</v>
      </c>
      <c r="AA559" s="9" t="str">
        <f aca="false">IF(NOT(ISNUMBER(X559)),"NO AUGUST POSTING IN EXPORT",IF(ABS(Y559)&gt;=0.005,"POSTED CHARGE MISMATCH",IF(P559&gt;0,"MATCH - COVERED ELIGIBILITY EXCEPTION","MATCH")))</f>
        <v>MATCH</v>
      </c>
      <c r="AB559" s="9" t="s">
        <v>5009</v>
      </c>
    </row>
    <row r="560" customFormat="false" ht="15" hidden="false" customHeight="false" outlineLevel="0" collapsed="false">
      <c r="A560" s="13" t="s">
        <v>5010</v>
      </c>
      <c r="B560" s="13" t="s">
        <v>113</v>
      </c>
      <c r="C560" s="13" t="s">
        <v>114</v>
      </c>
      <c r="D560" s="13" t="s">
        <v>2002</v>
      </c>
      <c r="E560" s="13" t="s">
        <v>4005</v>
      </c>
      <c r="F560" s="13" t="s">
        <v>5011</v>
      </c>
      <c r="G560" s="13" t="s">
        <v>5012</v>
      </c>
      <c r="H560" s="13" t="s">
        <v>5013</v>
      </c>
      <c r="I560" s="15" t="n">
        <v>32</v>
      </c>
      <c r="J560" s="15" t="n">
        <v>40.5</v>
      </c>
      <c r="K560" s="15"/>
      <c r="L560" s="15"/>
      <c r="M560" s="15" t="n">
        <f aca="false">IF(ISNUMBER(L560),L560,J560)</f>
        <v>40.5</v>
      </c>
      <c r="N560" s="15" t="n">
        <f aca="false">ROUNDUP(M560,0)</f>
        <v>41</v>
      </c>
      <c r="O560" s="15" t="n">
        <f aca="false">MAX(I560,N560)</f>
        <v>41</v>
      </c>
      <c r="P560" s="15" t="n">
        <f aca="false">IF(C560="COVERED",MAX(0,O560-40),0)</f>
        <v>1</v>
      </c>
      <c r="Q560" s="15" t="n">
        <f aca="false">O560</f>
        <v>41</v>
      </c>
      <c r="R560" s="18" t="n">
        <f aca="false">IF(C560="COVERED",10.4,7.55)</f>
        <v>10.4</v>
      </c>
      <c r="S560" s="18" t="n">
        <f aca="false">Q560*R560</f>
        <v>426.4</v>
      </c>
      <c r="T560" s="13" t="s">
        <v>5014</v>
      </c>
      <c r="U560" s="14" t="n">
        <v>46235</v>
      </c>
      <c r="V560" s="13" t="n">
        <v>41</v>
      </c>
      <c r="W560" s="18" t="n">
        <v>10.4</v>
      </c>
      <c r="X560" s="18" t="n">
        <v>426.4</v>
      </c>
      <c r="Y560" s="18" t="n">
        <f aca="false">IF(ISNUMBER(X560),X560-S560,"")</f>
        <v>0</v>
      </c>
      <c r="Z560" s="18" t="n">
        <f aca="false">IF(ISNUMBER(X560),X560-S560,-S560)</f>
        <v>0</v>
      </c>
      <c r="AA560" s="13" t="str">
        <f aca="false">IF(NOT(ISNUMBER(X560)),"NO AUGUST POSTING IN EXPORT",IF(ABS(Y560)&gt;=0.005,"POSTED CHARGE MISMATCH",IF(P560&gt;0,"MATCH - COVERED ELIGIBILITY EXCEPTION","MATCH")))</f>
        <v>MATCH - COVERED ELIGIBILITY EXCEPTION</v>
      </c>
      <c r="AB560" s="13" t="s">
        <v>5015</v>
      </c>
    </row>
    <row r="561" customFormat="false" ht="15" hidden="false" customHeight="false" outlineLevel="0" collapsed="false">
      <c r="A561" s="9" t="s">
        <v>5016</v>
      </c>
      <c r="B561" s="9" t="s">
        <v>113</v>
      </c>
      <c r="C561" s="9" t="s">
        <v>114</v>
      </c>
      <c r="D561" s="9" t="s">
        <v>2002</v>
      </c>
      <c r="E561" s="9" t="s">
        <v>2818</v>
      </c>
      <c r="F561" s="9" t="s">
        <v>5017</v>
      </c>
      <c r="G561" s="9" t="s">
        <v>5018</v>
      </c>
      <c r="H561" s="9" t="s">
        <v>2960</v>
      </c>
      <c r="I561" s="11" t="n">
        <v>40</v>
      </c>
      <c r="J561" s="11" t="n">
        <v>22</v>
      </c>
      <c r="K561" s="11"/>
      <c r="L561" s="11"/>
      <c r="M561" s="11" t="n">
        <f aca="false">IF(ISNUMBER(L561),L561,J561)</f>
        <v>22</v>
      </c>
      <c r="N561" s="11" t="n">
        <f aca="false">ROUNDUP(M561,0)</f>
        <v>22</v>
      </c>
      <c r="O561" s="11" t="n">
        <f aca="false">MAX(I561,N561)</f>
        <v>40</v>
      </c>
      <c r="P561" s="11" t="n">
        <f aca="false">IF(C561="COVERED",MAX(0,O561-40),0)</f>
        <v>0</v>
      </c>
      <c r="Q561" s="11" t="n">
        <f aca="false">O561</f>
        <v>40</v>
      </c>
      <c r="R561" s="17" t="n">
        <f aca="false">IF(C561="COVERED",10.4,7.55)</f>
        <v>10.4</v>
      </c>
      <c r="S561" s="17" t="n">
        <f aca="false">Q561*R561</f>
        <v>416</v>
      </c>
      <c r="T561" s="9" t="s">
        <v>5019</v>
      </c>
      <c r="U561" s="10" t="n">
        <v>46235</v>
      </c>
      <c r="V561" s="9" t="n">
        <v>40</v>
      </c>
      <c r="W561" s="17" t="n">
        <v>10.4</v>
      </c>
      <c r="X561" s="17" t="n">
        <v>416</v>
      </c>
      <c r="Y561" s="17" t="n">
        <f aca="false">IF(ISNUMBER(X561),X561-S561,"")</f>
        <v>0</v>
      </c>
      <c r="Z561" s="17" t="n">
        <f aca="false">IF(ISNUMBER(X561),X561-S561,-S561)</f>
        <v>0</v>
      </c>
      <c r="AA561" s="9" t="str">
        <f aca="false">IF(NOT(ISNUMBER(X561)),"NO AUGUST POSTING IN EXPORT",IF(ABS(Y561)&gt;=0.005,"POSTED CHARGE MISMATCH",IF(P561&gt;0,"MATCH - COVERED ELIGIBILITY EXCEPTION","MATCH")))</f>
        <v>MATCH</v>
      </c>
      <c r="AB561" s="9" t="s">
        <v>5020</v>
      </c>
    </row>
    <row r="562" customFormat="false" ht="15" hidden="false" customHeight="false" outlineLevel="0" collapsed="false">
      <c r="A562" s="13" t="s">
        <v>5021</v>
      </c>
      <c r="B562" s="13" t="s">
        <v>113</v>
      </c>
      <c r="C562" s="13" t="s">
        <v>114</v>
      </c>
      <c r="D562" s="13" t="s">
        <v>2002</v>
      </c>
      <c r="E562" s="13" t="s">
        <v>4014</v>
      </c>
      <c r="F562" s="13" t="s">
        <v>1843</v>
      </c>
      <c r="G562" s="13" t="s">
        <v>1844</v>
      </c>
      <c r="H562" s="13" t="s">
        <v>5022</v>
      </c>
      <c r="I562" s="15" t="n">
        <v>32</v>
      </c>
      <c r="J562" s="15" t="n">
        <v>39.4</v>
      </c>
      <c r="K562" s="15"/>
      <c r="L562" s="15"/>
      <c r="M562" s="15" t="n">
        <f aca="false">IF(ISNUMBER(L562),L562,J562)</f>
        <v>39.4</v>
      </c>
      <c r="N562" s="15" t="n">
        <f aca="false">ROUNDUP(M562,0)</f>
        <v>40</v>
      </c>
      <c r="O562" s="15" t="n">
        <f aca="false">MAX(I562,N562)</f>
        <v>40</v>
      </c>
      <c r="P562" s="15" t="n">
        <f aca="false">IF(C562="COVERED",MAX(0,O562-40),0)</f>
        <v>0</v>
      </c>
      <c r="Q562" s="15" t="n">
        <f aca="false">O562</f>
        <v>40</v>
      </c>
      <c r="R562" s="18" t="n">
        <f aca="false">IF(C562="COVERED",10.4,7.55)</f>
        <v>10.4</v>
      </c>
      <c r="S562" s="18" t="n">
        <f aca="false">Q562*R562</f>
        <v>416</v>
      </c>
      <c r="T562" s="13" t="s">
        <v>5023</v>
      </c>
      <c r="U562" s="14" t="n">
        <v>46235</v>
      </c>
      <c r="V562" s="13" t="n">
        <v>40</v>
      </c>
      <c r="W562" s="18" t="n">
        <v>10.4</v>
      </c>
      <c r="X562" s="18" t="n">
        <v>416</v>
      </c>
      <c r="Y562" s="18" t="n">
        <f aca="false">IF(ISNUMBER(X562),X562-S562,"")</f>
        <v>0</v>
      </c>
      <c r="Z562" s="18" t="n">
        <f aca="false">IF(ISNUMBER(X562),X562-S562,-S562)</f>
        <v>0</v>
      </c>
      <c r="AA562" s="13" t="str">
        <f aca="false">IF(NOT(ISNUMBER(X562)),"NO AUGUST POSTING IN EXPORT",IF(ABS(Y562)&gt;=0.005,"POSTED CHARGE MISMATCH",IF(P562&gt;0,"MATCH - COVERED ELIGIBILITY EXCEPTION","MATCH")))</f>
        <v>MATCH</v>
      </c>
      <c r="AB562" s="13" t="s">
        <v>5024</v>
      </c>
    </row>
    <row r="563" customFormat="false" ht="15" hidden="false" customHeight="false" outlineLevel="0" collapsed="false">
      <c r="A563" s="9" t="s">
        <v>5025</v>
      </c>
      <c r="B563" s="9" t="s">
        <v>113</v>
      </c>
      <c r="C563" s="9" t="s">
        <v>114</v>
      </c>
      <c r="D563" s="9" t="s">
        <v>2002</v>
      </c>
      <c r="E563" s="9" t="s">
        <v>2825</v>
      </c>
      <c r="F563" s="9" t="s">
        <v>5026</v>
      </c>
      <c r="G563" s="9" t="s">
        <v>5027</v>
      </c>
      <c r="H563" s="9" t="s">
        <v>5028</v>
      </c>
      <c r="I563" s="11" t="n">
        <v>32</v>
      </c>
      <c r="J563" s="11" t="n">
        <v>53.9</v>
      </c>
      <c r="K563" s="11"/>
      <c r="L563" s="11"/>
      <c r="M563" s="11" t="n">
        <f aca="false">IF(ISNUMBER(L563),L563,J563)</f>
        <v>53.9</v>
      </c>
      <c r="N563" s="11" t="n">
        <f aca="false">ROUNDUP(M563,0)</f>
        <v>54</v>
      </c>
      <c r="O563" s="11" t="n">
        <f aca="false">MAX(I563,N563)</f>
        <v>54</v>
      </c>
      <c r="P563" s="11" t="n">
        <f aca="false">IF(C563="COVERED",MAX(0,O563-40),0)</f>
        <v>14</v>
      </c>
      <c r="Q563" s="11" t="n">
        <f aca="false">O563</f>
        <v>54</v>
      </c>
      <c r="R563" s="17" t="n">
        <f aca="false">IF(C563="COVERED",10.4,7.55)</f>
        <v>10.4</v>
      </c>
      <c r="S563" s="17" t="n">
        <f aca="false">Q563*R563</f>
        <v>561.6</v>
      </c>
      <c r="T563" s="9" t="s">
        <v>5029</v>
      </c>
      <c r="U563" s="10" t="n">
        <v>46235</v>
      </c>
      <c r="V563" s="9" t="n">
        <v>54</v>
      </c>
      <c r="W563" s="17" t="n">
        <v>10.4</v>
      </c>
      <c r="X563" s="17" t="n">
        <v>561.6</v>
      </c>
      <c r="Y563" s="17" t="n">
        <f aca="false">IF(ISNUMBER(X563),X563-S563,"")</f>
        <v>0</v>
      </c>
      <c r="Z563" s="17" t="n">
        <f aca="false">IF(ISNUMBER(X563),X563-S563,-S563)</f>
        <v>0</v>
      </c>
      <c r="AA563" s="9" t="str">
        <f aca="false">IF(NOT(ISNUMBER(X563)),"NO AUGUST POSTING IN EXPORT",IF(ABS(Y563)&gt;=0.005,"POSTED CHARGE MISMATCH",IF(P563&gt;0,"MATCH - COVERED ELIGIBILITY EXCEPTION","MATCH")))</f>
        <v>MATCH - COVERED ELIGIBILITY EXCEPTION</v>
      </c>
      <c r="AB563" s="9" t="s">
        <v>5030</v>
      </c>
    </row>
    <row r="564" customFormat="false" ht="15" hidden="false" customHeight="false" outlineLevel="0" collapsed="false">
      <c r="A564" s="13" t="s">
        <v>5031</v>
      </c>
      <c r="B564" s="13" t="s">
        <v>113</v>
      </c>
      <c r="C564" s="13" t="s">
        <v>114</v>
      </c>
      <c r="D564" s="13" t="s">
        <v>2002</v>
      </c>
      <c r="E564" s="13" t="s">
        <v>2831</v>
      </c>
      <c r="F564" s="13" t="s">
        <v>5032</v>
      </c>
      <c r="G564" s="13" t="s">
        <v>5033</v>
      </c>
      <c r="H564" s="13" t="s">
        <v>4298</v>
      </c>
      <c r="I564" s="15" t="n">
        <v>40</v>
      </c>
      <c r="J564" s="15" t="n">
        <v>49.8</v>
      </c>
      <c r="K564" s="15"/>
      <c r="L564" s="15"/>
      <c r="M564" s="15" t="n">
        <f aca="false">IF(ISNUMBER(L564),L564,J564)</f>
        <v>49.8</v>
      </c>
      <c r="N564" s="15" t="n">
        <f aca="false">ROUNDUP(M564,0)</f>
        <v>50</v>
      </c>
      <c r="O564" s="15" t="n">
        <f aca="false">MAX(I564,N564)</f>
        <v>50</v>
      </c>
      <c r="P564" s="15" t="n">
        <f aca="false">IF(C564="COVERED",MAX(0,O564-40),0)</f>
        <v>10</v>
      </c>
      <c r="Q564" s="15" t="n">
        <f aca="false">O564</f>
        <v>50</v>
      </c>
      <c r="R564" s="18" t="n">
        <f aca="false">IF(C564="COVERED",10.4,7.55)</f>
        <v>10.4</v>
      </c>
      <c r="S564" s="18" t="n">
        <f aca="false">Q564*R564</f>
        <v>520</v>
      </c>
      <c r="T564" s="13" t="s">
        <v>5034</v>
      </c>
      <c r="U564" s="14" t="n">
        <v>46235</v>
      </c>
      <c r="V564" s="13" t="n">
        <v>50</v>
      </c>
      <c r="W564" s="18" t="n">
        <v>10.4</v>
      </c>
      <c r="X564" s="18" t="n">
        <v>520</v>
      </c>
      <c r="Y564" s="18" t="n">
        <f aca="false">IF(ISNUMBER(X564),X564-S564,"")</f>
        <v>0</v>
      </c>
      <c r="Z564" s="18" t="n">
        <f aca="false">IF(ISNUMBER(X564),X564-S564,-S564)</f>
        <v>0</v>
      </c>
      <c r="AA564" s="13" t="str">
        <f aca="false">IF(NOT(ISNUMBER(X564)),"NO AUGUST POSTING IN EXPORT",IF(ABS(Y564)&gt;=0.005,"POSTED CHARGE MISMATCH",IF(P564&gt;0,"MATCH - COVERED ELIGIBILITY EXCEPTION","MATCH")))</f>
        <v>MATCH - COVERED ELIGIBILITY EXCEPTION</v>
      </c>
      <c r="AB564" s="13" t="s">
        <v>5035</v>
      </c>
    </row>
    <row r="565" customFormat="false" ht="15" hidden="false" customHeight="false" outlineLevel="0" collapsed="false">
      <c r="A565" s="9" t="s">
        <v>5036</v>
      </c>
      <c r="B565" s="9" t="s">
        <v>113</v>
      </c>
      <c r="C565" s="9" t="s">
        <v>114</v>
      </c>
      <c r="D565" s="9" t="s">
        <v>2002</v>
      </c>
      <c r="E565" s="9" t="s">
        <v>5037</v>
      </c>
      <c r="F565" s="9" t="s">
        <v>5038</v>
      </c>
      <c r="G565" s="9" t="s">
        <v>5039</v>
      </c>
      <c r="H565" s="9" t="s">
        <v>5040</v>
      </c>
      <c r="I565" s="11" t="n">
        <v>24</v>
      </c>
      <c r="J565" s="11" t="n">
        <v>43.4</v>
      </c>
      <c r="K565" s="11"/>
      <c r="L565" s="11"/>
      <c r="M565" s="11" t="n">
        <f aca="false">IF(ISNUMBER(L565),L565,J565)</f>
        <v>43.4</v>
      </c>
      <c r="N565" s="11" t="n">
        <f aca="false">ROUNDUP(M565,0)</f>
        <v>44</v>
      </c>
      <c r="O565" s="11" t="n">
        <f aca="false">MAX(I565,N565)</f>
        <v>44</v>
      </c>
      <c r="P565" s="11" t="n">
        <f aca="false">IF(C565="COVERED",MAX(0,O565-40),0)</f>
        <v>4</v>
      </c>
      <c r="Q565" s="11" t="n">
        <f aca="false">O565</f>
        <v>44</v>
      </c>
      <c r="R565" s="17" t="n">
        <f aca="false">IF(C565="COVERED",10.4,7.55)</f>
        <v>10.4</v>
      </c>
      <c r="S565" s="17" t="n">
        <f aca="false">Q565*R565</f>
        <v>457.6</v>
      </c>
      <c r="T565" s="9" t="s">
        <v>5041</v>
      </c>
      <c r="U565" s="10" t="n">
        <v>46235</v>
      </c>
      <c r="V565" s="9" t="n">
        <v>44</v>
      </c>
      <c r="W565" s="17" t="n">
        <v>10.4</v>
      </c>
      <c r="X565" s="17" t="n">
        <v>457.6</v>
      </c>
      <c r="Y565" s="17" t="n">
        <f aca="false">IF(ISNUMBER(X565),X565-S565,"")</f>
        <v>0</v>
      </c>
      <c r="Z565" s="17" t="n">
        <f aca="false">IF(ISNUMBER(X565),X565-S565,-S565)</f>
        <v>0</v>
      </c>
      <c r="AA565" s="9" t="str">
        <f aca="false">IF(NOT(ISNUMBER(X565)),"NO AUGUST POSTING IN EXPORT",IF(ABS(Y565)&gt;=0.005,"POSTED CHARGE MISMATCH",IF(P565&gt;0,"MATCH - COVERED ELIGIBILITY EXCEPTION","MATCH")))</f>
        <v>MATCH - COVERED ELIGIBILITY EXCEPTION</v>
      </c>
      <c r="AB565" s="9" t="s">
        <v>5042</v>
      </c>
    </row>
    <row r="566" customFormat="false" ht="15" hidden="false" customHeight="false" outlineLevel="0" collapsed="false">
      <c r="A566" s="13" t="s">
        <v>5043</v>
      </c>
      <c r="B566" s="13" t="s">
        <v>113</v>
      </c>
      <c r="C566" s="13" t="s">
        <v>114</v>
      </c>
      <c r="D566" s="13" t="s">
        <v>2002</v>
      </c>
      <c r="E566" s="13" t="s">
        <v>2838</v>
      </c>
      <c r="F566" s="13" t="s">
        <v>5044</v>
      </c>
      <c r="G566" s="13" t="s">
        <v>1082</v>
      </c>
      <c r="H566" s="13" t="s">
        <v>2290</v>
      </c>
      <c r="I566" s="15" t="n">
        <v>32</v>
      </c>
      <c r="J566" s="15" t="n">
        <v>51.4</v>
      </c>
      <c r="K566" s="15"/>
      <c r="L566" s="15"/>
      <c r="M566" s="15" t="n">
        <f aca="false">IF(ISNUMBER(L566),L566,J566)</f>
        <v>51.4</v>
      </c>
      <c r="N566" s="15" t="n">
        <f aca="false">ROUNDUP(M566,0)</f>
        <v>52</v>
      </c>
      <c r="O566" s="15" t="n">
        <f aca="false">MAX(I566,N566)</f>
        <v>52</v>
      </c>
      <c r="P566" s="15" t="n">
        <f aca="false">IF(C566="COVERED",MAX(0,O566-40),0)</f>
        <v>12</v>
      </c>
      <c r="Q566" s="15" t="n">
        <f aca="false">O566</f>
        <v>52</v>
      </c>
      <c r="R566" s="18" t="n">
        <f aca="false">IF(C566="COVERED",10.4,7.55)</f>
        <v>10.4</v>
      </c>
      <c r="S566" s="18" t="n">
        <f aca="false">Q566*R566</f>
        <v>540.8</v>
      </c>
      <c r="T566" s="13" t="s">
        <v>5045</v>
      </c>
      <c r="U566" s="14" t="n">
        <v>46235</v>
      </c>
      <c r="V566" s="13" t="n">
        <v>52</v>
      </c>
      <c r="W566" s="18" t="n">
        <v>10.4</v>
      </c>
      <c r="X566" s="18" t="n">
        <v>540.8</v>
      </c>
      <c r="Y566" s="18" t="n">
        <f aca="false">IF(ISNUMBER(X566),X566-S566,"")</f>
        <v>0</v>
      </c>
      <c r="Z566" s="18" t="n">
        <f aca="false">IF(ISNUMBER(X566),X566-S566,-S566)</f>
        <v>0</v>
      </c>
      <c r="AA566" s="13" t="str">
        <f aca="false">IF(NOT(ISNUMBER(X566)),"NO AUGUST POSTING IN EXPORT",IF(ABS(Y566)&gt;=0.005,"POSTED CHARGE MISMATCH",IF(P566&gt;0,"MATCH - COVERED ELIGIBILITY EXCEPTION","MATCH")))</f>
        <v>MATCH - COVERED ELIGIBILITY EXCEPTION</v>
      </c>
      <c r="AB566" s="13" t="s">
        <v>5046</v>
      </c>
    </row>
    <row r="567" customFormat="false" ht="15" hidden="false" customHeight="false" outlineLevel="0" collapsed="false">
      <c r="A567" s="9" t="s">
        <v>5047</v>
      </c>
      <c r="B567" s="9" t="s">
        <v>113</v>
      </c>
      <c r="C567" s="9" t="s">
        <v>114</v>
      </c>
      <c r="D567" s="9" t="s">
        <v>2002</v>
      </c>
      <c r="E567" s="9" t="s">
        <v>2845</v>
      </c>
      <c r="F567" s="9" t="s">
        <v>5048</v>
      </c>
      <c r="G567" s="9" t="s">
        <v>5049</v>
      </c>
      <c r="H567" s="9" t="s">
        <v>5050</v>
      </c>
      <c r="I567" s="11" t="n">
        <v>40</v>
      </c>
      <c r="J567" s="11" t="n">
        <v>58.9</v>
      </c>
      <c r="K567" s="11"/>
      <c r="L567" s="11"/>
      <c r="M567" s="11" t="n">
        <f aca="false">IF(ISNUMBER(L567),L567,J567)</f>
        <v>58.9</v>
      </c>
      <c r="N567" s="11" t="n">
        <f aca="false">ROUNDUP(M567,0)</f>
        <v>59</v>
      </c>
      <c r="O567" s="11" t="n">
        <f aca="false">MAX(I567,N567)</f>
        <v>59</v>
      </c>
      <c r="P567" s="11" t="n">
        <f aca="false">IF(C567="COVERED",MAX(0,O567-40),0)</f>
        <v>19</v>
      </c>
      <c r="Q567" s="11" t="n">
        <f aca="false">O567</f>
        <v>59</v>
      </c>
      <c r="R567" s="17" t="n">
        <f aca="false">IF(C567="COVERED",10.4,7.55)</f>
        <v>10.4</v>
      </c>
      <c r="S567" s="17" t="n">
        <f aca="false">Q567*R567</f>
        <v>613.6</v>
      </c>
      <c r="T567" s="9" t="s">
        <v>5051</v>
      </c>
      <c r="U567" s="10" t="n">
        <v>46235</v>
      </c>
      <c r="V567" s="9" t="n">
        <v>59</v>
      </c>
      <c r="W567" s="17" t="n">
        <v>10.4</v>
      </c>
      <c r="X567" s="17" t="n">
        <v>613.6</v>
      </c>
      <c r="Y567" s="17" t="n">
        <f aca="false">IF(ISNUMBER(X567),X567-S567,"")</f>
        <v>0</v>
      </c>
      <c r="Z567" s="17" t="n">
        <f aca="false">IF(ISNUMBER(X567),X567-S567,-S567)</f>
        <v>0</v>
      </c>
      <c r="AA567" s="9" t="str">
        <f aca="false">IF(NOT(ISNUMBER(X567)),"NO AUGUST POSTING IN EXPORT",IF(ABS(Y567)&gt;=0.005,"POSTED CHARGE MISMATCH",IF(P567&gt;0,"MATCH - COVERED ELIGIBILITY EXCEPTION","MATCH")))</f>
        <v>MATCH - COVERED ELIGIBILITY EXCEPTION</v>
      </c>
      <c r="AB567" s="9" t="s">
        <v>5052</v>
      </c>
    </row>
    <row r="568" customFormat="false" ht="15" hidden="false" customHeight="false" outlineLevel="0" collapsed="false">
      <c r="A568" s="13" t="s">
        <v>5053</v>
      </c>
      <c r="B568" s="13" t="s">
        <v>113</v>
      </c>
      <c r="C568" s="13" t="s">
        <v>114</v>
      </c>
      <c r="D568" s="13" t="s">
        <v>2002</v>
      </c>
      <c r="E568" s="13" t="s">
        <v>2850</v>
      </c>
      <c r="F568" s="13" t="s">
        <v>5054</v>
      </c>
      <c r="G568" s="13" t="s">
        <v>5055</v>
      </c>
      <c r="H568" s="13" t="s">
        <v>5056</v>
      </c>
      <c r="I568" s="15" t="n">
        <v>28</v>
      </c>
      <c r="J568" s="15" t="n">
        <v>52.4</v>
      </c>
      <c r="K568" s="15"/>
      <c r="L568" s="15"/>
      <c r="M568" s="15" t="n">
        <f aca="false">IF(ISNUMBER(L568),L568,J568)</f>
        <v>52.4</v>
      </c>
      <c r="N568" s="15" t="n">
        <f aca="false">ROUNDUP(M568,0)</f>
        <v>53</v>
      </c>
      <c r="O568" s="15" t="n">
        <f aca="false">MAX(I568,N568)</f>
        <v>53</v>
      </c>
      <c r="P568" s="15" t="n">
        <f aca="false">IF(C568="COVERED",MAX(0,O568-40),0)</f>
        <v>13</v>
      </c>
      <c r="Q568" s="15" t="n">
        <f aca="false">O568</f>
        <v>53</v>
      </c>
      <c r="R568" s="18" t="n">
        <f aca="false">IF(C568="COVERED",10.4,7.55)</f>
        <v>10.4</v>
      </c>
      <c r="S568" s="18" t="n">
        <f aca="false">Q568*R568</f>
        <v>551.2</v>
      </c>
      <c r="T568" s="13" t="s">
        <v>5057</v>
      </c>
      <c r="U568" s="14" t="n">
        <v>46235</v>
      </c>
      <c r="V568" s="13" t="n">
        <v>53</v>
      </c>
      <c r="W568" s="18" t="n">
        <v>10.4</v>
      </c>
      <c r="X568" s="18" t="n">
        <v>551.2</v>
      </c>
      <c r="Y568" s="18" t="n">
        <f aca="false">IF(ISNUMBER(X568),X568-S568,"")</f>
        <v>0</v>
      </c>
      <c r="Z568" s="18" t="n">
        <f aca="false">IF(ISNUMBER(X568),X568-S568,-S568)</f>
        <v>0</v>
      </c>
      <c r="AA568" s="13" t="str">
        <f aca="false">IF(NOT(ISNUMBER(X568)),"NO AUGUST POSTING IN EXPORT",IF(ABS(Y568)&gt;=0.005,"POSTED CHARGE MISMATCH",IF(P568&gt;0,"MATCH - COVERED ELIGIBILITY EXCEPTION","MATCH")))</f>
        <v>MATCH - COVERED ELIGIBILITY EXCEPTION</v>
      </c>
      <c r="AB568" s="13" t="s">
        <v>5058</v>
      </c>
    </row>
    <row r="569" customFormat="false" ht="15" hidden="false" customHeight="false" outlineLevel="0" collapsed="false">
      <c r="A569" s="9" t="s">
        <v>1589</v>
      </c>
      <c r="B569" s="9" t="s">
        <v>113</v>
      </c>
      <c r="C569" s="9" t="s">
        <v>114</v>
      </c>
      <c r="D569" s="9" t="s">
        <v>2002</v>
      </c>
      <c r="E569" s="9" t="s">
        <v>2857</v>
      </c>
      <c r="F569" s="9" t="s">
        <v>5059</v>
      </c>
      <c r="G569" s="9" t="s">
        <v>5060</v>
      </c>
      <c r="H569" s="9" t="s">
        <v>5061</v>
      </c>
      <c r="I569" s="11" t="n">
        <v>24</v>
      </c>
      <c r="J569" s="11" t="n">
        <v>43.6</v>
      </c>
      <c r="K569" s="11"/>
      <c r="L569" s="11"/>
      <c r="M569" s="11" t="n">
        <f aca="false">IF(ISNUMBER(L569),L569,J569)</f>
        <v>43.6</v>
      </c>
      <c r="N569" s="11" t="n">
        <f aca="false">ROUNDUP(M569,0)</f>
        <v>44</v>
      </c>
      <c r="O569" s="11" t="n">
        <f aca="false">MAX(I569,N569)</f>
        <v>44</v>
      </c>
      <c r="P569" s="11" t="n">
        <f aca="false">IF(C569="COVERED",MAX(0,O569-40),0)</f>
        <v>4</v>
      </c>
      <c r="Q569" s="11" t="n">
        <f aca="false">O569</f>
        <v>44</v>
      </c>
      <c r="R569" s="17" t="n">
        <f aca="false">IF(C569="COVERED",10.4,7.55)</f>
        <v>10.4</v>
      </c>
      <c r="S569" s="17" t="n">
        <f aca="false">Q569*R569</f>
        <v>457.6</v>
      </c>
      <c r="T569" s="9" t="s">
        <v>5062</v>
      </c>
      <c r="U569" s="10" t="n">
        <v>46235</v>
      </c>
      <c r="V569" s="9" t="n">
        <v>44</v>
      </c>
      <c r="W569" s="17" t="n">
        <v>10.4</v>
      </c>
      <c r="X569" s="17" t="n">
        <v>457.6</v>
      </c>
      <c r="Y569" s="17" t="n">
        <f aca="false">IF(ISNUMBER(X569),X569-S569,"")</f>
        <v>0</v>
      </c>
      <c r="Z569" s="17" t="n">
        <f aca="false">IF(ISNUMBER(X569),X569-S569,-S569)</f>
        <v>0</v>
      </c>
      <c r="AA569" s="9" t="str">
        <f aca="false">IF(NOT(ISNUMBER(X569)),"NO AUGUST POSTING IN EXPORT",IF(ABS(Y569)&gt;=0.005,"POSTED CHARGE MISMATCH",IF(P569&gt;0,"MATCH - COVERED ELIGIBILITY EXCEPTION","MATCH")))</f>
        <v>MATCH - COVERED ELIGIBILITY EXCEPTION</v>
      </c>
      <c r="AB569" s="9" t="s">
        <v>5063</v>
      </c>
    </row>
    <row r="570" customFormat="false" ht="15" hidden="false" customHeight="false" outlineLevel="0" collapsed="false">
      <c r="A570" s="13" t="s">
        <v>632</v>
      </c>
      <c r="B570" s="13" t="s">
        <v>113</v>
      </c>
      <c r="C570" s="13" t="s">
        <v>114</v>
      </c>
      <c r="D570" s="13" t="s">
        <v>2002</v>
      </c>
      <c r="E570" s="13" t="s">
        <v>2864</v>
      </c>
      <c r="F570" s="13" t="s">
        <v>5064</v>
      </c>
      <c r="G570" s="13" t="s">
        <v>5065</v>
      </c>
      <c r="H570" s="13" t="s">
        <v>3693</v>
      </c>
      <c r="I570" s="15" t="n">
        <v>28</v>
      </c>
      <c r="J570" s="15" t="n">
        <v>43.6</v>
      </c>
      <c r="K570" s="15"/>
      <c r="L570" s="15"/>
      <c r="M570" s="15" t="n">
        <f aca="false">IF(ISNUMBER(L570),L570,J570)</f>
        <v>43.6</v>
      </c>
      <c r="N570" s="15" t="n">
        <f aca="false">ROUNDUP(M570,0)</f>
        <v>44</v>
      </c>
      <c r="O570" s="15" t="n">
        <f aca="false">MAX(I570,N570)</f>
        <v>44</v>
      </c>
      <c r="P570" s="15" t="n">
        <f aca="false">IF(C570="COVERED",MAX(0,O570-40),0)</f>
        <v>4</v>
      </c>
      <c r="Q570" s="15" t="n">
        <f aca="false">O570</f>
        <v>44</v>
      </c>
      <c r="R570" s="18" t="n">
        <f aca="false">IF(C570="COVERED",10.4,7.55)</f>
        <v>10.4</v>
      </c>
      <c r="S570" s="18" t="n">
        <f aca="false">Q570*R570</f>
        <v>457.6</v>
      </c>
      <c r="T570" s="13" t="s">
        <v>5066</v>
      </c>
      <c r="U570" s="14" t="n">
        <v>46235</v>
      </c>
      <c r="V570" s="13" t="n">
        <v>44</v>
      </c>
      <c r="W570" s="18" t="n">
        <v>10.4</v>
      </c>
      <c r="X570" s="18" t="n">
        <v>457.6</v>
      </c>
      <c r="Y570" s="18" t="n">
        <f aca="false">IF(ISNUMBER(X570),X570-S570,"")</f>
        <v>0</v>
      </c>
      <c r="Z570" s="18" t="n">
        <f aca="false">IF(ISNUMBER(X570),X570-S570,-S570)</f>
        <v>0</v>
      </c>
      <c r="AA570" s="13" t="str">
        <f aca="false">IF(NOT(ISNUMBER(X570)),"NO AUGUST POSTING IN EXPORT",IF(ABS(Y570)&gt;=0.005,"POSTED CHARGE MISMATCH",IF(P570&gt;0,"MATCH - COVERED ELIGIBILITY EXCEPTION","MATCH")))</f>
        <v>MATCH - COVERED ELIGIBILITY EXCEPTION</v>
      </c>
      <c r="AB570" s="13" t="s">
        <v>5067</v>
      </c>
    </row>
    <row r="571" customFormat="false" ht="15" hidden="false" customHeight="false" outlineLevel="0" collapsed="false">
      <c r="A571" s="9" t="s">
        <v>5068</v>
      </c>
      <c r="B571" s="9" t="s">
        <v>113</v>
      </c>
      <c r="C571" s="9" t="s">
        <v>114</v>
      </c>
      <c r="D571" s="9" t="s">
        <v>2002</v>
      </c>
      <c r="E571" s="9" t="s">
        <v>4042</v>
      </c>
      <c r="F571" s="9" t="s">
        <v>5069</v>
      </c>
      <c r="G571" s="9" t="s">
        <v>5070</v>
      </c>
      <c r="H571" s="9" t="s">
        <v>4048</v>
      </c>
      <c r="I571" s="11" t="n">
        <v>28</v>
      </c>
      <c r="J571" s="11" t="n">
        <v>45.6</v>
      </c>
      <c r="K571" s="11"/>
      <c r="L571" s="11"/>
      <c r="M571" s="11" t="n">
        <f aca="false">IF(ISNUMBER(L571),L571,J571)</f>
        <v>45.6</v>
      </c>
      <c r="N571" s="11" t="n">
        <f aca="false">ROUNDUP(M571,0)</f>
        <v>46</v>
      </c>
      <c r="O571" s="11" t="n">
        <f aca="false">MAX(I571,N571)</f>
        <v>46</v>
      </c>
      <c r="P571" s="11" t="n">
        <f aca="false">IF(C571="COVERED",MAX(0,O571-40),0)</f>
        <v>6</v>
      </c>
      <c r="Q571" s="11" t="n">
        <f aca="false">O571</f>
        <v>46</v>
      </c>
      <c r="R571" s="17" t="n">
        <f aca="false">IF(C571="COVERED",10.4,7.55)</f>
        <v>10.4</v>
      </c>
      <c r="S571" s="17" t="n">
        <f aca="false">Q571*R571</f>
        <v>478.4</v>
      </c>
      <c r="T571" s="9" t="s">
        <v>5071</v>
      </c>
      <c r="U571" s="10" t="n">
        <v>46235</v>
      </c>
      <c r="V571" s="9" t="n">
        <v>46</v>
      </c>
      <c r="W571" s="17" t="n">
        <v>10.4</v>
      </c>
      <c r="X571" s="17" t="n">
        <v>478.4</v>
      </c>
      <c r="Y571" s="17" t="n">
        <f aca="false">IF(ISNUMBER(X571),X571-S571,"")</f>
        <v>0</v>
      </c>
      <c r="Z571" s="17" t="n">
        <f aca="false">IF(ISNUMBER(X571),X571-S571,-S571)</f>
        <v>0</v>
      </c>
      <c r="AA571" s="9" t="str">
        <f aca="false">IF(NOT(ISNUMBER(X571)),"NO AUGUST POSTING IN EXPORT",IF(ABS(Y571)&gt;=0.005,"POSTED CHARGE MISMATCH",IF(P571&gt;0,"MATCH - COVERED ELIGIBILITY EXCEPTION","MATCH")))</f>
        <v>MATCH - COVERED ELIGIBILITY EXCEPTION</v>
      </c>
      <c r="AB571" s="9" t="s">
        <v>5072</v>
      </c>
    </row>
    <row r="572" customFormat="false" ht="15" hidden="false" customHeight="false" outlineLevel="0" collapsed="false">
      <c r="A572" s="13" t="s">
        <v>5073</v>
      </c>
      <c r="B572" s="13" t="s">
        <v>113</v>
      </c>
      <c r="C572" s="13" t="s">
        <v>114</v>
      </c>
      <c r="D572" s="13" t="s">
        <v>2002</v>
      </c>
      <c r="E572" s="13" t="s">
        <v>2870</v>
      </c>
      <c r="F572" s="13" t="s">
        <v>5074</v>
      </c>
      <c r="G572" s="13" t="s">
        <v>5075</v>
      </c>
      <c r="H572" s="13" t="s">
        <v>3395</v>
      </c>
      <c r="I572" s="15" t="n">
        <v>32</v>
      </c>
      <c r="J572" s="15" t="n">
        <v>43.3</v>
      </c>
      <c r="K572" s="15"/>
      <c r="L572" s="15"/>
      <c r="M572" s="15" t="n">
        <f aca="false">IF(ISNUMBER(L572),L572,J572)</f>
        <v>43.3</v>
      </c>
      <c r="N572" s="15" t="n">
        <f aca="false">ROUNDUP(M572,0)</f>
        <v>44</v>
      </c>
      <c r="O572" s="15" t="n">
        <f aca="false">MAX(I572,N572)</f>
        <v>44</v>
      </c>
      <c r="P572" s="15" t="n">
        <f aca="false">IF(C572="COVERED",MAX(0,O572-40),0)</f>
        <v>4</v>
      </c>
      <c r="Q572" s="15" t="n">
        <f aca="false">O572</f>
        <v>44</v>
      </c>
      <c r="R572" s="18" t="n">
        <f aca="false">IF(C572="COVERED",10.4,7.55)</f>
        <v>10.4</v>
      </c>
      <c r="S572" s="18" t="n">
        <f aca="false">Q572*R572</f>
        <v>457.6</v>
      </c>
      <c r="T572" s="13" t="s">
        <v>5076</v>
      </c>
      <c r="U572" s="14" t="n">
        <v>46235</v>
      </c>
      <c r="V572" s="13" t="n">
        <v>44</v>
      </c>
      <c r="W572" s="18" t="n">
        <v>10.4</v>
      </c>
      <c r="X572" s="18" t="n">
        <v>457.6</v>
      </c>
      <c r="Y572" s="18" t="n">
        <f aca="false">IF(ISNUMBER(X572),X572-S572,"")</f>
        <v>0</v>
      </c>
      <c r="Z572" s="18" t="n">
        <f aca="false">IF(ISNUMBER(X572),X572-S572,-S572)</f>
        <v>0</v>
      </c>
      <c r="AA572" s="13" t="str">
        <f aca="false">IF(NOT(ISNUMBER(X572)),"NO AUGUST POSTING IN EXPORT",IF(ABS(Y572)&gt;=0.005,"POSTED CHARGE MISMATCH",IF(P572&gt;0,"MATCH - COVERED ELIGIBILITY EXCEPTION","MATCH")))</f>
        <v>MATCH - COVERED ELIGIBILITY EXCEPTION</v>
      </c>
      <c r="AB572" s="13" t="s">
        <v>5077</v>
      </c>
    </row>
    <row r="573" customFormat="false" ht="15" hidden="false" customHeight="false" outlineLevel="0" collapsed="false">
      <c r="A573" s="9" t="s">
        <v>5078</v>
      </c>
      <c r="B573" s="9" t="s">
        <v>113</v>
      </c>
      <c r="C573" s="9" t="s">
        <v>114</v>
      </c>
      <c r="D573" s="9" t="s">
        <v>2002</v>
      </c>
      <c r="E573" s="9" t="s">
        <v>2876</v>
      </c>
      <c r="F573" s="9" t="s">
        <v>1247</v>
      </c>
      <c r="G573" s="9" t="s">
        <v>1248</v>
      </c>
      <c r="H573" s="9" t="s">
        <v>5079</v>
      </c>
      <c r="I573" s="11" t="n">
        <v>28</v>
      </c>
      <c r="J573" s="11" t="n">
        <v>45.7</v>
      </c>
      <c r="K573" s="11"/>
      <c r="L573" s="11"/>
      <c r="M573" s="11" t="n">
        <f aca="false">IF(ISNUMBER(L573),L573,J573)</f>
        <v>45.7</v>
      </c>
      <c r="N573" s="11" t="n">
        <f aca="false">ROUNDUP(M573,0)</f>
        <v>46</v>
      </c>
      <c r="O573" s="11" t="n">
        <f aca="false">MAX(I573,N573)</f>
        <v>46</v>
      </c>
      <c r="P573" s="11" t="n">
        <f aca="false">IF(C573="COVERED",MAX(0,O573-40),0)</f>
        <v>6</v>
      </c>
      <c r="Q573" s="11" t="n">
        <f aca="false">O573</f>
        <v>46</v>
      </c>
      <c r="R573" s="17" t="n">
        <f aca="false">IF(C573="COVERED",10.4,7.55)</f>
        <v>10.4</v>
      </c>
      <c r="S573" s="17" t="n">
        <f aca="false">Q573*R573</f>
        <v>478.4</v>
      </c>
      <c r="T573" s="9" t="s">
        <v>5080</v>
      </c>
      <c r="U573" s="10" t="n">
        <v>46235</v>
      </c>
      <c r="V573" s="9" t="n">
        <v>46</v>
      </c>
      <c r="W573" s="17" t="n">
        <v>10.4</v>
      </c>
      <c r="X573" s="17" t="n">
        <v>478.4</v>
      </c>
      <c r="Y573" s="17" t="n">
        <f aca="false">IF(ISNUMBER(X573),X573-S573,"")</f>
        <v>0</v>
      </c>
      <c r="Z573" s="17" t="n">
        <f aca="false">IF(ISNUMBER(X573),X573-S573,-S573)</f>
        <v>0</v>
      </c>
      <c r="AA573" s="9" t="str">
        <f aca="false">IF(NOT(ISNUMBER(X573)),"NO AUGUST POSTING IN EXPORT",IF(ABS(Y573)&gt;=0.005,"POSTED CHARGE MISMATCH",IF(P573&gt;0,"MATCH - COVERED ELIGIBILITY EXCEPTION","MATCH")))</f>
        <v>MATCH - COVERED ELIGIBILITY EXCEPTION</v>
      </c>
      <c r="AB573" s="9" t="s">
        <v>5081</v>
      </c>
    </row>
    <row r="574" customFormat="false" ht="15" hidden="false" customHeight="false" outlineLevel="0" collapsed="false">
      <c r="A574" s="13" t="s">
        <v>5082</v>
      </c>
      <c r="B574" s="13" t="s">
        <v>113</v>
      </c>
      <c r="C574" s="13" t="s">
        <v>114</v>
      </c>
      <c r="D574" s="13" t="s">
        <v>2002</v>
      </c>
      <c r="E574" s="13" t="s">
        <v>2881</v>
      </c>
      <c r="F574" s="13" t="s">
        <v>5083</v>
      </c>
      <c r="G574" s="13" t="s">
        <v>5084</v>
      </c>
      <c r="H574" s="13" t="s">
        <v>5085</v>
      </c>
      <c r="I574" s="15" t="n">
        <v>28</v>
      </c>
      <c r="J574" s="15" t="n">
        <v>33.7</v>
      </c>
      <c r="K574" s="15"/>
      <c r="L574" s="15"/>
      <c r="M574" s="15" t="n">
        <f aca="false">IF(ISNUMBER(L574),L574,J574)</f>
        <v>33.7</v>
      </c>
      <c r="N574" s="15" t="n">
        <f aca="false">ROUNDUP(M574,0)</f>
        <v>34</v>
      </c>
      <c r="O574" s="15" t="n">
        <f aca="false">MAX(I574,N574)</f>
        <v>34</v>
      </c>
      <c r="P574" s="15" t="n">
        <f aca="false">IF(C574="COVERED",MAX(0,O574-40),0)</f>
        <v>0</v>
      </c>
      <c r="Q574" s="15" t="n">
        <f aca="false">O574</f>
        <v>34</v>
      </c>
      <c r="R574" s="18" t="n">
        <f aca="false">IF(C574="COVERED",10.4,7.55)</f>
        <v>10.4</v>
      </c>
      <c r="S574" s="18" t="n">
        <f aca="false">Q574*R574</f>
        <v>353.6</v>
      </c>
      <c r="T574" s="13" t="s">
        <v>5086</v>
      </c>
      <c r="U574" s="14" t="n">
        <v>46235</v>
      </c>
      <c r="V574" s="13" t="n">
        <v>34</v>
      </c>
      <c r="W574" s="18" t="n">
        <v>10.4</v>
      </c>
      <c r="X574" s="18" t="n">
        <v>353.6</v>
      </c>
      <c r="Y574" s="18" t="n">
        <f aca="false">IF(ISNUMBER(X574),X574-S574,"")</f>
        <v>0</v>
      </c>
      <c r="Z574" s="18" t="n">
        <f aca="false">IF(ISNUMBER(X574),X574-S574,-S574)</f>
        <v>0</v>
      </c>
      <c r="AA574" s="13" t="str">
        <f aca="false">IF(NOT(ISNUMBER(X574)),"NO AUGUST POSTING IN EXPORT",IF(ABS(Y574)&gt;=0.005,"POSTED CHARGE MISMATCH",IF(P574&gt;0,"MATCH - COVERED ELIGIBILITY EXCEPTION","MATCH")))</f>
        <v>MATCH</v>
      </c>
      <c r="AB574" s="13" t="s">
        <v>5087</v>
      </c>
    </row>
    <row r="575" customFormat="false" ht="15" hidden="false" customHeight="false" outlineLevel="0" collapsed="false">
      <c r="A575" s="9" t="s">
        <v>5088</v>
      </c>
      <c r="B575" s="9" t="s">
        <v>113</v>
      </c>
      <c r="C575" s="9" t="s">
        <v>114</v>
      </c>
      <c r="D575" s="9" t="s">
        <v>2002</v>
      </c>
      <c r="E575" s="9" t="s">
        <v>4056</v>
      </c>
      <c r="F575" s="9" t="s">
        <v>5089</v>
      </c>
      <c r="G575" s="9" t="s">
        <v>5090</v>
      </c>
      <c r="H575" s="9" t="s">
        <v>5091</v>
      </c>
      <c r="I575" s="11" t="n">
        <v>36</v>
      </c>
      <c r="J575" s="11" t="n">
        <v>43.4</v>
      </c>
      <c r="K575" s="11"/>
      <c r="L575" s="11"/>
      <c r="M575" s="11" t="n">
        <f aca="false">IF(ISNUMBER(L575),L575,J575)</f>
        <v>43.4</v>
      </c>
      <c r="N575" s="11" t="n">
        <f aca="false">ROUNDUP(M575,0)</f>
        <v>44</v>
      </c>
      <c r="O575" s="11" t="n">
        <f aca="false">MAX(I575,N575)</f>
        <v>44</v>
      </c>
      <c r="P575" s="11" t="n">
        <f aca="false">IF(C575="COVERED",MAX(0,O575-40),0)</f>
        <v>4</v>
      </c>
      <c r="Q575" s="11" t="n">
        <f aca="false">O575</f>
        <v>44</v>
      </c>
      <c r="R575" s="17" t="n">
        <f aca="false">IF(C575="COVERED",10.4,7.55)</f>
        <v>10.4</v>
      </c>
      <c r="S575" s="17" t="n">
        <f aca="false">Q575*R575</f>
        <v>457.6</v>
      </c>
      <c r="T575" s="9" t="s">
        <v>5092</v>
      </c>
      <c r="U575" s="10" t="n">
        <v>46235</v>
      </c>
      <c r="V575" s="9" t="n">
        <v>44</v>
      </c>
      <c r="W575" s="17" t="n">
        <v>10.4</v>
      </c>
      <c r="X575" s="17" t="n">
        <v>457.6</v>
      </c>
      <c r="Y575" s="17" t="n">
        <f aca="false">IF(ISNUMBER(X575),X575-S575,"")</f>
        <v>0</v>
      </c>
      <c r="Z575" s="17" t="n">
        <f aca="false">IF(ISNUMBER(X575),X575-S575,-S575)</f>
        <v>0</v>
      </c>
      <c r="AA575" s="9" t="str">
        <f aca="false">IF(NOT(ISNUMBER(X575)),"NO AUGUST POSTING IN EXPORT",IF(ABS(Y575)&gt;=0.005,"POSTED CHARGE MISMATCH",IF(P575&gt;0,"MATCH - COVERED ELIGIBILITY EXCEPTION","MATCH")))</f>
        <v>MATCH - COVERED ELIGIBILITY EXCEPTION</v>
      </c>
      <c r="AB575" s="9" t="s">
        <v>5093</v>
      </c>
    </row>
    <row r="576" customFormat="false" ht="15" hidden="false" customHeight="false" outlineLevel="0" collapsed="false">
      <c r="A576" s="13" t="s">
        <v>5094</v>
      </c>
      <c r="B576" s="13" t="s">
        <v>113</v>
      </c>
      <c r="C576" s="13" t="s">
        <v>114</v>
      </c>
      <c r="D576" s="13" t="s">
        <v>2002</v>
      </c>
      <c r="E576" s="13" t="s">
        <v>2888</v>
      </c>
      <c r="F576" s="13" t="s">
        <v>5095</v>
      </c>
      <c r="G576" s="13" t="s">
        <v>5096</v>
      </c>
      <c r="H576" s="13" t="s">
        <v>5061</v>
      </c>
      <c r="I576" s="15" t="n">
        <v>36</v>
      </c>
      <c r="J576" s="15" t="n">
        <v>36.1</v>
      </c>
      <c r="K576" s="15"/>
      <c r="L576" s="15"/>
      <c r="M576" s="15" t="n">
        <f aca="false">IF(ISNUMBER(L576),L576,J576)</f>
        <v>36.1</v>
      </c>
      <c r="N576" s="15" t="n">
        <f aca="false">ROUNDUP(M576,0)</f>
        <v>37</v>
      </c>
      <c r="O576" s="15" t="n">
        <f aca="false">MAX(I576,N576)</f>
        <v>37</v>
      </c>
      <c r="P576" s="15" t="n">
        <f aca="false">IF(C576="COVERED",MAX(0,O576-40),0)</f>
        <v>0</v>
      </c>
      <c r="Q576" s="15" t="n">
        <f aca="false">O576</f>
        <v>37</v>
      </c>
      <c r="R576" s="18" t="n">
        <f aca="false">IF(C576="COVERED",10.4,7.55)</f>
        <v>10.4</v>
      </c>
      <c r="S576" s="18" t="n">
        <f aca="false">Q576*R576</f>
        <v>384.8</v>
      </c>
      <c r="T576" s="13" t="s">
        <v>5097</v>
      </c>
      <c r="U576" s="14" t="n">
        <v>46235</v>
      </c>
      <c r="V576" s="13" t="n">
        <v>37</v>
      </c>
      <c r="W576" s="18" t="n">
        <v>10.4</v>
      </c>
      <c r="X576" s="18" t="n">
        <v>384.8</v>
      </c>
      <c r="Y576" s="18" t="n">
        <f aca="false">IF(ISNUMBER(X576),X576-S576,"")</f>
        <v>0</v>
      </c>
      <c r="Z576" s="18" t="n">
        <f aca="false">IF(ISNUMBER(X576),X576-S576,-S576)</f>
        <v>0</v>
      </c>
      <c r="AA576" s="13" t="str">
        <f aca="false">IF(NOT(ISNUMBER(X576)),"NO AUGUST POSTING IN EXPORT",IF(ABS(Y576)&gt;=0.005,"POSTED CHARGE MISMATCH",IF(P576&gt;0,"MATCH - COVERED ELIGIBILITY EXCEPTION","MATCH")))</f>
        <v>MATCH</v>
      </c>
      <c r="AB576" s="13" t="s">
        <v>5098</v>
      </c>
    </row>
    <row r="577" customFormat="false" ht="15" hidden="false" customHeight="false" outlineLevel="0" collapsed="false">
      <c r="A577" s="9" t="s">
        <v>5099</v>
      </c>
      <c r="B577" s="9" t="s">
        <v>113</v>
      </c>
      <c r="C577" s="9" t="s">
        <v>114</v>
      </c>
      <c r="D577" s="9" t="s">
        <v>2002</v>
      </c>
      <c r="E577" s="9" t="s">
        <v>2895</v>
      </c>
      <c r="F577" s="9" t="s">
        <v>5100</v>
      </c>
      <c r="G577" s="9" t="s">
        <v>5101</v>
      </c>
      <c r="H577" s="9" t="s">
        <v>2762</v>
      </c>
      <c r="I577" s="11" t="n">
        <v>40</v>
      </c>
      <c r="J577" s="11" t="n">
        <v>39.1</v>
      </c>
      <c r="K577" s="11"/>
      <c r="L577" s="11"/>
      <c r="M577" s="11" t="n">
        <f aca="false">IF(ISNUMBER(L577),L577,J577)</f>
        <v>39.1</v>
      </c>
      <c r="N577" s="11" t="n">
        <f aca="false">ROUNDUP(M577,0)</f>
        <v>40</v>
      </c>
      <c r="O577" s="11" t="n">
        <f aca="false">MAX(I577,N577)</f>
        <v>40</v>
      </c>
      <c r="P577" s="11" t="n">
        <f aca="false">IF(C577="COVERED",MAX(0,O577-40),0)</f>
        <v>0</v>
      </c>
      <c r="Q577" s="11" t="n">
        <f aca="false">O577</f>
        <v>40</v>
      </c>
      <c r="R577" s="17" t="n">
        <f aca="false">IF(C577="COVERED",10.4,7.55)</f>
        <v>10.4</v>
      </c>
      <c r="S577" s="17" t="n">
        <f aca="false">Q577*R577</f>
        <v>416</v>
      </c>
      <c r="T577" s="9" t="s">
        <v>5102</v>
      </c>
      <c r="U577" s="10" t="n">
        <v>46235</v>
      </c>
      <c r="V577" s="9" t="n">
        <v>40</v>
      </c>
      <c r="W577" s="17" t="n">
        <v>10.4</v>
      </c>
      <c r="X577" s="17" t="n">
        <v>416</v>
      </c>
      <c r="Y577" s="17" t="n">
        <f aca="false">IF(ISNUMBER(X577),X577-S577,"")</f>
        <v>0</v>
      </c>
      <c r="Z577" s="17" t="n">
        <f aca="false">IF(ISNUMBER(X577),X577-S577,-S577)</f>
        <v>0</v>
      </c>
      <c r="AA577" s="9" t="str">
        <f aca="false">IF(NOT(ISNUMBER(X577)),"NO AUGUST POSTING IN EXPORT",IF(ABS(Y577)&gt;=0.005,"POSTED CHARGE MISMATCH",IF(P577&gt;0,"MATCH - COVERED ELIGIBILITY EXCEPTION","MATCH")))</f>
        <v>MATCH</v>
      </c>
      <c r="AB577" s="9" t="s">
        <v>5103</v>
      </c>
    </row>
    <row r="578" customFormat="false" ht="15" hidden="false" customHeight="false" outlineLevel="0" collapsed="false">
      <c r="A578" s="13" t="s">
        <v>5104</v>
      </c>
      <c r="B578" s="13" t="s">
        <v>113</v>
      </c>
      <c r="C578" s="13" t="s">
        <v>114</v>
      </c>
      <c r="D578" s="13" t="s">
        <v>2002</v>
      </c>
      <c r="E578" s="13" t="s">
        <v>2902</v>
      </c>
      <c r="F578" s="13" t="s">
        <v>5105</v>
      </c>
      <c r="G578" s="13" t="s">
        <v>5106</v>
      </c>
      <c r="H578" s="13" t="s">
        <v>5107</v>
      </c>
      <c r="I578" s="15" t="n">
        <v>24</v>
      </c>
      <c r="J578" s="15" t="n">
        <v>31.9</v>
      </c>
      <c r="K578" s="15"/>
      <c r="L578" s="15"/>
      <c r="M578" s="15" t="n">
        <f aca="false">IF(ISNUMBER(L578),L578,J578)</f>
        <v>31.9</v>
      </c>
      <c r="N578" s="15" t="n">
        <f aca="false">ROUNDUP(M578,0)</f>
        <v>32</v>
      </c>
      <c r="O578" s="15" t="n">
        <f aca="false">MAX(I578,N578)</f>
        <v>32</v>
      </c>
      <c r="P578" s="15" t="n">
        <f aca="false">IF(C578="COVERED",MAX(0,O578-40),0)</f>
        <v>0</v>
      </c>
      <c r="Q578" s="15" t="n">
        <f aca="false">O578</f>
        <v>32</v>
      </c>
      <c r="R578" s="18" t="n">
        <f aca="false">IF(C578="COVERED",10.4,7.55)</f>
        <v>10.4</v>
      </c>
      <c r="S578" s="18" t="n">
        <f aca="false">Q578*R578</f>
        <v>332.8</v>
      </c>
      <c r="T578" s="13" t="s">
        <v>5108</v>
      </c>
      <c r="U578" s="14" t="n">
        <v>46235</v>
      </c>
      <c r="V578" s="13" t="n">
        <v>32</v>
      </c>
      <c r="W578" s="18" t="n">
        <v>10.4</v>
      </c>
      <c r="X578" s="18" t="n">
        <v>332.8</v>
      </c>
      <c r="Y578" s="18" t="n">
        <f aca="false">IF(ISNUMBER(X578),X578-S578,"")</f>
        <v>0</v>
      </c>
      <c r="Z578" s="18" t="n">
        <f aca="false">IF(ISNUMBER(X578),X578-S578,-S578)</f>
        <v>0</v>
      </c>
      <c r="AA578" s="13" t="str">
        <f aca="false">IF(NOT(ISNUMBER(X578)),"NO AUGUST POSTING IN EXPORT",IF(ABS(Y578)&gt;=0.005,"POSTED CHARGE MISMATCH",IF(P578&gt;0,"MATCH - COVERED ELIGIBILITY EXCEPTION","MATCH")))</f>
        <v>MATCH</v>
      </c>
      <c r="AB578" s="13" t="s">
        <v>5109</v>
      </c>
    </row>
    <row r="579" customFormat="false" ht="15" hidden="false" customHeight="false" outlineLevel="0" collapsed="false">
      <c r="A579" s="9" t="s">
        <v>1161</v>
      </c>
      <c r="B579" s="9" t="s">
        <v>113</v>
      </c>
      <c r="C579" s="9" t="s">
        <v>114</v>
      </c>
      <c r="D579" s="9" t="s">
        <v>2002</v>
      </c>
      <c r="E579" s="9" t="s">
        <v>2909</v>
      </c>
      <c r="F579" s="9" t="s">
        <v>5110</v>
      </c>
      <c r="G579" s="9" t="s">
        <v>5111</v>
      </c>
      <c r="H579" s="9" t="s">
        <v>5112</v>
      </c>
      <c r="I579" s="11" t="n">
        <v>32</v>
      </c>
      <c r="J579" s="11" t="n">
        <v>55.9</v>
      </c>
      <c r="K579" s="11"/>
      <c r="L579" s="11"/>
      <c r="M579" s="11" t="n">
        <f aca="false">IF(ISNUMBER(L579),L579,J579)</f>
        <v>55.9</v>
      </c>
      <c r="N579" s="11" t="n">
        <f aca="false">ROUNDUP(M579,0)</f>
        <v>56</v>
      </c>
      <c r="O579" s="11" t="n">
        <f aca="false">MAX(I579,N579)</f>
        <v>56</v>
      </c>
      <c r="P579" s="11" t="n">
        <f aca="false">IF(C579="COVERED",MAX(0,O579-40),0)</f>
        <v>16</v>
      </c>
      <c r="Q579" s="11" t="n">
        <f aca="false">O579</f>
        <v>56</v>
      </c>
      <c r="R579" s="17" t="n">
        <f aca="false">IF(C579="COVERED",10.4,7.55)</f>
        <v>10.4</v>
      </c>
      <c r="S579" s="17" t="n">
        <f aca="false">Q579*R579</f>
        <v>582.4</v>
      </c>
      <c r="T579" s="9" t="s">
        <v>5113</v>
      </c>
      <c r="U579" s="10" t="n">
        <v>46235</v>
      </c>
      <c r="V579" s="9" t="n">
        <v>56</v>
      </c>
      <c r="W579" s="17" t="n">
        <v>10.4</v>
      </c>
      <c r="X579" s="17" t="n">
        <v>582.4</v>
      </c>
      <c r="Y579" s="17" t="n">
        <f aca="false">IF(ISNUMBER(X579),X579-S579,"")</f>
        <v>0</v>
      </c>
      <c r="Z579" s="17" t="n">
        <f aca="false">IF(ISNUMBER(X579),X579-S579,-S579)</f>
        <v>0</v>
      </c>
      <c r="AA579" s="9" t="str">
        <f aca="false">IF(NOT(ISNUMBER(X579)),"NO AUGUST POSTING IN EXPORT",IF(ABS(Y579)&gt;=0.005,"POSTED CHARGE MISMATCH",IF(P579&gt;0,"MATCH - COVERED ELIGIBILITY EXCEPTION","MATCH")))</f>
        <v>MATCH - COVERED ELIGIBILITY EXCEPTION</v>
      </c>
      <c r="AB579" s="9" t="s">
        <v>5114</v>
      </c>
    </row>
    <row r="580" customFormat="false" ht="15" hidden="false" customHeight="false" outlineLevel="0" collapsed="false">
      <c r="A580" s="13" t="s">
        <v>5115</v>
      </c>
      <c r="B580" s="13" t="s">
        <v>113</v>
      </c>
      <c r="C580" s="13" t="s">
        <v>114</v>
      </c>
      <c r="D580" s="13" t="s">
        <v>2002</v>
      </c>
      <c r="E580" s="13" t="s">
        <v>2915</v>
      </c>
      <c r="F580" s="13" t="s">
        <v>5116</v>
      </c>
      <c r="G580" s="13" t="s">
        <v>5117</v>
      </c>
      <c r="H580" s="13" t="s">
        <v>5118</v>
      </c>
      <c r="I580" s="15" t="n">
        <v>24</v>
      </c>
      <c r="J580" s="15" t="n">
        <v>40.5</v>
      </c>
      <c r="K580" s="15"/>
      <c r="L580" s="15"/>
      <c r="M580" s="15" t="n">
        <f aca="false">IF(ISNUMBER(L580),L580,J580)</f>
        <v>40.5</v>
      </c>
      <c r="N580" s="15" t="n">
        <f aca="false">ROUNDUP(M580,0)</f>
        <v>41</v>
      </c>
      <c r="O580" s="15" t="n">
        <f aca="false">MAX(I580,N580)</f>
        <v>41</v>
      </c>
      <c r="P580" s="15" t="n">
        <f aca="false">IF(C580="COVERED",MAX(0,O580-40),0)</f>
        <v>1</v>
      </c>
      <c r="Q580" s="15" t="n">
        <f aca="false">O580</f>
        <v>41</v>
      </c>
      <c r="R580" s="18" t="n">
        <f aca="false">IF(C580="COVERED",10.4,7.55)</f>
        <v>10.4</v>
      </c>
      <c r="S580" s="18" t="n">
        <f aca="false">Q580*R580</f>
        <v>426.4</v>
      </c>
      <c r="T580" s="13" t="s">
        <v>5119</v>
      </c>
      <c r="U580" s="14" t="n">
        <v>46235</v>
      </c>
      <c r="V580" s="13" t="n">
        <v>41</v>
      </c>
      <c r="W580" s="18" t="n">
        <v>10.4</v>
      </c>
      <c r="X580" s="18" t="n">
        <v>426.4</v>
      </c>
      <c r="Y580" s="18" t="n">
        <f aca="false">IF(ISNUMBER(X580),X580-S580,"")</f>
        <v>0</v>
      </c>
      <c r="Z580" s="18" t="n">
        <f aca="false">IF(ISNUMBER(X580),X580-S580,-S580)</f>
        <v>0</v>
      </c>
      <c r="AA580" s="13" t="str">
        <f aca="false">IF(NOT(ISNUMBER(X580)),"NO AUGUST POSTING IN EXPORT",IF(ABS(Y580)&gt;=0.005,"POSTED CHARGE MISMATCH",IF(P580&gt;0,"MATCH - COVERED ELIGIBILITY EXCEPTION","MATCH")))</f>
        <v>MATCH - COVERED ELIGIBILITY EXCEPTION</v>
      </c>
      <c r="AB580" s="13" t="s">
        <v>5120</v>
      </c>
    </row>
    <row r="581" customFormat="false" ht="15" hidden="false" customHeight="false" outlineLevel="0" collapsed="false">
      <c r="A581" s="9" t="s">
        <v>5121</v>
      </c>
      <c r="B581" s="9" t="s">
        <v>113</v>
      </c>
      <c r="C581" s="9" t="s">
        <v>114</v>
      </c>
      <c r="D581" s="9" t="s">
        <v>2002</v>
      </c>
      <c r="E581" s="9" t="s">
        <v>2922</v>
      </c>
      <c r="F581" s="9" t="s">
        <v>5122</v>
      </c>
      <c r="G581" s="9" t="s">
        <v>5123</v>
      </c>
      <c r="H581" s="9" t="s">
        <v>5124</v>
      </c>
      <c r="I581" s="11" t="n">
        <v>24</v>
      </c>
      <c r="J581" s="11" t="n">
        <v>55.2</v>
      </c>
      <c r="K581" s="11"/>
      <c r="L581" s="11"/>
      <c r="M581" s="11" t="n">
        <f aca="false">IF(ISNUMBER(L581),L581,J581)</f>
        <v>55.2</v>
      </c>
      <c r="N581" s="11" t="n">
        <f aca="false">ROUNDUP(M581,0)</f>
        <v>56</v>
      </c>
      <c r="O581" s="11" t="n">
        <f aca="false">MAX(I581,N581)</f>
        <v>56</v>
      </c>
      <c r="P581" s="11" t="n">
        <f aca="false">IF(C581="COVERED",MAX(0,O581-40),0)</f>
        <v>16</v>
      </c>
      <c r="Q581" s="11" t="n">
        <f aca="false">O581</f>
        <v>56</v>
      </c>
      <c r="R581" s="17" t="n">
        <f aca="false">IF(C581="COVERED",10.4,7.55)</f>
        <v>10.4</v>
      </c>
      <c r="S581" s="17" t="n">
        <f aca="false">Q581*R581</f>
        <v>582.4</v>
      </c>
      <c r="T581" s="9" t="s">
        <v>5125</v>
      </c>
      <c r="U581" s="10" t="n">
        <v>46235</v>
      </c>
      <c r="V581" s="9" t="n">
        <v>56</v>
      </c>
      <c r="W581" s="17" t="n">
        <v>10.4</v>
      </c>
      <c r="X581" s="17" t="n">
        <v>582.4</v>
      </c>
      <c r="Y581" s="17" t="n">
        <f aca="false">IF(ISNUMBER(X581),X581-S581,"")</f>
        <v>0</v>
      </c>
      <c r="Z581" s="17" t="n">
        <f aca="false">IF(ISNUMBER(X581),X581-S581,-S581)</f>
        <v>0</v>
      </c>
      <c r="AA581" s="9" t="str">
        <f aca="false">IF(NOT(ISNUMBER(X581)),"NO AUGUST POSTING IN EXPORT",IF(ABS(Y581)&gt;=0.005,"POSTED CHARGE MISMATCH",IF(P581&gt;0,"MATCH - COVERED ELIGIBILITY EXCEPTION","MATCH")))</f>
        <v>MATCH - COVERED ELIGIBILITY EXCEPTION</v>
      </c>
      <c r="AB581" s="9" t="s">
        <v>5126</v>
      </c>
    </row>
    <row r="582" customFormat="false" ht="15" hidden="false" customHeight="false" outlineLevel="0" collapsed="false">
      <c r="A582" s="13" t="s">
        <v>5127</v>
      </c>
      <c r="B582" s="13" t="s">
        <v>113</v>
      </c>
      <c r="C582" s="13" t="s">
        <v>114</v>
      </c>
      <c r="D582" s="13" t="s">
        <v>2002</v>
      </c>
      <c r="E582" s="13" t="s">
        <v>2929</v>
      </c>
      <c r="F582" s="13" t="s">
        <v>5128</v>
      </c>
      <c r="G582" s="13" t="s">
        <v>5129</v>
      </c>
      <c r="H582" s="13" t="s">
        <v>5118</v>
      </c>
      <c r="I582" s="15" t="n">
        <v>32</v>
      </c>
      <c r="J582" s="15" t="n">
        <v>25.4</v>
      </c>
      <c r="K582" s="15"/>
      <c r="L582" s="15"/>
      <c r="M582" s="15" t="n">
        <f aca="false">IF(ISNUMBER(L582),L582,J582)</f>
        <v>25.4</v>
      </c>
      <c r="N582" s="15" t="n">
        <f aca="false">ROUNDUP(M582,0)</f>
        <v>26</v>
      </c>
      <c r="O582" s="15" t="n">
        <f aca="false">MAX(I582,N582)</f>
        <v>32</v>
      </c>
      <c r="P582" s="15" t="n">
        <f aca="false">IF(C582="COVERED",MAX(0,O582-40),0)</f>
        <v>0</v>
      </c>
      <c r="Q582" s="15" t="n">
        <f aca="false">O582</f>
        <v>32</v>
      </c>
      <c r="R582" s="18" t="n">
        <f aca="false">IF(C582="COVERED",10.4,7.55)</f>
        <v>10.4</v>
      </c>
      <c r="S582" s="18" t="n">
        <f aca="false">Q582*R582</f>
        <v>332.8</v>
      </c>
      <c r="T582" s="13" t="s">
        <v>5130</v>
      </c>
      <c r="U582" s="14" t="n">
        <v>46235</v>
      </c>
      <c r="V582" s="13" t="n">
        <v>32</v>
      </c>
      <c r="W582" s="18" t="n">
        <v>10.4</v>
      </c>
      <c r="X582" s="18" t="n">
        <v>332.8</v>
      </c>
      <c r="Y582" s="18" t="n">
        <f aca="false">IF(ISNUMBER(X582),X582-S582,"")</f>
        <v>0</v>
      </c>
      <c r="Z582" s="18" t="n">
        <f aca="false">IF(ISNUMBER(X582),X582-S582,-S582)</f>
        <v>0</v>
      </c>
      <c r="AA582" s="13" t="str">
        <f aca="false">IF(NOT(ISNUMBER(X582)),"NO AUGUST POSTING IN EXPORT",IF(ABS(Y582)&gt;=0.005,"POSTED CHARGE MISMATCH",IF(P582&gt;0,"MATCH - COVERED ELIGIBILITY EXCEPTION","MATCH")))</f>
        <v>MATCH</v>
      </c>
      <c r="AB582" s="13" t="s">
        <v>5131</v>
      </c>
    </row>
    <row r="583" customFormat="false" ht="15" hidden="false" customHeight="false" outlineLevel="0" collapsed="false">
      <c r="A583" s="9" t="s">
        <v>5132</v>
      </c>
      <c r="B583" s="9" t="s">
        <v>113</v>
      </c>
      <c r="C583" s="9" t="s">
        <v>114</v>
      </c>
      <c r="D583" s="9" t="s">
        <v>2002</v>
      </c>
      <c r="E583" s="9" t="s">
        <v>2936</v>
      </c>
      <c r="F583" s="9" t="s">
        <v>5133</v>
      </c>
      <c r="G583" s="9" t="s">
        <v>5134</v>
      </c>
      <c r="H583" s="9" t="s">
        <v>2762</v>
      </c>
      <c r="I583" s="11" t="n">
        <v>32</v>
      </c>
      <c r="J583" s="11" t="n">
        <v>32.7</v>
      </c>
      <c r="K583" s="11"/>
      <c r="L583" s="11"/>
      <c r="M583" s="11" t="n">
        <f aca="false">IF(ISNUMBER(L583),L583,J583)</f>
        <v>32.7</v>
      </c>
      <c r="N583" s="11" t="n">
        <f aca="false">ROUNDUP(M583,0)</f>
        <v>33</v>
      </c>
      <c r="O583" s="11" t="n">
        <f aca="false">MAX(I583,N583)</f>
        <v>33</v>
      </c>
      <c r="P583" s="11" t="n">
        <f aca="false">IF(C583="COVERED",MAX(0,O583-40),0)</f>
        <v>0</v>
      </c>
      <c r="Q583" s="11" t="n">
        <f aca="false">O583</f>
        <v>33</v>
      </c>
      <c r="R583" s="17" t="n">
        <f aca="false">IF(C583="COVERED",10.4,7.55)</f>
        <v>10.4</v>
      </c>
      <c r="S583" s="17" t="n">
        <f aca="false">Q583*R583</f>
        <v>343.2</v>
      </c>
      <c r="T583" s="9" t="s">
        <v>5135</v>
      </c>
      <c r="U583" s="10" t="n">
        <v>46235</v>
      </c>
      <c r="V583" s="9" t="n">
        <v>33</v>
      </c>
      <c r="W583" s="17" t="n">
        <v>10.4</v>
      </c>
      <c r="X583" s="17" t="n">
        <v>343.2</v>
      </c>
      <c r="Y583" s="17" t="n">
        <f aca="false">IF(ISNUMBER(X583),X583-S583,"")</f>
        <v>0</v>
      </c>
      <c r="Z583" s="17" t="n">
        <f aca="false">IF(ISNUMBER(X583),X583-S583,-S583)</f>
        <v>0</v>
      </c>
      <c r="AA583" s="9" t="str">
        <f aca="false">IF(NOT(ISNUMBER(X583)),"NO AUGUST POSTING IN EXPORT",IF(ABS(Y583)&gt;=0.005,"POSTED CHARGE MISMATCH",IF(P583&gt;0,"MATCH - COVERED ELIGIBILITY EXCEPTION","MATCH")))</f>
        <v>MATCH</v>
      </c>
      <c r="AB583" s="9" t="s">
        <v>5136</v>
      </c>
    </row>
    <row r="584" customFormat="false" ht="15" hidden="false" customHeight="false" outlineLevel="0" collapsed="false">
      <c r="A584" s="13" t="s">
        <v>5137</v>
      </c>
      <c r="B584" s="13" t="s">
        <v>113</v>
      </c>
      <c r="C584" s="13" t="s">
        <v>114</v>
      </c>
      <c r="D584" s="13" t="s">
        <v>2002</v>
      </c>
      <c r="E584" s="13" t="s">
        <v>2943</v>
      </c>
      <c r="F584" s="13" t="s">
        <v>5138</v>
      </c>
      <c r="G584" s="13" t="s">
        <v>5139</v>
      </c>
      <c r="H584" s="13" t="s">
        <v>4508</v>
      </c>
      <c r="I584" s="15" t="n">
        <v>32</v>
      </c>
      <c r="J584" s="15" t="n">
        <v>53.5</v>
      </c>
      <c r="K584" s="15"/>
      <c r="L584" s="15"/>
      <c r="M584" s="15" t="n">
        <f aca="false">IF(ISNUMBER(L584),L584,J584)</f>
        <v>53.5</v>
      </c>
      <c r="N584" s="15" t="n">
        <f aca="false">ROUNDUP(M584,0)</f>
        <v>54</v>
      </c>
      <c r="O584" s="15" t="n">
        <f aca="false">MAX(I584,N584)</f>
        <v>54</v>
      </c>
      <c r="P584" s="15" t="n">
        <f aca="false">IF(C584="COVERED",MAX(0,O584-40),0)</f>
        <v>14</v>
      </c>
      <c r="Q584" s="15" t="n">
        <f aca="false">O584</f>
        <v>54</v>
      </c>
      <c r="R584" s="18" t="n">
        <f aca="false">IF(C584="COVERED",10.4,7.55)</f>
        <v>10.4</v>
      </c>
      <c r="S584" s="18" t="n">
        <f aca="false">Q584*R584</f>
        <v>561.6</v>
      </c>
      <c r="T584" s="13" t="s">
        <v>5140</v>
      </c>
      <c r="U584" s="14" t="n">
        <v>46235</v>
      </c>
      <c r="V584" s="13" t="n">
        <v>54</v>
      </c>
      <c r="W584" s="18" t="n">
        <v>10.4</v>
      </c>
      <c r="X584" s="18" t="n">
        <v>561.6</v>
      </c>
      <c r="Y584" s="18" t="n">
        <f aca="false">IF(ISNUMBER(X584),X584-S584,"")</f>
        <v>0</v>
      </c>
      <c r="Z584" s="18" t="n">
        <f aca="false">IF(ISNUMBER(X584),X584-S584,-S584)</f>
        <v>0</v>
      </c>
      <c r="AA584" s="13" t="str">
        <f aca="false">IF(NOT(ISNUMBER(X584)),"NO AUGUST POSTING IN EXPORT",IF(ABS(Y584)&gt;=0.005,"POSTED CHARGE MISMATCH",IF(P584&gt;0,"MATCH - COVERED ELIGIBILITY EXCEPTION","MATCH")))</f>
        <v>MATCH - COVERED ELIGIBILITY EXCEPTION</v>
      </c>
      <c r="AB584" s="13" t="s">
        <v>5141</v>
      </c>
    </row>
    <row r="585" customFormat="false" ht="15" hidden="false" customHeight="false" outlineLevel="0" collapsed="false">
      <c r="A585" s="9" t="s">
        <v>872</v>
      </c>
      <c r="B585" s="9" t="s">
        <v>113</v>
      </c>
      <c r="C585" s="9" t="s">
        <v>114</v>
      </c>
      <c r="D585" s="9" t="s">
        <v>2002</v>
      </c>
      <c r="E585" s="9" t="s">
        <v>2957</v>
      </c>
      <c r="F585" s="9" t="s">
        <v>5142</v>
      </c>
      <c r="G585" s="9" t="s">
        <v>5143</v>
      </c>
      <c r="H585" s="9" t="s">
        <v>4880</v>
      </c>
      <c r="I585" s="11" t="n">
        <v>24</v>
      </c>
      <c r="J585" s="11" t="n">
        <v>59.7</v>
      </c>
      <c r="K585" s="11"/>
      <c r="L585" s="11"/>
      <c r="M585" s="11" t="n">
        <f aca="false">IF(ISNUMBER(L585),L585,J585)</f>
        <v>59.7</v>
      </c>
      <c r="N585" s="11" t="n">
        <f aca="false">ROUNDUP(M585,0)</f>
        <v>60</v>
      </c>
      <c r="O585" s="11" t="n">
        <f aca="false">MAX(I585,N585)</f>
        <v>60</v>
      </c>
      <c r="P585" s="11" t="n">
        <f aca="false">IF(C585="COVERED",MAX(0,O585-40),0)</f>
        <v>20</v>
      </c>
      <c r="Q585" s="11" t="n">
        <f aca="false">O585</f>
        <v>60</v>
      </c>
      <c r="R585" s="17" t="n">
        <f aca="false">IF(C585="COVERED",10.4,7.55)</f>
        <v>10.4</v>
      </c>
      <c r="S585" s="17" t="n">
        <f aca="false">Q585*R585</f>
        <v>624</v>
      </c>
      <c r="T585" s="9" t="s">
        <v>5144</v>
      </c>
      <c r="U585" s="10" t="n">
        <v>46235</v>
      </c>
      <c r="V585" s="9" t="n">
        <v>60</v>
      </c>
      <c r="W585" s="17" t="n">
        <v>10.4</v>
      </c>
      <c r="X585" s="17" t="n">
        <v>624</v>
      </c>
      <c r="Y585" s="17" t="n">
        <f aca="false">IF(ISNUMBER(X585),X585-S585,"")</f>
        <v>0</v>
      </c>
      <c r="Z585" s="17" t="n">
        <f aca="false">IF(ISNUMBER(X585),X585-S585,-S585)</f>
        <v>0</v>
      </c>
      <c r="AA585" s="9" t="str">
        <f aca="false">IF(NOT(ISNUMBER(X585)),"NO AUGUST POSTING IN EXPORT",IF(ABS(Y585)&gt;=0.005,"POSTED CHARGE MISMATCH",IF(P585&gt;0,"MATCH - COVERED ELIGIBILITY EXCEPTION","MATCH")))</f>
        <v>MATCH - COVERED ELIGIBILITY EXCEPTION</v>
      </c>
      <c r="AB585" s="9" t="s">
        <v>5145</v>
      </c>
    </row>
    <row r="586" customFormat="false" ht="15" hidden="false" customHeight="false" outlineLevel="0" collapsed="false">
      <c r="A586" s="13" t="s">
        <v>5146</v>
      </c>
      <c r="B586" s="13" t="s">
        <v>113</v>
      </c>
      <c r="C586" s="13" t="s">
        <v>114</v>
      </c>
      <c r="D586" s="13" t="s">
        <v>2002</v>
      </c>
      <c r="E586" s="13" t="s">
        <v>2964</v>
      </c>
      <c r="F586" s="13" t="s">
        <v>5147</v>
      </c>
      <c r="G586" s="13" t="s">
        <v>4810</v>
      </c>
      <c r="H586" s="13" t="s">
        <v>5148</v>
      </c>
      <c r="I586" s="15" t="n">
        <v>28</v>
      </c>
      <c r="J586" s="15" t="n">
        <v>37.7</v>
      </c>
      <c r="K586" s="15"/>
      <c r="L586" s="15"/>
      <c r="M586" s="15" t="n">
        <f aca="false">IF(ISNUMBER(L586),L586,J586)</f>
        <v>37.7</v>
      </c>
      <c r="N586" s="15" t="n">
        <f aca="false">ROUNDUP(M586,0)</f>
        <v>38</v>
      </c>
      <c r="O586" s="15" t="n">
        <f aca="false">MAX(I586,N586)</f>
        <v>38</v>
      </c>
      <c r="P586" s="15" t="n">
        <f aca="false">IF(C586="COVERED",MAX(0,O586-40),0)</f>
        <v>0</v>
      </c>
      <c r="Q586" s="15" t="n">
        <f aca="false">O586</f>
        <v>38</v>
      </c>
      <c r="R586" s="18" t="n">
        <f aca="false">IF(C586="COVERED",10.4,7.55)</f>
        <v>10.4</v>
      </c>
      <c r="S586" s="18" t="n">
        <f aca="false">Q586*R586</f>
        <v>395.2</v>
      </c>
      <c r="T586" s="13" t="s">
        <v>5149</v>
      </c>
      <c r="U586" s="14" t="n">
        <v>46235</v>
      </c>
      <c r="V586" s="13" t="n">
        <v>38</v>
      </c>
      <c r="W586" s="18" t="n">
        <v>10.4</v>
      </c>
      <c r="X586" s="18" t="n">
        <v>395.2</v>
      </c>
      <c r="Y586" s="18" t="n">
        <f aca="false">IF(ISNUMBER(X586),X586-S586,"")</f>
        <v>0</v>
      </c>
      <c r="Z586" s="18" t="n">
        <f aca="false">IF(ISNUMBER(X586),X586-S586,-S586)</f>
        <v>0</v>
      </c>
      <c r="AA586" s="13" t="str">
        <f aca="false">IF(NOT(ISNUMBER(X586)),"NO AUGUST POSTING IN EXPORT",IF(ABS(Y586)&gt;=0.005,"POSTED CHARGE MISMATCH",IF(P586&gt;0,"MATCH - COVERED ELIGIBILITY EXCEPTION","MATCH")))</f>
        <v>MATCH</v>
      </c>
      <c r="AB586" s="13" t="s">
        <v>5150</v>
      </c>
    </row>
    <row r="587" customFormat="false" ht="15" hidden="false" customHeight="false" outlineLevel="0" collapsed="false">
      <c r="A587" s="9" t="s">
        <v>5151</v>
      </c>
      <c r="B587" s="9" t="s">
        <v>113</v>
      </c>
      <c r="C587" s="9" t="s">
        <v>114</v>
      </c>
      <c r="D587" s="9" t="s">
        <v>2002</v>
      </c>
      <c r="E587" s="9" t="s">
        <v>2970</v>
      </c>
      <c r="F587" s="9" t="s">
        <v>5152</v>
      </c>
      <c r="G587" s="9" t="s">
        <v>5153</v>
      </c>
      <c r="H587" s="9" t="s">
        <v>4377</v>
      </c>
      <c r="I587" s="11" t="n">
        <v>28</v>
      </c>
      <c r="J587" s="11" t="n">
        <v>56.3</v>
      </c>
      <c r="K587" s="11"/>
      <c r="L587" s="11"/>
      <c r="M587" s="11" t="n">
        <f aca="false">IF(ISNUMBER(L587),L587,J587)</f>
        <v>56.3</v>
      </c>
      <c r="N587" s="11" t="n">
        <f aca="false">ROUNDUP(M587,0)</f>
        <v>57</v>
      </c>
      <c r="O587" s="11" t="n">
        <f aca="false">MAX(I587,N587)</f>
        <v>57</v>
      </c>
      <c r="P587" s="11" t="n">
        <f aca="false">IF(C587="COVERED",MAX(0,O587-40),0)</f>
        <v>17</v>
      </c>
      <c r="Q587" s="11" t="n">
        <f aca="false">O587</f>
        <v>57</v>
      </c>
      <c r="R587" s="17" t="n">
        <f aca="false">IF(C587="COVERED",10.4,7.55)</f>
        <v>10.4</v>
      </c>
      <c r="S587" s="17" t="n">
        <f aca="false">Q587*R587</f>
        <v>592.8</v>
      </c>
      <c r="T587" s="9" t="s">
        <v>5154</v>
      </c>
      <c r="U587" s="10" t="n">
        <v>46235</v>
      </c>
      <c r="V587" s="9" t="n">
        <v>57</v>
      </c>
      <c r="W587" s="17" t="n">
        <v>10.4</v>
      </c>
      <c r="X587" s="17" t="n">
        <v>592.8</v>
      </c>
      <c r="Y587" s="17" t="n">
        <f aca="false">IF(ISNUMBER(X587),X587-S587,"")</f>
        <v>0</v>
      </c>
      <c r="Z587" s="17" t="n">
        <f aca="false">IF(ISNUMBER(X587),X587-S587,-S587)</f>
        <v>0</v>
      </c>
      <c r="AA587" s="9" t="str">
        <f aca="false">IF(NOT(ISNUMBER(X587)),"NO AUGUST POSTING IN EXPORT",IF(ABS(Y587)&gt;=0.005,"POSTED CHARGE MISMATCH",IF(P587&gt;0,"MATCH - COVERED ELIGIBILITY EXCEPTION","MATCH")))</f>
        <v>MATCH - COVERED ELIGIBILITY EXCEPTION</v>
      </c>
      <c r="AB587" s="9" t="s">
        <v>5155</v>
      </c>
    </row>
    <row r="588" customFormat="false" ht="15" hidden="false" customHeight="false" outlineLevel="0" collapsed="false">
      <c r="A588" s="13" t="s">
        <v>5156</v>
      </c>
      <c r="B588" s="13" t="s">
        <v>113</v>
      </c>
      <c r="C588" s="13" t="s">
        <v>114</v>
      </c>
      <c r="D588" s="13" t="s">
        <v>2002</v>
      </c>
      <c r="E588" s="13" t="s">
        <v>2977</v>
      </c>
      <c r="F588" s="13" t="s">
        <v>5157</v>
      </c>
      <c r="G588" s="13" t="s">
        <v>5158</v>
      </c>
      <c r="H588" s="13" t="s">
        <v>3479</v>
      </c>
      <c r="I588" s="15" t="n">
        <v>36</v>
      </c>
      <c r="J588" s="15" t="n">
        <v>46.1</v>
      </c>
      <c r="K588" s="15"/>
      <c r="L588" s="15"/>
      <c r="M588" s="15" t="n">
        <f aca="false">IF(ISNUMBER(L588),L588,J588)</f>
        <v>46.1</v>
      </c>
      <c r="N588" s="15" t="n">
        <f aca="false">ROUNDUP(M588,0)</f>
        <v>47</v>
      </c>
      <c r="O588" s="15" t="n">
        <f aca="false">MAX(I588,N588)</f>
        <v>47</v>
      </c>
      <c r="P588" s="15" t="n">
        <f aca="false">IF(C588="COVERED",MAX(0,O588-40),0)</f>
        <v>7</v>
      </c>
      <c r="Q588" s="15" t="n">
        <f aca="false">O588</f>
        <v>47</v>
      </c>
      <c r="R588" s="18" t="n">
        <f aca="false">IF(C588="COVERED",10.4,7.55)</f>
        <v>10.4</v>
      </c>
      <c r="S588" s="18" t="n">
        <f aca="false">Q588*R588</f>
        <v>488.8</v>
      </c>
      <c r="T588" s="13" t="s">
        <v>5159</v>
      </c>
      <c r="U588" s="14" t="n">
        <v>46235</v>
      </c>
      <c r="V588" s="13" t="n">
        <v>47</v>
      </c>
      <c r="W588" s="18" t="n">
        <v>10.4</v>
      </c>
      <c r="X588" s="18" t="n">
        <v>488.8</v>
      </c>
      <c r="Y588" s="18" t="n">
        <f aca="false">IF(ISNUMBER(X588),X588-S588,"")</f>
        <v>0</v>
      </c>
      <c r="Z588" s="18" t="n">
        <f aca="false">IF(ISNUMBER(X588),X588-S588,-S588)</f>
        <v>0</v>
      </c>
      <c r="AA588" s="13" t="str">
        <f aca="false">IF(NOT(ISNUMBER(X588)),"NO AUGUST POSTING IN EXPORT",IF(ABS(Y588)&gt;=0.005,"POSTED CHARGE MISMATCH",IF(P588&gt;0,"MATCH - COVERED ELIGIBILITY EXCEPTION","MATCH")))</f>
        <v>MATCH - COVERED ELIGIBILITY EXCEPTION</v>
      </c>
      <c r="AB588" s="13" t="s">
        <v>5160</v>
      </c>
    </row>
    <row r="589" customFormat="false" ht="15" hidden="false" customHeight="false" outlineLevel="0" collapsed="false">
      <c r="A589" s="9" t="s">
        <v>5161</v>
      </c>
      <c r="B589" s="9" t="s">
        <v>113</v>
      </c>
      <c r="C589" s="9" t="s">
        <v>114</v>
      </c>
      <c r="D589" s="9" t="s">
        <v>2002</v>
      </c>
      <c r="E589" s="9" t="s">
        <v>2984</v>
      </c>
      <c r="F589" s="9" t="s">
        <v>1366</v>
      </c>
      <c r="G589" s="9" t="s">
        <v>1367</v>
      </c>
      <c r="H589" s="9" t="s">
        <v>3495</v>
      </c>
      <c r="I589" s="11" t="n">
        <v>40</v>
      </c>
      <c r="J589" s="11" t="n">
        <v>35.1</v>
      </c>
      <c r="K589" s="11"/>
      <c r="L589" s="11"/>
      <c r="M589" s="11" t="n">
        <f aca="false">IF(ISNUMBER(L589),L589,J589)</f>
        <v>35.1</v>
      </c>
      <c r="N589" s="11" t="n">
        <f aca="false">ROUNDUP(M589,0)</f>
        <v>36</v>
      </c>
      <c r="O589" s="11" t="n">
        <f aca="false">MAX(I589,N589)</f>
        <v>40</v>
      </c>
      <c r="P589" s="11" t="n">
        <f aca="false">IF(C589="COVERED",MAX(0,O589-40),0)</f>
        <v>0</v>
      </c>
      <c r="Q589" s="11" t="n">
        <f aca="false">O589</f>
        <v>40</v>
      </c>
      <c r="R589" s="17" t="n">
        <f aca="false">IF(C589="COVERED",10.4,7.55)</f>
        <v>10.4</v>
      </c>
      <c r="S589" s="17" t="n">
        <f aca="false">Q589*R589</f>
        <v>416</v>
      </c>
      <c r="T589" s="9" t="s">
        <v>5162</v>
      </c>
      <c r="U589" s="10" t="n">
        <v>46235</v>
      </c>
      <c r="V589" s="9" t="n">
        <v>40</v>
      </c>
      <c r="W589" s="17" t="n">
        <v>10.4</v>
      </c>
      <c r="X589" s="17" t="n">
        <v>416</v>
      </c>
      <c r="Y589" s="17" t="n">
        <f aca="false">IF(ISNUMBER(X589),X589-S589,"")</f>
        <v>0</v>
      </c>
      <c r="Z589" s="17" t="n">
        <f aca="false">IF(ISNUMBER(X589),X589-S589,-S589)</f>
        <v>0</v>
      </c>
      <c r="AA589" s="9" t="str">
        <f aca="false">IF(NOT(ISNUMBER(X589)),"NO AUGUST POSTING IN EXPORT",IF(ABS(Y589)&gt;=0.005,"POSTED CHARGE MISMATCH",IF(P589&gt;0,"MATCH - COVERED ELIGIBILITY EXCEPTION","MATCH")))</f>
        <v>MATCH</v>
      </c>
      <c r="AB589" s="9" t="s">
        <v>5163</v>
      </c>
    </row>
    <row r="590" customFormat="false" ht="15" hidden="false" customHeight="false" outlineLevel="0" collapsed="false">
      <c r="A590" s="13" t="s">
        <v>1167</v>
      </c>
      <c r="B590" s="13" t="s">
        <v>113</v>
      </c>
      <c r="C590" s="13" t="s">
        <v>114</v>
      </c>
      <c r="D590" s="13" t="s">
        <v>2002</v>
      </c>
      <c r="E590" s="13" t="s">
        <v>2990</v>
      </c>
      <c r="F590" s="13" t="s">
        <v>5164</v>
      </c>
      <c r="G590" s="13" t="s">
        <v>5165</v>
      </c>
      <c r="H590" s="13" t="s">
        <v>5166</v>
      </c>
      <c r="I590" s="15" t="n">
        <v>28</v>
      </c>
      <c r="J590" s="15" t="n">
        <v>47.8</v>
      </c>
      <c r="K590" s="15"/>
      <c r="L590" s="15"/>
      <c r="M590" s="15" t="n">
        <f aca="false">IF(ISNUMBER(L590),L590,J590)</f>
        <v>47.8</v>
      </c>
      <c r="N590" s="15" t="n">
        <f aca="false">ROUNDUP(M590,0)</f>
        <v>48</v>
      </c>
      <c r="O590" s="15" t="n">
        <f aca="false">MAX(I590,N590)</f>
        <v>48</v>
      </c>
      <c r="P590" s="15" t="n">
        <f aca="false">IF(C590="COVERED",MAX(0,O590-40),0)</f>
        <v>8</v>
      </c>
      <c r="Q590" s="15" t="n">
        <f aca="false">O590</f>
        <v>48</v>
      </c>
      <c r="R590" s="18" t="n">
        <f aca="false">IF(C590="COVERED",10.4,7.55)</f>
        <v>10.4</v>
      </c>
      <c r="S590" s="18" t="n">
        <f aca="false">Q590*R590</f>
        <v>499.2</v>
      </c>
      <c r="T590" s="13" t="s">
        <v>5167</v>
      </c>
      <c r="U590" s="14" t="n">
        <v>46235</v>
      </c>
      <c r="V590" s="13" t="n">
        <v>48</v>
      </c>
      <c r="W590" s="18" t="n">
        <v>10.4</v>
      </c>
      <c r="X590" s="18" t="n">
        <v>499.2</v>
      </c>
      <c r="Y590" s="18" t="n">
        <f aca="false">IF(ISNUMBER(X590),X590-S590,"")</f>
        <v>0</v>
      </c>
      <c r="Z590" s="18" t="n">
        <f aca="false">IF(ISNUMBER(X590),X590-S590,-S590)</f>
        <v>0</v>
      </c>
      <c r="AA590" s="13" t="str">
        <f aca="false">IF(NOT(ISNUMBER(X590)),"NO AUGUST POSTING IN EXPORT",IF(ABS(Y590)&gt;=0.005,"POSTED CHARGE MISMATCH",IF(P590&gt;0,"MATCH - COVERED ELIGIBILITY EXCEPTION","MATCH")))</f>
        <v>MATCH - COVERED ELIGIBILITY EXCEPTION</v>
      </c>
      <c r="AB590" s="13" t="s">
        <v>5168</v>
      </c>
    </row>
    <row r="591" customFormat="false" ht="15" hidden="false" customHeight="false" outlineLevel="0" collapsed="false">
      <c r="A591" s="9" t="s">
        <v>5169</v>
      </c>
      <c r="B591" s="9" t="s">
        <v>113</v>
      </c>
      <c r="C591" s="9" t="s">
        <v>114</v>
      </c>
      <c r="D591" s="9" t="s">
        <v>2002</v>
      </c>
      <c r="E591" s="9" t="s">
        <v>2999</v>
      </c>
      <c r="F591" s="9" t="s">
        <v>5170</v>
      </c>
      <c r="G591" s="9" t="s">
        <v>5171</v>
      </c>
      <c r="H591" s="9" t="s">
        <v>5172</v>
      </c>
      <c r="I591" s="11" t="n">
        <v>36</v>
      </c>
      <c r="J591" s="11" t="n">
        <v>39.6</v>
      </c>
      <c r="K591" s="11"/>
      <c r="L591" s="11"/>
      <c r="M591" s="11" t="n">
        <f aca="false">IF(ISNUMBER(L591),L591,J591)</f>
        <v>39.6</v>
      </c>
      <c r="N591" s="11" t="n">
        <f aca="false">ROUNDUP(M591,0)</f>
        <v>40</v>
      </c>
      <c r="O591" s="11" t="n">
        <f aca="false">MAX(I591,N591)</f>
        <v>40</v>
      </c>
      <c r="P591" s="11" t="n">
        <f aca="false">IF(C591="COVERED",MAX(0,O591-40),0)</f>
        <v>0</v>
      </c>
      <c r="Q591" s="11" t="n">
        <f aca="false">O591</f>
        <v>40</v>
      </c>
      <c r="R591" s="17" t="n">
        <f aca="false">IF(C591="COVERED",10.4,7.55)</f>
        <v>10.4</v>
      </c>
      <c r="S591" s="17" t="n">
        <f aca="false">Q591*R591</f>
        <v>416</v>
      </c>
      <c r="T591" s="9" t="s">
        <v>5173</v>
      </c>
      <c r="U591" s="10" t="n">
        <v>46235</v>
      </c>
      <c r="V591" s="9" t="n">
        <v>40</v>
      </c>
      <c r="W591" s="17" t="n">
        <v>10.4</v>
      </c>
      <c r="X591" s="17" t="n">
        <v>416</v>
      </c>
      <c r="Y591" s="17" t="n">
        <f aca="false">IF(ISNUMBER(X591),X591-S591,"")</f>
        <v>0</v>
      </c>
      <c r="Z591" s="17" t="n">
        <f aca="false">IF(ISNUMBER(X591),X591-S591,-S591)</f>
        <v>0</v>
      </c>
      <c r="AA591" s="9" t="str">
        <f aca="false">IF(NOT(ISNUMBER(X591)),"NO AUGUST POSTING IN EXPORT",IF(ABS(Y591)&gt;=0.005,"POSTED CHARGE MISMATCH",IF(P591&gt;0,"MATCH - COVERED ELIGIBILITY EXCEPTION","MATCH")))</f>
        <v>MATCH</v>
      </c>
      <c r="AB591" s="9" t="s">
        <v>5174</v>
      </c>
    </row>
    <row r="592" customFormat="false" ht="15" hidden="false" customHeight="false" outlineLevel="0" collapsed="false">
      <c r="A592" s="13" t="s">
        <v>1480</v>
      </c>
      <c r="B592" s="13" t="s">
        <v>113</v>
      </c>
      <c r="C592" s="13" t="s">
        <v>114</v>
      </c>
      <c r="D592" s="13" t="s">
        <v>2002</v>
      </c>
      <c r="E592" s="13" t="s">
        <v>3006</v>
      </c>
      <c r="F592" s="13" t="s">
        <v>5175</v>
      </c>
      <c r="G592" s="13" t="s">
        <v>5176</v>
      </c>
      <c r="H592" s="13" t="s">
        <v>2570</v>
      </c>
      <c r="I592" s="15" t="n">
        <v>36</v>
      </c>
      <c r="J592" s="15" t="n">
        <v>55.1</v>
      </c>
      <c r="K592" s="15"/>
      <c r="L592" s="15"/>
      <c r="M592" s="15" t="n">
        <f aca="false">IF(ISNUMBER(L592),L592,J592)</f>
        <v>55.1</v>
      </c>
      <c r="N592" s="15" t="n">
        <f aca="false">ROUNDUP(M592,0)</f>
        <v>56</v>
      </c>
      <c r="O592" s="15" t="n">
        <f aca="false">MAX(I592,N592)</f>
        <v>56</v>
      </c>
      <c r="P592" s="15" t="n">
        <f aca="false">IF(C592="COVERED",MAX(0,O592-40),0)</f>
        <v>16</v>
      </c>
      <c r="Q592" s="15" t="n">
        <f aca="false">O592</f>
        <v>56</v>
      </c>
      <c r="R592" s="18" t="n">
        <f aca="false">IF(C592="COVERED",10.4,7.55)</f>
        <v>10.4</v>
      </c>
      <c r="S592" s="18" t="n">
        <f aca="false">Q592*R592</f>
        <v>582.4</v>
      </c>
      <c r="T592" s="13" t="s">
        <v>5177</v>
      </c>
      <c r="U592" s="14" t="n">
        <v>46235</v>
      </c>
      <c r="V592" s="13" t="n">
        <v>56</v>
      </c>
      <c r="W592" s="18" t="n">
        <v>10.4</v>
      </c>
      <c r="X592" s="18" t="n">
        <v>582.4</v>
      </c>
      <c r="Y592" s="18" t="n">
        <f aca="false">IF(ISNUMBER(X592),X592-S592,"")</f>
        <v>0</v>
      </c>
      <c r="Z592" s="18" t="n">
        <f aca="false">IF(ISNUMBER(X592),X592-S592,-S592)</f>
        <v>0</v>
      </c>
      <c r="AA592" s="13" t="str">
        <f aca="false">IF(NOT(ISNUMBER(X592)),"NO AUGUST POSTING IN EXPORT",IF(ABS(Y592)&gt;=0.005,"POSTED CHARGE MISMATCH",IF(P592&gt;0,"MATCH - COVERED ELIGIBILITY EXCEPTION","MATCH")))</f>
        <v>MATCH - COVERED ELIGIBILITY EXCEPTION</v>
      </c>
      <c r="AB592" s="13" t="s">
        <v>5178</v>
      </c>
    </row>
    <row r="593" customFormat="false" ht="15" hidden="false" customHeight="false" outlineLevel="0" collapsed="false">
      <c r="A593" s="9" t="s">
        <v>5179</v>
      </c>
      <c r="B593" s="9" t="s">
        <v>113</v>
      </c>
      <c r="C593" s="9" t="s">
        <v>114</v>
      </c>
      <c r="D593" s="9" t="s">
        <v>2002</v>
      </c>
      <c r="E593" s="9" t="s">
        <v>3011</v>
      </c>
      <c r="F593" s="9" t="s">
        <v>5180</v>
      </c>
      <c r="G593" s="9" t="s">
        <v>5181</v>
      </c>
      <c r="H593" s="9" t="s">
        <v>5182</v>
      </c>
      <c r="I593" s="11" t="n">
        <v>24</v>
      </c>
      <c r="J593" s="11" t="n">
        <v>40.6</v>
      </c>
      <c r="K593" s="11"/>
      <c r="L593" s="11"/>
      <c r="M593" s="11" t="n">
        <f aca="false">IF(ISNUMBER(L593),L593,J593)</f>
        <v>40.6</v>
      </c>
      <c r="N593" s="11" t="n">
        <f aca="false">ROUNDUP(M593,0)</f>
        <v>41</v>
      </c>
      <c r="O593" s="11" t="n">
        <f aca="false">MAX(I593,N593)</f>
        <v>41</v>
      </c>
      <c r="P593" s="11" t="n">
        <f aca="false">IF(C593="COVERED",MAX(0,O593-40),0)</f>
        <v>1</v>
      </c>
      <c r="Q593" s="11" t="n">
        <f aca="false">O593</f>
        <v>41</v>
      </c>
      <c r="R593" s="17" t="n">
        <f aca="false">IF(C593="COVERED",10.4,7.55)</f>
        <v>10.4</v>
      </c>
      <c r="S593" s="17" t="n">
        <f aca="false">Q593*R593</f>
        <v>426.4</v>
      </c>
      <c r="T593" s="9" t="s">
        <v>5183</v>
      </c>
      <c r="U593" s="10" t="n">
        <v>46235</v>
      </c>
      <c r="V593" s="9" t="n">
        <v>41</v>
      </c>
      <c r="W593" s="17" t="n">
        <v>10.4</v>
      </c>
      <c r="X593" s="17" t="n">
        <v>426.4</v>
      </c>
      <c r="Y593" s="17" t="n">
        <f aca="false">IF(ISNUMBER(X593),X593-S593,"")</f>
        <v>0</v>
      </c>
      <c r="Z593" s="17" t="n">
        <f aca="false">IF(ISNUMBER(X593),X593-S593,-S593)</f>
        <v>0</v>
      </c>
      <c r="AA593" s="9" t="str">
        <f aca="false">IF(NOT(ISNUMBER(X593)),"NO AUGUST POSTING IN EXPORT",IF(ABS(Y593)&gt;=0.005,"POSTED CHARGE MISMATCH",IF(P593&gt;0,"MATCH - COVERED ELIGIBILITY EXCEPTION","MATCH")))</f>
        <v>MATCH - COVERED ELIGIBILITY EXCEPTION</v>
      </c>
      <c r="AB593" s="9" t="s">
        <v>5184</v>
      </c>
    </row>
    <row r="594" customFormat="false" ht="15" hidden="false" customHeight="false" outlineLevel="0" collapsed="false">
      <c r="A594" s="13" t="s">
        <v>5185</v>
      </c>
      <c r="B594" s="13" t="s">
        <v>113</v>
      </c>
      <c r="C594" s="13" t="s">
        <v>114</v>
      </c>
      <c r="D594" s="13" t="s">
        <v>2002</v>
      </c>
      <c r="E594" s="13" t="s">
        <v>3018</v>
      </c>
      <c r="F594" s="13" t="s">
        <v>5186</v>
      </c>
      <c r="G594" s="13" t="s">
        <v>5187</v>
      </c>
      <c r="H594" s="13" t="s">
        <v>4607</v>
      </c>
      <c r="I594" s="15" t="n">
        <v>40</v>
      </c>
      <c r="J594" s="15" t="n">
        <v>42.3</v>
      </c>
      <c r="K594" s="15"/>
      <c r="L594" s="15"/>
      <c r="M594" s="15" t="n">
        <f aca="false">IF(ISNUMBER(L594),L594,J594)</f>
        <v>42.3</v>
      </c>
      <c r="N594" s="15" t="n">
        <f aca="false">ROUNDUP(M594,0)</f>
        <v>43</v>
      </c>
      <c r="O594" s="15" t="n">
        <f aca="false">MAX(I594,N594)</f>
        <v>43</v>
      </c>
      <c r="P594" s="15" t="n">
        <f aca="false">IF(C594="COVERED",MAX(0,O594-40),0)</f>
        <v>3</v>
      </c>
      <c r="Q594" s="15" t="n">
        <f aca="false">O594</f>
        <v>43</v>
      </c>
      <c r="R594" s="18" t="n">
        <f aca="false">IF(C594="COVERED",10.4,7.55)</f>
        <v>10.4</v>
      </c>
      <c r="S594" s="18" t="n">
        <f aca="false">Q594*R594</f>
        <v>447.2</v>
      </c>
      <c r="T594" s="13" t="s">
        <v>5188</v>
      </c>
      <c r="U594" s="14" t="n">
        <v>46235</v>
      </c>
      <c r="V594" s="13" t="n">
        <v>43</v>
      </c>
      <c r="W594" s="18" t="n">
        <v>10.4</v>
      </c>
      <c r="X594" s="18" t="n">
        <v>447.2</v>
      </c>
      <c r="Y594" s="18" t="n">
        <f aca="false">IF(ISNUMBER(X594),X594-S594,"")</f>
        <v>0</v>
      </c>
      <c r="Z594" s="18" t="n">
        <f aca="false">IF(ISNUMBER(X594),X594-S594,-S594)</f>
        <v>0</v>
      </c>
      <c r="AA594" s="13" t="str">
        <f aca="false">IF(NOT(ISNUMBER(X594)),"NO AUGUST POSTING IN EXPORT",IF(ABS(Y594)&gt;=0.005,"POSTED CHARGE MISMATCH",IF(P594&gt;0,"MATCH - COVERED ELIGIBILITY EXCEPTION","MATCH")))</f>
        <v>MATCH - COVERED ELIGIBILITY EXCEPTION</v>
      </c>
      <c r="AB594" s="13" t="s">
        <v>5189</v>
      </c>
    </row>
    <row r="595" customFormat="false" ht="15" hidden="false" customHeight="false" outlineLevel="0" collapsed="false">
      <c r="A595" s="9" t="s">
        <v>5190</v>
      </c>
      <c r="B595" s="9" t="s">
        <v>113</v>
      </c>
      <c r="C595" s="9" t="s">
        <v>114</v>
      </c>
      <c r="D595" s="9" t="s">
        <v>2002</v>
      </c>
      <c r="E595" s="9" t="s">
        <v>3024</v>
      </c>
      <c r="F595" s="9" t="s">
        <v>5191</v>
      </c>
      <c r="G595" s="9" t="s">
        <v>5192</v>
      </c>
      <c r="H595" s="9" t="s">
        <v>5091</v>
      </c>
      <c r="I595" s="11" t="n">
        <v>28</v>
      </c>
      <c r="J595" s="11" t="n">
        <v>34.3</v>
      </c>
      <c r="K595" s="11"/>
      <c r="L595" s="11"/>
      <c r="M595" s="11" t="n">
        <f aca="false">IF(ISNUMBER(L595),L595,J595)</f>
        <v>34.3</v>
      </c>
      <c r="N595" s="11" t="n">
        <f aca="false">ROUNDUP(M595,0)</f>
        <v>35</v>
      </c>
      <c r="O595" s="11" t="n">
        <f aca="false">MAX(I595,N595)</f>
        <v>35</v>
      </c>
      <c r="P595" s="11" t="n">
        <f aca="false">IF(C595="COVERED",MAX(0,O595-40),0)</f>
        <v>0</v>
      </c>
      <c r="Q595" s="11" t="n">
        <f aca="false">O595</f>
        <v>35</v>
      </c>
      <c r="R595" s="17" t="n">
        <f aca="false">IF(C595="COVERED",10.4,7.55)</f>
        <v>10.4</v>
      </c>
      <c r="S595" s="17" t="n">
        <f aca="false">Q595*R595</f>
        <v>364</v>
      </c>
      <c r="T595" s="9" t="s">
        <v>5193</v>
      </c>
      <c r="U595" s="10" t="n">
        <v>46235</v>
      </c>
      <c r="V595" s="9" t="n">
        <v>35</v>
      </c>
      <c r="W595" s="17" t="n">
        <v>10.4</v>
      </c>
      <c r="X595" s="17" t="n">
        <v>364</v>
      </c>
      <c r="Y595" s="17" t="n">
        <f aca="false">IF(ISNUMBER(X595),X595-S595,"")</f>
        <v>0</v>
      </c>
      <c r="Z595" s="17" t="n">
        <f aca="false">IF(ISNUMBER(X595),X595-S595,-S595)</f>
        <v>0</v>
      </c>
      <c r="AA595" s="9" t="str">
        <f aca="false">IF(NOT(ISNUMBER(X595)),"NO AUGUST POSTING IN EXPORT",IF(ABS(Y595)&gt;=0.005,"POSTED CHARGE MISMATCH",IF(P595&gt;0,"MATCH - COVERED ELIGIBILITY EXCEPTION","MATCH")))</f>
        <v>MATCH</v>
      </c>
      <c r="AB595" s="9" t="s">
        <v>5194</v>
      </c>
    </row>
    <row r="596" customFormat="false" ht="15" hidden="false" customHeight="false" outlineLevel="0" collapsed="false">
      <c r="A596" s="13" t="s">
        <v>5195</v>
      </c>
      <c r="B596" s="13" t="s">
        <v>113</v>
      </c>
      <c r="C596" s="13" t="s">
        <v>114</v>
      </c>
      <c r="D596" s="13" t="s">
        <v>2002</v>
      </c>
      <c r="E596" s="13" t="s">
        <v>3036</v>
      </c>
      <c r="F596" s="13" t="s">
        <v>5196</v>
      </c>
      <c r="G596" s="13" t="s">
        <v>5197</v>
      </c>
      <c r="H596" s="13" t="s">
        <v>5198</v>
      </c>
      <c r="I596" s="15" t="n">
        <v>36</v>
      </c>
      <c r="J596" s="15" t="n">
        <v>51.3</v>
      </c>
      <c r="K596" s="15"/>
      <c r="L596" s="15"/>
      <c r="M596" s="15" t="n">
        <f aca="false">IF(ISNUMBER(L596),L596,J596)</f>
        <v>51.3</v>
      </c>
      <c r="N596" s="15" t="n">
        <f aca="false">ROUNDUP(M596,0)</f>
        <v>52</v>
      </c>
      <c r="O596" s="15" t="n">
        <f aca="false">MAX(I596,N596)</f>
        <v>52</v>
      </c>
      <c r="P596" s="15" t="n">
        <f aca="false">IF(C596="COVERED",MAX(0,O596-40),0)</f>
        <v>12</v>
      </c>
      <c r="Q596" s="15" t="n">
        <f aca="false">O596</f>
        <v>52</v>
      </c>
      <c r="R596" s="18" t="n">
        <f aca="false">IF(C596="COVERED",10.4,7.55)</f>
        <v>10.4</v>
      </c>
      <c r="S596" s="18" t="n">
        <f aca="false">Q596*R596</f>
        <v>540.8</v>
      </c>
      <c r="T596" s="13" t="s">
        <v>5199</v>
      </c>
      <c r="U596" s="14" t="n">
        <v>46235</v>
      </c>
      <c r="V596" s="13" t="n">
        <v>52</v>
      </c>
      <c r="W596" s="18" t="n">
        <v>10.4</v>
      </c>
      <c r="X596" s="18" t="n">
        <v>540.8</v>
      </c>
      <c r="Y596" s="18" t="n">
        <f aca="false">IF(ISNUMBER(X596),X596-S596,"")</f>
        <v>0</v>
      </c>
      <c r="Z596" s="18" t="n">
        <f aca="false">IF(ISNUMBER(X596),X596-S596,-S596)</f>
        <v>0</v>
      </c>
      <c r="AA596" s="13" t="str">
        <f aca="false">IF(NOT(ISNUMBER(X596)),"NO AUGUST POSTING IN EXPORT",IF(ABS(Y596)&gt;=0.005,"POSTED CHARGE MISMATCH",IF(P596&gt;0,"MATCH - COVERED ELIGIBILITY EXCEPTION","MATCH")))</f>
        <v>MATCH - COVERED ELIGIBILITY EXCEPTION</v>
      </c>
      <c r="AB596" s="13" t="s">
        <v>5200</v>
      </c>
    </row>
    <row r="597" customFormat="false" ht="15" hidden="false" customHeight="false" outlineLevel="0" collapsed="false">
      <c r="A597" s="9" t="s">
        <v>5201</v>
      </c>
      <c r="B597" s="9" t="s">
        <v>113</v>
      </c>
      <c r="C597" s="9" t="s">
        <v>114</v>
      </c>
      <c r="D597" s="9" t="s">
        <v>2002</v>
      </c>
      <c r="E597" s="9" t="s">
        <v>3040</v>
      </c>
      <c r="F597" s="9" t="s">
        <v>5202</v>
      </c>
      <c r="G597" s="9" t="s">
        <v>5203</v>
      </c>
      <c r="H597" s="9" t="s">
        <v>5204</v>
      </c>
      <c r="I597" s="11" t="n">
        <v>28</v>
      </c>
      <c r="J597" s="11" t="n">
        <v>25.6</v>
      </c>
      <c r="K597" s="11"/>
      <c r="L597" s="11"/>
      <c r="M597" s="11" t="n">
        <f aca="false">IF(ISNUMBER(L597),L597,J597)</f>
        <v>25.6</v>
      </c>
      <c r="N597" s="11" t="n">
        <f aca="false">ROUNDUP(M597,0)</f>
        <v>26</v>
      </c>
      <c r="O597" s="11" t="n">
        <f aca="false">MAX(I597,N597)</f>
        <v>28</v>
      </c>
      <c r="P597" s="11" t="n">
        <f aca="false">IF(C597="COVERED",MAX(0,O597-40),0)</f>
        <v>0</v>
      </c>
      <c r="Q597" s="11" t="n">
        <f aca="false">O597</f>
        <v>28</v>
      </c>
      <c r="R597" s="17" t="n">
        <f aca="false">IF(C597="COVERED",10.4,7.55)</f>
        <v>10.4</v>
      </c>
      <c r="S597" s="17" t="n">
        <f aca="false">Q597*R597</f>
        <v>291.2</v>
      </c>
      <c r="T597" s="9" t="s">
        <v>5205</v>
      </c>
      <c r="U597" s="10" t="n">
        <v>46235</v>
      </c>
      <c r="V597" s="9" t="n">
        <v>28</v>
      </c>
      <c r="W597" s="17" t="n">
        <v>10.4</v>
      </c>
      <c r="X597" s="17" t="n">
        <v>291.2</v>
      </c>
      <c r="Y597" s="17" t="n">
        <f aca="false">IF(ISNUMBER(X597),X597-S597,"")</f>
        <v>0</v>
      </c>
      <c r="Z597" s="17" t="n">
        <f aca="false">IF(ISNUMBER(X597),X597-S597,-S597)</f>
        <v>0</v>
      </c>
      <c r="AA597" s="9" t="str">
        <f aca="false">IF(NOT(ISNUMBER(X597)),"NO AUGUST POSTING IN EXPORT",IF(ABS(Y597)&gt;=0.005,"POSTED CHARGE MISMATCH",IF(P597&gt;0,"MATCH - COVERED ELIGIBILITY EXCEPTION","MATCH")))</f>
        <v>MATCH</v>
      </c>
      <c r="AB597" s="9" t="s">
        <v>5206</v>
      </c>
    </row>
    <row r="598" customFormat="false" ht="15" hidden="false" customHeight="false" outlineLevel="0" collapsed="false">
      <c r="A598" s="13" t="s">
        <v>5207</v>
      </c>
      <c r="B598" s="13" t="s">
        <v>113</v>
      </c>
      <c r="C598" s="13" t="s">
        <v>114</v>
      </c>
      <c r="D598" s="13" t="s">
        <v>2002</v>
      </c>
      <c r="E598" s="13" t="s">
        <v>3046</v>
      </c>
      <c r="F598" s="13" t="s">
        <v>5208</v>
      </c>
      <c r="G598" s="13" t="s">
        <v>5209</v>
      </c>
      <c r="H598" s="13" t="s">
        <v>2651</v>
      </c>
      <c r="I598" s="15" t="n">
        <v>32</v>
      </c>
      <c r="J598" s="15" t="n">
        <v>37.5</v>
      </c>
      <c r="K598" s="15"/>
      <c r="L598" s="15"/>
      <c r="M598" s="15" t="n">
        <f aca="false">IF(ISNUMBER(L598),L598,J598)</f>
        <v>37.5</v>
      </c>
      <c r="N598" s="15" t="n">
        <f aca="false">ROUNDUP(M598,0)</f>
        <v>38</v>
      </c>
      <c r="O598" s="15" t="n">
        <f aca="false">MAX(I598,N598)</f>
        <v>38</v>
      </c>
      <c r="P598" s="15" t="n">
        <f aca="false">IF(C598="COVERED",MAX(0,O598-40),0)</f>
        <v>0</v>
      </c>
      <c r="Q598" s="15" t="n">
        <f aca="false">O598</f>
        <v>38</v>
      </c>
      <c r="R598" s="18" t="n">
        <f aca="false">IF(C598="COVERED",10.4,7.55)</f>
        <v>10.4</v>
      </c>
      <c r="S598" s="18" t="n">
        <f aca="false">Q598*R598</f>
        <v>395.2</v>
      </c>
      <c r="T598" s="13" t="s">
        <v>5210</v>
      </c>
      <c r="U598" s="14" t="n">
        <v>46235</v>
      </c>
      <c r="V598" s="13" t="n">
        <v>38</v>
      </c>
      <c r="W598" s="18" t="n">
        <v>10.4</v>
      </c>
      <c r="X598" s="18" t="n">
        <v>395.2</v>
      </c>
      <c r="Y598" s="18" t="n">
        <f aca="false">IF(ISNUMBER(X598),X598-S598,"")</f>
        <v>0</v>
      </c>
      <c r="Z598" s="18" t="n">
        <f aca="false">IF(ISNUMBER(X598),X598-S598,-S598)</f>
        <v>0</v>
      </c>
      <c r="AA598" s="13" t="str">
        <f aca="false">IF(NOT(ISNUMBER(X598)),"NO AUGUST POSTING IN EXPORT",IF(ABS(Y598)&gt;=0.005,"POSTED CHARGE MISMATCH",IF(P598&gt;0,"MATCH - COVERED ELIGIBILITY EXCEPTION","MATCH")))</f>
        <v>MATCH</v>
      </c>
      <c r="AB598" s="13" t="s">
        <v>5211</v>
      </c>
    </row>
    <row r="599" customFormat="false" ht="15" hidden="false" customHeight="false" outlineLevel="0" collapsed="false">
      <c r="A599" s="9" t="s">
        <v>5212</v>
      </c>
      <c r="B599" s="9" t="s">
        <v>113</v>
      </c>
      <c r="C599" s="9" t="s">
        <v>114</v>
      </c>
      <c r="D599" s="9" t="s">
        <v>2002</v>
      </c>
      <c r="E599" s="9" t="s">
        <v>3052</v>
      </c>
      <c r="F599" s="9" t="s">
        <v>5213</v>
      </c>
      <c r="G599" s="9" t="s">
        <v>5214</v>
      </c>
      <c r="H599" s="9" t="s">
        <v>4298</v>
      </c>
      <c r="I599" s="11" t="n">
        <v>32</v>
      </c>
      <c r="J599" s="11" t="n">
        <v>34.5</v>
      </c>
      <c r="K599" s="11"/>
      <c r="L599" s="11"/>
      <c r="M599" s="11" t="n">
        <f aca="false">IF(ISNUMBER(L599),L599,J599)</f>
        <v>34.5</v>
      </c>
      <c r="N599" s="11" t="n">
        <f aca="false">ROUNDUP(M599,0)</f>
        <v>35</v>
      </c>
      <c r="O599" s="11" t="n">
        <f aca="false">MAX(I599,N599)</f>
        <v>35</v>
      </c>
      <c r="P599" s="11" t="n">
        <f aca="false">IF(C599="COVERED",MAX(0,O599-40),0)</f>
        <v>0</v>
      </c>
      <c r="Q599" s="11" t="n">
        <f aca="false">O599</f>
        <v>35</v>
      </c>
      <c r="R599" s="17" t="n">
        <f aca="false">IF(C599="COVERED",10.4,7.55)</f>
        <v>10.4</v>
      </c>
      <c r="S599" s="17" t="n">
        <f aca="false">Q599*R599</f>
        <v>364</v>
      </c>
      <c r="T599" s="9" t="s">
        <v>5215</v>
      </c>
      <c r="U599" s="10" t="n">
        <v>46235</v>
      </c>
      <c r="V599" s="9" t="n">
        <v>35</v>
      </c>
      <c r="W599" s="17" t="n">
        <v>10.4</v>
      </c>
      <c r="X599" s="17" t="n">
        <v>364</v>
      </c>
      <c r="Y599" s="17" t="n">
        <f aca="false">IF(ISNUMBER(X599),X599-S599,"")</f>
        <v>0</v>
      </c>
      <c r="Z599" s="17" t="n">
        <f aca="false">IF(ISNUMBER(X599),X599-S599,-S599)</f>
        <v>0</v>
      </c>
      <c r="AA599" s="9" t="str">
        <f aca="false">IF(NOT(ISNUMBER(X599)),"NO AUGUST POSTING IN EXPORT",IF(ABS(Y599)&gt;=0.005,"POSTED CHARGE MISMATCH",IF(P599&gt;0,"MATCH - COVERED ELIGIBILITY EXCEPTION","MATCH")))</f>
        <v>MATCH</v>
      </c>
      <c r="AB599" s="9" t="s">
        <v>5216</v>
      </c>
    </row>
    <row r="600" customFormat="false" ht="15" hidden="false" customHeight="false" outlineLevel="0" collapsed="false">
      <c r="A600" s="13" t="s">
        <v>5217</v>
      </c>
      <c r="B600" s="13" t="s">
        <v>113</v>
      </c>
      <c r="C600" s="13" t="s">
        <v>114</v>
      </c>
      <c r="D600" s="13" t="s">
        <v>2002</v>
      </c>
      <c r="E600" s="13" t="s">
        <v>3058</v>
      </c>
      <c r="F600" s="13" t="s">
        <v>5218</v>
      </c>
      <c r="G600" s="13" t="s">
        <v>5219</v>
      </c>
      <c r="H600" s="13" t="s">
        <v>5220</v>
      </c>
      <c r="I600" s="15" t="n">
        <v>24</v>
      </c>
      <c r="J600" s="15" t="n">
        <v>49.8</v>
      </c>
      <c r="K600" s="15"/>
      <c r="L600" s="15"/>
      <c r="M600" s="15" t="n">
        <f aca="false">IF(ISNUMBER(L600),L600,J600)</f>
        <v>49.8</v>
      </c>
      <c r="N600" s="15" t="n">
        <f aca="false">ROUNDUP(M600,0)</f>
        <v>50</v>
      </c>
      <c r="O600" s="15" t="n">
        <f aca="false">MAX(I600,N600)</f>
        <v>50</v>
      </c>
      <c r="P600" s="15" t="n">
        <f aca="false">IF(C600="COVERED",MAX(0,O600-40),0)</f>
        <v>10</v>
      </c>
      <c r="Q600" s="15" t="n">
        <f aca="false">O600</f>
        <v>50</v>
      </c>
      <c r="R600" s="18" t="n">
        <f aca="false">IF(C600="COVERED",10.4,7.55)</f>
        <v>10.4</v>
      </c>
      <c r="S600" s="18" t="n">
        <f aca="false">Q600*R600</f>
        <v>520</v>
      </c>
      <c r="T600" s="13" t="s">
        <v>5221</v>
      </c>
      <c r="U600" s="14" t="n">
        <v>46235</v>
      </c>
      <c r="V600" s="13" t="n">
        <v>50</v>
      </c>
      <c r="W600" s="18" t="n">
        <v>10.4</v>
      </c>
      <c r="X600" s="18" t="n">
        <v>520</v>
      </c>
      <c r="Y600" s="18" t="n">
        <f aca="false">IF(ISNUMBER(X600),X600-S600,"")</f>
        <v>0</v>
      </c>
      <c r="Z600" s="18" t="n">
        <f aca="false">IF(ISNUMBER(X600),X600-S600,-S600)</f>
        <v>0</v>
      </c>
      <c r="AA600" s="13" t="str">
        <f aca="false">IF(NOT(ISNUMBER(X600)),"NO AUGUST POSTING IN EXPORT",IF(ABS(Y600)&gt;=0.005,"POSTED CHARGE MISMATCH",IF(P600&gt;0,"MATCH - COVERED ELIGIBILITY EXCEPTION","MATCH")))</f>
        <v>MATCH - COVERED ELIGIBILITY EXCEPTION</v>
      </c>
      <c r="AB600" s="13" t="s">
        <v>5222</v>
      </c>
    </row>
    <row r="601" customFormat="false" ht="15" hidden="false" customHeight="false" outlineLevel="0" collapsed="false">
      <c r="A601" s="9" t="s">
        <v>1351</v>
      </c>
      <c r="B601" s="9" t="s">
        <v>113</v>
      </c>
      <c r="C601" s="9" t="s">
        <v>114</v>
      </c>
      <c r="D601" s="9" t="s">
        <v>2002</v>
      </c>
      <c r="E601" s="9" t="s">
        <v>3065</v>
      </c>
      <c r="F601" s="9" t="s">
        <v>5223</v>
      </c>
      <c r="G601" s="9" t="s">
        <v>5224</v>
      </c>
      <c r="H601" s="9" t="s">
        <v>2189</v>
      </c>
      <c r="I601" s="11" t="n">
        <v>28</v>
      </c>
      <c r="J601" s="11" t="n">
        <v>47.4</v>
      </c>
      <c r="K601" s="11"/>
      <c r="L601" s="11"/>
      <c r="M601" s="11" t="n">
        <f aca="false">IF(ISNUMBER(L601),L601,J601)</f>
        <v>47.4</v>
      </c>
      <c r="N601" s="11" t="n">
        <f aca="false">ROUNDUP(M601,0)</f>
        <v>48</v>
      </c>
      <c r="O601" s="11" t="n">
        <f aca="false">MAX(I601,N601)</f>
        <v>48</v>
      </c>
      <c r="P601" s="11" t="n">
        <f aca="false">IF(C601="COVERED",MAX(0,O601-40),0)</f>
        <v>8</v>
      </c>
      <c r="Q601" s="11" t="n">
        <f aca="false">O601</f>
        <v>48</v>
      </c>
      <c r="R601" s="17" t="n">
        <f aca="false">IF(C601="COVERED",10.4,7.55)</f>
        <v>10.4</v>
      </c>
      <c r="S601" s="17" t="n">
        <f aca="false">Q601*R601</f>
        <v>499.2</v>
      </c>
      <c r="T601" s="9" t="s">
        <v>5225</v>
      </c>
      <c r="U601" s="10" t="n">
        <v>46235</v>
      </c>
      <c r="V601" s="9" t="n">
        <v>48</v>
      </c>
      <c r="W601" s="17" t="n">
        <v>10.4</v>
      </c>
      <c r="X601" s="17" t="n">
        <v>499.2</v>
      </c>
      <c r="Y601" s="17" t="n">
        <f aca="false">IF(ISNUMBER(X601),X601-S601,"")</f>
        <v>0</v>
      </c>
      <c r="Z601" s="17" t="n">
        <f aca="false">IF(ISNUMBER(X601),X601-S601,-S601)</f>
        <v>0</v>
      </c>
      <c r="AA601" s="9" t="str">
        <f aca="false">IF(NOT(ISNUMBER(X601)),"NO AUGUST POSTING IN EXPORT",IF(ABS(Y601)&gt;=0.005,"POSTED CHARGE MISMATCH",IF(P601&gt;0,"MATCH - COVERED ELIGIBILITY EXCEPTION","MATCH")))</f>
        <v>MATCH - COVERED ELIGIBILITY EXCEPTION</v>
      </c>
      <c r="AB601" s="9" t="s">
        <v>5226</v>
      </c>
    </row>
    <row r="602" customFormat="false" ht="15" hidden="false" customHeight="false" outlineLevel="0" collapsed="false">
      <c r="A602" s="13" t="s">
        <v>1232</v>
      </c>
      <c r="B602" s="13" t="s">
        <v>113</v>
      </c>
      <c r="C602" s="13" t="s">
        <v>114</v>
      </c>
      <c r="D602" s="13" t="s">
        <v>2002</v>
      </c>
      <c r="E602" s="13" t="s">
        <v>3070</v>
      </c>
      <c r="F602" s="13" t="s">
        <v>5227</v>
      </c>
      <c r="G602" s="13" t="s">
        <v>5228</v>
      </c>
      <c r="H602" s="13" t="s">
        <v>5229</v>
      </c>
      <c r="I602" s="15" t="n">
        <v>32</v>
      </c>
      <c r="J602" s="15" t="n">
        <v>22.2</v>
      </c>
      <c r="K602" s="15"/>
      <c r="L602" s="15"/>
      <c r="M602" s="15" t="n">
        <f aca="false">IF(ISNUMBER(L602),L602,J602)</f>
        <v>22.2</v>
      </c>
      <c r="N602" s="15" t="n">
        <f aca="false">ROUNDUP(M602,0)</f>
        <v>23</v>
      </c>
      <c r="O602" s="15" t="n">
        <f aca="false">MAX(I602,N602)</f>
        <v>32</v>
      </c>
      <c r="P602" s="15" t="n">
        <f aca="false">IF(C602="COVERED",MAX(0,O602-40),0)</f>
        <v>0</v>
      </c>
      <c r="Q602" s="15" t="n">
        <f aca="false">O602</f>
        <v>32</v>
      </c>
      <c r="R602" s="18" t="n">
        <f aca="false">IF(C602="COVERED",10.4,7.55)</f>
        <v>10.4</v>
      </c>
      <c r="S602" s="18" t="n">
        <f aca="false">Q602*R602</f>
        <v>332.8</v>
      </c>
      <c r="T602" s="13" t="s">
        <v>5230</v>
      </c>
      <c r="U602" s="14" t="n">
        <v>46235</v>
      </c>
      <c r="V602" s="13" t="n">
        <v>32</v>
      </c>
      <c r="W602" s="18" t="n">
        <v>10.4</v>
      </c>
      <c r="X602" s="18" t="n">
        <v>332.8</v>
      </c>
      <c r="Y602" s="18" t="n">
        <f aca="false">IF(ISNUMBER(X602),X602-S602,"")</f>
        <v>0</v>
      </c>
      <c r="Z602" s="18" t="n">
        <f aca="false">IF(ISNUMBER(X602),X602-S602,-S602)</f>
        <v>0</v>
      </c>
      <c r="AA602" s="13" t="str">
        <f aca="false">IF(NOT(ISNUMBER(X602)),"NO AUGUST POSTING IN EXPORT",IF(ABS(Y602)&gt;=0.005,"POSTED CHARGE MISMATCH",IF(P602&gt;0,"MATCH - COVERED ELIGIBILITY EXCEPTION","MATCH")))</f>
        <v>MATCH</v>
      </c>
      <c r="AB602" s="13" t="s">
        <v>5231</v>
      </c>
    </row>
    <row r="603" customFormat="false" ht="15" hidden="false" customHeight="false" outlineLevel="0" collapsed="false">
      <c r="A603" s="9" t="s">
        <v>5232</v>
      </c>
      <c r="B603" s="9" t="s">
        <v>113</v>
      </c>
      <c r="C603" s="9" t="s">
        <v>114</v>
      </c>
      <c r="D603" s="9" t="s">
        <v>2002</v>
      </c>
      <c r="E603" s="9" t="s">
        <v>3077</v>
      </c>
      <c r="F603" s="9" t="s">
        <v>5233</v>
      </c>
      <c r="G603" s="9" t="s">
        <v>5234</v>
      </c>
      <c r="H603" s="9" t="s">
        <v>2500</v>
      </c>
      <c r="I603" s="11" t="n">
        <v>28</v>
      </c>
      <c r="J603" s="11" t="n">
        <v>60.9</v>
      </c>
      <c r="K603" s="11"/>
      <c r="L603" s="11"/>
      <c r="M603" s="11" t="n">
        <f aca="false">IF(ISNUMBER(L603),L603,J603)</f>
        <v>60.9</v>
      </c>
      <c r="N603" s="11" t="n">
        <f aca="false">ROUNDUP(M603,0)</f>
        <v>61</v>
      </c>
      <c r="O603" s="11" t="n">
        <f aca="false">MAX(I603,N603)</f>
        <v>61</v>
      </c>
      <c r="P603" s="11" t="n">
        <f aca="false">IF(C603="COVERED",MAX(0,O603-40),0)</f>
        <v>21</v>
      </c>
      <c r="Q603" s="11" t="n">
        <f aca="false">O603</f>
        <v>61</v>
      </c>
      <c r="R603" s="17" t="n">
        <f aca="false">IF(C603="COVERED",10.4,7.55)</f>
        <v>10.4</v>
      </c>
      <c r="S603" s="17" t="n">
        <f aca="false">Q603*R603</f>
        <v>634.4</v>
      </c>
      <c r="T603" s="9" t="s">
        <v>5235</v>
      </c>
      <c r="U603" s="10" t="n">
        <v>46235</v>
      </c>
      <c r="V603" s="9" t="n">
        <v>61</v>
      </c>
      <c r="W603" s="17" t="n">
        <v>10.4</v>
      </c>
      <c r="X603" s="17" t="n">
        <v>634.4</v>
      </c>
      <c r="Y603" s="17" t="n">
        <f aca="false">IF(ISNUMBER(X603),X603-S603,"")</f>
        <v>0</v>
      </c>
      <c r="Z603" s="17" t="n">
        <f aca="false">IF(ISNUMBER(X603),X603-S603,-S603)</f>
        <v>0</v>
      </c>
      <c r="AA603" s="9" t="str">
        <f aca="false">IF(NOT(ISNUMBER(X603)),"NO AUGUST POSTING IN EXPORT",IF(ABS(Y603)&gt;=0.005,"POSTED CHARGE MISMATCH",IF(P603&gt;0,"MATCH - COVERED ELIGIBILITY EXCEPTION","MATCH")))</f>
        <v>MATCH - COVERED ELIGIBILITY EXCEPTION</v>
      </c>
      <c r="AB603" s="9" t="s">
        <v>5236</v>
      </c>
    </row>
    <row r="604" customFormat="false" ht="15" hidden="false" customHeight="false" outlineLevel="0" collapsed="false">
      <c r="A604" s="13" t="s">
        <v>5237</v>
      </c>
      <c r="B604" s="13" t="s">
        <v>113</v>
      </c>
      <c r="C604" s="13" t="s">
        <v>114</v>
      </c>
      <c r="D604" s="13" t="s">
        <v>2002</v>
      </c>
      <c r="E604" s="13" t="s">
        <v>3083</v>
      </c>
      <c r="F604" s="13" t="s">
        <v>5238</v>
      </c>
      <c r="G604" s="13" t="s">
        <v>5239</v>
      </c>
      <c r="H604" s="13" t="s">
        <v>3747</v>
      </c>
      <c r="I604" s="15" t="n">
        <v>32</v>
      </c>
      <c r="J604" s="15" t="n">
        <v>19.1</v>
      </c>
      <c r="K604" s="15"/>
      <c r="L604" s="15"/>
      <c r="M604" s="15" t="n">
        <f aca="false">IF(ISNUMBER(L604),L604,J604)</f>
        <v>19.1</v>
      </c>
      <c r="N604" s="15" t="n">
        <f aca="false">ROUNDUP(M604,0)</f>
        <v>20</v>
      </c>
      <c r="O604" s="15" t="n">
        <f aca="false">MAX(I604,N604)</f>
        <v>32</v>
      </c>
      <c r="P604" s="15" t="n">
        <f aca="false">IF(C604="COVERED",MAX(0,O604-40),0)</f>
        <v>0</v>
      </c>
      <c r="Q604" s="15" t="n">
        <f aca="false">O604</f>
        <v>32</v>
      </c>
      <c r="R604" s="18" t="n">
        <f aca="false">IF(C604="COVERED",10.4,7.55)</f>
        <v>10.4</v>
      </c>
      <c r="S604" s="18" t="n">
        <f aca="false">Q604*R604</f>
        <v>332.8</v>
      </c>
      <c r="T604" s="13" t="s">
        <v>5240</v>
      </c>
      <c r="U604" s="14" t="n">
        <v>46235</v>
      </c>
      <c r="V604" s="13" t="n">
        <v>32</v>
      </c>
      <c r="W604" s="18" t="n">
        <v>10.4</v>
      </c>
      <c r="X604" s="18" t="n">
        <v>332.8</v>
      </c>
      <c r="Y604" s="18" t="n">
        <f aca="false">IF(ISNUMBER(X604),X604-S604,"")</f>
        <v>0</v>
      </c>
      <c r="Z604" s="18" t="n">
        <f aca="false">IF(ISNUMBER(X604),X604-S604,-S604)</f>
        <v>0</v>
      </c>
      <c r="AA604" s="13" t="str">
        <f aca="false">IF(NOT(ISNUMBER(X604)),"NO AUGUST POSTING IN EXPORT",IF(ABS(Y604)&gt;=0.005,"POSTED CHARGE MISMATCH",IF(P604&gt;0,"MATCH - COVERED ELIGIBILITY EXCEPTION","MATCH")))</f>
        <v>MATCH</v>
      </c>
      <c r="AB604" s="13" t="s">
        <v>5241</v>
      </c>
    </row>
    <row r="605" customFormat="false" ht="15" hidden="false" customHeight="false" outlineLevel="0" collapsed="false">
      <c r="A605" s="9" t="s">
        <v>1828</v>
      </c>
      <c r="B605" s="9" t="s">
        <v>113</v>
      </c>
      <c r="C605" s="9" t="s">
        <v>114</v>
      </c>
      <c r="D605" s="9" t="s">
        <v>2002</v>
      </c>
      <c r="E605" s="9" t="s">
        <v>4179</v>
      </c>
      <c r="F605" s="9" t="s">
        <v>1825</v>
      </c>
      <c r="G605" s="9" t="s">
        <v>1826</v>
      </c>
      <c r="H605" s="9" t="s">
        <v>2151</v>
      </c>
      <c r="I605" s="11" t="n">
        <v>32</v>
      </c>
      <c r="J605" s="11" t="n">
        <v>43.9</v>
      </c>
      <c r="K605" s="11"/>
      <c r="L605" s="11"/>
      <c r="M605" s="11" t="n">
        <f aca="false">IF(ISNUMBER(L605),L605,J605)</f>
        <v>43.9</v>
      </c>
      <c r="N605" s="11" t="n">
        <f aca="false">ROUNDUP(M605,0)</f>
        <v>44</v>
      </c>
      <c r="O605" s="11" t="n">
        <f aca="false">MAX(I605,N605)</f>
        <v>44</v>
      </c>
      <c r="P605" s="11" t="n">
        <f aca="false">IF(C605="COVERED",MAX(0,O605-40),0)</f>
        <v>4</v>
      </c>
      <c r="Q605" s="11" t="n">
        <f aca="false">O605</f>
        <v>44</v>
      </c>
      <c r="R605" s="17" t="n">
        <f aca="false">IF(C605="COVERED",10.4,7.55)</f>
        <v>10.4</v>
      </c>
      <c r="S605" s="17" t="n">
        <f aca="false">Q605*R605</f>
        <v>457.6</v>
      </c>
      <c r="T605" s="9" t="s">
        <v>5242</v>
      </c>
      <c r="U605" s="10" t="n">
        <v>46235</v>
      </c>
      <c r="V605" s="9" t="n">
        <v>44</v>
      </c>
      <c r="W605" s="17" t="n">
        <v>10.4</v>
      </c>
      <c r="X605" s="17" t="n">
        <v>457.6</v>
      </c>
      <c r="Y605" s="17" t="n">
        <f aca="false">IF(ISNUMBER(X605),X605-S605,"")</f>
        <v>0</v>
      </c>
      <c r="Z605" s="17" t="n">
        <f aca="false">IF(ISNUMBER(X605),X605-S605,-S605)</f>
        <v>0</v>
      </c>
      <c r="AA605" s="9" t="str">
        <f aca="false">IF(NOT(ISNUMBER(X605)),"NO AUGUST POSTING IN EXPORT",IF(ABS(Y605)&gt;=0.005,"POSTED CHARGE MISMATCH",IF(P605&gt;0,"MATCH - COVERED ELIGIBILITY EXCEPTION","MATCH")))</f>
        <v>MATCH - COVERED ELIGIBILITY EXCEPTION</v>
      </c>
      <c r="AB605" s="9" t="s">
        <v>5243</v>
      </c>
    </row>
    <row r="606" customFormat="false" ht="15" hidden="false" customHeight="false" outlineLevel="0" collapsed="false">
      <c r="A606" s="13" t="s">
        <v>5244</v>
      </c>
      <c r="B606" s="13" t="s">
        <v>113</v>
      </c>
      <c r="C606" s="13" t="s">
        <v>114</v>
      </c>
      <c r="D606" s="13" t="s">
        <v>2002</v>
      </c>
      <c r="E606" s="13" t="s">
        <v>3090</v>
      </c>
      <c r="F606" s="13" t="s">
        <v>5245</v>
      </c>
      <c r="G606" s="13" t="s">
        <v>5246</v>
      </c>
      <c r="H606" s="13" t="s">
        <v>4895</v>
      </c>
      <c r="I606" s="15" t="n">
        <v>28</v>
      </c>
      <c r="J606" s="15" t="n">
        <v>53.2</v>
      </c>
      <c r="K606" s="15"/>
      <c r="L606" s="15"/>
      <c r="M606" s="15" t="n">
        <f aca="false">IF(ISNUMBER(L606),L606,J606)</f>
        <v>53.2</v>
      </c>
      <c r="N606" s="15" t="n">
        <f aca="false">ROUNDUP(M606,0)</f>
        <v>54</v>
      </c>
      <c r="O606" s="15" t="n">
        <f aca="false">MAX(I606,N606)</f>
        <v>54</v>
      </c>
      <c r="P606" s="15" t="n">
        <f aca="false">IF(C606="COVERED",MAX(0,O606-40),0)</f>
        <v>14</v>
      </c>
      <c r="Q606" s="15" t="n">
        <f aca="false">O606</f>
        <v>54</v>
      </c>
      <c r="R606" s="18" t="n">
        <f aca="false">IF(C606="COVERED",10.4,7.55)</f>
        <v>10.4</v>
      </c>
      <c r="S606" s="18" t="n">
        <f aca="false">Q606*R606</f>
        <v>561.6</v>
      </c>
      <c r="T606" s="13" t="s">
        <v>5247</v>
      </c>
      <c r="U606" s="14" t="n">
        <v>46235</v>
      </c>
      <c r="V606" s="13" t="n">
        <v>54</v>
      </c>
      <c r="W606" s="18" t="n">
        <v>10.4</v>
      </c>
      <c r="X606" s="18" t="n">
        <v>561.6</v>
      </c>
      <c r="Y606" s="18" t="n">
        <f aca="false">IF(ISNUMBER(X606),X606-S606,"")</f>
        <v>0</v>
      </c>
      <c r="Z606" s="18" t="n">
        <f aca="false">IF(ISNUMBER(X606),X606-S606,-S606)</f>
        <v>0</v>
      </c>
      <c r="AA606" s="13" t="str">
        <f aca="false">IF(NOT(ISNUMBER(X606)),"NO AUGUST POSTING IN EXPORT",IF(ABS(Y606)&gt;=0.005,"POSTED CHARGE MISMATCH",IF(P606&gt;0,"MATCH - COVERED ELIGIBILITY EXCEPTION","MATCH")))</f>
        <v>MATCH - COVERED ELIGIBILITY EXCEPTION</v>
      </c>
      <c r="AB606" s="13" t="s">
        <v>5248</v>
      </c>
    </row>
    <row r="607" customFormat="false" ht="15" hidden="false" customHeight="false" outlineLevel="0" collapsed="false">
      <c r="A607" s="9" t="s">
        <v>1131</v>
      </c>
      <c r="B607" s="9" t="s">
        <v>113</v>
      </c>
      <c r="C607" s="9" t="s">
        <v>114</v>
      </c>
      <c r="D607" s="9" t="s">
        <v>2002</v>
      </c>
      <c r="E607" s="9" t="s">
        <v>3097</v>
      </c>
      <c r="F607" s="9" t="s">
        <v>5249</v>
      </c>
      <c r="G607" s="9" t="s">
        <v>5250</v>
      </c>
      <c r="H607" s="9" t="s">
        <v>3100</v>
      </c>
      <c r="I607" s="11" t="n">
        <v>36</v>
      </c>
      <c r="J607" s="11" t="n">
        <v>60.7</v>
      </c>
      <c r="K607" s="11"/>
      <c r="L607" s="11"/>
      <c r="M607" s="11" t="n">
        <f aca="false">IF(ISNUMBER(L607),L607,J607)</f>
        <v>60.7</v>
      </c>
      <c r="N607" s="11" t="n">
        <f aca="false">ROUNDUP(M607,0)</f>
        <v>61</v>
      </c>
      <c r="O607" s="11" t="n">
        <f aca="false">MAX(I607,N607)</f>
        <v>61</v>
      </c>
      <c r="P607" s="11" t="n">
        <f aca="false">IF(C607="COVERED",MAX(0,O607-40),0)</f>
        <v>21</v>
      </c>
      <c r="Q607" s="11" t="n">
        <f aca="false">O607</f>
        <v>61</v>
      </c>
      <c r="R607" s="17" t="n">
        <f aca="false">IF(C607="COVERED",10.4,7.55)</f>
        <v>10.4</v>
      </c>
      <c r="S607" s="17" t="n">
        <f aca="false">Q607*R607</f>
        <v>634.4</v>
      </c>
      <c r="T607" s="9" t="s">
        <v>5251</v>
      </c>
      <c r="U607" s="10" t="n">
        <v>46235</v>
      </c>
      <c r="V607" s="9" t="n">
        <v>61</v>
      </c>
      <c r="W607" s="17" t="n">
        <v>10.4</v>
      </c>
      <c r="X607" s="17" t="n">
        <v>634.4</v>
      </c>
      <c r="Y607" s="17" t="n">
        <f aca="false">IF(ISNUMBER(X607),X607-S607,"")</f>
        <v>0</v>
      </c>
      <c r="Z607" s="17" t="n">
        <f aca="false">IF(ISNUMBER(X607),X607-S607,-S607)</f>
        <v>0</v>
      </c>
      <c r="AA607" s="9" t="str">
        <f aca="false">IF(NOT(ISNUMBER(X607)),"NO AUGUST POSTING IN EXPORT",IF(ABS(Y607)&gt;=0.005,"POSTED CHARGE MISMATCH",IF(P607&gt;0,"MATCH - COVERED ELIGIBILITY EXCEPTION","MATCH")))</f>
        <v>MATCH - COVERED ELIGIBILITY EXCEPTION</v>
      </c>
      <c r="AB607" s="9" t="s">
        <v>5252</v>
      </c>
    </row>
    <row r="608" customFormat="false" ht="15" hidden="false" customHeight="false" outlineLevel="0" collapsed="false">
      <c r="A608" s="13" t="s">
        <v>5253</v>
      </c>
      <c r="B608" s="13" t="s">
        <v>113</v>
      </c>
      <c r="C608" s="13" t="s">
        <v>114</v>
      </c>
      <c r="D608" s="13" t="s">
        <v>2002</v>
      </c>
      <c r="E608" s="13" t="s">
        <v>3104</v>
      </c>
      <c r="F608" s="13" t="s">
        <v>5254</v>
      </c>
      <c r="G608" s="13" t="s">
        <v>5255</v>
      </c>
      <c r="H608" s="13" t="s">
        <v>5256</v>
      </c>
      <c r="I608" s="15" t="n">
        <v>24</v>
      </c>
      <c r="J608" s="15" t="n">
        <v>42.5</v>
      </c>
      <c r="K608" s="15"/>
      <c r="L608" s="15"/>
      <c r="M608" s="15" t="n">
        <f aca="false">IF(ISNUMBER(L608),L608,J608)</f>
        <v>42.5</v>
      </c>
      <c r="N608" s="15" t="n">
        <f aca="false">ROUNDUP(M608,0)</f>
        <v>43</v>
      </c>
      <c r="O608" s="15" t="n">
        <f aca="false">MAX(I608,N608)</f>
        <v>43</v>
      </c>
      <c r="P608" s="15" t="n">
        <f aca="false">IF(C608="COVERED",MAX(0,O608-40),0)</f>
        <v>3</v>
      </c>
      <c r="Q608" s="15" t="n">
        <f aca="false">O608</f>
        <v>43</v>
      </c>
      <c r="R608" s="18" t="n">
        <f aca="false">IF(C608="COVERED",10.4,7.55)</f>
        <v>10.4</v>
      </c>
      <c r="S608" s="18" t="n">
        <f aca="false">Q608*R608</f>
        <v>447.2</v>
      </c>
      <c r="T608" s="13" t="s">
        <v>5257</v>
      </c>
      <c r="U608" s="14" t="n">
        <v>46235</v>
      </c>
      <c r="V608" s="13" t="n">
        <v>43</v>
      </c>
      <c r="W608" s="18" t="n">
        <v>10.4</v>
      </c>
      <c r="X608" s="18" t="n">
        <v>447.2</v>
      </c>
      <c r="Y608" s="18" t="n">
        <f aca="false">IF(ISNUMBER(X608),X608-S608,"")</f>
        <v>0</v>
      </c>
      <c r="Z608" s="18" t="n">
        <f aca="false">IF(ISNUMBER(X608),X608-S608,-S608)</f>
        <v>0</v>
      </c>
      <c r="AA608" s="13" t="str">
        <f aca="false">IF(NOT(ISNUMBER(X608)),"NO AUGUST POSTING IN EXPORT",IF(ABS(Y608)&gt;=0.005,"POSTED CHARGE MISMATCH",IF(P608&gt;0,"MATCH - COVERED ELIGIBILITY EXCEPTION","MATCH")))</f>
        <v>MATCH - COVERED ELIGIBILITY EXCEPTION</v>
      </c>
      <c r="AB608" s="13" t="s">
        <v>5258</v>
      </c>
    </row>
    <row r="609" customFormat="false" ht="15" hidden="false" customHeight="false" outlineLevel="0" collapsed="false">
      <c r="A609" s="9" t="s">
        <v>5259</v>
      </c>
      <c r="B609" s="9" t="s">
        <v>113</v>
      </c>
      <c r="C609" s="9" t="s">
        <v>114</v>
      </c>
      <c r="D609" s="9" t="s">
        <v>2002</v>
      </c>
      <c r="E609" s="9" t="s">
        <v>5260</v>
      </c>
      <c r="F609" s="9" t="s">
        <v>5261</v>
      </c>
      <c r="G609" s="9" t="s">
        <v>5262</v>
      </c>
      <c r="H609" s="9" t="s">
        <v>4187</v>
      </c>
      <c r="I609" s="11" t="n">
        <v>40</v>
      </c>
      <c r="J609" s="11" t="n">
        <v>48.1</v>
      </c>
      <c r="K609" s="11"/>
      <c r="L609" s="11"/>
      <c r="M609" s="11" t="n">
        <f aca="false">IF(ISNUMBER(L609),L609,J609)</f>
        <v>48.1</v>
      </c>
      <c r="N609" s="11" t="n">
        <f aca="false">ROUNDUP(M609,0)</f>
        <v>49</v>
      </c>
      <c r="O609" s="11" t="n">
        <f aca="false">MAX(I609,N609)</f>
        <v>49</v>
      </c>
      <c r="P609" s="11" t="n">
        <f aca="false">IF(C609="COVERED",MAX(0,O609-40),0)</f>
        <v>9</v>
      </c>
      <c r="Q609" s="11" t="n">
        <f aca="false">O609</f>
        <v>49</v>
      </c>
      <c r="R609" s="17" t="n">
        <f aca="false">IF(C609="COVERED",10.4,7.55)</f>
        <v>10.4</v>
      </c>
      <c r="S609" s="17" t="n">
        <f aca="false">Q609*R609</f>
        <v>509.6</v>
      </c>
      <c r="T609" s="9" t="s">
        <v>5263</v>
      </c>
      <c r="U609" s="10" t="n">
        <v>46235</v>
      </c>
      <c r="V609" s="9" t="n">
        <v>49</v>
      </c>
      <c r="W609" s="17" t="n">
        <v>10.4</v>
      </c>
      <c r="X609" s="17" t="n">
        <v>509.6</v>
      </c>
      <c r="Y609" s="17" t="n">
        <f aca="false">IF(ISNUMBER(X609),X609-S609,"")</f>
        <v>0</v>
      </c>
      <c r="Z609" s="17" t="n">
        <f aca="false">IF(ISNUMBER(X609),X609-S609,-S609)</f>
        <v>0</v>
      </c>
      <c r="AA609" s="9" t="str">
        <f aca="false">IF(NOT(ISNUMBER(X609)),"NO AUGUST POSTING IN EXPORT",IF(ABS(Y609)&gt;=0.005,"POSTED CHARGE MISMATCH",IF(P609&gt;0,"MATCH - COVERED ELIGIBILITY EXCEPTION","MATCH")))</f>
        <v>MATCH - COVERED ELIGIBILITY EXCEPTION</v>
      </c>
      <c r="AB609" s="9" t="s">
        <v>5264</v>
      </c>
    </row>
    <row r="610" customFormat="false" ht="15" hidden="false" customHeight="false" outlineLevel="0" collapsed="false">
      <c r="A610" s="13" t="s">
        <v>1295</v>
      </c>
      <c r="B610" s="13" t="s">
        <v>113</v>
      </c>
      <c r="C610" s="13" t="s">
        <v>114</v>
      </c>
      <c r="D610" s="13" t="s">
        <v>2002</v>
      </c>
      <c r="E610" s="13" t="s">
        <v>3111</v>
      </c>
      <c r="F610" s="13" t="s">
        <v>5265</v>
      </c>
      <c r="G610" s="13" t="s">
        <v>5266</v>
      </c>
      <c r="H610" s="13" t="s">
        <v>5267</v>
      </c>
      <c r="I610" s="15" t="n">
        <v>40</v>
      </c>
      <c r="J610" s="15" t="n">
        <v>24.3</v>
      </c>
      <c r="K610" s="15"/>
      <c r="L610" s="15"/>
      <c r="M610" s="15" t="n">
        <f aca="false">IF(ISNUMBER(L610),L610,J610)</f>
        <v>24.3</v>
      </c>
      <c r="N610" s="15" t="n">
        <f aca="false">ROUNDUP(M610,0)</f>
        <v>25</v>
      </c>
      <c r="O610" s="15" t="n">
        <f aca="false">MAX(I610,N610)</f>
        <v>40</v>
      </c>
      <c r="P610" s="15" t="n">
        <f aca="false">IF(C610="COVERED",MAX(0,O610-40),0)</f>
        <v>0</v>
      </c>
      <c r="Q610" s="15" t="n">
        <f aca="false">O610</f>
        <v>40</v>
      </c>
      <c r="R610" s="18" t="n">
        <f aca="false">IF(C610="COVERED",10.4,7.55)</f>
        <v>10.4</v>
      </c>
      <c r="S610" s="18" t="n">
        <f aca="false">Q610*R610</f>
        <v>416</v>
      </c>
      <c r="T610" s="13" t="s">
        <v>5268</v>
      </c>
      <c r="U610" s="14" t="n">
        <v>46235</v>
      </c>
      <c r="V610" s="13" t="n">
        <v>40</v>
      </c>
      <c r="W610" s="18" t="n">
        <v>10.4</v>
      </c>
      <c r="X610" s="18" t="n">
        <v>416</v>
      </c>
      <c r="Y610" s="18" t="n">
        <f aca="false">IF(ISNUMBER(X610),X610-S610,"")</f>
        <v>0</v>
      </c>
      <c r="Z610" s="18" t="n">
        <f aca="false">IF(ISNUMBER(X610),X610-S610,-S610)</f>
        <v>0</v>
      </c>
      <c r="AA610" s="13" t="str">
        <f aca="false">IF(NOT(ISNUMBER(X610)),"NO AUGUST POSTING IN EXPORT",IF(ABS(Y610)&gt;=0.005,"POSTED CHARGE MISMATCH",IF(P610&gt;0,"MATCH - COVERED ELIGIBILITY EXCEPTION","MATCH")))</f>
        <v>MATCH</v>
      </c>
      <c r="AB610" s="13" t="s">
        <v>5269</v>
      </c>
    </row>
    <row r="611" customFormat="false" ht="15" hidden="false" customHeight="false" outlineLevel="0" collapsed="false">
      <c r="A611" s="9" t="s">
        <v>5270</v>
      </c>
      <c r="B611" s="9" t="s">
        <v>113</v>
      </c>
      <c r="C611" s="9" t="s">
        <v>114</v>
      </c>
      <c r="D611" s="9" t="s">
        <v>2002</v>
      </c>
      <c r="E611" s="9" t="s">
        <v>3117</v>
      </c>
      <c r="F611" s="9" t="s">
        <v>5271</v>
      </c>
      <c r="G611" s="9" t="s">
        <v>5272</v>
      </c>
      <c r="H611" s="9" t="s">
        <v>3759</v>
      </c>
      <c r="I611" s="11" t="n">
        <v>32</v>
      </c>
      <c r="J611" s="11" t="n">
        <v>57.6</v>
      </c>
      <c r="K611" s="11"/>
      <c r="L611" s="11"/>
      <c r="M611" s="11" t="n">
        <f aca="false">IF(ISNUMBER(L611),L611,J611)</f>
        <v>57.6</v>
      </c>
      <c r="N611" s="11" t="n">
        <f aca="false">ROUNDUP(M611,0)</f>
        <v>58</v>
      </c>
      <c r="O611" s="11" t="n">
        <f aca="false">MAX(I611,N611)</f>
        <v>58</v>
      </c>
      <c r="P611" s="11" t="n">
        <f aca="false">IF(C611="COVERED",MAX(0,O611-40),0)</f>
        <v>18</v>
      </c>
      <c r="Q611" s="11" t="n">
        <f aca="false">O611</f>
        <v>58</v>
      </c>
      <c r="R611" s="17" t="n">
        <f aca="false">IF(C611="COVERED",10.4,7.55)</f>
        <v>10.4</v>
      </c>
      <c r="S611" s="17" t="n">
        <f aca="false">Q611*R611</f>
        <v>603.2</v>
      </c>
      <c r="T611" s="9" t="s">
        <v>5273</v>
      </c>
      <c r="U611" s="10" t="n">
        <v>46235</v>
      </c>
      <c r="V611" s="9" t="n">
        <v>58</v>
      </c>
      <c r="W611" s="17" t="n">
        <v>10.4</v>
      </c>
      <c r="X611" s="17" t="n">
        <v>603.2</v>
      </c>
      <c r="Y611" s="17" t="n">
        <f aca="false">IF(ISNUMBER(X611),X611-S611,"")</f>
        <v>0</v>
      </c>
      <c r="Z611" s="17" t="n">
        <f aca="false">IF(ISNUMBER(X611),X611-S611,-S611)</f>
        <v>0</v>
      </c>
      <c r="AA611" s="9" t="str">
        <f aca="false">IF(NOT(ISNUMBER(X611)),"NO AUGUST POSTING IN EXPORT",IF(ABS(Y611)&gt;=0.005,"POSTED CHARGE MISMATCH",IF(P611&gt;0,"MATCH - COVERED ELIGIBILITY EXCEPTION","MATCH")))</f>
        <v>MATCH - COVERED ELIGIBILITY EXCEPTION</v>
      </c>
      <c r="AB611" s="9" t="s">
        <v>5274</v>
      </c>
    </row>
    <row r="612" customFormat="false" ht="15" hidden="false" customHeight="false" outlineLevel="0" collapsed="false">
      <c r="A612" s="13" t="s">
        <v>5275</v>
      </c>
      <c r="B612" s="13" t="s">
        <v>113</v>
      </c>
      <c r="C612" s="13" t="s">
        <v>114</v>
      </c>
      <c r="D612" s="13" t="s">
        <v>2002</v>
      </c>
      <c r="E612" s="13" t="s">
        <v>3122</v>
      </c>
      <c r="F612" s="13" t="s">
        <v>363</v>
      </c>
      <c r="G612" s="13" t="s">
        <v>364</v>
      </c>
      <c r="H612" s="13" t="s">
        <v>2436</v>
      </c>
      <c r="I612" s="15" t="n">
        <v>36</v>
      </c>
      <c r="J612" s="15" t="n">
        <v>20.2</v>
      </c>
      <c r="K612" s="15"/>
      <c r="L612" s="15"/>
      <c r="M612" s="15" t="n">
        <f aca="false">IF(ISNUMBER(L612),L612,J612)</f>
        <v>20.2</v>
      </c>
      <c r="N612" s="15" t="n">
        <f aca="false">ROUNDUP(M612,0)</f>
        <v>21</v>
      </c>
      <c r="O612" s="15" t="n">
        <f aca="false">MAX(I612,N612)</f>
        <v>36</v>
      </c>
      <c r="P612" s="15" t="n">
        <f aca="false">IF(C612="COVERED",MAX(0,O612-40),0)</f>
        <v>0</v>
      </c>
      <c r="Q612" s="15" t="n">
        <f aca="false">O612</f>
        <v>36</v>
      </c>
      <c r="R612" s="18" t="n">
        <f aca="false">IF(C612="COVERED",10.4,7.55)</f>
        <v>10.4</v>
      </c>
      <c r="S612" s="18" t="n">
        <f aca="false">Q612*R612</f>
        <v>374.4</v>
      </c>
      <c r="T612" s="13" t="s">
        <v>5276</v>
      </c>
      <c r="U612" s="14" t="n">
        <v>46235</v>
      </c>
      <c r="V612" s="13" t="n">
        <v>36</v>
      </c>
      <c r="W612" s="18" t="n">
        <v>10.4</v>
      </c>
      <c r="X612" s="18" t="n">
        <v>374.4</v>
      </c>
      <c r="Y612" s="18" t="n">
        <f aca="false">IF(ISNUMBER(X612),X612-S612,"")</f>
        <v>0</v>
      </c>
      <c r="Z612" s="18" t="n">
        <f aca="false">IF(ISNUMBER(X612),X612-S612,-S612)</f>
        <v>0</v>
      </c>
      <c r="AA612" s="13" t="str">
        <f aca="false">IF(NOT(ISNUMBER(X612)),"NO AUGUST POSTING IN EXPORT",IF(ABS(Y612)&gt;=0.005,"POSTED CHARGE MISMATCH",IF(P612&gt;0,"MATCH - COVERED ELIGIBILITY EXCEPTION","MATCH")))</f>
        <v>MATCH</v>
      </c>
      <c r="AB612" s="13" t="s">
        <v>5277</v>
      </c>
    </row>
    <row r="613" customFormat="false" ht="15" hidden="false" customHeight="false" outlineLevel="0" collapsed="false">
      <c r="A613" s="9" t="s">
        <v>5278</v>
      </c>
      <c r="B613" s="9" t="s">
        <v>113</v>
      </c>
      <c r="C613" s="9" t="s">
        <v>114</v>
      </c>
      <c r="D613" s="9" t="s">
        <v>2002</v>
      </c>
      <c r="E613" s="9" t="s">
        <v>3129</v>
      </c>
      <c r="F613" s="9" t="s">
        <v>5279</v>
      </c>
      <c r="G613" s="9" t="s">
        <v>5280</v>
      </c>
      <c r="H613" s="9" t="s">
        <v>5281</v>
      </c>
      <c r="I613" s="11" t="n">
        <v>32</v>
      </c>
      <c r="J613" s="11" t="n">
        <v>61.6</v>
      </c>
      <c r="K613" s="11"/>
      <c r="L613" s="11"/>
      <c r="M613" s="11" t="n">
        <f aca="false">IF(ISNUMBER(L613),L613,J613)</f>
        <v>61.6</v>
      </c>
      <c r="N613" s="11" t="n">
        <f aca="false">ROUNDUP(M613,0)</f>
        <v>62</v>
      </c>
      <c r="O613" s="11" t="n">
        <f aca="false">MAX(I613,N613)</f>
        <v>62</v>
      </c>
      <c r="P613" s="11" t="n">
        <f aca="false">IF(C613="COVERED",MAX(0,O613-40),0)</f>
        <v>22</v>
      </c>
      <c r="Q613" s="11" t="n">
        <f aca="false">O613</f>
        <v>62</v>
      </c>
      <c r="R613" s="17" t="n">
        <f aca="false">IF(C613="COVERED",10.4,7.55)</f>
        <v>10.4</v>
      </c>
      <c r="S613" s="17" t="n">
        <f aca="false">Q613*R613</f>
        <v>644.8</v>
      </c>
      <c r="T613" s="9" t="s">
        <v>5282</v>
      </c>
      <c r="U613" s="10" t="n">
        <v>46235</v>
      </c>
      <c r="V613" s="9" t="n">
        <v>62</v>
      </c>
      <c r="W613" s="17" t="n">
        <v>10.4</v>
      </c>
      <c r="X613" s="17" t="n">
        <v>644.8</v>
      </c>
      <c r="Y613" s="17" t="n">
        <f aca="false">IF(ISNUMBER(X613),X613-S613,"")</f>
        <v>0</v>
      </c>
      <c r="Z613" s="17" t="n">
        <f aca="false">IF(ISNUMBER(X613),X613-S613,-S613)</f>
        <v>0</v>
      </c>
      <c r="AA613" s="9" t="str">
        <f aca="false">IF(NOT(ISNUMBER(X613)),"NO AUGUST POSTING IN EXPORT",IF(ABS(Y613)&gt;=0.005,"POSTED CHARGE MISMATCH",IF(P613&gt;0,"MATCH - COVERED ELIGIBILITY EXCEPTION","MATCH")))</f>
        <v>MATCH - COVERED ELIGIBILITY EXCEPTION</v>
      </c>
      <c r="AB613" s="9" t="s">
        <v>5283</v>
      </c>
    </row>
    <row r="614" customFormat="false" ht="15" hidden="false" customHeight="false" outlineLevel="0" collapsed="false">
      <c r="A614" s="13" t="s">
        <v>5284</v>
      </c>
      <c r="B614" s="13" t="s">
        <v>113</v>
      </c>
      <c r="C614" s="13" t="s">
        <v>114</v>
      </c>
      <c r="D614" s="13" t="s">
        <v>2002</v>
      </c>
      <c r="E614" s="13" t="s">
        <v>3136</v>
      </c>
      <c r="F614" s="13" t="s">
        <v>5285</v>
      </c>
      <c r="G614" s="13" t="s">
        <v>5286</v>
      </c>
      <c r="H614" s="13" t="s">
        <v>4607</v>
      </c>
      <c r="I614" s="15" t="n">
        <v>36</v>
      </c>
      <c r="J614" s="15" t="n">
        <v>53.6</v>
      </c>
      <c r="K614" s="15"/>
      <c r="L614" s="15"/>
      <c r="M614" s="15" t="n">
        <f aca="false">IF(ISNUMBER(L614),L614,J614)</f>
        <v>53.6</v>
      </c>
      <c r="N614" s="15" t="n">
        <f aca="false">ROUNDUP(M614,0)</f>
        <v>54</v>
      </c>
      <c r="O614" s="15" t="n">
        <f aca="false">MAX(I614,N614)</f>
        <v>54</v>
      </c>
      <c r="P614" s="15" t="n">
        <f aca="false">IF(C614="COVERED",MAX(0,O614-40),0)</f>
        <v>14</v>
      </c>
      <c r="Q614" s="15" t="n">
        <f aca="false">O614</f>
        <v>54</v>
      </c>
      <c r="R614" s="18" t="n">
        <f aca="false">IF(C614="COVERED",10.4,7.55)</f>
        <v>10.4</v>
      </c>
      <c r="S614" s="18" t="n">
        <f aca="false">Q614*R614</f>
        <v>561.6</v>
      </c>
      <c r="T614" s="13" t="s">
        <v>5287</v>
      </c>
      <c r="U614" s="14" t="n">
        <v>46235</v>
      </c>
      <c r="V614" s="13" t="n">
        <v>54</v>
      </c>
      <c r="W614" s="18" t="n">
        <v>10.4</v>
      </c>
      <c r="X614" s="18" t="n">
        <v>561.6</v>
      </c>
      <c r="Y614" s="18" t="n">
        <f aca="false">IF(ISNUMBER(X614),X614-S614,"")</f>
        <v>0</v>
      </c>
      <c r="Z614" s="18" t="n">
        <f aca="false">IF(ISNUMBER(X614),X614-S614,-S614)</f>
        <v>0</v>
      </c>
      <c r="AA614" s="13" t="str">
        <f aca="false">IF(NOT(ISNUMBER(X614)),"NO AUGUST POSTING IN EXPORT",IF(ABS(Y614)&gt;=0.005,"POSTED CHARGE MISMATCH",IF(P614&gt;0,"MATCH - COVERED ELIGIBILITY EXCEPTION","MATCH")))</f>
        <v>MATCH - COVERED ELIGIBILITY EXCEPTION</v>
      </c>
      <c r="AB614" s="13" t="s">
        <v>5288</v>
      </c>
    </row>
    <row r="615" customFormat="false" ht="15" hidden="false" customHeight="false" outlineLevel="0" collapsed="false">
      <c r="A615" s="9" t="s">
        <v>127</v>
      </c>
      <c r="B615" s="9" t="s">
        <v>113</v>
      </c>
      <c r="C615" s="9" t="s">
        <v>114</v>
      </c>
      <c r="D615" s="9" t="s">
        <v>2002</v>
      </c>
      <c r="E615" s="9" t="s">
        <v>3143</v>
      </c>
      <c r="F615" s="9" t="s">
        <v>5289</v>
      </c>
      <c r="G615" s="9" t="s">
        <v>5290</v>
      </c>
      <c r="H615" s="9" t="s">
        <v>5291</v>
      </c>
      <c r="I615" s="11" t="n">
        <v>28</v>
      </c>
      <c r="J615" s="11" t="n">
        <v>57.3</v>
      </c>
      <c r="K615" s="11"/>
      <c r="L615" s="11"/>
      <c r="M615" s="11" t="n">
        <f aca="false">IF(ISNUMBER(L615),L615,J615)</f>
        <v>57.3</v>
      </c>
      <c r="N615" s="11" t="n">
        <f aca="false">ROUNDUP(M615,0)</f>
        <v>58</v>
      </c>
      <c r="O615" s="11" t="n">
        <f aca="false">MAX(I615,N615)</f>
        <v>58</v>
      </c>
      <c r="P615" s="11" t="n">
        <f aca="false">IF(C615="COVERED",MAX(0,O615-40),0)</f>
        <v>18</v>
      </c>
      <c r="Q615" s="11" t="n">
        <f aca="false">O615</f>
        <v>58</v>
      </c>
      <c r="R615" s="17" t="n">
        <f aca="false">IF(C615="COVERED",10.4,7.55)</f>
        <v>10.4</v>
      </c>
      <c r="S615" s="17" t="n">
        <f aca="false">Q615*R615</f>
        <v>603.2</v>
      </c>
      <c r="T615" s="9" t="s">
        <v>5292</v>
      </c>
      <c r="U615" s="10" t="n">
        <v>46235</v>
      </c>
      <c r="V615" s="9" t="n">
        <v>58</v>
      </c>
      <c r="W615" s="17" t="n">
        <v>10.4</v>
      </c>
      <c r="X615" s="17" t="n">
        <v>603.2</v>
      </c>
      <c r="Y615" s="17" t="n">
        <f aca="false">IF(ISNUMBER(X615),X615-S615,"")</f>
        <v>0</v>
      </c>
      <c r="Z615" s="17" t="n">
        <f aca="false">IF(ISNUMBER(X615),X615-S615,-S615)</f>
        <v>0</v>
      </c>
      <c r="AA615" s="9" t="str">
        <f aca="false">IF(NOT(ISNUMBER(X615)),"NO AUGUST POSTING IN EXPORT",IF(ABS(Y615)&gt;=0.005,"POSTED CHARGE MISMATCH",IF(P615&gt;0,"MATCH - COVERED ELIGIBILITY EXCEPTION","MATCH")))</f>
        <v>MATCH - COVERED ELIGIBILITY EXCEPTION</v>
      </c>
      <c r="AB615" s="9" t="s">
        <v>5293</v>
      </c>
    </row>
    <row r="616" customFormat="false" ht="15" hidden="false" customHeight="false" outlineLevel="0" collapsed="false">
      <c r="A616" s="13" t="s">
        <v>5294</v>
      </c>
      <c r="B616" s="13" t="s">
        <v>113</v>
      </c>
      <c r="C616" s="13" t="s">
        <v>114</v>
      </c>
      <c r="D616" s="13" t="s">
        <v>2002</v>
      </c>
      <c r="E616" s="13" t="s">
        <v>3149</v>
      </c>
      <c r="F616" s="13" t="s">
        <v>5295</v>
      </c>
      <c r="G616" s="13" t="s">
        <v>5296</v>
      </c>
      <c r="H616" s="13" t="s">
        <v>3306</v>
      </c>
      <c r="I616" s="15" t="n">
        <v>24</v>
      </c>
      <c r="J616" s="15" t="n">
        <v>45.7</v>
      </c>
      <c r="K616" s="15"/>
      <c r="L616" s="15"/>
      <c r="M616" s="15" t="n">
        <f aca="false">IF(ISNUMBER(L616),L616,J616)</f>
        <v>45.7</v>
      </c>
      <c r="N616" s="15" t="n">
        <f aca="false">ROUNDUP(M616,0)</f>
        <v>46</v>
      </c>
      <c r="O616" s="15" t="n">
        <f aca="false">MAX(I616,N616)</f>
        <v>46</v>
      </c>
      <c r="P616" s="15" t="n">
        <f aca="false">IF(C616="COVERED",MAX(0,O616-40),0)</f>
        <v>6</v>
      </c>
      <c r="Q616" s="15" t="n">
        <f aca="false">O616</f>
        <v>46</v>
      </c>
      <c r="R616" s="18" t="n">
        <f aca="false">IF(C616="COVERED",10.4,7.55)</f>
        <v>10.4</v>
      </c>
      <c r="S616" s="18" t="n">
        <f aca="false">Q616*R616</f>
        <v>478.4</v>
      </c>
      <c r="T616" s="13" t="s">
        <v>5297</v>
      </c>
      <c r="U616" s="14" t="n">
        <v>46235</v>
      </c>
      <c r="V616" s="13" t="n">
        <v>46</v>
      </c>
      <c r="W616" s="18" t="n">
        <v>10.4</v>
      </c>
      <c r="X616" s="18" t="n">
        <v>478.4</v>
      </c>
      <c r="Y616" s="18" t="n">
        <f aca="false">IF(ISNUMBER(X616),X616-S616,"")</f>
        <v>0</v>
      </c>
      <c r="Z616" s="18" t="n">
        <f aca="false">IF(ISNUMBER(X616),X616-S616,-S616)</f>
        <v>0</v>
      </c>
      <c r="AA616" s="13" t="str">
        <f aca="false">IF(NOT(ISNUMBER(X616)),"NO AUGUST POSTING IN EXPORT",IF(ABS(Y616)&gt;=0.005,"POSTED CHARGE MISMATCH",IF(P616&gt;0,"MATCH - COVERED ELIGIBILITY EXCEPTION","MATCH")))</f>
        <v>MATCH - COVERED ELIGIBILITY EXCEPTION</v>
      </c>
      <c r="AB616" s="13" t="s">
        <v>5298</v>
      </c>
    </row>
    <row r="617" customFormat="false" ht="15" hidden="false" customHeight="false" outlineLevel="0" collapsed="false">
      <c r="A617" s="9" t="s">
        <v>1571</v>
      </c>
      <c r="B617" s="9" t="s">
        <v>113</v>
      </c>
      <c r="C617" s="9" t="s">
        <v>114</v>
      </c>
      <c r="D617" s="9" t="s">
        <v>2002</v>
      </c>
      <c r="E617" s="9" t="s">
        <v>3156</v>
      </c>
      <c r="F617" s="9" t="s">
        <v>5299</v>
      </c>
      <c r="G617" s="9" t="s">
        <v>5300</v>
      </c>
      <c r="H617" s="9" t="s">
        <v>4413</v>
      </c>
      <c r="I617" s="11" t="n">
        <v>28</v>
      </c>
      <c r="J617" s="11" t="n">
        <v>49.9</v>
      </c>
      <c r="K617" s="11"/>
      <c r="L617" s="11"/>
      <c r="M617" s="11" t="n">
        <f aca="false">IF(ISNUMBER(L617),L617,J617)</f>
        <v>49.9</v>
      </c>
      <c r="N617" s="11" t="n">
        <f aca="false">ROUNDUP(M617,0)</f>
        <v>50</v>
      </c>
      <c r="O617" s="11" t="n">
        <f aca="false">MAX(I617,N617)</f>
        <v>50</v>
      </c>
      <c r="P617" s="11" t="n">
        <f aca="false">IF(C617="COVERED",MAX(0,O617-40),0)</f>
        <v>10</v>
      </c>
      <c r="Q617" s="11" t="n">
        <f aca="false">O617</f>
        <v>50</v>
      </c>
      <c r="R617" s="17" t="n">
        <f aca="false">IF(C617="COVERED",10.4,7.55)</f>
        <v>10.4</v>
      </c>
      <c r="S617" s="17" t="n">
        <f aca="false">Q617*R617</f>
        <v>520</v>
      </c>
      <c r="T617" s="9" t="s">
        <v>5301</v>
      </c>
      <c r="U617" s="10" t="n">
        <v>46235</v>
      </c>
      <c r="V617" s="9" t="n">
        <v>50</v>
      </c>
      <c r="W617" s="17" t="n">
        <v>10.4</v>
      </c>
      <c r="X617" s="17" t="n">
        <v>520</v>
      </c>
      <c r="Y617" s="17" t="n">
        <f aca="false">IF(ISNUMBER(X617),X617-S617,"")</f>
        <v>0</v>
      </c>
      <c r="Z617" s="17" t="n">
        <f aca="false">IF(ISNUMBER(X617),X617-S617,-S617)</f>
        <v>0</v>
      </c>
      <c r="AA617" s="9" t="str">
        <f aca="false">IF(NOT(ISNUMBER(X617)),"NO AUGUST POSTING IN EXPORT",IF(ABS(Y617)&gt;=0.005,"POSTED CHARGE MISMATCH",IF(P617&gt;0,"MATCH - COVERED ELIGIBILITY EXCEPTION","MATCH")))</f>
        <v>MATCH - COVERED ELIGIBILITY EXCEPTION</v>
      </c>
      <c r="AB617" s="9" t="s">
        <v>5302</v>
      </c>
    </row>
    <row r="618" customFormat="false" ht="15" hidden="false" customHeight="false" outlineLevel="0" collapsed="false">
      <c r="A618" s="13" t="s">
        <v>5303</v>
      </c>
      <c r="B618" s="13" t="s">
        <v>113</v>
      </c>
      <c r="C618" s="13" t="s">
        <v>114</v>
      </c>
      <c r="D618" s="13" t="s">
        <v>2002</v>
      </c>
      <c r="E618" s="13" t="s">
        <v>3161</v>
      </c>
      <c r="F618" s="13" t="s">
        <v>1220</v>
      </c>
      <c r="G618" s="13" t="s">
        <v>1221</v>
      </c>
      <c r="H618" s="13" t="s">
        <v>5304</v>
      </c>
      <c r="I618" s="15" t="n">
        <v>24</v>
      </c>
      <c r="J618" s="15" t="n">
        <v>46.7</v>
      </c>
      <c r="K618" s="15"/>
      <c r="L618" s="15"/>
      <c r="M618" s="15" t="n">
        <f aca="false">IF(ISNUMBER(L618),L618,J618)</f>
        <v>46.7</v>
      </c>
      <c r="N618" s="15" t="n">
        <f aca="false">ROUNDUP(M618,0)</f>
        <v>47</v>
      </c>
      <c r="O618" s="15" t="n">
        <f aca="false">MAX(I618,N618)</f>
        <v>47</v>
      </c>
      <c r="P618" s="15" t="n">
        <f aca="false">IF(C618="COVERED",MAX(0,O618-40),0)</f>
        <v>7</v>
      </c>
      <c r="Q618" s="15" t="n">
        <f aca="false">O618</f>
        <v>47</v>
      </c>
      <c r="R618" s="18" t="n">
        <f aca="false">IF(C618="COVERED",10.4,7.55)</f>
        <v>10.4</v>
      </c>
      <c r="S618" s="18" t="n">
        <f aca="false">Q618*R618</f>
        <v>488.8</v>
      </c>
      <c r="T618" s="13" t="s">
        <v>5305</v>
      </c>
      <c r="U618" s="14" t="n">
        <v>46235</v>
      </c>
      <c r="V618" s="13" t="n">
        <v>47</v>
      </c>
      <c r="W618" s="18" t="n">
        <v>10.4</v>
      </c>
      <c r="X618" s="18" t="n">
        <v>488.8</v>
      </c>
      <c r="Y618" s="18" t="n">
        <f aca="false">IF(ISNUMBER(X618),X618-S618,"")</f>
        <v>0</v>
      </c>
      <c r="Z618" s="18" t="n">
        <f aca="false">IF(ISNUMBER(X618),X618-S618,-S618)</f>
        <v>0</v>
      </c>
      <c r="AA618" s="13" t="str">
        <f aca="false">IF(NOT(ISNUMBER(X618)),"NO AUGUST POSTING IN EXPORT",IF(ABS(Y618)&gt;=0.005,"POSTED CHARGE MISMATCH",IF(P618&gt;0,"MATCH - COVERED ELIGIBILITY EXCEPTION","MATCH")))</f>
        <v>MATCH - COVERED ELIGIBILITY EXCEPTION</v>
      </c>
      <c r="AB618" s="13" t="s">
        <v>5306</v>
      </c>
    </row>
    <row r="619" customFormat="false" ht="15" hidden="false" customHeight="false" outlineLevel="0" collapsed="false">
      <c r="A619" s="9" t="s">
        <v>5307</v>
      </c>
      <c r="B619" s="9" t="s">
        <v>113</v>
      </c>
      <c r="C619" s="9" t="s">
        <v>114</v>
      </c>
      <c r="D619" s="9" t="s">
        <v>2002</v>
      </c>
      <c r="E619" s="9" t="s">
        <v>3167</v>
      </c>
      <c r="F619" s="9" t="s">
        <v>5308</v>
      </c>
      <c r="G619" s="9" t="s">
        <v>5309</v>
      </c>
      <c r="H619" s="9" t="s">
        <v>3132</v>
      </c>
      <c r="I619" s="11" t="n">
        <v>28</v>
      </c>
      <c r="J619" s="11" t="n">
        <v>38</v>
      </c>
      <c r="K619" s="11"/>
      <c r="L619" s="11"/>
      <c r="M619" s="11" t="n">
        <f aca="false">IF(ISNUMBER(L619),L619,J619)</f>
        <v>38</v>
      </c>
      <c r="N619" s="11" t="n">
        <f aca="false">ROUNDUP(M619,0)</f>
        <v>38</v>
      </c>
      <c r="O619" s="11" t="n">
        <f aca="false">MAX(I619,N619)</f>
        <v>38</v>
      </c>
      <c r="P619" s="11" t="n">
        <f aca="false">IF(C619="COVERED",MAX(0,O619-40),0)</f>
        <v>0</v>
      </c>
      <c r="Q619" s="11" t="n">
        <f aca="false">O619</f>
        <v>38</v>
      </c>
      <c r="R619" s="17" t="n">
        <f aca="false">IF(C619="COVERED",10.4,7.55)</f>
        <v>10.4</v>
      </c>
      <c r="S619" s="17" t="n">
        <f aca="false">Q619*R619</f>
        <v>395.2</v>
      </c>
      <c r="T619" s="9" t="s">
        <v>5310</v>
      </c>
      <c r="U619" s="10" t="n">
        <v>46235</v>
      </c>
      <c r="V619" s="9" t="n">
        <v>38</v>
      </c>
      <c r="W619" s="17" t="n">
        <v>10.4</v>
      </c>
      <c r="X619" s="17" t="n">
        <v>395.2</v>
      </c>
      <c r="Y619" s="17" t="n">
        <f aca="false">IF(ISNUMBER(X619),X619-S619,"")</f>
        <v>0</v>
      </c>
      <c r="Z619" s="17" t="n">
        <f aca="false">IF(ISNUMBER(X619),X619-S619,-S619)</f>
        <v>0</v>
      </c>
      <c r="AA619" s="9" t="str">
        <f aca="false">IF(NOT(ISNUMBER(X619)),"NO AUGUST POSTING IN EXPORT",IF(ABS(Y619)&gt;=0.005,"POSTED CHARGE MISMATCH",IF(P619&gt;0,"MATCH - COVERED ELIGIBILITY EXCEPTION","MATCH")))</f>
        <v>MATCH</v>
      </c>
      <c r="AB619" s="9" t="s">
        <v>5311</v>
      </c>
    </row>
    <row r="620" customFormat="false" ht="15" hidden="false" customHeight="false" outlineLevel="0" collapsed="false">
      <c r="A620" s="13" t="s">
        <v>5312</v>
      </c>
      <c r="B620" s="13" t="s">
        <v>113</v>
      </c>
      <c r="C620" s="13" t="s">
        <v>114</v>
      </c>
      <c r="D620" s="13" t="s">
        <v>2002</v>
      </c>
      <c r="E620" s="13" t="s">
        <v>3173</v>
      </c>
      <c r="F620" s="13" t="s">
        <v>986</v>
      </c>
      <c r="G620" s="13" t="s">
        <v>987</v>
      </c>
      <c r="H620" s="13" t="s">
        <v>5313</v>
      </c>
      <c r="I620" s="15" t="n">
        <v>24</v>
      </c>
      <c r="J620" s="15" t="n">
        <v>43.3</v>
      </c>
      <c r="K620" s="15"/>
      <c r="L620" s="15"/>
      <c r="M620" s="15" t="n">
        <f aca="false">IF(ISNUMBER(L620),L620,J620)</f>
        <v>43.3</v>
      </c>
      <c r="N620" s="15" t="n">
        <f aca="false">ROUNDUP(M620,0)</f>
        <v>44</v>
      </c>
      <c r="O620" s="15" t="n">
        <f aca="false">MAX(I620,N620)</f>
        <v>44</v>
      </c>
      <c r="P620" s="15" t="n">
        <f aca="false">IF(C620="COVERED",MAX(0,O620-40),0)</f>
        <v>4</v>
      </c>
      <c r="Q620" s="15" t="n">
        <f aca="false">O620</f>
        <v>44</v>
      </c>
      <c r="R620" s="18" t="n">
        <f aca="false">IF(C620="COVERED",10.4,7.55)</f>
        <v>10.4</v>
      </c>
      <c r="S620" s="18" t="n">
        <f aca="false">Q620*R620</f>
        <v>457.6</v>
      </c>
      <c r="T620" s="13" t="s">
        <v>5314</v>
      </c>
      <c r="U620" s="14" t="n">
        <v>46235</v>
      </c>
      <c r="V620" s="13" t="n">
        <v>44</v>
      </c>
      <c r="W620" s="18" t="n">
        <v>10.4</v>
      </c>
      <c r="X620" s="18" t="n">
        <v>457.6</v>
      </c>
      <c r="Y620" s="18" t="n">
        <f aca="false">IF(ISNUMBER(X620),X620-S620,"")</f>
        <v>0</v>
      </c>
      <c r="Z620" s="18" t="n">
        <f aca="false">IF(ISNUMBER(X620),X620-S620,-S620)</f>
        <v>0</v>
      </c>
      <c r="AA620" s="13" t="str">
        <f aca="false">IF(NOT(ISNUMBER(X620)),"NO AUGUST POSTING IN EXPORT",IF(ABS(Y620)&gt;=0.005,"POSTED CHARGE MISMATCH",IF(P620&gt;0,"MATCH - COVERED ELIGIBILITY EXCEPTION","MATCH")))</f>
        <v>MATCH - COVERED ELIGIBILITY EXCEPTION</v>
      </c>
      <c r="AB620" s="13" t="s">
        <v>5315</v>
      </c>
    </row>
    <row r="621" customFormat="false" ht="15" hidden="false" customHeight="false" outlineLevel="0" collapsed="false">
      <c r="A621" s="9" t="s">
        <v>5316</v>
      </c>
      <c r="B621" s="9" t="s">
        <v>113</v>
      </c>
      <c r="C621" s="9" t="s">
        <v>114</v>
      </c>
      <c r="D621" s="9" t="s">
        <v>2002</v>
      </c>
      <c r="E621" s="9" t="s">
        <v>3179</v>
      </c>
      <c r="F621" s="9" t="s">
        <v>5317</v>
      </c>
      <c r="G621" s="9" t="s">
        <v>5318</v>
      </c>
      <c r="H621" s="9" t="s">
        <v>4776</v>
      </c>
      <c r="I621" s="11" t="n">
        <v>32</v>
      </c>
      <c r="J621" s="11" t="n">
        <v>32.6</v>
      </c>
      <c r="K621" s="11"/>
      <c r="L621" s="11"/>
      <c r="M621" s="11" t="n">
        <f aca="false">IF(ISNUMBER(L621),L621,J621)</f>
        <v>32.6</v>
      </c>
      <c r="N621" s="11" t="n">
        <f aca="false">ROUNDUP(M621,0)</f>
        <v>33</v>
      </c>
      <c r="O621" s="11" t="n">
        <f aca="false">MAX(I621,N621)</f>
        <v>33</v>
      </c>
      <c r="P621" s="11" t="n">
        <f aca="false">IF(C621="COVERED",MAX(0,O621-40),0)</f>
        <v>0</v>
      </c>
      <c r="Q621" s="11" t="n">
        <f aca="false">O621</f>
        <v>33</v>
      </c>
      <c r="R621" s="17" t="n">
        <f aca="false">IF(C621="COVERED",10.4,7.55)</f>
        <v>10.4</v>
      </c>
      <c r="S621" s="17" t="n">
        <f aca="false">Q621*R621</f>
        <v>343.2</v>
      </c>
      <c r="T621" s="9" t="s">
        <v>5319</v>
      </c>
      <c r="U621" s="10" t="n">
        <v>46235</v>
      </c>
      <c r="V621" s="9" t="n">
        <v>33</v>
      </c>
      <c r="W621" s="17" t="n">
        <v>10.4</v>
      </c>
      <c r="X621" s="17" t="n">
        <v>343.2</v>
      </c>
      <c r="Y621" s="17" t="n">
        <f aca="false">IF(ISNUMBER(X621),X621-S621,"")</f>
        <v>0</v>
      </c>
      <c r="Z621" s="17" t="n">
        <f aca="false">IF(ISNUMBER(X621),X621-S621,-S621)</f>
        <v>0</v>
      </c>
      <c r="AA621" s="9" t="str">
        <f aca="false">IF(NOT(ISNUMBER(X621)),"NO AUGUST POSTING IN EXPORT",IF(ABS(Y621)&gt;=0.005,"POSTED CHARGE MISMATCH",IF(P621&gt;0,"MATCH - COVERED ELIGIBILITY EXCEPTION","MATCH")))</f>
        <v>MATCH</v>
      </c>
      <c r="AB621" s="9" t="s">
        <v>5320</v>
      </c>
    </row>
    <row r="622" customFormat="false" ht="15" hidden="false" customHeight="false" outlineLevel="0" collapsed="false">
      <c r="A622" s="13" t="s">
        <v>5321</v>
      </c>
      <c r="B622" s="13" t="s">
        <v>113</v>
      </c>
      <c r="C622" s="13" t="s">
        <v>114</v>
      </c>
      <c r="D622" s="13" t="s">
        <v>2002</v>
      </c>
      <c r="E622" s="13" t="s">
        <v>3186</v>
      </c>
      <c r="F622" s="13" t="s">
        <v>5322</v>
      </c>
      <c r="G622" s="13" t="s">
        <v>5323</v>
      </c>
      <c r="H622" s="13" t="s">
        <v>2137</v>
      </c>
      <c r="I622" s="15" t="n">
        <v>32</v>
      </c>
      <c r="J622" s="15" t="n">
        <v>43.1</v>
      </c>
      <c r="K622" s="15"/>
      <c r="L622" s="15"/>
      <c r="M622" s="15" t="n">
        <f aca="false">IF(ISNUMBER(L622),L622,J622)</f>
        <v>43.1</v>
      </c>
      <c r="N622" s="15" t="n">
        <f aca="false">ROUNDUP(M622,0)</f>
        <v>44</v>
      </c>
      <c r="O622" s="15" t="n">
        <f aca="false">MAX(I622,N622)</f>
        <v>44</v>
      </c>
      <c r="P622" s="15" t="n">
        <f aca="false">IF(C622="COVERED",MAX(0,O622-40),0)</f>
        <v>4</v>
      </c>
      <c r="Q622" s="15" t="n">
        <f aca="false">O622</f>
        <v>44</v>
      </c>
      <c r="R622" s="18" t="n">
        <f aca="false">IF(C622="COVERED",10.4,7.55)</f>
        <v>10.4</v>
      </c>
      <c r="S622" s="18" t="n">
        <f aca="false">Q622*R622</f>
        <v>457.6</v>
      </c>
      <c r="T622" s="13" t="s">
        <v>5324</v>
      </c>
      <c r="U622" s="14" t="n">
        <v>46235</v>
      </c>
      <c r="V622" s="13" t="n">
        <v>44</v>
      </c>
      <c r="W622" s="18" t="n">
        <v>10.4</v>
      </c>
      <c r="X622" s="18" t="n">
        <v>457.6</v>
      </c>
      <c r="Y622" s="18" t="n">
        <f aca="false">IF(ISNUMBER(X622),X622-S622,"")</f>
        <v>0</v>
      </c>
      <c r="Z622" s="18" t="n">
        <f aca="false">IF(ISNUMBER(X622),X622-S622,-S622)</f>
        <v>0</v>
      </c>
      <c r="AA622" s="13" t="str">
        <f aca="false">IF(NOT(ISNUMBER(X622)),"NO AUGUST POSTING IN EXPORT",IF(ABS(Y622)&gt;=0.005,"POSTED CHARGE MISMATCH",IF(P622&gt;0,"MATCH - COVERED ELIGIBILITY EXCEPTION","MATCH")))</f>
        <v>MATCH - COVERED ELIGIBILITY EXCEPTION</v>
      </c>
      <c r="AB622" s="13" t="s">
        <v>5325</v>
      </c>
    </row>
    <row r="623" customFormat="false" ht="15" hidden="false" customHeight="false" outlineLevel="0" collapsed="false">
      <c r="A623" s="9" t="s">
        <v>5326</v>
      </c>
      <c r="B623" s="9" t="s">
        <v>113</v>
      </c>
      <c r="C623" s="9" t="s">
        <v>114</v>
      </c>
      <c r="D623" s="9" t="s">
        <v>2002</v>
      </c>
      <c r="E623" s="9" t="s">
        <v>3193</v>
      </c>
      <c r="F623" s="9" t="s">
        <v>5327</v>
      </c>
      <c r="G623" s="9" t="s">
        <v>5328</v>
      </c>
      <c r="H623" s="9" t="s">
        <v>2357</v>
      </c>
      <c r="I623" s="11" t="n">
        <v>40</v>
      </c>
      <c r="J623" s="11" t="n">
        <v>35.1</v>
      </c>
      <c r="K623" s="11"/>
      <c r="L623" s="11"/>
      <c r="M623" s="11" t="n">
        <f aca="false">IF(ISNUMBER(L623),L623,J623)</f>
        <v>35.1</v>
      </c>
      <c r="N623" s="11" t="n">
        <f aca="false">ROUNDUP(M623,0)</f>
        <v>36</v>
      </c>
      <c r="O623" s="11" t="n">
        <f aca="false">MAX(I623,N623)</f>
        <v>40</v>
      </c>
      <c r="P623" s="11" t="n">
        <f aca="false">IF(C623="COVERED",MAX(0,O623-40),0)</f>
        <v>0</v>
      </c>
      <c r="Q623" s="11" t="n">
        <f aca="false">O623</f>
        <v>40</v>
      </c>
      <c r="R623" s="17" t="n">
        <f aca="false">IF(C623="COVERED",10.4,7.55)</f>
        <v>10.4</v>
      </c>
      <c r="S623" s="17" t="n">
        <f aca="false">Q623*R623</f>
        <v>416</v>
      </c>
      <c r="T623" s="9" t="s">
        <v>5329</v>
      </c>
      <c r="U623" s="10" t="n">
        <v>46235</v>
      </c>
      <c r="V623" s="9" t="n">
        <v>40</v>
      </c>
      <c r="W623" s="17" t="n">
        <v>10.4</v>
      </c>
      <c r="X623" s="17" t="n">
        <v>416</v>
      </c>
      <c r="Y623" s="17" t="n">
        <f aca="false">IF(ISNUMBER(X623),X623-S623,"")</f>
        <v>0</v>
      </c>
      <c r="Z623" s="17" t="n">
        <f aca="false">IF(ISNUMBER(X623),X623-S623,-S623)</f>
        <v>0</v>
      </c>
      <c r="AA623" s="9" t="str">
        <f aca="false">IF(NOT(ISNUMBER(X623)),"NO AUGUST POSTING IN EXPORT",IF(ABS(Y623)&gt;=0.005,"POSTED CHARGE MISMATCH",IF(P623&gt;0,"MATCH - COVERED ELIGIBILITY EXCEPTION","MATCH")))</f>
        <v>MATCH</v>
      </c>
      <c r="AB623" s="9" t="s">
        <v>5330</v>
      </c>
    </row>
    <row r="624" customFormat="false" ht="15" hidden="false" customHeight="false" outlineLevel="0" collapsed="false">
      <c r="A624" s="13" t="s">
        <v>1680</v>
      </c>
      <c r="B624" s="13" t="s">
        <v>113</v>
      </c>
      <c r="C624" s="13" t="s">
        <v>114</v>
      </c>
      <c r="D624" s="13" t="s">
        <v>2002</v>
      </c>
      <c r="E624" s="13" t="s">
        <v>3200</v>
      </c>
      <c r="F624" s="13" t="s">
        <v>5331</v>
      </c>
      <c r="G624" s="13" t="s">
        <v>5332</v>
      </c>
      <c r="H624" s="13" t="s">
        <v>5333</v>
      </c>
      <c r="I624" s="15" t="n">
        <v>32</v>
      </c>
      <c r="J624" s="15" t="n">
        <v>35.1</v>
      </c>
      <c r="K624" s="15"/>
      <c r="L624" s="15"/>
      <c r="M624" s="15" t="n">
        <f aca="false">IF(ISNUMBER(L624),L624,J624)</f>
        <v>35.1</v>
      </c>
      <c r="N624" s="15" t="n">
        <f aca="false">ROUNDUP(M624,0)</f>
        <v>36</v>
      </c>
      <c r="O624" s="15" t="n">
        <f aca="false">MAX(I624,N624)</f>
        <v>36</v>
      </c>
      <c r="P624" s="15" t="n">
        <f aca="false">IF(C624="COVERED",MAX(0,O624-40),0)</f>
        <v>0</v>
      </c>
      <c r="Q624" s="15" t="n">
        <f aca="false">O624</f>
        <v>36</v>
      </c>
      <c r="R624" s="18" t="n">
        <f aca="false">IF(C624="COVERED",10.4,7.55)</f>
        <v>10.4</v>
      </c>
      <c r="S624" s="18" t="n">
        <f aca="false">Q624*R624</f>
        <v>374.4</v>
      </c>
      <c r="T624" s="13" t="s">
        <v>5334</v>
      </c>
      <c r="U624" s="14" t="n">
        <v>46235</v>
      </c>
      <c r="V624" s="13" t="n">
        <v>36</v>
      </c>
      <c r="W624" s="18" t="n">
        <v>10.4</v>
      </c>
      <c r="X624" s="18" t="n">
        <v>374.4</v>
      </c>
      <c r="Y624" s="18" t="n">
        <f aca="false">IF(ISNUMBER(X624),X624-S624,"")</f>
        <v>0</v>
      </c>
      <c r="Z624" s="18" t="n">
        <f aca="false">IF(ISNUMBER(X624),X624-S624,-S624)</f>
        <v>0</v>
      </c>
      <c r="AA624" s="13" t="str">
        <f aca="false">IF(NOT(ISNUMBER(X624)),"NO AUGUST POSTING IN EXPORT",IF(ABS(Y624)&gt;=0.005,"POSTED CHARGE MISMATCH",IF(P624&gt;0,"MATCH - COVERED ELIGIBILITY EXCEPTION","MATCH")))</f>
        <v>MATCH</v>
      </c>
      <c r="AB624" s="13" t="s">
        <v>5335</v>
      </c>
    </row>
    <row r="625" customFormat="false" ht="15" hidden="false" customHeight="false" outlineLevel="0" collapsed="false">
      <c r="A625" s="9" t="s">
        <v>5336</v>
      </c>
      <c r="B625" s="9" t="s">
        <v>113</v>
      </c>
      <c r="C625" s="9" t="s">
        <v>114</v>
      </c>
      <c r="D625" s="9" t="s">
        <v>2002</v>
      </c>
      <c r="E625" s="9" t="s">
        <v>3212</v>
      </c>
      <c r="F625" s="9" t="s">
        <v>5337</v>
      </c>
      <c r="G625" s="9" t="s">
        <v>5338</v>
      </c>
      <c r="H625" s="9" t="s">
        <v>5339</v>
      </c>
      <c r="I625" s="11" t="n">
        <v>36</v>
      </c>
      <c r="J625" s="11" t="n">
        <v>34.5</v>
      </c>
      <c r="K625" s="11"/>
      <c r="L625" s="11"/>
      <c r="M625" s="11" t="n">
        <f aca="false">IF(ISNUMBER(L625),L625,J625)</f>
        <v>34.5</v>
      </c>
      <c r="N625" s="11" t="n">
        <f aca="false">ROUNDUP(M625,0)</f>
        <v>35</v>
      </c>
      <c r="O625" s="11" t="n">
        <f aca="false">MAX(I625,N625)</f>
        <v>36</v>
      </c>
      <c r="P625" s="11" t="n">
        <f aca="false">IF(C625="COVERED",MAX(0,O625-40),0)</f>
        <v>0</v>
      </c>
      <c r="Q625" s="11" t="n">
        <f aca="false">O625</f>
        <v>36</v>
      </c>
      <c r="R625" s="17" t="n">
        <f aca="false">IF(C625="COVERED",10.4,7.55)</f>
        <v>10.4</v>
      </c>
      <c r="S625" s="17" t="n">
        <f aca="false">Q625*R625</f>
        <v>374.4</v>
      </c>
      <c r="T625" s="9" t="s">
        <v>5340</v>
      </c>
      <c r="U625" s="10" t="n">
        <v>46235</v>
      </c>
      <c r="V625" s="9" t="n">
        <v>36</v>
      </c>
      <c r="W625" s="17" t="n">
        <v>10.4</v>
      </c>
      <c r="X625" s="17" t="n">
        <v>374.4</v>
      </c>
      <c r="Y625" s="17" t="n">
        <f aca="false">IF(ISNUMBER(X625),X625-S625,"")</f>
        <v>0</v>
      </c>
      <c r="Z625" s="17" t="n">
        <f aca="false">IF(ISNUMBER(X625),X625-S625,-S625)</f>
        <v>0</v>
      </c>
      <c r="AA625" s="9" t="str">
        <f aca="false">IF(NOT(ISNUMBER(X625)),"NO AUGUST POSTING IN EXPORT",IF(ABS(Y625)&gt;=0.005,"POSTED CHARGE MISMATCH",IF(P625&gt;0,"MATCH - COVERED ELIGIBILITY EXCEPTION","MATCH")))</f>
        <v>MATCH</v>
      </c>
      <c r="AB625" s="9" t="s">
        <v>5341</v>
      </c>
    </row>
    <row r="626" customFormat="false" ht="15" hidden="false" customHeight="false" outlineLevel="0" collapsed="false">
      <c r="A626" s="13" t="s">
        <v>5342</v>
      </c>
      <c r="B626" s="13" t="s">
        <v>113</v>
      </c>
      <c r="C626" s="13" t="s">
        <v>114</v>
      </c>
      <c r="D626" s="13" t="s">
        <v>2002</v>
      </c>
      <c r="E626" s="13" t="s">
        <v>3219</v>
      </c>
      <c r="F626" s="13" t="s">
        <v>5343</v>
      </c>
      <c r="G626" s="13" t="s">
        <v>5344</v>
      </c>
      <c r="H626" s="13" t="s">
        <v>5345</v>
      </c>
      <c r="I626" s="15" t="n">
        <v>36</v>
      </c>
      <c r="J626" s="15" t="n">
        <v>58.2</v>
      </c>
      <c r="K626" s="15"/>
      <c r="L626" s="15"/>
      <c r="M626" s="15" t="n">
        <f aca="false">IF(ISNUMBER(L626),L626,J626)</f>
        <v>58.2</v>
      </c>
      <c r="N626" s="15" t="n">
        <f aca="false">ROUNDUP(M626,0)</f>
        <v>59</v>
      </c>
      <c r="O626" s="15" t="n">
        <f aca="false">MAX(I626,N626)</f>
        <v>59</v>
      </c>
      <c r="P626" s="15" t="n">
        <f aca="false">IF(C626="COVERED",MAX(0,O626-40),0)</f>
        <v>19</v>
      </c>
      <c r="Q626" s="15" t="n">
        <f aca="false">O626</f>
        <v>59</v>
      </c>
      <c r="R626" s="18" t="n">
        <f aca="false">IF(C626="COVERED",10.4,7.55)</f>
        <v>10.4</v>
      </c>
      <c r="S626" s="18" t="n">
        <f aca="false">Q626*R626</f>
        <v>613.6</v>
      </c>
      <c r="T626" s="13" t="s">
        <v>5346</v>
      </c>
      <c r="U626" s="14" t="n">
        <v>46235</v>
      </c>
      <c r="V626" s="13" t="n">
        <v>59</v>
      </c>
      <c r="W626" s="18" t="n">
        <v>10.4</v>
      </c>
      <c r="X626" s="18" t="n">
        <v>613.6</v>
      </c>
      <c r="Y626" s="18" t="n">
        <f aca="false">IF(ISNUMBER(X626),X626-S626,"")</f>
        <v>0</v>
      </c>
      <c r="Z626" s="18" t="n">
        <f aca="false">IF(ISNUMBER(X626),X626-S626,-S626)</f>
        <v>0</v>
      </c>
      <c r="AA626" s="13" t="str">
        <f aca="false">IF(NOT(ISNUMBER(X626)),"NO AUGUST POSTING IN EXPORT",IF(ABS(Y626)&gt;=0.005,"POSTED CHARGE MISMATCH",IF(P626&gt;0,"MATCH - COVERED ELIGIBILITY EXCEPTION","MATCH")))</f>
        <v>MATCH - COVERED ELIGIBILITY EXCEPTION</v>
      </c>
      <c r="AB626" s="13" t="s">
        <v>5347</v>
      </c>
    </row>
    <row r="627" customFormat="false" ht="15" hidden="false" customHeight="false" outlineLevel="0" collapsed="false">
      <c r="A627" s="9" t="s">
        <v>5348</v>
      </c>
      <c r="B627" s="9" t="s">
        <v>113</v>
      </c>
      <c r="C627" s="9" t="s">
        <v>114</v>
      </c>
      <c r="D627" s="9" t="s">
        <v>2002</v>
      </c>
      <c r="E627" s="9" t="s">
        <v>3226</v>
      </c>
      <c r="F627" s="9" t="s">
        <v>5349</v>
      </c>
      <c r="G627" s="9" t="s">
        <v>5350</v>
      </c>
      <c r="H627" s="9" t="s">
        <v>3997</v>
      </c>
      <c r="I627" s="11" t="n">
        <v>32</v>
      </c>
      <c r="J627" s="11" t="n">
        <v>24.5</v>
      </c>
      <c r="K627" s="11"/>
      <c r="L627" s="11"/>
      <c r="M627" s="11" t="n">
        <f aca="false">IF(ISNUMBER(L627),L627,J627)</f>
        <v>24.5</v>
      </c>
      <c r="N627" s="11" t="n">
        <f aca="false">ROUNDUP(M627,0)</f>
        <v>25</v>
      </c>
      <c r="O627" s="11" t="n">
        <f aca="false">MAX(I627,N627)</f>
        <v>32</v>
      </c>
      <c r="P627" s="11" t="n">
        <f aca="false">IF(C627="COVERED",MAX(0,O627-40),0)</f>
        <v>0</v>
      </c>
      <c r="Q627" s="11" t="n">
        <f aca="false">O627</f>
        <v>32</v>
      </c>
      <c r="R627" s="17" t="n">
        <f aca="false">IF(C627="COVERED",10.4,7.55)</f>
        <v>10.4</v>
      </c>
      <c r="S627" s="17" t="n">
        <f aca="false">Q627*R627</f>
        <v>332.8</v>
      </c>
      <c r="T627" s="9" t="s">
        <v>5351</v>
      </c>
      <c r="U627" s="10" t="n">
        <v>46235</v>
      </c>
      <c r="V627" s="9" t="n">
        <v>32</v>
      </c>
      <c r="W627" s="17" t="n">
        <v>10.4</v>
      </c>
      <c r="X627" s="17" t="n">
        <v>332.8</v>
      </c>
      <c r="Y627" s="17" t="n">
        <f aca="false">IF(ISNUMBER(X627),X627-S627,"")</f>
        <v>0</v>
      </c>
      <c r="Z627" s="17" t="n">
        <f aca="false">IF(ISNUMBER(X627),X627-S627,-S627)</f>
        <v>0</v>
      </c>
      <c r="AA627" s="9" t="str">
        <f aca="false">IF(NOT(ISNUMBER(X627)),"NO AUGUST POSTING IN EXPORT",IF(ABS(Y627)&gt;=0.005,"POSTED CHARGE MISMATCH",IF(P627&gt;0,"MATCH - COVERED ELIGIBILITY EXCEPTION","MATCH")))</f>
        <v>MATCH</v>
      </c>
      <c r="AB627" s="9" t="s">
        <v>5352</v>
      </c>
    </row>
    <row r="628" customFormat="false" ht="15" hidden="false" customHeight="false" outlineLevel="0" collapsed="false">
      <c r="A628" s="13" t="s">
        <v>5353</v>
      </c>
      <c r="B628" s="13" t="s">
        <v>113</v>
      </c>
      <c r="C628" s="13" t="s">
        <v>114</v>
      </c>
      <c r="D628" s="13" t="s">
        <v>2002</v>
      </c>
      <c r="E628" s="13" t="s">
        <v>3233</v>
      </c>
      <c r="F628" s="13" t="s">
        <v>5354</v>
      </c>
      <c r="G628" s="13" t="s">
        <v>5355</v>
      </c>
      <c r="H628" s="13" t="s">
        <v>4135</v>
      </c>
      <c r="I628" s="15" t="n">
        <v>28</v>
      </c>
      <c r="J628" s="15" t="n">
        <v>38.3</v>
      </c>
      <c r="K628" s="15"/>
      <c r="L628" s="15"/>
      <c r="M628" s="15" t="n">
        <f aca="false">IF(ISNUMBER(L628),L628,J628)</f>
        <v>38.3</v>
      </c>
      <c r="N628" s="15" t="n">
        <f aca="false">ROUNDUP(M628,0)</f>
        <v>39</v>
      </c>
      <c r="O628" s="15" t="n">
        <f aca="false">MAX(I628,N628)</f>
        <v>39</v>
      </c>
      <c r="P628" s="15" t="n">
        <f aca="false">IF(C628="COVERED",MAX(0,O628-40),0)</f>
        <v>0</v>
      </c>
      <c r="Q628" s="15" t="n">
        <f aca="false">O628</f>
        <v>39</v>
      </c>
      <c r="R628" s="18" t="n">
        <f aca="false">IF(C628="COVERED",10.4,7.55)</f>
        <v>10.4</v>
      </c>
      <c r="S628" s="18" t="n">
        <f aca="false">Q628*R628</f>
        <v>405.6</v>
      </c>
      <c r="T628" s="13" t="s">
        <v>5356</v>
      </c>
      <c r="U628" s="14" t="n">
        <v>46235</v>
      </c>
      <c r="V628" s="13" t="n">
        <v>39</v>
      </c>
      <c r="W628" s="18" t="n">
        <v>10.4</v>
      </c>
      <c r="X628" s="18" t="n">
        <v>405.6</v>
      </c>
      <c r="Y628" s="18" t="n">
        <f aca="false">IF(ISNUMBER(X628),X628-S628,"")</f>
        <v>0</v>
      </c>
      <c r="Z628" s="18" t="n">
        <f aca="false">IF(ISNUMBER(X628),X628-S628,-S628)</f>
        <v>0</v>
      </c>
      <c r="AA628" s="13" t="str">
        <f aca="false">IF(NOT(ISNUMBER(X628)),"NO AUGUST POSTING IN EXPORT",IF(ABS(Y628)&gt;=0.005,"POSTED CHARGE MISMATCH",IF(P628&gt;0,"MATCH - COVERED ELIGIBILITY EXCEPTION","MATCH")))</f>
        <v>MATCH</v>
      </c>
      <c r="AB628" s="13" t="s">
        <v>5357</v>
      </c>
    </row>
    <row r="629" customFormat="false" ht="15" hidden="false" customHeight="false" outlineLevel="0" collapsed="false">
      <c r="A629" s="9" t="s">
        <v>5358</v>
      </c>
      <c r="B629" s="9" t="s">
        <v>113</v>
      </c>
      <c r="C629" s="9" t="s">
        <v>114</v>
      </c>
      <c r="D629" s="9" t="s">
        <v>2002</v>
      </c>
      <c r="E629" s="9" t="s">
        <v>3240</v>
      </c>
      <c r="F629" s="9" t="s">
        <v>5359</v>
      </c>
      <c r="G629" s="9" t="s">
        <v>5360</v>
      </c>
      <c r="H629" s="9" t="s">
        <v>5361</v>
      </c>
      <c r="I629" s="11" t="n">
        <v>28</v>
      </c>
      <c r="J629" s="11" t="n">
        <v>24.8</v>
      </c>
      <c r="K629" s="11"/>
      <c r="L629" s="11"/>
      <c r="M629" s="11" t="n">
        <f aca="false">IF(ISNUMBER(L629),L629,J629)</f>
        <v>24.8</v>
      </c>
      <c r="N629" s="11" t="n">
        <f aca="false">ROUNDUP(M629,0)</f>
        <v>25</v>
      </c>
      <c r="O629" s="11" t="n">
        <f aca="false">MAX(I629,N629)</f>
        <v>28</v>
      </c>
      <c r="P629" s="11" t="n">
        <f aca="false">IF(C629="COVERED",MAX(0,O629-40),0)</f>
        <v>0</v>
      </c>
      <c r="Q629" s="11" t="n">
        <f aca="false">O629</f>
        <v>28</v>
      </c>
      <c r="R629" s="17" t="n">
        <f aca="false">IF(C629="COVERED",10.4,7.55)</f>
        <v>10.4</v>
      </c>
      <c r="S629" s="17" t="n">
        <f aca="false">Q629*R629</f>
        <v>291.2</v>
      </c>
      <c r="T629" s="9" t="s">
        <v>5362</v>
      </c>
      <c r="U629" s="10" t="n">
        <v>46235</v>
      </c>
      <c r="V629" s="9" t="n">
        <v>28</v>
      </c>
      <c r="W629" s="17" t="n">
        <v>10.4</v>
      </c>
      <c r="X629" s="17" t="n">
        <v>291.2</v>
      </c>
      <c r="Y629" s="17" t="n">
        <f aca="false">IF(ISNUMBER(X629),X629-S629,"")</f>
        <v>0</v>
      </c>
      <c r="Z629" s="17" t="n">
        <f aca="false">IF(ISNUMBER(X629),X629-S629,-S629)</f>
        <v>0</v>
      </c>
      <c r="AA629" s="9" t="str">
        <f aca="false">IF(NOT(ISNUMBER(X629)),"NO AUGUST POSTING IN EXPORT",IF(ABS(Y629)&gt;=0.005,"POSTED CHARGE MISMATCH",IF(P629&gt;0,"MATCH - COVERED ELIGIBILITY EXCEPTION","MATCH")))</f>
        <v>MATCH</v>
      </c>
      <c r="AB629" s="9" t="s">
        <v>5363</v>
      </c>
    </row>
    <row r="630" customFormat="false" ht="15" hidden="false" customHeight="false" outlineLevel="0" collapsed="false">
      <c r="A630" s="13" t="s">
        <v>5364</v>
      </c>
      <c r="B630" s="13" t="s">
        <v>113</v>
      </c>
      <c r="C630" s="13" t="s">
        <v>114</v>
      </c>
      <c r="D630" s="13" t="s">
        <v>2002</v>
      </c>
      <c r="E630" s="13" t="s">
        <v>3247</v>
      </c>
      <c r="F630" s="13" t="s">
        <v>1916</v>
      </c>
      <c r="G630" s="13" t="s">
        <v>1917</v>
      </c>
      <c r="H630" s="13" t="s">
        <v>5365</v>
      </c>
      <c r="I630" s="15" t="n">
        <v>24</v>
      </c>
      <c r="J630" s="15" t="n">
        <v>58</v>
      </c>
      <c r="K630" s="15"/>
      <c r="L630" s="15"/>
      <c r="M630" s="15" t="n">
        <f aca="false">IF(ISNUMBER(L630),L630,J630)</f>
        <v>58</v>
      </c>
      <c r="N630" s="15" t="n">
        <f aca="false">ROUNDUP(M630,0)</f>
        <v>58</v>
      </c>
      <c r="O630" s="15" t="n">
        <f aca="false">MAX(I630,N630)</f>
        <v>58</v>
      </c>
      <c r="P630" s="15" t="n">
        <f aca="false">IF(C630="COVERED",MAX(0,O630-40),0)</f>
        <v>18</v>
      </c>
      <c r="Q630" s="15" t="n">
        <f aca="false">O630</f>
        <v>58</v>
      </c>
      <c r="R630" s="18" t="n">
        <f aca="false">IF(C630="COVERED",10.4,7.55)</f>
        <v>10.4</v>
      </c>
      <c r="S630" s="18" t="n">
        <f aca="false">Q630*R630</f>
        <v>603.2</v>
      </c>
      <c r="T630" s="13" t="s">
        <v>5366</v>
      </c>
      <c r="U630" s="14" t="n">
        <v>46235</v>
      </c>
      <c r="V630" s="13" t="n">
        <v>58</v>
      </c>
      <c r="W630" s="18" t="n">
        <v>10.4</v>
      </c>
      <c r="X630" s="18" t="n">
        <v>603.2</v>
      </c>
      <c r="Y630" s="18" t="n">
        <f aca="false">IF(ISNUMBER(X630),X630-S630,"")</f>
        <v>0</v>
      </c>
      <c r="Z630" s="18" t="n">
        <f aca="false">IF(ISNUMBER(X630),X630-S630,-S630)</f>
        <v>0</v>
      </c>
      <c r="AA630" s="13" t="str">
        <f aca="false">IF(NOT(ISNUMBER(X630)),"NO AUGUST POSTING IN EXPORT",IF(ABS(Y630)&gt;=0.005,"POSTED CHARGE MISMATCH",IF(P630&gt;0,"MATCH - COVERED ELIGIBILITY EXCEPTION","MATCH")))</f>
        <v>MATCH - COVERED ELIGIBILITY EXCEPTION</v>
      </c>
      <c r="AB630" s="13" t="s">
        <v>5367</v>
      </c>
    </row>
    <row r="631" customFormat="false" ht="15" hidden="false" customHeight="false" outlineLevel="0" collapsed="false">
      <c r="A631" s="9" t="s">
        <v>1822</v>
      </c>
      <c r="B631" s="9" t="s">
        <v>113</v>
      </c>
      <c r="C631" s="9" t="s">
        <v>114</v>
      </c>
      <c r="D631" s="9" t="s">
        <v>2002</v>
      </c>
      <c r="E631" s="9" t="s">
        <v>3254</v>
      </c>
      <c r="F631" s="9" t="s">
        <v>5368</v>
      </c>
      <c r="G631" s="9" t="s">
        <v>5369</v>
      </c>
      <c r="H631" s="9" t="s">
        <v>4278</v>
      </c>
      <c r="I631" s="11" t="n">
        <v>24</v>
      </c>
      <c r="J631" s="11" t="n">
        <v>21</v>
      </c>
      <c r="K631" s="11"/>
      <c r="L631" s="11"/>
      <c r="M631" s="11" t="n">
        <f aca="false">IF(ISNUMBER(L631),L631,J631)</f>
        <v>21</v>
      </c>
      <c r="N631" s="11" t="n">
        <f aca="false">ROUNDUP(M631,0)</f>
        <v>21</v>
      </c>
      <c r="O631" s="11" t="n">
        <f aca="false">MAX(I631,N631)</f>
        <v>24</v>
      </c>
      <c r="P631" s="11" t="n">
        <f aca="false">IF(C631="COVERED",MAX(0,O631-40),0)</f>
        <v>0</v>
      </c>
      <c r="Q631" s="11" t="n">
        <f aca="false">O631</f>
        <v>24</v>
      </c>
      <c r="R631" s="17" t="n">
        <f aca="false">IF(C631="COVERED",10.4,7.55)</f>
        <v>10.4</v>
      </c>
      <c r="S631" s="17" t="n">
        <f aca="false">Q631*R631</f>
        <v>249.6</v>
      </c>
      <c r="T631" s="9" t="s">
        <v>5370</v>
      </c>
      <c r="U631" s="10" t="n">
        <v>46235</v>
      </c>
      <c r="V631" s="9" t="n">
        <v>24</v>
      </c>
      <c r="W631" s="17" t="n">
        <v>10.4</v>
      </c>
      <c r="X631" s="17" t="n">
        <v>249.6</v>
      </c>
      <c r="Y631" s="17" t="n">
        <f aca="false">IF(ISNUMBER(X631),X631-S631,"")</f>
        <v>0</v>
      </c>
      <c r="Z631" s="17" t="n">
        <f aca="false">IF(ISNUMBER(X631),X631-S631,-S631)</f>
        <v>0</v>
      </c>
      <c r="AA631" s="9" t="str">
        <f aca="false">IF(NOT(ISNUMBER(X631)),"NO AUGUST POSTING IN EXPORT",IF(ABS(Y631)&gt;=0.005,"POSTED CHARGE MISMATCH",IF(P631&gt;0,"MATCH - COVERED ELIGIBILITY EXCEPTION","MATCH")))</f>
        <v>MATCH</v>
      </c>
      <c r="AB631" s="9" t="s">
        <v>5371</v>
      </c>
    </row>
    <row r="632" customFormat="false" ht="15" hidden="false" customHeight="false" outlineLevel="0" collapsed="false">
      <c r="A632" s="13" t="s">
        <v>5372</v>
      </c>
      <c r="B632" s="13" t="s">
        <v>113</v>
      </c>
      <c r="C632" s="13" t="s">
        <v>114</v>
      </c>
      <c r="D632" s="13" t="s">
        <v>2002</v>
      </c>
      <c r="E632" s="13" t="s">
        <v>5373</v>
      </c>
      <c r="F632" s="13" t="s">
        <v>5374</v>
      </c>
      <c r="G632" s="13" t="s">
        <v>5375</v>
      </c>
      <c r="H632" s="13" t="s">
        <v>4570</v>
      </c>
      <c r="I632" s="15" t="n">
        <v>28</v>
      </c>
      <c r="J632" s="15" t="n">
        <v>59.9</v>
      </c>
      <c r="K632" s="15"/>
      <c r="L632" s="15"/>
      <c r="M632" s="15" t="n">
        <f aca="false">IF(ISNUMBER(L632),L632,J632)</f>
        <v>59.9</v>
      </c>
      <c r="N632" s="15" t="n">
        <f aca="false">ROUNDUP(M632,0)</f>
        <v>60</v>
      </c>
      <c r="O632" s="15" t="n">
        <f aca="false">MAX(I632,N632)</f>
        <v>60</v>
      </c>
      <c r="P632" s="15" t="n">
        <f aca="false">IF(C632="COVERED",MAX(0,O632-40),0)</f>
        <v>20</v>
      </c>
      <c r="Q632" s="15" t="n">
        <f aca="false">O632</f>
        <v>60</v>
      </c>
      <c r="R632" s="18" t="n">
        <f aca="false">IF(C632="COVERED",10.4,7.55)</f>
        <v>10.4</v>
      </c>
      <c r="S632" s="18" t="n">
        <f aca="false">Q632*R632</f>
        <v>624</v>
      </c>
      <c r="T632" s="13" t="s">
        <v>5376</v>
      </c>
      <c r="U632" s="14" t="n">
        <v>46235</v>
      </c>
      <c r="V632" s="13" t="n">
        <v>60</v>
      </c>
      <c r="W632" s="18" t="n">
        <v>10.4</v>
      </c>
      <c r="X632" s="18" t="n">
        <v>624</v>
      </c>
      <c r="Y632" s="18" t="n">
        <f aca="false">IF(ISNUMBER(X632),X632-S632,"")</f>
        <v>0</v>
      </c>
      <c r="Z632" s="18" t="n">
        <f aca="false">IF(ISNUMBER(X632),X632-S632,-S632)</f>
        <v>0</v>
      </c>
      <c r="AA632" s="13" t="str">
        <f aca="false">IF(NOT(ISNUMBER(X632)),"NO AUGUST POSTING IN EXPORT",IF(ABS(Y632)&gt;=0.005,"POSTED CHARGE MISMATCH",IF(P632&gt;0,"MATCH - COVERED ELIGIBILITY EXCEPTION","MATCH")))</f>
        <v>MATCH - COVERED ELIGIBILITY EXCEPTION</v>
      </c>
      <c r="AB632" s="13" t="s">
        <v>5377</v>
      </c>
    </row>
    <row r="633" customFormat="false" ht="15" hidden="false" customHeight="false" outlineLevel="0" collapsed="false">
      <c r="A633" s="9" t="s">
        <v>929</v>
      </c>
      <c r="B633" s="9" t="s">
        <v>113</v>
      </c>
      <c r="C633" s="9" t="s">
        <v>114</v>
      </c>
      <c r="D633" s="9" t="s">
        <v>2002</v>
      </c>
      <c r="E633" s="9" t="s">
        <v>3261</v>
      </c>
      <c r="F633" s="9" t="s">
        <v>5378</v>
      </c>
      <c r="G633" s="9" t="s">
        <v>5379</v>
      </c>
      <c r="H633" s="9" t="s">
        <v>5380</v>
      </c>
      <c r="I633" s="11" t="n">
        <v>40</v>
      </c>
      <c r="J633" s="11" t="n">
        <v>54.4</v>
      </c>
      <c r="K633" s="11"/>
      <c r="L633" s="11"/>
      <c r="M633" s="11" t="n">
        <f aca="false">IF(ISNUMBER(L633),L633,J633)</f>
        <v>54.4</v>
      </c>
      <c r="N633" s="11" t="n">
        <f aca="false">ROUNDUP(M633,0)</f>
        <v>55</v>
      </c>
      <c r="O633" s="11" t="n">
        <f aca="false">MAX(I633,N633)</f>
        <v>55</v>
      </c>
      <c r="P633" s="11" t="n">
        <f aca="false">IF(C633="COVERED",MAX(0,O633-40),0)</f>
        <v>15</v>
      </c>
      <c r="Q633" s="11" t="n">
        <f aca="false">O633</f>
        <v>55</v>
      </c>
      <c r="R633" s="17" t="n">
        <f aca="false">IF(C633="COVERED",10.4,7.55)</f>
        <v>10.4</v>
      </c>
      <c r="S633" s="17" t="n">
        <f aca="false">Q633*R633</f>
        <v>572</v>
      </c>
      <c r="T633" s="9" t="s">
        <v>5381</v>
      </c>
      <c r="U633" s="10" t="n">
        <v>46235</v>
      </c>
      <c r="V633" s="9" t="n">
        <v>55</v>
      </c>
      <c r="W633" s="17" t="n">
        <v>10.4</v>
      </c>
      <c r="X633" s="17" t="n">
        <v>572</v>
      </c>
      <c r="Y633" s="17" t="n">
        <f aca="false">IF(ISNUMBER(X633),X633-S633,"")</f>
        <v>0</v>
      </c>
      <c r="Z633" s="17" t="n">
        <f aca="false">IF(ISNUMBER(X633),X633-S633,-S633)</f>
        <v>0</v>
      </c>
      <c r="AA633" s="9" t="str">
        <f aca="false">IF(NOT(ISNUMBER(X633)),"NO AUGUST POSTING IN EXPORT",IF(ABS(Y633)&gt;=0.005,"POSTED CHARGE MISMATCH",IF(P633&gt;0,"MATCH - COVERED ELIGIBILITY EXCEPTION","MATCH")))</f>
        <v>MATCH - COVERED ELIGIBILITY EXCEPTION</v>
      </c>
      <c r="AB633" s="9" t="s">
        <v>5382</v>
      </c>
    </row>
    <row r="634" customFormat="false" ht="15" hidden="false" customHeight="false" outlineLevel="0" collapsed="false">
      <c r="A634" s="13" t="s">
        <v>5383</v>
      </c>
      <c r="B634" s="13" t="s">
        <v>113</v>
      </c>
      <c r="C634" s="13" t="s">
        <v>114</v>
      </c>
      <c r="D634" s="13" t="s">
        <v>2002</v>
      </c>
      <c r="E634" s="13" t="s">
        <v>3267</v>
      </c>
      <c r="F634" s="13" t="s">
        <v>5384</v>
      </c>
      <c r="G634" s="13" t="s">
        <v>5385</v>
      </c>
      <c r="H634" s="13" t="s">
        <v>5386</v>
      </c>
      <c r="I634" s="15" t="n">
        <v>32</v>
      </c>
      <c r="J634" s="15" t="n">
        <v>62</v>
      </c>
      <c r="K634" s="15"/>
      <c r="L634" s="15"/>
      <c r="M634" s="15" t="n">
        <f aca="false">IF(ISNUMBER(L634),L634,J634)</f>
        <v>62</v>
      </c>
      <c r="N634" s="15" t="n">
        <f aca="false">ROUNDUP(M634,0)</f>
        <v>62</v>
      </c>
      <c r="O634" s="15" t="n">
        <f aca="false">MAX(I634,N634)</f>
        <v>62</v>
      </c>
      <c r="P634" s="15" t="n">
        <f aca="false">IF(C634="COVERED",MAX(0,O634-40),0)</f>
        <v>22</v>
      </c>
      <c r="Q634" s="15" t="n">
        <f aca="false">O634</f>
        <v>62</v>
      </c>
      <c r="R634" s="18" t="n">
        <f aca="false">IF(C634="COVERED",10.4,7.55)</f>
        <v>10.4</v>
      </c>
      <c r="S634" s="18" t="n">
        <f aca="false">Q634*R634</f>
        <v>644.8</v>
      </c>
      <c r="T634" s="13" t="s">
        <v>5387</v>
      </c>
      <c r="U634" s="14" t="n">
        <v>46235</v>
      </c>
      <c r="V634" s="13" t="n">
        <v>62</v>
      </c>
      <c r="W634" s="18" t="n">
        <v>10.4</v>
      </c>
      <c r="X634" s="18" t="n">
        <v>644.8</v>
      </c>
      <c r="Y634" s="18" t="n">
        <f aca="false">IF(ISNUMBER(X634),X634-S634,"")</f>
        <v>0</v>
      </c>
      <c r="Z634" s="18" t="n">
        <f aca="false">IF(ISNUMBER(X634),X634-S634,-S634)</f>
        <v>0</v>
      </c>
      <c r="AA634" s="13" t="str">
        <f aca="false">IF(NOT(ISNUMBER(X634)),"NO AUGUST POSTING IN EXPORT",IF(ABS(Y634)&gt;=0.005,"POSTED CHARGE MISMATCH",IF(P634&gt;0,"MATCH - COVERED ELIGIBILITY EXCEPTION","MATCH")))</f>
        <v>MATCH - COVERED ELIGIBILITY EXCEPTION</v>
      </c>
      <c r="AB634" s="13" t="s">
        <v>5388</v>
      </c>
    </row>
    <row r="635" customFormat="false" ht="15" hidden="false" customHeight="false" outlineLevel="0" collapsed="false">
      <c r="A635" s="9" t="s">
        <v>5389</v>
      </c>
      <c r="B635" s="9" t="s">
        <v>113</v>
      </c>
      <c r="C635" s="9" t="s">
        <v>114</v>
      </c>
      <c r="D635" s="9" t="s">
        <v>2002</v>
      </c>
      <c r="E635" s="9" t="s">
        <v>3271</v>
      </c>
      <c r="F635" s="9" t="s">
        <v>5390</v>
      </c>
      <c r="G635" s="9" t="s">
        <v>5391</v>
      </c>
      <c r="H635" s="9" t="s">
        <v>2939</v>
      </c>
      <c r="I635" s="11" t="n">
        <v>28</v>
      </c>
      <c r="J635" s="11" t="n">
        <v>56.2</v>
      </c>
      <c r="K635" s="11"/>
      <c r="L635" s="11"/>
      <c r="M635" s="11" t="n">
        <f aca="false">IF(ISNUMBER(L635),L635,J635)</f>
        <v>56.2</v>
      </c>
      <c r="N635" s="11" t="n">
        <f aca="false">ROUNDUP(M635,0)</f>
        <v>57</v>
      </c>
      <c r="O635" s="11" t="n">
        <f aca="false">MAX(I635,N635)</f>
        <v>57</v>
      </c>
      <c r="P635" s="11" t="n">
        <f aca="false">IF(C635="COVERED",MAX(0,O635-40),0)</f>
        <v>17</v>
      </c>
      <c r="Q635" s="11" t="n">
        <f aca="false">O635</f>
        <v>57</v>
      </c>
      <c r="R635" s="17" t="n">
        <f aca="false">IF(C635="COVERED",10.4,7.55)</f>
        <v>10.4</v>
      </c>
      <c r="S635" s="17" t="n">
        <f aca="false">Q635*R635</f>
        <v>592.8</v>
      </c>
      <c r="T635" s="9" t="s">
        <v>5392</v>
      </c>
      <c r="U635" s="10" t="n">
        <v>46235</v>
      </c>
      <c r="V635" s="9" t="n">
        <v>57</v>
      </c>
      <c r="W635" s="17" t="n">
        <v>10.4</v>
      </c>
      <c r="X635" s="17" t="n">
        <v>592.8</v>
      </c>
      <c r="Y635" s="17" t="n">
        <f aca="false">IF(ISNUMBER(X635),X635-S635,"")</f>
        <v>0</v>
      </c>
      <c r="Z635" s="17" t="n">
        <f aca="false">IF(ISNUMBER(X635),X635-S635,-S635)</f>
        <v>0</v>
      </c>
      <c r="AA635" s="9" t="str">
        <f aca="false">IF(NOT(ISNUMBER(X635)),"NO AUGUST POSTING IN EXPORT",IF(ABS(Y635)&gt;=0.005,"POSTED CHARGE MISMATCH",IF(P635&gt;0,"MATCH - COVERED ELIGIBILITY EXCEPTION","MATCH")))</f>
        <v>MATCH - COVERED ELIGIBILITY EXCEPTION</v>
      </c>
      <c r="AB635" s="9" t="s">
        <v>5393</v>
      </c>
    </row>
    <row r="636" customFormat="false" ht="15" hidden="false" customHeight="false" outlineLevel="0" collapsed="false">
      <c r="A636" s="13" t="s">
        <v>5394</v>
      </c>
      <c r="B636" s="13" t="s">
        <v>113</v>
      </c>
      <c r="C636" s="13" t="s">
        <v>114</v>
      </c>
      <c r="D636" s="13" t="s">
        <v>2002</v>
      </c>
      <c r="E636" s="13" t="s">
        <v>4304</v>
      </c>
      <c r="F636" s="13" t="s">
        <v>5395</v>
      </c>
      <c r="G636" s="13" t="s">
        <v>5396</v>
      </c>
      <c r="H636" s="13" t="s">
        <v>5397</v>
      </c>
      <c r="I636" s="15" t="n">
        <v>24</v>
      </c>
      <c r="J636" s="15" t="n">
        <v>33.9</v>
      </c>
      <c r="K636" s="15"/>
      <c r="L636" s="15"/>
      <c r="M636" s="15" t="n">
        <f aca="false">IF(ISNUMBER(L636),L636,J636)</f>
        <v>33.9</v>
      </c>
      <c r="N636" s="15" t="n">
        <f aca="false">ROUNDUP(M636,0)</f>
        <v>34</v>
      </c>
      <c r="O636" s="15" t="n">
        <f aca="false">MAX(I636,N636)</f>
        <v>34</v>
      </c>
      <c r="P636" s="15" t="n">
        <f aca="false">IF(C636="COVERED",MAX(0,O636-40),0)</f>
        <v>0</v>
      </c>
      <c r="Q636" s="15" t="n">
        <f aca="false">O636</f>
        <v>34</v>
      </c>
      <c r="R636" s="18" t="n">
        <f aca="false">IF(C636="COVERED",10.4,7.55)</f>
        <v>10.4</v>
      </c>
      <c r="S636" s="18" t="n">
        <f aca="false">Q636*R636</f>
        <v>353.6</v>
      </c>
      <c r="T636" s="13" t="s">
        <v>5398</v>
      </c>
      <c r="U636" s="14" t="n">
        <v>46235</v>
      </c>
      <c r="V636" s="13" t="n">
        <v>34</v>
      </c>
      <c r="W636" s="18" t="n">
        <v>10.4</v>
      </c>
      <c r="X636" s="18" t="n">
        <v>353.6</v>
      </c>
      <c r="Y636" s="18" t="n">
        <f aca="false">IF(ISNUMBER(X636),X636-S636,"")</f>
        <v>0</v>
      </c>
      <c r="Z636" s="18" t="n">
        <f aca="false">IF(ISNUMBER(X636),X636-S636,-S636)</f>
        <v>0</v>
      </c>
      <c r="AA636" s="13" t="str">
        <f aca="false">IF(NOT(ISNUMBER(X636)),"NO AUGUST POSTING IN EXPORT",IF(ABS(Y636)&gt;=0.005,"POSTED CHARGE MISMATCH",IF(P636&gt;0,"MATCH - COVERED ELIGIBILITY EXCEPTION","MATCH")))</f>
        <v>MATCH</v>
      </c>
      <c r="AB636" s="13" t="s">
        <v>5399</v>
      </c>
    </row>
    <row r="637" customFormat="false" ht="15" hidden="false" customHeight="false" outlineLevel="0" collapsed="false">
      <c r="A637" s="9" t="s">
        <v>5400</v>
      </c>
      <c r="B637" s="9" t="s">
        <v>113</v>
      </c>
      <c r="C637" s="9" t="s">
        <v>114</v>
      </c>
      <c r="D637" s="9" t="s">
        <v>2002</v>
      </c>
      <c r="E637" s="9" t="s">
        <v>3278</v>
      </c>
      <c r="F637" s="9" t="s">
        <v>5401</v>
      </c>
      <c r="G637" s="9" t="s">
        <v>5402</v>
      </c>
      <c r="H637" s="9" t="s">
        <v>2520</v>
      </c>
      <c r="I637" s="11" t="n">
        <v>28</v>
      </c>
      <c r="J637" s="11" t="n">
        <v>38</v>
      </c>
      <c r="K637" s="11"/>
      <c r="L637" s="11"/>
      <c r="M637" s="11" t="n">
        <f aca="false">IF(ISNUMBER(L637),L637,J637)</f>
        <v>38</v>
      </c>
      <c r="N637" s="11" t="n">
        <f aca="false">ROUNDUP(M637,0)</f>
        <v>38</v>
      </c>
      <c r="O637" s="11" t="n">
        <f aca="false">MAX(I637,N637)</f>
        <v>38</v>
      </c>
      <c r="P637" s="11" t="n">
        <f aca="false">IF(C637="COVERED",MAX(0,O637-40),0)</f>
        <v>0</v>
      </c>
      <c r="Q637" s="11" t="n">
        <f aca="false">O637</f>
        <v>38</v>
      </c>
      <c r="R637" s="17" t="n">
        <f aca="false">IF(C637="COVERED",10.4,7.55)</f>
        <v>10.4</v>
      </c>
      <c r="S637" s="17" t="n">
        <f aca="false">Q637*R637</f>
        <v>395.2</v>
      </c>
      <c r="T637" s="9" t="s">
        <v>5403</v>
      </c>
      <c r="U637" s="10" t="n">
        <v>46235</v>
      </c>
      <c r="V637" s="9" t="n">
        <v>38</v>
      </c>
      <c r="W637" s="17" t="n">
        <v>10.4</v>
      </c>
      <c r="X637" s="17" t="n">
        <v>395.2</v>
      </c>
      <c r="Y637" s="17" t="n">
        <f aca="false">IF(ISNUMBER(X637),X637-S637,"")</f>
        <v>0</v>
      </c>
      <c r="Z637" s="17" t="n">
        <f aca="false">IF(ISNUMBER(X637),X637-S637,-S637)</f>
        <v>0</v>
      </c>
      <c r="AA637" s="9" t="str">
        <f aca="false">IF(NOT(ISNUMBER(X637)),"NO AUGUST POSTING IN EXPORT",IF(ABS(Y637)&gt;=0.005,"POSTED CHARGE MISMATCH",IF(P637&gt;0,"MATCH - COVERED ELIGIBILITY EXCEPTION","MATCH")))</f>
        <v>MATCH</v>
      </c>
      <c r="AB637" s="9" t="s">
        <v>5404</v>
      </c>
    </row>
    <row r="638" customFormat="false" ht="15" hidden="false" customHeight="false" outlineLevel="0" collapsed="false">
      <c r="A638" s="13" t="s">
        <v>5405</v>
      </c>
      <c r="B638" s="13" t="s">
        <v>113</v>
      </c>
      <c r="C638" s="13" t="s">
        <v>114</v>
      </c>
      <c r="D638" s="13" t="s">
        <v>2002</v>
      </c>
      <c r="E638" s="13" t="s">
        <v>4314</v>
      </c>
      <c r="F638" s="13" t="s">
        <v>5406</v>
      </c>
      <c r="G638" s="13" t="s">
        <v>5407</v>
      </c>
      <c r="H638" s="13" t="s">
        <v>5408</v>
      </c>
      <c r="I638" s="15" t="n">
        <v>36</v>
      </c>
      <c r="J638" s="15" t="n">
        <v>19.5</v>
      </c>
      <c r="K638" s="15"/>
      <c r="L638" s="15"/>
      <c r="M638" s="15" t="n">
        <f aca="false">IF(ISNUMBER(L638),L638,J638)</f>
        <v>19.5</v>
      </c>
      <c r="N638" s="15" t="n">
        <f aca="false">ROUNDUP(M638,0)</f>
        <v>20</v>
      </c>
      <c r="O638" s="15" t="n">
        <f aca="false">MAX(I638,N638)</f>
        <v>36</v>
      </c>
      <c r="P638" s="15" t="n">
        <f aca="false">IF(C638="COVERED",MAX(0,O638-40),0)</f>
        <v>0</v>
      </c>
      <c r="Q638" s="15" t="n">
        <f aca="false">O638</f>
        <v>36</v>
      </c>
      <c r="R638" s="18" t="n">
        <f aca="false">IF(C638="COVERED",10.4,7.55)</f>
        <v>10.4</v>
      </c>
      <c r="S638" s="18" t="n">
        <f aca="false">Q638*R638</f>
        <v>374.4</v>
      </c>
      <c r="T638" s="13" t="s">
        <v>5409</v>
      </c>
      <c r="U638" s="14" t="n">
        <v>46235</v>
      </c>
      <c r="V638" s="13" t="n">
        <v>36</v>
      </c>
      <c r="W638" s="18" t="n">
        <v>10.4</v>
      </c>
      <c r="X638" s="18" t="n">
        <v>374.4</v>
      </c>
      <c r="Y638" s="18" t="n">
        <f aca="false">IF(ISNUMBER(X638),X638-S638,"")</f>
        <v>0</v>
      </c>
      <c r="Z638" s="18" t="n">
        <f aca="false">IF(ISNUMBER(X638),X638-S638,-S638)</f>
        <v>0</v>
      </c>
      <c r="AA638" s="13" t="str">
        <f aca="false">IF(NOT(ISNUMBER(X638)),"NO AUGUST POSTING IN EXPORT",IF(ABS(Y638)&gt;=0.005,"POSTED CHARGE MISMATCH",IF(P638&gt;0,"MATCH - COVERED ELIGIBILITY EXCEPTION","MATCH")))</f>
        <v>MATCH</v>
      </c>
      <c r="AB638" s="13" t="s">
        <v>5410</v>
      </c>
    </row>
    <row r="639" customFormat="false" ht="15" hidden="false" customHeight="false" outlineLevel="0" collapsed="false">
      <c r="A639" s="9" t="s">
        <v>5411</v>
      </c>
      <c r="B639" s="9" t="s">
        <v>113</v>
      </c>
      <c r="C639" s="9" t="s">
        <v>114</v>
      </c>
      <c r="D639" s="9" t="s">
        <v>2002</v>
      </c>
      <c r="E639" s="9" t="s">
        <v>3283</v>
      </c>
      <c r="F639" s="9" t="s">
        <v>5412</v>
      </c>
      <c r="G639" s="9" t="s">
        <v>5413</v>
      </c>
      <c r="H639" s="9" t="s">
        <v>4837</v>
      </c>
      <c r="I639" s="11" t="n">
        <v>32</v>
      </c>
      <c r="J639" s="11" t="n">
        <v>57.9</v>
      </c>
      <c r="K639" s="11"/>
      <c r="L639" s="11"/>
      <c r="M639" s="11" t="n">
        <f aca="false">IF(ISNUMBER(L639),L639,J639)</f>
        <v>57.9</v>
      </c>
      <c r="N639" s="11" t="n">
        <f aca="false">ROUNDUP(M639,0)</f>
        <v>58</v>
      </c>
      <c r="O639" s="11" t="n">
        <f aca="false">MAX(I639,N639)</f>
        <v>58</v>
      </c>
      <c r="P639" s="11" t="n">
        <f aca="false">IF(C639="COVERED",MAX(0,O639-40),0)</f>
        <v>18</v>
      </c>
      <c r="Q639" s="11" t="n">
        <f aca="false">O639</f>
        <v>58</v>
      </c>
      <c r="R639" s="17" t="n">
        <f aca="false">IF(C639="COVERED",10.4,7.55)</f>
        <v>10.4</v>
      </c>
      <c r="S639" s="17" t="n">
        <f aca="false">Q639*R639</f>
        <v>603.2</v>
      </c>
      <c r="T639" s="9" t="s">
        <v>5414</v>
      </c>
      <c r="U639" s="10" t="n">
        <v>46235</v>
      </c>
      <c r="V639" s="9" t="n">
        <v>58</v>
      </c>
      <c r="W639" s="17" t="n">
        <v>10.4</v>
      </c>
      <c r="X639" s="17" t="n">
        <v>603.2</v>
      </c>
      <c r="Y639" s="17" t="n">
        <f aca="false">IF(ISNUMBER(X639),X639-S639,"")</f>
        <v>0</v>
      </c>
      <c r="Z639" s="17" t="n">
        <f aca="false">IF(ISNUMBER(X639),X639-S639,-S639)</f>
        <v>0</v>
      </c>
      <c r="AA639" s="9" t="str">
        <f aca="false">IF(NOT(ISNUMBER(X639)),"NO AUGUST POSTING IN EXPORT",IF(ABS(Y639)&gt;=0.005,"POSTED CHARGE MISMATCH",IF(P639&gt;0,"MATCH - COVERED ELIGIBILITY EXCEPTION","MATCH")))</f>
        <v>MATCH - COVERED ELIGIBILITY EXCEPTION</v>
      </c>
      <c r="AB639" s="9" t="s">
        <v>5415</v>
      </c>
    </row>
    <row r="640" customFormat="false" ht="15" hidden="false" customHeight="false" outlineLevel="0" collapsed="false">
      <c r="A640" s="13" t="s">
        <v>5416</v>
      </c>
      <c r="B640" s="13" t="s">
        <v>113</v>
      </c>
      <c r="C640" s="13" t="s">
        <v>114</v>
      </c>
      <c r="D640" s="13" t="s">
        <v>2002</v>
      </c>
      <c r="E640" s="13" t="s">
        <v>3290</v>
      </c>
      <c r="F640" s="13" t="s">
        <v>5417</v>
      </c>
      <c r="G640" s="13" t="s">
        <v>5418</v>
      </c>
      <c r="H640" s="13" t="s">
        <v>5198</v>
      </c>
      <c r="I640" s="15" t="n">
        <v>32</v>
      </c>
      <c r="J640" s="15" t="n">
        <v>58.9</v>
      </c>
      <c r="K640" s="15"/>
      <c r="L640" s="15"/>
      <c r="M640" s="15" t="n">
        <f aca="false">IF(ISNUMBER(L640),L640,J640)</f>
        <v>58.9</v>
      </c>
      <c r="N640" s="15" t="n">
        <f aca="false">ROUNDUP(M640,0)</f>
        <v>59</v>
      </c>
      <c r="O640" s="15" t="n">
        <f aca="false">MAX(I640,N640)</f>
        <v>59</v>
      </c>
      <c r="P640" s="15" t="n">
        <f aca="false">IF(C640="COVERED",MAX(0,O640-40),0)</f>
        <v>19</v>
      </c>
      <c r="Q640" s="15" t="n">
        <f aca="false">O640</f>
        <v>59</v>
      </c>
      <c r="R640" s="18" t="n">
        <f aca="false">IF(C640="COVERED",10.4,7.55)</f>
        <v>10.4</v>
      </c>
      <c r="S640" s="18" t="n">
        <f aca="false">Q640*R640</f>
        <v>613.6</v>
      </c>
      <c r="T640" s="13" t="s">
        <v>5419</v>
      </c>
      <c r="U640" s="14" t="n">
        <v>46235</v>
      </c>
      <c r="V640" s="13" t="n">
        <v>59</v>
      </c>
      <c r="W640" s="18" t="n">
        <v>10.4</v>
      </c>
      <c r="X640" s="18" t="n">
        <v>613.6</v>
      </c>
      <c r="Y640" s="18" t="n">
        <f aca="false">IF(ISNUMBER(X640),X640-S640,"")</f>
        <v>0</v>
      </c>
      <c r="Z640" s="18" t="n">
        <f aca="false">IF(ISNUMBER(X640),X640-S640,-S640)</f>
        <v>0</v>
      </c>
      <c r="AA640" s="13" t="str">
        <f aca="false">IF(NOT(ISNUMBER(X640)),"NO AUGUST POSTING IN EXPORT",IF(ABS(Y640)&gt;=0.005,"POSTED CHARGE MISMATCH",IF(P640&gt;0,"MATCH - COVERED ELIGIBILITY EXCEPTION","MATCH")))</f>
        <v>MATCH - COVERED ELIGIBILITY EXCEPTION</v>
      </c>
      <c r="AB640" s="13" t="s">
        <v>5420</v>
      </c>
    </row>
    <row r="641" customFormat="false" ht="15" hidden="false" customHeight="false" outlineLevel="0" collapsed="false">
      <c r="A641" s="9" t="s">
        <v>1942</v>
      </c>
      <c r="B641" s="9" t="s">
        <v>113</v>
      </c>
      <c r="C641" s="9" t="s">
        <v>114</v>
      </c>
      <c r="D641" s="9" t="s">
        <v>2002</v>
      </c>
      <c r="E641" s="9" t="s">
        <v>4327</v>
      </c>
      <c r="F641" s="9" t="s">
        <v>5421</v>
      </c>
      <c r="G641" s="9" t="s">
        <v>5422</v>
      </c>
      <c r="H641" s="9" t="s">
        <v>5085</v>
      </c>
      <c r="I641" s="11" t="n">
        <v>32</v>
      </c>
      <c r="J641" s="11" t="n">
        <v>19.3</v>
      </c>
      <c r="K641" s="11"/>
      <c r="L641" s="11"/>
      <c r="M641" s="11" t="n">
        <f aca="false">IF(ISNUMBER(L641),L641,J641)</f>
        <v>19.3</v>
      </c>
      <c r="N641" s="11" t="n">
        <f aca="false">ROUNDUP(M641,0)</f>
        <v>20</v>
      </c>
      <c r="O641" s="11" t="n">
        <f aca="false">MAX(I641,N641)</f>
        <v>32</v>
      </c>
      <c r="P641" s="11" t="n">
        <f aca="false">IF(C641="COVERED",MAX(0,O641-40),0)</f>
        <v>0</v>
      </c>
      <c r="Q641" s="11" t="n">
        <f aca="false">O641</f>
        <v>32</v>
      </c>
      <c r="R641" s="17" t="n">
        <f aca="false">IF(C641="COVERED",10.4,7.55)</f>
        <v>10.4</v>
      </c>
      <c r="S641" s="17" t="n">
        <f aca="false">Q641*R641</f>
        <v>332.8</v>
      </c>
      <c r="T641" s="9" t="s">
        <v>5423</v>
      </c>
      <c r="U641" s="10" t="n">
        <v>46235</v>
      </c>
      <c r="V641" s="9" t="n">
        <v>32</v>
      </c>
      <c r="W641" s="17" t="n">
        <v>10.4</v>
      </c>
      <c r="X641" s="17" t="n">
        <v>332.8</v>
      </c>
      <c r="Y641" s="17" t="n">
        <f aca="false">IF(ISNUMBER(X641),X641-S641,"")</f>
        <v>0</v>
      </c>
      <c r="Z641" s="17" t="n">
        <f aca="false">IF(ISNUMBER(X641),X641-S641,-S641)</f>
        <v>0</v>
      </c>
      <c r="AA641" s="9" t="str">
        <f aca="false">IF(NOT(ISNUMBER(X641)),"NO AUGUST POSTING IN EXPORT",IF(ABS(Y641)&gt;=0.005,"POSTED CHARGE MISMATCH",IF(P641&gt;0,"MATCH - COVERED ELIGIBILITY EXCEPTION","MATCH")))</f>
        <v>MATCH</v>
      </c>
      <c r="AB641" s="9" t="s">
        <v>5424</v>
      </c>
    </row>
    <row r="642" customFormat="false" ht="15" hidden="false" customHeight="false" outlineLevel="0" collapsed="false">
      <c r="A642" s="13" t="s">
        <v>5425</v>
      </c>
      <c r="B642" s="13" t="s">
        <v>113</v>
      </c>
      <c r="C642" s="13" t="s">
        <v>114</v>
      </c>
      <c r="D642" s="13" t="s">
        <v>2002</v>
      </c>
      <c r="E642" s="13" t="s">
        <v>3297</v>
      </c>
      <c r="F642" s="13" t="s">
        <v>5426</v>
      </c>
      <c r="G642" s="13" t="s">
        <v>5427</v>
      </c>
      <c r="H642" s="13" t="s">
        <v>3061</v>
      </c>
      <c r="I642" s="15" t="n">
        <v>32</v>
      </c>
      <c r="J642" s="15" t="n">
        <v>61.8</v>
      </c>
      <c r="K642" s="15"/>
      <c r="L642" s="15"/>
      <c r="M642" s="15" t="n">
        <f aca="false">IF(ISNUMBER(L642),L642,J642)</f>
        <v>61.8</v>
      </c>
      <c r="N642" s="15" t="n">
        <f aca="false">ROUNDUP(M642,0)</f>
        <v>62</v>
      </c>
      <c r="O642" s="15" t="n">
        <f aca="false">MAX(I642,N642)</f>
        <v>62</v>
      </c>
      <c r="P642" s="15" t="n">
        <f aca="false">IF(C642="COVERED",MAX(0,O642-40),0)</f>
        <v>22</v>
      </c>
      <c r="Q642" s="15" t="n">
        <f aca="false">O642</f>
        <v>62</v>
      </c>
      <c r="R642" s="18" t="n">
        <f aca="false">IF(C642="COVERED",10.4,7.55)</f>
        <v>10.4</v>
      </c>
      <c r="S642" s="18" t="n">
        <f aca="false">Q642*R642</f>
        <v>644.8</v>
      </c>
      <c r="T642" s="13" t="s">
        <v>5428</v>
      </c>
      <c r="U642" s="14" t="n">
        <v>46235</v>
      </c>
      <c r="V642" s="13" t="n">
        <v>62</v>
      </c>
      <c r="W642" s="18" t="n">
        <v>10.4</v>
      </c>
      <c r="X642" s="18" t="n">
        <v>644.8</v>
      </c>
      <c r="Y642" s="18" t="n">
        <f aca="false">IF(ISNUMBER(X642),X642-S642,"")</f>
        <v>0</v>
      </c>
      <c r="Z642" s="18" t="n">
        <f aca="false">IF(ISNUMBER(X642),X642-S642,-S642)</f>
        <v>0</v>
      </c>
      <c r="AA642" s="13" t="str">
        <f aca="false">IF(NOT(ISNUMBER(X642)),"NO AUGUST POSTING IN EXPORT",IF(ABS(Y642)&gt;=0.005,"POSTED CHARGE MISMATCH",IF(P642&gt;0,"MATCH - COVERED ELIGIBILITY EXCEPTION","MATCH")))</f>
        <v>MATCH - COVERED ELIGIBILITY EXCEPTION</v>
      </c>
      <c r="AB642" s="13" t="s">
        <v>5429</v>
      </c>
    </row>
    <row r="643" customFormat="false" ht="15" hidden="false" customHeight="false" outlineLevel="0" collapsed="false">
      <c r="A643" s="9" t="s">
        <v>5430</v>
      </c>
      <c r="B643" s="9" t="s">
        <v>113</v>
      </c>
      <c r="C643" s="9" t="s">
        <v>114</v>
      </c>
      <c r="D643" s="9" t="s">
        <v>2002</v>
      </c>
      <c r="E643" s="9" t="s">
        <v>3303</v>
      </c>
      <c r="F643" s="9" t="s">
        <v>950</v>
      </c>
      <c r="G643" s="9" t="s">
        <v>951</v>
      </c>
      <c r="H643" s="9" t="s">
        <v>4048</v>
      </c>
      <c r="I643" s="11" t="n">
        <v>24</v>
      </c>
      <c r="J643" s="11" t="n">
        <v>40.9</v>
      </c>
      <c r="K643" s="11"/>
      <c r="L643" s="11"/>
      <c r="M643" s="11" t="n">
        <f aca="false">IF(ISNUMBER(L643),L643,J643)</f>
        <v>40.9</v>
      </c>
      <c r="N643" s="11" t="n">
        <f aca="false">ROUNDUP(M643,0)</f>
        <v>41</v>
      </c>
      <c r="O643" s="11" t="n">
        <f aca="false">MAX(I643,N643)</f>
        <v>41</v>
      </c>
      <c r="P643" s="11" t="n">
        <f aca="false">IF(C643="COVERED",MAX(0,O643-40),0)</f>
        <v>1</v>
      </c>
      <c r="Q643" s="11" t="n">
        <f aca="false">O643</f>
        <v>41</v>
      </c>
      <c r="R643" s="17" t="n">
        <f aca="false">IF(C643="COVERED",10.4,7.55)</f>
        <v>10.4</v>
      </c>
      <c r="S643" s="17" t="n">
        <f aca="false">Q643*R643</f>
        <v>426.4</v>
      </c>
      <c r="T643" s="9" t="s">
        <v>5431</v>
      </c>
      <c r="U643" s="10" t="n">
        <v>46235</v>
      </c>
      <c r="V643" s="9" t="n">
        <v>41</v>
      </c>
      <c r="W643" s="17" t="n">
        <v>10.4</v>
      </c>
      <c r="X643" s="17" t="n">
        <v>426.4</v>
      </c>
      <c r="Y643" s="17" t="n">
        <f aca="false">IF(ISNUMBER(X643),X643-S643,"")</f>
        <v>0</v>
      </c>
      <c r="Z643" s="17" t="n">
        <f aca="false">IF(ISNUMBER(X643),X643-S643,-S643)</f>
        <v>0</v>
      </c>
      <c r="AA643" s="9" t="str">
        <f aca="false">IF(NOT(ISNUMBER(X643)),"NO AUGUST POSTING IN EXPORT",IF(ABS(Y643)&gt;=0.005,"POSTED CHARGE MISMATCH",IF(P643&gt;0,"MATCH - COVERED ELIGIBILITY EXCEPTION","MATCH")))</f>
        <v>MATCH - COVERED ELIGIBILITY EXCEPTION</v>
      </c>
      <c r="AB643" s="9" t="s">
        <v>5432</v>
      </c>
    </row>
    <row r="644" customFormat="false" ht="15" hidden="false" customHeight="false" outlineLevel="0" collapsed="false">
      <c r="A644" s="13" t="s">
        <v>5433</v>
      </c>
      <c r="B644" s="13" t="s">
        <v>113</v>
      </c>
      <c r="C644" s="13" t="s">
        <v>114</v>
      </c>
      <c r="D644" s="13" t="s">
        <v>2002</v>
      </c>
      <c r="E644" s="13" t="s">
        <v>3310</v>
      </c>
      <c r="F644" s="13" t="s">
        <v>5434</v>
      </c>
      <c r="G644" s="13" t="s">
        <v>5435</v>
      </c>
      <c r="H644" s="13" t="s">
        <v>5436</v>
      </c>
      <c r="I644" s="15" t="n">
        <v>28</v>
      </c>
      <c r="J644" s="15" t="n">
        <v>28.7</v>
      </c>
      <c r="K644" s="15"/>
      <c r="L644" s="15"/>
      <c r="M644" s="15" t="n">
        <f aca="false">IF(ISNUMBER(L644),L644,J644)</f>
        <v>28.7</v>
      </c>
      <c r="N644" s="15" t="n">
        <f aca="false">ROUNDUP(M644,0)</f>
        <v>29</v>
      </c>
      <c r="O644" s="15" t="n">
        <f aca="false">MAX(I644,N644)</f>
        <v>29</v>
      </c>
      <c r="P644" s="15" t="n">
        <f aca="false">IF(C644="COVERED",MAX(0,O644-40),0)</f>
        <v>0</v>
      </c>
      <c r="Q644" s="15" t="n">
        <f aca="false">O644</f>
        <v>29</v>
      </c>
      <c r="R644" s="18" t="n">
        <f aca="false">IF(C644="COVERED",10.4,7.55)</f>
        <v>10.4</v>
      </c>
      <c r="S644" s="18" t="n">
        <f aca="false">Q644*R644</f>
        <v>301.6</v>
      </c>
      <c r="T644" s="13" t="s">
        <v>5437</v>
      </c>
      <c r="U644" s="14" t="n">
        <v>46235</v>
      </c>
      <c r="V644" s="13" t="n">
        <v>29</v>
      </c>
      <c r="W644" s="18" t="n">
        <v>10.4</v>
      </c>
      <c r="X644" s="18" t="n">
        <v>301.6</v>
      </c>
      <c r="Y644" s="18" t="n">
        <f aca="false">IF(ISNUMBER(X644),X644-S644,"")</f>
        <v>0</v>
      </c>
      <c r="Z644" s="18" t="n">
        <f aca="false">IF(ISNUMBER(X644),X644-S644,-S644)</f>
        <v>0</v>
      </c>
      <c r="AA644" s="13" t="str">
        <f aca="false">IF(NOT(ISNUMBER(X644)),"NO AUGUST POSTING IN EXPORT",IF(ABS(Y644)&gt;=0.005,"POSTED CHARGE MISMATCH",IF(P644&gt;0,"MATCH - COVERED ELIGIBILITY EXCEPTION","MATCH")))</f>
        <v>MATCH</v>
      </c>
      <c r="AB644" s="13" t="s">
        <v>5438</v>
      </c>
    </row>
    <row r="645" customFormat="false" ht="15" hidden="false" customHeight="false" outlineLevel="0" collapsed="false">
      <c r="A645" s="9" t="s">
        <v>5439</v>
      </c>
      <c r="B645" s="9" t="s">
        <v>113</v>
      </c>
      <c r="C645" s="9" t="s">
        <v>114</v>
      </c>
      <c r="D645" s="9" t="s">
        <v>2002</v>
      </c>
      <c r="E645" s="9" t="s">
        <v>3317</v>
      </c>
      <c r="F645" s="9" t="s">
        <v>450</v>
      </c>
      <c r="G645" s="9" t="s">
        <v>451</v>
      </c>
      <c r="H645" s="9" t="s">
        <v>4372</v>
      </c>
      <c r="I645" s="11" t="n">
        <v>28</v>
      </c>
      <c r="J645" s="11" t="n">
        <v>19.5</v>
      </c>
      <c r="K645" s="11"/>
      <c r="L645" s="11"/>
      <c r="M645" s="11" t="n">
        <f aca="false">IF(ISNUMBER(L645),L645,J645)</f>
        <v>19.5</v>
      </c>
      <c r="N645" s="11" t="n">
        <f aca="false">ROUNDUP(M645,0)</f>
        <v>20</v>
      </c>
      <c r="O645" s="11" t="n">
        <f aca="false">MAX(I645,N645)</f>
        <v>28</v>
      </c>
      <c r="P645" s="11" t="n">
        <f aca="false">IF(C645="COVERED",MAX(0,O645-40),0)</f>
        <v>0</v>
      </c>
      <c r="Q645" s="11" t="n">
        <f aca="false">O645</f>
        <v>28</v>
      </c>
      <c r="R645" s="17" t="n">
        <f aca="false">IF(C645="COVERED",10.4,7.55)</f>
        <v>10.4</v>
      </c>
      <c r="S645" s="17" t="n">
        <f aca="false">Q645*R645</f>
        <v>291.2</v>
      </c>
      <c r="T645" s="9" t="s">
        <v>5440</v>
      </c>
      <c r="U645" s="10" t="n">
        <v>46235</v>
      </c>
      <c r="V645" s="9" t="n">
        <v>28</v>
      </c>
      <c r="W645" s="17" t="n">
        <v>10.4</v>
      </c>
      <c r="X645" s="17" t="n">
        <v>291.2</v>
      </c>
      <c r="Y645" s="17" t="n">
        <f aca="false">IF(ISNUMBER(X645),X645-S645,"")</f>
        <v>0</v>
      </c>
      <c r="Z645" s="17" t="n">
        <f aca="false">IF(ISNUMBER(X645),X645-S645,-S645)</f>
        <v>0</v>
      </c>
      <c r="AA645" s="9" t="str">
        <f aca="false">IF(NOT(ISNUMBER(X645)),"NO AUGUST POSTING IN EXPORT",IF(ABS(Y645)&gt;=0.005,"POSTED CHARGE MISMATCH",IF(P645&gt;0,"MATCH - COVERED ELIGIBILITY EXCEPTION","MATCH")))</f>
        <v>MATCH</v>
      </c>
      <c r="AB645" s="9" t="s">
        <v>5441</v>
      </c>
    </row>
    <row r="646" customFormat="false" ht="15" hidden="false" customHeight="false" outlineLevel="0" collapsed="false">
      <c r="A646" s="13" t="s">
        <v>5442</v>
      </c>
      <c r="B646" s="13" t="s">
        <v>113</v>
      </c>
      <c r="C646" s="13" t="s">
        <v>114</v>
      </c>
      <c r="D646" s="13" t="s">
        <v>2002</v>
      </c>
      <c r="E646" s="13" t="s">
        <v>3324</v>
      </c>
      <c r="F646" s="13" t="s">
        <v>354</v>
      </c>
      <c r="G646" s="13" t="s">
        <v>355</v>
      </c>
      <c r="H646" s="13" t="s">
        <v>5085</v>
      </c>
      <c r="I646" s="15" t="n">
        <v>24</v>
      </c>
      <c r="J646" s="15" t="n">
        <v>19.4</v>
      </c>
      <c r="K646" s="15"/>
      <c r="L646" s="15"/>
      <c r="M646" s="15" t="n">
        <f aca="false">IF(ISNUMBER(L646),L646,J646)</f>
        <v>19.4</v>
      </c>
      <c r="N646" s="15" t="n">
        <f aca="false">ROUNDUP(M646,0)</f>
        <v>20</v>
      </c>
      <c r="O646" s="15" t="n">
        <f aca="false">MAX(I646,N646)</f>
        <v>24</v>
      </c>
      <c r="P646" s="15" t="n">
        <f aca="false">IF(C646="COVERED",MAX(0,O646-40),0)</f>
        <v>0</v>
      </c>
      <c r="Q646" s="15" t="n">
        <f aca="false">O646</f>
        <v>24</v>
      </c>
      <c r="R646" s="18" t="n">
        <f aca="false">IF(C646="COVERED",10.4,7.55)</f>
        <v>10.4</v>
      </c>
      <c r="S646" s="18" t="n">
        <f aca="false">Q646*R646</f>
        <v>249.6</v>
      </c>
      <c r="T646" s="13" t="s">
        <v>5443</v>
      </c>
      <c r="U646" s="14" t="n">
        <v>46235</v>
      </c>
      <c r="V646" s="13" t="n">
        <v>24</v>
      </c>
      <c r="W646" s="18" t="n">
        <v>10.4</v>
      </c>
      <c r="X646" s="18" t="n">
        <v>249.6</v>
      </c>
      <c r="Y646" s="18" t="n">
        <f aca="false">IF(ISNUMBER(X646),X646-S646,"")</f>
        <v>0</v>
      </c>
      <c r="Z646" s="18" t="n">
        <f aca="false">IF(ISNUMBER(X646),X646-S646,-S646)</f>
        <v>0</v>
      </c>
      <c r="AA646" s="13" t="str">
        <f aca="false">IF(NOT(ISNUMBER(X646)),"NO AUGUST POSTING IN EXPORT",IF(ABS(Y646)&gt;=0.005,"POSTED CHARGE MISMATCH",IF(P646&gt;0,"MATCH - COVERED ELIGIBILITY EXCEPTION","MATCH")))</f>
        <v>MATCH</v>
      </c>
      <c r="AB646" s="13" t="s">
        <v>5444</v>
      </c>
    </row>
    <row r="647" customFormat="false" ht="15" hidden="false" customHeight="false" outlineLevel="0" collapsed="false">
      <c r="A647" s="9" t="s">
        <v>5445</v>
      </c>
      <c r="B647" s="9" t="s">
        <v>113</v>
      </c>
      <c r="C647" s="9" t="s">
        <v>114</v>
      </c>
      <c r="D647" s="9" t="s">
        <v>2002</v>
      </c>
      <c r="E647" s="9" t="s">
        <v>3336</v>
      </c>
      <c r="F647" s="9" t="s">
        <v>5446</v>
      </c>
      <c r="G647" s="9" t="s">
        <v>5447</v>
      </c>
      <c r="H647" s="9" t="s">
        <v>3107</v>
      </c>
      <c r="I647" s="11" t="n">
        <v>28</v>
      </c>
      <c r="J647" s="11" t="n">
        <v>25.9</v>
      </c>
      <c r="K647" s="11"/>
      <c r="L647" s="11"/>
      <c r="M647" s="11" t="n">
        <f aca="false">IF(ISNUMBER(L647),L647,J647)</f>
        <v>25.9</v>
      </c>
      <c r="N647" s="11" t="n">
        <f aca="false">ROUNDUP(M647,0)</f>
        <v>26</v>
      </c>
      <c r="O647" s="11" t="n">
        <f aca="false">MAX(I647,N647)</f>
        <v>28</v>
      </c>
      <c r="P647" s="11" t="n">
        <f aca="false">IF(C647="COVERED",MAX(0,O647-40),0)</f>
        <v>0</v>
      </c>
      <c r="Q647" s="11" t="n">
        <f aca="false">O647</f>
        <v>28</v>
      </c>
      <c r="R647" s="17" t="n">
        <f aca="false">IF(C647="COVERED",10.4,7.55)</f>
        <v>10.4</v>
      </c>
      <c r="S647" s="17" t="n">
        <f aca="false">Q647*R647</f>
        <v>291.2</v>
      </c>
      <c r="T647" s="9" t="s">
        <v>5448</v>
      </c>
      <c r="U647" s="10" t="n">
        <v>46235</v>
      </c>
      <c r="V647" s="9" t="n">
        <v>28</v>
      </c>
      <c r="W647" s="17" t="n">
        <v>10.4</v>
      </c>
      <c r="X647" s="17" t="n">
        <v>291.2</v>
      </c>
      <c r="Y647" s="17" t="n">
        <f aca="false">IF(ISNUMBER(X647),X647-S647,"")</f>
        <v>0</v>
      </c>
      <c r="Z647" s="17" t="n">
        <f aca="false">IF(ISNUMBER(X647),X647-S647,-S647)</f>
        <v>0</v>
      </c>
      <c r="AA647" s="9" t="str">
        <f aca="false">IF(NOT(ISNUMBER(X647)),"NO AUGUST POSTING IN EXPORT",IF(ABS(Y647)&gt;=0.005,"POSTED CHARGE MISMATCH",IF(P647&gt;0,"MATCH - COVERED ELIGIBILITY EXCEPTION","MATCH")))</f>
        <v>MATCH</v>
      </c>
      <c r="AB647" s="9" t="s">
        <v>5449</v>
      </c>
    </row>
    <row r="648" customFormat="false" ht="15" hidden="false" customHeight="false" outlineLevel="0" collapsed="false">
      <c r="A648" s="13" t="s">
        <v>5450</v>
      </c>
      <c r="B648" s="13" t="s">
        <v>113</v>
      </c>
      <c r="C648" s="13" t="s">
        <v>114</v>
      </c>
      <c r="D648" s="13" t="s">
        <v>2002</v>
      </c>
      <c r="E648" s="13" t="s">
        <v>3341</v>
      </c>
      <c r="F648" s="13" t="s">
        <v>5451</v>
      </c>
      <c r="G648" s="13" t="s">
        <v>5452</v>
      </c>
      <c r="H648" s="13" t="s">
        <v>3457</v>
      </c>
      <c r="I648" s="15" t="n">
        <v>32</v>
      </c>
      <c r="J648" s="15" t="n">
        <v>55.1</v>
      </c>
      <c r="K648" s="15"/>
      <c r="L648" s="15"/>
      <c r="M648" s="15" t="n">
        <f aca="false">IF(ISNUMBER(L648),L648,J648)</f>
        <v>55.1</v>
      </c>
      <c r="N648" s="15" t="n">
        <f aca="false">ROUNDUP(M648,0)</f>
        <v>56</v>
      </c>
      <c r="O648" s="15" t="n">
        <f aca="false">MAX(I648,N648)</f>
        <v>56</v>
      </c>
      <c r="P648" s="15" t="n">
        <f aca="false">IF(C648="COVERED",MAX(0,O648-40),0)</f>
        <v>16</v>
      </c>
      <c r="Q648" s="15" t="n">
        <f aca="false">O648</f>
        <v>56</v>
      </c>
      <c r="R648" s="18" t="n">
        <f aca="false">IF(C648="COVERED",10.4,7.55)</f>
        <v>10.4</v>
      </c>
      <c r="S648" s="18" t="n">
        <f aca="false">Q648*R648</f>
        <v>582.4</v>
      </c>
      <c r="T648" s="13" t="s">
        <v>5453</v>
      </c>
      <c r="U648" s="14" t="n">
        <v>46235</v>
      </c>
      <c r="V648" s="13" t="n">
        <v>56</v>
      </c>
      <c r="W648" s="18" t="n">
        <v>10.4</v>
      </c>
      <c r="X648" s="18" t="n">
        <v>582.4</v>
      </c>
      <c r="Y648" s="18" t="n">
        <f aca="false">IF(ISNUMBER(X648),X648-S648,"")</f>
        <v>0</v>
      </c>
      <c r="Z648" s="18" t="n">
        <f aca="false">IF(ISNUMBER(X648),X648-S648,-S648)</f>
        <v>0</v>
      </c>
      <c r="AA648" s="13" t="str">
        <f aca="false">IF(NOT(ISNUMBER(X648)),"NO AUGUST POSTING IN EXPORT",IF(ABS(Y648)&gt;=0.005,"POSTED CHARGE MISMATCH",IF(P648&gt;0,"MATCH - COVERED ELIGIBILITY EXCEPTION","MATCH")))</f>
        <v>MATCH - COVERED ELIGIBILITY EXCEPTION</v>
      </c>
      <c r="AB648" s="13" t="s">
        <v>5454</v>
      </c>
    </row>
    <row r="649" customFormat="false" ht="15" hidden="false" customHeight="false" outlineLevel="0" collapsed="false">
      <c r="A649" s="9" t="s">
        <v>5455</v>
      </c>
      <c r="B649" s="9" t="s">
        <v>113</v>
      </c>
      <c r="C649" s="9" t="s">
        <v>114</v>
      </c>
      <c r="D649" s="9" t="s">
        <v>2002</v>
      </c>
      <c r="E649" s="9" t="s">
        <v>3348</v>
      </c>
      <c r="F649" s="9" t="s">
        <v>5456</v>
      </c>
      <c r="G649" s="9" t="s">
        <v>5457</v>
      </c>
      <c r="H649" s="9" t="s">
        <v>3423</v>
      </c>
      <c r="I649" s="11" t="n">
        <v>32</v>
      </c>
      <c r="J649" s="11" t="n">
        <v>53.2</v>
      </c>
      <c r="K649" s="11"/>
      <c r="L649" s="11"/>
      <c r="M649" s="11" t="n">
        <f aca="false">IF(ISNUMBER(L649),L649,J649)</f>
        <v>53.2</v>
      </c>
      <c r="N649" s="11" t="n">
        <f aca="false">ROUNDUP(M649,0)</f>
        <v>54</v>
      </c>
      <c r="O649" s="11" t="n">
        <f aca="false">MAX(I649,N649)</f>
        <v>54</v>
      </c>
      <c r="P649" s="11" t="n">
        <f aca="false">IF(C649="COVERED",MAX(0,O649-40),0)</f>
        <v>14</v>
      </c>
      <c r="Q649" s="11" t="n">
        <f aca="false">O649</f>
        <v>54</v>
      </c>
      <c r="R649" s="17" t="n">
        <f aca="false">IF(C649="COVERED",10.4,7.55)</f>
        <v>10.4</v>
      </c>
      <c r="S649" s="17" t="n">
        <f aca="false">Q649*R649</f>
        <v>561.6</v>
      </c>
      <c r="T649" s="9" t="s">
        <v>5458</v>
      </c>
      <c r="U649" s="10" t="n">
        <v>46235</v>
      </c>
      <c r="V649" s="9" t="n">
        <v>54</v>
      </c>
      <c r="W649" s="17" t="n">
        <v>10.4</v>
      </c>
      <c r="X649" s="17" t="n">
        <v>561.6</v>
      </c>
      <c r="Y649" s="17" t="n">
        <f aca="false">IF(ISNUMBER(X649),X649-S649,"")</f>
        <v>0</v>
      </c>
      <c r="Z649" s="17" t="n">
        <f aca="false">IF(ISNUMBER(X649),X649-S649,-S649)</f>
        <v>0</v>
      </c>
      <c r="AA649" s="9" t="str">
        <f aca="false">IF(NOT(ISNUMBER(X649)),"NO AUGUST POSTING IN EXPORT",IF(ABS(Y649)&gt;=0.005,"POSTED CHARGE MISMATCH",IF(P649&gt;0,"MATCH - COVERED ELIGIBILITY EXCEPTION","MATCH")))</f>
        <v>MATCH - COVERED ELIGIBILITY EXCEPTION</v>
      </c>
      <c r="AB649" s="9" t="s">
        <v>5459</v>
      </c>
    </row>
    <row r="650" customFormat="false" ht="15" hidden="false" customHeight="false" outlineLevel="0" collapsed="false">
      <c r="A650" s="13" t="s">
        <v>5460</v>
      </c>
      <c r="B650" s="13" t="s">
        <v>113</v>
      </c>
      <c r="C650" s="13" t="s">
        <v>114</v>
      </c>
      <c r="D650" s="13" t="s">
        <v>2002</v>
      </c>
      <c r="E650" s="13" t="s">
        <v>4369</v>
      </c>
      <c r="F650" s="13" t="s">
        <v>5461</v>
      </c>
      <c r="G650" s="13" t="s">
        <v>5462</v>
      </c>
      <c r="H650" s="13" t="s">
        <v>2877</v>
      </c>
      <c r="I650" s="15" t="n">
        <v>32</v>
      </c>
      <c r="J650" s="15" t="n">
        <v>25.1</v>
      </c>
      <c r="K650" s="15"/>
      <c r="L650" s="15"/>
      <c r="M650" s="15" t="n">
        <f aca="false">IF(ISNUMBER(L650),L650,J650)</f>
        <v>25.1</v>
      </c>
      <c r="N650" s="15" t="n">
        <f aca="false">ROUNDUP(M650,0)</f>
        <v>26</v>
      </c>
      <c r="O650" s="15" t="n">
        <f aca="false">MAX(I650,N650)</f>
        <v>32</v>
      </c>
      <c r="P650" s="15" t="n">
        <f aca="false">IF(C650="COVERED",MAX(0,O650-40),0)</f>
        <v>0</v>
      </c>
      <c r="Q650" s="15" t="n">
        <f aca="false">O650</f>
        <v>32</v>
      </c>
      <c r="R650" s="18" t="n">
        <f aca="false">IF(C650="COVERED",10.4,7.55)</f>
        <v>10.4</v>
      </c>
      <c r="S650" s="18" t="n">
        <f aca="false">Q650*R650</f>
        <v>332.8</v>
      </c>
      <c r="T650" s="13" t="s">
        <v>5463</v>
      </c>
      <c r="U650" s="14" t="n">
        <v>46235</v>
      </c>
      <c r="V650" s="13" t="n">
        <v>32</v>
      </c>
      <c r="W650" s="18" t="n">
        <v>10.4</v>
      </c>
      <c r="X650" s="18" t="n">
        <v>332.8</v>
      </c>
      <c r="Y650" s="18" t="n">
        <f aca="false">IF(ISNUMBER(X650),X650-S650,"")</f>
        <v>0</v>
      </c>
      <c r="Z650" s="18" t="n">
        <f aca="false">IF(ISNUMBER(X650),X650-S650,-S650)</f>
        <v>0</v>
      </c>
      <c r="AA650" s="13" t="str">
        <f aca="false">IF(NOT(ISNUMBER(X650)),"NO AUGUST POSTING IN EXPORT",IF(ABS(Y650)&gt;=0.005,"POSTED CHARGE MISMATCH",IF(P650&gt;0,"MATCH - COVERED ELIGIBILITY EXCEPTION","MATCH")))</f>
        <v>MATCH</v>
      </c>
      <c r="AB650" s="13" t="s">
        <v>5464</v>
      </c>
    </row>
    <row r="651" customFormat="false" ht="15" hidden="false" customHeight="false" outlineLevel="0" collapsed="false">
      <c r="A651" s="9" t="s">
        <v>5465</v>
      </c>
      <c r="B651" s="9" t="s">
        <v>113</v>
      </c>
      <c r="C651" s="9" t="s">
        <v>114</v>
      </c>
      <c r="D651" s="9" t="s">
        <v>2002</v>
      </c>
      <c r="E651" s="9" t="s">
        <v>3359</v>
      </c>
      <c r="F651" s="9" t="s">
        <v>5466</v>
      </c>
      <c r="G651" s="9" t="s">
        <v>5467</v>
      </c>
      <c r="H651" s="9" t="s">
        <v>5468</v>
      </c>
      <c r="I651" s="11" t="n">
        <v>24</v>
      </c>
      <c r="J651" s="11" t="n">
        <v>36.2</v>
      </c>
      <c r="K651" s="11"/>
      <c r="L651" s="11"/>
      <c r="M651" s="11" t="n">
        <f aca="false">IF(ISNUMBER(L651),L651,J651)</f>
        <v>36.2</v>
      </c>
      <c r="N651" s="11" t="n">
        <f aca="false">ROUNDUP(M651,0)</f>
        <v>37</v>
      </c>
      <c r="O651" s="11" t="n">
        <f aca="false">MAX(I651,N651)</f>
        <v>37</v>
      </c>
      <c r="P651" s="11" t="n">
        <f aca="false">IF(C651="COVERED",MAX(0,O651-40),0)</f>
        <v>0</v>
      </c>
      <c r="Q651" s="11" t="n">
        <f aca="false">O651</f>
        <v>37</v>
      </c>
      <c r="R651" s="17" t="n">
        <f aca="false">IF(C651="COVERED",10.4,7.55)</f>
        <v>10.4</v>
      </c>
      <c r="S651" s="17" t="n">
        <f aca="false">Q651*R651</f>
        <v>384.8</v>
      </c>
      <c r="T651" s="9" t="s">
        <v>5469</v>
      </c>
      <c r="U651" s="10" t="n">
        <v>46235</v>
      </c>
      <c r="V651" s="9" t="n">
        <v>37</v>
      </c>
      <c r="W651" s="17" t="n">
        <v>10.4</v>
      </c>
      <c r="X651" s="17" t="n">
        <v>384.8</v>
      </c>
      <c r="Y651" s="17" t="n">
        <f aca="false">IF(ISNUMBER(X651),X651-S651,"")</f>
        <v>0</v>
      </c>
      <c r="Z651" s="17" t="n">
        <f aca="false">IF(ISNUMBER(X651),X651-S651,-S651)</f>
        <v>0</v>
      </c>
      <c r="AA651" s="9" t="str">
        <f aca="false">IF(NOT(ISNUMBER(X651)),"NO AUGUST POSTING IN EXPORT",IF(ABS(Y651)&gt;=0.005,"POSTED CHARGE MISMATCH",IF(P651&gt;0,"MATCH - COVERED ELIGIBILITY EXCEPTION","MATCH")))</f>
        <v>MATCH</v>
      </c>
      <c r="AB651" s="9" t="s">
        <v>5470</v>
      </c>
    </row>
    <row r="652" customFormat="false" ht="15" hidden="false" customHeight="false" outlineLevel="0" collapsed="false">
      <c r="A652" s="13" t="s">
        <v>5471</v>
      </c>
      <c r="B652" s="13" t="s">
        <v>113</v>
      </c>
      <c r="C652" s="13" t="s">
        <v>114</v>
      </c>
      <c r="D652" s="13" t="s">
        <v>2002</v>
      </c>
      <c r="E652" s="13" t="s">
        <v>3362</v>
      </c>
      <c r="F652" s="13" t="s">
        <v>5472</v>
      </c>
      <c r="G652" s="13" t="s">
        <v>5473</v>
      </c>
      <c r="H652" s="13" t="s">
        <v>3423</v>
      </c>
      <c r="I652" s="15" t="n">
        <v>24</v>
      </c>
      <c r="J652" s="15" t="n">
        <v>28.7</v>
      </c>
      <c r="K652" s="15"/>
      <c r="L652" s="15"/>
      <c r="M652" s="15" t="n">
        <f aca="false">IF(ISNUMBER(L652),L652,J652)</f>
        <v>28.7</v>
      </c>
      <c r="N652" s="15" t="n">
        <f aca="false">ROUNDUP(M652,0)</f>
        <v>29</v>
      </c>
      <c r="O652" s="15" t="n">
        <f aca="false">MAX(I652,N652)</f>
        <v>29</v>
      </c>
      <c r="P652" s="15" t="n">
        <f aca="false">IF(C652="COVERED",MAX(0,O652-40),0)</f>
        <v>0</v>
      </c>
      <c r="Q652" s="15" t="n">
        <f aca="false">O652</f>
        <v>29</v>
      </c>
      <c r="R652" s="18" t="n">
        <f aca="false">IF(C652="COVERED",10.4,7.55)</f>
        <v>10.4</v>
      </c>
      <c r="S652" s="18" t="n">
        <f aca="false">Q652*R652</f>
        <v>301.6</v>
      </c>
      <c r="T652" s="13" t="s">
        <v>5474</v>
      </c>
      <c r="U652" s="14" t="n">
        <v>46235</v>
      </c>
      <c r="V652" s="13" t="n">
        <v>29</v>
      </c>
      <c r="W652" s="18" t="n">
        <v>10.4</v>
      </c>
      <c r="X652" s="18" t="n">
        <v>301.6</v>
      </c>
      <c r="Y652" s="18" t="n">
        <f aca="false">IF(ISNUMBER(X652),X652-S652,"")</f>
        <v>0</v>
      </c>
      <c r="Z652" s="18" t="n">
        <f aca="false">IF(ISNUMBER(X652),X652-S652,-S652)</f>
        <v>0</v>
      </c>
      <c r="AA652" s="13" t="str">
        <f aca="false">IF(NOT(ISNUMBER(X652)),"NO AUGUST POSTING IN EXPORT",IF(ABS(Y652)&gt;=0.005,"POSTED CHARGE MISMATCH",IF(P652&gt;0,"MATCH - COVERED ELIGIBILITY EXCEPTION","MATCH")))</f>
        <v>MATCH</v>
      </c>
      <c r="AB652" s="13" t="s">
        <v>5475</v>
      </c>
    </row>
    <row r="653" customFormat="false" ht="15" hidden="false" customHeight="false" outlineLevel="0" collapsed="false">
      <c r="A653" s="9" t="s">
        <v>5476</v>
      </c>
      <c r="B653" s="9" t="s">
        <v>113</v>
      </c>
      <c r="C653" s="9" t="s">
        <v>114</v>
      </c>
      <c r="D653" s="9" t="s">
        <v>2002</v>
      </c>
      <c r="E653" s="9" t="s">
        <v>3367</v>
      </c>
      <c r="F653" s="9" t="s">
        <v>5477</v>
      </c>
      <c r="G653" s="9" t="s">
        <v>5478</v>
      </c>
      <c r="H653" s="9" t="s">
        <v>4298</v>
      </c>
      <c r="I653" s="11" t="n">
        <v>24</v>
      </c>
      <c r="J653" s="11" t="n">
        <v>20</v>
      </c>
      <c r="K653" s="11"/>
      <c r="L653" s="11"/>
      <c r="M653" s="11" t="n">
        <f aca="false">IF(ISNUMBER(L653),L653,J653)</f>
        <v>20</v>
      </c>
      <c r="N653" s="11" t="n">
        <f aca="false">ROUNDUP(M653,0)</f>
        <v>20</v>
      </c>
      <c r="O653" s="11" t="n">
        <f aca="false">MAX(I653,N653)</f>
        <v>24</v>
      </c>
      <c r="P653" s="11" t="n">
        <f aca="false">IF(C653="COVERED",MAX(0,O653-40),0)</f>
        <v>0</v>
      </c>
      <c r="Q653" s="11" t="n">
        <f aca="false">O653</f>
        <v>24</v>
      </c>
      <c r="R653" s="17" t="n">
        <f aca="false">IF(C653="COVERED",10.4,7.55)</f>
        <v>10.4</v>
      </c>
      <c r="S653" s="17" t="n">
        <f aca="false">Q653*R653</f>
        <v>249.6</v>
      </c>
      <c r="T653" s="9" t="s">
        <v>5479</v>
      </c>
      <c r="U653" s="10" t="n">
        <v>46235</v>
      </c>
      <c r="V653" s="9" t="n">
        <v>24</v>
      </c>
      <c r="W653" s="17" t="n">
        <v>10.4</v>
      </c>
      <c r="X653" s="17" t="n">
        <v>249.6</v>
      </c>
      <c r="Y653" s="17" t="n">
        <f aca="false">IF(ISNUMBER(X653),X653-S653,"")</f>
        <v>0</v>
      </c>
      <c r="Z653" s="17" t="n">
        <f aca="false">IF(ISNUMBER(X653),X653-S653,-S653)</f>
        <v>0</v>
      </c>
      <c r="AA653" s="9" t="str">
        <f aca="false">IF(NOT(ISNUMBER(X653)),"NO AUGUST POSTING IN EXPORT",IF(ABS(Y653)&gt;=0.005,"POSTED CHARGE MISMATCH",IF(P653&gt;0,"MATCH - COVERED ELIGIBILITY EXCEPTION","MATCH")))</f>
        <v>MATCH</v>
      </c>
      <c r="AB653" s="9" t="s">
        <v>5480</v>
      </c>
    </row>
    <row r="654" customFormat="false" ht="15" hidden="false" customHeight="false" outlineLevel="0" collapsed="false">
      <c r="A654" s="13" t="s">
        <v>935</v>
      </c>
      <c r="B654" s="13" t="s">
        <v>113</v>
      </c>
      <c r="C654" s="13" t="s">
        <v>114</v>
      </c>
      <c r="D654" s="13" t="s">
        <v>2002</v>
      </c>
      <c r="E654" s="13" t="s">
        <v>3374</v>
      </c>
      <c r="F654" s="13" t="s">
        <v>5481</v>
      </c>
      <c r="G654" s="13" t="s">
        <v>5482</v>
      </c>
      <c r="H654" s="13" t="s">
        <v>3807</v>
      </c>
      <c r="I654" s="15" t="n">
        <v>32</v>
      </c>
      <c r="J654" s="15" t="n">
        <v>53.7</v>
      </c>
      <c r="K654" s="15"/>
      <c r="L654" s="15"/>
      <c r="M654" s="15" t="n">
        <f aca="false">IF(ISNUMBER(L654),L654,J654)</f>
        <v>53.7</v>
      </c>
      <c r="N654" s="15" t="n">
        <f aca="false">ROUNDUP(M654,0)</f>
        <v>54</v>
      </c>
      <c r="O654" s="15" t="n">
        <f aca="false">MAX(I654,N654)</f>
        <v>54</v>
      </c>
      <c r="P654" s="15" t="n">
        <f aca="false">IF(C654="COVERED",MAX(0,O654-40),0)</f>
        <v>14</v>
      </c>
      <c r="Q654" s="15" t="n">
        <f aca="false">O654</f>
        <v>54</v>
      </c>
      <c r="R654" s="18" t="n">
        <f aca="false">IF(C654="COVERED",10.4,7.55)</f>
        <v>10.4</v>
      </c>
      <c r="S654" s="18" t="n">
        <f aca="false">Q654*R654</f>
        <v>561.6</v>
      </c>
      <c r="T654" s="13" t="s">
        <v>5483</v>
      </c>
      <c r="U654" s="14" t="n">
        <v>46235</v>
      </c>
      <c r="V654" s="13" t="n">
        <v>54</v>
      </c>
      <c r="W654" s="18" t="n">
        <v>10.4</v>
      </c>
      <c r="X654" s="18" t="n">
        <v>561.6</v>
      </c>
      <c r="Y654" s="18" t="n">
        <f aca="false">IF(ISNUMBER(X654),X654-S654,"")</f>
        <v>0</v>
      </c>
      <c r="Z654" s="18" t="n">
        <f aca="false">IF(ISNUMBER(X654),X654-S654,-S654)</f>
        <v>0</v>
      </c>
      <c r="AA654" s="13" t="str">
        <f aca="false">IF(NOT(ISNUMBER(X654)),"NO AUGUST POSTING IN EXPORT",IF(ABS(Y654)&gt;=0.005,"POSTED CHARGE MISMATCH",IF(P654&gt;0,"MATCH - COVERED ELIGIBILITY EXCEPTION","MATCH")))</f>
        <v>MATCH - COVERED ELIGIBILITY EXCEPTION</v>
      </c>
      <c r="AB654" s="13" t="s">
        <v>5484</v>
      </c>
    </row>
    <row r="655" customFormat="false" ht="15" hidden="false" customHeight="false" outlineLevel="0" collapsed="false">
      <c r="A655" s="9" t="s">
        <v>1772</v>
      </c>
      <c r="B655" s="9" t="s">
        <v>113</v>
      </c>
      <c r="C655" s="9" t="s">
        <v>114</v>
      </c>
      <c r="D655" s="9" t="s">
        <v>2002</v>
      </c>
      <c r="E655" s="9" t="s">
        <v>5485</v>
      </c>
      <c r="F655" s="9" t="s">
        <v>5486</v>
      </c>
      <c r="G655" s="9" t="s">
        <v>5487</v>
      </c>
      <c r="H655" s="9" t="s">
        <v>2905</v>
      </c>
      <c r="I655" s="11" t="n">
        <v>28</v>
      </c>
      <c r="J655" s="11" t="n">
        <v>54.9</v>
      </c>
      <c r="K655" s="11"/>
      <c r="L655" s="11"/>
      <c r="M655" s="11" t="n">
        <f aca="false">IF(ISNUMBER(L655),L655,J655)</f>
        <v>54.9</v>
      </c>
      <c r="N655" s="11" t="n">
        <f aca="false">ROUNDUP(M655,0)</f>
        <v>55</v>
      </c>
      <c r="O655" s="11" t="n">
        <f aca="false">MAX(I655,N655)</f>
        <v>55</v>
      </c>
      <c r="P655" s="11" t="n">
        <f aca="false">IF(C655="COVERED",MAX(0,O655-40),0)</f>
        <v>15</v>
      </c>
      <c r="Q655" s="11" t="n">
        <f aca="false">O655</f>
        <v>55</v>
      </c>
      <c r="R655" s="17" t="n">
        <f aca="false">IF(C655="COVERED",10.4,7.55)</f>
        <v>10.4</v>
      </c>
      <c r="S655" s="17" t="n">
        <f aca="false">Q655*R655</f>
        <v>572</v>
      </c>
      <c r="T655" s="9" t="s">
        <v>5488</v>
      </c>
      <c r="U655" s="10" t="n">
        <v>46235</v>
      </c>
      <c r="V655" s="9" t="n">
        <v>55</v>
      </c>
      <c r="W655" s="17" t="n">
        <v>10.4</v>
      </c>
      <c r="X655" s="17" t="n">
        <v>572</v>
      </c>
      <c r="Y655" s="17" t="n">
        <f aca="false">IF(ISNUMBER(X655),X655-S655,"")</f>
        <v>0</v>
      </c>
      <c r="Z655" s="17" t="n">
        <f aca="false">IF(ISNUMBER(X655),X655-S655,-S655)</f>
        <v>0</v>
      </c>
      <c r="AA655" s="9" t="str">
        <f aca="false">IF(NOT(ISNUMBER(X655)),"NO AUGUST POSTING IN EXPORT",IF(ABS(Y655)&gt;=0.005,"POSTED CHARGE MISMATCH",IF(P655&gt;0,"MATCH - COVERED ELIGIBILITY EXCEPTION","MATCH")))</f>
        <v>MATCH - COVERED ELIGIBILITY EXCEPTION</v>
      </c>
      <c r="AB655" s="9" t="s">
        <v>5489</v>
      </c>
    </row>
    <row r="656" customFormat="false" ht="15" hidden="false" customHeight="false" outlineLevel="0" collapsed="false">
      <c r="A656" s="13" t="s">
        <v>1886</v>
      </c>
      <c r="B656" s="13" t="s">
        <v>113</v>
      </c>
      <c r="C656" s="13" t="s">
        <v>114</v>
      </c>
      <c r="D656" s="13" t="s">
        <v>2002</v>
      </c>
      <c r="E656" s="13" t="s">
        <v>5490</v>
      </c>
      <c r="F656" s="13" t="s">
        <v>5491</v>
      </c>
      <c r="G656" s="13" t="s">
        <v>5492</v>
      </c>
      <c r="H656" s="13" t="s">
        <v>5493</v>
      </c>
      <c r="I656" s="15" t="n">
        <v>32</v>
      </c>
      <c r="J656" s="15" t="n">
        <v>23.2</v>
      </c>
      <c r="K656" s="15"/>
      <c r="L656" s="15"/>
      <c r="M656" s="15" t="n">
        <f aca="false">IF(ISNUMBER(L656),L656,J656)</f>
        <v>23.2</v>
      </c>
      <c r="N656" s="15" t="n">
        <f aca="false">ROUNDUP(M656,0)</f>
        <v>24</v>
      </c>
      <c r="O656" s="15" t="n">
        <f aca="false">MAX(I656,N656)</f>
        <v>32</v>
      </c>
      <c r="P656" s="15" t="n">
        <f aca="false">IF(C656="COVERED",MAX(0,O656-40),0)</f>
        <v>0</v>
      </c>
      <c r="Q656" s="15" t="n">
        <f aca="false">O656</f>
        <v>32</v>
      </c>
      <c r="R656" s="18" t="n">
        <f aca="false">IF(C656="COVERED",10.4,7.55)</f>
        <v>10.4</v>
      </c>
      <c r="S656" s="18" t="n">
        <f aca="false">Q656*R656</f>
        <v>332.8</v>
      </c>
      <c r="T656" s="13" t="s">
        <v>5494</v>
      </c>
      <c r="U656" s="14" t="n">
        <v>46235</v>
      </c>
      <c r="V656" s="13" t="n">
        <v>32</v>
      </c>
      <c r="W656" s="18" t="n">
        <v>10.4</v>
      </c>
      <c r="X656" s="18" t="n">
        <v>332.8</v>
      </c>
      <c r="Y656" s="18" t="n">
        <f aca="false">IF(ISNUMBER(X656),X656-S656,"")</f>
        <v>0</v>
      </c>
      <c r="Z656" s="18" t="n">
        <f aca="false">IF(ISNUMBER(X656),X656-S656,-S656)</f>
        <v>0</v>
      </c>
      <c r="AA656" s="13" t="str">
        <f aca="false">IF(NOT(ISNUMBER(X656)),"NO AUGUST POSTING IN EXPORT",IF(ABS(Y656)&gt;=0.005,"POSTED CHARGE MISMATCH",IF(P656&gt;0,"MATCH - COVERED ELIGIBILITY EXCEPTION","MATCH")))</f>
        <v>MATCH</v>
      </c>
      <c r="AB656" s="13" t="s">
        <v>5495</v>
      </c>
    </row>
    <row r="657" customFormat="false" ht="15" hidden="false" customHeight="false" outlineLevel="0" collapsed="false">
      <c r="A657" s="9" t="s">
        <v>276</v>
      </c>
      <c r="B657" s="9" t="s">
        <v>113</v>
      </c>
      <c r="C657" s="9" t="s">
        <v>114</v>
      </c>
      <c r="D657" s="9" t="s">
        <v>2002</v>
      </c>
      <c r="E657" s="9" t="s">
        <v>5496</v>
      </c>
      <c r="F657" s="9" t="s">
        <v>5497</v>
      </c>
      <c r="G657" s="9" t="s">
        <v>5498</v>
      </c>
      <c r="H657" s="9" t="s">
        <v>2750</v>
      </c>
      <c r="I657" s="11" t="n">
        <v>32</v>
      </c>
      <c r="J657" s="11" t="n">
        <v>53.6</v>
      </c>
      <c r="K657" s="11"/>
      <c r="L657" s="11"/>
      <c r="M657" s="11" t="n">
        <f aca="false">IF(ISNUMBER(L657),L657,J657)</f>
        <v>53.6</v>
      </c>
      <c r="N657" s="11" t="n">
        <f aca="false">ROUNDUP(M657,0)</f>
        <v>54</v>
      </c>
      <c r="O657" s="11" t="n">
        <f aca="false">MAX(I657,N657)</f>
        <v>54</v>
      </c>
      <c r="P657" s="11" t="n">
        <f aca="false">IF(C657="COVERED",MAX(0,O657-40),0)</f>
        <v>14</v>
      </c>
      <c r="Q657" s="11" t="n">
        <f aca="false">O657</f>
        <v>54</v>
      </c>
      <c r="R657" s="17" t="n">
        <f aca="false">IF(C657="COVERED",10.4,7.55)</f>
        <v>10.4</v>
      </c>
      <c r="S657" s="17" t="n">
        <f aca="false">Q657*R657</f>
        <v>561.6</v>
      </c>
      <c r="T657" s="9" t="s">
        <v>5499</v>
      </c>
      <c r="U657" s="10" t="n">
        <v>46235</v>
      </c>
      <c r="V657" s="9" t="n">
        <v>54</v>
      </c>
      <c r="W657" s="17" t="n">
        <v>10.4</v>
      </c>
      <c r="X657" s="17" t="n">
        <v>561.6</v>
      </c>
      <c r="Y657" s="17" t="n">
        <f aca="false">IF(ISNUMBER(X657),X657-S657,"")</f>
        <v>0</v>
      </c>
      <c r="Z657" s="17" t="n">
        <f aca="false">IF(ISNUMBER(X657),X657-S657,-S657)</f>
        <v>0</v>
      </c>
      <c r="AA657" s="9" t="str">
        <f aca="false">IF(NOT(ISNUMBER(X657)),"NO AUGUST POSTING IN EXPORT",IF(ABS(Y657)&gt;=0.005,"POSTED CHARGE MISMATCH",IF(P657&gt;0,"MATCH - COVERED ELIGIBILITY EXCEPTION","MATCH")))</f>
        <v>MATCH - COVERED ELIGIBILITY EXCEPTION</v>
      </c>
      <c r="AB657" s="9" t="s">
        <v>5500</v>
      </c>
    </row>
    <row r="658" customFormat="false" ht="15" hidden="false" customHeight="false" outlineLevel="0" collapsed="false">
      <c r="A658" s="13" t="s">
        <v>1846</v>
      </c>
      <c r="B658" s="13" t="s">
        <v>113</v>
      </c>
      <c r="C658" s="13" t="s">
        <v>114</v>
      </c>
      <c r="D658" s="13" t="s">
        <v>2002</v>
      </c>
      <c r="E658" s="13" t="s">
        <v>5501</v>
      </c>
      <c r="F658" s="13" t="s">
        <v>5502</v>
      </c>
      <c r="G658" s="13" t="s">
        <v>5503</v>
      </c>
      <c r="H658" s="13" t="s">
        <v>5504</v>
      </c>
      <c r="I658" s="15" t="n">
        <v>36</v>
      </c>
      <c r="J658" s="15" t="n">
        <v>48.9</v>
      </c>
      <c r="K658" s="15"/>
      <c r="L658" s="15"/>
      <c r="M658" s="15" t="n">
        <f aca="false">IF(ISNUMBER(L658),L658,J658)</f>
        <v>48.9</v>
      </c>
      <c r="N658" s="15" t="n">
        <f aca="false">ROUNDUP(M658,0)</f>
        <v>49</v>
      </c>
      <c r="O658" s="15" t="n">
        <f aca="false">MAX(I658,N658)</f>
        <v>49</v>
      </c>
      <c r="P658" s="15" t="n">
        <f aca="false">IF(C658="COVERED",MAX(0,O658-40),0)</f>
        <v>9</v>
      </c>
      <c r="Q658" s="15" t="n">
        <f aca="false">O658</f>
        <v>49</v>
      </c>
      <c r="R658" s="18" t="n">
        <f aca="false">IF(C658="COVERED",10.4,7.55)</f>
        <v>10.4</v>
      </c>
      <c r="S658" s="18" t="n">
        <f aca="false">Q658*R658</f>
        <v>509.6</v>
      </c>
      <c r="T658" s="13" t="s">
        <v>5505</v>
      </c>
      <c r="U658" s="14" t="n">
        <v>46235</v>
      </c>
      <c r="V658" s="13" t="n">
        <v>49</v>
      </c>
      <c r="W658" s="18" t="n">
        <v>10.4</v>
      </c>
      <c r="X658" s="18" t="n">
        <v>509.6</v>
      </c>
      <c r="Y658" s="18" t="n">
        <f aca="false">IF(ISNUMBER(X658),X658-S658,"")</f>
        <v>0</v>
      </c>
      <c r="Z658" s="18" t="n">
        <f aca="false">IF(ISNUMBER(X658),X658-S658,-S658)</f>
        <v>0</v>
      </c>
      <c r="AA658" s="13" t="str">
        <f aca="false">IF(NOT(ISNUMBER(X658)),"NO AUGUST POSTING IN EXPORT",IF(ABS(Y658)&gt;=0.005,"POSTED CHARGE MISMATCH",IF(P658&gt;0,"MATCH - COVERED ELIGIBILITY EXCEPTION","MATCH")))</f>
        <v>MATCH - COVERED ELIGIBILITY EXCEPTION</v>
      </c>
      <c r="AB658" s="13" t="s">
        <v>5506</v>
      </c>
    </row>
    <row r="659" customFormat="false" ht="15" hidden="false" customHeight="false" outlineLevel="0" collapsed="false">
      <c r="A659" s="9" t="s">
        <v>5507</v>
      </c>
      <c r="B659" s="9" t="s">
        <v>113</v>
      </c>
      <c r="C659" s="9" t="s">
        <v>114</v>
      </c>
      <c r="D659" s="9" t="s">
        <v>2002</v>
      </c>
      <c r="E659" s="9" t="s">
        <v>5508</v>
      </c>
      <c r="F659" s="9" t="s">
        <v>5509</v>
      </c>
      <c r="G659" s="9" t="s">
        <v>5510</v>
      </c>
      <c r="H659" s="9" t="s">
        <v>5511</v>
      </c>
      <c r="I659" s="11" t="n">
        <v>24</v>
      </c>
      <c r="J659" s="11" t="n">
        <v>18.6</v>
      </c>
      <c r="K659" s="11"/>
      <c r="L659" s="11"/>
      <c r="M659" s="11" t="n">
        <f aca="false">IF(ISNUMBER(L659),L659,J659)</f>
        <v>18.6</v>
      </c>
      <c r="N659" s="11" t="n">
        <f aca="false">ROUNDUP(M659,0)</f>
        <v>19</v>
      </c>
      <c r="O659" s="11" t="n">
        <f aca="false">MAX(I659,N659)</f>
        <v>24</v>
      </c>
      <c r="P659" s="11" t="n">
        <f aca="false">IF(C659="COVERED",MAX(0,O659-40),0)</f>
        <v>0</v>
      </c>
      <c r="Q659" s="11" t="n">
        <f aca="false">O659</f>
        <v>24</v>
      </c>
      <c r="R659" s="17" t="n">
        <f aca="false">IF(C659="COVERED",10.4,7.55)</f>
        <v>10.4</v>
      </c>
      <c r="S659" s="17" t="n">
        <f aca="false">Q659*R659</f>
        <v>249.6</v>
      </c>
      <c r="T659" s="9" t="s">
        <v>5512</v>
      </c>
      <c r="U659" s="10" t="n">
        <v>46235</v>
      </c>
      <c r="V659" s="9" t="n">
        <v>24</v>
      </c>
      <c r="W659" s="17" t="n">
        <v>10.4</v>
      </c>
      <c r="X659" s="17" t="n">
        <v>249.6</v>
      </c>
      <c r="Y659" s="17" t="n">
        <f aca="false">IF(ISNUMBER(X659),X659-S659,"")</f>
        <v>0</v>
      </c>
      <c r="Z659" s="17" t="n">
        <f aca="false">IF(ISNUMBER(X659),X659-S659,-S659)</f>
        <v>0</v>
      </c>
      <c r="AA659" s="9" t="str">
        <f aca="false">IF(NOT(ISNUMBER(X659)),"NO AUGUST POSTING IN EXPORT",IF(ABS(Y659)&gt;=0.005,"POSTED CHARGE MISMATCH",IF(P659&gt;0,"MATCH - COVERED ELIGIBILITY EXCEPTION","MATCH")))</f>
        <v>MATCH</v>
      </c>
      <c r="AB659" s="9" t="s">
        <v>5513</v>
      </c>
    </row>
    <row r="660" customFormat="false" ht="15" hidden="false" customHeight="false" outlineLevel="0" collapsed="false">
      <c r="A660" s="13" t="s">
        <v>1200</v>
      </c>
      <c r="B660" s="13" t="s">
        <v>113</v>
      </c>
      <c r="C660" s="13" t="s">
        <v>114</v>
      </c>
      <c r="D660" s="13" t="s">
        <v>2002</v>
      </c>
      <c r="E660" s="13" t="s">
        <v>5514</v>
      </c>
      <c r="F660" s="13" t="s">
        <v>5515</v>
      </c>
      <c r="G660" s="13" t="s">
        <v>5516</v>
      </c>
      <c r="H660" s="13" t="s">
        <v>5517</v>
      </c>
      <c r="I660" s="15" t="n">
        <v>28</v>
      </c>
      <c r="J660" s="15" t="n">
        <v>47.6</v>
      </c>
      <c r="K660" s="15"/>
      <c r="L660" s="15"/>
      <c r="M660" s="15" t="n">
        <f aca="false">IF(ISNUMBER(L660),L660,J660)</f>
        <v>47.6</v>
      </c>
      <c r="N660" s="15" t="n">
        <f aca="false">ROUNDUP(M660,0)</f>
        <v>48</v>
      </c>
      <c r="O660" s="15" t="n">
        <f aca="false">MAX(I660,N660)</f>
        <v>48</v>
      </c>
      <c r="P660" s="15" t="n">
        <f aca="false">IF(C660="COVERED",MAX(0,O660-40),0)</f>
        <v>8</v>
      </c>
      <c r="Q660" s="15" t="n">
        <f aca="false">O660</f>
        <v>48</v>
      </c>
      <c r="R660" s="18" t="n">
        <f aca="false">IF(C660="COVERED",10.4,7.55)</f>
        <v>10.4</v>
      </c>
      <c r="S660" s="18" t="n">
        <f aca="false">Q660*R660</f>
        <v>499.2</v>
      </c>
      <c r="T660" s="13" t="s">
        <v>5518</v>
      </c>
      <c r="U660" s="14" t="n">
        <v>46235</v>
      </c>
      <c r="V660" s="13" t="n">
        <v>48</v>
      </c>
      <c r="W660" s="18" t="n">
        <v>10.4</v>
      </c>
      <c r="X660" s="18" t="n">
        <v>499.2</v>
      </c>
      <c r="Y660" s="18" t="n">
        <f aca="false">IF(ISNUMBER(X660),X660-S660,"")</f>
        <v>0</v>
      </c>
      <c r="Z660" s="18" t="n">
        <f aca="false">IF(ISNUMBER(X660),X660-S660,-S660)</f>
        <v>0</v>
      </c>
      <c r="AA660" s="13" t="str">
        <f aca="false">IF(NOT(ISNUMBER(X660)),"NO AUGUST POSTING IN EXPORT",IF(ABS(Y660)&gt;=0.005,"POSTED CHARGE MISMATCH",IF(P660&gt;0,"MATCH - COVERED ELIGIBILITY EXCEPTION","MATCH")))</f>
        <v>MATCH - COVERED ELIGIBILITY EXCEPTION</v>
      </c>
      <c r="AB660" s="13" t="s">
        <v>5519</v>
      </c>
    </row>
    <row r="661" customFormat="false" ht="15" hidden="false" customHeight="false" outlineLevel="0" collapsed="false">
      <c r="A661" s="9" t="s">
        <v>1244</v>
      </c>
      <c r="B661" s="9" t="s">
        <v>113</v>
      </c>
      <c r="C661" s="9" t="s">
        <v>114</v>
      </c>
      <c r="D661" s="9" t="s">
        <v>2002</v>
      </c>
      <c r="E661" s="9" t="s">
        <v>5520</v>
      </c>
      <c r="F661" s="9" t="s">
        <v>5521</v>
      </c>
      <c r="G661" s="9" t="s">
        <v>5522</v>
      </c>
      <c r="H661" s="9" t="s">
        <v>4637</v>
      </c>
      <c r="I661" s="11" t="n">
        <v>32</v>
      </c>
      <c r="J661" s="11" t="n">
        <v>30.9</v>
      </c>
      <c r="K661" s="11"/>
      <c r="L661" s="11"/>
      <c r="M661" s="11" t="n">
        <f aca="false">IF(ISNUMBER(L661),L661,J661)</f>
        <v>30.9</v>
      </c>
      <c r="N661" s="11" t="n">
        <f aca="false">ROUNDUP(M661,0)</f>
        <v>31</v>
      </c>
      <c r="O661" s="11" t="n">
        <f aca="false">MAX(I661,N661)</f>
        <v>32</v>
      </c>
      <c r="P661" s="11" t="n">
        <f aca="false">IF(C661="COVERED",MAX(0,O661-40),0)</f>
        <v>0</v>
      </c>
      <c r="Q661" s="11" t="n">
        <f aca="false">O661</f>
        <v>32</v>
      </c>
      <c r="R661" s="17" t="n">
        <f aca="false">IF(C661="COVERED",10.4,7.55)</f>
        <v>10.4</v>
      </c>
      <c r="S661" s="17" t="n">
        <f aca="false">Q661*R661</f>
        <v>332.8</v>
      </c>
      <c r="T661" s="9" t="s">
        <v>5523</v>
      </c>
      <c r="U661" s="10" t="n">
        <v>46235</v>
      </c>
      <c r="V661" s="9" t="n">
        <v>32</v>
      </c>
      <c r="W661" s="17" t="n">
        <v>10.4</v>
      </c>
      <c r="X661" s="17" t="n">
        <v>332.8</v>
      </c>
      <c r="Y661" s="17" t="n">
        <f aca="false">IF(ISNUMBER(X661),X661-S661,"")</f>
        <v>0</v>
      </c>
      <c r="Z661" s="17" t="n">
        <f aca="false">IF(ISNUMBER(X661),X661-S661,-S661)</f>
        <v>0</v>
      </c>
      <c r="AA661" s="9" t="str">
        <f aca="false">IF(NOT(ISNUMBER(X661)),"NO AUGUST POSTING IN EXPORT",IF(ABS(Y661)&gt;=0.005,"POSTED CHARGE MISMATCH",IF(P661&gt;0,"MATCH - COVERED ELIGIBILITY EXCEPTION","MATCH")))</f>
        <v>MATCH</v>
      </c>
      <c r="AB661" s="9" t="s">
        <v>5524</v>
      </c>
    </row>
    <row r="662" customFormat="false" ht="15" hidden="false" customHeight="false" outlineLevel="0" collapsed="false">
      <c r="A662" s="13" t="s">
        <v>1651</v>
      </c>
      <c r="B662" s="13" t="s">
        <v>113</v>
      </c>
      <c r="C662" s="13" t="s">
        <v>114</v>
      </c>
      <c r="D662" s="13" t="s">
        <v>2002</v>
      </c>
      <c r="E662" s="13" t="s">
        <v>5525</v>
      </c>
      <c r="F662" s="13" t="s">
        <v>5526</v>
      </c>
      <c r="G662" s="13" t="s">
        <v>5527</v>
      </c>
      <c r="H662" s="13" t="s">
        <v>2270</v>
      </c>
      <c r="I662" s="15" t="n">
        <v>24</v>
      </c>
      <c r="J662" s="15" t="n">
        <v>29.2</v>
      </c>
      <c r="K662" s="15"/>
      <c r="L662" s="15"/>
      <c r="M662" s="15" t="n">
        <f aca="false">IF(ISNUMBER(L662),L662,J662)</f>
        <v>29.2</v>
      </c>
      <c r="N662" s="15" t="n">
        <f aca="false">ROUNDUP(M662,0)</f>
        <v>30</v>
      </c>
      <c r="O662" s="15" t="n">
        <f aca="false">MAX(I662,N662)</f>
        <v>30</v>
      </c>
      <c r="P662" s="15" t="n">
        <f aca="false">IF(C662="COVERED",MAX(0,O662-40),0)</f>
        <v>0</v>
      </c>
      <c r="Q662" s="15" t="n">
        <f aca="false">O662</f>
        <v>30</v>
      </c>
      <c r="R662" s="18" t="n">
        <f aca="false">IF(C662="COVERED",10.4,7.55)</f>
        <v>10.4</v>
      </c>
      <c r="S662" s="18" t="n">
        <f aca="false">Q662*R662</f>
        <v>312</v>
      </c>
      <c r="T662" s="13" t="s">
        <v>5528</v>
      </c>
      <c r="U662" s="14" t="n">
        <v>46235</v>
      </c>
      <c r="V662" s="13" t="n">
        <v>30</v>
      </c>
      <c r="W662" s="18" t="n">
        <v>10.4</v>
      </c>
      <c r="X662" s="18" t="n">
        <v>312</v>
      </c>
      <c r="Y662" s="18" t="n">
        <f aca="false">IF(ISNUMBER(X662),X662-S662,"")</f>
        <v>0</v>
      </c>
      <c r="Z662" s="18" t="n">
        <f aca="false">IF(ISNUMBER(X662),X662-S662,-S662)</f>
        <v>0</v>
      </c>
      <c r="AA662" s="13" t="str">
        <f aca="false">IF(NOT(ISNUMBER(X662)),"NO AUGUST POSTING IN EXPORT",IF(ABS(Y662)&gt;=0.005,"POSTED CHARGE MISMATCH",IF(P662&gt;0,"MATCH - COVERED ELIGIBILITY EXCEPTION","MATCH")))</f>
        <v>MATCH</v>
      </c>
      <c r="AB662" s="13" t="s">
        <v>5529</v>
      </c>
    </row>
    <row r="663" customFormat="false" ht="15" hidden="false" customHeight="false" outlineLevel="0" collapsed="false">
      <c r="A663" s="9" t="s">
        <v>5530</v>
      </c>
      <c r="B663" s="9" t="s">
        <v>113</v>
      </c>
      <c r="C663" s="9" t="s">
        <v>114</v>
      </c>
      <c r="D663" s="9" t="s">
        <v>2002</v>
      </c>
      <c r="E663" s="9" t="s">
        <v>5531</v>
      </c>
      <c r="F663" s="9" t="s">
        <v>5532</v>
      </c>
      <c r="G663" s="9" t="s">
        <v>5533</v>
      </c>
      <c r="H663" s="9" t="s">
        <v>3086</v>
      </c>
      <c r="I663" s="11" t="n">
        <v>24</v>
      </c>
      <c r="J663" s="11" t="n">
        <v>34.1</v>
      </c>
      <c r="K663" s="11"/>
      <c r="L663" s="11"/>
      <c r="M663" s="11" t="n">
        <f aca="false">IF(ISNUMBER(L663),L663,J663)</f>
        <v>34.1</v>
      </c>
      <c r="N663" s="11" t="n">
        <f aca="false">ROUNDUP(M663,0)</f>
        <v>35</v>
      </c>
      <c r="O663" s="11" t="n">
        <f aca="false">MAX(I663,N663)</f>
        <v>35</v>
      </c>
      <c r="P663" s="11" t="n">
        <f aca="false">IF(C663="COVERED",MAX(0,O663-40),0)</f>
        <v>0</v>
      </c>
      <c r="Q663" s="11" t="n">
        <f aca="false">O663</f>
        <v>35</v>
      </c>
      <c r="R663" s="17" t="n">
        <f aca="false">IF(C663="COVERED",10.4,7.55)</f>
        <v>10.4</v>
      </c>
      <c r="S663" s="17" t="n">
        <f aca="false">Q663*R663</f>
        <v>364</v>
      </c>
      <c r="T663" s="9" t="s">
        <v>5534</v>
      </c>
      <c r="U663" s="10" t="n">
        <v>46235</v>
      </c>
      <c r="V663" s="9" t="n">
        <v>35</v>
      </c>
      <c r="W663" s="17" t="n">
        <v>10.4</v>
      </c>
      <c r="X663" s="17" t="n">
        <v>364</v>
      </c>
      <c r="Y663" s="17" t="n">
        <f aca="false">IF(ISNUMBER(X663),X663-S663,"")</f>
        <v>0</v>
      </c>
      <c r="Z663" s="17" t="n">
        <f aca="false">IF(ISNUMBER(X663),X663-S663,-S663)</f>
        <v>0</v>
      </c>
      <c r="AA663" s="9" t="str">
        <f aca="false">IF(NOT(ISNUMBER(X663)),"NO AUGUST POSTING IN EXPORT",IF(ABS(Y663)&gt;=0.005,"POSTED CHARGE MISMATCH",IF(P663&gt;0,"MATCH - COVERED ELIGIBILITY EXCEPTION","MATCH")))</f>
        <v>MATCH</v>
      </c>
      <c r="AB663" s="9" t="s">
        <v>5535</v>
      </c>
    </row>
    <row r="664" customFormat="false" ht="15" hidden="false" customHeight="false" outlineLevel="0" collapsed="false">
      <c r="A664" s="13" t="s">
        <v>5536</v>
      </c>
      <c r="B664" s="13" t="s">
        <v>113</v>
      </c>
      <c r="C664" s="13" t="s">
        <v>114</v>
      </c>
      <c r="D664" s="13" t="s">
        <v>2002</v>
      </c>
      <c r="E664" s="13" t="s">
        <v>5537</v>
      </c>
      <c r="F664" s="13" t="s">
        <v>1732</v>
      </c>
      <c r="G664" s="13" t="s">
        <v>1733</v>
      </c>
      <c r="H664" s="13" t="s">
        <v>3855</v>
      </c>
      <c r="I664" s="15" t="n">
        <v>32</v>
      </c>
      <c r="J664" s="15" t="n">
        <v>54.5</v>
      </c>
      <c r="K664" s="15"/>
      <c r="L664" s="15"/>
      <c r="M664" s="15" t="n">
        <f aca="false">IF(ISNUMBER(L664),L664,J664)</f>
        <v>54.5</v>
      </c>
      <c r="N664" s="15" t="n">
        <f aca="false">ROUNDUP(M664,0)</f>
        <v>55</v>
      </c>
      <c r="O664" s="15" t="n">
        <f aca="false">MAX(I664,N664)</f>
        <v>55</v>
      </c>
      <c r="P664" s="15" t="n">
        <f aca="false">IF(C664="COVERED",MAX(0,O664-40),0)</f>
        <v>15</v>
      </c>
      <c r="Q664" s="15" t="n">
        <f aca="false">O664</f>
        <v>55</v>
      </c>
      <c r="R664" s="18" t="n">
        <f aca="false">IF(C664="COVERED",10.4,7.55)</f>
        <v>10.4</v>
      </c>
      <c r="S664" s="18" t="n">
        <f aca="false">Q664*R664</f>
        <v>572</v>
      </c>
      <c r="T664" s="13" t="s">
        <v>5538</v>
      </c>
      <c r="U664" s="14" t="n">
        <v>46235</v>
      </c>
      <c r="V664" s="13" t="n">
        <v>55</v>
      </c>
      <c r="W664" s="18" t="n">
        <v>10.4</v>
      </c>
      <c r="X664" s="18" t="n">
        <v>572</v>
      </c>
      <c r="Y664" s="18" t="n">
        <f aca="false">IF(ISNUMBER(X664),X664-S664,"")</f>
        <v>0</v>
      </c>
      <c r="Z664" s="18" t="n">
        <f aca="false">IF(ISNUMBER(X664),X664-S664,-S664)</f>
        <v>0</v>
      </c>
      <c r="AA664" s="13" t="str">
        <f aca="false">IF(NOT(ISNUMBER(X664)),"NO AUGUST POSTING IN EXPORT",IF(ABS(Y664)&gt;=0.005,"POSTED CHARGE MISMATCH",IF(P664&gt;0,"MATCH - COVERED ELIGIBILITY EXCEPTION","MATCH")))</f>
        <v>MATCH - COVERED ELIGIBILITY EXCEPTION</v>
      </c>
      <c r="AB664" s="13" t="s">
        <v>5539</v>
      </c>
    </row>
    <row r="665" customFormat="false" ht="15" hidden="false" customHeight="false" outlineLevel="0" collapsed="false">
      <c r="A665" s="9" t="s">
        <v>5540</v>
      </c>
      <c r="B665" s="9" t="s">
        <v>113</v>
      </c>
      <c r="C665" s="9" t="s">
        <v>114</v>
      </c>
      <c r="D665" s="9" t="s">
        <v>2002</v>
      </c>
      <c r="E665" s="9" t="s">
        <v>5541</v>
      </c>
      <c r="F665" s="9" t="s">
        <v>5542</v>
      </c>
      <c r="G665" s="9" t="s">
        <v>5543</v>
      </c>
      <c r="H665" s="9" t="s">
        <v>5050</v>
      </c>
      <c r="I665" s="11" t="n">
        <v>40</v>
      </c>
      <c r="J665" s="11" t="n">
        <v>34.5</v>
      </c>
      <c r="K665" s="11"/>
      <c r="L665" s="11"/>
      <c r="M665" s="11" t="n">
        <f aca="false">IF(ISNUMBER(L665),L665,J665)</f>
        <v>34.5</v>
      </c>
      <c r="N665" s="11" t="n">
        <f aca="false">ROUNDUP(M665,0)</f>
        <v>35</v>
      </c>
      <c r="O665" s="11" t="n">
        <f aca="false">MAX(I665,N665)</f>
        <v>40</v>
      </c>
      <c r="P665" s="11" t="n">
        <f aca="false">IF(C665="COVERED",MAX(0,O665-40),0)</f>
        <v>0</v>
      </c>
      <c r="Q665" s="11" t="n">
        <f aca="false">O665</f>
        <v>40</v>
      </c>
      <c r="R665" s="17" t="n">
        <f aca="false">IF(C665="COVERED",10.4,7.55)</f>
        <v>10.4</v>
      </c>
      <c r="S665" s="17" t="n">
        <f aca="false">Q665*R665</f>
        <v>416</v>
      </c>
      <c r="T665" s="9" t="s">
        <v>5544</v>
      </c>
      <c r="U665" s="10" t="n">
        <v>46235</v>
      </c>
      <c r="V665" s="9" t="n">
        <v>40</v>
      </c>
      <c r="W665" s="17" t="n">
        <v>10.4</v>
      </c>
      <c r="X665" s="17" t="n">
        <v>416</v>
      </c>
      <c r="Y665" s="17" t="n">
        <f aca="false">IF(ISNUMBER(X665),X665-S665,"")</f>
        <v>0</v>
      </c>
      <c r="Z665" s="17" t="n">
        <f aca="false">IF(ISNUMBER(X665),X665-S665,-S665)</f>
        <v>0</v>
      </c>
      <c r="AA665" s="9" t="str">
        <f aca="false">IF(NOT(ISNUMBER(X665)),"NO AUGUST POSTING IN EXPORT",IF(ABS(Y665)&gt;=0.005,"POSTED CHARGE MISMATCH",IF(P665&gt;0,"MATCH - COVERED ELIGIBILITY EXCEPTION","MATCH")))</f>
        <v>MATCH</v>
      </c>
      <c r="AB665" s="9" t="s">
        <v>5545</v>
      </c>
    </row>
    <row r="666" customFormat="false" ht="15" hidden="false" customHeight="false" outlineLevel="0" collapsed="false">
      <c r="A666" s="13" t="s">
        <v>5546</v>
      </c>
      <c r="B666" s="13" t="s">
        <v>113</v>
      </c>
      <c r="C666" s="13" t="s">
        <v>114</v>
      </c>
      <c r="D666" s="13" t="s">
        <v>2002</v>
      </c>
      <c r="E666" s="13" t="s">
        <v>5547</v>
      </c>
      <c r="F666" s="13" t="s">
        <v>5548</v>
      </c>
      <c r="G666" s="13" t="s">
        <v>5549</v>
      </c>
      <c r="H666" s="13" t="s">
        <v>2006</v>
      </c>
      <c r="I666" s="15" t="n">
        <v>24</v>
      </c>
      <c r="J666" s="15" t="n">
        <v>18</v>
      </c>
      <c r="K666" s="15"/>
      <c r="L666" s="15"/>
      <c r="M666" s="15" t="n">
        <f aca="false">IF(ISNUMBER(L666),L666,J666)</f>
        <v>18</v>
      </c>
      <c r="N666" s="15" t="n">
        <f aca="false">ROUNDUP(M666,0)</f>
        <v>18</v>
      </c>
      <c r="O666" s="15" t="n">
        <f aca="false">MAX(I666,N666)</f>
        <v>24</v>
      </c>
      <c r="P666" s="15" t="n">
        <f aca="false">IF(C666="COVERED",MAX(0,O666-40),0)</f>
        <v>0</v>
      </c>
      <c r="Q666" s="15" t="n">
        <f aca="false">O666</f>
        <v>24</v>
      </c>
      <c r="R666" s="18" t="n">
        <f aca="false">IF(C666="COVERED",10.4,7.55)</f>
        <v>10.4</v>
      </c>
      <c r="S666" s="18" t="n">
        <f aca="false">Q666*R666</f>
        <v>249.6</v>
      </c>
      <c r="T666" s="13" t="s">
        <v>5550</v>
      </c>
      <c r="U666" s="14" t="n">
        <v>46235</v>
      </c>
      <c r="V666" s="13" t="n">
        <v>24</v>
      </c>
      <c r="W666" s="18" t="n">
        <v>10.4</v>
      </c>
      <c r="X666" s="18" t="n">
        <v>249.6</v>
      </c>
      <c r="Y666" s="18" t="n">
        <f aca="false">IF(ISNUMBER(X666),X666-S666,"")</f>
        <v>0</v>
      </c>
      <c r="Z666" s="18" t="n">
        <f aca="false">IF(ISNUMBER(X666),X666-S666,-S666)</f>
        <v>0</v>
      </c>
      <c r="AA666" s="13" t="str">
        <f aca="false">IF(NOT(ISNUMBER(X666)),"NO AUGUST POSTING IN EXPORT",IF(ABS(Y666)&gt;=0.005,"POSTED CHARGE MISMATCH",IF(P666&gt;0,"MATCH - COVERED ELIGIBILITY EXCEPTION","MATCH")))</f>
        <v>MATCH</v>
      </c>
      <c r="AB666" s="13" t="s">
        <v>5551</v>
      </c>
    </row>
    <row r="667" customFormat="false" ht="15" hidden="false" customHeight="false" outlineLevel="0" collapsed="false">
      <c r="A667" s="9" t="s">
        <v>5552</v>
      </c>
      <c r="B667" s="9" t="s">
        <v>113</v>
      </c>
      <c r="C667" s="9" t="s">
        <v>114</v>
      </c>
      <c r="D667" s="9" t="s">
        <v>2002</v>
      </c>
      <c r="E667" s="9" t="s">
        <v>5553</v>
      </c>
      <c r="F667" s="9" t="s">
        <v>5554</v>
      </c>
      <c r="G667" s="9" t="s">
        <v>5555</v>
      </c>
      <c r="H667" s="9" t="s">
        <v>2476</v>
      </c>
      <c r="I667" s="11" t="n">
        <v>32</v>
      </c>
      <c r="J667" s="11" t="n">
        <v>21.4</v>
      </c>
      <c r="K667" s="11"/>
      <c r="L667" s="11"/>
      <c r="M667" s="11" t="n">
        <f aca="false">IF(ISNUMBER(L667),L667,J667)</f>
        <v>21.4</v>
      </c>
      <c r="N667" s="11" t="n">
        <f aca="false">ROUNDUP(M667,0)</f>
        <v>22</v>
      </c>
      <c r="O667" s="11" t="n">
        <f aca="false">MAX(I667,N667)</f>
        <v>32</v>
      </c>
      <c r="P667" s="11" t="n">
        <f aca="false">IF(C667="COVERED",MAX(0,O667-40),0)</f>
        <v>0</v>
      </c>
      <c r="Q667" s="11" t="n">
        <f aca="false">O667</f>
        <v>32</v>
      </c>
      <c r="R667" s="17" t="n">
        <f aca="false">IF(C667="COVERED",10.4,7.55)</f>
        <v>10.4</v>
      </c>
      <c r="S667" s="17" t="n">
        <f aca="false">Q667*R667</f>
        <v>332.8</v>
      </c>
      <c r="T667" s="9" t="s">
        <v>5556</v>
      </c>
      <c r="U667" s="10" t="n">
        <v>46235</v>
      </c>
      <c r="V667" s="9" t="n">
        <v>32</v>
      </c>
      <c r="W667" s="17" t="n">
        <v>10.4</v>
      </c>
      <c r="X667" s="17" t="n">
        <v>332.8</v>
      </c>
      <c r="Y667" s="17" t="n">
        <f aca="false">IF(ISNUMBER(X667),X667-S667,"")</f>
        <v>0</v>
      </c>
      <c r="Z667" s="17" t="n">
        <f aca="false">IF(ISNUMBER(X667),X667-S667,-S667)</f>
        <v>0</v>
      </c>
      <c r="AA667" s="9" t="str">
        <f aca="false">IF(NOT(ISNUMBER(X667)),"NO AUGUST POSTING IN EXPORT",IF(ABS(Y667)&gt;=0.005,"POSTED CHARGE MISMATCH",IF(P667&gt;0,"MATCH - COVERED ELIGIBILITY EXCEPTION","MATCH")))</f>
        <v>MATCH</v>
      </c>
      <c r="AB667" s="9" t="s">
        <v>5557</v>
      </c>
    </row>
    <row r="668" customFormat="false" ht="15" hidden="false" customHeight="false" outlineLevel="0" collapsed="false">
      <c r="A668" s="13" t="s">
        <v>5558</v>
      </c>
      <c r="B668" s="13" t="s">
        <v>113</v>
      </c>
      <c r="C668" s="13" t="s">
        <v>114</v>
      </c>
      <c r="D668" s="13" t="s">
        <v>2002</v>
      </c>
      <c r="E668" s="13" t="s">
        <v>5559</v>
      </c>
      <c r="F668" s="13" t="s">
        <v>5560</v>
      </c>
      <c r="G668" s="13" t="s">
        <v>5561</v>
      </c>
      <c r="H668" s="13" t="s">
        <v>3313</v>
      </c>
      <c r="I668" s="15" t="n">
        <v>28</v>
      </c>
      <c r="J668" s="15" t="n">
        <v>58.7</v>
      </c>
      <c r="K668" s="15"/>
      <c r="L668" s="15"/>
      <c r="M668" s="15" t="n">
        <f aca="false">IF(ISNUMBER(L668),L668,J668)</f>
        <v>58.7</v>
      </c>
      <c r="N668" s="15" t="n">
        <f aca="false">ROUNDUP(M668,0)</f>
        <v>59</v>
      </c>
      <c r="O668" s="15" t="n">
        <f aca="false">MAX(I668,N668)</f>
        <v>59</v>
      </c>
      <c r="P668" s="15" t="n">
        <f aca="false">IF(C668="COVERED",MAX(0,O668-40),0)</f>
        <v>19</v>
      </c>
      <c r="Q668" s="15" t="n">
        <f aca="false">O668</f>
        <v>59</v>
      </c>
      <c r="R668" s="18" t="n">
        <f aca="false">IF(C668="COVERED",10.4,7.55)</f>
        <v>10.4</v>
      </c>
      <c r="S668" s="18" t="n">
        <f aca="false">Q668*R668</f>
        <v>613.6</v>
      </c>
      <c r="T668" s="13" t="s">
        <v>5562</v>
      </c>
      <c r="U668" s="14" t="n">
        <v>46235</v>
      </c>
      <c r="V668" s="13" t="n">
        <v>59</v>
      </c>
      <c r="W668" s="18" t="n">
        <v>10.4</v>
      </c>
      <c r="X668" s="18" t="n">
        <v>613.6</v>
      </c>
      <c r="Y668" s="18" t="n">
        <f aca="false">IF(ISNUMBER(X668),X668-S668,"")</f>
        <v>0</v>
      </c>
      <c r="Z668" s="18" t="n">
        <f aca="false">IF(ISNUMBER(X668),X668-S668,-S668)</f>
        <v>0</v>
      </c>
      <c r="AA668" s="13" t="str">
        <f aca="false">IF(NOT(ISNUMBER(X668)),"NO AUGUST POSTING IN EXPORT",IF(ABS(Y668)&gt;=0.005,"POSTED CHARGE MISMATCH",IF(P668&gt;0,"MATCH - COVERED ELIGIBILITY EXCEPTION","MATCH")))</f>
        <v>MATCH - COVERED ELIGIBILITY EXCEPTION</v>
      </c>
      <c r="AB668" s="13" t="s">
        <v>5563</v>
      </c>
    </row>
    <row r="669" customFormat="false" ht="15" hidden="false" customHeight="false" outlineLevel="0" collapsed="false">
      <c r="A669" s="9" t="s">
        <v>168</v>
      </c>
      <c r="B669" s="9" t="s">
        <v>113</v>
      </c>
      <c r="C669" s="9" t="s">
        <v>114</v>
      </c>
      <c r="D669" s="9" t="s">
        <v>2002</v>
      </c>
      <c r="E669" s="9" t="s">
        <v>5564</v>
      </c>
      <c r="F669" s="9" t="s">
        <v>5565</v>
      </c>
      <c r="G669" s="9" t="s">
        <v>5566</v>
      </c>
      <c r="H669" s="9" t="s">
        <v>2416</v>
      </c>
      <c r="I669" s="11" t="n">
        <v>28</v>
      </c>
      <c r="J669" s="11" t="n">
        <v>36.8</v>
      </c>
      <c r="K669" s="11"/>
      <c r="L669" s="11"/>
      <c r="M669" s="11" t="n">
        <f aca="false">IF(ISNUMBER(L669),L669,J669)</f>
        <v>36.8</v>
      </c>
      <c r="N669" s="11" t="n">
        <f aca="false">ROUNDUP(M669,0)</f>
        <v>37</v>
      </c>
      <c r="O669" s="11" t="n">
        <f aca="false">MAX(I669,N669)</f>
        <v>37</v>
      </c>
      <c r="P669" s="11" t="n">
        <f aca="false">IF(C669="COVERED",MAX(0,O669-40),0)</f>
        <v>0</v>
      </c>
      <c r="Q669" s="11" t="n">
        <f aca="false">O669</f>
        <v>37</v>
      </c>
      <c r="R669" s="17" t="n">
        <f aca="false">IF(C669="COVERED",10.4,7.55)</f>
        <v>10.4</v>
      </c>
      <c r="S669" s="17" t="n">
        <f aca="false">Q669*R669</f>
        <v>384.8</v>
      </c>
      <c r="T669" s="9" t="s">
        <v>5567</v>
      </c>
      <c r="U669" s="10" t="n">
        <v>46235</v>
      </c>
      <c r="V669" s="9" t="n">
        <v>37</v>
      </c>
      <c r="W669" s="17" t="n">
        <v>10.4</v>
      </c>
      <c r="X669" s="17" t="n">
        <v>384.8</v>
      </c>
      <c r="Y669" s="17" t="n">
        <f aca="false">IF(ISNUMBER(X669),X669-S669,"")</f>
        <v>0</v>
      </c>
      <c r="Z669" s="17" t="n">
        <f aca="false">IF(ISNUMBER(X669),X669-S669,-S669)</f>
        <v>0</v>
      </c>
      <c r="AA669" s="9" t="str">
        <f aca="false">IF(NOT(ISNUMBER(X669)),"NO AUGUST POSTING IN EXPORT",IF(ABS(Y669)&gt;=0.005,"POSTED CHARGE MISMATCH",IF(P669&gt;0,"MATCH - COVERED ELIGIBILITY EXCEPTION","MATCH")))</f>
        <v>MATCH</v>
      </c>
      <c r="AB669" s="9" t="s">
        <v>5568</v>
      </c>
    </row>
    <row r="670" customFormat="false" ht="15" hidden="false" customHeight="false" outlineLevel="0" collapsed="false">
      <c r="A670" s="13" t="s">
        <v>5569</v>
      </c>
      <c r="B670" s="13" t="s">
        <v>113</v>
      </c>
      <c r="C670" s="13" t="s">
        <v>114</v>
      </c>
      <c r="D670" s="13" t="s">
        <v>2002</v>
      </c>
      <c r="E670" s="13" t="s">
        <v>5570</v>
      </c>
      <c r="F670" s="13" t="s">
        <v>5571</v>
      </c>
      <c r="G670" s="13" t="s">
        <v>5572</v>
      </c>
      <c r="H670" s="13" t="s">
        <v>2527</v>
      </c>
      <c r="I670" s="15" t="n">
        <v>24</v>
      </c>
      <c r="J670" s="15" t="n">
        <v>62</v>
      </c>
      <c r="K670" s="15"/>
      <c r="L670" s="15"/>
      <c r="M670" s="15" t="n">
        <f aca="false">IF(ISNUMBER(L670),L670,J670)</f>
        <v>62</v>
      </c>
      <c r="N670" s="15" t="n">
        <f aca="false">ROUNDUP(M670,0)</f>
        <v>62</v>
      </c>
      <c r="O670" s="15" t="n">
        <f aca="false">MAX(I670,N670)</f>
        <v>62</v>
      </c>
      <c r="P670" s="15" t="n">
        <f aca="false">IF(C670="COVERED",MAX(0,O670-40),0)</f>
        <v>22</v>
      </c>
      <c r="Q670" s="15" t="n">
        <f aca="false">O670</f>
        <v>62</v>
      </c>
      <c r="R670" s="18" t="n">
        <f aca="false">IF(C670="COVERED",10.4,7.55)</f>
        <v>10.4</v>
      </c>
      <c r="S670" s="18" t="n">
        <f aca="false">Q670*R670</f>
        <v>644.8</v>
      </c>
      <c r="T670" s="13" t="s">
        <v>5573</v>
      </c>
      <c r="U670" s="14" t="n">
        <v>46235</v>
      </c>
      <c r="V670" s="13" t="n">
        <v>62</v>
      </c>
      <c r="W670" s="18" t="n">
        <v>10.4</v>
      </c>
      <c r="X670" s="18" t="n">
        <v>644.8</v>
      </c>
      <c r="Y670" s="18" t="n">
        <f aca="false">IF(ISNUMBER(X670),X670-S670,"")</f>
        <v>0</v>
      </c>
      <c r="Z670" s="18" t="n">
        <f aca="false">IF(ISNUMBER(X670),X670-S670,-S670)</f>
        <v>0</v>
      </c>
      <c r="AA670" s="13" t="str">
        <f aca="false">IF(NOT(ISNUMBER(X670)),"NO AUGUST POSTING IN EXPORT",IF(ABS(Y670)&gt;=0.005,"POSTED CHARGE MISMATCH",IF(P670&gt;0,"MATCH - COVERED ELIGIBILITY EXCEPTION","MATCH")))</f>
        <v>MATCH - COVERED ELIGIBILITY EXCEPTION</v>
      </c>
      <c r="AB670" s="13" t="s">
        <v>5574</v>
      </c>
    </row>
    <row r="671" customFormat="false" ht="15" hidden="false" customHeight="false" outlineLevel="0" collapsed="false">
      <c r="A671" s="9" t="s">
        <v>5575</v>
      </c>
      <c r="B671" s="9" t="s">
        <v>113</v>
      </c>
      <c r="C671" s="9" t="s">
        <v>114</v>
      </c>
      <c r="D671" s="9" t="s">
        <v>2002</v>
      </c>
      <c r="E671" s="9" t="s">
        <v>5576</v>
      </c>
      <c r="F671" s="9" t="s">
        <v>5577</v>
      </c>
      <c r="G671" s="9" t="s">
        <v>5578</v>
      </c>
      <c r="H671" s="9" t="s">
        <v>5050</v>
      </c>
      <c r="I671" s="11" t="n">
        <v>24</v>
      </c>
      <c r="J671" s="11" t="n">
        <v>59.8</v>
      </c>
      <c r="K671" s="11"/>
      <c r="L671" s="11"/>
      <c r="M671" s="11" t="n">
        <f aca="false">IF(ISNUMBER(L671),L671,J671)</f>
        <v>59.8</v>
      </c>
      <c r="N671" s="11" t="n">
        <f aca="false">ROUNDUP(M671,0)</f>
        <v>60</v>
      </c>
      <c r="O671" s="11" t="n">
        <f aca="false">MAX(I671,N671)</f>
        <v>60</v>
      </c>
      <c r="P671" s="11" t="n">
        <f aca="false">IF(C671="COVERED",MAX(0,O671-40),0)</f>
        <v>20</v>
      </c>
      <c r="Q671" s="11" t="n">
        <f aca="false">O671</f>
        <v>60</v>
      </c>
      <c r="R671" s="17" t="n">
        <f aca="false">IF(C671="COVERED",10.4,7.55)</f>
        <v>10.4</v>
      </c>
      <c r="S671" s="17" t="n">
        <f aca="false">Q671*R671</f>
        <v>624</v>
      </c>
      <c r="T671" s="9" t="s">
        <v>5579</v>
      </c>
      <c r="U671" s="10" t="n">
        <v>46235</v>
      </c>
      <c r="V671" s="9" t="n">
        <v>60</v>
      </c>
      <c r="W671" s="17" t="n">
        <v>10.4</v>
      </c>
      <c r="X671" s="17" t="n">
        <v>624</v>
      </c>
      <c r="Y671" s="17" t="n">
        <f aca="false">IF(ISNUMBER(X671),X671-S671,"")</f>
        <v>0</v>
      </c>
      <c r="Z671" s="17" t="n">
        <f aca="false">IF(ISNUMBER(X671),X671-S671,-S671)</f>
        <v>0</v>
      </c>
      <c r="AA671" s="9" t="str">
        <f aca="false">IF(NOT(ISNUMBER(X671)),"NO AUGUST POSTING IN EXPORT",IF(ABS(Y671)&gt;=0.005,"POSTED CHARGE MISMATCH",IF(P671&gt;0,"MATCH - COVERED ELIGIBILITY EXCEPTION","MATCH")))</f>
        <v>MATCH - COVERED ELIGIBILITY EXCEPTION</v>
      </c>
      <c r="AB671" s="9" t="s">
        <v>5580</v>
      </c>
    </row>
    <row r="672" customFormat="false" ht="15" hidden="false" customHeight="false" outlineLevel="0" collapsed="false">
      <c r="A672" s="13" t="s">
        <v>5581</v>
      </c>
      <c r="B672" s="13" t="s">
        <v>113</v>
      </c>
      <c r="C672" s="13" t="s">
        <v>114</v>
      </c>
      <c r="D672" s="13" t="s">
        <v>2002</v>
      </c>
      <c r="E672" s="13" t="s">
        <v>5582</v>
      </c>
      <c r="F672" s="13" t="s">
        <v>5583</v>
      </c>
      <c r="G672" s="13" t="s">
        <v>5584</v>
      </c>
      <c r="H672" s="13" t="s">
        <v>5585</v>
      </c>
      <c r="I672" s="15" t="n">
        <v>32</v>
      </c>
      <c r="J672" s="15" t="n">
        <v>41.3</v>
      </c>
      <c r="K672" s="15"/>
      <c r="L672" s="15"/>
      <c r="M672" s="15" t="n">
        <f aca="false">IF(ISNUMBER(L672),L672,J672)</f>
        <v>41.3</v>
      </c>
      <c r="N672" s="15" t="n">
        <f aca="false">ROUNDUP(M672,0)</f>
        <v>42</v>
      </c>
      <c r="O672" s="15" t="n">
        <f aca="false">MAX(I672,N672)</f>
        <v>42</v>
      </c>
      <c r="P672" s="15" t="n">
        <f aca="false">IF(C672="COVERED",MAX(0,O672-40),0)</f>
        <v>2</v>
      </c>
      <c r="Q672" s="15" t="n">
        <f aca="false">O672</f>
        <v>42</v>
      </c>
      <c r="R672" s="18" t="n">
        <f aca="false">IF(C672="COVERED",10.4,7.55)</f>
        <v>10.4</v>
      </c>
      <c r="S672" s="18" t="n">
        <f aca="false">Q672*R672</f>
        <v>436.8</v>
      </c>
      <c r="T672" s="13" t="s">
        <v>5586</v>
      </c>
      <c r="U672" s="14" t="n">
        <v>46235</v>
      </c>
      <c r="V672" s="13" t="n">
        <v>42</v>
      </c>
      <c r="W672" s="18" t="n">
        <v>10.4</v>
      </c>
      <c r="X672" s="18" t="n">
        <v>436.8</v>
      </c>
      <c r="Y672" s="18" t="n">
        <f aca="false">IF(ISNUMBER(X672),X672-S672,"")</f>
        <v>0</v>
      </c>
      <c r="Z672" s="18" t="n">
        <f aca="false">IF(ISNUMBER(X672),X672-S672,-S672)</f>
        <v>0</v>
      </c>
      <c r="AA672" s="13" t="str">
        <f aca="false">IF(NOT(ISNUMBER(X672)),"NO AUGUST POSTING IN EXPORT",IF(ABS(Y672)&gt;=0.005,"POSTED CHARGE MISMATCH",IF(P672&gt;0,"MATCH - COVERED ELIGIBILITY EXCEPTION","MATCH")))</f>
        <v>MATCH - COVERED ELIGIBILITY EXCEPTION</v>
      </c>
      <c r="AB672" s="13" t="s">
        <v>5587</v>
      </c>
    </row>
    <row r="673" customFormat="false" ht="15" hidden="false" customHeight="false" outlineLevel="0" collapsed="false">
      <c r="A673" s="9" t="s">
        <v>5588</v>
      </c>
      <c r="B673" s="9" t="s">
        <v>113</v>
      </c>
      <c r="C673" s="9" t="s">
        <v>114</v>
      </c>
      <c r="D673" s="9" t="s">
        <v>2002</v>
      </c>
      <c r="E673" s="9" t="s">
        <v>5589</v>
      </c>
      <c r="F673" s="9" t="s">
        <v>5590</v>
      </c>
      <c r="G673" s="9" t="s">
        <v>5591</v>
      </c>
      <c r="H673" s="9" t="s">
        <v>5592</v>
      </c>
      <c r="I673" s="11" t="n">
        <v>32</v>
      </c>
      <c r="J673" s="11" t="n">
        <v>24.1</v>
      </c>
      <c r="K673" s="11"/>
      <c r="L673" s="11"/>
      <c r="M673" s="11" t="n">
        <f aca="false">IF(ISNUMBER(L673),L673,J673)</f>
        <v>24.1</v>
      </c>
      <c r="N673" s="11" t="n">
        <f aca="false">ROUNDUP(M673,0)</f>
        <v>25</v>
      </c>
      <c r="O673" s="11" t="n">
        <f aca="false">MAX(I673,N673)</f>
        <v>32</v>
      </c>
      <c r="P673" s="11" t="n">
        <f aca="false">IF(C673="COVERED",MAX(0,O673-40),0)</f>
        <v>0</v>
      </c>
      <c r="Q673" s="11" t="n">
        <f aca="false">O673</f>
        <v>32</v>
      </c>
      <c r="R673" s="17" t="n">
        <f aca="false">IF(C673="COVERED",10.4,7.55)</f>
        <v>10.4</v>
      </c>
      <c r="S673" s="17" t="n">
        <f aca="false">Q673*R673</f>
        <v>332.8</v>
      </c>
      <c r="T673" s="9" t="s">
        <v>5593</v>
      </c>
      <c r="U673" s="10" t="n">
        <v>46235</v>
      </c>
      <c r="V673" s="9" t="n">
        <v>32</v>
      </c>
      <c r="W673" s="17" t="n">
        <v>10.4</v>
      </c>
      <c r="X673" s="17" t="n">
        <v>332.8</v>
      </c>
      <c r="Y673" s="17" t="n">
        <f aca="false">IF(ISNUMBER(X673),X673-S673,"")</f>
        <v>0</v>
      </c>
      <c r="Z673" s="17" t="n">
        <f aca="false">IF(ISNUMBER(X673),X673-S673,-S673)</f>
        <v>0</v>
      </c>
      <c r="AA673" s="9" t="str">
        <f aca="false">IF(NOT(ISNUMBER(X673)),"NO AUGUST POSTING IN EXPORT",IF(ABS(Y673)&gt;=0.005,"POSTED CHARGE MISMATCH",IF(P673&gt;0,"MATCH - COVERED ELIGIBILITY EXCEPTION","MATCH")))</f>
        <v>MATCH</v>
      </c>
      <c r="AB673" s="9" t="s">
        <v>5594</v>
      </c>
    </row>
    <row r="674" customFormat="false" ht="15" hidden="false" customHeight="false" outlineLevel="0" collapsed="false">
      <c r="A674" s="13" t="s">
        <v>5595</v>
      </c>
      <c r="B674" s="13" t="s">
        <v>204</v>
      </c>
      <c r="C674" s="13" t="s">
        <v>146</v>
      </c>
      <c r="D674" s="13" t="s">
        <v>2002</v>
      </c>
      <c r="E674" s="13" t="s">
        <v>2003</v>
      </c>
      <c r="F674" s="13" t="s">
        <v>5596</v>
      </c>
      <c r="G674" s="13" t="s">
        <v>5597</v>
      </c>
      <c r="H674" s="13" t="s">
        <v>5598</v>
      </c>
      <c r="I674" s="15" t="n">
        <v>70</v>
      </c>
      <c r="J674" s="15" t="n">
        <v>27.6</v>
      </c>
      <c r="K674" s="15"/>
      <c r="L674" s="15"/>
      <c r="M674" s="15" t="n">
        <f aca="false">IF(ISNUMBER(L674),L674,J674)</f>
        <v>27.6</v>
      </c>
      <c r="N674" s="15" t="n">
        <f aca="false">ROUNDUP(M674,0)</f>
        <v>28</v>
      </c>
      <c r="O674" s="15" t="n">
        <f aca="false">MAX(I674,N674)</f>
        <v>70</v>
      </c>
      <c r="P674" s="15" t="n">
        <f aca="false">IF(C674="COVERED",MAX(0,O674-40),0)</f>
        <v>0</v>
      </c>
      <c r="Q674" s="15" t="n">
        <f aca="false">O674</f>
        <v>70</v>
      </c>
      <c r="R674" s="18" t="n">
        <f aca="false">IF(C674="COVERED",10.4,7.55)</f>
        <v>7.55</v>
      </c>
      <c r="S674" s="18" t="n">
        <f aca="false">Q674*R674</f>
        <v>528.5</v>
      </c>
      <c r="T674" s="13"/>
      <c r="U674" s="14"/>
      <c r="V674" s="13"/>
      <c r="W674" s="18"/>
      <c r="X674" s="18"/>
      <c r="Y674" s="18" t="str">
        <f aca="false">IF(ISNUMBER(X674),X674-S674,"")</f>
        <v/>
      </c>
      <c r="Z674" s="18" t="n">
        <f aca="false">IF(ISNUMBER(X674),X674-S674,-S674)</f>
        <v>-528.5</v>
      </c>
      <c r="AA674" s="13" t="str">
        <f aca="false">IF(NOT(ISNUMBER(X674)),"NO AUGUST POSTING IN EXPORT",IF(ABS(Y674)&gt;=0.005,"POSTED CHARGE MISMATCH",IF(P674&gt;0,"MATCH - COVERED ELIGIBILITY EXCEPTION","MATCH")))</f>
        <v>NO AUGUST POSTING IN EXPORT</v>
      </c>
      <c r="AB674" s="13" t="s">
        <v>5599</v>
      </c>
    </row>
    <row r="675" customFormat="false" ht="15" hidden="false" customHeight="false" outlineLevel="0" collapsed="false">
      <c r="A675" s="9" t="s">
        <v>1217</v>
      </c>
      <c r="B675" s="9" t="s">
        <v>204</v>
      </c>
      <c r="C675" s="9" t="s">
        <v>146</v>
      </c>
      <c r="D675" s="9" t="s">
        <v>2002</v>
      </c>
      <c r="E675" s="9" t="s">
        <v>2010</v>
      </c>
      <c r="F675" s="9" t="s">
        <v>5600</v>
      </c>
      <c r="G675" s="9" t="s">
        <v>5601</v>
      </c>
      <c r="H675" s="9" t="s">
        <v>5602</v>
      </c>
      <c r="I675" s="11" t="n">
        <v>32</v>
      </c>
      <c r="J675" s="11" t="n">
        <v>44.3</v>
      </c>
      <c r="K675" s="11"/>
      <c r="L675" s="11"/>
      <c r="M675" s="11" t="n">
        <f aca="false">IF(ISNUMBER(L675),L675,J675)</f>
        <v>44.3</v>
      </c>
      <c r="N675" s="11" t="n">
        <f aca="false">ROUNDUP(M675,0)</f>
        <v>45</v>
      </c>
      <c r="O675" s="11" t="n">
        <f aca="false">MAX(I675,N675)</f>
        <v>45</v>
      </c>
      <c r="P675" s="11" t="n">
        <f aca="false">IF(C675="COVERED",MAX(0,O675-40),0)</f>
        <v>0</v>
      </c>
      <c r="Q675" s="11" t="n">
        <f aca="false">O675</f>
        <v>45</v>
      </c>
      <c r="R675" s="17" t="n">
        <f aca="false">IF(C675="COVERED",10.4,7.55)</f>
        <v>7.55</v>
      </c>
      <c r="S675" s="17" t="n">
        <f aca="false">Q675*R675</f>
        <v>339.75</v>
      </c>
      <c r="T675" s="9"/>
      <c r="U675" s="10"/>
      <c r="V675" s="9"/>
      <c r="W675" s="17"/>
      <c r="X675" s="17"/>
      <c r="Y675" s="17" t="str">
        <f aca="false">IF(ISNUMBER(X675),X675-S675,"")</f>
        <v/>
      </c>
      <c r="Z675" s="17" t="n">
        <f aca="false">IF(ISNUMBER(X675),X675-S675,-S675)</f>
        <v>-339.75</v>
      </c>
      <c r="AA675" s="9" t="str">
        <f aca="false">IF(NOT(ISNUMBER(X675)),"NO AUGUST POSTING IN EXPORT",IF(ABS(Y675)&gt;=0.005,"POSTED CHARGE MISMATCH",IF(P675&gt;0,"MATCH - COVERED ELIGIBILITY EXCEPTION","MATCH")))</f>
        <v>NO AUGUST POSTING IN EXPORT</v>
      </c>
      <c r="AB675" s="9" t="s">
        <v>5603</v>
      </c>
    </row>
    <row r="676" customFormat="false" ht="15" hidden="false" customHeight="false" outlineLevel="0" collapsed="false">
      <c r="A676" s="13" t="s">
        <v>5604</v>
      </c>
      <c r="B676" s="13" t="s">
        <v>204</v>
      </c>
      <c r="C676" s="13" t="s">
        <v>146</v>
      </c>
      <c r="D676" s="13" t="s">
        <v>2002</v>
      </c>
      <c r="E676" s="13" t="s">
        <v>2017</v>
      </c>
      <c r="F676" s="13" t="s">
        <v>5605</v>
      </c>
      <c r="G676" s="13" t="s">
        <v>5606</v>
      </c>
      <c r="H676" s="13" t="s">
        <v>5607</v>
      </c>
      <c r="I676" s="15" t="n">
        <v>36</v>
      </c>
      <c r="J676" s="15" t="n">
        <v>55.5</v>
      </c>
      <c r="K676" s="15"/>
      <c r="L676" s="15"/>
      <c r="M676" s="15" t="n">
        <f aca="false">IF(ISNUMBER(L676),L676,J676)</f>
        <v>55.5</v>
      </c>
      <c r="N676" s="15" t="n">
        <f aca="false">ROUNDUP(M676,0)</f>
        <v>56</v>
      </c>
      <c r="O676" s="15" t="n">
        <f aca="false">MAX(I676,N676)</f>
        <v>56</v>
      </c>
      <c r="P676" s="15" t="n">
        <f aca="false">IF(C676="COVERED",MAX(0,O676-40),0)</f>
        <v>0</v>
      </c>
      <c r="Q676" s="15" t="n">
        <f aca="false">O676</f>
        <v>56</v>
      </c>
      <c r="R676" s="18" t="n">
        <f aca="false">IF(C676="COVERED",10.4,7.55)</f>
        <v>7.55</v>
      </c>
      <c r="S676" s="18" t="n">
        <f aca="false">Q676*R676</f>
        <v>422.8</v>
      </c>
      <c r="T676" s="13"/>
      <c r="U676" s="14"/>
      <c r="V676" s="13"/>
      <c r="W676" s="18"/>
      <c r="X676" s="18"/>
      <c r="Y676" s="18" t="str">
        <f aca="false">IF(ISNUMBER(X676),X676-S676,"")</f>
        <v/>
      </c>
      <c r="Z676" s="18" t="n">
        <f aca="false">IF(ISNUMBER(X676),X676-S676,-S676)</f>
        <v>-422.8</v>
      </c>
      <c r="AA676" s="13" t="str">
        <f aca="false">IF(NOT(ISNUMBER(X676)),"NO AUGUST POSTING IN EXPORT",IF(ABS(Y676)&gt;=0.005,"POSTED CHARGE MISMATCH",IF(P676&gt;0,"MATCH - COVERED ELIGIBILITY EXCEPTION","MATCH")))</f>
        <v>NO AUGUST POSTING IN EXPORT</v>
      </c>
      <c r="AB676" s="13" t="s">
        <v>5608</v>
      </c>
    </row>
    <row r="677" customFormat="false" ht="15" hidden="false" customHeight="false" outlineLevel="0" collapsed="false">
      <c r="A677" s="9" t="s">
        <v>1795</v>
      </c>
      <c r="B677" s="9" t="s">
        <v>204</v>
      </c>
      <c r="C677" s="9" t="s">
        <v>146</v>
      </c>
      <c r="D677" s="9" t="s">
        <v>2002</v>
      </c>
      <c r="E677" s="9" t="s">
        <v>3392</v>
      </c>
      <c r="F677" s="9" t="s">
        <v>5609</v>
      </c>
      <c r="G677" s="9" t="s">
        <v>5610</v>
      </c>
      <c r="H677" s="9" t="s">
        <v>4182</v>
      </c>
      <c r="I677" s="11" t="n">
        <v>50</v>
      </c>
      <c r="J677" s="11" t="n">
        <v>52.4</v>
      </c>
      <c r="K677" s="11"/>
      <c r="L677" s="11"/>
      <c r="M677" s="11" t="n">
        <f aca="false">IF(ISNUMBER(L677),L677,J677)</f>
        <v>52.4</v>
      </c>
      <c r="N677" s="11" t="n">
        <f aca="false">ROUNDUP(M677,0)</f>
        <v>53</v>
      </c>
      <c r="O677" s="11" t="n">
        <f aca="false">MAX(I677,N677)</f>
        <v>53</v>
      </c>
      <c r="P677" s="11" t="n">
        <f aca="false">IF(C677="COVERED",MAX(0,O677-40),0)</f>
        <v>0</v>
      </c>
      <c r="Q677" s="11" t="n">
        <f aca="false">O677</f>
        <v>53</v>
      </c>
      <c r="R677" s="17" t="n">
        <f aca="false">IF(C677="COVERED",10.4,7.55)</f>
        <v>7.55</v>
      </c>
      <c r="S677" s="17" t="n">
        <f aca="false">Q677*R677</f>
        <v>400.15</v>
      </c>
      <c r="T677" s="9"/>
      <c r="U677" s="10"/>
      <c r="V677" s="9"/>
      <c r="W677" s="17"/>
      <c r="X677" s="17"/>
      <c r="Y677" s="17" t="str">
        <f aca="false">IF(ISNUMBER(X677),X677-S677,"")</f>
        <v/>
      </c>
      <c r="Z677" s="17" t="n">
        <f aca="false">IF(ISNUMBER(X677),X677-S677,-S677)</f>
        <v>-400.15</v>
      </c>
      <c r="AA677" s="9" t="str">
        <f aca="false">IF(NOT(ISNUMBER(X677)),"NO AUGUST POSTING IN EXPORT",IF(ABS(Y677)&gt;=0.005,"POSTED CHARGE MISMATCH",IF(P677&gt;0,"MATCH - COVERED ELIGIBILITY EXCEPTION","MATCH")))</f>
        <v>NO AUGUST POSTING IN EXPORT</v>
      </c>
      <c r="AB677" s="9" t="s">
        <v>5611</v>
      </c>
    </row>
    <row r="678" customFormat="false" ht="15" hidden="false" customHeight="false" outlineLevel="0" collapsed="false">
      <c r="A678" s="13" t="s">
        <v>1143</v>
      </c>
      <c r="B678" s="13" t="s">
        <v>204</v>
      </c>
      <c r="C678" s="13" t="s">
        <v>146</v>
      </c>
      <c r="D678" s="13" t="s">
        <v>2002</v>
      </c>
      <c r="E678" s="13" t="s">
        <v>2031</v>
      </c>
      <c r="F678" s="13" t="s">
        <v>5612</v>
      </c>
      <c r="G678" s="13" t="s">
        <v>5613</v>
      </c>
      <c r="H678" s="13" t="s">
        <v>4716</v>
      </c>
      <c r="I678" s="15" t="n">
        <v>28</v>
      </c>
      <c r="J678" s="15" t="n">
        <v>36.9</v>
      </c>
      <c r="K678" s="15"/>
      <c r="L678" s="15"/>
      <c r="M678" s="15" t="n">
        <f aca="false">IF(ISNUMBER(L678),L678,J678)</f>
        <v>36.9</v>
      </c>
      <c r="N678" s="15" t="n">
        <f aca="false">ROUNDUP(M678,0)</f>
        <v>37</v>
      </c>
      <c r="O678" s="15" t="n">
        <f aca="false">MAX(I678,N678)</f>
        <v>37</v>
      </c>
      <c r="P678" s="15" t="n">
        <f aca="false">IF(C678="COVERED",MAX(0,O678-40),0)</f>
        <v>0</v>
      </c>
      <c r="Q678" s="15" t="n">
        <f aca="false">O678</f>
        <v>37</v>
      </c>
      <c r="R678" s="18" t="n">
        <f aca="false">IF(C678="COVERED",10.4,7.55)</f>
        <v>7.55</v>
      </c>
      <c r="S678" s="18" t="n">
        <f aca="false">Q678*R678</f>
        <v>279.35</v>
      </c>
      <c r="T678" s="13"/>
      <c r="U678" s="14"/>
      <c r="V678" s="13"/>
      <c r="W678" s="18"/>
      <c r="X678" s="18"/>
      <c r="Y678" s="18" t="str">
        <f aca="false">IF(ISNUMBER(X678),X678-S678,"")</f>
        <v/>
      </c>
      <c r="Z678" s="18" t="n">
        <f aca="false">IF(ISNUMBER(X678),X678-S678,-S678)</f>
        <v>-279.35</v>
      </c>
      <c r="AA678" s="13" t="str">
        <f aca="false">IF(NOT(ISNUMBER(X678)),"NO AUGUST POSTING IN EXPORT",IF(ABS(Y678)&gt;=0.005,"POSTED CHARGE MISMATCH",IF(P678&gt;0,"MATCH - COVERED ELIGIBILITY EXCEPTION","MATCH")))</f>
        <v>NO AUGUST POSTING IN EXPORT</v>
      </c>
      <c r="AB678" s="13" t="s">
        <v>5614</v>
      </c>
    </row>
    <row r="679" customFormat="false" ht="15" hidden="false" customHeight="false" outlineLevel="0" collapsed="false">
      <c r="A679" s="9" t="s">
        <v>941</v>
      </c>
      <c r="B679" s="9" t="s">
        <v>204</v>
      </c>
      <c r="C679" s="9" t="s">
        <v>146</v>
      </c>
      <c r="D679" s="9" t="s">
        <v>2002</v>
      </c>
      <c r="E679" s="9" t="s">
        <v>2037</v>
      </c>
      <c r="F679" s="9" t="s">
        <v>5615</v>
      </c>
      <c r="G679" s="9" t="s">
        <v>5616</v>
      </c>
      <c r="H679" s="9" t="s">
        <v>5617</v>
      </c>
      <c r="I679" s="11" t="n">
        <v>40</v>
      </c>
      <c r="J679" s="11" t="n">
        <v>47.8</v>
      </c>
      <c r="K679" s="11"/>
      <c r="L679" s="11"/>
      <c r="M679" s="11" t="n">
        <f aca="false">IF(ISNUMBER(L679),L679,J679)</f>
        <v>47.8</v>
      </c>
      <c r="N679" s="11" t="n">
        <f aca="false">ROUNDUP(M679,0)</f>
        <v>48</v>
      </c>
      <c r="O679" s="11" t="n">
        <f aca="false">MAX(I679,N679)</f>
        <v>48</v>
      </c>
      <c r="P679" s="11" t="n">
        <f aca="false">IF(C679="COVERED",MAX(0,O679-40),0)</f>
        <v>0</v>
      </c>
      <c r="Q679" s="11" t="n">
        <f aca="false">O679</f>
        <v>48</v>
      </c>
      <c r="R679" s="17" t="n">
        <f aca="false">IF(C679="COVERED",10.4,7.55)</f>
        <v>7.55</v>
      </c>
      <c r="S679" s="17" t="n">
        <f aca="false">Q679*R679</f>
        <v>362.4</v>
      </c>
      <c r="T679" s="9"/>
      <c r="U679" s="10"/>
      <c r="V679" s="9"/>
      <c r="W679" s="17"/>
      <c r="X679" s="17"/>
      <c r="Y679" s="17" t="str">
        <f aca="false">IF(ISNUMBER(X679),X679-S679,"")</f>
        <v/>
      </c>
      <c r="Z679" s="17" t="n">
        <f aca="false">IF(ISNUMBER(X679),X679-S679,-S679)</f>
        <v>-362.4</v>
      </c>
      <c r="AA679" s="9" t="str">
        <f aca="false">IF(NOT(ISNUMBER(X679)),"NO AUGUST POSTING IN EXPORT",IF(ABS(Y679)&gt;=0.005,"POSTED CHARGE MISMATCH",IF(P679&gt;0,"MATCH - COVERED ELIGIBILITY EXCEPTION","MATCH")))</f>
        <v>NO AUGUST POSTING IN EXPORT</v>
      </c>
      <c r="AB679" s="9" t="s">
        <v>5618</v>
      </c>
    </row>
    <row r="680" customFormat="false" ht="15" hidden="false" customHeight="false" outlineLevel="0" collapsed="false">
      <c r="A680" s="13" t="s">
        <v>5619</v>
      </c>
      <c r="B680" s="13" t="s">
        <v>204</v>
      </c>
      <c r="C680" s="13" t="s">
        <v>146</v>
      </c>
      <c r="D680" s="13" t="s">
        <v>2002</v>
      </c>
      <c r="E680" s="13" t="s">
        <v>2042</v>
      </c>
      <c r="F680" s="13" t="s">
        <v>5620</v>
      </c>
      <c r="G680" s="13" t="s">
        <v>5621</v>
      </c>
      <c r="H680" s="13" t="s">
        <v>2189</v>
      </c>
      <c r="I680" s="15" t="n">
        <v>28</v>
      </c>
      <c r="J680" s="15" t="n">
        <v>34</v>
      </c>
      <c r="K680" s="15"/>
      <c r="L680" s="15"/>
      <c r="M680" s="15" t="n">
        <f aca="false">IF(ISNUMBER(L680),L680,J680)</f>
        <v>34</v>
      </c>
      <c r="N680" s="15" t="n">
        <f aca="false">ROUNDUP(M680,0)</f>
        <v>34</v>
      </c>
      <c r="O680" s="15" t="n">
        <f aca="false">MAX(I680,N680)</f>
        <v>34</v>
      </c>
      <c r="P680" s="15" t="n">
        <f aca="false">IF(C680="COVERED",MAX(0,O680-40),0)</f>
        <v>0</v>
      </c>
      <c r="Q680" s="15" t="n">
        <f aca="false">O680</f>
        <v>34</v>
      </c>
      <c r="R680" s="18" t="n">
        <f aca="false">IF(C680="COVERED",10.4,7.55)</f>
        <v>7.55</v>
      </c>
      <c r="S680" s="18" t="n">
        <f aca="false">Q680*R680</f>
        <v>256.7</v>
      </c>
      <c r="T680" s="13"/>
      <c r="U680" s="14"/>
      <c r="V680" s="13"/>
      <c r="W680" s="18"/>
      <c r="X680" s="18"/>
      <c r="Y680" s="18" t="str">
        <f aca="false">IF(ISNUMBER(X680),X680-S680,"")</f>
        <v/>
      </c>
      <c r="Z680" s="18" t="n">
        <f aca="false">IF(ISNUMBER(X680),X680-S680,-S680)</f>
        <v>-256.7</v>
      </c>
      <c r="AA680" s="13" t="str">
        <f aca="false">IF(NOT(ISNUMBER(X680)),"NO AUGUST POSTING IN EXPORT",IF(ABS(Y680)&gt;=0.005,"POSTED CHARGE MISMATCH",IF(P680&gt;0,"MATCH - COVERED ELIGIBILITY EXCEPTION","MATCH")))</f>
        <v>NO AUGUST POSTING IN EXPORT</v>
      </c>
      <c r="AB680" s="13" t="s">
        <v>5622</v>
      </c>
    </row>
    <row r="681" customFormat="false" ht="15" hidden="false" customHeight="false" outlineLevel="0" collapsed="false">
      <c r="A681" s="9" t="s">
        <v>264</v>
      </c>
      <c r="B681" s="9" t="s">
        <v>204</v>
      </c>
      <c r="C681" s="9" t="s">
        <v>146</v>
      </c>
      <c r="D681" s="9" t="s">
        <v>2002</v>
      </c>
      <c r="E681" s="9" t="s">
        <v>2048</v>
      </c>
      <c r="F681" s="9" t="s">
        <v>5623</v>
      </c>
      <c r="G681" s="9" t="s">
        <v>5624</v>
      </c>
      <c r="H681" s="9" t="s">
        <v>2821</v>
      </c>
      <c r="I681" s="11" t="n">
        <v>32</v>
      </c>
      <c r="J681" s="11" t="n">
        <v>24.7</v>
      </c>
      <c r="K681" s="11"/>
      <c r="L681" s="11"/>
      <c r="M681" s="11" t="n">
        <f aca="false">IF(ISNUMBER(L681),L681,J681)</f>
        <v>24.7</v>
      </c>
      <c r="N681" s="11" t="n">
        <f aca="false">ROUNDUP(M681,0)</f>
        <v>25</v>
      </c>
      <c r="O681" s="11" t="n">
        <f aca="false">MAX(I681,N681)</f>
        <v>32</v>
      </c>
      <c r="P681" s="11" t="n">
        <f aca="false">IF(C681="COVERED",MAX(0,O681-40),0)</f>
        <v>0</v>
      </c>
      <c r="Q681" s="11" t="n">
        <f aca="false">O681</f>
        <v>32</v>
      </c>
      <c r="R681" s="17" t="n">
        <f aca="false">IF(C681="COVERED",10.4,7.55)</f>
        <v>7.55</v>
      </c>
      <c r="S681" s="17" t="n">
        <f aca="false">Q681*R681</f>
        <v>241.6</v>
      </c>
      <c r="T681" s="9"/>
      <c r="U681" s="10"/>
      <c r="V681" s="9"/>
      <c r="W681" s="17"/>
      <c r="X681" s="17"/>
      <c r="Y681" s="17" t="str">
        <f aca="false">IF(ISNUMBER(X681),X681-S681,"")</f>
        <v/>
      </c>
      <c r="Z681" s="17" t="n">
        <f aca="false">IF(ISNUMBER(X681),X681-S681,-S681)</f>
        <v>-241.6</v>
      </c>
      <c r="AA681" s="9" t="str">
        <f aca="false">IF(NOT(ISNUMBER(X681)),"NO AUGUST POSTING IN EXPORT",IF(ABS(Y681)&gt;=0.005,"POSTED CHARGE MISMATCH",IF(P681&gt;0,"MATCH - COVERED ELIGIBILITY EXCEPTION","MATCH")))</f>
        <v>NO AUGUST POSTING IN EXPORT</v>
      </c>
      <c r="AB681" s="9" t="s">
        <v>5625</v>
      </c>
    </row>
    <row r="682" customFormat="false" ht="15" hidden="false" customHeight="false" outlineLevel="0" collapsed="false">
      <c r="A682" s="13" t="s">
        <v>5626</v>
      </c>
      <c r="B682" s="13" t="s">
        <v>204</v>
      </c>
      <c r="C682" s="13" t="s">
        <v>146</v>
      </c>
      <c r="D682" s="13" t="s">
        <v>2002</v>
      </c>
      <c r="E682" s="13" t="s">
        <v>2054</v>
      </c>
      <c r="F682" s="13" t="s">
        <v>5627</v>
      </c>
      <c r="G682" s="13" t="s">
        <v>5628</v>
      </c>
      <c r="H682" s="13" t="s">
        <v>2624</v>
      </c>
      <c r="I682" s="15" t="n">
        <v>28</v>
      </c>
      <c r="J682" s="15" t="n">
        <v>34.6</v>
      </c>
      <c r="K682" s="15"/>
      <c r="L682" s="15"/>
      <c r="M682" s="15" t="n">
        <f aca="false">IF(ISNUMBER(L682),L682,J682)</f>
        <v>34.6</v>
      </c>
      <c r="N682" s="15" t="n">
        <f aca="false">ROUNDUP(M682,0)</f>
        <v>35</v>
      </c>
      <c r="O682" s="15" t="n">
        <f aca="false">MAX(I682,N682)</f>
        <v>35</v>
      </c>
      <c r="P682" s="15" t="n">
        <f aca="false">IF(C682="COVERED",MAX(0,O682-40),0)</f>
        <v>0</v>
      </c>
      <c r="Q682" s="15" t="n">
        <f aca="false">O682</f>
        <v>35</v>
      </c>
      <c r="R682" s="18" t="n">
        <f aca="false">IF(C682="COVERED",10.4,7.55)</f>
        <v>7.55</v>
      </c>
      <c r="S682" s="18" t="n">
        <f aca="false">Q682*R682</f>
        <v>264.25</v>
      </c>
      <c r="T682" s="13"/>
      <c r="U682" s="14"/>
      <c r="V682" s="13"/>
      <c r="W682" s="18"/>
      <c r="X682" s="18"/>
      <c r="Y682" s="18" t="str">
        <f aca="false">IF(ISNUMBER(X682),X682-S682,"")</f>
        <v/>
      </c>
      <c r="Z682" s="18" t="n">
        <f aca="false">IF(ISNUMBER(X682),X682-S682,-S682)</f>
        <v>-264.25</v>
      </c>
      <c r="AA682" s="13" t="str">
        <f aca="false">IF(NOT(ISNUMBER(X682)),"NO AUGUST POSTING IN EXPORT",IF(ABS(Y682)&gt;=0.005,"POSTED CHARGE MISMATCH",IF(P682&gt;0,"MATCH - COVERED ELIGIBILITY EXCEPTION","MATCH")))</f>
        <v>NO AUGUST POSTING IN EXPORT</v>
      </c>
      <c r="AB682" s="13" t="s">
        <v>5629</v>
      </c>
    </row>
    <row r="683" customFormat="false" ht="15" hidden="false" customHeight="false" outlineLevel="0" collapsed="false">
      <c r="A683" s="9" t="s">
        <v>5630</v>
      </c>
      <c r="B683" s="9" t="s">
        <v>204</v>
      </c>
      <c r="C683" s="9" t="s">
        <v>146</v>
      </c>
      <c r="D683" s="9" t="s">
        <v>2002</v>
      </c>
      <c r="E683" s="9" t="s">
        <v>2060</v>
      </c>
      <c r="F683" s="9" t="s">
        <v>5631</v>
      </c>
      <c r="G683" s="9" t="s">
        <v>5632</v>
      </c>
      <c r="H683" s="9" t="s">
        <v>4067</v>
      </c>
      <c r="I683" s="11" t="n">
        <v>45</v>
      </c>
      <c r="J683" s="11" t="n">
        <v>30.5</v>
      </c>
      <c r="K683" s="11"/>
      <c r="L683" s="11"/>
      <c r="M683" s="11" t="n">
        <f aca="false">IF(ISNUMBER(L683),L683,J683)</f>
        <v>30.5</v>
      </c>
      <c r="N683" s="11" t="n">
        <f aca="false">ROUNDUP(M683,0)</f>
        <v>31</v>
      </c>
      <c r="O683" s="11" t="n">
        <f aca="false">MAX(I683,N683)</f>
        <v>45</v>
      </c>
      <c r="P683" s="11" t="n">
        <f aca="false">IF(C683="COVERED",MAX(0,O683-40),0)</f>
        <v>0</v>
      </c>
      <c r="Q683" s="11" t="n">
        <f aca="false">O683</f>
        <v>45</v>
      </c>
      <c r="R683" s="17" t="n">
        <f aca="false">IF(C683="COVERED",10.4,7.55)</f>
        <v>7.55</v>
      </c>
      <c r="S683" s="17" t="n">
        <f aca="false">Q683*R683</f>
        <v>339.75</v>
      </c>
      <c r="T683" s="9"/>
      <c r="U683" s="10"/>
      <c r="V683" s="9"/>
      <c r="W683" s="17"/>
      <c r="X683" s="17"/>
      <c r="Y683" s="17" t="str">
        <f aca="false">IF(ISNUMBER(X683),X683-S683,"")</f>
        <v/>
      </c>
      <c r="Z683" s="17" t="n">
        <f aca="false">IF(ISNUMBER(X683),X683-S683,-S683)</f>
        <v>-339.75</v>
      </c>
      <c r="AA683" s="9" t="str">
        <f aca="false">IF(NOT(ISNUMBER(X683)),"NO AUGUST POSTING IN EXPORT",IF(ABS(Y683)&gt;=0.005,"POSTED CHARGE MISMATCH",IF(P683&gt;0,"MATCH - COVERED ELIGIBILITY EXCEPTION","MATCH")))</f>
        <v>NO AUGUST POSTING IN EXPORT</v>
      </c>
      <c r="AB683" s="9" t="s">
        <v>5633</v>
      </c>
    </row>
    <row r="684" customFormat="false" ht="15" hidden="false" customHeight="false" outlineLevel="0" collapsed="false">
      <c r="A684" s="13" t="s">
        <v>5634</v>
      </c>
      <c r="B684" s="13" t="s">
        <v>204</v>
      </c>
      <c r="C684" s="13" t="s">
        <v>146</v>
      </c>
      <c r="D684" s="13" t="s">
        <v>2002</v>
      </c>
      <c r="E684" s="13" t="s">
        <v>2065</v>
      </c>
      <c r="F684" s="13" t="s">
        <v>5635</v>
      </c>
      <c r="G684" s="13" t="s">
        <v>5636</v>
      </c>
      <c r="H684" s="13" t="s">
        <v>3073</v>
      </c>
      <c r="I684" s="15" t="n">
        <v>32</v>
      </c>
      <c r="J684" s="15" t="n">
        <v>49.9</v>
      </c>
      <c r="K684" s="15"/>
      <c r="L684" s="15"/>
      <c r="M684" s="15" t="n">
        <f aca="false">IF(ISNUMBER(L684),L684,J684)</f>
        <v>49.9</v>
      </c>
      <c r="N684" s="15" t="n">
        <f aca="false">ROUNDUP(M684,0)</f>
        <v>50</v>
      </c>
      <c r="O684" s="15" t="n">
        <f aca="false">MAX(I684,N684)</f>
        <v>50</v>
      </c>
      <c r="P684" s="15" t="n">
        <f aca="false">IF(C684="COVERED",MAX(0,O684-40),0)</f>
        <v>0</v>
      </c>
      <c r="Q684" s="15" t="n">
        <f aca="false">O684</f>
        <v>50</v>
      </c>
      <c r="R684" s="18" t="n">
        <f aca="false">IF(C684="COVERED",10.4,7.55)</f>
        <v>7.55</v>
      </c>
      <c r="S684" s="18" t="n">
        <f aca="false">Q684*R684</f>
        <v>377.5</v>
      </c>
      <c r="T684" s="13"/>
      <c r="U684" s="14"/>
      <c r="V684" s="13"/>
      <c r="W684" s="18"/>
      <c r="X684" s="18"/>
      <c r="Y684" s="18" t="str">
        <f aca="false">IF(ISNUMBER(X684),X684-S684,"")</f>
        <v/>
      </c>
      <c r="Z684" s="18" t="n">
        <f aca="false">IF(ISNUMBER(X684),X684-S684,-S684)</f>
        <v>-377.5</v>
      </c>
      <c r="AA684" s="13" t="str">
        <f aca="false">IF(NOT(ISNUMBER(X684)),"NO AUGUST POSTING IN EXPORT",IF(ABS(Y684)&gt;=0.005,"POSTED CHARGE MISMATCH",IF(P684&gt;0,"MATCH - COVERED ELIGIBILITY EXCEPTION","MATCH")))</f>
        <v>NO AUGUST POSTING IN EXPORT</v>
      </c>
      <c r="AB684" s="13" t="s">
        <v>5637</v>
      </c>
    </row>
    <row r="685" customFormat="false" ht="15" hidden="false" customHeight="false" outlineLevel="0" collapsed="false">
      <c r="A685" s="9" t="s">
        <v>5638</v>
      </c>
      <c r="B685" s="9" t="s">
        <v>204</v>
      </c>
      <c r="C685" s="9" t="s">
        <v>146</v>
      </c>
      <c r="D685" s="9" t="s">
        <v>2002</v>
      </c>
      <c r="E685" s="9" t="s">
        <v>2072</v>
      </c>
      <c r="F685" s="9" t="s">
        <v>5639</v>
      </c>
      <c r="G685" s="9" t="s">
        <v>5640</v>
      </c>
      <c r="H685" s="9" t="s">
        <v>3918</v>
      </c>
      <c r="I685" s="11" t="n">
        <v>36</v>
      </c>
      <c r="J685" s="11" t="n">
        <v>50.7</v>
      </c>
      <c r="K685" s="11"/>
      <c r="L685" s="11"/>
      <c r="M685" s="11" t="n">
        <f aca="false">IF(ISNUMBER(L685),L685,J685)</f>
        <v>50.7</v>
      </c>
      <c r="N685" s="11" t="n">
        <f aca="false">ROUNDUP(M685,0)</f>
        <v>51</v>
      </c>
      <c r="O685" s="11" t="n">
        <f aca="false">MAX(I685,N685)</f>
        <v>51</v>
      </c>
      <c r="P685" s="11" t="n">
        <f aca="false">IF(C685="COVERED",MAX(0,O685-40),0)</f>
        <v>0</v>
      </c>
      <c r="Q685" s="11" t="n">
        <f aca="false">O685</f>
        <v>51</v>
      </c>
      <c r="R685" s="17" t="n">
        <f aca="false">IF(C685="COVERED",10.4,7.55)</f>
        <v>7.55</v>
      </c>
      <c r="S685" s="17" t="n">
        <f aca="false">Q685*R685</f>
        <v>385.05</v>
      </c>
      <c r="T685" s="9"/>
      <c r="U685" s="10"/>
      <c r="V685" s="9"/>
      <c r="W685" s="17"/>
      <c r="X685" s="17"/>
      <c r="Y685" s="17" t="str">
        <f aca="false">IF(ISNUMBER(X685),X685-S685,"")</f>
        <v/>
      </c>
      <c r="Z685" s="17" t="n">
        <f aca="false">IF(ISNUMBER(X685),X685-S685,-S685)</f>
        <v>-385.05</v>
      </c>
      <c r="AA685" s="9" t="str">
        <f aca="false">IF(NOT(ISNUMBER(X685)),"NO AUGUST POSTING IN EXPORT",IF(ABS(Y685)&gt;=0.005,"POSTED CHARGE MISMATCH",IF(P685&gt;0,"MATCH - COVERED ELIGIBILITY EXCEPTION","MATCH")))</f>
        <v>NO AUGUST POSTING IN EXPORT</v>
      </c>
      <c r="AB685" s="9" t="s">
        <v>5641</v>
      </c>
    </row>
    <row r="686" customFormat="false" ht="15" hidden="false" customHeight="false" outlineLevel="0" collapsed="false">
      <c r="A686" s="13" t="s">
        <v>5642</v>
      </c>
      <c r="B686" s="13" t="s">
        <v>204</v>
      </c>
      <c r="C686" s="13" t="s">
        <v>146</v>
      </c>
      <c r="D686" s="13" t="s">
        <v>2002</v>
      </c>
      <c r="E686" s="13" t="s">
        <v>2079</v>
      </c>
      <c r="F686" s="13" t="s">
        <v>5643</v>
      </c>
      <c r="G686" s="13" t="s">
        <v>5644</v>
      </c>
      <c r="H686" s="13" t="s">
        <v>3965</v>
      </c>
      <c r="I686" s="15" t="n">
        <v>32</v>
      </c>
      <c r="J686" s="15" t="n">
        <v>21</v>
      </c>
      <c r="K686" s="15"/>
      <c r="L686" s="15"/>
      <c r="M686" s="15" t="n">
        <f aca="false">IF(ISNUMBER(L686),L686,J686)</f>
        <v>21</v>
      </c>
      <c r="N686" s="15" t="n">
        <f aca="false">ROUNDUP(M686,0)</f>
        <v>21</v>
      </c>
      <c r="O686" s="15" t="n">
        <f aca="false">MAX(I686,N686)</f>
        <v>32</v>
      </c>
      <c r="P686" s="15" t="n">
        <f aca="false">IF(C686="COVERED",MAX(0,O686-40),0)</f>
        <v>0</v>
      </c>
      <c r="Q686" s="15" t="n">
        <f aca="false">O686</f>
        <v>32</v>
      </c>
      <c r="R686" s="18" t="n">
        <f aca="false">IF(C686="COVERED",10.4,7.55)</f>
        <v>7.55</v>
      </c>
      <c r="S686" s="18" t="n">
        <f aca="false">Q686*R686</f>
        <v>241.6</v>
      </c>
      <c r="T686" s="13"/>
      <c r="U686" s="14"/>
      <c r="V686" s="13"/>
      <c r="W686" s="18"/>
      <c r="X686" s="18"/>
      <c r="Y686" s="18" t="str">
        <f aca="false">IF(ISNUMBER(X686),X686-S686,"")</f>
        <v/>
      </c>
      <c r="Z686" s="18" t="n">
        <f aca="false">IF(ISNUMBER(X686),X686-S686,-S686)</f>
        <v>-241.6</v>
      </c>
      <c r="AA686" s="13" t="str">
        <f aca="false">IF(NOT(ISNUMBER(X686)),"NO AUGUST POSTING IN EXPORT",IF(ABS(Y686)&gt;=0.005,"POSTED CHARGE MISMATCH",IF(P686&gt;0,"MATCH - COVERED ELIGIBILITY EXCEPTION","MATCH")))</f>
        <v>NO AUGUST POSTING IN EXPORT</v>
      </c>
      <c r="AB686" s="13" t="s">
        <v>5645</v>
      </c>
    </row>
    <row r="687" customFormat="false" ht="15" hidden="false" customHeight="false" outlineLevel="0" collapsed="false">
      <c r="A687" s="9" t="s">
        <v>1553</v>
      </c>
      <c r="B687" s="9" t="s">
        <v>204</v>
      </c>
      <c r="C687" s="9" t="s">
        <v>146</v>
      </c>
      <c r="D687" s="9" t="s">
        <v>2002</v>
      </c>
      <c r="E687" s="9" t="s">
        <v>2086</v>
      </c>
      <c r="F687" s="9" t="s">
        <v>834</v>
      </c>
      <c r="G687" s="9" t="s">
        <v>835</v>
      </c>
      <c r="H687" s="9" t="s">
        <v>3588</v>
      </c>
      <c r="I687" s="11" t="n">
        <v>24</v>
      </c>
      <c r="J687" s="11" t="n">
        <v>19.8</v>
      </c>
      <c r="K687" s="11"/>
      <c r="L687" s="11"/>
      <c r="M687" s="11" t="n">
        <f aca="false">IF(ISNUMBER(L687),L687,J687)</f>
        <v>19.8</v>
      </c>
      <c r="N687" s="11" t="n">
        <f aca="false">ROUNDUP(M687,0)</f>
        <v>20</v>
      </c>
      <c r="O687" s="11" t="n">
        <f aca="false">MAX(I687,N687)</f>
        <v>24</v>
      </c>
      <c r="P687" s="11" t="n">
        <f aca="false">IF(C687="COVERED",MAX(0,O687-40),0)</f>
        <v>0</v>
      </c>
      <c r="Q687" s="11" t="n">
        <f aca="false">O687</f>
        <v>24</v>
      </c>
      <c r="R687" s="17" t="n">
        <f aca="false">IF(C687="COVERED",10.4,7.55)</f>
        <v>7.55</v>
      </c>
      <c r="S687" s="17" t="n">
        <f aca="false">Q687*R687</f>
        <v>181.2</v>
      </c>
      <c r="T687" s="9"/>
      <c r="U687" s="10"/>
      <c r="V687" s="9"/>
      <c r="W687" s="17"/>
      <c r="X687" s="17"/>
      <c r="Y687" s="17" t="str">
        <f aca="false">IF(ISNUMBER(X687),X687-S687,"")</f>
        <v/>
      </c>
      <c r="Z687" s="17" t="n">
        <f aca="false">IF(ISNUMBER(X687),X687-S687,-S687)</f>
        <v>-181.2</v>
      </c>
      <c r="AA687" s="9" t="str">
        <f aca="false">IF(NOT(ISNUMBER(X687)),"NO AUGUST POSTING IN EXPORT",IF(ABS(Y687)&gt;=0.005,"POSTED CHARGE MISMATCH",IF(P687&gt;0,"MATCH - COVERED ELIGIBILITY EXCEPTION","MATCH")))</f>
        <v>NO AUGUST POSTING IN EXPORT</v>
      </c>
      <c r="AB687" s="9" t="s">
        <v>5646</v>
      </c>
    </row>
    <row r="688" customFormat="false" ht="15" hidden="false" customHeight="false" outlineLevel="0" collapsed="false">
      <c r="A688" s="13" t="s">
        <v>5647</v>
      </c>
      <c r="B688" s="13" t="s">
        <v>204</v>
      </c>
      <c r="C688" s="13" t="s">
        <v>146</v>
      </c>
      <c r="D688" s="13" t="s">
        <v>2002</v>
      </c>
      <c r="E688" s="13" t="s">
        <v>2093</v>
      </c>
      <c r="F688" s="13" t="s">
        <v>1265</v>
      </c>
      <c r="G688" s="13" t="s">
        <v>1266</v>
      </c>
      <c r="H688" s="13" t="s">
        <v>2534</v>
      </c>
      <c r="I688" s="15" t="n">
        <v>70</v>
      </c>
      <c r="J688" s="15" t="n">
        <v>43.2</v>
      </c>
      <c r="K688" s="15"/>
      <c r="L688" s="15"/>
      <c r="M688" s="15" t="n">
        <f aca="false">IF(ISNUMBER(L688),L688,J688)</f>
        <v>43.2</v>
      </c>
      <c r="N688" s="15" t="n">
        <f aca="false">ROUNDUP(M688,0)</f>
        <v>44</v>
      </c>
      <c r="O688" s="15" t="n">
        <f aca="false">MAX(I688,N688)</f>
        <v>70</v>
      </c>
      <c r="P688" s="15" t="n">
        <f aca="false">IF(C688="COVERED",MAX(0,O688-40),0)</f>
        <v>0</v>
      </c>
      <c r="Q688" s="15" t="n">
        <f aca="false">O688</f>
        <v>70</v>
      </c>
      <c r="R688" s="18" t="n">
        <f aca="false">IF(C688="COVERED",10.4,7.55)</f>
        <v>7.55</v>
      </c>
      <c r="S688" s="18" t="n">
        <f aca="false">Q688*R688</f>
        <v>528.5</v>
      </c>
      <c r="T688" s="13"/>
      <c r="U688" s="14"/>
      <c r="V688" s="13"/>
      <c r="W688" s="18"/>
      <c r="X688" s="18"/>
      <c r="Y688" s="18" t="str">
        <f aca="false">IF(ISNUMBER(X688),X688-S688,"")</f>
        <v/>
      </c>
      <c r="Z688" s="18" t="n">
        <f aca="false">IF(ISNUMBER(X688),X688-S688,-S688)</f>
        <v>-528.5</v>
      </c>
      <c r="AA688" s="13" t="str">
        <f aca="false">IF(NOT(ISNUMBER(X688)),"NO AUGUST POSTING IN EXPORT",IF(ABS(Y688)&gt;=0.005,"POSTED CHARGE MISMATCH",IF(P688&gt;0,"MATCH - COVERED ELIGIBILITY EXCEPTION","MATCH")))</f>
        <v>NO AUGUST POSTING IN EXPORT</v>
      </c>
      <c r="AB688" s="13" t="s">
        <v>5648</v>
      </c>
    </row>
    <row r="689" customFormat="false" ht="15" hidden="false" customHeight="false" outlineLevel="0" collapsed="false">
      <c r="A689" s="9" t="s">
        <v>5649</v>
      </c>
      <c r="B689" s="9" t="s">
        <v>204</v>
      </c>
      <c r="C689" s="9" t="s">
        <v>146</v>
      </c>
      <c r="D689" s="9" t="s">
        <v>2002</v>
      </c>
      <c r="E689" s="9" t="s">
        <v>3461</v>
      </c>
      <c r="F689" s="9" t="s">
        <v>5650</v>
      </c>
      <c r="G689" s="9" t="s">
        <v>5651</v>
      </c>
      <c r="H689" s="9" t="s">
        <v>2476</v>
      </c>
      <c r="I689" s="11" t="n">
        <v>24</v>
      </c>
      <c r="J689" s="11" t="n">
        <v>31.6</v>
      </c>
      <c r="K689" s="11"/>
      <c r="L689" s="11"/>
      <c r="M689" s="11" t="n">
        <f aca="false">IF(ISNUMBER(L689),L689,J689)</f>
        <v>31.6</v>
      </c>
      <c r="N689" s="11" t="n">
        <f aca="false">ROUNDUP(M689,0)</f>
        <v>32</v>
      </c>
      <c r="O689" s="11" t="n">
        <f aca="false">MAX(I689,N689)</f>
        <v>32</v>
      </c>
      <c r="P689" s="11" t="n">
        <f aca="false">IF(C689="COVERED",MAX(0,O689-40),0)</f>
        <v>0</v>
      </c>
      <c r="Q689" s="11" t="n">
        <f aca="false">O689</f>
        <v>32</v>
      </c>
      <c r="R689" s="17" t="n">
        <f aca="false">IF(C689="COVERED",10.4,7.55)</f>
        <v>7.55</v>
      </c>
      <c r="S689" s="17" t="n">
        <f aca="false">Q689*R689</f>
        <v>241.6</v>
      </c>
      <c r="T689" s="9"/>
      <c r="U689" s="10"/>
      <c r="V689" s="9"/>
      <c r="W689" s="17"/>
      <c r="X689" s="17"/>
      <c r="Y689" s="17" t="str">
        <f aca="false">IF(ISNUMBER(X689),X689-S689,"")</f>
        <v/>
      </c>
      <c r="Z689" s="17" t="n">
        <f aca="false">IF(ISNUMBER(X689),X689-S689,-S689)</f>
        <v>-241.6</v>
      </c>
      <c r="AA689" s="9" t="str">
        <f aca="false">IF(NOT(ISNUMBER(X689)),"NO AUGUST POSTING IN EXPORT",IF(ABS(Y689)&gt;=0.005,"POSTED CHARGE MISMATCH",IF(P689&gt;0,"MATCH - COVERED ELIGIBILITY EXCEPTION","MATCH")))</f>
        <v>NO AUGUST POSTING IN EXPORT</v>
      </c>
      <c r="AB689" s="9" t="s">
        <v>5652</v>
      </c>
    </row>
    <row r="690" customFormat="false" ht="15" hidden="false" customHeight="false" outlineLevel="0" collapsed="false">
      <c r="A690" s="13" t="s">
        <v>5653</v>
      </c>
      <c r="B690" s="13" t="s">
        <v>204</v>
      </c>
      <c r="C690" s="13" t="s">
        <v>146</v>
      </c>
      <c r="D690" s="13" t="s">
        <v>2002</v>
      </c>
      <c r="E690" s="13" t="s">
        <v>2099</v>
      </c>
      <c r="F690" s="13" t="s">
        <v>5654</v>
      </c>
      <c r="G690" s="13" t="s">
        <v>5655</v>
      </c>
      <c r="H690" s="13" t="s">
        <v>5656</v>
      </c>
      <c r="I690" s="15" t="n">
        <v>60</v>
      </c>
      <c r="J690" s="15" t="n">
        <v>52.3</v>
      </c>
      <c r="K690" s="15"/>
      <c r="L690" s="15"/>
      <c r="M690" s="15" t="n">
        <f aca="false">IF(ISNUMBER(L690),L690,J690)</f>
        <v>52.3</v>
      </c>
      <c r="N690" s="15" t="n">
        <f aca="false">ROUNDUP(M690,0)</f>
        <v>53</v>
      </c>
      <c r="O690" s="15" t="n">
        <f aca="false">MAX(I690,N690)</f>
        <v>60</v>
      </c>
      <c r="P690" s="15" t="n">
        <f aca="false">IF(C690="COVERED",MAX(0,O690-40),0)</f>
        <v>0</v>
      </c>
      <c r="Q690" s="15" t="n">
        <f aca="false">O690</f>
        <v>60</v>
      </c>
      <c r="R690" s="18" t="n">
        <f aca="false">IF(C690="COVERED",10.4,7.55)</f>
        <v>7.55</v>
      </c>
      <c r="S690" s="18" t="n">
        <f aca="false">Q690*R690</f>
        <v>453</v>
      </c>
      <c r="T690" s="13"/>
      <c r="U690" s="14"/>
      <c r="V690" s="13"/>
      <c r="W690" s="18"/>
      <c r="X690" s="18"/>
      <c r="Y690" s="18" t="str">
        <f aca="false">IF(ISNUMBER(X690),X690-S690,"")</f>
        <v/>
      </c>
      <c r="Z690" s="18" t="n">
        <f aca="false">IF(ISNUMBER(X690),X690-S690,-S690)</f>
        <v>-453</v>
      </c>
      <c r="AA690" s="13" t="str">
        <f aca="false">IF(NOT(ISNUMBER(X690)),"NO AUGUST POSTING IN EXPORT",IF(ABS(Y690)&gt;=0.005,"POSTED CHARGE MISMATCH",IF(P690&gt;0,"MATCH - COVERED ELIGIBILITY EXCEPTION","MATCH")))</f>
        <v>NO AUGUST POSTING IN EXPORT</v>
      </c>
      <c r="AB690" s="13" t="s">
        <v>5657</v>
      </c>
    </row>
    <row r="691" customFormat="false" ht="15" hidden="false" customHeight="false" outlineLevel="0" collapsed="false">
      <c r="A691" s="9" t="s">
        <v>5658</v>
      </c>
      <c r="B691" s="9" t="s">
        <v>204</v>
      </c>
      <c r="C691" s="9" t="s">
        <v>146</v>
      </c>
      <c r="D691" s="9" t="s">
        <v>2002</v>
      </c>
      <c r="E691" s="9" t="s">
        <v>2104</v>
      </c>
      <c r="F691" s="9" t="s">
        <v>5659</v>
      </c>
      <c r="G691" s="9" t="s">
        <v>5660</v>
      </c>
      <c r="H691" s="9" t="s">
        <v>2637</v>
      </c>
      <c r="I691" s="11" t="n">
        <v>32</v>
      </c>
      <c r="J691" s="11" t="n">
        <v>27.8</v>
      </c>
      <c r="K691" s="11"/>
      <c r="L691" s="11"/>
      <c r="M691" s="11" t="n">
        <f aca="false">IF(ISNUMBER(L691),L691,J691)</f>
        <v>27.8</v>
      </c>
      <c r="N691" s="11" t="n">
        <f aca="false">ROUNDUP(M691,0)</f>
        <v>28</v>
      </c>
      <c r="O691" s="11" t="n">
        <f aca="false">MAX(I691,N691)</f>
        <v>32</v>
      </c>
      <c r="P691" s="11" t="n">
        <f aca="false">IF(C691="COVERED",MAX(0,O691-40),0)</f>
        <v>0</v>
      </c>
      <c r="Q691" s="11" t="n">
        <f aca="false">O691</f>
        <v>32</v>
      </c>
      <c r="R691" s="17" t="n">
        <f aca="false">IF(C691="COVERED",10.4,7.55)</f>
        <v>7.55</v>
      </c>
      <c r="S691" s="17" t="n">
        <f aca="false">Q691*R691</f>
        <v>241.6</v>
      </c>
      <c r="T691" s="9"/>
      <c r="U691" s="10"/>
      <c r="V691" s="9"/>
      <c r="W691" s="17"/>
      <c r="X691" s="17"/>
      <c r="Y691" s="17" t="str">
        <f aca="false">IF(ISNUMBER(X691),X691-S691,"")</f>
        <v/>
      </c>
      <c r="Z691" s="17" t="n">
        <f aca="false">IF(ISNUMBER(X691),X691-S691,-S691)</f>
        <v>-241.6</v>
      </c>
      <c r="AA691" s="9" t="str">
        <f aca="false">IF(NOT(ISNUMBER(X691)),"NO AUGUST POSTING IN EXPORT",IF(ABS(Y691)&gt;=0.005,"POSTED CHARGE MISMATCH",IF(P691&gt;0,"MATCH - COVERED ELIGIBILITY EXCEPTION","MATCH")))</f>
        <v>NO AUGUST POSTING IN EXPORT</v>
      </c>
      <c r="AB691" s="9" t="s">
        <v>5661</v>
      </c>
    </row>
    <row r="692" customFormat="false" ht="15" hidden="false" customHeight="false" outlineLevel="0" collapsed="false">
      <c r="A692" s="13" t="s">
        <v>1091</v>
      </c>
      <c r="B692" s="13" t="s">
        <v>204</v>
      </c>
      <c r="C692" s="13" t="s">
        <v>146</v>
      </c>
      <c r="D692" s="13" t="s">
        <v>2002</v>
      </c>
      <c r="E692" s="13" t="s">
        <v>2109</v>
      </c>
      <c r="F692" s="13" t="s">
        <v>5662</v>
      </c>
      <c r="G692" s="13" t="s">
        <v>5663</v>
      </c>
      <c r="H692" s="13" t="s">
        <v>5664</v>
      </c>
      <c r="I692" s="15" t="n">
        <v>40</v>
      </c>
      <c r="J692" s="15" t="n">
        <v>57.3</v>
      </c>
      <c r="K692" s="15"/>
      <c r="L692" s="15"/>
      <c r="M692" s="15" t="n">
        <f aca="false">IF(ISNUMBER(L692),L692,J692)</f>
        <v>57.3</v>
      </c>
      <c r="N692" s="15" t="n">
        <f aca="false">ROUNDUP(M692,0)</f>
        <v>58</v>
      </c>
      <c r="O692" s="15" t="n">
        <f aca="false">MAX(I692,N692)</f>
        <v>58</v>
      </c>
      <c r="P692" s="15" t="n">
        <f aca="false">IF(C692="COVERED",MAX(0,O692-40),0)</f>
        <v>0</v>
      </c>
      <c r="Q692" s="15" t="n">
        <f aca="false">O692</f>
        <v>58</v>
      </c>
      <c r="R692" s="18" t="n">
        <f aca="false">IF(C692="COVERED",10.4,7.55)</f>
        <v>7.55</v>
      </c>
      <c r="S692" s="18" t="n">
        <f aca="false">Q692*R692</f>
        <v>437.9</v>
      </c>
      <c r="T692" s="13"/>
      <c r="U692" s="14"/>
      <c r="V692" s="13"/>
      <c r="W692" s="18"/>
      <c r="X692" s="18"/>
      <c r="Y692" s="18" t="str">
        <f aca="false">IF(ISNUMBER(X692),X692-S692,"")</f>
        <v/>
      </c>
      <c r="Z692" s="18" t="n">
        <f aca="false">IF(ISNUMBER(X692),X692-S692,-S692)</f>
        <v>-437.9</v>
      </c>
      <c r="AA692" s="13" t="str">
        <f aca="false">IF(NOT(ISNUMBER(X692)),"NO AUGUST POSTING IN EXPORT",IF(ABS(Y692)&gt;=0.005,"POSTED CHARGE MISMATCH",IF(P692&gt;0,"MATCH - COVERED ELIGIBILITY EXCEPTION","MATCH")))</f>
        <v>NO AUGUST POSTING IN EXPORT</v>
      </c>
      <c r="AB692" s="13" t="s">
        <v>5665</v>
      </c>
    </row>
    <row r="693" customFormat="false" ht="15" hidden="false" customHeight="false" outlineLevel="0" collapsed="false">
      <c r="A693" s="9" t="s">
        <v>5666</v>
      </c>
      <c r="B693" s="9" t="s">
        <v>204</v>
      </c>
      <c r="C693" s="9" t="s">
        <v>146</v>
      </c>
      <c r="D693" s="9" t="s">
        <v>2002</v>
      </c>
      <c r="E693" s="9" t="s">
        <v>2116</v>
      </c>
      <c r="F693" s="9" t="s">
        <v>5667</v>
      </c>
      <c r="G693" s="9" t="s">
        <v>5668</v>
      </c>
      <c r="H693" s="9" t="s">
        <v>2591</v>
      </c>
      <c r="I693" s="11" t="n">
        <v>80</v>
      </c>
      <c r="J693" s="11" t="n">
        <v>53.4</v>
      </c>
      <c r="K693" s="11"/>
      <c r="L693" s="11"/>
      <c r="M693" s="11" t="n">
        <f aca="false">IF(ISNUMBER(L693),L693,J693)</f>
        <v>53.4</v>
      </c>
      <c r="N693" s="11" t="n">
        <f aca="false">ROUNDUP(M693,0)</f>
        <v>54</v>
      </c>
      <c r="O693" s="11" t="n">
        <f aca="false">MAX(I693,N693)</f>
        <v>80</v>
      </c>
      <c r="P693" s="11" t="n">
        <f aca="false">IF(C693="COVERED",MAX(0,O693-40),0)</f>
        <v>0</v>
      </c>
      <c r="Q693" s="11" t="n">
        <f aca="false">O693</f>
        <v>80</v>
      </c>
      <c r="R693" s="17" t="n">
        <f aca="false">IF(C693="COVERED",10.4,7.55)</f>
        <v>7.55</v>
      </c>
      <c r="S693" s="17" t="n">
        <f aca="false">Q693*R693</f>
        <v>604</v>
      </c>
      <c r="T693" s="9"/>
      <c r="U693" s="10"/>
      <c r="V693" s="9"/>
      <c r="W693" s="17"/>
      <c r="X693" s="17"/>
      <c r="Y693" s="17" t="str">
        <f aca="false">IF(ISNUMBER(X693),X693-S693,"")</f>
        <v/>
      </c>
      <c r="Z693" s="17" t="n">
        <f aca="false">IF(ISNUMBER(X693),X693-S693,-S693)</f>
        <v>-604</v>
      </c>
      <c r="AA693" s="9" t="str">
        <f aca="false">IF(NOT(ISNUMBER(X693)),"NO AUGUST POSTING IN EXPORT",IF(ABS(Y693)&gt;=0.005,"POSTED CHARGE MISMATCH",IF(P693&gt;0,"MATCH - COVERED ELIGIBILITY EXCEPTION","MATCH")))</f>
        <v>NO AUGUST POSTING IN EXPORT</v>
      </c>
      <c r="AB693" s="9" t="s">
        <v>5669</v>
      </c>
    </row>
    <row r="694" customFormat="false" ht="15" hidden="false" customHeight="false" outlineLevel="0" collapsed="false">
      <c r="A694" s="13" t="s">
        <v>5670</v>
      </c>
      <c r="B694" s="13" t="s">
        <v>204</v>
      </c>
      <c r="C694" s="13" t="s">
        <v>146</v>
      </c>
      <c r="D694" s="13" t="s">
        <v>2002</v>
      </c>
      <c r="E694" s="13" t="s">
        <v>2123</v>
      </c>
      <c r="F694" s="13" t="s">
        <v>5671</v>
      </c>
      <c r="G694" s="13" t="s">
        <v>5672</v>
      </c>
      <c r="H694" s="13" t="s">
        <v>3264</v>
      </c>
      <c r="I694" s="15" t="n">
        <v>24</v>
      </c>
      <c r="J694" s="15" t="n">
        <v>23.5</v>
      </c>
      <c r="K694" s="15"/>
      <c r="L694" s="15"/>
      <c r="M694" s="15" t="n">
        <f aca="false">IF(ISNUMBER(L694),L694,J694)</f>
        <v>23.5</v>
      </c>
      <c r="N694" s="15" t="n">
        <f aca="false">ROUNDUP(M694,0)</f>
        <v>24</v>
      </c>
      <c r="O694" s="15" t="n">
        <f aca="false">MAX(I694,N694)</f>
        <v>24</v>
      </c>
      <c r="P694" s="15" t="n">
        <f aca="false">IF(C694="COVERED",MAX(0,O694-40),0)</f>
        <v>0</v>
      </c>
      <c r="Q694" s="15" t="n">
        <f aca="false">O694</f>
        <v>24</v>
      </c>
      <c r="R694" s="18" t="n">
        <f aca="false">IF(C694="COVERED",10.4,7.55)</f>
        <v>7.55</v>
      </c>
      <c r="S694" s="18" t="n">
        <f aca="false">Q694*R694</f>
        <v>181.2</v>
      </c>
      <c r="T694" s="13"/>
      <c r="U694" s="14"/>
      <c r="V694" s="13"/>
      <c r="W694" s="18"/>
      <c r="X694" s="18"/>
      <c r="Y694" s="18" t="str">
        <f aca="false">IF(ISNUMBER(X694),X694-S694,"")</f>
        <v/>
      </c>
      <c r="Z694" s="18" t="n">
        <f aca="false">IF(ISNUMBER(X694),X694-S694,-S694)</f>
        <v>-181.2</v>
      </c>
      <c r="AA694" s="13" t="str">
        <f aca="false">IF(NOT(ISNUMBER(X694)),"NO AUGUST POSTING IN EXPORT",IF(ABS(Y694)&gt;=0.005,"POSTED CHARGE MISMATCH",IF(P694&gt;0,"MATCH - COVERED ELIGIBILITY EXCEPTION","MATCH")))</f>
        <v>NO AUGUST POSTING IN EXPORT</v>
      </c>
      <c r="AB694" s="13" t="s">
        <v>5673</v>
      </c>
    </row>
    <row r="695" customFormat="false" ht="15" hidden="false" customHeight="false" outlineLevel="0" collapsed="false">
      <c r="A695" s="9" t="s">
        <v>5674</v>
      </c>
      <c r="B695" s="9" t="s">
        <v>204</v>
      </c>
      <c r="C695" s="9" t="s">
        <v>146</v>
      </c>
      <c r="D695" s="9" t="s">
        <v>2002</v>
      </c>
      <c r="E695" s="9" t="s">
        <v>2141</v>
      </c>
      <c r="F695" s="9" t="s">
        <v>5675</v>
      </c>
      <c r="G695" s="9" t="s">
        <v>5676</v>
      </c>
      <c r="H695" s="9" t="s">
        <v>4053</v>
      </c>
      <c r="I695" s="11" t="n">
        <v>32</v>
      </c>
      <c r="J695" s="11" t="n">
        <v>39.8</v>
      </c>
      <c r="K695" s="11"/>
      <c r="L695" s="11"/>
      <c r="M695" s="11" t="n">
        <f aca="false">IF(ISNUMBER(L695),L695,J695)</f>
        <v>39.8</v>
      </c>
      <c r="N695" s="11" t="n">
        <f aca="false">ROUNDUP(M695,0)</f>
        <v>40</v>
      </c>
      <c r="O695" s="11" t="n">
        <f aca="false">MAX(I695,N695)</f>
        <v>40</v>
      </c>
      <c r="P695" s="11" t="n">
        <f aca="false">IF(C695="COVERED",MAX(0,O695-40),0)</f>
        <v>0</v>
      </c>
      <c r="Q695" s="11" t="n">
        <f aca="false">O695</f>
        <v>40</v>
      </c>
      <c r="R695" s="17" t="n">
        <f aca="false">IF(C695="COVERED",10.4,7.55)</f>
        <v>7.55</v>
      </c>
      <c r="S695" s="17" t="n">
        <f aca="false">Q695*R695</f>
        <v>302</v>
      </c>
      <c r="T695" s="9"/>
      <c r="U695" s="10"/>
      <c r="V695" s="9"/>
      <c r="W695" s="17"/>
      <c r="X695" s="17"/>
      <c r="Y695" s="17" t="str">
        <f aca="false">IF(ISNUMBER(X695),X695-S695,"")</f>
        <v/>
      </c>
      <c r="Z695" s="17" t="n">
        <f aca="false">IF(ISNUMBER(X695),X695-S695,-S695)</f>
        <v>-302</v>
      </c>
      <c r="AA695" s="9" t="str">
        <f aca="false">IF(NOT(ISNUMBER(X695)),"NO AUGUST POSTING IN EXPORT",IF(ABS(Y695)&gt;=0.005,"POSTED CHARGE MISMATCH",IF(P695&gt;0,"MATCH - COVERED ELIGIBILITY EXCEPTION","MATCH")))</f>
        <v>NO AUGUST POSTING IN EXPORT</v>
      </c>
      <c r="AB695" s="9" t="s">
        <v>5677</v>
      </c>
    </row>
    <row r="696" customFormat="false" ht="15" hidden="false" customHeight="false" outlineLevel="0" collapsed="false">
      <c r="A696" s="13" t="s">
        <v>5678</v>
      </c>
      <c r="B696" s="13" t="s">
        <v>204</v>
      </c>
      <c r="C696" s="13" t="s">
        <v>146</v>
      </c>
      <c r="D696" s="13" t="s">
        <v>2002</v>
      </c>
      <c r="E696" s="13" t="s">
        <v>2148</v>
      </c>
      <c r="F696" s="13" t="s">
        <v>5679</v>
      </c>
      <c r="G696" s="13" t="s">
        <v>5680</v>
      </c>
      <c r="H696" s="13" t="s">
        <v>5681</v>
      </c>
      <c r="I696" s="15" t="n">
        <v>80</v>
      </c>
      <c r="J696" s="15" t="n">
        <v>57.9</v>
      </c>
      <c r="K696" s="15"/>
      <c r="L696" s="15"/>
      <c r="M696" s="15" t="n">
        <f aca="false">IF(ISNUMBER(L696),L696,J696)</f>
        <v>57.9</v>
      </c>
      <c r="N696" s="15" t="n">
        <f aca="false">ROUNDUP(M696,0)</f>
        <v>58</v>
      </c>
      <c r="O696" s="15" t="n">
        <f aca="false">MAX(I696,N696)</f>
        <v>80</v>
      </c>
      <c r="P696" s="15" t="n">
        <f aca="false">IF(C696="COVERED",MAX(0,O696-40),0)</f>
        <v>0</v>
      </c>
      <c r="Q696" s="15" t="n">
        <f aca="false">O696</f>
        <v>80</v>
      </c>
      <c r="R696" s="18" t="n">
        <f aca="false">IF(C696="COVERED",10.4,7.55)</f>
        <v>7.55</v>
      </c>
      <c r="S696" s="18" t="n">
        <f aca="false">Q696*R696</f>
        <v>604</v>
      </c>
      <c r="T696" s="13"/>
      <c r="U696" s="14"/>
      <c r="V696" s="13"/>
      <c r="W696" s="18"/>
      <c r="X696" s="18"/>
      <c r="Y696" s="18" t="str">
        <f aca="false">IF(ISNUMBER(X696),X696-S696,"")</f>
        <v/>
      </c>
      <c r="Z696" s="18" t="n">
        <f aca="false">IF(ISNUMBER(X696),X696-S696,-S696)</f>
        <v>-604</v>
      </c>
      <c r="AA696" s="13" t="str">
        <f aca="false">IF(NOT(ISNUMBER(X696)),"NO AUGUST POSTING IN EXPORT",IF(ABS(Y696)&gt;=0.005,"POSTED CHARGE MISMATCH",IF(P696&gt;0,"MATCH - COVERED ELIGIBILITY EXCEPTION","MATCH")))</f>
        <v>NO AUGUST POSTING IN EXPORT</v>
      </c>
      <c r="AB696" s="13" t="s">
        <v>5682</v>
      </c>
    </row>
    <row r="697" customFormat="false" ht="15" hidden="false" customHeight="false" outlineLevel="0" collapsed="false">
      <c r="A697" s="9" t="s">
        <v>5683</v>
      </c>
      <c r="B697" s="9" t="s">
        <v>204</v>
      </c>
      <c r="C697" s="9" t="s">
        <v>146</v>
      </c>
      <c r="D697" s="9" t="s">
        <v>2002</v>
      </c>
      <c r="E697" s="9" t="s">
        <v>2159</v>
      </c>
      <c r="F697" s="9" t="s">
        <v>650</v>
      </c>
      <c r="G697" s="9" t="s">
        <v>651</v>
      </c>
      <c r="H697" s="9" t="s">
        <v>2794</v>
      </c>
      <c r="I697" s="11" t="n">
        <v>32</v>
      </c>
      <c r="J697" s="11" t="n">
        <v>24.6</v>
      </c>
      <c r="K697" s="11"/>
      <c r="L697" s="11"/>
      <c r="M697" s="11" t="n">
        <f aca="false">IF(ISNUMBER(L697),L697,J697)</f>
        <v>24.6</v>
      </c>
      <c r="N697" s="11" t="n">
        <f aca="false">ROUNDUP(M697,0)</f>
        <v>25</v>
      </c>
      <c r="O697" s="11" t="n">
        <f aca="false">MAX(I697,N697)</f>
        <v>32</v>
      </c>
      <c r="P697" s="11" t="n">
        <f aca="false">IF(C697="COVERED",MAX(0,O697-40),0)</f>
        <v>0</v>
      </c>
      <c r="Q697" s="11" t="n">
        <f aca="false">O697</f>
        <v>32</v>
      </c>
      <c r="R697" s="17" t="n">
        <f aca="false">IF(C697="COVERED",10.4,7.55)</f>
        <v>7.55</v>
      </c>
      <c r="S697" s="17" t="n">
        <f aca="false">Q697*R697</f>
        <v>241.6</v>
      </c>
      <c r="T697" s="9"/>
      <c r="U697" s="10"/>
      <c r="V697" s="9"/>
      <c r="W697" s="17"/>
      <c r="X697" s="17"/>
      <c r="Y697" s="17" t="str">
        <f aca="false">IF(ISNUMBER(X697),X697-S697,"")</f>
        <v/>
      </c>
      <c r="Z697" s="17" t="n">
        <f aca="false">IF(ISNUMBER(X697),X697-S697,-S697)</f>
        <v>-241.6</v>
      </c>
      <c r="AA697" s="9" t="str">
        <f aca="false">IF(NOT(ISNUMBER(X697)),"NO AUGUST POSTING IN EXPORT",IF(ABS(Y697)&gt;=0.005,"POSTED CHARGE MISMATCH",IF(P697&gt;0,"MATCH - COVERED ELIGIBILITY EXCEPTION","MATCH")))</f>
        <v>NO AUGUST POSTING IN EXPORT</v>
      </c>
      <c r="AB697" s="9" t="s">
        <v>5684</v>
      </c>
    </row>
    <row r="698" customFormat="false" ht="15" hidden="false" customHeight="false" outlineLevel="0" collapsed="false">
      <c r="A698" s="13" t="s">
        <v>417</v>
      </c>
      <c r="B698" s="13" t="s">
        <v>204</v>
      </c>
      <c r="C698" s="13" t="s">
        <v>146</v>
      </c>
      <c r="D698" s="13" t="s">
        <v>2002</v>
      </c>
      <c r="E698" s="13" t="s">
        <v>3516</v>
      </c>
      <c r="F698" s="13" t="s">
        <v>5685</v>
      </c>
      <c r="G698" s="13" t="s">
        <v>5686</v>
      </c>
      <c r="H698" s="13" t="s">
        <v>2828</v>
      </c>
      <c r="I698" s="15" t="n">
        <v>45</v>
      </c>
      <c r="J698" s="15" t="n">
        <v>48.4</v>
      </c>
      <c r="K698" s="15"/>
      <c r="L698" s="15"/>
      <c r="M698" s="15" t="n">
        <f aca="false">IF(ISNUMBER(L698),L698,J698)</f>
        <v>48.4</v>
      </c>
      <c r="N698" s="15" t="n">
        <f aca="false">ROUNDUP(M698,0)</f>
        <v>49</v>
      </c>
      <c r="O698" s="15" t="n">
        <f aca="false">MAX(I698,N698)</f>
        <v>49</v>
      </c>
      <c r="P698" s="15" t="n">
        <f aca="false">IF(C698="COVERED",MAX(0,O698-40),0)</f>
        <v>0</v>
      </c>
      <c r="Q698" s="15" t="n">
        <f aca="false">O698</f>
        <v>49</v>
      </c>
      <c r="R698" s="18" t="n">
        <f aca="false">IF(C698="COVERED",10.4,7.55)</f>
        <v>7.55</v>
      </c>
      <c r="S698" s="18" t="n">
        <f aca="false">Q698*R698</f>
        <v>369.95</v>
      </c>
      <c r="T698" s="13"/>
      <c r="U698" s="14"/>
      <c r="V698" s="13"/>
      <c r="W698" s="18"/>
      <c r="X698" s="18"/>
      <c r="Y698" s="18" t="str">
        <f aca="false">IF(ISNUMBER(X698),X698-S698,"")</f>
        <v/>
      </c>
      <c r="Z698" s="18" t="n">
        <f aca="false">IF(ISNUMBER(X698),X698-S698,-S698)</f>
        <v>-369.95</v>
      </c>
      <c r="AA698" s="13" t="str">
        <f aca="false">IF(NOT(ISNUMBER(X698)),"NO AUGUST POSTING IN EXPORT",IF(ABS(Y698)&gt;=0.005,"POSTED CHARGE MISMATCH",IF(P698&gt;0,"MATCH - COVERED ELIGIBILITY EXCEPTION","MATCH")))</f>
        <v>NO AUGUST POSTING IN EXPORT</v>
      </c>
      <c r="AB698" s="13" t="s">
        <v>5687</v>
      </c>
    </row>
    <row r="699" customFormat="false" ht="15" hidden="false" customHeight="false" outlineLevel="0" collapsed="false">
      <c r="A699" s="9" t="s">
        <v>5688</v>
      </c>
      <c r="B699" s="9" t="s">
        <v>204</v>
      </c>
      <c r="C699" s="9" t="s">
        <v>146</v>
      </c>
      <c r="D699" s="9" t="s">
        <v>2002</v>
      </c>
      <c r="E699" s="9" t="s">
        <v>2166</v>
      </c>
      <c r="F699" s="9" t="s">
        <v>5689</v>
      </c>
      <c r="G699" s="9" t="s">
        <v>5690</v>
      </c>
      <c r="H699" s="9" t="s">
        <v>2422</v>
      </c>
      <c r="I699" s="11" t="n">
        <v>32</v>
      </c>
      <c r="J699" s="11" t="n">
        <v>27.3</v>
      </c>
      <c r="K699" s="11"/>
      <c r="L699" s="11"/>
      <c r="M699" s="11" t="n">
        <f aca="false">IF(ISNUMBER(L699),L699,J699)</f>
        <v>27.3</v>
      </c>
      <c r="N699" s="11" t="n">
        <f aca="false">ROUNDUP(M699,0)</f>
        <v>28</v>
      </c>
      <c r="O699" s="11" t="n">
        <f aca="false">MAX(I699,N699)</f>
        <v>32</v>
      </c>
      <c r="P699" s="11" t="n">
        <f aca="false">IF(C699="COVERED",MAX(0,O699-40),0)</f>
        <v>0</v>
      </c>
      <c r="Q699" s="11" t="n">
        <f aca="false">O699</f>
        <v>32</v>
      </c>
      <c r="R699" s="17" t="n">
        <f aca="false">IF(C699="COVERED",10.4,7.55)</f>
        <v>7.55</v>
      </c>
      <c r="S699" s="17" t="n">
        <f aca="false">Q699*R699</f>
        <v>241.6</v>
      </c>
      <c r="T699" s="9"/>
      <c r="U699" s="10"/>
      <c r="V699" s="9"/>
      <c r="W699" s="17"/>
      <c r="X699" s="17"/>
      <c r="Y699" s="17" t="str">
        <f aca="false">IF(ISNUMBER(X699),X699-S699,"")</f>
        <v/>
      </c>
      <c r="Z699" s="17" t="n">
        <f aca="false">IF(ISNUMBER(X699),X699-S699,-S699)</f>
        <v>-241.6</v>
      </c>
      <c r="AA699" s="9" t="str">
        <f aca="false">IF(NOT(ISNUMBER(X699)),"NO AUGUST POSTING IN EXPORT",IF(ABS(Y699)&gt;=0.005,"POSTED CHARGE MISMATCH",IF(P699&gt;0,"MATCH - COVERED ELIGIBILITY EXCEPTION","MATCH")))</f>
        <v>NO AUGUST POSTING IN EXPORT</v>
      </c>
      <c r="AB699" s="9" t="s">
        <v>5691</v>
      </c>
    </row>
    <row r="700" customFormat="false" ht="15" hidden="false" customHeight="false" outlineLevel="0" collapsed="false">
      <c r="A700" s="13" t="s">
        <v>5692</v>
      </c>
      <c r="B700" s="13" t="s">
        <v>204</v>
      </c>
      <c r="C700" s="13" t="s">
        <v>146</v>
      </c>
      <c r="D700" s="13" t="s">
        <v>2002</v>
      </c>
      <c r="E700" s="13" t="s">
        <v>2173</v>
      </c>
      <c r="F700" s="13" t="s">
        <v>586</v>
      </c>
      <c r="G700" s="13" t="s">
        <v>587</v>
      </c>
      <c r="H700" s="13" t="s">
        <v>2457</v>
      </c>
      <c r="I700" s="15" t="n">
        <v>24</v>
      </c>
      <c r="J700" s="15" t="n">
        <v>46</v>
      </c>
      <c r="K700" s="15"/>
      <c r="L700" s="15"/>
      <c r="M700" s="15" t="n">
        <f aca="false">IF(ISNUMBER(L700),L700,J700)</f>
        <v>46</v>
      </c>
      <c r="N700" s="15" t="n">
        <f aca="false">ROUNDUP(M700,0)</f>
        <v>46</v>
      </c>
      <c r="O700" s="15" t="n">
        <f aca="false">MAX(I700,N700)</f>
        <v>46</v>
      </c>
      <c r="P700" s="15" t="n">
        <f aca="false">IF(C700="COVERED",MAX(0,O700-40),0)</f>
        <v>0</v>
      </c>
      <c r="Q700" s="15" t="n">
        <f aca="false">O700</f>
        <v>46</v>
      </c>
      <c r="R700" s="18" t="n">
        <f aca="false">IF(C700="COVERED",10.4,7.55)</f>
        <v>7.55</v>
      </c>
      <c r="S700" s="18" t="n">
        <f aca="false">Q700*R700</f>
        <v>347.3</v>
      </c>
      <c r="T700" s="13"/>
      <c r="U700" s="14"/>
      <c r="V700" s="13"/>
      <c r="W700" s="18"/>
      <c r="X700" s="18"/>
      <c r="Y700" s="18" t="str">
        <f aca="false">IF(ISNUMBER(X700),X700-S700,"")</f>
        <v/>
      </c>
      <c r="Z700" s="18" t="n">
        <f aca="false">IF(ISNUMBER(X700),X700-S700,-S700)</f>
        <v>-347.3</v>
      </c>
      <c r="AA700" s="13" t="str">
        <f aca="false">IF(NOT(ISNUMBER(X700)),"NO AUGUST POSTING IN EXPORT",IF(ABS(Y700)&gt;=0.005,"POSTED CHARGE MISMATCH",IF(P700&gt;0,"MATCH - COVERED ELIGIBILITY EXCEPTION","MATCH")))</f>
        <v>NO AUGUST POSTING IN EXPORT</v>
      </c>
      <c r="AB700" s="13" t="s">
        <v>5693</v>
      </c>
    </row>
    <row r="701" customFormat="false" ht="15" hidden="false" customHeight="false" outlineLevel="0" collapsed="false">
      <c r="A701" s="9" t="s">
        <v>5694</v>
      </c>
      <c r="B701" s="9" t="s">
        <v>204</v>
      </c>
      <c r="C701" s="9" t="s">
        <v>146</v>
      </c>
      <c r="D701" s="9" t="s">
        <v>2002</v>
      </c>
      <c r="E701" s="9" t="s">
        <v>2180</v>
      </c>
      <c r="F701" s="9" t="s">
        <v>5695</v>
      </c>
      <c r="G701" s="9" t="s">
        <v>5696</v>
      </c>
      <c r="H701" s="9" t="s">
        <v>3932</v>
      </c>
      <c r="I701" s="11" t="n">
        <v>24</v>
      </c>
      <c r="J701" s="11" t="n">
        <v>27.6</v>
      </c>
      <c r="K701" s="11"/>
      <c r="L701" s="11"/>
      <c r="M701" s="11" t="n">
        <f aca="false">IF(ISNUMBER(L701),L701,J701)</f>
        <v>27.6</v>
      </c>
      <c r="N701" s="11" t="n">
        <f aca="false">ROUNDUP(M701,0)</f>
        <v>28</v>
      </c>
      <c r="O701" s="11" t="n">
        <f aca="false">MAX(I701,N701)</f>
        <v>28</v>
      </c>
      <c r="P701" s="11" t="n">
        <f aca="false">IF(C701="COVERED",MAX(0,O701-40),0)</f>
        <v>0</v>
      </c>
      <c r="Q701" s="11" t="n">
        <f aca="false">O701</f>
        <v>28</v>
      </c>
      <c r="R701" s="17" t="n">
        <f aca="false">IF(C701="COVERED",10.4,7.55)</f>
        <v>7.55</v>
      </c>
      <c r="S701" s="17" t="n">
        <f aca="false">Q701*R701</f>
        <v>211.4</v>
      </c>
      <c r="T701" s="9"/>
      <c r="U701" s="10"/>
      <c r="V701" s="9"/>
      <c r="W701" s="17"/>
      <c r="X701" s="17"/>
      <c r="Y701" s="17" t="str">
        <f aca="false">IF(ISNUMBER(X701),X701-S701,"")</f>
        <v/>
      </c>
      <c r="Z701" s="17" t="n">
        <f aca="false">IF(ISNUMBER(X701),X701-S701,-S701)</f>
        <v>-211.4</v>
      </c>
      <c r="AA701" s="9" t="str">
        <f aca="false">IF(NOT(ISNUMBER(X701)),"NO AUGUST POSTING IN EXPORT",IF(ABS(Y701)&gt;=0.005,"POSTED CHARGE MISMATCH",IF(P701&gt;0,"MATCH - COVERED ELIGIBILITY EXCEPTION","MATCH")))</f>
        <v>NO AUGUST POSTING IN EXPORT</v>
      </c>
      <c r="AB701" s="9" t="s">
        <v>5697</v>
      </c>
    </row>
    <row r="702" customFormat="false" ht="15" hidden="false" customHeight="false" outlineLevel="0" collapsed="false">
      <c r="A702" s="13" t="s">
        <v>576</v>
      </c>
      <c r="B702" s="13" t="s">
        <v>204</v>
      </c>
      <c r="C702" s="13" t="s">
        <v>146</v>
      </c>
      <c r="D702" s="13" t="s">
        <v>2002</v>
      </c>
      <c r="E702" s="13" t="s">
        <v>2186</v>
      </c>
      <c r="F702" s="13" t="s">
        <v>5698</v>
      </c>
      <c r="G702" s="13" t="s">
        <v>5699</v>
      </c>
      <c r="H702" s="13" t="s">
        <v>2336</v>
      </c>
      <c r="I702" s="15" t="n">
        <v>24</v>
      </c>
      <c r="J702" s="15" t="n">
        <v>46.5</v>
      </c>
      <c r="K702" s="15"/>
      <c r="L702" s="15"/>
      <c r="M702" s="15" t="n">
        <f aca="false">IF(ISNUMBER(L702),L702,J702)</f>
        <v>46.5</v>
      </c>
      <c r="N702" s="15" t="n">
        <f aca="false">ROUNDUP(M702,0)</f>
        <v>47</v>
      </c>
      <c r="O702" s="15" t="n">
        <f aca="false">MAX(I702,N702)</f>
        <v>47</v>
      </c>
      <c r="P702" s="15" t="n">
        <f aca="false">IF(C702="COVERED",MAX(0,O702-40),0)</f>
        <v>0</v>
      </c>
      <c r="Q702" s="15" t="n">
        <f aca="false">O702</f>
        <v>47</v>
      </c>
      <c r="R702" s="18" t="n">
        <f aca="false">IF(C702="COVERED",10.4,7.55)</f>
        <v>7.55</v>
      </c>
      <c r="S702" s="18" t="n">
        <f aca="false">Q702*R702</f>
        <v>354.85</v>
      </c>
      <c r="T702" s="13"/>
      <c r="U702" s="14"/>
      <c r="V702" s="13"/>
      <c r="W702" s="18"/>
      <c r="X702" s="18"/>
      <c r="Y702" s="18" t="str">
        <f aca="false">IF(ISNUMBER(X702),X702-S702,"")</f>
        <v/>
      </c>
      <c r="Z702" s="18" t="n">
        <f aca="false">IF(ISNUMBER(X702),X702-S702,-S702)</f>
        <v>-354.85</v>
      </c>
      <c r="AA702" s="13" t="str">
        <f aca="false">IF(NOT(ISNUMBER(X702)),"NO AUGUST POSTING IN EXPORT",IF(ABS(Y702)&gt;=0.005,"POSTED CHARGE MISMATCH",IF(P702&gt;0,"MATCH - COVERED ELIGIBILITY EXCEPTION","MATCH")))</f>
        <v>NO AUGUST POSTING IN EXPORT</v>
      </c>
      <c r="AB702" s="13" t="s">
        <v>5700</v>
      </c>
    </row>
    <row r="703" customFormat="false" ht="15" hidden="false" customHeight="false" outlineLevel="0" collapsed="false">
      <c r="A703" s="9" t="s">
        <v>203</v>
      </c>
      <c r="B703" s="9" t="s">
        <v>204</v>
      </c>
      <c r="C703" s="9" t="s">
        <v>146</v>
      </c>
      <c r="D703" s="9" t="s">
        <v>2002</v>
      </c>
      <c r="E703" s="9" t="s">
        <v>2193</v>
      </c>
      <c r="F703" s="9" t="s">
        <v>5701</v>
      </c>
      <c r="G703" s="9" t="s">
        <v>5702</v>
      </c>
      <c r="H703" s="9" t="s">
        <v>5703</v>
      </c>
      <c r="I703" s="11" t="n">
        <v>24</v>
      </c>
      <c r="J703" s="11" t="n">
        <v>39.1</v>
      </c>
      <c r="K703" s="11"/>
      <c r="L703" s="11"/>
      <c r="M703" s="11" t="n">
        <f aca="false">IF(ISNUMBER(L703),L703,J703)</f>
        <v>39.1</v>
      </c>
      <c r="N703" s="11" t="n">
        <f aca="false">ROUNDUP(M703,0)</f>
        <v>40</v>
      </c>
      <c r="O703" s="11" t="n">
        <f aca="false">MAX(I703,N703)</f>
        <v>40</v>
      </c>
      <c r="P703" s="11" t="n">
        <f aca="false">IF(C703="COVERED",MAX(0,O703-40),0)</f>
        <v>0</v>
      </c>
      <c r="Q703" s="11" t="n">
        <f aca="false">O703</f>
        <v>40</v>
      </c>
      <c r="R703" s="17" t="n">
        <f aca="false">IF(C703="COVERED",10.4,7.55)</f>
        <v>7.55</v>
      </c>
      <c r="S703" s="17" t="n">
        <f aca="false">Q703*R703</f>
        <v>302</v>
      </c>
      <c r="T703" s="9"/>
      <c r="U703" s="10"/>
      <c r="V703" s="9"/>
      <c r="W703" s="17"/>
      <c r="X703" s="17"/>
      <c r="Y703" s="17" t="str">
        <f aca="false">IF(ISNUMBER(X703),X703-S703,"")</f>
        <v/>
      </c>
      <c r="Z703" s="17" t="n">
        <f aca="false">IF(ISNUMBER(X703),X703-S703,-S703)</f>
        <v>-302</v>
      </c>
      <c r="AA703" s="9" t="str">
        <f aca="false">IF(NOT(ISNUMBER(X703)),"NO AUGUST POSTING IN EXPORT",IF(ABS(Y703)&gt;=0.005,"POSTED CHARGE MISMATCH",IF(P703&gt;0,"MATCH - COVERED ELIGIBILITY EXCEPTION","MATCH")))</f>
        <v>NO AUGUST POSTING IN EXPORT</v>
      </c>
      <c r="AB703" s="9" t="s">
        <v>5704</v>
      </c>
    </row>
    <row r="704" customFormat="false" ht="15" hidden="false" customHeight="false" outlineLevel="0" collapsed="false">
      <c r="A704" s="13" t="s">
        <v>5705</v>
      </c>
      <c r="B704" s="13" t="s">
        <v>204</v>
      </c>
      <c r="C704" s="13" t="s">
        <v>146</v>
      </c>
      <c r="D704" s="13" t="s">
        <v>2002</v>
      </c>
      <c r="E704" s="13" t="s">
        <v>2200</v>
      </c>
      <c r="F704" s="13" t="s">
        <v>5706</v>
      </c>
      <c r="G704" s="13" t="s">
        <v>5707</v>
      </c>
      <c r="H704" s="13" t="s">
        <v>4856</v>
      </c>
      <c r="I704" s="15" t="n">
        <v>45</v>
      </c>
      <c r="J704" s="15" t="n">
        <v>60.3</v>
      </c>
      <c r="K704" s="15"/>
      <c r="L704" s="15"/>
      <c r="M704" s="15" t="n">
        <f aca="false">IF(ISNUMBER(L704),L704,J704)</f>
        <v>60.3</v>
      </c>
      <c r="N704" s="15" t="n">
        <f aca="false">ROUNDUP(M704,0)</f>
        <v>61</v>
      </c>
      <c r="O704" s="15" t="n">
        <f aca="false">MAX(I704,N704)</f>
        <v>61</v>
      </c>
      <c r="P704" s="15" t="n">
        <f aca="false">IF(C704="COVERED",MAX(0,O704-40),0)</f>
        <v>0</v>
      </c>
      <c r="Q704" s="15" t="n">
        <f aca="false">O704</f>
        <v>61</v>
      </c>
      <c r="R704" s="18" t="n">
        <f aca="false">IF(C704="COVERED",10.4,7.55)</f>
        <v>7.55</v>
      </c>
      <c r="S704" s="18" t="n">
        <f aca="false">Q704*R704</f>
        <v>460.55</v>
      </c>
      <c r="T704" s="13"/>
      <c r="U704" s="14"/>
      <c r="V704" s="13"/>
      <c r="W704" s="18"/>
      <c r="X704" s="18"/>
      <c r="Y704" s="18" t="str">
        <f aca="false">IF(ISNUMBER(X704),X704-S704,"")</f>
        <v/>
      </c>
      <c r="Z704" s="18" t="n">
        <f aca="false">IF(ISNUMBER(X704),X704-S704,-S704)</f>
        <v>-460.55</v>
      </c>
      <c r="AA704" s="13" t="str">
        <f aca="false">IF(NOT(ISNUMBER(X704)),"NO AUGUST POSTING IN EXPORT",IF(ABS(Y704)&gt;=0.005,"POSTED CHARGE MISMATCH",IF(P704&gt;0,"MATCH - COVERED ELIGIBILITY EXCEPTION","MATCH")))</f>
        <v>NO AUGUST POSTING IN EXPORT</v>
      </c>
      <c r="AB704" s="13" t="s">
        <v>5708</v>
      </c>
    </row>
    <row r="705" customFormat="false" ht="15" hidden="false" customHeight="false" outlineLevel="0" collapsed="false">
      <c r="A705" s="9" t="s">
        <v>5709</v>
      </c>
      <c r="B705" s="9" t="s">
        <v>204</v>
      </c>
      <c r="C705" s="9" t="s">
        <v>146</v>
      </c>
      <c r="D705" s="9" t="s">
        <v>2002</v>
      </c>
      <c r="E705" s="9" t="s">
        <v>2207</v>
      </c>
      <c r="F705" s="9" t="s">
        <v>5710</v>
      </c>
      <c r="G705" s="9" t="s">
        <v>5711</v>
      </c>
      <c r="H705" s="9" t="s">
        <v>4213</v>
      </c>
      <c r="I705" s="11" t="n">
        <v>32</v>
      </c>
      <c r="J705" s="11" t="n">
        <v>58.9</v>
      </c>
      <c r="K705" s="11"/>
      <c r="L705" s="11"/>
      <c r="M705" s="11" t="n">
        <f aca="false">IF(ISNUMBER(L705),L705,J705)</f>
        <v>58.9</v>
      </c>
      <c r="N705" s="11" t="n">
        <f aca="false">ROUNDUP(M705,0)</f>
        <v>59</v>
      </c>
      <c r="O705" s="11" t="n">
        <f aca="false">MAX(I705,N705)</f>
        <v>59</v>
      </c>
      <c r="P705" s="11" t="n">
        <f aca="false">IF(C705="COVERED",MAX(0,O705-40),0)</f>
        <v>0</v>
      </c>
      <c r="Q705" s="11" t="n">
        <f aca="false">O705</f>
        <v>59</v>
      </c>
      <c r="R705" s="17" t="n">
        <f aca="false">IF(C705="COVERED",10.4,7.55)</f>
        <v>7.55</v>
      </c>
      <c r="S705" s="17" t="n">
        <f aca="false">Q705*R705</f>
        <v>445.45</v>
      </c>
      <c r="T705" s="9"/>
      <c r="U705" s="10"/>
      <c r="V705" s="9"/>
      <c r="W705" s="17"/>
      <c r="X705" s="17"/>
      <c r="Y705" s="17" t="str">
        <f aca="false">IF(ISNUMBER(X705),X705-S705,"")</f>
        <v/>
      </c>
      <c r="Z705" s="17" t="n">
        <f aca="false">IF(ISNUMBER(X705),X705-S705,-S705)</f>
        <v>-445.45</v>
      </c>
      <c r="AA705" s="9" t="str">
        <f aca="false">IF(NOT(ISNUMBER(X705)),"NO AUGUST POSTING IN EXPORT",IF(ABS(Y705)&gt;=0.005,"POSTED CHARGE MISMATCH",IF(P705&gt;0,"MATCH - COVERED ELIGIBILITY EXCEPTION","MATCH")))</f>
        <v>NO AUGUST POSTING IN EXPORT</v>
      </c>
      <c r="AB705" s="9" t="s">
        <v>5712</v>
      </c>
    </row>
    <row r="706" customFormat="false" ht="15" hidden="false" customHeight="false" outlineLevel="0" collapsed="false">
      <c r="A706" s="13" t="s">
        <v>1760</v>
      </c>
      <c r="B706" s="13" t="s">
        <v>204</v>
      </c>
      <c r="C706" s="13" t="s">
        <v>146</v>
      </c>
      <c r="D706" s="13" t="s">
        <v>2002</v>
      </c>
      <c r="E706" s="13" t="s">
        <v>3558</v>
      </c>
      <c r="F706" s="13" t="s">
        <v>5713</v>
      </c>
      <c r="G706" s="13" t="s">
        <v>5714</v>
      </c>
      <c r="H706" s="13" t="s">
        <v>3892</v>
      </c>
      <c r="I706" s="15" t="n">
        <v>40</v>
      </c>
      <c r="J706" s="15" t="n">
        <v>22.7</v>
      </c>
      <c r="K706" s="15"/>
      <c r="L706" s="15"/>
      <c r="M706" s="15" t="n">
        <f aca="false">IF(ISNUMBER(L706),L706,J706)</f>
        <v>22.7</v>
      </c>
      <c r="N706" s="15" t="n">
        <f aca="false">ROUNDUP(M706,0)</f>
        <v>23</v>
      </c>
      <c r="O706" s="15" t="n">
        <f aca="false">MAX(I706,N706)</f>
        <v>40</v>
      </c>
      <c r="P706" s="15" t="n">
        <f aca="false">IF(C706="COVERED",MAX(0,O706-40),0)</f>
        <v>0</v>
      </c>
      <c r="Q706" s="15" t="n">
        <f aca="false">O706</f>
        <v>40</v>
      </c>
      <c r="R706" s="18" t="n">
        <f aca="false">IF(C706="COVERED",10.4,7.55)</f>
        <v>7.55</v>
      </c>
      <c r="S706" s="18" t="n">
        <f aca="false">Q706*R706</f>
        <v>302</v>
      </c>
      <c r="T706" s="13"/>
      <c r="U706" s="14"/>
      <c r="V706" s="13"/>
      <c r="W706" s="18"/>
      <c r="X706" s="18"/>
      <c r="Y706" s="18" t="str">
        <f aca="false">IF(ISNUMBER(X706),X706-S706,"")</f>
        <v/>
      </c>
      <c r="Z706" s="18" t="n">
        <f aca="false">IF(ISNUMBER(X706),X706-S706,-S706)</f>
        <v>-302</v>
      </c>
      <c r="AA706" s="13" t="str">
        <f aca="false">IF(NOT(ISNUMBER(X706)),"NO AUGUST POSTING IN EXPORT",IF(ABS(Y706)&gt;=0.005,"POSTED CHARGE MISMATCH",IF(P706&gt;0,"MATCH - COVERED ELIGIBILITY EXCEPTION","MATCH")))</f>
        <v>NO AUGUST POSTING IN EXPORT</v>
      </c>
      <c r="AB706" s="13" t="s">
        <v>5715</v>
      </c>
    </row>
    <row r="707" customFormat="false" ht="15" hidden="false" customHeight="false" outlineLevel="0" collapsed="false">
      <c r="A707" s="9" t="s">
        <v>1078</v>
      </c>
      <c r="B707" s="9" t="s">
        <v>204</v>
      </c>
      <c r="C707" s="9" t="s">
        <v>146</v>
      </c>
      <c r="D707" s="9" t="s">
        <v>2002</v>
      </c>
      <c r="E707" s="9" t="s">
        <v>2214</v>
      </c>
      <c r="F707" s="9" t="s">
        <v>5716</v>
      </c>
      <c r="G707" s="9" t="s">
        <v>5717</v>
      </c>
      <c r="H707" s="9" t="s">
        <v>2057</v>
      </c>
      <c r="I707" s="11" t="n">
        <v>28</v>
      </c>
      <c r="J707" s="11" t="n">
        <v>58.1</v>
      </c>
      <c r="K707" s="11"/>
      <c r="L707" s="11"/>
      <c r="M707" s="11" t="n">
        <f aca="false">IF(ISNUMBER(L707),L707,J707)</f>
        <v>58.1</v>
      </c>
      <c r="N707" s="11" t="n">
        <f aca="false">ROUNDUP(M707,0)</f>
        <v>59</v>
      </c>
      <c r="O707" s="11" t="n">
        <f aca="false">MAX(I707,N707)</f>
        <v>59</v>
      </c>
      <c r="P707" s="11" t="n">
        <f aca="false">IF(C707="COVERED",MAX(0,O707-40),0)</f>
        <v>0</v>
      </c>
      <c r="Q707" s="11" t="n">
        <f aca="false">O707</f>
        <v>59</v>
      </c>
      <c r="R707" s="17" t="n">
        <f aca="false">IF(C707="COVERED",10.4,7.55)</f>
        <v>7.55</v>
      </c>
      <c r="S707" s="17" t="n">
        <f aca="false">Q707*R707</f>
        <v>445.45</v>
      </c>
      <c r="T707" s="9"/>
      <c r="U707" s="10"/>
      <c r="V707" s="9"/>
      <c r="W707" s="17"/>
      <c r="X707" s="17"/>
      <c r="Y707" s="17" t="str">
        <f aca="false">IF(ISNUMBER(X707),X707-S707,"")</f>
        <v/>
      </c>
      <c r="Z707" s="17" t="n">
        <f aca="false">IF(ISNUMBER(X707),X707-S707,-S707)</f>
        <v>-445.45</v>
      </c>
      <c r="AA707" s="9" t="str">
        <f aca="false">IF(NOT(ISNUMBER(X707)),"NO AUGUST POSTING IN EXPORT",IF(ABS(Y707)&gt;=0.005,"POSTED CHARGE MISMATCH",IF(P707&gt;0,"MATCH - COVERED ELIGIBILITY EXCEPTION","MATCH")))</f>
        <v>NO AUGUST POSTING IN EXPORT</v>
      </c>
      <c r="AB707" s="9" t="s">
        <v>5718</v>
      </c>
    </row>
    <row r="708" customFormat="false" ht="15" hidden="false" customHeight="false" outlineLevel="0" collapsed="false">
      <c r="A708" s="13" t="s">
        <v>5719</v>
      </c>
      <c r="B708" s="13" t="s">
        <v>204</v>
      </c>
      <c r="C708" s="13" t="s">
        <v>146</v>
      </c>
      <c r="D708" s="13" t="s">
        <v>2002</v>
      </c>
      <c r="E708" s="13" t="s">
        <v>2221</v>
      </c>
      <c r="F708" s="13" t="s">
        <v>5720</v>
      </c>
      <c r="G708" s="13" t="s">
        <v>5721</v>
      </c>
      <c r="H708" s="13" t="s">
        <v>4072</v>
      </c>
      <c r="I708" s="15" t="n">
        <v>70</v>
      </c>
      <c r="J708" s="15" t="n">
        <v>47.1</v>
      </c>
      <c r="K708" s="15"/>
      <c r="L708" s="15"/>
      <c r="M708" s="15" t="n">
        <f aca="false">IF(ISNUMBER(L708),L708,J708)</f>
        <v>47.1</v>
      </c>
      <c r="N708" s="15" t="n">
        <f aca="false">ROUNDUP(M708,0)</f>
        <v>48</v>
      </c>
      <c r="O708" s="15" t="n">
        <f aca="false">MAX(I708,N708)</f>
        <v>70</v>
      </c>
      <c r="P708" s="15" t="n">
        <f aca="false">IF(C708="COVERED",MAX(0,O708-40),0)</f>
        <v>0</v>
      </c>
      <c r="Q708" s="15" t="n">
        <f aca="false">O708</f>
        <v>70</v>
      </c>
      <c r="R708" s="18" t="n">
        <f aca="false">IF(C708="COVERED",10.4,7.55)</f>
        <v>7.55</v>
      </c>
      <c r="S708" s="18" t="n">
        <f aca="false">Q708*R708</f>
        <v>528.5</v>
      </c>
      <c r="T708" s="13"/>
      <c r="U708" s="14"/>
      <c r="V708" s="13"/>
      <c r="W708" s="18"/>
      <c r="X708" s="18"/>
      <c r="Y708" s="18" t="str">
        <f aca="false">IF(ISNUMBER(X708),X708-S708,"")</f>
        <v/>
      </c>
      <c r="Z708" s="18" t="n">
        <f aca="false">IF(ISNUMBER(X708),X708-S708,-S708)</f>
        <v>-528.5</v>
      </c>
      <c r="AA708" s="13" t="str">
        <f aca="false">IF(NOT(ISNUMBER(X708)),"NO AUGUST POSTING IN EXPORT",IF(ABS(Y708)&gt;=0.005,"POSTED CHARGE MISMATCH",IF(P708&gt;0,"MATCH - COVERED ELIGIBILITY EXCEPTION","MATCH")))</f>
        <v>NO AUGUST POSTING IN EXPORT</v>
      </c>
      <c r="AB708" s="13" t="s">
        <v>5722</v>
      </c>
    </row>
    <row r="709" customFormat="false" ht="15" hidden="false" customHeight="false" outlineLevel="0" collapsed="false">
      <c r="A709" s="9" t="s">
        <v>5723</v>
      </c>
      <c r="B709" s="9" t="s">
        <v>204</v>
      </c>
      <c r="C709" s="9" t="s">
        <v>146</v>
      </c>
      <c r="D709" s="9" t="s">
        <v>2002</v>
      </c>
      <c r="E709" s="9" t="s">
        <v>2228</v>
      </c>
      <c r="F709" s="9" t="s">
        <v>5724</v>
      </c>
      <c r="G709" s="9" t="s">
        <v>5725</v>
      </c>
      <c r="H709" s="9" t="s">
        <v>5013</v>
      </c>
      <c r="I709" s="11" t="n">
        <v>28</v>
      </c>
      <c r="J709" s="11" t="n">
        <v>37.5</v>
      </c>
      <c r="K709" s="11"/>
      <c r="L709" s="11"/>
      <c r="M709" s="11" t="n">
        <f aca="false">IF(ISNUMBER(L709),L709,J709)</f>
        <v>37.5</v>
      </c>
      <c r="N709" s="11" t="n">
        <f aca="false">ROUNDUP(M709,0)</f>
        <v>38</v>
      </c>
      <c r="O709" s="11" t="n">
        <f aca="false">MAX(I709,N709)</f>
        <v>38</v>
      </c>
      <c r="P709" s="11" t="n">
        <f aca="false">IF(C709="COVERED",MAX(0,O709-40),0)</f>
        <v>0</v>
      </c>
      <c r="Q709" s="11" t="n">
        <f aca="false">O709</f>
        <v>38</v>
      </c>
      <c r="R709" s="17" t="n">
        <f aca="false">IF(C709="COVERED",10.4,7.55)</f>
        <v>7.55</v>
      </c>
      <c r="S709" s="17" t="n">
        <f aca="false">Q709*R709</f>
        <v>286.9</v>
      </c>
      <c r="T709" s="9"/>
      <c r="U709" s="10"/>
      <c r="V709" s="9"/>
      <c r="W709" s="17"/>
      <c r="X709" s="17"/>
      <c r="Y709" s="17" t="str">
        <f aca="false">IF(ISNUMBER(X709),X709-S709,"")</f>
        <v/>
      </c>
      <c r="Z709" s="17" t="n">
        <f aca="false">IF(ISNUMBER(X709),X709-S709,-S709)</f>
        <v>-286.9</v>
      </c>
      <c r="AA709" s="9" t="str">
        <f aca="false">IF(NOT(ISNUMBER(X709)),"NO AUGUST POSTING IN EXPORT",IF(ABS(Y709)&gt;=0.005,"POSTED CHARGE MISMATCH",IF(P709&gt;0,"MATCH - COVERED ELIGIBILITY EXCEPTION","MATCH")))</f>
        <v>NO AUGUST POSTING IN EXPORT</v>
      </c>
      <c r="AB709" s="9" t="s">
        <v>5726</v>
      </c>
    </row>
    <row r="710" customFormat="false" ht="15" hidden="false" customHeight="false" outlineLevel="0" collapsed="false">
      <c r="A710" s="13" t="s">
        <v>5727</v>
      </c>
      <c r="B710" s="13" t="s">
        <v>204</v>
      </c>
      <c r="C710" s="13" t="s">
        <v>146</v>
      </c>
      <c r="D710" s="13" t="s">
        <v>2002</v>
      </c>
      <c r="E710" s="13" t="s">
        <v>2235</v>
      </c>
      <c r="F710" s="13" t="s">
        <v>5728</v>
      </c>
      <c r="G710" s="13" t="s">
        <v>5729</v>
      </c>
      <c r="H710" s="13" t="s">
        <v>5730</v>
      </c>
      <c r="I710" s="15" t="n">
        <v>50</v>
      </c>
      <c r="J710" s="15" t="n">
        <v>44.2</v>
      </c>
      <c r="K710" s="15"/>
      <c r="L710" s="15"/>
      <c r="M710" s="15" t="n">
        <f aca="false">IF(ISNUMBER(L710),L710,J710)</f>
        <v>44.2</v>
      </c>
      <c r="N710" s="15" t="n">
        <f aca="false">ROUNDUP(M710,0)</f>
        <v>45</v>
      </c>
      <c r="O710" s="15" t="n">
        <f aca="false">MAX(I710,N710)</f>
        <v>50</v>
      </c>
      <c r="P710" s="15" t="n">
        <f aca="false">IF(C710="COVERED",MAX(0,O710-40),0)</f>
        <v>0</v>
      </c>
      <c r="Q710" s="15" t="n">
        <f aca="false">O710</f>
        <v>50</v>
      </c>
      <c r="R710" s="18" t="n">
        <f aca="false">IF(C710="COVERED",10.4,7.55)</f>
        <v>7.55</v>
      </c>
      <c r="S710" s="18" t="n">
        <f aca="false">Q710*R710</f>
        <v>377.5</v>
      </c>
      <c r="T710" s="13"/>
      <c r="U710" s="14"/>
      <c r="V710" s="13"/>
      <c r="W710" s="18"/>
      <c r="X710" s="18"/>
      <c r="Y710" s="18" t="str">
        <f aca="false">IF(ISNUMBER(X710),X710-S710,"")</f>
        <v/>
      </c>
      <c r="Z710" s="18" t="n">
        <f aca="false">IF(ISNUMBER(X710),X710-S710,-S710)</f>
        <v>-377.5</v>
      </c>
      <c r="AA710" s="13" t="str">
        <f aca="false">IF(NOT(ISNUMBER(X710)),"NO AUGUST POSTING IN EXPORT",IF(ABS(Y710)&gt;=0.005,"POSTED CHARGE MISMATCH",IF(P710&gt;0,"MATCH - COVERED ELIGIBILITY EXCEPTION","MATCH")))</f>
        <v>NO AUGUST POSTING IN EXPORT</v>
      </c>
      <c r="AB710" s="13" t="s">
        <v>5731</v>
      </c>
    </row>
    <row r="711" customFormat="false" ht="15" hidden="false" customHeight="false" outlineLevel="0" collapsed="false">
      <c r="A711" s="9" t="s">
        <v>5732</v>
      </c>
      <c r="B711" s="9" t="s">
        <v>204</v>
      </c>
      <c r="C711" s="9" t="s">
        <v>146</v>
      </c>
      <c r="D711" s="9" t="s">
        <v>2002</v>
      </c>
      <c r="E711" s="9" t="s">
        <v>2240</v>
      </c>
      <c r="F711" s="9" t="s">
        <v>5733</v>
      </c>
      <c r="G711" s="9" t="s">
        <v>5734</v>
      </c>
      <c r="H711" s="9" t="s">
        <v>2762</v>
      </c>
      <c r="I711" s="11" t="n">
        <v>50</v>
      </c>
      <c r="J711" s="11" t="n">
        <v>48.8</v>
      </c>
      <c r="K711" s="11"/>
      <c r="L711" s="11"/>
      <c r="M711" s="11" t="n">
        <f aca="false">IF(ISNUMBER(L711),L711,J711)</f>
        <v>48.8</v>
      </c>
      <c r="N711" s="11" t="n">
        <f aca="false">ROUNDUP(M711,0)</f>
        <v>49</v>
      </c>
      <c r="O711" s="11" t="n">
        <f aca="false">MAX(I711,N711)</f>
        <v>50</v>
      </c>
      <c r="P711" s="11" t="n">
        <f aca="false">IF(C711="COVERED",MAX(0,O711-40),0)</f>
        <v>0</v>
      </c>
      <c r="Q711" s="11" t="n">
        <f aca="false">O711</f>
        <v>50</v>
      </c>
      <c r="R711" s="17" t="n">
        <f aca="false">IF(C711="COVERED",10.4,7.55)</f>
        <v>7.55</v>
      </c>
      <c r="S711" s="17" t="n">
        <f aca="false">Q711*R711</f>
        <v>377.5</v>
      </c>
      <c r="T711" s="9"/>
      <c r="U711" s="10"/>
      <c r="V711" s="9"/>
      <c r="W711" s="17"/>
      <c r="X711" s="17"/>
      <c r="Y711" s="17" t="str">
        <f aca="false">IF(ISNUMBER(X711),X711-S711,"")</f>
        <v/>
      </c>
      <c r="Z711" s="17" t="n">
        <f aca="false">IF(ISNUMBER(X711),X711-S711,-S711)</f>
        <v>-377.5</v>
      </c>
      <c r="AA711" s="9" t="str">
        <f aca="false">IF(NOT(ISNUMBER(X711)),"NO AUGUST POSTING IN EXPORT",IF(ABS(Y711)&gt;=0.005,"POSTED CHARGE MISMATCH",IF(P711&gt;0,"MATCH - COVERED ELIGIBILITY EXCEPTION","MATCH")))</f>
        <v>NO AUGUST POSTING IN EXPORT</v>
      </c>
      <c r="AB711" s="9" t="s">
        <v>5735</v>
      </c>
    </row>
    <row r="712" customFormat="false" ht="15" hidden="false" customHeight="false" outlineLevel="0" collapsed="false">
      <c r="A712" s="13" t="s">
        <v>5736</v>
      </c>
      <c r="B712" s="13" t="s">
        <v>204</v>
      </c>
      <c r="C712" s="13" t="s">
        <v>146</v>
      </c>
      <c r="D712" s="13" t="s">
        <v>2002</v>
      </c>
      <c r="E712" s="13" t="s">
        <v>2247</v>
      </c>
      <c r="F712" s="13" t="s">
        <v>5737</v>
      </c>
      <c r="G712" s="13" t="s">
        <v>5738</v>
      </c>
      <c r="H712" s="13" t="s">
        <v>5739</v>
      </c>
      <c r="I712" s="15" t="n">
        <v>28</v>
      </c>
      <c r="J712" s="15" t="n">
        <v>51.5</v>
      </c>
      <c r="K712" s="15"/>
      <c r="L712" s="15"/>
      <c r="M712" s="15" t="n">
        <f aca="false">IF(ISNUMBER(L712),L712,J712)</f>
        <v>51.5</v>
      </c>
      <c r="N712" s="15" t="n">
        <f aca="false">ROUNDUP(M712,0)</f>
        <v>52</v>
      </c>
      <c r="O712" s="15" t="n">
        <f aca="false">MAX(I712,N712)</f>
        <v>52</v>
      </c>
      <c r="P712" s="15" t="n">
        <f aca="false">IF(C712="COVERED",MAX(0,O712-40),0)</f>
        <v>0</v>
      </c>
      <c r="Q712" s="15" t="n">
        <f aca="false">O712</f>
        <v>52</v>
      </c>
      <c r="R712" s="18" t="n">
        <f aca="false">IF(C712="COVERED",10.4,7.55)</f>
        <v>7.55</v>
      </c>
      <c r="S712" s="18" t="n">
        <f aca="false">Q712*R712</f>
        <v>392.6</v>
      </c>
      <c r="T712" s="13"/>
      <c r="U712" s="14"/>
      <c r="V712" s="13"/>
      <c r="W712" s="18"/>
      <c r="X712" s="18"/>
      <c r="Y712" s="18" t="str">
        <f aca="false">IF(ISNUMBER(X712),X712-S712,"")</f>
        <v/>
      </c>
      <c r="Z712" s="18" t="n">
        <f aca="false">IF(ISNUMBER(X712),X712-S712,-S712)</f>
        <v>-392.6</v>
      </c>
      <c r="AA712" s="13" t="str">
        <f aca="false">IF(NOT(ISNUMBER(X712)),"NO AUGUST POSTING IN EXPORT",IF(ABS(Y712)&gt;=0.005,"POSTED CHARGE MISMATCH",IF(P712&gt;0,"MATCH - COVERED ELIGIBILITY EXCEPTION","MATCH")))</f>
        <v>NO AUGUST POSTING IN EXPORT</v>
      </c>
      <c r="AB712" s="13" t="s">
        <v>5740</v>
      </c>
    </row>
    <row r="713" customFormat="false" ht="15" hidden="false" customHeight="false" outlineLevel="0" collapsed="false">
      <c r="A713" s="9" t="s">
        <v>5741</v>
      </c>
      <c r="B713" s="9" t="s">
        <v>204</v>
      </c>
      <c r="C713" s="9" t="s">
        <v>146</v>
      </c>
      <c r="D713" s="9" t="s">
        <v>2002</v>
      </c>
      <c r="E713" s="9" t="s">
        <v>2254</v>
      </c>
      <c r="F713" s="9" t="s">
        <v>5742</v>
      </c>
      <c r="G713" s="9" t="s">
        <v>5743</v>
      </c>
      <c r="H713" s="9" t="s">
        <v>4103</v>
      </c>
      <c r="I713" s="11" t="n">
        <v>40</v>
      </c>
      <c r="J713" s="11" t="n">
        <v>26.4</v>
      </c>
      <c r="K713" s="11"/>
      <c r="L713" s="11"/>
      <c r="M713" s="11" t="n">
        <f aca="false">IF(ISNUMBER(L713),L713,J713)</f>
        <v>26.4</v>
      </c>
      <c r="N713" s="11" t="n">
        <f aca="false">ROUNDUP(M713,0)</f>
        <v>27</v>
      </c>
      <c r="O713" s="11" t="n">
        <f aca="false">MAX(I713,N713)</f>
        <v>40</v>
      </c>
      <c r="P713" s="11" t="n">
        <f aca="false">IF(C713="COVERED",MAX(0,O713-40),0)</f>
        <v>0</v>
      </c>
      <c r="Q713" s="11" t="n">
        <f aca="false">O713</f>
        <v>40</v>
      </c>
      <c r="R713" s="17" t="n">
        <f aca="false">IF(C713="COVERED",10.4,7.55)</f>
        <v>7.55</v>
      </c>
      <c r="S713" s="17" t="n">
        <f aca="false">Q713*R713</f>
        <v>302</v>
      </c>
      <c r="T713" s="9"/>
      <c r="U713" s="10"/>
      <c r="V713" s="9"/>
      <c r="W713" s="17"/>
      <c r="X713" s="17"/>
      <c r="Y713" s="17" t="str">
        <f aca="false">IF(ISNUMBER(X713),X713-S713,"")</f>
        <v/>
      </c>
      <c r="Z713" s="17" t="n">
        <f aca="false">IF(ISNUMBER(X713),X713-S713,-S713)</f>
        <v>-302</v>
      </c>
      <c r="AA713" s="9" t="str">
        <f aca="false">IF(NOT(ISNUMBER(X713)),"NO AUGUST POSTING IN EXPORT",IF(ABS(Y713)&gt;=0.005,"POSTED CHARGE MISMATCH",IF(P713&gt;0,"MATCH - COVERED ELIGIBILITY EXCEPTION","MATCH")))</f>
        <v>NO AUGUST POSTING IN EXPORT</v>
      </c>
      <c r="AB713" s="9" t="s">
        <v>5744</v>
      </c>
    </row>
    <row r="714" customFormat="false" ht="15" hidden="false" customHeight="false" outlineLevel="0" collapsed="false">
      <c r="A714" s="13" t="s">
        <v>1530</v>
      </c>
      <c r="B714" s="13" t="s">
        <v>204</v>
      </c>
      <c r="C714" s="13" t="s">
        <v>146</v>
      </c>
      <c r="D714" s="13" t="s">
        <v>2002</v>
      </c>
      <c r="E714" s="13" t="s">
        <v>2267</v>
      </c>
      <c r="F714" s="13" t="s">
        <v>5745</v>
      </c>
      <c r="G714" s="13" t="s">
        <v>5746</v>
      </c>
      <c r="H714" s="13" t="s">
        <v>5656</v>
      </c>
      <c r="I714" s="15" t="n">
        <v>32</v>
      </c>
      <c r="J714" s="15" t="n">
        <v>23.2</v>
      </c>
      <c r="K714" s="15"/>
      <c r="L714" s="15"/>
      <c r="M714" s="15" t="n">
        <f aca="false">IF(ISNUMBER(L714),L714,J714)</f>
        <v>23.2</v>
      </c>
      <c r="N714" s="15" t="n">
        <f aca="false">ROUNDUP(M714,0)</f>
        <v>24</v>
      </c>
      <c r="O714" s="15" t="n">
        <f aca="false">MAX(I714,N714)</f>
        <v>32</v>
      </c>
      <c r="P714" s="15" t="n">
        <f aca="false">IF(C714="COVERED",MAX(0,O714-40),0)</f>
        <v>0</v>
      </c>
      <c r="Q714" s="15" t="n">
        <f aca="false">O714</f>
        <v>32</v>
      </c>
      <c r="R714" s="18" t="n">
        <f aca="false">IF(C714="COVERED",10.4,7.55)</f>
        <v>7.55</v>
      </c>
      <c r="S714" s="18" t="n">
        <f aca="false">Q714*R714</f>
        <v>241.6</v>
      </c>
      <c r="T714" s="13"/>
      <c r="U714" s="14"/>
      <c r="V714" s="13"/>
      <c r="W714" s="18"/>
      <c r="X714" s="18"/>
      <c r="Y714" s="18" t="str">
        <f aca="false">IF(ISNUMBER(X714),X714-S714,"")</f>
        <v/>
      </c>
      <c r="Z714" s="18" t="n">
        <f aca="false">IF(ISNUMBER(X714),X714-S714,-S714)</f>
        <v>-241.6</v>
      </c>
      <c r="AA714" s="13" t="str">
        <f aca="false">IF(NOT(ISNUMBER(X714)),"NO AUGUST POSTING IN EXPORT",IF(ABS(Y714)&gt;=0.005,"POSTED CHARGE MISMATCH",IF(P714&gt;0,"MATCH - COVERED ELIGIBILITY EXCEPTION","MATCH")))</f>
        <v>NO AUGUST POSTING IN EXPORT</v>
      </c>
      <c r="AB714" s="13" t="s">
        <v>5747</v>
      </c>
    </row>
    <row r="715" customFormat="false" ht="15" hidden="false" customHeight="false" outlineLevel="0" collapsed="false">
      <c r="A715" s="9" t="s">
        <v>5748</v>
      </c>
      <c r="B715" s="9" t="s">
        <v>204</v>
      </c>
      <c r="C715" s="9" t="s">
        <v>146</v>
      </c>
      <c r="D715" s="9" t="s">
        <v>2002</v>
      </c>
      <c r="E715" s="9" t="s">
        <v>2274</v>
      </c>
      <c r="F715" s="9" t="s">
        <v>5749</v>
      </c>
      <c r="G715" s="9" t="s">
        <v>5750</v>
      </c>
      <c r="H715" s="9" t="s">
        <v>2270</v>
      </c>
      <c r="I715" s="11" t="n">
        <v>80</v>
      </c>
      <c r="J715" s="11" t="n">
        <v>48.6</v>
      </c>
      <c r="K715" s="11"/>
      <c r="L715" s="11"/>
      <c r="M715" s="11" t="n">
        <f aca="false">IF(ISNUMBER(L715),L715,J715)</f>
        <v>48.6</v>
      </c>
      <c r="N715" s="11" t="n">
        <f aca="false">ROUNDUP(M715,0)</f>
        <v>49</v>
      </c>
      <c r="O715" s="11" t="n">
        <f aca="false">MAX(I715,N715)</f>
        <v>80</v>
      </c>
      <c r="P715" s="11" t="n">
        <f aca="false">IF(C715="COVERED",MAX(0,O715-40),0)</f>
        <v>0</v>
      </c>
      <c r="Q715" s="11" t="n">
        <f aca="false">O715</f>
        <v>80</v>
      </c>
      <c r="R715" s="17" t="n">
        <f aca="false">IF(C715="COVERED",10.4,7.55)</f>
        <v>7.55</v>
      </c>
      <c r="S715" s="17" t="n">
        <f aca="false">Q715*R715</f>
        <v>604</v>
      </c>
      <c r="T715" s="9"/>
      <c r="U715" s="10"/>
      <c r="V715" s="9"/>
      <c r="W715" s="17"/>
      <c r="X715" s="17"/>
      <c r="Y715" s="17" t="str">
        <f aca="false">IF(ISNUMBER(X715),X715-S715,"")</f>
        <v/>
      </c>
      <c r="Z715" s="17" t="n">
        <f aca="false">IF(ISNUMBER(X715),X715-S715,-S715)</f>
        <v>-604</v>
      </c>
      <c r="AA715" s="9" t="str">
        <f aca="false">IF(NOT(ISNUMBER(X715)),"NO AUGUST POSTING IN EXPORT",IF(ABS(Y715)&gt;=0.005,"POSTED CHARGE MISMATCH",IF(P715&gt;0,"MATCH - COVERED ELIGIBILITY EXCEPTION","MATCH")))</f>
        <v>NO AUGUST POSTING IN EXPORT</v>
      </c>
      <c r="AB715" s="9" t="s">
        <v>5751</v>
      </c>
    </row>
    <row r="716" customFormat="false" ht="15" hidden="false" customHeight="false" outlineLevel="0" collapsed="false">
      <c r="A716" s="13" t="s">
        <v>5752</v>
      </c>
      <c r="B716" s="13" t="s">
        <v>204</v>
      </c>
      <c r="C716" s="13" t="s">
        <v>146</v>
      </c>
      <c r="D716" s="13" t="s">
        <v>2002</v>
      </c>
      <c r="E716" s="13" t="s">
        <v>2281</v>
      </c>
      <c r="F716" s="13" t="s">
        <v>5753</v>
      </c>
      <c r="G716" s="13" t="s">
        <v>5754</v>
      </c>
      <c r="H716" s="13" t="s">
        <v>5755</v>
      </c>
      <c r="I716" s="15" t="n">
        <v>32</v>
      </c>
      <c r="J716" s="15" t="n">
        <v>30.9</v>
      </c>
      <c r="K716" s="15"/>
      <c r="L716" s="15"/>
      <c r="M716" s="15" t="n">
        <f aca="false">IF(ISNUMBER(L716),L716,J716)</f>
        <v>30.9</v>
      </c>
      <c r="N716" s="15" t="n">
        <f aca="false">ROUNDUP(M716,0)</f>
        <v>31</v>
      </c>
      <c r="O716" s="15" t="n">
        <f aca="false">MAX(I716,N716)</f>
        <v>32</v>
      </c>
      <c r="P716" s="15" t="n">
        <f aca="false">IF(C716="COVERED",MAX(0,O716-40),0)</f>
        <v>0</v>
      </c>
      <c r="Q716" s="15" t="n">
        <f aca="false">O716</f>
        <v>32</v>
      </c>
      <c r="R716" s="18" t="n">
        <f aca="false">IF(C716="COVERED",10.4,7.55)</f>
        <v>7.55</v>
      </c>
      <c r="S716" s="18" t="n">
        <f aca="false">Q716*R716</f>
        <v>241.6</v>
      </c>
      <c r="T716" s="13"/>
      <c r="U716" s="14"/>
      <c r="V716" s="13"/>
      <c r="W716" s="18"/>
      <c r="X716" s="18"/>
      <c r="Y716" s="18" t="str">
        <f aca="false">IF(ISNUMBER(X716),X716-S716,"")</f>
        <v/>
      </c>
      <c r="Z716" s="18" t="n">
        <f aca="false">IF(ISNUMBER(X716),X716-S716,-S716)</f>
        <v>-241.6</v>
      </c>
      <c r="AA716" s="13" t="str">
        <f aca="false">IF(NOT(ISNUMBER(X716)),"NO AUGUST POSTING IN EXPORT",IF(ABS(Y716)&gt;=0.005,"POSTED CHARGE MISMATCH",IF(P716&gt;0,"MATCH - COVERED ELIGIBILITY EXCEPTION","MATCH")))</f>
        <v>NO AUGUST POSTING IN EXPORT</v>
      </c>
      <c r="AB716" s="13" t="s">
        <v>5756</v>
      </c>
    </row>
    <row r="717" customFormat="false" ht="15" hidden="false" customHeight="false" outlineLevel="0" collapsed="false">
      <c r="A717" s="9" t="s">
        <v>5757</v>
      </c>
      <c r="B717" s="9" t="s">
        <v>204</v>
      </c>
      <c r="C717" s="9" t="s">
        <v>146</v>
      </c>
      <c r="D717" s="9" t="s">
        <v>2002</v>
      </c>
      <c r="E717" s="9" t="s">
        <v>3608</v>
      </c>
      <c r="F717" s="9" t="s">
        <v>5758</v>
      </c>
      <c r="G717" s="9" t="s">
        <v>5759</v>
      </c>
      <c r="H717" s="9" t="s">
        <v>2860</v>
      </c>
      <c r="I717" s="11" t="n">
        <v>70</v>
      </c>
      <c r="J717" s="11" t="n">
        <v>57.4</v>
      </c>
      <c r="K717" s="11"/>
      <c r="L717" s="11"/>
      <c r="M717" s="11" t="n">
        <f aca="false">IF(ISNUMBER(L717),L717,J717)</f>
        <v>57.4</v>
      </c>
      <c r="N717" s="11" t="n">
        <f aca="false">ROUNDUP(M717,0)</f>
        <v>58</v>
      </c>
      <c r="O717" s="11" t="n">
        <f aca="false">MAX(I717,N717)</f>
        <v>70</v>
      </c>
      <c r="P717" s="11" t="n">
        <f aca="false">IF(C717="COVERED",MAX(0,O717-40),0)</f>
        <v>0</v>
      </c>
      <c r="Q717" s="11" t="n">
        <f aca="false">O717</f>
        <v>70</v>
      </c>
      <c r="R717" s="17" t="n">
        <f aca="false">IF(C717="COVERED",10.4,7.55)</f>
        <v>7.55</v>
      </c>
      <c r="S717" s="17" t="n">
        <f aca="false">Q717*R717</f>
        <v>528.5</v>
      </c>
      <c r="T717" s="9"/>
      <c r="U717" s="10"/>
      <c r="V717" s="9"/>
      <c r="W717" s="17"/>
      <c r="X717" s="17"/>
      <c r="Y717" s="17" t="str">
        <f aca="false">IF(ISNUMBER(X717),X717-S717,"")</f>
        <v/>
      </c>
      <c r="Z717" s="17" t="n">
        <f aca="false">IF(ISNUMBER(X717),X717-S717,-S717)</f>
        <v>-528.5</v>
      </c>
      <c r="AA717" s="9" t="str">
        <f aca="false">IF(NOT(ISNUMBER(X717)),"NO AUGUST POSTING IN EXPORT",IF(ABS(Y717)&gt;=0.005,"POSTED CHARGE MISMATCH",IF(P717&gt;0,"MATCH - COVERED ELIGIBILITY EXCEPTION","MATCH")))</f>
        <v>NO AUGUST POSTING IN EXPORT</v>
      </c>
      <c r="AB717" s="9" t="s">
        <v>5760</v>
      </c>
    </row>
    <row r="718" customFormat="false" ht="15" hidden="false" customHeight="false" outlineLevel="0" collapsed="false">
      <c r="A718" s="13" t="s">
        <v>905</v>
      </c>
      <c r="B718" s="13" t="s">
        <v>204</v>
      </c>
      <c r="C718" s="13" t="s">
        <v>146</v>
      </c>
      <c r="D718" s="13" t="s">
        <v>2002</v>
      </c>
      <c r="E718" s="13" t="s">
        <v>2287</v>
      </c>
      <c r="F718" s="13" t="s">
        <v>5761</v>
      </c>
      <c r="G718" s="13" t="s">
        <v>5762</v>
      </c>
      <c r="H718" s="13" t="s">
        <v>2189</v>
      </c>
      <c r="I718" s="15" t="n">
        <v>28</v>
      </c>
      <c r="J718" s="15" t="n">
        <v>20.7</v>
      </c>
      <c r="K718" s="15"/>
      <c r="L718" s="15"/>
      <c r="M718" s="15" t="n">
        <f aca="false">IF(ISNUMBER(L718),L718,J718)</f>
        <v>20.7</v>
      </c>
      <c r="N718" s="15" t="n">
        <f aca="false">ROUNDUP(M718,0)</f>
        <v>21</v>
      </c>
      <c r="O718" s="15" t="n">
        <f aca="false">MAX(I718,N718)</f>
        <v>28</v>
      </c>
      <c r="P718" s="15" t="n">
        <f aca="false">IF(C718="COVERED",MAX(0,O718-40),0)</f>
        <v>0</v>
      </c>
      <c r="Q718" s="15" t="n">
        <f aca="false">O718</f>
        <v>28</v>
      </c>
      <c r="R718" s="18" t="n">
        <f aca="false">IF(C718="COVERED",10.4,7.55)</f>
        <v>7.55</v>
      </c>
      <c r="S718" s="18" t="n">
        <f aca="false">Q718*R718</f>
        <v>211.4</v>
      </c>
      <c r="T718" s="13"/>
      <c r="U718" s="14"/>
      <c r="V718" s="13"/>
      <c r="W718" s="18"/>
      <c r="X718" s="18"/>
      <c r="Y718" s="18" t="str">
        <f aca="false">IF(ISNUMBER(X718),X718-S718,"")</f>
        <v/>
      </c>
      <c r="Z718" s="18" t="n">
        <f aca="false">IF(ISNUMBER(X718),X718-S718,-S718)</f>
        <v>-211.4</v>
      </c>
      <c r="AA718" s="13" t="str">
        <f aca="false">IF(NOT(ISNUMBER(X718)),"NO AUGUST POSTING IN EXPORT",IF(ABS(Y718)&gt;=0.005,"POSTED CHARGE MISMATCH",IF(P718&gt;0,"MATCH - COVERED ELIGIBILITY EXCEPTION","MATCH")))</f>
        <v>NO AUGUST POSTING IN EXPORT</v>
      </c>
      <c r="AB718" s="13" t="s">
        <v>5763</v>
      </c>
    </row>
    <row r="719" customFormat="false" ht="15" hidden="false" customHeight="false" outlineLevel="0" collapsed="false">
      <c r="A719" s="9" t="s">
        <v>5764</v>
      </c>
      <c r="B719" s="9" t="s">
        <v>204</v>
      </c>
      <c r="C719" s="9" t="s">
        <v>146</v>
      </c>
      <c r="D719" s="9" t="s">
        <v>2002</v>
      </c>
      <c r="E719" s="9" t="s">
        <v>2294</v>
      </c>
      <c r="F719" s="9" t="s">
        <v>5765</v>
      </c>
      <c r="G719" s="9" t="s">
        <v>5766</v>
      </c>
      <c r="H719" s="9" t="s">
        <v>4576</v>
      </c>
      <c r="I719" s="11" t="n">
        <v>24</v>
      </c>
      <c r="J719" s="11" t="n">
        <v>30</v>
      </c>
      <c r="K719" s="11"/>
      <c r="L719" s="11"/>
      <c r="M719" s="11" t="n">
        <f aca="false">IF(ISNUMBER(L719),L719,J719)</f>
        <v>30</v>
      </c>
      <c r="N719" s="11" t="n">
        <f aca="false">ROUNDUP(M719,0)</f>
        <v>30</v>
      </c>
      <c r="O719" s="11" t="n">
        <f aca="false">MAX(I719,N719)</f>
        <v>30</v>
      </c>
      <c r="P719" s="11" t="n">
        <f aca="false">IF(C719="COVERED",MAX(0,O719-40),0)</f>
        <v>0</v>
      </c>
      <c r="Q719" s="11" t="n">
        <f aca="false">O719</f>
        <v>30</v>
      </c>
      <c r="R719" s="17" t="n">
        <f aca="false">IF(C719="COVERED",10.4,7.55)</f>
        <v>7.55</v>
      </c>
      <c r="S719" s="17" t="n">
        <f aca="false">Q719*R719</f>
        <v>226.5</v>
      </c>
      <c r="T719" s="9"/>
      <c r="U719" s="10"/>
      <c r="V719" s="9"/>
      <c r="W719" s="17"/>
      <c r="X719" s="17"/>
      <c r="Y719" s="17" t="str">
        <f aca="false">IF(ISNUMBER(X719),X719-S719,"")</f>
        <v/>
      </c>
      <c r="Z719" s="17" t="n">
        <f aca="false">IF(ISNUMBER(X719),X719-S719,-S719)</f>
        <v>-226.5</v>
      </c>
      <c r="AA719" s="9" t="str">
        <f aca="false">IF(NOT(ISNUMBER(X719)),"NO AUGUST POSTING IN EXPORT",IF(ABS(Y719)&gt;=0.005,"POSTED CHARGE MISMATCH",IF(P719&gt;0,"MATCH - COVERED ELIGIBILITY EXCEPTION","MATCH")))</f>
        <v>NO AUGUST POSTING IN EXPORT</v>
      </c>
      <c r="AB719" s="9" t="s">
        <v>5767</v>
      </c>
    </row>
    <row r="720" customFormat="false" ht="15" hidden="false" customHeight="false" outlineLevel="0" collapsed="false">
      <c r="A720" s="13" t="s">
        <v>5768</v>
      </c>
      <c r="B720" s="13" t="s">
        <v>204</v>
      </c>
      <c r="C720" s="13" t="s">
        <v>146</v>
      </c>
      <c r="D720" s="13" t="s">
        <v>2002</v>
      </c>
      <c r="E720" s="13" t="s">
        <v>2300</v>
      </c>
      <c r="F720" s="13" t="s">
        <v>5769</v>
      </c>
      <c r="G720" s="13" t="s">
        <v>5770</v>
      </c>
      <c r="H720" s="13" t="s">
        <v>3860</v>
      </c>
      <c r="I720" s="15" t="n">
        <v>24</v>
      </c>
      <c r="J720" s="15" t="n">
        <v>58.1</v>
      </c>
      <c r="K720" s="15"/>
      <c r="L720" s="15"/>
      <c r="M720" s="15" t="n">
        <f aca="false">IF(ISNUMBER(L720),L720,J720)</f>
        <v>58.1</v>
      </c>
      <c r="N720" s="15" t="n">
        <f aca="false">ROUNDUP(M720,0)</f>
        <v>59</v>
      </c>
      <c r="O720" s="15" t="n">
        <f aca="false">MAX(I720,N720)</f>
        <v>59</v>
      </c>
      <c r="P720" s="15" t="n">
        <f aca="false">IF(C720="COVERED",MAX(0,O720-40),0)</f>
        <v>0</v>
      </c>
      <c r="Q720" s="15" t="n">
        <f aca="false">O720</f>
        <v>59</v>
      </c>
      <c r="R720" s="18" t="n">
        <f aca="false">IF(C720="COVERED",10.4,7.55)</f>
        <v>7.55</v>
      </c>
      <c r="S720" s="18" t="n">
        <f aca="false">Q720*R720</f>
        <v>445.45</v>
      </c>
      <c r="T720" s="13"/>
      <c r="U720" s="14"/>
      <c r="V720" s="13"/>
      <c r="W720" s="18"/>
      <c r="X720" s="18"/>
      <c r="Y720" s="18" t="str">
        <f aca="false">IF(ISNUMBER(X720),X720-S720,"")</f>
        <v/>
      </c>
      <c r="Z720" s="18" t="n">
        <f aca="false">IF(ISNUMBER(X720),X720-S720,-S720)</f>
        <v>-445.45</v>
      </c>
      <c r="AA720" s="13" t="str">
        <f aca="false">IF(NOT(ISNUMBER(X720)),"NO AUGUST POSTING IN EXPORT",IF(ABS(Y720)&gt;=0.005,"POSTED CHARGE MISMATCH",IF(P720&gt;0,"MATCH - COVERED ELIGIBILITY EXCEPTION","MATCH")))</f>
        <v>NO AUGUST POSTING IN EXPORT</v>
      </c>
      <c r="AB720" s="13" t="s">
        <v>5771</v>
      </c>
    </row>
    <row r="721" customFormat="false" ht="15" hidden="false" customHeight="false" outlineLevel="0" collapsed="false">
      <c r="A721" s="9" t="s">
        <v>5772</v>
      </c>
      <c r="B721" s="9" t="s">
        <v>204</v>
      </c>
      <c r="C721" s="9" t="s">
        <v>146</v>
      </c>
      <c r="D721" s="9" t="s">
        <v>2002</v>
      </c>
      <c r="E721" s="9" t="s">
        <v>2307</v>
      </c>
      <c r="F721" s="9" t="s">
        <v>5773</v>
      </c>
      <c r="G721" s="9" t="s">
        <v>5774</v>
      </c>
      <c r="H721" s="9" t="s">
        <v>3824</v>
      </c>
      <c r="I721" s="11" t="n">
        <v>70</v>
      </c>
      <c r="J721" s="11" t="n">
        <v>58.3</v>
      </c>
      <c r="K721" s="11"/>
      <c r="L721" s="11"/>
      <c r="M721" s="11" t="n">
        <f aca="false">IF(ISNUMBER(L721),L721,J721)</f>
        <v>58.3</v>
      </c>
      <c r="N721" s="11" t="n">
        <f aca="false">ROUNDUP(M721,0)</f>
        <v>59</v>
      </c>
      <c r="O721" s="11" t="n">
        <f aca="false">MAX(I721,N721)</f>
        <v>70</v>
      </c>
      <c r="P721" s="11" t="n">
        <f aca="false">IF(C721="COVERED",MAX(0,O721-40),0)</f>
        <v>0</v>
      </c>
      <c r="Q721" s="11" t="n">
        <f aca="false">O721</f>
        <v>70</v>
      </c>
      <c r="R721" s="17" t="n">
        <f aca="false">IF(C721="COVERED",10.4,7.55)</f>
        <v>7.55</v>
      </c>
      <c r="S721" s="17" t="n">
        <f aca="false">Q721*R721</f>
        <v>528.5</v>
      </c>
      <c r="T721" s="9"/>
      <c r="U721" s="10"/>
      <c r="V721" s="9"/>
      <c r="W721" s="17"/>
      <c r="X721" s="17"/>
      <c r="Y721" s="17" t="str">
        <f aca="false">IF(ISNUMBER(X721),X721-S721,"")</f>
        <v/>
      </c>
      <c r="Z721" s="17" t="n">
        <f aca="false">IF(ISNUMBER(X721),X721-S721,-S721)</f>
        <v>-528.5</v>
      </c>
      <c r="AA721" s="9" t="str">
        <f aca="false">IF(NOT(ISNUMBER(X721)),"NO AUGUST POSTING IN EXPORT",IF(ABS(Y721)&gt;=0.005,"POSTED CHARGE MISMATCH",IF(P721&gt;0,"MATCH - COVERED ELIGIBILITY EXCEPTION","MATCH")))</f>
        <v>NO AUGUST POSTING IN EXPORT</v>
      </c>
      <c r="AB721" s="9" t="s">
        <v>5775</v>
      </c>
    </row>
    <row r="722" customFormat="false" ht="15" hidden="false" customHeight="false" outlineLevel="0" collapsed="false">
      <c r="A722" s="13" t="s">
        <v>711</v>
      </c>
      <c r="B722" s="13" t="s">
        <v>204</v>
      </c>
      <c r="C722" s="13" t="s">
        <v>146</v>
      </c>
      <c r="D722" s="13" t="s">
        <v>2002</v>
      </c>
      <c r="E722" s="13" t="s">
        <v>2313</v>
      </c>
      <c r="F722" s="13" t="s">
        <v>5776</v>
      </c>
      <c r="G722" s="13" t="s">
        <v>5777</v>
      </c>
      <c r="H722" s="13" t="s">
        <v>4278</v>
      </c>
      <c r="I722" s="15" t="n">
        <v>70</v>
      </c>
      <c r="J722" s="15" t="n">
        <v>35.4</v>
      </c>
      <c r="K722" s="15"/>
      <c r="L722" s="15"/>
      <c r="M722" s="15" t="n">
        <f aca="false">IF(ISNUMBER(L722),L722,J722)</f>
        <v>35.4</v>
      </c>
      <c r="N722" s="15" t="n">
        <f aca="false">ROUNDUP(M722,0)</f>
        <v>36</v>
      </c>
      <c r="O722" s="15" t="n">
        <f aca="false">MAX(I722,N722)</f>
        <v>70</v>
      </c>
      <c r="P722" s="15" t="n">
        <f aca="false">IF(C722="COVERED",MAX(0,O722-40),0)</f>
        <v>0</v>
      </c>
      <c r="Q722" s="15" t="n">
        <f aca="false">O722</f>
        <v>70</v>
      </c>
      <c r="R722" s="18" t="n">
        <f aca="false">IF(C722="COVERED",10.4,7.55)</f>
        <v>7.55</v>
      </c>
      <c r="S722" s="18" t="n">
        <f aca="false">Q722*R722</f>
        <v>528.5</v>
      </c>
      <c r="T722" s="13"/>
      <c r="U722" s="14"/>
      <c r="V722" s="13"/>
      <c r="W722" s="18"/>
      <c r="X722" s="18"/>
      <c r="Y722" s="18" t="str">
        <f aca="false">IF(ISNUMBER(X722),X722-S722,"")</f>
        <v/>
      </c>
      <c r="Z722" s="18" t="n">
        <f aca="false">IF(ISNUMBER(X722),X722-S722,-S722)</f>
        <v>-528.5</v>
      </c>
      <c r="AA722" s="13" t="str">
        <f aca="false">IF(NOT(ISNUMBER(X722)),"NO AUGUST POSTING IN EXPORT",IF(ABS(Y722)&gt;=0.005,"POSTED CHARGE MISMATCH",IF(P722&gt;0,"MATCH - COVERED ELIGIBILITY EXCEPTION","MATCH")))</f>
        <v>NO AUGUST POSTING IN EXPORT</v>
      </c>
      <c r="AB722" s="13" t="s">
        <v>5778</v>
      </c>
    </row>
    <row r="723" customFormat="false" ht="15" hidden="false" customHeight="false" outlineLevel="0" collapsed="false">
      <c r="A723" s="9" t="s">
        <v>1754</v>
      </c>
      <c r="B723" s="9" t="s">
        <v>204</v>
      </c>
      <c r="C723" s="9" t="s">
        <v>146</v>
      </c>
      <c r="D723" s="9" t="s">
        <v>2002</v>
      </c>
      <c r="E723" s="9" t="s">
        <v>2319</v>
      </c>
      <c r="F723" s="9" t="s">
        <v>5779</v>
      </c>
      <c r="G723" s="9" t="s">
        <v>5780</v>
      </c>
      <c r="H723" s="9" t="s">
        <v>5304</v>
      </c>
      <c r="I723" s="11" t="n">
        <v>32</v>
      </c>
      <c r="J723" s="11" t="n">
        <v>60.3</v>
      </c>
      <c r="K723" s="11"/>
      <c r="L723" s="11"/>
      <c r="M723" s="11" t="n">
        <f aca="false">IF(ISNUMBER(L723),L723,J723)</f>
        <v>60.3</v>
      </c>
      <c r="N723" s="11" t="n">
        <f aca="false">ROUNDUP(M723,0)</f>
        <v>61</v>
      </c>
      <c r="O723" s="11" t="n">
        <f aca="false">MAX(I723,N723)</f>
        <v>61</v>
      </c>
      <c r="P723" s="11" t="n">
        <f aca="false">IF(C723="COVERED",MAX(0,O723-40),0)</f>
        <v>0</v>
      </c>
      <c r="Q723" s="11" t="n">
        <f aca="false">O723</f>
        <v>61</v>
      </c>
      <c r="R723" s="17" t="n">
        <f aca="false">IF(C723="COVERED",10.4,7.55)</f>
        <v>7.55</v>
      </c>
      <c r="S723" s="17" t="n">
        <f aca="false">Q723*R723</f>
        <v>460.55</v>
      </c>
      <c r="T723" s="9"/>
      <c r="U723" s="10"/>
      <c r="V723" s="9"/>
      <c r="W723" s="17"/>
      <c r="X723" s="17"/>
      <c r="Y723" s="17" t="str">
        <f aca="false">IF(ISNUMBER(X723),X723-S723,"")</f>
        <v/>
      </c>
      <c r="Z723" s="17" t="n">
        <f aca="false">IF(ISNUMBER(X723),X723-S723,-S723)</f>
        <v>-460.55</v>
      </c>
      <c r="AA723" s="9" t="str">
        <f aca="false">IF(NOT(ISNUMBER(X723)),"NO AUGUST POSTING IN EXPORT",IF(ABS(Y723)&gt;=0.005,"POSTED CHARGE MISMATCH",IF(P723&gt;0,"MATCH - COVERED ELIGIBILITY EXCEPTION","MATCH")))</f>
        <v>NO AUGUST POSTING IN EXPORT</v>
      </c>
      <c r="AB723" s="9" t="s">
        <v>5781</v>
      </c>
    </row>
    <row r="724" customFormat="false" ht="15" hidden="false" customHeight="false" outlineLevel="0" collapsed="false">
      <c r="A724" s="13" t="s">
        <v>5782</v>
      </c>
      <c r="B724" s="13" t="s">
        <v>204</v>
      </c>
      <c r="C724" s="13" t="s">
        <v>146</v>
      </c>
      <c r="D724" s="13" t="s">
        <v>2002</v>
      </c>
      <c r="E724" s="13" t="s">
        <v>2326</v>
      </c>
      <c r="F724" s="13" t="s">
        <v>5783</v>
      </c>
      <c r="G724" s="13" t="s">
        <v>5784</v>
      </c>
      <c r="H724" s="13" t="s">
        <v>5785</v>
      </c>
      <c r="I724" s="15" t="n">
        <v>50</v>
      </c>
      <c r="J724" s="15" t="n">
        <v>20.9</v>
      </c>
      <c r="K724" s="15"/>
      <c r="L724" s="15"/>
      <c r="M724" s="15" t="n">
        <f aca="false">IF(ISNUMBER(L724),L724,J724)</f>
        <v>20.9</v>
      </c>
      <c r="N724" s="15" t="n">
        <f aca="false">ROUNDUP(M724,0)</f>
        <v>21</v>
      </c>
      <c r="O724" s="15" t="n">
        <f aca="false">MAX(I724,N724)</f>
        <v>50</v>
      </c>
      <c r="P724" s="15" t="n">
        <f aca="false">IF(C724="COVERED",MAX(0,O724-40),0)</f>
        <v>0</v>
      </c>
      <c r="Q724" s="15" t="n">
        <f aca="false">O724</f>
        <v>50</v>
      </c>
      <c r="R724" s="18" t="n">
        <f aca="false">IF(C724="COVERED",10.4,7.55)</f>
        <v>7.55</v>
      </c>
      <c r="S724" s="18" t="n">
        <f aca="false">Q724*R724</f>
        <v>377.5</v>
      </c>
      <c r="T724" s="13"/>
      <c r="U724" s="14"/>
      <c r="V724" s="13"/>
      <c r="W724" s="18"/>
      <c r="X724" s="18"/>
      <c r="Y724" s="18" t="str">
        <f aca="false">IF(ISNUMBER(X724),X724-S724,"")</f>
        <v/>
      </c>
      <c r="Z724" s="18" t="n">
        <f aca="false">IF(ISNUMBER(X724),X724-S724,-S724)</f>
        <v>-377.5</v>
      </c>
      <c r="AA724" s="13" t="str">
        <f aca="false">IF(NOT(ISNUMBER(X724)),"NO AUGUST POSTING IN EXPORT",IF(ABS(Y724)&gt;=0.005,"POSTED CHARGE MISMATCH",IF(P724&gt;0,"MATCH - COVERED ELIGIBILITY EXCEPTION","MATCH")))</f>
        <v>NO AUGUST POSTING IN EXPORT</v>
      </c>
      <c r="AB724" s="13" t="s">
        <v>5786</v>
      </c>
    </row>
    <row r="725" customFormat="false" ht="15" hidden="false" customHeight="false" outlineLevel="0" collapsed="false">
      <c r="A725" s="9" t="s">
        <v>5787</v>
      </c>
      <c r="B725" s="9" t="s">
        <v>204</v>
      </c>
      <c r="C725" s="9" t="s">
        <v>146</v>
      </c>
      <c r="D725" s="9" t="s">
        <v>2002</v>
      </c>
      <c r="E725" s="9" t="s">
        <v>2333</v>
      </c>
      <c r="F725" s="9" t="s">
        <v>5788</v>
      </c>
      <c r="G725" s="9" t="s">
        <v>5789</v>
      </c>
      <c r="H725" s="9" t="s">
        <v>3807</v>
      </c>
      <c r="I725" s="11" t="n">
        <v>40</v>
      </c>
      <c r="J725" s="11" t="n">
        <v>26.6</v>
      </c>
      <c r="K725" s="11"/>
      <c r="L725" s="11"/>
      <c r="M725" s="11" t="n">
        <f aca="false">IF(ISNUMBER(L725),L725,J725)</f>
        <v>26.6</v>
      </c>
      <c r="N725" s="11" t="n">
        <f aca="false">ROUNDUP(M725,0)</f>
        <v>27</v>
      </c>
      <c r="O725" s="11" t="n">
        <f aca="false">MAX(I725,N725)</f>
        <v>40</v>
      </c>
      <c r="P725" s="11" t="n">
        <f aca="false">IF(C725="COVERED",MAX(0,O725-40),0)</f>
        <v>0</v>
      </c>
      <c r="Q725" s="11" t="n">
        <f aca="false">O725</f>
        <v>40</v>
      </c>
      <c r="R725" s="17" t="n">
        <f aca="false">IF(C725="COVERED",10.4,7.55)</f>
        <v>7.55</v>
      </c>
      <c r="S725" s="17" t="n">
        <f aca="false">Q725*R725</f>
        <v>302</v>
      </c>
      <c r="T725" s="9"/>
      <c r="U725" s="10"/>
      <c r="V725" s="9"/>
      <c r="W725" s="17"/>
      <c r="X725" s="17"/>
      <c r="Y725" s="17" t="str">
        <f aca="false">IF(ISNUMBER(X725),X725-S725,"")</f>
        <v/>
      </c>
      <c r="Z725" s="17" t="n">
        <f aca="false">IF(ISNUMBER(X725),X725-S725,-S725)</f>
        <v>-302</v>
      </c>
      <c r="AA725" s="9" t="str">
        <f aca="false">IF(NOT(ISNUMBER(X725)),"NO AUGUST POSTING IN EXPORT",IF(ABS(Y725)&gt;=0.005,"POSTED CHARGE MISMATCH",IF(P725&gt;0,"MATCH - COVERED ELIGIBILITY EXCEPTION","MATCH")))</f>
        <v>NO AUGUST POSTING IN EXPORT</v>
      </c>
      <c r="AB725" s="9" t="s">
        <v>5790</v>
      </c>
    </row>
    <row r="726" customFormat="false" ht="15" hidden="false" customHeight="false" outlineLevel="0" collapsed="false">
      <c r="A726" s="13" t="s">
        <v>5791</v>
      </c>
      <c r="B726" s="13" t="s">
        <v>204</v>
      </c>
      <c r="C726" s="13" t="s">
        <v>146</v>
      </c>
      <c r="D726" s="13" t="s">
        <v>2002</v>
      </c>
      <c r="E726" s="13" t="s">
        <v>2340</v>
      </c>
      <c r="F726" s="13" t="s">
        <v>5792</v>
      </c>
      <c r="G726" s="13" t="s">
        <v>5793</v>
      </c>
      <c r="H726" s="13" t="s">
        <v>5794</v>
      </c>
      <c r="I726" s="15" t="n">
        <v>28</v>
      </c>
      <c r="J726" s="15" t="n">
        <v>43.8</v>
      </c>
      <c r="K726" s="15"/>
      <c r="L726" s="15"/>
      <c r="M726" s="15" t="n">
        <f aca="false">IF(ISNUMBER(L726),L726,J726)</f>
        <v>43.8</v>
      </c>
      <c r="N726" s="15" t="n">
        <f aca="false">ROUNDUP(M726,0)</f>
        <v>44</v>
      </c>
      <c r="O726" s="15" t="n">
        <f aca="false">MAX(I726,N726)</f>
        <v>44</v>
      </c>
      <c r="P726" s="15" t="n">
        <f aca="false">IF(C726="COVERED",MAX(0,O726-40),0)</f>
        <v>0</v>
      </c>
      <c r="Q726" s="15" t="n">
        <f aca="false">O726</f>
        <v>44</v>
      </c>
      <c r="R726" s="18" t="n">
        <f aca="false">IF(C726="COVERED",10.4,7.55)</f>
        <v>7.55</v>
      </c>
      <c r="S726" s="18" t="n">
        <f aca="false">Q726*R726</f>
        <v>332.2</v>
      </c>
      <c r="T726" s="13"/>
      <c r="U726" s="14"/>
      <c r="V726" s="13"/>
      <c r="W726" s="18"/>
      <c r="X726" s="18"/>
      <c r="Y726" s="18" t="str">
        <f aca="false">IF(ISNUMBER(X726),X726-S726,"")</f>
        <v/>
      </c>
      <c r="Z726" s="18" t="n">
        <f aca="false">IF(ISNUMBER(X726),X726-S726,-S726)</f>
        <v>-332.2</v>
      </c>
      <c r="AA726" s="13" t="str">
        <f aca="false">IF(NOT(ISNUMBER(X726)),"NO AUGUST POSTING IN EXPORT",IF(ABS(Y726)&gt;=0.005,"POSTED CHARGE MISMATCH",IF(P726&gt;0,"MATCH - COVERED ELIGIBILITY EXCEPTION","MATCH")))</f>
        <v>NO AUGUST POSTING IN EXPORT</v>
      </c>
      <c r="AB726" s="13" t="s">
        <v>5795</v>
      </c>
    </row>
    <row r="727" customFormat="false" ht="15" hidden="false" customHeight="false" outlineLevel="0" collapsed="false">
      <c r="A727" s="9" t="s">
        <v>5796</v>
      </c>
      <c r="B727" s="9" t="s">
        <v>204</v>
      </c>
      <c r="C727" s="9" t="s">
        <v>146</v>
      </c>
      <c r="D727" s="9" t="s">
        <v>2002</v>
      </c>
      <c r="E727" s="9" t="s">
        <v>2347</v>
      </c>
      <c r="F727" s="9" t="s">
        <v>5797</v>
      </c>
      <c r="G727" s="9" t="s">
        <v>5798</v>
      </c>
      <c r="H727" s="9" t="s">
        <v>2082</v>
      </c>
      <c r="I727" s="11" t="n">
        <v>50</v>
      </c>
      <c r="J727" s="11" t="n">
        <v>37.7</v>
      </c>
      <c r="K727" s="11"/>
      <c r="L727" s="11"/>
      <c r="M727" s="11" t="n">
        <f aca="false">IF(ISNUMBER(L727),L727,J727)</f>
        <v>37.7</v>
      </c>
      <c r="N727" s="11" t="n">
        <f aca="false">ROUNDUP(M727,0)</f>
        <v>38</v>
      </c>
      <c r="O727" s="11" t="n">
        <f aca="false">MAX(I727,N727)</f>
        <v>50</v>
      </c>
      <c r="P727" s="11" t="n">
        <f aca="false">IF(C727="COVERED",MAX(0,O727-40),0)</f>
        <v>0</v>
      </c>
      <c r="Q727" s="11" t="n">
        <f aca="false">O727</f>
        <v>50</v>
      </c>
      <c r="R727" s="17" t="n">
        <f aca="false">IF(C727="COVERED",10.4,7.55)</f>
        <v>7.55</v>
      </c>
      <c r="S727" s="17" t="n">
        <f aca="false">Q727*R727</f>
        <v>377.5</v>
      </c>
      <c r="T727" s="9"/>
      <c r="U727" s="10"/>
      <c r="V727" s="9"/>
      <c r="W727" s="17"/>
      <c r="X727" s="17"/>
      <c r="Y727" s="17" t="str">
        <f aca="false">IF(ISNUMBER(X727),X727-S727,"")</f>
        <v/>
      </c>
      <c r="Z727" s="17" t="n">
        <f aca="false">IF(ISNUMBER(X727),X727-S727,-S727)</f>
        <v>-377.5</v>
      </c>
      <c r="AA727" s="9" t="str">
        <f aca="false">IF(NOT(ISNUMBER(X727)),"NO AUGUST POSTING IN EXPORT",IF(ABS(Y727)&gt;=0.005,"POSTED CHARGE MISMATCH",IF(P727&gt;0,"MATCH - COVERED ELIGIBILITY EXCEPTION","MATCH")))</f>
        <v>NO AUGUST POSTING IN EXPORT</v>
      </c>
      <c r="AB727" s="9" t="s">
        <v>5799</v>
      </c>
    </row>
    <row r="728" customFormat="false" ht="15" hidden="false" customHeight="false" outlineLevel="0" collapsed="false">
      <c r="A728" s="13" t="s">
        <v>1013</v>
      </c>
      <c r="B728" s="13" t="s">
        <v>204</v>
      </c>
      <c r="C728" s="13" t="s">
        <v>146</v>
      </c>
      <c r="D728" s="13" t="s">
        <v>2002</v>
      </c>
      <c r="E728" s="13" t="s">
        <v>2354</v>
      </c>
      <c r="F728" s="13" t="s">
        <v>5800</v>
      </c>
      <c r="G728" s="13" t="s">
        <v>5801</v>
      </c>
      <c r="H728" s="13" t="s">
        <v>5493</v>
      </c>
      <c r="I728" s="15" t="n">
        <v>24</v>
      </c>
      <c r="J728" s="15" t="n">
        <v>52.1</v>
      </c>
      <c r="K728" s="15"/>
      <c r="L728" s="15"/>
      <c r="M728" s="15" t="n">
        <f aca="false">IF(ISNUMBER(L728),L728,J728)</f>
        <v>52.1</v>
      </c>
      <c r="N728" s="15" t="n">
        <f aca="false">ROUNDUP(M728,0)</f>
        <v>53</v>
      </c>
      <c r="O728" s="15" t="n">
        <f aca="false">MAX(I728,N728)</f>
        <v>53</v>
      </c>
      <c r="P728" s="15" t="n">
        <f aca="false">IF(C728="COVERED",MAX(0,O728-40),0)</f>
        <v>0</v>
      </c>
      <c r="Q728" s="15" t="n">
        <f aca="false">O728</f>
        <v>53</v>
      </c>
      <c r="R728" s="18" t="n">
        <f aca="false">IF(C728="COVERED",10.4,7.55)</f>
        <v>7.55</v>
      </c>
      <c r="S728" s="18" t="n">
        <f aca="false">Q728*R728</f>
        <v>400.15</v>
      </c>
      <c r="T728" s="13"/>
      <c r="U728" s="14"/>
      <c r="V728" s="13"/>
      <c r="W728" s="18"/>
      <c r="X728" s="18"/>
      <c r="Y728" s="18" t="str">
        <f aca="false">IF(ISNUMBER(X728),X728-S728,"")</f>
        <v/>
      </c>
      <c r="Z728" s="18" t="n">
        <f aca="false">IF(ISNUMBER(X728),X728-S728,-S728)</f>
        <v>-400.15</v>
      </c>
      <c r="AA728" s="13" t="str">
        <f aca="false">IF(NOT(ISNUMBER(X728)),"NO AUGUST POSTING IN EXPORT",IF(ABS(Y728)&gt;=0.005,"POSTED CHARGE MISMATCH",IF(P728&gt;0,"MATCH - COVERED ELIGIBILITY EXCEPTION","MATCH")))</f>
        <v>NO AUGUST POSTING IN EXPORT</v>
      </c>
      <c r="AB728" s="13" t="s">
        <v>5802</v>
      </c>
    </row>
    <row r="729" customFormat="false" ht="15" hidden="false" customHeight="false" outlineLevel="0" collapsed="false">
      <c r="A729" s="9" t="s">
        <v>453</v>
      </c>
      <c r="B729" s="9" t="s">
        <v>204</v>
      </c>
      <c r="C729" s="9" t="s">
        <v>146</v>
      </c>
      <c r="D729" s="9" t="s">
        <v>2002</v>
      </c>
      <c r="E729" s="9" t="s">
        <v>2361</v>
      </c>
      <c r="F729" s="9" t="s">
        <v>5803</v>
      </c>
      <c r="G729" s="9" t="s">
        <v>5804</v>
      </c>
      <c r="H729" s="9" t="s">
        <v>2196</v>
      </c>
      <c r="I729" s="11" t="n">
        <v>70</v>
      </c>
      <c r="J729" s="11" t="n">
        <v>59.9</v>
      </c>
      <c r="K729" s="11"/>
      <c r="L729" s="11"/>
      <c r="M729" s="11" t="n">
        <f aca="false">IF(ISNUMBER(L729),L729,J729)</f>
        <v>59.9</v>
      </c>
      <c r="N729" s="11" t="n">
        <f aca="false">ROUNDUP(M729,0)</f>
        <v>60</v>
      </c>
      <c r="O729" s="11" t="n">
        <f aca="false">MAX(I729,N729)</f>
        <v>70</v>
      </c>
      <c r="P729" s="11" t="n">
        <f aca="false">IF(C729="COVERED",MAX(0,O729-40),0)</f>
        <v>0</v>
      </c>
      <c r="Q729" s="11" t="n">
        <f aca="false">O729</f>
        <v>70</v>
      </c>
      <c r="R729" s="17" t="n">
        <f aca="false">IF(C729="COVERED",10.4,7.55)</f>
        <v>7.55</v>
      </c>
      <c r="S729" s="17" t="n">
        <f aca="false">Q729*R729</f>
        <v>528.5</v>
      </c>
      <c r="T729" s="9"/>
      <c r="U729" s="10"/>
      <c r="V729" s="9"/>
      <c r="W729" s="17"/>
      <c r="X729" s="17"/>
      <c r="Y729" s="17" t="str">
        <f aca="false">IF(ISNUMBER(X729),X729-S729,"")</f>
        <v/>
      </c>
      <c r="Z729" s="17" t="n">
        <f aca="false">IF(ISNUMBER(X729),X729-S729,-S729)</f>
        <v>-528.5</v>
      </c>
      <c r="AA729" s="9" t="str">
        <f aca="false">IF(NOT(ISNUMBER(X729)),"NO AUGUST POSTING IN EXPORT",IF(ABS(Y729)&gt;=0.005,"POSTED CHARGE MISMATCH",IF(P729&gt;0,"MATCH - COVERED ELIGIBILITY EXCEPTION","MATCH")))</f>
        <v>NO AUGUST POSTING IN EXPORT</v>
      </c>
      <c r="AB729" s="9" t="s">
        <v>5805</v>
      </c>
    </row>
    <row r="730" customFormat="false" ht="15" hidden="false" customHeight="false" outlineLevel="0" collapsed="false">
      <c r="A730" s="13" t="s">
        <v>5806</v>
      </c>
      <c r="B730" s="13" t="s">
        <v>204</v>
      </c>
      <c r="C730" s="13" t="s">
        <v>146</v>
      </c>
      <c r="D730" s="13" t="s">
        <v>2002</v>
      </c>
      <c r="E730" s="13" t="s">
        <v>2368</v>
      </c>
      <c r="F730" s="13" t="s">
        <v>5807</v>
      </c>
      <c r="G730" s="13" t="s">
        <v>5808</v>
      </c>
      <c r="H730" s="13" t="s">
        <v>3243</v>
      </c>
      <c r="I730" s="15" t="n">
        <v>24</v>
      </c>
      <c r="J730" s="15" t="n">
        <v>55.5</v>
      </c>
      <c r="K730" s="15"/>
      <c r="L730" s="15"/>
      <c r="M730" s="15" t="n">
        <f aca="false">IF(ISNUMBER(L730),L730,J730)</f>
        <v>55.5</v>
      </c>
      <c r="N730" s="15" t="n">
        <f aca="false">ROUNDUP(M730,0)</f>
        <v>56</v>
      </c>
      <c r="O730" s="15" t="n">
        <f aca="false">MAX(I730,N730)</f>
        <v>56</v>
      </c>
      <c r="P730" s="15" t="n">
        <f aca="false">IF(C730="COVERED",MAX(0,O730-40),0)</f>
        <v>0</v>
      </c>
      <c r="Q730" s="15" t="n">
        <f aca="false">O730</f>
        <v>56</v>
      </c>
      <c r="R730" s="18" t="n">
        <f aca="false">IF(C730="COVERED",10.4,7.55)</f>
        <v>7.55</v>
      </c>
      <c r="S730" s="18" t="n">
        <f aca="false">Q730*R730</f>
        <v>422.8</v>
      </c>
      <c r="T730" s="13"/>
      <c r="U730" s="14"/>
      <c r="V730" s="13"/>
      <c r="W730" s="18"/>
      <c r="X730" s="18"/>
      <c r="Y730" s="18" t="str">
        <f aca="false">IF(ISNUMBER(X730),X730-S730,"")</f>
        <v/>
      </c>
      <c r="Z730" s="18" t="n">
        <f aca="false">IF(ISNUMBER(X730),X730-S730,-S730)</f>
        <v>-422.8</v>
      </c>
      <c r="AA730" s="13" t="str">
        <f aca="false">IF(NOT(ISNUMBER(X730)),"NO AUGUST POSTING IN EXPORT",IF(ABS(Y730)&gt;=0.005,"POSTED CHARGE MISMATCH",IF(P730&gt;0,"MATCH - COVERED ELIGIBILITY EXCEPTION","MATCH")))</f>
        <v>NO AUGUST POSTING IN EXPORT</v>
      </c>
      <c r="AB730" s="13" t="s">
        <v>5809</v>
      </c>
    </row>
    <row r="731" customFormat="false" ht="15" hidden="false" customHeight="false" outlineLevel="0" collapsed="false">
      <c r="A731" s="9" t="s">
        <v>5810</v>
      </c>
      <c r="B731" s="9" t="s">
        <v>204</v>
      </c>
      <c r="C731" s="9" t="s">
        <v>146</v>
      </c>
      <c r="D731" s="9" t="s">
        <v>2002</v>
      </c>
      <c r="E731" s="9" t="s">
        <v>2375</v>
      </c>
      <c r="F731" s="9" t="s">
        <v>5811</v>
      </c>
      <c r="G731" s="9" t="s">
        <v>5812</v>
      </c>
      <c r="H731" s="9" t="s">
        <v>5813</v>
      </c>
      <c r="I731" s="11" t="n">
        <v>24</v>
      </c>
      <c r="J731" s="11" t="n">
        <v>32.9</v>
      </c>
      <c r="K731" s="11"/>
      <c r="L731" s="11"/>
      <c r="M731" s="11" t="n">
        <f aca="false">IF(ISNUMBER(L731),L731,J731)</f>
        <v>32.9</v>
      </c>
      <c r="N731" s="11" t="n">
        <f aca="false">ROUNDUP(M731,0)</f>
        <v>33</v>
      </c>
      <c r="O731" s="11" t="n">
        <f aca="false">MAX(I731,N731)</f>
        <v>33</v>
      </c>
      <c r="P731" s="11" t="n">
        <f aca="false">IF(C731="COVERED",MAX(0,O731-40),0)</f>
        <v>0</v>
      </c>
      <c r="Q731" s="11" t="n">
        <f aca="false">O731</f>
        <v>33</v>
      </c>
      <c r="R731" s="17" t="n">
        <f aca="false">IF(C731="COVERED",10.4,7.55)</f>
        <v>7.55</v>
      </c>
      <c r="S731" s="17" t="n">
        <f aca="false">Q731*R731</f>
        <v>249.15</v>
      </c>
      <c r="T731" s="9"/>
      <c r="U731" s="10"/>
      <c r="V731" s="9"/>
      <c r="W731" s="17"/>
      <c r="X731" s="17"/>
      <c r="Y731" s="17" t="str">
        <f aca="false">IF(ISNUMBER(X731),X731-S731,"")</f>
        <v/>
      </c>
      <c r="Z731" s="17" t="n">
        <f aca="false">IF(ISNUMBER(X731),X731-S731,-S731)</f>
        <v>-249.15</v>
      </c>
      <c r="AA731" s="9" t="str">
        <f aca="false">IF(NOT(ISNUMBER(X731)),"NO AUGUST POSTING IN EXPORT",IF(ABS(Y731)&gt;=0.005,"POSTED CHARGE MISMATCH",IF(P731&gt;0,"MATCH - COVERED ELIGIBILITY EXCEPTION","MATCH")))</f>
        <v>NO AUGUST POSTING IN EXPORT</v>
      </c>
      <c r="AB731" s="9" t="s">
        <v>5814</v>
      </c>
    </row>
    <row r="732" customFormat="false" ht="15" hidden="false" customHeight="false" outlineLevel="0" collapsed="false">
      <c r="A732" s="13" t="s">
        <v>5815</v>
      </c>
      <c r="B732" s="13" t="s">
        <v>204</v>
      </c>
      <c r="C732" s="13" t="s">
        <v>146</v>
      </c>
      <c r="D732" s="13" t="s">
        <v>2002</v>
      </c>
      <c r="E732" s="13" t="s">
        <v>2382</v>
      </c>
      <c r="F732" s="13" t="s">
        <v>5816</v>
      </c>
      <c r="G732" s="13" t="s">
        <v>5817</v>
      </c>
      <c r="H732" s="13" t="s">
        <v>3073</v>
      </c>
      <c r="I732" s="15" t="n">
        <v>28</v>
      </c>
      <c r="J732" s="15" t="n">
        <v>45.8</v>
      </c>
      <c r="K732" s="15"/>
      <c r="L732" s="15"/>
      <c r="M732" s="15" t="n">
        <f aca="false">IF(ISNUMBER(L732),L732,J732)</f>
        <v>45.8</v>
      </c>
      <c r="N732" s="15" t="n">
        <f aca="false">ROUNDUP(M732,0)</f>
        <v>46</v>
      </c>
      <c r="O732" s="15" t="n">
        <f aca="false">MAX(I732,N732)</f>
        <v>46</v>
      </c>
      <c r="P732" s="15" t="n">
        <f aca="false">IF(C732="COVERED",MAX(0,O732-40),0)</f>
        <v>0</v>
      </c>
      <c r="Q732" s="15" t="n">
        <f aca="false">O732</f>
        <v>46</v>
      </c>
      <c r="R732" s="18" t="n">
        <f aca="false">IF(C732="COVERED",10.4,7.55)</f>
        <v>7.55</v>
      </c>
      <c r="S732" s="18" t="n">
        <f aca="false">Q732*R732</f>
        <v>347.3</v>
      </c>
      <c r="T732" s="13"/>
      <c r="U732" s="14"/>
      <c r="V732" s="13"/>
      <c r="W732" s="18"/>
      <c r="X732" s="18"/>
      <c r="Y732" s="18" t="str">
        <f aca="false">IF(ISNUMBER(X732),X732-S732,"")</f>
        <v/>
      </c>
      <c r="Z732" s="18" t="n">
        <f aca="false">IF(ISNUMBER(X732),X732-S732,-S732)</f>
        <v>-347.3</v>
      </c>
      <c r="AA732" s="13" t="str">
        <f aca="false">IF(NOT(ISNUMBER(X732)),"NO AUGUST POSTING IN EXPORT",IF(ABS(Y732)&gt;=0.005,"POSTED CHARGE MISMATCH",IF(P732&gt;0,"MATCH - COVERED ELIGIBILITY EXCEPTION","MATCH")))</f>
        <v>NO AUGUST POSTING IN EXPORT</v>
      </c>
      <c r="AB732" s="13" t="s">
        <v>5818</v>
      </c>
    </row>
    <row r="733" customFormat="false" ht="15" hidden="false" customHeight="false" outlineLevel="0" collapsed="false">
      <c r="A733" s="9" t="s">
        <v>5819</v>
      </c>
      <c r="B733" s="9" t="s">
        <v>204</v>
      </c>
      <c r="C733" s="9" t="s">
        <v>146</v>
      </c>
      <c r="D733" s="9" t="s">
        <v>2002</v>
      </c>
      <c r="E733" s="9" t="s">
        <v>2389</v>
      </c>
      <c r="F733" s="9" t="s">
        <v>5820</v>
      </c>
      <c r="G733" s="9" t="s">
        <v>5821</v>
      </c>
      <c r="H733" s="9" t="s">
        <v>2027</v>
      </c>
      <c r="I733" s="11" t="n">
        <v>28</v>
      </c>
      <c r="J733" s="11" t="n">
        <v>27.1</v>
      </c>
      <c r="K733" s="11"/>
      <c r="L733" s="11"/>
      <c r="M733" s="11" t="n">
        <f aca="false">IF(ISNUMBER(L733),L733,J733)</f>
        <v>27.1</v>
      </c>
      <c r="N733" s="11" t="n">
        <f aca="false">ROUNDUP(M733,0)</f>
        <v>28</v>
      </c>
      <c r="O733" s="11" t="n">
        <f aca="false">MAX(I733,N733)</f>
        <v>28</v>
      </c>
      <c r="P733" s="11" t="n">
        <f aca="false">IF(C733="COVERED",MAX(0,O733-40),0)</f>
        <v>0</v>
      </c>
      <c r="Q733" s="11" t="n">
        <f aca="false">O733</f>
        <v>28</v>
      </c>
      <c r="R733" s="17" t="n">
        <f aca="false">IF(C733="COVERED",10.4,7.55)</f>
        <v>7.55</v>
      </c>
      <c r="S733" s="17" t="n">
        <f aca="false">Q733*R733</f>
        <v>211.4</v>
      </c>
      <c r="T733" s="9"/>
      <c r="U733" s="10"/>
      <c r="V733" s="9"/>
      <c r="W733" s="17"/>
      <c r="X733" s="17"/>
      <c r="Y733" s="17" t="str">
        <f aca="false">IF(ISNUMBER(X733),X733-S733,"")</f>
        <v/>
      </c>
      <c r="Z733" s="17" t="n">
        <f aca="false">IF(ISNUMBER(X733),X733-S733,-S733)</f>
        <v>-211.4</v>
      </c>
      <c r="AA733" s="9" t="str">
        <f aca="false">IF(NOT(ISNUMBER(X733)),"NO AUGUST POSTING IN EXPORT",IF(ABS(Y733)&gt;=0.005,"POSTED CHARGE MISMATCH",IF(P733&gt;0,"MATCH - COVERED ELIGIBILITY EXCEPTION","MATCH")))</f>
        <v>NO AUGUST POSTING IN EXPORT</v>
      </c>
      <c r="AB733" s="9" t="s">
        <v>5822</v>
      </c>
    </row>
    <row r="734" customFormat="false" ht="15" hidden="false" customHeight="false" outlineLevel="0" collapsed="false">
      <c r="A734" s="13" t="s">
        <v>959</v>
      </c>
      <c r="B734" s="13" t="s">
        <v>204</v>
      </c>
      <c r="C734" s="13" t="s">
        <v>146</v>
      </c>
      <c r="D734" s="13" t="s">
        <v>2002</v>
      </c>
      <c r="E734" s="13" t="s">
        <v>2394</v>
      </c>
      <c r="F734" s="13" t="s">
        <v>5823</v>
      </c>
      <c r="G734" s="13" t="s">
        <v>5824</v>
      </c>
      <c r="H734" s="13" t="s">
        <v>5380</v>
      </c>
      <c r="I734" s="15" t="n">
        <v>32</v>
      </c>
      <c r="J734" s="15" t="n">
        <v>53.4</v>
      </c>
      <c r="K734" s="15"/>
      <c r="L734" s="15"/>
      <c r="M734" s="15" t="n">
        <f aca="false">IF(ISNUMBER(L734),L734,J734)</f>
        <v>53.4</v>
      </c>
      <c r="N734" s="15" t="n">
        <f aca="false">ROUNDUP(M734,0)</f>
        <v>54</v>
      </c>
      <c r="O734" s="15" t="n">
        <f aca="false">MAX(I734,N734)</f>
        <v>54</v>
      </c>
      <c r="P734" s="15" t="n">
        <f aca="false">IF(C734="COVERED",MAX(0,O734-40),0)</f>
        <v>0</v>
      </c>
      <c r="Q734" s="15" t="n">
        <f aca="false">O734</f>
        <v>54</v>
      </c>
      <c r="R734" s="18" t="n">
        <f aca="false">IF(C734="COVERED",10.4,7.55)</f>
        <v>7.55</v>
      </c>
      <c r="S734" s="18" t="n">
        <f aca="false">Q734*R734</f>
        <v>407.7</v>
      </c>
      <c r="T734" s="13"/>
      <c r="U734" s="14"/>
      <c r="V734" s="13"/>
      <c r="W734" s="18"/>
      <c r="X734" s="18"/>
      <c r="Y734" s="18" t="str">
        <f aca="false">IF(ISNUMBER(X734),X734-S734,"")</f>
        <v/>
      </c>
      <c r="Z734" s="18" t="n">
        <f aca="false">IF(ISNUMBER(X734),X734-S734,-S734)</f>
        <v>-407.7</v>
      </c>
      <c r="AA734" s="13" t="str">
        <f aca="false">IF(NOT(ISNUMBER(X734)),"NO AUGUST POSTING IN EXPORT",IF(ABS(Y734)&gt;=0.005,"POSTED CHARGE MISMATCH",IF(P734&gt;0,"MATCH - COVERED ELIGIBILITY EXCEPTION","MATCH")))</f>
        <v>NO AUGUST POSTING IN EXPORT</v>
      </c>
      <c r="AB734" s="13" t="s">
        <v>5825</v>
      </c>
    </row>
    <row r="735" customFormat="false" ht="15" hidden="false" customHeight="false" outlineLevel="0" collapsed="false">
      <c r="A735" s="9" t="s">
        <v>5826</v>
      </c>
      <c r="B735" s="9" t="s">
        <v>204</v>
      </c>
      <c r="C735" s="9" t="s">
        <v>146</v>
      </c>
      <c r="D735" s="9" t="s">
        <v>2002</v>
      </c>
      <c r="E735" s="9" t="s">
        <v>3690</v>
      </c>
      <c r="F735" s="9" t="s">
        <v>5827</v>
      </c>
      <c r="G735" s="9" t="s">
        <v>5828</v>
      </c>
      <c r="H735" s="9" t="s">
        <v>3932</v>
      </c>
      <c r="I735" s="11" t="n">
        <v>36</v>
      </c>
      <c r="J735" s="11" t="n">
        <v>28.9</v>
      </c>
      <c r="K735" s="11"/>
      <c r="L735" s="11"/>
      <c r="M735" s="11" t="n">
        <f aca="false">IF(ISNUMBER(L735),L735,J735)</f>
        <v>28.9</v>
      </c>
      <c r="N735" s="11" t="n">
        <f aca="false">ROUNDUP(M735,0)</f>
        <v>29</v>
      </c>
      <c r="O735" s="11" t="n">
        <f aca="false">MAX(I735,N735)</f>
        <v>36</v>
      </c>
      <c r="P735" s="11" t="n">
        <f aca="false">IF(C735="COVERED",MAX(0,O735-40),0)</f>
        <v>0</v>
      </c>
      <c r="Q735" s="11" t="n">
        <f aca="false">O735</f>
        <v>36</v>
      </c>
      <c r="R735" s="17" t="n">
        <f aca="false">IF(C735="COVERED",10.4,7.55)</f>
        <v>7.55</v>
      </c>
      <c r="S735" s="17" t="n">
        <f aca="false">Q735*R735</f>
        <v>271.8</v>
      </c>
      <c r="T735" s="9"/>
      <c r="U735" s="10"/>
      <c r="V735" s="9"/>
      <c r="W735" s="17"/>
      <c r="X735" s="17"/>
      <c r="Y735" s="17" t="str">
        <f aca="false">IF(ISNUMBER(X735),X735-S735,"")</f>
        <v/>
      </c>
      <c r="Z735" s="17" t="n">
        <f aca="false">IF(ISNUMBER(X735),X735-S735,-S735)</f>
        <v>-271.8</v>
      </c>
      <c r="AA735" s="9" t="str">
        <f aca="false">IF(NOT(ISNUMBER(X735)),"NO AUGUST POSTING IN EXPORT",IF(ABS(Y735)&gt;=0.005,"POSTED CHARGE MISMATCH",IF(P735&gt;0,"MATCH - COVERED ELIGIBILITY EXCEPTION","MATCH")))</f>
        <v>NO AUGUST POSTING IN EXPORT</v>
      </c>
      <c r="AB735" s="9" t="s">
        <v>5829</v>
      </c>
    </row>
    <row r="736" customFormat="false" ht="15" hidden="false" customHeight="false" outlineLevel="0" collapsed="false">
      <c r="A736" s="13" t="s">
        <v>5830</v>
      </c>
      <c r="B736" s="13" t="s">
        <v>204</v>
      </c>
      <c r="C736" s="13" t="s">
        <v>146</v>
      </c>
      <c r="D736" s="13" t="s">
        <v>2002</v>
      </c>
      <c r="E736" s="13" t="s">
        <v>2401</v>
      </c>
      <c r="F736" s="13" t="s">
        <v>5831</v>
      </c>
      <c r="G736" s="13" t="s">
        <v>5832</v>
      </c>
      <c r="H736" s="13" t="s">
        <v>5040</v>
      </c>
      <c r="I736" s="15" t="n">
        <v>45</v>
      </c>
      <c r="J736" s="15" t="n">
        <v>24</v>
      </c>
      <c r="K736" s="15"/>
      <c r="L736" s="15"/>
      <c r="M736" s="15" t="n">
        <f aca="false">IF(ISNUMBER(L736),L736,J736)</f>
        <v>24</v>
      </c>
      <c r="N736" s="15" t="n">
        <f aca="false">ROUNDUP(M736,0)</f>
        <v>24</v>
      </c>
      <c r="O736" s="15" t="n">
        <f aca="false">MAX(I736,N736)</f>
        <v>45</v>
      </c>
      <c r="P736" s="15" t="n">
        <f aca="false">IF(C736="COVERED",MAX(0,O736-40),0)</f>
        <v>0</v>
      </c>
      <c r="Q736" s="15" t="n">
        <f aca="false">O736</f>
        <v>45</v>
      </c>
      <c r="R736" s="18" t="n">
        <f aca="false">IF(C736="COVERED",10.4,7.55)</f>
        <v>7.55</v>
      </c>
      <c r="S736" s="18" t="n">
        <f aca="false">Q736*R736</f>
        <v>339.75</v>
      </c>
      <c r="T736" s="13"/>
      <c r="U736" s="14"/>
      <c r="V736" s="13"/>
      <c r="W736" s="18"/>
      <c r="X736" s="18"/>
      <c r="Y736" s="18" t="str">
        <f aca="false">IF(ISNUMBER(X736),X736-S736,"")</f>
        <v/>
      </c>
      <c r="Z736" s="18" t="n">
        <f aca="false">IF(ISNUMBER(X736),X736-S736,-S736)</f>
        <v>-339.75</v>
      </c>
      <c r="AA736" s="13" t="str">
        <f aca="false">IF(NOT(ISNUMBER(X736)),"NO AUGUST POSTING IN EXPORT",IF(ABS(Y736)&gt;=0.005,"POSTED CHARGE MISMATCH",IF(P736&gt;0,"MATCH - COVERED ELIGIBILITY EXCEPTION","MATCH")))</f>
        <v>NO AUGUST POSTING IN EXPORT</v>
      </c>
      <c r="AB736" s="13" t="s">
        <v>5833</v>
      </c>
    </row>
    <row r="737" customFormat="false" ht="15" hidden="false" customHeight="false" outlineLevel="0" collapsed="false">
      <c r="A737" s="9" t="s">
        <v>5834</v>
      </c>
      <c r="B737" s="9" t="s">
        <v>204</v>
      </c>
      <c r="C737" s="9" t="s">
        <v>146</v>
      </c>
      <c r="D737" s="9" t="s">
        <v>2002</v>
      </c>
      <c r="E737" s="9" t="s">
        <v>2408</v>
      </c>
      <c r="F737" s="9" t="s">
        <v>5835</v>
      </c>
      <c r="G737" s="9" t="s">
        <v>5836</v>
      </c>
      <c r="H737" s="9" t="s">
        <v>3500</v>
      </c>
      <c r="I737" s="11" t="n">
        <v>24</v>
      </c>
      <c r="J737" s="11" t="n">
        <v>35.5</v>
      </c>
      <c r="K737" s="11"/>
      <c r="L737" s="11"/>
      <c r="M737" s="11" t="n">
        <f aca="false">IF(ISNUMBER(L737),L737,J737)</f>
        <v>35.5</v>
      </c>
      <c r="N737" s="11" t="n">
        <f aca="false">ROUNDUP(M737,0)</f>
        <v>36</v>
      </c>
      <c r="O737" s="11" t="n">
        <f aca="false">MAX(I737,N737)</f>
        <v>36</v>
      </c>
      <c r="P737" s="11" t="n">
        <f aca="false">IF(C737="COVERED",MAX(0,O737-40),0)</f>
        <v>0</v>
      </c>
      <c r="Q737" s="11" t="n">
        <f aca="false">O737</f>
        <v>36</v>
      </c>
      <c r="R737" s="17" t="n">
        <f aca="false">IF(C737="COVERED",10.4,7.55)</f>
        <v>7.55</v>
      </c>
      <c r="S737" s="17" t="n">
        <f aca="false">Q737*R737</f>
        <v>271.8</v>
      </c>
      <c r="T737" s="9"/>
      <c r="U737" s="10"/>
      <c r="V737" s="9"/>
      <c r="W737" s="17"/>
      <c r="X737" s="17"/>
      <c r="Y737" s="17" t="str">
        <f aca="false">IF(ISNUMBER(X737),X737-S737,"")</f>
        <v/>
      </c>
      <c r="Z737" s="17" t="n">
        <f aca="false">IF(ISNUMBER(X737),X737-S737,-S737)</f>
        <v>-271.8</v>
      </c>
      <c r="AA737" s="9" t="str">
        <f aca="false">IF(NOT(ISNUMBER(X737)),"NO AUGUST POSTING IN EXPORT",IF(ABS(Y737)&gt;=0.005,"POSTED CHARGE MISMATCH",IF(P737&gt;0,"MATCH - COVERED ELIGIBILITY EXCEPTION","MATCH")))</f>
        <v>NO AUGUST POSTING IN EXPORT</v>
      </c>
      <c r="AB737" s="9" t="s">
        <v>5837</v>
      </c>
    </row>
    <row r="738" customFormat="false" ht="15" hidden="false" customHeight="false" outlineLevel="0" collapsed="false">
      <c r="A738" s="13" t="s">
        <v>5838</v>
      </c>
      <c r="B738" s="13" t="s">
        <v>204</v>
      </c>
      <c r="C738" s="13" t="s">
        <v>146</v>
      </c>
      <c r="D738" s="13" t="s">
        <v>2002</v>
      </c>
      <c r="E738" s="13" t="s">
        <v>2415</v>
      </c>
      <c r="F738" s="13" t="s">
        <v>5839</v>
      </c>
      <c r="G738" s="13" t="s">
        <v>5840</v>
      </c>
      <c r="H738" s="13" t="s">
        <v>4489</v>
      </c>
      <c r="I738" s="15" t="n">
        <v>70</v>
      </c>
      <c r="J738" s="15" t="n">
        <v>47.1</v>
      </c>
      <c r="K738" s="15"/>
      <c r="L738" s="15"/>
      <c r="M738" s="15" t="n">
        <f aca="false">IF(ISNUMBER(L738),L738,J738)</f>
        <v>47.1</v>
      </c>
      <c r="N738" s="15" t="n">
        <f aca="false">ROUNDUP(M738,0)</f>
        <v>48</v>
      </c>
      <c r="O738" s="15" t="n">
        <f aca="false">MAX(I738,N738)</f>
        <v>70</v>
      </c>
      <c r="P738" s="15" t="n">
        <f aca="false">IF(C738="COVERED",MAX(0,O738-40),0)</f>
        <v>0</v>
      </c>
      <c r="Q738" s="15" t="n">
        <f aca="false">O738</f>
        <v>70</v>
      </c>
      <c r="R738" s="18" t="n">
        <f aca="false">IF(C738="COVERED",10.4,7.55)</f>
        <v>7.55</v>
      </c>
      <c r="S738" s="18" t="n">
        <f aca="false">Q738*R738</f>
        <v>528.5</v>
      </c>
      <c r="T738" s="13"/>
      <c r="U738" s="14"/>
      <c r="V738" s="13"/>
      <c r="W738" s="18"/>
      <c r="X738" s="18"/>
      <c r="Y738" s="18" t="str">
        <f aca="false">IF(ISNUMBER(X738),X738-S738,"")</f>
        <v/>
      </c>
      <c r="Z738" s="18" t="n">
        <f aca="false">IF(ISNUMBER(X738),X738-S738,-S738)</f>
        <v>-528.5</v>
      </c>
      <c r="AA738" s="13" t="str">
        <f aca="false">IF(NOT(ISNUMBER(X738)),"NO AUGUST POSTING IN EXPORT",IF(ABS(Y738)&gt;=0.005,"POSTED CHARGE MISMATCH",IF(P738&gt;0,"MATCH - COVERED ELIGIBILITY EXCEPTION","MATCH")))</f>
        <v>NO AUGUST POSTING IN EXPORT</v>
      </c>
      <c r="AB738" s="13" t="s">
        <v>5841</v>
      </c>
    </row>
    <row r="739" customFormat="false" ht="15" hidden="false" customHeight="false" outlineLevel="0" collapsed="false">
      <c r="A739" s="9" t="s">
        <v>5842</v>
      </c>
      <c r="B739" s="9" t="s">
        <v>204</v>
      </c>
      <c r="C739" s="9" t="s">
        <v>146</v>
      </c>
      <c r="D739" s="9" t="s">
        <v>2002</v>
      </c>
      <c r="E739" s="9" t="s">
        <v>2419</v>
      </c>
      <c r="F739" s="9" t="s">
        <v>5843</v>
      </c>
      <c r="G739" s="9" t="s">
        <v>5844</v>
      </c>
      <c r="H739" s="9" t="s">
        <v>2946</v>
      </c>
      <c r="I739" s="11" t="n">
        <v>32</v>
      </c>
      <c r="J739" s="11" t="n">
        <v>48.1</v>
      </c>
      <c r="K739" s="11"/>
      <c r="L739" s="11"/>
      <c r="M739" s="11" t="n">
        <f aca="false">IF(ISNUMBER(L739),L739,J739)</f>
        <v>48.1</v>
      </c>
      <c r="N739" s="11" t="n">
        <f aca="false">ROUNDUP(M739,0)</f>
        <v>49</v>
      </c>
      <c r="O739" s="11" t="n">
        <f aca="false">MAX(I739,N739)</f>
        <v>49</v>
      </c>
      <c r="P739" s="11" t="n">
        <f aca="false">IF(C739="COVERED",MAX(0,O739-40),0)</f>
        <v>0</v>
      </c>
      <c r="Q739" s="11" t="n">
        <f aca="false">O739</f>
        <v>49</v>
      </c>
      <c r="R739" s="17" t="n">
        <f aca="false">IF(C739="COVERED",10.4,7.55)</f>
        <v>7.55</v>
      </c>
      <c r="S739" s="17" t="n">
        <f aca="false">Q739*R739</f>
        <v>369.95</v>
      </c>
      <c r="T739" s="9"/>
      <c r="U739" s="10"/>
      <c r="V739" s="9"/>
      <c r="W739" s="17"/>
      <c r="X739" s="17"/>
      <c r="Y739" s="17" t="str">
        <f aca="false">IF(ISNUMBER(X739),X739-S739,"")</f>
        <v/>
      </c>
      <c r="Z739" s="17" t="n">
        <f aca="false">IF(ISNUMBER(X739),X739-S739,-S739)</f>
        <v>-369.95</v>
      </c>
      <c r="AA739" s="9" t="str">
        <f aca="false">IF(NOT(ISNUMBER(X739)),"NO AUGUST POSTING IN EXPORT",IF(ABS(Y739)&gt;=0.005,"POSTED CHARGE MISMATCH",IF(P739&gt;0,"MATCH - COVERED ELIGIBILITY EXCEPTION","MATCH")))</f>
        <v>NO AUGUST POSTING IN EXPORT</v>
      </c>
      <c r="AB739" s="9" t="s">
        <v>5845</v>
      </c>
    </row>
    <row r="740" customFormat="false" ht="15" hidden="false" customHeight="false" outlineLevel="0" collapsed="false">
      <c r="A740" s="13" t="s">
        <v>647</v>
      </c>
      <c r="B740" s="13" t="s">
        <v>204</v>
      </c>
      <c r="C740" s="13" t="s">
        <v>146</v>
      </c>
      <c r="D740" s="13" t="s">
        <v>2002</v>
      </c>
      <c r="E740" s="13" t="s">
        <v>2426</v>
      </c>
      <c r="F740" s="13" t="s">
        <v>5846</v>
      </c>
      <c r="G740" s="13" t="s">
        <v>5847</v>
      </c>
      <c r="H740" s="13" t="s">
        <v>5107</v>
      </c>
      <c r="I740" s="15" t="n">
        <v>60</v>
      </c>
      <c r="J740" s="15" t="n">
        <v>23.8</v>
      </c>
      <c r="K740" s="15"/>
      <c r="L740" s="15"/>
      <c r="M740" s="15" t="n">
        <f aca="false">IF(ISNUMBER(L740),L740,J740)</f>
        <v>23.8</v>
      </c>
      <c r="N740" s="15" t="n">
        <f aca="false">ROUNDUP(M740,0)</f>
        <v>24</v>
      </c>
      <c r="O740" s="15" t="n">
        <f aca="false">MAX(I740,N740)</f>
        <v>60</v>
      </c>
      <c r="P740" s="15" t="n">
        <f aca="false">IF(C740="COVERED",MAX(0,O740-40),0)</f>
        <v>0</v>
      </c>
      <c r="Q740" s="15" t="n">
        <f aca="false">O740</f>
        <v>60</v>
      </c>
      <c r="R740" s="18" t="n">
        <f aca="false">IF(C740="COVERED",10.4,7.55)</f>
        <v>7.55</v>
      </c>
      <c r="S740" s="18" t="n">
        <f aca="false">Q740*R740</f>
        <v>453</v>
      </c>
      <c r="T740" s="13"/>
      <c r="U740" s="14"/>
      <c r="V740" s="13"/>
      <c r="W740" s="18"/>
      <c r="X740" s="18"/>
      <c r="Y740" s="18" t="str">
        <f aca="false">IF(ISNUMBER(X740),X740-S740,"")</f>
        <v/>
      </c>
      <c r="Z740" s="18" t="n">
        <f aca="false">IF(ISNUMBER(X740),X740-S740,-S740)</f>
        <v>-453</v>
      </c>
      <c r="AA740" s="13" t="str">
        <f aca="false">IF(NOT(ISNUMBER(X740)),"NO AUGUST POSTING IN EXPORT",IF(ABS(Y740)&gt;=0.005,"POSTED CHARGE MISMATCH",IF(P740&gt;0,"MATCH - COVERED ELIGIBILITY EXCEPTION","MATCH")))</f>
        <v>NO AUGUST POSTING IN EXPORT</v>
      </c>
      <c r="AB740" s="13" t="s">
        <v>5848</v>
      </c>
    </row>
    <row r="741" customFormat="false" ht="15" hidden="false" customHeight="false" outlineLevel="0" collapsed="false">
      <c r="A741" s="9" t="s">
        <v>1548</v>
      </c>
      <c r="B741" s="9" t="s">
        <v>204</v>
      </c>
      <c r="C741" s="9" t="s">
        <v>146</v>
      </c>
      <c r="D741" s="9" t="s">
        <v>2002</v>
      </c>
      <c r="E741" s="9" t="s">
        <v>2433</v>
      </c>
      <c r="F741" s="9" t="s">
        <v>5849</v>
      </c>
      <c r="G741" s="9" t="s">
        <v>5850</v>
      </c>
      <c r="H741" s="9" t="s">
        <v>5851</v>
      </c>
      <c r="I741" s="11" t="n">
        <v>32</v>
      </c>
      <c r="J741" s="11" t="n">
        <v>53.9</v>
      </c>
      <c r="K741" s="11"/>
      <c r="L741" s="11"/>
      <c r="M741" s="11" t="n">
        <f aca="false">IF(ISNUMBER(L741),L741,J741)</f>
        <v>53.9</v>
      </c>
      <c r="N741" s="11" t="n">
        <f aca="false">ROUNDUP(M741,0)</f>
        <v>54</v>
      </c>
      <c r="O741" s="11" t="n">
        <f aca="false">MAX(I741,N741)</f>
        <v>54</v>
      </c>
      <c r="P741" s="11" t="n">
        <f aca="false">IF(C741="COVERED",MAX(0,O741-40),0)</f>
        <v>0</v>
      </c>
      <c r="Q741" s="11" t="n">
        <f aca="false">O741</f>
        <v>54</v>
      </c>
      <c r="R741" s="17" t="n">
        <f aca="false">IF(C741="COVERED",10.4,7.55)</f>
        <v>7.55</v>
      </c>
      <c r="S741" s="17" t="n">
        <f aca="false">Q741*R741</f>
        <v>407.7</v>
      </c>
      <c r="T741" s="9"/>
      <c r="U741" s="10"/>
      <c r="V741" s="9"/>
      <c r="W741" s="17"/>
      <c r="X741" s="17"/>
      <c r="Y741" s="17" t="str">
        <f aca="false">IF(ISNUMBER(X741),X741-S741,"")</f>
        <v/>
      </c>
      <c r="Z741" s="17" t="n">
        <f aca="false">IF(ISNUMBER(X741),X741-S741,-S741)</f>
        <v>-407.7</v>
      </c>
      <c r="AA741" s="9" t="str">
        <f aca="false">IF(NOT(ISNUMBER(X741)),"NO AUGUST POSTING IN EXPORT",IF(ABS(Y741)&gt;=0.005,"POSTED CHARGE MISMATCH",IF(P741&gt;0,"MATCH - COVERED ELIGIBILITY EXCEPTION","MATCH")))</f>
        <v>NO AUGUST POSTING IN EXPORT</v>
      </c>
      <c r="AB741" s="9" t="s">
        <v>5852</v>
      </c>
    </row>
    <row r="742" customFormat="false" ht="15" hidden="false" customHeight="false" outlineLevel="0" collapsed="false">
      <c r="A742" s="13" t="s">
        <v>766</v>
      </c>
      <c r="B742" s="13" t="s">
        <v>204</v>
      </c>
      <c r="C742" s="13" t="s">
        <v>146</v>
      </c>
      <c r="D742" s="13" t="s">
        <v>2002</v>
      </c>
      <c r="E742" s="13" t="s">
        <v>2440</v>
      </c>
      <c r="F742" s="13" t="s">
        <v>5853</v>
      </c>
      <c r="G742" s="13" t="s">
        <v>5854</v>
      </c>
      <c r="H742" s="13" t="s">
        <v>5855</v>
      </c>
      <c r="I742" s="15" t="n">
        <v>24</v>
      </c>
      <c r="J742" s="15" t="n">
        <v>47.7</v>
      </c>
      <c r="K742" s="15"/>
      <c r="L742" s="15"/>
      <c r="M742" s="15" t="n">
        <f aca="false">IF(ISNUMBER(L742),L742,J742)</f>
        <v>47.7</v>
      </c>
      <c r="N742" s="15" t="n">
        <f aca="false">ROUNDUP(M742,0)</f>
        <v>48</v>
      </c>
      <c r="O742" s="15" t="n">
        <f aca="false">MAX(I742,N742)</f>
        <v>48</v>
      </c>
      <c r="P742" s="15" t="n">
        <f aca="false">IF(C742="COVERED",MAX(0,O742-40),0)</f>
        <v>0</v>
      </c>
      <c r="Q742" s="15" t="n">
        <f aca="false">O742</f>
        <v>48</v>
      </c>
      <c r="R742" s="18" t="n">
        <f aca="false">IF(C742="COVERED",10.4,7.55)</f>
        <v>7.55</v>
      </c>
      <c r="S742" s="18" t="n">
        <f aca="false">Q742*R742</f>
        <v>362.4</v>
      </c>
      <c r="T742" s="13"/>
      <c r="U742" s="14"/>
      <c r="V742" s="13"/>
      <c r="W742" s="18"/>
      <c r="X742" s="18"/>
      <c r="Y742" s="18" t="str">
        <f aca="false">IF(ISNUMBER(X742),X742-S742,"")</f>
        <v/>
      </c>
      <c r="Z742" s="18" t="n">
        <f aca="false">IF(ISNUMBER(X742),X742-S742,-S742)</f>
        <v>-362.4</v>
      </c>
      <c r="AA742" s="13" t="str">
        <f aca="false">IF(NOT(ISNUMBER(X742)),"NO AUGUST POSTING IN EXPORT",IF(ABS(Y742)&gt;=0.005,"POSTED CHARGE MISMATCH",IF(P742&gt;0,"MATCH - COVERED ELIGIBILITY EXCEPTION","MATCH")))</f>
        <v>NO AUGUST POSTING IN EXPORT</v>
      </c>
      <c r="AB742" s="13" t="s">
        <v>5856</v>
      </c>
    </row>
    <row r="743" customFormat="false" ht="15" hidden="false" customHeight="false" outlineLevel="0" collapsed="false">
      <c r="A743" s="9" t="s">
        <v>5857</v>
      </c>
      <c r="B743" s="9" t="s">
        <v>204</v>
      </c>
      <c r="C743" s="9" t="s">
        <v>146</v>
      </c>
      <c r="D743" s="9" t="s">
        <v>2002</v>
      </c>
      <c r="E743" s="9" t="s">
        <v>2447</v>
      </c>
      <c r="F743" s="9" t="s">
        <v>444</v>
      </c>
      <c r="G743" s="9" t="s">
        <v>445</v>
      </c>
      <c r="H743" s="9" t="s">
        <v>2563</v>
      </c>
      <c r="I743" s="11" t="n">
        <v>40</v>
      </c>
      <c r="J743" s="11" t="n">
        <v>54.9</v>
      </c>
      <c r="K743" s="11"/>
      <c r="L743" s="11"/>
      <c r="M743" s="11" t="n">
        <f aca="false">IF(ISNUMBER(L743),L743,J743)</f>
        <v>54.9</v>
      </c>
      <c r="N743" s="11" t="n">
        <f aca="false">ROUNDUP(M743,0)</f>
        <v>55</v>
      </c>
      <c r="O743" s="11" t="n">
        <f aca="false">MAX(I743,N743)</f>
        <v>55</v>
      </c>
      <c r="P743" s="11" t="n">
        <f aca="false">IF(C743="COVERED",MAX(0,O743-40),0)</f>
        <v>0</v>
      </c>
      <c r="Q743" s="11" t="n">
        <f aca="false">O743</f>
        <v>55</v>
      </c>
      <c r="R743" s="17" t="n">
        <f aca="false">IF(C743="COVERED",10.4,7.55)</f>
        <v>7.55</v>
      </c>
      <c r="S743" s="17" t="n">
        <f aca="false">Q743*R743</f>
        <v>415.25</v>
      </c>
      <c r="T743" s="9"/>
      <c r="U743" s="10"/>
      <c r="V743" s="9"/>
      <c r="W743" s="17"/>
      <c r="X743" s="17"/>
      <c r="Y743" s="17" t="str">
        <f aca="false">IF(ISNUMBER(X743),X743-S743,"")</f>
        <v/>
      </c>
      <c r="Z743" s="17" t="n">
        <f aca="false">IF(ISNUMBER(X743),X743-S743,-S743)</f>
        <v>-415.25</v>
      </c>
      <c r="AA743" s="9" t="str">
        <f aca="false">IF(NOT(ISNUMBER(X743)),"NO AUGUST POSTING IN EXPORT",IF(ABS(Y743)&gt;=0.005,"POSTED CHARGE MISMATCH",IF(P743&gt;0,"MATCH - COVERED ELIGIBILITY EXCEPTION","MATCH")))</f>
        <v>NO AUGUST POSTING IN EXPORT</v>
      </c>
      <c r="AB743" s="9" t="s">
        <v>5858</v>
      </c>
    </row>
    <row r="744" customFormat="false" ht="15" hidden="false" customHeight="false" outlineLevel="0" collapsed="false">
      <c r="A744" s="13" t="s">
        <v>351</v>
      </c>
      <c r="B744" s="13" t="s">
        <v>204</v>
      </c>
      <c r="C744" s="13" t="s">
        <v>146</v>
      </c>
      <c r="D744" s="13" t="s">
        <v>2002</v>
      </c>
      <c r="E744" s="13" t="s">
        <v>2454</v>
      </c>
      <c r="F744" s="13" t="s">
        <v>5859</v>
      </c>
      <c r="G744" s="13" t="s">
        <v>5860</v>
      </c>
      <c r="H744" s="13" t="s">
        <v>5861</v>
      </c>
      <c r="I744" s="15" t="n">
        <v>45</v>
      </c>
      <c r="J744" s="15" t="n">
        <v>57.3</v>
      </c>
      <c r="K744" s="15"/>
      <c r="L744" s="15"/>
      <c r="M744" s="15" t="n">
        <f aca="false">IF(ISNUMBER(L744),L744,J744)</f>
        <v>57.3</v>
      </c>
      <c r="N744" s="15" t="n">
        <f aca="false">ROUNDUP(M744,0)</f>
        <v>58</v>
      </c>
      <c r="O744" s="15" t="n">
        <f aca="false">MAX(I744,N744)</f>
        <v>58</v>
      </c>
      <c r="P744" s="15" t="n">
        <f aca="false">IF(C744="COVERED",MAX(0,O744-40),0)</f>
        <v>0</v>
      </c>
      <c r="Q744" s="15" t="n">
        <f aca="false">O744</f>
        <v>58</v>
      </c>
      <c r="R744" s="18" t="n">
        <f aca="false">IF(C744="COVERED",10.4,7.55)</f>
        <v>7.55</v>
      </c>
      <c r="S744" s="18" t="n">
        <f aca="false">Q744*R744</f>
        <v>437.9</v>
      </c>
      <c r="T744" s="13"/>
      <c r="U744" s="14"/>
      <c r="V744" s="13"/>
      <c r="W744" s="18"/>
      <c r="X744" s="18"/>
      <c r="Y744" s="18" t="str">
        <f aca="false">IF(ISNUMBER(X744),X744-S744,"")</f>
        <v/>
      </c>
      <c r="Z744" s="18" t="n">
        <f aca="false">IF(ISNUMBER(X744),X744-S744,-S744)</f>
        <v>-437.9</v>
      </c>
      <c r="AA744" s="13" t="str">
        <f aca="false">IF(NOT(ISNUMBER(X744)),"NO AUGUST POSTING IN EXPORT",IF(ABS(Y744)&gt;=0.005,"POSTED CHARGE MISMATCH",IF(P744&gt;0,"MATCH - COVERED ELIGIBILITY EXCEPTION","MATCH")))</f>
        <v>NO AUGUST POSTING IN EXPORT</v>
      </c>
      <c r="AB744" s="13" t="s">
        <v>5862</v>
      </c>
    </row>
    <row r="745" customFormat="false" ht="15" hidden="false" customHeight="false" outlineLevel="0" collapsed="false">
      <c r="A745" s="9" t="s">
        <v>665</v>
      </c>
      <c r="B745" s="9" t="s">
        <v>204</v>
      </c>
      <c r="C745" s="9" t="s">
        <v>146</v>
      </c>
      <c r="D745" s="9" t="s">
        <v>2002</v>
      </c>
      <c r="E745" s="9" t="s">
        <v>2461</v>
      </c>
      <c r="F745" s="9" t="s">
        <v>5863</v>
      </c>
      <c r="G745" s="9" t="s">
        <v>5864</v>
      </c>
      <c r="H745" s="9" t="s">
        <v>2322</v>
      </c>
      <c r="I745" s="11" t="n">
        <v>40</v>
      </c>
      <c r="J745" s="11" t="n">
        <v>55.3</v>
      </c>
      <c r="K745" s="11"/>
      <c r="L745" s="11"/>
      <c r="M745" s="11" t="n">
        <f aca="false">IF(ISNUMBER(L745),L745,J745)</f>
        <v>55.3</v>
      </c>
      <c r="N745" s="11" t="n">
        <f aca="false">ROUNDUP(M745,0)</f>
        <v>56</v>
      </c>
      <c r="O745" s="11" t="n">
        <f aca="false">MAX(I745,N745)</f>
        <v>56</v>
      </c>
      <c r="P745" s="11" t="n">
        <f aca="false">IF(C745="COVERED",MAX(0,O745-40),0)</f>
        <v>0</v>
      </c>
      <c r="Q745" s="11" t="n">
        <f aca="false">O745</f>
        <v>56</v>
      </c>
      <c r="R745" s="17" t="n">
        <f aca="false">IF(C745="COVERED",10.4,7.55)</f>
        <v>7.55</v>
      </c>
      <c r="S745" s="17" t="n">
        <f aca="false">Q745*R745</f>
        <v>422.8</v>
      </c>
      <c r="T745" s="9"/>
      <c r="U745" s="10"/>
      <c r="V745" s="9"/>
      <c r="W745" s="17"/>
      <c r="X745" s="17"/>
      <c r="Y745" s="17" t="str">
        <f aca="false">IF(ISNUMBER(X745),X745-S745,"")</f>
        <v/>
      </c>
      <c r="Z745" s="17" t="n">
        <f aca="false">IF(ISNUMBER(X745),X745-S745,-S745)</f>
        <v>-422.8</v>
      </c>
      <c r="AA745" s="9" t="str">
        <f aca="false">IF(NOT(ISNUMBER(X745)),"NO AUGUST POSTING IN EXPORT",IF(ABS(Y745)&gt;=0.005,"POSTED CHARGE MISMATCH",IF(P745&gt;0,"MATCH - COVERED ELIGIBILITY EXCEPTION","MATCH")))</f>
        <v>NO AUGUST POSTING IN EXPORT</v>
      </c>
      <c r="AB745" s="9" t="s">
        <v>5865</v>
      </c>
    </row>
    <row r="746" customFormat="false" ht="15" hidden="false" customHeight="false" outlineLevel="0" collapsed="false">
      <c r="A746" s="13" t="s">
        <v>1088</v>
      </c>
      <c r="B746" s="13" t="s">
        <v>204</v>
      </c>
      <c r="C746" s="13" t="s">
        <v>146</v>
      </c>
      <c r="D746" s="13" t="s">
        <v>2002</v>
      </c>
      <c r="E746" s="13" t="s">
        <v>2468</v>
      </c>
      <c r="F746" s="13" t="s">
        <v>5866</v>
      </c>
      <c r="G746" s="13" t="s">
        <v>5867</v>
      </c>
      <c r="H746" s="13" t="s">
        <v>5868</v>
      </c>
      <c r="I746" s="15" t="n">
        <v>24</v>
      </c>
      <c r="J746" s="15" t="n">
        <v>32.7</v>
      </c>
      <c r="K746" s="15"/>
      <c r="L746" s="15"/>
      <c r="M746" s="15" t="n">
        <f aca="false">IF(ISNUMBER(L746),L746,J746)</f>
        <v>32.7</v>
      </c>
      <c r="N746" s="15" t="n">
        <f aca="false">ROUNDUP(M746,0)</f>
        <v>33</v>
      </c>
      <c r="O746" s="15" t="n">
        <f aca="false">MAX(I746,N746)</f>
        <v>33</v>
      </c>
      <c r="P746" s="15" t="n">
        <f aca="false">IF(C746="COVERED",MAX(0,O746-40),0)</f>
        <v>0</v>
      </c>
      <c r="Q746" s="15" t="n">
        <f aca="false">O746</f>
        <v>33</v>
      </c>
      <c r="R746" s="18" t="n">
        <f aca="false">IF(C746="COVERED",10.4,7.55)</f>
        <v>7.55</v>
      </c>
      <c r="S746" s="18" t="n">
        <f aca="false">Q746*R746</f>
        <v>249.15</v>
      </c>
      <c r="T746" s="13"/>
      <c r="U746" s="14"/>
      <c r="V746" s="13"/>
      <c r="W746" s="18"/>
      <c r="X746" s="18"/>
      <c r="Y746" s="18" t="str">
        <f aca="false">IF(ISNUMBER(X746),X746-S746,"")</f>
        <v/>
      </c>
      <c r="Z746" s="18" t="n">
        <f aca="false">IF(ISNUMBER(X746),X746-S746,-S746)</f>
        <v>-249.15</v>
      </c>
      <c r="AA746" s="13" t="str">
        <f aca="false">IF(NOT(ISNUMBER(X746)),"NO AUGUST POSTING IN EXPORT",IF(ABS(Y746)&gt;=0.005,"POSTED CHARGE MISMATCH",IF(P746&gt;0,"MATCH - COVERED ELIGIBILITY EXCEPTION","MATCH")))</f>
        <v>NO AUGUST POSTING IN EXPORT</v>
      </c>
      <c r="AB746" s="13" t="s">
        <v>5869</v>
      </c>
    </row>
    <row r="747" customFormat="false" ht="15" hidden="false" customHeight="false" outlineLevel="0" collapsed="false">
      <c r="A747" s="9" t="s">
        <v>1616</v>
      </c>
      <c r="B747" s="9" t="s">
        <v>204</v>
      </c>
      <c r="C747" s="9" t="s">
        <v>146</v>
      </c>
      <c r="D747" s="9" t="s">
        <v>2002</v>
      </c>
      <c r="E747" s="9" t="s">
        <v>2473</v>
      </c>
      <c r="F747" s="9" t="s">
        <v>5870</v>
      </c>
      <c r="G747" s="9" t="s">
        <v>5871</v>
      </c>
      <c r="H747" s="9" t="s">
        <v>4895</v>
      </c>
      <c r="I747" s="11" t="n">
        <v>28</v>
      </c>
      <c r="J747" s="11" t="n">
        <v>50.7</v>
      </c>
      <c r="K747" s="11"/>
      <c r="L747" s="11"/>
      <c r="M747" s="11" t="n">
        <f aca="false">IF(ISNUMBER(L747),L747,J747)</f>
        <v>50.7</v>
      </c>
      <c r="N747" s="11" t="n">
        <f aca="false">ROUNDUP(M747,0)</f>
        <v>51</v>
      </c>
      <c r="O747" s="11" t="n">
        <f aca="false">MAX(I747,N747)</f>
        <v>51</v>
      </c>
      <c r="P747" s="11" t="n">
        <f aca="false">IF(C747="COVERED",MAX(0,O747-40),0)</f>
        <v>0</v>
      </c>
      <c r="Q747" s="11" t="n">
        <f aca="false">O747</f>
        <v>51</v>
      </c>
      <c r="R747" s="17" t="n">
        <f aca="false">IF(C747="COVERED",10.4,7.55)</f>
        <v>7.55</v>
      </c>
      <c r="S747" s="17" t="n">
        <f aca="false">Q747*R747</f>
        <v>385.05</v>
      </c>
      <c r="T747" s="9"/>
      <c r="U747" s="10"/>
      <c r="V747" s="9"/>
      <c r="W747" s="17"/>
      <c r="X747" s="17"/>
      <c r="Y747" s="17" t="str">
        <f aca="false">IF(ISNUMBER(X747),X747-S747,"")</f>
        <v/>
      </c>
      <c r="Z747" s="17" t="n">
        <f aca="false">IF(ISNUMBER(X747),X747-S747,-S747)</f>
        <v>-385.05</v>
      </c>
      <c r="AA747" s="9" t="str">
        <f aca="false">IF(NOT(ISNUMBER(X747)),"NO AUGUST POSTING IN EXPORT",IF(ABS(Y747)&gt;=0.005,"POSTED CHARGE MISMATCH",IF(P747&gt;0,"MATCH - COVERED ELIGIBILITY EXCEPTION","MATCH")))</f>
        <v>NO AUGUST POSTING IN EXPORT</v>
      </c>
      <c r="AB747" s="9" t="s">
        <v>5872</v>
      </c>
    </row>
    <row r="748" customFormat="false" ht="15" hidden="false" customHeight="false" outlineLevel="0" collapsed="false">
      <c r="A748" s="13" t="s">
        <v>5873</v>
      </c>
      <c r="B748" s="13" t="s">
        <v>204</v>
      </c>
      <c r="C748" s="13" t="s">
        <v>146</v>
      </c>
      <c r="D748" s="13" t="s">
        <v>2002</v>
      </c>
      <c r="E748" s="13" t="s">
        <v>2480</v>
      </c>
      <c r="F748" s="13" t="s">
        <v>5874</v>
      </c>
      <c r="G748" s="13" t="s">
        <v>5875</v>
      </c>
      <c r="H748" s="13" t="s">
        <v>5468</v>
      </c>
      <c r="I748" s="15" t="n">
        <v>40</v>
      </c>
      <c r="J748" s="15" t="n">
        <v>28.6</v>
      </c>
      <c r="K748" s="15"/>
      <c r="L748" s="15"/>
      <c r="M748" s="15" t="n">
        <f aca="false">IF(ISNUMBER(L748),L748,J748)</f>
        <v>28.6</v>
      </c>
      <c r="N748" s="15" t="n">
        <f aca="false">ROUNDUP(M748,0)</f>
        <v>29</v>
      </c>
      <c r="O748" s="15" t="n">
        <f aca="false">MAX(I748,N748)</f>
        <v>40</v>
      </c>
      <c r="P748" s="15" t="n">
        <f aca="false">IF(C748="COVERED",MAX(0,O748-40),0)</f>
        <v>0</v>
      </c>
      <c r="Q748" s="15" t="n">
        <f aca="false">O748</f>
        <v>40</v>
      </c>
      <c r="R748" s="18" t="n">
        <f aca="false">IF(C748="COVERED",10.4,7.55)</f>
        <v>7.55</v>
      </c>
      <c r="S748" s="18" t="n">
        <f aca="false">Q748*R748</f>
        <v>302</v>
      </c>
      <c r="T748" s="13"/>
      <c r="U748" s="14"/>
      <c r="V748" s="13"/>
      <c r="W748" s="18"/>
      <c r="X748" s="18"/>
      <c r="Y748" s="18" t="str">
        <f aca="false">IF(ISNUMBER(X748),X748-S748,"")</f>
        <v/>
      </c>
      <c r="Z748" s="18" t="n">
        <f aca="false">IF(ISNUMBER(X748),X748-S748,-S748)</f>
        <v>-302</v>
      </c>
      <c r="AA748" s="13" t="str">
        <f aca="false">IF(NOT(ISNUMBER(X748)),"NO AUGUST POSTING IN EXPORT",IF(ABS(Y748)&gt;=0.005,"POSTED CHARGE MISMATCH",IF(P748&gt;0,"MATCH - COVERED ELIGIBILITY EXCEPTION","MATCH")))</f>
        <v>NO AUGUST POSTING IN EXPORT</v>
      </c>
      <c r="AB748" s="13" t="s">
        <v>5876</v>
      </c>
    </row>
    <row r="749" customFormat="false" ht="15" hidden="false" customHeight="false" outlineLevel="0" collapsed="false">
      <c r="A749" s="9" t="s">
        <v>1238</v>
      </c>
      <c r="B749" s="9" t="s">
        <v>204</v>
      </c>
      <c r="C749" s="9" t="s">
        <v>146</v>
      </c>
      <c r="D749" s="9" t="s">
        <v>2002</v>
      </c>
      <c r="E749" s="9" t="s">
        <v>2485</v>
      </c>
      <c r="F749" s="9" t="s">
        <v>5877</v>
      </c>
      <c r="G749" s="9" t="s">
        <v>5878</v>
      </c>
      <c r="H749" s="9" t="s">
        <v>2457</v>
      </c>
      <c r="I749" s="11" t="n">
        <v>24</v>
      </c>
      <c r="J749" s="11" t="n">
        <v>31.4</v>
      </c>
      <c r="K749" s="11"/>
      <c r="L749" s="11"/>
      <c r="M749" s="11" t="n">
        <f aca="false">IF(ISNUMBER(L749),L749,J749)</f>
        <v>31.4</v>
      </c>
      <c r="N749" s="11" t="n">
        <f aca="false">ROUNDUP(M749,0)</f>
        <v>32</v>
      </c>
      <c r="O749" s="11" t="n">
        <f aca="false">MAX(I749,N749)</f>
        <v>32</v>
      </c>
      <c r="P749" s="11" t="n">
        <f aca="false">IF(C749="COVERED",MAX(0,O749-40),0)</f>
        <v>0</v>
      </c>
      <c r="Q749" s="11" t="n">
        <f aca="false">O749</f>
        <v>32</v>
      </c>
      <c r="R749" s="17" t="n">
        <f aca="false">IF(C749="COVERED",10.4,7.55)</f>
        <v>7.55</v>
      </c>
      <c r="S749" s="17" t="n">
        <f aca="false">Q749*R749</f>
        <v>241.6</v>
      </c>
      <c r="T749" s="9"/>
      <c r="U749" s="10"/>
      <c r="V749" s="9"/>
      <c r="W749" s="17"/>
      <c r="X749" s="17"/>
      <c r="Y749" s="17" t="str">
        <f aca="false">IF(ISNUMBER(X749),X749-S749,"")</f>
        <v/>
      </c>
      <c r="Z749" s="17" t="n">
        <f aca="false">IF(ISNUMBER(X749),X749-S749,-S749)</f>
        <v>-241.6</v>
      </c>
      <c r="AA749" s="9" t="str">
        <f aca="false">IF(NOT(ISNUMBER(X749)),"NO AUGUST POSTING IN EXPORT",IF(ABS(Y749)&gt;=0.005,"POSTED CHARGE MISMATCH",IF(P749&gt;0,"MATCH - COVERED ELIGIBILITY EXCEPTION","MATCH")))</f>
        <v>NO AUGUST POSTING IN EXPORT</v>
      </c>
      <c r="AB749" s="9" t="s">
        <v>5879</v>
      </c>
    </row>
    <row r="750" customFormat="false" ht="15" hidden="false" customHeight="false" outlineLevel="0" collapsed="false">
      <c r="A750" s="13" t="s">
        <v>1301</v>
      </c>
      <c r="B750" s="13" t="s">
        <v>204</v>
      </c>
      <c r="C750" s="13" t="s">
        <v>146</v>
      </c>
      <c r="D750" s="13" t="s">
        <v>2002</v>
      </c>
      <c r="E750" s="13" t="s">
        <v>2491</v>
      </c>
      <c r="F750" s="13" t="s">
        <v>5880</v>
      </c>
      <c r="G750" s="13" t="s">
        <v>5881</v>
      </c>
      <c r="H750" s="13" t="s">
        <v>2105</v>
      </c>
      <c r="I750" s="15" t="n">
        <v>24</v>
      </c>
      <c r="J750" s="15" t="n">
        <v>28.3</v>
      </c>
      <c r="K750" s="15"/>
      <c r="L750" s="15"/>
      <c r="M750" s="15" t="n">
        <f aca="false">IF(ISNUMBER(L750),L750,J750)</f>
        <v>28.3</v>
      </c>
      <c r="N750" s="15" t="n">
        <f aca="false">ROUNDUP(M750,0)</f>
        <v>29</v>
      </c>
      <c r="O750" s="15" t="n">
        <f aca="false">MAX(I750,N750)</f>
        <v>29</v>
      </c>
      <c r="P750" s="15" t="n">
        <f aca="false">IF(C750="COVERED",MAX(0,O750-40),0)</f>
        <v>0</v>
      </c>
      <c r="Q750" s="15" t="n">
        <f aca="false">O750</f>
        <v>29</v>
      </c>
      <c r="R750" s="18" t="n">
        <f aca="false">IF(C750="COVERED",10.4,7.55)</f>
        <v>7.55</v>
      </c>
      <c r="S750" s="18" t="n">
        <f aca="false">Q750*R750</f>
        <v>218.95</v>
      </c>
      <c r="T750" s="13"/>
      <c r="U750" s="14"/>
      <c r="V750" s="13"/>
      <c r="W750" s="18"/>
      <c r="X750" s="18"/>
      <c r="Y750" s="18" t="str">
        <f aca="false">IF(ISNUMBER(X750),X750-S750,"")</f>
        <v/>
      </c>
      <c r="Z750" s="18" t="n">
        <f aca="false">IF(ISNUMBER(X750),X750-S750,-S750)</f>
        <v>-218.95</v>
      </c>
      <c r="AA750" s="13" t="str">
        <f aca="false">IF(NOT(ISNUMBER(X750)),"NO AUGUST POSTING IN EXPORT",IF(ABS(Y750)&gt;=0.005,"POSTED CHARGE MISMATCH",IF(P750&gt;0,"MATCH - COVERED ELIGIBILITY EXCEPTION","MATCH")))</f>
        <v>NO AUGUST POSTING IN EXPORT</v>
      </c>
      <c r="AB750" s="13" t="s">
        <v>5882</v>
      </c>
    </row>
    <row r="751" customFormat="false" ht="15" hidden="false" customHeight="false" outlineLevel="0" collapsed="false">
      <c r="A751" s="9" t="s">
        <v>5883</v>
      </c>
      <c r="B751" s="9" t="s">
        <v>204</v>
      </c>
      <c r="C751" s="9" t="s">
        <v>146</v>
      </c>
      <c r="D751" s="9" t="s">
        <v>2002</v>
      </c>
      <c r="E751" s="9" t="s">
        <v>2497</v>
      </c>
      <c r="F751" s="9" t="s">
        <v>5884</v>
      </c>
      <c r="G751" s="9" t="s">
        <v>5885</v>
      </c>
      <c r="H751" s="9" t="s">
        <v>5886</v>
      </c>
      <c r="I751" s="11" t="n">
        <v>70</v>
      </c>
      <c r="J751" s="11" t="n">
        <v>53.3</v>
      </c>
      <c r="K751" s="11"/>
      <c r="L751" s="11"/>
      <c r="M751" s="11" t="n">
        <f aca="false">IF(ISNUMBER(L751),L751,J751)</f>
        <v>53.3</v>
      </c>
      <c r="N751" s="11" t="n">
        <f aca="false">ROUNDUP(M751,0)</f>
        <v>54</v>
      </c>
      <c r="O751" s="11" t="n">
        <f aca="false">MAX(I751,N751)</f>
        <v>70</v>
      </c>
      <c r="P751" s="11" t="n">
        <f aca="false">IF(C751="COVERED",MAX(0,O751-40),0)</f>
        <v>0</v>
      </c>
      <c r="Q751" s="11" t="n">
        <f aca="false">O751</f>
        <v>70</v>
      </c>
      <c r="R751" s="17" t="n">
        <f aca="false">IF(C751="COVERED",10.4,7.55)</f>
        <v>7.55</v>
      </c>
      <c r="S751" s="17" t="n">
        <f aca="false">Q751*R751</f>
        <v>528.5</v>
      </c>
      <c r="T751" s="9"/>
      <c r="U751" s="10"/>
      <c r="V751" s="9"/>
      <c r="W751" s="17"/>
      <c r="X751" s="17"/>
      <c r="Y751" s="17" t="str">
        <f aca="false">IF(ISNUMBER(X751),X751-S751,"")</f>
        <v/>
      </c>
      <c r="Z751" s="17" t="n">
        <f aca="false">IF(ISNUMBER(X751),X751-S751,-S751)</f>
        <v>-528.5</v>
      </c>
      <c r="AA751" s="9" t="str">
        <f aca="false">IF(NOT(ISNUMBER(X751)),"NO AUGUST POSTING IN EXPORT",IF(ABS(Y751)&gt;=0.005,"POSTED CHARGE MISMATCH",IF(P751&gt;0,"MATCH - COVERED ELIGIBILITY EXCEPTION","MATCH")))</f>
        <v>NO AUGUST POSTING IN EXPORT</v>
      </c>
      <c r="AB751" s="9" t="s">
        <v>5887</v>
      </c>
    </row>
    <row r="752" customFormat="false" ht="15" hidden="false" customHeight="false" outlineLevel="0" collapsed="false">
      <c r="A752" s="13" t="s">
        <v>5888</v>
      </c>
      <c r="B752" s="13" t="s">
        <v>204</v>
      </c>
      <c r="C752" s="13" t="s">
        <v>146</v>
      </c>
      <c r="D752" s="13" t="s">
        <v>2002</v>
      </c>
      <c r="E752" s="13" t="s">
        <v>2504</v>
      </c>
      <c r="F752" s="13" t="s">
        <v>5889</v>
      </c>
      <c r="G752" s="13" t="s">
        <v>5890</v>
      </c>
      <c r="H752" s="13" t="s">
        <v>4596</v>
      </c>
      <c r="I752" s="15" t="n">
        <v>45</v>
      </c>
      <c r="J752" s="15" t="n">
        <v>27.8</v>
      </c>
      <c r="K752" s="15"/>
      <c r="L752" s="15"/>
      <c r="M752" s="15" t="n">
        <f aca="false">IF(ISNUMBER(L752),L752,J752)</f>
        <v>27.8</v>
      </c>
      <c r="N752" s="15" t="n">
        <f aca="false">ROUNDUP(M752,0)</f>
        <v>28</v>
      </c>
      <c r="O752" s="15" t="n">
        <f aca="false">MAX(I752,N752)</f>
        <v>45</v>
      </c>
      <c r="P752" s="15" t="n">
        <f aca="false">IF(C752="COVERED",MAX(0,O752-40),0)</f>
        <v>0</v>
      </c>
      <c r="Q752" s="15" t="n">
        <f aca="false">O752</f>
        <v>45</v>
      </c>
      <c r="R752" s="18" t="n">
        <f aca="false">IF(C752="COVERED",10.4,7.55)</f>
        <v>7.55</v>
      </c>
      <c r="S752" s="18" t="n">
        <f aca="false">Q752*R752</f>
        <v>339.75</v>
      </c>
      <c r="T752" s="13"/>
      <c r="U752" s="14"/>
      <c r="V752" s="13"/>
      <c r="W752" s="18"/>
      <c r="X752" s="18"/>
      <c r="Y752" s="18" t="str">
        <f aca="false">IF(ISNUMBER(X752),X752-S752,"")</f>
        <v/>
      </c>
      <c r="Z752" s="18" t="n">
        <f aca="false">IF(ISNUMBER(X752),X752-S752,-S752)</f>
        <v>-339.75</v>
      </c>
      <c r="AA752" s="13" t="str">
        <f aca="false">IF(NOT(ISNUMBER(X752)),"NO AUGUST POSTING IN EXPORT",IF(ABS(Y752)&gt;=0.005,"POSTED CHARGE MISMATCH",IF(P752&gt;0,"MATCH - COVERED ELIGIBILITY EXCEPTION","MATCH")))</f>
        <v>NO AUGUST POSTING IN EXPORT</v>
      </c>
      <c r="AB752" s="13" t="s">
        <v>5891</v>
      </c>
    </row>
    <row r="753" customFormat="false" ht="15" hidden="false" customHeight="false" outlineLevel="0" collapsed="false">
      <c r="A753" s="9" t="s">
        <v>5892</v>
      </c>
      <c r="B753" s="9" t="s">
        <v>204</v>
      </c>
      <c r="C753" s="9" t="s">
        <v>146</v>
      </c>
      <c r="D753" s="9" t="s">
        <v>2002</v>
      </c>
      <c r="E753" s="9" t="s">
        <v>2511</v>
      </c>
      <c r="F753" s="9" t="s">
        <v>5893</v>
      </c>
      <c r="G753" s="9" t="s">
        <v>5894</v>
      </c>
      <c r="H753" s="9" t="s">
        <v>2061</v>
      </c>
      <c r="I753" s="11" t="n">
        <v>32</v>
      </c>
      <c r="J753" s="11" t="n">
        <v>59.1</v>
      </c>
      <c r="K753" s="11"/>
      <c r="L753" s="11"/>
      <c r="M753" s="11" t="n">
        <f aca="false">IF(ISNUMBER(L753),L753,J753)</f>
        <v>59.1</v>
      </c>
      <c r="N753" s="11" t="n">
        <f aca="false">ROUNDUP(M753,0)</f>
        <v>60</v>
      </c>
      <c r="O753" s="11" t="n">
        <f aca="false">MAX(I753,N753)</f>
        <v>60</v>
      </c>
      <c r="P753" s="11" t="n">
        <f aca="false">IF(C753="COVERED",MAX(0,O753-40),0)</f>
        <v>0</v>
      </c>
      <c r="Q753" s="11" t="n">
        <f aca="false">O753</f>
        <v>60</v>
      </c>
      <c r="R753" s="17" t="n">
        <f aca="false">IF(C753="COVERED",10.4,7.55)</f>
        <v>7.55</v>
      </c>
      <c r="S753" s="17" t="n">
        <f aca="false">Q753*R753</f>
        <v>453</v>
      </c>
      <c r="T753" s="9"/>
      <c r="U753" s="10"/>
      <c r="V753" s="9"/>
      <c r="W753" s="17"/>
      <c r="X753" s="17"/>
      <c r="Y753" s="17" t="str">
        <f aca="false">IF(ISNUMBER(X753),X753-S753,"")</f>
        <v/>
      </c>
      <c r="Z753" s="17" t="n">
        <f aca="false">IF(ISNUMBER(X753),X753-S753,-S753)</f>
        <v>-453</v>
      </c>
      <c r="AA753" s="9" t="str">
        <f aca="false">IF(NOT(ISNUMBER(X753)),"NO AUGUST POSTING IN EXPORT",IF(ABS(Y753)&gt;=0.005,"POSTED CHARGE MISMATCH",IF(P753&gt;0,"MATCH - COVERED ELIGIBILITY EXCEPTION","MATCH")))</f>
        <v>NO AUGUST POSTING IN EXPORT</v>
      </c>
      <c r="AB753" s="9" t="s">
        <v>5895</v>
      </c>
    </row>
    <row r="754" customFormat="false" ht="15" hidden="false" customHeight="false" outlineLevel="0" collapsed="false">
      <c r="A754" s="13" t="s">
        <v>5896</v>
      </c>
      <c r="B754" s="13" t="s">
        <v>204</v>
      </c>
      <c r="C754" s="13" t="s">
        <v>146</v>
      </c>
      <c r="D754" s="13" t="s">
        <v>2002</v>
      </c>
      <c r="E754" s="13" t="s">
        <v>2517</v>
      </c>
      <c r="F754" s="13" t="s">
        <v>5897</v>
      </c>
      <c r="G754" s="13" t="s">
        <v>5898</v>
      </c>
      <c r="H754" s="13" t="s">
        <v>2155</v>
      </c>
      <c r="I754" s="15" t="n">
        <v>28</v>
      </c>
      <c r="J754" s="15" t="n">
        <v>41.5</v>
      </c>
      <c r="K754" s="15"/>
      <c r="L754" s="15"/>
      <c r="M754" s="15" t="n">
        <f aca="false">IF(ISNUMBER(L754),L754,J754)</f>
        <v>41.5</v>
      </c>
      <c r="N754" s="15" t="n">
        <f aca="false">ROUNDUP(M754,0)</f>
        <v>42</v>
      </c>
      <c r="O754" s="15" t="n">
        <f aca="false">MAX(I754,N754)</f>
        <v>42</v>
      </c>
      <c r="P754" s="15" t="n">
        <f aca="false">IF(C754="COVERED",MAX(0,O754-40),0)</f>
        <v>0</v>
      </c>
      <c r="Q754" s="15" t="n">
        <f aca="false">O754</f>
        <v>42</v>
      </c>
      <c r="R754" s="18" t="n">
        <f aca="false">IF(C754="COVERED",10.4,7.55)</f>
        <v>7.55</v>
      </c>
      <c r="S754" s="18" t="n">
        <f aca="false">Q754*R754</f>
        <v>317.1</v>
      </c>
      <c r="T754" s="13"/>
      <c r="U754" s="14"/>
      <c r="V754" s="13"/>
      <c r="W754" s="18"/>
      <c r="X754" s="18"/>
      <c r="Y754" s="18" t="str">
        <f aca="false">IF(ISNUMBER(X754),X754-S754,"")</f>
        <v/>
      </c>
      <c r="Z754" s="18" t="n">
        <f aca="false">IF(ISNUMBER(X754),X754-S754,-S754)</f>
        <v>-317.1</v>
      </c>
      <c r="AA754" s="13" t="str">
        <f aca="false">IF(NOT(ISNUMBER(X754)),"NO AUGUST POSTING IN EXPORT",IF(ABS(Y754)&gt;=0.005,"POSTED CHARGE MISMATCH",IF(P754&gt;0,"MATCH - COVERED ELIGIBILITY EXCEPTION","MATCH")))</f>
        <v>NO AUGUST POSTING IN EXPORT</v>
      </c>
      <c r="AB754" s="13" t="s">
        <v>5899</v>
      </c>
    </row>
    <row r="755" customFormat="false" ht="15" hidden="false" customHeight="false" outlineLevel="0" collapsed="false">
      <c r="A755" s="9" t="s">
        <v>1880</v>
      </c>
      <c r="B755" s="9" t="s">
        <v>204</v>
      </c>
      <c r="C755" s="9" t="s">
        <v>146</v>
      </c>
      <c r="D755" s="9" t="s">
        <v>2002</v>
      </c>
      <c r="E755" s="9" t="s">
        <v>2524</v>
      </c>
      <c r="F755" s="9" t="s">
        <v>5900</v>
      </c>
      <c r="G755" s="9" t="s">
        <v>5901</v>
      </c>
      <c r="H755" s="9" t="s">
        <v>3534</v>
      </c>
      <c r="I755" s="11" t="n">
        <v>28</v>
      </c>
      <c r="J755" s="11" t="n">
        <v>41.9</v>
      </c>
      <c r="K755" s="11"/>
      <c r="L755" s="11"/>
      <c r="M755" s="11" t="n">
        <f aca="false">IF(ISNUMBER(L755),L755,J755)</f>
        <v>41.9</v>
      </c>
      <c r="N755" s="11" t="n">
        <f aca="false">ROUNDUP(M755,0)</f>
        <v>42</v>
      </c>
      <c r="O755" s="11" t="n">
        <f aca="false">MAX(I755,N755)</f>
        <v>42</v>
      </c>
      <c r="P755" s="11" t="n">
        <f aca="false">IF(C755="COVERED",MAX(0,O755-40),0)</f>
        <v>0</v>
      </c>
      <c r="Q755" s="11" t="n">
        <f aca="false">O755</f>
        <v>42</v>
      </c>
      <c r="R755" s="17" t="n">
        <f aca="false">IF(C755="COVERED",10.4,7.55)</f>
        <v>7.55</v>
      </c>
      <c r="S755" s="17" t="n">
        <f aca="false">Q755*R755</f>
        <v>317.1</v>
      </c>
      <c r="T755" s="9"/>
      <c r="U755" s="10"/>
      <c r="V755" s="9"/>
      <c r="W755" s="17"/>
      <c r="X755" s="17"/>
      <c r="Y755" s="17" t="str">
        <f aca="false">IF(ISNUMBER(X755),X755-S755,"")</f>
        <v/>
      </c>
      <c r="Z755" s="17" t="n">
        <f aca="false">IF(ISNUMBER(X755),X755-S755,-S755)</f>
        <v>-317.1</v>
      </c>
      <c r="AA755" s="9" t="str">
        <f aca="false">IF(NOT(ISNUMBER(X755)),"NO AUGUST POSTING IN EXPORT",IF(ABS(Y755)&gt;=0.005,"POSTED CHARGE MISMATCH",IF(P755&gt;0,"MATCH - COVERED ELIGIBILITY EXCEPTION","MATCH")))</f>
        <v>NO AUGUST POSTING IN EXPORT</v>
      </c>
      <c r="AB755" s="9" t="s">
        <v>5902</v>
      </c>
    </row>
    <row r="756" customFormat="false" ht="15" hidden="false" customHeight="false" outlineLevel="0" collapsed="false">
      <c r="A756" s="13" t="s">
        <v>5903</v>
      </c>
      <c r="B756" s="13" t="s">
        <v>204</v>
      </c>
      <c r="C756" s="13" t="s">
        <v>146</v>
      </c>
      <c r="D756" s="13" t="s">
        <v>2002</v>
      </c>
      <c r="E756" s="13" t="s">
        <v>2538</v>
      </c>
      <c r="F756" s="13" t="s">
        <v>5904</v>
      </c>
      <c r="G756" s="13" t="s">
        <v>5905</v>
      </c>
      <c r="H756" s="13" t="s">
        <v>3647</v>
      </c>
      <c r="I756" s="15" t="n">
        <v>45</v>
      </c>
      <c r="J756" s="15" t="n">
        <v>38.2</v>
      </c>
      <c r="K756" s="15"/>
      <c r="L756" s="15"/>
      <c r="M756" s="15" t="n">
        <f aca="false">IF(ISNUMBER(L756),L756,J756)</f>
        <v>38.2</v>
      </c>
      <c r="N756" s="15" t="n">
        <f aca="false">ROUNDUP(M756,0)</f>
        <v>39</v>
      </c>
      <c r="O756" s="15" t="n">
        <f aca="false">MAX(I756,N756)</f>
        <v>45</v>
      </c>
      <c r="P756" s="15" t="n">
        <f aca="false">IF(C756="COVERED",MAX(0,O756-40),0)</f>
        <v>0</v>
      </c>
      <c r="Q756" s="15" t="n">
        <f aca="false">O756</f>
        <v>45</v>
      </c>
      <c r="R756" s="18" t="n">
        <f aca="false">IF(C756="COVERED",10.4,7.55)</f>
        <v>7.55</v>
      </c>
      <c r="S756" s="18" t="n">
        <f aca="false">Q756*R756</f>
        <v>339.75</v>
      </c>
      <c r="T756" s="13"/>
      <c r="U756" s="14"/>
      <c r="V756" s="13"/>
      <c r="W756" s="18"/>
      <c r="X756" s="18"/>
      <c r="Y756" s="18" t="str">
        <f aca="false">IF(ISNUMBER(X756),X756-S756,"")</f>
        <v/>
      </c>
      <c r="Z756" s="18" t="n">
        <f aca="false">IF(ISNUMBER(X756),X756-S756,-S756)</f>
        <v>-339.75</v>
      </c>
      <c r="AA756" s="13" t="str">
        <f aca="false">IF(NOT(ISNUMBER(X756)),"NO AUGUST POSTING IN EXPORT",IF(ABS(Y756)&gt;=0.005,"POSTED CHARGE MISMATCH",IF(P756&gt;0,"MATCH - COVERED ELIGIBILITY EXCEPTION","MATCH")))</f>
        <v>NO AUGUST POSTING IN EXPORT</v>
      </c>
      <c r="AB756" s="13" t="s">
        <v>5906</v>
      </c>
    </row>
    <row r="757" customFormat="false" ht="15" hidden="false" customHeight="false" outlineLevel="0" collapsed="false">
      <c r="A757" s="9" t="s">
        <v>1729</v>
      </c>
      <c r="B757" s="9" t="s">
        <v>204</v>
      </c>
      <c r="C757" s="9" t="s">
        <v>146</v>
      </c>
      <c r="D757" s="9" t="s">
        <v>2002</v>
      </c>
      <c r="E757" s="9" t="s">
        <v>2545</v>
      </c>
      <c r="F757" s="9" t="s">
        <v>5907</v>
      </c>
      <c r="G757" s="9" t="s">
        <v>5908</v>
      </c>
      <c r="H757" s="9" t="s">
        <v>5909</v>
      </c>
      <c r="I757" s="11" t="n">
        <v>32</v>
      </c>
      <c r="J757" s="11" t="n">
        <v>48.2</v>
      </c>
      <c r="K757" s="11"/>
      <c r="L757" s="11"/>
      <c r="M757" s="11" t="n">
        <f aca="false">IF(ISNUMBER(L757),L757,J757)</f>
        <v>48.2</v>
      </c>
      <c r="N757" s="11" t="n">
        <f aca="false">ROUNDUP(M757,0)</f>
        <v>49</v>
      </c>
      <c r="O757" s="11" t="n">
        <f aca="false">MAX(I757,N757)</f>
        <v>49</v>
      </c>
      <c r="P757" s="11" t="n">
        <f aca="false">IF(C757="COVERED",MAX(0,O757-40),0)</f>
        <v>0</v>
      </c>
      <c r="Q757" s="11" t="n">
        <f aca="false">O757</f>
        <v>49</v>
      </c>
      <c r="R757" s="17" t="n">
        <f aca="false">IF(C757="COVERED",10.4,7.55)</f>
        <v>7.55</v>
      </c>
      <c r="S757" s="17" t="n">
        <f aca="false">Q757*R757</f>
        <v>369.95</v>
      </c>
      <c r="T757" s="9"/>
      <c r="U757" s="10"/>
      <c r="V757" s="9"/>
      <c r="W757" s="17"/>
      <c r="X757" s="17"/>
      <c r="Y757" s="17" t="str">
        <f aca="false">IF(ISNUMBER(X757),X757-S757,"")</f>
        <v/>
      </c>
      <c r="Z757" s="17" t="n">
        <f aca="false">IF(ISNUMBER(X757),X757-S757,-S757)</f>
        <v>-369.95</v>
      </c>
      <c r="AA757" s="9" t="str">
        <f aca="false">IF(NOT(ISNUMBER(X757)),"NO AUGUST POSTING IN EXPORT",IF(ABS(Y757)&gt;=0.005,"POSTED CHARGE MISMATCH",IF(P757&gt;0,"MATCH - COVERED ELIGIBILITY EXCEPTION","MATCH")))</f>
        <v>NO AUGUST POSTING IN EXPORT</v>
      </c>
      <c r="AB757" s="9" t="s">
        <v>5910</v>
      </c>
    </row>
    <row r="758" customFormat="false" ht="15" hidden="false" customHeight="false" outlineLevel="0" collapsed="false">
      <c r="A758" s="13" t="s">
        <v>1393</v>
      </c>
      <c r="B758" s="13" t="s">
        <v>204</v>
      </c>
      <c r="C758" s="13" t="s">
        <v>146</v>
      </c>
      <c r="D758" s="13" t="s">
        <v>2002</v>
      </c>
      <c r="E758" s="13" t="s">
        <v>2550</v>
      </c>
      <c r="F758" s="13" t="s">
        <v>5911</v>
      </c>
      <c r="G758" s="13" t="s">
        <v>5912</v>
      </c>
      <c r="H758" s="13" t="s">
        <v>5913</v>
      </c>
      <c r="I758" s="15" t="n">
        <v>32</v>
      </c>
      <c r="J758" s="15" t="n">
        <v>61.2</v>
      </c>
      <c r="K758" s="15"/>
      <c r="L758" s="15"/>
      <c r="M758" s="15" t="n">
        <f aca="false">IF(ISNUMBER(L758),L758,J758)</f>
        <v>61.2</v>
      </c>
      <c r="N758" s="15" t="n">
        <f aca="false">ROUNDUP(M758,0)</f>
        <v>62</v>
      </c>
      <c r="O758" s="15" t="n">
        <f aca="false">MAX(I758,N758)</f>
        <v>62</v>
      </c>
      <c r="P758" s="15" t="n">
        <f aca="false">IF(C758="COVERED",MAX(0,O758-40),0)</f>
        <v>0</v>
      </c>
      <c r="Q758" s="15" t="n">
        <f aca="false">O758</f>
        <v>62</v>
      </c>
      <c r="R758" s="18" t="n">
        <f aca="false">IF(C758="COVERED",10.4,7.55)</f>
        <v>7.55</v>
      </c>
      <c r="S758" s="18" t="n">
        <f aca="false">Q758*R758</f>
        <v>468.1</v>
      </c>
      <c r="T758" s="13"/>
      <c r="U758" s="14"/>
      <c r="V758" s="13"/>
      <c r="W758" s="18"/>
      <c r="X758" s="18"/>
      <c r="Y758" s="18" t="str">
        <f aca="false">IF(ISNUMBER(X758),X758-S758,"")</f>
        <v/>
      </c>
      <c r="Z758" s="18" t="n">
        <f aca="false">IF(ISNUMBER(X758),X758-S758,-S758)</f>
        <v>-468.1</v>
      </c>
      <c r="AA758" s="13" t="str">
        <f aca="false">IF(NOT(ISNUMBER(X758)),"NO AUGUST POSTING IN EXPORT",IF(ABS(Y758)&gt;=0.005,"POSTED CHARGE MISMATCH",IF(P758&gt;0,"MATCH - COVERED ELIGIBILITY EXCEPTION","MATCH")))</f>
        <v>NO AUGUST POSTING IN EXPORT</v>
      </c>
      <c r="AB758" s="13" t="s">
        <v>5914</v>
      </c>
    </row>
    <row r="759" customFormat="false" ht="15" hidden="false" customHeight="false" outlineLevel="0" collapsed="false">
      <c r="A759" s="9" t="s">
        <v>5915</v>
      </c>
      <c r="B759" s="9" t="s">
        <v>204</v>
      </c>
      <c r="C759" s="9" t="s">
        <v>146</v>
      </c>
      <c r="D759" s="9" t="s">
        <v>2002</v>
      </c>
      <c r="E759" s="9" t="s">
        <v>2556</v>
      </c>
      <c r="F759" s="9" t="s">
        <v>5916</v>
      </c>
      <c r="G759" s="9" t="s">
        <v>5917</v>
      </c>
      <c r="H759" s="9" t="s">
        <v>5909</v>
      </c>
      <c r="I759" s="11" t="n">
        <v>60</v>
      </c>
      <c r="J759" s="11" t="n">
        <v>48.4</v>
      </c>
      <c r="K759" s="11"/>
      <c r="L759" s="11"/>
      <c r="M759" s="11" t="n">
        <f aca="false">IF(ISNUMBER(L759),L759,J759)</f>
        <v>48.4</v>
      </c>
      <c r="N759" s="11" t="n">
        <f aca="false">ROUNDUP(M759,0)</f>
        <v>49</v>
      </c>
      <c r="O759" s="11" t="n">
        <f aca="false">MAX(I759,N759)</f>
        <v>60</v>
      </c>
      <c r="P759" s="11" t="n">
        <f aca="false">IF(C759="COVERED",MAX(0,O759-40),0)</f>
        <v>0</v>
      </c>
      <c r="Q759" s="11" t="n">
        <f aca="false">O759</f>
        <v>60</v>
      </c>
      <c r="R759" s="17" t="n">
        <f aca="false">IF(C759="COVERED",10.4,7.55)</f>
        <v>7.55</v>
      </c>
      <c r="S759" s="17" t="n">
        <f aca="false">Q759*R759</f>
        <v>453</v>
      </c>
      <c r="T759" s="9"/>
      <c r="U759" s="10"/>
      <c r="V759" s="9"/>
      <c r="W759" s="17"/>
      <c r="X759" s="17"/>
      <c r="Y759" s="17" t="str">
        <f aca="false">IF(ISNUMBER(X759),X759-S759,"")</f>
        <v/>
      </c>
      <c r="Z759" s="17" t="n">
        <f aca="false">IF(ISNUMBER(X759),X759-S759,-S759)</f>
        <v>-453</v>
      </c>
      <c r="AA759" s="9" t="str">
        <f aca="false">IF(NOT(ISNUMBER(X759)),"NO AUGUST POSTING IN EXPORT",IF(ABS(Y759)&gt;=0.005,"POSTED CHARGE MISMATCH",IF(P759&gt;0,"MATCH - COVERED ELIGIBILITY EXCEPTION","MATCH")))</f>
        <v>NO AUGUST POSTING IN EXPORT</v>
      </c>
      <c r="AB759" s="9" t="s">
        <v>5918</v>
      </c>
    </row>
    <row r="760" customFormat="false" ht="15" hidden="false" customHeight="false" outlineLevel="0" collapsed="false">
      <c r="A760" s="13" t="s">
        <v>5919</v>
      </c>
      <c r="B760" s="13" t="s">
        <v>204</v>
      </c>
      <c r="C760" s="13" t="s">
        <v>146</v>
      </c>
      <c r="D760" s="13" t="s">
        <v>2002</v>
      </c>
      <c r="E760" s="13" t="s">
        <v>3828</v>
      </c>
      <c r="F760" s="13" t="s">
        <v>5920</v>
      </c>
      <c r="G760" s="13" t="s">
        <v>5921</v>
      </c>
      <c r="H760" s="13" t="s">
        <v>5592</v>
      </c>
      <c r="I760" s="15" t="n">
        <v>24</v>
      </c>
      <c r="J760" s="15" t="n">
        <v>26.5</v>
      </c>
      <c r="K760" s="15"/>
      <c r="L760" s="15"/>
      <c r="M760" s="15" t="n">
        <f aca="false">IF(ISNUMBER(L760),L760,J760)</f>
        <v>26.5</v>
      </c>
      <c r="N760" s="15" t="n">
        <f aca="false">ROUNDUP(M760,0)</f>
        <v>27</v>
      </c>
      <c r="O760" s="15" t="n">
        <f aca="false">MAX(I760,N760)</f>
        <v>27</v>
      </c>
      <c r="P760" s="15" t="n">
        <f aca="false">IF(C760="COVERED",MAX(0,O760-40),0)</f>
        <v>0</v>
      </c>
      <c r="Q760" s="15" t="n">
        <f aca="false">O760</f>
        <v>27</v>
      </c>
      <c r="R760" s="18" t="n">
        <f aca="false">IF(C760="COVERED",10.4,7.55)</f>
        <v>7.55</v>
      </c>
      <c r="S760" s="18" t="n">
        <f aca="false">Q760*R760</f>
        <v>203.85</v>
      </c>
      <c r="T760" s="13"/>
      <c r="U760" s="14"/>
      <c r="V760" s="13"/>
      <c r="W760" s="18"/>
      <c r="X760" s="18"/>
      <c r="Y760" s="18" t="str">
        <f aca="false">IF(ISNUMBER(X760),X760-S760,"")</f>
        <v/>
      </c>
      <c r="Z760" s="18" t="n">
        <f aca="false">IF(ISNUMBER(X760),X760-S760,-S760)</f>
        <v>-203.85</v>
      </c>
      <c r="AA760" s="13" t="str">
        <f aca="false">IF(NOT(ISNUMBER(X760)),"NO AUGUST POSTING IN EXPORT",IF(ABS(Y760)&gt;=0.005,"POSTED CHARGE MISMATCH",IF(P760&gt;0,"MATCH - COVERED ELIGIBILITY EXCEPTION","MATCH")))</f>
        <v>NO AUGUST POSTING IN EXPORT</v>
      </c>
      <c r="AB760" s="13" t="s">
        <v>5922</v>
      </c>
    </row>
    <row r="761" customFormat="false" ht="15" hidden="false" customHeight="false" outlineLevel="0" collapsed="false">
      <c r="A761" s="9" t="s">
        <v>5923</v>
      </c>
      <c r="B761" s="9" t="s">
        <v>204</v>
      </c>
      <c r="C761" s="9" t="s">
        <v>146</v>
      </c>
      <c r="D761" s="9" t="s">
        <v>2002</v>
      </c>
      <c r="E761" s="9" t="s">
        <v>2560</v>
      </c>
      <c r="F761" s="9" t="s">
        <v>5924</v>
      </c>
      <c r="G761" s="9" t="s">
        <v>5925</v>
      </c>
      <c r="H761" s="9" t="s">
        <v>2457</v>
      </c>
      <c r="I761" s="11" t="n">
        <v>80</v>
      </c>
      <c r="J761" s="11" t="n">
        <v>53.2</v>
      </c>
      <c r="K761" s="11"/>
      <c r="L761" s="11"/>
      <c r="M761" s="11" t="n">
        <f aca="false">IF(ISNUMBER(L761),L761,J761)</f>
        <v>53.2</v>
      </c>
      <c r="N761" s="11" t="n">
        <f aca="false">ROUNDUP(M761,0)</f>
        <v>54</v>
      </c>
      <c r="O761" s="11" t="n">
        <f aca="false">MAX(I761,N761)</f>
        <v>80</v>
      </c>
      <c r="P761" s="11" t="n">
        <f aca="false">IF(C761="COVERED",MAX(0,O761-40),0)</f>
        <v>0</v>
      </c>
      <c r="Q761" s="11" t="n">
        <f aca="false">O761</f>
        <v>80</v>
      </c>
      <c r="R761" s="17" t="n">
        <f aca="false">IF(C761="COVERED",10.4,7.55)</f>
        <v>7.55</v>
      </c>
      <c r="S761" s="17" t="n">
        <f aca="false">Q761*R761</f>
        <v>604</v>
      </c>
      <c r="T761" s="9"/>
      <c r="U761" s="10"/>
      <c r="V761" s="9"/>
      <c r="W761" s="17"/>
      <c r="X761" s="17"/>
      <c r="Y761" s="17" t="str">
        <f aca="false">IF(ISNUMBER(X761),X761-S761,"")</f>
        <v/>
      </c>
      <c r="Z761" s="17" t="n">
        <f aca="false">IF(ISNUMBER(X761),X761-S761,-S761)</f>
        <v>-604</v>
      </c>
      <c r="AA761" s="9" t="str">
        <f aca="false">IF(NOT(ISNUMBER(X761)),"NO AUGUST POSTING IN EXPORT",IF(ABS(Y761)&gt;=0.005,"POSTED CHARGE MISMATCH",IF(P761&gt;0,"MATCH - COVERED ELIGIBILITY EXCEPTION","MATCH")))</f>
        <v>NO AUGUST POSTING IN EXPORT</v>
      </c>
      <c r="AB761" s="9" t="s">
        <v>5926</v>
      </c>
    </row>
    <row r="762" customFormat="false" ht="15" hidden="false" customHeight="false" outlineLevel="0" collapsed="false">
      <c r="A762" s="13" t="s">
        <v>5927</v>
      </c>
      <c r="B762" s="13" t="s">
        <v>204</v>
      </c>
      <c r="C762" s="13" t="s">
        <v>146</v>
      </c>
      <c r="D762" s="13" t="s">
        <v>2002</v>
      </c>
      <c r="E762" s="13" t="s">
        <v>2567</v>
      </c>
      <c r="F762" s="13" t="s">
        <v>5928</v>
      </c>
      <c r="G762" s="13" t="s">
        <v>5929</v>
      </c>
      <c r="H762" s="13" t="s">
        <v>4397</v>
      </c>
      <c r="I762" s="15" t="n">
        <v>24</v>
      </c>
      <c r="J762" s="15" t="n">
        <v>52.5</v>
      </c>
      <c r="K762" s="15"/>
      <c r="L762" s="15"/>
      <c r="M762" s="15" t="n">
        <f aca="false">IF(ISNUMBER(L762),L762,J762)</f>
        <v>52.5</v>
      </c>
      <c r="N762" s="15" t="n">
        <f aca="false">ROUNDUP(M762,0)</f>
        <v>53</v>
      </c>
      <c r="O762" s="15" t="n">
        <f aca="false">MAX(I762,N762)</f>
        <v>53</v>
      </c>
      <c r="P762" s="15" t="n">
        <f aca="false">IF(C762="COVERED",MAX(0,O762-40),0)</f>
        <v>0</v>
      </c>
      <c r="Q762" s="15" t="n">
        <f aca="false">O762</f>
        <v>53</v>
      </c>
      <c r="R762" s="18" t="n">
        <f aca="false">IF(C762="COVERED",10.4,7.55)</f>
        <v>7.55</v>
      </c>
      <c r="S762" s="18" t="n">
        <f aca="false">Q762*R762</f>
        <v>400.15</v>
      </c>
      <c r="T762" s="13"/>
      <c r="U762" s="14"/>
      <c r="V762" s="13"/>
      <c r="W762" s="18"/>
      <c r="X762" s="18"/>
      <c r="Y762" s="18" t="str">
        <f aca="false">IF(ISNUMBER(X762),X762-S762,"")</f>
        <v/>
      </c>
      <c r="Z762" s="18" t="n">
        <f aca="false">IF(ISNUMBER(X762),X762-S762,-S762)</f>
        <v>-400.15</v>
      </c>
      <c r="AA762" s="13" t="str">
        <f aca="false">IF(NOT(ISNUMBER(X762)),"NO AUGUST POSTING IN EXPORT",IF(ABS(Y762)&gt;=0.005,"POSTED CHARGE MISMATCH",IF(P762&gt;0,"MATCH - COVERED ELIGIBILITY EXCEPTION","MATCH")))</f>
        <v>NO AUGUST POSTING IN EXPORT</v>
      </c>
      <c r="AB762" s="13" t="s">
        <v>5930</v>
      </c>
    </row>
    <row r="763" customFormat="false" ht="15" hidden="false" customHeight="false" outlineLevel="0" collapsed="false">
      <c r="A763" s="9" t="s">
        <v>5931</v>
      </c>
      <c r="B763" s="9" t="s">
        <v>204</v>
      </c>
      <c r="C763" s="9" t="s">
        <v>146</v>
      </c>
      <c r="D763" s="9" t="s">
        <v>2002</v>
      </c>
      <c r="E763" s="9" t="s">
        <v>2574</v>
      </c>
      <c r="F763" s="9" t="s">
        <v>5932</v>
      </c>
      <c r="G763" s="9" t="s">
        <v>5933</v>
      </c>
      <c r="H763" s="9" t="s">
        <v>3523</v>
      </c>
      <c r="I763" s="11" t="n">
        <v>80</v>
      </c>
      <c r="J763" s="11" t="n">
        <v>40.6</v>
      </c>
      <c r="K763" s="11"/>
      <c r="L763" s="11"/>
      <c r="M763" s="11" t="n">
        <f aca="false">IF(ISNUMBER(L763),L763,J763)</f>
        <v>40.6</v>
      </c>
      <c r="N763" s="11" t="n">
        <f aca="false">ROUNDUP(M763,0)</f>
        <v>41</v>
      </c>
      <c r="O763" s="11" t="n">
        <f aca="false">MAX(I763,N763)</f>
        <v>80</v>
      </c>
      <c r="P763" s="11" t="n">
        <f aca="false">IF(C763="COVERED",MAX(0,O763-40),0)</f>
        <v>0</v>
      </c>
      <c r="Q763" s="11" t="n">
        <f aca="false">O763</f>
        <v>80</v>
      </c>
      <c r="R763" s="17" t="n">
        <f aca="false">IF(C763="COVERED",10.4,7.55)</f>
        <v>7.55</v>
      </c>
      <c r="S763" s="17" t="n">
        <f aca="false">Q763*R763</f>
        <v>604</v>
      </c>
      <c r="T763" s="9"/>
      <c r="U763" s="10"/>
      <c r="V763" s="9"/>
      <c r="W763" s="17"/>
      <c r="X763" s="17"/>
      <c r="Y763" s="17" t="str">
        <f aca="false">IF(ISNUMBER(X763),X763-S763,"")</f>
        <v/>
      </c>
      <c r="Z763" s="17" t="n">
        <f aca="false">IF(ISNUMBER(X763),X763-S763,-S763)</f>
        <v>-604</v>
      </c>
      <c r="AA763" s="9" t="str">
        <f aca="false">IF(NOT(ISNUMBER(X763)),"NO AUGUST POSTING IN EXPORT",IF(ABS(Y763)&gt;=0.005,"POSTED CHARGE MISMATCH",IF(P763&gt;0,"MATCH - COVERED ELIGIBILITY EXCEPTION","MATCH")))</f>
        <v>NO AUGUST POSTING IN EXPORT</v>
      </c>
      <c r="AB763" s="9" t="s">
        <v>5934</v>
      </c>
    </row>
    <row r="764" customFormat="false" ht="15" hidden="false" customHeight="false" outlineLevel="0" collapsed="false">
      <c r="A764" s="13" t="s">
        <v>5935</v>
      </c>
      <c r="B764" s="13" t="s">
        <v>204</v>
      </c>
      <c r="C764" s="13" t="s">
        <v>146</v>
      </c>
      <c r="D764" s="13" t="s">
        <v>2002</v>
      </c>
      <c r="E764" s="13" t="s">
        <v>2581</v>
      </c>
      <c r="F764" s="13" t="s">
        <v>5936</v>
      </c>
      <c r="G764" s="13" t="s">
        <v>5937</v>
      </c>
      <c r="H764" s="13" t="s">
        <v>2329</v>
      </c>
      <c r="I764" s="15" t="n">
        <v>45</v>
      </c>
      <c r="J764" s="15" t="n">
        <v>37.5</v>
      </c>
      <c r="K764" s="15"/>
      <c r="L764" s="15"/>
      <c r="M764" s="15" t="n">
        <f aca="false">IF(ISNUMBER(L764),L764,J764)</f>
        <v>37.5</v>
      </c>
      <c r="N764" s="15" t="n">
        <f aca="false">ROUNDUP(M764,0)</f>
        <v>38</v>
      </c>
      <c r="O764" s="15" t="n">
        <f aca="false">MAX(I764,N764)</f>
        <v>45</v>
      </c>
      <c r="P764" s="15" t="n">
        <f aca="false">IF(C764="COVERED",MAX(0,O764-40),0)</f>
        <v>0</v>
      </c>
      <c r="Q764" s="15" t="n">
        <f aca="false">O764</f>
        <v>45</v>
      </c>
      <c r="R764" s="18" t="n">
        <f aca="false">IF(C764="COVERED",10.4,7.55)</f>
        <v>7.55</v>
      </c>
      <c r="S764" s="18" t="n">
        <f aca="false">Q764*R764</f>
        <v>339.75</v>
      </c>
      <c r="T764" s="13"/>
      <c r="U764" s="14"/>
      <c r="V764" s="13"/>
      <c r="W764" s="18"/>
      <c r="X764" s="18"/>
      <c r="Y764" s="18" t="str">
        <f aca="false">IF(ISNUMBER(X764),X764-S764,"")</f>
        <v/>
      </c>
      <c r="Z764" s="18" t="n">
        <f aca="false">IF(ISNUMBER(X764),X764-S764,-S764)</f>
        <v>-339.75</v>
      </c>
      <c r="AA764" s="13" t="str">
        <f aca="false">IF(NOT(ISNUMBER(X764)),"NO AUGUST POSTING IN EXPORT",IF(ABS(Y764)&gt;=0.005,"POSTED CHARGE MISMATCH",IF(P764&gt;0,"MATCH - COVERED ELIGIBILITY EXCEPTION","MATCH")))</f>
        <v>NO AUGUST POSTING IN EXPORT</v>
      </c>
      <c r="AB764" s="13" t="s">
        <v>5938</v>
      </c>
    </row>
    <row r="765" customFormat="false" ht="15" hidden="false" customHeight="false" outlineLevel="0" collapsed="false">
      <c r="A765" s="9" t="s">
        <v>5939</v>
      </c>
      <c r="B765" s="9" t="s">
        <v>204</v>
      </c>
      <c r="C765" s="9" t="s">
        <v>146</v>
      </c>
      <c r="D765" s="9" t="s">
        <v>2002</v>
      </c>
      <c r="E765" s="9" t="s">
        <v>2588</v>
      </c>
      <c r="F765" s="9" t="s">
        <v>5940</v>
      </c>
      <c r="G765" s="9" t="s">
        <v>5941</v>
      </c>
      <c r="H765" s="9" t="s">
        <v>2598</v>
      </c>
      <c r="I765" s="11" t="n">
        <v>70</v>
      </c>
      <c r="J765" s="11" t="n">
        <v>54.6</v>
      </c>
      <c r="K765" s="11"/>
      <c r="L765" s="11"/>
      <c r="M765" s="11" t="n">
        <f aca="false">IF(ISNUMBER(L765),L765,J765)</f>
        <v>54.6</v>
      </c>
      <c r="N765" s="11" t="n">
        <f aca="false">ROUNDUP(M765,0)</f>
        <v>55</v>
      </c>
      <c r="O765" s="11" t="n">
        <f aca="false">MAX(I765,N765)</f>
        <v>70</v>
      </c>
      <c r="P765" s="11" t="n">
        <f aca="false">IF(C765="COVERED",MAX(0,O765-40),0)</f>
        <v>0</v>
      </c>
      <c r="Q765" s="11" t="n">
        <f aca="false">O765</f>
        <v>70</v>
      </c>
      <c r="R765" s="17" t="n">
        <f aca="false">IF(C765="COVERED",10.4,7.55)</f>
        <v>7.55</v>
      </c>
      <c r="S765" s="17" t="n">
        <f aca="false">Q765*R765</f>
        <v>528.5</v>
      </c>
      <c r="T765" s="9"/>
      <c r="U765" s="10"/>
      <c r="V765" s="9"/>
      <c r="W765" s="17"/>
      <c r="X765" s="17"/>
      <c r="Y765" s="17" t="str">
        <f aca="false">IF(ISNUMBER(X765),X765-S765,"")</f>
        <v/>
      </c>
      <c r="Z765" s="17" t="n">
        <f aca="false">IF(ISNUMBER(X765),X765-S765,-S765)</f>
        <v>-528.5</v>
      </c>
      <c r="AA765" s="9" t="str">
        <f aca="false">IF(NOT(ISNUMBER(X765)),"NO AUGUST POSTING IN EXPORT",IF(ABS(Y765)&gt;=0.005,"POSTED CHARGE MISMATCH",IF(P765&gt;0,"MATCH - COVERED ELIGIBILITY EXCEPTION","MATCH")))</f>
        <v>NO AUGUST POSTING IN EXPORT</v>
      </c>
      <c r="AB765" s="9" t="s">
        <v>5942</v>
      </c>
    </row>
    <row r="766" customFormat="false" ht="15" hidden="false" customHeight="false" outlineLevel="0" collapsed="false">
      <c r="A766" s="13" t="s">
        <v>5943</v>
      </c>
      <c r="B766" s="13" t="s">
        <v>204</v>
      </c>
      <c r="C766" s="13" t="s">
        <v>146</v>
      </c>
      <c r="D766" s="13" t="s">
        <v>2002</v>
      </c>
      <c r="E766" s="13" t="s">
        <v>2595</v>
      </c>
      <c r="F766" s="13" t="s">
        <v>5944</v>
      </c>
      <c r="G766" s="13" t="s">
        <v>5945</v>
      </c>
      <c r="H766" s="13" t="s">
        <v>4743</v>
      </c>
      <c r="I766" s="15" t="n">
        <v>80</v>
      </c>
      <c r="J766" s="15" t="n">
        <v>46.1</v>
      </c>
      <c r="K766" s="15"/>
      <c r="L766" s="15"/>
      <c r="M766" s="15" t="n">
        <f aca="false">IF(ISNUMBER(L766),L766,J766)</f>
        <v>46.1</v>
      </c>
      <c r="N766" s="15" t="n">
        <f aca="false">ROUNDUP(M766,0)</f>
        <v>47</v>
      </c>
      <c r="O766" s="15" t="n">
        <f aca="false">MAX(I766,N766)</f>
        <v>80</v>
      </c>
      <c r="P766" s="15" t="n">
        <f aca="false">IF(C766="COVERED",MAX(0,O766-40),0)</f>
        <v>0</v>
      </c>
      <c r="Q766" s="15" t="n">
        <f aca="false">O766</f>
        <v>80</v>
      </c>
      <c r="R766" s="18" t="n">
        <f aca="false">IF(C766="COVERED",10.4,7.55)</f>
        <v>7.55</v>
      </c>
      <c r="S766" s="18" t="n">
        <f aca="false">Q766*R766</f>
        <v>604</v>
      </c>
      <c r="T766" s="13"/>
      <c r="U766" s="14"/>
      <c r="V766" s="13"/>
      <c r="W766" s="18"/>
      <c r="X766" s="18"/>
      <c r="Y766" s="18" t="str">
        <f aca="false">IF(ISNUMBER(X766),X766-S766,"")</f>
        <v/>
      </c>
      <c r="Z766" s="18" t="n">
        <f aca="false">IF(ISNUMBER(X766),X766-S766,-S766)</f>
        <v>-604</v>
      </c>
      <c r="AA766" s="13" t="str">
        <f aca="false">IF(NOT(ISNUMBER(X766)),"NO AUGUST POSTING IN EXPORT",IF(ABS(Y766)&gt;=0.005,"POSTED CHARGE MISMATCH",IF(P766&gt;0,"MATCH - COVERED ELIGIBILITY EXCEPTION","MATCH")))</f>
        <v>NO AUGUST POSTING IN EXPORT</v>
      </c>
      <c r="AB766" s="13" t="s">
        <v>5946</v>
      </c>
    </row>
    <row r="767" customFormat="false" ht="15" hidden="false" customHeight="false" outlineLevel="0" collapsed="false">
      <c r="A767" s="9" t="s">
        <v>5947</v>
      </c>
      <c r="B767" s="9" t="s">
        <v>204</v>
      </c>
      <c r="C767" s="9" t="s">
        <v>146</v>
      </c>
      <c r="D767" s="9" t="s">
        <v>2002</v>
      </c>
      <c r="E767" s="9" t="s">
        <v>2602</v>
      </c>
      <c r="F767" s="9" t="s">
        <v>1197</v>
      </c>
      <c r="G767" s="9" t="s">
        <v>1198</v>
      </c>
      <c r="H767" s="9" t="s">
        <v>5948</v>
      </c>
      <c r="I767" s="11" t="n">
        <v>32</v>
      </c>
      <c r="J767" s="11" t="n">
        <v>47.8</v>
      </c>
      <c r="K767" s="11"/>
      <c r="L767" s="11"/>
      <c r="M767" s="11" t="n">
        <f aca="false">IF(ISNUMBER(L767),L767,J767)</f>
        <v>47.8</v>
      </c>
      <c r="N767" s="11" t="n">
        <f aca="false">ROUNDUP(M767,0)</f>
        <v>48</v>
      </c>
      <c r="O767" s="11" t="n">
        <f aca="false">MAX(I767,N767)</f>
        <v>48</v>
      </c>
      <c r="P767" s="11" t="n">
        <f aca="false">IF(C767="COVERED",MAX(0,O767-40),0)</f>
        <v>0</v>
      </c>
      <c r="Q767" s="11" t="n">
        <f aca="false">O767</f>
        <v>48</v>
      </c>
      <c r="R767" s="17" t="n">
        <f aca="false">IF(C767="COVERED",10.4,7.55)</f>
        <v>7.55</v>
      </c>
      <c r="S767" s="17" t="n">
        <f aca="false">Q767*R767</f>
        <v>362.4</v>
      </c>
      <c r="T767" s="9"/>
      <c r="U767" s="10"/>
      <c r="V767" s="9"/>
      <c r="W767" s="17"/>
      <c r="X767" s="17"/>
      <c r="Y767" s="17" t="str">
        <f aca="false">IF(ISNUMBER(X767),X767-S767,"")</f>
        <v/>
      </c>
      <c r="Z767" s="17" t="n">
        <f aca="false">IF(ISNUMBER(X767),X767-S767,-S767)</f>
        <v>-362.4</v>
      </c>
      <c r="AA767" s="9" t="str">
        <f aca="false">IF(NOT(ISNUMBER(X767)),"NO AUGUST POSTING IN EXPORT",IF(ABS(Y767)&gt;=0.005,"POSTED CHARGE MISMATCH",IF(P767&gt;0,"MATCH - COVERED ELIGIBILITY EXCEPTION","MATCH")))</f>
        <v>NO AUGUST POSTING IN EXPORT</v>
      </c>
      <c r="AB767" s="9" t="s">
        <v>5949</v>
      </c>
    </row>
    <row r="768" customFormat="false" ht="15" hidden="false" customHeight="false" outlineLevel="0" collapsed="false">
      <c r="A768" s="13" t="s">
        <v>5950</v>
      </c>
      <c r="B768" s="13" t="s">
        <v>204</v>
      </c>
      <c r="C768" s="13" t="s">
        <v>146</v>
      </c>
      <c r="D768" s="13" t="s">
        <v>2002</v>
      </c>
      <c r="E768" s="13" t="s">
        <v>2609</v>
      </c>
      <c r="F768" s="13" t="s">
        <v>5951</v>
      </c>
      <c r="G768" s="13" t="s">
        <v>5952</v>
      </c>
      <c r="H768" s="13" t="s">
        <v>4716</v>
      </c>
      <c r="I768" s="15" t="n">
        <v>24</v>
      </c>
      <c r="J768" s="15" t="n">
        <v>27.5</v>
      </c>
      <c r="K768" s="15"/>
      <c r="L768" s="15"/>
      <c r="M768" s="15" t="n">
        <f aca="false">IF(ISNUMBER(L768),L768,J768)</f>
        <v>27.5</v>
      </c>
      <c r="N768" s="15" t="n">
        <f aca="false">ROUNDUP(M768,0)</f>
        <v>28</v>
      </c>
      <c r="O768" s="15" t="n">
        <f aca="false">MAX(I768,N768)</f>
        <v>28</v>
      </c>
      <c r="P768" s="15" t="n">
        <f aca="false">IF(C768="COVERED",MAX(0,O768-40),0)</f>
        <v>0</v>
      </c>
      <c r="Q768" s="15" t="n">
        <f aca="false">O768</f>
        <v>28</v>
      </c>
      <c r="R768" s="18" t="n">
        <f aca="false">IF(C768="COVERED",10.4,7.55)</f>
        <v>7.55</v>
      </c>
      <c r="S768" s="18" t="n">
        <f aca="false">Q768*R768</f>
        <v>211.4</v>
      </c>
      <c r="T768" s="13"/>
      <c r="U768" s="14"/>
      <c r="V768" s="13"/>
      <c r="W768" s="18"/>
      <c r="X768" s="18"/>
      <c r="Y768" s="18" t="str">
        <f aca="false">IF(ISNUMBER(X768),X768-S768,"")</f>
        <v/>
      </c>
      <c r="Z768" s="18" t="n">
        <f aca="false">IF(ISNUMBER(X768),X768-S768,-S768)</f>
        <v>-211.4</v>
      </c>
      <c r="AA768" s="13" t="str">
        <f aca="false">IF(NOT(ISNUMBER(X768)),"NO AUGUST POSTING IN EXPORT",IF(ABS(Y768)&gt;=0.005,"POSTED CHARGE MISMATCH",IF(P768&gt;0,"MATCH - COVERED ELIGIBILITY EXCEPTION","MATCH")))</f>
        <v>NO AUGUST POSTING IN EXPORT</v>
      </c>
      <c r="AB768" s="13" t="s">
        <v>5953</v>
      </c>
    </row>
    <row r="769" customFormat="false" ht="15" hidden="false" customHeight="false" outlineLevel="0" collapsed="false">
      <c r="A769" s="9" t="s">
        <v>5954</v>
      </c>
      <c r="B769" s="9" t="s">
        <v>204</v>
      </c>
      <c r="C769" s="9" t="s">
        <v>146</v>
      </c>
      <c r="D769" s="9" t="s">
        <v>2002</v>
      </c>
      <c r="E769" s="9" t="s">
        <v>3878</v>
      </c>
      <c r="F769" s="9" t="s">
        <v>5955</v>
      </c>
      <c r="G769" s="9" t="s">
        <v>5956</v>
      </c>
      <c r="H769" s="9" t="s">
        <v>4493</v>
      </c>
      <c r="I769" s="11" t="n">
        <v>32</v>
      </c>
      <c r="J769" s="11" t="n">
        <v>35.6</v>
      </c>
      <c r="K769" s="11"/>
      <c r="L769" s="11"/>
      <c r="M769" s="11" t="n">
        <f aca="false">IF(ISNUMBER(L769),L769,J769)</f>
        <v>35.6</v>
      </c>
      <c r="N769" s="11" t="n">
        <f aca="false">ROUNDUP(M769,0)</f>
        <v>36</v>
      </c>
      <c r="O769" s="11" t="n">
        <f aca="false">MAX(I769,N769)</f>
        <v>36</v>
      </c>
      <c r="P769" s="11" t="n">
        <f aca="false">IF(C769="COVERED",MAX(0,O769-40),0)</f>
        <v>0</v>
      </c>
      <c r="Q769" s="11" t="n">
        <f aca="false">O769</f>
        <v>36</v>
      </c>
      <c r="R769" s="17" t="n">
        <f aca="false">IF(C769="COVERED",10.4,7.55)</f>
        <v>7.55</v>
      </c>
      <c r="S769" s="17" t="n">
        <f aca="false">Q769*R769</f>
        <v>271.8</v>
      </c>
      <c r="T769" s="9"/>
      <c r="U769" s="10"/>
      <c r="V769" s="9"/>
      <c r="W769" s="17"/>
      <c r="X769" s="17"/>
      <c r="Y769" s="17" t="str">
        <f aca="false">IF(ISNUMBER(X769),X769-S769,"")</f>
        <v/>
      </c>
      <c r="Z769" s="17" t="n">
        <f aca="false">IF(ISNUMBER(X769),X769-S769,-S769)</f>
        <v>-271.8</v>
      </c>
      <c r="AA769" s="9" t="str">
        <f aca="false">IF(NOT(ISNUMBER(X769)),"NO AUGUST POSTING IN EXPORT",IF(ABS(Y769)&gt;=0.005,"POSTED CHARGE MISMATCH",IF(P769&gt;0,"MATCH - COVERED ELIGIBILITY EXCEPTION","MATCH")))</f>
        <v>NO AUGUST POSTING IN EXPORT</v>
      </c>
      <c r="AB769" s="9" t="s">
        <v>5957</v>
      </c>
    </row>
    <row r="770" customFormat="false" ht="15" hidden="false" customHeight="false" outlineLevel="0" collapsed="false">
      <c r="A770" s="13" t="s">
        <v>5958</v>
      </c>
      <c r="B770" s="13" t="s">
        <v>204</v>
      </c>
      <c r="C770" s="13" t="s">
        <v>146</v>
      </c>
      <c r="D770" s="13" t="s">
        <v>2002</v>
      </c>
      <c r="E770" s="13" t="s">
        <v>2622</v>
      </c>
      <c r="F770" s="13" t="s">
        <v>5959</v>
      </c>
      <c r="G770" s="13" t="s">
        <v>5960</v>
      </c>
      <c r="H770" s="13" t="s">
        <v>5961</v>
      </c>
      <c r="I770" s="15" t="n">
        <v>32</v>
      </c>
      <c r="J770" s="15" t="n">
        <v>19.9</v>
      </c>
      <c r="K770" s="15"/>
      <c r="L770" s="15"/>
      <c r="M770" s="15" t="n">
        <f aca="false">IF(ISNUMBER(L770),L770,J770)</f>
        <v>19.9</v>
      </c>
      <c r="N770" s="15" t="n">
        <f aca="false">ROUNDUP(M770,0)</f>
        <v>20</v>
      </c>
      <c r="O770" s="15" t="n">
        <f aca="false">MAX(I770,N770)</f>
        <v>32</v>
      </c>
      <c r="P770" s="15" t="n">
        <f aca="false">IF(C770="COVERED",MAX(0,O770-40),0)</f>
        <v>0</v>
      </c>
      <c r="Q770" s="15" t="n">
        <f aca="false">O770</f>
        <v>32</v>
      </c>
      <c r="R770" s="18" t="n">
        <f aca="false">IF(C770="COVERED",10.4,7.55)</f>
        <v>7.55</v>
      </c>
      <c r="S770" s="18" t="n">
        <f aca="false">Q770*R770</f>
        <v>241.6</v>
      </c>
      <c r="T770" s="13"/>
      <c r="U770" s="14"/>
      <c r="V770" s="13"/>
      <c r="W770" s="18"/>
      <c r="X770" s="18"/>
      <c r="Y770" s="18" t="str">
        <f aca="false">IF(ISNUMBER(X770),X770-S770,"")</f>
        <v/>
      </c>
      <c r="Z770" s="18" t="n">
        <f aca="false">IF(ISNUMBER(X770),X770-S770,-S770)</f>
        <v>-241.6</v>
      </c>
      <c r="AA770" s="13" t="str">
        <f aca="false">IF(NOT(ISNUMBER(X770)),"NO AUGUST POSTING IN EXPORT",IF(ABS(Y770)&gt;=0.005,"POSTED CHARGE MISMATCH",IF(P770&gt;0,"MATCH - COVERED ELIGIBILITY EXCEPTION","MATCH")))</f>
        <v>NO AUGUST POSTING IN EXPORT</v>
      </c>
      <c r="AB770" s="13" t="s">
        <v>5962</v>
      </c>
    </row>
    <row r="771" customFormat="false" ht="15" hidden="false" customHeight="false" outlineLevel="0" collapsed="false">
      <c r="A771" s="9" t="s">
        <v>5963</v>
      </c>
      <c r="B771" s="9" t="s">
        <v>204</v>
      </c>
      <c r="C771" s="9" t="s">
        <v>146</v>
      </c>
      <c r="D771" s="9" t="s">
        <v>2002</v>
      </c>
      <c r="E771" s="9" t="s">
        <v>2627</v>
      </c>
      <c r="F771" s="9" t="s">
        <v>1134</v>
      </c>
      <c r="G771" s="9" t="s">
        <v>1135</v>
      </c>
      <c r="H771" s="9" t="s">
        <v>5964</v>
      </c>
      <c r="I771" s="11" t="n">
        <v>36</v>
      </c>
      <c r="J771" s="11" t="n">
        <v>55.4</v>
      </c>
      <c r="K771" s="11"/>
      <c r="L771" s="11"/>
      <c r="M771" s="11" t="n">
        <f aca="false">IF(ISNUMBER(L771),L771,J771)</f>
        <v>55.4</v>
      </c>
      <c r="N771" s="11" t="n">
        <f aca="false">ROUNDUP(M771,0)</f>
        <v>56</v>
      </c>
      <c r="O771" s="11" t="n">
        <f aca="false">MAX(I771,N771)</f>
        <v>56</v>
      </c>
      <c r="P771" s="11" t="n">
        <f aca="false">IF(C771="COVERED",MAX(0,O771-40),0)</f>
        <v>0</v>
      </c>
      <c r="Q771" s="11" t="n">
        <f aca="false">O771</f>
        <v>56</v>
      </c>
      <c r="R771" s="17" t="n">
        <f aca="false">IF(C771="COVERED",10.4,7.55)</f>
        <v>7.55</v>
      </c>
      <c r="S771" s="17" t="n">
        <f aca="false">Q771*R771</f>
        <v>422.8</v>
      </c>
      <c r="T771" s="9"/>
      <c r="U771" s="10"/>
      <c r="V771" s="9"/>
      <c r="W771" s="17"/>
      <c r="X771" s="17"/>
      <c r="Y771" s="17" t="str">
        <f aca="false">IF(ISNUMBER(X771),X771-S771,"")</f>
        <v/>
      </c>
      <c r="Z771" s="17" t="n">
        <f aca="false">IF(ISNUMBER(X771),X771-S771,-S771)</f>
        <v>-422.8</v>
      </c>
      <c r="AA771" s="9" t="str">
        <f aca="false">IF(NOT(ISNUMBER(X771)),"NO AUGUST POSTING IN EXPORT",IF(ABS(Y771)&gt;=0.005,"POSTED CHARGE MISMATCH",IF(P771&gt;0,"MATCH - COVERED ELIGIBILITY EXCEPTION","MATCH")))</f>
        <v>NO AUGUST POSTING IN EXPORT</v>
      </c>
      <c r="AB771" s="9" t="s">
        <v>5965</v>
      </c>
    </row>
    <row r="772" customFormat="false" ht="15" hidden="false" customHeight="false" outlineLevel="0" collapsed="false">
      <c r="A772" s="13" t="s">
        <v>5966</v>
      </c>
      <c r="B772" s="13" t="s">
        <v>204</v>
      </c>
      <c r="C772" s="13" t="s">
        <v>146</v>
      </c>
      <c r="D772" s="13" t="s">
        <v>2002</v>
      </c>
      <c r="E772" s="13" t="s">
        <v>2634</v>
      </c>
      <c r="F772" s="13" t="s">
        <v>720</v>
      </c>
      <c r="G772" s="13" t="s">
        <v>721</v>
      </c>
      <c r="H772" s="13" t="s">
        <v>4880</v>
      </c>
      <c r="I772" s="15" t="n">
        <v>45</v>
      </c>
      <c r="J772" s="15" t="n">
        <v>52.6</v>
      </c>
      <c r="K772" s="15"/>
      <c r="L772" s="15"/>
      <c r="M772" s="15" t="n">
        <f aca="false">IF(ISNUMBER(L772),L772,J772)</f>
        <v>52.6</v>
      </c>
      <c r="N772" s="15" t="n">
        <f aca="false">ROUNDUP(M772,0)</f>
        <v>53</v>
      </c>
      <c r="O772" s="15" t="n">
        <f aca="false">MAX(I772,N772)</f>
        <v>53</v>
      </c>
      <c r="P772" s="15" t="n">
        <f aca="false">IF(C772="COVERED",MAX(0,O772-40),0)</f>
        <v>0</v>
      </c>
      <c r="Q772" s="15" t="n">
        <f aca="false">O772</f>
        <v>53</v>
      </c>
      <c r="R772" s="18" t="n">
        <f aca="false">IF(C772="COVERED",10.4,7.55)</f>
        <v>7.55</v>
      </c>
      <c r="S772" s="18" t="n">
        <f aca="false">Q772*R772</f>
        <v>400.15</v>
      </c>
      <c r="T772" s="13"/>
      <c r="U772" s="14"/>
      <c r="V772" s="13"/>
      <c r="W772" s="18"/>
      <c r="X772" s="18"/>
      <c r="Y772" s="18" t="str">
        <f aca="false">IF(ISNUMBER(X772),X772-S772,"")</f>
        <v/>
      </c>
      <c r="Z772" s="18" t="n">
        <f aca="false">IF(ISNUMBER(X772),X772-S772,-S772)</f>
        <v>-400.15</v>
      </c>
      <c r="AA772" s="13" t="str">
        <f aca="false">IF(NOT(ISNUMBER(X772)),"NO AUGUST POSTING IN EXPORT",IF(ABS(Y772)&gt;=0.005,"POSTED CHARGE MISMATCH",IF(P772&gt;0,"MATCH - COVERED ELIGIBILITY EXCEPTION","MATCH")))</f>
        <v>NO AUGUST POSTING IN EXPORT</v>
      </c>
      <c r="AB772" s="13" t="s">
        <v>5967</v>
      </c>
    </row>
    <row r="773" customFormat="false" ht="15" hidden="false" customHeight="false" outlineLevel="0" collapsed="false">
      <c r="A773" s="9" t="s">
        <v>5968</v>
      </c>
      <c r="B773" s="9" t="s">
        <v>204</v>
      </c>
      <c r="C773" s="9" t="s">
        <v>146</v>
      </c>
      <c r="D773" s="9" t="s">
        <v>2002</v>
      </c>
      <c r="E773" s="9" t="s">
        <v>2648</v>
      </c>
      <c r="F773" s="9" t="s">
        <v>5969</v>
      </c>
      <c r="G773" s="9" t="s">
        <v>5970</v>
      </c>
      <c r="H773" s="9" t="s">
        <v>5365</v>
      </c>
      <c r="I773" s="11" t="n">
        <v>45</v>
      </c>
      <c r="J773" s="11" t="n">
        <v>20.1</v>
      </c>
      <c r="K773" s="11"/>
      <c r="L773" s="11"/>
      <c r="M773" s="11" t="n">
        <f aca="false">IF(ISNUMBER(L773),L773,J773)</f>
        <v>20.1</v>
      </c>
      <c r="N773" s="11" t="n">
        <f aca="false">ROUNDUP(M773,0)</f>
        <v>21</v>
      </c>
      <c r="O773" s="11" t="n">
        <f aca="false">MAX(I773,N773)</f>
        <v>45</v>
      </c>
      <c r="P773" s="11" t="n">
        <f aca="false">IF(C773="COVERED",MAX(0,O773-40),0)</f>
        <v>0</v>
      </c>
      <c r="Q773" s="11" t="n">
        <f aca="false">O773</f>
        <v>45</v>
      </c>
      <c r="R773" s="17" t="n">
        <f aca="false">IF(C773="COVERED",10.4,7.55)</f>
        <v>7.55</v>
      </c>
      <c r="S773" s="17" t="n">
        <f aca="false">Q773*R773</f>
        <v>339.75</v>
      </c>
      <c r="T773" s="9"/>
      <c r="U773" s="10"/>
      <c r="V773" s="9"/>
      <c r="W773" s="17"/>
      <c r="X773" s="17"/>
      <c r="Y773" s="17" t="str">
        <f aca="false">IF(ISNUMBER(X773),X773-S773,"")</f>
        <v/>
      </c>
      <c r="Z773" s="17" t="n">
        <f aca="false">IF(ISNUMBER(X773),X773-S773,-S773)</f>
        <v>-339.75</v>
      </c>
      <c r="AA773" s="9" t="str">
        <f aca="false">IF(NOT(ISNUMBER(X773)),"NO AUGUST POSTING IN EXPORT",IF(ABS(Y773)&gt;=0.005,"POSTED CHARGE MISMATCH",IF(P773&gt;0,"MATCH - COVERED ELIGIBILITY EXCEPTION","MATCH")))</f>
        <v>NO AUGUST POSTING IN EXPORT</v>
      </c>
      <c r="AB773" s="9" t="s">
        <v>5971</v>
      </c>
    </row>
    <row r="774" customFormat="false" ht="15" hidden="false" customHeight="false" outlineLevel="0" collapsed="false">
      <c r="A774" s="13" t="s">
        <v>5972</v>
      </c>
      <c r="B774" s="13" t="s">
        <v>204</v>
      </c>
      <c r="C774" s="13" t="s">
        <v>146</v>
      </c>
      <c r="D774" s="13" t="s">
        <v>2002</v>
      </c>
      <c r="E774" s="13" t="s">
        <v>2655</v>
      </c>
      <c r="F774" s="13" t="s">
        <v>5973</v>
      </c>
      <c r="G774" s="13" t="s">
        <v>5974</v>
      </c>
      <c r="H774" s="13" t="s">
        <v>3906</v>
      </c>
      <c r="I774" s="15" t="n">
        <v>40</v>
      </c>
      <c r="J774" s="15" t="n">
        <v>22.8</v>
      </c>
      <c r="K774" s="15"/>
      <c r="L774" s="15"/>
      <c r="M774" s="15" t="n">
        <f aca="false">IF(ISNUMBER(L774),L774,J774)</f>
        <v>22.8</v>
      </c>
      <c r="N774" s="15" t="n">
        <f aca="false">ROUNDUP(M774,0)</f>
        <v>23</v>
      </c>
      <c r="O774" s="15" t="n">
        <f aca="false">MAX(I774,N774)</f>
        <v>40</v>
      </c>
      <c r="P774" s="15" t="n">
        <f aca="false">IF(C774="COVERED",MAX(0,O774-40),0)</f>
        <v>0</v>
      </c>
      <c r="Q774" s="15" t="n">
        <f aca="false">O774</f>
        <v>40</v>
      </c>
      <c r="R774" s="18" t="n">
        <f aca="false">IF(C774="COVERED",10.4,7.55)</f>
        <v>7.55</v>
      </c>
      <c r="S774" s="18" t="n">
        <f aca="false">Q774*R774</f>
        <v>302</v>
      </c>
      <c r="T774" s="13"/>
      <c r="U774" s="14"/>
      <c r="V774" s="13"/>
      <c r="W774" s="18"/>
      <c r="X774" s="18"/>
      <c r="Y774" s="18" t="str">
        <f aca="false">IF(ISNUMBER(X774),X774-S774,"")</f>
        <v/>
      </c>
      <c r="Z774" s="18" t="n">
        <f aca="false">IF(ISNUMBER(X774),X774-S774,-S774)</f>
        <v>-302</v>
      </c>
      <c r="AA774" s="13" t="str">
        <f aca="false">IF(NOT(ISNUMBER(X774)),"NO AUGUST POSTING IN EXPORT",IF(ABS(Y774)&gt;=0.005,"POSTED CHARGE MISMATCH",IF(P774&gt;0,"MATCH - COVERED ELIGIBILITY EXCEPTION","MATCH")))</f>
        <v>NO AUGUST POSTING IN EXPORT</v>
      </c>
      <c r="AB774" s="13" t="s">
        <v>5975</v>
      </c>
    </row>
    <row r="775" customFormat="false" ht="15" hidden="false" customHeight="false" outlineLevel="0" collapsed="false">
      <c r="A775" s="9" t="s">
        <v>5976</v>
      </c>
      <c r="B775" s="9" t="s">
        <v>204</v>
      </c>
      <c r="C775" s="9" t="s">
        <v>146</v>
      </c>
      <c r="D775" s="9" t="s">
        <v>2002</v>
      </c>
      <c r="E775" s="9" t="s">
        <v>2660</v>
      </c>
      <c r="F775" s="9" t="s">
        <v>5977</v>
      </c>
      <c r="G775" s="9" t="s">
        <v>5978</v>
      </c>
      <c r="H775" s="9" t="s">
        <v>2051</v>
      </c>
      <c r="I775" s="11" t="n">
        <v>60</v>
      </c>
      <c r="J775" s="11" t="n">
        <v>36.4</v>
      </c>
      <c r="K775" s="11"/>
      <c r="L775" s="11"/>
      <c r="M775" s="11" t="n">
        <f aca="false">IF(ISNUMBER(L775),L775,J775)</f>
        <v>36.4</v>
      </c>
      <c r="N775" s="11" t="n">
        <f aca="false">ROUNDUP(M775,0)</f>
        <v>37</v>
      </c>
      <c r="O775" s="11" t="n">
        <f aca="false">MAX(I775,N775)</f>
        <v>60</v>
      </c>
      <c r="P775" s="11" t="n">
        <f aca="false">IF(C775="COVERED",MAX(0,O775-40),0)</f>
        <v>0</v>
      </c>
      <c r="Q775" s="11" t="n">
        <f aca="false">O775</f>
        <v>60</v>
      </c>
      <c r="R775" s="17" t="n">
        <f aca="false">IF(C775="COVERED",10.4,7.55)</f>
        <v>7.55</v>
      </c>
      <c r="S775" s="17" t="n">
        <f aca="false">Q775*R775</f>
        <v>453</v>
      </c>
      <c r="T775" s="9"/>
      <c r="U775" s="10"/>
      <c r="V775" s="9"/>
      <c r="W775" s="17"/>
      <c r="X775" s="17"/>
      <c r="Y775" s="17" t="str">
        <f aca="false">IF(ISNUMBER(X775),X775-S775,"")</f>
        <v/>
      </c>
      <c r="Z775" s="17" t="n">
        <f aca="false">IF(ISNUMBER(X775),X775-S775,-S775)</f>
        <v>-453</v>
      </c>
      <c r="AA775" s="9" t="str">
        <f aca="false">IF(NOT(ISNUMBER(X775)),"NO AUGUST POSTING IN EXPORT",IF(ABS(Y775)&gt;=0.005,"POSTED CHARGE MISMATCH",IF(P775&gt;0,"MATCH - COVERED ELIGIBILITY EXCEPTION","MATCH")))</f>
        <v>NO AUGUST POSTING IN EXPORT</v>
      </c>
      <c r="AB775" s="9" t="s">
        <v>5979</v>
      </c>
    </row>
    <row r="776" customFormat="false" ht="15" hidden="false" customHeight="false" outlineLevel="0" collapsed="false">
      <c r="A776" s="13" t="s">
        <v>5980</v>
      </c>
      <c r="B776" s="13" t="s">
        <v>204</v>
      </c>
      <c r="C776" s="13" t="s">
        <v>146</v>
      </c>
      <c r="D776" s="13" t="s">
        <v>2002</v>
      </c>
      <c r="E776" s="13" t="s">
        <v>2673</v>
      </c>
      <c r="F776" s="13" t="s">
        <v>5981</v>
      </c>
      <c r="G776" s="13" t="s">
        <v>5982</v>
      </c>
      <c r="H776" s="13" t="s">
        <v>5983</v>
      </c>
      <c r="I776" s="15" t="n">
        <v>45</v>
      </c>
      <c r="J776" s="15" t="n">
        <v>24.9</v>
      </c>
      <c r="K776" s="15"/>
      <c r="L776" s="15"/>
      <c r="M776" s="15" t="n">
        <f aca="false">IF(ISNUMBER(L776),L776,J776)</f>
        <v>24.9</v>
      </c>
      <c r="N776" s="15" t="n">
        <f aca="false">ROUNDUP(M776,0)</f>
        <v>25</v>
      </c>
      <c r="O776" s="15" t="n">
        <f aca="false">MAX(I776,N776)</f>
        <v>45</v>
      </c>
      <c r="P776" s="15" t="n">
        <f aca="false">IF(C776="COVERED",MAX(0,O776-40),0)</f>
        <v>0</v>
      </c>
      <c r="Q776" s="15" t="n">
        <f aca="false">O776</f>
        <v>45</v>
      </c>
      <c r="R776" s="18" t="n">
        <f aca="false">IF(C776="COVERED",10.4,7.55)</f>
        <v>7.55</v>
      </c>
      <c r="S776" s="18" t="n">
        <f aca="false">Q776*R776</f>
        <v>339.75</v>
      </c>
      <c r="T776" s="13"/>
      <c r="U776" s="14"/>
      <c r="V776" s="13"/>
      <c r="W776" s="18"/>
      <c r="X776" s="18"/>
      <c r="Y776" s="18" t="str">
        <f aca="false">IF(ISNUMBER(X776),X776-S776,"")</f>
        <v/>
      </c>
      <c r="Z776" s="18" t="n">
        <f aca="false">IF(ISNUMBER(X776),X776-S776,-S776)</f>
        <v>-339.75</v>
      </c>
      <c r="AA776" s="13" t="str">
        <f aca="false">IF(NOT(ISNUMBER(X776)),"NO AUGUST POSTING IN EXPORT",IF(ABS(Y776)&gt;=0.005,"POSTED CHARGE MISMATCH",IF(P776&gt;0,"MATCH - COVERED ELIGIBILITY EXCEPTION","MATCH")))</f>
        <v>NO AUGUST POSTING IN EXPORT</v>
      </c>
      <c r="AB776" s="13" t="s">
        <v>5984</v>
      </c>
    </row>
    <row r="777" customFormat="false" ht="15" hidden="false" customHeight="false" outlineLevel="0" collapsed="false">
      <c r="A777" s="9" t="s">
        <v>5985</v>
      </c>
      <c r="B777" s="9" t="s">
        <v>204</v>
      </c>
      <c r="C777" s="9" t="s">
        <v>146</v>
      </c>
      <c r="D777" s="9" t="s">
        <v>2002</v>
      </c>
      <c r="E777" s="9" t="s">
        <v>2686</v>
      </c>
      <c r="F777" s="9" t="s">
        <v>5986</v>
      </c>
      <c r="G777" s="9" t="s">
        <v>5987</v>
      </c>
      <c r="H777" s="9" t="s">
        <v>2169</v>
      </c>
      <c r="I777" s="11" t="n">
        <v>45</v>
      </c>
      <c r="J777" s="11" t="n">
        <v>25.7</v>
      </c>
      <c r="K777" s="11"/>
      <c r="L777" s="11"/>
      <c r="M777" s="11" t="n">
        <f aca="false">IF(ISNUMBER(L777),L777,J777)</f>
        <v>25.7</v>
      </c>
      <c r="N777" s="11" t="n">
        <f aca="false">ROUNDUP(M777,0)</f>
        <v>26</v>
      </c>
      <c r="O777" s="11" t="n">
        <f aca="false">MAX(I777,N777)</f>
        <v>45</v>
      </c>
      <c r="P777" s="11" t="n">
        <f aca="false">IF(C777="COVERED",MAX(0,O777-40),0)</f>
        <v>0</v>
      </c>
      <c r="Q777" s="11" t="n">
        <f aca="false">O777</f>
        <v>45</v>
      </c>
      <c r="R777" s="17" t="n">
        <f aca="false">IF(C777="COVERED",10.4,7.55)</f>
        <v>7.55</v>
      </c>
      <c r="S777" s="17" t="n">
        <f aca="false">Q777*R777</f>
        <v>339.75</v>
      </c>
      <c r="T777" s="9"/>
      <c r="U777" s="10"/>
      <c r="V777" s="9"/>
      <c r="W777" s="17"/>
      <c r="X777" s="17"/>
      <c r="Y777" s="17" t="str">
        <f aca="false">IF(ISNUMBER(X777),X777-S777,"")</f>
        <v/>
      </c>
      <c r="Z777" s="17" t="n">
        <f aca="false">IF(ISNUMBER(X777),X777-S777,-S777)</f>
        <v>-339.75</v>
      </c>
      <c r="AA777" s="9" t="str">
        <f aca="false">IF(NOT(ISNUMBER(X777)),"NO AUGUST POSTING IN EXPORT",IF(ABS(Y777)&gt;=0.005,"POSTED CHARGE MISMATCH",IF(P777&gt;0,"MATCH - COVERED ELIGIBILITY EXCEPTION","MATCH")))</f>
        <v>NO AUGUST POSTING IN EXPORT</v>
      </c>
      <c r="AB777" s="9" t="s">
        <v>5988</v>
      </c>
    </row>
    <row r="778" customFormat="false" ht="15" hidden="false" customHeight="false" outlineLevel="0" collapsed="false">
      <c r="A778" s="13" t="s">
        <v>5989</v>
      </c>
      <c r="B778" s="13" t="s">
        <v>204</v>
      </c>
      <c r="C778" s="13" t="s">
        <v>146</v>
      </c>
      <c r="D778" s="13" t="s">
        <v>2002</v>
      </c>
      <c r="E778" s="13" t="s">
        <v>2693</v>
      </c>
      <c r="F778" s="13" t="s">
        <v>5990</v>
      </c>
      <c r="G778" s="13" t="s">
        <v>5991</v>
      </c>
      <c r="H778" s="13" t="s">
        <v>2131</v>
      </c>
      <c r="I778" s="15" t="n">
        <v>28</v>
      </c>
      <c r="J778" s="15" t="n">
        <v>54.6</v>
      </c>
      <c r="K778" s="15"/>
      <c r="L778" s="15"/>
      <c r="M778" s="15" t="n">
        <f aca="false">IF(ISNUMBER(L778),L778,J778)</f>
        <v>54.6</v>
      </c>
      <c r="N778" s="15" t="n">
        <f aca="false">ROUNDUP(M778,0)</f>
        <v>55</v>
      </c>
      <c r="O778" s="15" t="n">
        <f aca="false">MAX(I778,N778)</f>
        <v>55</v>
      </c>
      <c r="P778" s="15" t="n">
        <f aca="false">IF(C778="COVERED",MAX(0,O778-40),0)</f>
        <v>0</v>
      </c>
      <c r="Q778" s="15" t="n">
        <f aca="false">O778</f>
        <v>55</v>
      </c>
      <c r="R778" s="18" t="n">
        <f aca="false">IF(C778="COVERED",10.4,7.55)</f>
        <v>7.55</v>
      </c>
      <c r="S778" s="18" t="n">
        <f aca="false">Q778*R778</f>
        <v>415.25</v>
      </c>
      <c r="T778" s="13"/>
      <c r="U778" s="14"/>
      <c r="V778" s="13"/>
      <c r="W778" s="18"/>
      <c r="X778" s="18"/>
      <c r="Y778" s="18" t="str">
        <f aca="false">IF(ISNUMBER(X778),X778-S778,"")</f>
        <v/>
      </c>
      <c r="Z778" s="18" t="n">
        <f aca="false">IF(ISNUMBER(X778),X778-S778,-S778)</f>
        <v>-415.25</v>
      </c>
      <c r="AA778" s="13" t="str">
        <f aca="false">IF(NOT(ISNUMBER(X778)),"NO AUGUST POSTING IN EXPORT",IF(ABS(Y778)&gt;=0.005,"POSTED CHARGE MISMATCH",IF(P778&gt;0,"MATCH - COVERED ELIGIBILITY EXCEPTION","MATCH")))</f>
        <v>NO AUGUST POSTING IN EXPORT</v>
      </c>
      <c r="AB778" s="13" t="s">
        <v>5992</v>
      </c>
    </row>
    <row r="779" customFormat="false" ht="15" hidden="false" customHeight="false" outlineLevel="0" collapsed="false">
      <c r="A779" s="9" t="s">
        <v>5993</v>
      </c>
      <c r="B779" s="9" t="s">
        <v>204</v>
      </c>
      <c r="C779" s="9" t="s">
        <v>146</v>
      </c>
      <c r="D779" s="9" t="s">
        <v>2002</v>
      </c>
      <c r="E779" s="9" t="s">
        <v>2698</v>
      </c>
      <c r="F779" s="9" t="s">
        <v>5994</v>
      </c>
      <c r="G779" s="9" t="s">
        <v>5995</v>
      </c>
      <c r="H779" s="9" t="s">
        <v>5436</v>
      </c>
      <c r="I779" s="11" t="n">
        <v>40</v>
      </c>
      <c r="J779" s="11" t="n">
        <v>31.6</v>
      </c>
      <c r="K779" s="11"/>
      <c r="L779" s="11"/>
      <c r="M779" s="11" t="n">
        <f aca="false">IF(ISNUMBER(L779),L779,J779)</f>
        <v>31.6</v>
      </c>
      <c r="N779" s="11" t="n">
        <f aca="false">ROUNDUP(M779,0)</f>
        <v>32</v>
      </c>
      <c r="O779" s="11" t="n">
        <f aca="false">MAX(I779,N779)</f>
        <v>40</v>
      </c>
      <c r="P779" s="11" t="n">
        <f aca="false">IF(C779="COVERED",MAX(0,O779-40),0)</f>
        <v>0</v>
      </c>
      <c r="Q779" s="11" t="n">
        <f aca="false">O779</f>
        <v>40</v>
      </c>
      <c r="R779" s="17" t="n">
        <f aca="false">IF(C779="COVERED",10.4,7.55)</f>
        <v>7.55</v>
      </c>
      <c r="S779" s="17" t="n">
        <f aca="false">Q779*R779</f>
        <v>302</v>
      </c>
      <c r="T779" s="9"/>
      <c r="U779" s="10"/>
      <c r="V779" s="9"/>
      <c r="W779" s="17"/>
      <c r="X779" s="17"/>
      <c r="Y779" s="17" t="str">
        <f aca="false">IF(ISNUMBER(X779),X779-S779,"")</f>
        <v/>
      </c>
      <c r="Z779" s="17" t="n">
        <f aca="false">IF(ISNUMBER(X779),X779-S779,-S779)</f>
        <v>-302</v>
      </c>
      <c r="AA779" s="9" t="str">
        <f aca="false">IF(NOT(ISNUMBER(X779)),"NO AUGUST POSTING IN EXPORT",IF(ABS(Y779)&gt;=0.005,"POSTED CHARGE MISMATCH",IF(P779&gt;0,"MATCH - COVERED ELIGIBILITY EXCEPTION","MATCH")))</f>
        <v>NO AUGUST POSTING IN EXPORT</v>
      </c>
      <c r="AB779" s="9" t="s">
        <v>5996</v>
      </c>
    </row>
    <row r="780" customFormat="false" ht="15" hidden="false" customHeight="false" outlineLevel="0" collapsed="false">
      <c r="A780" s="13" t="s">
        <v>5997</v>
      </c>
      <c r="B780" s="13" t="s">
        <v>204</v>
      </c>
      <c r="C780" s="13" t="s">
        <v>146</v>
      </c>
      <c r="D780" s="13" t="s">
        <v>2002</v>
      </c>
      <c r="E780" s="13" t="s">
        <v>2702</v>
      </c>
      <c r="F780" s="13" t="s">
        <v>5998</v>
      </c>
      <c r="G780" s="13" t="s">
        <v>5999</v>
      </c>
      <c r="H780" s="13" t="s">
        <v>2520</v>
      </c>
      <c r="I780" s="15" t="n">
        <v>32</v>
      </c>
      <c r="J780" s="15" t="n">
        <v>47.2</v>
      </c>
      <c r="K780" s="15"/>
      <c r="L780" s="15"/>
      <c r="M780" s="15" t="n">
        <f aca="false">IF(ISNUMBER(L780),L780,J780)</f>
        <v>47.2</v>
      </c>
      <c r="N780" s="15" t="n">
        <f aca="false">ROUNDUP(M780,0)</f>
        <v>48</v>
      </c>
      <c r="O780" s="15" t="n">
        <f aca="false">MAX(I780,N780)</f>
        <v>48</v>
      </c>
      <c r="P780" s="15" t="n">
        <f aca="false">IF(C780="COVERED",MAX(0,O780-40),0)</f>
        <v>0</v>
      </c>
      <c r="Q780" s="15" t="n">
        <f aca="false">O780</f>
        <v>48</v>
      </c>
      <c r="R780" s="18" t="n">
        <f aca="false">IF(C780="COVERED",10.4,7.55)</f>
        <v>7.55</v>
      </c>
      <c r="S780" s="18" t="n">
        <f aca="false">Q780*R780</f>
        <v>362.4</v>
      </c>
      <c r="T780" s="13"/>
      <c r="U780" s="14"/>
      <c r="V780" s="13"/>
      <c r="W780" s="18"/>
      <c r="X780" s="18"/>
      <c r="Y780" s="18" t="str">
        <f aca="false">IF(ISNUMBER(X780),X780-S780,"")</f>
        <v/>
      </c>
      <c r="Z780" s="18" t="n">
        <f aca="false">IF(ISNUMBER(X780),X780-S780,-S780)</f>
        <v>-362.4</v>
      </c>
      <c r="AA780" s="13" t="str">
        <f aca="false">IF(NOT(ISNUMBER(X780)),"NO AUGUST POSTING IN EXPORT",IF(ABS(Y780)&gt;=0.005,"POSTED CHARGE MISMATCH",IF(P780&gt;0,"MATCH - COVERED ELIGIBILITY EXCEPTION","MATCH")))</f>
        <v>NO AUGUST POSTING IN EXPORT</v>
      </c>
      <c r="AB780" s="13" t="s">
        <v>6000</v>
      </c>
    </row>
    <row r="781" customFormat="false" ht="15" hidden="false" customHeight="false" outlineLevel="0" collapsed="false">
      <c r="A781" s="9" t="s">
        <v>6001</v>
      </c>
      <c r="B781" s="9" t="s">
        <v>204</v>
      </c>
      <c r="C781" s="9" t="s">
        <v>146</v>
      </c>
      <c r="D781" s="9" t="s">
        <v>2002</v>
      </c>
      <c r="E781" s="9" t="s">
        <v>2708</v>
      </c>
      <c r="F781" s="9" t="s">
        <v>6002</v>
      </c>
      <c r="G781" s="9" t="s">
        <v>6003</v>
      </c>
      <c r="H781" s="9" t="s">
        <v>2243</v>
      </c>
      <c r="I781" s="11" t="n">
        <v>24</v>
      </c>
      <c r="J781" s="11" t="n">
        <v>40.4</v>
      </c>
      <c r="K781" s="11"/>
      <c r="L781" s="11"/>
      <c r="M781" s="11" t="n">
        <f aca="false">IF(ISNUMBER(L781),L781,J781)</f>
        <v>40.4</v>
      </c>
      <c r="N781" s="11" t="n">
        <f aca="false">ROUNDUP(M781,0)</f>
        <v>41</v>
      </c>
      <c r="O781" s="11" t="n">
        <f aca="false">MAX(I781,N781)</f>
        <v>41</v>
      </c>
      <c r="P781" s="11" t="n">
        <f aca="false">IF(C781="COVERED",MAX(0,O781-40),0)</f>
        <v>0</v>
      </c>
      <c r="Q781" s="11" t="n">
        <f aca="false">O781</f>
        <v>41</v>
      </c>
      <c r="R781" s="17" t="n">
        <f aca="false">IF(C781="COVERED",10.4,7.55)</f>
        <v>7.55</v>
      </c>
      <c r="S781" s="17" t="n">
        <f aca="false">Q781*R781</f>
        <v>309.55</v>
      </c>
      <c r="T781" s="9"/>
      <c r="U781" s="10"/>
      <c r="V781" s="9"/>
      <c r="W781" s="17"/>
      <c r="X781" s="17"/>
      <c r="Y781" s="17" t="str">
        <f aca="false">IF(ISNUMBER(X781),X781-S781,"")</f>
        <v/>
      </c>
      <c r="Z781" s="17" t="n">
        <f aca="false">IF(ISNUMBER(X781),X781-S781,-S781)</f>
        <v>-309.55</v>
      </c>
      <c r="AA781" s="9" t="str">
        <f aca="false">IF(NOT(ISNUMBER(X781)),"NO AUGUST POSTING IN EXPORT",IF(ABS(Y781)&gt;=0.005,"POSTED CHARGE MISMATCH",IF(P781&gt;0,"MATCH - COVERED ELIGIBILITY EXCEPTION","MATCH")))</f>
        <v>NO AUGUST POSTING IN EXPORT</v>
      </c>
      <c r="AB781" s="9" t="s">
        <v>6004</v>
      </c>
    </row>
    <row r="782" customFormat="false" ht="15" hidden="false" customHeight="false" outlineLevel="0" collapsed="false">
      <c r="A782" s="13" t="s">
        <v>824</v>
      </c>
      <c r="B782" s="13" t="s">
        <v>204</v>
      </c>
      <c r="C782" s="13" t="s">
        <v>146</v>
      </c>
      <c r="D782" s="13" t="s">
        <v>2002</v>
      </c>
      <c r="E782" s="13" t="s">
        <v>2713</v>
      </c>
      <c r="F782" s="13" t="s">
        <v>6005</v>
      </c>
      <c r="G782" s="13" t="s">
        <v>6006</v>
      </c>
      <c r="H782" s="13" t="s">
        <v>6007</v>
      </c>
      <c r="I782" s="15" t="n">
        <v>24</v>
      </c>
      <c r="J782" s="15" t="n">
        <v>34.5</v>
      </c>
      <c r="K782" s="15"/>
      <c r="L782" s="15"/>
      <c r="M782" s="15" t="n">
        <f aca="false">IF(ISNUMBER(L782),L782,J782)</f>
        <v>34.5</v>
      </c>
      <c r="N782" s="15" t="n">
        <f aca="false">ROUNDUP(M782,0)</f>
        <v>35</v>
      </c>
      <c r="O782" s="15" t="n">
        <f aca="false">MAX(I782,N782)</f>
        <v>35</v>
      </c>
      <c r="P782" s="15" t="n">
        <f aca="false">IF(C782="COVERED",MAX(0,O782-40),0)</f>
        <v>0</v>
      </c>
      <c r="Q782" s="15" t="n">
        <f aca="false">O782</f>
        <v>35</v>
      </c>
      <c r="R782" s="18" t="n">
        <f aca="false">IF(C782="COVERED",10.4,7.55)</f>
        <v>7.55</v>
      </c>
      <c r="S782" s="18" t="n">
        <f aca="false">Q782*R782</f>
        <v>264.25</v>
      </c>
      <c r="T782" s="13"/>
      <c r="U782" s="14"/>
      <c r="V782" s="13"/>
      <c r="W782" s="18"/>
      <c r="X782" s="18"/>
      <c r="Y782" s="18" t="str">
        <f aca="false">IF(ISNUMBER(X782),X782-S782,"")</f>
        <v/>
      </c>
      <c r="Z782" s="18" t="n">
        <f aca="false">IF(ISNUMBER(X782),X782-S782,-S782)</f>
        <v>-264.25</v>
      </c>
      <c r="AA782" s="13" t="str">
        <f aca="false">IF(NOT(ISNUMBER(X782)),"NO AUGUST POSTING IN EXPORT",IF(ABS(Y782)&gt;=0.005,"POSTED CHARGE MISMATCH",IF(P782&gt;0,"MATCH - COVERED ELIGIBILITY EXCEPTION","MATCH")))</f>
        <v>NO AUGUST POSTING IN EXPORT</v>
      </c>
      <c r="AB782" s="13" t="s">
        <v>6008</v>
      </c>
    </row>
    <row r="783" customFormat="false" ht="15" hidden="false" customHeight="false" outlineLevel="0" collapsed="false">
      <c r="A783" s="9" t="s">
        <v>441</v>
      </c>
      <c r="B783" s="9" t="s">
        <v>204</v>
      </c>
      <c r="C783" s="9" t="s">
        <v>146</v>
      </c>
      <c r="D783" s="9" t="s">
        <v>2002</v>
      </c>
      <c r="E783" s="9" t="s">
        <v>2720</v>
      </c>
      <c r="F783" s="9" t="s">
        <v>668</v>
      </c>
      <c r="G783" s="9" t="s">
        <v>669</v>
      </c>
      <c r="H783" s="9" t="s">
        <v>4627</v>
      </c>
      <c r="I783" s="11" t="n">
        <v>40</v>
      </c>
      <c r="J783" s="11" t="n">
        <v>52.7</v>
      </c>
      <c r="K783" s="11"/>
      <c r="L783" s="11"/>
      <c r="M783" s="11" t="n">
        <f aca="false">IF(ISNUMBER(L783),L783,J783)</f>
        <v>52.7</v>
      </c>
      <c r="N783" s="11" t="n">
        <f aca="false">ROUNDUP(M783,0)</f>
        <v>53</v>
      </c>
      <c r="O783" s="11" t="n">
        <f aca="false">MAX(I783,N783)</f>
        <v>53</v>
      </c>
      <c r="P783" s="11" t="n">
        <f aca="false">IF(C783="COVERED",MAX(0,O783-40),0)</f>
        <v>0</v>
      </c>
      <c r="Q783" s="11" t="n">
        <f aca="false">O783</f>
        <v>53</v>
      </c>
      <c r="R783" s="17" t="n">
        <f aca="false">IF(C783="COVERED",10.4,7.55)</f>
        <v>7.55</v>
      </c>
      <c r="S783" s="17" t="n">
        <f aca="false">Q783*R783</f>
        <v>400.15</v>
      </c>
      <c r="T783" s="9"/>
      <c r="U783" s="10"/>
      <c r="V783" s="9"/>
      <c r="W783" s="17"/>
      <c r="X783" s="17"/>
      <c r="Y783" s="17" t="str">
        <f aca="false">IF(ISNUMBER(X783),X783-S783,"")</f>
        <v/>
      </c>
      <c r="Z783" s="17" t="n">
        <f aca="false">IF(ISNUMBER(X783),X783-S783,-S783)</f>
        <v>-400.15</v>
      </c>
      <c r="AA783" s="9" t="str">
        <f aca="false">IF(NOT(ISNUMBER(X783)),"NO AUGUST POSTING IN EXPORT",IF(ABS(Y783)&gt;=0.005,"POSTED CHARGE MISMATCH",IF(P783&gt;0,"MATCH - COVERED ELIGIBILITY EXCEPTION","MATCH")))</f>
        <v>NO AUGUST POSTING IN EXPORT</v>
      </c>
      <c r="AB783" s="9" t="s">
        <v>6009</v>
      </c>
    </row>
    <row r="784" customFormat="false" ht="15" hidden="false" customHeight="false" outlineLevel="0" collapsed="false">
      <c r="A784" s="13" t="s">
        <v>1155</v>
      </c>
      <c r="B784" s="13" t="s">
        <v>204</v>
      </c>
      <c r="C784" s="13" t="s">
        <v>146</v>
      </c>
      <c r="D784" s="13" t="s">
        <v>2002</v>
      </c>
      <c r="E784" s="13" t="s">
        <v>2727</v>
      </c>
      <c r="F784" s="13" t="s">
        <v>6010</v>
      </c>
      <c r="G784" s="13" t="s">
        <v>6011</v>
      </c>
      <c r="H784" s="13" t="s">
        <v>5598</v>
      </c>
      <c r="I784" s="15" t="n">
        <v>32</v>
      </c>
      <c r="J784" s="15" t="n">
        <v>33.2</v>
      </c>
      <c r="K784" s="15"/>
      <c r="L784" s="15"/>
      <c r="M784" s="15" t="n">
        <f aca="false">IF(ISNUMBER(L784),L784,J784)</f>
        <v>33.2</v>
      </c>
      <c r="N784" s="15" t="n">
        <f aca="false">ROUNDUP(M784,0)</f>
        <v>34</v>
      </c>
      <c r="O784" s="15" t="n">
        <f aca="false">MAX(I784,N784)</f>
        <v>34</v>
      </c>
      <c r="P784" s="15" t="n">
        <f aca="false">IF(C784="COVERED",MAX(0,O784-40),0)</f>
        <v>0</v>
      </c>
      <c r="Q784" s="15" t="n">
        <f aca="false">O784</f>
        <v>34</v>
      </c>
      <c r="R784" s="18" t="n">
        <f aca="false">IF(C784="COVERED",10.4,7.55)</f>
        <v>7.55</v>
      </c>
      <c r="S784" s="18" t="n">
        <f aca="false">Q784*R784</f>
        <v>256.7</v>
      </c>
      <c r="T784" s="13"/>
      <c r="U784" s="14"/>
      <c r="V784" s="13"/>
      <c r="W784" s="18"/>
      <c r="X784" s="18"/>
      <c r="Y784" s="18" t="str">
        <f aca="false">IF(ISNUMBER(X784),X784-S784,"")</f>
        <v/>
      </c>
      <c r="Z784" s="18" t="n">
        <f aca="false">IF(ISNUMBER(X784),X784-S784,-S784)</f>
        <v>-256.7</v>
      </c>
      <c r="AA784" s="13" t="str">
        <f aca="false">IF(NOT(ISNUMBER(X784)),"NO AUGUST POSTING IN EXPORT",IF(ABS(Y784)&gt;=0.005,"POSTED CHARGE MISMATCH",IF(P784&gt;0,"MATCH - COVERED ELIGIBILITY EXCEPTION","MATCH")))</f>
        <v>NO AUGUST POSTING IN EXPORT</v>
      </c>
      <c r="AB784" s="13" t="s">
        <v>6012</v>
      </c>
    </row>
    <row r="785" customFormat="false" ht="15" hidden="false" customHeight="false" outlineLevel="0" collapsed="false">
      <c r="A785" s="9" t="s">
        <v>6013</v>
      </c>
      <c r="B785" s="9" t="s">
        <v>204</v>
      </c>
      <c r="C785" s="9" t="s">
        <v>146</v>
      </c>
      <c r="D785" s="9" t="s">
        <v>2002</v>
      </c>
      <c r="E785" s="9" t="s">
        <v>2734</v>
      </c>
      <c r="F785" s="9" t="s">
        <v>1967</v>
      </c>
      <c r="G785" s="9" t="s">
        <v>1968</v>
      </c>
      <c r="H785" s="9" t="s">
        <v>6014</v>
      </c>
      <c r="I785" s="11" t="n">
        <v>80</v>
      </c>
      <c r="J785" s="11" t="n">
        <v>21</v>
      </c>
      <c r="K785" s="11"/>
      <c r="L785" s="11"/>
      <c r="M785" s="11" t="n">
        <f aca="false">IF(ISNUMBER(L785),L785,J785)</f>
        <v>21</v>
      </c>
      <c r="N785" s="11" t="n">
        <f aca="false">ROUNDUP(M785,0)</f>
        <v>21</v>
      </c>
      <c r="O785" s="11" t="n">
        <f aca="false">MAX(I785,N785)</f>
        <v>80</v>
      </c>
      <c r="P785" s="11" t="n">
        <f aca="false">IF(C785="COVERED",MAX(0,O785-40),0)</f>
        <v>0</v>
      </c>
      <c r="Q785" s="11" t="n">
        <f aca="false">O785</f>
        <v>80</v>
      </c>
      <c r="R785" s="17" t="n">
        <f aca="false">IF(C785="COVERED",10.4,7.55)</f>
        <v>7.55</v>
      </c>
      <c r="S785" s="17" t="n">
        <f aca="false">Q785*R785</f>
        <v>604</v>
      </c>
      <c r="T785" s="9"/>
      <c r="U785" s="10"/>
      <c r="V785" s="9"/>
      <c r="W785" s="17"/>
      <c r="X785" s="17"/>
      <c r="Y785" s="17" t="str">
        <f aca="false">IF(ISNUMBER(X785),X785-S785,"")</f>
        <v/>
      </c>
      <c r="Z785" s="17" t="n">
        <f aca="false">IF(ISNUMBER(X785),X785-S785,-S785)</f>
        <v>-604</v>
      </c>
      <c r="AA785" s="9" t="str">
        <f aca="false">IF(NOT(ISNUMBER(X785)),"NO AUGUST POSTING IN EXPORT",IF(ABS(Y785)&gt;=0.005,"POSTED CHARGE MISMATCH",IF(P785&gt;0,"MATCH - COVERED ELIGIBILITY EXCEPTION","MATCH")))</f>
        <v>NO AUGUST POSTING IN EXPORT</v>
      </c>
      <c r="AB785" s="9" t="s">
        <v>6015</v>
      </c>
    </row>
    <row r="786" customFormat="false" ht="15" hidden="false" customHeight="false" outlineLevel="0" collapsed="false">
      <c r="A786" s="13" t="s">
        <v>6016</v>
      </c>
      <c r="B786" s="13" t="s">
        <v>204</v>
      </c>
      <c r="C786" s="13" t="s">
        <v>146</v>
      </c>
      <c r="D786" s="13" t="s">
        <v>2002</v>
      </c>
      <c r="E786" s="13" t="s">
        <v>2741</v>
      </c>
      <c r="F786" s="13" t="s">
        <v>6017</v>
      </c>
      <c r="G786" s="13" t="s">
        <v>6018</v>
      </c>
      <c r="H786" s="13" t="s">
        <v>4062</v>
      </c>
      <c r="I786" s="15" t="n">
        <v>24</v>
      </c>
      <c r="J786" s="15" t="n">
        <v>41.9</v>
      </c>
      <c r="K786" s="15"/>
      <c r="L786" s="15"/>
      <c r="M786" s="15" t="n">
        <f aca="false">IF(ISNUMBER(L786),L786,J786)</f>
        <v>41.9</v>
      </c>
      <c r="N786" s="15" t="n">
        <f aca="false">ROUNDUP(M786,0)</f>
        <v>42</v>
      </c>
      <c r="O786" s="15" t="n">
        <f aca="false">MAX(I786,N786)</f>
        <v>42</v>
      </c>
      <c r="P786" s="15" t="n">
        <f aca="false">IF(C786="COVERED",MAX(0,O786-40),0)</f>
        <v>0</v>
      </c>
      <c r="Q786" s="15" t="n">
        <f aca="false">O786</f>
        <v>42</v>
      </c>
      <c r="R786" s="18" t="n">
        <f aca="false">IF(C786="COVERED",10.4,7.55)</f>
        <v>7.55</v>
      </c>
      <c r="S786" s="18" t="n">
        <f aca="false">Q786*R786</f>
        <v>317.1</v>
      </c>
      <c r="T786" s="13"/>
      <c r="U786" s="14"/>
      <c r="V786" s="13"/>
      <c r="W786" s="18"/>
      <c r="X786" s="18"/>
      <c r="Y786" s="18" t="str">
        <f aca="false">IF(ISNUMBER(X786),X786-S786,"")</f>
        <v/>
      </c>
      <c r="Z786" s="18" t="n">
        <f aca="false">IF(ISNUMBER(X786),X786-S786,-S786)</f>
        <v>-317.1</v>
      </c>
      <c r="AA786" s="13" t="str">
        <f aca="false">IF(NOT(ISNUMBER(X786)),"NO AUGUST POSTING IN EXPORT",IF(ABS(Y786)&gt;=0.005,"POSTED CHARGE MISMATCH",IF(P786&gt;0,"MATCH - COVERED ELIGIBILITY EXCEPTION","MATCH")))</f>
        <v>NO AUGUST POSTING IN EXPORT</v>
      </c>
      <c r="AB786" s="13" t="s">
        <v>6019</v>
      </c>
    </row>
    <row r="787" customFormat="false" ht="15" hidden="false" customHeight="false" outlineLevel="0" collapsed="false">
      <c r="A787" s="9" t="s">
        <v>6020</v>
      </c>
      <c r="B787" s="9" t="s">
        <v>204</v>
      </c>
      <c r="C787" s="9" t="s">
        <v>146</v>
      </c>
      <c r="D787" s="9" t="s">
        <v>2002</v>
      </c>
      <c r="E787" s="9" t="s">
        <v>2747</v>
      </c>
      <c r="F787" s="9" t="s">
        <v>6021</v>
      </c>
      <c r="G787" s="9" t="s">
        <v>6022</v>
      </c>
      <c r="H787" s="9" t="s">
        <v>4213</v>
      </c>
      <c r="I787" s="11" t="n">
        <v>80</v>
      </c>
      <c r="J787" s="11" t="n">
        <v>47.1</v>
      </c>
      <c r="K787" s="11"/>
      <c r="L787" s="11"/>
      <c r="M787" s="11" t="n">
        <f aca="false">IF(ISNUMBER(L787),L787,J787)</f>
        <v>47.1</v>
      </c>
      <c r="N787" s="11" t="n">
        <f aca="false">ROUNDUP(M787,0)</f>
        <v>48</v>
      </c>
      <c r="O787" s="11" t="n">
        <f aca="false">MAX(I787,N787)</f>
        <v>80</v>
      </c>
      <c r="P787" s="11" t="n">
        <f aca="false">IF(C787="COVERED",MAX(0,O787-40),0)</f>
        <v>0</v>
      </c>
      <c r="Q787" s="11" t="n">
        <f aca="false">O787</f>
        <v>80</v>
      </c>
      <c r="R787" s="17" t="n">
        <f aca="false">IF(C787="COVERED",10.4,7.55)</f>
        <v>7.55</v>
      </c>
      <c r="S787" s="17" t="n">
        <f aca="false">Q787*R787</f>
        <v>604</v>
      </c>
      <c r="T787" s="9"/>
      <c r="U787" s="10"/>
      <c r="V787" s="9"/>
      <c r="W787" s="17"/>
      <c r="X787" s="17"/>
      <c r="Y787" s="17" t="str">
        <f aca="false">IF(ISNUMBER(X787),X787-S787,"")</f>
        <v/>
      </c>
      <c r="Z787" s="17" t="n">
        <f aca="false">IF(ISNUMBER(X787),X787-S787,-S787)</f>
        <v>-604</v>
      </c>
      <c r="AA787" s="9" t="str">
        <f aca="false">IF(NOT(ISNUMBER(X787)),"NO AUGUST POSTING IN EXPORT",IF(ABS(Y787)&gt;=0.005,"POSTED CHARGE MISMATCH",IF(P787&gt;0,"MATCH - COVERED ELIGIBILITY EXCEPTION","MATCH")))</f>
        <v>NO AUGUST POSTING IN EXPORT</v>
      </c>
      <c r="AB787" s="9" t="s">
        <v>6023</v>
      </c>
    </row>
    <row r="788" customFormat="false" ht="15" hidden="false" customHeight="false" outlineLevel="0" collapsed="false">
      <c r="A788" s="13" t="s">
        <v>1019</v>
      </c>
      <c r="B788" s="13" t="s">
        <v>204</v>
      </c>
      <c r="C788" s="13" t="s">
        <v>146</v>
      </c>
      <c r="D788" s="13" t="s">
        <v>2002</v>
      </c>
      <c r="E788" s="13" t="s">
        <v>2753</v>
      </c>
      <c r="F788" s="13" t="s">
        <v>6024</v>
      </c>
      <c r="G788" s="13" t="s">
        <v>6025</v>
      </c>
      <c r="H788" s="13" t="s">
        <v>3114</v>
      </c>
      <c r="I788" s="15" t="n">
        <v>40</v>
      </c>
      <c r="J788" s="15" t="n">
        <v>30.9</v>
      </c>
      <c r="K788" s="15"/>
      <c r="L788" s="15"/>
      <c r="M788" s="15" t="n">
        <f aca="false">IF(ISNUMBER(L788),L788,J788)</f>
        <v>30.9</v>
      </c>
      <c r="N788" s="15" t="n">
        <f aca="false">ROUNDUP(M788,0)</f>
        <v>31</v>
      </c>
      <c r="O788" s="15" t="n">
        <f aca="false">MAX(I788,N788)</f>
        <v>40</v>
      </c>
      <c r="P788" s="15" t="n">
        <f aca="false">IF(C788="COVERED",MAX(0,O788-40),0)</f>
        <v>0</v>
      </c>
      <c r="Q788" s="15" t="n">
        <f aca="false">O788</f>
        <v>40</v>
      </c>
      <c r="R788" s="18" t="n">
        <f aca="false">IF(C788="COVERED",10.4,7.55)</f>
        <v>7.55</v>
      </c>
      <c r="S788" s="18" t="n">
        <f aca="false">Q788*R788</f>
        <v>302</v>
      </c>
      <c r="T788" s="13"/>
      <c r="U788" s="14"/>
      <c r="V788" s="13"/>
      <c r="W788" s="18"/>
      <c r="X788" s="18"/>
      <c r="Y788" s="18" t="str">
        <f aca="false">IF(ISNUMBER(X788),X788-S788,"")</f>
        <v/>
      </c>
      <c r="Z788" s="18" t="n">
        <f aca="false">IF(ISNUMBER(X788),X788-S788,-S788)</f>
        <v>-302</v>
      </c>
      <c r="AA788" s="13" t="str">
        <f aca="false">IF(NOT(ISNUMBER(X788)),"NO AUGUST POSTING IN EXPORT",IF(ABS(Y788)&gt;=0.005,"POSTED CHARGE MISMATCH",IF(P788&gt;0,"MATCH - COVERED ELIGIBILITY EXCEPTION","MATCH")))</f>
        <v>NO AUGUST POSTING IN EXPORT</v>
      </c>
      <c r="AB788" s="13" t="s">
        <v>6026</v>
      </c>
    </row>
    <row r="789" customFormat="false" ht="15" hidden="false" customHeight="false" outlineLevel="0" collapsed="false">
      <c r="A789" s="9" t="s">
        <v>6027</v>
      </c>
      <c r="B789" s="9" t="s">
        <v>204</v>
      </c>
      <c r="C789" s="9" t="s">
        <v>146</v>
      </c>
      <c r="D789" s="9" t="s">
        <v>2002</v>
      </c>
      <c r="E789" s="9" t="s">
        <v>2765</v>
      </c>
      <c r="F789" s="9" t="s">
        <v>6028</v>
      </c>
      <c r="G789" s="9" t="s">
        <v>6029</v>
      </c>
      <c r="H789" s="9" t="s">
        <v>3523</v>
      </c>
      <c r="I789" s="11" t="n">
        <v>36</v>
      </c>
      <c r="J789" s="11" t="n">
        <v>37</v>
      </c>
      <c r="K789" s="11"/>
      <c r="L789" s="11"/>
      <c r="M789" s="11" t="n">
        <f aca="false">IF(ISNUMBER(L789),L789,J789)</f>
        <v>37</v>
      </c>
      <c r="N789" s="11" t="n">
        <f aca="false">ROUNDUP(M789,0)</f>
        <v>37</v>
      </c>
      <c r="O789" s="11" t="n">
        <f aca="false">MAX(I789,N789)</f>
        <v>37</v>
      </c>
      <c r="P789" s="11" t="n">
        <f aca="false">IF(C789="COVERED",MAX(0,O789-40),0)</f>
        <v>0</v>
      </c>
      <c r="Q789" s="11" t="n">
        <f aca="false">O789</f>
        <v>37</v>
      </c>
      <c r="R789" s="17" t="n">
        <f aca="false">IF(C789="COVERED",10.4,7.55)</f>
        <v>7.55</v>
      </c>
      <c r="S789" s="17" t="n">
        <f aca="false">Q789*R789</f>
        <v>279.35</v>
      </c>
      <c r="T789" s="9"/>
      <c r="U789" s="10"/>
      <c r="V789" s="9"/>
      <c r="W789" s="17"/>
      <c r="X789" s="17"/>
      <c r="Y789" s="17" t="str">
        <f aca="false">IF(ISNUMBER(X789),X789-S789,"")</f>
        <v/>
      </c>
      <c r="Z789" s="17" t="n">
        <f aca="false">IF(ISNUMBER(X789),X789-S789,-S789)</f>
        <v>-279.35</v>
      </c>
      <c r="AA789" s="9" t="str">
        <f aca="false">IF(NOT(ISNUMBER(X789)),"NO AUGUST POSTING IN EXPORT",IF(ABS(Y789)&gt;=0.005,"POSTED CHARGE MISMATCH",IF(P789&gt;0,"MATCH - COVERED ELIGIBILITY EXCEPTION","MATCH")))</f>
        <v>NO AUGUST POSTING IN EXPORT</v>
      </c>
      <c r="AB789" s="9" t="s">
        <v>6030</v>
      </c>
    </row>
    <row r="790" customFormat="false" ht="15" hidden="false" customHeight="false" outlineLevel="0" collapsed="false">
      <c r="A790" s="13" t="s">
        <v>687</v>
      </c>
      <c r="B790" s="13" t="s">
        <v>204</v>
      </c>
      <c r="C790" s="13" t="s">
        <v>146</v>
      </c>
      <c r="D790" s="13" t="s">
        <v>2002</v>
      </c>
      <c r="E790" s="13" t="s">
        <v>2772</v>
      </c>
      <c r="F790" s="13" t="s">
        <v>6031</v>
      </c>
      <c r="G790" s="13" t="s">
        <v>6032</v>
      </c>
      <c r="H790" s="13" t="s">
        <v>6033</v>
      </c>
      <c r="I790" s="15" t="n">
        <v>60</v>
      </c>
      <c r="J790" s="15" t="n">
        <v>31.7</v>
      </c>
      <c r="K790" s="15"/>
      <c r="L790" s="15"/>
      <c r="M790" s="15" t="n">
        <f aca="false">IF(ISNUMBER(L790),L790,J790)</f>
        <v>31.7</v>
      </c>
      <c r="N790" s="15" t="n">
        <f aca="false">ROUNDUP(M790,0)</f>
        <v>32</v>
      </c>
      <c r="O790" s="15" t="n">
        <f aca="false">MAX(I790,N790)</f>
        <v>60</v>
      </c>
      <c r="P790" s="15" t="n">
        <f aca="false">IF(C790="COVERED",MAX(0,O790-40),0)</f>
        <v>0</v>
      </c>
      <c r="Q790" s="15" t="n">
        <f aca="false">O790</f>
        <v>60</v>
      </c>
      <c r="R790" s="18" t="n">
        <f aca="false">IF(C790="COVERED",10.4,7.55)</f>
        <v>7.55</v>
      </c>
      <c r="S790" s="18" t="n">
        <f aca="false">Q790*R790</f>
        <v>453</v>
      </c>
      <c r="T790" s="13"/>
      <c r="U790" s="14"/>
      <c r="V790" s="13"/>
      <c r="W790" s="18"/>
      <c r="X790" s="18"/>
      <c r="Y790" s="18" t="str">
        <f aca="false">IF(ISNUMBER(X790),X790-S790,"")</f>
        <v/>
      </c>
      <c r="Z790" s="18" t="n">
        <f aca="false">IF(ISNUMBER(X790),X790-S790,-S790)</f>
        <v>-453</v>
      </c>
      <c r="AA790" s="13" t="str">
        <f aca="false">IF(NOT(ISNUMBER(X790)),"NO AUGUST POSTING IN EXPORT",IF(ABS(Y790)&gt;=0.005,"POSTED CHARGE MISMATCH",IF(P790&gt;0,"MATCH - COVERED ELIGIBILITY EXCEPTION","MATCH")))</f>
        <v>NO AUGUST POSTING IN EXPORT</v>
      </c>
      <c r="AB790" s="13" t="s">
        <v>6034</v>
      </c>
    </row>
    <row r="791" customFormat="false" ht="15" hidden="false" customHeight="false" outlineLevel="0" collapsed="false">
      <c r="A791" s="9" t="s">
        <v>6035</v>
      </c>
      <c r="B791" s="9" t="s">
        <v>204</v>
      </c>
      <c r="C791" s="9" t="s">
        <v>146</v>
      </c>
      <c r="D791" s="9" t="s">
        <v>2002</v>
      </c>
      <c r="E791" s="9" t="s">
        <v>2778</v>
      </c>
      <c r="F791" s="9" t="s">
        <v>6036</v>
      </c>
      <c r="G791" s="9" t="s">
        <v>6037</v>
      </c>
      <c r="H791" s="9" t="s">
        <v>2762</v>
      </c>
      <c r="I791" s="11" t="n">
        <v>36</v>
      </c>
      <c r="J791" s="11" t="n">
        <v>24.7</v>
      </c>
      <c r="K791" s="11"/>
      <c r="L791" s="11"/>
      <c r="M791" s="11" t="n">
        <f aca="false">IF(ISNUMBER(L791),L791,J791)</f>
        <v>24.7</v>
      </c>
      <c r="N791" s="11" t="n">
        <f aca="false">ROUNDUP(M791,0)</f>
        <v>25</v>
      </c>
      <c r="O791" s="11" t="n">
        <f aca="false">MAX(I791,N791)</f>
        <v>36</v>
      </c>
      <c r="P791" s="11" t="n">
        <f aca="false">IF(C791="COVERED",MAX(0,O791-40),0)</f>
        <v>0</v>
      </c>
      <c r="Q791" s="11" t="n">
        <f aca="false">O791</f>
        <v>36</v>
      </c>
      <c r="R791" s="17" t="n">
        <f aca="false">IF(C791="COVERED",10.4,7.55)</f>
        <v>7.55</v>
      </c>
      <c r="S791" s="17" t="n">
        <f aca="false">Q791*R791</f>
        <v>271.8</v>
      </c>
      <c r="T791" s="9"/>
      <c r="U791" s="10"/>
      <c r="V791" s="9"/>
      <c r="W791" s="17"/>
      <c r="X791" s="17"/>
      <c r="Y791" s="17" t="str">
        <f aca="false">IF(ISNUMBER(X791),X791-S791,"")</f>
        <v/>
      </c>
      <c r="Z791" s="17" t="n">
        <f aca="false">IF(ISNUMBER(X791),X791-S791,-S791)</f>
        <v>-271.8</v>
      </c>
      <c r="AA791" s="9" t="str">
        <f aca="false">IF(NOT(ISNUMBER(X791)),"NO AUGUST POSTING IN EXPORT",IF(ABS(Y791)&gt;=0.005,"POSTED CHARGE MISMATCH",IF(P791&gt;0,"MATCH - COVERED ELIGIBILITY EXCEPTION","MATCH")))</f>
        <v>NO AUGUST POSTING IN EXPORT</v>
      </c>
      <c r="AB791" s="9" t="s">
        <v>6038</v>
      </c>
    </row>
    <row r="792" customFormat="false" ht="15" hidden="false" customHeight="false" outlineLevel="0" collapsed="false">
      <c r="A792" s="13" t="s">
        <v>6039</v>
      </c>
      <c r="B792" s="13" t="s">
        <v>204</v>
      </c>
      <c r="C792" s="13" t="s">
        <v>146</v>
      </c>
      <c r="D792" s="13" t="s">
        <v>2002</v>
      </c>
      <c r="E792" s="13" t="s">
        <v>3975</v>
      </c>
      <c r="F792" s="13" t="s">
        <v>6040</v>
      </c>
      <c r="G792" s="13" t="s">
        <v>6041</v>
      </c>
      <c r="H792" s="13" t="s">
        <v>6042</v>
      </c>
      <c r="I792" s="15" t="n">
        <v>24</v>
      </c>
      <c r="J792" s="15" t="n">
        <v>45</v>
      </c>
      <c r="K792" s="15"/>
      <c r="L792" s="15"/>
      <c r="M792" s="15" t="n">
        <f aca="false">IF(ISNUMBER(L792),L792,J792)</f>
        <v>45</v>
      </c>
      <c r="N792" s="15" t="n">
        <f aca="false">ROUNDUP(M792,0)</f>
        <v>45</v>
      </c>
      <c r="O792" s="15" t="n">
        <f aca="false">MAX(I792,N792)</f>
        <v>45</v>
      </c>
      <c r="P792" s="15" t="n">
        <f aca="false">IF(C792="COVERED",MAX(0,O792-40),0)</f>
        <v>0</v>
      </c>
      <c r="Q792" s="15" t="n">
        <f aca="false">O792</f>
        <v>45</v>
      </c>
      <c r="R792" s="18" t="n">
        <f aca="false">IF(C792="COVERED",10.4,7.55)</f>
        <v>7.55</v>
      </c>
      <c r="S792" s="18" t="n">
        <f aca="false">Q792*R792</f>
        <v>339.75</v>
      </c>
      <c r="T792" s="13"/>
      <c r="U792" s="14"/>
      <c r="V792" s="13"/>
      <c r="W792" s="18"/>
      <c r="X792" s="18"/>
      <c r="Y792" s="18" t="str">
        <f aca="false">IF(ISNUMBER(X792),X792-S792,"")</f>
        <v/>
      </c>
      <c r="Z792" s="18" t="n">
        <f aca="false">IF(ISNUMBER(X792),X792-S792,-S792)</f>
        <v>-339.75</v>
      </c>
      <c r="AA792" s="13" t="str">
        <f aca="false">IF(NOT(ISNUMBER(X792)),"NO AUGUST POSTING IN EXPORT",IF(ABS(Y792)&gt;=0.005,"POSTED CHARGE MISMATCH",IF(P792&gt;0,"MATCH - COVERED ELIGIBILITY EXCEPTION","MATCH")))</f>
        <v>NO AUGUST POSTING IN EXPORT</v>
      </c>
      <c r="AB792" s="13" t="s">
        <v>6043</v>
      </c>
    </row>
    <row r="793" customFormat="false" ht="15" hidden="false" customHeight="false" outlineLevel="0" collapsed="false">
      <c r="A793" s="9" t="s">
        <v>6044</v>
      </c>
      <c r="B793" s="9" t="s">
        <v>204</v>
      </c>
      <c r="C793" s="9" t="s">
        <v>146</v>
      </c>
      <c r="D793" s="9" t="s">
        <v>2002</v>
      </c>
      <c r="E793" s="9" t="s">
        <v>3980</v>
      </c>
      <c r="F793" s="9" t="s">
        <v>6045</v>
      </c>
      <c r="G793" s="9" t="s">
        <v>6046</v>
      </c>
      <c r="H793" s="9" t="s">
        <v>2520</v>
      </c>
      <c r="I793" s="11" t="n">
        <v>28</v>
      </c>
      <c r="J793" s="11" t="n">
        <v>53.6</v>
      </c>
      <c r="K793" s="11"/>
      <c r="L793" s="11"/>
      <c r="M793" s="11" t="n">
        <f aca="false">IF(ISNUMBER(L793),L793,J793)</f>
        <v>53.6</v>
      </c>
      <c r="N793" s="11" t="n">
        <f aca="false">ROUNDUP(M793,0)</f>
        <v>54</v>
      </c>
      <c r="O793" s="11" t="n">
        <f aca="false">MAX(I793,N793)</f>
        <v>54</v>
      </c>
      <c r="P793" s="11" t="n">
        <f aca="false">IF(C793="COVERED",MAX(0,O793-40),0)</f>
        <v>0</v>
      </c>
      <c r="Q793" s="11" t="n">
        <f aca="false">O793</f>
        <v>54</v>
      </c>
      <c r="R793" s="17" t="n">
        <f aca="false">IF(C793="COVERED",10.4,7.55)</f>
        <v>7.55</v>
      </c>
      <c r="S793" s="17" t="n">
        <f aca="false">Q793*R793</f>
        <v>407.7</v>
      </c>
      <c r="T793" s="9"/>
      <c r="U793" s="10"/>
      <c r="V793" s="9"/>
      <c r="W793" s="17"/>
      <c r="X793" s="17"/>
      <c r="Y793" s="17" t="str">
        <f aca="false">IF(ISNUMBER(X793),X793-S793,"")</f>
        <v/>
      </c>
      <c r="Z793" s="17" t="n">
        <f aca="false">IF(ISNUMBER(X793),X793-S793,-S793)</f>
        <v>-407.7</v>
      </c>
      <c r="AA793" s="9" t="str">
        <f aca="false">IF(NOT(ISNUMBER(X793)),"NO AUGUST POSTING IN EXPORT",IF(ABS(Y793)&gt;=0.005,"POSTED CHARGE MISMATCH",IF(P793&gt;0,"MATCH - COVERED ELIGIBILITY EXCEPTION","MATCH")))</f>
        <v>NO AUGUST POSTING IN EXPORT</v>
      </c>
      <c r="AB793" s="9" t="s">
        <v>6047</v>
      </c>
    </row>
    <row r="794" customFormat="false" ht="15" hidden="false" customHeight="false" outlineLevel="0" collapsed="false">
      <c r="A794" s="13" t="s">
        <v>6048</v>
      </c>
      <c r="B794" s="13" t="s">
        <v>204</v>
      </c>
      <c r="C794" s="13" t="s">
        <v>146</v>
      </c>
      <c r="D794" s="13" t="s">
        <v>2002</v>
      </c>
      <c r="E794" s="13" t="s">
        <v>2784</v>
      </c>
      <c r="F794" s="13" t="s">
        <v>6049</v>
      </c>
      <c r="G794" s="13" t="s">
        <v>6050</v>
      </c>
      <c r="H794" s="13" t="s">
        <v>6051</v>
      </c>
      <c r="I794" s="15" t="n">
        <v>80</v>
      </c>
      <c r="J794" s="15" t="n">
        <v>49.5</v>
      </c>
      <c r="K794" s="15"/>
      <c r="L794" s="15"/>
      <c r="M794" s="15" t="n">
        <f aca="false">IF(ISNUMBER(L794),L794,J794)</f>
        <v>49.5</v>
      </c>
      <c r="N794" s="15" t="n">
        <f aca="false">ROUNDUP(M794,0)</f>
        <v>50</v>
      </c>
      <c r="O794" s="15" t="n">
        <f aca="false">MAX(I794,N794)</f>
        <v>80</v>
      </c>
      <c r="P794" s="15" t="n">
        <f aca="false">IF(C794="COVERED",MAX(0,O794-40),0)</f>
        <v>0</v>
      </c>
      <c r="Q794" s="15" t="n">
        <f aca="false">O794</f>
        <v>80</v>
      </c>
      <c r="R794" s="18" t="n">
        <f aca="false">IF(C794="COVERED",10.4,7.55)</f>
        <v>7.55</v>
      </c>
      <c r="S794" s="18" t="n">
        <f aca="false">Q794*R794</f>
        <v>604</v>
      </c>
      <c r="T794" s="13"/>
      <c r="U794" s="14"/>
      <c r="V794" s="13"/>
      <c r="W794" s="18"/>
      <c r="X794" s="18"/>
      <c r="Y794" s="18" t="str">
        <f aca="false">IF(ISNUMBER(X794),X794-S794,"")</f>
        <v/>
      </c>
      <c r="Z794" s="18" t="n">
        <f aca="false">IF(ISNUMBER(X794),X794-S794,-S794)</f>
        <v>-604</v>
      </c>
      <c r="AA794" s="13" t="str">
        <f aca="false">IF(NOT(ISNUMBER(X794)),"NO AUGUST POSTING IN EXPORT",IF(ABS(Y794)&gt;=0.005,"POSTED CHARGE MISMATCH",IF(P794&gt;0,"MATCH - COVERED ELIGIBILITY EXCEPTION","MATCH")))</f>
        <v>NO AUGUST POSTING IN EXPORT</v>
      </c>
      <c r="AB794" s="13" t="s">
        <v>6052</v>
      </c>
    </row>
    <row r="795" customFormat="false" ht="15" hidden="false" customHeight="false" outlineLevel="0" collapsed="false">
      <c r="A795" s="9" t="s">
        <v>6053</v>
      </c>
      <c r="B795" s="9" t="s">
        <v>204</v>
      </c>
      <c r="C795" s="9" t="s">
        <v>146</v>
      </c>
      <c r="D795" s="9" t="s">
        <v>2002</v>
      </c>
      <c r="E795" s="9" t="s">
        <v>2791</v>
      </c>
      <c r="F795" s="9" t="s">
        <v>6054</v>
      </c>
      <c r="G795" s="9" t="s">
        <v>6055</v>
      </c>
      <c r="H795" s="9" t="s">
        <v>6056</v>
      </c>
      <c r="I795" s="11" t="n">
        <v>45</v>
      </c>
      <c r="J795" s="11" t="n">
        <v>27.7</v>
      </c>
      <c r="K795" s="11"/>
      <c r="L795" s="11"/>
      <c r="M795" s="11" t="n">
        <f aca="false">IF(ISNUMBER(L795),L795,J795)</f>
        <v>27.7</v>
      </c>
      <c r="N795" s="11" t="n">
        <f aca="false">ROUNDUP(M795,0)</f>
        <v>28</v>
      </c>
      <c r="O795" s="11" t="n">
        <f aca="false">MAX(I795,N795)</f>
        <v>45</v>
      </c>
      <c r="P795" s="11" t="n">
        <f aca="false">IF(C795="COVERED",MAX(0,O795-40),0)</f>
        <v>0</v>
      </c>
      <c r="Q795" s="11" t="n">
        <f aca="false">O795</f>
        <v>45</v>
      </c>
      <c r="R795" s="17" t="n">
        <f aca="false">IF(C795="COVERED",10.4,7.55)</f>
        <v>7.55</v>
      </c>
      <c r="S795" s="17" t="n">
        <f aca="false">Q795*R795</f>
        <v>339.75</v>
      </c>
      <c r="T795" s="9"/>
      <c r="U795" s="10"/>
      <c r="V795" s="9"/>
      <c r="W795" s="17"/>
      <c r="X795" s="17"/>
      <c r="Y795" s="17" t="str">
        <f aca="false">IF(ISNUMBER(X795),X795-S795,"")</f>
        <v/>
      </c>
      <c r="Z795" s="17" t="n">
        <f aca="false">IF(ISNUMBER(X795),X795-S795,-S795)</f>
        <v>-339.75</v>
      </c>
      <c r="AA795" s="9" t="str">
        <f aca="false">IF(NOT(ISNUMBER(X795)),"NO AUGUST POSTING IN EXPORT",IF(ABS(Y795)&gt;=0.005,"POSTED CHARGE MISMATCH",IF(P795&gt;0,"MATCH - COVERED ELIGIBILITY EXCEPTION","MATCH")))</f>
        <v>NO AUGUST POSTING IN EXPORT</v>
      </c>
      <c r="AB795" s="9" t="s">
        <v>6057</v>
      </c>
    </row>
    <row r="796" customFormat="false" ht="15" hidden="false" customHeight="false" outlineLevel="0" collapsed="false">
      <c r="A796" s="13" t="s">
        <v>735</v>
      </c>
      <c r="B796" s="13" t="s">
        <v>204</v>
      </c>
      <c r="C796" s="13" t="s">
        <v>146</v>
      </c>
      <c r="D796" s="13" t="s">
        <v>2002</v>
      </c>
      <c r="E796" s="13" t="s">
        <v>2798</v>
      </c>
      <c r="F796" s="13" t="s">
        <v>6058</v>
      </c>
      <c r="G796" s="13" t="s">
        <v>6059</v>
      </c>
      <c r="H796" s="13" t="s">
        <v>6060</v>
      </c>
      <c r="I796" s="15" t="n">
        <v>24</v>
      </c>
      <c r="J796" s="15" t="n">
        <v>41.8</v>
      </c>
      <c r="K796" s="15"/>
      <c r="L796" s="15"/>
      <c r="M796" s="15" t="n">
        <f aca="false">IF(ISNUMBER(L796),L796,J796)</f>
        <v>41.8</v>
      </c>
      <c r="N796" s="15" t="n">
        <f aca="false">ROUNDUP(M796,0)</f>
        <v>42</v>
      </c>
      <c r="O796" s="15" t="n">
        <f aca="false">MAX(I796,N796)</f>
        <v>42</v>
      </c>
      <c r="P796" s="15" t="n">
        <f aca="false">IF(C796="COVERED",MAX(0,O796-40),0)</f>
        <v>0</v>
      </c>
      <c r="Q796" s="15" t="n">
        <f aca="false">O796</f>
        <v>42</v>
      </c>
      <c r="R796" s="18" t="n">
        <f aca="false">IF(C796="COVERED",10.4,7.55)</f>
        <v>7.55</v>
      </c>
      <c r="S796" s="18" t="n">
        <f aca="false">Q796*R796</f>
        <v>317.1</v>
      </c>
      <c r="T796" s="13"/>
      <c r="U796" s="14"/>
      <c r="V796" s="13"/>
      <c r="W796" s="18"/>
      <c r="X796" s="18"/>
      <c r="Y796" s="18" t="str">
        <f aca="false">IF(ISNUMBER(X796),X796-S796,"")</f>
        <v/>
      </c>
      <c r="Z796" s="18" t="n">
        <f aca="false">IF(ISNUMBER(X796),X796-S796,-S796)</f>
        <v>-317.1</v>
      </c>
      <c r="AA796" s="13" t="str">
        <f aca="false">IF(NOT(ISNUMBER(X796)),"NO AUGUST POSTING IN EXPORT",IF(ABS(Y796)&gt;=0.005,"POSTED CHARGE MISMATCH",IF(P796&gt;0,"MATCH - COVERED ELIGIBILITY EXCEPTION","MATCH")))</f>
        <v>NO AUGUST POSTING IN EXPORT</v>
      </c>
      <c r="AB796" s="13" t="s">
        <v>6061</v>
      </c>
    </row>
    <row r="797" customFormat="false" ht="15" hidden="false" customHeight="false" outlineLevel="0" collapsed="false">
      <c r="A797" s="9" t="s">
        <v>222</v>
      </c>
      <c r="B797" s="9" t="s">
        <v>204</v>
      </c>
      <c r="C797" s="9" t="s">
        <v>146</v>
      </c>
      <c r="D797" s="9" t="s">
        <v>2002</v>
      </c>
      <c r="E797" s="9" t="s">
        <v>2805</v>
      </c>
      <c r="F797" s="9" t="s">
        <v>6062</v>
      </c>
      <c r="G797" s="9" t="s">
        <v>6063</v>
      </c>
      <c r="H797" s="9" t="s">
        <v>3229</v>
      </c>
      <c r="I797" s="11" t="n">
        <v>36</v>
      </c>
      <c r="J797" s="11" t="n">
        <v>26.3</v>
      </c>
      <c r="K797" s="11"/>
      <c r="L797" s="11"/>
      <c r="M797" s="11" t="n">
        <f aca="false">IF(ISNUMBER(L797),L797,J797)</f>
        <v>26.3</v>
      </c>
      <c r="N797" s="11" t="n">
        <f aca="false">ROUNDUP(M797,0)</f>
        <v>27</v>
      </c>
      <c r="O797" s="11" t="n">
        <f aca="false">MAX(I797,N797)</f>
        <v>36</v>
      </c>
      <c r="P797" s="11" t="n">
        <f aca="false">IF(C797="COVERED",MAX(0,O797-40),0)</f>
        <v>0</v>
      </c>
      <c r="Q797" s="11" t="n">
        <f aca="false">O797</f>
        <v>36</v>
      </c>
      <c r="R797" s="17" t="n">
        <f aca="false">IF(C797="COVERED",10.4,7.55)</f>
        <v>7.55</v>
      </c>
      <c r="S797" s="17" t="n">
        <f aca="false">Q797*R797</f>
        <v>271.8</v>
      </c>
      <c r="T797" s="9"/>
      <c r="U797" s="10"/>
      <c r="V797" s="9"/>
      <c r="W797" s="17"/>
      <c r="X797" s="17"/>
      <c r="Y797" s="17" t="str">
        <f aca="false">IF(ISNUMBER(X797),X797-S797,"")</f>
        <v/>
      </c>
      <c r="Z797" s="17" t="n">
        <f aca="false">IF(ISNUMBER(X797),X797-S797,-S797)</f>
        <v>-271.8</v>
      </c>
      <c r="AA797" s="9" t="str">
        <f aca="false">IF(NOT(ISNUMBER(X797)),"NO AUGUST POSTING IN EXPORT",IF(ABS(Y797)&gt;=0.005,"POSTED CHARGE MISMATCH",IF(P797&gt;0,"MATCH - COVERED ELIGIBILITY EXCEPTION","MATCH")))</f>
        <v>NO AUGUST POSTING IN EXPORT</v>
      </c>
      <c r="AB797" s="9" t="s">
        <v>6064</v>
      </c>
    </row>
    <row r="798" customFormat="false" ht="15" hidden="false" customHeight="false" outlineLevel="0" collapsed="false">
      <c r="A798" s="13" t="s">
        <v>6065</v>
      </c>
      <c r="B798" s="13" t="s">
        <v>204</v>
      </c>
      <c r="C798" s="13" t="s">
        <v>146</v>
      </c>
      <c r="D798" s="13" t="s">
        <v>2002</v>
      </c>
      <c r="E798" s="13" t="s">
        <v>4000</v>
      </c>
      <c r="F798" s="13" t="s">
        <v>6066</v>
      </c>
      <c r="G798" s="13" t="s">
        <v>6067</v>
      </c>
      <c r="H798" s="13" t="s">
        <v>4103</v>
      </c>
      <c r="I798" s="15" t="n">
        <v>24</v>
      </c>
      <c r="J798" s="15" t="n">
        <v>26.3</v>
      </c>
      <c r="K798" s="15"/>
      <c r="L798" s="15"/>
      <c r="M798" s="15" t="n">
        <f aca="false">IF(ISNUMBER(L798),L798,J798)</f>
        <v>26.3</v>
      </c>
      <c r="N798" s="15" t="n">
        <f aca="false">ROUNDUP(M798,0)</f>
        <v>27</v>
      </c>
      <c r="O798" s="15" t="n">
        <f aca="false">MAX(I798,N798)</f>
        <v>27</v>
      </c>
      <c r="P798" s="15" t="n">
        <f aca="false">IF(C798="COVERED",MAX(0,O798-40),0)</f>
        <v>0</v>
      </c>
      <c r="Q798" s="15" t="n">
        <f aca="false">O798</f>
        <v>27</v>
      </c>
      <c r="R798" s="18" t="n">
        <f aca="false">IF(C798="COVERED",10.4,7.55)</f>
        <v>7.55</v>
      </c>
      <c r="S798" s="18" t="n">
        <f aca="false">Q798*R798</f>
        <v>203.85</v>
      </c>
      <c r="T798" s="13"/>
      <c r="U798" s="14"/>
      <c r="V798" s="13"/>
      <c r="W798" s="18"/>
      <c r="X798" s="18"/>
      <c r="Y798" s="18" t="str">
        <f aca="false">IF(ISNUMBER(X798),X798-S798,"")</f>
        <v/>
      </c>
      <c r="Z798" s="18" t="n">
        <f aca="false">IF(ISNUMBER(X798),X798-S798,-S798)</f>
        <v>-203.85</v>
      </c>
      <c r="AA798" s="13" t="str">
        <f aca="false">IF(NOT(ISNUMBER(X798)),"NO AUGUST POSTING IN EXPORT",IF(ABS(Y798)&gt;=0.005,"POSTED CHARGE MISMATCH",IF(P798&gt;0,"MATCH - COVERED ELIGIBILITY EXCEPTION","MATCH")))</f>
        <v>NO AUGUST POSTING IN EXPORT</v>
      </c>
      <c r="AB798" s="13" t="s">
        <v>6068</v>
      </c>
    </row>
    <row r="799" customFormat="false" ht="15" hidden="false" customHeight="false" outlineLevel="0" collapsed="false">
      <c r="A799" s="9" t="s">
        <v>6069</v>
      </c>
      <c r="B799" s="9" t="s">
        <v>204</v>
      </c>
      <c r="C799" s="9" t="s">
        <v>146</v>
      </c>
      <c r="D799" s="9" t="s">
        <v>2002</v>
      </c>
      <c r="E799" s="9" t="s">
        <v>4005</v>
      </c>
      <c r="F799" s="9" t="s">
        <v>6070</v>
      </c>
      <c r="G799" s="9" t="s">
        <v>6071</v>
      </c>
      <c r="H799" s="9" t="s">
        <v>5983</v>
      </c>
      <c r="I799" s="11" t="n">
        <v>60</v>
      </c>
      <c r="J799" s="11" t="n">
        <v>61.4</v>
      </c>
      <c r="K799" s="11"/>
      <c r="L799" s="11"/>
      <c r="M799" s="11" t="n">
        <f aca="false">IF(ISNUMBER(L799),L799,J799)</f>
        <v>61.4</v>
      </c>
      <c r="N799" s="11" t="n">
        <f aca="false">ROUNDUP(M799,0)</f>
        <v>62</v>
      </c>
      <c r="O799" s="11" t="n">
        <f aca="false">MAX(I799,N799)</f>
        <v>62</v>
      </c>
      <c r="P799" s="11" t="n">
        <f aca="false">IF(C799="COVERED",MAX(0,O799-40),0)</f>
        <v>0</v>
      </c>
      <c r="Q799" s="11" t="n">
        <f aca="false">O799</f>
        <v>62</v>
      </c>
      <c r="R799" s="17" t="n">
        <f aca="false">IF(C799="COVERED",10.4,7.55)</f>
        <v>7.55</v>
      </c>
      <c r="S799" s="17" t="n">
        <f aca="false">Q799*R799</f>
        <v>468.1</v>
      </c>
      <c r="T799" s="9"/>
      <c r="U799" s="10"/>
      <c r="V799" s="9"/>
      <c r="W799" s="17"/>
      <c r="X799" s="17"/>
      <c r="Y799" s="17" t="str">
        <f aca="false">IF(ISNUMBER(X799),X799-S799,"")</f>
        <v/>
      </c>
      <c r="Z799" s="17" t="n">
        <f aca="false">IF(ISNUMBER(X799),X799-S799,-S799)</f>
        <v>-468.1</v>
      </c>
      <c r="AA799" s="9" t="str">
        <f aca="false">IF(NOT(ISNUMBER(X799)),"NO AUGUST POSTING IN EXPORT",IF(ABS(Y799)&gt;=0.005,"POSTED CHARGE MISMATCH",IF(P799&gt;0,"MATCH - COVERED ELIGIBILITY EXCEPTION","MATCH")))</f>
        <v>NO AUGUST POSTING IN EXPORT</v>
      </c>
      <c r="AB799" s="9" t="s">
        <v>6072</v>
      </c>
    </row>
    <row r="800" customFormat="false" ht="15" hidden="false" customHeight="false" outlineLevel="0" collapsed="false">
      <c r="A800" s="13" t="s">
        <v>6073</v>
      </c>
      <c r="B800" s="13" t="s">
        <v>204</v>
      </c>
      <c r="C800" s="13" t="s">
        <v>146</v>
      </c>
      <c r="D800" s="13" t="s">
        <v>2002</v>
      </c>
      <c r="E800" s="13" t="s">
        <v>2818</v>
      </c>
      <c r="F800" s="13" t="s">
        <v>6074</v>
      </c>
      <c r="G800" s="13" t="s">
        <v>6075</v>
      </c>
      <c r="H800" s="13" t="s">
        <v>3377</v>
      </c>
      <c r="I800" s="15" t="n">
        <v>32</v>
      </c>
      <c r="J800" s="15" t="n">
        <v>25.8</v>
      </c>
      <c r="K800" s="15"/>
      <c r="L800" s="15"/>
      <c r="M800" s="15" t="n">
        <f aca="false">IF(ISNUMBER(L800),L800,J800)</f>
        <v>25.8</v>
      </c>
      <c r="N800" s="15" t="n">
        <f aca="false">ROUNDUP(M800,0)</f>
        <v>26</v>
      </c>
      <c r="O800" s="15" t="n">
        <f aca="false">MAX(I800,N800)</f>
        <v>32</v>
      </c>
      <c r="P800" s="15" t="n">
        <f aca="false">IF(C800="COVERED",MAX(0,O800-40),0)</f>
        <v>0</v>
      </c>
      <c r="Q800" s="15" t="n">
        <f aca="false">O800</f>
        <v>32</v>
      </c>
      <c r="R800" s="18" t="n">
        <f aca="false">IF(C800="COVERED",10.4,7.55)</f>
        <v>7.55</v>
      </c>
      <c r="S800" s="18" t="n">
        <f aca="false">Q800*R800</f>
        <v>241.6</v>
      </c>
      <c r="T800" s="13"/>
      <c r="U800" s="14"/>
      <c r="V800" s="13"/>
      <c r="W800" s="18"/>
      <c r="X800" s="18"/>
      <c r="Y800" s="18" t="str">
        <f aca="false">IF(ISNUMBER(X800),X800-S800,"")</f>
        <v/>
      </c>
      <c r="Z800" s="18" t="n">
        <f aca="false">IF(ISNUMBER(X800),X800-S800,-S800)</f>
        <v>-241.6</v>
      </c>
      <c r="AA800" s="13" t="str">
        <f aca="false">IF(NOT(ISNUMBER(X800)),"NO AUGUST POSTING IN EXPORT",IF(ABS(Y800)&gt;=0.005,"POSTED CHARGE MISMATCH",IF(P800&gt;0,"MATCH - COVERED ELIGIBILITY EXCEPTION","MATCH")))</f>
        <v>NO AUGUST POSTING IN EXPORT</v>
      </c>
      <c r="AB800" s="13" t="s">
        <v>6076</v>
      </c>
    </row>
    <row r="801" customFormat="false" ht="15" hidden="false" customHeight="false" outlineLevel="0" collapsed="false">
      <c r="A801" s="9" t="s">
        <v>6077</v>
      </c>
      <c r="B801" s="9" t="s">
        <v>204</v>
      </c>
      <c r="C801" s="9" t="s">
        <v>146</v>
      </c>
      <c r="D801" s="9" t="s">
        <v>2002</v>
      </c>
      <c r="E801" s="9" t="s">
        <v>4014</v>
      </c>
      <c r="F801" s="9" t="s">
        <v>6078</v>
      </c>
      <c r="G801" s="9" t="s">
        <v>6079</v>
      </c>
      <c r="H801" s="9" t="s">
        <v>4805</v>
      </c>
      <c r="I801" s="11" t="n">
        <v>32</v>
      </c>
      <c r="J801" s="11" t="n">
        <v>34.1</v>
      </c>
      <c r="K801" s="11"/>
      <c r="L801" s="11"/>
      <c r="M801" s="11" t="n">
        <f aca="false">IF(ISNUMBER(L801),L801,J801)</f>
        <v>34.1</v>
      </c>
      <c r="N801" s="11" t="n">
        <f aca="false">ROUNDUP(M801,0)</f>
        <v>35</v>
      </c>
      <c r="O801" s="11" t="n">
        <f aca="false">MAX(I801,N801)</f>
        <v>35</v>
      </c>
      <c r="P801" s="11" t="n">
        <f aca="false">IF(C801="COVERED",MAX(0,O801-40),0)</f>
        <v>0</v>
      </c>
      <c r="Q801" s="11" t="n">
        <f aca="false">O801</f>
        <v>35</v>
      </c>
      <c r="R801" s="17" t="n">
        <f aca="false">IF(C801="COVERED",10.4,7.55)</f>
        <v>7.55</v>
      </c>
      <c r="S801" s="17" t="n">
        <f aca="false">Q801*R801</f>
        <v>264.25</v>
      </c>
      <c r="T801" s="9"/>
      <c r="U801" s="10"/>
      <c r="V801" s="9"/>
      <c r="W801" s="17"/>
      <c r="X801" s="17"/>
      <c r="Y801" s="17" t="str">
        <f aca="false">IF(ISNUMBER(X801),X801-S801,"")</f>
        <v/>
      </c>
      <c r="Z801" s="17" t="n">
        <f aca="false">IF(ISNUMBER(X801),X801-S801,-S801)</f>
        <v>-264.25</v>
      </c>
      <c r="AA801" s="9" t="str">
        <f aca="false">IF(NOT(ISNUMBER(X801)),"NO AUGUST POSTING IN EXPORT",IF(ABS(Y801)&gt;=0.005,"POSTED CHARGE MISMATCH",IF(P801&gt;0,"MATCH - COVERED ELIGIBILITY EXCEPTION","MATCH")))</f>
        <v>NO AUGUST POSTING IN EXPORT</v>
      </c>
      <c r="AB801" s="9" t="s">
        <v>6080</v>
      </c>
    </row>
    <row r="802" customFormat="false" ht="15" hidden="false" customHeight="false" outlineLevel="0" collapsed="false">
      <c r="A802" s="13" t="s">
        <v>258</v>
      </c>
      <c r="B802" s="13" t="s">
        <v>204</v>
      </c>
      <c r="C802" s="13" t="s">
        <v>146</v>
      </c>
      <c r="D802" s="13" t="s">
        <v>2002</v>
      </c>
      <c r="E802" s="13" t="s">
        <v>2825</v>
      </c>
      <c r="F802" s="13" t="s">
        <v>6081</v>
      </c>
      <c r="G802" s="13" t="s">
        <v>6082</v>
      </c>
      <c r="H802" s="13" t="s">
        <v>6083</v>
      </c>
      <c r="I802" s="15" t="n">
        <v>28</v>
      </c>
      <c r="J802" s="15" t="n">
        <v>41.8</v>
      </c>
      <c r="K802" s="15"/>
      <c r="L802" s="15"/>
      <c r="M802" s="15" t="n">
        <f aca="false">IF(ISNUMBER(L802),L802,J802)</f>
        <v>41.8</v>
      </c>
      <c r="N802" s="15" t="n">
        <f aca="false">ROUNDUP(M802,0)</f>
        <v>42</v>
      </c>
      <c r="O802" s="15" t="n">
        <f aca="false">MAX(I802,N802)</f>
        <v>42</v>
      </c>
      <c r="P802" s="15" t="n">
        <f aca="false">IF(C802="COVERED",MAX(0,O802-40),0)</f>
        <v>0</v>
      </c>
      <c r="Q802" s="15" t="n">
        <f aca="false">O802</f>
        <v>42</v>
      </c>
      <c r="R802" s="18" t="n">
        <f aca="false">IF(C802="COVERED",10.4,7.55)</f>
        <v>7.55</v>
      </c>
      <c r="S802" s="18" t="n">
        <f aca="false">Q802*R802</f>
        <v>317.1</v>
      </c>
      <c r="T802" s="13"/>
      <c r="U802" s="14"/>
      <c r="V802" s="13"/>
      <c r="W802" s="18"/>
      <c r="X802" s="18"/>
      <c r="Y802" s="18" t="str">
        <f aca="false">IF(ISNUMBER(X802),X802-S802,"")</f>
        <v/>
      </c>
      <c r="Z802" s="18" t="n">
        <f aca="false">IF(ISNUMBER(X802),X802-S802,-S802)</f>
        <v>-317.1</v>
      </c>
      <c r="AA802" s="13" t="str">
        <f aca="false">IF(NOT(ISNUMBER(X802)),"NO AUGUST POSTING IN EXPORT",IF(ABS(Y802)&gt;=0.005,"POSTED CHARGE MISMATCH",IF(P802&gt;0,"MATCH - COVERED ELIGIBILITY EXCEPTION","MATCH")))</f>
        <v>NO AUGUST POSTING IN EXPORT</v>
      </c>
      <c r="AB802" s="13" t="s">
        <v>6084</v>
      </c>
    </row>
    <row r="803" customFormat="false" ht="15" hidden="false" customHeight="false" outlineLevel="0" collapsed="false">
      <c r="A803" s="9" t="s">
        <v>1405</v>
      </c>
      <c r="B803" s="9" t="s">
        <v>204</v>
      </c>
      <c r="C803" s="9" t="s">
        <v>146</v>
      </c>
      <c r="D803" s="9" t="s">
        <v>2002</v>
      </c>
      <c r="E803" s="9" t="s">
        <v>2831</v>
      </c>
      <c r="F803" s="9" t="s">
        <v>6085</v>
      </c>
      <c r="G803" s="9" t="s">
        <v>6086</v>
      </c>
      <c r="H803" s="9" t="s">
        <v>2203</v>
      </c>
      <c r="I803" s="11" t="n">
        <v>24</v>
      </c>
      <c r="J803" s="11" t="n">
        <v>32.4</v>
      </c>
      <c r="K803" s="11"/>
      <c r="L803" s="11"/>
      <c r="M803" s="11" t="n">
        <f aca="false">IF(ISNUMBER(L803),L803,J803)</f>
        <v>32.4</v>
      </c>
      <c r="N803" s="11" t="n">
        <f aca="false">ROUNDUP(M803,0)</f>
        <v>33</v>
      </c>
      <c r="O803" s="11" t="n">
        <f aca="false">MAX(I803,N803)</f>
        <v>33</v>
      </c>
      <c r="P803" s="11" t="n">
        <f aca="false">IF(C803="COVERED",MAX(0,O803-40),0)</f>
        <v>0</v>
      </c>
      <c r="Q803" s="11" t="n">
        <f aca="false">O803</f>
        <v>33</v>
      </c>
      <c r="R803" s="17" t="n">
        <f aca="false">IF(C803="COVERED",10.4,7.55)</f>
        <v>7.55</v>
      </c>
      <c r="S803" s="17" t="n">
        <f aca="false">Q803*R803</f>
        <v>249.15</v>
      </c>
      <c r="T803" s="9"/>
      <c r="U803" s="10"/>
      <c r="V803" s="9"/>
      <c r="W803" s="17"/>
      <c r="X803" s="17"/>
      <c r="Y803" s="17" t="str">
        <f aca="false">IF(ISNUMBER(X803),X803-S803,"")</f>
        <v/>
      </c>
      <c r="Z803" s="17" t="n">
        <f aca="false">IF(ISNUMBER(X803),X803-S803,-S803)</f>
        <v>-249.15</v>
      </c>
      <c r="AA803" s="9" t="str">
        <f aca="false">IF(NOT(ISNUMBER(X803)),"NO AUGUST POSTING IN EXPORT",IF(ABS(Y803)&gt;=0.005,"POSTED CHARGE MISMATCH",IF(P803&gt;0,"MATCH - COVERED ELIGIBILITY EXCEPTION","MATCH")))</f>
        <v>NO AUGUST POSTING IN EXPORT</v>
      </c>
      <c r="AB803" s="9" t="s">
        <v>6087</v>
      </c>
    </row>
    <row r="804" customFormat="false" ht="15" hidden="false" customHeight="false" outlineLevel="0" collapsed="false">
      <c r="A804" s="13" t="s">
        <v>6088</v>
      </c>
      <c r="B804" s="13" t="s">
        <v>204</v>
      </c>
      <c r="C804" s="13" t="s">
        <v>146</v>
      </c>
      <c r="D804" s="13" t="s">
        <v>2002</v>
      </c>
      <c r="E804" s="13" t="s">
        <v>5037</v>
      </c>
      <c r="F804" s="13" t="s">
        <v>6089</v>
      </c>
      <c r="G804" s="13" t="s">
        <v>6090</v>
      </c>
      <c r="H804" s="13" t="s">
        <v>4333</v>
      </c>
      <c r="I804" s="15" t="n">
        <v>28</v>
      </c>
      <c r="J804" s="15" t="n">
        <v>37.3</v>
      </c>
      <c r="K804" s="15"/>
      <c r="L804" s="15"/>
      <c r="M804" s="15" t="n">
        <f aca="false">IF(ISNUMBER(L804),L804,J804)</f>
        <v>37.3</v>
      </c>
      <c r="N804" s="15" t="n">
        <f aca="false">ROUNDUP(M804,0)</f>
        <v>38</v>
      </c>
      <c r="O804" s="15" t="n">
        <f aca="false">MAX(I804,N804)</f>
        <v>38</v>
      </c>
      <c r="P804" s="15" t="n">
        <f aca="false">IF(C804="COVERED",MAX(0,O804-40),0)</f>
        <v>0</v>
      </c>
      <c r="Q804" s="15" t="n">
        <f aca="false">O804</f>
        <v>38</v>
      </c>
      <c r="R804" s="18" t="n">
        <f aca="false">IF(C804="COVERED",10.4,7.55)</f>
        <v>7.55</v>
      </c>
      <c r="S804" s="18" t="n">
        <f aca="false">Q804*R804</f>
        <v>286.9</v>
      </c>
      <c r="T804" s="13"/>
      <c r="U804" s="14"/>
      <c r="V804" s="13"/>
      <c r="W804" s="18"/>
      <c r="X804" s="18"/>
      <c r="Y804" s="18" t="str">
        <f aca="false">IF(ISNUMBER(X804),X804-S804,"")</f>
        <v/>
      </c>
      <c r="Z804" s="18" t="n">
        <f aca="false">IF(ISNUMBER(X804),X804-S804,-S804)</f>
        <v>-286.9</v>
      </c>
      <c r="AA804" s="13" t="str">
        <f aca="false">IF(NOT(ISNUMBER(X804)),"NO AUGUST POSTING IN EXPORT",IF(ABS(Y804)&gt;=0.005,"POSTED CHARGE MISMATCH",IF(P804&gt;0,"MATCH - COVERED ELIGIBILITY EXCEPTION","MATCH")))</f>
        <v>NO AUGUST POSTING IN EXPORT</v>
      </c>
      <c r="AB804" s="13" t="s">
        <v>6091</v>
      </c>
    </row>
    <row r="805" customFormat="false" ht="15" hidden="false" customHeight="false" outlineLevel="0" collapsed="false">
      <c r="A805" s="9" t="s">
        <v>6092</v>
      </c>
      <c r="B805" s="9" t="s">
        <v>204</v>
      </c>
      <c r="C805" s="9" t="s">
        <v>146</v>
      </c>
      <c r="D805" s="9" t="s">
        <v>2002</v>
      </c>
      <c r="E805" s="9" t="s">
        <v>2838</v>
      </c>
      <c r="F805" s="9" t="s">
        <v>6093</v>
      </c>
      <c r="G805" s="9" t="s">
        <v>6094</v>
      </c>
      <c r="H805" s="9" t="s">
        <v>2932</v>
      </c>
      <c r="I805" s="11" t="n">
        <v>50</v>
      </c>
      <c r="J805" s="11" t="n">
        <v>19.2</v>
      </c>
      <c r="K805" s="11"/>
      <c r="L805" s="11"/>
      <c r="M805" s="11" t="n">
        <f aca="false">IF(ISNUMBER(L805),L805,J805)</f>
        <v>19.2</v>
      </c>
      <c r="N805" s="11" t="n">
        <f aca="false">ROUNDUP(M805,0)</f>
        <v>20</v>
      </c>
      <c r="O805" s="11" t="n">
        <f aca="false">MAX(I805,N805)</f>
        <v>50</v>
      </c>
      <c r="P805" s="11" t="n">
        <f aca="false">IF(C805="COVERED",MAX(0,O805-40),0)</f>
        <v>0</v>
      </c>
      <c r="Q805" s="11" t="n">
        <f aca="false">O805</f>
        <v>50</v>
      </c>
      <c r="R805" s="17" t="n">
        <f aca="false">IF(C805="COVERED",10.4,7.55)</f>
        <v>7.55</v>
      </c>
      <c r="S805" s="17" t="n">
        <f aca="false">Q805*R805</f>
        <v>377.5</v>
      </c>
      <c r="T805" s="9"/>
      <c r="U805" s="10"/>
      <c r="V805" s="9"/>
      <c r="W805" s="17"/>
      <c r="X805" s="17"/>
      <c r="Y805" s="17" t="str">
        <f aca="false">IF(ISNUMBER(X805),X805-S805,"")</f>
        <v/>
      </c>
      <c r="Z805" s="17" t="n">
        <f aca="false">IF(ISNUMBER(X805),X805-S805,-S805)</f>
        <v>-377.5</v>
      </c>
      <c r="AA805" s="9" t="str">
        <f aca="false">IF(NOT(ISNUMBER(X805)),"NO AUGUST POSTING IN EXPORT",IF(ABS(Y805)&gt;=0.005,"POSTED CHARGE MISMATCH",IF(P805&gt;0,"MATCH - COVERED ELIGIBILITY EXCEPTION","MATCH")))</f>
        <v>NO AUGUST POSTING IN EXPORT</v>
      </c>
      <c r="AB805" s="9" t="s">
        <v>6095</v>
      </c>
    </row>
    <row r="806" customFormat="false" ht="15" hidden="false" customHeight="false" outlineLevel="0" collapsed="false">
      <c r="A806" s="13" t="s">
        <v>6096</v>
      </c>
      <c r="B806" s="13" t="s">
        <v>204</v>
      </c>
      <c r="C806" s="13" t="s">
        <v>146</v>
      </c>
      <c r="D806" s="13" t="s">
        <v>2002</v>
      </c>
      <c r="E806" s="13" t="s">
        <v>2845</v>
      </c>
      <c r="F806" s="13" t="s">
        <v>757</v>
      </c>
      <c r="G806" s="13" t="s">
        <v>758</v>
      </c>
      <c r="H806" s="13" t="s">
        <v>6097</v>
      </c>
      <c r="I806" s="15" t="n">
        <v>32</v>
      </c>
      <c r="J806" s="15" t="n">
        <v>23.6</v>
      </c>
      <c r="K806" s="15"/>
      <c r="L806" s="15"/>
      <c r="M806" s="15" t="n">
        <f aca="false">IF(ISNUMBER(L806),L806,J806)</f>
        <v>23.6</v>
      </c>
      <c r="N806" s="15" t="n">
        <f aca="false">ROUNDUP(M806,0)</f>
        <v>24</v>
      </c>
      <c r="O806" s="15" t="n">
        <f aca="false">MAX(I806,N806)</f>
        <v>32</v>
      </c>
      <c r="P806" s="15" t="n">
        <f aca="false">IF(C806="COVERED",MAX(0,O806-40),0)</f>
        <v>0</v>
      </c>
      <c r="Q806" s="15" t="n">
        <f aca="false">O806</f>
        <v>32</v>
      </c>
      <c r="R806" s="18" t="n">
        <f aca="false">IF(C806="COVERED",10.4,7.55)</f>
        <v>7.55</v>
      </c>
      <c r="S806" s="18" t="n">
        <f aca="false">Q806*R806</f>
        <v>241.6</v>
      </c>
      <c r="T806" s="13"/>
      <c r="U806" s="14"/>
      <c r="V806" s="13"/>
      <c r="W806" s="18"/>
      <c r="X806" s="18"/>
      <c r="Y806" s="18" t="str">
        <f aca="false">IF(ISNUMBER(X806),X806-S806,"")</f>
        <v/>
      </c>
      <c r="Z806" s="18" t="n">
        <f aca="false">IF(ISNUMBER(X806),X806-S806,-S806)</f>
        <v>-241.6</v>
      </c>
      <c r="AA806" s="13" t="str">
        <f aca="false">IF(NOT(ISNUMBER(X806)),"NO AUGUST POSTING IN EXPORT",IF(ABS(Y806)&gt;=0.005,"POSTED CHARGE MISMATCH",IF(P806&gt;0,"MATCH - COVERED ELIGIBILITY EXCEPTION","MATCH")))</f>
        <v>NO AUGUST POSTING IN EXPORT</v>
      </c>
      <c r="AB806" s="13" t="s">
        <v>6098</v>
      </c>
    </row>
    <row r="807" customFormat="false" ht="15" hidden="false" customHeight="false" outlineLevel="0" collapsed="false">
      <c r="A807" s="9" t="s">
        <v>1256</v>
      </c>
      <c r="B807" s="9" t="s">
        <v>204</v>
      </c>
      <c r="C807" s="9" t="s">
        <v>146</v>
      </c>
      <c r="D807" s="9" t="s">
        <v>2002</v>
      </c>
      <c r="E807" s="9" t="s">
        <v>2850</v>
      </c>
      <c r="F807" s="9" t="s">
        <v>6099</v>
      </c>
      <c r="G807" s="9" t="s">
        <v>6100</v>
      </c>
      <c r="H807" s="9" t="s">
        <v>6101</v>
      </c>
      <c r="I807" s="11" t="n">
        <v>70</v>
      </c>
      <c r="J807" s="11" t="n">
        <v>25.3</v>
      </c>
      <c r="K807" s="11"/>
      <c r="L807" s="11"/>
      <c r="M807" s="11" t="n">
        <f aca="false">IF(ISNUMBER(L807),L807,J807)</f>
        <v>25.3</v>
      </c>
      <c r="N807" s="11" t="n">
        <f aca="false">ROUNDUP(M807,0)</f>
        <v>26</v>
      </c>
      <c r="O807" s="11" t="n">
        <f aca="false">MAX(I807,N807)</f>
        <v>70</v>
      </c>
      <c r="P807" s="11" t="n">
        <f aca="false">IF(C807="COVERED",MAX(0,O807-40),0)</f>
        <v>0</v>
      </c>
      <c r="Q807" s="11" t="n">
        <f aca="false">O807</f>
        <v>70</v>
      </c>
      <c r="R807" s="17" t="n">
        <f aca="false">IF(C807="COVERED",10.4,7.55)</f>
        <v>7.55</v>
      </c>
      <c r="S807" s="17" t="n">
        <f aca="false">Q807*R807</f>
        <v>528.5</v>
      </c>
      <c r="T807" s="9"/>
      <c r="U807" s="10"/>
      <c r="V807" s="9"/>
      <c r="W807" s="17"/>
      <c r="X807" s="17"/>
      <c r="Y807" s="17" t="str">
        <f aca="false">IF(ISNUMBER(X807),X807-S807,"")</f>
        <v/>
      </c>
      <c r="Z807" s="17" t="n">
        <f aca="false">IF(ISNUMBER(X807),X807-S807,-S807)</f>
        <v>-528.5</v>
      </c>
      <c r="AA807" s="9" t="str">
        <f aca="false">IF(NOT(ISNUMBER(X807)),"NO AUGUST POSTING IN EXPORT",IF(ABS(Y807)&gt;=0.005,"POSTED CHARGE MISMATCH",IF(P807&gt;0,"MATCH - COVERED ELIGIBILITY EXCEPTION","MATCH")))</f>
        <v>NO AUGUST POSTING IN EXPORT</v>
      </c>
      <c r="AB807" s="9" t="s">
        <v>6102</v>
      </c>
    </row>
    <row r="808" customFormat="false" ht="15" hidden="false" customHeight="false" outlineLevel="0" collapsed="false">
      <c r="A808" s="13" t="s">
        <v>6103</v>
      </c>
      <c r="B808" s="13" t="s">
        <v>204</v>
      </c>
      <c r="C808" s="13" t="s">
        <v>146</v>
      </c>
      <c r="D808" s="13" t="s">
        <v>2002</v>
      </c>
      <c r="E808" s="13" t="s">
        <v>2857</v>
      </c>
      <c r="F808" s="13" t="s">
        <v>6104</v>
      </c>
      <c r="G808" s="13" t="s">
        <v>6105</v>
      </c>
      <c r="H808" s="13" t="s">
        <v>6106</v>
      </c>
      <c r="I808" s="15" t="n">
        <v>28</v>
      </c>
      <c r="J808" s="15" t="n">
        <v>48.9</v>
      </c>
      <c r="K808" s="15"/>
      <c r="L808" s="15"/>
      <c r="M808" s="15" t="n">
        <f aca="false">IF(ISNUMBER(L808),L808,J808)</f>
        <v>48.9</v>
      </c>
      <c r="N808" s="15" t="n">
        <f aca="false">ROUNDUP(M808,0)</f>
        <v>49</v>
      </c>
      <c r="O808" s="15" t="n">
        <f aca="false">MAX(I808,N808)</f>
        <v>49</v>
      </c>
      <c r="P808" s="15" t="n">
        <f aca="false">IF(C808="COVERED",MAX(0,O808-40),0)</f>
        <v>0</v>
      </c>
      <c r="Q808" s="15" t="n">
        <f aca="false">O808</f>
        <v>49</v>
      </c>
      <c r="R808" s="18" t="n">
        <f aca="false">IF(C808="COVERED",10.4,7.55)</f>
        <v>7.55</v>
      </c>
      <c r="S808" s="18" t="n">
        <f aca="false">Q808*R808</f>
        <v>369.95</v>
      </c>
      <c r="T808" s="13"/>
      <c r="U808" s="14"/>
      <c r="V808" s="13"/>
      <c r="W808" s="18"/>
      <c r="X808" s="18"/>
      <c r="Y808" s="18" t="str">
        <f aca="false">IF(ISNUMBER(X808),X808-S808,"")</f>
        <v/>
      </c>
      <c r="Z808" s="18" t="n">
        <f aca="false">IF(ISNUMBER(X808),X808-S808,-S808)</f>
        <v>-369.95</v>
      </c>
      <c r="AA808" s="13" t="str">
        <f aca="false">IF(NOT(ISNUMBER(X808)),"NO AUGUST POSTING IN EXPORT",IF(ABS(Y808)&gt;=0.005,"POSTED CHARGE MISMATCH",IF(P808&gt;0,"MATCH - COVERED ELIGIBILITY EXCEPTION","MATCH")))</f>
        <v>NO AUGUST POSTING IN EXPORT</v>
      </c>
      <c r="AB808" s="13" t="s">
        <v>6107</v>
      </c>
    </row>
    <row r="809" customFormat="false" ht="15" hidden="false" customHeight="false" outlineLevel="0" collapsed="false">
      <c r="A809" s="9" t="s">
        <v>6108</v>
      </c>
      <c r="B809" s="9" t="s">
        <v>204</v>
      </c>
      <c r="C809" s="9" t="s">
        <v>146</v>
      </c>
      <c r="D809" s="9" t="s">
        <v>2002</v>
      </c>
      <c r="E809" s="9" t="s">
        <v>2864</v>
      </c>
      <c r="F809" s="9" t="s">
        <v>6109</v>
      </c>
      <c r="G809" s="9" t="s">
        <v>6110</v>
      </c>
      <c r="H809" s="9" t="s">
        <v>6111</v>
      </c>
      <c r="I809" s="11" t="n">
        <v>28</v>
      </c>
      <c r="J809" s="11" t="n">
        <v>44.5</v>
      </c>
      <c r="K809" s="11"/>
      <c r="L809" s="11"/>
      <c r="M809" s="11" t="n">
        <f aca="false">IF(ISNUMBER(L809),L809,J809)</f>
        <v>44.5</v>
      </c>
      <c r="N809" s="11" t="n">
        <f aca="false">ROUNDUP(M809,0)</f>
        <v>45</v>
      </c>
      <c r="O809" s="11" t="n">
        <f aca="false">MAX(I809,N809)</f>
        <v>45</v>
      </c>
      <c r="P809" s="11" t="n">
        <f aca="false">IF(C809="COVERED",MAX(0,O809-40),0)</f>
        <v>0</v>
      </c>
      <c r="Q809" s="11" t="n">
        <f aca="false">O809</f>
        <v>45</v>
      </c>
      <c r="R809" s="17" t="n">
        <f aca="false">IF(C809="COVERED",10.4,7.55)</f>
        <v>7.55</v>
      </c>
      <c r="S809" s="17" t="n">
        <f aca="false">Q809*R809</f>
        <v>339.75</v>
      </c>
      <c r="T809" s="9"/>
      <c r="U809" s="10"/>
      <c r="V809" s="9"/>
      <c r="W809" s="17"/>
      <c r="X809" s="17"/>
      <c r="Y809" s="17" t="str">
        <f aca="false">IF(ISNUMBER(X809),X809-S809,"")</f>
        <v/>
      </c>
      <c r="Z809" s="17" t="n">
        <f aca="false">IF(ISNUMBER(X809),X809-S809,-S809)</f>
        <v>-339.75</v>
      </c>
      <c r="AA809" s="9" t="str">
        <f aca="false">IF(NOT(ISNUMBER(X809)),"NO AUGUST POSTING IN EXPORT",IF(ABS(Y809)&gt;=0.005,"POSTED CHARGE MISMATCH",IF(P809&gt;0,"MATCH - COVERED ELIGIBILITY EXCEPTION","MATCH")))</f>
        <v>NO AUGUST POSTING IN EXPORT</v>
      </c>
      <c r="AB809" s="9" t="s">
        <v>6112</v>
      </c>
    </row>
    <row r="810" customFormat="false" ht="15" hidden="false" customHeight="false" outlineLevel="0" collapsed="false">
      <c r="A810" s="13" t="s">
        <v>6113</v>
      </c>
      <c r="B810" s="13" t="s">
        <v>204</v>
      </c>
      <c r="C810" s="13" t="s">
        <v>146</v>
      </c>
      <c r="D810" s="13" t="s">
        <v>2002</v>
      </c>
      <c r="E810" s="13" t="s">
        <v>4042</v>
      </c>
      <c r="F810" s="13" t="s">
        <v>6114</v>
      </c>
      <c r="G810" s="13" t="s">
        <v>6115</v>
      </c>
      <c r="H810" s="13" t="s">
        <v>5664</v>
      </c>
      <c r="I810" s="15" t="n">
        <v>45</v>
      </c>
      <c r="J810" s="15" t="n">
        <v>38.7</v>
      </c>
      <c r="K810" s="15"/>
      <c r="L810" s="15"/>
      <c r="M810" s="15" t="n">
        <f aca="false">IF(ISNUMBER(L810),L810,J810)</f>
        <v>38.7</v>
      </c>
      <c r="N810" s="15" t="n">
        <f aca="false">ROUNDUP(M810,0)</f>
        <v>39</v>
      </c>
      <c r="O810" s="15" t="n">
        <f aca="false">MAX(I810,N810)</f>
        <v>45</v>
      </c>
      <c r="P810" s="15" t="n">
        <f aca="false">IF(C810="COVERED",MAX(0,O810-40),0)</f>
        <v>0</v>
      </c>
      <c r="Q810" s="15" t="n">
        <f aca="false">O810</f>
        <v>45</v>
      </c>
      <c r="R810" s="18" t="n">
        <f aca="false">IF(C810="COVERED",10.4,7.55)</f>
        <v>7.55</v>
      </c>
      <c r="S810" s="18" t="n">
        <f aca="false">Q810*R810</f>
        <v>339.75</v>
      </c>
      <c r="T810" s="13"/>
      <c r="U810" s="14"/>
      <c r="V810" s="13"/>
      <c r="W810" s="18"/>
      <c r="X810" s="18"/>
      <c r="Y810" s="18" t="str">
        <f aca="false">IF(ISNUMBER(X810),X810-S810,"")</f>
        <v/>
      </c>
      <c r="Z810" s="18" t="n">
        <f aca="false">IF(ISNUMBER(X810),X810-S810,-S810)</f>
        <v>-339.75</v>
      </c>
      <c r="AA810" s="13" t="str">
        <f aca="false">IF(NOT(ISNUMBER(X810)),"NO AUGUST POSTING IN EXPORT",IF(ABS(Y810)&gt;=0.005,"POSTED CHARGE MISMATCH",IF(P810&gt;0,"MATCH - COVERED ELIGIBILITY EXCEPTION","MATCH")))</f>
        <v>NO AUGUST POSTING IN EXPORT</v>
      </c>
      <c r="AB810" s="13" t="s">
        <v>6116</v>
      </c>
    </row>
    <row r="811" customFormat="false" ht="15" hidden="false" customHeight="false" outlineLevel="0" collapsed="false">
      <c r="A811" s="9" t="s">
        <v>6117</v>
      </c>
      <c r="B811" s="9" t="s">
        <v>204</v>
      </c>
      <c r="C811" s="9" t="s">
        <v>146</v>
      </c>
      <c r="D811" s="9" t="s">
        <v>2002</v>
      </c>
      <c r="E811" s="9" t="s">
        <v>2870</v>
      </c>
      <c r="F811" s="9" t="s">
        <v>6118</v>
      </c>
      <c r="G811" s="9" t="s">
        <v>6119</v>
      </c>
      <c r="H811" s="9" t="s">
        <v>2630</v>
      </c>
      <c r="I811" s="11" t="n">
        <v>24</v>
      </c>
      <c r="J811" s="11" t="n">
        <v>25.7</v>
      </c>
      <c r="K811" s="11"/>
      <c r="L811" s="11"/>
      <c r="M811" s="11" t="n">
        <f aca="false">IF(ISNUMBER(L811),L811,J811)</f>
        <v>25.7</v>
      </c>
      <c r="N811" s="11" t="n">
        <f aca="false">ROUNDUP(M811,0)</f>
        <v>26</v>
      </c>
      <c r="O811" s="11" t="n">
        <f aca="false">MAX(I811,N811)</f>
        <v>26</v>
      </c>
      <c r="P811" s="11" t="n">
        <f aca="false">IF(C811="COVERED",MAX(0,O811-40),0)</f>
        <v>0</v>
      </c>
      <c r="Q811" s="11" t="n">
        <f aca="false">O811</f>
        <v>26</v>
      </c>
      <c r="R811" s="17" t="n">
        <f aca="false">IF(C811="COVERED",10.4,7.55)</f>
        <v>7.55</v>
      </c>
      <c r="S811" s="17" t="n">
        <f aca="false">Q811*R811</f>
        <v>196.3</v>
      </c>
      <c r="T811" s="9"/>
      <c r="U811" s="10"/>
      <c r="V811" s="9"/>
      <c r="W811" s="17"/>
      <c r="X811" s="17"/>
      <c r="Y811" s="17" t="str">
        <f aca="false">IF(ISNUMBER(X811),X811-S811,"")</f>
        <v/>
      </c>
      <c r="Z811" s="17" t="n">
        <f aca="false">IF(ISNUMBER(X811),X811-S811,-S811)</f>
        <v>-196.3</v>
      </c>
      <c r="AA811" s="9" t="str">
        <f aca="false">IF(NOT(ISNUMBER(X811)),"NO AUGUST POSTING IN EXPORT",IF(ABS(Y811)&gt;=0.005,"POSTED CHARGE MISMATCH",IF(P811&gt;0,"MATCH - COVERED ELIGIBILITY EXCEPTION","MATCH")))</f>
        <v>NO AUGUST POSTING IN EXPORT</v>
      </c>
      <c r="AB811" s="9" t="s">
        <v>6120</v>
      </c>
    </row>
    <row r="812" customFormat="false" ht="15" hidden="false" customHeight="false" outlineLevel="0" collapsed="false">
      <c r="A812" s="13" t="s">
        <v>1703</v>
      </c>
      <c r="B812" s="13" t="s">
        <v>204</v>
      </c>
      <c r="C812" s="13" t="s">
        <v>146</v>
      </c>
      <c r="D812" s="13" t="s">
        <v>2002</v>
      </c>
      <c r="E812" s="13" t="s">
        <v>2876</v>
      </c>
      <c r="F812" s="13" t="s">
        <v>6121</v>
      </c>
      <c r="G812" s="13" t="s">
        <v>6122</v>
      </c>
      <c r="H812" s="13" t="s">
        <v>4034</v>
      </c>
      <c r="I812" s="15" t="n">
        <v>28</v>
      </c>
      <c r="J812" s="15" t="n">
        <v>27.1</v>
      </c>
      <c r="K812" s="15"/>
      <c r="L812" s="15"/>
      <c r="M812" s="15" t="n">
        <f aca="false">IF(ISNUMBER(L812),L812,J812)</f>
        <v>27.1</v>
      </c>
      <c r="N812" s="15" t="n">
        <f aca="false">ROUNDUP(M812,0)</f>
        <v>28</v>
      </c>
      <c r="O812" s="15" t="n">
        <f aca="false">MAX(I812,N812)</f>
        <v>28</v>
      </c>
      <c r="P812" s="15" t="n">
        <f aca="false">IF(C812="COVERED",MAX(0,O812-40),0)</f>
        <v>0</v>
      </c>
      <c r="Q812" s="15" t="n">
        <f aca="false">O812</f>
        <v>28</v>
      </c>
      <c r="R812" s="18" t="n">
        <f aca="false">IF(C812="COVERED",10.4,7.55)</f>
        <v>7.55</v>
      </c>
      <c r="S812" s="18" t="n">
        <f aca="false">Q812*R812</f>
        <v>211.4</v>
      </c>
      <c r="T812" s="13"/>
      <c r="U812" s="14"/>
      <c r="V812" s="13"/>
      <c r="W812" s="18"/>
      <c r="X812" s="18"/>
      <c r="Y812" s="18" t="str">
        <f aca="false">IF(ISNUMBER(X812),X812-S812,"")</f>
        <v/>
      </c>
      <c r="Z812" s="18" t="n">
        <f aca="false">IF(ISNUMBER(X812),X812-S812,-S812)</f>
        <v>-211.4</v>
      </c>
      <c r="AA812" s="13" t="str">
        <f aca="false">IF(NOT(ISNUMBER(X812)),"NO AUGUST POSTING IN EXPORT",IF(ABS(Y812)&gt;=0.005,"POSTED CHARGE MISMATCH",IF(P812&gt;0,"MATCH - COVERED ELIGIBILITY EXCEPTION","MATCH")))</f>
        <v>NO AUGUST POSTING IN EXPORT</v>
      </c>
      <c r="AB812" s="13" t="s">
        <v>6123</v>
      </c>
    </row>
    <row r="813" customFormat="false" ht="15" hidden="false" customHeight="false" outlineLevel="0" collapsed="false">
      <c r="A813" s="9" t="s">
        <v>6124</v>
      </c>
      <c r="B813" s="9" t="s">
        <v>204</v>
      </c>
      <c r="C813" s="9" t="s">
        <v>146</v>
      </c>
      <c r="D813" s="9" t="s">
        <v>2002</v>
      </c>
      <c r="E813" s="9" t="s">
        <v>2881</v>
      </c>
      <c r="F813" s="9" t="s">
        <v>6125</v>
      </c>
      <c r="G813" s="9" t="s">
        <v>6126</v>
      </c>
      <c r="H813" s="9" t="s">
        <v>3286</v>
      </c>
      <c r="I813" s="11" t="n">
        <v>50</v>
      </c>
      <c r="J813" s="11" t="n">
        <v>36.7</v>
      </c>
      <c r="K813" s="11"/>
      <c r="L813" s="11"/>
      <c r="M813" s="11" t="n">
        <f aca="false">IF(ISNUMBER(L813),L813,J813)</f>
        <v>36.7</v>
      </c>
      <c r="N813" s="11" t="n">
        <f aca="false">ROUNDUP(M813,0)</f>
        <v>37</v>
      </c>
      <c r="O813" s="11" t="n">
        <f aca="false">MAX(I813,N813)</f>
        <v>50</v>
      </c>
      <c r="P813" s="11" t="n">
        <f aca="false">IF(C813="COVERED",MAX(0,O813-40),0)</f>
        <v>0</v>
      </c>
      <c r="Q813" s="11" t="n">
        <f aca="false">O813</f>
        <v>50</v>
      </c>
      <c r="R813" s="17" t="n">
        <f aca="false">IF(C813="COVERED",10.4,7.55)</f>
        <v>7.55</v>
      </c>
      <c r="S813" s="17" t="n">
        <f aca="false">Q813*R813</f>
        <v>377.5</v>
      </c>
      <c r="T813" s="9"/>
      <c r="U813" s="10"/>
      <c r="V813" s="9"/>
      <c r="W813" s="17"/>
      <c r="X813" s="17"/>
      <c r="Y813" s="17" t="str">
        <f aca="false">IF(ISNUMBER(X813),X813-S813,"")</f>
        <v/>
      </c>
      <c r="Z813" s="17" t="n">
        <f aca="false">IF(ISNUMBER(X813),X813-S813,-S813)</f>
        <v>-377.5</v>
      </c>
      <c r="AA813" s="9" t="str">
        <f aca="false">IF(NOT(ISNUMBER(X813)),"NO AUGUST POSTING IN EXPORT",IF(ABS(Y813)&gt;=0.005,"POSTED CHARGE MISMATCH",IF(P813&gt;0,"MATCH - COVERED ELIGIBILITY EXCEPTION","MATCH")))</f>
        <v>NO AUGUST POSTING IN EXPORT</v>
      </c>
      <c r="AB813" s="9" t="s">
        <v>6127</v>
      </c>
    </row>
    <row r="814" customFormat="false" ht="15" hidden="false" customHeight="false" outlineLevel="0" collapsed="false">
      <c r="A814" s="13" t="s">
        <v>6128</v>
      </c>
      <c r="B814" s="13" t="s">
        <v>204</v>
      </c>
      <c r="C814" s="13" t="s">
        <v>146</v>
      </c>
      <c r="D814" s="13" t="s">
        <v>2002</v>
      </c>
      <c r="E814" s="13" t="s">
        <v>4056</v>
      </c>
      <c r="F814" s="13" t="s">
        <v>1521</v>
      </c>
      <c r="G814" s="13" t="s">
        <v>1522</v>
      </c>
      <c r="H814" s="13" t="s">
        <v>2082</v>
      </c>
      <c r="I814" s="15" t="n">
        <v>24</v>
      </c>
      <c r="J814" s="15" t="n">
        <v>49.2</v>
      </c>
      <c r="K814" s="15"/>
      <c r="L814" s="15"/>
      <c r="M814" s="15" t="n">
        <f aca="false">IF(ISNUMBER(L814),L814,J814)</f>
        <v>49.2</v>
      </c>
      <c r="N814" s="15" t="n">
        <f aca="false">ROUNDUP(M814,0)</f>
        <v>50</v>
      </c>
      <c r="O814" s="15" t="n">
        <f aca="false">MAX(I814,N814)</f>
        <v>50</v>
      </c>
      <c r="P814" s="15" t="n">
        <f aca="false">IF(C814="COVERED",MAX(0,O814-40),0)</f>
        <v>0</v>
      </c>
      <c r="Q814" s="15" t="n">
        <f aca="false">O814</f>
        <v>50</v>
      </c>
      <c r="R814" s="18" t="n">
        <f aca="false">IF(C814="COVERED",10.4,7.55)</f>
        <v>7.55</v>
      </c>
      <c r="S814" s="18" t="n">
        <f aca="false">Q814*R814</f>
        <v>377.5</v>
      </c>
      <c r="T814" s="13"/>
      <c r="U814" s="14"/>
      <c r="V814" s="13"/>
      <c r="W814" s="18"/>
      <c r="X814" s="18"/>
      <c r="Y814" s="18" t="str">
        <f aca="false">IF(ISNUMBER(X814),X814-S814,"")</f>
        <v/>
      </c>
      <c r="Z814" s="18" t="n">
        <f aca="false">IF(ISNUMBER(X814),X814-S814,-S814)</f>
        <v>-377.5</v>
      </c>
      <c r="AA814" s="13" t="str">
        <f aca="false">IF(NOT(ISNUMBER(X814)),"NO AUGUST POSTING IN EXPORT",IF(ABS(Y814)&gt;=0.005,"POSTED CHARGE MISMATCH",IF(P814&gt;0,"MATCH - COVERED ELIGIBILITY EXCEPTION","MATCH")))</f>
        <v>NO AUGUST POSTING IN EXPORT</v>
      </c>
      <c r="AB814" s="13" t="s">
        <v>6129</v>
      </c>
    </row>
    <row r="815" customFormat="false" ht="15" hidden="false" customHeight="false" outlineLevel="0" collapsed="false">
      <c r="A815" s="9" t="s">
        <v>6130</v>
      </c>
      <c r="B815" s="9" t="s">
        <v>204</v>
      </c>
      <c r="C815" s="9" t="s">
        <v>146</v>
      </c>
      <c r="D815" s="9" t="s">
        <v>2002</v>
      </c>
      <c r="E815" s="9" t="s">
        <v>2888</v>
      </c>
      <c r="F815" s="9" t="s">
        <v>1360</v>
      </c>
      <c r="G815" s="9" t="s">
        <v>1361</v>
      </c>
      <c r="H815" s="9" t="s">
        <v>3636</v>
      </c>
      <c r="I815" s="11" t="n">
        <v>70</v>
      </c>
      <c r="J815" s="11" t="n">
        <v>20.5</v>
      </c>
      <c r="K815" s="11"/>
      <c r="L815" s="11"/>
      <c r="M815" s="11" t="n">
        <f aca="false">IF(ISNUMBER(L815),L815,J815)</f>
        <v>20.5</v>
      </c>
      <c r="N815" s="11" t="n">
        <f aca="false">ROUNDUP(M815,0)</f>
        <v>21</v>
      </c>
      <c r="O815" s="11" t="n">
        <f aca="false">MAX(I815,N815)</f>
        <v>70</v>
      </c>
      <c r="P815" s="11" t="n">
        <f aca="false">IF(C815="COVERED",MAX(0,O815-40),0)</f>
        <v>0</v>
      </c>
      <c r="Q815" s="11" t="n">
        <f aca="false">O815</f>
        <v>70</v>
      </c>
      <c r="R815" s="17" t="n">
        <f aca="false">IF(C815="COVERED",10.4,7.55)</f>
        <v>7.55</v>
      </c>
      <c r="S815" s="17" t="n">
        <f aca="false">Q815*R815</f>
        <v>528.5</v>
      </c>
      <c r="T815" s="9"/>
      <c r="U815" s="10"/>
      <c r="V815" s="9"/>
      <c r="W815" s="17"/>
      <c r="X815" s="17"/>
      <c r="Y815" s="17" t="str">
        <f aca="false">IF(ISNUMBER(X815),X815-S815,"")</f>
        <v/>
      </c>
      <c r="Z815" s="17" t="n">
        <f aca="false">IF(ISNUMBER(X815),X815-S815,-S815)</f>
        <v>-528.5</v>
      </c>
      <c r="AA815" s="9" t="str">
        <f aca="false">IF(NOT(ISNUMBER(X815)),"NO AUGUST POSTING IN EXPORT",IF(ABS(Y815)&gt;=0.005,"POSTED CHARGE MISMATCH",IF(P815&gt;0,"MATCH - COVERED ELIGIBILITY EXCEPTION","MATCH")))</f>
        <v>NO AUGUST POSTING IN EXPORT</v>
      </c>
      <c r="AB815" s="9" t="s">
        <v>6131</v>
      </c>
    </row>
    <row r="816" customFormat="false" ht="15" hidden="false" customHeight="false" outlineLevel="0" collapsed="false">
      <c r="A816" s="13" t="s">
        <v>6132</v>
      </c>
      <c r="B816" s="13" t="s">
        <v>204</v>
      </c>
      <c r="C816" s="13" t="s">
        <v>146</v>
      </c>
      <c r="D816" s="13" t="s">
        <v>2002</v>
      </c>
      <c r="E816" s="13" t="s">
        <v>2895</v>
      </c>
      <c r="F816" s="13" t="s">
        <v>6133</v>
      </c>
      <c r="G816" s="13" t="s">
        <v>6134</v>
      </c>
      <c r="H816" s="13" t="s">
        <v>2189</v>
      </c>
      <c r="I816" s="15" t="n">
        <v>60</v>
      </c>
      <c r="J816" s="15" t="n">
        <v>42</v>
      </c>
      <c r="K816" s="15"/>
      <c r="L816" s="15"/>
      <c r="M816" s="15" t="n">
        <f aca="false">IF(ISNUMBER(L816),L816,J816)</f>
        <v>42</v>
      </c>
      <c r="N816" s="15" t="n">
        <f aca="false">ROUNDUP(M816,0)</f>
        <v>42</v>
      </c>
      <c r="O816" s="15" t="n">
        <f aca="false">MAX(I816,N816)</f>
        <v>60</v>
      </c>
      <c r="P816" s="15" t="n">
        <f aca="false">IF(C816="COVERED",MAX(0,O816-40),0)</f>
        <v>0</v>
      </c>
      <c r="Q816" s="15" t="n">
        <f aca="false">O816</f>
        <v>60</v>
      </c>
      <c r="R816" s="18" t="n">
        <f aca="false">IF(C816="COVERED",10.4,7.55)</f>
        <v>7.55</v>
      </c>
      <c r="S816" s="18" t="n">
        <f aca="false">Q816*R816</f>
        <v>453</v>
      </c>
      <c r="T816" s="13"/>
      <c r="U816" s="14"/>
      <c r="V816" s="13"/>
      <c r="W816" s="18"/>
      <c r="X816" s="18"/>
      <c r="Y816" s="18" t="str">
        <f aca="false">IF(ISNUMBER(X816),X816-S816,"")</f>
        <v/>
      </c>
      <c r="Z816" s="18" t="n">
        <f aca="false">IF(ISNUMBER(X816),X816-S816,-S816)</f>
        <v>-453</v>
      </c>
      <c r="AA816" s="13" t="str">
        <f aca="false">IF(NOT(ISNUMBER(X816)),"NO AUGUST POSTING IN EXPORT",IF(ABS(Y816)&gt;=0.005,"POSTED CHARGE MISMATCH",IF(P816&gt;0,"MATCH - COVERED ELIGIBILITY EXCEPTION","MATCH")))</f>
        <v>NO AUGUST POSTING IN EXPORT</v>
      </c>
      <c r="AB816" s="13" t="s">
        <v>6135</v>
      </c>
    </row>
    <row r="817" customFormat="false" ht="15" hidden="false" customHeight="false" outlineLevel="0" collapsed="false">
      <c r="A817" s="9" t="s">
        <v>6136</v>
      </c>
      <c r="B817" s="9" t="s">
        <v>204</v>
      </c>
      <c r="C817" s="9" t="s">
        <v>146</v>
      </c>
      <c r="D817" s="9" t="s">
        <v>2002</v>
      </c>
      <c r="E817" s="9" t="s">
        <v>2902</v>
      </c>
      <c r="F817" s="9" t="s">
        <v>6137</v>
      </c>
      <c r="G817" s="9" t="s">
        <v>6138</v>
      </c>
      <c r="H817" s="9" t="s">
        <v>6139</v>
      </c>
      <c r="I817" s="11" t="n">
        <v>70</v>
      </c>
      <c r="J817" s="11" t="n">
        <v>24.4</v>
      </c>
      <c r="K817" s="11"/>
      <c r="L817" s="11"/>
      <c r="M817" s="11" t="n">
        <f aca="false">IF(ISNUMBER(L817),L817,J817)</f>
        <v>24.4</v>
      </c>
      <c r="N817" s="11" t="n">
        <f aca="false">ROUNDUP(M817,0)</f>
        <v>25</v>
      </c>
      <c r="O817" s="11" t="n">
        <f aca="false">MAX(I817,N817)</f>
        <v>70</v>
      </c>
      <c r="P817" s="11" t="n">
        <f aca="false">IF(C817="COVERED",MAX(0,O817-40),0)</f>
        <v>0</v>
      </c>
      <c r="Q817" s="11" t="n">
        <f aca="false">O817</f>
        <v>70</v>
      </c>
      <c r="R817" s="17" t="n">
        <f aca="false">IF(C817="COVERED",10.4,7.55)</f>
        <v>7.55</v>
      </c>
      <c r="S817" s="17" t="n">
        <f aca="false">Q817*R817</f>
        <v>528.5</v>
      </c>
      <c r="T817" s="9"/>
      <c r="U817" s="10"/>
      <c r="V817" s="9"/>
      <c r="W817" s="17"/>
      <c r="X817" s="17"/>
      <c r="Y817" s="17" t="str">
        <f aca="false">IF(ISNUMBER(X817),X817-S817,"")</f>
        <v/>
      </c>
      <c r="Z817" s="17" t="n">
        <f aca="false">IF(ISNUMBER(X817),X817-S817,-S817)</f>
        <v>-528.5</v>
      </c>
      <c r="AA817" s="9" t="str">
        <f aca="false">IF(NOT(ISNUMBER(X817)),"NO AUGUST POSTING IN EXPORT",IF(ABS(Y817)&gt;=0.005,"POSTED CHARGE MISMATCH",IF(P817&gt;0,"MATCH - COVERED ELIGIBILITY EXCEPTION","MATCH")))</f>
        <v>NO AUGUST POSTING IN EXPORT</v>
      </c>
      <c r="AB817" s="9" t="s">
        <v>6140</v>
      </c>
    </row>
    <row r="818" customFormat="false" ht="15" hidden="false" customHeight="false" outlineLevel="0" collapsed="false">
      <c r="A818" s="13" t="s">
        <v>6141</v>
      </c>
      <c r="B818" s="13" t="s">
        <v>204</v>
      </c>
      <c r="C818" s="13" t="s">
        <v>146</v>
      </c>
      <c r="D818" s="13" t="s">
        <v>2002</v>
      </c>
      <c r="E818" s="13" t="s">
        <v>2909</v>
      </c>
      <c r="F818" s="13" t="s">
        <v>6142</v>
      </c>
      <c r="G818" s="13" t="s">
        <v>6143</v>
      </c>
      <c r="H818" s="13" t="s">
        <v>6144</v>
      </c>
      <c r="I818" s="15" t="n">
        <v>28</v>
      </c>
      <c r="J818" s="15" t="n">
        <v>56.7</v>
      </c>
      <c r="K818" s="15"/>
      <c r="L818" s="15"/>
      <c r="M818" s="15" t="n">
        <f aca="false">IF(ISNUMBER(L818),L818,J818)</f>
        <v>56.7</v>
      </c>
      <c r="N818" s="15" t="n">
        <f aca="false">ROUNDUP(M818,0)</f>
        <v>57</v>
      </c>
      <c r="O818" s="15" t="n">
        <f aca="false">MAX(I818,N818)</f>
        <v>57</v>
      </c>
      <c r="P818" s="15" t="n">
        <f aca="false">IF(C818="COVERED",MAX(0,O818-40),0)</f>
        <v>0</v>
      </c>
      <c r="Q818" s="15" t="n">
        <f aca="false">O818</f>
        <v>57</v>
      </c>
      <c r="R818" s="18" t="n">
        <f aca="false">IF(C818="COVERED",10.4,7.55)</f>
        <v>7.55</v>
      </c>
      <c r="S818" s="18" t="n">
        <f aca="false">Q818*R818</f>
        <v>430.35</v>
      </c>
      <c r="T818" s="13"/>
      <c r="U818" s="14"/>
      <c r="V818" s="13"/>
      <c r="W818" s="18"/>
      <c r="X818" s="18"/>
      <c r="Y818" s="18" t="str">
        <f aca="false">IF(ISNUMBER(X818),X818-S818,"")</f>
        <v/>
      </c>
      <c r="Z818" s="18" t="n">
        <f aca="false">IF(ISNUMBER(X818),X818-S818,-S818)</f>
        <v>-430.35</v>
      </c>
      <c r="AA818" s="13" t="str">
        <f aca="false">IF(NOT(ISNUMBER(X818)),"NO AUGUST POSTING IN EXPORT",IF(ABS(Y818)&gt;=0.005,"POSTED CHARGE MISMATCH",IF(P818&gt;0,"MATCH - COVERED ELIGIBILITY EXCEPTION","MATCH")))</f>
        <v>NO AUGUST POSTING IN EXPORT</v>
      </c>
      <c r="AB818" s="13" t="s">
        <v>6145</v>
      </c>
    </row>
    <row r="819" customFormat="false" ht="15" hidden="false" customHeight="false" outlineLevel="0" collapsed="false">
      <c r="A819" s="9" t="s">
        <v>6146</v>
      </c>
      <c r="B819" s="9" t="s">
        <v>204</v>
      </c>
      <c r="C819" s="9" t="s">
        <v>146</v>
      </c>
      <c r="D819" s="9" t="s">
        <v>2002</v>
      </c>
      <c r="E819" s="9" t="s">
        <v>2915</v>
      </c>
      <c r="F819" s="9" t="s">
        <v>6147</v>
      </c>
      <c r="G819" s="9" t="s">
        <v>6148</v>
      </c>
      <c r="H819" s="9" t="s">
        <v>2020</v>
      </c>
      <c r="I819" s="11" t="n">
        <v>24</v>
      </c>
      <c r="J819" s="11" t="n">
        <v>61.6</v>
      </c>
      <c r="K819" s="11"/>
      <c r="L819" s="11"/>
      <c r="M819" s="11" t="n">
        <f aca="false">IF(ISNUMBER(L819),L819,J819)</f>
        <v>61.6</v>
      </c>
      <c r="N819" s="11" t="n">
        <f aca="false">ROUNDUP(M819,0)</f>
        <v>62</v>
      </c>
      <c r="O819" s="11" t="n">
        <f aca="false">MAX(I819,N819)</f>
        <v>62</v>
      </c>
      <c r="P819" s="11" t="n">
        <f aca="false">IF(C819="COVERED",MAX(0,O819-40),0)</f>
        <v>0</v>
      </c>
      <c r="Q819" s="11" t="n">
        <f aca="false">O819</f>
        <v>62</v>
      </c>
      <c r="R819" s="17" t="n">
        <f aca="false">IF(C819="COVERED",10.4,7.55)</f>
        <v>7.55</v>
      </c>
      <c r="S819" s="17" t="n">
        <f aca="false">Q819*R819</f>
        <v>468.1</v>
      </c>
      <c r="T819" s="9"/>
      <c r="U819" s="10"/>
      <c r="V819" s="9"/>
      <c r="W819" s="17"/>
      <c r="X819" s="17"/>
      <c r="Y819" s="17" t="str">
        <f aca="false">IF(ISNUMBER(X819),X819-S819,"")</f>
        <v/>
      </c>
      <c r="Z819" s="17" t="n">
        <f aca="false">IF(ISNUMBER(X819),X819-S819,-S819)</f>
        <v>-468.1</v>
      </c>
      <c r="AA819" s="9" t="str">
        <f aca="false">IF(NOT(ISNUMBER(X819)),"NO AUGUST POSTING IN EXPORT",IF(ABS(Y819)&gt;=0.005,"POSTED CHARGE MISMATCH",IF(P819&gt;0,"MATCH - COVERED ELIGIBILITY EXCEPTION","MATCH")))</f>
        <v>NO AUGUST POSTING IN EXPORT</v>
      </c>
      <c r="AB819" s="9" t="s">
        <v>6149</v>
      </c>
    </row>
    <row r="820" customFormat="false" ht="15" hidden="false" customHeight="false" outlineLevel="0" collapsed="false">
      <c r="A820" s="13" t="s">
        <v>515</v>
      </c>
      <c r="B820" s="13" t="s">
        <v>204</v>
      </c>
      <c r="C820" s="13" t="s">
        <v>146</v>
      </c>
      <c r="D820" s="13" t="s">
        <v>2002</v>
      </c>
      <c r="E820" s="13" t="s">
        <v>2922</v>
      </c>
      <c r="F820" s="13" t="s">
        <v>790</v>
      </c>
      <c r="G820" s="13" t="s">
        <v>791</v>
      </c>
      <c r="H820" s="13" t="s">
        <v>2808</v>
      </c>
      <c r="I820" s="15" t="n">
        <v>60</v>
      </c>
      <c r="J820" s="15" t="n">
        <v>54.8</v>
      </c>
      <c r="K820" s="15"/>
      <c r="L820" s="15"/>
      <c r="M820" s="15" t="n">
        <f aca="false">IF(ISNUMBER(L820),L820,J820)</f>
        <v>54.8</v>
      </c>
      <c r="N820" s="15" t="n">
        <f aca="false">ROUNDUP(M820,0)</f>
        <v>55</v>
      </c>
      <c r="O820" s="15" t="n">
        <f aca="false">MAX(I820,N820)</f>
        <v>60</v>
      </c>
      <c r="P820" s="15" t="n">
        <f aca="false">IF(C820="COVERED",MAX(0,O820-40),0)</f>
        <v>0</v>
      </c>
      <c r="Q820" s="15" t="n">
        <f aca="false">O820</f>
        <v>60</v>
      </c>
      <c r="R820" s="18" t="n">
        <f aca="false">IF(C820="COVERED",10.4,7.55)</f>
        <v>7.55</v>
      </c>
      <c r="S820" s="18" t="n">
        <f aca="false">Q820*R820</f>
        <v>453</v>
      </c>
      <c r="T820" s="13"/>
      <c r="U820" s="14"/>
      <c r="V820" s="13"/>
      <c r="W820" s="18"/>
      <c r="X820" s="18"/>
      <c r="Y820" s="18" t="str">
        <f aca="false">IF(ISNUMBER(X820),X820-S820,"")</f>
        <v/>
      </c>
      <c r="Z820" s="18" t="n">
        <f aca="false">IF(ISNUMBER(X820),X820-S820,-S820)</f>
        <v>-453</v>
      </c>
      <c r="AA820" s="13" t="str">
        <f aca="false">IF(NOT(ISNUMBER(X820)),"NO AUGUST POSTING IN EXPORT",IF(ABS(Y820)&gt;=0.005,"POSTED CHARGE MISMATCH",IF(P820&gt;0,"MATCH - COVERED ELIGIBILITY EXCEPTION","MATCH")))</f>
        <v>NO AUGUST POSTING IN EXPORT</v>
      </c>
      <c r="AB820" s="13" t="s">
        <v>6150</v>
      </c>
    </row>
    <row r="821" customFormat="false" ht="15" hidden="false" customHeight="false" outlineLevel="0" collapsed="false">
      <c r="A821" s="9" t="s">
        <v>6151</v>
      </c>
      <c r="B821" s="9" t="s">
        <v>204</v>
      </c>
      <c r="C821" s="9" t="s">
        <v>146</v>
      </c>
      <c r="D821" s="9" t="s">
        <v>2002</v>
      </c>
      <c r="E821" s="9" t="s">
        <v>2929</v>
      </c>
      <c r="F821" s="9" t="s">
        <v>6152</v>
      </c>
      <c r="G821" s="9" t="s">
        <v>6153</v>
      </c>
      <c r="H821" s="9" t="s">
        <v>6154</v>
      </c>
      <c r="I821" s="11" t="n">
        <v>80</v>
      </c>
      <c r="J821" s="11" t="n">
        <v>20.2</v>
      </c>
      <c r="K821" s="11"/>
      <c r="L821" s="11"/>
      <c r="M821" s="11" t="n">
        <f aca="false">IF(ISNUMBER(L821),L821,J821)</f>
        <v>20.2</v>
      </c>
      <c r="N821" s="11" t="n">
        <f aca="false">ROUNDUP(M821,0)</f>
        <v>21</v>
      </c>
      <c r="O821" s="11" t="n">
        <f aca="false">MAX(I821,N821)</f>
        <v>80</v>
      </c>
      <c r="P821" s="11" t="n">
        <f aca="false">IF(C821="COVERED",MAX(0,O821-40),0)</f>
        <v>0</v>
      </c>
      <c r="Q821" s="11" t="n">
        <f aca="false">O821</f>
        <v>80</v>
      </c>
      <c r="R821" s="17" t="n">
        <f aca="false">IF(C821="COVERED",10.4,7.55)</f>
        <v>7.55</v>
      </c>
      <c r="S821" s="17" t="n">
        <f aca="false">Q821*R821</f>
        <v>604</v>
      </c>
      <c r="T821" s="9"/>
      <c r="U821" s="10"/>
      <c r="V821" s="9"/>
      <c r="W821" s="17"/>
      <c r="X821" s="17"/>
      <c r="Y821" s="17" t="str">
        <f aca="false">IF(ISNUMBER(X821),X821-S821,"")</f>
        <v/>
      </c>
      <c r="Z821" s="17" t="n">
        <f aca="false">IF(ISNUMBER(X821),X821-S821,-S821)</f>
        <v>-604</v>
      </c>
      <c r="AA821" s="9" t="str">
        <f aca="false">IF(NOT(ISNUMBER(X821)),"NO AUGUST POSTING IN EXPORT",IF(ABS(Y821)&gt;=0.005,"POSTED CHARGE MISMATCH",IF(P821&gt;0,"MATCH - COVERED ELIGIBILITY EXCEPTION","MATCH")))</f>
        <v>NO AUGUST POSTING IN EXPORT</v>
      </c>
      <c r="AB821" s="9" t="s">
        <v>6155</v>
      </c>
    </row>
    <row r="822" customFormat="false" ht="15" hidden="false" customHeight="false" outlineLevel="0" collapsed="false">
      <c r="A822" s="13" t="s">
        <v>1636</v>
      </c>
      <c r="B822" s="13" t="s">
        <v>204</v>
      </c>
      <c r="C822" s="13" t="s">
        <v>146</v>
      </c>
      <c r="D822" s="13" t="s">
        <v>2002</v>
      </c>
      <c r="E822" s="13" t="s">
        <v>2936</v>
      </c>
      <c r="F822" s="13" t="s">
        <v>6156</v>
      </c>
      <c r="G822" s="13" t="s">
        <v>6157</v>
      </c>
      <c r="H822" s="13" t="s">
        <v>6158</v>
      </c>
      <c r="I822" s="15" t="n">
        <v>28</v>
      </c>
      <c r="J822" s="15" t="n">
        <v>59</v>
      </c>
      <c r="K822" s="15"/>
      <c r="L822" s="15"/>
      <c r="M822" s="15" t="n">
        <f aca="false">IF(ISNUMBER(L822),L822,J822)</f>
        <v>59</v>
      </c>
      <c r="N822" s="15" t="n">
        <f aca="false">ROUNDUP(M822,0)</f>
        <v>59</v>
      </c>
      <c r="O822" s="15" t="n">
        <f aca="false">MAX(I822,N822)</f>
        <v>59</v>
      </c>
      <c r="P822" s="15" t="n">
        <f aca="false">IF(C822="COVERED",MAX(0,O822-40),0)</f>
        <v>0</v>
      </c>
      <c r="Q822" s="15" t="n">
        <f aca="false">O822</f>
        <v>59</v>
      </c>
      <c r="R822" s="18" t="n">
        <f aca="false">IF(C822="COVERED",10.4,7.55)</f>
        <v>7.55</v>
      </c>
      <c r="S822" s="18" t="n">
        <f aca="false">Q822*R822</f>
        <v>445.45</v>
      </c>
      <c r="T822" s="13"/>
      <c r="U822" s="14"/>
      <c r="V822" s="13"/>
      <c r="W822" s="18"/>
      <c r="X822" s="18"/>
      <c r="Y822" s="18" t="str">
        <f aca="false">IF(ISNUMBER(X822),X822-S822,"")</f>
        <v/>
      </c>
      <c r="Z822" s="18" t="n">
        <f aca="false">IF(ISNUMBER(X822),X822-S822,-S822)</f>
        <v>-445.45</v>
      </c>
      <c r="AA822" s="13" t="str">
        <f aca="false">IF(NOT(ISNUMBER(X822)),"NO AUGUST POSTING IN EXPORT",IF(ABS(Y822)&gt;=0.005,"POSTED CHARGE MISMATCH",IF(P822&gt;0,"MATCH - COVERED ELIGIBILITY EXCEPTION","MATCH")))</f>
        <v>NO AUGUST POSTING IN EXPORT</v>
      </c>
      <c r="AB822" s="13" t="s">
        <v>6159</v>
      </c>
    </row>
    <row r="823" customFormat="false" ht="15" hidden="false" customHeight="false" outlineLevel="0" collapsed="false">
      <c r="A823" s="9" t="s">
        <v>1274</v>
      </c>
      <c r="B823" s="9" t="s">
        <v>204</v>
      </c>
      <c r="C823" s="9" t="s">
        <v>146</v>
      </c>
      <c r="D823" s="9" t="s">
        <v>2002</v>
      </c>
      <c r="E823" s="9" t="s">
        <v>2943</v>
      </c>
      <c r="F823" s="9" t="s">
        <v>6160</v>
      </c>
      <c r="G823" s="9" t="s">
        <v>6161</v>
      </c>
      <c r="H823" s="9" t="s">
        <v>6162</v>
      </c>
      <c r="I823" s="11" t="n">
        <v>28</v>
      </c>
      <c r="J823" s="11" t="n">
        <v>31.5</v>
      </c>
      <c r="K823" s="11"/>
      <c r="L823" s="11"/>
      <c r="M823" s="11" t="n">
        <f aca="false">IF(ISNUMBER(L823),L823,J823)</f>
        <v>31.5</v>
      </c>
      <c r="N823" s="11" t="n">
        <f aca="false">ROUNDUP(M823,0)</f>
        <v>32</v>
      </c>
      <c r="O823" s="11" t="n">
        <f aca="false">MAX(I823,N823)</f>
        <v>32</v>
      </c>
      <c r="P823" s="11" t="n">
        <f aca="false">IF(C823="COVERED",MAX(0,O823-40),0)</f>
        <v>0</v>
      </c>
      <c r="Q823" s="11" t="n">
        <f aca="false">O823</f>
        <v>32</v>
      </c>
      <c r="R823" s="17" t="n">
        <f aca="false">IF(C823="COVERED",10.4,7.55)</f>
        <v>7.55</v>
      </c>
      <c r="S823" s="17" t="n">
        <f aca="false">Q823*R823</f>
        <v>241.6</v>
      </c>
      <c r="T823" s="9"/>
      <c r="U823" s="10"/>
      <c r="V823" s="9"/>
      <c r="W823" s="17"/>
      <c r="X823" s="17"/>
      <c r="Y823" s="17" t="str">
        <f aca="false">IF(ISNUMBER(X823),X823-S823,"")</f>
        <v/>
      </c>
      <c r="Z823" s="17" t="n">
        <f aca="false">IF(ISNUMBER(X823),X823-S823,-S823)</f>
        <v>-241.6</v>
      </c>
      <c r="AA823" s="9" t="str">
        <f aca="false">IF(NOT(ISNUMBER(X823)),"NO AUGUST POSTING IN EXPORT",IF(ABS(Y823)&gt;=0.005,"POSTED CHARGE MISMATCH",IF(P823&gt;0,"MATCH - COVERED ELIGIBILITY EXCEPTION","MATCH")))</f>
        <v>NO AUGUST POSTING IN EXPORT</v>
      </c>
      <c r="AB823" s="9" t="s">
        <v>6163</v>
      </c>
    </row>
    <row r="824" customFormat="false" ht="15" hidden="false" customHeight="false" outlineLevel="0" collapsed="false">
      <c r="A824" s="13" t="s">
        <v>6164</v>
      </c>
      <c r="B824" s="13" t="s">
        <v>204</v>
      </c>
      <c r="C824" s="13" t="s">
        <v>146</v>
      </c>
      <c r="D824" s="13" t="s">
        <v>2002</v>
      </c>
      <c r="E824" s="13" t="s">
        <v>2950</v>
      </c>
      <c r="F824" s="13" t="s">
        <v>6165</v>
      </c>
      <c r="G824" s="13" t="s">
        <v>6166</v>
      </c>
      <c r="H824" s="13" t="s">
        <v>3540</v>
      </c>
      <c r="I824" s="15" t="n">
        <v>28</v>
      </c>
      <c r="J824" s="15" t="n">
        <v>29.7</v>
      </c>
      <c r="K824" s="15"/>
      <c r="L824" s="15"/>
      <c r="M824" s="15" t="n">
        <f aca="false">IF(ISNUMBER(L824),L824,J824)</f>
        <v>29.7</v>
      </c>
      <c r="N824" s="15" t="n">
        <f aca="false">ROUNDUP(M824,0)</f>
        <v>30</v>
      </c>
      <c r="O824" s="15" t="n">
        <f aca="false">MAX(I824,N824)</f>
        <v>30</v>
      </c>
      <c r="P824" s="15" t="n">
        <f aca="false">IF(C824="COVERED",MAX(0,O824-40),0)</f>
        <v>0</v>
      </c>
      <c r="Q824" s="15" t="n">
        <f aca="false">O824</f>
        <v>30</v>
      </c>
      <c r="R824" s="18" t="n">
        <f aca="false">IF(C824="COVERED",10.4,7.55)</f>
        <v>7.55</v>
      </c>
      <c r="S824" s="18" t="n">
        <f aca="false">Q824*R824</f>
        <v>226.5</v>
      </c>
      <c r="T824" s="13"/>
      <c r="U824" s="14"/>
      <c r="V824" s="13"/>
      <c r="W824" s="18"/>
      <c r="X824" s="18"/>
      <c r="Y824" s="18" t="str">
        <f aca="false">IF(ISNUMBER(X824),X824-S824,"")</f>
        <v/>
      </c>
      <c r="Z824" s="18" t="n">
        <f aca="false">IF(ISNUMBER(X824),X824-S824,-S824)</f>
        <v>-226.5</v>
      </c>
      <c r="AA824" s="13" t="str">
        <f aca="false">IF(NOT(ISNUMBER(X824)),"NO AUGUST POSTING IN EXPORT",IF(ABS(Y824)&gt;=0.005,"POSTED CHARGE MISMATCH",IF(P824&gt;0,"MATCH - COVERED ELIGIBILITY EXCEPTION","MATCH")))</f>
        <v>NO AUGUST POSTING IN EXPORT</v>
      </c>
      <c r="AB824" s="13" t="s">
        <v>6167</v>
      </c>
    </row>
    <row r="825" customFormat="false" ht="15" hidden="false" customHeight="false" outlineLevel="0" collapsed="false">
      <c r="A825" s="9" t="s">
        <v>6168</v>
      </c>
      <c r="B825" s="9" t="s">
        <v>204</v>
      </c>
      <c r="C825" s="9" t="s">
        <v>146</v>
      </c>
      <c r="D825" s="9" t="s">
        <v>2002</v>
      </c>
      <c r="E825" s="9" t="s">
        <v>2957</v>
      </c>
      <c r="F825" s="9" t="s">
        <v>6169</v>
      </c>
      <c r="G825" s="9" t="s">
        <v>6170</v>
      </c>
      <c r="H825" s="9" t="s">
        <v>2169</v>
      </c>
      <c r="I825" s="11" t="n">
        <v>24</v>
      </c>
      <c r="J825" s="11" t="n">
        <v>54</v>
      </c>
      <c r="K825" s="11"/>
      <c r="L825" s="11"/>
      <c r="M825" s="11" t="n">
        <f aca="false">IF(ISNUMBER(L825),L825,J825)</f>
        <v>54</v>
      </c>
      <c r="N825" s="11" t="n">
        <f aca="false">ROUNDUP(M825,0)</f>
        <v>54</v>
      </c>
      <c r="O825" s="11" t="n">
        <f aca="false">MAX(I825,N825)</f>
        <v>54</v>
      </c>
      <c r="P825" s="11" t="n">
        <f aca="false">IF(C825="COVERED",MAX(0,O825-40),0)</f>
        <v>0</v>
      </c>
      <c r="Q825" s="11" t="n">
        <f aca="false">O825</f>
        <v>54</v>
      </c>
      <c r="R825" s="17" t="n">
        <f aca="false">IF(C825="COVERED",10.4,7.55)</f>
        <v>7.55</v>
      </c>
      <c r="S825" s="17" t="n">
        <f aca="false">Q825*R825</f>
        <v>407.7</v>
      </c>
      <c r="T825" s="9"/>
      <c r="U825" s="10"/>
      <c r="V825" s="9"/>
      <c r="W825" s="17"/>
      <c r="X825" s="17"/>
      <c r="Y825" s="17" t="str">
        <f aca="false">IF(ISNUMBER(X825),X825-S825,"")</f>
        <v/>
      </c>
      <c r="Z825" s="17" t="n">
        <f aca="false">IF(ISNUMBER(X825),X825-S825,-S825)</f>
        <v>-407.7</v>
      </c>
      <c r="AA825" s="9" t="str">
        <f aca="false">IF(NOT(ISNUMBER(X825)),"NO AUGUST POSTING IN EXPORT",IF(ABS(Y825)&gt;=0.005,"POSTED CHARGE MISMATCH",IF(P825&gt;0,"MATCH - COVERED ELIGIBILITY EXCEPTION","MATCH")))</f>
        <v>NO AUGUST POSTING IN EXPORT</v>
      </c>
      <c r="AB825" s="9" t="s">
        <v>6171</v>
      </c>
    </row>
    <row r="826" customFormat="false" ht="15" hidden="false" customHeight="false" outlineLevel="0" collapsed="false">
      <c r="A826" s="13" t="s">
        <v>6172</v>
      </c>
      <c r="B826" s="13" t="s">
        <v>204</v>
      </c>
      <c r="C826" s="13" t="s">
        <v>146</v>
      </c>
      <c r="D826" s="13" t="s">
        <v>2002</v>
      </c>
      <c r="E826" s="13" t="s">
        <v>2964</v>
      </c>
      <c r="F826" s="13" t="s">
        <v>6173</v>
      </c>
      <c r="G826" s="13" t="s">
        <v>6174</v>
      </c>
      <c r="H826" s="13" t="s">
        <v>6175</v>
      </c>
      <c r="I826" s="15" t="n">
        <v>24</v>
      </c>
      <c r="J826" s="15" t="n">
        <v>40.1</v>
      </c>
      <c r="K826" s="15"/>
      <c r="L826" s="15"/>
      <c r="M826" s="15" t="n">
        <f aca="false">IF(ISNUMBER(L826),L826,J826)</f>
        <v>40.1</v>
      </c>
      <c r="N826" s="15" t="n">
        <f aca="false">ROUNDUP(M826,0)</f>
        <v>41</v>
      </c>
      <c r="O826" s="15" t="n">
        <f aca="false">MAX(I826,N826)</f>
        <v>41</v>
      </c>
      <c r="P826" s="15" t="n">
        <f aca="false">IF(C826="COVERED",MAX(0,O826-40),0)</f>
        <v>0</v>
      </c>
      <c r="Q826" s="15" t="n">
        <f aca="false">O826</f>
        <v>41</v>
      </c>
      <c r="R826" s="18" t="n">
        <f aca="false">IF(C826="COVERED",10.4,7.55)</f>
        <v>7.55</v>
      </c>
      <c r="S826" s="18" t="n">
        <f aca="false">Q826*R826</f>
        <v>309.55</v>
      </c>
      <c r="T826" s="13"/>
      <c r="U826" s="14"/>
      <c r="V826" s="13"/>
      <c r="W826" s="18"/>
      <c r="X826" s="18"/>
      <c r="Y826" s="18" t="str">
        <f aca="false">IF(ISNUMBER(X826),X826-S826,"")</f>
        <v/>
      </c>
      <c r="Z826" s="18" t="n">
        <f aca="false">IF(ISNUMBER(X826),X826-S826,-S826)</f>
        <v>-309.55</v>
      </c>
      <c r="AA826" s="13" t="str">
        <f aca="false">IF(NOT(ISNUMBER(X826)),"NO AUGUST POSTING IN EXPORT",IF(ABS(Y826)&gt;=0.005,"POSTED CHARGE MISMATCH",IF(P826&gt;0,"MATCH - COVERED ELIGIBILITY EXCEPTION","MATCH")))</f>
        <v>NO AUGUST POSTING IN EXPORT</v>
      </c>
      <c r="AB826" s="13" t="s">
        <v>6176</v>
      </c>
    </row>
    <row r="827" customFormat="false" ht="15" hidden="false" customHeight="false" outlineLevel="0" collapsed="false">
      <c r="A827" s="9" t="s">
        <v>6177</v>
      </c>
      <c r="B827" s="9" t="s">
        <v>204</v>
      </c>
      <c r="C827" s="9" t="s">
        <v>146</v>
      </c>
      <c r="D827" s="9" t="s">
        <v>2002</v>
      </c>
      <c r="E827" s="9" t="s">
        <v>2970</v>
      </c>
      <c r="F827" s="9" t="s">
        <v>6178</v>
      </c>
      <c r="G827" s="9" t="s">
        <v>6179</v>
      </c>
      <c r="H827" s="9" t="s">
        <v>6180</v>
      </c>
      <c r="I827" s="11" t="n">
        <v>40</v>
      </c>
      <c r="J827" s="11" t="n">
        <v>58.8</v>
      </c>
      <c r="K827" s="11"/>
      <c r="L827" s="11"/>
      <c r="M827" s="11" t="n">
        <f aca="false">IF(ISNUMBER(L827),L827,J827)</f>
        <v>58.8</v>
      </c>
      <c r="N827" s="11" t="n">
        <f aca="false">ROUNDUP(M827,0)</f>
        <v>59</v>
      </c>
      <c r="O827" s="11" t="n">
        <f aca="false">MAX(I827,N827)</f>
        <v>59</v>
      </c>
      <c r="P827" s="11" t="n">
        <f aca="false">IF(C827="COVERED",MAX(0,O827-40),0)</f>
        <v>0</v>
      </c>
      <c r="Q827" s="11" t="n">
        <f aca="false">O827</f>
        <v>59</v>
      </c>
      <c r="R827" s="17" t="n">
        <f aca="false">IF(C827="COVERED",10.4,7.55)</f>
        <v>7.55</v>
      </c>
      <c r="S827" s="17" t="n">
        <f aca="false">Q827*R827</f>
        <v>445.45</v>
      </c>
      <c r="T827" s="9"/>
      <c r="U827" s="10"/>
      <c r="V827" s="9"/>
      <c r="W827" s="17"/>
      <c r="X827" s="17"/>
      <c r="Y827" s="17" t="str">
        <f aca="false">IF(ISNUMBER(X827),X827-S827,"")</f>
        <v/>
      </c>
      <c r="Z827" s="17" t="n">
        <f aca="false">IF(ISNUMBER(X827),X827-S827,-S827)</f>
        <v>-445.45</v>
      </c>
      <c r="AA827" s="9" t="str">
        <f aca="false">IF(NOT(ISNUMBER(X827)),"NO AUGUST POSTING IN EXPORT",IF(ABS(Y827)&gt;=0.005,"POSTED CHARGE MISMATCH",IF(P827&gt;0,"MATCH - COVERED ELIGIBILITY EXCEPTION","MATCH")))</f>
        <v>NO AUGUST POSTING IN EXPORT</v>
      </c>
      <c r="AB827" s="9" t="s">
        <v>6181</v>
      </c>
    </row>
    <row r="828" customFormat="false" ht="15" hidden="false" customHeight="false" outlineLevel="0" collapsed="false">
      <c r="A828" s="13" t="s">
        <v>1585</v>
      </c>
      <c r="B828" s="13" t="s">
        <v>204</v>
      </c>
      <c r="C828" s="13" t="s">
        <v>146</v>
      </c>
      <c r="D828" s="13" t="s">
        <v>2002</v>
      </c>
      <c r="E828" s="13" t="s">
        <v>2977</v>
      </c>
      <c r="F828" s="13" t="s">
        <v>6182</v>
      </c>
      <c r="G828" s="13" t="s">
        <v>6183</v>
      </c>
      <c r="H828" s="13" t="s">
        <v>6184</v>
      </c>
      <c r="I828" s="15" t="n">
        <v>32</v>
      </c>
      <c r="J828" s="15" t="n">
        <v>44.8</v>
      </c>
      <c r="K828" s="15"/>
      <c r="L828" s="15"/>
      <c r="M828" s="15" t="n">
        <f aca="false">IF(ISNUMBER(L828),L828,J828)</f>
        <v>44.8</v>
      </c>
      <c r="N828" s="15" t="n">
        <f aca="false">ROUNDUP(M828,0)</f>
        <v>45</v>
      </c>
      <c r="O828" s="15" t="n">
        <f aca="false">MAX(I828,N828)</f>
        <v>45</v>
      </c>
      <c r="P828" s="15" t="n">
        <f aca="false">IF(C828="COVERED",MAX(0,O828-40),0)</f>
        <v>0</v>
      </c>
      <c r="Q828" s="15" t="n">
        <f aca="false">O828</f>
        <v>45</v>
      </c>
      <c r="R828" s="18" t="n">
        <f aca="false">IF(C828="COVERED",10.4,7.55)</f>
        <v>7.55</v>
      </c>
      <c r="S828" s="18" t="n">
        <f aca="false">Q828*R828</f>
        <v>339.75</v>
      </c>
      <c r="T828" s="13"/>
      <c r="U828" s="14"/>
      <c r="V828" s="13"/>
      <c r="W828" s="18"/>
      <c r="X828" s="18"/>
      <c r="Y828" s="18" t="str">
        <f aca="false">IF(ISNUMBER(X828),X828-S828,"")</f>
        <v/>
      </c>
      <c r="Z828" s="18" t="n">
        <f aca="false">IF(ISNUMBER(X828),X828-S828,-S828)</f>
        <v>-339.75</v>
      </c>
      <c r="AA828" s="13" t="str">
        <f aca="false">IF(NOT(ISNUMBER(X828)),"NO AUGUST POSTING IN EXPORT",IF(ABS(Y828)&gt;=0.005,"POSTED CHARGE MISMATCH",IF(P828&gt;0,"MATCH - COVERED ELIGIBILITY EXCEPTION","MATCH")))</f>
        <v>NO AUGUST POSTING IN EXPORT</v>
      </c>
      <c r="AB828" s="13" t="s">
        <v>6185</v>
      </c>
    </row>
    <row r="829" customFormat="false" ht="15" hidden="false" customHeight="false" outlineLevel="0" collapsed="false">
      <c r="A829" s="9" t="s">
        <v>6186</v>
      </c>
      <c r="B829" s="9" t="s">
        <v>204</v>
      </c>
      <c r="C829" s="9" t="s">
        <v>146</v>
      </c>
      <c r="D829" s="9" t="s">
        <v>2002</v>
      </c>
      <c r="E829" s="9" t="s">
        <v>2984</v>
      </c>
      <c r="F829" s="9" t="s">
        <v>6187</v>
      </c>
      <c r="G829" s="9" t="s">
        <v>6188</v>
      </c>
      <c r="H829" s="9" t="s">
        <v>3139</v>
      </c>
      <c r="I829" s="11" t="n">
        <v>45</v>
      </c>
      <c r="J829" s="11" t="n">
        <v>34.3</v>
      </c>
      <c r="K829" s="11"/>
      <c r="L829" s="11"/>
      <c r="M829" s="11" t="n">
        <f aca="false">IF(ISNUMBER(L829),L829,J829)</f>
        <v>34.3</v>
      </c>
      <c r="N829" s="11" t="n">
        <f aca="false">ROUNDUP(M829,0)</f>
        <v>35</v>
      </c>
      <c r="O829" s="11" t="n">
        <f aca="false">MAX(I829,N829)</f>
        <v>45</v>
      </c>
      <c r="P829" s="11" t="n">
        <f aca="false">IF(C829="COVERED",MAX(0,O829-40),0)</f>
        <v>0</v>
      </c>
      <c r="Q829" s="11" t="n">
        <f aca="false">O829</f>
        <v>45</v>
      </c>
      <c r="R829" s="17" t="n">
        <f aca="false">IF(C829="COVERED",10.4,7.55)</f>
        <v>7.55</v>
      </c>
      <c r="S829" s="17" t="n">
        <f aca="false">Q829*R829</f>
        <v>339.75</v>
      </c>
      <c r="T829" s="9"/>
      <c r="U829" s="10"/>
      <c r="V829" s="9"/>
      <c r="W829" s="17"/>
      <c r="X829" s="17"/>
      <c r="Y829" s="17" t="str">
        <f aca="false">IF(ISNUMBER(X829),X829-S829,"")</f>
        <v/>
      </c>
      <c r="Z829" s="17" t="n">
        <f aca="false">IF(ISNUMBER(X829),X829-S829,-S829)</f>
        <v>-339.75</v>
      </c>
      <c r="AA829" s="9" t="str">
        <f aca="false">IF(NOT(ISNUMBER(X829)),"NO AUGUST POSTING IN EXPORT",IF(ABS(Y829)&gt;=0.005,"POSTED CHARGE MISMATCH",IF(P829&gt;0,"MATCH - COVERED ELIGIBILITY EXCEPTION","MATCH")))</f>
        <v>NO AUGUST POSTING IN EXPORT</v>
      </c>
      <c r="AB829" s="9" t="s">
        <v>6189</v>
      </c>
    </row>
    <row r="830" customFormat="false" ht="15" hidden="false" customHeight="false" outlineLevel="0" collapsed="false">
      <c r="A830" s="13" t="s">
        <v>6190</v>
      </c>
      <c r="B830" s="13" t="s">
        <v>204</v>
      </c>
      <c r="C830" s="13" t="s">
        <v>146</v>
      </c>
      <c r="D830" s="13" t="s">
        <v>2002</v>
      </c>
      <c r="E830" s="13" t="s">
        <v>2990</v>
      </c>
      <c r="F830" s="13" t="s">
        <v>1408</v>
      </c>
      <c r="G830" s="13" t="s">
        <v>1409</v>
      </c>
      <c r="H830" s="13" t="s">
        <v>2416</v>
      </c>
      <c r="I830" s="15" t="n">
        <v>32</v>
      </c>
      <c r="J830" s="15" t="n">
        <v>57</v>
      </c>
      <c r="K830" s="15"/>
      <c r="L830" s="15"/>
      <c r="M830" s="15" t="n">
        <f aca="false">IF(ISNUMBER(L830),L830,J830)</f>
        <v>57</v>
      </c>
      <c r="N830" s="15" t="n">
        <f aca="false">ROUNDUP(M830,0)</f>
        <v>57</v>
      </c>
      <c r="O830" s="15" t="n">
        <f aca="false">MAX(I830,N830)</f>
        <v>57</v>
      </c>
      <c r="P830" s="15" t="n">
        <f aca="false">IF(C830="COVERED",MAX(0,O830-40),0)</f>
        <v>0</v>
      </c>
      <c r="Q830" s="15" t="n">
        <f aca="false">O830</f>
        <v>57</v>
      </c>
      <c r="R830" s="18" t="n">
        <f aca="false">IF(C830="COVERED",10.4,7.55)</f>
        <v>7.55</v>
      </c>
      <c r="S830" s="18" t="n">
        <f aca="false">Q830*R830</f>
        <v>430.35</v>
      </c>
      <c r="T830" s="13"/>
      <c r="U830" s="14"/>
      <c r="V830" s="13"/>
      <c r="W830" s="18"/>
      <c r="X830" s="18"/>
      <c r="Y830" s="18" t="str">
        <f aca="false">IF(ISNUMBER(X830),X830-S830,"")</f>
        <v/>
      </c>
      <c r="Z830" s="18" t="n">
        <f aca="false">IF(ISNUMBER(X830),X830-S830,-S830)</f>
        <v>-430.35</v>
      </c>
      <c r="AA830" s="13" t="str">
        <f aca="false">IF(NOT(ISNUMBER(X830)),"NO AUGUST POSTING IN EXPORT",IF(ABS(Y830)&gt;=0.005,"POSTED CHARGE MISMATCH",IF(P830&gt;0,"MATCH - COVERED ELIGIBILITY EXCEPTION","MATCH")))</f>
        <v>NO AUGUST POSTING IN EXPORT</v>
      </c>
      <c r="AB830" s="13" t="s">
        <v>6191</v>
      </c>
    </row>
    <row r="831" customFormat="false" ht="15" hidden="false" customHeight="false" outlineLevel="0" collapsed="false">
      <c r="A831" s="9" t="s">
        <v>1307</v>
      </c>
      <c r="B831" s="9" t="s">
        <v>204</v>
      </c>
      <c r="C831" s="9" t="s">
        <v>146</v>
      </c>
      <c r="D831" s="9" t="s">
        <v>2002</v>
      </c>
      <c r="E831" s="9" t="s">
        <v>2993</v>
      </c>
      <c r="F831" s="9" t="s">
        <v>6192</v>
      </c>
      <c r="G831" s="9" t="s">
        <v>6193</v>
      </c>
      <c r="H831" s="9" t="s">
        <v>6194</v>
      </c>
      <c r="I831" s="11" t="n">
        <v>24</v>
      </c>
      <c r="J831" s="11" t="n">
        <v>44.8</v>
      </c>
      <c r="K831" s="11"/>
      <c r="L831" s="11"/>
      <c r="M831" s="11" t="n">
        <f aca="false">IF(ISNUMBER(L831),L831,J831)</f>
        <v>44.8</v>
      </c>
      <c r="N831" s="11" t="n">
        <f aca="false">ROUNDUP(M831,0)</f>
        <v>45</v>
      </c>
      <c r="O831" s="11" t="n">
        <f aca="false">MAX(I831,N831)</f>
        <v>45</v>
      </c>
      <c r="P831" s="11" t="n">
        <f aca="false">IF(C831="COVERED",MAX(0,O831-40),0)</f>
        <v>0</v>
      </c>
      <c r="Q831" s="11" t="n">
        <f aca="false">O831</f>
        <v>45</v>
      </c>
      <c r="R831" s="17" t="n">
        <f aca="false">IF(C831="COVERED",10.4,7.55)</f>
        <v>7.55</v>
      </c>
      <c r="S831" s="17" t="n">
        <f aca="false">Q831*R831</f>
        <v>339.75</v>
      </c>
      <c r="T831" s="9"/>
      <c r="U831" s="10"/>
      <c r="V831" s="9"/>
      <c r="W831" s="17"/>
      <c r="X831" s="17"/>
      <c r="Y831" s="17" t="str">
        <f aca="false">IF(ISNUMBER(X831),X831-S831,"")</f>
        <v/>
      </c>
      <c r="Z831" s="17" t="n">
        <f aca="false">IF(ISNUMBER(X831),X831-S831,-S831)</f>
        <v>-339.75</v>
      </c>
      <c r="AA831" s="9" t="str">
        <f aca="false">IF(NOT(ISNUMBER(X831)),"NO AUGUST POSTING IN EXPORT",IF(ABS(Y831)&gt;=0.005,"POSTED CHARGE MISMATCH",IF(P831&gt;0,"MATCH - COVERED ELIGIBILITY EXCEPTION","MATCH")))</f>
        <v>NO AUGUST POSTING IN EXPORT</v>
      </c>
      <c r="AB831" s="9" t="s">
        <v>6195</v>
      </c>
    </row>
    <row r="832" customFormat="false" ht="15" hidden="false" customHeight="false" outlineLevel="0" collapsed="false">
      <c r="A832" s="13" t="s">
        <v>6196</v>
      </c>
      <c r="B832" s="13" t="s">
        <v>204</v>
      </c>
      <c r="C832" s="13" t="s">
        <v>146</v>
      </c>
      <c r="D832" s="13" t="s">
        <v>2002</v>
      </c>
      <c r="E832" s="13" t="s">
        <v>2999</v>
      </c>
      <c r="F832" s="13" t="s">
        <v>6197</v>
      </c>
      <c r="G832" s="13" t="s">
        <v>6198</v>
      </c>
      <c r="H832" s="13" t="s">
        <v>3575</v>
      </c>
      <c r="I832" s="15" t="n">
        <v>24</v>
      </c>
      <c r="J832" s="15" t="n">
        <v>21.9</v>
      </c>
      <c r="K832" s="15"/>
      <c r="L832" s="15"/>
      <c r="M832" s="15" t="n">
        <f aca="false">IF(ISNUMBER(L832),L832,J832)</f>
        <v>21.9</v>
      </c>
      <c r="N832" s="15" t="n">
        <f aca="false">ROUNDUP(M832,0)</f>
        <v>22</v>
      </c>
      <c r="O832" s="15" t="n">
        <f aca="false">MAX(I832,N832)</f>
        <v>24</v>
      </c>
      <c r="P832" s="15" t="n">
        <f aca="false">IF(C832="COVERED",MAX(0,O832-40),0)</f>
        <v>0</v>
      </c>
      <c r="Q832" s="15" t="n">
        <f aca="false">O832</f>
        <v>24</v>
      </c>
      <c r="R832" s="18" t="n">
        <f aca="false">IF(C832="COVERED",10.4,7.55)</f>
        <v>7.55</v>
      </c>
      <c r="S832" s="18" t="n">
        <f aca="false">Q832*R832</f>
        <v>181.2</v>
      </c>
      <c r="T832" s="13"/>
      <c r="U832" s="14"/>
      <c r="V832" s="13"/>
      <c r="W832" s="18"/>
      <c r="X832" s="18"/>
      <c r="Y832" s="18" t="str">
        <f aca="false">IF(ISNUMBER(X832),X832-S832,"")</f>
        <v/>
      </c>
      <c r="Z832" s="18" t="n">
        <f aca="false">IF(ISNUMBER(X832),X832-S832,-S832)</f>
        <v>-181.2</v>
      </c>
      <c r="AA832" s="13" t="str">
        <f aca="false">IF(NOT(ISNUMBER(X832)),"NO AUGUST POSTING IN EXPORT",IF(ABS(Y832)&gt;=0.005,"POSTED CHARGE MISMATCH",IF(P832&gt;0,"MATCH - COVERED ELIGIBILITY EXCEPTION","MATCH")))</f>
        <v>NO AUGUST POSTING IN EXPORT</v>
      </c>
      <c r="AB832" s="13" t="s">
        <v>6199</v>
      </c>
    </row>
    <row r="833" customFormat="false" ht="15" hidden="false" customHeight="false" outlineLevel="0" collapsed="false">
      <c r="A833" s="9" t="s">
        <v>1595</v>
      </c>
      <c r="B833" s="9" t="s">
        <v>204</v>
      </c>
      <c r="C833" s="9" t="s">
        <v>146</v>
      </c>
      <c r="D833" s="9" t="s">
        <v>2002</v>
      </c>
      <c r="E833" s="9" t="s">
        <v>3006</v>
      </c>
      <c r="F833" s="9" t="s">
        <v>6200</v>
      </c>
      <c r="G833" s="9" t="s">
        <v>6201</v>
      </c>
      <c r="H833" s="9" t="s">
        <v>6202</v>
      </c>
      <c r="I833" s="11" t="n">
        <v>28</v>
      </c>
      <c r="J833" s="11" t="n">
        <v>61.1</v>
      </c>
      <c r="K833" s="11"/>
      <c r="L833" s="11"/>
      <c r="M833" s="11" t="n">
        <f aca="false">IF(ISNUMBER(L833),L833,J833)</f>
        <v>61.1</v>
      </c>
      <c r="N833" s="11" t="n">
        <f aca="false">ROUNDUP(M833,0)</f>
        <v>62</v>
      </c>
      <c r="O833" s="11" t="n">
        <f aca="false">MAX(I833,N833)</f>
        <v>62</v>
      </c>
      <c r="P833" s="11" t="n">
        <f aca="false">IF(C833="COVERED",MAX(0,O833-40),0)</f>
        <v>0</v>
      </c>
      <c r="Q833" s="11" t="n">
        <f aca="false">O833</f>
        <v>62</v>
      </c>
      <c r="R833" s="17" t="n">
        <f aca="false">IF(C833="COVERED",10.4,7.55)</f>
        <v>7.55</v>
      </c>
      <c r="S833" s="17" t="n">
        <f aca="false">Q833*R833</f>
        <v>468.1</v>
      </c>
      <c r="T833" s="9"/>
      <c r="U833" s="10"/>
      <c r="V833" s="9"/>
      <c r="W833" s="17"/>
      <c r="X833" s="17"/>
      <c r="Y833" s="17" t="str">
        <f aca="false">IF(ISNUMBER(X833),X833-S833,"")</f>
        <v/>
      </c>
      <c r="Z833" s="17" t="n">
        <f aca="false">IF(ISNUMBER(X833),X833-S833,-S833)</f>
        <v>-468.1</v>
      </c>
      <c r="AA833" s="9" t="str">
        <f aca="false">IF(NOT(ISNUMBER(X833)),"NO AUGUST POSTING IN EXPORT",IF(ABS(Y833)&gt;=0.005,"POSTED CHARGE MISMATCH",IF(P833&gt;0,"MATCH - COVERED ELIGIBILITY EXCEPTION","MATCH")))</f>
        <v>NO AUGUST POSTING IN EXPORT</v>
      </c>
      <c r="AB833" s="9" t="s">
        <v>6203</v>
      </c>
    </row>
    <row r="834" customFormat="false" ht="15" hidden="false" customHeight="false" outlineLevel="0" collapsed="false">
      <c r="A834" s="13" t="s">
        <v>6204</v>
      </c>
      <c r="B834" s="13" t="s">
        <v>204</v>
      </c>
      <c r="C834" s="13" t="s">
        <v>146</v>
      </c>
      <c r="D834" s="13" t="s">
        <v>2002</v>
      </c>
      <c r="E834" s="13" t="s">
        <v>3018</v>
      </c>
      <c r="F834" s="13" t="s">
        <v>390</v>
      </c>
      <c r="G834" s="13" t="s">
        <v>391</v>
      </c>
      <c r="H834" s="13" t="s">
        <v>6205</v>
      </c>
      <c r="I834" s="15" t="n">
        <v>28</v>
      </c>
      <c r="J834" s="15" t="n">
        <v>22.2</v>
      </c>
      <c r="K834" s="15"/>
      <c r="L834" s="15"/>
      <c r="M834" s="15" t="n">
        <f aca="false">IF(ISNUMBER(L834),L834,J834)</f>
        <v>22.2</v>
      </c>
      <c r="N834" s="15" t="n">
        <f aca="false">ROUNDUP(M834,0)</f>
        <v>23</v>
      </c>
      <c r="O834" s="15" t="n">
        <f aca="false">MAX(I834,N834)</f>
        <v>28</v>
      </c>
      <c r="P834" s="15" t="n">
        <f aca="false">IF(C834="COVERED",MAX(0,O834-40),0)</f>
        <v>0</v>
      </c>
      <c r="Q834" s="15" t="n">
        <f aca="false">O834</f>
        <v>28</v>
      </c>
      <c r="R834" s="18" t="n">
        <f aca="false">IF(C834="COVERED",10.4,7.55)</f>
        <v>7.55</v>
      </c>
      <c r="S834" s="18" t="n">
        <f aca="false">Q834*R834</f>
        <v>211.4</v>
      </c>
      <c r="T834" s="13"/>
      <c r="U834" s="14"/>
      <c r="V834" s="13"/>
      <c r="W834" s="18"/>
      <c r="X834" s="18"/>
      <c r="Y834" s="18" t="str">
        <f aca="false">IF(ISNUMBER(X834),X834-S834,"")</f>
        <v/>
      </c>
      <c r="Z834" s="18" t="n">
        <f aca="false">IF(ISNUMBER(X834),X834-S834,-S834)</f>
        <v>-211.4</v>
      </c>
      <c r="AA834" s="13" t="str">
        <f aca="false">IF(NOT(ISNUMBER(X834)),"NO AUGUST POSTING IN EXPORT",IF(ABS(Y834)&gt;=0.005,"POSTED CHARGE MISMATCH",IF(P834&gt;0,"MATCH - COVERED ELIGIBILITY EXCEPTION","MATCH")))</f>
        <v>NO AUGUST POSTING IN EXPORT</v>
      </c>
      <c r="AB834" s="13" t="s">
        <v>6206</v>
      </c>
    </row>
    <row r="835" customFormat="false" ht="15" hidden="false" customHeight="false" outlineLevel="0" collapsed="false">
      <c r="A835" s="9" t="s">
        <v>6207</v>
      </c>
      <c r="B835" s="9" t="s">
        <v>204</v>
      </c>
      <c r="C835" s="9" t="s">
        <v>146</v>
      </c>
      <c r="D835" s="9" t="s">
        <v>2002</v>
      </c>
      <c r="E835" s="9" t="s">
        <v>3024</v>
      </c>
      <c r="F835" s="9" t="s">
        <v>6208</v>
      </c>
      <c r="G835" s="9" t="s">
        <v>6209</v>
      </c>
      <c r="H835" s="9" t="s">
        <v>2404</v>
      </c>
      <c r="I835" s="11" t="n">
        <v>45</v>
      </c>
      <c r="J835" s="11" t="n">
        <v>21.2</v>
      </c>
      <c r="K835" s="11"/>
      <c r="L835" s="11"/>
      <c r="M835" s="11" t="n">
        <f aca="false">IF(ISNUMBER(L835),L835,J835)</f>
        <v>21.2</v>
      </c>
      <c r="N835" s="11" t="n">
        <f aca="false">ROUNDUP(M835,0)</f>
        <v>22</v>
      </c>
      <c r="O835" s="11" t="n">
        <f aca="false">MAX(I835,N835)</f>
        <v>45</v>
      </c>
      <c r="P835" s="11" t="n">
        <f aca="false">IF(C835="COVERED",MAX(0,O835-40),0)</f>
        <v>0</v>
      </c>
      <c r="Q835" s="11" t="n">
        <f aca="false">O835</f>
        <v>45</v>
      </c>
      <c r="R835" s="17" t="n">
        <f aca="false">IF(C835="COVERED",10.4,7.55)</f>
        <v>7.55</v>
      </c>
      <c r="S835" s="17" t="n">
        <f aca="false">Q835*R835</f>
        <v>339.75</v>
      </c>
      <c r="T835" s="9"/>
      <c r="U835" s="10"/>
      <c r="V835" s="9"/>
      <c r="W835" s="17"/>
      <c r="X835" s="17"/>
      <c r="Y835" s="17" t="str">
        <f aca="false">IF(ISNUMBER(X835),X835-S835,"")</f>
        <v/>
      </c>
      <c r="Z835" s="17" t="n">
        <f aca="false">IF(ISNUMBER(X835),X835-S835,-S835)</f>
        <v>-339.75</v>
      </c>
      <c r="AA835" s="9" t="str">
        <f aca="false">IF(NOT(ISNUMBER(X835)),"NO AUGUST POSTING IN EXPORT",IF(ABS(Y835)&gt;=0.005,"POSTED CHARGE MISMATCH",IF(P835&gt;0,"MATCH - COVERED ELIGIBILITY EXCEPTION","MATCH")))</f>
        <v>NO AUGUST POSTING IN EXPORT</v>
      </c>
      <c r="AB835" s="9" t="s">
        <v>6210</v>
      </c>
    </row>
    <row r="836" customFormat="false" ht="15" hidden="false" customHeight="false" outlineLevel="0" collapsed="false">
      <c r="A836" s="13" t="s">
        <v>6211</v>
      </c>
      <c r="B836" s="13" t="s">
        <v>204</v>
      </c>
      <c r="C836" s="13" t="s">
        <v>146</v>
      </c>
      <c r="D836" s="13" t="s">
        <v>2002</v>
      </c>
      <c r="E836" s="13" t="s">
        <v>3030</v>
      </c>
      <c r="F836" s="13" t="s">
        <v>6212</v>
      </c>
      <c r="G836" s="13" t="s">
        <v>6213</v>
      </c>
      <c r="H836" s="13" t="s">
        <v>2006</v>
      </c>
      <c r="I836" s="15" t="n">
        <v>40</v>
      </c>
      <c r="J836" s="15" t="n">
        <v>34.1</v>
      </c>
      <c r="K836" s="15"/>
      <c r="L836" s="15"/>
      <c r="M836" s="15" t="n">
        <f aca="false">IF(ISNUMBER(L836),L836,J836)</f>
        <v>34.1</v>
      </c>
      <c r="N836" s="15" t="n">
        <f aca="false">ROUNDUP(M836,0)</f>
        <v>35</v>
      </c>
      <c r="O836" s="15" t="n">
        <f aca="false">MAX(I836,N836)</f>
        <v>40</v>
      </c>
      <c r="P836" s="15" t="n">
        <f aca="false">IF(C836="COVERED",MAX(0,O836-40),0)</f>
        <v>0</v>
      </c>
      <c r="Q836" s="15" t="n">
        <f aca="false">O836</f>
        <v>40</v>
      </c>
      <c r="R836" s="18" t="n">
        <f aca="false">IF(C836="COVERED",10.4,7.55)</f>
        <v>7.55</v>
      </c>
      <c r="S836" s="18" t="n">
        <f aca="false">Q836*R836</f>
        <v>302</v>
      </c>
      <c r="T836" s="13"/>
      <c r="U836" s="14"/>
      <c r="V836" s="13"/>
      <c r="W836" s="18"/>
      <c r="X836" s="18"/>
      <c r="Y836" s="18" t="str">
        <f aca="false">IF(ISNUMBER(X836),X836-S836,"")</f>
        <v/>
      </c>
      <c r="Z836" s="18" t="n">
        <f aca="false">IF(ISNUMBER(X836),X836-S836,-S836)</f>
        <v>-302</v>
      </c>
      <c r="AA836" s="13" t="str">
        <f aca="false">IF(NOT(ISNUMBER(X836)),"NO AUGUST POSTING IN EXPORT",IF(ABS(Y836)&gt;=0.005,"POSTED CHARGE MISMATCH",IF(P836&gt;0,"MATCH - COVERED ELIGIBILITY EXCEPTION","MATCH")))</f>
        <v>NO AUGUST POSTING IN EXPORT</v>
      </c>
      <c r="AB836" s="13" t="s">
        <v>6214</v>
      </c>
    </row>
    <row r="837" customFormat="false" ht="15" hidden="false" customHeight="false" outlineLevel="0" collapsed="false">
      <c r="A837" s="9" t="s">
        <v>6215</v>
      </c>
      <c r="B837" s="9" t="s">
        <v>204</v>
      </c>
      <c r="C837" s="9" t="s">
        <v>146</v>
      </c>
      <c r="D837" s="9" t="s">
        <v>2002</v>
      </c>
      <c r="E837" s="9" t="s">
        <v>3040</v>
      </c>
      <c r="F837" s="9" t="s">
        <v>1510</v>
      </c>
      <c r="G837" s="9" t="s">
        <v>1511</v>
      </c>
      <c r="H837" s="9" t="s">
        <v>4269</v>
      </c>
      <c r="I837" s="11" t="n">
        <v>32</v>
      </c>
      <c r="J837" s="11" t="n">
        <v>22.1</v>
      </c>
      <c r="K837" s="11"/>
      <c r="L837" s="11"/>
      <c r="M837" s="11" t="n">
        <f aca="false">IF(ISNUMBER(L837),L837,J837)</f>
        <v>22.1</v>
      </c>
      <c r="N837" s="11" t="n">
        <f aca="false">ROUNDUP(M837,0)</f>
        <v>23</v>
      </c>
      <c r="O837" s="11" t="n">
        <f aca="false">MAX(I837,N837)</f>
        <v>32</v>
      </c>
      <c r="P837" s="11" t="n">
        <f aca="false">IF(C837="COVERED",MAX(0,O837-40),0)</f>
        <v>0</v>
      </c>
      <c r="Q837" s="11" t="n">
        <f aca="false">O837</f>
        <v>32</v>
      </c>
      <c r="R837" s="17" t="n">
        <f aca="false">IF(C837="COVERED",10.4,7.55)</f>
        <v>7.55</v>
      </c>
      <c r="S837" s="17" t="n">
        <f aca="false">Q837*R837</f>
        <v>241.6</v>
      </c>
      <c r="T837" s="9"/>
      <c r="U837" s="10"/>
      <c r="V837" s="9"/>
      <c r="W837" s="17"/>
      <c r="X837" s="17"/>
      <c r="Y837" s="17" t="str">
        <f aca="false">IF(ISNUMBER(X837),X837-S837,"")</f>
        <v/>
      </c>
      <c r="Z837" s="17" t="n">
        <f aca="false">IF(ISNUMBER(X837),X837-S837,-S837)</f>
        <v>-241.6</v>
      </c>
      <c r="AA837" s="9" t="str">
        <f aca="false">IF(NOT(ISNUMBER(X837)),"NO AUGUST POSTING IN EXPORT",IF(ABS(Y837)&gt;=0.005,"POSTED CHARGE MISMATCH",IF(P837&gt;0,"MATCH - COVERED ELIGIBILITY EXCEPTION","MATCH")))</f>
        <v>NO AUGUST POSTING IN EXPORT</v>
      </c>
      <c r="AB837" s="9" t="s">
        <v>6216</v>
      </c>
    </row>
    <row r="838" customFormat="false" ht="15" hidden="false" customHeight="false" outlineLevel="0" collapsed="false">
      <c r="A838" s="13" t="s">
        <v>6217</v>
      </c>
      <c r="B838" s="13" t="s">
        <v>204</v>
      </c>
      <c r="C838" s="13" t="s">
        <v>146</v>
      </c>
      <c r="D838" s="13" t="s">
        <v>2002</v>
      </c>
      <c r="E838" s="13" t="s">
        <v>3046</v>
      </c>
      <c r="F838" s="13" t="s">
        <v>6218</v>
      </c>
      <c r="G838" s="13" t="s">
        <v>6219</v>
      </c>
      <c r="H838" s="13" t="s">
        <v>4450</v>
      </c>
      <c r="I838" s="15" t="n">
        <v>24</v>
      </c>
      <c r="J838" s="15" t="n">
        <v>24.6</v>
      </c>
      <c r="K838" s="15"/>
      <c r="L838" s="15"/>
      <c r="M838" s="15" t="n">
        <f aca="false">IF(ISNUMBER(L838),L838,J838)</f>
        <v>24.6</v>
      </c>
      <c r="N838" s="15" t="n">
        <f aca="false">ROUNDUP(M838,0)</f>
        <v>25</v>
      </c>
      <c r="O838" s="15" t="n">
        <f aca="false">MAX(I838,N838)</f>
        <v>25</v>
      </c>
      <c r="P838" s="15" t="n">
        <f aca="false">IF(C838="COVERED",MAX(0,O838-40),0)</f>
        <v>0</v>
      </c>
      <c r="Q838" s="15" t="n">
        <f aca="false">O838</f>
        <v>25</v>
      </c>
      <c r="R838" s="18" t="n">
        <f aca="false">IF(C838="COVERED",10.4,7.55)</f>
        <v>7.55</v>
      </c>
      <c r="S838" s="18" t="n">
        <f aca="false">Q838*R838</f>
        <v>188.75</v>
      </c>
      <c r="T838" s="13"/>
      <c r="U838" s="14"/>
      <c r="V838" s="13"/>
      <c r="W838" s="18"/>
      <c r="X838" s="18"/>
      <c r="Y838" s="18" t="str">
        <f aca="false">IF(ISNUMBER(X838),X838-S838,"")</f>
        <v/>
      </c>
      <c r="Z838" s="18" t="n">
        <f aca="false">IF(ISNUMBER(X838),X838-S838,-S838)</f>
        <v>-188.75</v>
      </c>
      <c r="AA838" s="13" t="str">
        <f aca="false">IF(NOT(ISNUMBER(X838)),"NO AUGUST POSTING IN EXPORT",IF(ABS(Y838)&gt;=0.005,"POSTED CHARGE MISMATCH",IF(P838&gt;0,"MATCH - COVERED ELIGIBILITY EXCEPTION","MATCH")))</f>
        <v>NO AUGUST POSTING IN EXPORT</v>
      </c>
      <c r="AB838" s="13" t="s">
        <v>6220</v>
      </c>
    </row>
    <row r="839" customFormat="false" ht="15" hidden="false" customHeight="false" outlineLevel="0" collapsed="false">
      <c r="A839" s="9" t="s">
        <v>6221</v>
      </c>
      <c r="B839" s="9" t="s">
        <v>204</v>
      </c>
      <c r="C839" s="9" t="s">
        <v>146</v>
      </c>
      <c r="D839" s="9" t="s">
        <v>2002</v>
      </c>
      <c r="E839" s="9" t="s">
        <v>3052</v>
      </c>
      <c r="F839" s="9" t="s">
        <v>6222</v>
      </c>
      <c r="G839" s="9" t="s">
        <v>6223</v>
      </c>
      <c r="H839" s="9" t="s">
        <v>4556</v>
      </c>
      <c r="I839" s="11" t="n">
        <v>28</v>
      </c>
      <c r="J839" s="11" t="n">
        <v>52.3</v>
      </c>
      <c r="K839" s="11"/>
      <c r="L839" s="11"/>
      <c r="M839" s="11" t="n">
        <f aca="false">IF(ISNUMBER(L839),L839,J839)</f>
        <v>52.3</v>
      </c>
      <c r="N839" s="11" t="n">
        <f aca="false">ROUNDUP(M839,0)</f>
        <v>53</v>
      </c>
      <c r="O839" s="11" t="n">
        <f aca="false">MAX(I839,N839)</f>
        <v>53</v>
      </c>
      <c r="P839" s="11" t="n">
        <f aca="false">IF(C839="COVERED",MAX(0,O839-40),0)</f>
        <v>0</v>
      </c>
      <c r="Q839" s="11" t="n">
        <f aca="false">O839</f>
        <v>53</v>
      </c>
      <c r="R839" s="17" t="n">
        <f aca="false">IF(C839="COVERED",10.4,7.55)</f>
        <v>7.55</v>
      </c>
      <c r="S839" s="17" t="n">
        <f aca="false">Q839*R839</f>
        <v>400.15</v>
      </c>
      <c r="T839" s="9"/>
      <c r="U839" s="10"/>
      <c r="V839" s="9"/>
      <c r="W839" s="17"/>
      <c r="X839" s="17"/>
      <c r="Y839" s="17" t="str">
        <f aca="false">IF(ISNUMBER(X839),X839-S839,"")</f>
        <v/>
      </c>
      <c r="Z839" s="17" t="n">
        <f aca="false">IF(ISNUMBER(X839),X839-S839,-S839)</f>
        <v>-400.15</v>
      </c>
      <c r="AA839" s="9" t="str">
        <f aca="false">IF(NOT(ISNUMBER(X839)),"NO AUGUST POSTING IN EXPORT",IF(ABS(Y839)&gt;=0.005,"POSTED CHARGE MISMATCH",IF(P839&gt;0,"MATCH - COVERED ELIGIBILITY EXCEPTION","MATCH")))</f>
        <v>NO AUGUST POSTING IN EXPORT</v>
      </c>
      <c r="AB839" s="9" t="s">
        <v>6224</v>
      </c>
    </row>
    <row r="840" customFormat="false" ht="15" hidden="false" customHeight="false" outlineLevel="0" collapsed="false">
      <c r="A840" s="13" t="s">
        <v>6225</v>
      </c>
      <c r="B840" s="13" t="s">
        <v>204</v>
      </c>
      <c r="C840" s="13" t="s">
        <v>146</v>
      </c>
      <c r="D840" s="13" t="s">
        <v>2002</v>
      </c>
      <c r="E840" s="13" t="s">
        <v>3058</v>
      </c>
      <c r="F840" s="13" t="s">
        <v>6226</v>
      </c>
      <c r="G840" s="13" t="s">
        <v>6227</v>
      </c>
      <c r="H840" s="13" t="s">
        <v>4643</v>
      </c>
      <c r="I840" s="15" t="n">
        <v>70</v>
      </c>
      <c r="J840" s="15" t="n">
        <v>25.9</v>
      </c>
      <c r="K840" s="15"/>
      <c r="L840" s="15"/>
      <c r="M840" s="15" t="n">
        <f aca="false">IF(ISNUMBER(L840),L840,J840)</f>
        <v>25.9</v>
      </c>
      <c r="N840" s="15" t="n">
        <f aca="false">ROUNDUP(M840,0)</f>
        <v>26</v>
      </c>
      <c r="O840" s="15" t="n">
        <f aca="false">MAX(I840,N840)</f>
        <v>70</v>
      </c>
      <c r="P840" s="15" t="n">
        <f aca="false">IF(C840="COVERED",MAX(0,O840-40),0)</f>
        <v>0</v>
      </c>
      <c r="Q840" s="15" t="n">
        <f aca="false">O840</f>
        <v>70</v>
      </c>
      <c r="R840" s="18" t="n">
        <f aca="false">IF(C840="COVERED",10.4,7.55)</f>
        <v>7.55</v>
      </c>
      <c r="S840" s="18" t="n">
        <f aca="false">Q840*R840</f>
        <v>528.5</v>
      </c>
      <c r="T840" s="13"/>
      <c r="U840" s="14"/>
      <c r="V840" s="13"/>
      <c r="W840" s="18"/>
      <c r="X840" s="18"/>
      <c r="Y840" s="18" t="str">
        <f aca="false">IF(ISNUMBER(X840),X840-S840,"")</f>
        <v/>
      </c>
      <c r="Z840" s="18" t="n">
        <f aca="false">IF(ISNUMBER(X840),X840-S840,-S840)</f>
        <v>-528.5</v>
      </c>
      <c r="AA840" s="13" t="str">
        <f aca="false">IF(NOT(ISNUMBER(X840)),"NO AUGUST POSTING IN EXPORT",IF(ABS(Y840)&gt;=0.005,"POSTED CHARGE MISMATCH",IF(P840&gt;0,"MATCH - COVERED ELIGIBILITY EXCEPTION","MATCH")))</f>
        <v>NO AUGUST POSTING IN EXPORT</v>
      </c>
      <c r="AB840" s="13" t="s">
        <v>6228</v>
      </c>
    </row>
    <row r="841" customFormat="false" ht="15" hidden="false" customHeight="false" outlineLevel="0" collapsed="false">
      <c r="A841" s="9" t="s">
        <v>6229</v>
      </c>
      <c r="B841" s="9" t="s">
        <v>204</v>
      </c>
      <c r="C841" s="9" t="s">
        <v>146</v>
      </c>
      <c r="D841" s="9" t="s">
        <v>2002</v>
      </c>
      <c r="E841" s="9" t="s">
        <v>3065</v>
      </c>
      <c r="F841" s="9" t="s">
        <v>6230</v>
      </c>
      <c r="G841" s="9" t="s">
        <v>6231</v>
      </c>
      <c r="H841" s="9" t="s">
        <v>2124</v>
      </c>
      <c r="I841" s="11" t="n">
        <v>28</v>
      </c>
      <c r="J841" s="11" t="n">
        <v>46.5</v>
      </c>
      <c r="K841" s="11"/>
      <c r="L841" s="11"/>
      <c r="M841" s="11" t="n">
        <f aca="false">IF(ISNUMBER(L841),L841,J841)</f>
        <v>46.5</v>
      </c>
      <c r="N841" s="11" t="n">
        <f aca="false">ROUNDUP(M841,0)</f>
        <v>47</v>
      </c>
      <c r="O841" s="11" t="n">
        <f aca="false">MAX(I841,N841)</f>
        <v>47</v>
      </c>
      <c r="P841" s="11" t="n">
        <f aca="false">IF(C841="COVERED",MAX(0,O841-40),0)</f>
        <v>0</v>
      </c>
      <c r="Q841" s="11" t="n">
        <f aca="false">O841</f>
        <v>47</v>
      </c>
      <c r="R841" s="17" t="n">
        <f aca="false">IF(C841="COVERED",10.4,7.55)</f>
        <v>7.55</v>
      </c>
      <c r="S841" s="17" t="n">
        <f aca="false">Q841*R841</f>
        <v>354.85</v>
      </c>
      <c r="T841" s="9"/>
      <c r="U841" s="10"/>
      <c r="V841" s="9"/>
      <c r="W841" s="17"/>
      <c r="X841" s="17"/>
      <c r="Y841" s="17" t="str">
        <f aca="false">IF(ISNUMBER(X841),X841-S841,"")</f>
        <v/>
      </c>
      <c r="Z841" s="17" t="n">
        <f aca="false">IF(ISNUMBER(X841),X841-S841,-S841)</f>
        <v>-354.85</v>
      </c>
      <c r="AA841" s="9" t="str">
        <f aca="false">IF(NOT(ISNUMBER(X841)),"NO AUGUST POSTING IN EXPORT",IF(ABS(Y841)&gt;=0.005,"POSTED CHARGE MISMATCH",IF(P841&gt;0,"MATCH - COVERED ELIGIBILITY EXCEPTION","MATCH")))</f>
        <v>NO AUGUST POSTING IN EXPORT</v>
      </c>
      <c r="AB841" s="9" t="s">
        <v>6232</v>
      </c>
    </row>
    <row r="842" customFormat="false" ht="15" hidden="false" customHeight="false" outlineLevel="0" collapsed="false">
      <c r="A842" s="13" t="s">
        <v>6233</v>
      </c>
      <c r="B842" s="13" t="s">
        <v>204</v>
      </c>
      <c r="C842" s="13" t="s">
        <v>146</v>
      </c>
      <c r="D842" s="13" t="s">
        <v>2002</v>
      </c>
      <c r="E842" s="13" t="s">
        <v>3077</v>
      </c>
      <c r="F842" s="13" t="s">
        <v>6234</v>
      </c>
      <c r="G842" s="13" t="s">
        <v>6235</v>
      </c>
      <c r="H842" s="13" t="s">
        <v>6236</v>
      </c>
      <c r="I842" s="15" t="n">
        <v>70</v>
      </c>
      <c r="J842" s="15" t="n">
        <v>28</v>
      </c>
      <c r="K842" s="15"/>
      <c r="L842" s="15"/>
      <c r="M842" s="15" t="n">
        <f aca="false">IF(ISNUMBER(L842),L842,J842)</f>
        <v>28</v>
      </c>
      <c r="N842" s="15" t="n">
        <f aca="false">ROUNDUP(M842,0)</f>
        <v>28</v>
      </c>
      <c r="O842" s="15" t="n">
        <f aca="false">MAX(I842,N842)</f>
        <v>70</v>
      </c>
      <c r="P842" s="15" t="n">
        <f aca="false">IF(C842="COVERED",MAX(0,O842-40),0)</f>
        <v>0</v>
      </c>
      <c r="Q842" s="15" t="n">
        <f aca="false">O842</f>
        <v>70</v>
      </c>
      <c r="R842" s="18" t="n">
        <f aca="false">IF(C842="COVERED",10.4,7.55)</f>
        <v>7.55</v>
      </c>
      <c r="S842" s="18" t="n">
        <f aca="false">Q842*R842</f>
        <v>528.5</v>
      </c>
      <c r="T842" s="13"/>
      <c r="U842" s="14"/>
      <c r="V842" s="13"/>
      <c r="W842" s="18"/>
      <c r="X842" s="18"/>
      <c r="Y842" s="18" t="str">
        <f aca="false">IF(ISNUMBER(X842),X842-S842,"")</f>
        <v/>
      </c>
      <c r="Z842" s="18" t="n">
        <f aca="false">IF(ISNUMBER(X842),X842-S842,-S842)</f>
        <v>-528.5</v>
      </c>
      <c r="AA842" s="13" t="str">
        <f aca="false">IF(NOT(ISNUMBER(X842)),"NO AUGUST POSTING IN EXPORT",IF(ABS(Y842)&gt;=0.005,"POSTED CHARGE MISMATCH",IF(P842&gt;0,"MATCH - COVERED ELIGIBILITY EXCEPTION","MATCH")))</f>
        <v>NO AUGUST POSTING IN EXPORT</v>
      </c>
      <c r="AB842" s="13" t="s">
        <v>6237</v>
      </c>
    </row>
    <row r="843" customFormat="false" ht="15" hidden="false" customHeight="false" outlineLevel="0" collapsed="false">
      <c r="A843" s="9" t="s">
        <v>6238</v>
      </c>
      <c r="B843" s="9" t="s">
        <v>204</v>
      </c>
      <c r="C843" s="9" t="s">
        <v>146</v>
      </c>
      <c r="D843" s="9" t="s">
        <v>2002</v>
      </c>
      <c r="E843" s="9" t="s">
        <v>3083</v>
      </c>
      <c r="F843" s="9" t="s">
        <v>6239</v>
      </c>
      <c r="G843" s="9" t="s">
        <v>6240</v>
      </c>
      <c r="H843" s="9" t="s">
        <v>2520</v>
      </c>
      <c r="I843" s="11" t="n">
        <v>24</v>
      </c>
      <c r="J843" s="11" t="n">
        <v>25.9</v>
      </c>
      <c r="K843" s="11"/>
      <c r="L843" s="11"/>
      <c r="M843" s="11" t="n">
        <f aca="false">IF(ISNUMBER(L843),L843,J843)</f>
        <v>25.9</v>
      </c>
      <c r="N843" s="11" t="n">
        <f aca="false">ROUNDUP(M843,0)</f>
        <v>26</v>
      </c>
      <c r="O843" s="11" t="n">
        <f aca="false">MAX(I843,N843)</f>
        <v>26</v>
      </c>
      <c r="P843" s="11" t="n">
        <f aca="false">IF(C843="COVERED",MAX(0,O843-40),0)</f>
        <v>0</v>
      </c>
      <c r="Q843" s="11" t="n">
        <f aca="false">O843</f>
        <v>26</v>
      </c>
      <c r="R843" s="17" t="n">
        <f aca="false">IF(C843="COVERED",10.4,7.55)</f>
        <v>7.55</v>
      </c>
      <c r="S843" s="17" t="n">
        <f aca="false">Q843*R843</f>
        <v>196.3</v>
      </c>
      <c r="T843" s="9"/>
      <c r="U843" s="10"/>
      <c r="V843" s="9"/>
      <c r="W843" s="17"/>
      <c r="X843" s="17"/>
      <c r="Y843" s="17" t="str">
        <f aca="false">IF(ISNUMBER(X843),X843-S843,"")</f>
        <v/>
      </c>
      <c r="Z843" s="17" t="n">
        <f aca="false">IF(ISNUMBER(X843),X843-S843,-S843)</f>
        <v>-196.3</v>
      </c>
      <c r="AA843" s="9" t="str">
        <f aca="false">IF(NOT(ISNUMBER(X843)),"NO AUGUST POSTING IN EXPORT",IF(ABS(Y843)&gt;=0.005,"POSTED CHARGE MISMATCH",IF(P843&gt;0,"MATCH - COVERED ELIGIBILITY EXCEPTION","MATCH")))</f>
        <v>NO AUGUST POSTING IN EXPORT</v>
      </c>
      <c r="AB843" s="9" t="s">
        <v>6241</v>
      </c>
    </row>
    <row r="844" customFormat="false" ht="15" hidden="false" customHeight="false" outlineLevel="0" collapsed="false">
      <c r="A844" s="13" t="s">
        <v>6242</v>
      </c>
      <c r="B844" s="13" t="s">
        <v>204</v>
      </c>
      <c r="C844" s="13" t="s">
        <v>146</v>
      </c>
      <c r="D844" s="13" t="s">
        <v>2002</v>
      </c>
      <c r="E844" s="13" t="s">
        <v>4179</v>
      </c>
      <c r="F844" s="13" t="s">
        <v>6243</v>
      </c>
      <c r="G844" s="13" t="s">
        <v>6244</v>
      </c>
      <c r="H844" s="13" t="s">
        <v>6184</v>
      </c>
      <c r="I844" s="15" t="n">
        <v>40</v>
      </c>
      <c r="J844" s="15" t="n">
        <v>47.3</v>
      </c>
      <c r="K844" s="15"/>
      <c r="L844" s="15"/>
      <c r="M844" s="15" t="n">
        <f aca="false">IF(ISNUMBER(L844),L844,J844)</f>
        <v>47.3</v>
      </c>
      <c r="N844" s="15" t="n">
        <f aca="false">ROUNDUP(M844,0)</f>
        <v>48</v>
      </c>
      <c r="O844" s="15" t="n">
        <f aca="false">MAX(I844,N844)</f>
        <v>48</v>
      </c>
      <c r="P844" s="15" t="n">
        <f aca="false">IF(C844="COVERED",MAX(0,O844-40),0)</f>
        <v>0</v>
      </c>
      <c r="Q844" s="15" t="n">
        <f aca="false">O844</f>
        <v>48</v>
      </c>
      <c r="R844" s="18" t="n">
        <f aca="false">IF(C844="COVERED",10.4,7.55)</f>
        <v>7.55</v>
      </c>
      <c r="S844" s="18" t="n">
        <f aca="false">Q844*R844</f>
        <v>362.4</v>
      </c>
      <c r="T844" s="13"/>
      <c r="U844" s="14"/>
      <c r="V844" s="13"/>
      <c r="W844" s="18"/>
      <c r="X844" s="18"/>
      <c r="Y844" s="18" t="str">
        <f aca="false">IF(ISNUMBER(X844),X844-S844,"")</f>
        <v/>
      </c>
      <c r="Z844" s="18" t="n">
        <f aca="false">IF(ISNUMBER(X844),X844-S844,-S844)</f>
        <v>-362.4</v>
      </c>
      <c r="AA844" s="13" t="str">
        <f aca="false">IF(NOT(ISNUMBER(X844)),"NO AUGUST POSTING IN EXPORT",IF(ABS(Y844)&gt;=0.005,"POSTED CHARGE MISMATCH",IF(P844&gt;0,"MATCH - COVERED ELIGIBILITY EXCEPTION","MATCH")))</f>
        <v>NO AUGUST POSTING IN EXPORT</v>
      </c>
      <c r="AB844" s="13" t="s">
        <v>6245</v>
      </c>
    </row>
    <row r="845" customFormat="false" ht="15" hidden="false" customHeight="false" outlineLevel="0" collapsed="false">
      <c r="A845" s="9" t="s">
        <v>1042</v>
      </c>
      <c r="B845" s="9" t="s">
        <v>204</v>
      </c>
      <c r="C845" s="9" t="s">
        <v>146</v>
      </c>
      <c r="D845" s="9" t="s">
        <v>2002</v>
      </c>
      <c r="E845" s="9" t="s">
        <v>3090</v>
      </c>
      <c r="F845" s="9" t="s">
        <v>6246</v>
      </c>
      <c r="G845" s="9" t="s">
        <v>6247</v>
      </c>
      <c r="H845" s="9" t="s">
        <v>2277</v>
      </c>
      <c r="I845" s="11" t="n">
        <v>36</v>
      </c>
      <c r="J845" s="11" t="n">
        <v>26.8</v>
      </c>
      <c r="K845" s="11"/>
      <c r="L845" s="11"/>
      <c r="M845" s="11" t="n">
        <f aca="false">IF(ISNUMBER(L845),L845,J845)</f>
        <v>26.8</v>
      </c>
      <c r="N845" s="11" t="n">
        <f aca="false">ROUNDUP(M845,0)</f>
        <v>27</v>
      </c>
      <c r="O845" s="11" t="n">
        <f aca="false">MAX(I845,N845)</f>
        <v>36</v>
      </c>
      <c r="P845" s="11" t="n">
        <f aca="false">IF(C845="COVERED",MAX(0,O845-40),0)</f>
        <v>0</v>
      </c>
      <c r="Q845" s="11" t="n">
        <f aca="false">O845</f>
        <v>36</v>
      </c>
      <c r="R845" s="17" t="n">
        <f aca="false">IF(C845="COVERED",10.4,7.55)</f>
        <v>7.55</v>
      </c>
      <c r="S845" s="17" t="n">
        <f aca="false">Q845*R845</f>
        <v>271.8</v>
      </c>
      <c r="T845" s="9"/>
      <c r="U845" s="10"/>
      <c r="V845" s="9"/>
      <c r="W845" s="17"/>
      <c r="X845" s="17"/>
      <c r="Y845" s="17" t="str">
        <f aca="false">IF(ISNUMBER(X845),X845-S845,"")</f>
        <v/>
      </c>
      <c r="Z845" s="17" t="n">
        <f aca="false">IF(ISNUMBER(X845),X845-S845,-S845)</f>
        <v>-271.8</v>
      </c>
      <c r="AA845" s="9" t="str">
        <f aca="false">IF(NOT(ISNUMBER(X845)),"NO AUGUST POSTING IN EXPORT",IF(ABS(Y845)&gt;=0.005,"POSTED CHARGE MISMATCH",IF(P845&gt;0,"MATCH - COVERED ELIGIBILITY EXCEPTION","MATCH")))</f>
        <v>NO AUGUST POSTING IN EXPORT</v>
      </c>
      <c r="AB845" s="9" t="s">
        <v>6248</v>
      </c>
    </row>
    <row r="846" customFormat="false" ht="15" hidden="false" customHeight="false" outlineLevel="0" collapsed="false">
      <c r="A846" s="13" t="s">
        <v>6249</v>
      </c>
      <c r="B846" s="13" t="s">
        <v>204</v>
      </c>
      <c r="C846" s="13" t="s">
        <v>146</v>
      </c>
      <c r="D846" s="13" t="s">
        <v>2002</v>
      </c>
      <c r="E846" s="13" t="s">
        <v>3097</v>
      </c>
      <c r="F846" s="13" t="s">
        <v>6250</v>
      </c>
      <c r="G846" s="13" t="s">
        <v>6251</v>
      </c>
      <c r="H846" s="13" t="s">
        <v>5861</v>
      </c>
      <c r="I846" s="15" t="n">
        <v>32</v>
      </c>
      <c r="J846" s="15" t="n">
        <v>34.6</v>
      </c>
      <c r="K846" s="15"/>
      <c r="L846" s="15"/>
      <c r="M846" s="15" t="n">
        <f aca="false">IF(ISNUMBER(L846),L846,J846)</f>
        <v>34.6</v>
      </c>
      <c r="N846" s="15" t="n">
        <f aca="false">ROUNDUP(M846,0)</f>
        <v>35</v>
      </c>
      <c r="O846" s="15" t="n">
        <f aca="false">MAX(I846,N846)</f>
        <v>35</v>
      </c>
      <c r="P846" s="15" t="n">
        <f aca="false">IF(C846="COVERED",MAX(0,O846-40),0)</f>
        <v>0</v>
      </c>
      <c r="Q846" s="15" t="n">
        <f aca="false">O846</f>
        <v>35</v>
      </c>
      <c r="R846" s="18" t="n">
        <f aca="false">IF(C846="COVERED",10.4,7.55)</f>
        <v>7.55</v>
      </c>
      <c r="S846" s="18" t="n">
        <f aca="false">Q846*R846</f>
        <v>264.25</v>
      </c>
      <c r="T846" s="13"/>
      <c r="U846" s="14"/>
      <c r="V846" s="13"/>
      <c r="W846" s="18"/>
      <c r="X846" s="18"/>
      <c r="Y846" s="18" t="str">
        <f aca="false">IF(ISNUMBER(X846),X846-S846,"")</f>
        <v/>
      </c>
      <c r="Z846" s="18" t="n">
        <f aca="false">IF(ISNUMBER(X846),X846-S846,-S846)</f>
        <v>-264.25</v>
      </c>
      <c r="AA846" s="13" t="str">
        <f aca="false">IF(NOT(ISNUMBER(X846)),"NO AUGUST POSTING IN EXPORT",IF(ABS(Y846)&gt;=0.005,"POSTED CHARGE MISMATCH",IF(P846&gt;0,"MATCH - COVERED ELIGIBILITY EXCEPTION","MATCH")))</f>
        <v>NO AUGUST POSTING IN EXPORT</v>
      </c>
      <c r="AB846" s="13" t="s">
        <v>6252</v>
      </c>
    </row>
    <row r="847" customFormat="false" ht="15" hidden="false" customHeight="false" outlineLevel="0" collapsed="false">
      <c r="A847" s="9" t="s">
        <v>818</v>
      </c>
      <c r="B847" s="9" t="s">
        <v>204</v>
      </c>
      <c r="C847" s="9" t="s">
        <v>146</v>
      </c>
      <c r="D847" s="9" t="s">
        <v>2002</v>
      </c>
      <c r="E847" s="9" t="s">
        <v>5260</v>
      </c>
      <c r="F847" s="9" t="s">
        <v>6253</v>
      </c>
      <c r="G847" s="9" t="s">
        <v>6254</v>
      </c>
      <c r="H847" s="9" t="s">
        <v>3055</v>
      </c>
      <c r="I847" s="11" t="n">
        <v>24</v>
      </c>
      <c r="J847" s="11" t="n">
        <v>43.8</v>
      </c>
      <c r="K847" s="11"/>
      <c r="L847" s="11"/>
      <c r="M847" s="11" t="n">
        <f aca="false">IF(ISNUMBER(L847),L847,J847)</f>
        <v>43.8</v>
      </c>
      <c r="N847" s="11" t="n">
        <f aca="false">ROUNDUP(M847,0)</f>
        <v>44</v>
      </c>
      <c r="O847" s="11" t="n">
        <f aca="false">MAX(I847,N847)</f>
        <v>44</v>
      </c>
      <c r="P847" s="11" t="n">
        <f aca="false">IF(C847="COVERED",MAX(0,O847-40),0)</f>
        <v>0</v>
      </c>
      <c r="Q847" s="11" t="n">
        <f aca="false">O847</f>
        <v>44</v>
      </c>
      <c r="R847" s="17" t="n">
        <f aca="false">IF(C847="COVERED",10.4,7.55)</f>
        <v>7.55</v>
      </c>
      <c r="S847" s="17" t="n">
        <f aca="false">Q847*R847</f>
        <v>332.2</v>
      </c>
      <c r="T847" s="9"/>
      <c r="U847" s="10"/>
      <c r="V847" s="9"/>
      <c r="W847" s="17"/>
      <c r="X847" s="17"/>
      <c r="Y847" s="17" t="str">
        <f aca="false">IF(ISNUMBER(X847),X847-S847,"")</f>
        <v/>
      </c>
      <c r="Z847" s="17" t="n">
        <f aca="false">IF(ISNUMBER(X847),X847-S847,-S847)</f>
        <v>-332.2</v>
      </c>
      <c r="AA847" s="9" t="str">
        <f aca="false">IF(NOT(ISNUMBER(X847)),"NO AUGUST POSTING IN EXPORT",IF(ABS(Y847)&gt;=0.005,"POSTED CHARGE MISMATCH",IF(P847&gt;0,"MATCH - COVERED ELIGIBILITY EXCEPTION","MATCH")))</f>
        <v>NO AUGUST POSTING IN EXPORT</v>
      </c>
      <c r="AB847" s="9" t="s">
        <v>6255</v>
      </c>
    </row>
    <row r="848" customFormat="false" ht="15" hidden="false" customHeight="false" outlineLevel="0" collapsed="false">
      <c r="A848" s="13" t="s">
        <v>6256</v>
      </c>
      <c r="B848" s="13" t="s">
        <v>204</v>
      </c>
      <c r="C848" s="13" t="s">
        <v>146</v>
      </c>
      <c r="D848" s="13" t="s">
        <v>2002</v>
      </c>
      <c r="E848" s="13" t="s">
        <v>3111</v>
      </c>
      <c r="F848" s="13" t="s">
        <v>6257</v>
      </c>
      <c r="G848" s="13" t="s">
        <v>6258</v>
      </c>
      <c r="H848" s="13" t="s">
        <v>3107</v>
      </c>
      <c r="I848" s="15" t="n">
        <v>45</v>
      </c>
      <c r="J848" s="15" t="n">
        <v>44.7</v>
      </c>
      <c r="K848" s="15"/>
      <c r="L848" s="15"/>
      <c r="M848" s="15" t="n">
        <f aca="false">IF(ISNUMBER(L848),L848,J848)</f>
        <v>44.7</v>
      </c>
      <c r="N848" s="15" t="n">
        <f aca="false">ROUNDUP(M848,0)</f>
        <v>45</v>
      </c>
      <c r="O848" s="15" t="n">
        <f aca="false">MAX(I848,N848)</f>
        <v>45</v>
      </c>
      <c r="P848" s="15" t="n">
        <f aca="false">IF(C848="COVERED",MAX(0,O848-40),0)</f>
        <v>0</v>
      </c>
      <c r="Q848" s="15" t="n">
        <f aca="false">O848</f>
        <v>45</v>
      </c>
      <c r="R848" s="18" t="n">
        <f aca="false">IF(C848="COVERED",10.4,7.55)</f>
        <v>7.55</v>
      </c>
      <c r="S848" s="18" t="n">
        <f aca="false">Q848*R848</f>
        <v>339.75</v>
      </c>
      <c r="T848" s="13"/>
      <c r="U848" s="14"/>
      <c r="V848" s="13"/>
      <c r="W848" s="18"/>
      <c r="X848" s="18"/>
      <c r="Y848" s="18" t="str">
        <f aca="false">IF(ISNUMBER(X848),X848-S848,"")</f>
        <v/>
      </c>
      <c r="Z848" s="18" t="n">
        <f aca="false">IF(ISNUMBER(X848),X848-S848,-S848)</f>
        <v>-339.75</v>
      </c>
      <c r="AA848" s="13" t="str">
        <f aca="false">IF(NOT(ISNUMBER(X848)),"NO AUGUST POSTING IN EXPORT",IF(ABS(Y848)&gt;=0.005,"POSTED CHARGE MISMATCH",IF(P848&gt;0,"MATCH - COVERED ELIGIBILITY EXCEPTION","MATCH")))</f>
        <v>NO AUGUST POSTING IN EXPORT</v>
      </c>
      <c r="AB848" s="13" t="s">
        <v>6259</v>
      </c>
    </row>
    <row r="849" customFormat="false" ht="15" hidden="false" customHeight="false" outlineLevel="0" collapsed="false">
      <c r="A849" s="9" t="s">
        <v>315</v>
      </c>
      <c r="B849" s="9" t="s">
        <v>204</v>
      </c>
      <c r="C849" s="9" t="s">
        <v>146</v>
      </c>
      <c r="D849" s="9" t="s">
        <v>2002</v>
      </c>
      <c r="E849" s="9" t="s">
        <v>3122</v>
      </c>
      <c r="F849" s="9" t="s">
        <v>6260</v>
      </c>
      <c r="G849" s="9" t="s">
        <v>6261</v>
      </c>
      <c r="H849" s="9" t="s">
        <v>6262</v>
      </c>
      <c r="I849" s="11" t="n">
        <v>80</v>
      </c>
      <c r="J849" s="11" t="n">
        <v>31.9</v>
      </c>
      <c r="K849" s="11"/>
      <c r="L849" s="11"/>
      <c r="M849" s="11" t="n">
        <f aca="false">IF(ISNUMBER(L849),L849,J849)</f>
        <v>31.9</v>
      </c>
      <c r="N849" s="11" t="n">
        <f aca="false">ROUNDUP(M849,0)</f>
        <v>32</v>
      </c>
      <c r="O849" s="11" t="n">
        <f aca="false">MAX(I849,N849)</f>
        <v>80</v>
      </c>
      <c r="P849" s="11" t="n">
        <f aca="false">IF(C849="COVERED",MAX(0,O849-40),0)</f>
        <v>0</v>
      </c>
      <c r="Q849" s="11" t="n">
        <f aca="false">O849</f>
        <v>80</v>
      </c>
      <c r="R849" s="17" t="n">
        <f aca="false">IF(C849="COVERED",10.4,7.55)</f>
        <v>7.55</v>
      </c>
      <c r="S849" s="17" t="n">
        <f aca="false">Q849*R849</f>
        <v>604</v>
      </c>
      <c r="T849" s="9"/>
      <c r="U849" s="10"/>
      <c r="V849" s="9"/>
      <c r="W849" s="17"/>
      <c r="X849" s="17"/>
      <c r="Y849" s="17" t="str">
        <f aca="false">IF(ISNUMBER(X849),X849-S849,"")</f>
        <v/>
      </c>
      <c r="Z849" s="17" t="n">
        <f aca="false">IF(ISNUMBER(X849),X849-S849,-S849)</f>
        <v>-604</v>
      </c>
      <c r="AA849" s="9" t="str">
        <f aca="false">IF(NOT(ISNUMBER(X849)),"NO AUGUST POSTING IN EXPORT",IF(ABS(Y849)&gt;=0.005,"POSTED CHARGE MISMATCH",IF(P849&gt;0,"MATCH - COVERED ELIGIBILITY EXCEPTION","MATCH")))</f>
        <v>NO AUGUST POSTING IN EXPORT</v>
      </c>
      <c r="AB849" s="9" t="s">
        <v>6263</v>
      </c>
    </row>
    <row r="850" customFormat="false" ht="15" hidden="false" customHeight="false" outlineLevel="0" collapsed="false">
      <c r="A850" s="13" t="s">
        <v>6264</v>
      </c>
      <c r="B850" s="13" t="s">
        <v>204</v>
      </c>
      <c r="C850" s="13" t="s">
        <v>146</v>
      </c>
      <c r="D850" s="13" t="s">
        <v>2002</v>
      </c>
      <c r="E850" s="13" t="s">
        <v>3129</v>
      </c>
      <c r="F850" s="13" t="s">
        <v>6265</v>
      </c>
      <c r="G850" s="13" t="s">
        <v>6266</v>
      </c>
      <c r="H850" s="13" t="s">
        <v>6267</v>
      </c>
      <c r="I850" s="15" t="n">
        <v>80</v>
      </c>
      <c r="J850" s="15" t="n">
        <v>59.4</v>
      </c>
      <c r="K850" s="15"/>
      <c r="L850" s="15"/>
      <c r="M850" s="15" t="n">
        <f aca="false">IF(ISNUMBER(L850),L850,J850)</f>
        <v>59.4</v>
      </c>
      <c r="N850" s="15" t="n">
        <f aca="false">ROUNDUP(M850,0)</f>
        <v>60</v>
      </c>
      <c r="O850" s="15" t="n">
        <f aca="false">MAX(I850,N850)</f>
        <v>80</v>
      </c>
      <c r="P850" s="15" t="n">
        <f aca="false">IF(C850="COVERED",MAX(0,O850-40),0)</f>
        <v>0</v>
      </c>
      <c r="Q850" s="15" t="n">
        <f aca="false">O850</f>
        <v>80</v>
      </c>
      <c r="R850" s="18" t="n">
        <f aca="false">IF(C850="COVERED",10.4,7.55)</f>
        <v>7.55</v>
      </c>
      <c r="S850" s="18" t="n">
        <f aca="false">Q850*R850</f>
        <v>604</v>
      </c>
      <c r="T850" s="13"/>
      <c r="U850" s="14"/>
      <c r="V850" s="13"/>
      <c r="W850" s="18"/>
      <c r="X850" s="18"/>
      <c r="Y850" s="18" t="str">
        <f aca="false">IF(ISNUMBER(X850),X850-S850,"")</f>
        <v/>
      </c>
      <c r="Z850" s="18" t="n">
        <f aca="false">IF(ISNUMBER(X850),X850-S850,-S850)</f>
        <v>-604</v>
      </c>
      <c r="AA850" s="13" t="str">
        <f aca="false">IF(NOT(ISNUMBER(X850)),"NO AUGUST POSTING IN EXPORT",IF(ABS(Y850)&gt;=0.005,"POSTED CHARGE MISMATCH",IF(P850&gt;0,"MATCH - COVERED ELIGIBILITY EXCEPTION","MATCH")))</f>
        <v>NO AUGUST POSTING IN EXPORT</v>
      </c>
      <c r="AB850" s="13" t="s">
        <v>6268</v>
      </c>
    </row>
    <row r="851" customFormat="false" ht="15" hidden="false" customHeight="false" outlineLevel="0" collapsed="false">
      <c r="A851" s="9" t="s">
        <v>1948</v>
      </c>
      <c r="B851" s="9" t="s">
        <v>204</v>
      </c>
      <c r="C851" s="9" t="s">
        <v>146</v>
      </c>
      <c r="D851" s="9" t="s">
        <v>2002</v>
      </c>
      <c r="E851" s="9" t="s">
        <v>3136</v>
      </c>
      <c r="F851" s="9" t="s">
        <v>6269</v>
      </c>
      <c r="G851" s="9" t="s">
        <v>6270</v>
      </c>
      <c r="H851" s="9" t="s">
        <v>4576</v>
      </c>
      <c r="I851" s="11" t="n">
        <v>32</v>
      </c>
      <c r="J851" s="11" t="n">
        <v>42.9</v>
      </c>
      <c r="K851" s="11"/>
      <c r="L851" s="11"/>
      <c r="M851" s="11" t="n">
        <f aca="false">IF(ISNUMBER(L851),L851,J851)</f>
        <v>42.9</v>
      </c>
      <c r="N851" s="11" t="n">
        <f aca="false">ROUNDUP(M851,0)</f>
        <v>43</v>
      </c>
      <c r="O851" s="11" t="n">
        <f aca="false">MAX(I851,N851)</f>
        <v>43</v>
      </c>
      <c r="P851" s="11" t="n">
        <f aca="false">IF(C851="COVERED",MAX(0,O851-40),0)</f>
        <v>0</v>
      </c>
      <c r="Q851" s="11" t="n">
        <f aca="false">O851</f>
        <v>43</v>
      </c>
      <c r="R851" s="17" t="n">
        <f aca="false">IF(C851="COVERED",10.4,7.55)</f>
        <v>7.55</v>
      </c>
      <c r="S851" s="17" t="n">
        <f aca="false">Q851*R851</f>
        <v>324.65</v>
      </c>
      <c r="T851" s="9"/>
      <c r="U851" s="10"/>
      <c r="V851" s="9"/>
      <c r="W851" s="17"/>
      <c r="X851" s="17"/>
      <c r="Y851" s="17" t="str">
        <f aca="false">IF(ISNUMBER(X851),X851-S851,"")</f>
        <v/>
      </c>
      <c r="Z851" s="17" t="n">
        <f aca="false">IF(ISNUMBER(X851),X851-S851,-S851)</f>
        <v>-324.65</v>
      </c>
      <c r="AA851" s="9" t="str">
        <f aca="false">IF(NOT(ISNUMBER(X851)),"NO AUGUST POSTING IN EXPORT",IF(ABS(Y851)&gt;=0.005,"POSTED CHARGE MISMATCH",IF(P851&gt;0,"MATCH - COVERED ELIGIBILITY EXCEPTION","MATCH")))</f>
        <v>NO AUGUST POSTING IN EXPORT</v>
      </c>
      <c r="AB851" s="9" t="s">
        <v>6271</v>
      </c>
    </row>
    <row r="852" customFormat="false" ht="15" hidden="false" customHeight="false" outlineLevel="0" collapsed="false">
      <c r="A852" s="13" t="s">
        <v>6272</v>
      </c>
      <c r="B852" s="13" t="s">
        <v>204</v>
      </c>
      <c r="C852" s="13" t="s">
        <v>146</v>
      </c>
      <c r="D852" s="13" t="s">
        <v>2002</v>
      </c>
      <c r="E852" s="13" t="s">
        <v>3143</v>
      </c>
      <c r="F852" s="13" t="s">
        <v>6273</v>
      </c>
      <c r="G852" s="13" t="s">
        <v>6274</v>
      </c>
      <c r="H852" s="13" t="s">
        <v>6262</v>
      </c>
      <c r="I852" s="15" t="n">
        <v>36</v>
      </c>
      <c r="J852" s="15" t="n">
        <v>44</v>
      </c>
      <c r="K852" s="15"/>
      <c r="L852" s="15"/>
      <c r="M852" s="15" t="n">
        <f aca="false">IF(ISNUMBER(L852),L852,J852)</f>
        <v>44</v>
      </c>
      <c r="N852" s="15" t="n">
        <f aca="false">ROUNDUP(M852,0)</f>
        <v>44</v>
      </c>
      <c r="O852" s="15" t="n">
        <f aca="false">MAX(I852,N852)</f>
        <v>44</v>
      </c>
      <c r="P852" s="15" t="n">
        <f aca="false">IF(C852="COVERED",MAX(0,O852-40),0)</f>
        <v>0</v>
      </c>
      <c r="Q852" s="15" t="n">
        <f aca="false">O852</f>
        <v>44</v>
      </c>
      <c r="R852" s="18" t="n">
        <f aca="false">IF(C852="COVERED",10.4,7.55)</f>
        <v>7.55</v>
      </c>
      <c r="S852" s="18" t="n">
        <f aca="false">Q852*R852</f>
        <v>332.2</v>
      </c>
      <c r="T852" s="13"/>
      <c r="U852" s="14"/>
      <c r="V852" s="13"/>
      <c r="W852" s="18"/>
      <c r="X852" s="18"/>
      <c r="Y852" s="18" t="str">
        <f aca="false">IF(ISNUMBER(X852),X852-S852,"")</f>
        <v/>
      </c>
      <c r="Z852" s="18" t="n">
        <f aca="false">IF(ISNUMBER(X852),X852-S852,-S852)</f>
        <v>-332.2</v>
      </c>
      <c r="AA852" s="13" t="str">
        <f aca="false">IF(NOT(ISNUMBER(X852)),"NO AUGUST POSTING IN EXPORT",IF(ABS(Y852)&gt;=0.005,"POSTED CHARGE MISMATCH",IF(P852&gt;0,"MATCH - COVERED ELIGIBILITY EXCEPTION","MATCH")))</f>
        <v>NO AUGUST POSTING IN EXPORT</v>
      </c>
      <c r="AB852" s="13" t="s">
        <v>6275</v>
      </c>
    </row>
    <row r="853" customFormat="false" ht="15" hidden="false" customHeight="false" outlineLevel="0" collapsed="false">
      <c r="A853" s="9" t="s">
        <v>1735</v>
      </c>
      <c r="B853" s="9" t="s">
        <v>204</v>
      </c>
      <c r="C853" s="9" t="s">
        <v>146</v>
      </c>
      <c r="D853" s="9" t="s">
        <v>2002</v>
      </c>
      <c r="E853" s="9" t="s">
        <v>3156</v>
      </c>
      <c r="F853" s="9" t="s">
        <v>6276</v>
      </c>
      <c r="G853" s="9" t="s">
        <v>6277</v>
      </c>
      <c r="H853" s="9" t="s">
        <v>4483</v>
      </c>
      <c r="I853" s="11" t="n">
        <v>36</v>
      </c>
      <c r="J853" s="11" t="n">
        <v>53.6</v>
      </c>
      <c r="K853" s="11"/>
      <c r="L853" s="11"/>
      <c r="M853" s="11" t="n">
        <f aca="false">IF(ISNUMBER(L853),L853,J853)</f>
        <v>53.6</v>
      </c>
      <c r="N853" s="11" t="n">
        <f aca="false">ROUNDUP(M853,0)</f>
        <v>54</v>
      </c>
      <c r="O853" s="11" t="n">
        <f aca="false">MAX(I853,N853)</f>
        <v>54</v>
      </c>
      <c r="P853" s="11" t="n">
        <f aca="false">IF(C853="COVERED",MAX(0,O853-40),0)</f>
        <v>0</v>
      </c>
      <c r="Q853" s="11" t="n">
        <f aca="false">O853</f>
        <v>54</v>
      </c>
      <c r="R853" s="17" t="n">
        <f aca="false">IF(C853="COVERED",10.4,7.55)</f>
        <v>7.55</v>
      </c>
      <c r="S853" s="17" t="n">
        <f aca="false">Q853*R853</f>
        <v>407.7</v>
      </c>
      <c r="T853" s="9"/>
      <c r="U853" s="10"/>
      <c r="V853" s="9"/>
      <c r="W853" s="17"/>
      <c r="X853" s="17"/>
      <c r="Y853" s="17" t="str">
        <f aca="false">IF(ISNUMBER(X853),X853-S853,"")</f>
        <v/>
      </c>
      <c r="Z853" s="17" t="n">
        <f aca="false">IF(ISNUMBER(X853),X853-S853,-S853)</f>
        <v>-407.7</v>
      </c>
      <c r="AA853" s="9" t="str">
        <f aca="false">IF(NOT(ISNUMBER(X853)),"NO AUGUST POSTING IN EXPORT",IF(ABS(Y853)&gt;=0.005,"POSTED CHARGE MISMATCH",IF(P853&gt;0,"MATCH - COVERED ELIGIBILITY EXCEPTION","MATCH")))</f>
        <v>NO AUGUST POSTING IN EXPORT</v>
      </c>
      <c r="AB853" s="9" t="s">
        <v>6278</v>
      </c>
    </row>
    <row r="854" customFormat="false" ht="15" hidden="false" customHeight="false" outlineLevel="0" collapsed="false">
      <c r="A854" s="13" t="s">
        <v>6279</v>
      </c>
      <c r="B854" s="13" t="s">
        <v>204</v>
      </c>
      <c r="C854" s="13" t="s">
        <v>146</v>
      </c>
      <c r="D854" s="13" t="s">
        <v>2002</v>
      </c>
      <c r="E854" s="13" t="s">
        <v>3161</v>
      </c>
      <c r="F854" s="13" t="s">
        <v>6280</v>
      </c>
      <c r="G854" s="13" t="s">
        <v>6281</v>
      </c>
      <c r="H854" s="13" t="s">
        <v>2527</v>
      </c>
      <c r="I854" s="15" t="n">
        <v>24</v>
      </c>
      <c r="J854" s="15" t="n">
        <v>52.9</v>
      </c>
      <c r="K854" s="15"/>
      <c r="L854" s="15"/>
      <c r="M854" s="15" t="n">
        <f aca="false">IF(ISNUMBER(L854),L854,J854)</f>
        <v>52.9</v>
      </c>
      <c r="N854" s="15" t="n">
        <f aca="false">ROUNDUP(M854,0)</f>
        <v>53</v>
      </c>
      <c r="O854" s="15" t="n">
        <f aca="false">MAX(I854,N854)</f>
        <v>53</v>
      </c>
      <c r="P854" s="15" t="n">
        <f aca="false">IF(C854="COVERED",MAX(0,O854-40),0)</f>
        <v>0</v>
      </c>
      <c r="Q854" s="15" t="n">
        <f aca="false">O854</f>
        <v>53</v>
      </c>
      <c r="R854" s="18" t="n">
        <f aca="false">IF(C854="COVERED",10.4,7.55)</f>
        <v>7.55</v>
      </c>
      <c r="S854" s="18" t="n">
        <f aca="false">Q854*R854</f>
        <v>400.15</v>
      </c>
      <c r="T854" s="13"/>
      <c r="U854" s="14"/>
      <c r="V854" s="13"/>
      <c r="W854" s="18"/>
      <c r="X854" s="18"/>
      <c r="Y854" s="18" t="str">
        <f aca="false">IF(ISNUMBER(X854),X854-S854,"")</f>
        <v/>
      </c>
      <c r="Z854" s="18" t="n">
        <f aca="false">IF(ISNUMBER(X854),X854-S854,-S854)</f>
        <v>-400.15</v>
      </c>
      <c r="AA854" s="13" t="str">
        <f aca="false">IF(NOT(ISNUMBER(X854)),"NO AUGUST POSTING IN EXPORT",IF(ABS(Y854)&gt;=0.005,"POSTED CHARGE MISMATCH",IF(P854&gt;0,"MATCH - COVERED ELIGIBILITY EXCEPTION","MATCH")))</f>
        <v>NO AUGUST POSTING IN EXPORT</v>
      </c>
      <c r="AB854" s="13" t="s">
        <v>6282</v>
      </c>
    </row>
    <row r="855" customFormat="false" ht="15" hidden="false" customHeight="false" outlineLevel="0" collapsed="false">
      <c r="A855" s="9" t="s">
        <v>6283</v>
      </c>
      <c r="B855" s="9" t="s">
        <v>204</v>
      </c>
      <c r="C855" s="9" t="s">
        <v>146</v>
      </c>
      <c r="D855" s="9" t="s">
        <v>2002</v>
      </c>
      <c r="E855" s="9" t="s">
        <v>3167</v>
      </c>
      <c r="F855" s="9" t="s">
        <v>6284</v>
      </c>
      <c r="G855" s="9" t="s">
        <v>6285</v>
      </c>
      <c r="H855" s="9" t="s">
        <v>4242</v>
      </c>
      <c r="I855" s="11" t="n">
        <v>28</v>
      </c>
      <c r="J855" s="11" t="n">
        <v>61.1</v>
      </c>
      <c r="K855" s="11"/>
      <c r="L855" s="11"/>
      <c r="M855" s="11" t="n">
        <f aca="false">IF(ISNUMBER(L855),L855,J855)</f>
        <v>61.1</v>
      </c>
      <c r="N855" s="11" t="n">
        <f aca="false">ROUNDUP(M855,0)</f>
        <v>62</v>
      </c>
      <c r="O855" s="11" t="n">
        <f aca="false">MAX(I855,N855)</f>
        <v>62</v>
      </c>
      <c r="P855" s="11" t="n">
        <f aca="false">IF(C855="COVERED",MAX(0,O855-40),0)</f>
        <v>0</v>
      </c>
      <c r="Q855" s="11" t="n">
        <f aca="false">O855</f>
        <v>62</v>
      </c>
      <c r="R855" s="17" t="n">
        <f aca="false">IF(C855="COVERED",10.4,7.55)</f>
        <v>7.55</v>
      </c>
      <c r="S855" s="17" t="n">
        <f aca="false">Q855*R855</f>
        <v>468.1</v>
      </c>
      <c r="T855" s="9"/>
      <c r="U855" s="10"/>
      <c r="V855" s="9"/>
      <c r="W855" s="17"/>
      <c r="X855" s="17"/>
      <c r="Y855" s="17" t="str">
        <f aca="false">IF(ISNUMBER(X855),X855-S855,"")</f>
        <v/>
      </c>
      <c r="Z855" s="17" t="n">
        <f aca="false">IF(ISNUMBER(X855),X855-S855,-S855)</f>
        <v>-468.1</v>
      </c>
      <c r="AA855" s="9" t="str">
        <f aca="false">IF(NOT(ISNUMBER(X855)),"NO AUGUST POSTING IN EXPORT",IF(ABS(Y855)&gt;=0.005,"POSTED CHARGE MISMATCH",IF(P855&gt;0,"MATCH - COVERED ELIGIBILITY EXCEPTION","MATCH")))</f>
        <v>NO AUGUST POSTING IN EXPORT</v>
      </c>
      <c r="AB855" s="9" t="s">
        <v>6286</v>
      </c>
    </row>
    <row r="856" customFormat="false" ht="15" hidden="false" customHeight="false" outlineLevel="0" collapsed="false">
      <c r="A856" s="13" t="s">
        <v>1748</v>
      </c>
      <c r="B856" s="13" t="s">
        <v>204</v>
      </c>
      <c r="C856" s="13" t="s">
        <v>146</v>
      </c>
      <c r="D856" s="13" t="s">
        <v>2002</v>
      </c>
      <c r="E856" s="13" t="s">
        <v>3173</v>
      </c>
      <c r="F856" s="13" t="s">
        <v>593</v>
      </c>
      <c r="G856" s="13" t="s">
        <v>594</v>
      </c>
      <c r="H856" s="13" t="s">
        <v>6287</v>
      </c>
      <c r="I856" s="15" t="n">
        <v>28</v>
      </c>
      <c r="J856" s="15" t="n">
        <v>52.6</v>
      </c>
      <c r="K856" s="15"/>
      <c r="L856" s="15"/>
      <c r="M856" s="15" t="n">
        <f aca="false">IF(ISNUMBER(L856),L856,J856)</f>
        <v>52.6</v>
      </c>
      <c r="N856" s="15" t="n">
        <f aca="false">ROUNDUP(M856,0)</f>
        <v>53</v>
      </c>
      <c r="O856" s="15" t="n">
        <f aca="false">MAX(I856,N856)</f>
        <v>53</v>
      </c>
      <c r="P856" s="15" t="n">
        <f aca="false">IF(C856="COVERED",MAX(0,O856-40),0)</f>
        <v>0</v>
      </c>
      <c r="Q856" s="15" t="n">
        <f aca="false">O856</f>
        <v>53</v>
      </c>
      <c r="R856" s="18" t="n">
        <f aca="false">IF(C856="COVERED",10.4,7.55)</f>
        <v>7.55</v>
      </c>
      <c r="S856" s="18" t="n">
        <f aca="false">Q856*R856</f>
        <v>400.15</v>
      </c>
      <c r="T856" s="13"/>
      <c r="U856" s="14"/>
      <c r="V856" s="13"/>
      <c r="W856" s="18"/>
      <c r="X856" s="18"/>
      <c r="Y856" s="18" t="str">
        <f aca="false">IF(ISNUMBER(X856),X856-S856,"")</f>
        <v/>
      </c>
      <c r="Z856" s="18" t="n">
        <f aca="false">IF(ISNUMBER(X856),X856-S856,-S856)</f>
        <v>-400.15</v>
      </c>
      <c r="AA856" s="13" t="str">
        <f aca="false">IF(NOT(ISNUMBER(X856)),"NO AUGUST POSTING IN EXPORT",IF(ABS(Y856)&gt;=0.005,"POSTED CHARGE MISMATCH",IF(P856&gt;0,"MATCH - COVERED ELIGIBILITY EXCEPTION","MATCH")))</f>
        <v>NO AUGUST POSTING IN EXPORT</v>
      </c>
      <c r="AB856" s="13" t="s">
        <v>6288</v>
      </c>
    </row>
    <row r="857" customFormat="false" ht="15" hidden="false" customHeight="false" outlineLevel="0" collapsed="false">
      <c r="A857" s="9" t="s">
        <v>6289</v>
      </c>
      <c r="B857" s="9" t="s">
        <v>204</v>
      </c>
      <c r="C857" s="9" t="s">
        <v>146</v>
      </c>
      <c r="D857" s="9" t="s">
        <v>2002</v>
      </c>
      <c r="E857" s="9" t="s">
        <v>3179</v>
      </c>
      <c r="F857" s="9" t="s">
        <v>6290</v>
      </c>
      <c r="G857" s="9" t="s">
        <v>6291</v>
      </c>
      <c r="H857" s="9" t="s">
        <v>4328</v>
      </c>
      <c r="I857" s="11" t="n">
        <v>32</v>
      </c>
      <c r="J857" s="11" t="n">
        <v>58.2</v>
      </c>
      <c r="K857" s="11"/>
      <c r="L857" s="11"/>
      <c r="M857" s="11" t="n">
        <f aca="false">IF(ISNUMBER(L857),L857,J857)</f>
        <v>58.2</v>
      </c>
      <c r="N857" s="11" t="n">
        <f aca="false">ROUNDUP(M857,0)</f>
        <v>59</v>
      </c>
      <c r="O857" s="11" t="n">
        <f aca="false">MAX(I857,N857)</f>
        <v>59</v>
      </c>
      <c r="P857" s="11" t="n">
        <f aca="false">IF(C857="COVERED",MAX(0,O857-40),0)</f>
        <v>0</v>
      </c>
      <c r="Q857" s="11" t="n">
        <f aca="false">O857</f>
        <v>59</v>
      </c>
      <c r="R857" s="17" t="n">
        <f aca="false">IF(C857="COVERED",10.4,7.55)</f>
        <v>7.55</v>
      </c>
      <c r="S857" s="17" t="n">
        <f aca="false">Q857*R857</f>
        <v>445.45</v>
      </c>
      <c r="T857" s="9"/>
      <c r="U857" s="10"/>
      <c r="V857" s="9"/>
      <c r="W857" s="17"/>
      <c r="X857" s="17"/>
      <c r="Y857" s="17" t="str">
        <f aca="false">IF(ISNUMBER(X857),X857-S857,"")</f>
        <v/>
      </c>
      <c r="Z857" s="17" t="n">
        <f aca="false">IF(ISNUMBER(X857),X857-S857,-S857)</f>
        <v>-445.45</v>
      </c>
      <c r="AA857" s="9" t="str">
        <f aca="false">IF(NOT(ISNUMBER(X857)),"NO AUGUST POSTING IN EXPORT",IF(ABS(Y857)&gt;=0.005,"POSTED CHARGE MISMATCH",IF(P857&gt;0,"MATCH - COVERED ELIGIBILITY EXCEPTION","MATCH")))</f>
        <v>NO AUGUST POSTING IN EXPORT</v>
      </c>
      <c r="AB857" s="9" t="s">
        <v>6292</v>
      </c>
    </row>
    <row r="858" customFormat="false" ht="15" hidden="false" customHeight="false" outlineLevel="0" collapsed="false">
      <c r="A858" s="13" t="s">
        <v>6293</v>
      </c>
      <c r="B858" s="13" t="s">
        <v>204</v>
      </c>
      <c r="C858" s="13" t="s">
        <v>146</v>
      </c>
      <c r="D858" s="13" t="s">
        <v>2002</v>
      </c>
      <c r="E858" s="13" t="s">
        <v>3186</v>
      </c>
      <c r="F858" s="13" t="s">
        <v>6294</v>
      </c>
      <c r="G858" s="13" t="s">
        <v>6295</v>
      </c>
      <c r="H858" s="13" t="s">
        <v>4522</v>
      </c>
      <c r="I858" s="15" t="n">
        <v>28</v>
      </c>
      <c r="J858" s="15" t="n">
        <v>57.3</v>
      </c>
      <c r="K858" s="15"/>
      <c r="L858" s="15"/>
      <c r="M858" s="15" t="n">
        <f aca="false">IF(ISNUMBER(L858),L858,J858)</f>
        <v>57.3</v>
      </c>
      <c r="N858" s="15" t="n">
        <f aca="false">ROUNDUP(M858,0)</f>
        <v>58</v>
      </c>
      <c r="O858" s="15" t="n">
        <f aca="false">MAX(I858,N858)</f>
        <v>58</v>
      </c>
      <c r="P858" s="15" t="n">
        <f aca="false">IF(C858="COVERED",MAX(0,O858-40),0)</f>
        <v>0</v>
      </c>
      <c r="Q858" s="15" t="n">
        <f aca="false">O858</f>
        <v>58</v>
      </c>
      <c r="R858" s="18" t="n">
        <f aca="false">IF(C858="COVERED",10.4,7.55)</f>
        <v>7.55</v>
      </c>
      <c r="S858" s="18" t="n">
        <f aca="false">Q858*R858</f>
        <v>437.9</v>
      </c>
      <c r="T858" s="13"/>
      <c r="U858" s="14"/>
      <c r="V858" s="13"/>
      <c r="W858" s="18"/>
      <c r="X858" s="18"/>
      <c r="Y858" s="18" t="str">
        <f aca="false">IF(ISNUMBER(X858),X858-S858,"")</f>
        <v/>
      </c>
      <c r="Z858" s="18" t="n">
        <f aca="false">IF(ISNUMBER(X858),X858-S858,-S858)</f>
        <v>-437.9</v>
      </c>
      <c r="AA858" s="13" t="str">
        <f aca="false">IF(NOT(ISNUMBER(X858)),"NO AUGUST POSTING IN EXPORT",IF(ABS(Y858)&gt;=0.005,"POSTED CHARGE MISMATCH",IF(P858&gt;0,"MATCH - COVERED ELIGIBILITY EXCEPTION","MATCH")))</f>
        <v>NO AUGUST POSTING IN EXPORT</v>
      </c>
      <c r="AB858" s="13" t="s">
        <v>6296</v>
      </c>
    </row>
    <row r="859" customFormat="false" ht="15" hidden="false" customHeight="false" outlineLevel="0" collapsed="false">
      <c r="A859" s="9" t="s">
        <v>6297</v>
      </c>
      <c r="B859" s="9" t="s">
        <v>204</v>
      </c>
      <c r="C859" s="9" t="s">
        <v>146</v>
      </c>
      <c r="D859" s="9" t="s">
        <v>2002</v>
      </c>
      <c r="E859" s="9" t="s">
        <v>3193</v>
      </c>
      <c r="F859" s="9" t="s">
        <v>6298</v>
      </c>
      <c r="G859" s="9" t="s">
        <v>6299</v>
      </c>
      <c r="H859" s="9" t="s">
        <v>6300</v>
      </c>
      <c r="I859" s="11" t="n">
        <v>50</v>
      </c>
      <c r="J859" s="11" t="n">
        <v>27.7</v>
      </c>
      <c r="K859" s="11"/>
      <c r="L859" s="11"/>
      <c r="M859" s="11" t="n">
        <f aca="false">IF(ISNUMBER(L859),L859,J859)</f>
        <v>27.7</v>
      </c>
      <c r="N859" s="11" t="n">
        <f aca="false">ROUNDUP(M859,0)</f>
        <v>28</v>
      </c>
      <c r="O859" s="11" t="n">
        <f aca="false">MAX(I859,N859)</f>
        <v>50</v>
      </c>
      <c r="P859" s="11" t="n">
        <f aca="false">IF(C859="COVERED",MAX(0,O859-40),0)</f>
        <v>0</v>
      </c>
      <c r="Q859" s="11" t="n">
        <f aca="false">O859</f>
        <v>50</v>
      </c>
      <c r="R859" s="17" t="n">
        <f aca="false">IF(C859="COVERED",10.4,7.55)</f>
        <v>7.55</v>
      </c>
      <c r="S859" s="17" t="n">
        <f aca="false">Q859*R859</f>
        <v>377.5</v>
      </c>
      <c r="T859" s="9"/>
      <c r="U859" s="10"/>
      <c r="V859" s="9"/>
      <c r="W859" s="17"/>
      <c r="X859" s="17"/>
      <c r="Y859" s="17" t="str">
        <f aca="false">IF(ISNUMBER(X859),X859-S859,"")</f>
        <v/>
      </c>
      <c r="Z859" s="17" t="n">
        <f aca="false">IF(ISNUMBER(X859),X859-S859,-S859)</f>
        <v>-377.5</v>
      </c>
      <c r="AA859" s="9" t="str">
        <f aca="false">IF(NOT(ISNUMBER(X859)),"NO AUGUST POSTING IN EXPORT",IF(ABS(Y859)&gt;=0.005,"POSTED CHARGE MISMATCH",IF(P859&gt;0,"MATCH - COVERED ELIGIBILITY EXCEPTION","MATCH")))</f>
        <v>NO AUGUST POSTING IN EXPORT</v>
      </c>
      <c r="AB859" s="9" t="s">
        <v>6301</v>
      </c>
    </row>
    <row r="860" customFormat="false" ht="15" hidden="false" customHeight="false" outlineLevel="0" collapsed="false">
      <c r="A860" s="13" t="s">
        <v>483</v>
      </c>
      <c r="B860" s="13" t="s">
        <v>204</v>
      </c>
      <c r="C860" s="13" t="s">
        <v>146</v>
      </c>
      <c r="D860" s="13" t="s">
        <v>2002</v>
      </c>
      <c r="E860" s="13" t="s">
        <v>3200</v>
      </c>
      <c r="F860" s="13" t="s">
        <v>6302</v>
      </c>
      <c r="G860" s="13" t="s">
        <v>3560</v>
      </c>
      <c r="H860" s="13" t="s">
        <v>2853</v>
      </c>
      <c r="I860" s="15" t="n">
        <v>32</v>
      </c>
      <c r="J860" s="15" t="n">
        <v>58.9</v>
      </c>
      <c r="K860" s="15"/>
      <c r="L860" s="15"/>
      <c r="M860" s="15" t="n">
        <f aca="false">IF(ISNUMBER(L860),L860,J860)</f>
        <v>58.9</v>
      </c>
      <c r="N860" s="15" t="n">
        <f aca="false">ROUNDUP(M860,0)</f>
        <v>59</v>
      </c>
      <c r="O860" s="15" t="n">
        <f aca="false">MAX(I860,N860)</f>
        <v>59</v>
      </c>
      <c r="P860" s="15" t="n">
        <f aca="false">IF(C860="COVERED",MAX(0,O860-40),0)</f>
        <v>0</v>
      </c>
      <c r="Q860" s="15" t="n">
        <f aca="false">O860</f>
        <v>59</v>
      </c>
      <c r="R860" s="18" t="n">
        <f aca="false">IF(C860="COVERED",10.4,7.55)</f>
        <v>7.55</v>
      </c>
      <c r="S860" s="18" t="n">
        <f aca="false">Q860*R860</f>
        <v>445.45</v>
      </c>
      <c r="T860" s="13"/>
      <c r="U860" s="14"/>
      <c r="V860" s="13"/>
      <c r="W860" s="18"/>
      <c r="X860" s="18"/>
      <c r="Y860" s="18" t="str">
        <f aca="false">IF(ISNUMBER(X860),X860-S860,"")</f>
        <v/>
      </c>
      <c r="Z860" s="18" t="n">
        <f aca="false">IF(ISNUMBER(X860),X860-S860,-S860)</f>
        <v>-445.45</v>
      </c>
      <c r="AA860" s="13" t="str">
        <f aca="false">IF(NOT(ISNUMBER(X860)),"NO AUGUST POSTING IN EXPORT",IF(ABS(Y860)&gt;=0.005,"POSTED CHARGE MISMATCH",IF(P860&gt;0,"MATCH - COVERED ELIGIBILITY EXCEPTION","MATCH")))</f>
        <v>NO AUGUST POSTING IN EXPORT</v>
      </c>
      <c r="AB860" s="13" t="s">
        <v>6303</v>
      </c>
    </row>
    <row r="861" customFormat="false" ht="15" hidden="false" customHeight="false" outlineLevel="0" collapsed="false">
      <c r="A861" s="9" t="s">
        <v>596</v>
      </c>
      <c r="B861" s="9" t="s">
        <v>204</v>
      </c>
      <c r="C861" s="9" t="s">
        <v>146</v>
      </c>
      <c r="D861" s="9" t="s">
        <v>2002</v>
      </c>
      <c r="E861" s="9" t="s">
        <v>3206</v>
      </c>
      <c r="F861" s="9" t="s">
        <v>6304</v>
      </c>
      <c r="G861" s="9" t="s">
        <v>6305</v>
      </c>
      <c r="H861" s="9" t="s">
        <v>3388</v>
      </c>
      <c r="I861" s="11" t="n">
        <v>60</v>
      </c>
      <c r="J861" s="11" t="n">
        <v>43.1</v>
      </c>
      <c r="K861" s="11"/>
      <c r="L861" s="11"/>
      <c r="M861" s="11" t="n">
        <f aca="false">IF(ISNUMBER(L861),L861,J861)</f>
        <v>43.1</v>
      </c>
      <c r="N861" s="11" t="n">
        <f aca="false">ROUNDUP(M861,0)</f>
        <v>44</v>
      </c>
      <c r="O861" s="11" t="n">
        <f aca="false">MAX(I861,N861)</f>
        <v>60</v>
      </c>
      <c r="P861" s="11" t="n">
        <f aca="false">IF(C861="COVERED",MAX(0,O861-40),0)</f>
        <v>0</v>
      </c>
      <c r="Q861" s="11" t="n">
        <f aca="false">O861</f>
        <v>60</v>
      </c>
      <c r="R861" s="17" t="n">
        <f aca="false">IF(C861="COVERED",10.4,7.55)</f>
        <v>7.55</v>
      </c>
      <c r="S861" s="17" t="n">
        <f aca="false">Q861*R861</f>
        <v>453</v>
      </c>
      <c r="T861" s="9"/>
      <c r="U861" s="10"/>
      <c r="V861" s="9"/>
      <c r="W861" s="17"/>
      <c r="X861" s="17"/>
      <c r="Y861" s="17" t="str">
        <f aca="false">IF(ISNUMBER(X861),X861-S861,"")</f>
        <v/>
      </c>
      <c r="Z861" s="17" t="n">
        <f aca="false">IF(ISNUMBER(X861),X861-S861,-S861)</f>
        <v>-453</v>
      </c>
      <c r="AA861" s="9" t="str">
        <f aca="false">IF(NOT(ISNUMBER(X861)),"NO AUGUST POSTING IN EXPORT",IF(ABS(Y861)&gt;=0.005,"POSTED CHARGE MISMATCH",IF(P861&gt;0,"MATCH - COVERED ELIGIBILITY EXCEPTION","MATCH")))</f>
        <v>NO AUGUST POSTING IN EXPORT</v>
      </c>
      <c r="AB861" s="9" t="s">
        <v>6306</v>
      </c>
    </row>
    <row r="862" customFormat="false" ht="15" hidden="false" customHeight="false" outlineLevel="0" collapsed="false">
      <c r="A862" s="13" t="s">
        <v>6307</v>
      </c>
      <c r="B862" s="13" t="s">
        <v>204</v>
      </c>
      <c r="C862" s="13" t="s">
        <v>146</v>
      </c>
      <c r="D862" s="13" t="s">
        <v>2002</v>
      </c>
      <c r="E862" s="13" t="s">
        <v>3212</v>
      </c>
      <c r="F862" s="13" t="s">
        <v>6308</v>
      </c>
      <c r="G862" s="13" t="s">
        <v>6309</v>
      </c>
      <c r="H862" s="13" t="s">
        <v>3479</v>
      </c>
      <c r="I862" s="15" t="n">
        <v>45</v>
      </c>
      <c r="J862" s="15" t="n">
        <v>48.2</v>
      </c>
      <c r="K862" s="15"/>
      <c r="L862" s="15"/>
      <c r="M862" s="15" t="n">
        <f aca="false">IF(ISNUMBER(L862),L862,J862)</f>
        <v>48.2</v>
      </c>
      <c r="N862" s="15" t="n">
        <f aca="false">ROUNDUP(M862,0)</f>
        <v>49</v>
      </c>
      <c r="O862" s="15" t="n">
        <f aca="false">MAX(I862,N862)</f>
        <v>49</v>
      </c>
      <c r="P862" s="15" t="n">
        <f aca="false">IF(C862="COVERED",MAX(0,O862-40),0)</f>
        <v>0</v>
      </c>
      <c r="Q862" s="15" t="n">
        <f aca="false">O862</f>
        <v>49</v>
      </c>
      <c r="R862" s="18" t="n">
        <f aca="false">IF(C862="COVERED",10.4,7.55)</f>
        <v>7.55</v>
      </c>
      <c r="S862" s="18" t="n">
        <f aca="false">Q862*R862</f>
        <v>369.95</v>
      </c>
      <c r="T862" s="13"/>
      <c r="U862" s="14"/>
      <c r="V862" s="13"/>
      <c r="W862" s="18"/>
      <c r="X862" s="18"/>
      <c r="Y862" s="18" t="str">
        <f aca="false">IF(ISNUMBER(X862),X862-S862,"")</f>
        <v/>
      </c>
      <c r="Z862" s="18" t="n">
        <f aca="false">IF(ISNUMBER(X862),X862-S862,-S862)</f>
        <v>-369.95</v>
      </c>
      <c r="AA862" s="13" t="str">
        <f aca="false">IF(NOT(ISNUMBER(X862)),"NO AUGUST POSTING IN EXPORT",IF(ABS(Y862)&gt;=0.005,"POSTED CHARGE MISMATCH",IF(P862&gt;0,"MATCH - COVERED ELIGIBILITY EXCEPTION","MATCH")))</f>
        <v>NO AUGUST POSTING IN EXPORT</v>
      </c>
      <c r="AB862" s="13" t="s">
        <v>6310</v>
      </c>
    </row>
    <row r="863" customFormat="false" ht="15" hidden="false" customHeight="false" outlineLevel="0" collapsed="false">
      <c r="A863" s="9" t="s">
        <v>6311</v>
      </c>
      <c r="B863" s="9" t="s">
        <v>204</v>
      </c>
      <c r="C863" s="9" t="s">
        <v>146</v>
      </c>
      <c r="D863" s="9" t="s">
        <v>2002</v>
      </c>
      <c r="E863" s="9" t="s">
        <v>3219</v>
      </c>
      <c r="F863" s="9" t="s">
        <v>6312</v>
      </c>
      <c r="G863" s="9" t="s">
        <v>6313</v>
      </c>
      <c r="H863" s="9" t="s">
        <v>3647</v>
      </c>
      <c r="I863" s="11" t="n">
        <v>80</v>
      </c>
      <c r="J863" s="11" t="n">
        <v>56.6</v>
      </c>
      <c r="K863" s="11"/>
      <c r="L863" s="11"/>
      <c r="M863" s="11" t="n">
        <f aca="false">IF(ISNUMBER(L863),L863,J863)</f>
        <v>56.6</v>
      </c>
      <c r="N863" s="11" t="n">
        <f aca="false">ROUNDUP(M863,0)</f>
        <v>57</v>
      </c>
      <c r="O863" s="11" t="n">
        <f aca="false">MAX(I863,N863)</f>
        <v>80</v>
      </c>
      <c r="P863" s="11" t="n">
        <f aca="false">IF(C863="COVERED",MAX(0,O863-40),0)</f>
        <v>0</v>
      </c>
      <c r="Q863" s="11" t="n">
        <f aca="false">O863</f>
        <v>80</v>
      </c>
      <c r="R863" s="17" t="n">
        <f aca="false">IF(C863="COVERED",10.4,7.55)</f>
        <v>7.55</v>
      </c>
      <c r="S863" s="17" t="n">
        <f aca="false">Q863*R863</f>
        <v>604</v>
      </c>
      <c r="T863" s="9"/>
      <c r="U863" s="10"/>
      <c r="V863" s="9"/>
      <c r="W863" s="17"/>
      <c r="X863" s="17"/>
      <c r="Y863" s="17" t="str">
        <f aca="false">IF(ISNUMBER(X863),X863-S863,"")</f>
        <v/>
      </c>
      <c r="Z863" s="17" t="n">
        <f aca="false">IF(ISNUMBER(X863),X863-S863,-S863)</f>
        <v>-604</v>
      </c>
      <c r="AA863" s="9" t="str">
        <f aca="false">IF(NOT(ISNUMBER(X863)),"NO AUGUST POSTING IN EXPORT",IF(ABS(Y863)&gt;=0.005,"POSTED CHARGE MISMATCH",IF(P863&gt;0,"MATCH - COVERED ELIGIBILITY EXCEPTION","MATCH")))</f>
        <v>NO AUGUST POSTING IN EXPORT</v>
      </c>
      <c r="AB863" s="9" t="s">
        <v>6314</v>
      </c>
    </row>
    <row r="864" customFormat="false" ht="15" hidden="false" customHeight="false" outlineLevel="0" collapsed="false">
      <c r="A864" s="13" t="s">
        <v>6315</v>
      </c>
      <c r="B864" s="13" t="s">
        <v>135</v>
      </c>
      <c r="C864" s="13" t="s">
        <v>114</v>
      </c>
      <c r="D864" s="13" t="s">
        <v>2002</v>
      </c>
      <c r="E864" s="13" t="s">
        <v>2003</v>
      </c>
      <c r="F864" s="13" t="s">
        <v>6316</v>
      </c>
      <c r="G864" s="13" t="s">
        <v>6317</v>
      </c>
      <c r="H864" s="13" t="s">
        <v>2563</v>
      </c>
      <c r="I864" s="15" t="n">
        <v>36</v>
      </c>
      <c r="J864" s="15" t="n">
        <v>61</v>
      </c>
      <c r="K864" s="15"/>
      <c r="L864" s="15"/>
      <c r="M864" s="15" t="n">
        <f aca="false">IF(ISNUMBER(L864),L864,J864)</f>
        <v>61</v>
      </c>
      <c r="N864" s="15" t="n">
        <f aca="false">ROUNDUP(M864,0)</f>
        <v>61</v>
      </c>
      <c r="O864" s="15" t="n">
        <f aca="false">MAX(I864,N864)</f>
        <v>61</v>
      </c>
      <c r="P864" s="15" t="n">
        <f aca="false">IF(C864="COVERED",MAX(0,O864-40),0)</f>
        <v>21</v>
      </c>
      <c r="Q864" s="15" t="n">
        <f aca="false">O864</f>
        <v>61</v>
      </c>
      <c r="R864" s="18" t="n">
        <f aca="false">IF(C864="COVERED",10.4,7.55)</f>
        <v>10.4</v>
      </c>
      <c r="S864" s="18" t="n">
        <f aca="false">Q864*R864</f>
        <v>634.4</v>
      </c>
      <c r="T864" s="13" t="s">
        <v>6318</v>
      </c>
      <c r="U864" s="14" t="n">
        <v>46235</v>
      </c>
      <c r="V864" s="13" t="n">
        <v>61</v>
      </c>
      <c r="W864" s="18" t="n">
        <v>10.4</v>
      </c>
      <c r="X864" s="18" t="n">
        <v>634.4</v>
      </c>
      <c r="Y864" s="18" t="n">
        <f aca="false">IF(ISNUMBER(X864),X864-S864,"")</f>
        <v>0</v>
      </c>
      <c r="Z864" s="18" t="n">
        <f aca="false">IF(ISNUMBER(X864),X864-S864,-S864)</f>
        <v>0</v>
      </c>
      <c r="AA864" s="13" t="str">
        <f aca="false">IF(NOT(ISNUMBER(X864)),"NO AUGUST POSTING IN EXPORT",IF(ABS(Y864)&gt;=0.005,"POSTED CHARGE MISMATCH",IF(P864&gt;0,"MATCH - COVERED ELIGIBILITY EXCEPTION","MATCH")))</f>
        <v>MATCH - COVERED ELIGIBILITY EXCEPTION</v>
      </c>
      <c r="AB864" s="13" t="s">
        <v>6319</v>
      </c>
    </row>
    <row r="865" customFormat="false" ht="15" hidden="false" customHeight="false" outlineLevel="0" collapsed="false">
      <c r="A865" s="9" t="s">
        <v>6320</v>
      </c>
      <c r="B865" s="9" t="s">
        <v>135</v>
      </c>
      <c r="C865" s="9" t="s">
        <v>114</v>
      </c>
      <c r="D865" s="9" t="s">
        <v>2002</v>
      </c>
      <c r="E865" s="9" t="s">
        <v>2010</v>
      </c>
      <c r="F865" s="9" t="s">
        <v>6321</v>
      </c>
      <c r="G865" s="9" t="s">
        <v>6322</v>
      </c>
      <c r="H865" s="9" t="s">
        <v>3736</v>
      </c>
      <c r="I865" s="11" t="n">
        <v>24</v>
      </c>
      <c r="J865" s="11" t="n">
        <v>33.2</v>
      </c>
      <c r="K865" s="11"/>
      <c r="L865" s="11"/>
      <c r="M865" s="11" t="n">
        <f aca="false">IF(ISNUMBER(L865),L865,J865)</f>
        <v>33.2</v>
      </c>
      <c r="N865" s="11" t="n">
        <f aca="false">ROUNDUP(M865,0)</f>
        <v>34</v>
      </c>
      <c r="O865" s="11" t="n">
        <f aca="false">MAX(I865,N865)</f>
        <v>34</v>
      </c>
      <c r="P865" s="11" t="n">
        <f aca="false">IF(C865="COVERED",MAX(0,O865-40),0)</f>
        <v>0</v>
      </c>
      <c r="Q865" s="11" t="n">
        <f aca="false">O865</f>
        <v>34</v>
      </c>
      <c r="R865" s="17" t="n">
        <f aca="false">IF(C865="COVERED",10.4,7.55)</f>
        <v>10.4</v>
      </c>
      <c r="S865" s="17" t="n">
        <f aca="false">Q865*R865</f>
        <v>353.6</v>
      </c>
      <c r="T865" s="9" t="s">
        <v>6323</v>
      </c>
      <c r="U865" s="10" t="n">
        <v>46235</v>
      </c>
      <c r="V865" s="9" t="n">
        <v>34</v>
      </c>
      <c r="W865" s="17" t="n">
        <v>10.4</v>
      </c>
      <c r="X865" s="17" t="n">
        <v>353.6</v>
      </c>
      <c r="Y865" s="17" t="n">
        <f aca="false">IF(ISNUMBER(X865),X865-S865,"")</f>
        <v>0</v>
      </c>
      <c r="Z865" s="17" t="n">
        <f aca="false">IF(ISNUMBER(X865),X865-S865,-S865)</f>
        <v>0</v>
      </c>
      <c r="AA865" s="9" t="str">
        <f aca="false">IF(NOT(ISNUMBER(X865)),"NO AUGUST POSTING IN EXPORT",IF(ABS(Y865)&gt;=0.005,"POSTED CHARGE MISMATCH",IF(P865&gt;0,"MATCH - COVERED ELIGIBILITY EXCEPTION","MATCH")))</f>
        <v>MATCH</v>
      </c>
      <c r="AB865" s="9" t="s">
        <v>6324</v>
      </c>
    </row>
    <row r="866" customFormat="false" ht="15" hidden="false" customHeight="false" outlineLevel="0" collapsed="false">
      <c r="A866" s="13" t="s">
        <v>6325</v>
      </c>
      <c r="B866" s="13" t="s">
        <v>135</v>
      </c>
      <c r="C866" s="13" t="s">
        <v>114</v>
      </c>
      <c r="D866" s="13" t="s">
        <v>2002</v>
      </c>
      <c r="E866" s="13" t="s">
        <v>2017</v>
      </c>
      <c r="F866" s="13" t="s">
        <v>1803</v>
      </c>
      <c r="G866" s="13" t="s">
        <v>1804</v>
      </c>
      <c r="H866" s="13" t="s">
        <v>5229</v>
      </c>
      <c r="I866" s="15" t="n">
        <v>24</v>
      </c>
      <c r="J866" s="15" t="n">
        <v>38.9</v>
      </c>
      <c r="K866" s="15"/>
      <c r="L866" s="15"/>
      <c r="M866" s="15" t="n">
        <f aca="false">IF(ISNUMBER(L866),L866,J866)</f>
        <v>38.9</v>
      </c>
      <c r="N866" s="15" t="n">
        <f aca="false">ROUNDUP(M866,0)</f>
        <v>39</v>
      </c>
      <c r="O866" s="15" t="n">
        <f aca="false">MAX(I866,N866)</f>
        <v>39</v>
      </c>
      <c r="P866" s="15" t="n">
        <f aca="false">IF(C866="COVERED",MAX(0,O866-40),0)</f>
        <v>0</v>
      </c>
      <c r="Q866" s="15" t="n">
        <f aca="false">O866</f>
        <v>39</v>
      </c>
      <c r="R866" s="18" t="n">
        <f aca="false">IF(C866="COVERED",10.4,7.55)</f>
        <v>10.4</v>
      </c>
      <c r="S866" s="18" t="n">
        <f aca="false">Q866*R866</f>
        <v>405.6</v>
      </c>
      <c r="T866" s="13" t="s">
        <v>6326</v>
      </c>
      <c r="U866" s="14" t="n">
        <v>46235</v>
      </c>
      <c r="V866" s="13" t="n">
        <v>39</v>
      </c>
      <c r="W866" s="18" t="n">
        <v>10.4</v>
      </c>
      <c r="X866" s="18" t="n">
        <v>405.6</v>
      </c>
      <c r="Y866" s="18" t="n">
        <f aca="false">IF(ISNUMBER(X866),X866-S866,"")</f>
        <v>0</v>
      </c>
      <c r="Z866" s="18" t="n">
        <f aca="false">IF(ISNUMBER(X866),X866-S866,-S866)</f>
        <v>0</v>
      </c>
      <c r="AA866" s="13" t="str">
        <f aca="false">IF(NOT(ISNUMBER(X866)),"NO AUGUST POSTING IN EXPORT",IF(ABS(Y866)&gt;=0.005,"POSTED CHARGE MISMATCH",IF(P866&gt;0,"MATCH - COVERED ELIGIBILITY EXCEPTION","MATCH")))</f>
        <v>MATCH</v>
      </c>
      <c r="AB866" s="13" t="s">
        <v>6327</v>
      </c>
    </row>
    <row r="867" customFormat="false" ht="15" hidden="false" customHeight="false" outlineLevel="0" collapsed="false">
      <c r="A867" s="9" t="s">
        <v>6328</v>
      </c>
      <c r="B867" s="9" t="s">
        <v>135</v>
      </c>
      <c r="C867" s="9" t="s">
        <v>114</v>
      </c>
      <c r="D867" s="9" t="s">
        <v>2002</v>
      </c>
      <c r="E867" s="9" t="s">
        <v>2024</v>
      </c>
      <c r="F867" s="9" t="s">
        <v>6329</v>
      </c>
      <c r="G867" s="9" t="s">
        <v>6330</v>
      </c>
      <c r="H867" s="9" t="s">
        <v>3860</v>
      </c>
      <c r="I867" s="11" t="n">
        <v>40</v>
      </c>
      <c r="J867" s="11" t="n">
        <v>53.9</v>
      </c>
      <c r="K867" s="11"/>
      <c r="L867" s="11"/>
      <c r="M867" s="11" t="n">
        <f aca="false">IF(ISNUMBER(L867),L867,J867)</f>
        <v>53.9</v>
      </c>
      <c r="N867" s="11" t="n">
        <f aca="false">ROUNDUP(M867,0)</f>
        <v>54</v>
      </c>
      <c r="O867" s="11" t="n">
        <f aca="false">MAX(I867,N867)</f>
        <v>54</v>
      </c>
      <c r="P867" s="11" t="n">
        <f aca="false">IF(C867="COVERED",MAX(0,O867-40),0)</f>
        <v>14</v>
      </c>
      <c r="Q867" s="11" t="n">
        <f aca="false">O867</f>
        <v>54</v>
      </c>
      <c r="R867" s="17" t="n">
        <f aca="false">IF(C867="COVERED",10.4,7.55)</f>
        <v>10.4</v>
      </c>
      <c r="S867" s="17" t="n">
        <f aca="false">Q867*R867</f>
        <v>561.6</v>
      </c>
      <c r="T867" s="9" t="s">
        <v>6331</v>
      </c>
      <c r="U867" s="10" t="n">
        <v>46235</v>
      </c>
      <c r="V867" s="9" t="n">
        <v>54</v>
      </c>
      <c r="W867" s="17" t="n">
        <v>10.4</v>
      </c>
      <c r="X867" s="17" t="n">
        <v>561.6</v>
      </c>
      <c r="Y867" s="17" t="n">
        <f aca="false">IF(ISNUMBER(X867),X867-S867,"")</f>
        <v>0</v>
      </c>
      <c r="Z867" s="17" t="n">
        <f aca="false">IF(ISNUMBER(X867),X867-S867,-S867)</f>
        <v>0</v>
      </c>
      <c r="AA867" s="9" t="str">
        <f aca="false">IF(NOT(ISNUMBER(X867)),"NO AUGUST POSTING IN EXPORT",IF(ABS(Y867)&gt;=0.005,"POSTED CHARGE MISMATCH",IF(P867&gt;0,"MATCH - COVERED ELIGIBILITY EXCEPTION","MATCH")))</f>
        <v>MATCH - COVERED ELIGIBILITY EXCEPTION</v>
      </c>
      <c r="AB867" s="9" t="s">
        <v>6332</v>
      </c>
    </row>
    <row r="868" customFormat="false" ht="15" hidden="false" customHeight="false" outlineLevel="0" collapsed="false">
      <c r="A868" s="13" t="s">
        <v>6333</v>
      </c>
      <c r="B868" s="13" t="s">
        <v>135</v>
      </c>
      <c r="C868" s="13" t="s">
        <v>114</v>
      </c>
      <c r="D868" s="13" t="s">
        <v>2002</v>
      </c>
      <c r="E868" s="13" t="s">
        <v>2031</v>
      </c>
      <c r="F868" s="13" t="s">
        <v>6334</v>
      </c>
      <c r="G868" s="13" t="s">
        <v>6335</v>
      </c>
      <c r="H868" s="13" t="s">
        <v>2322</v>
      </c>
      <c r="I868" s="15" t="n">
        <v>24</v>
      </c>
      <c r="J868" s="15" t="n">
        <v>48.2</v>
      </c>
      <c r="K868" s="15"/>
      <c r="L868" s="15"/>
      <c r="M868" s="15" t="n">
        <f aca="false">IF(ISNUMBER(L868),L868,J868)</f>
        <v>48.2</v>
      </c>
      <c r="N868" s="15" t="n">
        <f aca="false">ROUNDUP(M868,0)</f>
        <v>49</v>
      </c>
      <c r="O868" s="15" t="n">
        <f aca="false">MAX(I868,N868)</f>
        <v>49</v>
      </c>
      <c r="P868" s="15" t="n">
        <f aca="false">IF(C868="COVERED",MAX(0,O868-40),0)</f>
        <v>9</v>
      </c>
      <c r="Q868" s="15" t="n">
        <f aca="false">O868</f>
        <v>49</v>
      </c>
      <c r="R868" s="18" t="n">
        <f aca="false">IF(C868="COVERED",10.4,7.55)</f>
        <v>10.4</v>
      </c>
      <c r="S868" s="18" t="n">
        <f aca="false">Q868*R868</f>
        <v>509.6</v>
      </c>
      <c r="T868" s="13" t="s">
        <v>6336</v>
      </c>
      <c r="U868" s="14" t="n">
        <v>46235</v>
      </c>
      <c r="V868" s="13" t="n">
        <v>49</v>
      </c>
      <c r="W868" s="18" t="n">
        <v>10.4</v>
      </c>
      <c r="X868" s="18" t="n">
        <v>509.6</v>
      </c>
      <c r="Y868" s="18" t="n">
        <f aca="false">IF(ISNUMBER(X868),X868-S868,"")</f>
        <v>0</v>
      </c>
      <c r="Z868" s="18" t="n">
        <f aca="false">IF(ISNUMBER(X868),X868-S868,-S868)</f>
        <v>0</v>
      </c>
      <c r="AA868" s="13" t="str">
        <f aca="false">IF(NOT(ISNUMBER(X868)),"NO AUGUST POSTING IN EXPORT",IF(ABS(Y868)&gt;=0.005,"POSTED CHARGE MISMATCH",IF(P868&gt;0,"MATCH - COVERED ELIGIBILITY EXCEPTION","MATCH")))</f>
        <v>MATCH - COVERED ELIGIBILITY EXCEPTION</v>
      </c>
      <c r="AB868" s="13" t="s">
        <v>6337</v>
      </c>
    </row>
    <row r="869" customFormat="false" ht="15" hidden="false" customHeight="false" outlineLevel="0" collapsed="false">
      <c r="A869" s="9" t="s">
        <v>6338</v>
      </c>
      <c r="B869" s="9" t="s">
        <v>135</v>
      </c>
      <c r="C869" s="9" t="s">
        <v>114</v>
      </c>
      <c r="D869" s="9" t="s">
        <v>2002</v>
      </c>
      <c r="E869" s="9" t="s">
        <v>2037</v>
      </c>
      <c r="F869" s="9" t="s">
        <v>1235</v>
      </c>
      <c r="G869" s="9" t="s">
        <v>1236</v>
      </c>
      <c r="H869" s="9" t="s">
        <v>4386</v>
      </c>
      <c r="I869" s="11" t="n">
        <v>24</v>
      </c>
      <c r="J869" s="11" t="n">
        <v>35.5</v>
      </c>
      <c r="K869" s="11"/>
      <c r="L869" s="11"/>
      <c r="M869" s="11" t="n">
        <f aca="false">IF(ISNUMBER(L869),L869,J869)</f>
        <v>35.5</v>
      </c>
      <c r="N869" s="11" t="n">
        <f aca="false">ROUNDUP(M869,0)</f>
        <v>36</v>
      </c>
      <c r="O869" s="11" t="n">
        <f aca="false">MAX(I869,N869)</f>
        <v>36</v>
      </c>
      <c r="P869" s="11" t="n">
        <f aca="false">IF(C869="COVERED",MAX(0,O869-40),0)</f>
        <v>0</v>
      </c>
      <c r="Q869" s="11" t="n">
        <f aca="false">O869</f>
        <v>36</v>
      </c>
      <c r="R869" s="17" t="n">
        <f aca="false">IF(C869="COVERED",10.4,7.55)</f>
        <v>10.4</v>
      </c>
      <c r="S869" s="17" t="n">
        <f aca="false">Q869*R869</f>
        <v>374.4</v>
      </c>
      <c r="T869" s="9" t="s">
        <v>6339</v>
      </c>
      <c r="U869" s="10" t="n">
        <v>46235</v>
      </c>
      <c r="V869" s="9" t="n">
        <v>36</v>
      </c>
      <c r="W869" s="17" t="n">
        <v>10.4</v>
      </c>
      <c r="X869" s="17" t="n">
        <v>374.4</v>
      </c>
      <c r="Y869" s="17" t="n">
        <f aca="false">IF(ISNUMBER(X869),X869-S869,"")</f>
        <v>0</v>
      </c>
      <c r="Z869" s="17" t="n">
        <f aca="false">IF(ISNUMBER(X869),X869-S869,-S869)</f>
        <v>0</v>
      </c>
      <c r="AA869" s="9" t="str">
        <f aca="false">IF(NOT(ISNUMBER(X869)),"NO AUGUST POSTING IN EXPORT",IF(ABS(Y869)&gt;=0.005,"POSTED CHARGE MISMATCH",IF(P869&gt;0,"MATCH - COVERED ELIGIBILITY EXCEPTION","MATCH")))</f>
        <v>MATCH</v>
      </c>
      <c r="AB869" s="9" t="s">
        <v>6340</v>
      </c>
    </row>
    <row r="870" customFormat="false" ht="15" hidden="false" customHeight="false" outlineLevel="0" collapsed="false">
      <c r="A870" s="13" t="s">
        <v>6341</v>
      </c>
      <c r="B870" s="13" t="s">
        <v>135</v>
      </c>
      <c r="C870" s="13" t="s">
        <v>114</v>
      </c>
      <c r="D870" s="13" t="s">
        <v>2002</v>
      </c>
      <c r="E870" s="13" t="s">
        <v>2042</v>
      </c>
      <c r="F870" s="13" t="s">
        <v>6342</v>
      </c>
      <c r="G870" s="13" t="s">
        <v>6343</v>
      </c>
      <c r="H870" s="13" t="s">
        <v>3114</v>
      </c>
      <c r="I870" s="15" t="n">
        <v>32</v>
      </c>
      <c r="J870" s="15" t="n">
        <v>29.7</v>
      </c>
      <c r="K870" s="15"/>
      <c r="L870" s="15"/>
      <c r="M870" s="15" t="n">
        <f aca="false">IF(ISNUMBER(L870),L870,J870)</f>
        <v>29.7</v>
      </c>
      <c r="N870" s="15" t="n">
        <f aca="false">ROUNDUP(M870,0)</f>
        <v>30</v>
      </c>
      <c r="O870" s="15" t="n">
        <f aca="false">MAX(I870,N870)</f>
        <v>32</v>
      </c>
      <c r="P870" s="15" t="n">
        <f aca="false">IF(C870="COVERED",MAX(0,O870-40),0)</f>
        <v>0</v>
      </c>
      <c r="Q870" s="15" t="n">
        <f aca="false">O870</f>
        <v>32</v>
      </c>
      <c r="R870" s="18" t="n">
        <f aca="false">IF(C870="COVERED",10.4,7.55)</f>
        <v>10.4</v>
      </c>
      <c r="S870" s="18" t="n">
        <f aca="false">Q870*R870</f>
        <v>332.8</v>
      </c>
      <c r="T870" s="13" t="s">
        <v>6344</v>
      </c>
      <c r="U870" s="14" t="n">
        <v>46235</v>
      </c>
      <c r="V870" s="13" t="n">
        <v>32</v>
      </c>
      <c r="W870" s="18" t="n">
        <v>10.4</v>
      </c>
      <c r="X870" s="18" t="n">
        <v>332.8</v>
      </c>
      <c r="Y870" s="18" t="n">
        <f aca="false">IF(ISNUMBER(X870),X870-S870,"")</f>
        <v>0</v>
      </c>
      <c r="Z870" s="18" t="n">
        <f aca="false">IF(ISNUMBER(X870),X870-S870,-S870)</f>
        <v>0</v>
      </c>
      <c r="AA870" s="13" t="str">
        <f aca="false">IF(NOT(ISNUMBER(X870)),"NO AUGUST POSTING IN EXPORT",IF(ABS(Y870)&gt;=0.005,"POSTED CHARGE MISMATCH",IF(P870&gt;0,"MATCH - COVERED ELIGIBILITY EXCEPTION","MATCH")))</f>
        <v>MATCH</v>
      </c>
      <c r="AB870" s="13" t="s">
        <v>6345</v>
      </c>
    </row>
    <row r="871" customFormat="false" ht="15" hidden="false" customHeight="false" outlineLevel="0" collapsed="false">
      <c r="A871" s="9" t="s">
        <v>6346</v>
      </c>
      <c r="B871" s="9" t="s">
        <v>135</v>
      </c>
      <c r="C871" s="9" t="s">
        <v>114</v>
      </c>
      <c r="D871" s="9" t="s">
        <v>2002</v>
      </c>
      <c r="E871" s="9" t="s">
        <v>2048</v>
      </c>
      <c r="F871" s="9" t="s">
        <v>6347</v>
      </c>
      <c r="G871" s="9" t="s">
        <v>6348</v>
      </c>
      <c r="H871" s="9" t="s">
        <v>2656</v>
      </c>
      <c r="I871" s="11" t="n">
        <v>28</v>
      </c>
      <c r="J871" s="11" t="n">
        <v>30.9</v>
      </c>
      <c r="K871" s="11"/>
      <c r="L871" s="11"/>
      <c r="M871" s="11" t="n">
        <f aca="false">IF(ISNUMBER(L871),L871,J871)</f>
        <v>30.9</v>
      </c>
      <c r="N871" s="11" t="n">
        <f aca="false">ROUNDUP(M871,0)</f>
        <v>31</v>
      </c>
      <c r="O871" s="11" t="n">
        <f aca="false">MAX(I871,N871)</f>
        <v>31</v>
      </c>
      <c r="P871" s="11" t="n">
        <f aca="false">IF(C871="COVERED",MAX(0,O871-40),0)</f>
        <v>0</v>
      </c>
      <c r="Q871" s="11" t="n">
        <f aca="false">O871</f>
        <v>31</v>
      </c>
      <c r="R871" s="17" t="n">
        <f aca="false">IF(C871="COVERED",10.4,7.55)</f>
        <v>10.4</v>
      </c>
      <c r="S871" s="17" t="n">
        <f aca="false">Q871*R871</f>
        <v>322.4</v>
      </c>
      <c r="T871" s="9" t="s">
        <v>6349</v>
      </c>
      <c r="U871" s="10" t="n">
        <v>46235</v>
      </c>
      <c r="V871" s="9" t="n">
        <v>31</v>
      </c>
      <c r="W871" s="17" t="n">
        <v>10.4</v>
      </c>
      <c r="X871" s="17" t="n">
        <v>322.4</v>
      </c>
      <c r="Y871" s="17" t="n">
        <f aca="false">IF(ISNUMBER(X871),X871-S871,"")</f>
        <v>0</v>
      </c>
      <c r="Z871" s="17" t="n">
        <f aca="false">IF(ISNUMBER(X871),X871-S871,-S871)</f>
        <v>0</v>
      </c>
      <c r="AA871" s="9" t="str">
        <f aca="false">IF(NOT(ISNUMBER(X871)),"NO AUGUST POSTING IN EXPORT",IF(ABS(Y871)&gt;=0.005,"POSTED CHARGE MISMATCH",IF(P871&gt;0,"MATCH - COVERED ELIGIBILITY EXCEPTION","MATCH")))</f>
        <v>MATCH</v>
      </c>
      <c r="AB871" s="9" t="s">
        <v>6350</v>
      </c>
    </row>
    <row r="872" customFormat="false" ht="15" hidden="false" customHeight="false" outlineLevel="0" collapsed="false">
      <c r="A872" s="13" t="s">
        <v>6351</v>
      </c>
      <c r="B872" s="13" t="s">
        <v>135</v>
      </c>
      <c r="C872" s="13" t="s">
        <v>114</v>
      </c>
      <c r="D872" s="13" t="s">
        <v>2002</v>
      </c>
      <c r="E872" s="13" t="s">
        <v>2054</v>
      </c>
      <c r="F872" s="13" t="s">
        <v>6352</v>
      </c>
      <c r="G872" s="13" t="s">
        <v>4149</v>
      </c>
      <c r="H872" s="13" t="s">
        <v>4230</v>
      </c>
      <c r="I872" s="15" t="n">
        <v>24</v>
      </c>
      <c r="J872" s="15" t="n">
        <v>52</v>
      </c>
      <c r="K872" s="15"/>
      <c r="L872" s="15"/>
      <c r="M872" s="15" t="n">
        <f aca="false">IF(ISNUMBER(L872),L872,J872)</f>
        <v>52</v>
      </c>
      <c r="N872" s="15" t="n">
        <f aca="false">ROUNDUP(M872,0)</f>
        <v>52</v>
      </c>
      <c r="O872" s="15" t="n">
        <f aca="false">MAX(I872,N872)</f>
        <v>52</v>
      </c>
      <c r="P872" s="15" t="n">
        <f aca="false">IF(C872="COVERED",MAX(0,O872-40),0)</f>
        <v>12</v>
      </c>
      <c r="Q872" s="15" t="n">
        <f aca="false">O872</f>
        <v>52</v>
      </c>
      <c r="R872" s="18" t="n">
        <f aca="false">IF(C872="COVERED",10.4,7.55)</f>
        <v>10.4</v>
      </c>
      <c r="S872" s="18" t="n">
        <f aca="false">Q872*R872</f>
        <v>540.8</v>
      </c>
      <c r="T872" s="13" t="s">
        <v>6353</v>
      </c>
      <c r="U872" s="14" t="n">
        <v>46235</v>
      </c>
      <c r="V872" s="13" t="n">
        <v>52</v>
      </c>
      <c r="W872" s="18" t="n">
        <v>10.4</v>
      </c>
      <c r="X872" s="18" t="n">
        <v>540.8</v>
      </c>
      <c r="Y872" s="18" t="n">
        <f aca="false">IF(ISNUMBER(X872),X872-S872,"")</f>
        <v>0</v>
      </c>
      <c r="Z872" s="18" t="n">
        <f aca="false">IF(ISNUMBER(X872),X872-S872,-S872)</f>
        <v>0</v>
      </c>
      <c r="AA872" s="13" t="str">
        <f aca="false">IF(NOT(ISNUMBER(X872)),"NO AUGUST POSTING IN EXPORT",IF(ABS(Y872)&gt;=0.005,"POSTED CHARGE MISMATCH",IF(P872&gt;0,"MATCH - COVERED ELIGIBILITY EXCEPTION","MATCH")))</f>
        <v>MATCH - COVERED ELIGIBILITY EXCEPTION</v>
      </c>
      <c r="AB872" s="13" t="s">
        <v>6354</v>
      </c>
    </row>
    <row r="873" customFormat="false" ht="15" hidden="false" customHeight="false" outlineLevel="0" collapsed="false">
      <c r="A873" s="9" t="s">
        <v>6355</v>
      </c>
      <c r="B873" s="9" t="s">
        <v>135</v>
      </c>
      <c r="C873" s="9" t="s">
        <v>114</v>
      </c>
      <c r="D873" s="9" t="s">
        <v>2002</v>
      </c>
      <c r="E873" s="9" t="s">
        <v>2060</v>
      </c>
      <c r="F873" s="9" t="s">
        <v>6356</v>
      </c>
      <c r="G873" s="9" t="s">
        <v>6357</v>
      </c>
      <c r="H873" s="9" t="s">
        <v>3736</v>
      </c>
      <c r="I873" s="11" t="n">
        <v>32</v>
      </c>
      <c r="J873" s="11" t="n">
        <v>39</v>
      </c>
      <c r="K873" s="11"/>
      <c r="L873" s="11"/>
      <c r="M873" s="11" t="n">
        <f aca="false">IF(ISNUMBER(L873),L873,J873)</f>
        <v>39</v>
      </c>
      <c r="N873" s="11" t="n">
        <f aca="false">ROUNDUP(M873,0)</f>
        <v>39</v>
      </c>
      <c r="O873" s="11" t="n">
        <f aca="false">MAX(I873,N873)</f>
        <v>39</v>
      </c>
      <c r="P873" s="11" t="n">
        <f aca="false">IF(C873="COVERED",MAX(0,O873-40),0)</f>
        <v>0</v>
      </c>
      <c r="Q873" s="11" t="n">
        <f aca="false">O873</f>
        <v>39</v>
      </c>
      <c r="R873" s="17" t="n">
        <f aca="false">IF(C873="COVERED",10.4,7.55)</f>
        <v>10.4</v>
      </c>
      <c r="S873" s="17" t="n">
        <f aca="false">Q873*R873</f>
        <v>405.6</v>
      </c>
      <c r="T873" s="9" t="s">
        <v>6358</v>
      </c>
      <c r="U873" s="10" t="n">
        <v>46235</v>
      </c>
      <c r="V873" s="9" t="n">
        <v>39</v>
      </c>
      <c r="W873" s="17" t="n">
        <v>10.4</v>
      </c>
      <c r="X873" s="17" t="n">
        <v>405.6</v>
      </c>
      <c r="Y873" s="17" t="n">
        <f aca="false">IF(ISNUMBER(X873),X873-S873,"")</f>
        <v>0</v>
      </c>
      <c r="Z873" s="17" t="n">
        <f aca="false">IF(ISNUMBER(X873),X873-S873,-S873)</f>
        <v>0</v>
      </c>
      <c r="AA873" s="9" t="str">
        <f aca="false">IF(NOT(ISNUMBER(X873)),"NO AUGUST POSTING IN EXPORT",IF(ABS(Y873)&gt;=0.005,"POSTED CHARGE MISMATCH",IF(P873&gt;0,"MATCH - COVERED ELIGIBILITY EXCEPTION","MATCH")))</f>
        <v>MATCH</v>
      </c>
      <c r="AB873" s="9" t="s">
        <v>6359</v>
      </c>
    </row>
    <row r="874" customFormat="false" ht="15" hidden="false" customHeight="false" outlineLevel="0" collapsed="false">
      <c r="A874" s="13" t="s">
        <v>6360</v>
      </c>
      <c r="B874" s="13" t="s">
        <v>135</v>
      </c>
      <c r="C874" s="13" t="s">
        <v>114</v>
      </c>
      <c r="D874" s="13" t="s">
        <v>2002</v>
      </c>
      <c r="E874" s="13" t="s">
        <v>2065</v>
      </c>
      <c r="F874" s="13" t="s">
        <v>6361</v>
      </c>
      <c r="G874" s="13" t="s">
        <v>6362</v>
      </c>
      <c r="H874" s="13" t="s">
        <v>4122</v>
      </c>
      <c r="I874" s="15" t="n">
        <v>36</v>
      </c>
      <c r="J874" s="15" t="n">
        <v>53</v>
      </c>
      <c r="K874" s="15"/>
      <c r="L874" s="15"/>
      <c r="M874" s="15" t="n">
        <f aca="false">IF(ISNUMBER(L874),L874,J874)</f>
        <v>53</v>
      </c>
      <c r="N874" s="15" t="n">
        <f aca="false">ROUNDUP(M874,0)</f>
        <v>53</v>
      </c>
      <c r="O874" s="15" t="n">
        <f aca="false">MAX(I874,N874)</f>
        <v>53</v>
      </c>
      <c r="P874" s="15" t="n">
        <f aca="false">IF(C874="COVERED",MAX(0,O874-40),0)</f>
        <v>13</v>
      </c>
      <c r="Q874" s="15" t="n">
        <f aca="false">O874</f>
        <v>53</v>
      </c>
      <c r="R874" s="18" t="n">
        <f aca="false">IF(C874="COVERED",10.4,7.55)</f>
        <v>10.4</v>
      </c>
      <c r="S874" s="18" t="n">
        <f aca="false">Q874*R874</f>
        <v>551.2</v>
      </c>
      <c r="T874" s="13" t="s">
        <v>6363</v>
      </c>
      <c r="U874" s="14" t="n">
        <v>46235</v>
      </c>
      <c r="V874" s="13" t="n">
        <v>53</v>
      </c>
      <c r="W874" s="18" t="n">
        <v>10.4</v>
      </c>
      <c r="X874" s="18" t="n">
        <v>551.2</v>
      </c>
      <c r="Y874" s="18" t="n">
        <f aca="false">IF(ISNUMBER(X874),X874-S874,"")</f>
        <v>0</v>
      </c>
      <c r="Z874" s="18" t="n">
        <f aca="false">IF(ISNUMBER(X874),X874-S874,-S874)</f>
        <v>0</v>
      </c>
      <c r="AA874" s="13" t="str">
        <f aca="false">IF(NOT(ISNUMBER(X874)),"NO AUGUST POSTING IN EXPORT",IF(ABS(Y874)&gt;=0.005,"POSTED CHARGE MISMATCH",IF(P874&gt;0,"MATCH - COVERED ELIGIBILITY EXCEPTION","MATCH")))</f>
        <v>MATCH - COVERED ELIGIBILITY EXCEPTION</v>
      </c>
      <c r="AB874" s="13" t="s">
        <v>6364</v>
      </c>
    </row>
    <row r="875" customFormat="false" ht="15" hidden="false" customHeight="false" outlineLevel="0" collapsed="false">
      <c r="A875" s="9" t="s">
        <v>333</v>
      </c>
      <c r="B875" s="9" t="s">
        <v>135</v>
      </c>
      <c r="C875" s="9" t="s">
        <v>114</v>
      </c>
      <c r="D875" s="9" t="s">
        <v>2002</v>
      </c>
      <c r="E875" s="9" t="s">
        <v>2072</v>
      </c>
      <c r="F875" s="9" t="s">
        <v>6365</v>
      </c>
      <c r="G875" s="9" t="s">
        <v>6366</v>
      </c>
      <c r="H875" s="9" t="s">
        <v>4915</v>
      </c>
      <c r="I875" s="11" t="n">
        <v>28</v>
      </c>
      <c r="J875" s="11" t="n">
        <v>24.8</v>
      </c>
      <c r="K875" s="11"/>
      <c r="L875" s="11"/>
      <c r="M875" s="11" t="n">
        <f aca="false">IF(ISNUMBER(L875),L875,J875)</f>
        <v>24.8</v>
      </c>
      <c r="N875" s="11" t="n">
        <f aca="false">ROUNDUP(M875,0)</f>
        <v>25</v>
      </c>
      <c r="O875" s="11" t="n">
        <f aca="false">MAX(I875,N875)</f>
        <v>28</v>
      </c>
      <c r="P875" s="11" t="n">
        <f aca="false">IF(C875="COVERED",MAX(0,O875-40),0)</f>
        <v>0</v>
      </c>
      <c r="Q875" s="11" t="n">
        <f aca="false">O875</f>
        <v>28</v>
      </c>
      <c r="R875" s="17" t="n">
        <f aca="false">IF(C875="COVERED",10.4,7.55)</f>
        <v>10.4</v>
      </c>
      <c r="S875" s="17" t="n">
        <f aca="false">Q875*R875</f>
        <v>291.2</v>
      </c>
      <c r="T875" s="9" t="s">
        <v>6367</v>
      </c>
      <c r="U875" s="10" t="n">
        <v>46235</v>
      </c>
      <c r="V875" s="9" t="n">
        <v>28</v>
      </c>
      <c r="W875" s="17" t="n">
        <v>10.4</v>
      </c>
      <c r="X875" s="17" t="n">
        <v>291.2</v>
      </c>
      <c r="Y875" s="17" t="n">
        <f aca="false">IF(ISNUMBER(X875),X875-S875,"")</f>
        <v>0</v>
      </c>
      <c r="Z875" s="17" t="n">
        <f aca="false">IF(ISNUMBER(X875),X875-S875,-S875)</f>
        <v>0</v>
      </c>
      <c r="AA875" s="9" t="str">
        <f aca="false">IF(NOT(ISNUMBER(X875)),"NO AUGUST POSTING IN EXPORT",IF(ABS(Y875)&gt;=0.005,"POSTED CHARGE MISMATCH",IF(P875&gt;0,"MATCH - COVERED ELIGIBILITY EXCEPTION","MATCH")))</f>
        <v>MATCH</v>
      </c>
      <c r="AB875" s="9" t="s">
        <v>6368</v>
      </c>
    </row>
    <row r="876" customFormat="false" ht="15" hidden="false" customHeight="false" outlineLevel="0" collapsed="false">
      <c r="A876" s="13" t="s">
        <v>6369</v>
      </c>
      <c r="B876" s="13" t="s">
        <v>135</v>
      </c>
      <c r="C876" s="13" t="s">
        <v>114</v>
      </c>
      <c r="D876" s="13" t="s">
        <v>2002</v>
      </c>
      <c r="E876" s="13" t="s">
        <v>2079</v>
      </c>
      <c r="F876" s="13" t="s">
        <v>6370</v>
      </c>
      <c r="G876" s="13" t="s">
        <v>6371</v>
      </c>
      <c r="H876" s="13" t="s">
        <v>3344</v>
      </c>
      <c r="I876" s="15" t="n">
        <v>28</v>
      </c>
      <c r="J876" s="15" t="n">
        <v>40.2</v>
      </c>
      <c r="K876" s="15"/>
      <c r="L876" s="15"/>
      <c r="M876" s="15" t="n">
        <f aca="false">IF(ISNUMBER(L876),L876,J876)</f>
        <v>40.2</v>
      </c>
      <c r="N876" s="15" t="n">
        <f aca="false">ROUNDUP(M876,0)</f>
        <v>41</v>
      </c>
      <c r="O876" s="15" t="n">
        <f aca="false">MAX(I876,N876)</f>
        <v>41</v>
      </c>
      <c r="P876" s="15" t="n">
        <f aca="false">IF(C876="COVERED",MAX(0,O876-40),0)</f>
        <v>1</v>
      </c>
      <c r="Q876" s="15" t="n">
        <f aca="false">O876</f>
        <v>41</v>
      </c>
      <c r="R876" s="18" t="n">
        <f aca="false">IF(C876="COVERED",10.4,7.55)</f>
        <v>10.4</v>
      </c>
      <c r="S876" s="18" t="n">
        <f aca="false">Q876*R876</f>
        <v>426.4</v>
      </c>
      <c r="T876" s="13" t="s">
        <v>6372</v>
      </c>
      <c r="U876" s="14" t="n">
        <v>46235</v>
      </c>
      <c r="V876" s="13" t="n">
        <v>41</v>
      </c>
      <c r="W876" s="18" t="n">
        <v>10.4</v>
      </c>
      <c r="X876" s="18" t="n">
        <v>426.4</v>
      </c>
      <c r="Y876" s="18" t="n">
        <f aca="false">IF(ISNUMBER(X876),X876-S876,"")</f>
        <v>0</v>
      </c>
      <c r="Z876" s="18" t="n">
        <f aca="false">IF(ISNUMBER(X876),X876-S876,-S876)</f>
        <v>0</v>
      </c>
      <c r="AA876" s="13" t="str">
        <f aca="false">IF(NOT(ISNUMBER(X876)),"NO AUGUST POSTING IN EXPORT",IF(ABS(Y876)&gt;=0.005,"POSTED CHARGE MISMATCH",IF(P876&gt;0,"MATCH - COVERED ELIGIBILITY EXCEPTION","MATCH")))</f>
        <v>MATCH - COVERED ELIGIBILITY EXCEPTION</v>
      </c>
      <c r="AB876" s="13" t="s">
        <v>6373</v>
      </c>
    </row>
    <row r="877" customFormat="false" ht="15" hidden="false" customHeight="false" outlineLevel="0" collapsed="false">
      <c r="A877" s="9" t="s">
        <v>6374</v>
      </c>
      <c r="B877" s="9" t="s">
        <v>135</v>
      </c>
      <c r="C877" s="9" t="s">
        <v>114</v>
      </c>
      <c r="D877" s="9" t="s">
        <v>2002</v>
      </c>
      <c r="E877" s="9" t="s">
        <v>2086</v>
      </c>
      <c r="F877" s="9" t="s">
        <v>6375</v>
      </c>
      <c r="G877" s="9" t="s">
        <v>6376</v>
      </c>
      <c r="H877" s="9" t="s">
        <v>4126</v>
      </c>
      <c r="I877" s="11" t="n">
        <v>24</v>
      </c>
      <c r="J877" s="11" t="n">
        <v>32</v>
      </c>
      <c r="K877" s="11"/>
      <c r="L877" s="11"/>
      <c r="M877" s="11" t="n">
        <f aca="false">IF(ISNUMBER(L877),L877,J877)</f>
        <v>32</v>
      </c>
      <c r="N877" s="11" t="n">
        <f aca="false">ROUNDUP(M877,0)</f>
        <v>32</v>
      </c>
      <c r="O877" s="11" t="n">
        <f aca="false">MAX(I877,N877)</f>
        <v>32</v>
      </c>
      <c r="P877" s="11" t="n">
        <f aca="false">IF(C877="COVERED",MAX(0,O877-40),0)</f>
        <v>0</v>
      </c>
      <c r="Q877" s="11" t="n">
        <f aca="false">O877</f>
        <v>32</v>
      </c>
      <c r="R877" s="17" t="n">
        <f aca="false">IF(C877="COVERED",10.4,7.55)</f>
        <v>10.4</v>
      </c>
      <c r="S877" s="17" t="n">
        <f aca="false">Q877*R877</f>
        <v>332.8</v>
      </c>
      <c r="T877" s="9" t="s">
        <v>6377</v>
      </c>
      <c r="U877" s="10" t="n">
        <v>46235</v>
      </c>
      <c r="V877" s="9" t="n">
        <v>32</v>
      </c>
      <c r="W877" s="17" t="n">
        <v>10.4</v>
      </c>
      <c r="X877" s="17" t="n">
        <v>332.8</v>
      </c>
      <c r="Y877" s="17" t="n">
        <f aca="false">IF(ISNUMBER(X877),X877-S877,"")</f>
        <v>0</v>
      </c>
      <c r="Z877" s="17" t="n">
        <f aca="false">IF(ISNUMBER(X877),X877-S877,-S877)</f>
        <v>0</v>
      </c>
      <c r="AA877" s="9" t="str">
        <f aca="false">IF(NOT(ISNUMBER(X877)),"NO AUGUST POSTING IN EXPORT",IF(ABS(Y877)&gt;=0.005,"POSTED CHARGE MISMATCH",IF(P877&gt;0,"MATCH - COVERED ELIGIBILITY EXCEPTION","MATCH")))</f>
        <v>MATCH</v>
      </c>
      <c r="AB877" s="9" t="s">
        <v>6378</v>
      </c>
    </row>
    <row r="878" customFormat="false" ht="15" hidden="false" customHeight="false" outlineLevel="0" collapsed="false">
      <c r="A878" s="13" t="s">
        <v>6379</v>
      </c>
      <c r="B878" s="13" t="s">
        <v>135</v>
      </c>
      <c r="C878" s="13" t="s">
        <v>114</v>
      </c>
      <c r="D878" s="13" t="s">
        <v>2002</v>
      </c>
      <c r="E878" s="13" t="s">
        <v>2093</v>
      </c>
      <c r="F878" s="13" t="s">
        <v>6380</v>
      </c>
      <c r="G878" s="13" t="s">
        <v>6381</v>
      </c>
      <c r="H878" s="13" t="s">
        <v>6194</v>
      </c>
      <c r="I878" s="15" t="n">
        <v>36</v>
      </c>
      <c r="J878" s="15" t="n">
        <v>54.6</v>
      </c>
      <c r="K878" s="15"/>
      <c r="L878" s="15"/>
      <c r="M878" s="15" t="n">
        <f aca="false">IF(ISNUMBER(L878),L878,J878)</f>
        <v>54.6</v>
      </c>
      <c r="N878" s="15" t="n">
        <f aca="false">ROUNDUP(M878,0)</f>
        <v>55</v>
      </c>
      <c r="O878" s="15" t="n">
        <f aca="false">MAX(I878,N878)</f>
        <v>55</v>
      </c>
      <c r="P878" s="15" t="n">
        <f aca="false">IF(C878="COVERED",MAX(0,O878-40),0)</f>
        <v>15</v>
      </c>
      <c r="Q878" s="15" t="n">
        <f aca="false">O878</f>
        <v>55</v>
      </c>
      <c r="R878" s="18" t="n">
        <f aca="false">IF(C878="COVERED",10.4,7.55)</f>
        <v>10.4</v>
      </c>
      <c r="S878" s="18" t="n">
        <f aca="false">Q878*R878</f>
        <v>572</v>
      </c>
      <c r="T878" s="13" t="s">
        <v>6382</v>
      </c>
      <c r="U878" s="14" t="n">
        <v>46235</v>
      </c>
      <c r="V878" s="13" t="n">
        <v>55</v>
      </c>
      <c r="W878" s="18" t="n">
        <v>10.4</v>
      </c>
      <c r="X878" s="18" t="n">
        <v>572</v>
      </c>
      <c r="Y878" s="18" t="n">
        <f aca="false">IF(ISNUMBER(X878),X878-S878,"")</f>
        <v>0</v>
      </c>
      <c r="Z878" s="18" t="n">
        <f aca="false">IF(ISNUMBER(X878),X878-S878,-S878)</f>
        <v>0</v>
      </c>
      <c r="AA878" s="13" t="str">
        <f aca="false">IF(NOT(ISNUMBER(X878)),"NO AUGUST POSTING IN EXPORT",IF(ABS(Y878)&gt;=0.005,"POSTED CHARGE MISMATCH",IF(P878&gt;0,"MATCH - COVERED ELIGIBILITY EXCEPTION","MATCH")))</f>
        <v>MATCH - COVERED ELIGIBILITY EXCEPTION</v>
      </c>
      <c r="AB878" s="13" t="s">
        <v>6383</v>
      </c>
    </row>
    <row r="879" customFormat="false" ht="15" hidden="false" customHeight="false" outlineLevel="0" collapsed="false">
      <c r="A879" s="9" t="s">
        <v>6384</v>
      </c>
      <c r="B879" s="9" t="s">
        <v>135</v>
      </c>
      <c r="C879" s="9" t="s">
        <v>114</v>
      </c>
      <c r="D879" s="9" t="s">
        <v>2002</v>
      </c>
      <c r="E879" s="9" t="s">
        <v>3461</v>
      </c>
      <c r="F879" s="9" t="s">
        <v>6385</v>
      </c>
      <c r="G879" s="9" t="s">
        <v>6386</v>
      </c>
      <c r="H879" s="9" t="s">
        <v>2303</v>
      </c>
      <c r="I879" s="11" t="n">
        <v>32</v>
      </c>
      <c r="J879" s="11" t="n">
        <v>53.2</v>
      </c>
      <c r="K879" s="11"/>
      <c r="L879" s="11"/>
      <c r="M879" s="11" t="n">
        <f aca="false">IF(ISNUMBER(L879),L879,J879)</f>
        <v>53.2</v>
      </c>
      <c r="N879" s="11" t="n">
        <f aca="false">ROUNDUP(M879,0)</f>
        <v>54</v>
      </c>
      <c r="O879" s="11" t="n">
        <f aca="false">MAX(I879,N879)</f>
        <v>54</v>
      </c>
      <c r="P879" s="11" t="n">
        <f aca="false">IF(C879="COVERED",MAX(0,O879-40),0)</f>
        <v>14</v>
      </c>
      <c r="Q879" s="11" t="n">
        <f aca="false">O879</f>
        <v>54</v>
      </c>
      <c r="R879" s="17" t="n">
        <f aca="false">IF(C879="COVERED",10.4,7.55)</f>
        <v>10.4</v>
      </c>
      <c r="S879" s="17" t="n">
        <f aca="false">Q879*R879</f>
        <v>561.6</v>
      </c>
      <c r="T879" s="9" t="s">
        <v>6387</v>
      </c>
      <c r="U879" s="10" t="n">
        <v>46235</v>
      </c>
      <c r="V879" s="9" t="n">
        <v>54</v>
      </c>
      <c r="W879" s="17" t="n">
        <v>10.4</v>
      </c>
      <c r="X879" s="17" t="n">
        <v>561.6</v>
      </c>
      <c r="Y879" s="17" t="n">
        <f aca="false">IF(ISNUMBER(X879),X879-S879,"")</f>
        <v>0</v>
      </c>
      <c r="Z879" s="17" t="n">
        <f aca="false">IF(ISNUMBER(X879),X879-S879,-S879)</f>
        <v>0</v>
      </c>
      <c r="AA879" s="9" t="str">
        <f aca="false">IF(NOT(ISNUMBER(X879)),"NO AUGUST POSTING IN EXPORT",IF(ABS(Y879)&gt;=0.005,"POSTED CHARGE MISMATCH",IF(P879&gt;0,"MATCH - COVERED ELIGIBILITY EXCEPTION","MATCH")))</f>
        <v>MATCH - COVERED ELIGIBILITY EXCEPTION</v>
      </c>
      <c r="AB879" s="9" t="s">
        <v>6388</v>
      </c>
    </row>
    <row r="880" customFormat="false" ht="15" hidden="false" customHeight="false" outlineLevel="0" collapsed="false">
      <c r="A880" s="13" t="s">
        <v>659</v>
      </c>
      <c r="B880" s="13" t="s">
        <v>135</v>
      </c>
      <c r="C880" s="13" t="s">
        <v>114</v>
      </c>
      <c r="D880" s="13" t="s">
        <v>2002</v>
      </c>
      <c r="E880" s="13" t="s">
        <v>2099</v>
      </c>
      <c r="F880" s="13" t="s">
        <v>519</v>
      </c>
      <c r="G880" s="13" t="s">
        <v>520</v>
      </c>
      <c r="H880" s="13" t="s">
        <v>2119</v>
      </c>
      <c r="I880" s="15" t="n">
        <v>24</v>
      </c>
      <c r="J880" s="15" t="n">
        <v>44</v>
      </c>
      <c r="K880" s="15"/>
      <c r="L880" s="15"/>
      <c r="M880" s="15" t="n">
        <f aca="false">IF(ISNUMBER(L880),L880,J880)</f>
        <v>44</v>
      </c>
      <c r="N880" s="15" t="n">
        <f aca="false">ROUNDUP(M880,0)</f>
        <v>44</v>
      </c>
      <c r="O880" s="15" t="n">
        <f aca="false">MAX(I880,N880)</f>
        <v>44</v>
      </c>
      <c r="P880" s="15" t="n">
        <f aca="false">IF(C880="COVERED",MAX(0,O880-40),0)</f>
        <v>4</v>
      </c>
      <c r="Q880" s="15" t="n">
        <f aca="false">O880</f>
        <v>44</v>
      </c>
      <c r="R880" s="18" t="n">
        <f aca="false">IF(C880="COVERED",10.4,7.55)</f>
        <v>10.4</v>
      </c>
      <c r="S880" s="18" t="n">
        <f aca="false">Q880*R880</f>
        <v>457.6</v>
      </c>
      <c r="T880" s="13" t="s">
        <v>6389</v>
      </c>
      <c r="U880" s="14" t="n">
        <v>46235</v>
      </c>
      <c r="V880" s="13" t="n">
        <v>44</v>
      </c>
      <c r="W880" s="18" t="n">
        <v>10.4</v>
      </c>
      <c r="X880" s="18" t="n">
        <v>457.6</v>
      </c>
      <c r="Y880" s="18" t="n">
        <f aca="false">IF(ISNUMBER(X880),X880-S880,"")</f>
        <v>0</v>
      </c>
      <c r="Z880" s="18" t="n">
        <f aca="false">IF(ISNUMBER(X880),X880-S880,-S880)</f>
        <v>0</v>
      </c>
      <c r="AA880" s="13" t="str">
        <f aca="false">IF(NOT(ISNUMBER(X880)),"NO AUGUST POSTING IN EXPORT",IF(ABS(Y880)&gt;=0.005,"POSTED CHARGE MISMATCH",IF(P880&gt;0,"MATCH - COVERED ELIGIBILITY EXCEPTION","MATCH")))</f>
        <v>MATCH - COVERED ELIGIBILITY EXCEPTION</v>
      </c>
      <c r="AB880" s="13" t="s">
        <v>6390</v>
      </c>
    </row>
    <row r="881" customFormat="false" ht="15" hidden="false" customHeight="false" outlineLevel="0" collapsed="false">
      <c r="A881" s="9" t="s">
        <v>6391</v>
      </c>
      <c r="B881" s="9" t="s">
        <v>135</v>
      </c>
      <c r="C881" s="9" t="s">
        <v>114</v>
      </c>
      <c r="D881" s="9" t="s">
        <v>2002</v>
      </c>
      <c r="E881" s="9" t="s">
        <v>2104</v>
      </c>
      <c r="F881" s="9" t="s">
        <v>6392</v>
      </c>
      <c r="G881" s="9" t="s">
        <v>6393</v>
      </c>
      <c r="H881" s="9" t="s">
        <v>4122</v>
      </c>
      <c r="I881" s="11" t="n">
        <v>32</v>
      </c>
      <c r="J881" s="11" t="n">
        <v>61.3</v>
      </c>
      <c r="K881" s="11"/>
      <c r="L881" s="11"/>
      <c r="M881" s="11" t="n">
        <f aca="false">IF(ISNUMBER(L881),L881,J881)</f>
        <v>61.3</v>
      </c>
      <c r="N881" s="11" t="n">
        <f aca="false">ROUNDUP(M881,0)</f>
        <v>62</v>
      </c>
      <c r="O881" s="11" t="n">
        <f aca="false">MAX(I881,N881)</f>
        <v>62</v>
      </c>
      <c r="P881" s="11" t="n">
        <f aca="false">IF(C881="COVERED",MAX(0,O881-40),0)</f>
        <v>22</v>
      </c>
      <c r="Q881" s="11" t="n">
        <f aca="false">O881</f>
        <v>62</v>
      </c>
      <c r="R881" s="17" t="n">
        <f aca="false">IF(C881="COVERED",10.4,7.55)</f>
        <v>10.4</v>
      </c>
      <c r="S881" s="17" t="n">
        <f aca="false">Q881*R881</f>
        <v>644.8</v>
      </c>
      <c r="T881" s="9" t="s">
        <v>6394</v>
      </c>
      <c r="U881" s="10" t="n">
        <v>46235</v>
      </c>
      <c r="V881" s="9" t="n">
        <v>62</v>
      </c>
      <c r="W881" s="17" t="n">
        <v>10.4</v>
      </c>
      <c r="X881" s="17" t="n">
        <v>644.8</v>
      </c>
      <c r="Y881" s="17" t="n">
        <f aca="false">IF(ISNUMBER(X881),X881-S881,"")</f>
        <v>0</v>
      </c>
      <c r="Z881" s="17" t="n">
        <f aca="false">IF(ISNUMBER(X881),X881-S881,-S881)</f>
        <v>0</v>
      </c>
      <c r="AA881" s="9" t="str">
        <f aca="false">IF(NOT(ISNUMBER(X881)),"NO AUGUST POSTING IN EXPORT",IF(ABS(Y881)&gt;=0.005,"POSTED CHARGE MISMATCH",IF(P881&gt;0,"MATCH - COVERED ELIGIBILITY EXCEPTION","MATCH")))</f>
        <v>MATCH - COVERED ELIGIBILITY EXCEPTION</v>
      </c>
      <c r="AB881" s="9" t="s">
        <v>6395</v>
      </c>
    </row>
    <row r="882" customFormat="false" ht="15" hidden="false" customHeight="false" outlineLevel="0" collapsed="false">
      <c r="A882" s="13" t="s">
        <v>6396</v>
      </c>
      <c r="B882" s="13" t="s">
        <v>135</v>
      </c>
      <c r="C882" s="13" t="s">
        <v>114</v>
      </c>
      <c r="D882" s="13" t="s">
        <v>2002</v>
      </c>
      <c r="E882" s="13" t="s">
        <v>2109</v>
      </c>
      <c r="F882" s="13" t="s">
        <v>6397</v>
      </c>
      <c r="G882" s="13" t="s">
        <v>6398</v>
      </c>
      <c r="H882" s="13" t="s">
        <v>2203</v>
      </c>
      <c r="I882" s="15" t="n">
        <v>28</v>
      </c>
      <c r="J882" s="15" t="n">
        <v>47.6</v>
      </c>
      <c r="K882" s="15"/>
      <c r="L882" s="15"/>
      <c r="M882" s="15" t="n">
        <f aca="false">IF(ISNUMBER(L882),L882,J882)</f>
        <v>47.6</v>
      </c>
      <c r="N882" s="15" t="n">
        <f aca="false">ROUNDUP(M882,0)</f>
        <v>48</v>
      </c>
      <c r="O882" s="15" t="n">
        <f aca="false">MAX(I882,N882)</f>
        <v>48</v>
      </c>
      <c r="P882" s="15" t="n">
        <f aca="false">IF(C882="COVERED",MAX(0,O882-40),0)</f>
        <v>8</v>
      </c>
      <c r="Q882" s="15" t="n">
        <f aca="false">O882</f>
        <v>48</v>
      </c>
      <c r="R882" s="18" t="n">
        <f aca="false">IF(C882="COVERED",10.4,7.55)</f>
        <v>10.4</v>
      </c>
      <c r="S882" s="18" t="n">
        <f aca="false">Q882*R882</f>
        <v>499.2</v>
      </c>
      <c r="T882" s="13" t="s">
        <v>6399</v>
      </c>
      <c r="U882" s="14" t="n">
        <v>46235</v>
      </c>
      <c r="V882" s="13" t="n">
        <v>48</v>
      </c>
      <c r="W882" s="18" t="n">
        <v>10.4</v>
      </c>
      <c r="X882" s="18" t="n">
        <v>499.2</v>
      </c>
      <c r="Y882" s="18" t="n">
        <f aca="false">IF(ISNUMBER(X882),X882-S882,"")</f>
        <v>0</v>
      </c>
      <c r="Z882" s="18" t="n">
        <f aca="false">IF(ISNUMBER(X882),X882-S882,-S882)</f>
        <v>0</v>
      </c>
      <c r="AA882" s="13" t="str">
        <f aca="false">IF(NOT(ISNUMBER(X882)),"NO AUGUST POSTING IN EXPORT",IF(ABS(Y882)&gt;=0.005,"POSTED CHARGE MISMATCH",IF(P882&gt;0,"MATCH - COVERED ELIGIBILITY EXCEPTION","MATCH")))</f>
        <v>MATCH - COVERED ELIGIBILITY EXCEPTION</v>
      </c>
      <c r="AB882" s="13" t="s">
        <v>6400</v>
      </c>
    </row>
    <row r="883" customFormat="false" ht="15" hidden="false" customHeight="false" outlineLevel="0" collapsed="false">
      <c r="A883" s="9" t="s">
        <v>6401</v>
      </c>
      <c r="B883" s="9" t="s">
        <v>135</v>
      </c>
      <c r="C883" s="9" t="s">
        <v>114</v>
      </c>
      <c r="D883" s="9" t="s">
        <v>2002</v>
      </c>
      <c r="E883" s="9" t="s">
        <v>2116</v>
      </c>
      <c r="F883" s="9" t="s">
        <v>6402</v>
      </c>
      <c r="G883" s="9" t="s">
        <v>6403</v>
      </c>
      <c r="H883" s="9" t="s">
        <v>6404</v>
      </c>
      <c r="I883" s="11" t="n">
        <v>32</v>
      </c>
      <c r="J883" s="11" t="n">
        <v>56.3</v>
      </c>
      <c r="K883" s="11"/>
      <c r="L883" s="11"/>
      <c r="M883" s="11" t="n">
        <f aca="false">IF(ISNUMBER(L883),L883,J883)</f>
        <v>56.3</v>
      </c>
      <c r="N883" s="11" t="n">
        <f aca="false">ROUNDUP(M883,0)</f>
        <v>57</v>
      </c>
      <c r="O883" s="11" t="n">
        <f aca="false">MAX(I883,N883)</f>
        <v>57</v>
      </c>
      <c r="P883" s="11" t="n">
        <f aca="false">IF(C883="COVERED",MAX(0,O883-40),0)</f>
        <v>17</v>
      </c>
      <c r="Q883" s="11" t="n">
        <f aca="false">O883</f>
        <v>57</v>
      </c>
      <c r="R883" s="17" t="n">
        <f aca="false">IF(C883="COVERED",10.4,7.55)</f>
        <v>10.4</v>
      </c>
      <c r="S883" s="17" t="n">
        <f aca="false">Q883*R883</f>
        <v>592.8</v>
      </c>
      <c r="T883" s="9" t="s">
        <v>6405</v>
      </c>
      <c r="U883" s="10" t="n">
        <v>46235</v>
      </c>
      <c r="V883" s="9" t="n">
        <v>57</v>
      </c>
      <c r="W883" s="17" t="n">
        <v>10.4</v>
      </c>
      <c r="X883" s="17" t="n">
        <v>592.8</v>
      </c>
      <c r="Y883" s="17" t="n">
        <f aca="false">IF(ISNUMBER(X883),X883-S883,"")</f>
        <v>0</v>
      </c>
      <c r="Z883" s="17" t="n">
        <f aca="false">IF(ISNUMBER(X883),X883-S883,-S883)</f>
        <v>0</v>
      </c>
      <c r="AA883" s="9" t="str">
        <f aca="false">IF(NOT(ISNUMBER(X883)),"NO AUGUST POSTING IN EXPORT",IF(ABS(Y883)&gt;=0.005,"POSTED CHARGE MISMATCH",IF(P883&gt;0,"MATCH - COVERED ELIGIBILITY EXCEPTION","MATCH")))</f>
        <v>MATCH - COVERED ELIGIBILITY EXCEPTION</v>
      </c>
      <c r="AB883" s="9" t="s">
        <v>6406</v>
      </c>
    </row>
    <row r="884" customFormat="false" ht="15" hidden="false" customHeight="false" outlineLevel="0" collapsed="false">
      <c r="A884" s="13" t="s">
        <v>6407</v>
      </c>
      <c r="B884" s="13" t="s">
        <v>135</v>
      </c>
      <c r="C884" s="13" t="s">
        <v>114</v>
      </c>
      <c r="D884" s="13" t="s">
        <v>2002</v>
      </c>
      <c r="E884" s="13" t="s">
        <v>2123</v>
      </c>
      <c r="F884" s="13" t="s">
        <v>6408</v>
      </c>
      <c r="G884" s="13" t="s">
        <v>6409</v>
      </c>
      <c r="H884" s="13" t="s">
        <v>6410</v>
      </c>
      <c r="I884" s="15" t="n">
        <v>40</v>
      </c>
      <c r="J884" s="15" t="n">
        <v>31.4</v>
      </c>
      <c r="K884" s="15"/>
      <c r="L884" s="15"/>
      <c r="M884" s="15" t="n">
        <f aca="false">IF(ISNUMBER(L884),L884,J884)</f>
        <v>31.4</v>
      </c>
      <c r="N884" s="15" t="n">
        <f aca="false">ROUNDUP(M884,0)</f>
        <v>32</v>
      </c>
      <c r="O884" s="15" t="n">
        <f aca="false">MAX(I884,N884)</f>
        <v>40</v>
      </c>
      <c r="P884" s="15" t="n">
        <f aca="false">IF(C884="COVERED",MAX(0,O884-40),0)</f>
        <v>0</v>
      </c>
      <c r="Q884" s="15" t="n">
        <f aca="false">O884</f>
        <v>40</v>
      </c>
      <c r="R884" s="18" t="n">
        <f aca="false">IF(C884="COVERED",10.4,7.55)</f>
        <v>10.4</v>
      </c>
      <c r="S884" s="18" t="n">
        <f aca="false">Q884*R884</f>
        <v>416</v>
      </c>
      <c r="T884" s="13" t="s">
        <v>6411</v>
      </c>
      <c r="U884" s="14" t="n">
        <v>46235</v>
      </c>
      <c r="V884" s="13" t="n">
        <v>40</v>
      </c>
      <c r="W884" s="18" t="n">
        <v>10.4</v>
      </c>
      <c r="X884" s="18" t="n">
        <v>416</v>
      </c>
      <c r="Y884" s="18" t="n">
        <f aca="false">IF(ISNUMBER(X884),X884-S884,"")</f>
        <v>0</v>
      </c>
      <c r="Z884" s="18" t="n">
        <f aca="false">IF(ISNUMBER(X884),X884-S884,-S884)</f>
        <v>0</v>
      </c>
      <c r="AA884" s="13" t="str">
        <f aca="false">IF(NOT(ISNUMBER(X884)),"NO AUGUST POSTING IN EXPORT",IF(ABS(Y884)&gt;=0.005,"POSTED CHARGE MISMATCH",IF(P884&gt;0,"MATCH - COVERED ELIGIBILITY EXCEPTION","MATCH")))</f>
        <v>MATCH</v>
      </c>
      <c r="AB884" s="13" t="s">
        <v>6412</v>
      </c>
    </row>
    <row r="885" customFormat="false" ht="15" hidden="false" customHeight="false" outlineLevel="0" collapsed="false">
      <c r="A885" s="9" t="s">
        <v>1524</v>
      </c>
      <c r="B885" s="9" t="s">
        <v>135</v>
      </c>
      <c r="C885" s="9" t="s">
        <v>114</v>
      </c>
      <c r="D885" s="9" t="s">
        <v>2002</v>
      </c>
      <c r="E885" s="9" t="s">
        <v>2128</v>
      </c>
      <c r="F885" s="9" t="s">
        <v>6413</v>
      </c>
      <c r="G885" s="9" t="s">
        <v>6414</v>
      </c>
      <c r="H885" s="9" t="s">
        <v>4895</v>
      </c>
      <c r="I885" s="11" t="n">
        <v>36</v>
      </c>
      <c r="J885" s="11" t="n">
        <v>58.8</v>
      </c>
      <c r="K885" s="11"/>
      <c r="L885" s="11"/>
      <c r="M885" s="11" t="n">
        <f aca="false">IF(ISNUMBER(L885),L885,J885)</f>
        <v>58.8</v>
      </c>
      <c r="N885" s="11" t="n">
        <f aca="false">ROUNDUP(M885,0)</f>
        <v>59</v>
      </c>
      <c r="O885" s="11" t="n">
        <f aca="false">MAX(I885,N885)</f>
        <v>59</v>
      </c>
      <c r="P885" s="11" t="n">
        <f aca="false">IF(C885="COVERED",MAX(0,O885-40),0)</f>
        <v>19</v>
      </c>
      <c r="Q885" s="11" t="n">
        <f aca="false">O885</f>
        <v>59</v>
      </c>
      <c r="R885" s="17" t="n">
        <f aca="false">IF(C885="COVERED",10.4,7.55)</f>
        <v>10.4</v>
      </c>
      <c r="S885" s="17" t="n">
        <f aca="false">Q885*R885</f>
        <v>613.6</v>
      </c>
      <c r="T885" s="9" t="s">
        <v>6415</v>
      </c>
      <c r="U885" s="10" t="n">
        <v>46235</v>
      </c>
      <c r="V885" s="9" t="n">
        <v>59</v>
      </c>
      <c r="W885" s="17" t="n">
        <v>10.4</v>
      </c>
      <c r="X885" s="17" t="n">
        <v>613.6</v>
      </c>
      <c r="Y885" s="17" t="n">
        <f aca="false">IF(ISNUMBER(X885),X885-S885,"")</f>
        <v>0</v>
      </c>
      <c r="Z885" s="17" t="n">
        <f aca="false">IF(ISNUMBER(X885),X885-S885,-S885)</f>
        <v>0</v>
      </c>
      <c r="AA885" s="9" t="str">
        <f aca="false">IF(NOT(ISNUMBER(X885)),"NO AUGUST POSTING IN EXPORT",IF(ABS(Y885)&gt;=0.005,"POSTED CHARGE MISMATCH",IF(P885&gt;0,"MATCH - COVERED ELIGIBILITY EXCEPTION","MATCH")))</f>
        <v>MATCH - COVERED ELIGIBILITY EXCEPTION</v>
      </c>
      <c r="AB885" s="9" t="s">
        <v>6416</v>
      </c>
    </row>
    <row r="886" customFormat="false" ht="15" hidden="false" customHeight="false" outlineLevel="0" collapsed="false">
      <c r="A886" s="13" t="s">
        <v>6417</v>
      </c>
      <c r="B886" s="13" t="s">
        <v>135</v>
      </c>
      <c r="C886" s="13" t="s">
        <v>114</v>
      </c>
      <c r="D886" s="13" t="s">
        <v>2002</v>
      </c>
      <c r="E886" s="13" t="s">
        <v>2134</v>
      </c>
      <c r="F886" s="13" t="s">
        <v>6418</v>
      </c>
      <c r="G886" s="13" t="s">
        <v>6419</v>
      </c>
      <c r="H886" s="13" t="s">
        <v>6420</v>
      </c>
      <c r="I886" s="15" t="n">
        <v>32</v>
      </c>
      <c r="J886" s="15" t="n">
        <v>46.9</v>
      </c>
      <c r="K886" s="15"/>
      <c r="L886" s="15"/>
      <c r="M886" s="15" t="n">
        <f aca="false">IF(ISNUMBER(L886),L886,J886)</f>
        <v>46.9</v>
      </c>
      <c r="N886" s="15" t="n">
        <f aca="false">ROUNDUP(M886,0)</f>
        <v>47</v>
      </c>
      <c r="O886" s="15" t="n">
        <f aca="false">MAX(I886,N886)</f>
        <v>47</v>
      </c>
      <c r="P886" s="15" t="n">
        <f aca="false">IF(C886="COVERED",MAX(0,O886-40),0)</f>
        <v>7</v>
      </c>
      <c r="Q886" s="15" t="n">
        <f aca="false">O886</f>
        <v>47</v>
      </c>
      <c r="R886" s="18" t="n">
        <f aca="false">IF(C886="COVERED",10.4,7.55)</f>
        <v>10.4</v>
      </c>
      <c r="S886" s="18" t="n">
        <f aca="false">Q886*R886</f>
        <v>488.8</v>
      </c>
      <c r="T886" s="13" t="s">
        <v>6421</v>
      </c>
      <c r="U886" s="14" t="n">
        <v>46235</v>
      </c>
      <c r="V886" s="13" t="n">
        <v>47</v>
      </c>
      <c r="W886" s="18" t="n">
        <v>10.4</v>
      </c>
      <c r="X886" s="18" t="n">
        <v>488.8</v>
      </c>
      <c r="Y886" s="18" t="n">
        <f aca="false">IF(ISNUMBER(X886),X886-S886,"")</f>
        <v>0</v>
      </c>
      <c r="Z886" s="18" t="n">
        <f aca="false">IF(ISNUMBER(X886),X886-S886,-S886)</f>
        <v>0</v>
      </c>
      <c r="AA886" s="13" t="str">
        <f aca="false">IF(NOT(ISNUMBER(X886)),"NO AUGUST POSTING IN EXPORT",IF(ABS(Y886)&gt;=0.005,"POSTED CHARGE MISMATCH",IF(P886&gt;0,"MATCH - COVERED ELIGIBILITY EXCEPTION","MATCH")))</f>
        <v>MATCH - COVERED ELIGIBILITY EXCEPTION</v>
      </c>
      <c r="AB886" s="13" t="s">
        <v>6422</v>
      </c>
    </row>
    <row r="887" customFormat="false" ht="15" hidden="false" customHeight="false" outlineLevel="0" collapsed="false">
      <c r="A887" s="9" t="s">
        <v>1601</v>
      </c>
      <c r="B887" s="9" t="s">
        <v>135</v>
      </c>
      <c r="C887" s="9" t="s">
        <v>114</v>
      </c>
      <c r="D887" s="9" t="s">
        <v>2002</v>
      </c>
      <c r="E887" s="9" t="s">
        <v>2141</v>
      </c>
      <c r="F887" s="9" t="s">
        <v>6423</v>
      </c>
      <c r="G887" s="9" t="s">
        <v>6424</v>
      </c>
      <c r="H887" s="9" t="s">
        <v>6042</v>
      </c>
      <c r="I887" s="11" t="n">
        <v>32</v>
      </c>
      <c r="J887" s="11" t="n">
        <v>42.3</v>
      </c>
      <c r="K887" s="11"/>
      <c r="L887" s="11"/>
      <c r="M887" s="11" t="n">
        <f aca="false">IF(ISNUMBER(L887),L887,J887)</f>
        <v>42.3</v>
      </c>
      <c r="N887" s="11" t="n">
        <f aca="false">ROUNDUP(M887,0)</f>
        <v>43</v>
      </c>
      <c r="O887" s="11" t="n">
        <f aca="false">MAX(I887,N887)</f>
        <v>43</v>
      </c>
      <c r="P887" s="11" t="n">
        <f aca="false">IF(C887="COVERED",MAX(0,O887-40),0)</f>
        <v>3</v>
      </c>
      <c r="Q887" s="11" t="n">
        <f aca="false">O887</f>
        <v>43</v>
      </c>
      <c r="R887" s="17" t="n">
        <f aca="false">IF(C887="COVERED",10.4,7.55)</f>
        <v>10.4</v>
      </c>
      <c r="S887" s="17" t="n">
        <f aca="false">Q887*R887</f>
        <v>447.2</v>
      </c>
      <c r="T887" s="9" t="s">
        <v>6425</v>
      </c>
      <c r="U887" s="10" t="n">
        <v>46235</v>
      </c>
      <c r="V887" s="9" t="n">
        <v>43</v>
      </c>
      <c r="W887" s="17" t="n">
        <v>10.4</v>
      </c>
      <c r="X887" s="17" t="n">
        <v>447.2</v>
      </c>
      <c r="Y887" s="17" t="n">
        <f aca="false">IF(ISNUMBER(X887),X887-S887,"")</f>
        <v>0</v>
      </c>
      <c r="Z887" s="17" t="n">
        <f aca="false">IF(ISNUMBER(X887),X887-S887,-S887)</f>
        <v>0</v>
      </c>
      <c r="AA887" s="9" t="str">
        <f aca="false">IF(NOT(ISNUMBER(X887)),"NO AUGUST POSTING IN EXPORT",IF(ABS(Y887)&gt;=0.005,"POSTED CHARGE MISMATCH",IF(P887&gt;0,"MATCH - COVERED ELIGIBILITY EXCEPTION","MATCH")))</f>
        <v>MATCH - COVERED ELIGIBILITY EXCEPTION</v>
      </c>
      <c r="AB887" s="9" t="s">
        <v>6426</v>
      </c>
    </row>
    <row r="888" customFormat="false" ht="15" hidden="false" customHeight="false" outlineLevel="0" collapsed="false">
      <c r="A888" s="13" t="s">
        <v>6427</v>
      </c>
      <c r="B888" s="13" t="s">
        <v>135</v>
      </c>
      <c r="C888" s="13" t="s">
        <v>114</v>
      </c>
      <c r="D888" s="13" t="s">
        <v>2002</v>
      </c>
      <c r="E888" s="13" t="s">
        <v>2148</v>
      </c>
      <c r="F888" s="13" t="s">
        <v>6428</v>
      </c>
      <c r="G888" s="13" t="s">
        <v>6429</v>
      </c>
      <c r="H888" s="13" t="s">
        <v>3229</v>
      </c>
      <c r="I888" s="15" t="n">
        <v>40</v>
      </c>
      <c r="J888" s="15" t="n">
        <v>27.2</v>
      </c>
      <c r="K888" s="15"/>
      <c r="L888" s="15"/>
      <c r="M888" s="15" t="n">
        <f aca="false">IF(ISNUMBER(L888),L888,J888)</f>
        <v>27.2</v>
      </c>
      <c r="N888" s="15" t="n">
        <f aca="false">ROUNDUP(M888,0)</f>
        <v>28</v>
      </c>
      <c r="O888" s="15" t="n">
        <f aca="false">MAX(I888,N888)</f>
        <v>40</v>
      </c>
      <c r="P888" s="15" t="n">
        <f aca="false">IF(C888="COVERED",MAX(0,O888-40),0)</f>
        <v>0</v>
      </c>
      <c r="Q888" s="15" t="n">
        <f aca="false">O888</f>
        <v>40</v>
      </c>
      <c r="R888" s="18" t="n">
        <f aca="false">IF(C888="COVERED",10.4,7.55)</f>
        <v>10.4</v>
      </c>
      <c r="S888" s="18" t="n">
        <f aca="false">Q888*R888</f>
        <v>416</v>
      </c>
      <c r="T888" s="13" t="s">
        <v>6430</v>
      </c>
      <c r="U888" s="14" t="n">
        <v>46235</v>
      </c>
      <c r="V888" s="13" t="n">
        <v>40</v>
      </c>
      <c r="W888" s="18" t="n">
        <v>10.4</v>
      </c>
      <c r="X888" s="18" t="n">
        <v>416</v>
      </c>
      <c r="Y888" s="18" t="n">
        <f aca="false">IF(ISNUMBER(X888),X888-S888,"")</f>
        <v>0</v>
      </c>
      <c r="Z888" s="18" t="n">
        <f aca="false">IF(ISNUMBER(X888),X888-S888,-S888)</f>
        <v>0</v>
      </c>
      <c r="AA888" s="13" t="str">
        <f aca="false">IF(NOT(ISNUMBER(X888)),"NO AUGUST POSTING IN EXPORT",IF(ABS(Y888)&gt;=0.005,"POSTED CHARGE MISMATCH",IF(P888&gt;0,"MATCH - COVERED ELIGIBILITY EXCEPTION","MATCH")))</f>
        <v>MATCH</v>
      </c>
      <c r="AB888" s="13" t="s">
        <v>6431</v>
      </c>
    </row>
    <row r="889" customFormat="false" ht="15" hidden="false" customHeight="false" outlineLevel="0" collapsed="false">
      <c r="A889" s="9" t="s">
        <v>6432</v>
      </c>
      <c r="B889" s="9" t="s">
        <v>135</v>
      </c>
      <c r="C889" s="9" t="s">
        <v>114</v>
      </c>
      <c r="D889" s="9" t="s">
        <v>2002</v>
      </c>
      <c r="E889" s="9" t="s">
        <v>2154</v>
      </c>
      <c r="F889" s="9" t="s">
        <v>6433</v>
      </c>
      <c r="G889" s="9" t="s">
        <v>6434</v>
      </c>
      <c r="H889" s="9" t="s">
        <v>2457</v>
      </c>
      <c r="I889" s="11" t="n">
        <v>32</v>
      </c>
      <c r="J889" s="11" t="n">
        <v>36</v>
      </c>
      <c r="K889" s="11"/>
      <c r="L889" s="11"/>
      <c r="M889" s="11" t="n">
        <f aca="false">IF(ISNUMBER(L889),L889,J889)</f>
        <v>36</v>
      </c>
      <c r="N889" s="11" t="n">
        <f aca="false">ROUNDUP(M889,0)</f>
        <v>36</v>
      </c>
      <c r="O889" s="11" t="n">
        <f aca="false">MAX(I889,N889)</f>
        <v>36</v>
      </c>
      <c r="P889" s="11" t="n">
        <f aca="false">IF(C889="COVERED",MAX(0,O889-40),0)</f>
        <v>0</v>
      </c>
      <c r="Q889" s="11" t="n">
        <f aca="false">O889</f>
        <v>36</v>
      </c>
      <c r="R889" s="17" t="n">
        <f aca="false">IF(C889="COVERED",10.4,7.55)</f>
        <v>10.4</v>
      </c>
      <c r="S889" s="17" t="n">
        <f aca="false">Q889*R889</f>
        <v>374.4</v>
      </c>
      <c r="T889" s="9" t="s">
        <v>6435</v>
      </c>
      <c r="U889" s="10" t="n">
        <v>46235</v>
      </c>
      <c r="V889" s="9" t="n">
        <v>36</v>
      </c>
      <c r="W889" s="17" t="n">
        <v>10.4</v>
      </c>
      <c r="X889" s="17" t="n">
        <v>374.4</v>
      </c>
      <c r="Y889" s="17" t="n">
        <f aca="false">IF(ISNUMBER(X889),X889-S889,"")</f>
        <v>0</v>
      </c>
      <c r="Z889" s="17" t="n">
        <f aca="false">IF(ISNUMBER(X889),X889-S889,-S889)</f>
        <v>0</v>
      </c>
      <c r="AA889" s="9" t="str">
        <f aca="false">IF(NOT(ISNUMBER(X889)),"NO AUGUST POSTING IN EXPORT",IF(ABS(Y889)&gt;=0.005,"POSTED CHARGE MISMATCH",IF(P889&gt;0,"MATCH - COVERED ELIGIBILITY EXCEPTION","MATCH")))</f>
        <v>MATCH</v>
      </c>
      <c r="AB889" s="9" t="s">
        <v>6436</v>
      </c>
    </row>
    <row r="890" customFormat="false" ht="15" hidden="false" customHeight="false" outlineLevel="0" collapsed="false">
      <c r="A890" s="13" t="s">
        <v>6437</v>
      </c>
      <c r="B890" s="13" t="s">
        <v>135</v>
      </c>
      <c r="C890" s="13" t="s">
        <v>114</v>
      </c>
      <c r="D890" s="13" t="s">
        <v>2002</v>
      </c>
      <c r="E890" s="13" t="s">
        <v>2159</v>
      </c>
      <c r="F890" s="13" t="s">
        <v>6438</v>
      </c>
      <c r="G890" s="13" t="s">
        <v>6439</v>
      </c>
      <c r="H890" s="13" t="s">
        <v>3747</v>
      </c>
      <c r="I890" s="15" t="n">
        <v>40</v>
      </c>
      <c r="J890" s="15" t="n">
        <v>41.7</v>
      </c>
      <c r="K890" s="15"/>
      <c r="L890" s="15"/>
      <c r="M890" s="15" t="n">
        <f aca="false">IF(ISNUMBER(L890),L890,J890)</f>
        <v>41.7</v>
      </c>
      <c r="N890" s="15" t="n">
        <f aca="false">ROUNDUP(M890,0)</f>
        <v>42</v>
      </c>
      <c r="O890" s="15" t="n">
        <f aca="false">MAX(I890,N890)</f>
        <v>42</v>
      </c>
      <c r="P890" s="15" t="n">
        <f aca="false">IF(C890="COVERED",MAX(0,O890-40),0)</f>
        <v>2</v>
      </c>
      <c r="Q890" s="15" t="n">
        <f aca="false">O890</f>
        <v>42</v>
      </c>
      <c r="R890" s="18" t="n">
        <f aca="false">IF(C890="COVERED",10.4,7.55)</f>
        <v>10.4</v>
      </c>
      <c r="S890" s="18" t="n">
        <f aca="false">Q890*R890</f>
        <v>436.8</v>
      </c>
      <c r="T890" s="13" t="s">
        <v>6440</v>
      </c>
      <c r="U890" s="14" t="n">
        <v>46235</v>
      </c>
      <c r="V890" s="13" t="n">
        <v>42</v>
      </c>
      <c r="W890" s="18" t="n">
        <v>10.4</v>
      </c>
      <c r="X890" s="18" t="n">
        <v>436.8</v>
      </c>
      <c r="Y890" s="18" t="n">
        <f aca="false">IF(ISNUMBER(X890),X890-S890,"")</f>
        <v>0</v>
      </c>
      <c r="Z890" s="18" t="n">
        <f aca="false">IF(ISNUMBER(X890),X890-S890,-S890)</f>
        <v>0</v>
      </c>
      <c r="AA890" s="13" t="str">
        <f aca="false">IF(NOT(ISNUMBER(X890)),"NO AUGUST POSTING IN EXPORT",IF(ABS(Y890)&gt;=0.005,"POSTED CHARGE MISMATCH",IF(P890&gt;0,"MATCH - COVERED ELIGIBILITY EXCEPTION","MATCH")))</f>
        <v>MATCH - COVERED ELIGIBILITY EXCEPTION</v>
      </c>
      <c r="AB890" s="13" t="s">
        <v>6441</v>
      </c>
    </row>
    <row r="891" customFormat="false" ht="15" hidden="false" customHeight="false" outlineLevel="0" collapsed="false">
      <c r="A891" s="9" t="s">
        <v>366</v>
      </c>
      <c r="B891" s="9" t="s">
        <v>135</v>
      </c>
      <c r="C891" s="9" t="s">
        <v>114</v>
      </c>
      <c r="D891" s="9" t="s">
        <v>2002</v>
      </c>
      <c r="E891" s="9" t="s">
        <v>3516</v>
      </c>
      <c r="F891" s="9" t="s">
        <v>6442</v>
      </c>
      <c r="G891" s="9" t="s">
        <v>6443</v>
      </c>
      <c r="H891" s="9" t="s">
        <v>3807</v>
      </c>
      <c r="I891" s="11" t="n">
        <v>28</v>
      </c>
      <c r="J891" s="11" t="n">
        <v>34.3</v>
      </c>
      <c r="K891" s="11"/>
      <c r="L891" s="11"/>
      <c r="M891" s="11" t="n">
        <f aca="false">IF(ISNUMBER(L891),L891,J891)</f>
        <v>34.3</v>
      </c>
      <c r="N891" s="11" t="n">
        <f aca="false">ROUNDUP(M891,0)</f>
        <v>35</v>
      </c>
      <c r="O891" s="11" t="n">
        <f aca="false">MAX(I891,N891)</f>
        <v>35</v>
      </c>
      <c r="P891" s="11" t="n">
        <f aca="false">IF(C891="COVERED",MAX(0,O891-40),0)</f>
        <v>0</v>
      </c>
      <c r="Q891" s="11" t="n">
        <f aca="false">O891</f>
        <v>35</v>
      </c>
      <c r="R891" s="17" t="n">
        <f aca="false">IF(C891="COVERED",10.4,7.55)</f>
        <v>10.4</v>
      </c>
      <c r="S891" s="17" t="n">
        <f aca="false">Q891*R891</f>
        <v>364</v>
      </c>
      <c r="T891" s="9" t="s">
        <v>6444</v>
      </c>
      <c r="U891" s="10" t="n">
        <v>46235</v>
      </c>
      <c r="V891" s="9" t="n">
        <v>35</v>
      </c>
      <c r="W891" s="17" t="n">
        <v>10.4</v>
      </c>
      <c r="X891" s="17" t="n">
        <v>364</v>
      </c>
      <c r="Y891" s="17" t="n">
        <f aca="false">IF(ISNUMBER(X891),X891-S891,"")</f>
        <v>0</v>
      </c>
      <c r="Z891" s="17" t="n">
        <f aca="false">IF(ISNUMBER(X891),X891-S891,-S891)</f>
        <v>0</v>
      </c>
      <c r="AA891" s="9" t="str">
        <f aca="false">IF(NOT(ISNUMBER(X891)),"NO AUGUST POSTING IN EXPORT",IF(ABS(Y891)&gt;=0.005,"POSTED CHARGE MISMATCH",IF(P891&gt;0,"MATCH - COVERED ELIGIBILITY EXCEPTION","MATCH")))</f>
        <v>MATCH</v>
      </c>
      <c r="AB891" s="9" t="s">
        <v>6445</v>
      </c>
    </row>
    <row r="892" customFormat="false" ht="15" hidden="false" customHeight="false" outlineLevel="0" collapsed="false">
      <c r="A892" s="13" t="s">
        <v>6446</v>
      </c>
      <c r="B892" s="13" t="s">
        <v>135</v>
      </c>
      <c r="C892" s="13" t="s">
        <v>114</v>
      </c>
      <c r="D892" s="13" t="s">
        <v>2002</v>
      </c>
      <c r="E892" s="13" t="s">
        <v>2166</v>
      </c>
      <c r="F892" s="13" t="s">
        <v>6447</v>
      </c>
      <c r="G892" s="13" t="s">
        <v>6448</v>
      </c>
      <c r="H892" s="13" t="s">
        <v>2124</v>
      </c>
      <c r="I892" s="15" t="n">
        <v>28</v>
      </c>
      <c r="J892" s="15" t="n">
        <v>22.5</v>
      </c>
      <c r="K892" s="15"/>
      <c r="L892" s="15"/>
      <c r="M892" s="15" t="n">
        <f aca="false">IF(ISNUMBER(L892),L892,J892)</f>
        <v>22.5</v>
      </c>
      <c r="N892" s="15" t="n">
        <f aca="false">ROUNDUP(M892,0)</f>
        <v>23</v>
      </c>
      <c r="O892" s="15" t="n">
        <f aca="false">MAX(I892,N892)</f>
        <v>28</v>
      </c>
      <c r="P892" s="15" t="n">
        <f aca="false">IF(C892="COVERED",MAX(0,O892-40),0)</f>
        <v>0</v>
      </c>
      <c r="Q892" s="15" t="n">
        <f aca="false">O892</f>
        <v>28</v>
      </c>
      <c r="R892" s="18" t="n">
        <f aca="false">IF(C892="COVERED",10.4,7.55)</f>
        <v>10.4</v>
      </c>
      <c r="S892" s="18" t="n">
        <f aca="false">Q892*R892</f>
        <v>291.2</v>
      </c>
      <c r="T892" s="13" t="s">
        <v>6449</v>
      </c>
      <c r="U892" s="14" t="n">
        <v>46235</v>
      </c>
      <c r="V892" s="13" t="n">
        <v>28</v>
      </c>
      <c r="W892" s="18" t="n">
        <v>10.4</v>
      </c>
      <c r="X892" s="18" t="n">
        <v>291.2</v>
      </c>
      <c r="Y892" s="18" t="n">
        <f aca="false">IF(ISNUMBER(X892),X892-S892,"")</f>
        <v>0</v>
      </c>
      <c r="Z892" s="18" t="n">
        <f aca="false">IF(ISNUMBER(X892),X892-S892,-S892)</f>
        <v>0</v>
      </c>
      <c r="AA892" s="13" t="str">
        <f aca="false">IF(NOT(ISNUMBER(X892)),"NO AUGUST POSTING IN EXPORT",IF(ABS(Y892)&gt;=0.005,"POSTED CHARGE MISMATCH",IF(P892&gt;0,"MATCH - COVERED ELIGIBILITY EXCEPTION","MATCH")))</f>
        <v>MATCH</v>
      </c>
      <c r="AB892" s="13" t="s">
        <v>6450</v>
      </c>
    </row>
    <row r="893" customFormat="false" ht="15" hidden="false" customHeight="false" outlineLevel="0" collapsed="false">
      <c r="A893" s="9" t="s">
        <v>6451</v>
      </c>
      <c r="B893" s="9" t="s">
        <v>135</v>
      </c>
      <c r="C893" s="9" t="s">
        <v>114</v>
      </c>
      <c r="D893" s="9" t="s">
        <v>2002</v>
      </c>
      <c r="E893" s="9" t="s">
        <v>2173</v>
      </c>
      <c r="F893" s="9" t="s">
        <v>6452</v>
      </c>
      <c r="G893" s="9" t="s">
        <v>6453</v>
      </c>
      <c r="H893" s="9" t="s">
        <v>5148</v>
      </c>
      <c r="I893" s="11" t="n">
        <v>24</v>
      </c>
      <c r="J893" s="11" t="n">
        <v>49.1</v>
      </c>
      <c r="K893" s="11"/>
      <c r="L893" s="11"/>
      <c r="M893" s="11" t="n">
        <f aca="false">IF(ISNUMBER(L893),L893,J893)</f>
        <v>49.1</v>
      </c>
      <c r="N893" s="11" t="n">
        <f aca="false">ROUNDUP(M893,0)</f>
        <v>50</v>
      </c>
      <c r="O893" s="11" t="n">
        <f aca="false">MAX(I893,N893)</f>
        <v>50</v>
      </c>
      <c r="P893" s="11" t="n">
        <f aca="false">IF(C893="COVERED",MAX(0,O893-40),0)</f>
        <v>10</v>
      </c>
      <c r="Q893" s="11" t="n">
        <f aca="false">O893</f>
        <v>50</v>
      </c>
      <c r="R893" s="17" t="n">
        <f aca="false">IF(C893="COVERED",10.4,7.55)</f>
        <v>10.4</v>
      </c>
      <c r="S893" s="17" t="n">
        <f aca="false">Q893*R893</f>
        <v>520</v>
      </c>
      <c r="T893" s="9" t="s">
        <v>6454</v>
      </c>
      <c r="U893" s="10" t="n">
        <v>46235</v>
      </c>
      <c r="V893" s="9" t="n">
        <v>50</v>
      </c>
      <c r="W893" s="17" t="n">
        <v>10.4</v>
      </c>
      <c r="X893" s="17" t="n">
        <v>520</v>
      </c>
      <c r="Y893" s="17" t="n">
        <f aca="false">IF(ISNUMBER(X893),X893-S893,"")</f>
        <v>0</v>
      </c>
      <c r="Z893" s="17" t="n">
        <f aca="false">IF(ISNUMBER(X893),X893-S893,-S893)</f>
        <v>0</v>
      </c>
      <c r="AA893" s="9" t="str">
        <f aca="false">IF(NOT(ISNUMBER(X893)),"NO AUGUST POSTING IN EXPORT",IF(ABS(Y893)&gt;=0.005,"POSTED CHARGE MISMATCH",IF(P893&gt;0,"MATCH - COVERED ELIGIBILITY EXCEPTION","MATCH")))</f>
        <v>MATCH - COVERED ELIGIBILITY EXCEPTION</v>
      </c>
      <c r="AB893" s="9" t="s">
        <v>6455</v>
      </c>
    </row>
    <row r="894" customFormat="false" ht="15" hidden="false" customHeight="false" outlineLevel="0" collapsed="false">
      <c r="A894" s="13" t="s">
        <v>6456</v>
      </c>
      <c r="B894" s="13" t="s">
        <v>135</v>
      </c>
      <c r="C894" s="13" t="s">
        <v>114</v>
      </c>
      <c r="D894" s="13" t="s">
        <v>2002</v>
      </c>
      <c r="E894" s="13" t="s">
        <v>2180</v>
      </c>
      <c r="F894" s="13" t="s">
        <v>6457</v>
      </c>
      <c r="G894" s="13" t="s">
        <v>6458</v>
      </c>
      <c r="H894" s="13" t="s">
        <v>4122</v>
      </c>
      <c r="I894" s="15" t="n">
        <v>40</v>
      </c>
      <c r="J894" s="15" t="n">
        <v>21.8</v>
      </c>
      <c r="K894" s="15"/>
      <c r="L894" s="15"/>
      <c r="M894" s="15" t="n">
        <f aca="false">IF(ISNUMBER(L894),L894,J894)</f>
        <v>21.8</v>
      </c>
      <c r="N894" s="15" t="n">
        <f aca="false">ROUNDUP(M894,0)</f>
        <v>22</v>
      </c>
      <c r="O894" s="15" t="n">
        <f aca="false">MAX(I894,N894)</f>
        <v>40</v>
      </c>
      <c r="P894" s="15" t="n">
        <f aca="false">IF(C894="COVERED",MAX(0,O894-40),0)</f>
        <v>0</v>
      </c>
      <c r="Q894" s="15" t="n">
        <f aca="false">O894</f>
        <v>40</v>
      </c>
      <c r="R894" s="18" t="n">
        <f aca="false">IF(C894="COVERED",10.4,7.55)</f>
        <v>10.4</v>
      </c>
      <c r="S894" s="18" t="n">
        <f aca="false">Q894*R894</f>
        <v>416</v>
      </c>
      <c r="T894" s="13" t="s">
        <v>6459</v>
      </c>
      <c r="U894" s="14" t="n">
        <v>46235</v>
      </c>
      <c r="V894" s="13" t="n">
        <v>40</v>
      </c>
      <c r="W894" s="18" t="n">
        <v>10.4</v>
      </c>
      <c r="X894" s="18" t="n">
        <v>416</v>
      </c>
      <c r="Y894" s="18" t="n">
        <f aca="false">IF(ISNUMBER(X894),X894-S894,"")</f>
        <v>0</v>
      </c>
      <c r="Z894" s="18" t="n">
        <f aca="false">IF(ISNUMBER(X894),X894-S894,-S894)</f>
        <v>0</v>
      </c>
      <c r="AA894" s="13" t="str">
        <f aca="false">IF(NOT(ISNUMBER(X894)),"NO AUGUST POSTING IN EXPORT",IF(ABS(Y894)&gt;=0.005,"POSTED CHARGE MISMATCH",IF(P894&gt;0,"MATCH - COVERED ELIGIBILITY EXCEPTION","MATCH")))</f>
        <v>MATCH</v>
      </c>
      <c r="AB894" s="13" t="s">
        <v>6460</v>
      </c>
    </row>
    <row r="895" customFormat="false" ht="15" hidden="false" customHeight="false" outlineLevel="0" collapsed="false">
      <c r="A895" s="9" t="s">
        <v>1357</v>
      </c>
      <c r="B895" s="9" t="s">
        <v>135</v>
      </c>
      <c r="C895" s="9" t="s">
        <v>114</v>
      </c>
      <c r="D895" s="9" t="s">
        <v>2002</v>
      </c>
      <c r="E895" s="9" t="s">
        <v>2186</v>
      </c>
      <c r="F895" s="9" t="s">
        <v>6461</v>
      </c>
      <c r="G895" s="9" t="s">
        <v>6462</v>
      </c>
      <c r="H895" s="9" t="s">
        <v>6463</v>
      </c>
      <c r="I895" s="11" t="n">
        <v>32</v>
      </c>
      <c r="J895" s="11" t="n">
        <v>38.1</v>
      </c>
      <c r="K895" s="11"/>
      <c r="L895" s="11"/>
      <c r="M895" s="11" t="n">
        <f aca="false">IF(ISNUMBER(L895),L895,J895)</f>
        <v>38.1</v>
      </c>
      <c r="N895" s="11" t="n">
        <f aca="false">ROUNDUP(M895,0)</f>
        <v>39</v>
      </c>
      <c r="O895" s="11" t="n">
        <f aca="false">MAX(I895,N895)</f>
        <v>39</v>
      </c>
      <c r="P895" s="11" t="n">
        <f aca="false">IF(C895="COVERED",MAX(0,O895-40),0)</f>
        <v>0</v>
      </c>
      <c r="Q895" s="11" t="n">
        <f aca="false">O895</f>
        <v>39</v>
      </c>
      <c r="R895" s="17" t="n">
        <f aca="false">IF(C895="COVERED",10.4,7.55)</f>
        <v>10.4</v>
      </c>
      <c r="S895" s="17" t="n">
        <f aca="false">Q895*R895</f>
        <v>405.6</v>
      </c>
      <c r="T895" s="9" t="s">
        <v>6464</v>
      </c>
      <c r="U895" s="10" t="n">
        <v>46235</v>
      </c>
      <c r="V895" s="9" t="n">
        <v>39</v>
      </c>
      <c r="W895" s="17" t="n">
        <v>10.4</v>
      </c>
      <c r="X895" s="17" t="n">
        <v>405.6</v>
      </c>
      <c r="Y895" s="17" t="n">
        <f aca="false">IF(ISNUMBER(X895),X895-S895,"")</f>
        <v>0</v>
      </c>
      <c r="Z895" s="17" t="n">
        <f aca="false">IF(ISNUMBER(X895),X895-S895,-S895)</f>
        <v>0</v>
      </c>
      <c r="AA895" s="9" t="str">
        <f aca="false">IF(NOT(ISNUMBER(X895)),"NO AUGUST POSTING IN EXPORT",IF(ABS(Y895)&gt;=0.005,"POSTED CHARGE MISMATCH",IF(P895&gt;0,"MATCH - COVERED ELIGIBILITY EXCEPTION","MATCH")))</f>
        <v>MATCH</v>
      </c>
      <c r="AB895" s="9" t="s">
        <v>6465</v>
      </c>
    </row>
    <row r="896" customFormat="false" ht="15" hidden="false" customHeight="false" outlineLevel="0" collapsed="false">
      <c r="A896" s="13" t="s">
        <v>6466</v>
      </c>
      <c r="B896" s="13" t="s">
        <v>135</v>
      </c>
      <c r="C896" s="13" t="s">
        <v>114</v>
      </c>
      <c r="D896" s="13" t="s">
        <v>2002</v>
      </c>
      <c r="E896" s="13" t="s">
        <v>2193</v>
      </c>
      <c r="F896" s="13" t="s">
        <v>6467</v>
      </c>
      <c r="G896" s="13" t="s">
        <v>6468</v>
      </c>
      <c r="H896" s="13" t="s">
        <v>6469</v>
      </c>
      <c r="I896" s="15" t="n">
        <v>28</v>
      </c>
      <c r="J896" s="15" t="n">
        <v>20.9</v>
      </c>
      <c r="K896" s="15"/>
      <c r="L896" s="15"/>
      <c r="M896" s="15" t="n">
        <f aca="false">IF(ISNUMBER(L896),L896,J896)</f>
        <v>20.9</v>
      </c>
      <c r="N896" s="15" t="n">
        <f aca="false">ROUNDUP(M896,0)</f>
        <v>21</v>
      </c>
      <c r="O896" s="15" t="n">
        <f aca="false">MAX(I896,N896)</f>
        <v>28</v>
      </c>
      <c r="P896" s="15" t="n">
        <f aca="false">IF(C896="COVERED",MAX(0,O896-40),0)</f>
        <v>0</v>
      </c>
      <c r="Q896" s="15" t="n">
        <f aca="false">O896</f>
        <v>28</v>
      </c>
      <c r="R896" s="18" t="n">
        <f aca="false">IF(C896="COVERED",10.4,7.55)</f>
        <v>10.4</v>
      </c>
      <c r="S896" s="18" t="n">
        <f aca="false">Q896*R896</f>
        <v>291.2</v>
      </c>
      <c r="T896" s="13" t="s">
        <v>6470</v>
      </c>
      <c r="U896" s="14" t="n">
        <v>46235</v>
      </c>
      <c r="V896" s="13" t="n">
        <v>28</v>
      </c>
      <c r="W896" s="18" t="n">
        <v>10.4</v>
      </c>
      <c r="X896" s="18" t="n">
        <v>291.2</v>
      </c>
      <c r="Y896" s="18" t="n">
        <f aca="false">IF(ISNUMBER(X896),X896-S896,"")</f>
        <v>0</v>
      </c>
      <c r="Z896" s="18" t="n">
        <f aca="false">IF(ISNUMBER(X896),X896-S896,-S896)</f>
        <v>0</v>
      </c>
      <c r="AA896" s="13" t="str">
        <f aca="false">IF(NOT(ISNUMBER(X896)),"NO AUGUST POSTING IN EXPORT",IF(ABS(Y896)&gt;=0.005,"POSTED CHARGE MISMATCH",IF(P896&gt;0,"MATCH - COVERED ELIGIBILITY EXCEPTION","MATCH")))</f>
        <v>MATCH</v>
      </c>
      <c r="AB896" s="13" t="s">
        <v>6471</v>
      </c>
    </row>
    <row r="897" customFormat="false" ht="15" hidden="false" customHeight="false" outlineLevel="0" collapsed="false">
      <c r="A897" s="9" t="s">
        <v>6472</v>
      </c>
      <c r="B897" s="9" t="s">
        <v>135</v>
      </c>
      <c r="C897" s="9" t="s">
        <v>114</v>
      </c>
      <c r="D897" s="9" t="s">
        <v>2002</v>
      </c>
      <c r="E897" s="9" t="s">
        <v>2200</v>
      </c>
      <c r="F897" s="9" t="s">
        <v>456</v>
      </c>
      <c r="G897" s="9" t="s">
        <v>457</v>
      </c>
      <c r="H897" s="9" t="s">
        <v>5436</v>
      </c>
      <c r="I897" s="11" t="n">
        <v>40</v>
      </c>
      <c r="J897" s="11" t="n">
        <v>38.3</v>
      </c>
      <c r="K897" s="11"/>
      <c r="L897" s="11"/>
      <c r="M897" s="11" t="n">
        <f aca="false">IF(ISNUMBER(L897),L897,J897)</f>
        <v>38.3</v>
      </c>
      <c r="N897" s="11" t="n">
        <f aca="false">ROUNDUP(M897,0)</f>
        <v>39</v>
      </c>
      <c r="O897" s="11" t="n">
        <f aca="false">MAX(I897,N897)</f>
        <v>40</v>
      </c>
      <c r="P897" s="11" t="n">
        <f aca="false">IF(C897="COVERED",MAX(0,O897-40),0)</f>
        <v>0</v>
      </c>
      <c r="Q897" s="11" t="n">
        <f aca="false">O897</f>
        <v>40</v>
      </c>
      <c r="R897" s="17" t="n">
        <f aca="false">IF(C897="COVERED",10.4,7.55)</f>
        <v>10.4</v>
      </c>
      <c r="S897" s="17" t="n">
        <f aca="false">Q897*R897</f>
        <v>416</v>
      </c>
      <c r="T897" s="9" t="s">
        <v>6473</v>
      </c>
      <c r="U897" s="10" t="n">
        <v>46235</v>
      </c>
      <c r="V897" s="9" t="n">
        <v>40</v>
      </c>
      <c r="W897" s="17" t="n">
        <v>10.4</v>
      </c>
      <c r="X897" s="17" t="n">
        <v>416</v>
      </c>
      <c r="Y897" s="17" t="n">
        <f aca="false">IF(ISNUMBER(X897),X897-S897,"")</f>
        <v>0</v>
      </c>
      <c r="Z897" s="17" t="n">
        <f aca="false">IF(ISNUMBER(X897),X897-S897,-S897)</f>
        <v>0</v>
      </c>
      <c r="AA897" s="9" t="str">
        <f aca="false">IF(NOT(ISNUMBER(X897)),"NO AUGUST POSTING IN EXPORT",IF(ABS(Y897)&gt;=0.005,"POSTED CHARGE MISMATCH",IF(P897&gt;0,"MATCH - COVERED ELIGIBILITY EXCEPTION","MATCH")))</f>
        <v>MATCH</v>
      </c>
      <c r="AB897" s="9" t="s">
        <v>6474</v>
      </c>
    </row>
    <row r="898" customFormat="false" ht="15" hidden="false" customHeight="false" outlineLevel="0" collapsed="false">
      <c r="A898" s="13" t="s">
        <v>6475</v>
      </c>
      <c r="B898" s="13" t="s">
        <v>135</v>
      </c>
      <c r="C898" s="13" t="s">
        <v>114</v>
      </c>
      <c r="D898" s="13" t="s">
        <v>2002</v>
      </c>
      <c r="E898" s="13" t="s">
        <v>2207</v>
      </c>
      <c r="F898" s="13" t="s">
        <v>6476</v>
      </c>
      <c r="G898" s="13" t="s">
        <v>6477</v>
      </c>
      <c r="H898" s="13" t="s">
        <v>2821</v>
      </c>
      <c r="I898" s="15" t="n">
        <v>24</v>
      </c>
      <c r="J898" s="15" t="n">
        <v>57.3</v>
      </c>
      <c r="K898" s="15"/>
      <c r="L898" s="15"/>
      <c r="M898" s="15" t="n">
        <f aca="false">IF(ISNUMBER(L898),L898,J898)</f>
        <v>57.3</v>
      </c>
      <c r="N898" s="15" t="n">
        <f aca="false">ROUNDUP(M898,0)</f>
        <v>58</v>
      </c>
      <c r="O898" s="15" t="n">
        <f aca="false">MAX(I898,N898)</f>
        <v>58</v>
      </c>
      <c r="P898" s="15" t="n">
        <f aca="false">IF(C898="COVERED",MAX(0,O898-40),0)</f>
        <v>18</v>
      </c>
      <c r="Q898" s="15" t="n">
        <f aca="false">O898</f>
        <v>58</v>
      </c>
      <c r="R898" s="18" t="n">
        <f aca="false">IF(C898="COVERED",10.4,7.55)</f>
        <v>10.4</v>
      </c>
      <c r="S898" s="18" t="n">
        <f aca="false">Q898*R898</f>
        <v>603.2</v>
      </c>
      <c r="T898" s="13" t="s">
        <v>6478</v>
      </c>
      <c r="U898" s="14" t="n">
        <v>46235</v>
      </c>
      <c r="V898" s="13" t="n">
        <v>58</v>
      </c>
      <c r="W898" s="18" t="n">
        <v>10.4</v>
      </c>
      <c r="X898" s="18" t="n">
        <v>603.2</v>
      </c>
      <c r="Y898" s="18" t="n">
        <f aca="false">IF(ISNUMBER(X898),X898-S898,"")</f>
        <v>0</v>
      </c>
      <c r="Z898" s="18" t="n">
        <f aca="false">IF(ISNUMBER(X898),X898-S898,-S898)</f>
        <v>0</v>
      </c>
      <c r="AA898" s="13" t="str">
        <f aca="false">IF(NOT(ISNUMBER(X898)),"NO AUGUST POSTING IN EXPORT",IF(ABS(Y898)&gt;=0.005,"POSTED CHARGE MISMATCH",IF(P898&gt;0,"MATCH - COVERED ELIGIBILITY EXCEPTION","MATCH")))</f>
        <v>MATCH - COVERED ELIGIBILITY EXCEPTION</v>
      </c>
      <c r="AB898" s="13" t="s">
        <v>6479</v>
      </c>
    </row>
    <row r="899" customFormat="false" ht="15" hidden="false" customHeight="false" outlineLevel="0" collapsed="false">
      <c r="A899" s="9" t="s">
        <v>6480</v>
      </c>
      <c r="B899" s="9" t="s">
        <v>135</v>
      </c>
      <c r="C899" s="9" t="s">
        <v>114</v>
      </c>
      <c r="D899" s="9" t="s">
        <v>2002</v>
      </c>
      <c r="E899" s="9" t="s">
        <v>3558</v>
      </c>
      <c r="F899" s="9" t="s">
        <v>6481</v>
      </c>
      <c r="G899" s="9" t="s">
        <v>6482</v>
      </c>
      <c r="H899" s="9" t="s">
        <v>5124</v>
      </c>
      <c r="I899" s="11" t="n">
        <v>24</v>
      </c>
      <c r="J899" s="11" t="n">
        <v>38.2</v>
      </c>
      <c r="K899" s="11"/>
      <c r="L899" s="11"/>
      <c r="M899" s="11" t="n">
        <f aca="false">IF(ISNUMBER(L899),L899,J899)</f>
        <v>38.2</v>
      </c>
      <c r="N899" s="11" t="n">
        <f aca="false">ROUNDUP(M899,0)</f>
        <v>39</v>
      </c>
      <c r="O899" s="11" t="n">
        <f aca="false">MAX(I899,N899)</f>
        <v>39</v>
      </c>
      <c r="P899" s="11" t="n">
        <f aca="false">IF(C899="COVERED",MAX(0,O899-40),0)</f>
        <v>0</v>
      </c>
      <c r="Q899" s="11" t="n">
        <f aca="false">O899</f>
        <v>39</v>
      </c>
      <c r="R899" s="17" t="n">
        <f aca="false">IF(C899="COVERED",10.4,7.55)</f>
        <v>10.4</v>
      </c>
      <c r="S899" s="17" t="n">
        <f aca="false">Q899*R899</f>
        <v>405.6</v>
      </c>
      <c r="T899" s="9" t="s">
        <v>6483</v>
      </c>
      <c r="U899" s="10" t="n">
        <v>46235</v>
      </c>
      <c r="V899" s="9" t="n">
        <v>39</v>
      </c>
      <c r="W899" s="17" t="n">
        <v>10.4</v>
      </c>
      <c r="X899" s="17" t="n">
        <v>405.6</v>
      </c>
      <c r="Y899" s="17" t="n">
        <f aca="false">IF(ISNUMBER(X899),X899-S899,"")</f>
        <v>0</v>
      </c>
      <c r="Z899" s="17" t="n">
        <f aca="false">IF(ISNUMBER(X899),X899-S899,-S899)</f>
        <v>0</v>
      </c>
      <c r="AA899" s="9" t="str">
        <f aca="false">IF(NOT(ISNUMBER(X899)),"NO AUGUST POSTING IN EXPORT",IF(ABS(Y899)&gt;=0.005,"POSTED CHARGE MISMATCH",IF(P899&gt;0,"MATCH - COVERED ELIGIBILITY EXCEPTION","MATCH")))</f>
        <v>MATCH</v>
      </c>
      <c r="AB899" s="9" t="s">
        <v>6484</v>
      </c>
    </row>
    <row r="900" customFormat="false" ht="15" hidden="false" customHeight="false" outlineLevel="0" collapsed="false">
      <c r="A900" s="13" t="s">
        <v>6485</v>
      </c>
      <c r="B900" s="13" t="s">
        <v>135</v>
      </c>
      <c r="C900" s="13" t="s">
        <v>114</v>
      </c>
      <c r="D900" s="13" t="s">
        <v>2002</v>
      </c>
      <c r="E900" s="13" t="s">
        <v>2214</v>
      </c>
      <c r="F900" s="13" t="s">
        <v>6486</v>
      </c>
      <c r="G900" s="13" t="s">
        <v>6487</v>
      </c>
      <c r="H900" s="13" t="s">
        <v>4397</v>
      </c>
      <c r="I900" s="15" t="n">
        <v>24</v>
      </c>
      <c r="J900" s="15" t="n">
        <v>60.4</v>
      </c>
      <c r="K900" s="15"/>
      <c r="L900" s="15"/>
      <c r="M900" s="15" t="n">
        <f aca="false">IF(ISNUMBER(L900),L900,J900)</f>
        <v>60.4</v>
      </c>
      <c r="N900" s="15" t="n">
        <f aca="false">ROUNDUP(M900,0)</f>
        <v>61</v>
      </c>
      <c r="O900" s="15" t="n">
        <f aca="false">MAX(I900,N900)</f>
        <v>61</v>
      </c>
      <c r="P900" s="15" t="n">
        <f aca="false">IF(C900="COVERED",MAX(0,O900-40),0)</f>
        <v>21</v>
      </c>
      <c r="Q900" s="15" t="n">
        <f aca="false">O900</f>
        <v>61</v>
      </c>
      <c r="R900" s="18" t="n">
        <f aca="false">IF(C900="COVERED",10.4,7.55)</f>
        <v>10.4</v>
      </c>
      <c r="S900" s="18" t="n">
        <f aca="false">Q900*R900</f>
        <v>634.4</v>
      </c>
      <c r="T900" s="13" t="s">
        <v>6488</v>
      </c>
      <c r="U900" s="14" t="n">
        <v>46235</v>
      </c>
      <c r="V900" s="13" t="n">
        <v>61</v>
      </c>
      <c r="W900" s="18" t="n">
        <v>10.4</v>
      </c>
      <c r="X900" s="18" t="n">
        <v>634.4</v>
      </c>
      <c r="Y900" s="18" t="n">
        <f aca="false">IF(ISNUMBER(X900),X900-S900,"")</f>
        <v>0</v>
      </c>
      <c r="Z900" s="18" t="n">
        <f aca="false">IF(ISNUMBER(X900),X900-S900,-S900)</f>
        <v>0</v>
      </c>
      <c r="AA900" s="13" t="str">
        <f aca="false">IF(NOT(ISNUMBER(X900)),"NO AUGUST POSTING IN EXPORT",IF(ABS(Y900)&gt;=0.005,"POSTED CHARGE MISMATCH",IF(P900&gt;0,"MATCH - COVERED ELIGIBILITY EXCEPTION","MATCH")))</f>
        <v>MATCH - COVERED ELIGIBILITY EXCEPTION</v>
      </c>
      <c r="AB900" s="13" t="s">
        <v>6489</v>
      </c>
    </row>
    <row r="901" customFormat="false" ht="15" hidden="false" customHeight="false" outlineLevel="0" collapsed="false">
      <c r="A901" s="9" t="s">
        <v>6490</v>
      </c>
      <c r="B901" s="9" t="s">
        <v>135</v>
      </c>
      <c r="C901" s="9" t="s">
        <v>114</v>
      </c>
      <c r="D901" s="9" t="s">
        <v>2002</v>
      </c>
      <c r="E901" s="9" t="s">
        <v>2221</v>
      </c>
      <c r="F901" s="9" t="s">
        <v>6491</v>
      </c>
      <c r="G901" s="9" t="s">
        <v>6492</v>
      </c>
      <c r="H901" s="9" t="s">
        <v>4156</v>
      </c>
      <c r="I901" s="11" t="n">
        <v>28</v>
      </c>
      <c r="J901" s="11" t="n">
        <v>18.3</v>
      </c>
      <c r="K901" s="11"/>
      <c r="L901" s="11"/>
      <c r="M901" s="11" t="n">
        <f aca="false">IF(ISNUMBER(L901),L901,J901)</f>
        <v>18.3</v>
      </c>
      <c r="N901" s="11" t="n">
        <f aca="false">ROUNDUP(M901,0)</f>
        <v>19</v>
      </c>
      <c r="O901" s="11" t="n">
        <f aca="false">MAX(I901,N901)</f>
        <v>28</v>
      </c>
      <c r="P901" s="11" t="n">
        <f aca="false">IF(C901="COVERED",MAX(0,O901-40),0)</f>
        <v>0</v>
      </c>
      <c r="Q901" s="11" t="n">
        <f aca="false">O901</f>
        <v>28</v>
      </c>
      <c r="R901" s="17" t="n">
        <f aca="false">IF(C901="COVERED",10.4,7.55)</f>
        <v>10.4</v>
      </c>
      <c r="S901" s="17" t="n">
        <f aca="false">Q901*R901</f>
        <v>291.2</v>
      </c>
      <c r="T901" s="9" t="s">
        <v>6493</v>
      </c>
      <c r="U901" s="10" t="n">
        <v>46235</v>
      </c>
      <c r="V901" s="9" t="n">
        <v>28</v>
      </c>
      <c r="W901" s="17" t="n">
        <v>10.4</v>
      </c>
      <c r="X901" s="17" t="n">
        <v>291.2</v>
      </c>
      <c r="Y901" s="17" t="n">
        <f aca="false">IF(ISNUMBER(X901),X901-S901,"")</f>
        <v>0</v>
      </c>
      <c r="Z901" s="17" t="n">
        <f aca="false">IF(ISNUMBER(X901),X901-S901,-S901)</f>
        <v>0</v>
      </c>
      <c r="AA901" s="9" t="str">
        <f aca="false">IF(NOT(ISNUMBER(X901)),"NO AUGUST POSTING IN EXPORT",IF(ABS(Y901)&gt;=0.005,"POSTED CHARGE MISMATCH",IF(P901&gt;0,"MATCH - COVERED ELIGIBILITY EXCEPTION","MATCH")))</f>
        <v>MATCH</v>
      </c>
      <c r="AB901" s="9" t="s">
        <v>6494</v>
      </c>
    </row>
    <row r="902" customFormat="false" ht="15" hidden="false" customHeight="false" outlineLevel="0" collapsed="false">
      <c r="A902" s="13" t="s">
        <v>6495</v>
      </c>
      <c r="B902" s="13" t="s">
        <v>135</v>
      </c>
      <c r="C902" s="13" t="s">
        <v>114</v>
      </c>
      <c r="D902" s="13" t="s">
        <v>2002</v>
      </c>
      <c r="E902" s="13" t="s">
        <v>2228</v>
      </c>
      <c r="F902" s="13" t="s">
        <v>6496</v>
      </c>
      <c r="G902" s="13" t="s">
        <v>6497</v>
      </c>
      <c r="H902" s="13" t="s">
        <v>2780</v>
      </c>
      <c r="I902" s="15" t="n">
        <v>40</v>
      </c>
      <c r="J902" s="15" t="n">
        <v>30.8</v>
      </c>
      <c r="K902" s="15"/>
      <c r="L902" s="15"/>
      <c r="M902" s="15" t="n">
        <f aca="false">IF(ISNUMBER(L902),L902,J902)</f>
        <v>30.8</v>
      </c>
      <c r="N902" s="15" t="n">
        <f aca="false">ROUNDUP(M902,0)</f>
        <v>31</v>
      </c>
      <c r="O902" s="15" t="n">
        <f aca="false">MAX(I902,N902)</f>
        <v>40</v>
      </c>
      <c r="P902" s="15" t="n">
        <f aca="false">IF(C902="COVERED",MAX(0,O902-40),0)</f>
        <v>0</v>
      </c>
      <c r="Q902" s="15" t="n">
        <f aca="false">O902</f>
        <v>40</v>
      </c>
      <c r="R902" s="18" t="n">
        <f aca="false">IF(C902="COVERED",10.4,7.55)</f>
        <v>10.4</v>
      </c>
      <c r="S902" s="18" t="n">
        <f aca="false">Q902*R902</f>
        <v>416</v>
      </c>
      <c r="T902" s="13" t="s">
        <v>6498</v>
      </c>
      <c r="U902" s="14" t="n">
        <v>46235</v>
      </c>
      <c r="V902" s="13" t="n">
        <v>40</v>
      </c>
      <c r="W902" s="18" t="n">
        <v>10.4</v>
      </c>
      <c r="X902" s="18" t="n">
        <v>416</v>
      </c>
      <c r="Y902" s="18" t="n">
        <f aca="false">IF(ISNUMBER(X902),X902-S902,"")</f>
        <v>0</v>
      </c>
      <c r="Z902" s="18" t="n">
        <f aca="false">IF(ISNUMBER(X902),X902-S902,-S902)</f>
        <v>0</v>
      </c>
      <c r="AA902" s="13" t="str">
        <f aca="false">IF(NOT(ISNUMBER(X902)),"NO AUGUST POSTING IN EXPORT",IF(ABS(Y902)&gt;=0.005,"POSTED CHARGE MISMATCH",IF(P902&gt;0,"MATCH - COVERED ELIGIBILITY EXCEPTION","MATCH")))</f>
        <v>MATCH</v>
      </c>
      <c r="AB902" s="13" t="s">
        <v>6499</v>
      </c>
    </row>
    <row r="903" customFormat="false" ht="15" hidden="false" customHeight="false" outlineLevel="0" collapsed="false">
      <c r="A903" s="9" t="s">
        <v>6500</v>
      </c>
      <c r="B903" s="9" t="s">
        <v>135</v>
      </c>
      <c r="C903" s="9" t="s">
        <v>114</v>
      </c>
      <c r="D903" s="9" t="s">
        <v>2002</v>
      </c>
      <c r="E903" s="9" t="s">
        <v>2235</v>
      </c>
      <c r="F903" s="9" t="s">
        <v>6501</v>
      </c>
      <c r="G903" s="9" t="s">
        <v>6502</v>
      </c>
      <c r="H903" s="9" t="s">
        <v>6503</v>
      </c>
      <c r="I903" s="11" t="n">
        <v>24</v>
      </c>
      <c r="J903" s="11" t="n">
        <v>38.5</v>
      </c>
      <c r="K903" s="11"/>
      <c r="L903" s="11"/>
      <c r="M903" s="11" t="n">
        <f aca="false">IF(ISNUMBER(L903),L903,J903)</f>
        <v>38.5</v>
      </c>
      <c r="N903" s="11" t="n">
        <f aca="false">ROUNDUP(M903,0)</f>
        <v>39</v>
      </c>
      <c r="O903" s="11" t="n">
        <f aca="false">MAX(I903,N903)</f>
        <v>39</v>
      </c>
      <c r="P903" s="11" t="n">
        <f aca="false">IF(C903="COVERED",MAX(0,O903-40),0)</f>
        <v>0</v>
      </c>
      <c r="Q903" s="11" t="n">
        <f aca="false">O903</f>
        <v>39</v>
      </c>
      <c r="R903" s="17" t="n">
        <f aca="false">IF(C903="COVERED",10.4,7.55)</f>
        <v>10.4</v>
      </c>
      <c r="S903" s="17" t="n">
        <f aca="false">Q903*R903</f>
        <v>405.6</v>
      </c>
      <c r="T903" s="9" t="s">
        <v>6504</v>
      </c>
      <c r="U903" s="10" t="n">
        <v>46235</v>
      </c>
      <c r="V903" s="9" t="n">
        <v>39</v>
      </c>
      <c r="W903" s="17" t="n">
        <v>10.4</v>
      </c>
      <c r="X903" s="17" t="n">
        <v>405.6</v>
      </c>
      <c r="Y903" s="17" t="n">
        <f aca="false">IF(ISNUMBER(X903),X903-S903,"")</f>
        <v>0</v>
      </c>
      <c r="Z903" s="17" t="n">
        <f aca="false">IF(ISNUMBER(X903),X903-S903,-S903)</f>
        <v>0</v>
      </c>
      <c r="AA903" s="9" t="str">
        <f aca="false">IF(NOT(ISNUMBER(X903)),"NO AUGUST POSTING IN EXPORT",IF(ABS(Y903)&gt;=0.005,"POSTED CHARGE MISMATCH",IF(P903&gt;0,"MATCH - COVERED ELIGIBILITY EXCEPTION","MATCH")))</f>
        <v>MATCH</v>
      </c>
      <c r="AB903" s="9" t="s">
        <v>6505</v>
      </c>
    </row>
    <row r="904" customFormat="false" ht="15" hidden="false" customHeight="false" outlineLevel="0" collapsed="false">
      <c r="A904" s="13" t="s">
        <v>6506</v>
      </c>
      <c r="B904" s="13" t="s">
        <v>135</v>
      </c>
      <c r="C904" s="13" t="s">
        <v>114</v>
      </c>
      <c r="D904" s="13" t="s">
        <v>2002</v>
      </c>
      <c r="E904" s="13" t="s">
        <v>2240</v>
      </c>
      <c r="F904" s="13" t="s">
        <v>6507</v>
      </c>
      <c r="G904" s="13" t="s">
        <v>6508</v>
      </c>
      <c r="H904" s="13" t="s">
        <v>5617</v>
      </c>
      <c r="I904" s="15" t="n">
        <v>24</v>
      </c>
      <c r="J904" s="15" t="n">
        <v>27</v>
      </c>
      <c r="K904" s="15"/>
      <c r="L904" s="15"/>
      <c r="M904" s="15" t="n">
        <f aca="false">IF(ISNUMBER(L904),L904,J904)</f>
        <v>27</v>
      </c>
      <c r="N904" s="15" t="n">
        <f aca="false">ROUNDUP(M904,0)</f>
        <v>27</v>
      </c>
      <c r="O904" s="15" t="n">
        <f aca="false">MAX(I904,N904)</f>
        <v>27</v>
      </c>
      <c r="P904" s="15" t="n">
        <f aca="false">IF(C904="COVERED",MAX(0,O904-40),0)</f>
        <v>0</v>
      </c>
      <c r="Q904" s="15" t="n">
        <f aca="false">O904</f>
        <v>27</v>
      </c>
      <c r="R904" s="18" t="n">
        <f aca="false">IF(C904="COVERED",10.4,7.55)</f>
        <v>10.4</v>
      </c>
      <c r="S904" s="18" t="n">
        <f aca="false">Q904*R904</f>
        <v>280.8</v>
      </c>
      <c r="T904" s="13" t="s">
        <v>6509</v>
      </c>
      <c r="U904" s="14" t="n">
        <v>46235</v>
      </c>
      <c r="V904" s="13" t="n">
        <v>27</v>
      </c>
      <c r="W904" s="18" t="n">
        <v>10.4</v>
      </c>
      <c r="X904" s="18" t="n">
        <v>280.8</v>
      </c>
      <c r="Y904" s="18" t="n">
        <f aca="false">IF(ISNUMBER(X904),X904-S904,"")</f>
        <v>0</v>
      </c>
      <c r="Z904" s="18" t="n">
        <f aca="false">IF(ISNUMBER(X904),X904-S904,-S904)</f>
        <v>0</v>
      </c>
      <c r="AA904" s="13" t="str">
        <f aca="false">IF(NOT(ISNUMBER(X904)),"NO AUGUST POSTING IN EXPORT",IF(ABS(Y904)&gt;=0.005,"POSTED CHARGE MISMATCH",IF(P904&gt;0,"MATCH - COVERED ELIGIBILITY EXCEPTION","MATCH")))</f>
        <v>MATCH</v>
      </c>
      <c r="AB904" s="13" t="s">
        <v>6510</v>
      </c>
    </row>
    <row r="905" customFormat="false" ht="15" hidden="false" customHeight="false" outlineLevel="0" collapsed="false">
      <c r="A905" s="9" t="s">
        <v>6511</v>
      </c>
      <c r="B905" s="9" t="s">
        <v>135</v>
      </c>
      <c r="C905" s="9" t="s">
        <v>114</v>
      </c>
      <c r="D905" s="9" t="s">
        <v>2002</v>
      </c>
      <c r="E905" s="9" t="s">
        <v>2247</v>
      </c>
      <c r="F905" s="9" t="s">
        <v>6512</v>
      </c>
      <c r="G905" s="9" t="s">
        <v>6513</v>
      </c>
      <c r="H905" s="9" t="s">
        <v>2137</v>
      </c>
      <c r="I905" s="11" t="n">
        <v>28</v>
      </c>
      <c r="J905" s="11" t="n">
        <v>47.7</v>
      </c>
      <c r="K905" s="11"/>
      <c r="L905" s="11"/>
      <c r="M905" s="11" t="n">
        <f aca="false">IF(ISNUMBER(L905),L905,J905)</f>
        <v>47.7</v>
      </c>
      <c r="N905" s="11" t="n">
        <f aca="false">ROUNDUP(M905,0)</f>
        <v>48</v>
      </c>
      <c r="O905" s="11" t="n">
        <f aca="false">MAX(I905,N905)</f>
        <v>48</v>
      </c>
      <c r="P905" s="11" t="n">
        <f aca="false">IF(C905="COVERED",MAX(0,O905-40),0)</f>
        <v>8</v>
      </c>
      <c r="Q905" s="11" t="n">
        <f aca="false">O905</f>
        <v>48</v>
      </c>
      <c r="R905" s="17" t="n">
        <f aca="false">IF(C905="COVERED",10.4,7.55)</f>
        <v>10.4</v>
      </c>
      <c r="S905" s="17" t="n">
        <f aca="false">Q905*R905</f>
        <v>499.2</v>
      </c>
      <c r="T905" s="9" t="s">
        <v>6514</v>
      </c>
      <c r="U905" s="10" t="n">
        <v>46235</v>
      </c>
      <c r="V905" s="9" t="n">
        <v>48</v>
      </c>
      <c r="W905" s="17" t="n">
        <v>10.4</v>
      </c>
      <c r="X905" s="17" t="n">
        <v>499.2</v>
      </c>
      <c r="Y905" s="17" t="n">
        <f aca="false">IF(ISNUMBER(X905),X905-S905,"")</f>
        <v>0</v>
      </c>
      <c r="Z905" s="17" t="n">
        <f aca="false">IF(ISNUMBER(X905),X905-S905,-S905)</f>
        <v>0</v>
      </c>
      <c r="AA905" s="9" t="str">
        <f aca="false">IF(NOT(ISNUMBER(X905)),"NO AUGUST POSTING IN EXPORT",IF(ABS(Y905)&gt;=0.005,"POSTED CHARGE MISMATCH",IF(P905&gt;0,"MATCH - COVERED ELIGIBILITY EXCEPTION","MATCH")))</f>
        <v>MATCH - COVERED ELIGIBILITY EXCEPTION</v>
      </c>
      <c r="AB905" s="9" t="s">
        <v>6515</v>
      </c>
    </row>
    <row r="906" customFormat="false" ht="15" hidden="false" customHeight="false" outlineLevel="0" collapsed="false">
      <c r="A906" s="13" t="s">
        <v>303</v>
      </c>
      <c r="B906" s="13" t="s">
        <v>135</v>
      </c>
      <c r="C906" s="13" t="s">
        <v>114</v>
      </c>
      <c r="D906" s="13" t="s">
        <v>2002</v>
      </c>
      <c r="E906" s="13" t="s">
        <v>2254</v>
      </c>
      <c r="F906" s="13" t="s">
        <v>6516</v>
      </c>
      <c r="G906" s="13" t="s">
        <v>6517</v>
      </c>
      <c r="H906" s="13" t="s">
        <v>6518</v>
      </c>
      <c r="I906" s="15" t="n">
        <v>28</v>
      </c>
      <c r="J906" s="15" t="n">
        <v>24.4</v>
      </c>
      <c r="K906" s="15"/>
      <c r="L906" s="15"/>
      <c r="M906" s="15" t="n">
        <f aca="false">IF(ISNUMBER(L906),L906,J906)</f>
        <v>24.4</v>
      </c>
      <c r="N906" s="15" t="n">
        <f aca="false">ROUNDUP(M906,0)</f>
        <v>25</v>
      </c>
      <c r="O906" s="15" t="n">
        <f aca="false">MAX(I906,N906)</f>
        <v>28</v>
      </c>
      <c r="P906" s="15" t="n">
        <f aca="false">IF(C906="COVERED",MAX(0,O906-40),0)</f>
        <v>0</v>
      </c>
      <c r="Q906" s="15" t="n">
        <f aca="false">O906</f>
        <v>28</v>
      </c>
      <c r="R906" s="18" t="n">
        <f aca="false">IF(C906="COVERED",10.4,7.55)</f>
        <v>10.4</v>
      </c>
      <c r="S906" s="18" t="n">
        <f aca="false">Q906*R906</f>
        <v>291.2</v>
      </c>
      <c r="T906" s="13" t="s">
        <v>6519</v>
      </c>
      <c r="U906" s="14" t="n">
        <v>46235</v>
      </c>
      <c r="V906" s="13" t="n">
        <v>28</v>
      </c>
      <c r="W906" s="18" t="n">
        <v>10.4</v>
      </c>
      <c r="X906" s="18" t="n">
        <v>291.2</v>
      </c>
      <c r="Y906" s="18" t="n">
        <f aca="false">IF(ISNUMBER(X906),X906-S906,"")</f>
        <v>0</v>
      </c>
      <c r="Z906" s="18" t="n">
        <f aca="false">IF(ISNUMBER(X906),X906-S906,-S906)</f>
        <v>0</v>
      </c>
      <c r="AA906" s="13" t="str">
        <f aca="false">IF(NOT(ISNUMBER(X906)),"NO AUGUST POSTING IN EXPORT",IF(ABS(Y906)&gt;=0.005,"POSTED CHARGE MISMATCH",IF(P906&gt;0,"MATCH - COVERED ELIGIBILITY EXCEPTION","MATCH")))</f>
        <v>MATCH</v>
      </c>
      <c r="AB906" s="13" t="s">
        <v>6520</v>
      </c>
    </row>
    <row r="907" customFormat="false" ht="15" hidden="false" customHeight="false" outlineLevel="0" collapsed="false">
      <c r="A907" s="9" t="s">
        <v>6521</v>
      </c>
      <c r="B907" s="9" t="s">
        <v>135</v>
      </c>
      <c r="C907" s="9" t="s">
        <v>114</v>
      </c>
      <c r="D907" s="9" t="s">
        <v>2002</v>
      </c>
      <c r="E907" s="9" t="s">
        <v>2261</v>
      </c>
      <c r="F907" s="9" t="s">
        <v>6522</v>
      </c>
      <c r="G907" s="9" t="s">
        <v>6523</v>
      </c>
      <c r="H907" s="9" t="s">
        <v>2500</v>
      </c>
      <c r="I907" s="11" t="n">
        <v>24</v>
      </c>
      <c r="J907" s="11" t="n">
        <v>31.2</v>
      </c>
      <c r="K907" s="11"/>
      <c r="L907" s="11"/>
      <c r="M907" s="11" t="n">
        <f aca="false">IF(ISNUMBER(L907),L907,J907)</f>
        <v>31.2</v>
      </c>
      <c r="N907" s="11" t="n">
        <f aca="false">ROUNDUP(M907,0)</f>
        <v>32</v>
      </c>
      <c r="O907" s="11" t="n">
        <f aca="false">MAX(I907,N907)</f>
        <v>32</v>
      </c>
      <c r="P907" s="11" t="n">
        <f aca="false">IF(C907="COVERED",MAX(0,O907-40),0)</f>
        <v>0</v>
      </c>
      <c r="Q907" s="11" t="n">
        <f aca="false">O907</f>
        <v>32</v>
      </c>
      <c r="R907" s="17" t="n">
        <f aca="false">IF(C907="COVERED",10.4,7.55)</f>
        <v>10.4</v>
      </c>
      <c r="S907" s="17" t="n">
        <f aca="false">Q907*R907</f>
        <v>332.8</v>
      </c>
      <c r="T907" s="9" t="s">
        <v>6524</v>
      </c>
      <c r="U907" s="10" t="n">
        <v>46235</v>
      </c>
      <c r="V907" s="9" t="n">
        <v>32</v>
      </c>
      <c r="W907" s="17" t="n">
        <v>10.4</v>
      </c>
      <c r="X907" s="17" t="n">
        <v>332.8</v>
      </c>
      <c r="Y907" s="17" t="n">
        <f aca="false">IF(ISNUMBER(X907),X907-S907,"")</f>
        <v>0</v>
      </c>
      <c r="Z907" s="17" t="n">
        <f aca="false">IF(ISNUMBER(X907),X907-S907,-S907)</f>
        <v>0</v>
      </c>
      <c r="AA907" s="9" t="str">
        <f aca="false">IF(NOT(ISNUMBER(X907)),"NO AUGUST POSTING IN EXPORT",IF(ABS(Y907)&gt;=0.005,"POSTED CHARGE MISMATCH",IF(P907&gt;0,"MATCH - COVERED ELIGIBILITY EXCEPTION","MATCH")))</f>
        <v>MATCH</v>
      </c>
      <c r="AB907" s="9" t="s">
        <v>6525</v>
      </c>
    </row>
    <row r="908" customFormat="false" ht="15" hidden="false" customHeight="false" outlineLevel="0" collapsed="false">
      <c r="A908" s="13" t="s">
        <v>1111</v>
      </c>
      <c r="B908" s="13" t="s">
        <v>135</v>
      </c>
      <c r="C908" s="13" t="s">
        <v>114</v>
      </c>
      <c r="D908" s="13" t="s">
        <v>2002</v>
      </c>
      <c r="E908" s="13" t="s">
        <v>2267</v>
      </c>
      <c r="F908" s="13" t="s">
        <v>6526</v>
      </c>
      <c r="G908" s="13" t="s">
        <v>6527</v>
      </c>
      <c r="H908" s="13" t="s">
        <v>4417</v>
      </c>
      <c r="I908" s="15" t="n">
        <v>28</v>
      </c>
      <c r="J908" s="15" t="n">
        <v>61.3</v>
      </c>
      <c r="K908" s="15"/>
      <c r="L908" s="15"/>
      <c r="M908" s="15" t="n">
        <f aca="false">IF(ISNUMBER(L908),L908,J908)</f>
        <v>61.3</v>
      </c>
      <c r="N908" s="15" t="n">
        <f aca="false">ROUNDUP(M908,0)</f>
        <v>62</v>
      </c>
      <c r="O908" s="15" t="n">
        <f aca="false">MAX(I908,N908)</f>
        <v>62</v>
      </c>
      <c r="P908" s="15" t="n">
        <f aca="false">IF(C908="COVERED",MAX(0,O908-40),0)</f>
        <v>22</v>
      </c>
      <c r="Q908" s="15" t="n">
        <f aca="false">O908</f>
        <v>62</v>
      </c>
      <c r="R908" s="18" t="n">
        <f aca="false">IF(C908="COVERED",10.4,7.55)</f>
        <v>10.4</v>
      </c>
      <c r="S908" s="18" t="n">
        <f aca="false">Q908*R908</f>
        <v>644.8</v>
      </c>
      <c r="T908" s="13" t="s">
        <v>6528</v>
      </c>
      <c r="U908" s="14" t="n">
        <v>46235</v>
      </c>
      <c r="V908" s="13" t="n">
        <v>62</v>
      </c>
      <c r="W908" s="18" t="n">
        <v>10.4</v>
      </c>
      <c r="X908" s="18" t="n">
        <v>644.8</v>
      </c>
      <c r="Y908" s="18" t="n">
        <f aca="false">IF(ISNUMBER(X908),X908-S908,"")</f>
        <v>0</v>
      </c>
      <c r="Z908" s="18" t="n">
        <f aca="false">IF(ISNUMBER(X908),X908-S908,-S908)</f>
        <v>0</v>
      </c>
      <c r="AA908" s="13" t="str">
        <f aca="false">IF(NOT(ISNUMBER(X908)),"NO AUGUST POSTING IN EXPORT",IF(ABS(Y908)&gt;=0.005,"POSTED CHARGE MISMATCH",IF(P908&gt;0,"MATCH - COVERED ELIGIBILITY EXCEPTION","MATCH")))</f>
        <v>MATCH - COVERED ELIGIBILITY EXCEPTION</v>
      </c>
      <c r="AB908" s="13" t="s">
        <v>6529</v>
      </c>
    </row>
    <row r="909" customFormat="false" ht="15" hidden="false" customHeight="false" outlineLevel="0" collapsed="false">
      <c r="A909" s="9" t="s">
        <v>1007</v>
      </c>
      <c r="B909" s="9" t="s">
        <v>135</v>
      </c>
      <c r="C909" s="9" t="s">
        <v>114</v>
      </c>
      <c r="D909" s="9" t="s">
        <v>2002</v>
      </c>
      <c r="E909" s="9" t="s">
        <v>2274</v>
      </c>
      <c r="F909" s="9" t="s">
        <v>6530</v>
      </c>
      <c r="G909" s="9" t="s">
        <v>6531</v>
      </c>
      <c r="H909" s="9" t="s">
        <v>6532</v>
      </c>
      <c r="I909" s="11" t="n">
        <v>32</v>
      </c>
      <c r="J909" s="11" t="n">
        <v>31.4</v>
      </c>
      <c r="K909" s="11"/>
      <c r="L909" s="11"/>
      <c r="M909" s="11" t="n">
        <f aca="false">IF(ISNUMBER(L909),L909,J909)</f>
        <v>31.4</v>
      </c>
      <c r="N909" s="11" t="n">
        <f aca="false">ROUNDUP(M909,0)</f>
        <v>32</v>
      </c>
      <c r="O909" s="11" t="n">
        <f aca="false">MAX(I909,N909)</f>
        <v>32</v>
      </c>
      <c r="P909" s="11" t="n">
        <f aca="false">IF(C909="COVERED",MAX(0,O909-40),0)</f>
        <v>0</v>
      </c>
      <c r="Q909" s="11" t="n">
        <f aca="false">O909</f>
        <v>32</v>
      </c>
      <c r="R909" s="17" t="n">
        <f aca="false">IF(C909="COVERED",10.4,7.55)</f>
        <v>10.4</v>
      </c>
      <c r="S909" s="17" t="n">
        <f aca="false">Q909*R909</f>
        <v>332.8</v>
      </c>
      <c r="T909" s="9" t="s">
        <v>6533</v>
      </c>
      <c r="U909" s="10" t="n">
        <v>46235</v>
      </c>
      <c r="V909" s="9" t="n">
        <v>32</v>
      </c>
      <c r="W909" s="17" t="n">
        <v>10.4</v>
      </c>
      <c r="X909" s="17" t="n">
        <v>332.8</v>
      </c>
      <c r="Y909" s="17" t="n">
        <f aca="false">IF(ISNUMBER(X909),X909-S909,"")</f>
        <v>0</v>
      </c>
      <c r="Z909" s="17" t="n">
        <f aca="false">IF(ISNUMBER(X909),X909-S909,-S909)</f>
        <v>0</v>
      </c>
      <c r="AA909" s="9" t="str">
        <f aca="false">IF(NOT(ISNUMBER(X909)),"NO AUGUST POSTING IN EXPORT",IF(ABS(Y909)&gt;=0.005,"POSTED CHARGE MISMATCH",IF(P909&gt;0,"MATCH - COVERED ELIGIBILITY EXCEPTION","MATCH")))</f>
        <v>MATCH</v>
      </c>
      <c r="AB909" s="9" t="s">
        <v>6534</v>
      </c>
    </row>
    <row r="910" customFormat="false" ht="15" hidden="false" customHeight="false" outlineLevel="0" collapsed="false">
      <c r="A910" s="13" t="s">
        <v>1628</v>
      </c>
      <c r="B910" s="13" t="s">
        <v>135</v>
      </c>
      <c r="C910" s="13" t="s">
        <v>114</v>
      </c>
      <c r="D910" s="13" t="s">
        <v>2002</v>
      </c>
      <c r="E910" s="13" t="s">
        <v>2281</v>
      </c>
      <c r="F910" s="13" t="s">
        <v>6535</v>
      </c>
      <c r="G910" s="13" t="s">
        <v>6536</v>
      </c>
      <c r="H910" s="13" t="s">
        <v>6060</v>
      </c>
      <c r="I910" s="15" t="n">
        <v>28</v>
      </c>
      <c r="J910" s="15" t="n">
        <v>27</v>
      </c>
      <c r="K910" s="15"/>
      <c r="L910" s="15"/>
      <c r="M910" s="15" t="n">
        <f aca="false">IF(ISNUMBER(L910),L910,J910)</f>
        <v>27</v>
      </c>
      <c r="N910" s="15" t="n">
        <f aca="false">ROUNDUP(M910,0)</f>
        <v>27</v>
      </c>
      <c r="O910" s="15" t="n">
        <f aca="false">MAX(I910,N910)</f>
        <v>28</v>
      </c>
      <c r="P910" s="15" t="n">
        <f aca="false">IF(C910="COVERED",MAX(0,O910-40),0)</f>
        <v>0</v>
      </c>
      <c r="Q910" s="15" t="n">
        <f aca="false">O910</f>
        <v>28</v>
      </c>
      <c r="R910" s="18" t="n">
        <f aca="false">IF(C910="COVERED",10.4,7.55)</f>
        <v>10.4</v>
      </c>
      <c r="S910" s="18" t="n">
        <f aca="false">Q910*R910</f>
        <v>291.2</v>
      </c>
      <c r="T910" s="13" t="s">
        <v>6537</v>
      </c>
      <c r="U910" s="14" t="n">
        <v>46235</v>
      </c>
      <c r="V910" s="13" t="n">
        <v>28</v>
      </c>
      <c r="W910" s="18" t="n">
        <v>10.4</v>
      </c>
      <c r="X910" s="18" t="n">
        <v>291.2</v>
      </c>
      <c r="Y910" s="18" t="n">
        <f aca="false">IF(ISNUMBER(X910),X910-S910,"")</f>
        <v>0</v>
      </c>
      <c r="Z910" s="18" t="n">
        <f aca="false">IF(ISNUMBER(X910),X910-S910,-S910)</f>
        <v>0</v>
      </c>
      <c r="AA910" s="13" t="str">
        <f aca="false">IF(NOT(ISNUMBER(X910)),"NO AUGUST POSTING IN EXPORT",IF(ABS(Y910)&gt;=0.005,"POSTED CHARGE MISMATCH",IF(P910&gt;0,"MATCH - COVERED ELIGIBILITY EXCEPTION","MATCH")))</f>
        <v>MATCH</v>
      </c>
      <c r="AB910" s="13" t="s">
        <v>6538</v>
      </c>
    </row>
    <row r="911" customFormat="false" ht="15" hidden="false" customHeight="false" outlineLevel="0" collapsed="false">
      <c r="A911" s="9" t="s">
        <v>6539</v>
      </c>
      <c r="B911" s="9" t="s">
        <v>135</v>
      </c>
      <c r="C911" s="9" t="s">
        <v>114</v>
      </c>
      <c r="D911" s="9" t="s">
        <v>2002</v>
      </c>
      <c r="E911" s="9" t="s">
        <v>2287</v>
      </c>
      <c r="F911" s="9" t="s">
        <v>6540</v>
      </c>
      <c r="G911" s="9" t="s">
        <v>6541</v>
      </c>
      <c r="H911" s="9" t="s">
        <v>6194</v>
      </c>
      <c r="I911" s="11" t="n">
        <v>28</v>
      </c>
      <c r="J911" s="11" t="n">
        <v>41.3</v>
      </c>
      <c r="K911" s="11"/>
      <c r="L911" s="11"/>
      <c r="M911" s="11" t="n">
        <f aca="false">IF(ISNUMBER(L911),L911,J911)</f>
        <v>41.3</v>
      </c>
      <c r="N911" s="11" t="n">
        <f aca="false">ROUNDUP(M911,0)</f>
        <v>42</v>
      </c>
      <c r="O911" s="11" t="n">
        <f aca="false">MAX(I911,N911)</f>
        <v>42</v>
      </c>
      <c r="P911" s="11" t="n">
        <f aca="false">IF(C911="COVERED",MAX(0,O911-40),0)</f>
        <v>2</v>
      </c>
      <c r="Q911" s="11" t="n">
        <f aca="false">O911</f>
        <v>42</v>
      </c>
      <c r="R911" s="17" t="n">
        <f aca="false">IF(C911="COVERED",10.4,7.55)</f>
        <v>10.4</v>
      </c>
      <c r="S911" s="17" t="n">
        <f aca="false">Q911*R911</f>
        <v>436.8</v>
      </c>
      <c r="T911" s="9" t="s">
        <v>6542</v>
      </c>
      <c r="U911" s="10" t="n">
        <v>46235</v>
      </c>
      <c r="V911" s="9" t="n">
        <v>42</v>
      </c>
      <c r="W911" s="17" t="n">
        <v>10.4</v>
      </c>
      <c r="X911" s="17" t="n">
        <v>436.8</v>
      </c>
      <c r="Y911" s="17" t="n">
        <f aca="false">IF(ISNUMBER(X911),X911-S911,"")</f>
        <v>0</v>
      </c>
      <c r="Z911" s="17" t="n">
        <f aca="false">IF(ISNUMBER(X911),X911-S911,-S911)</f>
        <v>0</v>
      </c>
      <c r="AA911" s="9" t="str">
        <f aca="false">IF(NOT(ISNUMBER(X911)),"NO AUGUST POSTING IN EXPORT",IF(ABS(Y911)&gt;=0.005,"POSTED CHARGE MISMATCH",IF(P911&gt;0,"MATCH - COVERED ELIGIBILITY EXCEPTION","MATCH")))</f>
        <v>MATCH - COVERED ELIGIBILITY EXCEPTION</v>
      </c>
      <c r="AB911" s="9" t="s">
        <v>6543</v>
      </c>
    </row>
    <row r="912" customFormat="false" ht="15" hidden="false" customHeight="false" outlineLevel="0" collapsed="false">
      <c r="A912" s="13" t="s">
        <v>6544</v>
      </c>
      <c r="B912" s="13" t="s">
        <v>135</v>
      </c>
      <c r="C912" s="13" t="s">
        <v>114</v>
      </c>
      <c r="D912" s="13" t="s">
        <v>2002</v>
      </c>
      <c r="E912" s="13" t="s">
        <v>2294</v>
      </c>
      <c r="F912" s="13" t="s">
        <v>6545</v>
      </c>
      <c r="G912" s="13" t="s">
        <v>6546</v>
      </c>
      <c r="H912" s="13" t="s">
        <v>3719</v>
      </c>
      <c r="I912" s="15" t="n">
        <v>32</v>
      </c>
      <c r="J912" s="15" t="n">
        <v>30.5</v>
      </c>
      <c r="K912" s="15"/>
      <c r="L912" s="15"/>
      <c r="M912" s="15" t="n">
        <f aca="false">IF(ISNUMBER(L912),L912,J912)</f>
        <v>30.5</v>
      </c>
      <c r="N912" s="15" t="n">
        <f aca="false">ROUNDUP(M912,0)</f>
        <v>31</v>
      </c>
      <c r="O912" s="15" t="n">
        <f aca="false">MAX(I912,N912)</f>
        <v>32</v>
      </c>
      <c r="P912" s="15" t="n">
        <f aca="false">IF(C912="COVERED",MAX(0,O912-40),0)</f>
        <v>0</v>
      </c>
      <c r="Q912" s="15" t="n">
        <f aca="false">O912</f>
        <v>32</v>
      </c>
      <c r="R912" s="18" t="n">
        <f aca="false">IF(C912="COVERED",10.4,7.55)</f>
        <v>10.4</v>
      </c>
      <c r="S912" s="18" t="n">
        <f aca="false">Q912*R912</f>
        <v>332.8</v>
      </c>
      <c r="T912" s="13" t="s">
        <v>6547</v>
      </c>
      <c r="U912" s="14" t="n">
        <v>46235</v>
      </c>
      <c r="V912" s="13" t="n">
        <v>32</v>
      </c>
      <c r="W912" s="18" t="n">
        <v>10.4</v>
      </c>
      <c r="X912" s="18" t="n">
        <v>332.8</v>
      </c>
      <c r="Y912" s="18" t="n">
        <f aca="false">IF(ISNUMBER(X912),X912-S912,"")</f>
        <v>0</v>
      </c>
      <c r="Z912" s="18" t="n">
        <f aca="false">IF(ISNUMBER(X912),X912-S912,-S912)</f>
        <v>0</v>
      </c>
      <c r="AA912" s="13" t="str">
        <f aca="false">IF(NOT(ISNUMBER(X912)),"NO AUGUST POSTING IN EXPORT",IF(ABS(Y912)&gt;=0.005,"POSTED CHARGE MISMATCH",IF(P912&gt;0,"MATCH - COVERED ELIGIBILITY EXCEPTION","MATCH")))</f>
        <v>MATCH</v>
      </c>
      <c r="AB912" s="13" t="s">
        <v>6548</v>
      </c>
    </row>
    <row r="913" customFormat="false" ht="15" hidden="false" customHeight="false" outlineLevel="0" collapsed="false">
      <c r="A913" s="9" t="s">
        <v>1473</v>
      </c>
      <c r="B913" s="9" t="s">
        <v>135</v>
      </c>
      <c r="C913" s="9" t="s">
        <v>114</v>
      </c>
      <c r="D913" s="9" t="s">
        <v>2002</v>
      </c>
      <c r="E913" s="9" t="s">
        <v>2300</v>
      </c>
      <c r="F913" s="9" t="s">
        <v>6549</v>
      </c>
      <c r="G913" s="9" t="s">
        <v>6550</v>
      </c>
      <c r="H913" s="9" t="s">
        <v>5229</v>
      </c>
      <c r="I913" s="11" t="n">
        <v>32</v>
      </c>
      <c r="J913" s="11" t="n">
        <v>32.2</v>
      </c>
      <c r="K913" s="11"/>
      <c r="L913" s="11"/>
      <c r="M913" s="11" t="n">
        <f aca="false">IF(ISNUMBER(L913),L913,J913)</f>
        <v>32.2</v>
      </c>
      <c r="N913" s="11" t="n">
        <f aca="false">ROUNDUP(M913,0)</f>
        <v>33</v>
      </c>
      <c r="O913" s="11" t="n">
        <f aca="false">MAX(I913,N913)</f>
        <v>33</v>
      </c>
      <c r="P913" s="11" t="n">
        <f aca="false">IF(C913="COVERED",MAX(0,O913-40),0)</f>
        <v>0</v>
      </c>
      <c r="Q913" s="11" t="n">
        <f aca="false">O913</f>
        <v>33</v>
      </c>
      <c r="R913" s="17" t="n">
        <f aca="false">IF(C913="COVERED",10.4,7.55)</f>
        <v>10.4</v>
      </c>
      <c r="S913" s="17" t="n">
        <f aca="false">Q913*R913</f>
        <v>343.2</v>
      </c>
      <c r="T913" s="9" t="s">
        <v>6551</v>
      </c>
      <c r="U913" s="10" t="n">
        <v>46235</v>
      </c>
      <c r="V913" s="9" t="n">
        <v>33</v>
      </c>
      <c r="W913" s="17" t="n">
        <v>10.4</v>
      </c>
      <c r="X913" s="17" t="n">
        <v>343.2</v>
      </c>
      <c r="Y913" s="17" t="n">
        <f aca="false">IF(ISNUMBER(X913),X913-S913,"")</f>
        <v>0</v>
      </c>
      <c r="Z913" s="17" t="n">
        <f aca="false">IF(ISNUMBER(X913),X913-S913,-S913)</f>
        <v>0</v>
      </c>
      <c r="AA913" s="9" t="str">
        <f aca="false">IF(NOT(ISNUMBER(X913)),"NO AUGUST POSTING IN EXPORT",IF(ABS(Y913)&gt;=0.005,"POSTED CHARGE MISMATCH",IF(P913&gt;0,"MATCH - COVERED ELIGIBILITY EXCEPTION","MATCH")))</f>
        <v>MATCH</v>
      </c>
      <c r="AB913" s="9" t="s">
        <v>6552</v>
      </c>
    </row>
    <row r="914" customFormat="false" ht="15" hidden="false" customHeight="false" outlineLevel="0" collapsed="false">
      <c r="A914" s="13" t="s">
        <v>6553</v>
      </c>
      <c r="B914" s="13" t="s">
        <v>135</v>
      </c>
      <c r="C914" s="13" t="s">
        <v>114</v>
      </c>
      <c r="D914" s="13" t="s">
        <v>2002</v>
      </c>
      <c r="E914" s="13" t="s">
        <v>2307</v>
      </c>
      <c r="F914" s="13" t="s">
        <v>6554</v>
      </c>
      <c r="G914" s="13" t="s">
        <v>6555</v>
      </c>
      <c r="H914" s="13" t="s">
        <v>5304</v>
      </c>
      <c r="I914" s="15" t="n">
        <v>24</v>
      </c>
      <c r="J914" s="15" t="n">
        <v>45.8</v>
      </c>
      <c r="K914" s="15"/>
      <c r="L914" s="15"/>
      <c r="M914" s="15" t="n">
        <f aca="false">IF(ISNUMBER(L914),L914,J914)</f>
        <v>45.8</v>
      </c>
      <c r="N914" s="15" t="n">
        <f aca="false">ROUNDUP(M914,0)</f>
        <v>46</v>
      </c>
      <c r="O914" s="15" t="n">
        <f aca="false">MAX(I914,N914)</f>
        <v>46</v>
      </c>
      <c r="P914" s="15" t="n">
        <f aca="false">IF(C914="COVERED",MAX(0,O914-40),0)</f>
        <v>6</v>
      </c>
      <c r="Q914" s="15" t="n">
        <f aca="false">O914</f>
        <v>46</v>
      </c>
      <c r="R914" s="18" t="n">
        <f aca="false">IF(C914="COVERED",10.4,7.55)</f>
        <v>10.4</v>
      </c>
      <c r="S914" s="18" t="n">
        <f aca="false">Q914*R914</f>
        <v>478.4</v>
      </c>
      <c r="T914" s="13" t="s">
        <v>6556</v>
      </c>
      <c r="U914" s="14" t="n">
        <v>46235</v>
      </c>
      <c r="V914" s="13" t="n">
        <v>46</v>
      </c>
      <c r="W914" s="18" t="n">
        <v>10.4</v>
      </c>
      <c r="X914" s="18" t="n">
        <v>478.4</v>
      </c>
      <c r="Y914" s="18" t="n">
        <f aca="false">IF(ISNUMBER(X914),X914-S914,"")</f>
        <v>0</v>
      </c>
      <c r="Z914" s="18" t="n">
        <f aca="false">IF(ISNUMBER(X914),X914-S914,-S914)</f>
        <v>0</v>
      </c>
      <c r="AA914" s="13" t="str">
        <f aca="false">IF(NOT(ISNUMBER(X914)),"NO AUGUST POSTING IN EXPORT",IF(ABS(Y914)&gt;=0.005,"POSTED CHARGE MISMATCH",IF(P914&gt;0,"MATCH - COVERED ELIGIBILITY EXCEPTION","MATCH")))</f>
        <v>MATCH - COVERED ELIGIBILITY EXCEPTION</v>
      </c>
      <c r="AB914" s="13" t="s">
        <v>6557</v>
      </c>
    </row>
    <row r="915" customFormat="false" ht="15" hidden="false" customHeight="false" outlineLevel="0" collapsed="false">
      <c r="A915" s="9" t="s">
        <v>1048</v>
      </c>
      <c r="B915" s="9" t="s">
        <v>135</v>
      </c>
      <c r="C915" s="9" t="s">
        <v>114</v>
      </c>
      <c r="D915" s="9" t="s">
        <v>2002</v>
      </c>
      <c r="E915" s="9" t="s">
        <v>2313</v>
      </c>
      <c r="F915" s="9" t="s">
        <v>1922</v>
      </c>
      <c r="G915" s="9" t="s">
        <v>1923</v>
      </c>
      <c r="H915" s="9" t="s">
        <v>2762</v>
      </c>
      <c r="I915" s="11" t="n">
        <v>28</v>
      </c>
      <c r="J915" s="11" t="n">
        <v>18.3</v>
      </c>
      <c r="K915" s="11"/>
      <c r="L915" s="11"/>
      <c r="M915" s="11" t="n">
        <f aca="false">IF(ISNUMBER(L915),L915,J915)</f>
        <v>18.3</v>
      </c>
      <c r="N915" s="11" t="n">
        <f aca="false">ROUNDUP(M915,0)</f>
        <v>19</v>
      </c>
      <c r="O915" s="11" t="n">
        <f aca="false">MAX(I915,N915)</f>
        <v>28</v>
      </c>
      <c r="P915" s="11" t="n">
        <f aca="false">IF(C915="COVERED",MAX(0,O915-40),0)</f>
        <v>0</v>
      </c>
      <c r="Q915" s="11" t="n">
        <f aca="false">O915</f>
        <v>28</v>
      </c>
      <c r="R915" s="17" t="n">
        <f aca="false">IF(C915="COVERED",10.4,7.55)</f>
        <v>10.4</v>
      </c>
      <c r="S915" s="17" t="n">
        <f aca="false">Q915*R915</f>
        <v>291.2</v>
      </c>
      <c r="T915" s="9" t="s">
        <v>6558</v>
      </c>
      <c r="U915" s="10" t="n">
        <v>46235</v>
      </c>
      <c r="V915" s="9" t="n">
        <v>28</v>
      </c>
      <c r="W915" s="17" t="n">
        <v>10.4</v>
      </c>
      <c r="X915" s="17" t="n">
        <v>291.2</v>
      </c>
      <c r="Y915" s="17" t="n">
        <f aca="false">IF(ISNUMBER(X915),X915-S915,"")</f>
        <v>0</v>
      </c>
      <c r="Z915" s="17" t="n">
        <f aca="false">IF(ISNUMBER(X915),X915-S915,-S915)</f>
        <v>0</v>
      </c>
      <c r="AA915" s="9" t="str">
        <f aca="false">IF(NOT(ISNUMBER(X915)),"NO AUGUST POSTING IN EXPORT",IF(ABS(Y915)&gt;=0.005,"POSTED CHARGE MISMATCH",IF(P915&gt;0,"MATCH - COVERED ELIGIBILITY EXCEPTION","MATCH")))</f>
        <v>MATCH</v>
      </c>
      <c r="AB915" s="9" t="s">
        <v>6559</v>
      </c>
    </row>
    <row r="916" customFormat="false" ht="15" hidden="false" customHeight="false" outlineLevel="0" collapsed="false">
      <c r="A916" s="13" t="s">
        <v>6560</v>
      </c>
      <c r="B916" s="13" t="s">
        <v>135</v>
      </c>
      <c r="C916" s="13" t="s">
        <v>114</v>
      </c>
      <c r="D916" s="13" t="s">
        <v>2002</v>
      </c>
      <c r="E916" s="13" t="s">
        <v>2319</v>
      </c>
      <c r="F916" s="13" t="s">
        <v>6561</v>
      </c>
      <c r="G916" s="13" t="s">
        <v>6562</v>
      </c>
      <c r="H916" s="13" t="s">
        <v>4386</v>
      </c>
      <c r="I916" s="15" t="n">
        <v>24</v>
      </c>
      <c r="J916" s="15" t="n">
        <v>32</v>
      </c>
      <c r="K916" s="15"/>
      <c r="L916" s="15"/>
      <c r="M916" s="15" t="n">
        <f aca="false">IF(ISNUMBER(L916),L916,J916)</f>
        <v>32</v>
      </c>
      <c r="N916" s="15" t="n">
        <f aca="false">ROUNDUP(M916,0)</f>
        <v>32</v>
      </c>
      <c r="O916" s="15" t="n">
        <f aca="false">MAX(I916,N916)</f>
        <v>32</v>
      </c>
      <c r="P916" s="15" t="n">
        <f aca="false">IF(C916="COVERED",MAX(0,O916-40),0)</f>
        <v>0</v>
      </c>
      <c r="Q916" s="15" t="n">
        <f aca="false">O916</f>
        <v>32</v>
      </c>
      <c r="R916" s="18" t="n">
        <f aca="false">IF(C916="COVERED",10.4,7.55)</f>
        <v>10.4</v>
      </c>
      <c r="S916" s="18" t="n">
        <f aca="false">Q916*R916</f>
        <v>332.8</v>
      </c>
      <c r="T916" s="13" t="s">
        <v>6563</v>
      </c>
      <c r="U916" s="14" t="n">
        <v>46235</v>
      </c>
      <c r="V916" s="13" t="n">
        <v>32</v>
      </c>
      <c r="W916" s="18" t="n">
        <v>10.4</v>
      </c>
      <c r="X916" s="18" t="n">
        <v>332.8</v>
      </c>
      <c r="Y916" s="18" t="n">
        <f aca="false">IF(ISNUMBER(X916),X916-S916,"")</f>
        <v>0</v>
      </c>
      <c r="Z916" s="18" t="n">
        <f aca="false">IF(ISNUMBER(X916),X916-S916,-S916)</f>
        <v>0</v>
      </c>
      <c r="AA916" s="13" t="str">
        <f aca="false">IF(NOT(ISNUMBER(X916)),"NO AUGUST POSTING IN EXPORT",IF(ABS(Y916)&gt;=0.005,"POSTED CHARGE MISMATCH",IF(P916&gt;0,"MATCH - COVERED ELIGIBILITY EXCEPTION","MATCH")))</f>
        <v>MATCH</v>
      </c>
      <c r="AB916" s="13" t="s">
        <v>6564</v>
      </c>
    </row>
    <row r="917" customFormat="false" ht="15" hidden="false" customHeight="false" outlineLevel="0" collapsed="false">
      <c r="A917" s="9" t="s">
        <v>6565</v>
      </c>
      <c r="B917" s="9" t="s">
        <v>135</v>
      </c>
      <c r="C917" s="9" t="s">
        <v>114</v>
      </c>
      <c r="D917" s="9" t="s">
        <v>2002</v>
      </c>
      <c r="E917" s="9" t="s">
        <v>2326</v>
      </c>
      <c r="F917" s="9" t="s">
        <v>6566</v>
      </c>
      <c r="G917" s="9" t="s">
        <v>6567</v>
      </c>
      <c r="H917" s="9" t="s">
        <v>3918</v>
      </c>
      <c r="I917" s="11" t="n">
        <v>24</v>
      </c>
      <c r="J917" s="11" t="n">
        <v>41.8</v>
      </c>
      <c r="K917" s="11"/>
      <c r="L917" s="11"/>
      <c r="M917" s="11" t="n">
        <f aca="false">IF(ISNUMBER(L917),L917,J917)</f>
        <v>41.8</v>
      </c>
      <c r="N917" s="11" t="n">
        <f aca="false">ROUNDUP(M917,0)</f>
        <v>42</v>
      </c>
      <c r="O917" s="11" t="n">
        <f aca="false">MAX(I917,N917)</f>
        <v>42</v>
      </c>
      <c r="P917" s="11" t="n">
        <f aca="false">IF(C917="COVERED",MAX(0,O917-40),0)</f>
        <v>2</v>
      </c>
      <c r="Q917" s="11" t="n">
        <f aca="false">O917</f>
        <v>42</v>
      </c>
      <c r="R917" s="17" t="n">
        <f aca="false">IF(C917="COVERED",10.4,7.55)</f>
        <v>10.4</v>
      </c>
      <c r="S917" s="17" t="n">
        <f aca="false">Q917*R917</f>
        <v>436.8</v>
      </c>
      <c r="T917" s="9" t="s">
        <v>6568</v>
      </c>
      <c r="U917" s="10" t="n">
        <v>46235</v>
      </c>
      <c r="V917" s="9" t="n">
        <v>42</v>
      </c>
      <c r="W917" s="17" t="n">
        <v>10.4</v>
      </c>
      <c r="X917" s="17" t="n">
        <v>436.8</v>
      </c>
      <c r="Y917" s="17" t="n">
        <f aca="false">IF(ISNUMBER(X917),X917-S917,"")</f>
        <v>0</v>
      </c>
      <c r="Z917" s="17" t="n">
        <f aca="false">IF(ISNUMBER(X917),X917-S917,-S917)</f>
        <v>0</v>
      </c>
      <c r="AA917" s="9" t="str">
        <f aca="false">IF(NOT(ISNUMBER(X917)),"NO AUGUST POSTING IN EXPORT",IF(ABS(Y917)&gt;=0.005,"POSTED CHARGE MISMATCH",IF(P917&gt;0,"MATCH - COVERED ELIGIBILITY EXCEPTION","MATCH")))</f>
        <v>MATCH - COVERED ELIGIBILITY EXCEPTION</v>
      </c>
      <c r="AB917" s="9" t="s">
        <v>6569</v>
      </c>
    </row>
    <row r="918" customFormat="false" ht="15" hidden="false" customHeight="false" outlineLevel="0" collapsed="false">
      <c r="A918" s="13" t="s">
        <v>6570</v>
      </c>
      <c r="B918" s="13" t="s">
        <v>135</v>
      </c>
      <c r="C918" s="13" t="s">
        <v>114</v>
      </c>
      <c r="D918" s="13" t="s">
        <v>2002</v>
      </c>
      <c r="E918" s="13" t="s">
        <v>2333</v>
      </c>
      <c r="F918" s="13" t="s">
        <v>6571</v>
      </c>
      <c r="G918" s="13" t="s">
        <v>6572</v>
      </c>
      <c r="H918" s="13" t="s">
        <v>4160</v>
      </c>
      <c r="I918" s="15" t="n">
        <v>36</v>
      </c>
      <c r="J918" s="15" t="n">
        <v>20.6</v>
      </c>
      <c r="K918" s="15"/>
      <c r="L918" s="15"/>
      <c r="M918" s="15" t="n">
        <f aca="false">IF(ISNUMBER(L918),L918,J918)</f>
        <v>20.6</v>
      </c>
      <c r="N918" s="15" t="n">
        <f aca="false">ROUNDUP(M918,0)</f>
        <v>21</v>
      </c>
      <c r="O918" s="15" t="n">
        <f aca="false">MAX(I918,N918)</f>
        <v>36</v>
      </c>
      <c r="P918" s="15" t="n">
        <f aca="false">IF(C918="COVERED",MAX(0,O918-40),0)</f>
        <v>0</v>
      </c>
      <c r="Q918" s="15" t="n">
        <f aca="false">O918</f>
        <v>36</v>
      </c>
      <c r="R918" s="18" t="n">
        <f aca="false">IF(C918="COVERED",10.4,7.55)</f>
        <v>10.4</v>
      </c>
      <c r="S918" s="18" t="n">
        <f aca="false">Q918*R918</f>
        <v>374.4</v>
      </c>
      <c r="T918" s="13" t="s">
        <v>6573</v>
      </c>
      <c r="U918" s="14" t="n">
        <v>46235</v>
      </c>
      <c r="V918" s="13" t="n">
        <v>36</v>
      </c>
      <c r="W918" s="18" t="n">
        <v>10.4</v>
      </c>
      <c r="X918" s="18" t="n">
        <v>374.4</v>
      </c>
      <c r="Y918" s="18" t="n">
        <f aca="false">IF(ISNUMBER(X918),X918-S918,"")</f>
        <v>0</v>
      </c>
      <c r="Z918" s="18" t="n">
        <f aca="false">IF(ISNUMBER(X918),X918-S918,-S918)</f>
        <v>0</v>
      </c>
      <c r="AA918" s="13" t="str">
        <f aca="false">IF(NOT(ISNUMBER(X918)),"NO AUGUST POSTING IN EXPORT",IF(ABS(Y918)&gt;=0.005,"POSTED CHARGE MISMATCH",IF(P918&gt;0,"MATCH - COVERED ELIGIBILITY EXCEPTION","MATCH")))</f>
        <v>MATCH</v>
      </c>
      <c r="AB918" s="13" t="s">
        <v>6574</v>
      </c>
    </row>
    <row r="919" customFormat="false" ht="15" hidden="false" customHeight="false" outlineLevel="0" collapsed="false">
      <c r="A919" s="9" t="s">
        <v>6575</v>
      </c>
      <c r="B919" s="9" t="s">
        <v>135</v>
      </c>
      <c r="C919" s="9" t="s">
        <v>114</v>
      </c>
      <c r="D919" s="9" t="s">
        <v>2002</v>
      </c>
      <c r="E919" s="9" t="s">
        <v>3656</v>
      </c>
      <c r="F919" s="9" t="s">
        <v>6576</v>
      </c>
      <c r="G919" s="9" t="s">
        <v>6577</v>
      </c>
      <c r="H919" s="9" t="s">
        <v>3523</v>
      </c>
      <c r="I919" s="11" t="n">
        <v>28</v>
      </c>
      <c r="J919" s="11" t="n">
        <v>38.6</v>
      </c>
      <c r="K919" s="11"/>
      <c r="L919" s="11"/>
      <c r="M919" s="11" t="n">
        <f aca="false">IF(ISNUMBER(L919),L919,J919)</f>
        <v>38.6</v>
      </c>
      <c r="N919" s="11" t="n">
        <f aca="false">ROUNDUP(M919,0)</f>
        <v>39</v>
      </c>
      <c r="O919" s="11" t="n">
        <f aca="false">MAX(I919,N919)</f>
        <v>39</v>
      </c>
      <c r="P919" s="11" t="n">
        <f aca="false">IF(C919="COVERED",MAX(0,O919-40),0)</f>
        <v>0</v>
      </c>
      <c r="Q919" s="11" t="n">
        <f aca="false">O919</f>
        <v>39</v>
      </c>
      <c r="R919" s="17" t="n">
        <f aca="false">IF(C919="COVERED",10.4,7.55)</f>
        <v>10.4</v>
      </c>
      <c r="S919" s="17" t="n">
        <f aca="false">Q919*R919</f>
        <v>405.6</v>
      </c>
      <c r="T919" s="9" t="s">
        <v>6578</v>
      </c>
      <c r="U919" s="10" t="n">
        <v>46235</v>
      </c>
      <c r="V919" s="9" t="n">
        <v>39</v>
      </c>
      <c r="W919" s="17" t="n">
        <v>10.4</v>
      </c>
      <c r="X919" s="17" t="n">
        <v>405.6</v>
      </c>
      <c r="Y919" s="17" t="n">
        <f aca="false">IF(ISNUMBER(X919),X919-S919,"")</f>
        <v>0</v>
      </c>
      <c r="Z919" s="17" t="n">
        <f aca="false">IF(ISNUMBER(X919),X919-S919,-S919)</f>
        <v>0</v>
      </c>
      <c r="AA919" s="9" t="str">
        <f aca="false">IF(NOT(ISNUMBER(X919)),"NO AUGUST POSTING IN EXPORT",IF(ABS(Y919)&gt;=0.005,"POSTED CHARGE MISMATCH",IF(P919&gt;0,"MATCH - COVERED ELIGIBILITY EXCEPTION","MATCH")))</f>
        <v>MATCH</v>
      </c>
      <c r="AB919" s="9" t="s">
        <v>6579</v>
      </c>
    </row>
    <row r="920" customFormat="false" ht="15" hidden="false" customHeight="false" outlineLevel="0" collapsed="false">
      <c r="A920" s="13" t="s">
        <v>705</v>
      </c>
      <c r="B920" s="13" t="s">
        <v>135</v>
      </c>
      <c r="C920" s="13" t="s">
        <v>114</v>
      </c>
      <c r="D920" s="13" t="s">
        <v>2002</v>
      </c>
      <c r="E920" s="13" t="s">
        <v>2340</v>
      </c>
      <c r="F920" s="13" t="s">
        <v>6580</v>
      </c>
      <c r="G920" s="13" t="s">
        <v>6581</v>
      </c>
      <c r="H920" s="13" t="s">
        <v>2343</v>
      </c>
      <c r="I920" s="15" t="n">
        <v>32</v>
      </c>
      <c r="J920" s="15" t="n">
        <v>46.6</v>
      </c>
      <c r="K920" s="15"/>
      <c r="L920" s="15"/>
      <c r="M920" s="15" t="n">
        <f aca="false">IF(ISNUMBER(L920),L920,J920)</f>
        <v>46.6</v>
      </c>
      <c r="N920" s="15" t="n">
        <f aca="false">ROUNDUP(M920,0)</f>
        <v>47</v>
      </c>
      <c r="O920" s="15" t="n">
        <f aca="false">MAX(I920,N920)</f>
        <v>47</v>
      </c>
      <c r="P920" s="15" t="n">
        <f aca="false">IF(C920="COVERED",MAX(0,O920-40),0)</f>
        <v>7</v>
      </c>
      <c r="Q920" s="15" t="n">
        <f aca="false">O920</f>
        <v>47</v>
      </c>
      <c r="R920" s="18" t="n">
        <f aca="false">IF(C920="COVERED",10.4,7.55)</f>
        <v>10.4</v>
      </c>
      <c r="S920" s="18" t="n">
        <f aca="false">Q920*R920</f>
        <v>488.8</v>
      </c>
      <c r="T920" s="13" t="s">
        <v>6582</v>
      </c>
      <c r="U920" s="14" t="n">
        <v>46235</v>
      </c>
      <c r="V920" s="13" t="n">
        <v>47</v>
      </c>
      <c r="W920" s="18" t="n">
        <v>10.4</v>
      </c>
      <c r="X920" s="18" t="n">
        <v>488.8</v>
      </c>
      <c r="Y920" s="18" t="n">
        <f aca="false">IF(ISNUMBER(X920),X920-S920,"")</f>
        <v>0</v>
      </c>
      <c r="Z920" s="18" t="n">
        <f aca="false">IF(ISNUMBER(X920),X920-S920,-S920)</f>
        <v>0</v>
      </c>
      <c r="AA920" s="13" t="str">
        <f aca="false">IF(NOT(ISNUMBER(X920)),"NO AUGUST POSTING IN EXPORT",IF(ABS(Y920)&gt;=0.005,"POSTED CHARGE MISMATCH",IF(P920&gt;0,"MATCH - COVERED ELIGIBILITY EXCEPTION","MATCH")))</f>
        <v>MATCH - COVERED ELIGIBILITY EXCEPTION</v>
      </c>
      <c r="AB920" s="13" t="s">
        <v>6583</v>
      </c>
    </row>
    <row r="921" customFormat="false" ht="15" hidden="false" customHeight="false" outlineLevel="0" collapsed="false">
      <c r="A921" s="9" t="s">
        <v>1903</v>
      </c>
      <c r="B921" s="9" t="s">
        <v>135</v>
      </c>
      <c r="C921" s="9" t="s">
        <v>114</v>
      </c>
      <c r="D921" s="9" t="s">
        <v>2002</v>
      </c>
      <c r="E921" s="9" t="s">
        <v>2347</v>
      </c>
      <c r="F921" s="9" t="s">
        <v>6584</v>
      </c>
      <c r="G921" s="9" t="s">
        <v>6585</v>
      </c>
      <c r="H921" s="9" t="s">
        <v>6175</v>
      </c>
      <c r="I921" s="11" t="n">
        <v>24</v>
      </c>
      <c r="J921" s="11" t="n">
        <v>56.6</v>
      </c>
      <c r="K921" s="11"/>
      <c r="L921" s="11"/>
      <c r="M921" s="11" t="n">
        <f aca="false">IF(ISNUMBER(L921),L921,J921)</f>
        <v>56.6</v>
      </c>
      <c r="N921" s="11" t="n">
        <f aca="false">ROUNDUP(M921,0)</f>
        <v>57</v>
      </c>
      <c r="O921" s="11" t="n">
        <f aca="false">MAX(I921,N921)</f>
        <v>57</v>
      </c>
      <c r="P921" s="11" t="n">
        <f aca="false">IF(C921="COVERED",MAX(0,O921-40),0)</f>
        <v>17</v>
      </c>
      <c r="Q921" s="11" t="n">
        <f aca="false">O921</f>
        <v>57</v>
      </c>
      <c r="R921" s="17" t="n">
        <f aca="false">IF(C921="COVERED",10.4,7.55)</f>
        <v>10.4</v>
      </c>
      <c r="S921" s="17" t="n">
        <f aca="false">Q921*R921</f>
        <v>592.8</v>
      </c>
      <c r="T921" s="9" t="s">
        <v>6586</v>
      </c>
      <c r="U921" s="10" t="n">
        <v>46235</v>
      </c>
      <c r="V921" s="9" t="n">
        <v>57</v>
      </c>
      <c r="W921" s="17" t="n">
        <v>10.4</v>
      </c>
      <c r="X921" s="17" t="n">
        <v>592.8</v>
      </c>
      <c r="Y921" s="17" t="n">
        <f aca="false">IF(ISNUMBER(X921),X921-S921,"")</f>
        <v>0</v>
      </c>
      <c r="Z921" s="17" t="n">
        <f aca="false">IF(ISNUMBER(X921),X921-S921,-S921)</f>
        <v>0</v>
      </c>
      <c r="AA921" s="9" t="str">
        <f aca="false">IF(NOT(ISNUMBER(X921)),"NO AUGUST POSTING IN EXPORT",IF(ABS(Y921)&gt;=0.005,"POSTED CHARGE MISMATCH",IF(P921&gt;0,"MATCH - COVERED ELIGIBILITY EXCEPTION","MATCH")))</f>
        <v>MATCH - COVERED ELIGIBILITY EXCEPTION</v>
      </c>
      <c r="AB921" s="9" t="s">
        <v>6587</v>
      </c>
    </row>
    <row r="922" customFormat="false" ht="15" hidden="false" customHeight="false" outlineLevel="0" collapsed="false">
      <c r="A922" s="13" t="s">
        <v>6588</v>
      </c>
      <c r="B922" s="13" t="s">
        <v>135</v>
      </c>
      <c r="C922" s="13" t="s">
        <v>114</v>
      </c>
      <c r="D922" s="13" t="s">
        <v>2002</v>
      </c>
      <c r="E922" s="13" t="s">
        <v>2361</v>
      </c>
      <c r="F922" s="13" t="s">
        <v>1859</v>
      </c>
      <c r="G922" s="13" t="s">
        <v>1860</v>
      </c>
      <c r="H922" s="13" t="s">
        <v>4508</v>
      </c>
      <c r="I922" s="15" t="n">
        <v>24</v>
      </c>
      <c r="J922" s="15" t="n">
        <v>61.1</v>
      </c>
      <c r="K922" s="15"/>
      <c r="L922" s="15"/>
      <c r="M922" s="15" t="n">
        <f aca="false">IF(ISNUMBER(L922),L922,J922)</f>
        <v>61.1</v>
      </c>
      <c r="N922" s="15" t="n">
        <f aca="false">ROUNDUP(M922,0)</f>
        <v>62</v>
      </c>
      <c r="O922" s="15" t="n">
        <f aca="false">MAX(I922,N922)</f>
        <v>62</v>
      </c>
      <c r="P922" s="15" t="n">
        <f aca="false">IF(C922="COVERED",MAX(0,O922-40),0)</f>
        <v>22</v>
      </c>
      <c r="Q922" s="15" t="n">
        <f aca="false">O922</f>
        <v>62</v>
      </c>
      <c r="R922" s="18" t="n">
        <f aca="false">IF(C922="COVERED",10.4,7.55)</f>
        <v>10.4</v>
      </c>
      <c r="S922" s="18" t="n">
        <f aca="false">Q922*R922</f>
        <v>644.8</v>
      </c>
      <c r="T922" s="13" t="s">
        <v>6589</v>
      </c>
      <c r="U922" s="14" t="n">
        <v>46235</v>
      </c>
      <c r="V922" s="13" t="n">
        <v>62</v>
      </c>
      <c r="W922" s="18" t="n">
        <v>10.4</v>
      </c>
      <c r="X922" s="18" t="n">
        <v>644.8</v>
      </c>
      <c r="Y922" s="18" t="n">
        <f aca="false">IF(ISNUMBER(X922),X922-S922,"")</f>
        <v>0</v>
      </c>
      <c r="Z922" s="18" t="n">
        <f aca="false">IF(ISNUMBER(X922),X922-S922,-S922)</f>
        <v>0</v>
      </c>
      <c r="AA922" s="13" t="str">
        <f aca="false">IF(NOT(ISNUMBER(X922)),"NO AUGUST POSTING IN EXPORT",IF(ABS(Y922)&gt;=0.005,"POSTED CHARGE MISMATCH",IF(P922&gt;0,"MATCH - COVERED ELIGIBILITY EXCEPTION","MATCH")))</f>
        <v>MATCH - COVERED ELIGIBILITY EXCEPTION</v>
      </c>
      <c r="AB922" s="13" t="s">
        <v>6590</v>
      </c>
    </row>
    <row r="923" customFormat="false" ht="15" hidden="false" customHeight="false" outlineLevel="0" collapsed="false">
      <c r="A923" s="9" t="s">
        <v>6591</v>
      </c>
      <c r="B923" s="9" t="s">
        <v>135</v>
      </c>
      <c r="C923" s="9" t="s">
        <v>114</v>
      </c>
      <c r="D923" s="9" t="s">
        <v>2002</v>
      </c>
      <c r="E923" s="9" t="s">
        <v>2368</v>
      </c>
      <c r="F923" s="9" t="s">
        <v>6592</v>
      </c>
      <c r="G923" s="9" t="s">
        <v>6593</v>
      </c>
      <c r="H923" s="9" t="s">
        <v>6594</v>
      </c>
      <c r="I923" s="11" t="n">
        <v>28</v>
      </c>
      <c r="J923" s="11" t="n">
        <v>40</v>
      </c>
      <c r="K923" s="11"/>
      <c r="L923" s="11"/>
      <c r="M923" s="11" t="n">
        <f aca="false">IF(ISNUMBER(L923),L923,J923)</f>
        <v>40</v>
      </c>
      <c r="N923" s="11" t="n">
        <f aca="false">ROUNDUP(M923,0)</f>
        <v>40</v>
      </c>
      <c r="O923" s="11" t="n">
        <f aca="false">MAX(I923,N923)</f>
        <v>40</v>
      </c>
      <c r="P923" s="11" t="n">
        <f aca="false">IF(C923="COVERED",MAX(0,O923-40),0)</f>
        <v>0</v>
      </c>
      <c r="Q923" s="11" t="n">
        <f aca="false">O923</f>
        <v>40</v>
      </c>
      <c r="R923" s="17" t="n">
        <f aca="false">IF(C923="COVERED",10.4,7.55)</f>
        <v>10.4</v>
      </c>
      <c r="S923" s="17" t="n">
        <f aca="false">Q923*R923</f>
        <v>416</v>
      </c>
      <c r="T923" s="9" t="s">
        <v>6595</v>
      </c>
      <c r="U923" s="10" t="n">
        <v>46235</v>
      </c>
      <c r="V923" s="9" t="n">
        <v>40</v>
      </c>
      <c r="W923" s="17" t="n">
        <v>10.4</v>
      </c>
      <c r="X923" s="17" t="n">
        <v>416</v>
      </c>
      <c r="Y923" s="17" t="n">
        <f aca="false">IF(ISNUMBER(X923),X923-S923,"")</f>
        <v>0</v>
      </c>
      <c r="Z923" s="17" t="n">
        <f aca="false">IF(ISNUMBER(X923),X923-S923,-S923)</f>
        <v>0</v>
      </c>
      <c r="AA923" s="9" t="str">
        <f aca="false">IF(NOT(ISNUMBER(X923)),"NO AUGUST POSTING IN EXPORT",IF(ABS(Y923)&gt;=0.005,"POSTED CHARGE MISMATCH",IF(P923&gt;0,"MATCH - COVERED ELIGIBILITY EXCEPTION","MATCH")))</f>
        <v>MATCH</v>
      </c>
      <c r="AB923" s="9" t="s">
        <v>6596</v>
      </c>
    </row>
    <row r="924" customFormat="false" ht="15" hidden="false" customHeight="false" outlineLevel="0" collapsed="false">
      <c r="A924" s="13" t="s">
        <v>6597</v>
      </c>
      <c r="B924" s="13" t="s">
        <v>135</v>
      </c>
      <c r="C924" s="13" t="s">
        <v>114</v>
      </c>
      <c r="D924" s="13" t="s">
        <v>2002</v>
      </c>
      <c r="E924" s="13" t="s">
        <v>2375</v>
      </c>
      <c r="F924" s="13" t="s">
        <v>6598</v>
      </c>
      <c r="G924" s="13" t="s">
        <v>6599</v>
      </c>
      <c r="H924" s="13" t="s">
        <v>5148</v>
      </c>
      <c r="I924" s="15" t="n">
        <v>36</v>
      </c>
      <c r="J924" s="15" t="n">
        <v>32.7</v>
      </c>
      <c r="K924" s="15"/>
      <c r="L924" s="15"/>
      <c r="M924" s="15" t="n">
        <f aca="false">IF(ISNUMBER(L924),L924,J924)</f>
        <v>32.7</v>
      </c>
      <c r="N924" s="15" t="n">
        <f aca="false">ROUNDUP(M924,0)</f>
        <v>33</v>
      </c>
      <c r="O924" s="15" t="n">
        <f aca="false">MAX(I924,N924)</f>
        <v>36</v>
      </c>
      <c r="P924" s="15" t="n">
        <f aca="false">IF(C924="COVERED",MAX(0,O924-40),0)</f>
        <v>0</v>
      </c>
      <c r="Q924" s="15" t="n">
        <f aca="false">O924</f>
        <v>36</v>
      </c>
      <c r="R924" s="18" t="n">
        <f aca="false">IF(C924="COVERED",10.4,7.55)</f>
        <v>10.4</v>
      </c>
      <c r="S924" s="18" t="n">
        <f aca="false">Q924*R924</f>
        <v>374.4</v>
      </c>
      <c r="T924" s="13" t="s">
        <v>6600</v>
      </c>
      <c r="U924" s="14" t="n">
        <v>46235</v>
      </c>
      <c r="V924" s="13" t="n">
        <v>36</v>
      </c>
      <c r="W924" s="18" t="n">
        <v>10.4</v>
      </c>
      <c r="X924" s="18" t="n">
        <v>374.4</v>
      </c>
      <c r="Y924" s="18" t="n">
        <f aca="false">IF(ISNUMBER(X924),X924-S924,"")</f>
        <v>0</v>
      </c>
      <c r="Z924" s="18" t="n">
        <f aca="false">IF(ISNUMBER(X924),X924-S924,-S924)</f>
        <v>0</v>
      </c>
      <c r="AA924" s="13" t="str">
        <f aca="false">IF(NOT(ISNUMBER(X924)),"NO AUGUST POSTING IN EXPORT",IF(ABS(Y924)&gt;=0.005,"POSTED CHARGE MISMATCH",IF(P924&gt;0,"MATCH - COVERED ELIGIBILITY EXCEPTION","MATCH")))</f>
        <v>MATCH</v>
      </c>
      <c r="AB924" s="13" t="s">
        <v>6601</v>
      </c>
    </row>
    <row r="925" customFormat="false" ht="15" hidden="false" customHeight="false" outlineLevel="0" collapsed="false">
      <c r="A925" s="9" t="s">
        <v>6602</v>
      </c>
      <c r="B925" s="9" t="s">
        <v>135</v>
      </c>
      <c r="C925" s="9" t="s">
        <v>114</v>
      </c>
      <c r="D925" s="9" t="s">
        <v>2002</v>
      </c>
      <c r="E925" s="9" t="s">
        <v>2382</v>
      </c>
      <c r="F925" s="9" t="s">
        <v>414</v>
      </c>
      <c r="G925" s="9" t="s">
        <v>415</v>
      </c>
      <c r="H925" s="9" t="s">
        <v>2112</v>
      </c>
      <c r="I925" s="11" t="n">
        <v>24</v>
      </c>
      <c r="J925" s="11" t="n">
        <v>38.4</v>
      </c>
      <c r="K925" s="11"/>
      <c r="L925" s="11"/>
      <c r="M925" s="11" t="n">
        <f aca="false">IF(ISNUMBER(L925),L925,J925)</f>
        <v>38.4</v>
      </c>
      <c r="N925" s="11" t="n">
        <f aca="false">ROUNDUP(M925,0)</f>
        <v>39</v>
      </c>
      <c r="O925" s="11" t="n">
        <f aca="false">MAX(I925,N925)</f>
        <v>39</v>
      </c>
      <c r="P925" s="11" t="n">
        <f aca="false">IF(C925="COVERED",MAX(0,O925-40),0)</f>
        <v>0</v>
      </c>
      <c r="Q925" s="11" t="n">
        <f aca="false">O925</f>
        <v>39</v>
      </c>
      <c r="R925" s="17" t="n">
        <f aca="false">IF(C925="COVERED",10.4,7.55)</f>
        <v>10.4</v>
      </c>
      <c r="S925" s="17" t="n">
        <f aca="false">Q925*R925</f>
        <v>405.6</v>
      </c>
      <c r="T925" s="9" t="s">
        <v>6603</v>
      </c>
      <c r="U925" s="10" t="n">
        <v>46235</v>
      </c>
      <c r="V925" s="9" t="n">
        <v>39</v>
      </c>
      <c r="W925" s="17" t="n">
        <v>10.4</v>
      </c>
      <c r="X925" s="17" t="n">
        <v>405.6</v>
      </c>
      <c r="Y925" s="17" t="n">
        <f aca="false">IF(ISNUMBER(X925),X925-S925,"")</f>
        <v>0</v>
      </c>
      <c r="Z925" s="17" t="n">
        <f aca="false">IF(ISNUMBER(X925),X925-S925,-S925)</f>
        <v>0</v>
      </c>
      <c r="AA925" s="9" t="str">
        <f aca="false">IF(NOT(ISNUMBER(X925)),"NO AUGUST POSTING IN EXPORT",IF(ABS(Y925)&gt;=0.005,"POSTED CHARGE MISMATCH",IF(P925&gt;0,"MATCH - COVERED ELIGIBILITY EXCEPTION","MATCH")))</f>
        <v>MATCH</v>
      </c>
      <c r="AB925" s="9" t="s">
        <v>6604</v>
      </c>
    </row>
    <row r="926" customFormat="false" ht="15" hidden="false" customHeight="false" outlineLevel="0" collapsed="false">
      <c r="A926" s="13" t="s">
        <v>6605</v>
      </c>
      <c r="B926" s="13" t="s">
        <v>135</v>
      </c>
      <c r="C926" s="13" t="s">
        <v>114</v>
      </c>
      <c r="D926" s="13" t="s">
        <v>2002</v>
      </c>
      <c r="E926" s="13" t="s">
        <v>2389</v>
      </c>
      <c r="F926" s="13" t="s">
        <v>6606</v>
      </c>
      <c r="G926" s="13" t="s">
        <v>6607</v>
      </c>
      <c r="H926" s="13" t="s">
        <v>2350</v>
      </c>
      <c r="I926" s="15" t="n">
        <v>32</v>
      </c>
      <c r="J926" s="15" t="n">
        <v>27.2</v>
      </c>
      <c r="K926" s="15"/>
      <c r="L926" s="15"/>
      <c r="M926" s="15" t="n">
        <f aca="false">IF(ISNUMBER(L926),L926,J926)</f>
        <v>27.2</v>
      </c>
      <c r="N926" s="15" t="n">
        <f aca="false">ROUNDUP(M926,0)</f>
        <v>28</v>
      </c>
      <c r="O926" s="15" t="n">
        <f aca="false">MAX(I926,N926)</f>
        <v>32</v>
      </c>
      <c r="P926" s="15" t="n">
        <f aca="false">IF(C926="COVERED",MAX(0,O926-40),0)</f>
        <v>0</v>
      </c>
      <c r="Q926" s="15" t="n">
        <f aca="false">O926</f>
        <v>32</v>
      </c>
      <c r="R926" s="18" t="n">
        <f aca="false">IF(C926="COVERED",10.4,7.55)</f>
        <v>10.4</v>
      </c>
      <c r="S926" s="18" t="n">
        <f aca="false">Q926*R926</f>
        <v>332.8</v>
      </c>
      <c r="T926" s="13" t="s">
        <v>6608</v>
      </c>
      <c r="U926" s="14" t="n">
        <v>46235</v>
      </c>
      <c r="V926" s="13" t="n">
        <v>32</v>
      </c>
      <c r="W926" s="18" t="n">
        <v>10.4</v>
      </c>
      <c r="X926" s="18" t="n">
        <v>332.8</v>
      </c>
      <c r="Y926" s="18" t="n">
        <f aca="false">IF(ISNUMBER(X926),X926-S926,"")</f>
        <v>0</v>
      </c>
      <c r="Z926" s="18" t="n">
        <f aca="false">IF(ISNUMBER(X926),X926-S926,-S926)</f>
        <v>0</v>
      </c>
      <c r="AA926" s="13" t="str">
        <f aca="false">IF(NOT(ISNUMBER(X926)),"NO AUGUST POSTING IN EXPORT",IF(ABS(Y926)&gt;=0.005,"POSTED CHARGE MISMATCH",IF(P926&gt;0,"MATCH - COVERED ELIGIBILITY EXCEPTION","MATCH")))</f>
        <v>MATCH</v>
      </c>
      <c r="AB926" s="13" t="s">
        <v>6609</v>
      </c>
    </row>
    <row r="927" customFormat="false" ht="15" hidden="false" customHeight="false" outlineLevel="0" collapsed="false">
      <c r="A927" s="9" t="s">
        <v>6610</v>
      </c>
      <c r="B927" s="9" t="s">
        <v>135</v>
      </c>
      <c r="C927" s="9" t="s">
        <v>114</v>
      </c>
      <c r="D927" s="9" t="s">
        <v>2002</v>
      </c>
      <c r="E927" s="9" t="s">
        <v>2394</v>
      </c>
      <c r="F927" s="9" t="s">
        <v>6611</v>
      </c>
      <c r="G927" s="9" t="s">
        <v>6612</v>
      </c>
      <c r="H927" s="9" t="s">
        <v>3286</v>
      </c>
      <c r="I927" s="11" t="n">
        <v>28</v>
      </c>
      <c r="J927" s="11" t="n">
        <v>25.8</v>
      </c>
      <c r="K927" s="11"/>
      <c r="L927" s="11"/>
      <c r="M927" s="11" t="n">
        <f aca="false">IF(ISNUMBER(L927),L927,J927)</f>
        <v>25.8</v>
      </c>
      <c r="N927" s="11" t="n">
        <f aca="false">ROUNDUP(M927,0)</f>
        <v>26</v>
      </c>
      <c r="O927" s="11" t="n">
        <f aca="false">MAX(I927,N927)</f>
        <v>28</v>
      </c>
      <c r="P927" s="11" t="n">
        <f aca="false">IF(C927="COVERED",MAX(0,O927-40),0)</f>
        <v>0</v>
      </c>
      <c r="Q927" s="11" t="n">
        <f aca="false">O927</f>
        <v>28</v>
      </c>
      <c r="R927" s="17" t="n">
        <f aca="false">IF(C927="COVERED",10.4,7.55)</f>
        <v>10.4</v>
      </c>
      <c r="S927" s="17" t="n">
        <f aca="false">Q927*R927</f>
        <v>291.2</v>
      </c>
      <c r="T927" s="9" t="s">
        <v>6613</v>
      </c>
      <c r="U927" s="10" t="n">
        <v>46235</v>
      </c>
      <c r="V927" s="9" t="n">
        <v>28</v>
      </c>
      <c r="W927" s="17" t="n">
        <v>10.4</v>
      </c>
      <c r="X927" s="17" t="n">
        <v>291.2</v>
      </c>
      <c r="Y927" s="17" t="n">
        <f aca="false">IF(ISNUMBER(X927),X927-S927,"")</f>
        <v>0</v>
      </c>
      <c r="Z927" s="17" t="n">
        <f aca="false">IF(ISNUMBER(X927),X927-S927,-S927)</f>
        <v>0</v>
      </c>
      <c r="AA927" s="9" t="str">
        <f aca="false">IF(NOT(ISNUMBER(X927)),"NO AUGUST POSTING IN EXPORT",IF(ABS(Y927)&gt;=0.005,"POSTED CHARGE MISMATCH",IF(P927&gt;0,"MATCH - COVERED ELIGIBILITY EXCEPTION","MATCH")))</f>
        <v>MATCH</v>
      </c>
      <c r="AB927" s="9" t="s">
        <v>6614</v>
      </c>
    </row>
    <row r="928" customFormat="false" ht="15" hidden="false" customHeight="false" outlineLevel="0" collapsed="false">
      <c r="A928" s="13" t="s">
        <v>6615</v>
      </c>
      <c r="B928" s="13" t="s">
        <v>135</v>
      </c>
      <c r="C928" s="13" t="s">
        <v>114</v>
      </c>
      <c r="D928" s="13" t="s">
        <v>2002</v>
      </c>
      <c r="E928" s="13" t="s">
        <v>3690</v>
      </c>
      <c r="F928" s="13" t="s">
        <v>6616</v>
      </c>
      <c r="G928" s="13" t="s">
        <v>6617</v>
      </c>
      <c r="H928" s="13" t="s">
        <v>6618</v>
      </c>
      <c r="I928" s="15" t="n">
        <v>32</v>
      </c>
      <c r="J928" s="15" t="n">
        <v>50</v>
      </c>
      <c r="K928" s="15"/>
      <c r="L928" s="15"/>
      <c r="M928" s="15" t="n">
        <f aca="false">IF(ISNUMBER(L928),L928,J928)</f>
        <v>50</v>
      </c>
      <c r="N928" s="15" t="n">
        <f aca="false">ROUNDUP(M928,0)</f>
        <v>50</v>
      </c>
      <c r="O928" s="15" t="n">
        <f aca="false">MAX(I928,N928)</f>
        <v>50</v>
      </c>
      <c r="P928" s="15" t="n">
        <f aca="false">IF(C928="COVERED",MAX(0,O928-40),0)</f>
        <v>10</v>
      </c>
      <c r="Q928" s="15" t="n">
        <f aca="false">O928</f>
        <v>50</v>
      </c>
      <c r="R928" s="18" t="n">
        <f aca="false">IF(C928="COVERED",10.4,7.55)</f>
        <v>10.4</v>
      </c>
      <c r="S928" s="18" t="n">
        <f aca="false">Q928*R928</f>
        <v>520</v>
      </c>
      <c r="T928" s="13" t="s">
        <v>6619</v>
      </c>
      <c r="U928" s="14" t="n">
        <v>46235</v>
      </c>
      <c r="V928" s="13" t="n">
        <v>50</v>
      </c>
      <c r="W928" s="18" t="n">
        <v>10.4</v>
      </c>
      <c r="X928" s="18" t="n">
        <v>520</v>
      </c>
      <c r="Y928" s="18" t="n">
        <f aca="false">IF(ISNUMBER(X928),X928-S928,"")</f>
        <v>0</v>
      </c>
      <c r="Z928" s="18" t="n">
        <f aca="false">IF(ISNUMBER(X928),X928-S928,-S928)</f>
        <v>0</v>
      </c>
      <c r="AA928" s="13" t="str">
        <f aca="false">IF(NOT(ISNUMBER(X928)),"NO AUGUST POSTING IN EXPORT",IF(ABS(Y928)&gt;=0.005,"POSTED CHARGE MISMATCH",IF(P928&gt;0,"MATCH - COVERED ELIGIBILITY EXCEPTION","MATCH")))</f>
        <v>MATCH - COVERED ELIGIBILITY EXCEPTION</v>
      </c>
      <c r="AB928" s="13" t="s">
        <v>6620</v>
      </c>
    </row>
    <row r="929" customFormat="false" ht="15" hidden="false" customHeight="false" outlineLevel="0" collapsed="false">
      <c r="A929" s="9" t="s">
        <v>6621</v>
      </c>
      <c r="B929" s="9" t="s">
        <v>135</v>
      </c>
      <c r="C929" s="9" t="s">
        <v>114</v>
      </c>
      <c r="D929" s="9" t="s">
        <v>2002</v>
      </c>
      <c r="E929" s="9" t="s">
        <v>2401</v>
      </c>
      <c r="F929" s="9" t="s">
        <v>1283</v>
      </c>
      <c r="G929" s="9" t="s">
        <v>1284</v>
      </c>
      <c r="H929" s="9" t="s">
        <v>3736</v>
      </c>
      <c r="I929" s="11" t="n">
        <v>28</v>
      </c>
      <c r="J929" s="11" t="n">
        <v>26.2</v>
      </c>
      <c r="K929" s="11"/>
      <c r="L929" s="11"/>
      <c r="M929" s="11" t="n">
        <f aca="false">IF(ISNUMBER(L929),L929,J929)</f>
        <v>26.2</v>
      </c>
      <c r="N929" s="11" t="n">
        <f aca="false">ROUNDUP(M929,0)</f>
        <v>27</v>
      </c>
      <c r="O929" s="11" t="n">
        <f aca="false">MAX(I929,N929)</f>
        <v>28</v>
      </c>
      <c r="P929" s="11" t="n">
        <f aca="false">IF(C929="COVERED",MAX(0,O929-40),0)</f>
        <v>0</v>
      </c>
      <c r="Q929" s="11" t="n">
        <f aca="false">O929</f>
        <v>28</v>
      </c>
      <c r="R929" s="17" t="n">
        <f aca="false">IF(C929="COVERED",10.4,7.55)</f>
        <v>10.4</v>
      </c>
      <c r="S929" s="17" t="n">
        <f aca="false">Q929*R929</f>
        <v>291.2</v>
      </c>
      <c r="T929" s="9" t="s">
        <v>6622</v>
      </c>
      <c r="U929" s="10" t="n">
        <v>46235</v>
      </c>
      <c r="V929" s="9" t="n">
        <v>28</v>
      </c>
      <c r="W929" s="17" t="n">
        <v>10.4</v>
      </c>
      <c r="X929" s="17" t="n">
        <v>291.2</v>
      </c>
      <c r="Y929" s="17" t="n">
        <f aca="false">IF(ISNUMBER(X929),X929-S929,"")</f>
        <v>0</v>
      </c>
      <c r="Z929" s="17" t="n">
        <f aca="false">IF(ISNUMBER(X929),X929-S929,-S929)</f>
        <v>0</v>
      </c>
      <c r="AA929" s="9" t="str">
        <f aca="false">IF(NOT(ISNUMBER(X929)),"NO AUGUST POSTING IN EXPORT",IF(ABS(Y929)&gt;=0.005,"POSTED CHARGE MISMATCH",IF(P929&gt;0,"MATCH - COVERED ELIGIBILITY EXCEPTION","MATCH")))</f>
        <v>MATCH</v>
      </c>
      <c r="AB929" s="9" t="s">
        <v>6623</v>
      </c>
    </row>
    <row r="930" customFormat="false" ht="15" hidden="false" customHeight="false" outlineLevel="0" collapsed="false">
      <c r="A930" s="13" t="s">
        <v>6624</v>
      </c>
      <c r="B930" s="13" t="s">
        <v>135</v>
      </c>
      <c r="C930" s="13" t="s">
        <v>114</v>
      </c>
      <c r="D930" s="13" t="s">
        <v>2002</v>
      </c>
      <c r="E930" s="13" t="s">
        <v>2408</v>
      </c>
      <c r="F930" s="13" t="s">
        <v>6625</v>
      </c>
      <c r="G930" s="13" t="s">
        <v>6626</v>
      </c>
      <c r="H930" s="13" t="s">
        <v>3866</v>
      </c>
      <c r="I930" s="15" t="n">
        <v>40</v>
      </c>
      <c r="J930" s="15" t="n">
        <v>22.7</v>
      </c>
      <c r="K930" s="15"/>
      <c r="L930" s="15"/>
      <c r="M930" s="15" t="n">
        <f aca="false">IF(ISNUMBER(L930),L930,J930)</f>
        <v>22.7</v>
      </c>
      <c r="N930" s="15" t="n">
        <f aca="false">ROUNDUP(M930,0)</f>
        <v>23</v>
      </c>
      <c r="O930" s="15" t="n">
        <f aca="false">MAX(I930,N930)</f>
        <v>40</v>
      </c>
      <c r="P930" s="15" t="n">
        <f aca="false">IF(C930="COVERED",MAX(0,O930-40),0)</f>
        <v>0</v>
      </c>
      <c r="Q930" s="15" t="n">
        <f aca="false">O930</f>
        <v>40</v>
      </c>
      <c r="R930" s="18" t="n">
        <f aca="false">IF(C930="COVERED",10.4,7.55)</f>
        <v>10.4</v>
      </c>
      <c r="S930" s="18" t="n">
        <f aca="false">Q930*R930</f>
        <v>416</v>
      </c>
      <c r="T930" s="13" t="s">
        <v>6627</v>
      </c>
      <c r="U930" s="14" t="n">
        <v>46235</v>
      </c>
      <c r="V930" s="13" t="n">
        <v>40</v>
      </c>
      <c r="W930" s="18" t="n">
        <v>10.4</v>
      </c>
      <c r="X930" s="18" t="n">
        <v>416</v>
      </c>
      <c r="Y930" s="18" t="n">
        <f aca="false">IF(ISNUMBER(X930),X930-S930,"")</f>
        <v>0</v>
      </c>
      <c r="Z930" s="18" t="n">
        <f aca="false">IF(ISNUMBER(X930),X930-S930,-S930)</f>
        <v>0</v>
      </c>
      <c r="AA930" s="13" t="str">
        <f aca="false">IF(NOT(ISNUMBER(X930)),"NO AUGUST POSTING IN EXPORT",IF(ABS(Y930)&gt;=0.005,"POSTED CHARGE MISMATCH",IF(P930&gt;0,"MATCH - COVERED ELIGIBILITY EXCEPTION","MATCH")))</f>
        <v>MATCH</v>
      </c>
      <c r="AB930" s="13" t="s">
        <v>6628</v>
      </c>
    </row>
    <row r="931" customFormat="false" ht="15" hidden="false" customHeight="false" outlineLevel="0" collapsed="false">
      <c r="A931" s="9" t="s">
        <v>6629</v>
      </c>
      <c r="B931" s="9" t="s">
        <v>135</v>
      </c>
      <c r="C931" s="9" t="s">
        <v>114</v>
      </c>
      <c r="D931" s="9" t="s">
        <v>2002</v>
      </c>
      <c r="E931" s="9" t="s">
        <v>2415</v>
      </c>
      <c r="F931" s="9" t="s">
        <v>6630</v>
      </c>
      <c r="G931" s="9" t="s">
        <v>6631</v>
      </c>
      <c r="H931" s="9" t="s">
        <v>2236</v>
      </c>
      <c r="I931" s="11" t="n">
        <v>40</v>
      </c>
      <c r="J931" s="11" t="n">
        <v>43.8</v>
      </c>
      <c r="K931" s="11"/>
      <c r="L931" s="11"/>
      <c r="M931" s="11" t="n">
        <f aca="false">IF(ISNUMBER(L931),L931,J931)</f>
        <v>43.8</v>
      </c>
      <c r="N931" s="11" t="n">
        <f aca="false">ROUNDUP(M931,0)</f>
        <v>44</v>
      </c>
      <c r="O931" s="11" t="n">
        <f aca="false">MAX(I931,N931)</f>
        <v>44</v>
      </c>
      <c r="P931" s="11" t="n">
        <f aca="false">IF(C931="COVERED",MAX(0,O931-40),0)</f>
        <v>4</v>
      </c>
      <c r="Q931" s="11" t="n">
        <f aca="false">O931</f>
        <v>44</v>
      </c>
      <c r="R931" s="17" t="n">
        <f aca="false">IF(C931="COVERED",10.4,7.55)</f>
        <v>10.4</v>
      </c>
      <c r="S931" s="17" t="n">
        <f aca="false">Q931*R931</f>
        <v>457.6</v>
      </c>
      <c r="T931" s="9" t="s">
        <v>6632</v>
      </c>
      <c r="U931" s="10" t="n">
        <v>46235</v>
      </c>
      <c r="V931" s="9" t="n">
        <v>44</v>
      </c>
      <c r="W931" s="17" t="n">
        <v>10.4</v>
      </c>
      <c r="X931" s="17" t="n">
        <v>457.6</v>
      </c>
      <c r="Y931" s="17" t="n">
        <f aca="false">IF(ISNUMBER(X931),X931-S931,"")</f>
        <v>0</v>
      </c>
      <c r="Z931" s="17" t="n">
        <f aca="false">IF(ISNUMBER(X931),X931-S931,-S931)</f>
        <v>0</v>
      </c>
      <c r="AA931" s="9" t="str">
        <f aca="false">IF(NOT(ISNUMBER(X931)),"NO AUGUST POSTING IN EXPORT",IF(ABS(Y931)&gt;=0.005,"POSTED CHARGE MISMATCH",IF(P931&gt;0,"MATCH - COVERED ELIGIBILITY EXCEPTION","MATCH")))</f>
        <v>MATCH - COVERED ELIGIBILITY EXCEPTION</v>
      </c>
      <c r="AB931" s="9" t="s">
        <v>6633</v>
      </c>
    </row>
    <row r="932" customFormat="false" ht="15" hidden="false" customHeight="false" outlineLevel="0" collapsed="false">
      <c r="A932" s="13" t="s">
        <v>6634</v>
      </c>
      <c r="B932" s="13" t="s">
        <v>135</v>
      </c>
      <c r="C932" s="13" t="s">
        <v>114</v>
      </c>
      <c r="D932" s="13" t="s">
        <v>2002</v>
      </c>
      <c r="E932" s="13" t="s">
        <v>2419</v>
      </c>
      <c r="F932" s="13" t="s">
        <v>6635</v>
      </c>
      <c r="G932" s="13" t="s">
        <v>6636</v>
      </c>
      <c r="H932" s="13" t="s">
        <v>3100</v>
      </c>
      <c r="I932" s="15" t="n">
        <v>36</v>
      </c>
      <c r="J932" s="15" t="n">
        <v>36.7</v>
      </c>
      <c r="K932" s="15"/>
      <c r="L932" s="15"/>
      <c r="M932" s="15" t="n">
        <f aca="false">IF(ISNUMBER(L932),L932,J932)</f>
        <v>36.7</v>
      </c>
      <c r="N932" s="15" t="n">
        <f aca="false">ROUNDUP(M932,0)</f>
        <v>37</v>
      </c>
      <c r="O932" s="15" t="n">
        <f aca="false">MAX(I932,N932)</f>
        <v>37</v>
      </c>
      <c r="P932" s="15" t="n">
        <f aca="false">IF(C932="COVERED",MAX(0,O932-40),0)</f>
        <v>0</v>
      </c>
      <c r="Q932" s="15" t="n">
        <f aca="false">O932</f>
        <v>37</v>
      </c>
      <c r="R932" s="18" t="n">
        <f aca="false">IF(C932="COVERED",10.4,7.55)</f>
        <v>10.4</v>
      </c>
      <c r="S932" s="18" t="n">
        <f aca="false">Q932*R932</f>
        <v>384.8</v>
      </c>
      <c r="T932" s="13" t="s">
        <v>6637</v>
      </c>
      <c r="U932" s="14" t="n">
        <v>46235</v>
      </c>
      <c r="V932" s="13" t="n">
        <v>37</v>
      </c>
      <c r="W932" s="18" t="n">
        <v>10.4</v>
      </c>
      <c r="X932" s="18" t="n">
        <v>384.8</v>
      </c>
      <c r="Y932" s="18" t="n">
        <f aca="false">IF(ISNUMBER(X932),X932-S932,"")</f>
        <v>0</v>
      </c>
      <c r="Z932" s="18" t="n">
        <f aca="false">IF(ISNUMBER(X932),X932-S932,-S932)</f>
        <v>0</v>
      </c>
      <c r="AA932" s="13" t="str">
        <f aca="false">IF(NOT(ISNUMBER(X932)),"NO AUGUST POSTING IN EXPORT",IF(ABS(Y932)&gt;=0.005,"POSTED CHARGE MISMATCH",IF(P932&gt;0,"MATCH - COVERED ELIGIBILITY EXCEPTION","MATCH")))</f>
        <v>MATCH</v>
      </c>
      <c r="AB932" s="13" t="s">
        <v>6638</v>
      </c>
    </row>
    <row r="933" customFormat="false" ht="15" hidden="false" customHeight="false" outlineLevel="0" collapsed="false">
      <c r="A933" s="9" t="s">
        <v>6639</v>
      </c>
      <c r="B933" s="9" t="s">
        <v>135</v>
      </c>
      <c r="C933" s="9" t="s">
        <v>114</v>
      </c>
      <c r="D933" s="9" t="s">
        <v>2002</v>
      </c>
      <c r="E933" s="9" t="s">
        <v>2426</v>
      </c>
      <c r="F933" s="9" t="s">
        <v>6640</v>
      </c>
      <c r="G933" s="9" t="s">
        <v>6641</v>
      </c>
      <c r="H933" s="9" t="s">
        <v>4576</v>
      </c>
      <c r="I933" s="11" t="n">
        <v>24</v>
      </c>
      <c r="J933" s="11" t="n">
        <v>41.1</v>
      </c>
      <c r="K933" s="11"/>
      <c r="L933" s="11"/>
      <c r="M933" s="11" t="n">
        <f aca="false">IF(ISNUMBER(L933),L933,J933)</f>
        <v>41.1</v>
      </c>
      <c r="N933" s="11" t="n">
        <f aca="false">ROUNDUP(M933,0)</f>
        <v>42</v>
      </c>
      <c r="O933" s="11" t="n">
        <f aca="false">MAX(I933,N933)</f>
        <v>42</v>
      </c>
      <c r="P933" s="11" t="n">
        <f aca="false">IF(C933="COVERED",MAX(0,O933-40),0)</f>
        <v>2</v>
      </c>
      <c r="Q933" s="11" t="n">
        <f aca="false">O933</f>
        <v>42</v>
      </c>
      <c r="R933" s="17" t="n">
        <f aca="false">IF(C933="COVERED",10.4,7.55)</f>
        <v>10.4</v>
      </c>
      <c r="S933" s="17" t="n">
        <f aca="false">Q933*R933</f>
        <v>436.8</v>
      </c>
      <c r="T933" s="9" t="s">
        <v>6642</v>
      </c>
      <c r="U933" s="10" t="n">
        <v>46235</v>
      </c>
      <c r="V933" s="9" t="n">
        <v>42</v>
      </c>
      <c r="W933" s="17" t="n">
        <v>10.4</v>
      </c>
      <c r="X933" s="17" t="n">
        <v>436.8</v>
      </c>
      <c r="Y933" s="17" t="n">
        <f aca="false">IF(ISNUMBER(X933),X933-S933,"")</f>
        <v>0</v>
      </c>
      <c r="Z933" s="17" t="n">
        <f aca="false">IF(ISNUMBER(X933),X933-S933,-S933)</f>
        <v>0</v>
      </c>
      <c r="AA933" s="9" t="str">
        <f aca="false">IF(NOT(ISNUMBER(X933)),"NO AUGUST POSTING IN EXPORT",IF(ABS(Y933)&gt;=0.005,"POSTED CHARGE MISMATCH",IF(P933&gt;0,"MATCH - COVERED ELIGIBILITY EXCEPTION","MATCH")))</f>
        <v>MATCH - COVERED ELIGIBILITY EXCEPTION</v>
      </c>
      <c r="AB933" s="9" t="s">
        <v>6643</v>
      </c>
    </row>
    <row r="934" customFormat="false" ht="15" hidden="false" customHeight="false" outlineLevel="0" collapsed="false">
      <c r="A934" s="13" t="s">
        <v>1907</v>
      </c>
      <c r="B934" s="13" t="s">
        <v>135</v>
      </c>
      <c r="C934" s="13" t="s">
        <v>114</v>
      </c>
      <c r="D934" s="13" t="s">
        <v>2002</v>
      </c>
      <c r="E934" s="13" t="s">
        <v>2433</v>
      </c>
      <c r="F934" s="13" t="s">
        <v>131</v>
      </c>
      <c r="G934" s="13" t="s">
        <v>132</v>
      </c>
      <c r="H934" s="13" t="s">
        <v>4643</v>
      </c>
      <c r="I934" s="15" t="n">
        <v>36</v>
      </c>
      <c r="J934" s="15" t="n">
        <v>46.8</v>
      </c>
      <c r="K934" s="15"/>
      <c r="L934" s="15"/>
      <c r="M934" s="15" t="n">
        <f aca="false">IF(ISNUMBER(L934),L934,J934)</f>
        <v>46.8</v>
      </c>
      <c r="N934" s="15" t="n">
        <f aca="false">ROUNDUP(M934,0)</f>
        <v>47</v>
      </c>
      <c r="O934" s="15" t="n">
        <f aca="false">MAX(I934,N934)</f>
        <v>47</v>
      </c>
      <c r="P934" s="15" t="n">
        <f aca="false">IF(C934="COVERED",MAX(0,O934-40),0)</f>
        <v>7</v>
      </c>
      <c r="Q934" s="15" t="n">
        <f aca="false">O934</f>
        <v>47</v>
      </c>
      <c r="R934" s="18" t="n">
        <f aca="false">IF(C934="COVERED",10.4,7.55)</f>
        <v>10.4</v>
      </c>
      <c r="S934" s="18" t="n">
        <f aca="false">Q934*R934</f>
        <v>488.8</v>
      </c>
      <c r="T934" s="13" t="s">
        <v>6644</v>
      </c>
      <c r="U934" s="14" t="n">
        <v>46235</v>
      </c>
      <c r="V934" s="13" t="n">
        <v>47</v>
      </c>
      <c r="W934" s="18" t="n">
        <v>10.4</v>
      </c>
      <c r="X934" s="18" t="n">
        <v>488.8</v>
      </c>
      <c r="Y934" s="18" t="n">
        <f aca="false">IF(ISNUMBER(X934),X934-S934,"")</f>
        <v>0</v>
      </c>
      <c r="Z934" s="18" t="n">
        <f aca="false">IF(ISNUMBER(X934),X934-S934,-S934)</f>
        <v>0</v>
      </c>
      <c r="AA934" s="13" t="str">
        <f aca="false">IF(NOT(ISNUMBER(X934)),"NO AUGUST POSTING IN EXPORT",IF(ABS(Y934)&gt;=0.005,"POSTED CHARGE MISMATCH",IF(P934&gt;0,"MATCH - COVERED ELIGIBILITY EXCEPTION","MATCH")))</f>
        <v>MATCH - COVERED ELIGIBILITY EXCEPTION</v>
      </c>
      <c r="AB934" s="13" t="s">
        <v>6645</v>
      </c>
    </row>
    <row r="935" customFormat="false" ht="15" hidden="false" customHeight="false" outlineLevel="0" collapsed="false">
      <c r="A935" s="9" t="s">
        <v>6646</v>
      </c>
      <c r="B935" s="9" t="s">
        <v>135</v>
      </c>
      <c r="C935" s="9" t="s">
        <v>114</v>
      </c>
      <c r="D935" s="9" t="s">
        <v>2002</v>
      </c>
      <c r="E935" s="9" t="s">
        <v>2440</v>
      </c>
      <c r="F935" s="9" t="s">
        <v>6647</v>
      </c>
      <c r="G935" s="9" t="s">
        <v>6648</v>
      </c>
      <c r="H935" s="9" t="s">
        <v>5511</v>
      </c>
      <c r="I935" s="11" t="n">
        <v>28</v>
      </c>
      <c r="J935" s="11" t="n">
        <v>37.4</v>
      </c>
      <c r="K935" s="11"/>
      <c r="L935" s="11"/>
      <c r="M935" s="11" t="n">
        <f aca="false">IF(ISNUMBER(L935),L935,J935)</f>
        <v>37.4</v>
      </c>
      <c r="N935" s="11" t="n">
        <f aca="false">ROUNDUP(M935,0)</f>
        <v>38</v>
      </c>
      <c r="O935" s="11" t="n">
        <f aca="false">MAX(I935,N935)</f>
        <v>38</v>
      </c>
      <c r="P935" s="11" t="n">
        <f aca="false">IF(C935="COVERED",MAX(0,O935-40),0)</f>
        <v>0</v>
      </c>
      <c r="Q935" s="11" t="n">
        <f aca="false">O935</f>
        <v>38</v>
      </c>
      <c r="R935" s="17" t="n">
        <f aca="false">IF(C935="COVERED",10.4,7.55)</f>
        <v>10.4</v>
      </c>
      <c r="S935" s="17" t="n">
        <f aca="false">Q935*R935</f>
        <v>395.2</v>
      </c>
      <c r="T935" s="9" t="s">
        <v>6649</v>
      </c>
      <c r="U935" s="10" t="n">
        <v>46235</v>
      </c>
      <c r="V935" s="9" t="n">
        <v>38</v>
      </c>
      <c r="W935" s="17" t="n">
        <v>10.4</v>
      </c>
      <c r="X935" s="17" t="n">
        <v>395.2</v>
      </c>
      <c r="Y935" s="17" t="n">
        <f aca="false">IF(ISNUMBER(X935),X935-S935,"")</f>
        <v>0</v>
      </c>
      <c r="Z935" s="17" t="n">
        <f aca="false">IF(ISNUMBER(X935),X935-S935,-S935)</f>
        <v>0</v>
      </c>
      <c r="AA935" s="9" t="str">
        <f aca="false">IF(NOT(ISNUMBER(X935)),"NO AUGUST POSTING IN EXPORT",IF(ABS(Y935)&gt;=0.005,"POSTED CHARGE MISMATCH",IF(P935&gt;0,"MATCH - COVERED ELIGIBILITY EXCEPTION","MATCH")))</f>
        <v>MATCH</v>
      </c>
      <c r="AB935" s="9" t="s">
        <v>6650</v>
      </c>
    </row>
    <row r="936" customFormat="false" ht="15" hidden="false" customHeight="false" outlineLevel="0" collapsed="false">
      <c r="A936" s="13" t="s">
        <v>6651</v>
      </c>
      <c r="B936" s="13" t="s">
        <v>135</v>
      </c>
      <c r="C936" s="13" t="s">
        <v>114</v>
      </c>
      <c r="D936" s="13" t="s">
        <v>2002</v>
      </c>
      <c r="E936" s="13" t="s">
        <v>2454</v>
      </c>
      <c r="F936" s="13" t="s">
        <v>6652</v>
      </c>
      <c r="G936" s="13" t="s">
        <v>6653</v>
      </c>
      <c r="H936" s="13" t="s">
        <v>6654</v>
      </c>
      <c r="I936" s="15" t="n">
        <v>36</v>
      </c>
      <c r="J936" s="15" t="n">
        <v>55.4</v>
      </c>
      <c r="K936" s="15"/>
      <c r="L936" s="15"/>
      <c r="M936" s="15" t="n">
        <f aca="false">IF(ISNUMBER(L936),L936,J936)</f>
        <v>55.4</v>
      </c>
      <c r="N936" s="15" t="n">
        <f aca="false">ROUNDUP(M936,0)</f>
        <v>56</v>
      </c>
      <c r="O936" s="15" t="n">
        <f aca="false">MAX(I936,N936)</f>
        <v>56</v>
      </c>
      <c r="P936" s="15" t="n">
        <f aca="false">IF(C936="COVERED",MAX(0,O936-40),0)</f>
        <v>16</v>
      </c>
      <c r="Q936" s="15" t="n">
        <f aca="false">O936</f>
        <v>56</v>
      </c>
      <c r="R936" s="18" t="n">
        <f aca="false">IF(C936="COVERED",10.4,7.55)</f>
        <v>10.4</v>
      </c>
      <c r="S936" s="18" t="n">
        <f aca="false">Q936*R936</f>
        <v>582.4</v>
      </c>
      <c r="T936" s="13" t="s">
        <v>6655</v>
      </c>
      <c r="U936" s="14" t="n">
        <v>46235</v>
      </c>
      <c r="V936" s="13" t="n">
        <v>56</v>
      </c>
      <c r="W936" s="18" t="n">
        <v>10.4</v>
      </c>
      <c r="X936" s="18" t="n">
        <v>582.4</v>
      </c>
      <c r="Y936" s="18" t="n">
        <f aca="false">IF(ISNUMBER(X936),X936-S936,"")</f>
        <v>0</v>
      </c>
      <c r="Z936" s="18" t="n">
        <f aca="false">IF(ISNUMBER(X936),X936-S936,-S936)</f>
        <v>0</v>
      </c>
      <c r="AA936" s="13" t="str">
        <f aca="false">IF(NOT(ISNUMBER(X936)),"NO AUGUST POSTING IN EXPORT",IF(ABS(Y936)&gt;=0.005,"POSTED CHARGE MISMATCH",IF(P936&gt;0,"MATCH - COVERED ELIGIBILITY EXCEPTION","MATCH")))</f>
        <v>MATCH - COVERED ELIGIBILITY EXCEPTION</v>
      </c>
      <c r="AB936" s="13" t="s">
        <v>6656</v>
      </c>
    </row>
    <row r="937" customFormat="false" ht="15" hidden="false" customHeight="false" outlineLevel="0" collapsed="false">
      <c r="A937" s="9" t="s">
        <v>6657</v>
      </c>
      <c r="B937" s="9" t="s">
        <v>135</v>
      </c>
      <c r="C937" s="9" t="s">
        <v>114</v>
      </c>
      <c r="D937" s="9" t="s">
        <v>2002</v>
      </c>
      <c r="E937" s="9" t="s">
        <v>2461</v>
      </c>
      <c r="F937" s="9" t="s">
        <v>6658</v>
      </c>
      <c r="G937" s="9" t="s">
        <v>6659</v>
      </c>
      <c r="H937" s="9" t="s">
        <v>3647</v>
      </c>
      <c r="I937" s="11" t="n">
        <v>40</v>
      </c>
      <c r="J937" s="11" t="n">
        <v>56.4</v>
      </c>
      <c r="K937" s="11"/>
      <c r="L937" s="11"/>
      <c r="M937" s="11" t="n">
        <f aca="false">IF(ISNUMBER(L937),L937,J937)</f>
        <v>56.4</v>
      </c>
      <c r="N937" s="11" t="n">
        <f aca="false">ROUNDUP(M937,0)</f>
        <v>57</v>
      </c>
      <c r="O937" s="11" t="n">
        <f aca="false">MAX(I937,N937)</f>
        <v>57</v>
      </c>
      <c r="P937" s="11" t="n">
        <f aca="false">IF(C937="COVERED",MAX(0,O937-40),0)</f>
        <v>17</v>
      </c>
      <c r="Q937" s="11" t="n">
        <f aca="false">O937</f>
        <v>57</v>
      </c>
      <c r="R937" s="17" t="n">
        <f aca="false">IF(C937="COVERED",10.4,7.55)</f>
        <v>10.4</v>
      </c>
      <c r="S937" s="17" t="n">
        <f aca="false">Q937*R937</f>
        <v>592.8</v>
      </c>
      <c r="T937" s="9" t="s">
        <v>6660</v>
      </c>
      <c r="U937" s="10" t="n">
        <v>46235</v>
      </c>
      <c r="V937" s="9" t="n">
        <v>57</v>
      </c>
      <c r="W937" s="17" t="n">
        <v>10.4</v>
      </c>
      <c r="X937" s="17" t="n">
        <v>592.8</v>
      </c>
      <c r="Y937" s="17" t="n">
        <f aca="false">IF(ISNUMBER(X937),X937-S937,"")</f>
        <v>0</v>
      </c>
      <c r="Z937" s="17" t="n">
        <f aca="false">IF(ISNUMBER(X937),X937-S937,-S937)</f>
        <v>0</v>
      </c>
      <c r="AA937" s="9" t="str">
        <f aca="false">IF(NOT(ISNUMBER(X937)),"NO AUGUST POSTING IN EXPORT",IF(ABS(Y937)&gt;=0.005,"POSTED CHARGE MISMATCH",IF(P937&gt;0,"MATCH - COVERED ELIGIBILITY EXCEPTION","MATCH")))</f>
        <v>MATCH - COVERED ELIGIBILITY EXCEPTION</v>
      </c>
      <c r="AB937" s="9" t="s">
        <v>6661</v>
      </c>
    </row>
    <row r="938" customFormat="false" ht="15" hidden="false" customHeight="false" outlineLevel="0" collapsed="false">
      <c r="A938" s="13" t="s">
        <v>6662</v>
      </c>
      <c r="B938" s="13" t="s">
        <v>135</v>
      </c>
      <c r="C938" s="13" t="s">
        <v>114</v>
      </c>
      <c r="D938" s="13" t="s">
        <v>2002</v>
      </c>
      <c r="E938" s="13" t="s">
        <v>2468</v>
      </c>
      <c r="F938" s="13" t="s">
        <v>6663</v>
      </c>
      <c r="G938" s="13" t="s">
        <v>6664</v>
      </c>
      <c r="H938" s="13" t="s">
        <v>4968</v>
      </c>
      <c r="I938" s="15" t="n">
        <v>24</v>
      </c>
      <c r="J938" s="15" t="n">
        <v>30.6</v>
      </c>
      <c r="K938" s="15"/>
      <c r="L938" s="15"/>
      <c r="M938" s="15" t="n">
        <f aca="false">IF(ISNUMBER(L938),L938,J938)</f>
        <v>30.6</v>
      </c>
      <c r="N938" s="15" t="n">
        <f aca="false">ROUNDUP(M938,0)</f>
        <v>31</v>
      </c>
      <c r="O938" s="15" t="n">
        <f aca="false">MAX(I938,N938)</f>
        <v>31</v>
      </c>
      <c r="P938" s="15" t="n">
        <f aca="false">IF(C938="COVERED",MAX(0,O938-40),0)</f>
        <v>0</v>
      </c>
      <c r="Q938" s="15" t="n">
        <f aca="false">O938</f>
        <v>31</v>
      </c>
      <c r="R938" s="18" t="n">
        <f aca="false">IF(C938="COVERED",10.4,7.55)</f>
        <v>10.4</v>
      </c>
      <c r="S938" s="18" t="n">
        <f aca="false">Q938*R938</f>
        <v>322.4</v>
      </c>
      <c r="T938" s="13" t="s">
        <v>6665</v>
      </c>
      <c r="U938" s="14" t="n">
        <v>46235</v>
      </c>
      <c r="V938" s="13" t="n">
        <v>31</v>
      </c>
      <c r="W938" s="18" t="n">
        <v>10.4</v>
      </c>
      <c r="X938" s="18" t="n">
        <v>322.4</v>
      </c>
      <c r="Y938" s="18" t="n">
        <f aca="false">IF(ISNUMBER(X938),X938-S938,"")</f>
        <v>0</v>
      </c>
      <c r="Z938" s="18" t="n">
        <f aca="false">IF(ISNUMBER(X938),X938-S938,-S938)</f>
        <v>0</v>
      </c>
      <c r="AA938" s="13" t="str">
        <f aca="false">IF(NOT(ISNUMBER(X938)),"NO AUGUST POSTING IN EXPORT",IF(ABS(Y938)&gt;=0.005,"POSTED CHARGE MISMATCH",IF(P938&gt;0,"MATCH - COVERED ELIGIBILITY EXCEPTION","MATCH")))</f>
        <v>MATCH</v>
      </c>
      <c r="AB938" s="13" t="s">
        <v>6666</v>
      </c>
    </row>
    <row r="939" customFormat="false" ht="15" hidden="false" customHeight="false" outlineLevel="0" collapsed="false">
      <c r="A939" s="9" t="s">
        <v>6667</v>
      </c>
      <c r="B939" s="9" t="s">
        <v>135</v>
      </c>
      <c r="C939" s="9" t="s">
        <v>114</v>
      </c>
      <c r="D939" s="9" t="s">
        <v>2002</v>
      </c>
      <c r="E939" s="9" t="s">
        <v>2473</v>
      </c>
      <c r="F939" s="9" t="s">
        <v>6668</v>
      </c>
      <c r="G939" s="9" t="s">
        <v>6669</v>
      </c>
      <c r="H939" s="9" t="s">
        <v>3725</v>
      </c>
      <c r="I939" s="11" t="n">
        <v>36</v>
      </c>
      <c r="J939" s="11" t="n">
        <v>52.4</v>
      </c>
      <c r="K939" s="11"/>
      <c r="L939" s="11"/>
      <c r="M939" s="11" t="n">
        <f aca="false">IF(ISNUMBER(L939),L939,J939)</f>
        <v>52.4</v>
      </c>
      <c r="N939" s="11" t="n">
        <f aca="false">ROUNDUP(M939,0)</f>
        <v>53</v>
      </c>
      <c r="O939" s="11" t="n">
        <f aca="false">MAX(I939,N939)</f>
        <v>53</v>
      </c>
      <c r="P939" s="11" t="n">
        <f aca="false">IF(C939="COVERED",MAX(0,O939-40),0)</f>
        <v>13</v>
      </c>
      <c r="Q939" s="11" t="n">
        <f aca="false">O939</f>
        <v>53</v>
      </c>
      <c r="R939" s="17" t="n">
        <f aca="false">IF(C939="COVERED",10.4,7.55)</f>
        <v>10.4</v>
      </c>
      <c r="S939" s="17" t="n">
        <f aca="false">Q939*R939</f>
        <v>551.2</v>
      </c>
      <c r="T939" s="9" t="s">
        <v>6670</v>
      </c>
      <c r="U939" s="10" t="n">
        <v>46235</v>
      </c>
      <c r="V939" s="9" t="n">
        <v>53</v>
      </c>
      <c r="W939" s="17" t="n">
        <v>10.4</v>
      </c>
      <c r="X939" s="17" t="n">
        <v>551.2</v>
      </c>
      <c r="Y939" s="17" t="n">
        <f aca="false">IF(ISNUMBER(X939),X939-S939,"")</f>
        <v>0</v>
      </c>
      <c r="Z939" s="17" t="n">
        <f aca="false">IF(ISNUMBER(X939),X939-S939,-S939)</f>
        <v>0</v>
      </c>
      <c r="AA939" s="9" t="str">
        <f aca="false">IF(NOT(ISNUMBER(X939)),"NO AUGUST POSTING IN EXPORT",IF(ABS(Y939)&gt;=0.005,"POSTED CHARGE MISMATCH",IF(P939&gt;0,"MATCH - COVERED ELIGIBILITY EXCEPTION","MATCH")))</f>
        <v>MATCH - COVERED ELIGIBILITY EXCEPTION</v>
      </c>
      <c r="AB939" s="9" t="s">
        <v>6671</v>
      </c>
    </row>
    <row r="940" customFormat="false" ht="15" hidden="false" customHeight="false" outlineLevel="0" collapsed="false">
      <c r="A940" s="13" t="s">
        <v>1313</v>
      </c>
      <c r="B940" s="13" t="s">
        <v>135</v>
      </c>
      <c r="C940" s="13" t="s">
        <v>114</v>
      </c>
      <c r="D940" s="13" t="s">
        <v>2002</v>
      </c>
      <c r="E940" s="13" t="s">
        <v>2480</v>
      </c>
      <c r="F940" s="13" t="s">
        <v>1108</v>
      </c>
      <c r="G940" s="13" t="s">
        <v>1109</v>
      </c>
      <c r="H940" s="13" t="s">
        <v>2151</v>
      </c>
      <c r="I940" s="15" t="n">
        <v>32</v>
      </c>
      <c r="J940" s="15" t="n">
        <v>57</v>
      </c>
      <c r="K940" s="15"/>
      <c r="L940" s="15"/>
      <c r="M940" s="15" t="n">
        <f aca="false">IF(ISNUMBER(L940),L940,J940)</f>
        <v>57</v>
      </c>
      <c r="N940" s="15" t="n">
        <f aca="false">ROUNDUP(M940,0)</f>
        <v>57</v>
      </c>
      <c r="O940" s="15" t="n">
        <f aca="false">MAX(I940,N940)</f>
        <v>57</v>
      </c>
      <c r="P940" s="15" t="n">
        <f aca="false">IF(C940="COVERED",MAX(0,O940-40),0)</f>
        <v>17</v>
      </c>
      <c r="Q940" s="15" t="n">
        <f aca="false">O940</f>
        <v>57</v>
      </c>
      <c r="R940" s="18" t="n">
        <f aca="false">IF(C940="COVERED",10.4,7.55)</f>
        <v>10.4</v>
      </c>
      <c r="S940" s="18" t="n">
        <f aca="false">Q940*R940</f>
        <v>592.8</v>
      </c>
      <c r="T940" s="13" t="s">
        <v>6672</v>
      </c>
      <c r="U940" s="14" t="n">
        <v>46235</v>
      </c>
      <c r="V940" s="13" t="n">
        <v>57</v>
      </c>
      <c r="W940" s="18" t="n">
        <v>10.4</v>
      </c>
      <c r="X940" s="18" t="n">
        <v>592.8</v>
      </c>
      <c r="Y940" s="18" t="n">
        <f aca="false">IF(ISNUMBER(X940),X940-S940,"")</f>
        <v>0</v>
      </c>
      <c r="Z940" s="18" t="n">
        <f aca="false">IF(ISNUMBER(X940),X940-S940,-S940)</f>
        <v>0</v>
      </c>
      <c r="AA940" s="13" t="str">
        <f aca="false">IF(NOT(ISNUMBER(X940)),"NO AUGUST POSTING IN EXPORT",IF(ABS(Y940)&gt;=0.005,"POSTED CHARGE MISMATCH",IF(P940&gt;0,"MATCH - COVERED ELIGIBILITY EXCEPTION","MATCH")))</f>
        <v>MATCH - COVERED ELIGIBILITY EXCEPTION</v>
      </c>
      <c r="AB940" s="13" t="s">
        <v>6673</v>
      </c>
    </row>
    <row r="941" customFormat="false" ht="15" hidden="false" customHeight="false" outlineLevel="0" collapsed="false">
      <c r="A941" s="9" t="s">
        <v>6674</v>
      </c>
      <c r="B941" s="9" t="s">
        <v>135</v>
      </c>
      <c r="C941" s="9" t="s">
        <v>114</v>
      </c>
      <c r="D941" s="9" t="s">
        <v>2002</v>
      </c>
      <c r="E941" s="9" t="s">
        <v>2485</v>
      </c>
      <c r="F941" s="9" t="s">
        <v>6675</v>
      </c>
      <c r="G941" s="9" t="s">
        <v>6676</v>
      </c>
      <c r="H941" s="9" t="s">
        <v>6042</v>
      </c>
      <c r="I941" s="11" t="n">
        <v>32</v>
      </c>
      <c r="J941" s="11" t="n">
        <v>20.6</v>
      </c>
      <c r="K941" s="11"/>
      <c r="L941" s="11"/>
      <c r="M941" s="11" t="n">
        <f aca="false">IF(ISNUMBER(L941),L941,J941)</f>
        <v>20.6</v>
      </c>
      <c r="N941" s="11" t="n">
        <f aca="false">ROUNDUP(M941,0)</f>
        <v>21</v>
      </c>
      <c r="O941" s="11" t="n">
        <f aca="false">MAX(I941,N941)</f>
        <v>32</v>
      </c>
      <c r="P941" s="11" t="n">
        <f aca="false">IF(C941="COVERED",MAX(0,O941-40),0)</f>
        <v>0</v>
      </c>
      <c r="Q941" s="11" t="n">
        <f aca="false">O941</f>
        <v>32</v>
      </c>
      <c r="R941" s="17" t="n">
        <f aca="false">IF(C941="COVERED",10.4,7.55)</f>
        <v>10.4</v>
      </c>
      <c r="S941" s="17" t="n">
        <f aca="false">Q941*R941</f>
        <v>332.8</v>
      </c>
      <c r="T941" s="9" t="s">
        <v>6677</v>
      </c>
      <c r="U941" s="10" t="n">
        <v>46235</v>
      </c>
      <c r="V941" s="9" t="n">
        <v>32</v>
      </c>
      <c r="W941" s="17" t="n">
        <v>10.4</v>
      </c>
      <c r="X941" s="17" t="n">
        <v>332.8</v>
      </c>
      <c r="Y941" s="17" t="n">
        <f aca="false">IF(ISNUMBER(X941),X941-S941,"")</f>
        <v>0</v>
      </c>
      <c r="Z941" s="17" t="n">
        <f aca="false">IF(ISNUMBER(X941),X941-S941,-S941)</f>
        <v>0</v>
      </c>
      <c r="AA941" s="9" t="str">
        <f aca="false">IF(NOT(ISNUMBER(X941)),"NO AUGUST POSTING IN EXPORT",IF(ABS(Y941)&gt;=0.005,"POSTED CHARGE MISMATCH",IF(P941&gt;0,"MATCH - COVERED ELIGIBILITY EXCEPTION","MATCH")))</f>
        <v>MATCH</v>
      </c>
      <c r="AB941" s="9" t="s">
        <v>6678</v>
      </c>
    </row>
    <row r="942" customFormat="false" ht="15" hidden="false" customHeight="false" outlineLevel="0" collapsed="false">
      <c r="A942" s="13" t="s">
        <v>6679</v>
      </c>
      <c r="B942" s="13" t="s">
        <v>135</v>
      </c>
      <c r="C942" s="13" t="s">
        <v>114</v>
      </c>
      <c r="D942" s="13" t="s">
        <v>2002</v>
      </c>
      <c r="E942" s="13" t="s">
        <v>2491</v>
      </c>
      <c r="F942" s="13" t="s">
        <v>6680</v>
      </c>
      <c r="G942" s="13" t="s">
        <v>6681</v>
      </c>
      <c r="H942" s="13" t="s">
        <v>4929</v>
      </c>
      <c r="I942" s="15" t="n">
        <v>24</v>
      </c>
      <c r="J942" s="15" t="n">
        <v>37</v>
      </c>
      <c r="K942" s="15"/>
      <c r="L942" s="15"/>
      <c r="M942" s="15" t="n">
        <f aca="false">IF(ISNUMBER(L942),L942,J942)</f>
        <v>37</v>
      </c>
      <c r="N942" s="15" t="n">
        <f aca="false">ROUNDUP(M942,0)</f>
        <v>37</v>
      </c>
      <c r="O942" s="15" t="n">
        <f aca="false">MAX(I942,N942)</f>
        <v>37</v>
      </c>
      <c r="P942" s="15" t="n">
        <f aca="false">IF(C942="COVERED",MAX(0,O942-40),0)</f>
        <v>0</v>
      </c>
      <c r="Q942" s="15" t="n">
        <f aca="false">O942</f>
        <v>37</v>
      </c>
      <c r="R942" s="18" t="n">
        <f aca="false">IF(C942="COVERED",10.4,7.55)</f>
        <v>10.4</v>
      </c>
      <c r="S942" s="18" t="n">
        <f aca="false">Q942*R942</f>
        <v>384.8</v>
      </c>
      <c r="T942" s="13" t="s">
        <v>6682</v>
      </c>
      <c r="U942" s="14" t="n">
        <v>46235</v>
      </c>
      <c r="V942" s="13" t="n">
        <v>37</v>
      </c>
      <c r="W942" s="18" t="n">
        <v>10.4</v>
      </c>
      <c r="X942" s="18" t="n">
        <v>384.8</v>
      </c>
      <c r="Y942" s="18" t="n">
        <f aca="false">IF(ISNUMBER(X942),X942-S942,"")</f>
        <v>0</v>
      </c>
      <c r="Z942" s="18" t="n">
        <f aca="false">IF(ISNUMBER(X942),X942-S942,-S942)</f>
        <v>0</v>
      </c>
      <c r="AA942" s="13" t="str">
        <f aca="false">IF(NOT(ISNUMBER(X942)),"NO AUGUST POSTING IN EXPORT",IF(ABS(Y942)&gt;=0.005,"POSTED CHARGE MISMATCH",IF(P942&gt;0,"MATCH - COVERED ELIGIBILITY EXCEPTION","MATCH")))</f>
        <v>MATCH</v>
      </c>
      <c r="AB942" s="13" t="s">
        <v>6683</v>
      </c>
    </row>
    <row r="943" customFormat="false" ht="15" hidden="false" customHeight="false" outlineLevel="0" collapsed="false">
      <c r="A943" s="9" t="s">
        <v>6684</v>
      </c>
      <c r="B943" s="9" t="s">
        <v>135</v>
      </c>
      <c r="C943" s="9" t="s">
        <v>114</v>
      </c>
      <c r="D943" s="9" t="s">
        <v>2002</v>
      </c>
      <c r="E943" s="9" t="s">
        <v>2497</v>
      </c>
      <c r="F943" s="9" t="s">
        <v>6685</v>
      </c>
      <c r="G943" s="9" t="s">
        <v>6686</v>
      </c>
      <c r="H943" s="9" t="s">
        <v>5056</v>
      </c>
      <c r="I943" s="11" t="n">
        <v>36</v>
      </c>
      <c r="J943" s="11" t="n">
        <v>55.9</v>
      </c>
      <c r="K943" s="11"/>
      <c r="L943" s="11"/>
      <c r="M943" s="11" t="n">
        <f aca="false">IF(ISNUMBER(L943),L943,J943)</f>
        <v>55.9</v>
      </c>
      <c r="N943" s="11" t="n">
        <f aca="false">ROUNDUP(M943,0)</f>
        <v>56</v>
      </c>
      <c r="O943" s="11" t="n">
        <f aca="false">MAX(I943,N943)</f>
        <v>56</v>
      </c>
      <c r="P943" s="11" t="n">
        <f aca="false">IF(C943="COVERED",MAX(0,O943-40),0)</f>
        <v>16</v>
      </c>
      <c r="Q943" s="11" t="n">
        <f aca="false">O943</f>
        <v>56</v>
      </c>
      <c r="R943" s="17" t="n">
        <f aca="false">IF(C943="COVERED",10.4,7.55)</f>
        <v>10.4</v>
      </c>
      <c r="S943" s="17" t="n">
        <f aca="false">Q943*R943</f>
        <v>582.4</v>
      </c>
      <c r="T943" s="9" t="s">
        <v>6687</v>
      </c>
      <c r="U943" s="10" t="n">
        <v>46235</v>
      </c>
      <c r="V943" s="9" t="n">
        <v>56</v>
      </c>
      <c r="W943" s="17" t="n">
        <v>10.4</v>
      </c>
      <c r="X943" s="17" t="n">
        <v>582.4</v>
      </c>
      <c r="Y943" s="17" t="n">
        <f aca="false">IF(ISNUMBER(X943),X943-S943,"")</f>
        <v>0</v>
      </c>
      <c r="Z943" s="17" t="n">
        <f aca="false">IF(ISNUMBER(X943),X943-S943,-S943)</f>
        <v>0</v>
      </c>
      <c r="AA943" s="9" t="str">
        <f aca="false">IF(NOT(ISNUMBER(X943)),"NO AUGUST POSTING IN EXPORT",IF(ABS(Y943)&gt;=0.005,"POSTED CHARGE MISMATCH",IF(P943&gt;0,"MATCH - COVERED ELIGIBILITY EXCEPTION","MATCH")))</f>
        <v>MATCH - COVERED ELIGIBILITY EXCEPTION</v>
      </c>
      <c r="AB943" s="9" t="s">
        <v>6688</v>
      </c>
    </row>
    <row r="944" customFormat="false" ht="15" hidden="false" customHeight="false" outlineLevel="0" collapsed="false">
      <c r="A944" s="13" t="s">
        <v>6689</v>
      </c>
      <c r="B944" s="13" t="s">
        <v>135</v>
      </c>
      <c r="C944" s="13" t="s">
        <v>114</v>
      </c>
      <c r="D944" s="13" t="s">
        <v>2002</v>
      </c>
      <c r="E944" s="13" t="s">
        <v>2504</v>
      </c>
      <c r="F944" s="13" t="s">
        <v>6690</v>
      </c>
      <c r="G944" s="13" t="s">
        <v>6691</v>
      </c>
      <c r="H944" s="13" t="s">
        <v>2119</v>
      </c>
      <c r="I944" s="15" t="n">
        <v>32</v>
      </c>
      <c r="J944" s="15" t="n">
        <v>43.6</v>
      </c>
      <c r="K944" s="15"/>
      <c r="L944" s="15"/>
      <c r="M944" s="15" t="n">
        <f aca="false">IF(ISNUMBER(L944),L944,J944)</f>
        <v>43.6</v>
      </c>
      <c r="N944" s="15" t="n">
        <f aca="false">ROUNDUP(M944,0)</f>
        <v>44</v>
      </c>
      <c r="O944" s="15" t="n">
        <f aca="false">MAX(I944,N944)</f>
        <v>44</v>
      </c>
      <c r="P944" s="15" t="n">
        <f aca="false">IF(C944="COVERED",MAX(0,O944-40),0)</f>
        <v>4</v>
      </c>
      <c r="Q944" s="15" t="n">
        <f aca="false">O944</f>
        <v>44</v>
      </c>
      <c r="R944" s="18" t="n">
        <f aca="false">IF(C944="COVERED",10.4,7.55)</f>
        <v>10.4</v>
      </c>
      <c r="S944" s="18" t="n">
        <f aca="false">Q944*R944</f>
        <v>457.6</v>
      </c>
      <c r="T944" s="13" t="s">
        <v>6692</v>
      </c>
      <c r="U944" s="14" t="n">
        <v>46235</v>
      </c>
      <c r="V944" s="13" t="n">
        <v>44</v>
      </c>
      <c r="W944" s="18" t="n">
        <v>10.4</v>
      </c>
      <c r="X944" s="18" t="n">
        <v>457.6</v>
      </c>
      <c r="Y944" s="18" t="n">
        <f aca="false">IF(ISNUMBER(X944),X944-S944,"")</f>
        <v>0</v>
      </c>
      <c r="Z944" s="18" t="n">
        <f aca="false">IF(ISNUMBER(X944),X944-S944,-S944)</f>
        <v>0</v>
      </c>
      <c r="AA944" s="13" t="str">
        <f aca="false">IF(NOT(ISNUMBER(X944)),"NO AUGUST POSTING IN EXPORT",IF(ABS(Y944)&gt;=0.005,"POSTED CHARGE MISMATCH",IF(P944&gt;0,"MATCH - COVERED ELIGIBILITY EXCEPTION","MATCH")))</f>
        <v>MATCH - COVERED ELIGIBILITY EXCEPTION</v>
      </c>
      <c r="AB944" s="13" t="s">
        <v>6693</v>
      </c>
    </row>
    <row r="945" customFormat="false" ht="15" hidden="false" customHeight="false" outlineLevel="0" collapsed="false">
      <c r="A945" s="9" t="s">
        <v>6694</v>
      </c>
      <c r="B945" s="9" t="s">
        <v>135</v>
      </c>
      <c r="C945" s="9" t="s">
        <v>114</v>
      </c>
      <c r="D945" s="9" t="s">
        <v>2002</v>
      </c>
      <c r="E945" s="9" t="s">
        <v>2511</v>
      </c>
      <c r="F945" s="9" t="s">
        <v>6695</v>
      </c>
      <c r="G945" s="9" t="s">
        <v>6696</v>
      </c>
      <c r="H945" s="9" t="s">
        <v>2137</v>
      </c>
      <c r="I945" s="11" t="n">
        <v>32</v>
      </c>
      <c r="J945" s="11" t="n">
        <v>55.4</v>
      </c>
      <c r="K945" s="11"/>
      <c r="L945" s="11"/>
      <c r="M945" s="11" t="n">
        <f aca="false">IF(ISNUMBER(L945),L945,J945)</f>
        <v>55.4</v>
      </c>
      <c r="N945" s="11" t="n">
        <f aca="false">ROUNDUP(M945,0)</f>
        <v>56</v>
      </c>
      <c r="O945" s="11" t="n">
        <f aca="false">MAX(I945,N945)</f>
        <v>56</v>
      </c>
      <c r="P945" s="11" t="n">
        <f aca="false">IF(C945="COVERED",MAX(0,O945-40),0)</f>
        <v>16</v>
      </c>
      <c r="Q945" s="11" t="n">
        <f aca="false">O945</f>
        <v>56</v>
      </c>
      <c r="R945" s="17" t="n">
        <f aca="false">IF(C945="COVERED",10.4,7.55)</f>
        <v>10.4</v>
      </c>
      <c r="S945" s="17" t="n">
        <f aca="false">Q945*R945</f>
        <v>582.4</v>
      </c>
      <c r="T945" s="9" t="s">
        <v>6697</v>
      </c>
      <c r="U945" s="10" t="n">
        <v>46235</v>
      </c>
      <c r="V945" s="9" t="n">
        <v>56</v>
      </c>
      <c r="W945" s="17" t="n">
        <v>10.4</v>
      </c>
      <c r="X945" s="17" t="n">
        <v>582.4</v>
      </c>
      <c r="Y945" s="17" t="n">
        <f aca="false">IF(ISNUMBER(X945),X945-S945,"")</f>
        <v>0</v>
      </c>
      <c r="Z945" s="17" t="n">
        <f aca="false">IF(ISNUMBER(X945),X945-S945,-S945)</f>
        <v>0</v>
      </c>
      <c r="AA945" s="9" t="str">
        <f aca="false">IF(NOT(ISNUMBER(X945)),"NO AUGUST POSTING IN EXPORT",IF(ABS(Y945)&gt;=0.005,"POSTED CHARGE MISMATCH",IF(P945&gt;0,"MATCH - COVERED ELIGIBILITY EXCEPTION","MATCH")))</f>
        <v>MATCH - COVERED ELIGIBILITY EXCEPTION</v>
      </c>
      <c r="AB945" s="9" t="s">
        <v>6698</v>
      </c>
    </row>
    <row r="946" customFormat="false" ht="15" hidden="false" customHeight="false" outlineLevel="0" collapsed="false">
      <c r="A946" s="13" t="s">
        <v>1892</v>
      </c>
      <c r="B946" s="13" t="s">
        <v>135</v>
      </c>
      <c r="C946" s="13" t="s">
        <v>114</v>
      </c>
      <c r="D946" s="13" t="s">
        <v>2002</v>
      </c>
      <c r="E946" s="13" t="s">
        <v>2517</v>
      </c>
      <c r="F946" s="13" t="s">
        <v>6699</v>
      </c>
      <c r="G946" s="13" t="s">
        <v>6700</v>
      </c>
      <c r="H946" s="13" t="s">
        <v>3320</v>
      </c>
      <c r="I946" s="15" t="n">
        <v>24</v>
      </c>
      <c r="J946" s="15" t="n">
        <v>23.3</v>
      </c>
      <c r="K946" s="15"/>
      <c r="L946" s="15"/>
      <c r="M946" s="15" t="n">
        <f aca="false">IF(ISNUMBER(L946),L946,J946)</f>
        <v>23.3</v>
      </c>
      <c r="N946" s="15" t="n">
        <f aca="false">ROUNDUP(M946,0)</f>
        <v>24</v>
      </c>
      <c r="O946" s="15" t="n">
        <f aca="false">MAX(I946,N946)</f>
        <v>24</v>
      </c>
      <c r="P946" s="15" t="n">
        <f aca="false">IF(C946="COVERED",MAX(0,O946-40),0)</f>
        <v>0</v>
      </c>
      <c r="Q946" s="15" t="n">
        <f aca="false">O946</f>
        <v>24</v>
      </c>
      <c r="R946" s="18" t="n">
        <f aca="false">IF(C946="COVERED",10.4,7.55)</f>
        <v>10.4</v>
      </c>
      <c r="S946" s="18" t="n">
        <f aca="false">Q946*R946</f>
        <v>249.6</v>
      </c>
      <c r="T946" s="13" t="s">
        <v>6701</v>
      </c>
      <c r="U946" s="14" t="n">
        <v>46235</v>
      </c>
      <c r="V946" s="13" t="n">
        <v>24</v>
      </c>
      <c r="W946" s="18" t="n">
        <v>10.4</v>
      </c>
      <c r="X946" s="18" t="n">
        <v>249.6</v>
      </c>
      <c r="Y946" s="18" t="n">
        <f aca="false">IF(ISNUMBER(X946),X946-S946,"")</f>
        <v>0</v>
      </c>
      <c r="Z946" s="18" t="n">
        <f aca="false">IF(ISNUMBER(X946),X946-S946,-S946)</f>
        <v>0</v>
      </c>
      <c r="AA946" s="13" t="str">
        <f aca="false">IF(NOT(ISNUMBER(X946)),"NO AUGUST POSTING IN EXPORT",IF(ABS(Y946)&gt;=0.005,"POSTED CHARGE MISMATCH",IF(P946&gt;0,"MATCH - COVERED ELIGIBILITY EXCEPTION","MATCH")))</f>
        <v>MATCH</v>
      </c>
      <c r="AB946" s="13" t="s">
        <v>6702</v>
      </c>
    </row>
    <row r="947" customFormat="false" ht="15" hidden="false" customHeight="false" outlineLevel="0" collapsed="false">
      <c r="A947" s="9" t="s">
        <v>6703</v>
      </c>
      <c r="B947" s="9" t="s">
        <v>135</v>
      </c>
      <c r="C947" s="9" t="s">
        <v>114</v>
      </c>
      <c r="D947" s="9" t="s">
        <v>2002</v>
      </c>
      <c r="E947" s="9" t="s">
        <v>2524</v>
      </c>
      <c r="F947" s="9" t="s">
        <v>6704</v>
      </c>
      <c r="G947" s="9" t="s">
        <v>6705</v>
      </c>
      <c r="H947" s="9" t="s">
        <v>6706</v>
      </c>
      <c r="I947" s="11" t="n">
        <v>36</v>
      </c>
      <c r="J947" s="11" t="n">
        <v>19</v>
      </c>
      <c r="K947" s="11"/>
      <c r="L947" s="11"/>
      <c r="M947" s="11" t="n">
        <f aca="false">IF(ISNUMBER(L947),L947,J947)</f>
        <v>19</v>
      </c>
      <c r="N947" s="11" t="n">
        <f aca="false">ROUNDUP(M947,0)</f>
        <v>19</v>
      </c>
      <c r="O947" s="11" t="n">
        <f aca="false">MAX(I947,N947)</f>
        <v>36</v>
      </c>
      <c r="P947" s="11" t="n">
        <f aca="false">IF(C947="COVERED",MAX(0,O947-40),0)</f>
        <v>0</v>
      </c>
      <c r="Q947" s="11" t="n">
        <f aca="false">O947</f>
        <v>36</v>
      </c>
      <c r="R947" s="17" t="n">
        <f aca="false">IF(C947="COVERED",10.4,7.55)</f>
        <v>10.4</v>
      </c>
      <c r="S947" s="17" t="n">
        <f aca="false">Q947*R947</f>
        <v>374.4</v>
      </c>
      <c r="T947" s="9" t="s">
        <v>6707</v>
      </c>
      <c r="U947" s="10" t="n">
        <v>46235</v>
      </c>
      <c r="V947" s="9" t="n">
        <v>36</v>
      </c>
      <c r="W947" s="17" t="n">
        <v>10.4</v>
      </c>
      <c r="X947" s="17" t="n">
        <v>374.4</v>
      </c>
      <c r="Y947" s="17" t="n">
        <f aca="false">IF(ISNUMBER(X947),X947-S947,"")</f>
        <v>0</v>
      </c>
      <c r="Z947" s="17" t="n">
        <f aca="false">IF(ISNUMBER(X947),X947-S947,-S947)</f>
        <v>0</v>
      </c>
      <c r="AA947" s="9" t="str">
        <f aca="false">IF(NOT(ISNUMBER(X947)),"NO AUGUST POSTING IN EXPORT",IF(ABS(Y947)&gt;=0.005,"POSTED CHARGE MISMATCH",IF(P947&gt;0,"MATCH - COVERED ELIGIBILITY EXCEPTION","MATCH")))</f>
        <v>MATCH</v>
      </c>
      <c r="AB947" s="9" t="s">
        <v>6708</v>
      </c>
    </row>
    <row r="948" customFormat="false" ht="15" hidden="false" customHeight="false" outlineLevel="0" collapsed="false">
      <c r="A948" s="13" t="s">
        <v>6709</v>
      </c>
      <c r="B948" s="13" t="s">
        <v>135</v>
      </c>
      <c r="C948" s="13" t="s">
        <v>114</v>
      </c>
      <c r="D948" s="13" t="s">
        <v>2002</v>
      </c>
      <c r="E948" s="13" t="s">
        <v>2531</v>
      </c>
      <c r="F948" s="13" t="s">
        <v>6710</v>
      </c>
      <c r="G948" s="13" t="s">
        <v>6711</v>
      </c>
      <c r="H948" s="13" t="s">
        <v>6287</v>
      </c>
      <c r="I948" s="15" t="n">
        <v>32</v>
      </c>
      <c r="J948" s="15" t="n">
        <v>25.7</v>
      </c>
      <c r="K948" s="15"/>
      <c r="L948" s="15"/>
      <c r="M948" s="15" t="n">
        <f aca="false">IF(ISNUMBER(L948),L948,J948)</f>
        <v>25.7</v>
      </c>
      <c r="N948" s="15" t="n">
        <f aca="false">ROUNDUP(M948,0)</f>
        <v>26</v>
      </c>
      <c r="O948" s="15" t="n">
        <f aca="false">MAX(I948,N948)</f>
        <v>32</v>
      </c>
      <c r="P948" s="15" t="n">
        <f aca="false">IF(C948="COVERED",MAX(0,O948-40),0)</f>
        <v>0</v>
      </c>
      <c r="Q948" s="15" t="n">
        <f aca="false">O948</f>
        <v>32</v>
      </c>
      <c r="R948" s="18" t="n">
        <f aca="false">IF(C948="COVERED",10.4,7.55)</f>
        <v>10.4</v>
      </c>
      <c r="S948" s="18" t="n">
        <f aca="false">Q948*R948</f>
        <v>332.8</v>
      </c>
      <c r="T948" s="13" t="s">
        <v>6712</v>
      </c>
      <c r="U948" s="14" t="n">
        <v>46235</v>
      </c>
      <c r="V948" s="13" t="n">
        <v>32</v>
      </c>
      <c r="W948" s="18" t="n">
        <v>10.4</v>
      </c>
      <c r="X948" s="18" t="n">
        <v>332.8</v>
      </c>
      <c r="Y948" s="18" t="n">
        <f aca="false">IF(ISNUMBER(X948),X948-S948,"")</f>
        <v>0</v>
      </c>
      <c r="Z948" s="18" t="n">
        <f aca="false">IF(ISNUMBER(X948),X948-S948,-S948)</f>
        <v>0</v>
      </c>
      <c r="AA948" s="13" t="str">
        <f aca="false">IF(NOT(ISNUMBER(X948)),"NO AUGUST POSTING IN EXPORT",IF(ABS(Y948)&gt;=0.005,"POSTED CHARGE MISMATCH",IF(P948&gt;0,"MATCH - COVERED ELIGIBILITY EXCEPTION","MATCH")))</f>
        <v>MATCH</v>
      </c>
      <c r="AB948" s="13" t="s">
        <v>6713</v>
      </c>
    </row>
    <row r="949" customFormat="false" ht="15" hidden="false" customHeight="false" outlineLevel="0" collapsed="false">
      <c r="A949" s="9" t="s">
        <v>6714</v>
      </c>
      <c r="B949" s="9" t="s">
        <v>135</v>
      </c>
      <c r="C949" s="9" t="s">
        <v>114</v>
      </c>
      <c r="D949" s="9" t="s">
        <v>2002</v>
      </c>
      <c r="E949" s="9" t="s">
        <v>2538</v>
      </c>
      <c r="F949" s="9" t="s">
        <v>6715</v>
      </c>
      <c r="G949" s="9" t="s">
        <v>6716</v>
      </c>
      <c r="H949" s="9" t="s">
        <v>5091</v>
      </c>
      <c r="I949" s="11" t="n">
        <v>32</v>
      </c>
      <c r="J949" s="11" t="n">
        <v>33.8</v>
      </c>
      <c r="K949" s="11"/>
      <c r="L949" s="11"/>
      <c r="M949" s="11" t="n">
        <f aca="false">IF(ISNUMBER(L949),L949,J949)</f>
        <v>33.8</v>
      </c>
      <c r="N949" s="11" t="n">
        <f aca="false">ROUNDUP(M949,0)</f>
        <v>34</v>
      </c>
      <c r="O949" s="11" t="n">
        <f aca="false">MAX(I949,N949)</f>
        <v>34</v>
      </c>
      <c r="P949" s="11" t="n">
        <f aca="false">IF(C949="COVERED",MAX(0,O949-40),0)</f>
        <v>0</v>
      </c>
      <c r="Q949" s="11" t="n">
        <f aca="false">O949</f>
        <v>34</v>
      </c>
      <c r="R949" s="17" t="n">
        <f aca="false">IF(C949="COVERED",10.4,7.55)</f>
        <v>10.4</v>
      </c>
      <c r="S949" s="17" t="n">
        <f aca="false">Q949*R949</f>
        <v>353.6</v>
      </c>
      <c r="T949" s="9" t="s">
        <v>6717</v>
      </c>
      <c r="U949" s="10" t="n">
        <v>46235</v>
      </c>
      <c r="V949" s="9" t="n">
        <v>34</v>
      </c>
      <c r="W949" s="17" t="n">
        <v>10.4</v>
      </c>
      <c r="X949" s="17" t="n">
        <v>353.6</v>
      </c>
      <c r="Y949" s="17" t="n">
        <f aca="false">IF(ISNUMBER(X949),X949-S949,"")</f>
        <v>0</v>
      </c>
      <c r="Z949" s="17" t="n">
        <f aca="false">IF(ISNUMBER(X949),X949-S949,-S949)</f>
        <v>0</v>
      </c>
      <c r="AA949" s="9" t="str">
        <f aca="false">IF(NOT(ISNUMBER(X949)),"NO AUGUST POSTING IN EXPORT",IF(ABS(Y949)&gt;=0.005,"POSTED CHARGE MISMATCH",IF(P949&gt;0,"MATCH - COVERED ELIGIBILITY EXCEPTION","MATCH")))</f>
        <v>MATCH</v>
      </c>
      <c r="AB949" s="9" t="s">
        <v>6718</v>
      </c>
    </row>
    <row r="950" customFormat="false" ht="15" hidden="false" customHeight="false" outlineLevel="0" collapsed="false">
      <c r="A950" s="13" t="s">
        <v>6719</v>
      </c>
      <c r="B950" s="13" t="s">
        <v>135</v>
      </c>
      <c r="C950" s="13" t="s">
        <v>114</v>
      </c>
      <c r="D950" s="13" t="s">
        <v>2002</v>
      </c>
      <c r="E950" s="13" t="s">
        <v>2545</v>
      </c>
      <c r="F950" s="13" t="s">
        <v>6720</v>
      </c>
      <c r="G950" s="13" t="s">
        <v>6721</v>
      </c>
      <c r="H950" s="13" t="s">
        <v>3080</v>
      </c>
      <c r="I950" s="15" t="n">
        <v>32</v>
      </c>
      <c r="J950" s="15" t="n">
        <v>32.3</v>
      </c>
      <c r="K950" s="15"/>
      <c r="L950" s="15"/>
      <c r="M950" s="15" t="n">
        <f aca="false">IF(ISNUMBER(L950),L950,J950)</f>
        <v>32.3</v>
      </c>
      <c r="N950" s="15" t="n">
        <f aca="false">ROUNDUP(M950,0)</f>
        <v>33</v>
      </c>
      <c r="O950" s="15" t="n">
        <f aca="false">MAX(I950,N950)</f>
        <v>33</v>
      </c>
      <c r="P950" s="15" t="n">
        <f aca="false">IF(C950="COVERED",MAX(0,O950-40),0)</f>
        <v>0</v>
      </c>
      <c r="Q950" s="15" t="n">
        <f aca="false">O950</f>
        <v>33</v>
      </c>
      <c r="R950" s="18" t="n">
        <f aca="false">IF(C950="COVERED",10.4,7.55)</f>
        <v>10.4</v>
      </c>
      <c r="S950" s="18" t="n">
        <f aca="false">Q950*R950</f>
        <v>343.2</v>
      </c>
      <c r="T950" s="13" t="s">
        <v>6722</v>
      </c>
      <c r="U950" s="14" t="n">
        <v>46235</v>
      </c>
      <c r="V950" s="13" t="n">
        <v>33</v>
      </c>
      <c r="W950" s="18" t="n">
        <v>10.4</v>
      </c>
      <c r="X950" s="18" t="n">
        <v>343.2</v>
      </c>
      <c r="Y950" s="18" t="n">
        <f aca="false">IF(ISNUMBER(X950),X950-S950,"")</f>
        <v>0</v>
      </c>
      <c r="Z950" s="18" t="n">
        <f aca="false">IF(ISNUMBER(X950),X950-S950,-S950)</f>
        <v>0</v>
      </c>
      <c r="AA950" s="13" t="str">
        <f aca="false">IF(NOT(ISNUMBER(X950)),"NO AUGUST POSTING IN EXPORT",IF(ABS(Y950)&gt;=0.005,"POSTED CHARGE MISMATCH",IF(P950&gt;0,"MATCH - COVERED ELIGIBILITY EXCEPTION","MATCH")))</f>
        <v>MATCH</v>
      </c>
      <c r="AB950" s="13" t="s">
        <v>6723</v>
      </c>
    </row>
    <row r="951" customFormat="false" ht="15" hidden="false" customHeight="false" outlineLevel="0" collapsed="false">
      <c r="A951" s="9" t="s">
        <v>6724</v>
      </c>
      <c r="B951" s="9" t="s">
        <v>135</v>
      </c>
      <c r="C951" s="9" t="s">
        <v>114</v>
      </c>
      <c r="D951" s="9" t="s">
        <v>2002</v>
      </c>
      <c r="E951" s="9" t="s">
        <v>2550</v>
      </c>
      <c r="F951" s="9" t="s">
        <v>6725</v>
      </c>
      <c r="G951" s="9" t="s">
        <v>6726</v>
      </c>
      <c r="H951" s="9" t="s">
        <v>6175</v>
      </c>
      <c r="I951" s="11" t="n">
        <v>24</v>
      </c>
      <c r="J951" s="11" t="n">
        <v>27.2</v>
      </c>
      <c r="K951" s="11"/>
      <c r="L951" s="11"/>
      <c r="M951" s="11" t="n">
        <f aca="false">IF(ISNUMBER(L951),L951,J951)</f>
        <v>27.2</v>
      </c>
      <c r="N951" s="11" t="n">
        <f aca="false">ROUNDUP(M951,0)</f>
        <v>28</v>
      </c>
      <c r="O951" s="11" t="n">
        <f aca="false">MAX(I951,N951)</f>
        <v>28</v>
      </c>
      <c r="P951" s="11" t="n">
        <f aca="false">IF(C951="COVERED",MAX(0,O951-40),0)</f>
        <v>0</v>
      </c>
      <c r="Q951" s="11" t="n">
        <f aca="false">O951</f>
        <v>28</v>
      </c>
      <c r="R951" s="17" t="n">
        <f aca="false">IF(C951="COVERED",10.4,7.55)</f>
        <v>10.4</v>
      </c>
      <c r="S951" s="17" t="n">
        <f aca="false">Q951*R951</f>
        <v>291.2</v>
      </c>
      <c r="T951" s="9" t="s">
        <v>6727</v>
      </c>
      <c r="U951" s="10" t="n">
        <v>46235</v>
      </c>
      <c r="V951" s="9" t="n">
        <v>28</v>
      </c>
      <c r="W951" s="17" t="n">
        <v>10.4</v>
      </c>
      <c r="X951" s="17" t="n">
        <v>291.2</v>
      </c>
      <c r="Y951" s="17" t="n">
        <f aca="false">IF(ISNUMBER(X951),X951-S951,"")</f>
        <v>0</v>
      </c>
      <c r="Z951" s="17" t="n">
        <f aca="false">IF(ISNUMBER(X951),X951-S951,-S951)</f>
        <v>0</v>
      </c>
      <c r="AA951" s="9" t="str">
        <f aca="false">IF(NOT(ISNUMBER(X951)),"NO AUGUST POSTING IN EXPORT",IF(ABS(Y951)&gt;=0.005,"POSTED CHARGE MISMATCH",IF(P951&gt;0,"MATCH - COVERED ELIGIBILITY EXCEPTION","MATCH")))</f>
        <v>MATCH</v>
      </c>
      <c r="AB951" s="9" t="s">
        <v>6728</v>
      </c>
    </row>
    <row r="952" customFormat="false" ht="15" hidden="false" customHeight="false" outlineLevel="0" collapsed="false">
      <c r="A952" s="13" t="s">
        <v>6729</v>
      </c>
      <c r="B952" s="13" t="s">
        <v>135</v>
      </c>
      <c r="C952" s="13" t="s">
        <v>114</v>
      </c>
      <c r="D952" s="13" t="s">
        <v>2002</v>
      </c>
      <c r="E952" s="13" t="s">
        <v>3828</v>
      </c>
      <c r="F952" s="13" t="s">
        <v>6730</v>
      </c>
      <c r="G952" s="13" t="s">
        <v>6731</v>
      </c>
      <c r="H952" s="13" t="s">
        <v>6732</v>
      </c>
      <c r="I952" s="15" t="n">
        <v>36</v>
      </c>
      <c r="J952" s="15" t="n">
        <v>31.6</v>
      </c>
      <c r="K952" s="15"/>
      <c r="L952" s="15"/>
      <c r="M952" s="15" t="n">
        <f aca="false">IF(ISNUMBER(L952),L952,J952)</f>
        <v>31.6</v>
      </c>
      <c r="N952" s="15" t="n">
        <f aca="false">ROUNDUP(M952,0)</f>
        <v>32</v>
      </c>
      <c r="O952" s="15" t="n">
        <f aca="false">MAX(I952,N952)</f>
        <v>36</v>
      </c>
      <c r="P952" s="15" t="n">
        <f aca="false">IF(C952="COVERED",MAX(0,O952-40),0)</f>
        <v>0</v>
      </c>
      <c r="Q952" s="15" t="n">
        <f aca="false">O952</f>
        <v>36</v>
      </c>
      <c r="R952" s="18" t="n">
        <f aca="false">IF(C952="COVERED",10.4,7.55)</f>
        <v>10.4</v>
      </c>
      <c r="S952" s="18" t="n">
        <f aca="false">Q952*R952</f>
        <v>374.4</v>
      </c>
      <c r="T952" s="13" t="s">
        <v>6733</v>
      </c>
      <c r="U952" s="14" t="n">
        <v>46235</v>
      </c>
      <c r="V952" s="13" t="n">
        <v>36</v>
      </c>
      <c r="W952" s="18" t="n">
        <v>10.4</v>
      </c>
      <c r="X952" s="18" t="n">
        <v>374.4</v>
      </c>
      <c r="Y952" s="18" t="n">
        <f aca="false">IF(ISNUMBER(X952),X952-S952,"")</f>
        <v>0</v>
      </c>
      <c r="Z952" s="18" t="n">
        <f aca="false">IF(ISNUMBER(X952),X952-S952,-S952)</f>
        <v>0</v>
      </c>
      <c r="AA952" s="13" t="str">
        <f aca="false">IF(NOT(ISNUMBER(X952)),"NO AUGUST POSTING IN EXPORT",IF(ABS(Y952)&gt;=0.005,"POSTED CHARGE MISMATCH",IF(P952&gt;0,"MATCH - COVERED ELIGIBILITY EXCEPTION","MATCH")))</f>
        <v>MATCH</v>
      </c>
      <c r="AB952" s="13" t="s">
        <v>6734</v>
      </c>
    </row>
    <row r="953" customFormat="false" ht="15" hidden="false" customHeight="false" outlineLevel="0" collapsed="false">
      <c r="A953" s="9" t="s">
        <v>6735</v>
      </c>
      <c r="B953" s="9" t="s">
        <v>135</v>
      </c>
      <c r="C953" s="9" t="s">
        <v>114</v>
      </c>
      <c r="D953" s="9" t="s">
        <v>2002</v>
      </c>
      <c r="E953" s="9" t="s">
        <v>2560</v>
      </c>
      <c r="F953" s="9" t="s">
        <v>1625</v>
      </c>
      <c r="G953" s="9" t="s">
        <v>1626</v>
      </c>
      <c r="H953" s="9" t="s">
        <v>4328</v>
      </c>
      <c r="I953" s="11" t="n">
        <v>24</v>
      </c>
      <c r="J953" s="11" t="n">
        <v>30.1</v>
      </c>
      <c r="K953" s="11"/>
      <c r="L953" s="11"/>
      <c r="M953" s="11" t="n">
        <f aca="false">IF(ISNUMBER(L953),L953,J953)</f>
        <v>30.1</v>
      </c>
      <c r="N953" s="11" t="n">
        <f aca="false">ROUNDUP(M953,0)</f>
        <v>31</v>
      </c>
      <c r="O953" s="11" t="n">
        <f aca="false">MAX(I953,N953)</f>
        <v>31</v>
      </c>
      <c r="P953" s="11" t="n">
        <f aca="false">IF(C953="COVERED",MAX(0,O953-40),0)</f>
        <v>0</v>
      </c>
      <c r="Q953" s="11" t="n">
        <f aca="false">O953</f>
        <v>31</v>
      </c>
      <c r="R953" s="17" t="n">
        <f aca="false">IF(C953="COVERED",10.4,7.55)</f>
        <v>10.4</v>
      </c>
      <c r="S953" s="17" t="n">
        <f aca="false">Q953*R953</f>
        <v>322.4</v>
      </c>
      <c r="T953" s="9" t="s">
        <v>6736</v>
      </c>
      <c r="U953" s="10" t="n">
        <v>46235</v>
      </c>
      <c r="V953" s="9" t="n">
        <v>31</v>
      </c>
      <c r="W953" s="17" t="n">
        <v>10.4</v>
      </c>
      <c r="X953" s="17" t="n">
        <v>322.4</v>
      </c>
      <c r="Y953" s="17" t="n">
        <f aca="false">IF(ISNUMBER(X953),X953-S953,"")</f>
        <v>0</v>
      </c>
      <c r="Z953" s="17" t="n">
        <f aca="false">IF(ISNUMBER(X953),X953-S953,-S953)</f>
        <v>0</v>
      </c>
      <c r="AA953" s="9" t="str">
        <f aca="false">IF(NOT(ISNUMBER(X953)),"NO AUGUST POSTING IN EXPORT",IF(ABS(Y953)&gt;=0.005,"POSTED CHARGE MISMATCH",IF(P953&gt;0,"MATCH - COVERED ELIGIBILITY EXCEPTION","MATCH")))</f>
        <v>MATCH</v>
      </c>
      <c r="AB953" s="9" t="s">
        <v>6737</v>
      </c>
    </row>
    <row r="954" customFormat="false" ht="15" hidden="false" customHeight="false" outlineLevel="0" collapsed="false">
      <c r="A954" s="13" t="s">
        <v>6738</v>
      </c>
      <c r="B954" s="13" t="s">
        <v>135</v>
      </c>
      <c r="C954" s="13" t="s">
        <v>114</v>
      </c>
      <c r="D954" s="13" t="s">
        <v>2002</v>
      </c>
      <c r="E954" s="13" t="s">
        <v>2567</v>
      </c>
      <c r="F954" s="13" t="s">
        <v>6739</v>
      </c>
      <c r="G954" s="13" t="s">
        <v>6740</v>
      </c>
      <c r="H954" s="13" t="s">
        <v>6741</v>
      </c>
      <c r="I954" s="15" t="n">
        <v>40</v>
      </c>
      <c r="J954" s="15" t="n">
        <v>48.8</v>
      </c>
      <c r="K954" s="15"/>
      <c r="L954" s="15"/>
      <c r="M954" s="15" t="n">
        <f aca="false">IF(ISNUMBER(L954),L954,J954)</f>
        <v>48.8</v>
      </c>
      <c r="N954" s="15" t="n">
        <f aca="false">ROUNDUP(M954,0)</f>
        <v>49</v>
      </c>
      <c r="O954" s="15" t="n">
        <f aca="false">MAX(I954,N954)</f>
        <v>49</v>
      </c>
      <c r="P954" s="15" t="n">
        <f aca="false">IF(C954="COVERED",MAX(0,O954-40),0)</f>
        <v>9</v>
      </c>
      <c r="Q954" s="15" t="n">
        <f aca="false">O954</f>
        <v>49</v>
      </c>
      <c r="R954" s="18" t="n">
        <f aca="false">IF(C954="COVERED",10.4,7.55)</f>
        <v>10.4</v>
      </c>
      <c r="S954" s="18" t="n">
        <f aca="false">Q954*R954</f>
        <v>509.6</v>
      </c>
      <c r="T954" s="13" t="s">
        <v>6742</v>
      </c>
      <c r="U954" s="14" t="n">
        <v>46235</v>
      </c>
      <c r="V954" s="13" t="n">
        <v>49</v>
      </c>
      <c r="W954" s="18" t="n">
        <v>10.4</v>
      </c>
      <c r="X954" s="18" t="n">
        <v>509.6</v>
      </c>
      <c r="Y954" s="18" t="n">
        <f aca="false">IF(ISNUMBER(X954),X954-S954,"")</f>
        <v>0</v>
      </c>
      <c r="Z954" s="18" t="n">
        <f aca="false">IF(ISNUMBER(X954),X954-S954,-S954)</f>
        <v>0</v>
      </c>
      <c r="AA954" s="13" t="str">
        <f aca="false">IF(NOT(ISNUMBER(X954)),"NO AUGUST POSTING IN EXPORT",IF(ABS(Y954)&gt;=0.005,"POSTED CHARGE MISMATCH",IF(P954&gt;0,"MATCH - COVERED ELIGIBILITY EXCEPTION","MATCH")))</f>
        <v>MATCH - COVERED ELIGIBILITY EXCEPTION</v>
      </c>
      <c r="AB954" s="13" t="s">
        <v>6743</v>
      </c>
    </row>
    <row r="955" customFormat="false" ht="15" hidden="false" customHeight="false" outlineLevel="0" collapsed="false">
      <c r="A955" s="9" t="s">
        <v>6744</v>
      </c>
      <c r="B955" s="9" t="s">
        <v>135</v>
      </c>
      <c r="C955" s="9" t="s">
        <v>114</v>
      </c>
      <c r="D955" s="9" t="s">
        <v>2002</v>
      </c>
      <c r="E955" s="9" t="s">
        <v>3841</v>
      </c>
      <c r="F955" s="9" t="s">
        <v>6745</v>
      </c>
      <c r="G955" s="9" t="s">
        <v>6746</v>
      </c>
      <c r="H955" s="9" t="s">
        <v>5408</v>
      </c>
      <c r="I955" s="11" t="n">
        <v>28</v>
      </c>
      <c r="J955" s="11" t="n">
        <v>36.2</v>
      </c>
      <c r="K955" s="11"/>
      <c r="L955" s="11"/>
      <c r="M955" s="11" t="n">
        <f aca="false">IF(ISNUMBER(L955),L955,J955)</f>
        <v>36.2</v>
      </c>
      <c r="N955" s="11" t="n">
        <f aca="false">ROUNDUP(M955,0)</f>
        <v>37</v>
      </c>
      <c r="O955" s="11" t="n">
        <f aca="false">MAX(I955,N955)</f>
        <v>37</v>
      </c>
      <c r="P955" s="11" t="n">
        <f aca="false">IF(C955="COVERED",MAX(0,O955-40),0)</f>
        <v>0</v>
      </c>
      <c r="Q955" s="11" t="n">
        <f aca="false">O955</f>
        <v>37</v>
      </c>
      <c r="R955" s="17" t="n">
        <f aca="false">IF(C955="COVERED",10.4,7.55)</f>
        <v>10.4</v>
      </c>
      <c r="S955" s="17" t="n">
        <f aca="false">Q955*R955</f>
        <v>384.8</v>
      </c>
      <c r="T955" s="9" t="s">
        <v>6747</v>
      </c>
      <c r="U955" s="10" t="n">
        <v>46235</v>
      </c>
      <c r="V955" s="9" t="n">
        <v>37</v>
      </c>
      <c r="W955" s="17" t="n">
        <v>10.4</v>
      </c>
      <c r="X955" s="17" t="n">
        <v>384.8</v>
      </c>
      <c r="Y955" s="17" t="n">
        <f aca="false">IF(ISNUMBER(X955),X955-S955,"")</f>
        <v>0</v>
      </c>
      <c r="Z955" s="17" t="n">
        <f aca="false">IF(ISNUMBER(X955),X955-S955,-S955)</f>
        <v>0</v>
      </c>
      <c r="AA955" s="9" t="str">
        <f aca="false">IF(NOT(ISNUMBER(X955)),"NO AUGUST POSTING IN EXPORT",IF(ABS(Y955)&gt;=0.005,"POSTED CHARGE MISMATCH",IF(P955&gt;0,"MATCH - COVERED ELIGIBILITY EXCEPTION","MATCH")))</f>
        <v>MATCH</v>
      </c>
      <c r="AB955" s="9" t="s">
        <v>6748</v>
      </c>
    </row>
    <row r="956" customFormat="false" ht="15" hidden="false" customHeight="false" outlineLevel="0" collapsed="false">
      <c r="A956" s="13" t="s">
        <v>6749</v>
      </c>
      <c r="B956" s="13" t="s">
        <v>135</v>
      </c>
      <c r="C956" s="13" t="s">
        <v>114</v>
      </c>
      <c r="D956" s="13" t="s">
        <v>2002</v>
      </c>
      <c r="E956" s="13" t="s">
        <v>2574</v>
      </c>
      <c r="F956" s="13" t="s">
        <v>6750</v>
      </c>
      <c r="G956" s="13" t="s">
        <v>6751</v>
      </c>
      <c r="H956" s="13" t="s">
        <v>3061</v>
      </c>
      <c r="I956" s="15" t="n">
        <v>32</v>
      </c>
      <c r="J956" s="15" t="n">
        <v>40.1</v>
      </c>
      <c r="K956" s="15"/>
      <c r="L956" s="15"/>
      <c r="M956" s="15" t="n">
        <f aca="false">IF(ISNUMBER(L956),L956,J956)</f>
        <v>40.1</v>
      </c>
      <c r="N956" s="15" t="n">
        <f aca="false">ROUNDUP(M956,0)</f>
        <v>41</v>
      </c>
      <c r="O956" s="15" t="n">
        <f aca="false">MAX(I956,N956)</f>
        <v>41</v>
      </c>
      <c r="P956" s="15" t="n">
        <f aca="false">IF(C956="COVERED",MAX(0,O956-40),0)</f>
        <v>1</v>
      </c>
      <c r="Q956" s="15" t="n">
        <f aca="false">O956</f>
        <v>41</v>
      </c>
      <c r="R956" s="18" t="n">
        <f aca="false">IF(C956="COVERED",10.4,7.55)</f>
        <v>10.4</v>
      </c>
      <c r="S956" s="18" t="n">
        <f aca="false">Q956*R956</f>
        <v>426.4</v>
      </c>
      <c r="T956" s="13" t="s">
        <v>6752</v>
      </c>
      <c r="U956" s="14" t="n">
        <v>46235</v>
      </c>
      <c r="V956" s="13" t="n">
        <v>41</v>
      </c>
      <c r="W956" s="18" t="n">
        <v>10.4</v>
      </c>
      <c r="X956" s="18" t="n">
        <v>426.4</v>
      </c>
      <c r="Y956" s="18" t="n">
        <f aca="false">IF(ISNUMBER(X956),X956-S956,"")</f>
        <v>0</v>
      </c>
      <c r="Z956" s="18" t="n">
        <f aca="false">IF(ISNUMBER(X956),X956-S956,-S956)</f>
        <v>0</v>
      </c>
      <c r="AA956" s="13" t="str">
        <f aca="false">IF(NOT(ISNUMBER(X956)),"NO AUGUST POSTING IN EXPORT",IF(ABS(Y956)&gt;=0.005,"POSTED CHARGE MISMATCH",IF(P956&gt;0,"MATCH - COVERED ELIGIBILITY EXCEPTION","MATCH")))</f>
        <v>MATCH - COVERED ELIGIBILITY EXCEPTION</v>
      </c>
      <c r="AB956" s="13" t="s">
        <v>6753</v>
      </c>
    </row>
    <row r="957" customFormat="false" ht="15" hidden="false" customHeight="false" outlineLevel="0" collapsed="false">
      <c r="A957" s="9" t="s">
        <v>327</v>
      </c>
      <c r="B957" s="9" t="s">
        <v>135</v>
      </c>
      <c r="C957" s="9" t="s">
        <v>114</v>
      </c>
      <c r="D957" s="9" t="s">
        <v>2002</v>
      </c>
      <c r="E957" s="9" t="s">
        <v>2588</v>
      </c>
      <c r="F957" s="9" t="s">
        <v>6754</v>
      </c>
      <c r="G957" s="9" t="s">
        <v>6755</v>
      </c>
      <c r="H957" s="9" t="s">
        <v>2096</v>
      </c>
      <c r="I957" s="11" t="n">
        <v>36</v>
      </c>
      <c r="J957" s="11" t="n">
        <v>51.6</v>
      </c>
      <c r="K957" s="11"/>
      <c r="L957" s="11"/>
      <c r="M957" s="11" t="n">
        <f aca="false">IF(ISNUMBER(L957),L957,J957)</f>
        <v>51.6</v>
      </c>
      <c r="N957" s="11" t="n">
        <f aca="false">ROUNDUP(M957,0)</f>
        <v>52</v>
      </c>
      <c r="O957" s="11" t="n">
        <f aca="false">MAX(I957,N957)</f>
        <v>52</v>
      </c>
      <c r="P957" s="11" t="n">
        <f aca="false">IF(C957="COVERED",MAX(0,O957-40),0)</f>
        <v>12</v>
      </c>
      <c r="Q957" s="11" t="n">
        <f aca="false">O957</f>
        <v>52</v>
      </c>
      <c r="R957" s="17" t="n">
        <f aca="false">IF(C957="COVERED",10.4,7.55)</f>
        <v>10.4</v>
      </c>
      <c r="S957" s="17" t="n">
        <f aca="false">Q957*R957</f>
        <v>540.8</v>
      </c>
      <c r="T957" s="9" t="s">
        <v>6756</v>
      </c>
      <c r="U957" s="10" t="n">
        <v>46235</v>
      </c>
      <c r="V957" s="9" t="n">
        <v>52</v>
      </c>
      <c r="W957" s="17" t="n">
        <v>10.4</v>
      </c>
      <c r="X957" s="17" t="n">
        <v>540.8</v>
      </c>
      <c r="Y957" s="17" t="n">
        <f aca="false">IF(ISNUMBER(X957),X957-S957,"")</f>
        <v>0</v>
      </c>
      <c r="Z957" s="17" t="n">
        <f aca="false">IF(ISNUMBER(X957),X957-S957,-S957)</f>
        <v>0</v>
      </c>
      <c r="AA957" s="9" t="str">
        <f aca="false">IF(NOT(ISNUMBER(X957)),"NO AUGUST POSTING IN EXPORT",IF(ABS(Y957)&gt;=0.005,"POSTED CHARGE MISMATCH",IF(P957&gt;0,"MATCH - COVERED ELIGIBILITY EXCEPTION","MATCH")))</f>
        <v>MATCH - COVERED ELIGIBILITY EXCEPTION</v>
      </c>
      <c r="AB957" s="9" t="s">
        <v>6757</v>
      </c>
    </row>
    <row r="958" customFormat="false" ht="15" hidden="false" customHeight="false" outlineLevel="0" collapsed="false">
      <c r="A958" s="13" t="s">
        <v>6758</v>
      </c>
      <c r="B958" s="13" t="s">
        <v>135</v>
      </c>
      <c r="C958" s="13" t="s">
        <v>114</v>
      </c>
      <c r="D958" s="13" t="s">
        <v>2002</v>
      </c>
      <c r="E958" s="13" t="s">
        <v>2595</v>
      </c>
      <c r="F958" s="13" t="s">
        <v>6759</v>
      </c>
      <c r="G958" s="13" t="s">
        <v>6760</v>
      </c>
      <c r="H958" s="13" t="s">
        <v>4721</v>
      </c>
      <c r="I958" s="15" t="n">
        <v>36</v>
      </c>
      <c r="J958" s="15" t="n">
        <v>54.4</v>
      </c>
      <c r="K958" s="15"/>
      <c r="L958" s="15"/>
      <c r="M958" s="15" t="n">
        <f aca="false">IF(ISNUMBER(L958),L958,J958)</f>
        <v>54.4</v>
      </c>
      <c r="N958" s="15" t="n">
        <f aca="false">ROUNDUP(M958,0)</f>
        <v>55</v>
      </c>
      <c r="O958" s="15" t="n">
        <f aca="false">MAX(I958,N958)</f>
        <v>55</v>
      </c>
      <c r="P958" s="15" t="n">
        <f aca="false">IF(C958="COVERED",MAX(0,O958-40),0)</f>
        <v>15</v>
      </c>
      <c r="Q958" s="15" t="n">
        <f aca="false">O958</f>
        <v>55</v>
      </c>
      <c r="R958" s="18" t="n">
        <f aca="false">IF(C958="COVERED",10.4,7.55)</f>
        <v>10.4</v>
      </c>
      <c r="S958" s="18" t="n">
        <f aca="false">Q958*R958</f>
        <v>572</v>
      </c>
      <c r="T958" s="13" t="s">
        <v>6761</v>
      </c>
      <c r="U958" s="14" t="n">
        <v>46235</v>
      </c>
      <c r="V958" s="13" t="n">
        <v>55</v>
      </c>
      <c r="W958" s="18" t="n">
        <v>10.4</v>
      </c>
      <c r="X958" s="18" t="n">
        <v>572</v>
      </c>
      <c r="Y958" s="18" t="n">
        <f aca="false">IF(ISNUMBER(X958),X958-S958,"")</f>
        <v>0</v>
      </c>
      <c r="Z958" s="18" t="n">
        <f aca="false">IF(ISNUMBER(X958),X958-S958,-S958)</f>
        <v>0</v>
      </c>
      <c r="AA958" s="13" t="str">
        <f aca="false">IF(NOT(ISNUMBER(X958)),"NO AUGUST POSTING IN EXPORT",IF(ABS(Y958)&gt;=0.005,"POSTED CHARGE MISMATCH",IF(P958&gt;0,"MATCH - COVERED ELIGIBILITY EXCEPTION","MATCH")))</f>
        <v>MATCH - COVERED ELIGIBILITY EXCEPTION</v>
      </c>
      <c r="AB958" s="13" t="s">
        <v>6762</v>
      </c>
    </row>
    <row r="959" customFormat="false" ht="15" hidden="false" customHeight="false" outlineLevel="0" collapsed="false">
      <c r="A959" s="9" t="s">
        <v>6763</v>
      </c>
      <c r="B959" s="9" t="s">
        <v>135</v>
      </c>
      <c r="C959" s="9" t="s">
        <v>114</v>
      </c>
      <c r="D959" s="9" t="s">
        <v>2002</v>
      </c>
      <c r="E959" s="9" t="s">
        <v>2602</v>
      </c>
      <c r="F959" s="9" t="s">
        <v>6764</v>
      </c>
      <c r="G959" s="9" t="s">
        <v>6765</v>
      </c>
      <c r="H959" s="9" t="s">
        <v>4856</v>
      </c>
      <c r="I959" s="11" t="n">
        <v>28</v>
      </c>
      <c r="J959" s="11" t="n">
        <v>39.5</v>
      </c>
      <c r="K959" s="11"/>
      <c r="L959" s="11"/>
      <c r="M959" s="11" t="n">
        <f aca="false">IF(ISNUMBER(L959),L959,J959)</f>
        <v>39.5</v>
      </c>
      <c r="N959" s="11" t="n">
        <f aca="false">ROUNDUP(M959,0)</f>
        <v>40</v>
      </c>
      <c r="O959" s="11" t="n">
        <f aca="false">MAX(I959,N959)</f>
        <v>40</v>
      </c>
      <c r="P959" s="11" t="n">
        <f aca="false">IF(C959="COVERED",MAX(0,O959-40),0)</f>
        <v>0</v>
      </c>
      <c r="Q959" s="11" t="n">
        <f aca="false">O959</f>
        <v>40</v>
      </c>
      <c r="R959" s="17" t="n">
        <f aca="false">IF(C959="COVERED",10.4,7.55)</f>
        <v>10.4</v>
      </c>
      <c r="S959" s="17" t="n">
        <f aca="false">Q959*R959</f>
        <v>416</v>
      </c>
      <c r="T959" s="9" t="s">
        <v>6766</v>
      </c>
      <c r="U959" s="10" t="n">
        <v>46235</v>
      </c>
      <c r="V959" s="9" t="n">
        <v>40</v>
      </c>
      <c r="W959" s="17" t="n">
        <v>10.4</v>
      </c>
      <c r="X959" s="17" t="n">
        <v>416</v>
      </c>
      <c r="Y959" s="17" t="n">
        <f aca="false">IF(ISNUMBER(X959),X959-S959,"")</f>
        <v>0</v>
      </c>
      <c r="Z959" s="17" t="n">
        <f aca="false">IF(ISNUMBER(X959),X959-S959,-S959)</f>
        <v>0</v>
      </c>
      <c r="AA959" s="9" t="str">
        <f aca="false">IF(NOT(ISNUMBER(X959)),"NO AUGUST POSTING IN EXPORT",IF(ABS(Y959)&gt;=0.005,"POSTED CHARGE MISMATCH",IF(P959&gt;0,"MATCH - COVERED ELIGIBILITY EXCEPTION","MATCH")))</f>
        <v>MATCH</v>
      </c>
      <c r="AB959" s="9" t="s">
        <v>6767</v>
      </c>
    </row>
    <row r="960" customFormat="false" ht="15" hidden="false" customHeight="false" outlineLevel="0" collapsed="false">
      <c r="A960" s="13" t="s">
        <v>1898</v>
      </c>
      <c r="B960" s="13" t="s">
        <v>135</v>
      </c>
      <c r="C960" s="13" t="s">
        <v>114</v>
      </c>
      <c r="D960" s="13" t="s">
        <v>2002</v>
      </c>
      <c r="E960" s="13" t="s">
        <v>2609</v>
      </c>
      <c r="F960" s="13" t="s">
        <v>6768</v>
      </c>
      <c r="G960" s="13" t="s">
        <v>6769</v>
      </c>
      <c r="H960" s="13" t="s">
        <v>3306</v>
      </c>
      <c r="I960" s="15" t="n">
        <v>40</v>
      </c>
      <c r="J960" s="15" t="n">
        <v>29.8</v>
      </c>
      <c r="K960" s="15"/>
      <c r="L960" s="15"/>
      <c r="M960" s="15" t="n">
        <f aca="false">IF(ISNUMBER(L960),L960,J960)</f>
        <v>29.8</v>
      </c>
      <c r="N960" s="15" t="n">
        <f aca="false">ROUNDUP(M960,0)</f>
        <v>30</v>
      </c>
      <c r="O960" s="15" t="n">
        <f aca="false">MAX(I960,N960)</f>
        <v>40</v>
      </c>
      <c r="P960" s="15" t="n">
        <f aca="false">IF(C960="COVERED",MAX(0,O960-40),0)</f>
        <v>0</v>
      </c>
      <c r="Q960" s="15" t="n">
        <f aca="false">O960</f>
        <v>40</v>
      </c>
      <c r="R960" s="18" t="n">
        <f aca="false">IF(C960="COVERED",10.4,7.55)</f>
        <v>10.4</v>
      </c>
      <c r="S960" s="18" t="n">
        <f aca="false">Q960*R960</f>
        <v>416</v>
      </c>
      <c r="T960" s="13" t="s">
        <v>6770</v>
      </c>
      <c r="U960" s="14" t="n">
        <v>46235</v>
      </c>
      <c r="V960" s="13" t="n">
        <v>40</v>
      </c>
      <c r="W960" s="18" t="n">
        <v>10.4</v>
      </c>
      <c r="X960" s="18" t="n">
        <v>416</v>
      </c>
      <c r="Y960" s="18" t="n">
        <f aca="false">IF(ISNUMBER(X960),X960-S960,"")</f>
        <v>0</v>
      </c>
      <c r="Z960" s="18" t="n">
        <f aca="false">IF(ISNUMBER(X960),X960-S960,-S960)</f>
        <v>0</v>
      </c>
      <c r="AA960" s="13" t="str">
        <f aca="false">IF(NOT(ISNUMBER(X960)),"NO AUGUST POSTING IN EXPORT",IF(ABS(Y960)&gt;=0.005,"POSTED CHARGE MISMATCH",IF(P960&gt;0,"MATCH - COVERED ELIGIBILITY EXCEPTION","MATCH")))</f>
        <v>MATCH</v>
      </c>
      <c r="AB960" s="13" t="s">
        <v>6771</v>
      </c>
    </row>
    <row r="961" customFormat="false" ht="15" hidden="false" customHeight="false" outlineLevel="0" collapsed="false">
      <c r="A961" s="9" t="s">
        <v>6772</v>
      </c>
      <c r="B961" s="9" t="s">
        <v>135</v>
      </c>
      <c r="C961" s="9" t="s">
        <v>114</v>
      </c>
      <c r="D961" s="9" t="s">
        <v>2002</v>
      </c>
      <c r="E961" s="9" t="s">
        <v>2615</v>
      </c>
      <c r="F961" s="9" t="s">
        <v>6773</v>
      </c>
      <c r="G961" s="9" t="s">
        <v>6774</v>
      </c>
      <c r="H961" s="9" t="s">
        <v>6775</v>
      </c>
      <c r="I961" s="11" t="n">
        <v>24</v>
      </c>
      <c r="J961" s="11" t="n">
        <v>53.2</v>
      </c>
      <c r="K961" s="11"/>
      <c r="L961" s="11"/>
      <c r="M961" s="11" t="n">
        <f aca="false">IF(ISNUMBER(L961),L961,J961)</f>
        <v>53.2</v>
      </c>
      <c r="N961" s="11" t="n">
        <f aca="false">ROUNDUP(M961,0)</f>
        <v>54</v>
      </c>
      <c r="O961" s="11" t="n">
        <f aca="false">MAX(I961,N961)</f>
        <v>54</v>
      </c>
      <c r="P961" s="11" t="n">
        <f aca="false">IF(C961="COVERED",MAX(0,O961-40),0)</f>
        <v>14</v>
      </c>
      <c r="Q961" s="11" t="n">
        <f aca="false">O961</f>
        <v>54</v>
      </c>
      <c r="R961" s="17" t="n">
        <f aca="false">IF(C961="COVERED",10.4,7.55)</f>
        <v>10.4</v>
      </c>
      <c r="S961" s="17" t="n">
        <f aca="false">Q961*R961</f>
        <v>561.6</v>
      </c>
      <c r="T961" s="9" t="s">
        <v>6776</v>
      </c>
      <c r="U961" s="10" t="n">
        <v>46235</v>
      </c>
      <c r="V961" s="9" t="n">
        <v>54</v>
      </c>
      <c r="W961" s="17" t="n">
        <v>10.4</v>
      </c>
      <c r="X961" s="17" t="n">
        <v>561.6</v>
      </c>
      <c r="Y961" s="17" t="n">
        <f aca="false">IF(ISNUMBER(X961),X961-S961,"")</f>
        <v>0</v>
      </c>
      <c r="Z961" s="17" t="n">
        <f aca="false">IF(ISNUMBER(X961),X961-S961,-S961)</f>
        <v>0</v>
      </c>
      <c r="AA961" s="9" t="str">
        <f aca="false">IF(NOT(ISNUMBER(X961)),"NO AUGUST POSTING IN EXPORT",IF(ABS(Y961)&gt;=0.005,"POSTED CHARGE MISMATCH",IF(P961&gt;0,"MATCH - COVERED ELIGIBILITY EXCEPTION","MATCH")))</f>
        <v>MATCH - COVERED ELIGIBILITY EXCEPTION</v>
      </c>
      <c r="AB961" s="9" t="s">
        <v>6777</v>
      </c>
    </row>
    <row r="962" customFormat="false" ht="15" hidden="false" customHeight="false" outlineLevel="0" collapsed="false">
      <c r="A962" s="13" t="s">
        <v>6778</v>
      </c>
      <c r="B962" s="13" t="s">
        <v>135</v>
      </c>
      <c r="C962" s="13" t="s">
        <v>114</v>
      </c>
      <c r="D962" s="13" t="s">
        <v>2002</v>
      </c>
      <c r="E962" s="13" t="s">
        <v>3878</v>
      </c>
      <c r="F962" s="13" t="s">
        <v>6779</v>
      </c>
      <c r="G962" s="13" t="s">
        <v>6780</v>
      </c>
      <c r="H962" s="13" t="s">
        <v>2469</v>
      </c>
      <c r="I962" s="15" t="n">
        <v>28</v>
      </c>
      <c r="J962" s="15" t="n">
        <v>33</v>
      </c>
      <c r="K962" s="15"/>
      <c r="L962" s="15"/>
      <c r="M962" s="15" t="n">
        <f aca="false">IF(ISNUMBER(L962),L962,J962)</f>
        <v>33</v>
      </c>
      <c r="N962" s="15" t="n">
        <f aca="false">ROUNDUP(M962,0)</f>
        <v>33</v>
      </c>
      <c r="O962" s="15" t="n">
        <f aca="false">MAX(I962,N962)</f>
        <v>33</v>
      </c>
      <c r="P962" s="15" t="n">
        <f aca="false">IF(C962="COVERED",MAX(0,O962-40),0)</f>
        <v>0</v>
      </c>
      <c r="Q962" s="15" t="n">
        <f aca="false">O962</f>
        <v>33</v>
      </c>
      <c r="R962" s="18" t="n">
        <f aca="false">IF(C962="COVERED",10.4,7.55)</f>
        <v>10.4</v>
      </c>
      <c r="S962" s="18" t="n">
        <f aca="false">Q962*R962</f>
        <v>343.2</v>
      </c>
      <c r="T962" s="13" t="s">
        <v>6781</v>
      </c>
      <c r="U962" s="14" t="n">
        <v>46235</v>
      </c>
      <c r="V962" s="13" t="n">
        <v>33</v>
      </c>
      <c r="W962" s="18" t="n">
        <v>10.4</v>
      </c>
      <c r="X962" s="18" t="n">
        <v>343.2</v>
      </c>
      <c r="Y962" s="18" t="n">
        <f aca="false">IF(ISNUMBER(X962),X962-S962,"")</f>
        <v>0</v>
      </c>
      <c r="Z962" s="18" t="n">
        <f aca="false">IF(ISNUMBER(X962),X962-S962,-S962)</f>
        <v>0</v>
      </c>
      <c r="AA962" s="13" t="str">
        <f aca="false">IF(NOT(ISNUMBER(X962)),"NO AUGUST POSTING IN EXPORT",IF(ABS(Y962)&gt;=0.005,"POSTED CHARGE MISMATCH",IF(P962&gt;0,"MATCH - COVERED ELIGIBILITY EXCEPTION","MATCH")))</f>
        <v>MATCH</v>
      </c>
      <c r="AB962" s="13" t="s">
        <v>6782</v>
      </c>
    </row>
    <row r="963" customFormat="false" ht="15" hidden="false" customHeight="false" outlineLevel="0" collapsed="false">
      <c r="A963" s="9" t="s">
        <v>6783</v>
      </c>
      <c r="B963" s="9" t="s">
        <v>135</v>
      </c>
      <c r="C963" s="9" t="s">
        <v>114</v>
      </c>
      <c r="D963" s="9" t="s">
        <v>2002</v>
      </c>
      <c r="E963" s="9" t="s">
        <v>2622</v>
      </c>
      <c r="F963" s="9" t="s">
        <v>1057</v>
      </c>
      <c r="G963" s="9" t="s">
        <v>1058</v>
      </c>
      <c r="H963" s="9" t="s">
        <v>4269</v>
      </c>
      <c r="I963" s="11" t="n">
        <v>40</v>
      </c>
      <c r="J963" s="11" t="n">
        <v>21</v>
      </c>
      <c r="K963" s="11"/>
      <c r="L963" s="11"/>
      <c r="M963" s="11" t="n">
        <f aca="false">IF(ISNUMBER(L963),L963,J963)</f>
        <v>21</v>
      </c>
      <c r="N963" s="11" t="n">
        <f aca="false">ROUNDUP(M963,0)</f>
        <v>21</v>
      </c>
      <c r="O963" s="11" t="n">
        <f aca="false">MAX(I963,N963)</f>
        <v>40</v>
      </c>
      <c r="P963" s="11" t="n">
        <f aca="false">IF(C963="COVERED",MAX(0,O963-40),0)</f>
        <v>0</v>
      </c>
      <c r="Q963" s="11" t="n">
        <f aca="false">O963</f>
        <v>40</v>
      </c>
      <c r="R963" s="17" t="n">
        <f aca="false">IF(C963="COVERED",10.4,7.55)</f>
        <v>10.4</v>
      </c>
      <c r="S963" s="17" t="n">
        <f aca="false">Q963*R963</f>
        <v>416</v>
      </c>
      <c r="T963" s="9" t="s">
        <v>6784</v>
      </c>
      <c r="U963" s="10" t="n">
        <v>46235</v>
      </c>
      <c r="V963" s="9" t="n">
        <v>40</v>
      </c>
      <c r="W963" s="17" t="n">
        <v>10.4</v>
      </c>
      <c r="X963" s="17" t="n">
        <v>416</v>
      </c>
      <c r="Y963" s="17" t="n">
        <f aca="false">IF(ISNUMBER(X963),X963-S963,"")</f>
        <v>0</v>
      </c>
      <c r="Z963" s="17" t="n">
        <f aca="false">IF(ISNUMBER(X963),X963-S963,-S963)</f>
        <v>0</v>
      </c>
      <c r="AA963" s="9" t="str">
        <f aca="false">IF(NOT(ISNUMBER(X963)),"NO AUGUST POSTING IN EXPORT",IF(ABS(Y963)&gt;=0.005,"POSTED CHARGE MISMATCH",IF(P963&gt;0,"MATCH - COVERED ELIGIBILITY EXCEPTION","MATCH")))</f>
        <v>MATCH</v>
      </c>
      <c r="AB963" s="9" t="s">
        <v>6785</v>
      </c>
    </row>
    <row r="964" customFormat="false" ht="15" hidden="false" customHeight="false" outlineLevel="0" collapsed="false">
      <c r="A964" s="13" t="s">
        <v>6786</v>
      </c>
      <c r="B964" s="13" t="s">
        <v>135</v>
      </c>
      <c r="C964" s="13" t="s">
        <v>114</v>
      </c>
      <c r="D964" s="13" t="s">
        <v>2002</v>
      </c>
      <c r="E964" s="13" t="s">
        <v>2627</v>
      </c>
      <c r="F964" s="13" t="s">
        <v>6787</v>
      </c>
      <c r="G964" s="13" t="s">
        <v>6788</v>
      </c>
      <c r="H964" s="13" t="s">
        <v>2828</v>
      </c>
      <c r="I964" s="15" t="n">
        <v>28</v>
      </c>
      <c r="J964" s="15" t="n">
        <v>46.2</v>
      </c>
      <c r="K964" s="15"/>
      <c r="L964" s="15"/>
      <c r="M964" s="15" t="n">
        <f aca="false">IF(ISNUMBER(L964),L964,J964)</f>
        <v>46.2</v>
      </c>
      <c r="N964" s="15" t="n">
        <f aca="false">ROUNDUP(M964,0)</f>
        <v>47</v>
      </c>
      <c r="O964" s="15" t="n">
        <f aca="false">MAX(I964,N964)</f>
        <v>47</v>
      </c>
      <c r="P964" s="15" t="n">
        <f aca="false">IF(C964="COVERED",MAX(0,O964-40),0)</f>
        <v>7</v>
      </c>
      <c r="Q964" s="15" t="n">
        <f aca="false">O964</f>
        <v>47</v>
      </c>
      <c r="R964" s="18" t="n">
        <f aca="false">IF(C964="COVERED",10.4,7.55)</f>
        <v>10.4</v>
      </c>
      <c r="S964" s="18" t="n">
        <f aca="false">Q964*R964</f>
        <v>488.8</v>
      </c>
      <c r="T964" s="13" t="s">
        <v>6789</v>
      </c>
      <c r="U964" s="14" t="n">
        <v>46235</v>
      </c>
      <c r="V964" s="13" t="n">
        <v>47</v>
      </c>
      <c r="W964" s="18" t="n">
        <v>10.4</v>
      </c>
      <c r="X964" s="18" t="n">
        <v>488.8</v>
      </c>
      <c r="Y964" s="18" t="n">
        <f aca="false">IF(ISNUMBER(X964),X964-S964,"")</f>
        <v>0</v>
      </c>
      <c r="Z964" s="18" t="n">
        <f aca="false">IF(ISNUMBER(X964),X964-S964,-S964)</f>
        <v>0</v>
      </c>
      <c r="AA964" s="13" t="str">
        <f aca="false">IF(NOT(ISNUMBER(X964)),"NO AUGUST POSTING IN EXPORT",IF(ABS(Y964)&gt;=0.005,"POSTED CHARGE MISMATCH",IF(P964&gt;0,"MATCH - COVERED ELIGIBILITY EXCEPTION","MATCH")))</f>
        <v>MATCH - COVERED ELIGIBILITY EXCEPTION</v>
      </c>
      <c r="AB964" s="13" t="s">
        <v>6790</v>
      </c>
    </row>
    <row r="965" customFormat="false" ht="15" hidden="false" customHeight="false" outlineLevel="0" collapsed="false">
      <c r="A965" s="9" t="s">
        <v>522</v>
      </c>
      <c r="B965" s="9" t="s">
        <v>135</v>
      </c>
      <c r="C965" s="9" t="s">
        <v>114</v>
      </c>
      <c r="D965" s="9" t="s">
        <v>2002</v>
      </c>
      <c r="E965" s="9" t="s">
        <v>2634</v>
      </c>
      <c r="F965" s="9" t="s">
        <v>6791</v>
      </c>
      <c r="G965" s="9" t="s">
        <v>6792</v>
      </c>
      <c r="H965" s="9" t="s">
        <v>6101</v>
      </c>
      <c r="I965" s="11" t="n">
        <v>28</v>
      </c>
      <c r="J965" s="11" t="n">
        <v>21.8</v>
      </c>
      <c r="K965" s="11"/>
      <c r="L965" s="11"/>
      <c r="M965" s="11" t="n">
        <f aca="false">IF(ISNUMBER(L965),L965,J965)</f>
        <v>21.8</v>
      </c>
      <c r="N965" s="11" t="n">
        <f aca="false">ROUNDUP(M965,0)</f>
        <v>22</v>
      </c>
      <c r="O965" s="11" t="n">
        <f aca="false">MAX(I965,N965)</f>
        <v>28</v>
      </c>
      <c r="P965" s="11" t="n">
        <f aca="false">IF(C965="COVERED",MAX(0,O965-40),0)</f>
        <v>0</v>
      </c>
      <c r="Q965" s="11" t="n">
        <f aca="false">O965</f>
        <v>28</v>
      </c>
      <c r="R965" s="17" t="n">
        <f aca="false">IF(C965="COVERED",10.4,7.55)</f>
        <v>10.4</v>
      </c>
      <c r="S965" s="17" t="n">
        <f aca="false">Q965*R965</f>
        <v>291.2</v>
      </c>
      <c r="T965" s="9" t="s">
        <v>6793</v>
      </c>
      <c r="U965" s="10" t="n">
        <v>46235</v>
      </c>
      <c r="V965" s="9" t="n">
        <v>28</v>
      </c>
      <c r="W965" s="17" t="n">
        <v>10.4</v>
      </c>
      <c r="X965" s="17" t="n">
        <v>291.2</v>
      </c>
      <c r="Y965" s="17" t="n">
        <f aca="false">IF(ISNUMBER(X965),X965-S965,"")</f>
        <v>0</v>
      </c>
      <c r="Z965" s="17" t="n">
        <f aca="false">IF(ISNUMBER(X965),X965-S965,-S965)</f>
        <v>0</v>
      </c>
      <c r="AA965" s="9" t="str">
        <f aca="false">IF(NOT(ISNUMBER(X965)),"NO AUGUST POSTING IN EXPORT",IF(ABS(Y965)&gt;=0.005,"POSTED CHARGE MISMATCH",IF(P965&gt;0,"MATCH - COVERED ELIGIBILITY EXCEPTION","MATCH")))</f>
        <v>MATCH</v>
      </c>
      <c r="AB965" s="9" t="s">
        <v>6794</v>
      </c>
    </row>
    <row r="966" customFormat="false" ht="15" hidden="false" customHeight="false" outlineLevel="0" collapsed="false">
      <c r="A966" s="13" t="s">
        <v>6795</v>
      </c>
      <c r="B966" s="13" t="s">
        <v>135</v>
      </c>
      <c r="C966" s="13" t="s">
        <v>114</v>
      </c>
      <c r="D966" s="13" t="s">
        <v>2002</v>
      </c>
      <c r="E966" s="13" t="s">
        <v>2641</v>
      </c>
      <c r="F966" s="13" t="s">
        <v>6796</v>
      </c>
      <c r="G966" s="13" t="s">
        <v>6797</v>
      </c>
      <c r="H966" s="13" t="s">
        <v>6139</v>
      </c>
      <c r="I966" s="15" t="n">
        <v>32</v>
      </c>
      <c r="J966" s="15" t="n">
        <v>57.9</v>
      </c>
      <c r="K966" s="15"/>
      <c r="L966" s="15"/>
      <c r="M966" s="15" t="n">
        <f aca="false">IF(ISNUMBER(L966),L966,J966)</f>
        <v>57.9</v>
      </c>
      <c r="N966" s="15" t="n">
        <f aca="false">ROUNDUP(M966,0)</f>
        <v>58</v>
      </c>
      <c r="O966" s="15" t="n">
        <f aca="false">MAX(I966,N966)</f>
        <v>58</v>
      </c>
      <c r="P966" s="15" t="n">
        <f aca="false">IF(C966="COVERED",MAX(0,O966-40),0)</f>
        <v>18</v>
      </c>
      <c r="Q966" s="15" t="n">
        <f aca="false">O966</f>
        <v>58</v>
      </c>
      <c r="R966" s="18" t="n">
        <f aca="false">IF(C966="COVERED",10.4,7.55)</f>
        <v>10.4</v>
      </c>
      <c r="S966" s="18" t="n">
        <f aca="false">Q966*R966</f>
        <v>603.2</v>
      </c>
      <c r="T966" s="13" t="s">
        <v>6798</v>
      </c>
      <c r="U966" s="14" t="n">
        <v>46235</v>
      </c>
      <c r="V966" s="13" t="n">
        <v>58</v>
      </c>
      <c r="W966" s="18" t="n">
        <v>10.4</v>
      </c>
      <c r="X966" s="18" t="n">
        <v>603.2</v>
      </c>
      <c r="Y966" s="18" t="n">
        <f aca="false">IF(ISNUMBER(X966),X966-S966,"")</f>
        <v>0</v>
      </c>
      <c r="Z966" s="18" t="n">
        <f aca="false">IF(ISNUMBER(X966),X966-S966,-S966)</f>
        <v>0</v>
      </c>
      <c r="AA966" s="13" t="str">
        <f aca="false">IF(NOT(ISNUMBER(X966)),"NO AUGUST POSTING IN EXPORT",IF(ABS(Y966)&gt;=0.005,"POSTED CHARGE MISMATCH",IF(P966&gt;0,"MATCH - COVERED ELIGIBILITY EXCEPTION","MATCH")))</f>
        <v>MATCH - COVERED ELIGIBILITY EXCEPTION</v>
      </c>
      <c r="AB966" s="13" t="s">
        <v>6799</v>
      </c>
    </row>
    <row r="967" customFormat="false" ht="15" hidden="false" customHeight="false" outlineLevel="0" collapsed="false">
      <c r="A967" s="9" t="s">
        <v>6800</v>
      </c>
      <c r="B967" s="9" t="s">
        <v>135</v>
      </c>
      <c r="C967" s="9" t="s">
        <v>114</v>
      </c>
      <c r="D967" s="9" t="s">
        <v>2002</v>
      </c>
      <c r="E967" s="9" t="s">
        <v>2648</v>
      </c>
      <c r="F967" s="9" t="s">
        <v>6801</v>
      </c>
      <c r="G967" s="9" t="s">
        <v>6802</v>
      </c>
      <c r="H967" s="9" t="s">
        <v>3831</v>
      </c>
      <c r="I967" s="11" t="n">
        <v>24</v>
      </c>
      <c r="J967" s="11" t="n">
        <v>26</v>
      </c>
      <c r="K967" s="11"/>
      <c r="L967" s="11"/>
      <c r="M967" s="11" t="n">
        <f aca="false">IF(ISNUMBER(L967),L967,J967)</f>
        <v>26</v>
      </c>
      <c r="N967" s="11" t="n">
        <f aca="false">ROUNDUP(M967,0)</f>
        <v>26</v>
      </c>
      <c r="O967" s="11" t="n">
        <f aca="false">MAX(I967,N967)</f>
        <v>26</v>
      </c>
      <c r="P967" s="11" t="n">
        <f aca="false">IF(C967="COVERED",MAX(0,O967-40),0)</f>
        <v>0</v>
      </c>
      <c r="Q967" s="11" t="n">
        <f aca="false">O967</f>
        <v>26</v>
      </c>
      <c r="R967" s="17" t="n">
        <f aca="false">IF(C967="COVERED",10.4,7.55)</f>
        <v>10.4</v>
      </c>
      <c r="S967" s="17" t="n">
        <f aca="false">Q967*R967</f>
        <v>270.4</v>
      </c>
      <c r="T967" s="9" t="s">
        <v>6803</v>
      </c>
      <c r="U967" s="10" t="n">
        <v>46235</v>
      </c>
      <c r="V967" s="9" t="n">
        <v>26</v>
      </c>
      <c r="W967" s="17" t="n">
        <v>10.4</v>
      </c>
      <c r="X967" s="17" t="n">
        <v>270.4</v>
      </c>
      <c r="Y967" s="17" t="n">
        <f aca="false">IF(ISNUMBER(X967),X967-S967,"")</f>
        <v>0</v>
      </c>
      <c r="Z967" s="17" t="n">
        <f aca="false">IF(ISNUMBER(X967),X967-S967,-S967)</f>
        <v>0</v>
      </c>
      <c r="AA967" s="9" t="str">
        <f aca="false">IF(NOT(ISNUMBER(X967)),"NO AUGUST POSTING IN EXPORT",IF(ABS(Y967)&gt;=0.005,"POSTED CHARGE MISMATCH",IF(P967&gt;0,"MATCH - COVERED ELIGIBILITY EXCEPTION","MATCH")))</f>
        <v>MATCH</v>
      </c>
      <c r="AB967" s="9" t="s">
        <v>6804</v>
      </c>
    </row>
    <row r="968" customFormat="false" ht="15" hidden="false" customHeight="false" outlineLevel="0" collapsed="false">
      <c r="A968" s="13" t="s">
        <v>6805</v>
      </c>
      <c r="B968" s="13" t="s">
        <v>135</v>
      </c>
      <c r="C968" s="13" t="s">
        <v>114</v>
      </c>
      <c r="D968" s="13" t="s">
        <v>2002</v>
      </c>
      <c r="E968" s="13" t="s">
        <v>2655</v>
      </c>
      <c r="F968" s="13" t="s">
        <v>6806</v>
      </c>
      <c r="G968" s="13" t="s">
        <v>6807</v>
      </c>
      <c r="H968" s="13" t="s">
        <v>3855</v>
      </c>
      <c r="I968" s="15" t="n">
        <v>24</v>
      </c>
      <c r="J968" s="15" t="n">
        <v>41.5</v>
      </c>
      <c r="K968" s="15"/>
      <c r="L968" s="15"/>
      <c r="M968" s="15" t="n">
        <f aca="false">IF(ISNUMBER(L968),L968,J968)</f>
        <v>41.5</v>
      </c>
      <c r="N968" s="15" t="n">
        <f aca="false">ROUNDUP(M968,0)</f>
        <v>42</v>
      </c>
      <c r="O968" s="15" t="n">
        <f aca="false">MAX(I968,N968)</f>
        <v>42</v>
      </c>
      <c r="P968" s="15" t="n">
        <f aca="false">IF(C968="COVERED",MAX(0,O968-40),0)</f>
        <v>2</v>
      </c>
      <c r="Q968" s="15" t="n">
        <f aca="false">O968</f>
        <v>42</v>
      </c>
      <c r="R968" s="18" t="n">
        <f aca="false">IF(C968="COVERED",10.4,7.55)</f>
        <v>10.4</v>
      </c>
      <c r="S968" s="18" t="n">
        <f aca="false">Q968*R968</f>
        <v>436.8</v>
      </c>
      <c r="T968" s="13" t="s">
        <v>6808</v>
      </c>
      <c r="U968" s="14" t="n">
        <v>46235</v>
      </c>
      <c r="V968" s="13" t="n">
        <v>42</v>
      </c>
      <c r="W968" s="18" t="n">
        <v>10.4</v>
      </c>
      <c r="X968" s="18" t="n">
        <v>436.8</v>
      </c>
      <c r="Y968" s="18" t="n">
        <f aca="false">IF(ISNUMBER(X968),X968-S968,"")</f>
        <v>0</v>
      </c>
      <c r="Z968" s="18" t="n">
        <f aca="false">IF(ISNUMBER(X968),X968-S968,-S968)</f>
        <v>0</v>
      </c>
      <c r="AA968" s="13" t="str">
        <f aca="false">IF(NOT(ISNUMBER(X968)),"NO AUGUST POSTING IN EXPORT",IF(ABS(Y968)&gt;=0.005,"POSTED CHARGE MISMATCH",IF(P968&gt;0,"MATCH - COVERED ELIGIBILITY EXCEPTION","MATCH")))</f>
        <v>MATCH - COVERED ELIGIBILITY EXCEPTION</v>
      </c>
      <c r="AB968" s="13" t="s">
        <v>6809</v>
      </c>
    </row>
    <row r="969" customFormat="false" ht="15" hidden="false" customHeight="false" outlineLevel="0" collapsed="false">
      <c r="A969" s="9" t="s">
        <v>1025</v>
      </c>
      <c r="B969" s="9" t="s">
        <v>135</v>
      </c>
      <c r="C969" s="9" t="s">
        <v>114</v>
      </c>
      <c r="D969" s="9" t="s">
        <v>2002</v>
      </c>
      <c r="E969" s="9" t="s">
        <v>2667</v>
      </c>
      <c r="F969" s="9" t="s">
        <v>6810</v>
      </c>
      <c r="G969" s="9" t="s">
        <v>6811</v>
      </c>
      <c r="H969" s="9" t="s">
        <v>6812</v>
      </c>
      <c r="I969" s="11" t="n">
        <v>28</v>
      </c>
      <c r="J969" s="11" t="n">
        <v>59.8</v>
      </c>
      <c r="K969" s="11"/>
      <c r="L969" s="11"/>
      <c r="M969" s="11" t="n">
        <f aca="false">IF(ISNUMBER(L969),L969,J969)</f>
        <v>59.8</v>
      </c>
      <c r="N969" s="11" t="n">
        <f aca="false">ROUNDUP(M969,0)</f>
        <v>60</v>
      </c>
      <c r="O969" s="11" t="n">
        <f aca="false">MAX(I969,N969)</f>
        <v>60</v>
      </c>
      <c r="P969" s="11" t="n">
        <f aca="false">IF(C969="COVERED",MAX(0,O969-40),0)</f>
        <v>20</v>
      </c>
      <c r="Q969" s="11" t="n">
        <f aca="false">O969</f>
        <v>60</v>
      </c>
      <c r="R969" s="17" t="n">
        <f aca="false">IF(C969="COVERED",10.4,7.55)</f>
        <v>10.4</v>
      </c>
      <c r="S969" s="17" t="n">
        <f aca="false">Q969*R969</f>
        <v>624</v>
      </c>
      <c r="T969" s="9" t="s">
        <v>6813</v>
      </c>
      <c r="U969" s="10" t="n">
        <v>46235</v>
      </c>
      <c r="V969" s="9" t="n">
        <v>60</v>
      </c>
      <c r="W969" s="17" t="n">
        <v>10.4</v>
      </c>
      <c r="X969" s="17" t="n">
        <v>624</v>
      </c>
      <c r="Y969" s="17" t="n">
        <f aca="false">IF(ISNUMBER(X969),X969-S969,"")</f>
        <v>0</v>
      </c>
      <c r="Z969" s="17" t="n">
        <f aca="false">IF(ISNUMBER(X969),X969-S969,-S969)</f>
        <v>0</v>
      </c>
      <c r="AA969" s="9" t="str">
        <f aca="false">IF(NOT(ISNUMBER(X969)),"NO AUGUST POSTING IN EXPORT",IF(ABS(Y969)&gt;=0.005,"POSTED CHARGE MISMATCH",IF(P969&gt;0,"MATCH - COVERED ELIGIBILITY EXCEPTION","MATCH")))</f>
        <v>MATCH - COVERED ELIGIBILITY EXCEPTION</v>
      </c>
      <c r="AB969" s="9" t="s">
        <v>6814</v>
      </c>
    </row>
    <row r="970" customFormat="false" ht="15" hidden="false" customHeight="false" outlineLevel="0" collapsed="false">
      <c r="A970" s="13" t="s">
        <v>995</v>
      </c>
      <c r="B970" s="13" t="s">
        <v>135</v>
      </c>
      <c r="C970" s="13" t="s">
        <v>114</v>
      </c>
      <c r="D970" s="13" t="s">
        <v>2002</v>
      </c>
      <c r="E970" s="13" t="s">
        <v>2673</v>
      </c>
      <c r="F970" s="13" t="s">
        <v>6815</v>
      </c>
      <c r="G970" s="13" t="s">
        <v>6816</v>
      </c>
      <c r="H970" s="13" t="s">
        <v>2750</v>
      </c>
      <c r="I970" s="15" t="n">
        <v>28</v>
      </c>
      <c r="J970" s="15" t="n">
        <v>56.9</v>
      </c>
      <c r="K970" s="15"/>
      <c r="L970" s="15"/>
      <c r="M970" s="15" t="n">
        <f aca="false">IF(ISNUMBER(L970),L970,J970)</f>
        <v>56.9</v>
      </c>
      <c r="N970" s="15" t="n">
        <f aca="false">ROUNDUP(M970,0)</f>
        <v>57</v>
      </c>
      <c r="O970" s="15" t="n">
        <f aca="false">MAX(I970,N970)</f>
        <v>57</v>
      </c>
      <c r="P970" s="15" t="n">
        <f aca="false">IF(C970="COVERED",MAX(0,O970-40),0)</f>
        <v>17</v>
      </c>
      <c r="Q970" s="15" t="n">
        <f aca="false">O970</f>
        <v>57</v>
      </c>
      <c r="R970" s="18" t="n">
        <f aca="false">IF(C970="COVERED",10.4,7.55)</f>
        <v>10.4</v>
      </c>
      <c r="S970" s="18" t="n">
        <f aca="false">Q970*R970</f>
        <v>592.8</v>
      </c>
      <c r="T970" s="13" t="s">
        <v>6817</v>
      </c>
      <c r="U970" s="14" t="n">
        <v>46235</v>
      </c>
      <c r="V970" s="13" t="n">
        <v>57</v>
      </c>
      <c r="W970" s="18" t="n">
        <v>10.4</v>
      </c>
      <c r="X970" s="18" t="n">
        <v>592.8</v>
      </c>
      <c r="Y970" s="18" t="n">
        <f aca="false">IF(ISNUMBER(X970),X970-S970,"")</f>
        <v>0</v>
      </c>
      <c r="Z970" s="18" t="n">
        <f aca="false">IF(ISNUMBER(X970),X970-S970,-S970)</f>
        <v>0</v>
      </c>
      <c r="AA970" s="13" t="str">
        <f aca="false">IF(NOT(ISNUMBER(X970)),"NO AUGUST POSTING IN EXPORT",IF(ABS(Y970)&gt;=0.005,"POSTED CHARGE MISMATCH",IF(P970&gt;0,"MATCH - COVERED ELIGIBILITY EXCEPTION","MATCH")))</f>
        <v>MATCH - COVERED ELIGIBILITY EXCEPTION</v>
      </c>
      <c r="AB970" s="13" t="s">
        <v>6818</v>
      </c>
    </row>
    <row r="971" customFormat="false" ht="15" hidden="false" customHeight="false" outlineLevel="0" collapsed="false">
      <c r="A971" s="9" t="s">
        <v>6819</v>
      </c>
      <c r="B971" s="9" t="s">
        <v>135</v>
      </c>
      <c r="C971" s="9" t="s">
        <v>114</v>
      </c>
      <c r="D971" s="9" t="s">
        <v>2002</v>
      </c>
      <c r="E971" s="9" t="s">
        <v>2679</v>
      </c>
      <c r="F971" s="9" t="s">
        <v>6820</v>
      </c>
      <c r="G971" s="9" t="s">
        <v>6821</v>
      </c>
      <c r="H971" s="9" t="s">
        <v>4891</v>
      </c>
      <c r="I971" s="11" t="n">
        <v>24</v>
      </c>
      <c r="J971" s="11" t="n">
        <v>48.2</v>
      </c>
      <c r="K971" s="11"/>
      <c r="L971" s="11"/>
      <c r="M971" s="11" t="n">
        <f aca="false">IF(ISNUMBER(L971),L971,J971)</f>
        <v>48.2</v>
      </c>
      <c r="N971" s="11" t="n">
        <f aca="false">ROUNDUP(M971,0)</f>
        <v>49</v>
      </c>
      <c r="O971" s="11" t="n">
        <f aca="false">MAX(I971,N971)</f>
        <v>49</v>
      </c>
      <c r="P971" s="11" t="n">
        <f aca="false">IF(C971="COVERED",MAX(0,O971-40),0)</f>
        <v>9</v>
      </c>
      <c r="Q971" s="11" t="n">
        <f aca="false">O971</f>
        <v>49</v>
      </c>
      <c r="R971" s="17" t="n">
        <f aca="false">IF(C971="COVERED",10.4,7.55)</f>
        <v>10.4</v>
      </c>
      <c r="S971" s="17" t="n">
        <f aca="false">Q971*R971</f>
        <v>509.6</v>
      </c>
      <c r="T971" s="9" t="s">
        <v>6822</v>
      </c>
      <c r="U971" s="10" t="n">
        <v>46235</v>
      </c>
      <c r="V971" s="9" t="n">
        <v>49</v>
      </c>
      <c r="W971" s="17" t="n">
        <v>10.4</v>
      </c>
      <c r="X971" s="17" t="n">
        <v>509.6</v>
      </c>
      <c r="Y971" s="17" t="n">
        <f aca="false">IF(ISNUMBER(X971),X971-S971,"")</f>
        <v>0</v>
      </c>
      <c r="Z971" s="17" t="n">
        <f aca="false">IF(ISNUMBER(X971),X971-S971,-S971)</f>
        <v>0</v>
      </c>
      <c r="AA971" s="9" t="str">
        <f aca="false">IF(NOT(ISNUMBER(X971)),"NO AUGUST POSTING IN EXPORT",IF(ABS(Y971)&gt;=0.005,"POSTED CHARGE MISMATCH",IF(P971&gt;0,"MATCH - COVERED ELIGIBILITY EXCEPTION","MATCH")))</f>
        <v>MATCH - COVERED ELIGIBILITY EXCEPTION</v>
      </c>
      <c r="AB971" s="9" t="s">
        <v>6823</v>
      </c>
    </row>
    <row r="972" customFormat="false" ht="15" hidden="false" customHeight="false" outlineLevel="0" collapsed="false">
      <c r="A972" s="13" t="s">
        <v>6824</v>
      </c>
      <c r="B972" s="13" t="s">
        <v>135</v>
      </c>
      <c r="C972" s="13" t="s">
        <v>114</v>
      </c>
      <c r="D972" s="13" t="s">
        <v>2002</v>
      </c>
      <c r="E972" s="13" t="s">
        <v>2686</v>
      </c>
      <c r="F972" s="13" t="s">
        <v>6825</v>
      </c>
      <c r="G972" s="13" t="s">
        <v>6826</v>
      </c>
      <c r="H972" s="13" t="s">
        <v>4915</v>
      </c>
      <c r="I972" s="15" t="n">
        <v>28</v>
      </c>
      <c r="J972" s="15" t="n">
        <v>36</v>
      </c>
      <c r="K972" s="15"/>
      <c r="L972" s="15"/>
      <c r="M972" s="15" t="n">
        <f aca="false">IF(ISNUMBER(L972),L972,J972)</f>
        <v>36</v>
      </c>
      <c r="N972" s="15" t="n">
        <f aca="false">ROUNDUP(M972,0)</f>
        <v>36</v>
      </c>
      <c r="O972" s="15" t="n">
        <f aca="false">MAX(I972,N972)</f>
        <v>36</v>
      </c>
      <c r="P972" s="15" t="n">
        <f aca="false">IF(C972="COVERED",MAX(0,O972-40),0)</f>
        <v>0</v>
      </c>
      <c r="Q972" s="15" t="n">
        <f aca="false">O972</f>
        <v>36</v>
      </c>
      <c r="R972" s="18" t="n">
        <f aca="false">IF(C972="COVERED",10.4,7.55)</f>
        <v>10.4</v>
      </c>
      <c r="S972" s="18" t="n">
        <f aca="false">Q972*R972</f>
        <v>374.4</v>
      </c>
      <c r="T972" s="13" t="s">
        <v>6827</v>
      </c>
      <c r="U972" s="14" t="n">
        <v>46235</v>
      </c>
      <c r="V972" s="13" t="n">
        <v>36</v>
      </c>
      <c r="W972" s="18" t="n">
        <v>10.4</v>
      </c>
      <c r="X972" s="18" t="n">
        <v>374.4</v>
      </c>
      <c r="Y972" s="18" t="n">
        <f aca="false">IF(ISNUMBER(X972),X972-S972,"")</f>
        <v>0</v>
      </c>
      <c r="Z972" s="18" t="n">
        <f aca="false">IF(ISNUMBER(X972),X972-S972,-S972)</f>
        <v>0</v>
      </c>
      <c r="AA972" s="13" t="str">
        <f aca="false">IF(NOT(ISNUMBER(X972)),"NO AUGUST POSTING IN EXPORT",IF(ABS(Y972)&gt;=0.005,"POSTED CHARGE MISMATCH",IF(P972&gt;0,"MATCH - COVERED ELIGIBILITY EXCEPTION","MATCH")))</f>
        <v>MATCH</v>
      </c>
      <c r="AB972" s="13" t="s">
        <v>6828</v>
      </c>
    </row>
    <row r="973" customFormat="false" ht="15" hidden="false" customHeight="false" outlineLevel="0" collapsed="false">
      <c r="A973" s="9" t="s">
        <v>321</v>
      </c>
      <c r="B973" s="9" t="s">
        <v>135</v>
      </c>
      <c r="C973" s="9" t="s">
        <v>114</v>
      </c>
      <c r="D973" s="9" t="s">
        <v>2002</v>
      </c>
      <c r="E973" s="9" t="s">
        <v>2693</v>
      </c>
      <c r="F973" s="9" t="s">
        <v>783</v>
      </c>
      <c r="G973" s="9" t="s">
        <v>784</v>
      </c>
      <c r="H973" s="9" t="s">
        <v>6829</v>
      </c>
      <c r="I973" s="11" t="n">
        <v>32</v>
      </c>
      <c r="J973" s="11" t="n">
        <v>33.2</v>
      </c>
      <c r="K973" s="11"/>
      <c r="L973" s="11"/>
      <c r="M973" s="11" t="n">
        <f aca="false">IF(ISNUMBER(L973),L973,J973)</f>
        <v>33.2</v>
      </c>
      <c r="N973" s="11" t="n">
        <f aca="false">ROUNDUP(M973,0)</f>
        <v>34</v>
      </c>
      <c r="O973" s="11" t="n">
        <f aca="false">MAX(I973,N973)</f>
        <v>34</v>
      </c>
      <c r="P973" s="11" t="n">
        <f aca="false">IF(C973="COVERED",MAX(0,O973-40),0)</f>
        <v>0</v>
      </c>
      <c r="Q973" s="11" t="n">
        <f aca="false">O973</f>
        <v>34</v>
      </c>
      <c r="R973" s="17" t="n">
        <f aca="false">IF(C973="COVERED",10.4,7.55)</f>
        <v>10.4</v>
      </c>
      <c r="S973" s="17" t="n">
        <f aca="false">Q973*R973</f>
        <v>353.6</v>
      </c>
      <c r="T973" s="9" t="s">
        <v>6830</v>
      </c>
      <c r="U973" s="10" t="n">
        <v>46235</v>
      </c>
      <c r="V973" s="9" t="n">
        <v>34</v>
      </c>
      <c r="W973" s="17" t="n">
        <v>10.4</v>
      </c>
      <c r="X973" s="17" t="n">
        <v>353.6</v>
      </c>
      <c r="Y973" s="17" t="n">
        <f aca="false">IF(ISNUMBER(X973),X973-S973,"")</f>
        <v>0</v>
      </c>
      <c r="Z973" s="17" t="n">
        <f aca="false">IF(ISNUMBER(X973),X973-S973,-S973)</f>
        <v>0</v>
      </c>
      <c r="AA973" s="9" t="str">
        <f aca="false">IF(NOT(ISNUMBER(X973)),"NO AUGUST POSTING IN EXPORT",IF(ABS(Y973)&gt;=0.005,"POSTED CHARGE MISMATCH",IF(P973&gt;0,"MATCH - COVERED ELIGIBILITY EXCEPTION","MATCH")))</f>
        <v>MATCH</v>
      </c>
      <c r="AB973" s="9" t="s">
        <v>6831</v>
      </c>
    </row>
    <row r="974" customFormat="false" ht="15" hidden="false" customHeight="false" outlineLevel="0" collapsed="false">
      <c r="A974" s="13" t="s">
        <v>6832</v>
      </c>
      <c r="B974" s="13" t="s">
        <v>135</v>
      </c>
      <c r="C974" s="13" t="s">
        <v>114</v>
      </c>
      <c r="D974" s="13" t="s">
        <v>2002</v>
      </c>
      <c r="E974" s="13" t="s">
        <v>2698</v>
      </c>
      <c r="F974" s="13" t="s">
        <v>6833</v>
      </c>
      <c r="G974" s="13" t="s">
        <v>6834</v>
      </c>
      <c r="H974" s="13" t="s">
        <v>5730</v>
      </c>
      <c r="I974" s="15" t="n">
        <v>32</v>
      </c>
      <c r="J974" s="15" t="n">
        <v>42.5</v>
      </c>
      <c r="K974" s="15"/>
      <c r="L974" s="15"/>
      <c r="M974" s="15" t="n">
        <f aca="false">IF(ISNUMBER(L974),L974,J974)</f>
        <v>42.5</v>
      </c>
      <c r="N974" s="15" t="n">
        <f aca="false">ROUNDUP(M974,0)</f>
        <v>43</v>
      </c>
      <c r="O974" s="15" t="n">
        <f aca="false">MAX(I974,N974)</f>
        <v>43</v>
      </c>
      <c r="P974" s="15" t="n">
        <f aca="false">IF(C974="COVERED",MAX(0,O974-40),0)</f>
        <v>3</v>
      </c>
      <c r="Q974" s="15" t="n">
        <f aca="false">O974</f>
        <v>43</v>
      </c>
      <c r="R974" s="18" t="n">
        <f aca="false">IF(C974="COVERED",10.4,7.55)</f>
        <v>10.4</v>
      </c>
      <c r="S974" s="18" t="n">
        <f aca="false">Q974*R974</f>
        <v>447.2</v>
      </c>
      <c r="T974" s="13" t="s">
        <v>6835</v>
      </c>
      <c r="U974" s="14" t="n">
        <v>46235</v>
      </c>
      <c r="V974" s="13" t="n">
        <v>43</v>
      </c>
      <c r="W974" s="18" t="n">
        <v>10.4</v>
      </c>
      <c r="X974" s="18" t="n">
        <v>447.2</v>
      </c>
      <c r="Y974" s="18" t="n">
        <f aca="false">IF(ISNUMBER(X974),X974-S974,"")</f>
        <v>0</v>
      </c>
      <c r="Z974" s="18" t="n">
        <f aca="false">IF(ISNUMBER(X974),X974-S974,-S974)</f>
        <v>0</v>
      </c>
      <c r="AA974" s="13" t="str">
        <f aca="false">IF(NOT(ISNUMBER(X974)),"NO AUGUST POSTING IN EXPORT",IF(ABS(Y974)&gt;=0.005,"POSTED CHARGE MISMATCH",IF(P974&gt;0,"MATCH - COVERED ELIGIBILITY EXCEPTION","MATCH")))</f>
        <v>MATCH - COVERED ELIGIBILITY EXCEPTION</v>
      </c>
      <c r="AB974" s="13" t="s">
        <v>6836</v>
      </c>
    </row>
    <row r="975" customFormat="false" ht="15" hidden="false" customHeight="false" outlineLevel="0" collapsed="false">
      <c r="A975" s="9" t="s">
        <v>6837</v>
      </c>
      <c r="B975" s="9" t="s">
        <v>135</v>
      </c>
      <c r="C975" s="9" t="s">
        <v>114</v>
      </c>
      <c r="D975" s="9" t="s">
        <v>2002</v>
      </c>
      <c r="E975" s="9" t="s">
        <v>2702</v>
      </c>
      <c r="F975" s="9" t="s">
        <v>6838</v>
      </c>
      <c r="G975" s="9" t="s">
        <v>6839</v>
      </c>
      <c r="H975" s="9" t="s">
        <v>5220</v>
      </c>
      <c r="I975" s="11" t="n">
        <v>32</v>
      </c>
      <c r="J975" s="11" t="n">
        <v>38.7</v>
      </c>
      <c r="K975" s="11"/>
      <c r="L975" s="11"/>
      <c r="M975" s="11" t="n">
        <f aca="false">IF(ISNUMBER(L975),L975,J975)</f>
        <v>38.7</v>
      </c>
      <c r="N975" s="11" t="n">
        <f aca="false">ROUNDUP(M975,0)</f>
        <v>39</v>
      </c>
      <c r="O975" s="11" t="n">
        <f aca="false">MAX(I975,N975)</f>
        <v>39</v>
      </c>
      <c r="P975" s="11" t="n">
        <f aca="false">IF(C975="COVERED",MAX(0,O975-40),0)</f>
        <v>0</v>
      </c>
      <c r="Q975" s="11" t="n">
        <f aca="false">O975</f>
        <v>39</v>
      </c>
      <c r="R975" s="17" t="n">
        <f aca="false">IF(C975="COVERED",10.4,7.55)</f>
        <v>10.4</v>
      </c>
      <c r="S975" s="17" t="n">
        <f aca="false">Q975*R975</f>
        <v>405.6</v>
      </c>
      <c r="T975" s="9" t="s">
        <v>6840</v>
      </c>
      <c r="U975" s="10" t="n">
        <v>46235</v>
      </c>
      <c r="V975" s="9" t="n">
        <v>39</v>
      </c>
      <c r="W975" s="17" t="n">
        <v>10.4</v>
      </c>
      <c r="X975" s="17" t="n">
        <v>405.6</v>
      </c>
      <c r="Y975" s="17" t="n">
        <f aca="false">IF(ISNUMBER(X975),X975-S975,"")</f>
        <v>0</v>
      </c>
      <c r="Z975" s="17" t="n">
        <f aca="false">IF(ISNUMBER(X975),X975-S975,-S975)</f>
        <v>0</v>
      </c>
      <c r="AA975" s="9" t="str">
        <f aca="false">IF(NOT(ISNUMBER(X975)),"NO AUGUST POSTING IN EXPORT",IF(ABS(Y975)&gt;=0.005,"POSTED CHARGE MISMATCH",IF(P975&gt;0,"MATCH - COVERED ELIGIBILITY EXCEPTION","MATCH")))</f>
        <v>MATCH</v>
      </c>
      <c r="AB975" s="9" t="s">
        <v>6841</v>
      </c>
    </row>
    <row r="976" customFormat="false" ht="15" hidden="false" customHeight="false" outlineLevel="0" collapsed="false">
      <c r="A976" s="13" t="s">
        <v>6842</v>
      </c>
      <c r="B976" s="13" t="s">
        <v>135</v>
      </c>
      <c r="C976" s="13" t="s">
        <v>114</v>
      </c>
      <c r="D976" s="13" t="s">
        <v>2002</v>
      </c>
      <c r="E976" s="13" t="s">
        <v>2708</v>
      </c>
      <c r="F976" s="13" t="s">
        <v>6843</v>
      </c>
      <c r="G976" s="13" t="s">
        <v>6844</v>
      </c>
      <c r="H976" s="13" t="s">
        <v>2006</v>
      </c>
      <c r="I976" s="15" t="n">
        <v>28</v>
      </c>
      <c r="J976" s="15" t="n">
        <v>22.5</v>
      </c>
      <c r="K976" s="15"/>
      <c r="L976" s="15"/>
      <c r="M976" s="15" t="n">
        <f aca="false">IF(ISNUMBER(L976),L976,J976)</f>
        <v>22.5</v>
      </c>
      <c r="N976" s="15" t="n">
        <f aca="false">ROUNDUP(M976,0)</f>
        <v>23</v>
      </c>
      <c r="O976" s="15" t="n">
        <f aca="false">MAX(I976,N976)</f>
        <v>28</v>
      </c>
      <c r="P976" s="15" t="n">
        <f aca="false">IF(C976="COVERED",MAX(0,O976-40),0)</f>
        <v>0</v>
      </c>
      <c r="Q976" s="15" t="n">
        <f aca="false">O976</f>
        <v>28</v>
      </c>
      <c r="R976" s="18" t="n">
        <f aca="false">IF(C976="COVERED",10.4,7.55)</f>
        <v>10.4</v>
      </c>
      <c r="S976" s="18" t="n">
        <f aca="false">Q976*R976</f>
        <v>291.2</v>
      </c>
      <c r="T976" s="13" t="s">
        <v>6845</v>
      </c>
      <c r="U976" s="14" t="n">
        <v>46235</v>
      </c>
      <c r="V976" s="13" t="n">
        <v>28</v>
      </c>
      <c r="W976" s="18" t="n">
        <v>10.4</v>
      </c>
      <c r="X976" s="18" t="n">
        <v>291.2</v>
      </c>
      <c r="Y976" s="18" t="n">
        <f aca="false">IF(ISNUMBER(X976),X976-S976,"")</f>
        <v>0</v>
      </c>
      <c r="Z976" s="18" t="n">
        <f aca="false">IF(ISNUMBER(X976),X976-S976,-S976)</f>
        <v>0</v>
      </c>
      <c r="AA976" s="13" t="str">
        <f aca="false">IF(NOT(ISNUMBER(X976)),"NO AUGUST POSTING IN EXPORT",IF(ABS(Y976)&gt;=0.005,"POSTED CHARGE MISMATCH",IF(P976&gt;0,"MATCH - COVERED ELIGIBILITY EXCEPTION","MATCH")))</f>
        <v>MATCH</v>
      </c>
      <c r="AB976" s="13" t="s">
        <v>6846</v>
      </c>
    </row>
    <row r="977" customFormat="false" ht="15" hidden="false" customHeight="false" outlineLevel="0" collapsed="false">
      <c r="A977" s="9" t="s">
        <v>1084</v>
      </c>
      <c r="B977" s="9" t="s">
        <v>135</v>
      </c>
      <c r="C977" s="9" t="s">
        <v>114</v>
      </c>
      <c r="D977" s="9" t="s">
        <v>2002</v>
      </c>
      <c r="E977" s="9" t="s">
        <v>2713</v>
      </c>
      <c r="F977" s="9" t="s">
        <v>6847</v>
      </c>
      <c r="G977" s="9" t="s">
        <v>6848</v>
      </c>
      <c r="H977" s="9" t="s">
        <v>6849</v>
      </c>
      <c r="I977" s="11" t="n">
        <v>24</v>
      </c>
      <c r="J977" s="11" t="n">
        <v>45.6</v>
      </c>
      <c r="K977" s="11"/>
      <c r="L977" s="11"/>
      <c r="M977" s="11" t="n">
        <f aca="false">IF(ISNUMBER(L977),L977,J977)</f>
        <v>45.6</v>
      </c>
      <c r="N977" s="11" t="n">
        <f aca="false">ROUNDUP(M977,0)</f>
        <v>46</v>
      </c>
      <c r="O977" s="11" t="n">
        <f aca="false">MAX(I977,N977)</f>
        <v>46</v>
      </c>
      <c r="P977" s="11" t="n">
        <f aca="false">IF(C977="COVERED",MAX(0,O977-40),0)</f>
        <v>6</v>
      </c>
      <c r="Q977" s="11" t="n">
        <f aca="false">O977</f>
        <v>46</v>
      </c>
      <c r="R977" s="17" t="n">
        <f aca="false">IF(C977="COVERED",10.4,7.55)</f>
        <v>10.4</v>
      </c>
      <c r="S977" s="17" t="n">
        <f aca="false">Q977*R977</f>
        <v>478.4</v>
      </c>
      <c r="T977" s="9" t="s">
        <v>6850</v>
      </c>
      <c r="U977" s="10" t="n">
        <v>46235</v>
      </c>
      <c r="V977" s="9" t="n">
        <v>46</v>
      </c>
      <c r="W977" s="17" t="n">
        <v>10.4</v>
      </c>
      <c r="X977" s="17" t="n">
        <v>478.4</v>
      </c>
      <c r="Y977" s="17" t="n">
        <f aca="false">IF(ISNUMBER(X977),X977-S977,"")</f>
        <v>0</v>
      </c>
      <c r="Z977" s="17" t="n">
        <f aca="false">IF(ISNUMBER(X977),X977-S977,-S977)</f>
        <v>0</v>
      </c>
      <c r="AA977" s="9" t="str">
        <f aca="false">IF(NOT(ISNUMBER(X977)),"NO AUGUST POSTING IN EXPORT",IF(ABS(Y977)&gt;=0.005,"POSTED CHARGE MISMATCH",IF(P977&gt;0,"MATCH - COVERED ELIGIBILITY EXCEPTION","MATCH")))</f>
        <v>MATCH - COVERED ELIGIBILITY EXCEPTION</v>
      </c>
      <c r="AB977" s="9" t="s">
        <v>6851</v>
      </c>
    </row>
    <row r="978" customFormat="false" ht="15" hidden="false" customHeight="false" outlineLevel="0" collapsed="false">
      <c r="A978" s="13" t="s">
        <v>890</v>
      </c>
      <c r="B978" s="13" t="s">
        <v>135</v>
      </c>
      <c r="C978" s="13" t="s">
        <v>114</v>
      </c>
      <c r="D978" s="13" t="s">
        <v>2002</v>
      </c>
      <c r="E978" s="13" t="s">
        <v>2720</v>
      </c>
      <c r="F978" s="13" t="s">
        <v>6852</v>
      </c>
      <c r="G978" s="13" t="s">
        <v>6853</v>
      </c>
      <c r="H978" s="13" t="s">
        <v>2756</v>
      </c>
      <c r="I978" s="15" t="n">
        <v>24</v>
      </c>
      <c r="J978" s="15" t="n">
        <v>39.8</v>
      </c>
      <c r="K978" s="15"/>
      <c r="L978" s="15"/>
      <c r="M978" s="15" t="n">
        <f aca="false">IF(ISNUMBER(L978),L978,J978)</f>
        <v>39.8</v>
      </c>
      <c r="N978" s="15" t="n">
        <f aca="false">ROUNDUP(M978,0)</f>
        <v>40</v>
      </c>
      <c r="O978" s="15" t="n">
        <f aca="false">MAX(I978,N978)</f>
        <v>40</v>
      </c>
      <c r="P978" s="15" t="n">
        <f aca="false">IF(C978="COVERED",MAX(0,O978-40),0)</f>
        <v>0</v>
      </c>
      <c r="Q978" s="15" t="n">
        <f aca="false">O978</f>
        <v>40</v>
      </c>
      <c r="R978" s="18" t="n">
        <f aca="false">IF(C978="COVERED",10.4,7.55)</f>
        <v>10.4</v>
      </c>
      <c r="S978" s="18" t="n">
        <f aca="false">Q978*R978</f>
        <v>416</v>
      </c>
      <c r="T978" s="13" t="s">
        <v>6854</v>
      </c>
      <c r="U978" s="14" t="n">
        <v>46235</v>
      </c>
      <c r="V978" s="13" t="n">
        <v>40</v>
      </c>
      <c r="W978" s="18" t="n">
        <v>10.4</v>
      </c>
      <c r="X978" s="18" t="n">
        <v>416</v>
      </c>
      <c r="Y978" s="18" t="n">
        <f aca="false">IF(ISNUMBER(X978),X978-S978,"")</f>
        <v>0</v>
      </c>
      <c r="Z978" s="18" t="n">
        <f aca="false">IF(ISNUMBER(X978),X978-S978,-S978)</f>
        <v>0</v>
      </c>
      <c r="AA978" s="13" t="str">
        <f aca="false">IF(NOT(ISNUMBER(X978)),"NO AUGUST POSTING IN EXPORT",IF(ABS(Y978)&gt;=0.005,"POSTED CHARGE MISMATCH",IF(P978&gt;0,"MATCH - COVERED ELIGIBILITY EXCEPTION","MATCH")))</f>
        <v>MATCH</v>
      </c>
      <c r="AB978" s="13" t="s">
        <v>6855</v>
      </c>
    </row>
    <row r="979" customFormat="false" ht="15" hidden="false" customHeight="false" outlineLevel="0" collapsed="false">
      <c r="A979" s="9" t="s">
        <v>6856</v>
      </c>
      <c r="B979" s="9" t="s">
        <v>135</v>
      </c>
      <c r="C979" s="9" t="s">
        <v>114</v>
      </c>
      <c r="D979" s="9" t="s">
        <v>2002</v>
      </c>
      <c r="E979" s="9" t="s">
        <v>2727</v>
      </c>
      <c r="F979" s="9" t="s">
        <v>378</v>
      </c>
      <c r="G979" s="9" t="s">
        <v>379</v>
      </c>
      <c r="H979" s="9" t="s">
        <v>5703</v>
      </c>
      <c r="I979" s="11" t="n">
        <v>28</v>
      </c>
      <c r="J979" s="11" t="n">
        <v>27.8</v>
      </c>
      <c r="K979" s="11"/>
      <c r="L979" s="11"/>
      <c r="M979" s="11" t="n">
        <f aca="false">IF(ISNUMBER(L979),L979,J979)</f>
        <v>27.8</v>
      </c>
      <c r="N979" s="11" t="n">
        <f aca="false">ROUNDUP(M979,0)</f>
        <v>28</v>
      </c>
      <c r="O979" s="11" t="n">
        <f aca="false">MAX(I979,N979)</f>
        <v>28</v>
      </c>
      <c r="P979" s="11" t="n">
        <f aca="false">IF(C979="COVERED",MAX(0,O979-40),0)</f>
        <v>0</v>
      </c>
      <c r="Q979" s="11" t="n">
        <f aca="false">O979</f>
        <v>28</v>
      </c>
      <c r="R979" s="17" t="n">
        <f aca="false">IF(C979="COVERED",10.4,7.55)</f>
        <v>10.4</v>
      </c>
      <c r="S979" s="17" t="n">
        <f aca="false">Q979*R979</f>
        <v>291.2</v>
      </c>
      <c r="T979" s="9" t="s">
        <v>6857</v>
      </c>
      <c r="U979" s="10" t="n">
        <v>46235</v>
      </c>
      <c r="V979" s="9" t="n">
        <v>28</v>
      </c>
      <c r="W979" s="17" t="n">
        <v>10.4</v>
      </c>
      <c r="X979" s="17" t="n">
        <v>291.2</v>
      </c>
      <c r="Y979" s="17" t="n">
        <f aca="false">IF(ISNUMBER(X979),X979-S979,"")</f>
        <v>0</v>
      </c>
      <c r="Z979" s="17" t="n">
        <f aca="false">IF(ISNUMBER(X979),X979-S979,-S979)</f>
        <v>0</v>
      </c>
      <c r="AA979" s="9" t="str">
        <f aca="false">IF(NOT(ISNUMBER(X979)),"NO AUGUST POSTING IN EXPORT",IF(ABS(Y979)&gt;=0.005,"POSTED CHARGE MISMATCH",IF(P979&gt;0,"MATCH - COVERED ELIGIBILITY EXCEPTION","MATCH")))</f>
        <v>MATCH</v>
      </c>
      <c r="AB979" s="9" t="s">
        <v>6858</v>
      </c>
    </row>
    <row r="980" customFormat="false" ht="15" hidden="false" customHeight="false" outlineLevel="0" collapsed="false">
      <c r="A980" s="13" t="s">
        <v>1262</v>
      </c>
      <c r="B980" s="13" t="s">
        <v>135</v>
      </c>
      <c r="C980" s="13" t="s">
        <v>114</v>
      </c>
      <c r="D980" s="13" t="s">
        <v>2002</v>
      </c>
      <c r="E980" s="13" t="s">
        <v>2734</v>
      </c>
      <c r="F980" s="13" t="s">
        <v>6859</v>
      </c>
      <c r="G980" s="13" t="s">
        <v>6860</v>
      </c>
      <c r="H980" s="13" t="s">
        <v>3923</v>
      </c>
      <c r="I980" s="15" t="n">
        <v>28</v>
      </c>
      <c r="J980" s="15" t="n">
        <v>19.5</v>
      </c>
      <c r="K980" s="15"/>
      <c r="L980" s="15"/>
      <c r="M980" s="15" t="n">
        <f aca="false">IF(ISNUMBER(L980),L980,J980)</f>
        <v>19.5</v>
      </c>
      <c r="N980" s="15" t="n">
        <f aca="false">ROUNDUP(M980,0)</f>
        <v>20</v>
      </c>
      <c r="O980" s="15" t="n">
        <f aca="false">MAX(I980,N980)</f>
        <v>28</v>
      </c>
      <c r="P980" s="15" t="n">
        <f aca="false">IF(C980="COVERED",MAX(0,O980-40),0)</f>
        <v>0</v>
      </c>
      <c r="Q980" s="15" t="n">
        <f aca="false">O980</f>
        <v>28</v>
      </c>
      <c r="R980" s="18" t="n">
        <f aca="false">IF(C980="COVERED",10.4,7.55)</f>
        <v>10.4</v>
      </c>
      <c r="S980" s="18" t="n">
        <f aca="false">Q980*R980</f>
        <v>291.2</v>
      </c>
      <c r="T980" s="13" t="s">
        <v>6861</v>
      </c>
      <c r="U980" s="14" t="n">
        <v>46235</v>
      </c>
      <c r="V980" s="13" t="n">
        <v>28</v>
      </c>
      <c r="W980" s="18" t="n">
        <v>10.4</v>
      </c>
      <c r="X980" s="18" t="n">
        <v>291.2</v>
      </c>
      <c r="Y980" s="18" t="n">
        <f aca="false">IF(ISNUMBER(X980),X980-S980,"")</f>
        <v>0</v>
      </c>
      <c r="Z980" s="18" t="n">
        <f aca="false">IF(ISNUMBER(X980),X980-S980,-S980)</f>
        <v>0</v>
      </c>
      <c r="AA980" s="13" t="str">
        <f aca="false">IF(NOT(ISNUMBER(X980)),"NO AUGUST POSTING IN EXPORT",IF(ABS(Y980)&gt;=0.005,"POSTED CHARGE MISMATCH",IF(P980&gt;0,"MATCH - COVERED ELIGIBILITY EXCEPTION","MATCH")))</f>
        <v>MATCH</v>
      </c>
      <c r="AB980" s="13" t="s">
        <v>6862</v>
      </c>
    </row>
    <row r="981" customFormat="false" ht="15" hidden="false" customHeight="false" outlineLevel="0" collapsed="false">
      <c r="A981" s="9" t="s">
        <v>6863</v>
      </c>
      <c r="B981" s="9" t="s">
        <v>135</v>
      </c>
      <c r="C981" s="9" t="s">
        <v>114</v>
      </c>
      <c r="D981" s="9" t="s">
        <v>2002</v>
      </c>
      <c r="E981" s="9" t="s">
        <v>2741</v>
      </c>
      <c r="F981" s="9" t="s">
        <v>1504</v>
      </c>
      <c r="G981" s="9" t="s">
        <v>1505</v>
      </c>
      <c r="H981" s="9" t="s">
        <v>6864</v>
      </c>
      <c r="I981" s="11" t="n">
        <v>24</v>
      </c>
      <c r="J981" s="11" t="n">
        <v>35.2</v>
      </c>
      <c r="K981" s="11"/>
      <c r="L981" s="11"/>
      <c r="M981" s="11" t="n">
        <f aca="false">IF(ISNUMBER(L981),L981,J981)</f>
        <v>35.2</v>
      </c>
      <c r="N981" s="11" t="n">
        <f aca="false">ROUNDUP(M981,0)</f>
        <v>36</v>
      </c>
      <c r="O981" s="11" t="n">
        <f aca="false">MAX(I981,N981)</f>
        <v>36</v>
      </c>
      <c r="P981" s="11" t="n">
        <f aca="false">IF(C981="COVERED",MAX(0,O981-40),0)</f>
        <v>0</v>
      </c>
      <c r="Q981" s="11" t="n">
        <f aca="false">O981</f>
        <v>36</v>
      </c>
      <c r="R981" s="17" t="n">
        <f aca="false">IF(C981="COVERED",10.4,7.55)</f>
        <v>10.4</v>
      </c>
      <c r="S981" s="17" t="n">
        <f aca="false">Q981*R981</f>
        <v>374.4</v>
      </c>
      <c r="T981" s="9" t="s">
        <v>6865</v>
      </c>
      <c r="U981" s="10" t="n">
        <v>46235</v>
      </c>
      <c r="V981" s="9" t="n">
        <v>36</v>
      </c>
      <c r="W981" s="17" t="n">
        <v>10.4</v>
      </c>
      <c r="X981" s="17" t="n">
        <v>374.4</v>
      </c>
      <c r="Y981" s="17" t="n">
        <f aca="false">IF(ISNUMBER(X981),X981-S981,"")</f>
        <v>0</v>
      </c>
      <c r="Z981" s="17" t="n">
        <f aca="false">IF(ISNUMBER(X981),X981-S981,-S981)</f>
        <v>0</v>
      </c>
      <c r="AA981" s="9" t="str">
        <f aca="false">IF(NOT(ISNUMBER(X981)),"NO AUGUST POSTING IN EXPORT",IF(ABS(Y981)&gt;=0.005,"POSTED CHARGE MISMATCH",IF(P981&gt;0,"MATCH - COVERED ELIGIBILITY EXCEPTION","MATCH")))</f>
        <v>MATCH</v>
      </c>
      <c r="AB981" s="9" t="s">
        <v>6866</v>
      </c>
    </row>
    <row r="982" customFormat="false" ht="15" hidden="false" customHeight="false" outlineLevel="0" collapsed="false">
      <c r="A982" s="13" t="s">
        <v>6867</v>
      </c>
      <c r="B982" s="13" t="s">
        <v>135</v>
      </c>
      <c r="C982" s="13" t="s">
        <v>114</v>
      </c>
      <c r="D982" s="13" t="s">
        <v>2002</v>
      </c>
      <c r="E982" s="13" t="s">
        <v>2747</v>
      </c>
      <c r="F982" s="13" t="s">
        <v>1598</v>
      </c>
      <c r="G982" s="13" t="s">
        <v>1599</v>
      </c>
      <c r="H982" s="13" t="s">
        <v>3464</v>
      </c>
      <c r="I982" s="15" t="n">
        <v>28</v>
      </c>
      <c r="J982" s="15" t="n">
        <v>44.8</v>
      </c>
      <c r="K982" s="15"/>
      <c r="L982" s="15"/>
      <c r="M982" s="15" t="n">
        <f aca="false">IF(ISNUMBER(L982),L982,J982)</f>
        <v>44.8</v>
      </c>
      <c r="N982" s="15" t="n">
        <f aca="false">ROUNDUP(M982,0)</f>
        <v>45</v>
      </c>
      <c r="O982" s="15" t="n">
        <f aca="false">MAX(I982,N982)</f>
        <v>45</v>
      </c>
      <c r="P982" s="15" t="n">
        <f aca="false">IF(C982="COVERED",MAX(0,O982-40),0)</f>
        <v>5</v>
      </c>
      <c r="Q982" s="15" t="n">
        <f aca="false">O982</f>
        <v>45</v>
      </c>
      <c r="R982" s="18" t="n">
        <f aca="false">IF(C982="COVERED",10.4,7.55)</f>
        <v>10.4</v>
      </c>
      <c r="S982" s="18" t="n">
        <f aca="false">Q982*R982</f>
        <v>468</v>
      </c>
      <c r="T982" s="13" t="s">
        <v>6868</v>
      </c>
      <c r="U982" s="14" t="n">
        <v>46235</v>
      </c>
      <c r="V982" s="13" t="n">
        <v>45</v>
      </c>
      <c r="W982" s="18" t="n">
        <v>10.4</v>
      </c>
      <c r="X982" s="18" t="n">
        <v>468</v>
      </c>
      <c r="Y982" s="18" t="n">
        <f aca="false">IF(ISNUMBER(X982),X982-S982,"")</f>
        <v>0</v>
      </c>
      <c r="Z982" s="18" t="n">
        <f aca="false">IF(ISNUMBER(X982),X982-S982,-S982)</f>
        <v>0</v>
      </c>
      <c r="AA982" s="13" t="str">
        <f aca="false">IF(NOT(ISNUMBER(X982)),"NO AUGUST POSTING IN EXPORT",IF(ABS(Y982)&gt;=0.005,"POSTED CHARGE MISMATCH",IF(P982&gt;0,"MATCH - COVERED ELIGIBILITY EXCEPTION","MATCH")))</f>
        <v>MATCH - COVERED ELIGIBILITY EXCEPTION</v>
      </c>
      <c r="AB982" s="13" t="s">
        <v>6869</v>
      </c>
    </row>
    <row r="983" customFormat="false" ht="15" hidden="false" customHeight="false" outlineLevel="0" collapsed="false">
      <c r="A983" s="9" t="s">
        <v>6870</v>
      </c>
      <c r="B983" s="9" t="s">
        <v>135</v>
      </c>
      <c r="C983" s="9" t="s">
        <v>114</v>
      </c>
      <c r="D983" s="9" t="s">
        <v>2002</v>
      </c>
      <c r="E983" s="9" t="s">
        <v>2753</v>
      </c>
      <c r="F983" s="9" t="s">
        <v>6871</v>
      </c>
      <c r="G983" s="9" t="s">
        <v>6872</v>
      </c>
      <c r="H983" s="9" t="s">
        <v>5517</v>
      </c>
      <c r="I983" s="11" t="n">
        <v>36</v>
      </c>
      <c r="J983" s="11" t="n">
        <v>29.2</v>
      </c>
      <c r="K983" s="11"/>
      <c r="L983" s="11"/>
      <c r="M983" s="11" t="n">
        <f aca="false">IF(ISNUMBER(L983),L983,J983)</f>
        <v>29.2</v>
      </c>
      <c r="N983" s="11" t="n">
        <f aca="false">ROUNDUP(M983,0)</f>
        <v>30</v>
      </c>
      <c r="O983" s="11" t="n">
        <f aca="false">MAX(I983,N983)</f>
        <v>36</v>
      </c>
      <c r="P983" s="11" t="n">
        <f aca="false">IF(C983="COVERED",MAX(0,O983-40),0)</f>
        <v>0</v>
      </c>
      <c r="Q983" s="11" t="n">
        <f aca="false">O983</f>
        <v>36</v>
      </c>
      <c r="R983" s="17" t="n">
        <f aca="false">IF(C983="COVERED",10.4,7.55)</f>
        <v>10.4</v>
      </c>
      <c r="S983" s="17" t="n">
        <f aca="false">Q983*R983</f>
        <v>374.4</v>
      </c>
      <c r="T983" s="9" t="s">
        <v>6873</v>
      </c>
      <c r="U983" s="10" t="n">
        <v>46235</v>
      </c>
      <c r="V983" s="9" t="n">
        <v>36</v>
      </c>
      <c r="W983" s="17" t="n">
        <v>10.4</v>
      </c>
      <c r="X983" s="17" t="n">
        <v>374.4</v>
      </c>
      <c r="Y983" s="17" t="n">
        <f aca="false">IF(ISNUMBER(X983),X983-S983,"")</f>
        <v>0</v>
      </c>
      <c r="Z983" s="17" t="n">
        <f aca="false">IF(ISNUMBER(X983),X983-S983,-S983)</f>
        <v>0</v>
      </c>
      <c r="AA983" s="9" t="str">
        <f aca="false">IF(NOT(ISNUMBER(X983)),"NO AUGUST POSTING IN EXPORT",IF(ABS(Y983)&gt;=0.005,"POSTED CHARGE MISMATCH",IF(P983&gt;0,"MATCH - COVERED ELIGIBILITY EXCEPTION","MATCH")))</f>
        <v>MATCH</v>
      </c>
      <c r="AB983" s="9" t="s">
        <v>6874</v>
      </c>
    </row>
    <row r="984" customFormat="false" ht="15" hidden="false" customHeight="false" outlineLevel="0" collapsed="false">
      <c r="A984" s="13" t="s">
        <v>6875</v>
      </c>
      <c r="B984" s="13" t="s">
        <v>135</v>
      </c>
      <c r="C984" s="13" t="s">
        <v>114</v>
      </c>
      <c r="D984" s="13" t="s">
        <v>2002</v>
      </c>
      <c r="E984" s="13" t="s">
        <v>2765</v>
      </c>
      <c r="F984" s="13" t="s">
        <v>6876</v>
      </c>
      <c r="G984" s="13" t="s">
        <v>6877</v>
      </c>
      <c r="H984" s="13" t="s">
        <v>5703</v>
      </c>
      <c r="I984" s="15" t="n">
        <v>36</v>
      </c>
      <c r="J984" s="15" t="n">
        <v>34.2</v>
      </c>
      <c r="K984" s="15"/>
      <c r="L984" s="15"/>
      <c r="M984" s="15" t="n">
        <f aca="false">IF(ISNUMBER(L984),L984,J984)</f>
        <v>34.2</v>
      </c>
      <c r="N984" s="15" t="n">
        <f aca="false">ROUNDUP(M984,0)</f>
        <v>35</v>
      </c>
      <c r="O984" s="15" t="n">
        <f aca="false">MAX(I984,N984)</f>
        <v>36</v>
      </c>
      <c r="P984" s="15" t="n">
        <f aca="false">IF(C984="COVERED",MAX(0,O984-40),0)</f>
        <v>0</v>
      </c>
      <c r="Q984" s="15" t="n">
        <f aca="false">O984</f>
        <v>36</v>
      </c>
      <c r="R984" s="18" t="n">
        <f aca="false">IF(C984="COVERED",10.4,7.55)</f>
        <v>10.4</v>
      </c>
      <c r="S984" s="18" t="n">
        <f aca="false">Q984*R984</f>
        <v>374.4</v>
      </c>
      <c r="T984" s="13" t="s">
        <v>6878</v>
      </c>
      <c r="U984" s="14" t="n">
        <v>46235</v>
      </c>
      <c r="V984" s="13" t="n">
        <v>36</v>
      </c>
      <c r="W984" s="18" t="n">
        <v>10.4</v>
      </c>
      <c r="X984" s="18" t="n">
        <v>374.4</v>
      </c>
      <c r="Y984" s="18" t="n">
        <f aca="false">IF(ISNUMBER(X984),X984-S984,"")</f>
        <v>0</v>
      </c>
      <c r="Z984" s="18" t="n">
        <f aca="false">IF(ISNUMBER(X984),X984-S984,-S984)</f>
        <v>0</v>
      </c>
      <c r="AA984" s="13" t="str">
        <f aca="false">IF(NOT(ISNUMBER(X984)),"NO AUGUST POSTING IN EXPORT",IF(ABS(Y984)&gt;=0.005,"POSTED CHARGE MISMATCH",IF(P984&gt;0,"MATCH - COVERED ELIGIBILITY EXCEPTION","MATCH")))</f>
        <v>MATCH</v>
      </c>
      <c r="AB984" s="13" t="s">
        <v>6879</v>
      </c>
    </row>
    <row r="985" customFormat="false" ht="15" hidden="false" customHeight="false" outlineLevel="0" collapsed="false">
      <c r="A985" s="9" t="s">
        <v>6880</v>
      </c>
      <c r="B985" s="9" t="s">
        <v>135</v>
      </c>
      <c r="C985" s="9" t="s">
        <v>114</v>
      </c>
      <c r="D985" s="9" t="s">
        <v>2002</v>
      </c>
      <c r="E985" s="9" t="s">
        <v>2772</v>
      </c>
      <c r="F985" s="9" t="s">
        <v>6881</v>
      </c>
      <c r="G985" s="9" t="s">
        <v>6882</v>
      </c>
      <c r="H985" s="9" t="s">
        <v>4649</v>
      </c>
      <c r="I985" s="11" t="n">
        <v>32</v>
      </c>
      <c r="J985" s="11" t="n">
        <v>59.6</v>
      </c>
      <c r="K985" s="11"/>
      <c r="L985" s="11"/>
      <c r="M985" s="11" t="n">
        <f aca="false">IF(ISNUMBER(L985),L985,J985)</f>
        <v>59.6</v>
      </c>
      <c r="N985" s="11" t="n">
        <f aca="false">ROUNDUP(M985,0)</f>
        <v>60</v>
      </c>
      <c r="O985" s="11" t="n">
        <f aca="false">MAX(I985,N985)</f>
        <v>60</v>
      </c>
      <c r="P985" s="11" t="n">
        <f aca="false">IF(C985="COVERED",MAX(0,O985-40),0)</f>
        <v>20</v>
      </c>
      <c r="Q985" s="11" t="n">
        <f aca="false">O985</f>
        <v>60</v>
      </c>
      <c r="R985" s="17" t="n">
        <f aca="false">IF(C985="COVERED",10.4,7.55)</f>
        <v>10.4</v>
      </c>
      <c r="S985" s="17" t="n">
        <f aca="false">Q985*R985</f>
        <v>624</v>
      </c>
      <c r="T985" s="9" t="s">
        <v>6883</v>
      </c>
      <c r="U985" s="10" t="n">
        <v>46235</v>
      </c>
      <c r="V985" s="9" t="n">
        <v>60</v>
      </c>
      <c r="W985" s="17" t="n">
        <v>10.4</v>
      </c>
      <c r="X985" s="17" t="n">
        <v>624</v>
      </c>
      <c r="Y985" s="17" t="n">
        <f aca="false">IF(ISNUMBER(X985),X985-S985,"")</f>
        <v>0</v>
      </c>
      <c r="Z985" s="17" t="n">
        <f aca="false">IF(ISNUMBER(X985),X985-S985,-S985)</f>
        <v>0</v>
      </c>
      <c r="AA985" s="9" t="str">
        <f aca="false">IF(NOT(ISNUMBER(X985)),"NO AUGUST POSTING IN EXPORT",IF(ABS(Y985)&gt;=0.005,"POSTED CHARGE MISMATCH",IF(P985&gt;0,"MATCH - COVERED ELIGIBILITY EXCEPTION","MATCH")))</f>
        <v>MATCH - COVERED ELIGIBILITY EXCEPTION</v>
      </c>
      <c r="AB985" s="9" t="s">
        <v>6884</v>
      </c>
    </row>
    <row r="986" customFormat="false" ht="15" hidden="false" customHeight="false" outlineLevel="0" collapsed="false">
      <c r="A986" s="13" t="s">
        <v>6885</v>
      </c>
      <c r="B986" s="13" t="s">
        <v>135</v>
      </c>
      <c r="C986" s="13" t="s">
        <v>114</v>
      </c>
      <c r="D986" s="13" t="s">
        <v>2002</v>
      </c>
      <c r="E986" s="13" t="s">
        <v>2778</v>
      </c>
      <c r="F986" s="13" t="s">
        <v>6886</v>
      </c>
      <c r="G986" s="13" t="s">
        <v>6887</v>
      </c>
      <c r="H986" s="13" t="s">
        <v>6888</v>
      </c>
      <c r="I986" s="15" t="n">
        <v>32</v>
      </c>
      <c r="J986" s="15" t="n">
        <v>18.3</v>
      </c>
      <c r="K986" s="15"/>
      <c r="L986" s="15"/>
      <c r="M986" s="15" t="n">
        <f aca="false">IF(ISNUMBER(L986),L986,J986)</f>
        <v>18.3</v>
      </c>
      <c r="N986" s="15" t="n">
        <f aca="false">ROUNDUP(M986,0)</f>
        <v>19</v>
      </c>
      <c r="O986" s="15" t="n">
        <f aca="false">MAX(I986,N986)</f>
        <v>32</v>
      </c>
      <c r="P986" s="15" t="n">
        <f aca="false">IF(C986="COVERED",MAX(0,O986-40),0)</f>
        <v>0</v>
      </c>
      <c r="Q986" s="15" t="n">
        <f aca="false">O986</f>
        <v>32</v>
      </c>
      <c r="R986" s="18" t="n">
        <f aca="false">IF(C986="COVERED",10.4,7.55)</f>
        <v>10.4</v>
      </c>
      <c r="S986" s="18" t="n">
        <f aca="false">Q986*R986</f>
        <v>332.8</v>
      </c>
      <c r="T986" s="13" t="s">
        <v>6889</v>
      </c>
      <c r="U986" s="14" t="n">
        <v>46235</v>
      </c>
      <c r="V986" s="13" t="n">
        <v>32</v>
      </c>
      <c r="W986" s="18" t="n">
        <v>10.4</v>
      </c>
      <c r="X986" s="18" t="n">
        <v>332.8</v>
      </c>
      <c r="Y986" s="18" t="n">
        <f aca="false">IF(ISNUMBER(X986),X986-S986,"")</f>
        <v>0</v>
      </c>
      <c r="Z986" s="18" t="n">
        <f aca="false">IF(ISNUMBER(X986),X986-S986,-S986)</f>
        <v>0</v>
      </c>
      <c r="AA986" s="13" t="str">
        <f aca="false">IF(NOT(ISNUMBER(X986)),"NO AUGUST POSTING IN EXPORT",IF(ABS(Y986)&gt;=0.005,"POSTED CHARGE MISMATCH",IF(P986&gt;0,"MATCH - COVERED ELIGIBILITY EXCEPTION","MATCH")))</f>
        <v>MATCH</v>
      </c>
      <c r="AB986" s="13" t="s">
        <v>6890</v>
      </c>
    </row>
    <row r="987" customFormat="false" ht="15" hidden="false" customHeight="false" outlineLevel="0" collapsed="false">
      <c r="A987" s="9" t="s">
        <v>6891</v>
      </c>
      <c r="B987" s="9" t="s">
        <v>135</v>
      </c>
      <c r="C987" s="9" t="s">
        <v>114</v>
      </c>
      <c r="D987" s="9" t="s">
        <v>2002</v>
      </c>
      <c r="E987" s="9" t="s">
        <v>3975</v>
      </c>
      <c r="F987" s="9" t="s">
        <v>6892</v>
      </c>
      <c r="G987" s="9" t="s">
        <v>6893</v>
      </c>
      <c r="H987" s="9" t="s">
        <v>6175</v>
      </c>
      <c r="I987" s="11" t="n">
        <v>24</v>
      </c>
      <c r="J987" s="11" t="n">
        <v>57</v>
      </c>
      <c r="K987" s="11"/>
      <c r="L987" s="11"/>
      <c r="M987" s="11" t="n">
        <f aca="false">IF(ISNUMBER(L987),L987,J987)</f>
        <v>57</v>
      </c>
      <c r="N987" s="11" t="n">
        <f aca="false">ROUNDUP(M987,0)</f>
        <v>57</v>
      </c>
      <c r="O987" s="11" t="n">
        <f aca="false">MAX(I987,N987)</f>
        <v>57</v>
      </c>
      <c r="P987" s="11" t="n">
        <f aca="false">IF(C987="COVERED",MAX(0,O987-40),0)</f>
        <v>17</v>
      </c>
      <c r="Q987" s="11" t="n">
        <f aca="false">O987</f>
        <v>57</v>
      </c>
      <c r="R987" s="17" t="n">
        <f aca="false">IF(C987="COVERED",10.4,7.55)</f>
        <v>10.4</v>
      </c>
      <c r="S987" s="17" t="n">
        <f aca="false">Q987*R987</f>
        <v>592.8</v>
      </c>
      <c r="T987" s="9" t="s">
        <v>6894</v>
      </c>
      <c r="U987" s="10" t="n">
        <v>46235</v>
      </c>
      <c r="V987" s="9" t="n">
        <v>57</v>
      </c>
      <c r="W987" s="17" t="n">
        <v>10.4</v>
      </c>
      <c r="X987" s="17" t="n">
        <v>592.8</v>
      </c>
      <c r="Y987" s="17" t="n">
        <f aca="false">IF(ISNUMBER(X987),X987-S987,"")</f>
        <v>0</v>
      </c>
      <c r="Z987" s="17" t="n">
        <f aca="false">IF(ISNUMBER(X987),X987-S987,-S987)</f>
        <v>0</v>
      </c>
      <c r="AA987" s="9" t="str">
        <f aca="false">IF(NOT(ISNUMBER(X987)),"NO AUGUST POSTING IN EXPORT",IF(ABS(Y987)&gt;=0.005,"POSTED CHARGE MISMATCH",IF(P987&gt;0,"MATCH - COVERED ELIGIBILITY EXCEPTION","MATCH")))</f>
        <v>MATCH - COVERED ELIGIBILITY EXCEPTION</v>
      </c>
      <c r="AB987" s="9" t="s">
        <v>6895</v>
      </c>
    </row>
    <row r="988" customFormat="false" ht="15" hidden="false" customHeight="false" outlineLevel="0" collapsed="false">
      <c r="A988" s="13" t="s">
        <v>6896</v>
      </c>
      <c r="B988" s="13" t="s">
        <v>135</v>
      </c>
      <c r="C988" s="13" t="s">
        <v>114</v>
      </c>
      <c r="D988" s="13" t="s">
        <v>2002</v>
      </c>
      <c r="E988" s="13" t="s">
        <v>3980</v>
      </c>
      <c r="F988" s="13" t="s">
        <v>6897</v>
      </c>
      <c r="G988" s="13" t="s">
        <v>6898</v>
      </c>
      <c r="H988" s="13" t="s">
        <v>6899</v>
      </c>
      <c r="I988" s="15" t="n">
        <v>24</v>
      </c>
      <c r="J988" s="15" t="n">
        <v>54.3</v>
      </c>
      <c r="K988" s="15"/>
      <c r="L988" s="15"/>
      <c r="M988" s="15" t="n">
        <f aca="false">IF(ISNUMBER(L988),L988,J988)</f>
        <v>54.3</v>
      </c>
      <c r="N988" s="15" t="n">
        <f aca="false">ROUNDUP(M988,0)</f>
        <v>55</v>
      </c>
      <c r="O988" s="15" t="n">
        <f aca="false">MAX(I988,N988)</f>
        <v>55</v>
      </c>
      <c r="P988" s="15" t="n">
        <f aca="false">IF(C988="COVERED",MAX(0,O988-40),0)</f>
        <v>15</v>
      </c>
      <c r="Q988" s="15" t="n">
        <f aca="false">O988</f>
        <v>55</v>
      </c>
      <c r="R988" s="18" t="n">
        <f aca="false">IF(C988="COVERED",10.4,7.55)</f>
        <v>10.4</v>
      </c>
      <c r="S988" s="18" t="n">
        <f aca="false">Q988*R988</f>
        <v>572</v>
      </c>
      <c r="T988" s="13" t="s">
        <v>6900</v>
      </c>
      <c r="U988" s="14" t="n">
        <v>46235</v>
      </c>
      <c r="V988" s="13" t="n">
        <v>55</v>
      </c>
      <c r="W988" s="18" t="n">
        <v>10.4</v>
      </c>
      <c r="X988" s="18" t="n">
        <v>572</v>
      </c>
      <c r="Y988" s="18" t="n">
        <f aca="false">IF(ISNUMBER(X988),X988-S988,"")</f>
        <v>0</v>
      </c>
      <c r="Z988" s="18" t="n">
        <f aca="false">IF(ISNUMBER(X988),X988-S988,-S988)</f>
        <v>0</v>
      </c>
      <c r="AA988" s="13" t="str">
        <f aca="false">IF(NOT(ISNUMBER(X988)),"NO AUGUST POSTING IN EXPORT",IF(ABS(Y988)&gt;=0.005,"POSTED CHARGE MISMATCH",IF(P988&gt;0,"MATCH - COVERED ELIGIBILITY EXCEPTION","MATCH")))</f>
        <v>MATCH - COVERED ELIGIBILITY EXCEPTION</v>
      </c>
      <c r="AB988" s="13" t="s">
        <v>6901</v>
      </c>
    </row>
    <row r="989" customFormat="false" ht="15" hidden="false" customHeight="false" outlineLevel="0" collapsed="false">
      <c r="A989" s="9" t="s">
        <v>6902</v>
      </c>
      <c r="B989" s="9" t="s">
        <v>135</v>
      </c>
      <c r="C989" s="9" t="s">
        <v>114</v>
      </c>
      <c r="D989" s="9" t="s">
        <v>2002</v>
      </c>
      <c r="E989" s="9" t="s">
        <v>2784</v>
      </c>
      <c r="F989" s="9" t="s">
        <v>1420</v>
      </c>
      <c r="G989" s="9" t="s">
        <v>1421</v>
      </c>
      <c r="H989" s="9" t="s">
        <v>2663</v>
      </c>
      <c r="I989" s="11" t="n">
        <v>32</v>
      </c>
      <c r="J989" s="11" t="n">
        <v>44.8</v>
      </c>
      <c r="K989" s="11"/>
      <c r="L989" s="11"/>
      <c r="M989" s="11" t="n">
        <f aca="false">IF(ISNUMBER(L989),L989,J989)</f>
        <v>44.8</v>
      </c>
      <c r="N989" s="11" t="n">
        <f aca="false">ROUNDUP(M989,0)</f>
        <v>45</v>
      </c>
      <c r="O989" s="11" t="n">
        <f aca="false">MAX(I989,N989)</f>
        <v>45</v>
      </c>
      <c r="P989" s="11" t="n">
        <f aca="false">IF(C989="COVERED",MAX(0,O989-40),0)</f>
        <v>5</v>
      </c>
      <c r="Q989" s="11" t="n">
        <f aca="false">O989</f>
        <v>45</v>
      </c>
      <c r="R989" s="17" t="n">
        <f aca="false">IF(C989="COVERED",10.4,7.55)</f>
        <v>10.4</v>
      </c>
      <c r="S989" s="17" t="n">
        <f aca="false">Q989*R989</f>
        <v>468</v>
      </c>
      <c r="T989" s="9" t="s">
        <v>6903</v>
      </c>
      <c r="U989" s="10" t="n">
        <v>46235</v>
      </c>
      <c r="V989" s="9" t="n">
        <v>45</v>
      </c>
      <c r="W989" s="17" t="n">
        <v>10.4</v>
      </c>
      <c r="X989" s="17" t="n">
        <v>468</v>
      </c>
      <c r="Y989" s="17" t="n">
        <f aca="false">IF(ISNUMBER(X989),X989-S989,"")</f>
        <v>0</v>
      </c>
      <c r="Z989" s="17" t="n">
        <f aca="false">IF(ISNUMBER(X989),X989-S989,-S989)</f>
        <v>0</v>
      </c>
      <c r="AA989" s="9" t="str">
        <f aca="false">IF(NOT(ISNUMBER(X989)),"NO AUGUST POSTING IN EXPORT",IF(ABS(Y989)&gt;=0.005,"POSTED CHARGE MISMATCH",IF(P989&gt;0,"MATCH - COVERED ELIGIBILITY EXCEPTION","MATCH")))</f>
        <v>MATCH - COVERED ELIGIBILITY EXCEPTION</v>
      </c>
      <c r="AB989" s="9" t="s">
        <v>6904</v>
      </c>
    </row>
    <row r="990" customFormat="false" ht="15" hidden="false" customHeight="false" outlineLevel="0" collapsed="false">
      <c r="A990" s="13" t="s">
        <v>6905</v>
      </c>
      <c r="B990" s="13" t="s">
        <v>135</v>
      </c>
      <c r="C990" s="13" t="s">
        <v>114</v>
      </c>
      <c r="D990" s="13" t="s">
        <v>2002</v>
      </c>
      <c r="E990" s="13" t="s">
        <v>2791</v>
      </c>
      <c r="F990" s="13" t="s">
        <v>6906</v>
      </c>
      <c r="G990" s="13" t="s">
        <v>6907</v>
      </c>
      <c r="H990" s="13" t="s">
        <v>4743</v>
      </c>
      <c r="I990" s="15" t="n">
        <v>40</v>
      </c>
      <c r="J990" s="15" t="n">
        <v>49.6</v>
      </c>
      <c r="K990" s="15"/>
      <c r="L990" s="15"/>
      <c r="M990" s="15" t="n">
        <f aca="false">IF(ISNUMBER(L990),L990,J990)</f>
        <v>49.6</v>
      </c>
      <c r="N990" s="15" t="n">
        <f aca="false">ROUNDUP(M990,0)</f>
        <v>50</v>
      </c>
      <c r="O990" s="15" t="n">
        <f aca="false">MAX(I990,N990)</f>
        <v>50</v>
      </c>
      <c r="P990" s="15" t="n">
        <f aca="false">IF(C990="COVERED",MAX(0,O990-40),0)</f>
        <v>10</v>
      </c>
      <c r="Q990" s="15" t="n">
        <f aca="false">O990</f>
        <v>50</v>
      </c>
      <c r="R990" s="18" t="n">
        <f aca="false">IF(C990="COVERED",10.4,7.55)</f>
        <v>10.4</v>
      </c>
      <c r="S990" s="18" t="n">
        <f aca="false">Q990*R990</f>
        <v>520</v>
      </c>
      <c r="T990" s="13" t="s">
        <v>6908</v>
      </c>
      <c r="U990" s="14" t="n">
        <v>46235</v>
      </c>
      <c r="V990" s="13" t="n">
        <v>50</v>
      </c>
      <c r="W990" s="18" t="n">
        <v>10.4</v>
      </c>
      <c r="X990" s="18" t="n">
        <v>520</v>
      </c>
      <c r="Y990" s="18" t="n">
        <f aca="false">IF(ISNUMBER(X990),X990-S990,"")</f>
        <v>0</v>
      </c>
      <c r="Z990" s="18" t="n">
        <f aca="false">IF(ISNUMBER(X990),X990-S990,-S990)</f>
        <v>0</v>
      </c>
      <c r="AA990" s="13" t="str">
        <f aca="false">IF(NOT(ISNUMBER(X990)),"NO AUGUST POSTING IN EXPORT",IF(ABS(Y990)&gt;=0.005,"POSTED CHARGE MISMATCH",IF(P990&gt;0,"MATCH - COVERED ELIGIBILITY EXCEPTION","MATCH")))</f>
        <v>MATCH - COVERED ELIGIBILITY EXCEPTION</v>
      </c>
      <c r="AB990" s="13" t="s">
        <v>6909</v>
      </c>
    </row>
    <row r="991" customFormat="false" ht="15" hidden="false" customHeight="false" outlineLevel="0" collapsed="false">
      <c r="A991" s="9" t="s">
        <v>6910</v>
      </c>
      <c r="B991" s="9" t="s">
        <v>135</v>
      </c>
      <c r="C991" s="9" t="s">
        <v>114</v>
      </c>
      <c r="D991" s="9" t="s">
        <v>2002</v>
      </c>
      <c r="E991" s="9" t="s">
        <v>2798</v>
      </c>
      <c r="F991" s="9" t="s">
        <v>6911</v>
      </c>
      <c r="G991" s="9" t="s">
        <v>6912</v>
      </c>
      <c r="H991" s="9" t="s">
        <v>6262</v>
      </c>
      <c r="I991" s="11" t="n">
        <v>24</v>
      </c>
      <c r="J991" s="11" t="n">
        <v>32.5</v>
      </c>
      <c r="K991" s="11"/>
      <c r="L991" s="11"/>
      <c r="M991" s="11" t="n">
        <f aca="false">IF(ISNUMBER(L991),L991,J991)</f>
        <v>32.5</v>
      </c>
      <c r="N991" s="11" t="n">
        <f aca="false">ROUNDUP(M991,0)</f>
        <v>33</v>
      </c>
      <c r="O991" s="11" t="n">
        <f aca="false">MAX(I991,N991)</f>
        <v>33</v>
      </c>
      <c r="P991" s="11" t="n">
        <f aca="false">IF(C991="COVERED",MAX(0,O991-40),0)</f>
        <v>0</v>
      </c>
      <c r="Q991" s="11" t="n">
        <f aca="false">O991</f>
        <v>33</v>
      </c>
      <c r="R991" s="17" t="n">
        <f aca="false">IF(C991="COVERED",10.4,7.55)</f>
        <v>10.4</v>
      </c>
      <c r="S991" s="17" t="n">
        <f aca="false">Q991*R991</f>
        <v>343.2</v>
      </c>
      <c r="T991" s="9" t="s">
        <v>6913</v>
      </c>
      <c r="U991" s="10" t="n">
        <v>46235</v>
      </c>
      <c r="V991" s="9" t="n">
        <v>33</v>
      </c>
      <c r="W991" s="17" t="n">
        <v>10.4</v>
      </c>
      <c r="X991" s="17" t="n">
        <v>343.2</v>
      </c>
      <c r="Y991" s="17" t="n">
        <f aca="false">IF(ISNUMBER(X991),X991-S991,"")</f>
        <v>0</v>
      </c>
      <c r="Z991" s="17" t="n">
        <f aca="false">IF(ISNUMBER(X991),X991-S991,-S991)</f>
        <v>0</v>
      </c>
      <c r="AA991" s="9" t="str">
        <f aca="false">IF(NOT(ISNUMBER(X991)),"NO AUGUST POSTING IN EXPORT",IF(ABS(Y991)&gt;=0.005,"POSTED CHARGE MISMATCH",IF(P991&gt;0,"MATCH - COVERED ELIGIBILITY EXCEPTION","MATCH")))</f>
        <v>MATCH</v>
      </c>
      <c r="AB991" s="9" t="s">
        <v>6914</v>
      </c>
    </row>
    <row r="992" customFormat="false" ht="15" hidden="false" customHeight="false" outlineLevel="0" collapsed="false">
      <c r="A992" s="13" t="s">
        <v>837</v>
      </c>
      <c r="B992" s="13" t="s">
        <v>135</v>
      </c>
      <c r="C992" s="13" t="s">
        <v>114</v>
      </c>
      <c r="D992" s="13" t="s">
        <v>2002</v>
      </c>
      <c r="E992" s="13" t="s">
        <v>2805</v>
      </c>
      <c r="F992" s="13" t="s">
        <v>6915</v>
      </c>
      <c r="G992" s="13" t="s">
        <v>6916</v>
      </c>
      <c r="H992" s="13" t="s">
        <v>2155</v>
      </c>
      <c r="I992" s="15" t="n">
        <v>40</v>
      </c>
      <c r="J992" s="15" t="n">
        <v>48.2</v>
      </c>
      <c r="K992" s="15"/>
      <c r="L992" s="15"/>
      <c r="M992" s="15" t="n">
        <f aca="false">IF(ISNUMBER(L992),L992,J992)</f>
        <v>48.2</v>
      </c>
      <c r="N992" s="15" t="n">
        <f aca="false">ROUNDUP(M992,0)</f>
        <v>49</v>
      </c>
      <c r="O992" s="15" t="n">
        <f aca="false">MAX(I992,N992)</f>
        <v>49</v>
      </c>
      <c r="P992" s="15" t="n">
        <f aca="false">IF(C992="COVERED",MAX(0,O992-40),0)</f>
        <v>9</v>
      </c>
      <c r="Q992" s="15" t="n">
        <f aca="false">O992</f>
        <v>49</v>
      </c>
      <c r="R992" s="18" t="n">
        <f aca="false">IF(C992="COVERED",10.4,7.55)</f>
        <v>10.4</v>
      </c>
      <c r="S992" s="18" t="n">
        <f aca="false">Q992*R992</f>
        <v>509.6</v>
      </c>
      <c r="T992" s="13" t="s">
        <v>6917</v>
      </c>
      <c r="U992" s="14" t="n">
        <v>46235</v>
      </c>
      <c r="V992" s="13" t="n">
        <v>49</v>
      </c>
      <c r="W992" s="18" t="n">
        <v>10.4</v>
      </c>
      <c r="X992" s="18" t="n">
        <v>509.6</v>
      </c>
      <c r="Y992" s="18" t="n">
        <f aca="false">IF(ISNUMBER(X992),X992-S992,"")</f>
        <v>0</v>
      </c>
      <c r="Z992" s="18" t="n">
        <f aca="false">IF(ISNUMBER(X992),X992-S992,-S992)</f>
        <v>0</v>
      </c>
      <c r="AA992" s="13" t="str">
        <f aca="false">IF(NOT(ISNUMBER(X992)),"NO AUGUST POSTING IN EXPORT",IF(ABS(Y992)&gt;=0.005,"POSTED CHARGE MISMATCH",IF(P992&gt;0,"MATCH - COVERED ELIGIBILITY EXCEPTION","MATCH")))</f>
        <v>MATCH - COVERED ELIGIBILITY EXCEPTION</v>
      </c>
      <c r="AB992" s="13" t="s">
        <v>6918</v>
      </c>
    </row>
    <row r="993" customFormat="false" ht="15" hidden="false" customHeight="false" outlineLevel="0" collapsed="false">
      <c r="A993" s="9" t="s">
        <v>6919</v>
      </c>
      <c r="B993" s="9" t="s">
        <v>135</v>
      </c>
      <c r="C993" s="9" t="s">
        <v>114</v>
      </c>
      <c r="D993" s="9" t="s">
        <v>2002</v>
      </c>
      <c r="E993" s="9" t="s">
        <v>2812</v>
      </c>
      <c r="F993" s="9" t="s">
        <v>6920</v>
      </c>
      <c r="G993" s="9" t="s">
        <v>6921</v>
      </c>
      <c r="H993" s="9" t="s">
        <v>6922</v>
      </c>
      <c r="I993" s="11" t="n">
        <v>24</v>
      </c>
      <c r="J993" s="11" t="n">
        <v>59.7</v>
      </c>
      <c r="K993" s="11"/>
      <c r="L993" s="11"/>
      <c r="M993" s="11" t="n">
        <f aca="false">IF(ISNUMBER(L993),L993,J993)</f>
        <v>59.7</v>
      </c>
      <c r="N993" s="11" t="n">
        <f aca="false">ROUNDUP(M993,0)</f>
        <v>60</v>
      </c>
      <c r="O993" s="11" t="n">
        <f aca="false">MAX(I993,N993)</f>
        <v>60</v>
      </c>
      <c r="P993" s="11" t="n">
        <f aca="false">IF(C993="COVERED",MAX(0,O993-40),0)</f>
        <v>20</v>
      </c>
      <c r="Q993" s="11" t="n">
        <f aca="false">O993</f>
        <v>60</v>
      </c>
      <c r="R993" s="17" t="n">
        <f aca="false">IF(C993="COVERED",10.4,7.55)</f>
        <v>10.4</v>
      </c>
      <c r="S993" s="17" t="n">
        <f aca="false">Q993*R993</f>
        <v>624</v>
      </c>
      <c r="T993" s="9" t="s">
        <v>6923</v>
      </c>
      <c r="U993" s="10" t="n">
        <v>46235</v>
      </c>
      <c r="V993" s="9" t="n">
        <v>60</v>
      </c>
      <c r="W993" s="17" t="n">
        <v>10.4</v>
      </c>
      <c r="X993" s="17" t="n">
        <v>624</v>
      </c>
      <c r="Y993" s="17" t="n">
        <f aca="false">IF(ISNUMBER(X993),X993-S993,"")</f>
        <v>0</v>
      </c>
      <c r="Z993" s="17" t="n">
        <f aca="false">IF(ISNUMBER(X993),X993-S993,-S993)</f>
        <v>0</v>
      </c>
      <c r="AA993" s="9" t="str">
        <f aca="false">IF(NOT(ISNUMBER(X993)),"NO AUGUST POSTING IN EXPORT",IF(ABS(Y993)&gt;=0.005,"POSTED CHARGE MISMATCH",IF(P993&gt;0,"MATCH - COVERED ELIGIBILITY EXCEPTION","MATCH")))</f>
        <v>MATCH - COVERED ELIGIBILITY EXCEPTION</v>
      </c>
      <c r="AB993" s="9" t="s">
        <v>6924</v>
      </c>
    </row>
    <row r="994" customFormat="false" ht="15" hidden="false" customHeight="false" outlineLevel="0" collapsed="false">
      <c r="A994" s="13" t="s">
        <v>1834</v>
      </c>
      <c r="B994" s="13" t="s">
        <v>135</v>
      </c>
      <c r="C994" s="13" t="s">
        <v>114</v>
      </c>
      <c r="D994" s="13" t="s">
        <v>2002</v>
      </c>
      <c r="E994" s="13" t="s">
        <v>4000</v>
      </c>
      <c r="F994" s="13" t="s">
        <v>6925</v>
      </c>
      <c r="G994" s="13" t="s">
        <v>6926</v>
      </c>
      <c r="H994" s="13" t="s">
        <v>3781</v>
      </c>
      <c r="I994" s="15" t="n">
        <v>24</v>
      </c>
      <c r="J994" s="15" t="n">
        <v>61.4</v>
      </c>
      <c r="K994" s="15"/>
      <c r="L994" s="15"/>
      <c r="M994" s="15" t="n">
        <f aca="false">IF(ISNUMBER(L994),L994,J994)</f>
        <v>61.4</v>
      </c>
      <c r="N994" s="15" t="n">
        <f aca="false">ROUNDUP(M994,0)</f>
        <v>62</v>
      </c>
      <c r="O994" s="15" t="n">
        <f aca="false">MAX(I994,N994)</f>
        <v>62</v>
      </c>
      <c r="P994" s="15" t="n">
        <f aca="false">IF(C994="COVERED",MAX(0,O994-40),0)</f>
        <v>22</v>
      </c>
      <c r="Q994" s="15" t="n">
        <f aca="false">O994</f>
        <v>62</v>
      </c>
      <c r="R994" s="18" t="n">
        <f aca="false">IF(C994="COVERED",10.4,7.55)</f>
        <v>10.4</v>
      </c>
      <c r="S994" s="18" t="n">
        <f aca="false">Q994*R994</f>
        <v>644.8</v>
      </c>
      <c r="T994" s="13" t="s">
        <v>6927</v>
      </c>
      <c r="U994" s="14" t="n">
        <v>46235</v>
      </c>
      <c r="V994" s="13" t="n">
        <v>62</v>
      </c>
      <c r="W994" s="18" t="n">
        <v>10.4</v>
      </c>
      <c r="X994" s="18" t="n">
        <v>644.8</v>
      </c>
      <c r="Y994" s="18" t="n">
        <f aca="false">IF(ISNUMBER(X994),X994-S994,"")</f>
        <v>0</v>
      </c>
      <c r="Z994" s="18" t="n">
        <f aca="false">IF(ISNUMBER(X994),X994-S994,-S994)</f>
        <v>0</v>
      </c>
      <c r="AA994" s="13" t="str">
        <f aca="false">IF(NOT(ISNUMBER(X994)),"NO AUGUST POSTING IN EXPORT",IF(ABS(Y994)&gt;=0.005,"POSTED CHARGE MISMATCH",IF(P994&gt;0,"MATCH - COVERED ELIGIBILITY EXCEPTION","MATCH")))</f>
        <v>MATCH - COVERED ELIGIBILITY EXCEPTION</v>
      </c>
      <c r="AB994" s="13" t="s">
        <v>6928</v>
      </c>
    </row>
    <row r="995" customFormat="false" ht="15" hidden="false" customHeight="false" outlineLevel="0" collapsed="false">
      <c r="A995" s="9" t="s">
        <v>465</v>
      </c>
      <c r="B995" s="9" t="s">
        <v>135</v>
      </c>
      <c r="C995" s="9" t="s">
        <v>114</v>
      </c>
      <c r="D995" s="9" t="s">
        <v>2002</v>
      </c>
      <c r="E995" s="9" t="s">
        <v>4005</v>
      </c>
      <c r="F995" s="9" t="s">
        <v>6929</v>
      </c>
      <c r="G995" s="9" t="s">
        <v>6930</v>
      </c>
      <c r="H995" s="9" t="s">
        <v>3457</v>
      </c>
      <c r="I995" s="11" t="n">
        <v>40</v>
      </c>
      <c r="J995" s="11" t="n">
        <v>48</v>
      </c>
      <c r="K995" s="11"/>
      <c r="L995" s="11"/>
      <c r="M995" s="11" t="n">
        <f aca="false">IF(ISNUMBER(L995),L995,J995)</f>
        <v>48</v>
      </c>
      <c r="N995" s="11" t="n">
        <f aca="false">ROUNDUP(M995,0)</f>
        <v>48</v>
      </c>
      <c r="O995" s="11" t="n">
        <f aca="false">MAX(I995,N995)</f>
        <v>48</v>
      </c>
      <c r="P995" s="11" t="n">
        <f aca="false">IF(C995="COVERED",MAX(0,O995-40),0)</f>
        <v>8</v>
      </c>
      <c r="Q995" s="11" t="n">
        <f aca="false">O995</f>
        <v>48</v>
      </c>
      <c r="R995" s="17" t="n">
        <f aca="false">IF(C995="COVERED",10.4,7.55)</f>
        <v>10.4</v>
      </c>
      <c r="S995" s="17" t="n">
        <f aca="false">Q995*R995</f>
        <v>499.2</v>
      </c>
      <c r="T995" s="9" t="s">
        <v>6931</v>
      </c>
      <c r="U995" s="10" t="n">
        <v>46235</v>
      </c>
      <c r="V995" s="9" t="n">
        <v>48</v>
      </c>
      <c r="W995" s="17" t="n">
        <v>10.4</v>
      </c>
      <c r="X995" s="17" t="n">
        <v>499.2</v>
      </c>
      <c r="Y995" s="17" t="n">
        <f aca="false">IF(ISNUMBER(X995),X995-S995,"")</f>
        <v>0</v>
      </c>
      <c r="Z995" s="17" t="n">
        <f aca="false">IF(ISNUMBER(X995),X995-S995,-S995)</f>
        <v>0</v>
      </c>
      <c r="AA995" s="9" t="str">
        <f aca="false">IF(NOT(ISNUMBER(X995)),"NO AUGUST POSTING IN EXPORT",IF(ABS(Y995)&gt;=0.005,"POSTED CHARGE MISMATCH",IF(P995&gt;0,"MATCH - COVERED ELIGIBILITY EXCEPTION","MATCH")))</f>
        <v>MATCH - COVERED ELIGIBILITY EXCEPTION</v>
      </c>
      <c r="AB995" s="9" t="s">
        <v>6932</v>
      </c>
    </row>
    <row r="996" customFormat="false" ht="15" hidden="false" customHeight="false" outlineLevel="0" collapsed="false">
      <c r="A996" s="13" t="s">
        <v>6933</v>
      </c>
      <c r="B996" s="13" t="s">
        <v>135</v>
      </c>
      <c r="C996" s="13" t="s">
        <v>114</v>
      </c>
      <c r="D996" s="13" t="s">
        <v>2002</v>
      </c>
      <c r="E996" s="13" t="s">
        <v>2818</v>
      </c>
      <c r="F996" s="13" t="s">
        <v>6934</v>
      </c>
      <c r="G996" s="13" t="s">
        <v>6935</v>
      </c>
      <c r="H996" s="13" t="s">
        <v>5124</v>
      </c>
      <c r="I996" s="15" t="n">
        <v>24</v>
      </c>
      <c r="J996" s="15" t="n">
        <v>19.9</v>
      </c>
      <c r="K996" s="15"/>
      <c r="L996" s="15"/>
      <c r="M996" s="15" t="n">
        <f aca="false">IF(ISNUMBER(L996),L996,J996)</f>
        <v>19.9</v>
      </c>
      <c r="N996" s="15" t="n">
        <f aca="false">ROUNDUP(M996,0)</f>
        <v>20</v>
      </c>
      <c r="O996" s="15" t="n">
        <f aca="false">MAX(I996,N996)</f>
        <v>24</v>
      </c>
      <c r="P996" s="15" t="n">
        <f aca="false">IF(C996="COVERED",MAX(0,O996-40),0)</f>
        <v>0</v>
      </c>
      <c r="Q996" s="15" t="n">
        <f aca="false">O996</f>
        <v>24</v>
      </c>
      <c r="R996" s="18" t="n">
        <f aca="false">IF(C996="COVERED",10.4,7.55)</f>
        <v>10.4</v>
      </c>
      <c r="S996" s="18" t="n">
        <f aca="false">Q996*R996</f>
        <v>249.6</v>
      </c>
      <c r="T996" s="13" t="s">
        <v>6936</v>
      </c>
      <c r="U996" s="14" t="n">
        <v>46235</v>
      </c>
      <c r="V996" s="13" t="n">
        <v>24</v>
      </c>
      <c r="W996" s="18" t="n">
        <v>10.4</v>
      </c>
      <c r="X996" s="18" t="n">
        <v>249.6</v>
      </c>
      <c r="Y996" s="18" t="n">
        <f aca="false">IF(ISNUMBER(X996),X996-S996,"")</f>
        <v>0</v>
      </c>
      <c r="Z996" s="18" t="n">
        <f aca="false">IF(ISNUMBER(X996),X996-S996,-S996)</f>
        <v>0</v>
      </c>
      <c r="AA996" s="13" t="str">
        <f aca="false">IF(NOT(ISNUMBER(X996)),"NO AUGUST POSTING IN EXPORT",IF(ABS(Y996)&gt;=0.005,"POSTED CHARGE MISMATCH",IF(P996&gt;0,"MATCH - COVERED ELIGIBILITY EXCEPTION","MATCH")))</f>
        <v>MATCH</v>
      </c>
      <c r="AB996" s="13" t="s">
        <v>6937</v>
      </c>
    </row>
    <row r="997" customFormat="false" ht="15" hidden="false" customHeight="false" outlineLevel="0" collapsed="false">
      <c r="A997" s="9" t="s">
        <v>6938</v>
      </c>
      <c r="B997" s="9" t="s">
        <v>135</v>
      </c>
      <c r="C997" s="9" t="s">
        <v>114</v>
      </c>
      <c r="D997" s="9" t="s">
        <v>2002</v>
      </c>
      <c r="E997" s="9" t="s">
        <v>4014</v>
      </c>
      <c r="F997" s="9" t="s">
        <v>6939</v>
      </c>
      <c r="G997" s="9" t="s">
        <v>6940</v>
      </c>
      <c r="H997" s="9" t="s">
        <v>6941</v>
      </c>
      <c r="I997" s="11" t="n">
        <v>32</v>
      </c>
      <c r="J997" s="11" t="n">
        <v>19.6</v>
      </c>
      <c r="K997" s="11"/>
      <c r="L997" s="11"/>
      <c r="M997" s="11" t="n">
        <f aca="false">IF(ISNUMBER(L997),L997,J997)</f>
        <v>19.6</v>
      </c>
      <c r="N997" s="11" t="n">
        <f aca="false">ROUNDUP(M997,0)</f>
        <v>20</v>
      </c>
      <c r="O997" s="11" t="n">
        <f aca="false">MAX(I997,N997)</f>
        <v>32</v>
      </c>
      <c r="P997" s="11" t="n">
        <f aca="false">IF(C997="COVERED",MAX(0,O997-40),0)</f>
        <v>0</v>
      </c>
      <c r="Q997" s="11" t="n">
        <f aca="false">O997</f>
        <v>32</v>
      </c>
      <c r="R997" s="17" t="n">
        <f aca="false">IF(C997="COVERED",10.4,7.55)</f>
        <v>10.4</v>
      </c>
      <c r="S997" s="17" t="n">
        <f aca="false">Q997*R997</f>
        <v>332.8</v>
      </c>
      <c r="T997" s="9" t="s">
        <v>6942</v>
      </c>
      <c r="U997" s="10" t="n">
        <v>46235</v>
      </c>
      <c r="V997" s="9" t="n">
        <v>32</v>
      </c>
      <c r="W997" s="17" t="n">
        <v>10.4</v>
      </c>
      <c r="X997" s="17" t="n">
        <v>332.8</v>
      </c>
      <c r="Y997" s="17" t="n">
        <f aca="false">IF(ISNUMBER(X997),X997-S997,"")</f>
        <v>0</v>
      </c>
      <c r="Z997" s="17" t="n">
        <f aca="false">IF(ISNUMBER(X997),X997-S997,-S997)</f>
        <v>0</v>
      </c>
      <c r="AA997" s="9" t="str">
        <f aca="false">IF(NOT(ISNUMBER(X997)),"NO AUGUST POSTING IN EXPORT",IF(ABS(Y997)&gt;=0.005,"POSTED CHARGE MISMATCH",IF(P997&gt;0,"MATCH - COVERED ELIGIBILITY EXCEPTION","MATCH")))</f>
        <v>MATCH</v>
      </c>
      <c r="AB997" s="9" t="s">
        <v>6943</v>
      </c>
    </row>
    <row r="998" customFormat="false" ht="15" hidden="false" customHeight="false" outlineLevel="0" collapsed="false">
      <c r="A998" s="13" t="s">
        <v>6944</v>
      </c>
      <c r="B998" s="13" t="s">
        <v>135</v>
      </c>
      <c r="C998" s="13" t="s">
        <v>114</v>
      </c>
      <c r="D998" s="13" t="s">
        <v>2002</v>
      </c>
      <c r="E998" s="13" t="s">
        <v>2825</v>
      </c>
      <c r="F998" s="13" t="s">
        <v>6945</v>
      </c>
      <c r="G998" s="13" t="s">
        <v>6946</v>
      </c>
      <c r="H998" s="13" t="s">
        <v>4921</v>
      </c>
      <c r="I998" s="15" t="n">
        <v>24</v>
      </c>
      <c r="J998" s="15" t="n">
        <v>42.6</v>
      </c>
      <c r="K998" s="15"/>
      <c r="L998" s="15"/>
      <c r="M998" s="15" t="n">
        <f aca="false">IF(ISNUMBER(L998),L998,J998)</f>
        <v>42.6</v>
      </c>
      <c r="N998" s="15" t="n">
        <f aca="false">ROUNDUP(M998,0)</f>
        <v>43</v>
      </c>
      <c r="O998" s="15" t="n">
        <f aca="false">MAX(I998,N998)</f>
        <v>43</v>
      </c>
      <c r="P998" s="15" t="n">
        <f aca="false">IF(C998="COVERED",MAX(0,O998-40),0)</f>
        <v>3</v>
      </c>
      <c r="Q998" s="15" t="n">
        <f aca="false">O998</f>
        <v>43</v>
      </c>
      <c r="R998" s="18" t="n">
        <f aca="false">IF(C998="COVERED",10.4,7.55)</f>
        <v>10.4</v>
      </c>
      <c r="S998" s="18" t="n">
        <f aca="false">Q998*R998</f>
        <v>447.2</v>
      </c>
      <c r="T998" s="13" t="s">
        <v>6947</v>
      </c>
      <c r="U998" s="14" t="n">
        <v>46235</v>
      </c>
      <c r="V998" s="13" t="n">
        <v>43</v>
      </c>
      <c r="W998" s="18" t="n">
        <v>10.4</v>
      </c>
      <c r="X998" s="18" t="n">
        <v>447.2</v>
      </c>
      <c r="Y998" s="18" t="n">
        <f aca="false">IF(ISNUMBER(X998),X998-S998,"")</f>
        <v>0</v>
      </c>
      <c r="Z998" s="18" t="n">
        <f aca="false">IF(ISNUMBER(X998),X998-S998,-S998)</f>
        <v>0</v>
      </c>
      <c r="AA998" s="13" t="str">
        <f aca="false">IF(NOT(ISNUMBER(X998)),"NO AUGUST POSTING IN EXPORT",IF(ABS(Y998)&gt;=0.005,"POSTED CHARGE MISMATCH",IF(P998&gt;0,"MATCH - COVERED ELIGIBILITY EXCEPTION","MATCH")))</f>
        <v>MATCH - COVERED ELIGIBILITY EXCEPTION</v>
      </c>
      <c r="AB998" s="13" t="s">
        <v>6948</v>
      </c>
    </row>
    <row r="999" customFormat="false" ht="15" hidden="false" customHeight="false" outlineLevel="0" collapsed="false">
      <c r="A999" s="9" t="s">
        <v>6949</v>
      </c>
      <c r="B999" s="9" t="s">
        <v>135</v>
      </c>
      <c r="C999" s="9" t="s">
        <v>114</v>
      </c>
      <c r="D999" s="9" t="s">
        <v>2002</v>
      </c>
      <c r="E999" s="9" t="s">
        <v>2831</v>
      </c>
      <c r="F999" s="9" t="s">
        <v>6950</v>
      </c>
      <c r="G999" s="9" t="s">
        <v>6951</v>
      </c>
      <c r="H999" s="9" t="s">
        <v>2980</v>
      </c>
      <c r="I999" s="11" t="n">
        <v>40</v>
      </c>
      <c r="J999" s="11" t="n">
        <v>19.5</v>
      </c>
      <c r="K999" s="11"/>
      <c r="L999" s="11"/>
      <c r="M999" s="11" t="n">
        <f aca="false">IF(ISNUMBER(L999),L999,J999)</f>
        <v>19.5</v>
      </c>
      <c r="N999" s="11" t="n">
        <f aca="false">ROUNDUP(M999,0)</f>
        <v>20</v>
      </c>
      <c r="O999" s="11" t="n">
        <f aca="false">MAX(I999,N999)</f>
        <v>40</v>
      </c>
      <c r="P999" s="11" t="n">
        <f aca="false">IF(C999="COVERED",MAX(0,O999-40),0)</f>
        <v>0</v>
      </c>
      <c r="Q999" s="11" t="n">
        <f aca="false">O999</f>
        <v>40</v>
      </c>
      <c r="R999" s="17" t="n">
        <f aca="false">IF(C999="COVERED",10.4,7.55)</f>
        <v>10.4</v>
      </c>
      <c r="S999" s="17" t="n">
        <f aca="false">Q999*R999</f>
        <v>416</v>
      </c>
      <c r="T999" s="9" t="s">
        <v>6952</v>
      </c>
      <c r="U999" s="10" t="n">
        <v>46235</v>
      </c>
      <c r="V999" s="9" t="n">
        <v>40</v>
      </c>
      <c r="W999" s="17" t="n">
        <v>10.4</v>
      </c>
      <c r="X999" s="17" t="n">
        <v>416</v>
      </c>
      <c r="Y999" s="17" t="n">
        <f aca="false">IF(ISNUMBER(X999),X999-S999,"")</f>
        <v>0</v>
      </c>
      <c r="Z999" s="17" t="n">
        <f aca="false">IF(ISNUMBER(X999),X999-S999,-S999)</f>
        <v>0</v>
      </c>
      <c r="AA999" s="9" t="str">
        <f aca="false">IF(NOT(ISNUMBER(X999)),"NO AUGUST POSTING IN EXPORT",IF(ABS(Y999)&gt;=0.005,"POSTED CHARGE MISMATCH",IF(P999&gt;0,"MATCH - COVERED ELIGIBILITY EXCEPTION","MATCH")))</f>
        <v>MATCH</v>
      </c>
      <c r="AB999" s="9" t="s">
        <v>6953</v>
      </c>
    </row>
    <row r="1000" customFormat="false" ht="15" hidden="false" customHeight="false" outlineLevel="0" collapsed="false">
      <c r="A1000" s="13" t="s">
        <v>6954</v>
      </c>
      <c r="B1000" s="13" t="s">
        <v>135</v>
      </c>
      <c r="C1000" s="13" t="s">
        <v>114</v>
      </c>
      <c r="D1000" s="13" t="s">
        <v>2002</v>
      </c>
      <c r="E1000" s="13" t="s">
        <v>5037</v>
      </c>
      <c r="F1000" s="13" t="s">
        <v>6955</v>
      </c>
      <c r="G1000" s="13" t="s">
        <v>6956</v>
      </c>
      <c r="H1000" s="13" t="s">
        <v>6957</v>
      </c>
      <c r="I1000" s="15" t="n">
        <v>32</v>
      </c>
      <c r="J1000" s="15" t="n">
        <v>38</v>
      </c>
      <c r="K1000" s="15"/>
      <c r="L1000" s="15"/>
      <c r="M1000" s="15" t="n">
        <f aca="false">IF(ISNUMBER(L1000),L1000,J1000)</f>
        <v>38</v>
      </c>
      <c r="N1000" s="15" t="n">
        <f aca="false">ROUNDUP(M1000,0)</f>
        <v>38</v>
      </c>
      <c r="O1000" s="15" t="n">
        <f aca="false">MAX(I1000,N1000)</f>
        <v>38</v>
      </c>
      <c r="P1000" s="15" t="n">
        <f aca="false">IF(C1000="COVERED",MAX(0,O1000-40),0)</f>
        <v>0</v>
      </c>
      <c r="Q1000" s="15" t="n">
        <f aca="false">O1000</f>
        <v>38</v>
      </c>
      <c r="R1000" s="18" t="n">
        <f aca="false">IF(C1000="COVERED",10.4,7.55)</f>
        <v>10.4</v>
      </c>
      <c r="S1000" s="18" t="n">
        <f aca="false">Q1000*R1000</f>
        <v>395.2</v>
      </c>
      <c r="T1000" s="13" t="s">
        <v>6958</v>
      </c>
      <c r="U1000" s="14" t="n">
        <v>46235</v>
      </c>
      <c r="V1000" s="13" t="n">
        <v>38</v>
      </c>
      <c r="W1000" s="18" t="n">
        <v>10.4</v>
      </c>
      <c r="X1000" s="18" t="n">
        <v>395.2</v>
      </c>
      <c r="Y1000" s="18" t="n">
        <f aca="false">IF(ISNUMBER(X1000),X1000-S1000,"")</f>
        <v>0</v>
      </c>
      <c r="Z1000" s="18" t="n">
        <f aca="false">IF(ISNUMBER(X1000),X1000-S1000,-S1000)</f>
        <v>0</v>
      </c>
      <c r="AA1000" s="13" t="str">
        <f aca="false">IF(NOT(ISNUMBER(X1000)),"NO AUGUST POSTING IN EXPORT",IF(ABS(Y1000)&gt;=0.005,"POSTED CHARGE MISMATCH",IF(P1000&gt;0,"MATCH - COVERED ELIGIBILITY EXCEPTION","MATCH")))</f>
        <v>MATCH</v>
      </c>
      <c r="AB1000" s="13" t="s">
        <v>6959</v>
      </c>
    </row>
    <row r="1001" customFormat="false" ht="15" hidden="false" customHeight="false" outlineLevel="0" collapsed="false">
      <c r="A1001" s="9" t="s">
        <v>6960</v>
      </c>
      <c r="B1001" s="9" t="s">
        <v>135</v>
      </c>
      <c r="C1001" s="9" t="s">
        <v>114</v>
      </c>
      <c r="D1001" s="9" t="s">
        <v>2002</v>
      </c>
      <c r="E1001" s="9" t="s">
        <v>2845</v>
      </c>
      <c r="F1001" s="9" t="s">
        <v>6961</v>
      </c>
      <c r="G1001" s="9" t="s">
        <v>6962</v>
      </c>
      <c r="H1001" s="9" t="s">
        <v>3647</v>
      </c>
      <c r="I1001" s="11" t="n">
        <v>28</v>
      </c>
      <c r="J1001" s="11" t="n">
        <v>60.8</v>
      </c>
      <c r="K1001" s="11"/>
      <c r="L1001" s="11"/>
      <c r="M1001" s="11" t="n">
        <f aca="false">IF(ISNUMBER(L1001),L1001,J1001)</f>
        <v>60.8</v>
      </c>
      <c r="N1001" s="11" t="n">
        <f aca="false">ROUNDUP(M1001,0)</f>
        <v>61</v>
      </c>
      <c r="O1001" s="11" t="n">
        <f aca="false">MAX(I1001,N1001)</f>
        <v>61</v>
      </c>
      <c r="P1001" s="11" t="n">
        <f aca="false">IF(C1001="COVERED",MAX(0,O1001-40),0)</f>
        <v>21</v>
      </c>
      <c r="Q1001" s="11" t="n">
        <f aca="false">O1001</f>
        <v>61</v>
      </c>
      <c r="R1001" s="17" t="n">
        <f aca="false">IF(C1001="COVERED",10.4,7.55)</f>
        <v>10.4</v>
      </c>
      <c r="S1001" s="17" t="n">
        <f aca="false">Q1001*R1001</f>
        <v>634.4</v>
      </c>
      <c r="T1001" s="9" t="s">
        <v>6963</v>
      </c>
      <c r="U1001" s="10" t="n">
        <v>46235</v>
      </c>
      <c r="V1001" s="9" t="n">
        <v>61</v>
      </c>
      <c r="W1001" s="17" t="n">
        <v>10.4</v>
      </c>
      <c r="X1001" s="17" t="n">
        <v>634.4</v>
      </c>
      <c r="Y1001" s="17" t="n">
        <f aca="false">IF(ISNUMBER(X1001),X1001-S1001,"")</f>
        <v>0</v>
      </c>
      <c r="Z1001" s="17" t="n">
        <f aca="false">IF(ISNUMBER(X1001),X1001-S1001,-S1001)</f>
        <v>0</v>
      </c>
      <c r="AA1001" s="9" t="str">
        <f aca="false">IF(NOT(ISNUMBER(X1001)),"NO AUGUST POSTING IN EXPORT",IF(ABS(Y1001)&gt;=0.005,"POSTED CHARGE MISMATCH",IF(P1001&gt;0,"MATCH - COVERED ELIGIBILITY EXCEPTION","MATCH")))</f>
        <v>MATCH - COVERED ELIGIBILITY EXCEPTION</v>
      </c>
      <c r="AB1001" s="9" t="s">
        <v>6964</v>
      </c>
    </row>
    <row r="1002" customFormat="false" ht="15" hidden="false" customHeight="false" outlineLevel="0" collapsed="false">
      <c r="A1002" s="13" t="s">
        <v>6965</v>
      </c>
      <c r="B1002" s="13" t="s">
        <v>135</v>
      </c>
      <c r="C1002" s="13" t="s">
        <v>114</v>
      </c>
      <c r="D1002" s="13" t="s">
        <v>2002</v>
      </c>
      <c r="E1002" s="13" t="s">
        <v>2850</v>
      </c>
      <c r="F1002" s="13" t="s">
        <v>6966</v>
      </c>
      <c r="G1002" s="13" t="s">
        <v>6967</v>
      </c>
      <c r="H1002" s="13" t="s">
        <v>6968</v>
      </c>
      <c r="I1002" s="15" t="n">
        <v>40</v>
      </c>
      <c r="J1002" s="15" t="n">
        <v>43.1</v>
      </c>
      <c r="K1002" s="15"/>
      <c r="L1002" s="15"/>
      <c r="M1002" s="15" t="n">
        <f aca="false">IF(ISNUMBER(L1002),L1002,J1002)</f>
        <v>43.1</v>
      </c>
      <c r="N1002" s="15" t="n">
        <f aca="false">ROUNDUP(M1002,0)</f>
        <v>44</v>
      </c>
      <c r="O1002" s="15" t="n">
        <f aca="false">MAX(I1002,N1002)</f>
        <v>44</v>
      </c>
      <c r="P1002" s="15" t="n">
        <f aca="false">IF(C1002="COVERED",MAX(0,O1002-40),0)</f>
        <v>4</v>
      </c>
      <c r="Q1002" s="15" t="n">
        <f aca="false">O1002</f>
        <v>44</v>
      </c>
      <c r="R1002" s="18" t="n">
        <f aca="false">IF(C1002="COVERED",10.4,7.55)</f>
        <v>10.4</v>
      </c>
      <c r="S1002" s="18" t="n">
        <f aca="false">Q1002*R1002</f>
        <v>457.6</v>
      </c>
      <c r="T1002" s="13" t="s">
        <v>6969</v>
      </c>
      <c r="U1002" s="14" t="n">
        <v>46235</v>
      </c>
      <c r="V1002" s="13" t="n">
        <v>44</v>
      </c>
      <c r="W1002" s="18" t="n">
        <v>10.4</v>
      </c>
      <c r="X1002" s="18" t="n">
        <v>457.6</v>
      </c>
      <c r="Y1002" s="18" t="n">
        <f aca="false">IF(ISNUMBER(X1002),X1002-S1002,"")</f>
        <v>0</v>
      </c>
      <c r="Z1002" s="18" t="n">
        <f aca="false">IF(ISNUMBER(X1002),X1002-S1002,-S1002)</f>
        <v>0</v>
      </c>
      <c r="AA1002" s="13" t="str">
        <f aca="false">IF(NOT(ISNUMBER(X1002)),"NO AUGUST POSTING IN EXPORT",IF(ABS(Y1002)&gt;=0.005,"POSTED CHARGE MISMATCH",IF(P1002&gt;0,"MATCH - COVERED ELIGIBILITY EXCEPTION","MATCH")))</f>
        <v>MATCH - COVERED ELIGIBILITY EXCEPTION</v>
      </c>
      <c r="AB1002" s="13" t="s">
        <v>6970</v>
      </c>
    </row>
    <row r="1003" customFormat="false" ht="15" hidden="false" customHeight="false" outlineLevel="0" collapsed="false">
      <c r="A1003" s="9" t="s">
        <v>558</v>
      </c>
      <c r="B1003" s="9" t="s">
        <v>135</v>
      </c>
      <c r="C1003" s="9" t="s">
        <v>114</v>
      </c>
      <c r="D1003" s="9" t="s">
        <v>2002</v>
      </c>
      <c r="E1003" s="9" t="s">
        <v>2857</v>
      </c>
      <c r="F1003" s="9" t="s">
        <v>6971</v>
      </c>
      <c r="G1003" s="9" t="s">
        <v>6972</v>
      </c>
      <c r="H1003" s="9" t="s">
        <v>2397</v>
      </c>
      <c r="I1003" s="11" t="n">
        <v>28</v>
      </c>
      <c r="J1003" s="11" t="n">
        <v>45.4</v>
      </c>
      <c r="K1003" s="11"/>
      <c r="L1003" s="11"/>
      <c r="M1003" s="11" t="n">
        <f aca="false">IF(ISNUMBER(L1003),L1003,J1003)</f>
        <v>45.4</v>
      </c>
      <c r="N1003" s="11" t="n">
        <f aca="false">ROUNDUP(M1003,0)</f>
        <v>46</v>
      </c>
      <c r="O1003" s="11" t="n">
        <f aca="false">MAX(I1003,N1003)</f>
        <v>46</v>
      </c>
      <c r="P1003" s="11" t="n">
        <f aca="false">IF(C1003="COVERED",MAX(0,O1003-40),0)</f>
        <v>6</v>
      </c>
      <c r="Q1003" s="11" t="n">
        <f aca="false">O1003</f>
        <v>46</v>
      </c>
      <c r="R1003" s="17" t="n">
        <f aca="false">IF(C1003="COVERED",10.4,7.55)</f>
        <v>10.4</v>
      </c>
      <c r="S1003" s="17" t="n">
        <f aca="false">Q1003*R1003</f>
        <v>478.4</v>
      </c>
      <c r="T1003" s="9" t="s">
        <v>6973</v>
      </c>
      <c r="U1003" s="10" t="n">
        <v>46235</v>
      </c>
      <c r="V1003" s="9" t="n">
        <v>46</v>
      </c>
      <c r="W1003" s="17" t="n">
        <v>10.4</v>
      </c>
      <c r="X1003" s="17" t="n">
        <v>478.4</v>
      </c>
      <c r="Y1003" s="17" t="n">
        <f aca="false">IF(ISNUMBER(X1003),X1003-S1003,"")</f>
        <v>0</v>
      </c>
      <c r="Z1003" s="17" t="n">
        <f aca="false">IF(ISNUMBER(X1003),X1003-S1003,-S1003)</f>
        <v>0</v>
      </c>
      <c r="AA1003" s="9" t="str">
        <f aca="false">IF(NOT(ISNUMBER(X1003)),"NO AUGUST POSTING IN EXPORT",IF(ABS(Y1003)&gt;=0.005,"POSTED CHARGE MISMATCH",IF(P1003&gt;0,"MATCH - COVERED ELIGIBILITY EXCEPTION","MATCH")))</f>
        <v>MATCH - COVERED ELIGIBILITY EXCEPTION</v>
      </c>
      <c r="AB1003" s="9" t="s">
        <v>6974</v>
      </c>
    </row>
    <row r="1004" customFormat="false" ht="15" hidden="false" customHeight="false" outlineLevel="0" collapsed="false">
      <c r="A1004" s="13" t="s">
        <v>6975</v>
      </c>
      <c r="B1004" s="13" t="s">
        <v>135</v>
      </c>
      <c r="C1004" s="13" t="s">
        <v>114</v>
      </c>
      <c r="D1004" s="13" t="s">
        <v>2002</v>
      </c>
      <c r="E1004" s="13" t="s">
        <v>2864</v>
      </c>
      <c r="F1004" s="13" t="s">
        <v>6976</v>
      </c>
      <c r="G1004" s="13" t="s">
        <v>6977</v>
      </c>
      <c r="H1004" s="13" t="s">
        <v>2630</v>
      </c>
      <c r="I1004" s="15" t="n">
        <v>32</v>
      </c>
      <c r="J1004" s="15" t="n">
        <v>33.5</v>
      </c>
      <c r="K1004" s="15"/>
      <c r="L1004" s="15"/>
      <c r="M1004" s="15" t="n">
        <f aca="false">IF(ISNUMBER(L1004),L1004,J1004)</f>
        <v>33.5</v>
      </c>
      <c r="N1004" s="15" t="n">
        <f aca="false">ROUNDUP(M1004,0)</f>
        <v>34</v>
      </c>
      <c r="O1004" s="15" t="n">
        <f aca="false">MAX(I1004,N1004)</f>
        <v>34</v>
      </c>
      <c r="P1004" s="15" t="n">
        <f aca="false">IF(C1004="COVERED",MAX(0,O1004-40),0)</f>
        <v>0</v>
      </c>
      <c r="Q1004" s="15" t="n">
        <f aca="false">O1004</f>
        <v>34</v>
      </c>
      <c r="R1004" s="18" t="n">
        <f aca="false">IF(C1004="COVERED",10.4,7.55)</f>
        <v>10.4</v>
      </c>
      <c r="S1004" s="18" t="n">
        <f aca="false">Q1004*R1004</f>
        <v>353.6</v>
      </c>
      <c r="T1004" s="13" t="s">
        <v>6978</v>
      </c>
      <c r="U1004" s="14" t="n">
        <v>46235</v>
      </c>
      <c r="V1004" s="13" t="n">
        <v>34</v>
      </c>
      <c r="W1004" s="18" t="n">
        <v>10.4</v>
      </c>
      <c r="X1004" s="18" t="n">
        <v>353.6</v>
      </c>
      <c r="Y1004" s="18" t="n">
        <f aca="false">IF(ISNUMBER(X1004),X1004-S1004,"")</f>
        <v>0</v>
      </c>
      <c r="Z1004" s="18" t="n">
        <f aca="false">IF(ISNUMBER(X1004),X1004-S1004,-S1004)</f>
        <v>0</v>
      </c>
      <c r="AA1004" s="13" t="str">
        <f aca="false">IF(NOT(ISNUMBER(X1004)),"NO AUGUST POSTING IN EXPORT",IF(ABS(Y1004)&gt;=0.005,"POSTED CHARGE MISMATCH",IF(P1004&gt;0,"MATCH - COVERED ELIGIBILITY EXCEPTION","MATCH")))</f>
        <v>MATCH</v>
      </c>
      <c r="AB1004" s="13" t="s">
        <v>6979</v>
      </c>
    </row>
    <row r="1005" customFormat="false" ht="15" hidden="false" customHeight="false" outlineLevel="0" collapsed="false">
      <c r="A1005" s="9" t="s">
        <v>1913</v>
      </c>
      <c r="B1005" s="9" t="s">
        <v>135</v>
      </c>
      <c r="C1005" s="9" t="s">
        <v>114</v>
      </c>
      <c r="D1005" s="9" t="s">
        <v>2002</v>
      </c>
      <c r="E1005" s="9" t="s">
        <v>4042</v>
      </c>
      <c r="F1005" s="9" t="s">
        <v>896</v>
      </c>
      <c r="G1005" s="9" t="s">
        <v>897</v>
      </c>
      <c r="H1005" s="9" t="s">
        <v>2553</v>
      </c>
      <c r="I1005" s="11" t="n">
        <v>28</v>
      </c>
      <c r="J1005" s="11" t="n">
        <v>19.6</v>
      </c>
      <c r="K1005" s="11"/>
      <c r="L1005" s="11"/>
      <c r="M1005" s="11" t="n">
        <f aca="false">IF(ISNUMBER(L1005),L1005,J1005)</f>
        <v>19.6</v>
      </c>
      <c r="N1005" s="11" t="n">
        <f aca="false">ROUNDUP(M1005,0)</f>
        <v>20</v>
      </c>
      <c r="O1005" s="11" t="n">
        <f aca="false">MAX(I1005,N1005)</f>
        <v>28</v>
      </c>
      <c r="P1005" s="11" t="n">
        <f aca="false">IF(C1005="COVERED",MAX(0,O1005-40),0)</f>
        <v>0</v>
      </c>
      <c r="Q1005" s="11" t="n">
        <f aca="false">O1005</f>
        <v>28</v>
      </c>
      <c r="R1005" s="17" t="n">
        <f aca="false">IF(C1005="COVERED",10.4,7.55)</f>
        <v>10.4</v>
      </c>
      <c r="S1005" s="17" t="n">
        <f aca="false">Q1005*R1005</f>
        <v>291.2</v>
      </c>
      <c r="T1005" s="9" t="s">
        <v>6980</v>
      </c>
      <c r="U1005" s="10" t="n">
        <v>46235</v>
      </c>
      <c r="V1005" s="9" t="n">
        <v>28</v>
      </c>
      <c r="W1005" s="17" t="n">
        <v>10.4</v>
      </c>
      <c r="X1005" s="17" t="n">
        <v>291.2</v>
      </c>
      <c r="Y1005" s="17" t="n">
        <f aca="false">IF(ISNUMBER(X1005),X1005-S1005,"")</f>
        <v>0</v>
      </c>
      <c r="Z1005" s="17" t="n">
        <f aca="false">IF(ISNUMBER(X1005),X1005-S1005,-S1005)</f>
        <v>0</v>
      </c>
      <c r="AA1005" s="9" t="str">
        <f aca="false">IF(NOT(ISNUMBER(X1005)),"NO AUGUST POSTING IN EXPORT",IF(ABS(Y1005)&gt;=0.005,"POSTED CHARGE MISMATCH",IF(P1005&gt;0,"MATCH - COVERED ELIGIBILITY EXCEPTION","MATCH")))</f>
        <v>MATCH</v>
      </c>
      <c r="AB1005" s="9" t="s">
        <v>6981</v>
      </c>
    </row>
    <row r="1006" customFormat="false" ht="15" hidden="false" customHeight="false" outlineLevel="0" collapsed="false">
      <c r="A1006" s="13" t="s">
        <v>6982</v>
      </c>
      <c r="B1006" s="13" t="s">
        <v>135</v>
      </c>
      <c r="C1006" s="13" t="s">
        <v>114</v>
      </c>
      <c r="D1006" s="13" t="s">
        <v>2002</v>
      </c>
      <c r="E1006" s="13" t="s">
        <v>2870</v>
      </c>
      <c r="F1006" s="13" t="s">
        <v>6983</v>
      </c>
      <c r="G1006" s="13" t="s">
        <v>6984</v>
      </c>
      <c r="H1006" s="13" t="s">
        <v>6985</v>
      </c>
      <c r="I1006" s="15" t="n">
        <v>36</v>
      </c>
      <c r="J1006" s="15" t="n">
        <v>21.4</v>
      </c>
      <c r="K1006" s="15"/>
      <c r="L1006" s="15"/>
      <c r="M1006" s="15" t="n">
        <f aca="false">IF(ISNUMBER(L1006),L1006,J1006)</f>
        <v>21.4</v>
      </c>
      <c r="N1006" s="15" t="n">
        <f aca="false">ROUNDUP(M1006,0)</f>
        <v>22</v>
      </c>
      <c r="O1006" s="15" t="n">
        <f aca="false">MAX(I1006,N1006)</f>
        <v>36</v>
      </c>
      <c r="P1006" s="15" t="n">
        <f aca="false">IF(C1006="COVERED",MAX(0,O1006-40),0)</f>
        <v>0</v>
      </c>
      <c r="Q1006" s="15" t="n">
        <f aca="false">O1006</f>
        <v>36</v>
      </c>
      <c r="R1006" s="18" t="n">
        <f aca="false">IF(C1006="COVERED",10.4,7.55)</f>
        <v>10.4</v>
      </c>
      <c r="S1006" s="18" t="n">
        <f aca="false">Q1006*R1006</f>
        <v>374.4</v>
      </c>
      <c r="T1006" s="13" t="s">
        <v>6986</v>
      </c>
      <c r="U1006" s="14" t="n">
        <v>46235</v>
      </c>
      <c r="V1006" s="13" t="n">
        <v>36</v>
      </c>
      <c r="W1006" s="18" t="n">
        <v>10.4</v>
      </c>
      <c r="X1006" s="18" t="n">
        <v>374.4</v>
      </c>
      <c r="Y1006" s="18" t="n">
        <f aca="false">IF(ISNUMBER(X1006),X1006-S1006,"")</f>
        <v>0</v>
      </c>
      <c r="Z1006" s="18" t="n">
        <f aca="false">IF(ISNUMBER(X1006),X1006-S1006,-S1006)</f>
        <v>0</v>
      </c>
      <c r="AA1006" s="13" t="str">
        <f aca="false">IF(NOT(ISNUMBER(X1006)),"NO AUGUST POSTING IN EXPORT",IF(ABS(Y1006)&gt;=0.005,"POSTED CHARGE MISMATCH",IF(P1006&gt;0,"MATCH - COVERED ELIGIBILITY EXCEPTION","MATCH")))</f>
        <v>MATCH</v>
      </c>
      <c r="AB1006" s="13" t="s">
        <v>6987</v>
      </c>
    </row>
    <row r="1007" customFormat="false" ht="15" hidden="false" customHeight="false" outlineLevel="0" collapsed="false">
      <c r="A1007" s="9" t="s">
        <v>6988</v>
      </c>
      <c r="B1007" s="9" t="s">
        <v>135</v>
      </c>
      <c r="C1007" s="9" t="s">
        <v>114</v>
      </c>
      <c r="D1007" s="9" t="s">
        <v>2002</v>
      </c>
      <c r="E1007" s="9" t="s">
        <v>2876</v>
      </c>
      <c r="F1007" s="9" t="s">
        <v>6989</v>
      </c>
      <c r="G1007" s="9" t="s">
        <v>6990</v>
      </c>
      <c r="H1007" s="9" t="s">
        <v>6158</v>
      </c>
      <c r="I1007" s="11" t="n">
        <v>40</v>
      </c>
      <c r="J1007" s="11" t="n">
        <v>43.5</v>
      </c>
      <c r="K1007" s="11"/>
      <c r="L1007" s="11"/>
      <c r="M1007" s="11" t="n">
        <f aca="false">IF(ISNUMBER(L1007),L1007,J1007)</f>
        <v>43.5</v>
      </c>
      <c r="N1007" s="11" t="n">
        <f aca="false">ROUNDUP(M1007,0)</f>
        <v>44</v>
      </c>
      <c r="O1007" s="11" t="n">
        <f aca="false">MAX(I1007,N1007)</f>
        <v>44</v>
      </c>
      <c r="P1007" s="11" t="n">
        <f aca="false">IF(C1007="COVERED",MAX(0,O1007-40),0)</f>
        <v>4</v>
      </c>
      <c r="Q1007" s="11" t="n">
        <f aca="false">O1007</f>
        <v>44</v>
      </c>
      <c r="R1007" s="17" t="n">
        <f aca="false">IF(C1007="COVERED",10.4,7.55)</f>
        <v>10.4</v>
      </c>
      <c r="S1007" s="17" t="n">
        <f aca="false">Q1007*R1007</f>
        <v>457.6</v>
      </c>
      <c r="T1007" s="9" t="s">
        <v>6991</v>
      </c>
      <c r="U1007" s="10" t="n">
        <v>46235</v>
      </c>
      <c r="V1007" s="9" t="n">
        <v>44</v>
      </c>
      <c r="W1007" s="17" t="n">
        <v>10.4</v>
      </c>
      <c r="X1007" s="17" t="n">
        <v>457.6</v>
      </c>
      <c r="Y1007" s="17" t="n">
        <f aca="false">IF(ISNUMBER(X1007),X1007-S1007,"")</f>
        <v>0</v>
      </c>
      <c r="Z1007" s="17" t="n">
        <f aca="false">IF(ISNUMBER(X1007),X1007-S1007,-S1007)</f>
        <v>0</v>
      </c>
      <c r="AA1007" s="9" t="str">
        <f aca="false">IF(NOT(ISNUMBER(X1007)),"NO AUGUST POSTING IN EXPORT",IF(ABS(Y1007)&gt;=0.005,"POSTED CHARGE MISMATCH",IF(P1007&gt;0,"MATCH - COVERED ELIGIBILITY EXCEPTION","MATCH")))</f>
        <v>MATCH - COVERED ELIGIBILITY EXCEPTION</v>
      </c>
      <c r="AB1007" s="9" t="s">
        <v>6992</v>
      </c>
    </row>
    <row r="1008" customFormat="false" ht="15" hidden="false" customHeight="false" outlineLevel="0" collapsed="false">
      <c r="A1008" s="13" t="s">
        <v>6993</v>
      </c>
      <c r="B1008" s="13" t="s">
        <v>135</v>
      </c>
      <c r="C1008" s="13" t="s">
        <v>114</v>
      </c>
      <c r="D1008" s="13" t="s">
        <v>2002</v>
      </c>
      <c r="E1008" s="13" t="s">
        <v>2881</v>
      </c>
      <c r="F1008" s="13" t="s">
        <v>6994</v>
      </c>
      <c r="G1008" s="13" t="s">
        <v>6995</v>
      </c>
      <c r="H1008" s="13" t="s">
        <v>4377</v>
      </c>
      <c r="I1008" s="15" t="n">
        <v>36</v>
      </c>
      <c r="J1008" s="15" t="n">
        <v>36.7</v>
      </c>
      <c r="K1008" s="15"/>
      <c r="L1008" s="15"/>
      <c r="M1008" s="15" t="n">
        <f aca="false">IF(ISNUMBER(L1008),L1008,J1008)</f>
        <v>36.7</v>
      </c>
      <c r="N1008" s="15" t="n">
        <f aca="false">ROUNDUP(M1008,0)</f>
        <v>37</v>
      </c>
      <c r="O1008" s="15" t="n">
        <f aca="false">MAX(I1008,N1008)</f>
        <v>37</v>
      </c>
      <c r="P1008" s="15" t="n">
        <f aca="false">IF(C1008="COVERED",MAX(0,O1008-40),0)</f>
        <v>0</v>
      </c>
      <c r="Q1008" s="15" t="n">
        <f aca="false">O1008</f>
        <v>37</v>
      </c>
      <c r="R1008" s="18" t="n">
        <f aca="false">IF(C1008="COVERED",10.4,7.55)</f>
        <v>10.4</v>
      </c>
      <c r="S1008" s="18" t="n">
        <f aca="false">Q1008*R1008</f>
        <v>384.8</v>
      </c>
      <c r="T1008" s="13" t="s">
        <v>6996</v>
      </c>
      <c r="U1008" s="14" t="n">
        <v>46235</v>
      </c>
      <c r="V1008" s="13" t="n">
        <v>37</v>
      </c>
      <c r="W1008" s="18" t="n">
        <v>10.4</v>
      </c>
      <c r="X1008" s="18" t="n">
        <v>384.8</v>
      </c>
      <c r="Y1008" s="18" t="n">
        <f aca="false">IF(ISNUMBER(X1008),X1008-S1008,"")</f>
        <v>0</v>
      </c>
      <c r="Z1008" s="18" t="n">
        <f aca="false">IF(ISNUMBER(X1008),X1008-S1008,-S1008)</f>
        <v>0</v>
      </c>
      <c r="AA1008" s="13" t="str">
        <f aca="false">IF(NOT(ISNUMBER(X1008)),"NO AUGUST POSTING IN EXPORT",IF(ABS(Y1008)&gt;=0.005,"POSTED CHARGE MISMATCH",IF(P1008&gt;0,"MATCH - COVERED ELIGIBILITY EXCEPTION","MATCH")))</f>
        <v>MATCH</v>
      </c>
      <c r="AB1008" s="13" t="s">
        <v>6997</v>
      </c>
    </row>
    <row r="1009" customFormat="false" ht="15" hidden="false" customHeight="false" outlineLevel="0" collapsed="false">
      <c r="A1009" s="9" t="s">
        <v>6998</v>
      </c>
      <c r="B1009" s="9" t="s">
        <v>135</v>
      </c>
      <c r="C1009" s="9" t="s">
        <v>114</v>
      </c>
      <c r="D1009" s="9" t="s">
        <v>2002</v>
      </c>
      <c r="E1009" s="9" t="s">
        <v>4056</v>
      </c>
      <c r="F1009" s="9" t="s">
        <v>6999</v>
      </c>
      <c r="G1009" s="9" t="s">
        <v>7000</v>
      </c>
      <c r="H1009" s="9" t="s">
        <v>6849</v>
      </c>
      <c r="I1009" s="11" t="n">
        <v>36</v>
      </c>
      <c r="J1009" s="11" t="n">
        <v>37.2</v>
      </c>
      <c r="K1009" s="11"/>
      <c r="L1009" s="11"/>
      <c r="M1009" s="11" t="n">
        <f aca="false">IF(ISNUMBER(L1009),L1009,J1009)</f>
        <v>37.2</v>
      </c>
      <c r="N1009" s="11" t="n">
        <f aca="false">ROUNDUP(M1009,0)</f>
        <v>38</v>
      </c>
      <c r="O1009" s="11" t="n">
        <f aca="false">MAX(I1009,N1009)</f>
        <v>38</v>
      </c>
      <c r="P1009" s="11" t="n">
        <f aca="false">IF(C1009="COVERED",MAX(0,O1009-40),0)</f>
        <v>0</v>
      </c>
      <c r="Q1009" s="11" t="n">
        <f aca="false">O1009</f>
        <v>38</v>
      </c>
      <c r="R1009" s="17" t="n">
        <f aca="false">IF(C1009="COVERED",10.4,7.55)</f>
        <v>10.4</v>
      </c>
      <c r="S1009" s="17" t="n">
        <f aca="false">Q1009*R1009</f>
        <v>395.2</v>
      </c>
      <c r="T1009" s="9" t="s">
        <v>7001</v>
      </c>
      <c r="U1009" s="10" t="n">
        <v>46235</v>
      </c>
      <c r="V1009" s="9" t="n">
        <v>38</v>
      </c>
      <c r="W1009" s="17" t="n">
        <v>10.4</v>
      </c>
      <c r="X1009" s="17" t="n">
        <v>395.2</v>
      </c>
      <c r="Y1009" s="17" t="n">
        <f aca="false">IF(ISNUMBER(X1009),X1009-S1009,"")</f>
        <v>0</v>
      </c>
      <c r="Z1009" s="17" t="n">
        <f aca="false">IF(ISNUMBER(X1009),X1009-S1009,-S1009)</f>
        <v>0</v>
      </c>
      <c r="AA1009" s="9" t="str">
        <f aca="false">IF(NOT(ISNUMBER(X1009)),"NO AUGUST POSTING IN EXPORT",IF(ABS(Y1009)&gt;=0.005,"POSTED CHARGE MISMATCH",IF(P1009&gt;0,"MATCH - COVERED ELIGIBILITY EXCEPTION","MATCH")))</f>
        <v>MATCH</v>
      </c>
      <c r="AB1009" s="9" t="s">
        <v>7002</v>
      </c>
    </row>
    <row r="1010" customFormat="false" ht="15" hidden="false" customHeight="false" outlineLevel="0" collapsed="false">
      <c r="A1010" s="13" t="s">
        <v>7003</v>
      </c>
      <c r="B1010" s="13" t="s">
        <v>135</v>
      </c>
      <c r="C1010" s="13" t="s">
        <v>114</v>
      </c>
      <c r="D1010" s="13" t="s">
        <v>2002</v>
      </c>
      <c r="E1010" s="13" t="s">
        <v>2888</v>
      </c>
      <c r="F1010" s="13" t="s">
        <v>7004</v>
      </c>
      <c r="G1010" s="13" t="s">
        <v>7005</v>
      </c>
      <c r="H1010" s="13" t="s">
        <v>4328</v>
      </c>
      <c r="I1010" s="15" t="n">
        <v>28</v>
      </c>
      <c r="J1010" s="15" t="n">
        <v>40.6</v>
      </c>
      <c r="K1010" s="15"/>
      <c r="L1010" s="15"/>
      <c r="M1010" s="15" t="n">
        <f aca="false">IF(ISNUMBER(L1010),L1010,J1010)</f>
        <v>40.6</v>
      </c>
      <c r="N1010" s="15" t="n">
        <f aca="false">ROUNDUP(M1010,0)</f>
        <v>41</v>
      </c>
      <c r="O1010" s="15" t="n">
        <f aca="false">MAX(I1010,N1010)</f>
        <v>41</v>
      </c>
      <c r="P1010" s="15" t="n">
        <f aca="false">IF(C1010="COVERED",MAX(0,O1010-40),0)</f>
        <v>1</v>
      </c>
      <c r="Q1010" s="15" t="n">
        <f aca="false">O1010</f>
        <v>41</v>
      </c>
      <c r="R1010" s="18" t="n">
        <f aca="false">IF(C1010="COVERED",10.4,7.55)</f>
        <v>10.4</v>
      </c>
      <c r="S1010" s="18" t="n">
        <f aca="false">Q1010*R1010</f>
        <v>426.4</v>
      </c>
      <c r="T1010" s="13" t="s">
        <v>7006</v>
      </c>
      <c r="U1010" s="14" t="n">
        <v>46235</v>
      </c>
      <c r="V1010" s="13" t="n">
        <v>41</v>
      </c>
      <c r="W1010" s="18" t="n">
        <v>10.4</v>
      </c>
      <c r="X1010" s="18" t="n">
        <v>426.4</v>
      </c>
      <c r="Y1010" s="18" t="n">
        <f aca="false">IF(ISNUMBER(X1010),X1010-S1010,"")</f>
        <v>0</v>
      </c>
      <c r="Z1010" s="18" t="n">
        <f aca="false">IF(ISNUMBER(X1010),X1010-S1010,-S1010)</f>
        <v>0</v>
      </c>
      <c r="AA1010" s="13" t="str">
        <f aca="false">IF(NOT(ISNUMBER(X1010)),"NO AUGUST POSTING IN EXPORT",IF(ABS(Y1010)&gt;=0.005,"POSTED CHARGE MISMATCH",IF(P1010&gt;0,"MATCH - COVERED ELIGIBILITY EXCEPTION","MATCH")))</f>
        <v>MATCH - COVERED ELIGIBILITY EXCEPTION</v>
      </c>
      <c r="AB1010" s="13" t="s">
        <v>7007</v>
      </c>
    </row>
    <row r="1011" customFormat="false" ht="15" hidden="false" customHeight="false" outlineLevel="0" collapsed="false">
      <c r="A1011" s="9" t="s">
        <v>7008</v>
      </c>
      <c r="B1011" s="9" t="s">
        <v>135</v>
      </c>
      <c r="C1011" s="9" t="s">
        <v>114</v>
      </c>
      <c r="D1011" s="9" t="s">
        <v>2002</v>
      </c>
      <c r="E1011" s="9" t="s">
        <v>2895</v>
      </c>
      <c r="F1011" s="9" t="s">
        <v>7009</v>
      </c>
      <c r="G1011" s="9" t="s">
        <v>7010</v>
      </c>
      <c r="H1011" s="9" t="s">
        <v>3412</v>
      </c>
      <c r="I1011" s="11" t="n">
        <v>32</v>
      </c>
      <c r="J1011" s="11" t="n">
        <v>33.8</v>
      </c>
      <c r="K1011" s="11"/>
      <c r="L1011" s="11"/>
      <c r="M1011" s="11" t="n">
        <f aca="false">IF(ISNUMBER(L1011),L1011,J1011)</f>
        <v>33.8</v>
      </c>
      <c r="N1011" s="11" t="n">
        <f aca="false">ROUNDUP(M1011,0)</f>
        <v>34</v>
      </c>
      <c r="O1011" s="11" t="n">
        <f aca="false">MAX(I1011,N1011)</f>
        <v>34</v>
      </c>
      <c r="P1011" s="11" t="n">
        <f aca="false">IF(C1011="COVERED",MAX(0,O1011-40),0)</f>
        <v>0</v>
      </c>
      <c r="Q1011" s="11" t="n">
        <f aca="false">O1011</f>
        <v>34</v>
      </c>
      <c r="R1011" s="17" t="n">
        <f aca="false">IF(C1011="COVERED",10.4,7.55)</f>
        <v>10.4</v>
      </c>
      <c r="S1011" s="17" t="n">
        <f aca="false">Q1011*R1011</f>
        <v>353.6</v>
      </c>
      <c r="T1011" s="9" t="s">
        <v>7011</v>
      </c>
      <c r="U1011" s="10" t="n">
        <v>46235</v>
      </c>
      <c r="V1011" s="9" t="n">
        <v>34</v>
      </c>
      <c r="W1011" s="17" t="n">
        <v>10.4</v>
      </c>
      <c r="X1011" s="17" t="n">
        <v>353.6</v>
      </c>
      <c r="Y1011" s="17" t="n">
        <f aca="false">IF(ISNUMBER(X1011),X1011-S1011,"")</f>
        <v>0</v>
      </c>
      <c r="Z1011" s="17" t="n">
        <f aca="false">IF(ISNUMBER(X1011),X1011-S1011,-S1011)</f>
        <v>0</v>
      </c>
      <c r="AA1011" s="9" t="str">
        <f aca="false">IF(NOT(ISNUMBER(X1011)),"NO AUGUST POSTING IN EXPORT",IF(ABS(Y1011)&gt;=0.005,"POSTED CHARGE MISMATCH",IF(P1011&gt;0,"MATCH - COVERED ELIGIBILITY EXCEPTION","MATCH")))</f>
        <v>MATCH</v>
      </c>
      <c r="AB1011" s="9" t="s">
        <v>7012</v>
      </c>
    </row>
    <row r="1012" customFormat="false" ht="15" hidden="false" customHeight="false" outlineLevel="0" collapsed="false">
      <c r="A1012" s="13" t="s">
        <v>7013</v>
      </c>
      <c r="B1012" s="13" t="s">
        <v>135</v>
      </c>
      <c r="C1012" s="13" t="s">
        <v>114</v>
      </c>
      <c r="D1012" s="13" t="s">
        <v>2002</v>
      </c>
      <c r="E1012" s="13" t="s">
        <v>2902</v>
      </c>
      <c r="F1012" s="13" t="s">
        <v>7014</v>
      </c>
      <c r="G1012" s="13" t="s">
        <v>7015</v>
      </c>
      <c r="H1012" s="13" t="s">
        <v>7016</v>
      </c>
      <c r="I1012" s="15" t="n">
        <v>32</v>
      </c>
      <c r="J1012" s="15" t="n">
        <v>61.3</v>
      </c>
      <c r="K1012" s="15"/>
      <c r="L1012" s="15"/>
      <c r="M1012" s="15" t="n">
        <f aca="false">IF(ISNUMBER(L1012),L1012,J1012)</f>
        <v>61.3</v>
      </c>
      <c r="N1012" s="15" t="n">
        <f aca="false">ROUNDUP(M1012,0)</f>
        <v>62</v>
      </c>
      <c r="O1012" s="15" t="n">
        <f aca="false">MAX(I1012,N1012)</f>
        <v>62</v>
      </c>
      <c r="P1012" s="15" t="n">
        <f aca="false">IF(C1012="COVERED",MAX(0,O1012-40),0)</f>
        <v>22</v>
      </c>
      <c r="Q1012" s="15" t="n">
        <f aca="false">O1012</f>
        <v>62</v>
      </c>
      <c r="R1012" s="18" t="n">
        <f aca="false">IF(C1012="COVERED",10.4,7.55)</f>
        <v>10.4</v>
      </c>
      <c r="S1012" s="18" t="n">
        <f aca="false">Q1012*R1012</f>
        <v>644.8</v>
      </c>
      <c r="T1012" s="13" t="s">
        <v>7017</v>
      </c>
      <c r="U1012" s="14" t="n">
        <v>46235</v>
      </c>
      <c r="V1012" s="13" t="n">
        <v>62</v>
      </c>
      <c r="W1012" s="18" t="n">
        <v>10.4</v>
      </c>
      <c r="X1012" s="18" t="n">
        <v>644.8</v>
      </c>
      <c r="Y1012" s="18" t="n">
        <f aca="false">IF(ISNUMBER(X1012),X1012-S1012,"")</f>
        <v>0</v>
      </c>
      <c r="Z1012" s="18" t="n">
        <f aca="false">IF(ISNUMBER(X1012),X1012-S1012,-S1012)</f>
        <v>0</v>
      </c>
      <c r="AA1012" s="13" t="str">
        <f aca="false">IF(NOT(ISNUMBER(X1012)),"NO AUGUST POSTING IN EXPORT",IF(ABS(Y1012)&gt;=0.005,"POSTED CHARGE MISMATCH",IF(P1012&gt;0,"MATCH - COVERED ELIGIBILITY EXCEPTION","MATCH")))</f>
        <v>MATCH - COVERED ELIGIBILITY EXCEPTION</v>
      </c>
      <c r="AB1012" s="13" t="s">
        <v>7018</v>
      </c>
    </row>
    <row r="1013" customFormat="false" ht="15" hidden="false" customHeight="false" outlineLevel="0" collapsed="false">
      <c r="A1013" s="9" t="s">
        <v>7019</v>
      </c>
      <c r="B1013" s="9" t="s">
        <v>135</v>
      </c>
      <c r="C1013" s="9" t="s">
        <v>114</v>
      </c>
      <c r="D1013" s="9" t="s">
        <v>2002</v>
      </c>
      <c r="E1013" s="9" t="s">
        <v>2909</v>
      </c>
      <c r="F1013" s="9" t="s">
        <v>938</v>
      </c>
      <c r="G1013" s="9" t="s">
        <v>939</v>
      </c>
      <c r="H1013" s="9" t="s">
        <v>7020</v>
      </c>
      <c r="I1013" s="11" t="n">
        <v>24</v>
      </c>
      <c r="J1013" s="11" t="n">
        <v>48.7</v>
      </c>
      <c r="K1013" s="11"/>
      <c r="L1013" s="11"/>
      <c r="M1013" s="11" t="n">
        <f aca="false">IF(ISNUMBER(L1013),L1013,J1013)</f>
        <v>48.7</v>
      </c>
      <c r="N1013" s="11" t="n">
        <f aca="false">ROUNDUP(M1013,0)</f>
        <v>49</v>
      </c>
      <c r="O1013" s="11" t="n">
        <f aca="false">MAX(I1013,N1013)</f>
        <v>49</v>
      </c>
      <c r="P1013" s="11" t="n">
        <f aca="false">IF(C1013="COVERED",MAX(0,O1013-40),0)</f>
        <v>9</v>
      </c>
      <c r="Q1013" s="11" t="n">
        <f aca="false">O1013</f>
        <v>49</v>
      </c>
      <c r="R1013" s="17" t="n">
        <f aca="false">IF(C1013="COVERED",10.4,7.55)</f>
        <v>10.4</v>
      </c>
      <c r="S1013" s="17" t="n">
        <f aca="false">Q1013*R1013</f>
        <v>509.6</v>
      </c>
      <c r="T1013" s="9" t="s">
        <v>7021</v>
      </c>
      <c r="U1013" s="10" t="n">
        <v>46235</v>
      </c>
      <c r="V1013" s="9" t="n">
        <v>49</v>
      </c>
      <c r="W1013" s="17" t="n">
        <v>10.4</v>
      </c>
      <c r="X1013" s="17" t="n">
        <v>509.6</v>
      </c>
      <c r="Y1013" s="17" t="n">
        <f aca="false">IF(ISNUMBER(X1013),X1013-S1013,"")</f>
        <v>0</v>
      </c>
      <c r="Z1013" s="17" t="n">
        <f aca="false">IF(ISNUMBER(X1013),X1013-S1013,-S1013)</f>
        <v>0</v>
      </c>
      <c r="AA1013" s="9" t="str">
        <f aca="false">IF(NOT(ISNUMBER(X1013)),"NO AUGUST POSTING IN EXPORT",IF(ABS(Y1013)&gt;=0.005,"POSTED CHARGE MISMATCH",IF(P1013&gt;0,"MATCH - COVERED ELIGIBILITY EXCEPTION","MATCH")))</f>
        <v>MATCH - COVERED ELIGIBILITY EXCEPTION</v>
      </c>
      <c r="AB1013" s="9" t="s">
        <v>7022</v>
      </c>
    </row>
    <row r="1014" customFormat="false" ht="15" hidden="false" customHeight="false" outlineLevel="0" collapsed="false">
      <c r="A1014" s="13" t="s">
        <v>7023</v>
      </c>
      <c r="B1014" s="13" t="s">
        <v>135</v>
      </c>
      <c r="C1014" s="13" t="s">
        <v>114</v>
      </c>
      <c r="D1014" s="13" t="s">
        <v>2002</v>
      </c>
      <c r="E1014" s="13" t="s">
        <v>2915</v>
      </c>
      <c r="F1014" s="13" t="s">
        <v>7024</v>
      </c>
      <c r="G1014" s="13" t="s">
        <v>7025</v>
      </c>
      <c r="H1014" s="13" t="s">
        <v>2038</v>
      </c>
      <c r="I1014" s="15" t="n">
        <v>32</v>
      </c>
      <c r="J1014" s="15" t="n">
        <v>57.3</v>
      </c>
      <c r="K1014" s="15"/>
      <c r="L1014" s="15"/>
      <c r="M1014" s="15" t="n">
        <f aca="false">IF(ISNUMBER(L1014),L1014,J1014)</f>
        <v>57.3</v>
      </c>
      <c r="N1014" s="15" t="n">
        <f aca="false">ROUNDUP(M1014,0)</f>
        <v>58</v>
      </c>
      <c r="O1014" s="15" t="n">
        <f aca="false">MAX(I1014,N1014)</f>
        <v>58</v>
      </c>
      <c r="P1014" s="15" t="n">
        <f aca="false">IF(C1014="COVERED",MAX(0,O1014-40),0)</f>
        <v>18</v>
      </c>
      <c r="Q1014" s="15" t="n">
        <f aca="false">O1014</f>
        <v>58</v>
      </c>
      <c r="R1014" s="18" t="n">
        <f aca="false">IF(C1014="COVERED",10.4,7.55)</f>
        <v>10.4</v>
      </c>
      <c r="S1014" s="18" t="n">
        <f aca="false">Q1014*R1014</f>
        <v>603.2</v>
      </c>
      <c r="T1014" s="13" t="s">
        <v>7026</v>
      </c>
      <c r="U1014" s="14" t="n">
        <v>46235</v>
      </c>
      <c r="V1014" s="13" t="n">
        <v>58</v>
      </c>
      <c r="W1014" s="18" t="n">
        <v>10.4</v>
      </c>
      <c r="X1014" s="18" t="n">
        <v>603.2</v>
      </c>
      <c r="Y1014" s="18" t="n">
        <f aca="false">IF(ISNUMBER(X1014),X1014-S1014,"")</f>
        <v>0</v>
      </c>
      <c r="Z1014" s="18" t="n">
        <f aca="false">IF(ISNUMBER(X1014),X1014-S1014,-S1014)</f>
        <v>0</v>
      </c>
      <c r="AA1014" s="13" t="str">
        <f aca="false">IF(NOT(ISNUMBER(X1014)),"NO AUGUST POSTING IN EXPORT",IF(ABS(Y1014)&gt;=0.005,"POSTED CHARGE MISMATCH",IF(P1014&gt;0,"MATCH - COVERED ELIGIBILITY EXCEPTION","MATCH")))</f>
        <v>MATCH - COVERED ELIGIBILITY EXCEPTION</v>
      </c>
      <c r="AB1014" s="13" t="s">
        <v>7027</v>
      </c>
    </row>
    <row r="1015" customFormat="false" ht="15" hidden="false" customHeight="false" outlineLevel="0" collapsed="false">
      <c r="A1015" s="9" t="s">
        <v>210</v>
      </c>
      <c r="B1015" s="9" t="s">
        <v>135</v>
      </c>
      <c r="C1015" s="9" t="s">
        <v>114</v>
      </c>
      <c r="D1015" s="9" t="s">
        <v>2002</v>
      </c>
      <c r="E1015" s="9" t="s">
        <v>2922</v>
      </c>
      <c r="F1015" s="9" t="s">
        <v>7028</v>
      </c>
      <c r="G1015" s="9" t="s">
        <v>7029</v>
      </c>
      <c r="H1015" s="9" t="s">
        <v>7030</v>
      </c>
      <c r="I1015" s="11" t="n">
        <v>32</v>
      </c>
      <c r="J1015" s="11" t="n">
        <v>50.3</v>
      </c>
      <c r="K1015" s="11"/>
      <c r="L1015" s="11"/>
      <c r="M1015" s="11" t="n">
        <f aca="false">IF(ISNUMBER(L1015),L1015,J1015)</f>
        <v>50.3</v>
      </c>
      <c r="N1015" s="11" t="n">
        <f aca="false">ROUNDUP(M1015,0)</f>
        <v>51</v>
      </c>
      <c r="O1015" s="11" t="n">
        <f aca="false">MAX(I1015,N1015)</f>
        <v>51</v>
      </c>
      <c r="P1015" s="11" t="n">
        <f aca="false">IF(C1015="COVERED",MAX(0,O1015-40),0)</f>
        <v>11</v>
      </c>
      <c r="Q1015" s="11" t="n">
        <f aca="false">O1015</f>
        <v>51</v>
      </c>
      <c r="R1015" s="17" t="n">
        <f aca="false">IF(C1015="COVERED",10.4,7.55)</f>
        <v>10.4</v>
      </c>
      <c r="S1015" s="17" t="n">
        <f aca="false">Q1015*R1015</f>
        <v>530.4</v>
      </c>
      <c r="T1015" s="9" t="s">
        <v>7031</v>
      </c>
      <c r="U1015" s="10" t="n">
        <v>46235</v>
      </c>
      <c r="V1015" s="9" t="n">
        <v>51</v>
      </c>
      <c r="W1015" s="17" t="n">
        <v>10.4</v>
      </c>
      <c r="X1015" s="17" t="n">
        <v>530.4</v>
      </c>
      <c r="Y1015" s="17" t="n">
        <f aca="false">IF(ISNUMBER(X1015),X1015-S1015,"")</f>
        <v>0</v>
      </c>
      <c r="Z1015" s="17" t="n">
        <f aca="false">IF(ISNUMBER(X1015),X1015-S1015,-S1015)</f>
        <v>0</v>
      </c>
      <c r="AA1015" s="9" t="str">
        <f aca="false">IF(NOT(ISNUMBER(X1015)),"NO AUGUST POSTING IN EXPORT",IF(ABS(Y1015)&gt;=0.005,"POSTED CHARGE MISMATCH",IF(P1015&gt;0,"MATCH - COVERED ELIGIBILITY EXCEPTION","MATCH")))</f>
        <v>MATCH - COVERED ELIGIBILITY EXCEPTION</v>
      </c>
      <c r="AB1015" s="9" t="s">
        <v>7032</v>
      </c>
    </row>
    <row r="1016" customFormat="false" ht="15" hidden="false" customHeight="false" outlineLevel="0" collapsed="false">
      <c r="A1016" s="13" t="s">
        <v>7033</v>
      </c>
      <c r="B1016" s="13" t="s">
        <v>135</v>
      </c>
      <c r="C1016" s="13" t="s">
        <v>114</v>
      </c>
      <c r="D1016" s="13" t="s">
        <v>2002</v>
      </c>
      <c r="E1016" s="13" t="s">
        <v>2929</v>
      </c>
      <c r="F1016" s="13" t="s">
        <v>7034</v>
      </c>
      <c r="G1016" s="13" t="s">
        <v>7035</v>
      </c>
      <c r="H1016" s="13" t="s">
        <v>2196</v>
      </c>
      <c r="I1016" s="15" t="n">
        <v>28</v>
      </c>
      <c r="J1016" s="15" t="n">
        <v>35.6</v>
      </c>
      <c r="K1016" s="15"/>
      <c r="L1016" s="15"/>
      <c r="M1016" s="15" t="n">
        <f aca="false">IF(ISNUMBER(L1016),L1016,J1016)</f>
        <v>35.6</v>
      </c>
      <c r="N1016" s="15" t="n">
        <f aca="false">ROUNDUP(M1016,0)</f>
        <v>36</v>
      </c>
      <c r="O1016" s="15" t="n">
        <f aca="false">MAX(I1016,N1016)</f>
        <v>36</v>
      </c>
      <c r="P1016" s="15" t="n">
        <f aca="false">IF(C1016="COVERED",MAX(0,O1016-40),0)</f>
        <v>0</v>
      </c>
      <c r="Q1016" s="15" t="n">
        <f aca="false">O1016</f>
        <v>36</v>
      </c>
      <c r="R1016" s="18" t="n">
        <f aca="false">IF(C1016="COVERED",10.4,7.55)</f>
        <v>10.4</v>
      </c>
      <c r="S1016" s="18" t="n">
        <f aca="false">Q1016*R1016</f>
        <v>374.4</v>
      </c>
      <c r="T1016" s="13" t="s">
        <v>7036</v>
      </c>
      <c r="U1016" s="14" t="n">
        <v>46235</v>
      </c>
      <c r="V1016" s="13" t="n">
        <v>36</v>
      </c>
      <c r="W1016" s="18" t="n">
        <v>10.4</v>
      </c>
      <c r="X1016" s="18" t="n">
        <v>374.4</v>
      </c>
      <c r="Y1016" s="18" t="n">
        <f aca="false">IF(ISNUMBER(X1016),X1016-S1016,"")</f>
        <v>0</v>
      </c>
      <c r="Z1016" s="18" t="n">
        <f aca="false">IF(ISNUMBER(X1016),X1016-S1016,-S1016)</f>
        <v>0</v>
      </c>
      <c r="AA1016" s="13" t="str">
        <f aca="false">IF(NOT(ISNUMBER(X1016)),"NO AUGUST POSTING IN EXPORT",IF(ABS(Y1016)&gt;=0.005,"POSTED CHARGE MISMATCH",IF(P1016&gt;0,"MATCH - COVERED ELIGIBILITY EXCEPTION","MATCH")))</f>
        <v>MATCH</v>
      </c>
      <c r="AB1016" s="13" t="s">
        <v>7037</v>
      </c>
    </row>
    <row r="1017" customFormat="false" ht="15" hidden="false" customHeight="false" outlineLevel="0" collapsed="false">
      <c r="A1017" s="9" t="s">
        <v>471</v>
      </c>
      <c r="B1017" s="9" t="s">
        <v>135</v>
      </c>
      <c r="C1017" s="9" t="s">
        <v>114</v>
      </c>
      <c r="D1017" s="9" t="s">
        <v>2002</v>
      </c>
      <c r="E1017" s="9" t="s">
        <v>2936</v>
      </c>
      <c r="F1017" s="9" t="s">
        <v>7038</v>
      </c>
      <c r="G1017" s="9" t="s">
        <v>7039</v>
      </c>
      <c r="H1017" s="9" t="s">
        <v>7040</v>
      </c>
      <c r="I1017" s="11" t="n">
        <v>32</v>
      </c>
      <c r="J1017" s="11" t="n">
        <v>22.5</v>
      </c>
      <c r="K1017" s="11"/>
      <c r="L1017" s="11"/>
      <c r="M1017" s="11" t="n">
        <f aca="false">IF(ISNUMBER(L1017),L1017,J1017)</f>
        <v>22.5</v>
      </c>
      <c r="N1017" s="11" t="n">
        <f aca="false">ROUNDUP(M1017,0)</f>
        <v>23</v>
      </c>
      <c r="O1017" s="11" t="n">
        <f aca="false">MAX(I1017,N1017)</f>
        <v>32</v>
      </c>
      <c r="P1017" s="11" t="n">
        <f aca="false">IF(C1017="COVERED",MAX(0,O1017-40),0)</f>
        <v>0</v>
      </c>
      <c r="Q1017" s="11" t="n">
        <f aca="false">O1017</f>
        <v>32</v>
      </c>
      <c r="R1017" s="17" t="n">
        <f aca="false">IF(C1017="COVERED",10.4,7.55)</f>
        <v>10.4</v>
      </c>
      <c r="S1017" s="17" t="n">
        <f aca="false">Q1017*R1017</f>
        <v>332.8</v>
      </c>
      <c r="T1017" s="9" t="s">
        <v>7041</v>
      </c>
      <c r="U1017" s="10" t="n">
        <v>46235</v>
      </c>
      <c r="V1017" s="9" t="n">
        <v>32</v>
      </c>
      <c r="W1017" s="17" t="n">
        <v>10.4</v>
      </c>
      <c r="X1017" s="17" t="n">
        <v>332.8</v>
      </c>
      <c r="Y1017" s="17" t="n">
        <f aca="false">IF(ISNUMBER(X1017),X1017-S1017,"")</f>
        <v>0</v>
      </c>
      <c r="Z1017" s="17" t="n">
        <f aca="false">IF(ISNUMBER(X1017),X1017-S1017,-S1017)</f>
        <v>0</v>
      </c>
      <c r="AA1017" s="9" t="str">
        <f aca="false">IF(NOT(ISNUMBER(X1017)),"NO AUGUST POSTING IN EXPORT",IF(ABS(Y1017)&gt;=0.005,"POSTED CHARGE MISMATCH",IF(P1017&gt;0,"MATCH - COVERED ELIGIBILITY EXCEPTION","MATCH")))</f>
        <v>MATCH</v>
      </c>
      <c r="AB1017" s="9" t="s">
        <v>7042</v>
      </c>
    </row>
    <row r="1018" customFormat="false" ht="15" hidden="false" customHeight="false" outlineLevel="0" collapsed="false">
      <c r="A1018" s="13" t="s">
        <v>393</v>
      </c>
      <c r="B1018" s="13" t="s">
        <v>135</v>
      </c>
      <c r="C1018" s="13" t="s">
        <v>114</v>
      </c>
      <c r="D1018" s="13" t="s">
        <v>2002</v>
      </c>
      <c r="E1018" s="13" t="s">
        <v>2943</v>
      </c>
      <c r="F1018" s="13" t="s">
        <v>7043</v>
      </c>
      <c r="G1018" s="13" t="s">
        <v>7044</v>
      </c>
      <c r="H1018" s="13" t="s">
        <v>7045</v>
      </c>
      <c r="I1018" s="15" t="n">
        <v>40</v>
      </c>
      <c r="J1018" s="15" t="n">
        <v>61.5</v>
      </c>
      <c r="K1018" s="15"/>
      <c r="L1018" s="15"/>
      <c r="M1018" s="15" t="n">
        <f aca="false">IF(ISNUMBER(L1018),L1018,J1018)</f>
        <v>61.5</v>
      </c>
      <c r="N1018" s="15" t="n">
        <f aca="false">ROUNDUP(M1018,0)</f>
        <v>62</v>
      </c>
      <c r="O1018" s="15" t="n">
        <f aca="false">MAX(I1018,N1018)</f>
        <v>62</v>
      </c>
      <c r="P1018" s="15" t="n">
        <f aca="false">IF(C1018="COVERED",MAX(0,O1018-40),0)</f>
        <v>22</v>
      </c>
      <c r="Q1018" s="15" t="n">
        <f aca="false">O1018</f>
        <v>62</v>
      </c>
      <c r="R1018" s="18" t="n">
        <f aca="false">IF(C1018="COVERED",10.4,7.55)</f>
        <v>10.4</v>
      </c>
      <c r="S1018" s="18" t="n">
        <f aca="false">Q1018*R1018</f>
        <v>644.8</v>
      </c>
      <c r="T1018" s="13" t="s">
        <v>7046</v>
      </c>
      <c r="U1018" s="14" t="n">
        <v>46235</v>
      </c>
      <c r="V1018" s="13" t="n">
        <v>62</v>
      </c>
      <c r="W1018" s="18" t="n">
        <v>10.4</v>
      </c>
      <c r="X1018" s="18" t="n">
        <v>644.8</v>
      </c>
      <c r="Y1018" s="18" t="n">
        <f aca="false">IF(ISNUMBER(X1018),X1018-S1018,"")</f>
        <v>0</v>
      </c>
      <c r="Z1018" s="18" t="n">
        <f aca="false">IF(ISNUMBER(X1018),X1018-S1018,-S1018)</f>
        <v>0</v>
      </c>
      <c r="AA1018" s="13" t="str">
        <f aca="false">IF(NOT(ISNUMBER(X1018)),"NO AUGUST POSTING IN EXPORT",IF(ABS(Y1018)&gt;=0.005,"POSTED CHARGE MISMATCH",IF(P1018&gt;0,"MATCH - COVERED ELIGIBILITY EXCEPTION","MATCH")))</f>
        <v>MATCH - COVERED ELIGIBILITY EXCEPTION</v>
      </c>
      <c r="AB1018" s="13" t="s">
        <v>7047</v>
      </c>
    </row>
    <row r="1019" customFormat="false" ht="15" hidden="false" customHeight="false" outlineLevel="0" collapsed="false">
      <c r="A1019" s="9" t="s">
        <v>812</v>
      </c>
      <c r="B1019" s="9" t="s">
        <v>135</v>
      </c>
      <c r="C1019" s="9" t="s">
        <v>114</v>
      </c>
      <c r="D1019" s="9" t="s">
        <v>2002</v>
      </c>
      <c r="E1019" s="9" t="s">
        <v>2950</v>
      </c>
      <c r="F1019" s="9" t="s">
        <v>7048</v>
      </c>
      <c r="G1019" s="9" t="s">
        <v>7049</v>
      </c>
      <c r="H1019" s="9" t="s">
        <v>7050</v>
      </c>
      <c r="I1019" s="11" t="n">
        <v>28</v>
      </c>
      <c r="J1019" s="11" t="n">
        <v>20.5</v>
      </c>
      <c r="K1019" s="11"/>
      <c r="L1019" s="11"/>
      <c r="M1019" s="11" t="n">
        <f aca="false">IF(ISNUMBER(L1019),L1019,J1019)</f>
        <v>20.5</v>
      </c>
      <c r="N1019" s="11" t="n">
        <f aca="false">ROUNDUP(M1019,0)</f>
        <v>21</v>
      </c>
      <c r="O1019" s="11" t="n">
        <f aca="false">MAX(I1019,N1019)</f>
        <v>28</v>
      </c>
      <c r="P1019" s="11" t="n">
        <f aca="false">IF(C1019="COVERED",MAX(0,O1019-40),0)</f>
        <v>0</v>
      </c>
      <c r="Q1019" s="11" t="n">
        <f aca="false">O1019</f>
        <v>28</v>
      </c>
      <c r="R1019" s="17" t="n">
        <f aca="false">IF(C1019="COVERED",10.4,7.55)</f>
        <v>10.4</v>
      </c>
      <c r="S1019" s="17" t="n">
        <f aca="false">Q1019*R1019</f>
        <v>291.2</v>
      </c>
      <c r="T1019" s="9" t="s">
        <v>7051</v>
      </c>
      <c r="U1019" s="10" t="n">
        <v>46235</v>
      </c>
      <c r="V1019" s="9" t="n">
        <v>28</v>
      </c>
      <c r="W1019" s="17" t="n">
        <v>10.4</v>
      </c>
      <c r="X1019" s="17" t="n">
        <v>291.2</v>
      </c>
      <c r="Y1019" s="17" t="n">
        <f aca="false">IF(ISNUMBER(X1019),X1019-S1019,"")</f>
        <v>0</v>
      </c>
      <c r="Z1019" s="17" t="n">
        <f aca="false">IF(ISNUMBER(X1019),X1019-S1019,-S1019)</f>
        <v>0</v>
      </c>
      <c r="AA1019" s="9" t="str">
        <f aca="false">IF(NOT(ISNUMBER(X1019)),"NO AUGUST POSTING IN EXPORT",IF(ABS(Y1019)&gt;=0.005,"POSTED CHARGE MISMATCH",IF(P1019&gt;0,"MATCH - COVERED ELIGIBILITY EXCEPTION","MATCH")))</f>
        <v>MATCH</v>
      </c>
      <c r="AB1019" s="9" t="s">
        <v>7052</v>
      </c>
    </row>
    <row r="1020" customFormat="false" ht="15" hidden="false" customHeight="false" outlineLevel="0" collapsed="false">
      <c r="A1020" s="13" t="s">
        <v>7053</v>
      </c>
      <c r="B1020" s="13" t="s">
        <v>135</v>
      </c>
      <c r="C1020" s="13" t="s">
        <v>114</v>
      </c>
      <c r="D1020" s="13" t="s">
        <v>2002</v>
      </c>
      <c r="E1020" s="13" t="s">
        <v>2957</v>
      </c>
      <c r="F1020" s="13" t="s">
        <v>7054</v>
      </c>
      <c r="G1020" s="13" t="s">
        <v>7055</v>
      </c>
      <c r="H1020" s="13" t="s">
        <v>6014</v>
      </c>
      <c r="I1020" s="15" t="n">
        <v>32</v>
      </c>
      <c r="J1020" s="15" t="n">
        <v>53.8</v>
      </c>
      <c r="K1020" s="15"/>
      <c r="L1020" s="15"/>
      <c r="M1020" s="15" t="n">
        <f aca="false">IF(ISNUMBER(L1020),L1020,J1020)</f>
        <v>53.8</v>
      </c>
      <c r="N1020" s="15" t="n">
        <f aca="false">ROUNDUP(M1020,0)</f>
        <v>54</v>
      </c>
      <c r="O1020" s="15" t="n">
        <f aca="false">MAX(I1020,N1020)</f>
        <v>54</v>
      </c>
      <c r="P1020" s="15" t="n">
        <f aca="false">IF(C1020="COVERED",MAX(0,O1020-40),0)</f>
        <v>14</v>
      </c>
      <c r="Q1020" s="15" t="n">
        <f aca="false">O1020</f>
        <v>54</v>
      </c>
      <c r="R1020" s="18" t="n">
        <f aca="false">IF(C1020="COVERED",10.4,7.55)</f>
        <v>10.4</v>
      </c>
      <c r="S1020" s="18" t="n">
        <f aca="false">Q1020*R1020</f>
        <v>561.6</v>
      </c>
      <c r="T1020" s="13" t="s">
        <v>7056</v>
      </c>
      <c r="U1020" s="14" t="n">
        <v>46235</v>
      </c>
      <c r="V1020" s="13" t="n">
        <v>54</v>
      </c>
      <c r="W1020" s="18" t="n">
        <v>10.4</v>
      </c>
      <c r="X1020" s="18" t="n">
        <v>561.6</v>
      </c>
      <c r="Y1020" s="18" t="n">
        <f aca="false">IF(ISNUMBER(X1020),X1020-S1020,"")</f>
        <v>0</v>
      </c>
      <c r="Z1020" s="18" t="n">
        <f aca="false">IF(ISNUMBER(X1020),X1020-S1020,-S1020)</f>
        <v>0</v>
      </c>
      <c r="AA1020" s="13" t="str">
        <f aca="false">IF(NOT(ISNUMBER(X1020)),"NO AUGUST POSTING IN EXPORT",IF(ABS(Y1020)&gt;=0.005,"POSTED CHARGE MISMATCH",IF(P1020&gt;0,"MATCH - COVERED ELIGIBILITY EXCEPTION","MATCH")))</f>
        <v>MATCH - COVERED ELIGIBILITY EXCEPTION</v>
      </c>
      <c r="AB1020" s="13" t="s">
        <v>7057</v>
      </c>
    </row>
    <row r="1021" customFormat="false" ht="15" hidden="false" customHeight="false" outlineLevel="0" collapsed="false">
      <c r="A1021" s="9" t="s">
        <v>7058</v>
      </c>
      <c r="B1021" s="9" t="s">
        <v>135</v>
      </c>
      <c r="C1021" s="9" t="s">
        <v>114</v>
      </c>
      <c r="D1021" s="9" t="s">
        <v>2002</v>
      </c>
      <c r="E1021" s="9" t="s">
        <v>2964</v>
      </c>
      <c r="F1021" s="9" t="s">
        <v>7059</v>
      </c>
      <c r="G1021" s="9" t="s">
        <v>7060</v>
      </c>
      <c r="H1021" s="9" t="s">
        <v>7061</v>
      </c>
      <c r="I1021" s="11" t="n">
        <v>24</v>
      </c>
      <c r="J1021" s="11" t="n">
        <v>55.2</v>
      </c>
      <c r="K1021" s="11"/>
      <c r="L1021" s="11"/>
      <c r="M1021" s="11" t="n">
        <f aca="false">IF(ISNUMBER(L1021),L1021,J1021)</f>
        <v>55.2</v>
      </c>
      <c r="N1021" s="11" t="n">
        <f aca="false">ROUNDUP(M1021,0)</f>
        <v>56</v>
      </c>
      <c r="O1021" s="11" t="n">
        <f aca="false">MAX(I1021,N1021)</f>
        <v>56</v>
      </c>
      <c r="P1021" s="11" t="n">
        <f aca="false">IF(C1021="COVERED",MAX(0,O1021-40),0)</f>
        <v>16</v>
      </c>
      <c r="Q1021" s="11" t="n">
        <f aca="false">O1021</f>
        <v>56</v>
      </c>
      <c r="R1021" s="17" t="n">
        <f aca="false">IF(C1021="COVERED",10.4,7.55)</f>
        <v>10.4</v>
      </c>
      <c r="S1021" s="17" t="n">
        <f aca="false">Q1021*R1021</f>
        <v>582.4</v>
      </c>
      <c r="T1021" s="9" t="s">
        <v>7062</v>
      </c>
      <c r="U1021" s="10" t="n">
        <v>46235</v>
      </c>
      <c r="V1021" s="9" t="n">
        <v>56</v>
      </c>
      <c r="W1021" s="17" t="n">
        <v>10.4</v>
      </c>
      <c r="X1021" s="17" t="n">
        <v>582.4</v>
      </c>
      <c r="Y1021" s="17" t="n">
        <f aca="false">IF(ISNUMBER(X1021),X1021-S1021,"")</f>
        <v>0</v>
      </c>
      <c r="Z1021" s="17" t="n">
        <f aca="false">IF(ISNUMBER(X1021),X1021-S1021,-S1021)</f>
        <v>0</v>
      </c>
      <c r="AA1021" s="9" t="str">
        <f aca="false">IF(NOT(ISNUMBER(X1021)),"NO AUGUST POSTING IN EXPORT",IF(ABS(Y1021)&gt;=0.005,"POSTED CHARGE MISMATCH",IF(P1021&gt;0,"MATCH - COVERED ELIGIBILITY EXCEPTION","MATCH")))</f>
        <v>MATCH - COVERED ELIGIBILITY EXCEPTION</v>
      </c>
      <c r="AB1021" s="9" t="s">
        <v>7063</v>
      </c>
    </row>
    <row r="1022" customFormat="false" ht="15" hidden="false" customHeight="false" outlineLevel="0" collapsed="false">
      <c r="A1022" s="13" t="s">
        <v>7064</v>
      </c>
      <c r="B1022" s="13" t="s">
        <v>135</v>
      </c>
      <c r="C1022" s="13" t="s">
        <v>114</v>
      </c>
      <c r="D1022" s="13" t="s">
        <v>2002</v>
      </c>
      <c r="E1022" s="13" t="s">
        <v>2970</v>
      </c>
      <c r="F1022" s="13" t="s">
        <v>7065</v>
      </c>
      <c r="G1022" s="13" t="s">
        <v>7066</v>
      </c>
      <c r="H1022" s="13" t="s">
        <v>4596</v>
      </c>
      <c r="I1022" s="15" t="n">
        <v>24</v>
      </c>
      <c r="J1022" s="15" t="n">
        <v>54.7</v>
      </c>
      <c r="K1022" s="15"/>
      <c r="L1022" s="15"/>
      <c r="M1022" s="15" t="n">
        <f aca="false">IF(ISNUMBER(L1022),L1022,J1022)</f>
        <v>54.7</v>
      </c>
      <c r="N1022" s="15" t="n">
        <f aca="false">ROUNDUP(M1022,0)</f>
        <v>55</v>
      </c>
      <c r="O1022" s="15" t="n">
        <f aca="false">MAX(I1022,N1022)</f>
        <v>55</v>
      </c>
      <c r="P1022" s="15" t="n">
        <f aca="false">IF(C1022="COVERED",MAX(0,O1022-40),0)</f>
        <v>15</v>
      </c>
      <c r="Q1022" s="15" t="n">
        <f aca="false">O1022</f>
        <v>55</v>
      </c>
      <c r="R1022" s="18" t="n">
        <f aca="false">IF(C1022="COVERED",10.4,7.55)</f>
        <v>10.4</v>
      </c>
      <c r="S1022" s="18" t="n">
        <f aca="false">Q1022*R1022</f>
        <v>572</v>
      </c>
      <c r="T1022" s="13" t="s">
        <v>7067</v>
      </c>
      <c r="U1022" s="14" t="n">
        <v>46235</v>
      </c>
      <c r="V1022" s="13" t="n">
        <v>55</v>
      </c>
      <c r="W1022" s="18" t="n">
        <v>10.4</v>
      </c>
      <c r="X1022" s="18" t="n">
        <v>572</v>
      </c>
      <c r="Y1022" s="18" t="n">
        <f aca="false">IF(ISNUMBER(X1022),X1022-S1022,"")</f>
        <v>0</v>
      </c>
      <c r="Z1022" s="18" t="n">
        <f aca="false">IF(ISNUMBER(X1022),X1022-S1022,-S1022)</f>
        <v>0</v>
      </c>
      <c r="AA1022" s="13" t="str">
        <f aca="false">IF(NOT(ISNUMBER(X1022)),"NO AUGUST POSTING IN EXPORT",IF(ABS(Y1022)&gt;=0.005,"POSTED CHARGE MISMATCH",IF(P1022&gt;0,"MATCH - COVERED ELIGIBILITY EXCEPTION","MATCH")))</f>
        <v>MATCH - COVERED ELIGIBILITY EXCEPTION</v>
      </c>
      <c r="AB1022" s="13" t="s">
        <v>7068</v>
      </c>
    </row>
    <row r="1023" customFormat="false" ht="15" hidden="false" customHeight="false" outlineLevel="0" collapsed="false">
      <c r="A1023" s="9" t="s">
        <v>7069</v>
      </c>
      <c r="B1023" s="9" t="s">
        <v>135</v>
      </c>
      <c r="C1023" s="9" t="s">
        <v>114</v>
      </c>
      <c r="D1023" s="9" t="s">
        <v>2002</v>
      </c>
      <c r="E1023" s="9" t="s">
        <v>2977</v>
      </c>
      <c r="F1023" s="9" t="s">
        <v>7070</v>
      </c>
      <c r="G1023" s="9" t="s">
        <v>7071</v>
      </c>
      <c r="H1023" s="9" t="s">
        <v>5056</v>
      </c>
      <c r="I1023" s="11" t="n">
        <v>40</v>
      </c>
      <c r="J1023" s="11" t="n">
        <v>37.8</v>
      </c>
      <c r="K1023" s="11"/>
      <c r="L1023" s="11"/>
      <c r="M1023" s="11" t="n">
        <f aca="false">IF(ISNUMBER(L1023),L1023,J1023)</f>
        <v>37.8</v>
      </c>
      <c r="N1023" s="11" t="n">
        <f aca="false">ROUNDUP(M1023,0)</f>
        <v>38</v>
      </c>
      <c r="O1023" s="11" t="n">
        <f aca="false">MAX(I1023,N1023)</f>
        <v>40</v>
      </c>
      <c r="P1023" s="11" t="n">
        <f aca="false">IF(C1023="COVERED",MAX(0,O1023-40),0)</f>
        <v>0</v>
      </c>
      <c r="Q1023" s="11" t="n">
        <f aca="false">O1023</f>
        <v>40</v>
      </c>
      <c r="R1023" s="17" t="n">
        <f aca="false">IF(C1023="COVERED",10.4,7.55)</f>
        <v>10.4</v>
      </c>
      <c r="S1023" s="17" t="n">
        <f aca="false">Q1023*R1023</f>
        <v>416</v>
      </c>
      <c r="T1023" s="9" t="s">
        <v>7072</v>
      </c>
      <c r="U1023" s="10" t="n">
        <v>46235</v>
      </c>
      <c r="V1023" s="9" t="n">
        <v>40</v>
      </c>
      <c r="W1023" s="17" t="n">
        <v>10.4</v>
      </c>
      <c r="X1023" s="17" t="n">
        <v>416</v>
      </c>
      <c r="Y1023" s="17" t="n">
        <f aca="false">IF(ISNUMBER(X1023),X1023-S1023,"")</f>
        <v>0</v>
      </c>
      <c r="Z1023" s="17" t="n">
        <f aca="false">IF(ISNUMBER(X1023),X1023-S1023,-S1023)</f>
        <v>0</v>
      </c>
      <c r="AA1023" s="9" t="str">
        <f aca="false">IF(NOT(ISNUMBER(X1023)),"NO AUGUST POSTING IN EXPORT",IF(ABS(Y1023)&gt;=0.005,"POSTED CHARGE MISMATCH",IF(P1023&gt;0,"MATCH - COVERED ELIGIBILITY EXCEPTION","MATCH")))</f>
        <v>MATCH</v>
      </c>
      <c r="AB1023" s="9" t="s">
        <v>7073</v>
      </c>
    </row>
    <row r="1024" customFormat="false" ht="15" hidden="false" customHeight="false" outlineLevel="0" collapsed="false">
      <c r="A1024" s="13" t="s">
        <v>7074</v>
      </c>
      <c r="B1024" s="13" t="s">
        <v>135</v>
      </c>
      <c r="C1024" s="13" t="s">
        <v>114</v>
      </c>
      <c r="D1024" s="13" t="s">
        <v>2002</v>
      </c>
      <c r="E1024" s="13" t="s">
        <v>2984</v>
      </c>
      <c r="F1024" s="13" t="s">
        <v>7075</v>
      </c>
      <c r="G1024" s="13" t="s">
        <v>7076</v>
      </c>
      <c r="H1024" s="13" t="s">
        <v>2860</v>
      </c>
      <c r="I1024" s="15" t="n">
        <v>40</v>
      </c>
      <c r="J1024" s="15" t="n">
        <v>49.8</v>
      </c>
      <c r="K1024" s="15"/>
      <c r="L1024" s="15"/>
      <c r="M1024" s="15" t="n">
        <f aca="false">IF(ISNUMBER(L1024),L1024,J1024)</f>
        <v>49.8</v>
      </c>
      <c r="N1024" s="15" t="n">
        <f aca="false">ROUNDUP(M1024,0)</f>
        <v>50</v>
      </c>
      <c r="O1024" s="15" t="n">
        <f aca="false">MAX(I1024,N1024)</f>
        <v>50</v>
      </c>
      <c r="P1024" s="15" t="n">
        <f aca="false">IF(C1024="COVERED",MAX(0,O1024-40),0)</f>
        <v>10</v>
      </c>
      <c r="Q1024" s="15" t="n">
        <f aca="false">O1024</f>
        <v>50</v>
      </c>
      <c r="R1024" s="18" t="n">
        <f aca="false">IF(C1024="COVERED",10.4,7.55)</f>
        <v>10.4</v>
      </c>
      <c r="S1024" s="18" t="n">
        <f aca="false">Q1024*R1024</f>
        <v>520</v>
      </c>
      <c r="T1024" s="13" t="s">
        <v>7077</v>
      </c>
      <c r="U1024" s="14" t="n">
        <v>46235</v>
      </c>
      <c r="V1024" s="13" t="n">
        <v>50</v>
      </c>
      <c r="W1024" s="18" t="n">
        <v>10.4</v>
      </c>
      <c r="X1024" s="18" t="n">
        <v>520</v>
      </c>
      <c r="Y1024" s="18" t="n">
        <f aca="false">IF(ISNUMBER(X1024),X1024-S1024,"")</f>
        <v>0</v>
      </c>
      <c r="Z1024" s="18" t="n">
        <f aca="false">IF(ISNUMBER(X1024),X1024-S1024,-S1024)</f>
        <v>0</v>
      </c>
      <c r="AA1024" s="13" t="str">
        <f aca="false">IF(NOT(ISNUMBER(X1024)),"NO AUGUST POSTING IN EXPORT",IF(ABS(Y1024)&gt;=0.005,"POSTED CHARGE MISMATCH",IF(P1024&gt;0,"MATCH - COVERED ELIGIBILITY EXCEPTION","MATCH")))</f>
        <v>MATCH - COVERED ELIGIBILITY EXCEPTION</v>
      </c>
      <c r="AB1024" s="13" t="s">
        <v>7078</v>
      </c>
    </row>
    <row r="1025" customFormat="false" ht="15" hidden="false" customHeight="false" outlineLevel="0" collapsed="false">
      <c r="A1025" s="9" t="s">
        <v>7079</v>
      </c>
      <c r="B1025" s="9" t="s">
        <v>135</v>
      </c>
      <c r="C1025" s="9" t="s">
        <v>114</v>
      </c>
      <c r="D1025" s="9" t="s">
        <v>2002</v>
      </c>
      <c r="E1025" s="9" t="s">
        <v>2990</v>
      </c>
      <c r="F1025" s="9" t="s">
        <v>944</v>
      </c>
      <c r="G1025" s="9" t="s">
        <v>945</v>
      </c>
      <c r="H1025" s="9" t="s">
        <v>2155</v>
      </c>
      <c r="I1025" s="11" t="n">
        <v>28</v>
      </c>
      <c r="J1025" s="11" t="n">
        <v>27.9</v>
      </c>
      <c r="K1025" s="11"/>
      <c r="L1025" s="11"/>
      <c r="M1025" s="11" t="n">
        <f aca="false">IF(ISNUMBER(L1025),L1025,J1025)</f>
        <v>27.9</v>
      </c>
      <c r="N1025" s="11" t="n">
        <f aca="false">ROUNDUP(M1025,0)</f>
        <v>28</v>
      </c>
      <c r="O1025" s="11" t="n">
        <f aca="false">MAX(I1025,N1025)</f>
        <v>28</v>
      </c>
      <c r="P1025" s="11" t="n">
        <f aca="false">IF(C1025="COVERED",MAX(0,O1025-40),0)</f>
        <v>0</v>
      </c>
      <c r="Q1025" s="11" t="n">
        <f aca="false">O1025</f>
        <v>28</v>
      </c>
      <c r="R1025" s="17" t="n">
        <f aca="false">IF(C1025="COVERED",10.4,7.55)</f>
        <v>10.4</v>
      </c>
      <c r="S1025" s="17" t="n">
        <f aca="false">Q1025*R1025</f>
        <v>291.2</v>
      </c>
      <c r="T1025" s="9" t="s">
        <v>7080</v>
      </c>
      <c r="U1025" s="10" t="n">
        <v>46235</v>
      </c>
      <c r="V1025" s="9" t="n">
        <v>28</v>
      </c>
      <c r="W1025" s="17" t="n">
        <v>10.4</v>
      </c>
      <c r="X1025" s="17" t="n">
        <v>291.2</v>
      </c>
      <c r="Y1025" s="17" t="n">
        <f aca="false">IF(ISNUMBER(X1025),X1025-S1025,"")</f>
        <v>0</v>
      </c>
      <c r="Z1025" s="17" t="n">
        <f aca="false">IF(ISNUMBER(X1025),X1025-S1025,-S1025)</f>
        <v>0</v>
      </c>
      <c r="AA1025" s="9" t="str">
        <f aca="false">IF(NOT(ISNUMBER(X1025)),"NO AUGUST POSTING IN EXPORT",IF(ABS(Y1025)&gt;=0.005,"POSTED CHARGE MISMATCH",IF(P1025&gt;0,"MATCH - COVERED ELIGIBILITY EXCEPTION","MATCH")))</f>
        <v>MATCH</v>
      </c>
      <c r="AB1025" s="9" t="s">
        <v>7081</v>
      </c>
    </row>
    <row r="1026" customFormat="false" ht="15" hidden="false" customHeight="false" outlineLevel="0" collapsed="false">
      <c r="A1026" s="13" t="s">
        <v>699</v>
      </c>
      <c r="B1026" s="13" t="s">
        <v>135</v>
      </c>
      <c r="C1026" s="13" t="s">
        <v>114</v>
      </c>
      <c r="D1026" s="13" t="s">
        <v>2002</v>
      </c>
      <c r="E1026" s="13" t="s">
        <v>2993</v>
      </c>
      <c r="F1026" s="13" t="s">
        <v>7082</v>
      </c>
      <c r="G1026" s="13" t="s">
        <v>7083</v>
      </c>
      <c r="H1026" s="13" t="s">
        <v>4140</v>
      </c>
      <c r="I1026" s="15" t="n">
        <v>24</v>
      </c>
      <c r="J1026" s="15" t="n">
        <v>21.2</v>
      </c>
      <c r="K1026" s="15"/>
      <c r="L1026" s="15"/>
      <c r="M1026" s="15" t="n">
        <f aca="false">IF(ISNUMBER(L1026),L1026,J1026)</f>
        <v>21.2</v>
      </c>
      <c r="N1026" s="15" t="n">
        <f aca="false">ROUNDUP(M1026,0)</f>
        <v>22</v>
      </c>
      <c r="O1026" s="15" t="n">
        <f aca="false">MAX(I1026,N1026)</f>
        <v>24</v>
      </c>
      <c r="P1026" s="15" t="n">
        <f aca="false">IF(C1026="COVERED",MAX(0,O1026-40),0)</f>
        <v>0</v>
      </c>
      <c r="Q1026" s="15" t="n">
        <f aca="false">O1026</f>
        <v>24</v>
      </c>
      <c r="R1026" s="18" t="n">
        <f aca="false">IF(C1026="COVERED",10.4,7.55)</f>
        <v>10.4</v>
      </c>
      <c r="S1026" s="18" t="n">
        <f aca="false">Q1026*R1026</f>
        <v>249.6</v>
      </c>
      <c r="T1026" s="13" t="s">
        <v>7084</v>
      </c>
      <c r="U1026" s="14" t="n">
        <v>46235</v>
      </c>
      <c r="V1026" s="13" t="n">
        <v>24</v>
      </c>
      <c r="W1026" s="18" t="n">
        <v>10.4</v>
      </c>
      <c r="X1026" s="18" t="n">
        <v>249.6</v>
      </c>
      <c r="Y1026" s="18" t="n">
        <f aca="false">IF(ISNUMBER(X1026),X1026-S1026,"")</f>
        <v>0</v>
      </c>
      <c r="Z1026" s="18" t="n">
        <f aca="false">IF(ISNUMBER(X1026),X1026-S1026,-S1026)</f>
        <v>0</v>
      </c>
      <c r="AA1026" s="13" t="str">
        <f aca="false">IF(NOT(ISNUMBER(X1026)),"NO AUGUST POSTING IN EXPORT",IF(ABS(Y1026)&gt;=0.005,"POSTED CHARGE MISMATCH",IF(P1026&gt;0,"MATCH - COVERED ELIGIBILITY EXCEPTION","MATCH")))</f>
        <v>MATCH</v>
      </c>
      <c r="AB1026" s="13" t="s">
        <v>7085</v>
      </c>
    </row>
    <row r="1027" customFormat="false" ht="15" hidden="false" customHeight="false" outlineLevel="0" collapsed="false">
      <c r="A1027" s="9" t="s">
        <v>357</v>
      </c>
      <c r="B1027" s="9" t="s">
        <v>135</v>
      </c>
      <c r="C1027" s="9" t="s">
        <v>114</v>
      </c>
      <c r="D1027" s="9" t="s">
        <v>2002</v>
      </c>
      <c r="E1027" s="9" t="s">
        <v>2999</v>
      </c>
      <c r="F1027" s="9" t="s">
        <v>7086</v>
      </c>
      <c r="G1027" s="9" t="s">
        <v>7087</v>
      </c>
      <c r="H1027" s="9" t="s">
        <v>7088</v>
      </c>
      <c r="I1027" s="11" t="n">
        <v>32</v>
      </c>
      <c r="J1027" s="11" t="n">
        <v>23.2</v>
      </c>
      <c r="K1027" s="11"/>
      <c r="L1027" s="11"/>
      <c r="M1027" s="11" t="n">
        <f aca="false">IF(ISNUMBER(L1027),L1027,J1027)</f>
        <v>23.2</v>
      </c>
      <c r="N1027" s="11" t="n">
        <f aca="false">ROUNDUP(M1027,0)</f>
        <v>24</v>
      </c>
      <c r="O1027" s="11" t="n">
        <f aca="false">MAX(I1027,N1027)</f>
        <v>32</v>
      </c>
      <c r="P1027" s="11" t="n">
        <f aca="false">IF(C1027="COVERED",MAX(0,O1027-40),0)</f>
        <v>0</v>
      </c>
      <c r="Q1027" s="11" t="n">
        <f aca="false">O1027</f>
        <v>32</v>
      </c>
      <c r="R1027" s="17" t="n">
        <f aca="false">IF(C1027="COVERED",10.4,7.55)</f>
        <v>10.4</v>
      </c>
      <c r="S1027" s="17" t="n">
        <f aca="false">Q1027*R1027</f>
        <v>332.8</v>
      </c>
      <c r="T1027" s="9" t="s">
        <v>7089</v>
      </c>
      <c r="U1027" s="10" t="n">
        <v>46235</v>
      </c>
      <c r="V1027" s="9" t="n">
        <v>32</v>
      </c>
      <c r="W1027" s="17" t="n">
        <v>10.4</v>
      </c>
      <c r="X1027" s="17" t="n">
        <v>332.8</v>
      </c>
      <c r="Y1027" s="17" t="n">
        <f aca="false">IF(ISNUMBER(X1027),X1027-S1027,"")</f>
        <v>0</v>
      </c>
      <c r="Z1027" s="17" t="n">
        <f aca="false">IF(ISNUMBER(X1027),X1027-S1027,-S1027)</f>
        <v>0</v>
      </c>
      <c r="AA1027" s="9" t="str">
        <f aca="false">IF(NOT(ISNUMBER(X1027)),"NO AUGUST POSTING IN EXPORT",IF(ABS(Y1027)&gt;=0.005,"POSTED CHARGE MISMATCH",IF(P1027&gt;0,"MATCH - COVERED ELIGIBILITY EXCEPTION","MATCH")))</f>
        <v>MATCH</v>
      </c>
      <c r="AB1027" s="9" t="s">
        <v>7090</v>
      </c>
    </row>
    <row r="1028" customFormat="false" ht="15" hidden="false" customHeight="false" outlineLevel="0" collapsed="false">
      <c r="A1028" s="13" t="s">
        <v>7091</v>
      </c>
      <c r="B1028" s="13" t="s">
        <v>135</v>
      </c>
      <c r="C1028" s="13" t="s">
        <v>114</v>
      </c>
      <c r="D1028" s="13" t="s">
        <v>2002</v>
      </c>
      <c r="E1028" s="13" t="s">
        <v>3006</v>
      </c>
      <c r="F1028" s="13" t="s">
        <v>7092</v>
      </c>
      <c r="G1028" s="13" t="s">
        <v>7093</v>
      </c>
      <c r="H1028" s="13" t="s">
        <v>7094</v>
      </c>
      <c r="I1028" s="15" t="n">
        <v>32</v>
      </c>
      <c r="J1028" s="15" t="n">
        <v>18.4</v>
      </c>
      <c r="K1028" s="15"/>
      <c r="L1028" s="15"/>
      <c r="M1028" s="15" t="n">
        <f aca="false">IF(ISNUMBER(L1028),L1028,J1028)</f>
        <v>18.4</v>
      </c>
      <c r="N1028" s="15" t="n">
        <f aca="false">ROUNDUP(M1028,0)</f>
        <v>19</v>
      </c>
      <c r="O1028" s="15" t="n">
        <f aca="false">MAX(I1028,N1028)</f>
        <v>32</v>
      </c>
      <c r="P1028" s="15" t="n">
        <f aca="false">IF(C1028="COVERED",MAX(0,O1028-40),0)</f>
        <v>0</v>
      </c>
      <c r="Q1028" s="15" t="n">
        <f aca="false">O1028</f>
        <v>32</v>
      </c>
      <c r="R1028" s="18" t="n">
        <f aca="false">IF(C1028="COVERED",10.4,7.55)</f>
        <v>10.4</v>
      </c>
      <c r="S1028" s="18" t="n">
        <f aca="false">Q1028*R1028</f>
        <v>332.8</v>
      </c>
      <c r="T1028" s="13" t="s">
        <v>7095</v>
      </c>
      <c r="U1028" s="14" t="n">
        <v>46235</v>
      </c>
      <c r="V1028" s="13" t="n">
        <v>32</v>
      </c>
      <c r="W1028" s="18" t="n">
        <v>10.4</v>
      </c>
      <c r="X1028" s="18" t="n">
        <v>332.8</v>
      </c>
      <c r="Y1028" s="18" t="n">
        <f aca="false">IF(ISNUMBER(X1028),X1028-S1028,"")</f>
        <v>0</v>
      </c>
      <c r="Z1028" s="18" t="n">
        <f aca="false">IF(ISNUMBER(X1028),X1028-S1028,-S1028)</f>
        <v>0</v>
      </c>
      <c r="AA1028" s="13" t="str">
        <f aca="false">IF(NOT(ISNUMBER(X1028)),"NO AUGUST POSTING IN EXPORT",IF(ABS(Y1028)&gt;=0.005,"POSTED CHARGE MISMATCH",IF(P1028&gt;0,"MATCH - COVERED ELIGIBILITY EXCEPTION","MATCH")))</f>
        <v>MATCH</v>
      </c>
      <c r="AB1028" s="13" t="s">
        <v>7096</v>
      </c>
    </row>
    <row r="1029" customFormat="false" ht="15" hidden="false" customHeight="false" outlineLevel="0" collapsed="false">
      <c r="A1029" s="9" t="s">
        <v>7097</v>
      </c>
      <c r="B1029" s="9" t="s">
        <v>135</v>
      </c>
      <c r="C1029" s="9" t="s">
        <v>114</v>
      </c>
      <c r="D1029" s="9" t="s">
        <v>2002</v>
      </c>
      <c r="E1029" s="9" t="s">
        <v>3011</v>
      </c>
      <c r="F1029" s="9" t="s">
        <v>7098</v>
      </c>
      <c r="G1029" s="9" t="s">
        <v>4440</v>
      </c>
      <c r="H1029" s="9" t="s">
        <v>2189</v>
      </c>
      <c r="I1029" s="11" t="n">
        <v>36</v>
      </c>
      <c r="J1029" s="11" t="n">
        <v>58.2</v>
      </c>
      <c r="K1029" s="11"/>
      <c r="L1029" s="11"/>
      <c r="M1029" s="11" t="n">
        <f aca="false">IF(ISNUMBER(L1029),L1029,J1029)</f>
        <v>58.2</v>
      </c>
      <c r="N1029" s="11" t="n">
        <f aca="false">ROUNDUP(M1029,0)</f>
        <v>59</v>
      </c>
      <c r="O1029" s="11" t="n">
        <f aca="false">MAX(I1029,N1029)</f>
        <v>59</v>
      </c>
      <c r="P1029" s="11" t="n">
        <f aca="false">IF(C1029="COVERED",MAX(0,O1029-40),0)</f>
        <v>19</v>
      </c>
      <c r="Q1029" s="11" t="n">
        <f aca="false">O1029</f>
        <v>59</v>
      </c>
      <c r="R1029" s="17" t="n">
        <f aca="false">IF(C1029="COVERED",10.4,7.55)</f>
        <v>10.4</v>
      </c>
      <c r="S1029" s="17" t="n">
        <f aca="false">Q1029*R1029</f>
        <v>613.6</v>
      </c>
      <c r="T1029" s="9" t="s">
        <v>7099</v>
      </c>
      <c r="U1029" s="10" t="n">
        <v>46235</v>
      </c>
      <c r="V1029" s="9" t="n">
        <v>59</v>
      </c>
      <c r="W1029" s="17" t="n">
        <v>10.4</v>
      </c>
      <c r="X1029" s="17" t="n">
        <v>613.6</v>
      </c>
      <c r="Y1029" s="17" t="n">
        <f aca="false">IF(ISNUMBER(X1029),X1029-S1029,"")</f>
        <v>0</v>
      </c>
      <c r="Z1029" s="17" t="n">
        <f aca="false">IF(ISNUMBER(X1029),X1029-S1029,-S1029)</f>
        <v>0</v>
      </c>
      <c r="AA1029" s="9" t="str">
        <f aca="false">IF(NOT(ISNUMBER(X1029)),"NO AUGUST POSTING IN EXPORT",IF(ABS(Y1029)&gt;=0.005,"POSTED CHARGE MISMATCH",IF(P1029&gt;0,"MATCH - COVERED ELIGIBILITY EXCEPTION","MATCH")))</f>
        <v>MATCH - COVERED ELIGIBILITY EXCEPTION</v>
      </c>
      <c r="AB1029" s="9" t="s">
        <v>7100</v>
      </c>
    </row>
    <row r="1030" customFormat="false" ht="15" hidden="false" customHeight="false" outlineLevel="0" collapsed="false">
      <c r="A1030" s="13" t="s">
        <v>865</v>
      </c>
      <c r="B1030" s="13" t="s">
        <v>135</v>
      </c>
      <c r="C1030" s="13" t="s">
        <v>114</v>
      </c>
      <c r="D1030" s="13" t="s">
        <v>2002</v>
      </c>
      <c r="E1030" s="13" t="s">
        <v>3018</v>
      </c>
      <c r="F1030" s="13" t="s">
        <v>7101</v>
      </c>
      <c r="G1030" s="13" t="s">
        <v>7102</v>
      </c>
      <c r="H1030" s="13" t="s">
        <v>3812</v>
      </c>
      <c r="I1030" s="15" t="n">
        <v>24</v>
      </c>
      <c r="J1030" s="15" t="n">
        <v>18.2</v>
      </c>
      <c r="K1030" s="15"/>
      <c r="L1030" s="15"/>
      <c r="M1030" s="15" t="n">
        <f aca="false">IF(ISNUMBER(L1030),L1030,J1030)</f>
        <v>18.2</v>
      </c>
      <c r="N1030" s="15" t="n">
        <f aca="false">ROUNDUP(M1030,0)</f>
        <v>19</v>
      </c>
      <c r="O1030" s="15" t="n">
        <f aca="false">MAX(I1030,N1030)</f>
        <v>24</v>
      </c>
      <c r="P1030" s="15" t="n">
        <f aca="false">IF(C1030="COVERED",MAX(0,O1030-40),0)</f>
        <v>0</v>
      </c>
      <c r="Q1030" s="15" t="n">
        <f aca="false">O1030</f>
        <v>24</v>
      </c>
      <c r="R1030" s="18" t="n">
        <f aca="false">IF(C1030="COVERED",10.4,7.55)</f>
        <v>10.4</v>
      </c>
      <c r="S1030" s="18" t="n">
        <f aca="false">Q1030*R1030</f>
        <v>249.6</v>
      </c>
      <c r="T1030" s="13" t="s">
        <v>7103</v>
      </c>
      <c r="U1030" s="14" t="n">
        <v>46235</v>
      </c>
      <c r="V1030" s="13" t="n">
        <v>24</v>
      </c>
      <c r="W1030" s="18" t="n">
        <v>10.4</v>
      </c>
      <c r="X1030" s="18" t="n">
        <v>249.6</v>
      </c>
      <c r="Y1030" s="18" t="n">
        <f aca="false">IF(ISNUMBER(X1030),X1030-S1030,"")</f>
        <v>0</v>
      </c>
      <c r="Z1030" s="18" t="n">
        <f aca="false">IF(ISNUMBER(X1030),X1030-S1030,-S1030)</f>
        <v>0</v>
      </c>
      <c r="AA1030" s="13" t="str">
        <f aca="false">IF(NOT(ISNUMBER(X1030)),"NO AUGUST POSTING IN EXPORT",IF(ABS(Y1030)&gt;=0.005,"POSTED CHARGE MISMATCH",IF(P1030&gt;0,"MATCH - COVERED ELIGIBILITY EXCEPTION","MATCH")))</f>
        <v>MATCH</v>
      </c>
      <c r="AB1030" s="13" t="s">
        <v>7104</v>
      </c>
    </row>
    <row r="1031" customFormat="false" ht="15" hidden="false" customHeight="false" outlineLevel="0" collapsed="false">
      <c r="A1031" s="9" t="s">
        <v>282</v>
      </c>
      <c r="B1031" s="9" t="s">
        <v>135</v>
      </c>
      <c r="C1031" s="9" t="s">
        <v>114</v>
      </c>
      <c r="D1031" s="9" t="s">
        <v>2002</v>
      </c>
      <c r="E1031" s="9" t="s">
        <v>3030</v>
      </c>
      <c r="F1031" s="9" t="s">
        <v>7105</v>
      </c>
      <c r="G1031" s="9" t="s">
        <v>7106</v>
      </c>
      <c r="H1031" s="9" t="s">
        <v>2591</v>
      </c>
      <c r="I1031" s="11" t="n">
        <v>32</v>
      </c>
      <c r="J1031" s="11" t="n">
        <v>21.3</v>
      </c>
      <c r="K1031" s="11"/>
      <c r="L1031" s="11"/>
      <c r="M1031" s="11" t="n">
        <f aca="false">IF(ISNUMBER(L1031),L1031,J1031)</f>
        <v>21.3</v>
      </c>
      <c r="N1031" s="11" t="n">
        <f aca="false">ROUNDUP(M1031,0)</f>
        <v>22</v>
      </c>
      <c r="O1031" s="11" t="n">
        <f aca="false">MAX(I1031,N1031)</f>
        <v>32</v>
      </c>
      <c r="P1031" s="11" t="n">
        <f aca="false">IF(C1031="COVERED",MAX(0,O1031-40),0)</f>
        <v>0</v>
      </c>
      <c r="Q1031" s="11" t="n">
        <f aca="false">O1031</f>
        <v>32</v>
      </c>
      <c r="R1031" s="17" t="n">
        <f aca="false">IF(C1031="COVERED",10.4,7.55)</f>
        <v>10.4</v>
      </c>
      <c r="S1031" s="17" t="n">
        <f aca="false">Q1031*R1031</f>
        <v>332.8</v>
      </c>
      <c r="T1031" s="9" t="s">
        <v>7107</v>
      </c>
      <c r="U1031" s="10" t="n">
        <v>46235</v>
      </c>
      <c r="V1031" s="9" t="n">
        <v>32</v>
      </c>
      <c r="W1031" s="17" t="n">
        <v>10.4</v>
      </c>
      <c r="X1031" s="17" t="n">
        <v>332.8</v>
      </c>
      <c r="Y1031" s="17" t="n">
        <f aca="false">IF(ISNUMBER(X1031),X1031-S1031,"")</f>
        <v>0</v>
      </c>
      <c r="Z1031" s="17" t="n">
        <f aca="false">IF(ISNUMBER(X1031),X1031-S1031,-S1031)</f>
        <v>0</v>
      </c>
      <c r="AA1031" s="9" t="str">
        <f aca="false">IF(NOT(ISNUMBER(X1031)),"NO AUGUST POSTING IN EXPORT",IF(ABS(Y1031)&gt;=0.005,"POSTED CHARGE MISMATCH",IF(P1031&gt;0,"MATCH - COVERED ELIGIBILITY EXCEPTION","MATCH")))</f>
        <v>MATCH</v>
      </c>
      <c r="AB1031" s="9" t="s">
        <v>7108</v>
      </c>
    </row>
    <row r="1032" customFormat="false" ht="15" hidden="false" customHeight="false" outlineLevel="0" collapsed="false">
      <c r="A1032" s="13" t="s">
        <v>7109</v>
      </c>
      <c r="B1032" s="13" t="s">
        <v>135</v>
      </c>
      <c r="C1032" s="13" t="s">
        <v>114</v>
      </c>
      <c r="D1032" s="13" t="s">
        <v>2002</v>
      </c>
      <c r="E1032" s="13" t="s">
        <v>3036</v>
      </c>
      <c r="F1032" s="13" t="s">
        <v>7110</v>
      </c>
      <c r="G1032" s="13" t="s">
        <v>7111</v>
      </c>
      <c r="H1032" s="13" t="s">
        <v>2217</v>
      </c>
      <c r="I1032" s="15" t="n">
        <v>40</v>
      </c>
      <c r="J1032" s="15" t="n">
        <v>52.9</v>
      </c>
      <c r="K1032" s="15"/>
      <c r="L1032" s="15"/>
      <c r="M1032" s="15" t="n">
        <f aca="false">IF(ISNUMBER(L1032),L1032,J1032)</f>
        <v>52.9</v>
      </c>
      <c r="N1032" s="15" t="n">
        <f aca="false">ROUNDUP(M1032,0)</f>
        <v>53</v>
      </c>
      <c r="O1032" s="15" t="n">
        <f aca="false">MAX(I1032,N1032)</f>
        <v>53</v>
      </c>
      <c r="P1032" s="15" t="n">
        <f aca="false">IF(C1032="COVERED",MAX(0,O1032-40),0)</f>
        <v>13</v>
      </c>
      <c r="Q1032" s="15" t="n">
        <f aca="false">O1032</f>
        <v>53</v>
      </c>
      <c r="R1032" s="18" t="n">
        <f aca="false">IF(C1032="COVERED",10.4,7.55)</f>
        <v>10.4</v>
      </c>
      <c r="S1032" s="18" t="n">
        <f aca="false">Q1032*R1032</f>
        <v>551.2</v>
      </c>
      <c r="T1032" s="13" t="s">
        <v>7112</v>
      </c>
      <c r="U1032" s="14" t="n">
        <v>46235</v>
      </c>
      <c r="V1032" s="13" t="n">
        <v>53</v>
      </c>
      <c r="W1032" s="18" t="n">
        <v>10.4</v>
      </c>
      <c r="X1032" s="18" t="n">
        <v>551.2</v>
      </c>
      <c r="Y1032" s="18" t="n">
        <f aca="false">IF(ISNUMBER(X1032),X1032-S1032,"")</f>
        <v>0</v>
      </c>
      <c r="Z1032" s="18" t="n">
        <f aca="false">IF(ISNUMBER(X1032),X1032-S1032,-S1032)</f>
        <v>0</v>
      </c>
      <c r="AA1032" s="13" t="str">
        <f aca="false">IF(NOT(ISNUMBER(X1032)),"NO AUGUST POSTING IN EXPORT",IF(ABS(Y1032)&gt;=0.005,"POSTED CHARGE MISMATCH",IF(P1032&gt;0,"MATCH - COVERED ELIGIBILITY EXCEPTION","MATCH")))</f>
        <v>MATCH - COVERED ELIGIBILITY EXCEPTION</v>
      </c>
      <c r="AB1032" s="13" t="s">
        <v>7113</v>
      </c>
    </row>
    <row r="1033" customFormat="false" ht="15" hidden="false" customHeight="false" outlineLevel="0" collapsed="false">
      <c r="A1033" s="9" t="s">
        <v>7114</v>
      </c>
      <c r="B1033" s="9" t="s">
        <v>135</v>
      </c>
      <c r="C1033" s="9" t="s">
        <v>114</v>
      </c>
      <c r="D1033" s="9" t="s">
        <v>2002</v>
      </c>
      <c r="E1033" s="9" t="s">
        <v>3040</v>
      </c>
      <c r="F1033" s="9" t="s">
        <v>7115</v>
      </c>
      <c r="G1033" s="9" t="s">
        <v>7116</v>
      </c>
      <c r="H1033" s="9" t="s">
        <v>2898</v>
      </c>
      <c r="I1033" s="11" t="n">
        <v>32</v>
      </c>
      <c r="J1033" s="11" t="n">
        <v>33.4</v>
      </c>
      <c r="K1033" s="11"/>
      <c r="L1033" s="11"/>
      <c r="M1033" s="11" t="n">
        <f aca="false">IF(ISNUMBER(L1033),L1033,J1033)</f>
        <v>33.4</v>
      </c>
      <c r="N1033" s="11" t="n">
        <f aca="false">ROUNDUP(M1033,0)</f>
        <v>34</v>
      </c>
      <c r="O1033" s="11" t="n">
        <f aca="false">MAX(I1033,N1033)</f>
        <v>34</v>
      </c>
      <c r="P1033" s="11" t="n">
        <f aca="false">IF(C1033="COVERED",MAX(0,O1033-40),0)</f>
        <v>0</v>
      </c>
      <c r="Q1033" s="11" t="n">
        <f aca="false">O1033</f>
        <v>34</v>
      </c>
      <c r="R1033" s="17" t="n">
        <f aca="false">IF(C1033="COVERED",10.4,7.55)</f>
        <v>10.4</v>
      </c>
      <c r="S1033" s="17" t="n">
        <f aca="false">Q1033*R1033</f>
        <v>353.6</v>
      </c>
      <c r="T1033" s="9" t="s">
        <v>7117</v>
      </c>
      <c r="U1033" s="10" t="n">
        <v>46235</v>
      </c>
      <c r="V1033" s="9" t="n">
        <v>34</v>
      </c>
      <c r="W1033" s="17" t="n">
        <v>10.4</v>
      </c>
      <c r="X1033" s="17" t="n">
        <v>353.6</v>
      </c>
      <c r="Y1033" s="17" t="n">
        <f aca="false">IF(ISNUMBER(X1033),X1033-S1033,"")</f>
        <v>0</v>
      </c>
      <c r="Z1033" s="17" t="n">
        <f aca="false">IF(ISNUMBER(X1033),X1033-S1033,-S1033)</f>
        <v>0</v>
      </c>
      <c r="AA1033" s="9" t="str">
        <f aca="false">IF(NOT(ISNUMBER(X1033)),"NO AUGUST POSTING IN EXPORT",IF(ABS(Y1033)&gt;=0.005,"POSTED CHARGE MISMATCH",IF(P1033&gt;0,"MATCH - COVERED ELIGIBILITY EXCEPTION","MATCH")))</f>
        <v>MATCH</v>
      </c>
      <c r="AB1033" s="9" t="s">
        <v>7118</v>
      </c>
    </row>
    <row r="1034" customFormat="false" ht="15" hidden="false" customHeight="false" outlineLevel="0" collapsed="false">
      <c r="A1034" s="13" t="s">
        <v>1113</v>
      </c>
      <c r="B1034" s="13" t="s">
        <v>135</v>
      </c>
      <c r="C1034" s="13" t="s">
        <v>114</v>
      </c>
      <c r="D1034" s="13" t="s">
        <v>2002</v>
      </c>
      <c r="E1034" s="13" t="s">
        <v>3046</v>
      </c>
      <c r="F1034" s="13" t="s">
        <v>7119</v>
      </c>
      <c r="G1034" s="13" t="s">
        <v>7120</v>
      </c>
      <c r="H1034" s="13" t="s">
        <v>5730</v>
      </c>
      <c r="I1034" s="15" t="n">
        <v>28</v>
      </c>
      <c r="J1034" s="15" t="n">
        <v>56.2</v>
      </c>
      <c r="K1034" s="15"/>
      <c r="L1034" s="15"/>
      <c r="M1034" s="15" t="n">
        <f aca="false">IF(ISNUMBER(L1034),L1034,J1034)</f>
        <v>56.2</v>
      </c>
      <c r="N1034" s="15" t="n">
        <f aca="false">ROUNDUP(M1034,0)</f>
        <v>57</v>
      </c>
      <c r="O1034" s="15" t="n">
        <f aca="false">MAX(I1034,N1034)</f>
        <v>57</v>
      </c>
      <c r="P1034" s="15" t="n">
        <f aca="false">IF(C1034="COVERED",MAX(0,O1034-40),0)</f>
        <v>17</v>
      </c>
      <c r="Q1034" s="15" t="n">
        <f aca="false">O1034</f>
        <v>57</v>
      </c>
      <c r="R1034" s="18" t="n">
        <f aca="false">IF(C1034="COVERED",10.4,7.55)</f>
        <v>10.4</v>
      </c>
      <c r="S1034" s="18" t="n">
        <f aca="false">Q1034*R1034</f>
        <v>592.8</v>
      </c>
      <c r="T1034" s="13" t="s">
        <v>7121</v>
      </c>
      <c r="U1034" s="14" t="n">
        <v>46235</v>
      </c>
      <c r="V1034" s="13" t="n">
        <v>57</v>
      </c>
      <c r="W1034" s="18" t="n">
        <v>10.4</v>
      </c>
      <c r="X1034" s="18" t="n">
        <v>592.8</v>
      </c>
      <c r="Y1034" s="18" t="n">
        <f aca="false">IF(ISNUMBER(X1034),X1034-S1034,"")</f>
        <v>0</v>
      </c>
      <c r="Z1034" s="18" t="n">
        <f aca="false">IF(ISNUMBER(X1034),X1034-S1034,-S1034)</f>
        <v>0</v>
      </c>
      <c r="AA1034" s="13" t="str">
        <f aca="false">IF(NOT(ISNUMBER(X1034)),"NO AUGUST POSTING IN EXPORT",IF(ABS(Y1034)&gt;=0.005,"POSTED CHARGE MISMATCH",IF(P1034&gt;0,"MATCH - COVERED ELIGIBILITY EXCEPTION","MATCH")))</f>
        <v>MATCH - COVERED ELIGIBILITY EXCEPTION</v>
      </c>
      <c r="AB1034" s="13" t="s">
        <v>7122</v>
      </c>
    </row>
    <row r="1035" customFormat="false" ht="15" hidden="false" customHeight="false" outlineLevel="0" collapsed="false">
      <c r="A1035" s="9" t="s">
        <v>7123</v>
      </c>
      <c r="B1035" s="9" t="s">
        <v>135</v>
      </c>
      <c r="C1035" s="9" t="s">
        <v>114</v>
      </c>
      <c r="D1035" s="9" t="s">
        <v>2002</v>
      </c>
      <c r="E1035" s="9" t="s">
        <v>3052</v>
      </c>
      <c r="F1035" s="9" t="s">
        <v>7124</v>
      </c>
      <c r="G1035" s="9" t="s">
        <v>7125</v>
      </c>
      <c r="H1035" s="9" t="s">
        <v>5333</v>
      </c>
      <c r="I1035" s="11" t="n">
        <v>28</v>
      </c>
      <c r="J1035" s="11" t="n">
        <v>59.7</v>
      </c>
      <c r="K1035" s="11"/>
      <c r="L1035" s="11"/>
      <c r="M1035" s="11" t="n">
        <f aca="false">IF(ISNUMBER(L1035),L1035,J1035)</f>
        <v>59.7</v>
      </c>
      <c r="N1035" s="11" t="n">
        <f aca="false">ROUNDUP(M1035,0)</f>
        <v>60</v>
      </c>
      <c r="O1035" s="11" t="n">
        <f aca="false">MAX(I1035,N1035)</f>
        <v>60</v>
      </c>
      <c r="P1035" s="11" t="n">
        <f aca="false">IF(C1035="COVERED",MAX(0,O1035-40),0)</f>
        <v>20</v>
      </c>
      <c r="Q1035" s="11" t="n">
        <f aca="false">O1035</f>
        <v>60</v>
      </c>
      <c r="R1035" s="17" t="n">
        <f aca="false">IF(C1035="COVERED",10.4,7.55)</f>
        <v>10.4</v>
      </c>
      <c r="S1035" s="17" t="n">
        <f aca="false">Q1035*R1035</f>
        <v>624</v>
      </c>
      <c r="T1035" s="9" t="s">
        <v>7126</v>
      </c>
      <c r="U1035" s="10" t="n">
        <v>46235</v>
      </c>
      <c r="V1035" s="9" t="n">
        <v>60</v>
      </c>
      <c r="W1035" s="17" t="n">
        <v>10.4</v>
      </c>
      <c r="X1035" s="17" t="n">
        <v>624</v>
      </c>
      <c r="Y1035" s="17" t="n">
        <f aca="false">IF(ISNUMBER(X1035),X1035-S1035,"")</f>
        <v>0</v>
      </c>
      <c r="Z1035" s="17" t="n">
        <f aca="false">IF(ISNUMBER(X1035),X1035-S1035,-S1035)</f>
        <v>0</v>
      </c>
      <c r="AA1035" s="9" t="str">
        <f aca="false">IF(NOT(ISNUMBER(X1035)),"NO AUGUST POSTING IN EXPORT",IF(ABS(Y1035)&gt;=0.005,"POSTED CHARGE MISMATCH",IF(P1035&gt;0,"MATCH - COVERED ELIGIBILITY EXCEPTION","MATCH")))</f>
        <v>MATCH - COVERED ELIGIBILITY EXCEPTION</v>
      </c>
      <c r="AB1035" s="9" t="s">
        <v>7127</v>
      </c>
    </row>
    <row r="1036" customFormat="false" ht="15" hidden="false" customHeight="false" outlineLevel="0" collapsed="false">
      <c r="A1036" s="13" t="s">
        <v>806</v>
      </c>
      <c r="B1036" s="13" t="s">
        <v>135</v>
      </c>
      <c r="C1036" s="13" t="s">
        <v>114</v>
      </c>
      <c r="D1036" s="13" t="s">
        <v>2002</v>
      </c>
      <c r="E1036" s="13" t="s">
        <v>3058</v>
      </c>
      <c r="F1036" s="13" t="s">
        <v>7128</v>
      </c>
      <c r="G1036" s="13" t="s">
        <v>7129</v>
      </c>
      <c r="H1036" s="13" t="s">
        <v>3320</v>
      </c>
      <c r="I1036" s="15" t="n">
        <v>36</v>
      </c>
      <c r="J1036" s="15" t="n">
        <v>22.4</v>
      </c>
      <c r="K1036" s="15"/>
      <c r="L1036" s="15"/>
      <c r="M1036" s="15" t="n">
        <f aca="false">IF(ISNUMBER(L1036),L1036,J1036)</f>
        <v>22.4</v>
      </c>
      <c r="N1036" s="15" t="n">
        <f aca="false">ROUNDUP(M1036,0)</f>
        <v>23</v>
      </c>
      <c r="O1036" s="15" t="n">
        <f aca="false">MAX(I1036,N1036)</f>
        <v>36</v>
      </c>
      <c r="P1036" s="15" t="n">
        <f aca="false">IF(C1036="COVERED",MAX(0,O1036-40),0)</f>
        <v>0</v>
      </c>
      <c r="Q1036" s="15" t="n">
        <f aca="false">O1036</f>
        <v>36</v>
      </c>
      <c r="R1036" s="18" t="n">
        <f aca="false">IF(C1036="COVERED",10.4,7.55)</f>
        <v>10.4</v>
      </c>
      <c r="S1036" s="18" t="n">
        <f aca="false">Q1036*R1036</f>
        <v>374.4</v>
      </c>
      <c r="T1036" s="13" t="s">
        <v>7130</v>
      </c>
      <c r="U1036" s="14" t="n">
        <v>46235</v>
      </c>
      <c r="V1036" s="13" t="n">
        <v>36</v>
      </c>
      <c r="W1036" s="18" t="n">
        <v>10.4</v>
      </c>
      <c r="X1036" s="18" t="n">
        <v>374.4</v>
      </c>
      <c r="Y1036" s="18" t="n">
        <f aca="false">IF(ISNUMBER(X1036),X1036-S1036,"")</f>
        <v>0</v>
      </c>
      <c r="Z1036" s="18" t="n">
        <f aca="false">IF(ISNUMBER(X1036),X1036-S1036,-S1036)</f>
        <v>0</v>
      </c>
      <c r="AA1036" s="13" t="str">
        <f aca="false">IF(NOT(ISNUMBER(X1036)),"NO AUGUST POSTING IN EXPORT",IF(ABS(Y1036)&gt;=0.005,"POSTED CHARGE MISMATCH",IF(P1036&gt;0,"MATCH - COVERED ELIGIBILITY EXCEPTION","MATCH")))</f>
        <v>MATCH</v>
      </c>
      <c r="AB1036" s="13" t="s">
        <v>7131</v>
      </c>
    </row>
    <row r="1037" customFormat="false" ht="15" hidden="false" customHeight="false" outlineLevel="0" collapsed="false">
      <c r="A1037" s="9" t="s">
        <v>7132</v>
      </c>
      <c r="B1037" s="9" t="s">
        <v>135</v>
      </c>
      <c r="C1037" s="9" t="s">
        <v>114</v>
      </c>
      <c r="D1037" s="9" t="s">
        <v>2002</v>
      </c>
      <c r="E1037" s="9" t="s">
        <v>3065</v>
      </c>
      <c r="F1037" s="9" t="s">
        <v>7133</v>
      </c>
      <c r="G1037" s="9" t="s">
        <v>7134</v>
      </c>
      <c r="H1037" s="9" t="s">
        <v>7135</v>
      </c>
      <c r="I1037" s="11" t="n">
        <v>32</v>
      </c>
      <c r="J1037" s="11" t="n">
        <v>58.6</v>
      </c>
      <c r="K1037" s="11"/>
      <c r="L1037" s="11"/>
      <c r="M1037" s="11" t="n">
        <f aca="false">IF(ISNUMBER(L1037),L1037,J1037)</f>
        <v>58.6</v>
      </c>
      <c r="N1037" s="11" t="n">
        <f aca="false">ROUNDUP(M1037,0)</f>
        <v>59</v>
      </c>
      <c r="O1037" s="11" t="n">
        <f aca="false">MAX(I1037,N1037)</f>
        <v>59</v>
      </c>
      <c r="P1037" s="11" t="n">
        <f aca="false">IF(C1037="COVERED",MAX(0,O1037-40),0)</f>
        <v>19</v>
      </c>
      <c r="Q1037" s="11" t="n">
        <f aca="false">O1037</f>
        <v>59</v>
      </c>
      <c r="R1037" s="17" t="n">
        <f aca="false">IF(C1037="COVERED",10.4,7.55)</f>
        <v>10.4</v>
      </c>
      <c r="S1037" s="17" t="n">
        <f aca="false">Q1037*R1037</f>
        <v>613.6</v>
      </c>
      <c r="T1037" s="9" t="s">
        <v>7136</v>
      </c>
      <c r="U1037" s="10" t="n">
        <v>46235</v>
      </c>
      <c r="V1037" s="9" t="n">
        <v>59</v>
      </c>
      <c r="W1037" s="17" t="n">
        <v>10.4</v>
      </c>
      <c r="X1037" s="17" t="n">
        <v>613.6</v>
      </c>
      <c r="Y1037" s="17" t="n">
        <f aca="false">IF(ISNUMBER(X1037),X1037-S1037,"")</f>
        <v>0</v>
      </c>
      <c r="Z1037" s="17" t="n">
        <f aca="false">IF(ISNUMBER(X1037),X1037-S1037,-S1037)</f>
        <v>0</v>
      </c>
      <c r="AA1037" s="9" t="str">
        <f aca="false">IF(NOT(ISNUMBER(X1037)),"NO AUGUST POSTING IN EXPORT",IF(ABS(Y1037)&gt;=0.005,"POSTED CHARGE MISMATCH",IF(P1037&gt;0,"MATCH - COVERED ELIGIBILITY EXCEPTION","MATCH")))</f>
        <v>MATCH - COVERED ELIGIBILITY EXCEPTION</v>
      </c>
      <c r="AB1037" s="9" t="s">
        <v>7137</v>
      </c>
    </row>
    <row r="1038" customFormat="false" ht="15" hidden="false" customHeight="false" outlineLevel="0" collapsed="false">
      <c r="A1038" s="13" t="s">
        <v>7138</v>
      </c>
      <c r="B1038" s="13" t="s">
        <v>135</v>
      </c>
      <c r="C1038" s="13" t="s">
        <v>114</v>
      </c>
      <c r="D1038" s="13" t="s">
        <v>2002</v>
      </c>
      <c r="E1038" s="13" t="s">
        <v>3070</v>
      </c>
      <c r="F1038" s="13" t="s">
        <v>7139</v>
      </c>
      <c r="G1038" s="13" t="s">
        <v>7140</v>
      </c>
      <c r="H1038" s="13" t="s">
        <v>2939</v>
      </c>
      <c r="I1038" s="15" t="n">
        <v>28</v>
      </c>
      <c r="J1038" s="15" t="n">
        <v>54.9</v>
      </c>
      <c r="K1038" s="15"/>
      <c r="L1038" s="15"/>
      <c r="M1038" s="15" t="n">
        <f aca="false">IF(ISNUMBER(L1038),L1038,J1038)</f>
        <v>54.9</v>
      </c>
      <c r="N1038" s="15" t="n">
        <f aca="false">ROUNDUP(M1038,0)</f>
        <v>55</v>
      </c>
      <c r="O1038" s="15" t="n">
        <f aca="false">MAX(I1038,N1038)</f>
        <v>55</v>
      </c>
      <c r="P1038" s="15" t="n">
        <f aca="false">IF(C1038="COVERED",MAX(0,O1038-40),0)</f>
        <v>15</v>
      </c>
      <c r="Q1038" s="15" t="n">
        <f aca="false">O1038</f>
        <v>55</v>
      </c>
      <c r="R1038" s="18" t="n">
        <f aca="false">IF(C1038="COVERED",10.4,7.55)</f>
        <v>10.4</v>
      </c>
      <c r="S1038" s="18" t="n">
        <f aca="false">Q1038*R1038</f>
        <v>572</v>
      </c>
      <c r="T1038" s="13" t="s">
        <v>7141</v>
      </c>
      <c r="U1038" s="14" t="n">
        <v>46235</v>
      </c>
      <c r="V1038" s="13" t="n">
        <v>55</v>
      </c>
      <c r="W1038" s="18" t="n">
        <v>10.4</v>
      </c>
      <c r="X1038" s="18" t="n">
        <v>572</v>
      </c>
      <c r="Y1038" s="18" t="n">
        <f aca="false">IF(ISNUMBER(X1038),X1038-S1038,"")</f>
        <v>0</v>
      </c>
      <c r="Z1038" s="18" t="n">
        <f aca="false">IF(ISNUMBER(X1038),X1038-S1038,-S1038)</f>
        <v>0</v>
      </c>
      <c r="AA1038" s="13" t="str">
        <f aca="false">IF(NOT(ISNUMBER(X1038)),"NO AUGUST POSTING IN EXPORT",IF(ABS(Y1038)&gt;=0.005,"POSTED CHARGE MISMATCH",IF(P1038&gt;0,"MATCH - COVERED ELIGIBILITY EXCEPTION","MATCH")))</f>
        <v>MATCH - COVERED ELIGIBILITY EXCEPTION</v>
      </c>
      <c r="AB1038" s="13" t="s">
        <v>7142</v>
      </c>
    </row>
    <row r="1039" customFormat="false" ht="15" hidden="false" customHeight="false" outlineLevel="0" collapsed="false">
      <c r="A1039" s="9" t="s">
        <v>7143</v>
      </c>
      <c r="B1039" s="9" t="s">
        <v>135</v>
      </c>
      <c r="C1039" s="9" t="s">
        <v>114</v>
      </c>
      <c r="D1039" s="9" t="s">
        <v>2002</v>
      </c>
      <c r="E1039" s="9" t="s">
        <v>3077</v>
      </c>
      <c r="F1039" s="9" t="s">
        <v>7144</v>
      </c>
      <c r="G1039" s="9" t="s">
        <v>7145</v>
      </c>
      <c r="H1039" s="9" t="s">
        <v>6899</v>
      </c>
      <c r="I1039" s="11" t="n">
        <v>24</v>
      </c>
      <c r="J1039" s="11" t="n">
        <v>47</v>
      </c>
      <c r="K1039" s="11"/>
      <c r="L1039" s="11"/>
      <c r="M1039" s="11" t="n">
        <f aca="false">IF(ISNUMBER(L1039),L1039,J1039)</f>
        <v>47</v>
      </c>
      <c r="N1039" s="11" t="n">
        <f aca="false">ROUNDUP(M1039,0)</f>
        <v>47</v>
      </c>
      <c r="O1039" s="11" t="n">
        <f aca="false">MAX(I1039,N1039)</f>
        <v>47</v>
      </c>
      <c r="P1039" s="11" t="n">
        <f aca="false">IF(C1039="COVERED",MAX(0,O1039-40),0)</f>
        <v>7</v>
      </c>
      <c r="Q1039" s="11" t="n">
        <f aca="false">O1039</f>
        <v>47</v>
      </c>
      <c r="R1039" s="17" t="n">
        <f aca="false">IF(C1039="COVERED",10.4,7.55)</f>
        <v>10.4</v>
      </c>
      <c r="S1039" s="17" t="n">
        <f aca="false">Q1039*R1039</f>
        <v>488.8</v>
      </c>
      <c r="T1039" s="9" t="s">
        <v>7146</v>
      </c>
      <c r="U1039" s="10" t="n">
        <v>46235</v>
      </c>
      <c r="V1039" s="9" t="n">
        <v>47</v>
      </c>
      <c r="W1039" s="17" t="n">
        <v>10.4</v>
      </c>
      <c r="X1039" s="17" t="n">
        <v>488.8</v>
      </c>
      <c r="Y1039" s="17" t="n">
        <f aca="false">IF(ISNUMBER(X1039),X1039-S1039,"")</f>
        <v>0</v>
      </c>
      <c r="Z1039" s="17" t="n">
        <f aca="false">IF(ISNUMBER(X1039),X1039-S1039,-S1039)</f>
        <v>0</v>
      </c>
      <c r="AA1039" s="9" t="str">
        <f aca="false">IF(NOT(ISNUMBER(X1039)),"NO AUGUST POSTING IN EXPORT",IF(ABS(Y1039)&gt;=0.005,"POSTED CHARGE MISMATCH",IF(P1039&gt;0,"MATCH - COVERED ELIGIBILITY EXCEPTION","MATCH")))</f>
        <v>MATCH - COVERED ELIGIBILITY EXCEPTION</v>
      </c>
      <c r="AB1039" s="9" t="s">
        <v>7147</v>
      </c>
    </row>
    <row r="1040" customFormat="false" ht="15" hidden="false" customHeight="false" outlineLevel="0" collapsed="false">
      <c r="A1040" s="13" t="s">
        <v>7148</v>
      </c>
      <c r="B1040" s="13" t="s">
        <v>135</v>
      </c>
      <c r="C1040" s="13" t="s">
        <v>114</v>
      </c>
      <c r="D1040" s="13" t="s">
        <v>2002</v>
      </c>
      <c r="E1040" s="13" t="s">
        <v>3083</v>
      </c>
      <c r="F1040" s="13" t="s">
        <v>7149</v>
      </c>
      <c r="G1040" s="13" t="s">
        <v>587</v>
      </c>
      <c r="H1040" s="13" t="s">
        <v>6741</v>
      </c>
      <c r="I1040" s="15" t="n">
        <v>24</v>
      </c>
      <c r="J1040" s="15" t="n">
        <v>56.9</v>
      </c>
      <c r="K1040" s="15"/>
      <c r="L1040" s="15"/>
      <c r="M1040" s="15" t="n">
        <f aca="false">IF(ISNUMBER(L1040),L1040,J1040)</f>
        <v>56.9</v>
      </c>
      <c r="N1040" s="15" t="n">
        <f aca="false">ROUNDUP(M1040,0)</f>
        <v>57</v>
      </c>
      <c r="O1040" s="15" t="n">
        <f aca="false">MAX(I1040,N1040)</f>
        <v>57</v>
      </c>
      <c r="P1040" s="15" t="n">
        <f aca="false">IF(C1040="COVERED",MAX(0,O1040-40),0)</f>
        <v>17</v>
      </c>
      <c r="Q1040" s="15" t="n">
        <f aca="false">O1040</f>
        <v>57</v>
      </c>
      <c r="R1040" s="18" t="n">
        <f aca="false">IF(C1040="COVERED",10.4,7.55)</f>
        <v>10.4</v>
      </c>
      <c r="S1040" s="18" t="n">
        <f aca="false">Q1040*R1040</f>
        <v>592.8</v>
      </c>
      <c r="T1040" s="13" t="s">
        <v>7150</v>
      </c>
      <c r="U1040" s="14" t="n">
        <v>46235</v>
      </c>
      <c r="V1040" s="13" t="n">
        <v>57</v>
      </c>
      <c r="W1040" s="18" t="n">
        <v>10.4</v>
      </c>
      <c r="X1040" s="18" t="n">
        <v>592.8</v>
      </c>
      <c r="Y1040" s="18" t="n">
        <f aca="false">IF(ISNUMBER(X1040),X1040-S1040,"")</f>
        <v>0</v>
      </c>
      <c r="Z1040" s="18" t="n">
        <f aca="false">IF(ISNUMBER(X1040),X1040-S1040,-S1040)</f>
        <v>0</v>
      </c>
      <c r="AA1040" s="13" t="str">
        <f aca="false">IF(NOT(ISNUMBER(X1040)),"NO AUGUST POSTING IN EXPORT",IF(ABS(Y1040)&gt;=0.005,"POSTED CHARGE MISMATCH",IF(P1040&gt;0,"MATCH - COVERED ELIGIBILITY EXCEPTION","MATCH")))</f>
        <v>MATCH - COVERED ELIGIBILITY EXCEPTION</v>
      </c>
      <c r="AB1040" s="13" t="s">
        <v>7151</v>
      </c>
    </row>
    <row r="1041" customFormat="false" ht="15" hidden="false" customHeight="false" outlineLevel="0" collapsed="false">
      <c r="A1041" s="9" t="s">
        <v>608</v>
      </c>
      <c r="B1041" s="9" t="s">
        <v>135</v>
      </c>
      <c r="C1041" s="9" t="s">
        <v>114</v>
      </c>
      <c r="D1041" s="9" t="s">
        <v>2002</v>
      </c>
      <c r="E1041" s="9" t="s">
        <v>4179</v>
      </c>
      <c r="F1041" s="9" t="s">
        <v>7152</v>
      </c>
      <c r="G1041" s="9" t="s">
        <v>7153</v>
      </c>
      <c r="H1041" s="9" t="s">
        <v>2144</v>
      </c>
      <c r="I1041" s="11" t="n">
        <v>36</v>
      </c>
      <c r="J1041" s="11" t="n">
        <v>39.8</v>
      </c>
      <c r="K1041" s="11"/>
      <c r="L1041" s="11"/>
      <c r="M1041" s="11" t="n">
        <f aca="false">IF(ISNUMBER(L1041),L1041,J1041)</f>
        <v>39.8</v>
      </c>
      <c r="N1041" s="11" t="n">
        <f aca="false">ROUNDUP(M1041,0)</f>
        <v>40</v>
      </c>
      <c r="O1041" s="11" t="n">
        <f aca="false">MAX(I1041,N1041)</f>
        <v>40</v>
      </c>
      <c r="P1041" s="11" t="n">
        <f aca="false">IF(C1041="COVERED",MAX(0,O1041-40),0)</f>
        <v>0</v>
      </c>
      <c r="Q1041" s="11" t="n">
        <f aca="false">O1041</f>
        <v>40</v>
      </c>
      <c r="R1041" s="17" t="n">
        <f aca="false">IF(C1041="COVERED",10.4,7.55)</f>
        <v>10.4</v>
      </c>
      <c r="S1041" s="17" t="n">
        <f aca="false">Q1041*R1041</f>
        <v>416</v>
      </c>
      <c r="T1041" s="9" t="s">
        <v>7154</v>
      </c>
      <c r="U1041" s="10" t="n">
        <v>46235</v>
      </c>
      <c r="V1041" s="9" t="n">
        <v>40</v>
      </c>
      <c r="W1041" s="17" t="n">
        <v>10.4</v>
      </c>
      <c r="X1041" s="17" t="n">
        <v>416</v>
      </c>
      <c r="Y1041" s="17" t="n">
        <f aca="false">IF(ISNUMBER(X1041),X1041-S1041,"")</f>
        <v>0</v>
      </c>
      <c r="Z1041" s="17" t="n">
        <f aca="false">IF(ISNUMBER(X1041),X1041-S1041,-S1041)</f>
        <v>0</v>
      </c>
      <c r="AA1041" s="9" t="str">
        <f aca="false">IF(NOT(ISNUMBER(X1041)),"NO AUGUST POSTING IN EXPORT",IF(ABS(Y1041)&gt;=0.005,"POSTED CHARGE MISMATCH",IF(P1041&gt;0,"MATCH - COVERED ELIGIBILITY EXCEPTION","MATCH")))</f>
        <v>MATCH</v>
      </c>
      <c r="AB1041" s="9" t="s">
        <v>7155</v>
      </c>
    </row>
    <row r="1042" customFormat="false" ht="15" hidden="false" customHeight="false" outlineLevel="0" collapsed="false">
      <c r="A1042" s="13" t="s">
        <v>7156</v>
      </c>
      <c r="B1042" s="13" t="s">
        <v>135</v>
      </c>
      <c r="C1042" s="13" t="s">
        <v>114</v>
      </c>
      <c r="D1042" s="13" t="s">
        <v>2002</v>
      </c>
      <c r="E1042" s="13" t="s">
        <v>3090</v>
      </c>
      <c r="F1042" s="13" t="s">
        <v>1582</v>
      </c>
      <c r="G1042" s="13" t="s">
        <v>1583</v>
      </c>
      <c r="H1042" s="13" t="s">
        <v>3293</v>
      </c>
      <c r="I1042" s="15" t="n">
        <v>40</v>
      </c>
      <c r="J1042" s="15" t="n">
        <v>57.6</v>
      </c>
      <c r="K1042" s="15"/>
      <c r="L1042" s="15"/>
      <c r="M1042" s="15" t="n">
        <f aca="false">IF(ISNUMBER(L1042),L1042,J1042)</f>
        <v>57.6</v>
      </c>
      <c r="N1042" s="15" t="n">
        <f aca="false">ROUNDUP(M1042,0)</f>
        <v>58</v>
      </c>
      <c r="O1042" s="15" t="n">
        <f aca="false">MAX(I1042,N1042)</f>
        <v>58</v>
      </c>
      <c r="P1042" s="15" t="n">
        <f aca="false">IF(C1042="COVERED",MAX(0,O1042-40),0)</f>
        <v>18</v>
      </c>
      <c r="Q1042" s="15" t="n">
        <f aca="false">O1042</f>
        <v>58</v>
      </c>
      <c r="R1042" s="18" t="n">
        <f aca="false">IF(C1042="COVERED",10.4,7.55)</f>
        <v>10.4</v>
      </c>
      <c r="S1042" s="18" t="n">
        <f aca="false">Q1042*R1042</f>
        <v>603.2</v>
      </c>
      <c r="T1042" s="13" t="s">
        <v>7157</v>
      </c>
      <c r="U1042" s="14" t="n">
        <v>46235</v>
      </c>
      <c r="V1042" s="13" t="n">
        <v>58</v>
      </c>
      <c r="W1042" s="18" t="n">
        <v>10.4</v>
      </c>
      <c r="X1042" s="18" t="n">
        <v>603.2</v>
      </c>
      <c r="Y1042" s="18" t="n">
        <f aca="false">IF(ISNUMBER(X1042),X1042-S1042,"")</f>
        <v>0</v>
      </c>
      <c r="Z1042" s="18" t="n">
        <f aca="false">IF(ISNUMBER(X1042),X1042-S1042,-S1042)</f>
        <v>0</v>
      </c>
      <c r="AA1042" s="13" t="str">
        <f aca="false">IF(NOT(ISNUMBER(X1042)),"NO AUGUST POSTING IN EXPORT",IF(ABS(Y1042)&gt;=0.005,"POSTED CHARGE MISMATCH",IF(P1042&gt;0,"MATCH - COVERED ELIGIBILITY EXCEPTION","MATCH")))</f>
        <v>MATCH - COVERED ELIGIBILITY EXCEPTION</v>
      </c>
      <c r="AB1042" s="13" t="s">
        <v>7158</v>
      </c>
    </row>
    <row r="1043" customFormat="false" ht="15" hidden="false" customHeight="false" outlineLevel="0" collapsed="false">
      <c r="A1043" s="9" t="s">
        <v>7159</v>
      </c>
      <c r="B1043" s="9" t="s">
        <v>135</v>
      </c>
      <c r="C1043" s="9" t="s">
        <v>114</v>
      </c>
      <c r="D1043" s="9" t="s">
        <v>2002</v>
      </c>
      <c r="E1043" s="9" t="s">
        <v>3097</v>
      </c>
      <c r="F1043" s="9" t="s">
        <v>7160</v>
      </c>
      <c r="G1043" s="9" t="s">
        <v>7161</v>
      </c>
      <c r="H1043" s="9" t="s">
        <v>3215</v>
      </c>
      <c r="I1043" s="11" t="n">
        <v>36</v>
      </c>
      <c r="J1043" s="11" t="n">
        <v>50.8</v>
      </c>
      <c r="K1043" s="11"/>
      <c r="L1043" s="11"/>
      <c r="M1043" s="11" t="n">
        <f aca="false">IF(ISNUMBER(L1043),L1043,J1043)</f>
        <v>50.8</v>
      </c>
      <c r="N1043" s="11" t="n">
        <f aca="false">ROUNDUP(M1043,0)</f>
        <v>51</v>
      </c>
      <c r="O1043" s="11" t="n">
        <f aca="false">MAX(I1043,N1043)</f>
        <v>51</v>
      </c>
      <c r="P1043" s="11" t="n">
        <f aca="false">IF(C1043="COVERED",MAX(0,O1043-40),0)</f>
        <v>11</v>
      </c>
      <c r="Q1043" s="11" t="n">
        <f aca="false">O1043</f>
        <v>51</v>
      </c>
      <c r="R1043" s="17" t="n">
        <f aca="false">IF(C1043="COVERED",10.4,7.55)</f>
        <v>10.4</v>
      </c>
      <c r="S1043" s="17" t="n">
        <f aca="false">Q1043*R1043</f>
        <v>530.4</v>
      </c>
      <c r="T1043" s="9" t="s">
        <v>7162</v>
      </c>
      <c r="U1043" s="10" t="n">
        <v>46235</v>
      </c>
      <c r="V1043" s="9" t="n">
        <v>51</v>
      </c>
      <c r="W1043" s="17" t="n">
        <v>10.4</v>
      </c>
      <c r="X1043" s="17" t="n">
        <v>530.4</v>
      </c>
      <c r="Y1043" s="17" t="n">
        <f aca="false">IF(ISNUMBER(X1043),X1043-S1043,"")</f>
        <v>0</v>
      </c>
      <c r="Z1043" s="17" t="n">
        <f aca="false">IF(ISNUMBER(X1043),X1043-S1043,-S1043)</f>
        <v>0</v>
      </c>
      <c r="AA1043" s="9" t="str">
        <f aca="false">IF(NOT(ISNUMBER(X1043)),"NO AUGUST POSTING IN EXPORT",IF(ABS(Y1043)&gt;=0.005,"POSTED CHARGE MISMATCH",IF(P1043&gt;0,"MATCH - COVERED ELIGIBILITY EXCEPTION","MATCH")))</f>
        <v>MATCH - COVERED ELIGIBILITY EXCEPTION</v>
      </c>
      <c r="AB1043" s="9" t="s">
        <v>7163</v>
      </c>
    </row>
    <row r="1044" customFormat="false" ht="15" hidden="false" customHeight="false" outlineLevel="0" collapsed="false">
      <c r="A1044" s="13" t="s">
        <v>7164</v>
      </c>
      <c r="B1044" s="13" t="s">
        <v>135</v>
      </c>
      <c r="C1044" s="13" t="s">
        <v>114</v>
      </c>
      <c r="D1044" s="13" t="s">
        <v>2002</v>
      </c>
      <c r="E1044" s="13" t="s">
        <v>3104</v>
      </c>
      <c r="F1044" s="13" t="s">
        <v>7165</v>
      </c>
      <c r="G1044" s="13" t="s">
        <v>7166</v>
      </c>
      <c r="H1044" s="13" t="s">
        <v>3987</v>
      </c>
      <c r="I1044" s="15" t="n">
        <v>40</v>
      </c>
      <c r="J1044" s="15" t="n">
        <v>58.3</v>
      </c>
      <c r="K1044" s="15"/>
      <c r="L1044" s="15"/>
      <c r="M1044" s="15" t="n">
        <f aca="false">IF(ISNUMBER(L1044),L1044,J1044)</f>
        <v>58.3</v>
      </c>
      <c r="N1044" s="15" t="n">
        <f aca="false">ROUNDUP(M1044,0)</f>
        <v>59</v>
      </c>
      <c r="O1044" s="15" t="n">
        <f aca="false">MAX(I1044,N1044)</f>
        <v>59</v>
      </c>
      <c r="P1044" s="15" t="n">
        <f aca="false">IF(C1044="COVERED",MAX(0,O1044-40),0)</f>
        <v>19</v>
      </c>
      <c r="Q1044" s="15" t="n">
        <f aca="false">O1044</f>
        <v>59</v>
      </c>
      <c r="R1044" s="18" t="n">
        <f aca="false">IF(C1044="COVERED",10.4,7.55)</f>
        <v>10.4</v>
      </c>
      <c r="S1044" s="18" t="n">
        <f aca="false">Q1044*R1044</f>
        <v>613.6</v>
      </c>
      <c r="T1044" s="13" t="s">
        <v>7167</v>
      </c>
      <c r="U1044" s="14" t="n">
        <v>46235</v>
      </c>
      <c r="V1044" s="13" t="n">
        <v>59</v>
      </c>
      <c r="W1044" s="18" t="n">
        <v>10.4</v>
      </c>
      <c r="X1044" s="18" t="n">
        <v>613.6</v>
      </c>
      <c r="Y1044" s="18" t="n">
        <f aca="false">IF(ISNUMBER(X1044),X1044-S1044,"")</f>
        <v>0</v>
      </c>
      <c r="Z1044" s="18" t="n">
        <f aca="false">IF(ISNUMBER(X1044),X1044-S1044,-S1044)</f>
        <v>0</v>
      </c>
      <c r="AA1044" s="13" t="str">
        <f aca="false">IF(NOT(ISNUMBER(X1044)),"NO AUGUST POSTING IN EXPORT",IF(ABS(Y1044)&gt;=0.005,"POSTED CHARGE MISMATCH",IF(P1044&gt;0,"MATCH - COVERED ELIGIBILITY EXCEPTION","MATCH")))</f>
        <v>MATCH - COVERED ELIGIBILITY EXCEPTION</v>
      </c>
      <c r="AB1044" s="13" t="s">
        <v>7168</v>
      </c>
    </row>
    <row r="1045" customFormat="false" ht="15" hidden="false" customHeight="false" outlineLevel="0" collapsed="false">
      <c r="A1045" s="9" t="s">
        <v>7169</v>
      </c>
      <c r="B1045" s="9" t="s">
        <v>135</v>
      </c>
      <c r="C1045" s="9" t="s">
        <v>114</v>
      </c>
      <c r="D1045" s="9" t="s">
        <v>2002</v>
      </c>
      <c r="E1045" s="9" t="s">
        <v>3111</v>
      </c>
      <c r="F1045" s="9" t="s">
        <v>549</v>
      </c>
      <c r="G1045" s="9" t="s">
        <v>550</v>
      </c>
      <c r="H1045" s="9" t="s">
        <v>3274</v>
      </c>
      <c r="I1045" s="11" t="n">
        <v>36</v>
      </c>
      <c r="J1045" s="11" t="n">
        <v>46.5</v>
      </c>
      <c r="K1045" s="11"/>
      <c r="L1045" s="11"/>
      <c r="M1045" s="11" t="n">
        <f aca="false">IF(ISNUMBER(L1045),L1045,J1045)</f>
        <v>46.5</v>
      </c>
      <c r="N1045" s="11" t="n">
        <f aca="false">ROUNDUP(M1045,0)</f>
        <v>47</v>
      </c>
      <c r="O1045" s="11" t="n">
        <f aca="false">MAX(I1045,N1045)</f>
        <v>47</v>
      </c>
      <c r="P1045" s="11" t="n">
        <f aca="false">IF(C1045="COVERED",MAX(0,O1045-40),0)</f>
        <v>7</v>
      </c>
      <c r="Q1045" s="11" t="n">
        <f aca="false">O1045</f>
        <v>47</v>
      </c>
      <c r="R1045" s="17" t="n">
        <f aca="false">IF(C1045="COVERED",10.4,7.55)</f>
        <v>10.4</v>
      </c>
      <c r="S1045" s="17" t="n">
        <f aca="false">Q1045*R1045</f>
        <v>488.8</v>
      </c>
      <c r="T1045" s="9" t="s">
        <v>7170</v>
      </c>
      <c r="U1045" s="10" t="n">
        <v>46235</v>
      </c>
      <c r="V1045" s="9" t="n">
        <v>47</v>
      </c>
      <c r="W1045" s="17" t="n">
        <v>10.4</v>
      </c>
      <c r="X1045" s="17" t="n">
        <v>488.8</v>
      </c>
      <c r="Y1045" s="17" t="n">
        <f aca="false">IF(ISNUMBER(X1045),X1045-S1045,"")</f>
        <v>0</v>
      </c>
      <c r="Z1045" s="17" t="n">
        <f aca="false">IF(ISNUMBER(X1045),X1045-S1045,-S1045)</f>
        <v>0</v>
      </c>
      <c r="AA1045" s="9" t="str">
        <f aca="false">IF(NOT(ISNUMBER(X1045)),"NO AUGUST POSTING IN EXPORT",IF(ABS(Y1045)&gt;=0.005,"POSTED CHARGE MISMATCH",IF(P1045&gt;0,"MATCH - COVERED ELIGIBILITY EXCEPTION","MATCH")))</f>
        <v>MATCH - COVERED ELIGIBILITY EXCEPTION</v>
      </c>
      <c r="AB1045" s="9" t="s">
        <v>7171</v>
      </c>
    </row>
    <row r="1046" customFormat="false" ht="15" hidden="false" customHeight="false" outlineLevel="0" collapsed="false">
      <c r="A1046" s="13" t="s">
        <v>7172</v>
      </c>
      <c r="B1046" s="13" t="s">
        <v>135</v>
      </c>
      <c r="C1046" s="13" t="s">
        <v>114</v>
      </c>
      <c r="D1046" s="13" t="s">
        <v>2002</v>
      </c>
      <c r="E1046" s="13" t="s">
        <v>3117</v>
      </c>
      <c r="F1046" s="13" t="s">
        <v>7173</v>
      </c>
      <c r="G1046" s="13" t="s">
        <v>7174</v>
      </c>
      <c r="H1046" s="13" t="s">
        <v>5886</v>
      </c>
      <c r="I1046" s="15" t="n">
        <v>28</v>
      </c>
      <c r="J1046" s="15" t="n">
        <v>58.1</v>
      </c>
      <c r="K1046" s="15"/>
      <c r="L1046" s="15"/>
      <c r="M1046" s="15" t="n">
        <f aca="false">IF(ISNUMBER(L1046),L1046,J1046)</f>
        <v>58.1</v>
      </c>
      <c r="N1046" s="15" t="n">
        <f aca="false">ROUNDUP(M1046,0)</f>
        <v>59</v>
      </c>
      <c r="O1046" s="15" t="n">
        <f aca="false">MAX(I1046,N1046)</f>
        <v>59</v>
      </c>
      <c r="P1046" s="15" t="n">
        <f aca="false">IF(C1046="COVERED",MAX(0,O1046-40),0)</f>
        <v>19</v>
      </c>
      <c r="Q1046" s="15" t="n">
        <f aca="false">O1046</f>
        <v>59</v>
      </c>
      <c r="R1046" s="18" t="n">
        <f aca="false">IF(C1046="COVERED",10.4,7.55)</f>
        <v>10.4</v>
      </c>
      <c r="S1046" s="18" t="n">
        <f aca="false">Q1046*R1046</f>
        <v>613.6</v>
      </c>
      <c r="T1046" s="13" t="s">
        <v>7175</v>
      </c>
      <c r="U1046" s="14" t="n">
        <v>46235</v>
      </c>
      <c r="V1046" s="13" t="n">
        <v>59</v>
      </c>
      <c r="W1046" s="18" t="n">
        <v>10.4</v>
      </c>
      <c r="X1046" s="18" t="n">
        <v>613.6</v>
      </c>
      <c r="Y1046" s="18" t="n">
        <f aca="false">IF(ISNUMBER(X1046),X1046-S1046,"")</f>
        <v>0</v>
      </c>
      <c r="Z1046" s="18" t="n">
        <f aca="false">IF(ISNUMBER(X1046),X1046-S1046,-S1046)</f>
        <v>0</v>
      </c>
      <c r="AA1046" s="13" t="str">
        <f aca="false">IF(NOT(ISNUMBER(X1046)),"NO AUGUST POSTING IN EXPORT",IF(ABS(Y1046)&gt;=0.005,"POSTED CHARGE MISMATCH",IF(P1046&gt;0,"MATCH - COVERED ELIGIBILITY EXCEPTION","MATCH")))</f>
        <v>MATCH - COVERED ELIGIBILITY EXCEPTION</v>
      </c>
      <c r="AB1046" s="13" t="s">
        <v>7176</v>
      </c>
    </row>
    <row r="1047" customFormat="false" ht="15" hidden="false" customHeight="false" outlineLevel="0" collapsed="false">
      <c r="A1047" s="9" t="s">
        <v>7177</v>
      </c>
      <c r="B1047" s="9" t="s">
        <v>135</v>
      </c>
      <c r="C1047" s="9" t="s">
        <v>114</v>
      </c>
      <c r="D1047" s="9" t="s">
        <v>2002</v>
      </c>
      <c r="E1047" s="9" t="s">
        <v>3122</v>
      </c>
      <c r="F1047" s="9" t="s">
        <v>7178</v>
      </c>
      <c r="G1047" s="9" t="s">
        <v>7179</v>
      </c>
      <c r="H1047" s="9" t="s">
        <v>5013</v>
      </c>
      <c r="I1047" s="11" t="n">
        <v>36</v>
      </c>
      <c r="J1047" s="11" t="n">
        <v>56.6</v>
      </c>
      <c r="K1047" s="11"/>
      <c r="L1047" s="11"/>
      <c r="M1047" s="11" t="n">
        <f aca="false">IF(ISNUMBER(L1047),L1047,J1047)</f>
        <v>56.6</v>
      </c>
      <c r="N1047" s="11" t="n">
        <f aca="false">ROUNDUP(M1047,0)</f>
        <v>57</v>
      </c>
      <c r="O1047" s="11" t="n">
        <f aca="false">MAX(I1047,N1047)</f>
        <v>57</v>
      </c>
      <c r="P1047" s="11" t="n">
        <f aca="false">IF(C1047="COVERED",MAX(0,O1047-40),0)</f>
        <v>17</v>
      </c>
      <c r="Q1047" s="11" t="n">
        <f aca="false">O1047</f>
        <v>57</v>
      </c>
      <c r="R1047" s="17" t="n">
        <f aca="false">IF(C1047="COVERED",10.4,7.55)</f>
        <v>10.4</v>
      </c>
      <c r="S1047" s="17" t="n">
        <f aca="false">Q1047*R1047</f>
        <v>592.8</v>
      </c>
      <c r="T1047" s="9" t="s">
        <v>7180</v>
      </c>
      <c r="U1047" s="10" t="n">
        <v>46235</v>
      </c>
      <c r="V1047" s="9" t="n">
        <v>57</v>
      </c>
      <c r="W1047" s="17" t="n">
        <v>10.4</v>
      </c>
      <c r="X1047" s="17" t="n">
        <v>592.8</v>
      </c>
      <c r="Y1047" s="17" t="n">
        <f aca="false">IF(ISNUMBER(X1047),X1047-S1047,"")</f>
        <v>0</v>
      </c>
      <c r="Z1047" s="17" t="n">
        <f aca="false">IF(ISNUMBER(X1047),X1047-S1047,-S1047)</f>
        <v>0</v>
      </c>
      <c r="AA1047" s="9" t="str">
        <f aca="false">IF(NOT(ISNUMBER(X1047)),"NO AUGUST POSTING IN EXPORT",IF(ABS(Y1047)&gt;=0.005,"POSTED CHARGE MISMATCH",IF(P1047&gt;0,"MATCH - COVERED ELIGIBILITY EXCEPTION","MATCH")))</f>
        <v>MATCH - COVERED ELIGIBILITY EXCEPTION</v>
      </c>
      <c r="AB1047" s="9" t="s">
        <v>7181</v>
      </c>
    </row>
    <row r="1048" customFormat="false" ht="15" hidden="false" customHeight="false" outlineLevel="0" collapsed="false">
      <c r="A1048" s="13" t="s">
        <v>760</v>
      </c>
      <c r="B1048" s="13" t="s">
        <v>135</v>
      </c>
      <c r="C1048" s="13" t="s">
        <v>114</v>
      </c>
      <c r="D1048" s="13" t="s">
        <v>2002</v>
      </c>
      <c r="E1048" s="13" t="s">
        <v>3129</v>
      </c>
      <c r="F1048" s="13" t="s">
        <v>7182</v>
      </c>
      <c r="G1048" s="13" t="s">
        <v>7183</v>
      </c>
      <c r="H1048" s="13" t="s">
        <v>5229</v>
      </c>
      <c r="I1048" s="15" t="n">
        <v>28</v>
      </c>
      <c r="J1048" s="15" t="n">
        <v>56.5</v>
      </c>
      <c r="K1048" s="15"/>
      <c r="L1048" s="15"/>
      <c r="M1048" s="15" t="n">
        <f aca="false">IF(ISNUMBER(L1048),L1048,J1048)</f>
        <v>56.5</v>
      </c>
      <c r="N1048" s="15" t="n">
        <f aca="false">ROUNDUP(M1048,0)</f>
        <v>57</v>
      </c>
      <c r="O1048" s="15" t="n">
        <f aca="false">MAX(I1048,N1048)</f>
        <v>57</v>
      </c>
      <c r="P1048" s="15" t="n">
        <f aca="false">IF(C1048="COVERED",MAX(0,O1048-40),0)</f>
        <v>17</v>
      </c>
      <c r="Q1048" s="15" t="n">
        <f aca="false">O1048</f>
        <v>57</v>
      </c>
      <c r="R1048" s="18" t="n">
        <f aca="false">IF(C1048="COVERED",10.4,7.55)</f>
        <v>10.4</v>
      </c>
      <c r="S1048" s="18" t="n">
        <f aca="false">Q1048*R1048</f>
        <v>592.8</v>
      </c>
      <c r="T1048" s="13" t="s">
        <v>7184</v>
      </c>
      <c r="U1048" s="14" t="n">
        <v>46235</v>
      </c>
      <c r="V1048" s="13" t="n">
        <v>57</v>
      </c>
      <c r="W1048" s="18" t="n">
        <v>10.4</v>
      </c>
      <c r="X1048" s="18" t="n">
        <v>592.8</v>
      </c>
      <c r="Y1048" s="18" t="n">
        <f aca="false">IF(ISNUMBER(X1048),X1048-S1048,"")</f>
        <v>0</v>
      </c>
      <c r="Z1048" s="18" t="n">
        <f aca="false">IF(ISNUMBER(X1048),X1048-S1048,-S1048)</f>
        <v>0</v>
      </c>
      <c r="AA1048" s="13" t="str">
        <f aca="false">IF(NOT(ISNUMBER(X1048)),"NO AUGUST POSTING IN EXPORT",IF(ABS(Y1048)&gt;=0.005,"POSTED CHARGE MISMATCH",IF(P1048&gt;0,"MATCH - COVERED ELIGIBILITY EXCEPTION","MATCH")))</f>
        <v>MATCH - COVERED ELIGIBILITY EXCEPTION</v>
      </c>
      <c r="AB1048" s="13" t="s">
        <v>7185</v>
      </c>
    </row>
    <row r="1049" customFormat="false" ht="15" hidden="false" customHeight="false" outlineLevel="0" collapsed="false">
      <c r="A1049" s="9" t="s">
        <v>7186</v>
      </c>
      <c r="B1049" s="9" t="s">
        <v>135</v>
      </c>
      <c r="C1049" s="9" t="s">
        <v>114</v>
      </c>
      <c r="D1049" s="9" t="s">
        <v>2002</v>
      </c>
      <c r="E1049" s="9" t="s">
        <v>3136</v>
      </c>
      <c r="F1049" s="9" t="s">
        <v>7187</v>
      </c>
      <c r="G1049" s="9" t="s">
        <v>7188</v>
      </c>
      <c r="H1049" s="9" t="s">
        <v>5785</v>
      </c>
      <c r="I1049" s="11" t="n">
        <v>28</v>
      </c>
      <c r="J1049" s="11" t="n">
        <v>24.5</v>
      </c>
      <c r="K1049" s="11"/>
      <c r="L1049" s="11"/>
      <c r="M1049" s="11" t="n">
        <f aca="false">IF(ISNUMBER(L1049),L1049,J1049)</f>
        <v>24.5</v>
      </c>
      <c r="N1049" s="11" t="n">
        <f aca="false">ROUNDUP(M1049,0)</f>
        <v>25</v>
      </c>
      <c r="O1049" s="11" t="n">
        <f aca="false">MAX(I1049,N1049)</f>
        <v>28</v>
      </c>
      <c r="P1049" s="11" t="n">
        <f aca="false">IF(C1049="COVERED",MAX(0,O1049-40),0)</f>
        <v>0</v>
      </c>
      <c r="Q1049" s="11" t="n">
        <f aca="false">O1049</f>
        <v>28</v>
      </c>
      <c r="R1049" s="17" t="n">
        <f aca="false">IF(C1049="COVERED",10.4,7.55)</f>
        <v>10.4</v>
      </c>
      <c r="S1049" s="17" t="n">
        <f aca="false">Q1049*R1049</f>
        <v>291.2</v>
      </c>
      <c r="T1049" s="9" t="s">
        <v>7189</v>
      </c>
      <c r="U1049" s="10" t="n">
        <v>46235</v>
      </c>
      <c r="V1049" s="9" t="n">
        <v>28</v>
      </c>
      <c r="W1049" s="17" t="n">
        <v>10.4</v>
      </c>
      <c r="X1049" s="17" t="n">
        <v>291.2</v>
      </c>
      <c r="Y1049" s="17" t="n">
        <f aca="false">IF(ISNUMBER(X1049),X1049-S1049,"")</f>
        <v>0</v>
      </c>
      <c r="Z1049" s="17" t="n">
        <f aca="false">IF(ISNUMBER(X1049),X1049-S1049,-S1049)</f>
        <v>0</v>
      </c>
      <c r="AA1049" s="9" t="str">
        <f aca="false">IF(NOT(ISNUMBER(X1049)),"NO AUGUST POSTING IN EXPORT",IF(ABS(Y1049)&gt;=0.005,"POSTED CHARGE MISMATCH",IF(P1049&gt;0,"MATCH - COVERED ELIGIBILITY EXCEPTION","MATCH")))</f>
        <v>MATCH</v>
      </c>
      <c r="AB1049" s="9" t="s">
        <v>7190</v>
      </c>
    </row>
    <row r="1050" customFormat="false" ht="15" hidden="false" customHeight="false" outlineLevel="0" collapsed="false">
      <c r="A1050" s="13" t="s">
        <v>1250</v>
      </c>
      <c r="B1050" s="13" t="s">
        <v>135</v>
      </c>
      <c r="C1050" s="13" t="s">
        <v>114</v>
      </c>
      <c r="D1050" s="13" t="s">
        <v>2002</v>
      </c>
      <c r="E1050" s="13" t="s">
        <v>3143</v>
      </c>
      <c r="F1050" s="13" t="s">
        <v>1316</v>
      </c>
      <c r="G1050" s="13" t="s">
        <v>1317</v>
      </c>
      <c r="H1050" s="13" t="s">
        <v>3306</v>
      </c>
      <c r="I1050" s="15" t="n">
        <v>36</v>
      </c>
      <c r="J1050" s="15" t="n">
        <v>29.3</v>
      </c>
      <c r="K1050" s="15"/>
      <c r="L1050" s="15"/>
      <c r="M1050" s="15" t="n">
        <f aca="false">IF(ISNUMBER(L1050),L1050,J1050)</f>
        <v>29.3</v>
      </c>
      <c r="N1050" s="15" t="n">
        <f aca="false">ROUNDUP(M1050,0)</f>
        <v>30</v>
      </c>
      <c r="O1050" s="15" t="n">
        <f aca="false">MAX(I1050,N1050)</f>
        <v>36</v>
      </c>
      <c r="P1050" s="15" t="n">
        <f aca="false">IF(C1050="COVERED",MAX(0,O1050-40),0)</f>
        <v>0</v>
      </c>
      <c r="Q1050" s="15" t="n">
        <f aca="false">O1050</f>
        <v>36</v>
      </c>
      <c r="R1050" s="18" t="n">
        <f aca="false">IF(C1050="COVERED",10.4,7.55)</f>
        <v>10.4</v>
      </c>
      <c r="S1050" s="18" t="n">
        <f aca="false">Q1050*R1050</f>
        <v>374.4</v>
      </c>
      <c r="T1050" s="13" t="s">
        <v>7191</v>
      </c>
      <c r="U1050" s="14" t="n">
        <v>46235</v>
      </c>
      <c r="V1050" s="13" t="n">
        <v>36</v>
      </c>
      <c r="W1050" s="18" t="n">
        <v>10.4</v>
      </c>
      <c r="X1050" s="18" t="n">
        <v>374.4</v>
      </c>
      <c r="Y1050" s="18" t="n">
        <f aca="false">IF(ISNUMBER(X1050),X1050-S1050,"")</f>
        <v>0</v>
      </c>
      <c r="Z1050" s="18" t="n">
        <f aca="false">IF(ISNUMBER(X1050),X1050-S1050,-S1050)</f>
        <v>0</v>
      </c>
      <c r="AA1050" s="13" t="str">
        <f aca="false">IF(NOT(ISNUMBER(X1050)),"NO AUGUST POSTING IN EXPORT",IF(ABS(Y1050)&gt;=0.005,"POSTED CHARGE MISMATCH",IF(P1050&gt;0,"MATCH - COVERED ELIGIBILITY EXCEPTION","MATCH")))</f>
        <v>MATCH</v>
      </c>
      <c r="AB1050" s="13" t="s">
        <v>7192</v>
      </c>
    </row>
    <row r="1051" customFormat="false" ht="15" hidden="false" customHeight="false" outlineLevel="0" collapsed="false">
      <c r="A1051" s="9" t="s">
        <v>7193</v>
      </c>
      <c r="B1051" s="9" t="s">
        <v>135</v>
      </c>
      <c r="C1051" s="9" t="s">
        <v>114</v>
      </c>
      <c r="D1051" s="9" t="s">
        <v>2002</v>
      </c>
      <c r="E1051" s="9" t="s">
        <v>3149</v>
      </c>
      <c r="F1051" s="9" t="s">
        <v>7194</v>
      </c>
      <c r="G1051" s="9" t="s">
        <v>7195</v>
      </c>
      <c r="H1051" s="9" t="s">
        <v>7196</v>
      </c>
      <c r="I1051" s="11" t="n">
        <v>28</v>
      </c>
      <c r="J1051" s="11" t="n">
        <v>35.8</v>
      </c>
      <c r="K1051" s="11"/>
      <c r="L1051" s="11"/>
      <c r="M1051" s="11" t="n">
        <f aca="false">IF(ISNUMBER(L1051),L1051,J1051)</f>
        <v>35.8</v>
      </c>
      <c r="N1051" s="11" t="n">
        <f aca="false">ROUNDUP(M1051,0)</f>
        <v>36</v>
      </c>
      <c r="O1051" s="11" t="n">
        <f aca="false">MAX(I1051,N1051)</f>
        <v>36</v>
      </c>
      <c r="P1051" s="11" t="n">
        <f aca="false">IF(C1051="COVERED",MAX(0,O1051-40),0)</f>
        <v>0</v>
      </c>
      <c r="Q1051" s="11" t="n">
        <f aca="false">O1051</f>
        <v>36</v>
      </c>
      <c r="R1051" s="17" t="n">
        <f aca="false">IF(C1051="COVERED",10.4,7.55)</f>
        <v>10.4</v>
      </c>
      <c r="S1051" s="17" t="n">
        <f aca="false">Q1051*R1051</f>
        <v>374.4</v>
      </c>
      <c r="T1051" s="9" t="s">
        <v>7197</v>
      </c>
      <c r="U1051" s="10" t="n">
        <v>46235</v>
      </c>
      <c r="V1051" s="9" t="n">
        <v>36</v>
      </c>
      <c r="W1051" s="17" t="n">
        <v>10.4</v>
      </c>
      <c r="X1051" s="17" t="n">
        <v>374.4</v>
      </c>
      <c r="Y1051" s="17" t="n">
        <f aca="false">IF(ISNUMBER(X1051),X1051-S1051,"")</f>
        <v>0</v>
      </c>
      <c r="Z1051" s="17" t="n">
        <f aca="false">IF(ISNUMBER(X1051),X1051-S1051,-S1051)</f>
        <v>0</v>
      </c>
      <c r="AA1051" s="9" t="str">
        <f aca="false">IF(NOT(ISNUMBER(X1051)),"NO AUGUST POSTING IN EXPORT",IF(ABS(Y1051)&gt;=0.005,"POSTED CHARGE MISMATCH",IF(P1051&gt;0,"MATCH - COVERED ELIGIBILITY EXCEPTION","MATCH")))</f>
        <v>MATCH</v>
      </c>
      <c r="AB1051" s="9" t="s">
        <v>7198</v>
      </c>
    </row>
    <row r="1052" customFormat="false" ht="15" hidden="false" customHeight="false" outlineLevel="0" collapsed="false">
      <c r="A1052" s="13" t="s">
        <v>7199</v>
      </c>
      <c r="B1052" s="13" t="s">
        <v>135</v>
      </c>
      <c r="C1052" s="13" t="s">
        <v>114</v>
      </c>
      <c r="D1052" s="13" t="s">
        <v>2002</v>
      </c>
      <c r="E1052" s="13" t="s">
        <v>3156</v>
      </c>
      <c r="F1052" s="13" t="s">
        <v>1563</v>
      </c>
      <c r="G1052" s="13" t="s">
        <v>1564</v>
      </c>
      <c r="H1052" s="13" t="s">
        <v>5913</v>
      </c>
      <c r="I1052" s="15" t="n">
        <v>32</v>
      </c>
      <c r="J1052" s="15" t="n">
        <v>55.4</v>
      </c>
      <c r="K1052" s="15"/>
      <c r="L1052" s="15"/>
      <c r="M1052" s="15" t="n">
        <f aca="false">IF(ISNUMBER(L1052),L1052,J1052)</f>
        <v>55.4</v>
      </c>
      <c r="N1052" s="15" t="n">
        <f aca="false">ROUNDUP(M1052,0)</f>
        <v>56</v>
      </c>
      <c r="O1052" s="15" t="n">
        <f aca="false">MAX(I1052,N1052)</f>
        <v>56</v>
      </c>
      <c r="P1052" s="15" t="n">
        <f aca="false">IF(C1052="COVERED",MAX(0,O1052-40),0)</f>
        <v>16</v>
      </c>
      <c r="Q1052" s="15" t="n">
        <f aca="false">O1052</f>
        <v>56</v>
      </c>
      <c r="R1052" s="18" t="n">
        <f aca="false">IF(C1052="COVERED",10.4,7.55)</f>
        <v>10.4</v>
      </c>
      <c r="S1052" s="18" t="n">
        <f aca="false">Q1052*R1052</f>
        <v>582.4</v>
      </c>
      <c r="T1052" s="13" t="s">
        <v>7200</v>
      </c>
      <c r="U1052" s="14" t="n">
        <v>46235</v>
      </c>
      <c r="V1052" s="13" t="n">
        <v>56</v>
      </c>
      <c r="W1052" s="18" t="n">
        <v>10.4</v>
      </c>
      <c r="X1052" s="18" t="n">
        <v>582.4</v>
      </c>
      <c r="Y1052" s="18" t="n">
        <f aca="false">IF(ISNUMBER(X1052),X1052-S1052,"")</f>
        <v>0</v>
      </c>
      <c r="Z1052" s="18" t="n">
        <f aca="false">IF(ISNUMBER(X1052),X1052-S1052,-S1052)</f>
        <v>0</v>
      </c>
      <c r="AA1052" s="13" t="str">
        <f aca="false">IF(NOT(ISNUMBER(X1052)),"NO AUGUST POSTING IN EXPORT",IF(ABS(Y1052)&gt;=0.005,"POSTED CHARGE MISMATCH",IF(P1052&gt;0,"MATCH - COVERED ELIGIBILITY EXCEPTION","MATCH")))</f>
        <v>MATCH - COVERED ELIGIBILITY EXCEPTION</v>
      </c>
      <c r="AB1052" s="13" t="s">
        <v>7201</v>
      </c>
    </row>
    <row r="1053" customFormat="false" ht="15" hidden="false" customHeight="false" outlineLevel="0" collapsed="false">
      <c r="A1053" s="9" t="s">
        <v>7202</v>
      </c>
      <c r="B1053" s="9" t="s">
        <v>135</v>
      </c>
      <c r="C1053" s="9" t="s">
        <v>114</v>
      </c>
      <c r="D1053" s="9" t="s">
        <v>2002</v>
      </c>
      <c r="E1053" s="9" t="s">
        <v>3161</v>
      </c>
      <c r="F1053" s="9" t="s">
        <v>7203</v>
      </c>
      <c r="G1053" s="9" t="s">
        <v>7204</v>
      </c>
      <c r="H1053" s="9" t="s">
        <v>3093</v>
      </c>
      <c r="I1053" s="11" t="n">
        <v>24</v>
      </c>
      <c r="J1053" s="11" t="n">
        <v>61.6</v>
      </c>
      <c r="K1053" s="11"/>
      <c r="L1053" s="11"/>
      <c r="M1053" s="11" t="n">
        <f aca="false">IF(ISNUMBER(L1053),L1053,J1053)</f>
        <v>61.6</v>
      </c>
      <c r="N1053" s="11" t="n">
        <f aca="false">ROUNDUP(M1053,0)</f>
        <v>62</v>
      </c>
      <c r="O1053" s="11" t="n">
        <f aca="false">MAX(I1053,N1053)</f>
        <v>62</v>
      </c>
      <c r="P1053" s="11" t="n">
        <f aca="false">IF(C1053="COVERED",MAX(0,O1053-40),0)</f>
        <v>22</v>
      </c>
      <c r="Q1053" s="11" t="n">
        <f aca="false">O1053</f>
        <v>62</v>
      </c>
      <c r="R1053" s="17" t="n">
        <f aca="false">IF(C1053="COVERED",10.4,7.55)</f>
        <v>10.4</v>
      </c>
      <c r="S1053" s="17" t="n">
        <f aca="false">Q1053*R1053</f>
        <v>644.8</v>
      </c>
      <c r="T1053" s="9" t="s">
        <v>7205</v>
      </c>
      <c r="U1053" s="10" t="n">
        <v>46235</v>
      </c>
      <c r="V1053" s="9" t="n">
        <v>62</v>
      </c>
      <c r="W1053" s="17" t="n">
        <v>10.4</v>
      </c>
      <c r="X1053" s="17" t="n">
        <v>644.8</v>
      </c>
      <c r="Y1053" s="17" t="n">
        <f aca="false">IF(ISNUMBER(X1053),X1053-S1053,"")</f>
        <v>0</v>
      </c>
      <c r="Z1053" s="17" t="n">
        <f aca="false">IF(ISNUMBER(X1053),X1053-S1053,-S1053)</f>
        <v>0</v>
      </c>
      <c r="AA1053" s="9" t="str">
        <f aca="false">IF(NOT(ISNUMBER(X1053)),"NO AUGUST POSTING IN EXPORT",IF(ABS(Y1053)&gt;=0.005,"POSTED CHARGE MISMATCH",IF(P1053&gt;0,"MATCH - COVERED ELIGIBILITY EXCEPTION","MATCH")))</f>
        <v>MATCH - COVERED ELIGIBILITY EXCEPTION</v>
      </c>
      <c r="AB1053" s="9" t="s">
        <v>7206</v>
      </c>
    </row>
    <row r="1054" customFormat="false" ht="15" hidden="false" customHeight="false" outlineLevel="0" collapsed="false">
      <c r="A1054" s="13" t="s">
        <v>7207</v>
      </c>
      <c r="B1054" s="13" t="s">
        <v>135</v>
      </c>
      <c r="C1054" s="13" t="s">
        <v>114</v>
      </c>
      <c r="D1054" s="13" t="s">
        <v>2002</v>
      </c>
      <c r="E1054" s="13" t="s">
        <v>3167</v>
      </c>
      <c r="F1054" s="13" t="s">
        <v>7208</v>
      </c>
      <c r="G1054" s="13" t="s">
        <v>7209</v>
      </c>
      <c r="H1054" s="13" t="s">
        <v>7210</v>
      </c>
      <c r="I1054" s="15" t="n">
        <v>36</v>
      </c>
      <c r="J1054" s="15" t="n">
        <v>61</v>
      </c>
      <c r="K1054" s="15"/>
      <c r="L1054" s="15"/>
      <c r="M1054" s="15" t="n">
        <f aca="false">IF(ISNUMBER(L1054),L1054,J1054)</f>
        <v>61</v>
      </c>
      <c r="N1054" s="15" t="n">
        <f aca="false">ROUNDUP(M1054,0)</f>
        <v>61</v>
      </c>
      <c r="O1054" s="15" t="n">
        <f aca="false">MAX(I1054,N1054)</f>
        <v>61</v>
      </c>
      <c r="P1054" s="15" t="n">
        <f aca="false">IF(C1054="COVERED",MAX(0,O1054-40),0)</f>
        <v>21</v>
      </c>
      <c r="Q1054" s="15" t="n">
        <f aca="false">O1054</f>
        <v>61</v>
      </c>
      <c r="R1054" s="18" t="n">
        <f aca="false">IF(C1054="COVERED",10.4,7.55)</f>
        <v>10.4</v>
      </c>
      <c r="S1054" s="18" t="n">
        <f aca="false">Q1054*R1054</f>
        <v>634.4</v>
      </c>
      <c r="T1054" s="13" t="s">
        <v>7211</v>
      </c>
      <c r="U1054" s="14" t="n">
        <v>46235</v>
      </c>
      <c r="V1054" s="13" t="n">
        <v>61</v>
      </c>
      <c r="W1054" s="18" t="n">
        <v>10.4</v>
      </c>
      <c r="X1054" s="18" t="n">
        <v>634.4</v>
      </c>
      <c r="Y1054" s="18" t="n">
        <f aca="false">IF(ISNUMBER(X1054),X1054-S1054,"")</f>
        <v>0</v>
      </c>
      <c r="Z1054" s="18" t="n">
        <f aca="false">IF(ISNUMBER(X1054),X1054-S1054,-S1054)</f>
        <v>0</v>
      </c>
      <c r="AA1054" s="13" t="str">
        <f aca="false">IF(NOT(ISNUMBER(X1054)),"NO AUGUST POSTING IN EXPORT",IF(ABS(Y1054)&gt;=0.005,"POSTED CHARGE MISMATCH",IF(P1054&gt;0,"MATCH - COVERED ELIGIBILITY EXCEPTION","MATCH")))</f>
        <v>MATCH - COVERED ELIGIBILITY EXCEPTION</v>
      </c>
      <c r="AB1054" s="13" t="s">
        <v>7212</v>
      </c>
    </row>
    <row r="1055" customFormat="false" ht="15" hidden="false" customHeight="false" outlineLevel="0" collapsed="false">
      <c r="A1055" s="9" t="s">
        <v>7213</v>
      </c>
      <c r="B1055" s="9" t="s">
        <v>135</v>
      </c>
      <c r="C1055" s="9" t="s">
        <v>114</v>
      </c>
      <c r="D1055" s="9" t="s">
        <v>2002</v>
      </c>
      <c r="E1055" s="9" t="s">
        <v>3173</v>
      </c>
      <c r="F1055" s="9" t="s">
        <v>7214</v>
      </c>
      <c r="G1055" s="9" t="s">
        <v>7215</v>
      </c>
      <c r="H1055" s="9" t="s">
        <v>2155</v>
      </c>
      <c r="I1055" s="11" t="n">
        <v>40</v>
      </c>
      <c r="J1055" s="11" t="n">
        <v>47.3</v>
      </c>
      <c r="K1055" s="11"/>
      <c r="L1055" s="11"/>
      <c r="M1055" s="11" t="n">
        <f aca="false">IF(ISNUMBER(L1055),L1055,J1055)</f>
        <v>47.3</v>
      </c>
      <c r="N1055" s="11" t="n">
        <f aca="false">ROUNDUP(M1055,0)</f>
        <v>48</v>
      </c>
      <c r="O1055" s="11" t="n">
        <f aca="false">MAX(I1055,N1055)</f>
        <v>48</v>
      </c>
      <c r="P1055" s="11" t="n">
        <f aca="false">IF(C1055="COVERED",MAX(0,O1055-40),0)</f>
        <v>8</v>
      </c>
      <c r="Q1055" s="11" t="n">
        <f aca="false">O1055</f>
        <v>48</v>
      </c>
      <c r="R1055" s="17" t="n">
        <f aca="false">IF(C1055="COVERED",10.4,7.55)</f>
        <v>10.4</v>
      </c>
      <c r="S1055" s="17" t="n">
        <f aca="false">Q1055*R1055</f>
        <v>499.2</v>
      </c>
      <c r="T1055" s="9" t="s">
        <v>7216</v>
      </c>
      <c r="U1055" s="10" t="n">
        <v>46235</v>
      </c>
      <c r="V1055" s="9" t="n">
        <v>48</v>
      </c>
      <c r="W1055" s="17" t="n">
        <v>10.4</v>
      </c>
      <c r="X1055" s="17" t="n">
        <v>499.2</v>
      </c>
      <c r="Y1055" s="17" t="n">
        <f aca="false">IF(ISNUMBER(X1055),X1055-S1055,"")</f>
        <v>0</v>
      </c>
      <c r="Z1055" s="17" t="n">
        <f aca="false">IF(ISNUMBER(X1055),X1055-S1055,-S1055)</f>
        <v>0</v>
      </c>
      <c r="AA1055" s="9" t="str">
        <f aca="false">IF(NOT(ISNUMBER(X1055)),"NO AUGUST POSTING IN EXPORT",IF(ABS(Y1055)&gt;=0.005,"POSTED CHARGE MISMATCH",IF(P1055&gt;0,"MATCH - COVERED ELIGIBILITY EXCEPTION","MATCH")))</f>
        <v>MATCH - COVERED ELIGIBILITY EXCEPTION</v>
      </c>
      <c r="AB1055" s="9" t="s">
        <v>7217</v>
      </c>
    </row>
    <row r="1056" customFormat="false" ht="15" hidden="false" customHeight="false" outlineLevel="0" collapsed="false">
      <c r="A1056" s="13" t="s">
        <v>1660</v>
      </c>
      <c r="B1056" s="13" t="s">
        <v>135</v>
      </c>
      <c r="C1056" s="13" t="s">
        <v>114</v>
      </c>
      <c r="D1056" s="13" t="s">
        <v>2002</v>
      </c>
      <c r="E1056" s="13" t="s">
        <v>3179</v>
      </c>
      <c r="F1056" s="13" t="s">
        <v>7218</v>
      </c>
      <c r="G1056" s="13" t="s">
        <v>7219</v>
      </c>
      <c r="H1056" s="13" t="s">
        <v>7220</v>
      </c>
      <c r="I1056" s="15" t="n">
        <v>40</v>
      </c>
      <c r="J1056" s="15" t="n">
        <v>53.9</v>
      </c>
      <c r="K1056" s="15"/>
      <c r="L1056" s="15"/>
      <c r="M1056" s="15" t="n">
        <f aca="false">IF(ISNUMBER(L1056),L1056,J1056)</f>
        <v>53.9</v>
      </c>
      <c r="N1056" s="15" t="n">
        <f aca="false">ROUNDUP(M1056,0)</f>
        <v>54</v>
      </c>
      <c r="O1056" s="15" t="n">
        <f aca="false">MAX(I1056,N1056)</f>
        <v>54</v>
      </c>
      <c r="P1056" s="15" t="n">
        <f aca="false">IF(C1056="COVERED",MAX(0,O1056-40),0)</f>
        <v>14</v>
      </c>
      <c r="Q1056" s="15" t="n">
        <f aca="false">O1056</f>
        <v>54</v>
      </c>
      <c r="R1056" s="18" t="n">
        <f aca="false">IF(C1056="COVERED",10.4,7.55)</f>
        <v>10.4</v>
      </c>
      <c r="S1056" s="18" t="n">
        <f aca="false">Q1056*R1056</f>
        <v>561.6</v>
      </c>
      <c r="T1056" s="13" t="s">
        <v>7221</v>
      </c>
      <c r="U1056" s="14" t="n">
        <v>46235</v>
      </c>
      <c r="V1056" s="13" t="n">
        <v>54</v>
      </c>
      <c r="W1056" s="18" t="n">
        <v>10.4</v>
      </c>
      <c r="X1056" s="18" t="n">
        <v>561.6</v>
      </c>
      <c r="Y1056" s="18" t="n">
        <f aca="false">IF(ISNUMBER(X1056),X1056-S1056,"")</f>
        <v>0</v>
      </c>
      <c r="Z1056" s="18" t="n">
        <f aca="false">IF(ISNUMBER(X1056),X1056-S1056,-S1056)</f>
        <v>0</v>
      </c>
      <c r="AA1056" s="13" t="str">
        <f aca="false">IF(NOT(ISNUMBER(X1056)),"NO AUGUST POSTING IN EXPORT",IF(ABS(Y1056)&gt;=0.005,"POSTED CHARGE MISMATCH",IF(P1056&gt;0,"MATCH - COVERED ELIGIBILITY EXCEPTION","MATCH")))</f>
        <v>MATCH - COVERED ELIGIBILITY EXCEPTION</v>
      </c>
      <c r="AB1056" s="13" t="s">
        <v>7222</v>
      </c>
    </row>
    <row r="1057" customFormat="false" ht="15" hidden="false" customHeight="false" outlineLevel="0" collapsed="false">
      <c r="A1057" s="9" t="s">
        <v>7223</v>
      </c>
      <c r="B1057" s="9" t="s">
        <v>135</v>
      </c>
      <c r="C1057" s="9" t="s">
        <v>114</v>
      </c>
      <c r="D1057" s="9" t="s">
        <v>2002</v>
      </c>
      <c r="E1057" s="9" t="s">
        <v>3186</v>
      </c>
      <c r="F1057" s="9" t="s">
        <v>7224</v>
      </c>
      <c r="G1057" s="9" t="s">
        <v>7225</v>
      </c>
      <c r="H1057" s="9" t="s">
        <v>7135</v>
      </c>
      <c r="I1057" s="11" t="n">
        <v>24</v>
      </c>
      <c r="J1057" s="11" t="n">
        <v>29.2</v>
      </c>
      <c r="K1057" s="11"/>
      <c r="L1057" s="11"/>
      <c r="M1057" s="11" t="n">
        <f aca="false">IF(ISNUMBER(L1057),L1057,J1057)</f>
        <v>29.2</v>
      </c>
      <c r="N1057" s="11" t="n">
        <f aca="false">ROUNDUP(M1057,0)</f>
        <v>30</v>
      </c>
      <c r="O1057" s="11" t="n">
        <f aca="false">MAX(I1057,N1057)</f>
        <v>30</v>
      </c>
      <c r="P1057" s="11" t="n">
        <f aca="false">IF(C1057="COVERED",MAX(0,O1057-40),0)</f>
        <v>0</v>
      </c>
      <c r="Q1057" s="11" t="n">
        <f aca="false">O1057</f>
        <v>30</v>
      </c>
      <c r="R1057" s="17" t="n">
        <f aca="false">IF(C1057="COVERED",10.4,7.55)</f>
        <v>10.4</v>
      </c>
      <c r="S1057" s="17" t="n">
        <f aca="false">Q1057*R1057</f>
        <v>312</v>
      </c>
      <c r="T1057" s="9" t="s">
        <v>7226</v>
      </c>
      <c r="U1057" s="10" t="n">
        <v>46235</v>
      </c>
      <c r="V1057" s="9" t="n">
        <v>30</v>
      </c>
      <c r="W1057" s="17" t="n">
        <v>10.4</v>
      </c>
      <c r="X1057" s="17" t="n">
        <v>312</v>
      </c>
      <c r="Y1057" s="17" t="n">
        <f aca="false">IF(ISNUMBER(X1057),X1057-S1057,"")</f>
        <v>0</v>
      </c>
      <c r="Z1057" s="17" t="n">
        <f aca="false">IF(ISNUMBER(X1057),X1057-S1057,-S1057)</f>
        <v>0</v>
      </c>
      <c r="AA1057" s="9" t="str">
        <f aca="false">IF(NOT(ISNUMBER(X1057)),"NO AUGUST POSTING IN EXPORT",IF(ABS(Y1057)&gt;=0.005,"POSTED CHARGE MISMATCH",IF(P1057&gt;0,"MATCH - COVERED ELIGIBILITY EXCEPTION","MATCH")))</f>
        <v>MATCH</v>
      </c>
      <c r="AB1057" s="9" t="s">
        <v>7227</v>
      </c>
    </row>
    <row r="1058" customFormat="false" ht="15" hidden="false" customHeight="false" outlineLevel="0" collapsed="false">
      <c r="A1058" s="13" t="s">
        <v>7228</v>
      </c>
      <c r="B1058" s="13" t="s">
        <v>135</v>
      </c>
      <c r="C1058" s="13" t="s">
        <v>114</v>
      </c>
      <c r="D1058" s="13" t="s">
        <v>2002</v>
      </c>
      <c r="E1058" s="13" t="s">
        <v>3193</v>
      </c>
      <c r="F1058" s="13" t="s">
        <v>7229</v>
      </c>
      <c r="G1058" s="13" t="s">
        <v>7230</v>
      </c>
      <c r="H1058" s="13" t="s">
        <v>5983</v>
      </c>
      <c r="I1058" s="15" t="n">
        <v>28</v>
      </c>
      <c r="J1058" s="15" t="n">
        <v>23.5</v>
      </c>
      <c r="K1058" s="15"/>
      <c r="L1058" s="15"/>
      <c r="M1058" s="15" t="n">
        <f aca="false">IF(ISNUMBER(L1058),L1058,J1058)</f>
        <v>23.5</v>
      </c>
      <c r="N1058" s="15" t="n">
        <f aca="false">ROUNDUP(M1058,0)</f>
        <v>24</v>
      </c>
      <c r="O1058" s="15" t="n">
        <f aca="false">MAX(I1058,N1058)</f>
        <v>28</v>
      </c>
      <c r="P1058" s="15" t="n">
        <f aca="false">IF(C1058="COVERED",MAX(0,O1058-40),0)</f>
        <v>0</v>
      </c>
      <c r="Q1058" s="15" t="n">
        <f aca="false">O1058</f>
        <v>28</v>
      </c>
      <c r="R1058" s="18" t="n">
        <f aca="false">IF(C1058="COVERED",10.4,7.55)</f>
        <v>10.4</v>
      </c>
      <c r="S1058" s="18" t="n">
        <f aca="false">Q1058*R1058</f>
        <v>291.2</v>
      </c>
      <c r="T1058" s="13" t="s">
        <v>7231</v>
      </c>
      <c r="U1058" s="14" t="n">
        <v>46235</v>
      </c>
      <c r="V1058" s="13" t="n">
        <v>28</v>
      </c>
      <c r="W1058" s="18" t="n">
        <v>10.4</v>
      </c>
      <c r="X1058" s="18" t="n">
        <v>291.2</v>
      </c>
      <c r="Y1058" s="18" t="n">
        <f aca="false">IF(ISNUMBER(X1058),X1058-S1058,"")</f>
        <v>0</v>
      </c>
      <c r="Z1058" s="18" t="n">
        <f aca="false">IF(ISNUMBER(X1058),X1058-S1058,-S1058)</f>
        <v>0</v>
      </c>
      <c r="AA1058" s="13" t="str">
        <f aca="false">IF(NOT(ISNUMBER(X1058)),"NO AUGUST POSTING IN EXPORT",IF(ABS(Y1058)&gt;=0.005,"POSTED CHARGE MISMATCH",IF(P1058&gt;0,"MATCH - COVERED ELIGIBILITY EXCEPTION","MATCH")))</f>
        <v>MATCH</v>
      </c>
      <c r="AB1058" s="13" t="s">
        <v>7232</v>
      </c>
    </row>
    <row r="1059" customFormat="false" ht="15" hidden="false" customHeight="false" outlineLevel="0" collapsed="false">
      <c r="A1059" s="9" t="s">
        <v>7233</v>
      </c>
      <c r="B1059" s="9" t="s">
        <v>135</v>
      </c>
      <c r="C1059" s="9" t="s">
        <v>114</v>
      </c>
      <c r="D1059" s="9" t="s">
        <v>2002</v>
      </c>
      <c r="E1059" s="9" t="s">
        <v>3200</v>
      </c>
      <c r="F1059" s="9" t="s">
        <v>7234</v>
      </c>
      <c r="G1059" s="9" t="s">
        <v>7235</v>
      </c>
      <c r="H1059" s="9" t="s">
        <v>6404</v>
      </c>
      <c r="I1059" s="11" t="n">
        <v>28</v>
      </c>
      <c r="J1059" s="11" t="n">
        <v>37</v>
      </c>
      <c r="K1059" s="11"/>
      <c r="L1059" s="11"/>
      <c r="M1059" s="11" t="n">
        <f aca="false">IF(ISNUMBER(L1059),L1059,J1059)</f>
        <v>37</v>
      </c>
      <c r="N1059" s="11" t="n">
        <f aca="false">ROUNDUP(M1059,0)</f>
        <v>37</v>
      </c>
      <c r="O1059" s="11" t="n">
        <f aca="false">MAX(I1059,N1059)</f>
        <v>37</v>
      </c>
      <c r="P1059" s="11" t="n">
        <f aca="false">IF(C1059="COVERED",MAX(0,O1059-40),0)</f>
        <v>0</v>
      </c>
      <c r="Q1059" s="11" t="n">
        <f aca="false">O1059</f>
        <v>37</v>
      </c>
      <c r="R1059" s="17" t="n">
        <f aca="false">IF(C1059="COVERED",10.4,7.55)</f>
        <v>10.4</v>
      </c>
      <c r="S1059" s="17" t="n">
        <f aca="false">Q1059*R1059</f>
        <v>384.8</v>
      </c>
      <c r="T1059" s="9" t="s">
        <v>7236</v>
      </c>
      <c r="U1059" s="10" t="n">
        <v>46235</v>
      </c>
      <c r="V1059" s="9" t="n">
        <v>37</v>
      </c>
      <c r="W1059" s="17" t="n">
        <v>10.4</v>
      </c>
      <c r="X1059" s="17" t="n">
        <v>384.8</v>
      </c>
      <c r="Y1059" s="17" t="n">
        <f aca="false">IF(ISNUMBER(X1059),X1059-S1059,"")</f>
        <v>0</v>
      </c>
      <c r="Z1059" s="17" t="n">
        <f aca="false">IF(ISNUMBER(X1059),X1059-S1059,-S1059)</f>
        <v>0</v>
      </c>
      <c r="AA1059" s="9" t="str">
        <f aca="false">IF(NOT(ISNUMBER(X1059)),"NO AUGUST POSTING IN EXPORT",IF(ABS(Y1059)&gt;=0.005,"POSTED CHARGE MISMATCH",IF(P1059&gt;0,"MATCH - COVERED ELIGIBILITY EXCEPTION","MATCH")))</f>
        <v>MATCH</v>
      </c>
      <c r="AB1059" s="9" t="s">
        <v>7237</v>
      </c>
    </row>
    <row r="1060" customFormat="false" ht="15" hidden="false" customHeight="false" outlineLevel="0" collapsed="false">
      <c r="A1060" s="13" t="s">
        <v>1741</v>
      </c>
      <c r="B1060" s="13" t="s">
        <v>135</v>
      </c>
      <c r="C1060" s="13" t="s">
        <v>114</v>
      </c>
      <c r="D1060" s="13" t="s">
        <v>2002</v>
      </c>
      <c r="E1060" s="13" t="s">
        <v>3206</v>
      </c>
      <c r="F1060" s="13" t="s">
        <v>7238</v>
      </c>
      <c r="G1060" s="13" t="s">
        <v>7239</v>
      </c>
      <c r="H1060" s="13" t="s">
        <v>4034</v>
      </c>
      <c r="I1060" s="15" t="n">
        <v>24</v>
      </c>
      <c r="J1060" s="15" t="n">
        <v>26.9</v>
      </c>
      <c r="K1060" s="15"/>
      <c r="L1060" s="15"/>
      <c r="M1060" s="15" t="n">
        <f aca="false">IF(ISNUMBER(L1060),L1060,J1060)</f>
        <v>26.9</v>
      </c>
      <c r="N1060" s="15" t="n">
        <f aca="false">ROUNDUP(M1060,0)</f>
        <v>27</v>
      </c>
      <c r="O1060" s="15" t="n">
        <f aca="false">MAX(I1060,N1060)</f>
        <v>27</v>
      </c>
      <c r="P1060" s="15" t="n">
        <f aca="false">IF(C1060="COVERED",MAX(0,O1060-40),0)</f>
        <v>0</v>
      </c>
      <c r="Q1060" s="15" t="n">
        <f aca="false">O1060</f>
        <v>27</v>
      </c>
      <c r="R1060" s="18" t="n">
        <f aca="false">IF(C1060="COVERED",10.4,7.55)</f>
        <v>10.4</v>
      </c>
      <c r="S1060" s="18" t="n">
        <f aca="false">Q1060*R1060</f>
        <v>280.8</v>
      </c>
      <c r="T1060" s="13" t="s">
        <v>7240</v>
      </c>
      <c r="U1060" s="14" t="n">
        <v>46235</v>
      </c>
      <c r="V1060" s="13" t="n">
        <v>27</v>
      </c>
      <c r="W1060" s="18" t="n">
        <v>10.4</v>
      </c>
      <c r="X1060" s="18" t="n">
        <v>280.8</v>
      </c>
      <c r="Y1060" s="18" t="n">
        <f aca="false">IF(ISNUMBER(X1060),X1060-S1060,"")</f>
        <v>0</v>
      </c>
      <c r="Z1060" s="18" t="n">
        <f aca="false">IF(ISNUMBER(X1060),X1060-S1060,-S1060)</f>
        <v>0</v>
      </c>
      <c r="AA1060" s="13" t="str">
        <f aca="false">IF(NOT(ISNUMBER(X1060)),"NO AUGUST POSTING IN EXPORT",IF(ABS(Y1060)&gt;=0.005,"POSTED CHARGE MISMATCH",IF(P1060&gt;0,"MATCH - COVERED ELIGIBILITY EXCEPTION","MATCH")))</f>
        <v>MATCH</v>
      </c>
      <c r="AB1060" s="13" t="s">
        <v>7241</v>
      </c>
    </row>
    <row r="1061" customFormat="false" ht="15" hidden="false" customHeight="false" outlineLevel="0" collapsed="false">
      <c r="A1061" s="9" t="s">
        <v>1066</v>
      </c>
      <c r="B1061" s="9" t="s">
        <v>135</v>
      </c>
      <c r="C1061" s="9" t="s">
        <v>114</v>
      </c>
      <c r="D1061" s="9" t="s">
        <v>2002</v>
      </c>
      <c r="E1061" s="9" t="s">
        <v>3212</v>
      </c>
      <c r="F1061" s="9" t="s">
        <v>7242</v>
      </c>
      <c r="G1061" s="9" t="s">
        <v>7243</v>
      </c>
      <c r="H1061" s="9" t="s">
        <v>2618</v>
      </c>
      <c r="I1061" s="11" t="n">
        <v>28</v>
      </c>
      <c r="J1061" s="11" t="n">
        <v>54.5</v>
      </c>
      <c r="K1061" s="11"/>
      <c r="L1061" s="11"/>
      <c r="M1061" s="11" t="n">
        <f aca="false">IF(ISNUMBER(L1061),L1061,J1061)</f>
        <v>54.5</v>
      </c>
      <c r="N1061" s="11" t="n">
        <f aca="false">ROUNDUP(M1061,0)</f>
        <v>55</v>
      </c>
      <c r="O1061" s="11" t="n">
        <f aca="false">MAX(I1061,N1061)</f>
        <v>55</v>
      </c>
      <c r="P1061" s="11" t="n">
        <f aca="false">IF(C1061="COVERED",MAX(0,O1061-40),0)</f>
        <v>15</v>
      </c>
      <c r="Q1061" s="11" t="n">
        <f aca="false">O1061</f>
        <v>55</v>
      </c>
      <c r="R1061" s="17" t="n">
        <f aca="false">IF(C1061="COVERED",10.4,7.55)</f>
        <v>10.4</v>
      </c>
      <c r="S1061" s="17" t="n">
        <f aca="false">Q1061*R1061</f>
        <v>572</v>
      </c>
      <c r="T1061" s="9" t="s">
        <v>7244</v>
      </c>
      <c r="U1061" s="10" t="n">
        <v>46235</v>
      </c>
      <c r="V1061" s="9" t="n">
        <v>55</v>
      </c>
      <c r="W1061" s="17" t="n">
        <v>10.4</v>
      </c>
      <c r="X1061" s="17" t="n">
        <v>572</v>
      </c>
      <c r="Y1061" s="17" t="n">
        <f aca="false">IF(ISNUMBER(X1061),X1061-S1061,"")</f>
        <v>0</v>
      </c>
      <c r="Z1061" s="17" t="n">
        <f aca="false">IF(ISNUMBER(X1061),X1061-S1061,-S1061)</f>
        <v>0</v>
      </c>
      <c r="AA1061" s="9" t="str">
        <f aca="false">IF(NOT(ISNUMBER(X1061)),"NO AUGUST POSTING IN EXPORT",IF(ABS(Y1061)&gt;=0.005,"POSTED CHARGE MISMATCH",IF(P1061&gt;0,"MATCH - COVERED ELIGIBILITY EXCEPTION","MATCH")))</f>
        <v>MATCH - COVERED ELIGIBILITY EXCEPTION</v>
      </c>
      <c r="AB1061" s="9" t="s">
        <v>7245</v>
      </c>
    </row>
    <row r="1062" customFormat="false" ht="15" hidden="false" customHeight="false" outlineLevel="0" collapsed="false">
      <c r="A1062" s="13" t="s">
        <v>7246</v>
      </c>
      <c r="B1062" s="13" t="s">
        <v>135</v>
      </c>
      <c r="C1062" s="13" t="s">
        <v>114</v>
      </c>
      <c r="D1062" s="13" t="s">
        <v>2002</v>
      </c>
      <c r="E1062" s="13" t="s">
        <v>3219</v>
      </c>
      <c r="F1062" s="13" t="s">
        <v>7247</v>
      </c>
      <c r="G1062" s="13" t="s">
        <v>7248</v>
      </c>
      <c r="H1062" s="13" t="s">
        <v>6060</v>
      </c>
      <c r="I1062" s="15" t="n">
        <v>36</v>
      </c>
      <c r="J1062" s="15" t="n">
        <v>26.6</v>
      </c>
      <c r="K1062" s="15"/>
      <c r="L1062" s="15"/>
      <c r="M1062" s="15" t="n">
        <f aca="false">IF(ISNUMBER(L1062),L1062,J1062)</f>
        <v>26.6</v>
      </c>
      <c r="N1062" s="15" t="n">
        <f aca="false">ROUNDUP(M1062,0)</f>
        <v>27</v>
      </c>
      <c r="O1062" s="15" t="n">
        <f aca="false">MAX(I1062,N1062)</f>
        <v>36</v>
      </c>
      <c r="P1062" s="15" t="n">
        <f aca="false">IF(C1062="COVERED",MAX(0,O1062-40),0)</f>
        <v>0</v>
      </c>
      <c r="Q1062" s="15" t="n">
        <f aca="false">O1062</f>
        <v>36</v>
      </c>
      <c r="R1062" s="18" t="n">
        <f aca="false">IF(C1062="COVERED",10.4,7.55)</f>
        <v>10.4</v>
      </c>
      <c r="S1062" s="18" t="n">
        <f aca="false">Q1062*R1062</f>
        <v>374.4</v>
      </c>
      <c r="T1062" s="13" t="s">
        <v>7249</v>
      </c>
      <c r="U1062" s="14" t="n">
        <v>46235</v>
      </c>
      <c r="V1062" s="13" t="n">
        <v>36</v>
      </c>
      <c r="W1062" s="18" t="n">
        <v>10.4</v>
      </c>
      <c r="X1062" s="18" t="n">
        <v>374.4</v>
      </c>
      <c r="Y1062" s="18" t="n">
        <f aca="false">IF(ISNUMBER(X1062),X1062-S1062,"")</f>
        <v>0</v>
      </c>
      <c r="Z1062" s="18" t="n">
        <f aca="false">IF(ISNUMBER(X1062),X1062-S1062,-S1062)</f>
        <v>0</v>
      </c>
      <c r="AA1062" s="13" t="str">
        <f aca="false">IF(NOT(ISNUMBER(X1062)),"NO AUGUST POSTING IN EXPORT",IF(ABS(Y1062)&gt;=0.005,"POSTED CHARGE MISMATCH",IF(P1062&gt;0,"MATCH - COVERED ELIGIBILITY EXCEPTION","MATCH")))</f>
        <v>MATCH</v>
      </c>
      <c r="AB1062" s="13" t="s">
        <v>7250</v>
      </c>
    </row>
    <row r="1063" customFormat="false" ht="15" hidden="false" customHeight="false" outlineLevel="0" collapsed="false">
      <c r="A1063" s="9" t="s">
        <v>7251</v>
      </c>
      <c r="B1063" s="9" t="s">
        <v>135</v>
      </c>
      <c r="C1063" s="9" t="s">
        <v>114</v>
      </c>
      <c r="D1063" s="9" t="s">
        <v>2002</v>
      </c>
      <c r="E1063" s="9" t="s">
        <v>3226</v>
      </c>
      <c r="F1063" s="9" t="s">
        <v>7252</v>
      </c>
      <c r="G1063" s="9" t="s">
        <v>7253</v>
      </c>
      <c r="H1063" s="9" t="s">
        <v>2119</v>
      </c>
      <c r="I1063" s="11" t="n">
        <v>24</v>
      </c>
      <c r="J1063" s="11" t="n">
        <v>61.6</v>
      </c>
      <c r="K1063" s="11"/>
      <c r="L1063" s="11"/>
      <c r="M1063" s="11" t="n">
        <f aca="false">IF(ISNUMBER(L1063),L1063,J1063)</f>
        <v>61.6</v>
      </c>
      <c r="N1063" s="11" t="n">
        <f aca="false">ROUNDUP(M1063,0)</f>
        <v>62</v>
      </c>
      <c r="O1063" s="11" t="n">
        <f aca="false">MAX(I1063,N1063)</f>
        <v>62</v>
      </c>
      <c r="P1063" s="11" t="n">
        <f aca="false">IF(C1063="COVERED",MAX(0,O1063-40),0)</f>
        <v>22</v>
      </c>
      <c r="Q1063" s="11" t="n">
        <f aca="false">O1063</f>
        <v>62</v>
      </c>
      <c r="R1063" s="17" t="n">
        <f aca="false">IF(C1063="COVERED",10.4,7.55)</f>
        <v>10.4</v>
      </c>
      <c r="S1063" s="17" t="n">
        <f aca="false">Q1063*R1063</f>
        <v>644.8</v>
      </c>
      <c r="T1063" s="9" t="s">
        <v>7254</v>
      </c>
      <c r="U1063" s="10" t="n">
        <v>46235</v>
      </c>
      <c r="V1063" s="9" t="n">
        <v>62</v>
      </c>
      <c r="W1063" s="17" t="n">
        <v>10.4</v>
      </c>
      <c r="X1063" s="17" t="n">
        <v>644.8</v>
      </c>
      <c r="Y1063" s="17" t="n">
        <f aca="false">IF(ISNUMBER(X1063),X1063-S1063,"")</f>
        <v>0</v>
      </c>
      <c r="Z1063" s="17" t="n">
        <f aca="false">IF(ISNUMBER(X1063),X1063-S1063,-S1063)</f>
        <v>0</v>
      </c>
      <c r="AA1063" s="9" t="str">
        <f aca="false">IF(NOT(ISNUMBER(X1063)),"NO AUGUST POSTING IN EXPORT",IF(ABS(Y1063)&gt;=0.005,"POSTED CHARGE MISMATCH",IF(P1063&gt;0,"MATCH - COVERED ELIGIBILITY EXCEPTION","MATCH")))</f>
        <v>MATCH - COVERED ELIGIBILITY EXCEPTION</v>
      </c>
      <c r="AB1063" s="9" t="s">
        <v>7255</v>
      </c>
    </row>
    <row r="1064" customFormat="false" ht="15" hidden="false" customHeight="false" outlineLevel="0" collapsed="false">
      <c r="A1064" s="13" t="s">
        <v>7256</v>
      </c>
      <c r="B1064" s="13" t="s">
        <v>135</v>
      </c>
      <c r="C1064" s="13" t="s">
        <v>114</v>
      </c>
      <c r="D1064" s="13" t="s">
        <v>2002</v>
      </c>
      <c r="E1064" s="13" t="s">
        <v>3233</v>
      </c>
      <c r="F1064" s="13" t="s">
        <v>7257</v>
      </c>
      <c r="G1064" s="13" t="s">
        <v>7258</v>
      </c>
      <c r="H1064" s="13" t="s">
        <v>2534</v>
      </c>
      <c r="I1064" s="15" t="n">
        <v>32</v>
      </c>
      <c r="J1064" s="15" t="n">
        <v>47.1</v>
      </c>
      <c r="K1064" s="15"/>
      <c r="L1064" s="15"/>
      <c r="M1064" s="15" t="n">
        <f aca="false">IF(ISNUMBER(L1064),L1064,J1064)</f>
        <v>47.1</v>
      </c>
      <c r="N1064" s="15" t="n">
        <f aca="false">ROUNDUP(M1064,0)</f>
        <v>48</v>
      </c>
      <c r="O1064" s="15" t="n">
        <f aca="false">MAX(I1064,N1064)</f>
        <v>48</v>
      </c>
      <c r="P1064" s="15" t="n">
        <f aca="false">IF(C1064="COVERED",MAX(0,O1064-40),0)</f>
        <v>8</v>
      </c>
      <c r="Q1064" s="15" t="n">
        <f aca="false">O1064</f>
        <v>48</v>
      </c>
      <c r="R1064" s="18" t="n">
        <f aca="false">IF(C1064="COVERED",10.4,7.55)</f>
        <v>10.4</v>
      </c>
      <c r="S1064" s="18" t="n">
        <f aca="false">Q1064*R1064</f>
        <v>499.2</v>
      </c>
      <c r="T1064" s="13" t="s">
        <v>7259</v>
      </c>
      <c r="U1064" s="14" t="n">
        <v>46235</v>
      </c>
      <c r="V1064" s="13" t="n">
        <v>48</v>
      </c>
      <c r="W1064" s="18" t="n">
        <v>10.4</v>
      </c>
      <c r="X1064" s="18" t="n">
        <v>499.2</v>
      </c>
      <c r="Y1064" s="18" t="n">
        <f aca="false">IF(ISNUMBER(X1064),X1064-S1064,"")</f>
        <v>0</v>
      </c>
      <c r="Z1064" s="18" t="n">
        <f aca="false">IF(ISNUMBER(X1064),X1064-S1064,-S1064)</f>
        <v>0</v>
      </c>
      <c r="AA1064" s="13" t="str">
        <f aca="false">IF(NOT(ISNUMBER(X1064)),"NO AUGUST POSTING IN EXPORT",IF(ABS(Y1064)&gt;=0.005,"POSTED CHARGE MISMATCH",IF(P1064&gt;0,"MATCH - COVERED ELIGIBILITY EXCEPTION","MATCH")))</f>
        <v>MATCH - COVERED ELIGIBILITY EXCEPTION</v>
      </c>
      <c r="AB1064" s="13" t="s">
        <v>7260</v>
      </c>
    </row>
    <row r="1065" customFormat="false" ht="15" hidden="false" customHeight="false" outlineLevel="0" collapsed="false">
      <c r="A1065" s="9" t="s">
        <v>7261</v>
      </c>
      <c r="B1065" s="9" t="s">
        <v>135</v>
      </c>
      <c r="C1065" s="9" t="s">
        <v>114</v>
      </c>
      <c r="D1065" s="9" t="s">
        <v>2002</v>
      </c>
      <c r="E1065" s="9" t="s">
        <v>3240</v>
      </c>
      <c r="F1065" s="9" t="s">
        <v>7262</v>
      </c>
      <c r="G1065" s="9" t="s">
        <v>6317</v>
      </c>
      <c r="H1065" s="9" t="s">
        <v>5124</v>
      </c>
      <c r="I1065" s="11" t="n">
        <v>28</v>
      </c>
      <c r="J1065" s="11" t="n">
        <v>19.3</v>
      </c>
      <c r="K1065" s="11"/>
      <c r="L1065" s="11"/>
      <c r="M1065" s="11" t="n">
        <f aca="false">IF(ISNUMBER(L1065),L1065,J1065)</f>
        <v>19.3</v>
      </c>
      <c r="N1065" s="11" t="n">
        <f aca="false">ROUNDUP(M1065,0)</f>
        <v>20</v>
      </c>
      <c r="O1065" s="11" t="n">
        <f aca="false">MAX(I1065,N1065)</f>
        <v>28</v>
      </c>
      <c r="P1065" s="11" t="n">
        <f aca="false">IF(C1065="COVERED",MAX(0,O1065-40),0)</f>
        <v>0</v>
      </c>
      <c r="Q1065" s="11" t="n">
        <f aca="false">O1065</f>
        <v>28</v>
      </c>
      <c r="R1065" s="17" t="n">
        <f aca="false">IF(C1065="COVERED",10.4,7.55)</f>
        <v>10.4</v>
      </c>
      <c r="S1065" s="17" t="n">
        <f aca="false">Q1065*R1065</f>
        <v>291.2</v>
      </c>
      <c r="T1065" s="9" t="s">
        <v>7263</v>
      </c>
      <c r="U1065" s="10" t="n">
        <v>46235</v>
      </c>
      <c r="V1065" s="9" t="n">
        <v>28</v>
      </c>
      <c r="W1065" s="17" t="n">
        <v>10.4</v>
      </c>
      <c r="X1065" s="17" t="n">
        <v>291.2</v>
      </c>
      <c r="Y1065" s="17" t="n">
        <f aca="false">IF(ISNUMBER(X1065),X1065-S1065,"")</f>
        <v>0</v>
      </c>
      <c r="Z1065" s="17" t="n">
        <f aca="false">IF(ISNUMBER(X1065),X1065-S1065,-S1065)</f>
        <v>0</v>
      </c>
      <c r="AA1065" s="9" t="str">
        <f aca="false">IF(NOT(ISNUMBER(X1065)),"NO AUGUST POSTING IN EXPORT",IF(ABS(Y1065)&gt;=0.005,"POSTED CHARGE MISMATCH",IF(P1065&gt;0,"MATCH - COVERED ELIGIBILITY EXCEPTION","MATCH")))</f>
        <v>MATCH</v>
      </c>
      <c r="AB1065" s="9" t="s">
        <v>7264</v>
      </c>
    </row>
    <row r="1066" customFormat="false" ht="15" hidden="false" customHeight="false" outlineLevel="0" collapsed="false">
      <c r="A1066" s="13" t="s">
        <v>7265</v>
      </c>
      <c r="B1066" s="13" t="s">
        <v>135</v>
      </c>
      <c r="C1066" s="13" t="s">
        <v>114</v>
      </c>
      <c r="D1066" s="13" t="s">
        <v>2002</v>
      </c>
      <c r="E1066" s="13" t="s">
        <v>3254</v>
      </c>
      <c r="F1066" s="13" t="s">
        <v>7266</v>
      </c>
      <c r="G1066" s="13" t="s">
        <v>7267</v>
      </c>
      <c r="H1066" s="13" t="s">
        <v>6404</v>
      </c>
      <c r="I1066" s="15" t="n">
        <v>36</v>
      </c>
      <c r="J1066" s="15" t="n">
        <v>40.3</v>
      </c>
      <c r="K1066" s="15"/>
      <c r="L1066" s="15"/>
      <c r="M1066" s="15" t="n">
        <f aca="false">IF(ISNUMBER(L1066),L1066,J1066)</f>
        <v>40.3</v>
      </c>
      <c r="N1066" s="15" t="n">
        <f aca="false">ROUNDUP(M1066,0)</f>
        <v>41</v>
      </c>
      <c r="O1066" s="15" t="n">
        <f aca="false">MAX(I1066,N1066)</f>
        <v>41</v>
      </c>
      <c r="P1066" s="15" t="n">
        <f aca="false">IF(C1066="COVERED",MAX(0,O1066-40),0)</f>
        <v>1</v>
      </c>
      <c r="Q1066" s="15" t="n">
        <f aca="false">O1066</f>
        <v>41</v>
      </c>
      <c r="R1066" s="18" t="n">
        <f aca="false">IF(C1066="COVERED",10.4,7.55)</f>
        <v>10.4</v>
      </c>
      <c r="S1066" s="18" t="n">
        <f aca="false">Q1066*R1066</f>
        <v>426.4</v>
      </c>
      <c r="T1066" s="13" t="s">
        <v>7268</v>
      </c>
      <c r="U1066" s="14" t="n">
        <v>46235</v>
      </c>
      <c r="V1066" s="13" t="n">
        <v>41</v>
      </c>
      <c r="W1066" s="18" t="n">
        <v>10.4</v>
      </c>
      <c r="X1066" s="18" t="n">
        <v>426.4</v>
      </c>
      <c r="Y1066" s="18" t="n">
        <f aca="false">IF(ISNUMBER(X1066),X1066-S1066,"")</f>
        <v>0</v>
      </c>
      <c r="Z1066" s="18" t="n">
        <f aca="false">IF(ISNUMBER(X1066),X1066-S1066,-S1066)</f>
        <v>0</v>
      </c>
      <c r="AA1066" s="13" t="str">
        <f aca="false">IF(NOT(ISNUMBER(X1066)),"NO AUGUST POSTING IN EXPORT",IF(ABS(Y1066)&gt;=0.005,"POSTED CHARGE MISMATCH",IF(P1066&gt;0,"MATCH - COVERED ELIGIBILITY EXCEPTION","MATCH")))</f>
        <v>MATCH - COVERED ELIGIBILITY EXCEPTION</v>
      </c>
      <c r="AB1066" s="13" t="s">
        <v>7269</v>
      </c>
    </row>
    <row r="1067" customFormat="false" ht="15" hidden="false" customHeight="false" outlineLevel="0" collapsed="false">
      <c r="A1067" s="9" t="s">
        <v>911</v>
      </c>
      <c r="B1067" s="9" t="s">
        <v>135</v>
      </c>
      <c r="C1067" s="9" t="s">
        <v>114</v>
      </c>
      <c r="D1067" s="9" t="s">
        <v>2002</v>
      </c>
      <c r="E1067" s="9" t="s">
        <v>5373</v>
      </c>
      <c r="F1067" s="9" t="s">
        <v>7270</v>
      </c>
      <c r="G1067" s="9" t="s">
        <v>7271</v>
      </c>
      <c r="H1067" s="9" t="s">
        <v>4067</v>
      </c>
      <c r="I1067" s="11" t="n">
        <v>32</v>
      </c>
      <c r="J1067" s="11" t="n">
        <v>27.6</v>
      </c>
      <c r="K1067" s="11"/>
      <c r="L1067" s="11"/>
      <c r="M1067" s="11" t="n">
        <f aca="false">IF(ISNUMBER(L1067),L1067,J1067)</f>
        <v>27.6</v>
      </c>
      <c r="N1067" s="11" t="n">
        <f aca="false">ROUNDUP(M1067,0)</f>
        <v>28</v>
      </c>
      <c r="O1067" s="11" t="n">
        <f aca="false">MAX(I1067,N1067)</f>
        <v>32</v>
      </c>
      <c r="P1067" s="11" t="n">
        <f aca="false">IF(C1067="COVERED",MAX(0,O1067-40),0)</f>
        <v>0</v>
      </c>
      <c r="Q1067" s="11" t="n">
        <f aca="false">O1067</f>
        <v>32</v>
      </c>
      <c r="R1067" s="17" t="n">
        <f aca="false">IF(C1067="COVERED",10.4,7.55)</f>
        <v>10.4</v>
      </c>
      <c r="S1067" s="17" t="n">
        <f aca="false">Q1067*R1067</f>
        <v>332.8</v>
      </c>
      <c r="T1067" s="9" t="s">
        <v>7272</v>
      </c>
      <c r="U1067" s="10" t="n">
        <v>46235</v>
      </c>
      <c r="V1067" s="9" t="n">
        <v>32</v>
      </c>
      <c r="W1067" s="17" t="n">
        <v>10.4</v>
      </c>
      <c r="X1067" s="17" t="n">
        <v>332.8</v>
      </c>
      <c r="Y1067" s="17" t="n">
        <f aca="false">IF(ISNUMBER(X1067),X1067-S1067,"")</f>
        <v>0</v>
      </c>
      <c r="Z1067" s="17" t="n">
        <f aca="false">IF(ISNUMBER(X1067),X1067-S1067,-S1067)</f>
        <v>0</v>
      </c>
      <c r="AA1067" s="9" t="str">
        <f aca="false">IF(NOT(ISNUMBER(X1067)),"NO AUGUST POSTING IN EXPORT",IF(ABS(Y1067)&gt;=0.005,"POSTED CHARGE MISMATCH",IF(P1067&gt;0,"MATCH - COVERED ELIGIBILITY EXCEPTION","MATCH")))</f>
        <v>MATCH</v>
      </c>
      <c r="AB1067" s="9" t="s">
        <v>7273</v>
      </c>
    </row>
    <row r="1068" customFormat="false" ht="15" hidden="false" customHeight="false" outlineLevel="0" collapsed="false">
      <c r="A1068" s="13" t="s">
        <v>7274</v>
      </c>
      <c r="B1068" s="13" t="s">
        <v>135</v>
      </c>
      <c r="C1068" s="13" t="s">
        <v>114</v>
      </c>
      <c r="D1068" s="13" t="s">
        <v>2002</v>
      </c>
      <c r="E1068" s="13" t="s">
        <v>3261</v>
      </c>
      <c r="F1068" s="13" t="s">
        <v>7275</v>
      </c>
      <c r="G1068" s="13" t="s">
        <v>7276</v>
      </c>
      <c r="H1068" s="13" t="s">
        <v>2457</v>
      </c>
      <c r="I1068" s="15" t="n">
        <v>40</v>
      </c>
      <c r="J1068" s="15" t="n">
        <v>20.9</v>
      </c>
      <c r="K1068" s="15"/>
      <c r="L1068" s="15"/>
      <c r="M1068" s="15" t="n">
        <f aca="false">IF(ISNUMBER(L1068),L1068,J1068)</f>
        <v>20.9</v>
      </c>
      <c r="N1068" s="15" t="n">
        <f aca="false">ROUNDUP(M1068,0)</f>
        <v>21</v>
      </c>
      <c r="O1068" s="15" t="n">
        <f aca="false">MAX(I1068,N1068)</f>
        <v>40</v>
      </c>
      <c r="P1068" s="15" t="n">
        <f aca="false">IF(C1068="COVERED",MAX(0,O1068-40),0)</f>
        <v>0</v>
      </c>
      <c r="Q1068" s="15" t="n">
        <f aca="false">O1068</f>
        <v>40</v>
      </c>
      <c r="R1068" s="18" t="n">
        <f aca="false">IF(C1068="COVERED",10.4,7.55)</f>
        <v>10.4</v>
      </c>
      <c r="S1068" s="18" t="n">
        <f aca="false">Q1068*R1068</f>
        <v>416</v>
      </c>
      <c r="T1068" s="13" t="s">
        <v>7277</v>
      </c>
      <c r="U1068" s="14" t="n">
        <v>46235</v>
      </c>
      <c r="V1068" s="13" t="n">
        <v>40</v>
      </c>
      <c r="W1068" s="18" t="n">
        <v>10.4</v>
      </c>
      <c r="X1068" s="18" t="n">
        <v>416</v>
      </c>
      <c r="Y1068" s="18" t="n">
        <f aca="false">IF(ISNUMBER(X1068),X1068-S1068,"")</f>
        <v>0</v>
      </c>
      <c r="Z1068" s="18" t="n">
        <f aca="false">IF(ISNUMBER(X1068),X1068-S1068,-S1068)</f>
        <v>0</v>
      </c>
      <c r="AA1068" s="13" t="str">
        <f aca="false">IF(NOT(ISNUMBER(X1068)),"NO AUGUST POSTING IN EXPORT",IF(ABS(Y1068)&gt;=0.005,"POSTED CHARGE MISMATCH",IF(P1068&gt;0,"MATCH - COVERED ELIGIBILITY EXCEPTION","MATCH")))</f>
        <v>MATCH</v>
      </c>
      <c r="AB1068" s="13" t="s">
        <v>7278</v>
      </c>
    </row>
    <row r="1069" customFormat="false" ht="15" hidden="false" customHeight="false" outlineLevel="0" collapsed="false">
      <c r="A1069" s="9" t="s">
        <v>7279</v>
      </c>
      <c r="B1069" s="9" t="s">
        <v>135</v>
      </c>
      <c r="C1069" s="9" t="s">
        <v>114</v>
      </c>
      <c r="D1069" s="9" t="s">
        <v>2002</v>
      </c>
      <c r="E1069" s="9" t="s">
        <v>3267</v>
      </c>
      <c r="F1069" s="9" t="s">
        <v>7280</v>
      </c>
      <c r="G1069" s="9" t="s">
        <v>7281</v>
      </c>
      <c r="H1069" s="9" t="s">
        <v>2034</v>
      </c>
      <c r="I1069" s="11" t="n">
        <v>28</v>
      </c>
      <c r="J1069" s="11" t="n">
        <v>60</v>
      </c>
      <c r="K1069" s="11"/>
      <c r="L1069" s="11"/>
      <c r="M1069" s="11" t="n">
        <f aca="false">IF(ISNUMBER(L1069),L1069,J1069)</f>
        <v>60</v>
      </c>
      <c r="N1069" s="11" t="n">
        <f aca="false">ROUNDUP(M1069,0)</f>
        <v>60</v>
      </c>
      <c r="O1069" s="11" t="n">
        <f aca="false">MAX(I1069,N1069)</f>
        <v>60</v>
      </c>
      <c r="P1069" s="11" t="n">
        <f aca="false">IF(C1069="COVERED",MAX(0,O1069-40),0)</f>
        <v>20</v>
      </c>
      <c r="Q1069" s="11" t="n">
        <f aca="false">O1069</f>
        <v>60</v>
      </c>
      <c r="R1069" s="17" t="n">
        <f aca="false">IF(C1069="COVERED",10.4,7.55)</f>
        <v>10.4</v>
      </c>
      <c r="S1069" s="17" t="n">
        <f aca="false">Q1069*R1069</f>
        <v>624</v>
      </c>
      <c r="T1069" s="9" t="s">
        <v>7282</v>
      </c>
      <c r="U1069" s="10" t="n">
        <v>46235</v>
      </c>
      <c r="V1069" s="9" t="n">
        <v>60</v>
      </c>
      <c r="W1069" s="17" t="n">
        <v>10.4</v>
      </c>
      <c r="X1069" s="17" t="n">
        <v>624</v>
      </c>
      <c r="Y1069" s="17" t="n">
        <f aca="false">IF(ISNUMBER(X1069),X1069-S1069,"")</f>
        <v>0</v>
      </c>
      <c r="Z1069" s="17" t="n">
        <f aca="false">IF(ISNUMBER(X1069),X1069-S1069,-S1069)</f>
        <v>0</v>
      </c>
      <c r="AA1069" s="9" t="str">
        <f aca="false">IF(NOT(ISNUMBER(X1069)),"NO AUGUST POSTING IN EXPORT",IF(ABS(Y1069)&gt;=0.005,"POSTED CHARGE MISMATCH",IF(P1069&gt;0,"MATCH - COVERED ELIGIBILITY EXCEPTION","MATCH")))</f>
        <v>MATCH - COVERED ELIGIBILITY EXCEPTION</v>
      </c>
      <c r="AB1069" s="9" t="s">
        <v>7283</v>
      </c>
    </row>
    <row r="1070" customFormat="false" ht="15" hidden="false" customHeight="false" outlineLevel="0" collapsed="false">
      <c r="A1070" s="13" t="s">
        <v>7284</v>
      </c>
      <c r="B1070" s="13" t="s">
        <v>135</v>
      </c>
      <c r="C1070" s="13" t="s">
        <v>114</v>
      </c>
      <c r="D1070" s="13" t="s">
        <v>2002</v>
      </c>
      <c r="E1070" s="13" t="s">
        <v>4304</v>
      </c>
      <c r="F1070" s="13" t="s">
        <v>7285</v>
      </c>
      <c r="G1070" s="13" t="s">
        <v>7286</v>
      </c>
      <c r="H1070" s="13" t="s">
        <v>2416</v>
      </c>
      <c r="I1070" s="15" t="n">
        <v>28</v>
      </c>
      <c r="J1070" s="15" t="n">
        <v>35.9</v>
      </c>
      <c r="K1070" s="15"/>
      <c r="L1070" s="15"/>
      <c r="M1070" s="15" t="n">
        <f aca="false">IF(ISNUMBER(L1070),L1070,J1070)</f>
        <v>35.9</v>
      </c>
      <c r="N1070" s="15" t="n">
        <f aca="false">ROUNDUP(M1070,0)</f>
        <v>36</v>
      </c>
      <c r="O1070" s="15" t="n">
        <f aca="false">MAX(I1070,N1070)</f>
        <v>36</v>
      </c>
      <c r="P1070" s="15" t="n">
        <f aca="false">IF(C1070="COVERED",MAX(0,O1070-40),0)</f>
        <v>0</v>
      </c>
      <c r="Q1070" s="15" t="n">
        <f aca="false">O1070</f>
        <v>36</v>
      </c>
      <c r="R1070" s="18" t="n">
        <f aca="false">IF(C1070="COVERED",10.4,7.55)</f>
        <v>10.4</v>
      </c>
      <c r="S1070" s="18" t="n">
        <f aca="false">Q1070*R1070</f>
        <v>374.4</v>
      </c>
      <c r="T1070" s="13" t="s">
        <v>7287</v>
      </c>
      <c r="U1070" s="14" t="n">
        <v>46235</v>
      </c>
      <c r="V1070" s="13" t="n">
        <v>36</v>
      </c>
      <c r="W1070" s="18" t="n">
        <v>10.4</v>
      </c>
      <c r="X1070" s="18" t="n">
        <v>374.4</v>
      </c>
      <c r="Y1070" s="18" t="n">
        <f aca="false">IF(ISNUMBER(X1070),X1070-S1070,"")</f>
        <v>0</v>
      </c>
      <c r="Z1070" s="18" t="n">
        <f aca="false">IF(ISNUMBER(X1070),X1070-S1070,-S1070)</f>
        <v>0</v>
      </c>
      <c r="AA1070" s="13" t="str">
        <f aca="false">IF(NOT(ISNUMBER(X1070)),"NO AUGUST POSTING IN EXPORT",IF(ABS(Y1070)&gt;=0.005,"POSTED CHARGE MISMATCH",IF(P1070&gt;0,"MATCH - COVERED ELIGIBILITY EXCEPTION","MATCH")))</f>
        <v>MATCH</v>
      </c>
      <c r="AB1070" s="13" t="s">
        <v>7288</v>
      </c>
    </row>
    <row r="1071" customFormat="false" ht="15" hidden="false" customHeight="false" outlineLevel="0" collapsed="false">
      <c r="A1071" s="9" t="s">
        <v>7289</v>
      </c>
      <c r="B1071" s="9" t="s">
        <v>135</v>
      </c>
      <c r="C1071" s="9" t="s">
        <v>114</v>
      </c>
      <c r="D1071" s="9" t="s">
        <v>2002</v>
      </c>
      <c r="E1071" s="9" t="s">
        <v>3278</v>
      </c>
      <c r="F1071" s="9" t="s">
        <v>7290</v>
      </c>
      <c r="G1071" s="9" t="s">
        <v>7291</v>
      </c>
      <c r="H1071" s="9" t="s">
        <v>6968</v>
      </c>
      <c r="I1071" s="11" t="n">
        <v>28</v>
      </c>
      <c r="J1071" s="11" t="n">
        <v>56.3</v>
      </c>
      <c r="K1071" s="11"/>
      <c r="L1071" s="11"/>
      <c r="M1071" s="11" t="n">
        <f aca="false">IF(ISNUMBER(L1071),L1071,J1071)</f>
        <v>56.3</v>
      </c>
      <c r="N1071" s="11" t="n">
        <f aca="false">ROUNDUP(M1071,0)</f>
        <v>57</v>
      </c>
      <c r="O1071" s="11" t="n">
        <f aca="false">MAX(I1071,N1071)</f>
        <v>57</v>
      </c>
      <c r="P1071" s="11" t="n">
        <f aca="false">IF(C1071="COVERED",MAX(0,O1071-40),0)</f>
        <v>17</v>
      </c>
      <c r="Q1071" s="11" t="n">
        <f aca="false">O1071</f>
        <v>57</v>
      </c>
      <c r="R1071" s="17" t="n">
        <f aca="false">IF(C1071="COVERED",10.4,7.55)</f>
        <v>10.4</v>
      </c>
      <c r="S1071" s="17" t="n">
        <f aca="false">Q1071*R1071</f>
        <v>592.8</v>
      </c>
      <c r="T1071" s="9" t="s">
        <v>7292</v>
      </c>
      <c r="U1071" s="10" t="n">
        <v>46235</v>
      </c>
      <c r="V1071" s="9" t="n">
        <v>57</v>
      </c>
      <c r="W1071" s="17" t="n">
        <v>10.4</v>
      </c>
      <c r="X1071" s="17" t="n">
        <v>592.8</v>
      </c>
      <c r="Y1071" s="17" t="n">
        <f aca="false">IF(ISNUMBER(X1071),X1071-S1071,"")</f>
        <v>0</v>
      </c>
      <c r="Z1071" s="17" t="n">
        <f aca="false">IF(ISNUMBER(X1071),X1071-S1071,-S1071)</f>
        <v>0</v>
      </c>
      <c r="AA1071" s="9" t="str">
        <f aca="false">IF(NOT(ISNUMBER(X1071)),"NO AUGUST POSTING IN EXPORT",IF(ABS(Y1071)&gt;=0.005,"POSTED CHARGE MISMATCH",IF(P1071&gt;0,"MATCH - COVERED ELIGIBILITY EXCEPTION","MATCH")))</f>
        <v>MATCH - COVERED ELIGIBILITY EXCEPTION</v>
      </c>
      <c r="AB1071" s="9" t="s">
        <v>7293</v>
      </c>
    </row>
    <row r="1072" customFormat="false" ht="15" hidden="false" customHeight="false" outlineLevel="0" collapsed="false">
      <c r="A1072" s="13" t="s">
        <v>7294</v>
      </c>
      <c r="B1072" s="13" t="s">
        <v>135</v>
      </c>
      <c r="C1072" s="13" t="s">
        <v>114</v>
      </c>
      <c r="D1072" s="13" t="s">
        <v>2002</v>
      </c>
      <c r="E1072" s="13" t="s">
        <v>4314</v>
      </c>
      <c r="F1072" s="13" t="s">
        <v>7295</v>
      </c>
      <c r="G1072" s="13" t="s">
        <v>7296</v>
      </c>
      <c r="H1072" s="13" t="s">
        <v>4135</v>
      </c>
      <c r="I1072" s="15" t="n">
        <v>24</v>
      </c>
      <c r="J1072" s="15" t="n">
        <v>28.1</v>
      </c>
      <c r="K1072" s="15"/>
      <c r="L1072" s="15"/>
      <c r="M1072" s="15" t="n">
        <f aca="false">IF(ISNUMBER(L1072),L1072,J1072)</f>
        <v>28.1</v>
      </c>
      <c r="N1072" s="15" t="n">
        <f aca="false">ROUNDUP(M1072,0)</f>
        <v>29</v>
      </c>
      <c r="O1072" s="15" t="n">
        <f aca="false">MAX(I1072,N1072)</f>
        <v>29</v>
      </c>
      <c r="P1072" s="15" t="n">
        <f aca="false">IF(C1072="COVERED",MAX(0,O1072-40),0)</f>
        <v>0</v>
      </c>
      <c r="Q1072" s="15" t="n">
        <f aca="false">O1072</f>
        <v>29</v>
      </c>
      <c r="R1072" s="18" t="n">
        <f aca="false">IF(C1072="COVERED",10.4,7.55)</f>
        <v>10.4</v>
      </c>
      <c r="S1072" s="18" t="n">
        <f aca="false">Q1072*R1072</f>
        <v>301.6</v>
      </c>
      <c r="T1072" s="13" t="s">
        <v>7297</v>
      </c>
      <c r="U1072" s="14" t="n">
        <v>46235</v>
      </c>
      <c r="V1072" s="13" t="n">
        <v>29</v>
      </c>
      <c r="W1072" s="18" t="n">
        <v>10.4</v>
      </c>
      <c r="X1072" s="18" t="n">
        <v>301.6</v>
      </c>
      <c r="Y1072" s="18" t="n">
        <f aca="false">IF(ISNUMBER(X1072),X1072-S1072,"")</f>
        <v>0</v>
      </c>
      <c r="Z1072" s="18" t="n">
        <f aca="false">IF(ISNUMBER(X1072),X1072-S1072,-S1072)</f>
        <v>0</v>
      </c>
      <c r="AA1072" s="13" t="str">
        <f aca="false">IF(NOT(ISNUMBER(X1072)),"NO AUGUST POSTING IN EXPORT",IF(ABS(Y1072)&gt;=0.005,"POSTED CHARGE MISMATCH",IF(P1072&gt;0,"MATCH - COVERED ELIGIBILITY EXCEPTION","MATCH")))</f>
        <v>MATCH</v>
      </c>
      <c r="AB1072" s="13" t="s">
        <v>7298</v>
      </c>
    </row>
    <row r="1073" customFormat="false" ht="15" hidden="false" customHeight="false" outlineLevel="0" collapsed="false">
      <c r="A1073" s="9" t="s">
        <v>7299</v>
      </c>
      <c r="B1073" s="9" t="s">
        <v>135</v>
      </c>
      <c r="C1073" s="9" t="s">
        <v>114</v>
      </c>
      <c r="D1073" s="9" t="s">
        <v>2002</v>
      </c>
      <c r="E1073" s="9" t="s">
        <v>3283</v>
      </c>
      <c r="F1073" s="9" t="s">
        <v>7300</v>
      </c>
      <c r="G1073" s="9" t="s">
        <v>7301</v>
      </c>
      <c r="H1073" s="9" t="s">
        <v>2250</v>
      </c>
      <c r="I1073" s="11" t="n">
        <v>36</v>
      </c>
      <c r="J1073" s="11" t="n">
        <v>46.3</v>
      </c>
      <c r="K1073" s="11"/>
      <c r="L1073" s="11"/>
      <c r="M1073" s="11" t="n">
        <f aca="false">IF(ISNUMBER(L1073),L1073,J1073)</f>
        <v>46.3</v>
      </c>
      <c r="N1073" s="11" t="n">
        <f aca="false">ROUNDUP(M1073,0)</f>
        <v>47</v>
      </c>
      <c r="O1073" s="11" t="n">
        <f aca="false">MAX(I1073,N1073)</f>
        <v>47</v>
      </c>
      <c r="P1073" s="11" t="n">
        <f aca="false">IF(C1073="COVERED",MAX(0,O1073-40),0)</f>
        <v>7</v>
      </c>
      <c r="Q1073" s="11" t="n">
        <f aca="false">O1073</f>
        <v>47</v>
      </c>
      <c r="R1073" s="17" t="n">
        <f aca="false">IF(C1073="COVERED",10.4,7.55)</f>
        <v>10.4</v>
      </c>
      <c r="S1073" s="17" t="n">
        <f aca="false">Q1073*R1073</f>
        <v>488.8</v>
      </c>
      <c r="T1073" s="9" t="s">
        <v>7302</v>
      </c>
      <c r="U1073" s="10" t="n">
        <v>46235</v>
      </c>
      <c r="V1073" s="9" t="n">
        <v>47</v>
      </c>
      <c r="W1073" s="17" t="n">
        <v>10.4</v>
      </c>
      <c r="X1073" s="17" t="n">
        <v>488.8</v>
      </c>
      <c r="Y1073" s="17" t="n">
        <f aca="false">IF(ISNUMBER(X1073),X1073-S1073,"")</f>
        <v>0</v>
      </c>
      <c r="Z1073" s="17" t="n">
        <f aca="false">IF(ISNUMBER(X1073),X1073-S1073,-S1073)</f>
        <v>0</v>
      </c>
      <c r="AA1073" s="9" t="str">
        <f aca="false">IF(NOT(ISNUMBER(X1073)),"NO AUGUST POSTING IN EXPORT",IF(ABS(Y1073)&gt;=0.005,"POSTED CHARGE MISMATCH",IF(P1073&gt;0,"MATCH - COVERED ELIGIBILITY EXCEPTION","MATCH")))</f>
        <v>MATCH - COVERED ELIGIBILITY EXCEPTION</v>
      </c>
      <c r="AB1073" s="9" t="s">
        <v>7303</v>
      </c>
    </row>
    <row r="1074" customFormat="false" ht="15" hidden="false" customHeight="false" outlineLevel="0" collapsed="false">
      <c r="A1074" s="13" t="s">
        <v>965</v>
      </c>
      <c r="B1074" s="13" t="s">
        <v>135</v>
      </c>
      <c r="C1074" s="13" t="s">
        <v>114</v>
      </c>
      <c r="D1074" s="13" t="s">
        <v>2002</v>
      </c>
      <c r="E1074" s="13" t="s">
        <v>3290</v>
      </c>
      <c r="F1074" s="13" t="s">
        <v>7304</v>
      </c>
      <c r="G1074" s="13" t="s">
        <v>7305</v>
      </c>
      <c r="H1074" s="13" t="s">
        <v>3600</v>
      </c>
      <c r="I1074" s="15" t="n">
        <v>36</v>
      </c>
      <c r="J1074" s="15" t="n">
        <v>49.2</v>
      </c>
      <c r="K1074" s="15"/>
      <c r="L1074" s="15"/>
      <c r="M1074" s="15" t="n">
        <f aca="false">IF(ISNUMBER(L1074),L1074,J1074)</f>
        <v>49.2</v>
      </c>
      <c r="N1074" s="15" t="n">
        <f aca="false">ROUNDUP(M1074,0)</f>
        <v>50</v>
      </c>
      <c r="O1074" s="15" t="n">
        <f aca="false">MAX(I1074,N1074)</f>
        <v>50</v>
      </c>
      <c r="P1074" s="15" t="n">
        <f aca="false">IF(C1074="COVERED",MAX(0,O1074-40),0)</f>
        <v>10</v>
      </c>
      <c r="Q1074" s="15" t="n">
        <f aca="false">O1074</f>
        <v>50</v>
      </c>
      <c r="R1074" s="18" t="n">
        <f aca="false">IF(C1074="COVERED",10.4,7.55)</f>
        <v>10.4</v>
      </c>
      <c r="S1074" s="18" t="n">
        <f aca="false">Q1074*R1074</f>
        <v>520</v>
      </c>
      <c r="T1074" s="13" t="s">
        <v>7306</v>
      </c>
      <c r="U1074" s="14" t="n">
        <v>46235</v>
      </c>
      <c r="V1074" s="13" t="n">
        <v>50</v>
      </c>
      <c r="W1074" s="18" t="n">
        <v>10.4</v>
      </c>
      <c r="X1074" s="18" t="n">
        <v>520</v>
      </c>
      <c r="Y1074" s="18" t="n">
        <f aca="false">IF(ISNUMBER(X1074),X1074-S1074,"")</f>
        <v>0</v>
      </c>
      <c r="Z1074" s="18" t="n">
        <f aca="false">IF(ISNUMBER(X1074),X1074-S1074,-S1074)</f>
        <v>0</v>
      </c>
      <c r="AA1074" s="13" t="str">
        <f aca="false">IF(NOT(ISNUMBER(X1074)),"NO AUGUST POSTING IN EXPORT",IF(ABS(Y1074)&gt;=0.005,"POSTED CHARGE MISMATCH",IF(P1074&gt;0,"MATCH - COVERED ELIGIBILITY EXCEPTION","MATCH")))</f>
        <v>MATCH - COVERED ELIGIBILITY EXCEPTION</v>
      </c>
      <c r="AB1074" s="13" t="s">
        <v>7307</v>
      </c>
    </row>
    <row r="1075" customFormat="false" ht="15" hidden="false" customHeight="false" outlineLevel="0" collapsed="false">
      <c r="A1075" s="9" t="s">
        <v>7308</v>
      </c>
      <c r="B1075" s="9" t="s">
        <v>135</v>
      </c>
      <c r="C1075" s="9" t="s">
        <v>114</v>
      </c>
      <c r="D1075" s="9" t="s">
        <v>2002</v>
      </c>
      <c r="E1075" s="9" t="s">
        <v>4327</v>
      </c>
      <c r="F1075" s="9" t="s">
        <v>7309</v>
      </c>
      <c r="G1075" s="9" t="s">
        <v>7310</v>
      </c>
      <c r="H1075" s="9" t="s">
        <v>4204</v>
      </c>
      <c r="I1075" s="11" t="n">
        <v>28</v>
      </c>
      <c r="J1075" s="11" t="n">
        <v>43.3</v>
      </c>
      <c r="K1075" s="11"/>
      <c r="L1075" s="11"/>
      <c r="M1075" s="11" t="n">
        <f aca="false">IF(ISNUMBER(L1075),L1075,J1075)</f>
        <v>43.3</v>
      </c>
      <c r="N1075" s="11" t="n">
        <f aca="false">ROUNDUP(M1075,0)</f>
        <v>44</v>
      </c>
      <c r="O1075" s="11" t="n">
        <f aca="false">MAX(I1075,N1075)</f>
        <v>44</v>
      </c>
      <c r="P1075" s="11" t="n">
        <f aca="false">IF(C1075="COVERED",MAX(0,O1075-40),0)</f>
        <v>4</v>
      </c>
      <c r="Q1075" s="11" t="n">
        <f aca="false">O1075</f>
        <v>44</v>
      </c>
      <c r="R1075" s="17" t="n">
        <f aca="false">IF(C1075="COVERED",10.4,7.55)</f>
        <v>10.4</v>
      </c>
      <c r="S1075" s="17" t="n">
        <f aca="false">Q1075*R1075</f>
        <v>457.6</v>
      </c>
      <c r="T1075" s="9" t="s">
        <v>7311</v>
      </c>
      <c r="U1075" s="10" t="n">
        <v>46235</v>
      </c>
      <c r="V1075" s="9" t="n">
        <v>44</v>
      </c>
      <c r="W1075" s="17" t="n">
        <v>10.4</v>
      </c>
      <c r="X1075" s="17" t="n">
        <v>457.6</v>
      </c>
      <c r="Y1075" s="17" t="n">
        <f aca="false">IF(ISNUMBER(X1075),X1075-S1075,"")</f>
        <v>0</v>
      </c>
      <c r="Z1075" s="17" t="n">
        <f aca="false">IF(ISNUMBER(X1075),X1075-S1075,-S1075)</f>
        <v>0</v>
      </c>
      <c r="AA1075" s="9" t="str">
        <f aca="false">IF(NOT(ISNUMBER(X1075)),"NO AUGUST POSTING IN EXPORT",IF(ABS(Y1075)&gt;=0.005,"POSTED CHARGE MISMATCH",IF(P1075&gt;0,"MATCH - COVERED ELIGIBILITY EXCEPTION","MATCH")))</f>
        <v>MATCH - COVERED ELIGIBILITY EXCEPTION</v>
      </c>
      <c r="AB1075" s="9" t="s">
        <v>7312</v>
      </c>
    </row>
    <row r="1076" customFormat="false" ht="15" hidden="false" customHeight="false" outlineLevel="0" collapsed="false">
      <c r="A1076" s="13" t="s">
        <v>7313</v>
      </c>
      <c r="B1076" s="13" t="s">
        <v>135</v>
      </c>
      <c r="C1076" s="13" t="s">
        <v>114</v>
      </c>
      <c r="D1076" s="13" t="s">
        <v>2002</v>
      </c>
      <c r="E1076" s="13" t="s">
        <v>3297</v>
      </c>
      <c r="F1076" s="13" t="s">
        <v>7314</v>
      </c>
      <c r="G1076" s="13" t="s">
        <v>7315</v>
      </c>
      <c r="H1076" s="13" t="s">
        <v>3753</v>
      </c>
      <c r="I1076" s="15" t="n">
        <v>24</v>
      </c>
      <c r="J1076" s="15" t="n">
        <v>48.1</v>
      </c>
      <c r="K1076" s="15"/>
      <c r="L1076" s="15"/>
      <c r="M1076" s="15" t="n">
        <f aca="false">IF(ISNUMBER(L1076),L1076,J1076)</f>
        <v>48.1</v>
      </c>
      <c r="N1076" s="15" t="n">
        <f aca="false">ROUNDUP(M1076,0)</f>
        <v>49</v>
      </c>
      <c r="O1076" s="15" t="n">
        <f aca="false">MAX(I1076,N1076)</f>
        <v>49</v>
      </c>
      <c r="P1076" s="15" t="n">
        <f aca="false">IF(C1076="COVERED",MAX(0,O1076-40),0)</f>
        <v>9</v>
      </c>
      <c r="Q1076" s="15" t="n">
        <f aca="false">O1076</f>
        <v>49</v>
      </c>
      <c r="R1076" s="18" t="n">
        <f aca="false">IF(C1076="COVERED",10.4,7.55)</f>
        <v>10.4</v>
      </c>
      <c r="S1076" s="18" t="n">
        <f aca="false">Q1076*R1076</f>
        <v>509.6</v>
      </c>
      <c r="T1076" s="13" t="s">
        <v>7316</v>
      </c>
      <c r="U1076" s="14" t="n">
        <v>46235</v>
      </c>
      <c r="V1076" s="13" t="n">
        <v>49</v>
      </c>
      <c r="W1076" s="18" t="n">
        <v>10.4</v>
      </c>
      <c r="X1076" s="18" t="n">
        <v>509.6</v>
      </c>
      <c r="Y1076" s="18" t="n">
        <f aca="false">IF(ISNUMBER(X1076),X1076-S1076,"")</f>
        <v>0</v>
      </c>
      <c r="Z1076" s="18" t="n">
        <f aca="false">IF(ISNUMBER(X1076),X1076-S1076,-S1076)</f>
        <v>0</v>
      </c>
      <c r="AA1076" s="13" t="str">
        <f aca="false">IF(NOT(ISNUMBER(X1076)),"NO AUGUST POSTING IN EXPORT",IF(ABS(Y1076)&gt;=0.005,"POSTED CHARGE MISMATCH",IF(P1076&gt;0,"MATCH - COVERED ELIGIBILITY EXCEPTION","MATCH")))</f>
        <v>MATCH - COVERED ELIGIBILITY EXCEPTION</v>
      </c>
      <c r="AB1076" s="13" t="s">
        <v>7317</v>
      </c>
    </row>
    <row r="1077" customFormat="false" ht="15" hidden="false" customHeight="false" outlineLevel="0" collapsed="false">
      <c r="A1077" s="9" t="s">
        <v>7318</v>
      </c>
      <c r="B1077" s="9" t="s">
        <v>135</v>
      </c>
      <c r="C1077" s="9" t="s">
        <v>114</v>
      </c>
      <c r="D1077" s="9" t="s">
        <v>2002</v>
      </c>
      <c r="E1077" s="9" t="s">
        <v>3303</v>
      </c>
      <c r="F1077" s="9" t="s">
        <v>7319</v>
      </c>
      <c r="G1077" s="9" t="s">
        <v>7320</v>
      </c>
      <c r="H1077" s="9" t="s">
        <v>3763</v>
      </c>
      <c r="I1077" s="11" t="n">
        <v>40</v>
      </c>
      <c r="J1077" s="11" t="n">
        <v>28.3</v>
      </c>
      <c r="K1077" s="11"/>
      <c r="L1077" s="11"/>
      <c r="M1077" s="11" t="n">
        <f aca="false">IF(ISNUMBER(L1077),L1077,J1077)</f>
        <v>28.3</v>
      </c>
      <c r="N1077" s="11" t="n">
        <f aca="false">ROUNDUP(M1077,0)</f>
        <v>29</v>
      </c>
      <c r="O1077" s="11" t="n">
        <f aca="false">MAX(I1077,N1077)</f>
        <v>40</v>
      </c>
      <c r="P1077" s="11" t="n">
        <f aca="false">IF(C1077="COVERED",MAX(0,O1077-40),0)</f>
        <v>0</v>
      </c>
      <c r="Q1077" s="11" t="n">
        <f aca="false">O1077</f>
        <v>40</v>
      </c>
      <c r="R1077" s="17" t="n">
        <f aca="false">IF(C1077="COVERED",10.4,7.55)</f>
        <v>10.4</v>
      </c>
      <c r="S1077" s="17" t="n">
        <f aca="false">Q1077*R1077</f>
        <v>416</v>
      </c>
      <c r="T1077" s="9" t="s">
        <v>7321</v>
      </c>
      <c r="U1077" s="10" t="n">
        <v>46235</v>
      </c>
      <c r="V1077" s="9" t="n">
        <v>40</v>
      </c>
      <c r="W1077" s="17" t="n">
        <v>10.4</v>
      </c>
      <c r="X1077" s="17" t="n">
        <v>416</v>
      </c>
      <c r="Y1077" s="17" t="n">
        <f aca="false">IF(ISNUMBER(X1077),X1077-S1077,"")</f>
        <v>0</v>
      </c>
      <c r="Z1077" s="17" t="n">
        <f aca="false">IF(ISNUMBER(X1077),X1077-S1077,-S1077)</f>
        <v>0</v>
      </c>
      <c r="AA1077" s="9" t="str">
        <f aca="false">IF(NOT(ISNUMBER(X1077)),"NO AUGUST POSTING IN EXPORT",IF(ABS(Y1077)&gt;=0.005,"POSTED CHARGE MISMATCH",IF(P1077&gt;0,"MATCH - COVERED ELIGIBILITY EXCEPTION","MATCH")))</f>
        <v>MATCH</v>
      </c>
      <c r="AB1077" s="9" t="s">
        <v>7322</v>
      </c>
    </row>
    <row r="1078" customFormat="false" ht="15" hidden="false" customHeight="false" outlineLevel="0" collapsed="false">
      <c r="A1078" s="13" t="s">
        <v>7323</v>
      </c>
      <c r="B1078" s="13" t="s">
        <v>135</v>
      </c>
      <c r="C1078" s="13" t="s">
        <v>114</v>
      </c>
      <c r="D1078" s="13" t="s">
        <v>2002</v>
      </c>
      <c r="E1078" s="13" t="s">
        <v>3310</v>
      </c>
      <c r="F1078" s="13" t="s">
        <v>7324</v>
      </c>
      <c r="G1078" s="13" t="s">
        <v>7325</v>
      </c>
      <c r="H1078" s="13" t="s">
        <v>6158</v>
      </c>
      <c r="I1078" s="15" t="n">
        <v>40</v>
      </c>
      <c r="J1078" s="15" t="n">
        <v>57.4</v>
      </c>
      <c r="K1078" s="15"/>
      <c r="L1078" s="15"/>
      <c r="M1078" s="15" t="n">
        <f aca="false">IF(ISNUMBER(L1078),L1078,J1078)</f>
        <v>57.4</v>
      </c>
      <c r="N1078" s="15" t="n">
        <f aca="false">ROUNDUP(M1078,0)</f>
        <v>58</v>
      </c>
      <c r="O1078" s="15" t="n">
        <f aca="false">MAX(I1078,N1078)</f>
        <v>58</v>
      </c>
      <c r="P1078" s="15" t="n">
        <f aca="false">IF(C1078="COVERED",MAX(0,O1078-40),0)</f>
        <v>18</v>
      </c>
      <c r="Q1078" s="15" t="n">
        <f aca="false">O1078</f>
        <v>58</v>
      </c>
      <c r="R1078" s="18" t="n">
        <f aca="false">IF(C1078="COVERED",10.4,7.55)</f>
        <v>10.4</v>
      </c>
      <c r="S1078" s="18" t="n">
        <f aca="false">Q1078*R1078</f>
        <v>603.2</v>
      </c>
      <c r="T1078" s="13" t="s">
        <v>7326</v>
      </c>
      <c r="U1078" s="14" t="n">
        <v>46235</v>
      </c>
      <c r="V1078" s="13" t="n">
        <v>58</v>
      </c>
      <c r="W1078" s="18" t="n">
        <v>10.4</v>
      </c>
      <c r="X1078" s="18" t="n">
        <v>603.2</v>
      </c>
      <c r="Y1078" s="18" t="n">
        <f aca="false">IF(ISNUMBER(X1078),X1078-S1078,"")</f>
        <v>0</v>
      </c>
      <c r="Z1078" s="18" t="n">
        <f aca="false">IF(ISNUMBER(X1078),X1078-S1078,-S1078)</f>
        <v>0</v>
      </c>
      <c r="AA1078" s="13" t="str">
        <f aca="false">IF(NOT(ISNUMBER(X1078)),"NO AUGUST POSTING IN EXPORT",IF(ABS(Y1078)&gt;=0.005,"POSTED CHARGE MISMATCH",IF(P1078&gt;0,"MATCH - COVERED ELIGIBILITY EXCEPTION","MATCH")))</f>
        <v>MATCH - COVERED ELIGIBILITY EXCEPTION</v>
      </c>
      <c r="AB1078" s="13" t="s">
        <v>7327</v>
      </c>
    </row>
    <row r="1079" customFormat="false" ht="15" hidden="false" customHeight="false" outlineLevel="0" collapsed="false">
      <c r="A1079" s="9" t="s">
        <v>7328</v>
      </c>
      <c r="B1079" s="9" t="s">
        <v>135</v>
      </c>
      <c r="C1079" s="9" t="s">
        <v>114</v>
      </c>
      <c r="D1079" s="9" t="s">
        <v>2002</v>
      </c>
      <c r="E1079" s="9" t="s">
        <v>3317</v>
      </c>
      <c r="F1079" s="9" t="s">
        <v>7329</v>
      </c>
      <c r="G1079" s="9" t="s">
        <v>7330</v>
      </c>
      <c r="H1079" s="9" t="s">
        <v>4156</v>
      </c>
      <c r="I1079" s="11" t="n">
        <v>28</v>
      </c>
      <c r="J1079" s="11" t="n">
        <v>21</v>
      </c>
      <c r="K1079" s="11"/>
      <c r="L1079" s="11"/>
      <c r="M1079" s="11" t="n">
        <f aca="false">IF(ISNUMBER(L1079),L1079,J1079)</f>
        <v>21</v>
      </c>
      <c r="N1079" s="11" t="n">
        <f aca="false">ROUNDUP(M1079,0)</f>
        <v>21</v>
      </c>
      <c r="O1079" s="11" t="n">
        <f aca="false">MAX(I1079,N1079)</f>
        <v>28</v>
      </c>
      <c r="P1079" s="11" t="n">
        <f aca="false">IF(C1079="COVERED",MAX(0,O1079-40),0)</f>
        <v>0</v>
      </c>
      <c r="Q1079" s="11" t="n">
        <f aca="false">O1079</f>
        <v>28</v>
      </c>
      <c r="R1079" s="17" t="n">
        <f aca="false">IF(C1079="COVERED",10.4,7.55)</f>
        <v>10.4</v>
      </c>
      <c r="S1079" s="17" t="n">
        <f aca="false">Q1079*R1079</f>
        <v>291.2</v>
      </c>
      <c r="T1079" s="9" t="s">
        <v>7331</v>
      </c>
      <c r="U1079" s="10" t="n">
        <v>46235</v>
      </c>
      <c r="V1079" s="9" t="n">
        <v>28</v>
      </c>
      <c r="W1079" s="17" t="n">
        <v>10.4</v>
      </c>
      <c r="X1079" s="17" t="n">
        <v>291.2</v>
      </c>
      <c r="Y1079" s="17" t="n">
        <f aca="false">IF(ISNUMBER(X1079),X1079-S1079,"")</f>
        <v>0</v>
      </c>
      <c r="Z1079" s="17" t="n">
        <f aca="false">IF(ISNUMBER(X1079),X1079-S1079,-S1079)</f>
        <v>0</v>
      </c>
      <c r="AA1079" s="9" t="str">
        <f aca="false">IF(NOT(ISNUMBER(X1079)),"NO AUGUST POSTING IN EXPORT",IF(ABS(Y1079)&gt;=0.005,"POSTED CHARGE MISMATCH",IF(P1079&gt;0,"MATCH - COVERED ELIGIBILITY EXCEPTION","MATCH")))</f>
        <v>MATCH</v>
      </c>
      <c r="AB1079" s="9" t="s">
        <v>7332</v>
      </c>
    </row>
    <row r="1080" customFormat="false" ht="15" hidden="false" customHeight="false" outlineLevel="0" collapsed="false">
      <c r="A1080" s="13" t="s">
        <v>1428</v>
      </c>
      <c r="B1080" s="13" t="s">
        <v>135</v>
      </c>
      <c r="C1080" s="13" t="s">
        <v>114</v>
      </c>
      <c r="D1080" s="13" t="s">
        <v>2002</v>
      </c>
      <c r="E1080" s="13" t="s">
        <v>3324</v>
      </c>
      <c r="F1080" s="13" t="s">
        <v>1229</v>
      </c>
      <c r="G1080" s="13" t="s">
        <v>1230</v>
      </c>
      <c r="H1080" s="13" t="s">
        <v>2476</v>
      </c>
      <c r="I1080" s="15" t="n">
        <v>36</v>
      </c>
      <c r="J1080" s="15" t="n">
        <v>32.3</v>
      </c>
      <c r="K1080" s="15"/>
      <c r="L1080" s="15"/>
      <c r="M1080" s="15" t="n">
        <f aca="false">IF(ISNUMBER(L1080),L1080,J1080)</f>
        <v>32.3</v>
      </c>
      <c r="N1080" s="15" t="n">
        <f aca="false">ROUNDUP(M1080,0)</f>
        <v>33</v>
      </c>
      <c r="O1080" s="15" t="n">
        <f aca="false">MAX(I1080,N1080)</f>
        <v>36</v>
      </c>
      <c r="P1080" s="15" t="n">
        <f aca="false">IF(C1080="COVERED",MAX(0,O1080-40),0)</f>
        <v>0</v>
      </c>
      <c r="Q1080" s="15" t="n">
        <f aca="false">O1080</f>
        <v>36</v>
      </c>
      <c r="R1080" s="18" t="n">
        <f aca="false">IF(C1080="COVERED",10.4,7.55)</f>
        <v>10.4</v>
      </c>
      <c r="S1080" s="18" t="n">
        <f aca="false">Q1080*R1080</f>
        <v>374.4</v>
      </c>
      <c r="T1080" s="13" t="s">
        <v>7333</v>
      </c>
      <c r="U1080" s="14" t="n">
        <v>46235</v>
      </c>
      <c r="V1080" s="13" t="n">
        <v>36</v>
      </c>
      <c r="W1080" s="18" t="n">
        <v>10.4</v>
      </c>
      <c r="X1080" s="18" t="n">
        <v>374.4</v>
      </c>
      <c r="Y1080" s="18" t="n">
        <f aca="false">IF(ISNUMBER(X1080),X1080-S1080,"")</f>
        <v>0</v>
      </c>
      <c r="Z1080" s="18" t="n">
        <f aca="false">IF(ISNUMBER(X1080),X1080-S1080,-S1080)</f>
        <v>0</v>
      </c>
      <c r="AA1080" s="13" t="str">
        <f aca="false">IF(NOT(ISNUMBER(X1080)),"NO AUGUST POSTING IN EXPORT",IF(ABS(Y1080)&gt;=0.005,"POSTED CHARGE MISMATCH",IF(P1080&gt;0,"MATCH - COVERED ELIGIBILITY EXCEPTION","MATCH")))</f>
        <v>MATCH</v>
      </c>
      <c r="AB1080" s="13" t="s">
        <v>7334</v>
      </c>
    </row>
    <row r="1081" customFormat="false" ht="15" hidden="false" customHeight="false" outlineLevel="0" collapsed="false">
      <c r="A1081" s="9" t="s">
        <v>7335</v>
      </c>
      <c r="B1081" s="9" t="s">
        <v>135</v>
      </c>
      <c r="C1081" s="9" t="s">
        <v>114</v>
      </c>
      <c r="D1081" s="9" t="s">
        <v>2002</v>
      </c>
      <c r="E1081" s="9" t="s">
        <v>3329</v>
      </c>
      <c r="F1081" s="9" t="s">
        <v>7336</v>
      </c>
      <c r="G1081" s="9" t="s">
        <v>7337</v>
      </c>
      <c r="H1081" s="9" t="s">
        <v>5607</v>
      </c>
      <c r="I1081" s="11" t="n">
        <v>36</v>
      </c>
      <c r="J1081" s="11" t="n">
        <v>38.1</v>
      </c>
      <c r="K1081" s="11"/>
      <c r="L1081" s="11"/>
      <c r="M1081" s="11" t="n">
        <f aca="false">IF(ISNUMBER(L1081),L1081,J1081)</f>
        <v>38.1</v>
      </c>
      <c r="N1081" s="11" t="n">
        <f aca="false">ROUNDUP(M1081,0)</f>
        <v>39</v>
      </c>
      <c r="O1081" s="11" t="n">
        <f aca="false">MAX(I1081,N1081)</f>
        <v>39</v>
      </c>
      <c r="P1081" s="11" t="n">
        <f aca="false">IF(C1081="COVERED",MAX(0,O1081-40),0)</f>
        <v>0</v>
      </c>
      <c r="Q1081" s="11" t="n">
        <f aca="false">O1081</f>
        <v>39</v>
      </c>
      <c r="R1081" s="17" t="n">
        <f aca="false">IF(C1081="COVERED",10.4,7.55)</f>
        <v>10.4</v>
      </c>
      <c r="S1081" s="17" t="n">
        <f aca="false">Q1081*R1081</f>
        <v>405.6</v>
      </c>
      <c r="T1081" s="9" t="s">
        <v>7338</v>
      </c>
      <c r="U1081" s="10" t="n">
        <v>46235</v>
      </c>
      <c r="V1081" s="9" t="n">
        <v>39</v>
      </c>
      <c r="W1081" s="17" t="n">
        <v>10.4</v>
      </c>
      <c r="X1081" s="17" t="n">
        <v>405.6</v>
      </c>
      <c r="Y1081" s="17" t="n">
        <f aca="false">IF(ISNUMBER(X1081),X1081-S1081,"")</f>
        <v>0</v>
      </c>
      <c r="Z1081" s="17" t="n">
        <f aca="false">IF(ISNUMBER(X1081),X1081-S1081,-S1081)</f>
        <v>0</v>
      </c>
      <c r="AA1081" s="9" t="str">
        <f aca="false">IF(NOT(ISNUMBER(X1081)),"NO AUGUST POSTING IN EXPORT",IF(ABS(Y1081)&gt;=0.005,"POSTED CHARGE MISMATCH",IF(P1081&gt;0,"MATCH - COVERED ELIGIBILITY EXCEPTION","MATCH")))</f>
        <v>MATCH</v>
      </c>
      <c r="AB1081" s="9" t="s">
        <v>7339</v>
      </c>
    </row>
    <row r="1082" customFormat="false" ht="15" hidden="false" customHeight="false" outlineLevel="0" collapsed="false">
      <c r="A1082" s="13" t="s">
        <v>7340</v>
      </c>
      <c r="B1082" s="13" t="s">
        <v>135</v>
      </c>
      <c r="C1082" s="13" t="s">
        <v>114</v>
      </c>
      <c r="D1082" s="13" t="s">
        <v>2002</v>
      </c>
      <c r="E1082" s="13" t="s">
        <v>3336</v>
      </c>
      <c r="F1082" s="13" t="s">
        <v>1889</v>
      </c>
      <c r="G1082" s="13" t="s">
        <v>1890</v>
      </c>
      <c r="H1082" s="13" t="s">
        <v>3512</v>
      </c>
      <c r="I1082" s="15" t="n">
        <v>24</v>
      </c>
      <c r="J1082" s="15" t="n">
        <v>50</v>
      </c>
      <c r="K1082" s="15"/>
      <c r="L1082" s="15"/>
      <c r="M1082" s="15" t="n">
        <f aca="false">IF(ISNUMBER(L1082),L1082,J1082)</f>
        <v>50</v>
      </c>
      <c r="N1082" s="15" t="n">
        <f aca="false">ROUNDUP(M1082,0)</f>
        <v>50</v>
      </c>
      <c r="O1082" s="15" t="n">
        <f aca="false">MAX(I1082,N1082)</f>
        <v>50</v>
      </c>
      <c r="P1082" s="15" t="n">
        <f aca="false">IF(C1082="COVERED",MAX(0,O1082-40),0)</f>
        <v>10</v>
      </c>
      <c r="Q1082" s="15" t="n">
        <f aca="false">O1082</f>
        <v>50</v>
      </c>
      <c r="R1082" s="18" t="n">
        <f aca="false">IF(C1082="COVERED",10.4,7.55)</f>
        <v>10.4</v>
      </c>
      <c r="S1082" s="18" t="n">
        <f aca="false">Q1082*R1082</f>
        <v>520</v>
      </c>
      <c r="T1082" s="13" t="s">
        <v>7341</v>
      </c>
      <c r="U1082" s="14" t="n">
        <v>46235</v>
      </c>
      <c r="V1082" s="13" t="n">
        <v>50</v>
      </c>
      <c r="W1082" s="18" t="n">
        <v>10.4</v>
      </c>
      <c r="X1082" s="18" t="n">
        <v>520</v>
      </c>
      <c r="Y1082" s="18" t="n">
        <f aca="false">IF(ISNUMBER(X1082),X1082-S1082,"")</f>
        <v>0</v>
      </c>
      <c r="Z1082" s="18" t="n">
        <f aca="false">IF(ISNUMBER(X1082),X1082-S1082,-S1082)</f>
        <v>0</v>
      </c>
      <c r="AA1082" s="13" t="str">
        <f aca="false">IF(NOT(ISNUMBER(X1082)),"NO AUGUST POSTING IN EXPORT",IF(ABS(Y1082)&gt;=0.005,"POSTED CHARGE MISMATCH",IF(P1082&gt;0,"MATCH - COVERED ELIGIBILITY EXCEPTION","MATCH")))</f>
        <v>MATCH - COVERED ELIGIBILITY EXCEPTION</v>
      </c>
      <c r="AB1082" s="13" t="s">
        <v>7342</v>
      </c>
    </row>
    <row r="1083" customFormat="false" ht="15" hidden="false" customHeight="false" outlineLevel="0" collapsed="false">
      <c r="A1083" s="9" t="s">
        <v>7343</v>
      </c>
      <c r="B1083" s="9" t="s">
        <v>135</v>
      </c>
      <c r="C1083" s="9" t="s">
        <v>114</v>
      </c>
      <c r="D1083" s="9" t="s">
        <v>2002</v>
      </c>
      <c r="E1083" s="9" t="s">
        <v>3341</v>
      </c>
      <c r="F1083" s="9" t="s">
        <v>7344</v>
      </c>
      <c r="G1083" s="9" t="s">
        <v>7345</v>
      </c>
      <c r="H1083" s="9" t="s">
        <v>4086</v>
      </c>
      <c r="I1083" s="11" t="n">
        <v>24</v>
      </c>
      <c r="J1083" s="11" t="n">
        <v>34.6</v>
      </c>
      <c r="K1083" s="11"/>
      <c r="L1083" s="11"/>
      <c r="M1083" s="11" t="n">
        <f aca="false">IF(ISNUMBER(L1083),L1083,J1083)</f>
        <v>34.6</v>
      </c>
      <c r="N1083" s="11" t="n">
        <f aca="false">ROUNDUP(M1083,0)</f>
        <v>35</v>
      </c>
      <c r="O1083" s="11" t="n">
        <f aca="false">MAX(I1083,N1083)</f>
        <v>35</v>
      </c>
      <c r="P1083" s="11" t="n">
        <f aca="false">IF(C1083="COVERED",MAX(0,O1083-40),0)</f>
        <v>0</v>
      </c>
      <c r="Q1083" s="11" t="n">
        <f aca="false">O1083</f>
        <v>35</v>
      </c>
      <c r="R1083" s="17" t="n">
        <f aca="false">IF(C1083="COVERED",10.4,7.55)</f>
        <v>10.4</v>
      </c>
      <c r="S1083" s="17" t="n">
        <f aca="false">Q1083*R1083</f>
        <v>364</v>
      </c>
      <c r="T1083" s="9" t="s">
        <v>7346</v>
      </c>
      <c r="U1083" s="10" t="n">
        <v>46235</v>
      </c>
      <c r="V1083" s="9" t="n">
        <v>35</v>
      </c>
      <c r="W1083" s="17" t="n">
        <v>10.4</v>
      </c>
      <c r="X1083" s="17" t="n">
        <v>364</v>
      </c>
      <c r="Y1083" s="17" t="n">
        <f aca="false">IF(ISNUMBER(X1083),X1083-S1083,"")</f>
        <v>0</v>
      </c>
      <c r="Z1083" s="17" t="n">
        <f aca="false">IF(ISNUMBER(X1083),X1083-S1083,-S1083)</f>
        <v>0</v>
      </c>
      <c r="AA1083" s="9" t="str">
        <f aca="false">IF(NOT(ISNUMBER(X1083)),"NO AUGUST POSTING IN EXPORT",IF(ABS(Y1083)&gt;=0.005,"POSTED CHARGE MISMATCH",IF(P1083&gt;0,"MATCH - COVERED ELIGIBILITY EXCEPTION","MATCH")))</f>
        <v>MATCH</v>
      </c>
      <c r="AB1083" s="9" t="s">
        <v>7347</v>
      </c>
    </row>
    <row r="1084" customFormat="false" ht="15" hidden="false" customHeight="false" outlineLevel="0" collapsed="false">
      <c r="A1084" s="13" t="s">
        <v>7348</v>
      </c>
      <c r="B1084" s="13" t="s">
        <v>135</v>
      </c>
      <c r="C1084" s="13" t="s">
        <v>114</v>
      </c>
      <c r="D1084" s="13" t="s">
        <v>2002</v>
      </c>
      <c r="E1084" s="13" t="s">
        <v>3348</v>
      </c>
      <c r="F1084" s="13" t="s">
        <v>324</v>
      </c>
      <c r="G1084" s="13" t="s">
        <v>325</v>
      </c>
      <c r="H1084" s="13" t="s">
        <v>7349</v>
      </c>
      <c r="I1084" s="15" t="n">
        <v>36</v>
      </c>
      <c r="J1084" s="15" t="n">
        <v>51.9</v>
      </c>
      <c r="K1084" s="15"/>
      <c r="L1084" s="15"/>
      <c r="M1084" s="15" t="n">
        <f aca="false">IF(ISNUMBER(L1084),L1084,J1084)</f>
        <v>51.9</v>
      </c>
      <c r="N1084" s="15" t="n">
        <f aca="false">ROUNDUP(M1084,0)</f>
        <v>52</v>
      </c>
      <c r="O1084" s="15" t="n">
        <f aca="false">MAX(I1084,N1084)</f>
        <v>52</v>
      </c>
      <c r="P1084" s="15" t="n">
        <f aca="false">IF(C1084="COVERED",MAX(0,O1084-40),0)</f>
        <v>12</v>
      </c>
      <c r="Q1084" s="15" t="n">
        <f aca="false">O1084</f>
        <v>52</v>
      </c>
      <c r="R1084" s="18" t="n">
        <f aca="false">IF(C1084="COVERED",10.4,7.55)</f>
        <v>10.4</v>
      </c>
      <c r="S1084" s="18" t="n">
        <f aca="false">Q1084*R1084</f>
        <v>540.8</v>
      </c>
      <c r="T1084" s="13" t="s">
        <v>7350</v>
      </c>
      <c r="U1084" s="14" t="n">
        <v>46235</v>
      </c>
      <c r="V1084" s="13" t="n">
        <v>52</v>
      </c>
      <c r="W1084" s="18" t="n">
        <v>10.4</v>
      </c>
      <c r="X1084" s="18" t="n">
        <v>540.8</v>
      </c>
      <c r="Y1084" s="18" t="n">
        <f aca="false">IF(ISNUMBER(X1084),X1084-S1084,"")</f>
        <v>0</v>
      </c>
      <c r="Z1084" s="18" t="n">
        <f aca="false">IF(ISNUMBER(X1084),X1084-S1084,-S1084)</f>
        <v>0</v>
      </c>
      <c r="AA1084" s="13" t="str">
        <f aca="false">IF(NOT(ISNUMBER(X1084)),"NO AUGUST POSTING IN EXPORT",IF(ABS(Y1084)&gt;=0.005,"POSTED CHARGE MISMATCH",IF(P1084&gt;0,"MATCH - COVERED ELIGIBILITY EXCEPTION","MATCH")))</f>
        <v>MATCH - COVERED ELIGIBILITY EXCEPTION</v>
      </c>
      <c r="AB1084" s="13" t="s">
        <v>7351</v>
      </c>
    </row>
    <row r="1085" customFormat="false" ht="15" hidden="false" customHeight="false" outlineLevel="0" collapsed="false">
      <c r="A1085" s="9" t="s">
        <v>7352</v>
      </c>
      <c r="B1085" s="9" t="s">
        <v>135</v>
      </c>
      <c r="C1085" s="9" t="s">
        <v>114</v>
      </c>
      <c r="D1085" s="9" t="s">
        <v>2002</v>
      </c>
      <c r="E1085" s="9" t="s">
        <v>3354</v>
      </c>
      <c r="F1085" s="9" t="s">
        <v>7353</v>
      </c>
      <c r="G1085" s="9" t="s">
        <v>7354</v>
      </c>
      <c r="H1085" s="9" t="s">
        <v>4743</v>
      </c>
      <c r="I1085" s="11" t="n">
        <v>24</v>
      </c>
      <c r="J1085" s="11" t="n">
        <v>33.4</v>
      </c>
      <c r="K1085" s="11"/>
      <c r="L1085" s="11"/>
      <c r="M1085" s="11" t="n">
        <f aca="false">IF(ISNUMBER(L1085),L1085,J1085)</f>
        <v>33.4</v>
      </c>
      <c r="N1085" s="11" t="n">
        <f aca="false">ROUNDUP(M1085,0)</f>
        <v>34</v>
      </c>
      <c r="O1085" s="11" t="n">
        <f aca="false">MAX(I1085,N1085)</f>
        <v>34</v>
      </c>
      <c r="P1085" s="11" t="n">
        <f aca="false">IF(C1085="COVERED",MAX(0,O1085-40),0)</f>
        <v>0</v>
      </c>
      <c r="Q1085" s="11" t="n">
        <f aca="false">O1085</f>
        <v>34</v>
      </c>
      <c r="R1085" s="17" t="n">
        <f aca="false">IF(C1085="COVERED",10.4,7.55)</f>
        <v>10.4</v>
      </c>
      <c r="S1085" s="17" t="n">
        <f aca="false">Q1085*R1085</f>
        <v>353.6</v>
      </c>
      <c r="T1085" s="9" t="s">
        <v>7355</v>
      </c>
      <c r="U1085" s="10" t="n">
        <v>46235</v>
      </c>
      <c r="V1085" s="9" t="n">
        <v>34</v>
      </c>
      <c r="W1085" s="17" t="n">
        <v>10.4</v>
      </c>
      <c r="X1085" s="17" t="n">
        <v>353.6</v>
      </c>
      <c r="Y1085" s="17" t="n">
        <f aca="false">IF(ISNUMBER(X1085),X1085-S1085,"")</f>
        <v>0</v>
      </c>
      <c r="Z1085" s="17" t="n">
        <f aca="false">IF(ISNUMBER(X1085),X1085-S1085,-S1085)</f>
        <v>0</v>
      </c>
      <c r="AA1085" s="9" t="str">
        <f aca="false">IF(NOT(ISNUMBER(X1085)),"NO AUGUST POSTING IN EXPORT",IF(ABS(Y1085)&gt;=0.005,"POSTED CHARGE MISMATCH",IF(P1085&gt;0,"MATCH - COVERED ELIGIBILITY EXCEPTION","MATCH")))</f>
        <v>MATCH</v>
      </c>
      <c r="AB1085" s="9" t="s">
        <v>7356</v>
      </c>
    </row>
    <row r="1086" customFormat="false" ht="15" hidden="false" customHeight="false" outlineLevel="0" collapsed="false">
      <c r="A1086" s="13" t="s">
        <v>7357</v>
      </c>
      <c r="B1086" s="13" t="s">
        <v>135</v>
      </c>
      <c r="C1086" s="13" t="s">
        <v>114</v>
      </c>
      <c r="D1086" s="13" t="s">
        <v>2002</v>
      </c>
      <c r="E1086" s="13" t="s">
        <v>4369</v>
      </c>
      <c r="F1086" s="13" t="s">
        <v>7358</v>
      </c>
      <c r="G1086" s="13" t="s">
        <v>7359</v>
      </c>
      <c r="H1086" s="13" t="s">
        <v>2045</v>
      </c>
      <c r="I1086" s="15" t="n">
        <v>40</v>
      </c>
      <c r="J1086" s="15" t="n">
        <v>36.8</v>
      </c>
      <c r="K1086" s="15"/>
      <c r="L1086" s="15"/>
      <c r="M1086" s="15" t="n">
        <f aca="false">IF(ISNUMBER(L1086),L1086,J1086)</f>
        <v>36.8</v>
      </c>
      <c r="N1086" s="15" t="n">
        <f aca="false">ROUNDUP(M1086,0)</f>
        <v>37</v>
      </c>
      <c r="O1086" s="15" t="n">
        <f aca="false">MAX(I1086,N1086)</f>
        <v>40</v>
      </c>
      <c r="P1086" s="15" t="n">
        <f aca="false">IF(C1086="COVERED",MAX(0,O1086-40),0)</f>
        <v>0</v>
      </c>
      <c r="Q1086" s="15" t="n">
        <f aca="false">O1086</f>
        <v>40</v>
      </c>
      <c r="R1086" s="18" t="n">
        <f aca="false">IF(C1086="COVERED",10.4,7.55)</f>
        <v>10.4</v>
      </c>
      <c r="S1086" s="18" t="n">
        <f aca="false">Q1086*R1086</f>
        <v>416</v>
      </c>
      <c r="T1086" s="13" t="s">
        <v>7360</v>
      </c>
      <c r="U1086" s="14" t="n">
        <v>46235</v>
      </c>
      <c r="V1086" s="13" t="n">
        <v>40</v>
      </c>
      <c r="W1086" s="18" t="n">
        <v>10.4</v>
      </c>
      <c r="X1086" s="18" t="n">
        <v>416</v>
      </c>
      <c r="Y1086" s="18" t="n">
        <f aca="false">IF(ISNUMBER(X1086),X1086-S1086,"")</f>
        <v>0</v>
      </c>
      <c r="Z1086" s="18" t="n">
        <f aca="false">IF(ISNUMBER(X1086),X1086-S1086,-S1086)</f>
        <v>0</v>
      </c>
      <c r="AA1086" s="13" t="str">
        <f aca="false">IF(NOT(ISNUMBER(X1086)),"NO AUGUST POSTING IN EXPORT",IF(ABS(Y1086)&gt;=0.005,"POSTED CHARGE MISMATCH",IF(P1086&gt;0,"MATCH - COVERED ELIGIBILITY EXCEPTION","MATCH")))</f>
        <v>MATCH</v>
      </c>
      <c r="AB1086" s="13" t="s">
        <v>7361</v>
      </c>
    </row>
    <row r="1087" customFormat="false" ht="15" hidden="false" customHeight="false" outlineLevel="0" collapsed="false">
      <c r="A1087" s="9" t="s">
        <v>804</v>
      </c>
      <c r="B1087" s="9" t="s">
        <v>135</v>
      </c>
      <c r="C1087" s="9" t="s">
        <v>114</v>
      </c>
      <c r="D1087" s="9" t="s">
        <v>2002</v>
      </c>
      <c r="E1087" s="9" t="s">
        <v>3359</v>
      </c>
      <c r="F1087" s="9" t="s">
        <v>7362</v>
      </c>
      <c r="G1087" s="9" t="s">
        <v>7363</v>
      </c>
      <c r="H1087" s="9" t="s">
        <v>4077</v>
      </c>
      <c r="I1087" s="11" t="n">
        <v>40</v>
      </c>
      <c r="J1087" s="11" t="n">
        <v>40.5</v>
      </c>
      <c r="K1087" s="11"/>
      <c r="L1087" s="11"/>
      <c r="M1087" s="11" t="n">
        <f aca="false">IF(ISNUMBER(L1087),L1087,J1087)</f>
        <v>40.5</v>
      </c>
      <c r="N1087" s="11" t="n">
        <f aca="false">ROUNDUP(M1087,0)</f>
        <v>41</v>
      </c>
      <c r="O1087" s="11" t="n">
        <f aca="false">MAX(I1087,N1087)</f>
        <v>41</v>
      </c>
      <c r="P1087" s="11" t="n">
        <f aca="false">IF(C1087="COVERED",MAX(0,O1087-40),0)</f>
        <v>1</v>
      </c>
      <c r="Q1087" s="11" t="n">
        <f aca="false">O1087</f>
        <v>41</v>
      </c>
      <c r="R1087" s="17" t="n">
        <f aca="false">IF(C1087="COVERED",10.4,7.55)</f>
        <v>10.4</v>
      </c>
      <c r="S1087" s="17" t="n">
        <f aca="false">Q1087*R1087</f>
        <v>426.4</v>
      </c>
      <c r="T1087" s="9" t="s">
        <v>7364</v>
      </c>
      <c r="U1087" s="10" t="n">
        <v>46235</v>
      </c>
      <c r="V1087" s="9" t="n">
        <v>41</v>
      </c>
      <c r="W1087" s="17" t="n">
        <v>10.4</v>
      </c>
      <c r="X1087" s="17" t="n">
        <v>426.4</v>
      </c>
      <c r="Y1087" s="17" t="n">
        <f aca="false">IF(ISNUMBER(X1087),X1087-S1087,"")</f>
        <v>0</v>
      </c>
      <c r="Z1087" s="17" t="n">
        <f aca="false">IF(ISNUMBER(X1087),X1087-S1087,-S1087)</f>
        <v>0</v>
      </c>
      <c r="AA1087" s="9" t="str">
        <f aca="false">IF(NOT(ISNUMBER(X1087)),"NO AUGUST POSTING IN EXPORT",IF(ABS(Y1087)&gt;=0.005,"POSTED CHARGE MISMATCH",IF(P1087&gt;0,"MATCH - COVERED ELIGIBILITY EXCEPTION","MATCH")))</f>
        <v>MATCH - COVERED ELIGIBILITY EXCEPTION</v>
      </c>
      <c r="AB1087" s="9" t="s">
        <v>7365</v>
      </c>
    </row>
    <row r="1088" customFormat="false" ht="15" hidden="false" customHeight="false" outlineLevel="0" collapsed="false">
      <c r="A1088" s="13" t="s">
        <v>7366</v>
      </c>
      <c r="B1088" s="13" t="s">
        <v>135</v>
      </c>
      <c r="C1088" s="13" t="s">
        <v>114</v>
      </c>
      <c r="D1088" s="13" t="s">
        <v>2002</v>
      </c>
      <c r="E1088" s="13" t="s">
        <v>3362</v>
      </c>
      <c r="F1088" s="13" t="s">
        <v>7367</v>
      </c>
      <c r="G1088" s="13" t="s">
        <v>7368</v>
      </c>
      <c r="H1088" s="13" t="s">
        <v>5851</v>
      </c>
      <c r="I1088" s="15" t="n">
        <v>36</v>
      </c>
      <c r="J1088" s="15" t="n">
        <v>56.3</v>
      </c>
      <c r="K1088" s="15"/>
      <c r="L1088" s="15"/>
      <c r="M1088" s="15" t="n">
        <f aca="false">IF(ISNUMBER(L1088),L1088,J1088)</f>
        <v>56.3</v>
      </c>
      <c r="N1088" s="15" t="n">
        <f aca="false">ROUNDUP(M1088,0)</f>
        <v>57</v>
      </c>
      <c r="O1088" s="15" t="n">
        <f aca="false">MAX(I1088,N1088)</f>
        <v>57</v>
      </c>
      <c r="P1088" s="15" t="n">
        <f aca="false">IF(C1088="COVERED",MAX(0,O1088-40),0)</f>
        <v>17</v>
      </c>
      <c r="Q1088" s="15" t="n">
        <f aca="false">O1088</f>
        <v>57</v>
      </c>
      <c r="R1088" s="18" t="n">
        <f aca="false">IF(C1088="COVERED",10.4,7.55)</f>
        <v>10.4</v>
      </c>
      <c r="S1088" s="18" t="n">
        <f aca="false">Q1088*R1088</f>
        <v>592.8</v>
      </c>
      <c r="T1088" s="13" t="s">
        <v>7369</v>
      </c>
      <c r="U1088" s="14" t="n">
        <v>46235</v>
      </c>
      <c r="V1088" s="13" t="n">
        <v>57</v>
      </c>
      <c r="W1088" s="18" t="n">
        <v>10.4</v>
      </c>
      <c r="X1088" s="18" t="n">
        <v>592.8</v>
      </c>
      <c r="Y1088" s="18" t="n">
        <f aca="false">IF(ISNUMBER(X1088),X1088-S1088,"")</f>
        <v>0</v>
      </c>
      <c r="Z1088" s="18" t="n">
        <f aca="false">IF(ISNUMBER(X1088),X1088-S1088,-S1088)</f>
        <v>0</v>
      </c>
      <c r="AA1088" s="13" t="str">
        <f aca="false">IF(NOT(ISNUMBER(X1088)),"NO AUGUST POSTING IN EXPORT",IF(ABS(Y1088)&gt;=0.005,"POSTED CHARGE MISMATCH",IF(P1088&gt;0,"MATCH - COVERED ELIGIBILITY EXCEPTION","MATCH")))</f>
        <v>MATCH - COVERED ELIGIBILITY EXCEPTION</v>
      </c>
      <c r="AB1088" s="13" t="s">
        <v>7370</v>
      </c>
    </row>
    <row r="1089" customFormat="false" ht="15" hidden="false" customHeight="false" outlineLevel="0" collapsed="false">
      <c r="A1089" s="9" t="s">
        <v>134</v>
      </c>
      <c r="B1089" s="9" t="s">
        <v>135</v>
      </c>
      <c r="C1089" s="9" t="s">
        <v>114</v>
      </c>
      <c r="D1089" s="9" t="s">
        <v>2002</v>
      </c>
      <c r="E1089" s="9" t="s">
        <v>3367</v>
      </c>
      <c r="F1089" s="9" t="s">
        <v>7371</v>
      </c>
      <c r="G1089" s="9" t="s">
        <v>7372</v>
      </c>
      <c r="H1089" s="9" t="s">
        <v>2183</v>
      </c>
      <c r="I1089" s="11" t="n">
        <v>28</v>
      </c>
      <c r="J1089" s="11" t="n">
        <v>29.6</v>
      </c>
      <c r="K1089" s="11"/>
      <c r="L1089" s="11"/>
      <c r="M1089" s="11" t="n">
        <f aca="false">IF(ISNUMBER(L1089),L1089,J1089)</f>
        <v>29.6</v>
      </c>
      <c r="N1089" s="11" t="n">
        <f aca="false">ROUNDUP(M1089,0)</f>
        <v>30</v>
      </c>
      <c r="O1089" s="11" t="n">
        <f aca="false">MAX(I1089,N1089)</f>
        <v>30</v>
      </c>
      <c r="P1089" s="11" t="n">
        <f aca="false">IF(C1089="COVERED",MAX(0,O1089-40),0)</f>
        <v>0</v>
      </c>
      <c r="Q1089" s="11" t="n">
        <f aca="false">O1089</f>
        <v>30</v>
      </c>
      <c r="R1089" s="17" t="n">
        <f aca="false">IF(C1089="COVERED",10.4,7.55)</f>
        <v>10.4</v>
      </c>
      <c r="S1089" s="17" t="n">
        <f aca="false">Q1089*R1089</f>
        <v>312</v>
      </c>
      <c r="T1089" s="9" t="s">
        <v>7373</v>
      </c>
      <c r="U1089" s="10" t="n">
        <v>46235</v>
      </c>
      <c r="V1089" s="9" t="n">
        <v>30</v>
      </c>
      <c r="W1089" s="17" t="n">
        <v>10.4</v>
      </c>
      <c r="X1089" s="17" t="n">
        <v>312</v>
      </c>
      <c r="Y1089" s="17" t="n">
        <f aca="false">IF(ISNUMBER(X1089),X1089-S1089,"")</f>
        <v>0</v>
      </c>
      <c r="Z1089" s="17" t="n">
        <f aca="false">IF(ISNUMBER(X1089),X1089-S1089,-S1089)</f>
        <v>0</v>
      </c>
      <c r="AA1089" s="9" t="str">
        <f aca="false">IF(NOT(ISNUMBER(X1089)),"NO AUGUST POSTING IN EXPORT",IF(ABS(Y1089)&gt;=0.005,"POSTED CHARGE MISMATCH",IF(P1089&gt;0,"MATCH - COVERED ELIGIBILITY EXCEPTION","MATCH")))</f>
        <v>MATCH</v>
      </c>
      <c r="AB1089" s="9" t="s">
        <v>7374</v>
      </c>
    </row>
    <row r="1090" customFormat="false" ht="15" hidden="false" customHeight="false" outlineLevel="0" collapsed="false">
      <c r="A1090" s="13" t="s">
        <v>7375</v>
      </c>
      <c r="B1090" s="13" t="s">
        <v>135</v>
      </c>
      <c r="C1090" s="13" t="s">
        <v>114</v>
      </c>
      <c r="D1090" s="13" t="s">
        <v>2002</v>
      </c>
      <c r="E1090" s="13" t="s">
        <v>3374</v>
      </c>
      <c r="F1090" s="13" t="s">
        <v>7376</v>
      </c>
      <c r="G1090" s="13" t="s">
        <v>7377</v>
      </c>
      <c r="H1090" s="13" t="s">
        <v>5091</v>
      </c>
      <c r="I1090" s="15" t="n">
        <v>32</v>
      </c>
      <c r="J1090" s="15" t="n">
        <v>55.7</v>
      </c>
      <c r="K1090" s="15"/>
      <c r="L1090" s="15"/>
      <c r="M1090" s="15" t="n">
        <f aca="false">IF(ISNUMBER(L1090),L1090,J1090)</f>
        <v>55.7</v>
      </c>
      <c r="N1090" s="15" t="n">
        <f aca="false">ROUNDUP(M1090,0)</f>
        <v>56</v>
      </c>
      <c r="O1090" s="15" t="n">
        <f aca="false">MAX(I1090,N1090)</f>
        <v>56</v>
      </c>
      <c r="P1090" s="15" t="n">
        <f aca="false">IF(C1090="COVERED",MAX(0,O1090-40),0)</f>
        <v>16</v>
      </c>
      <c r="Q1090" s="15" t="n">
        <f aca="false">O1090</f>
        <v>56</v>
      </c>
      <c r="R1090" s="18" t="n">
        <f aca="false">IF(C1090="COVERED",10.4,7.55)</f>
        <v>10.4</v>
      </c>
      <c r="S1090" s="18" t="n">
        <f aca="false">Q1090*R1090</f>
        <v>582.4</v>
      </c>
      <c r="T1090" s="13" t="s">
        <v>7378</v>
      </c>
      <c r="U1090" s="14" t="n">
        <v>46235</v>
      </c>
      <c r="V1090" s="13" t="n">
        <v>56</v>
      </c>
      <c r="W1090" s="18" t="n">
        <v>10.4</v>
      </c>
      <c r="X1090" s="18" t="n">
        <v>582.4</v>
      </c>
      <c r="Y1090" s="18" t="n">
        <f aca="false">IF(ISNUMBER(X1090),X1090-S1090,"")</f>
        <v>0</v>
      </c>
      <c r="Z1090" s="18" t="n">
        <f aca="false">IF(ISNUMBER(X1090),X1090-S1090,-S1090)</f>
        <v>0</v>
      </c>
      <c r="AA1090" s="13" t="str">
        <f aca="false">IF(NOT(ISNUMBER(X1090)),"NO AUGUST POSTING IN EXPORT",IF(ABS(Y1090)&gt;=0.005,"POSTED CHARGE MISMATCH",IF(P1090&gt;0,"MATCH - COVERED ELIGIBILITY EXCEPTION","MATCH")))</f>
        <v>MATCH - COVERED ELIGIBILITY EXCEPTION</v>
      </c>
      <c r="AB1090" s="13" t="s">
        <v>7379</v>
      </c>
    </row>
    <row r="1091" customFormat="false" ht="15" hidden="false" customHeight="false" outlineLevel="0" collapsed="false">
      <c r="A1091" s="19" t="n">
        <f aca="false">COUNTA(A5:A1090)</f>
        <v>1086</v>
      </c>
      <c r="B1091" s="19" t="s">
        <v>7380</v>
      </c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20" t="n">
        <f aca="false">SUM(S5:S1090)</f>
        <v>439918.3</v>
      </c>
      <c r="T1091" s="19"/>
      <c r="U1091" s="19"/>
      <c r="V1091" s="19"/>
      <c r="W1091" s="19"/>
      <c r="X1091" s="20" t="n">
        <f aca="false">SUM(X5:X1090)</f>
        <v>319760.05</v>
      </c>
      <c r="Y1091" s="20" t="n">
        <f aca="false">SUM(Y5:Y1090)</f>
        <v>0</v>
      </c>
      <c r="Z1091" s="20" t="n">
        <f aca="false">SUM(Z5:Z1090)</f>
        <v>-120158.25</v>
      </c>
      <c r="AA1091" s="19" t="s">
        <v>7381</v>
      </c>
      <c r="AB1091" s="19"/>
    </row>
  </sheetData>
  <autoFilter ref="A4:AB1090"/>
  <mergeCells count="2">
    <mergeCell ref="A1:AB1"/>
    <mergeCell ref="A2:AB2"/>
  </mergeCells>
  <conditionalFormatting sqref="AA5:AA1090">
    <cfRule type="cellIs" priority="2" operator="equal" aboveAverage="0" equalAverage="0" bottom="0" percent="0" rank="0" text="" dxfId="12">
      <formula>"POSTED CHARGE MISMATCH"</formula>
    </cfRule>
    <cfRule type="cellIs" priority="3" operator="equal" aboveAverage="0" equalAverage="0" bottom="0" percent="0" rank="0" text="" dxfId="14">
      <formula>"NO AUGUST POSTING IN EXPORT"</formula>
    </cfRule>
    <cfRule type="cellIs" priority="4" operator="equal" aboveAverage="0" equalAverage="0" bottom="0" percent="0" rank="0" text="" dxfId="15">
      <formula>"MATCH - COVERED ELIGIBILITY EXCEPTION"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&amp;CBilling reconciliation | Variance is posted minus expected&amp;RPage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2318"/>
    <pageSetUpPr fitToPage="true"/>
  </sheetPr>
  <dimension ref="A1:R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10" min="6" style="0" width="13"/>
    <col collapsed="false" customWidth="true" hidden="false" outlineLevel="0" max="12" min="11" style="0" width="15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6" min="15" style="0" width="13"/>
    <col collapsed="false" customWidth="true" hidden="false" outlineLevel="0" max="17" min="17" style="0" width="11"/>
    <col collapsed="false" customWidth="true" hidden="false" outlineLevel="0" max="18" min="18" style="0" width="62"/>
  </cols>
  <sheetData>
    <row r="1" customFormat="false" ht="33.75" hidden="false" customHeight="true" outlineLevel="0" collapsed="false">
      <c r="A1" s="1" t="s">
        <v>7382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7383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3.75" hidden="false" customHeight="true" outlineLevel="0" collapsed="false">
      <c r="A4" s="4" t="s">
        <v>74</v>
      </c>
      <c r="B4" s="4" t="s">
        <v>7384</v>
      </c>
      <c r="C4" s="4" t="s">
        <v>1975</v>
      </c>
      <c r="D4" s="4" t="s">
        <v>81</v>
      </c>
      <c r="E4" s="4" t="s">
        <v>7385</v>
      </c>
      <c r="F4" s="4" t="s">
        <v>7386</v>
      </c>
      <c r="G4" s="4" t="s">
        <v>7387</v>
      </c>
      <c r="H4" s="4" t="s">
        <v>7388</v>
      </c>
      <c r="I4" s="4" t="s">
        <v>7389</v>
      </c>
      <c r="J4" s="4" t="s">
        <v>7390</v>
      </c>
      <c r="K4" s="4" t="s">
        <v>7391</v>
      </c>
      <c r="L4" s="4" t="s">
        <v>7392</v>
      </c>
      <c r="M4" s="4" t="s">
        <v>7393</v>
      </c>
      <c r="N4" s="4" t="s">
        <v>7394</v>
      </c>
      <c r="O4" s="4" t="s">
        <v>7395</v>
      </c>
      <c r="P4" s="4" t="s">
        <v>7396</v>
      </c>
      <c r="Q4" s="4" t="s">
        <v>7397</v>
      </c>
      <c r="R4" s="4" t="s">
        <v>107</v>
      </c>
    </row>
    <row r="5" customFormat="false" ht="15" hidden="false" customHeight="false" outlineLevel="0" collapsed="false">
      <c r="A5" s="9" t="s">
        <v>4487</v>
      </c>
      <c r="B5" s="9" t="s">
        <v>4488</v>
      </c>
      <c r="C5" s="9" t="s">
        <v>4486</v>
      </c>
      <c r="D5" s="9" t="s">
        <v>113</v>
      </c>
      <c r="E5" s="9" t="s">
        <v>2002</v>
      </c>
      <c r="F5" s="17" t="n">
        <v>509.6</v>
      </c>
      <c r="G5" s="17" t="n">
        <v>509.6</v>
      </c>
      <c r="H5" s="17" t="n">
        <v>509.6</v>
      </c>
      <c r="I5" s="17" t="n">
        <v>509.6</v>
      </c>
      <c r="J5" s="17" t="n">
        <v>0</v>
      </c>
      <c r="K5" s="17" t="n">
        <f aca="false">I5+J5</f>
        <v>509.6</v>
      </c>
      <c r="L5" s="17" t="n">
        <f aca="false">SUM(F5:J5)</f>
        <v>2038.4</v>
      </c>
      <c r="M5" s="17" t="n">
        <f aca="false">SUM(G5:J5)</f>
        <v>1528.8</v>
      </c>
      <c r="N5" s="9" t="s">
        <v>7398</v>
      </c>
      <c r="O5" s="10" t="n">
        <v>46171</v>
      </c>
      <c r="P5" s="10" t="n">
        <v>46198</v>
      </c>
      <c r="Q5" s="9" t="n">
        <v>23</v>
      </c>
      <c r="R5" s="9" t="s">
        <v>7399</v>
      </c>
    </row>
    <row r="6" customFormat="false" ht="15" hidden="false" customHeight="false" outlineLevel="0" collapsed="false">
      <c r="A6" s="13" t="s">
        <v>4704</v>
      </c>
      <c r="B6" s="13" t="s">
        <v>4705</v>
      </c>
      <c r="C6" s="13" t="s">
        <v>345</v>
      </c>
      <c r="D6" s="13" t="s">
        <v>113</v>
      </c>
      <c r="E6" s="13" t="s">
        <v>2002</v>
      </c>
      <c r="F6" s="18" t="n">
        <v>384.8</v>
      </c>
      <c r="G6" s="18" t="n">
        <v>384.8</v>
      </c>
      <c r="H6" s="18" t="n">
        <v>384.8</v>
      </c>
      <c r="I6" s="18" t="n">
        <v>384.8</v>
      </c>
      <c r="J6" s="18" t="n">
        <v>0</v>
      </c>
      <c r="K6" s="18" t="n">
        <f aca="false">I6+J6</f>
        <v>384.8</v>
      </c>
      <c r="L6" s="18" t="n">
        <f aca="false">SUM(F6:J6)</f>
        <v>1539.2</v>
      </c>
      <c r="M6" s="18" t="n">
        <f aca="false">SUM(G6:J6)</f>
        <v>1154.4</v>
      </c>
      <c r="N6" s="13" t="s">
        <v>7398</v>
      </c>
      <c r="O6" s="14" t="n">
        <v>46214</v>
      </c>
      <c r="P6" s="14" t="n">
        <v>46191</v>
      </c>
      <c r="Q6" s="13" t="n">
        <v>68</v>
      </c>
      <c r="R6" s="13" t="s">
        <v>7400</v>
      </c>
    </row>
    <row r="7" customFormat="false" ht="15" hidden="false" customHeight="false" outlineLevel="0" collapsed="false">
      <c r="A7" s="9" t="s">
        <v>4927</v>
      </c>
      <c r="B7" s="9" t="s">
        <v>4928</v>
      </c>
      <c r="C7" s="9" t="s">
        <v>4926</v>
      </c>
      <c r="D7" s="9" t="s">
        <v>113</v>
      </c>
      <c r="E7" s="9" t="s">
        <v>2002</v>
      </c>
      <c r="F7" s="17" t="n">
        <v>603.2</v>
      </c>
      <c r="G7" s="17" t="n">
        <v>603.2</v>
      </c>
      <c r="H7" s="17" t="n">
        <v>603.2</v>
      </c>
      <c r="I7" s="17" t="n">
        <v>603.2</v>
      </c>
      <c r="J7" s="17" t="n">
        <v>603.2</v>
      </c>
      <c r="K7" s="17" t="n">
        <f aca="false">I7+J7</f>
        <v>1206.4</v>
      </c>
      <c r="L7" s="17" t="n">
        <f aca="false">SUM(F7:J7)</f>
        <v>3016</v>
      </c>
      <c r="M7" s="17" t="n">
        <f aca="false">SUM(G7:J7)</f>
        <v>2412.8</v>
      </c>
      <c r="N7" s="9" t="s">
        <v>7398</v>
      </c>
      <c r="O7" s="10" t="n">
        <v>46221</v>
      </c>
      <c r="P7" s="10" t="n">
        <v>46195</v>
      </c>
      <c r="Q7" s="9" t="n">
        <v>113</v>
      </c>
      <c r="R7" s="9" t="s">
        <v>7401</v>
      </c>
    </row>
    <row r="8" customFormat="false" ht="15" hidden="false" customHeight="false" outlineLevel="0" collapsed="false">
      <c r="A8" s="13" t="s">
        <v>4942</v>
      </c>
      <c r="B8" s="13" t="s">
        <v>4943</v>
      </c>
      <c r="C8" s="13" t="s">
        <v>4941</v>
      </c>
      <c r="D8" s="13" t="s">
        <v>113</v>
      </c>
      <c r="E8" s="13" t="s">
        <v>2002</v>
      </c>
      <c r="F8" s="18" t="n">
        <v>530.4</v>
      </c>
      <c r="G8" s="18" t="n">
        <v>530.4</v>
      </c>
      <c r="H8" s="18" t="n">
        <v>530.4</v>
      </c>
      <c r="I8" s="18" t="n">
        <v>530.4</v>
      </c>
      <c r="J8" s="18" t="n">
        <v>0</v>
      </c>
      <c r="K8" s="18" t="n">
        <f aca="false">I8+J8</f>
        <v>530.4</v>
      </c>
      <c r="L8" s="18" t="n">
        <f aca="false">SUM(F8:J8)</f>
        <v>2121.6</v>
      </c>
      <c r="M8" s="18" t="n">
        <f aca="false">SUM(G8:J8)</f>
        <v>1591.2</v>
      </c>
      <c r="N8" s="13" t="s">
        <v>7398</v>
      </c>
      <c r="O8" s="14" t="n">
        <v>46148</v>
      </c>
      <c r="P8" s="14" t="n">
        <v>46217</v>
      </c>
      <c r="Q8" s="13" t="n">
        <v>116</v>
      </c>
      <c r="R8" s="13" t="s">
        <v>7402</v>
      </c>
    </row>
    <row r="9" customFormat="false" ht="15" hidden="false" customHeight="false" outlineLevel="0" collapsed="false">
      <c r="A9" s="9" t="s">
        <v>5100</v>
      </c>
      <c r="B9" s="9" t="s">
        <v>5101</v>
      </c>
      <c r="C9" s="9" t="s">
        <v>5099</v>
      </c>
      <c r="D9" s="9" t="s">
        <v>113</v>
      </c>
      <c r="E9" s="9" t="s">
        <v>2002</v>
      </c>
      <c r="F9" s="17" t="n">
        <v>416</v>
      </c>
      <c r="G9" s="17" t="n">
        <v>416</v>
      </c>
      <c r="H9" s="17" t="n">
        <v>416</v>
      </c>
      <c r="I9" s="17" t="n">
        <v>416</v>
      </c>
      <c r="J9" s="17" t="n">
        <v>832</v>
      </c>
      <c r="K9" s="17" t="n">
        <f aca="false">I9+J9</f>
        <v>1248</v>
      </c>
      <c r="L9" s="17" t="n">
        <f aca="false">SUM(F9:J9)</f>
        <v>2496</v>
      </c>
      <c r="M9" s="17" t="n">
        <f aca="false">SUM(G9:J9)</f>
        <v>2080</v>
      </c>
      <c r="N9" s="9" t="s">
        <v>7398</v>
      </c>
      <c r="O9" s="10" t="n">
        <v>46157</v>
      </c>
      <c r="P9" s="10" t="n">
        <v>46205</v>
      </c>
      <c r="Q9" s="9" t="n">
        <v>147</v>
      </c>
      <c r="R9" s="9" t="s">
        <v>7403</v>
      </c>
    </row>
    <row r="10" customFormat="false" ht="15" hidden="false" customHeight="false" outlineLevel="0" collapsed="false">
      <c r="A10" s="13" t="s">
        <v>5157</v>
      </c>
      <c r="B10" s="13" t="s">
        <v>5158</v>
      </c>
      <c r="C10" s="13" t="s">
        <v>5156</v>
      </c>
      <c r="D10" s="13" t="s">
        <v>113</v>
      </c>
      <c r="E10" s="13" t="s">
        <v>2002</v>
      </c>
      <c r="F10" s="18" t="n">
        <v>488.8</v>
      </c>
      <c r="G10" s="18" t="n">
        <v>488.8</v>
      </c>
      <c r="H10" s="18" t="n">
        <v>488.8</v>
      </c>
      <c r="I10" s="18" t="n">
        <v>488.8</v>
      </c>
      <c r="J10" s="18" t="n">
        <v>0</v>
      </c>
      <c r="K10" s="18" t="n">
        <f aca="false">I10+J10</f>
        <v>488.8</v>
      </c>
      <c r="L10" s="18" t="n">
        <f aca="false">SUM(F10:J10)</f>
        <v>1955.2</v>
      </c>
      <c r="M10" s="18" t="n">
        <f aca="false">SUM(G10:J10)</f>
        <v>1466.4</v>
      </c>
      <c r="N10" s="13" t="s">
        <v>7398</v>
      </c>
      <c r="O10" s="14" t="n">
        <v>46211</v>
      </c>
      <c r="P10" s="14" t="n">
        <v>46206</v>
      </c>
      <c r="Q10" s="13" t="n">
        <v>158</v>
      </c>
      <c r="R10" s="13" t="s">
        <v>7404</v>
      </c>
    </row>
    <row r="11" customFormat="false" ht="15" hidden="false" customHeight="false" outlineLevel="0" collapsed="false">
      <c r="A11" s="19" t="n">
        <f aca="false">COUNTA(A5:A10)</f>
        <v>6</v>
      </c>
      <c r="B11" s="19" t="s">
        <v>7405</v>
      </c>
      <c r="C11" s="19"/>
      <c r="D11" s="19"/>
      <c r="E11" s="19"/>
      <c r="F11" s="20" t="n">
        <f aca="false">SUM(F5:F10)</f>
        <v>2932.8</v>
      </c>
      <c r="G11" s="20" t="n">
        <f aca="false">SUM(G5:G10)</f>
        <v>2932.8</v>
      </c>
      <c r="H11" s="20" t="n">
        <f aca="false">SUM(H5:H10)</f>
        <v>2932.8</v>
      </c>
      <c r="I11" s="20" t="n">
        <f aca="false">SUM(I5:I10)</f>
        <v>2932.8</v>
      </c>
      <c r="J11" s="20" t="n">
        <f aca="false">SUM(J5:J10)</f>
        <v>1435.2</v>
      </c>
      <c r="K11" s="20" t="n">
        <f aca="false">SUM(K5:K10)</f>
        <v>4368</v>
      </c>
      <c r="L11" s="20" t="n">
        <f aca="false">SUM(L5:L10)</f>
        <v>13166.4</v>
      </c>
      <c r="M11" s="20" t="n">
        <f aca="false">SUM(M5:M10)</f>
        <v>10233.6</v>
      </c>
      <c r="N11" s="19"/>
      <c r="O11" s="19"/>
      <c r="P11" s="19"/>
      <c r="Q11" s="19"/>
      <c r="R11" s="19"/>
    </row>
  </sheetData>
  <autoFilter ref="A4:R10"/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&amp;CAging source: ar_aging_2026-07-31.xlsx, AR_Aging&amp;RPage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2026-09-13T21:05:41Z</dcterms:created>
  <dc:creator>openpyxl</dc:creator>
  <dc:description/>
  <dc:language>en-US</dc:language>
  <cp:lastModifiedBy/>
  <dcterms:modified xsi:type="dcterms:W3CDTF">2026-09-13T21:05:41Z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